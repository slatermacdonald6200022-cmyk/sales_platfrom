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520" yWindow="0" windowWidth="11520" windowHeight="12360" tabRatio="600" firstSheet="0" activeTab="0" autoFilterDateGrouping="1"/>
  </bookViews>
  <sheets>
    <sheet name="2026_Мустафин" sheetId="1" state="visible" r:id="rId1"/>
    <sheet name="Сводная" sheetId="2" state="visible" r:id="rId2"/>
    <sheet name="БАЗА" sheetId="3" state="visible" r:id="rId3"/>
    <sheet name="ДС" sheetId="4" state="visible" r:id="rId4"/>
  </sheets>
  <definedNames>
    <definedName name="_xlnm._FilterDatabase" localSheetId="0" hidden="1">'2026_Мустафин'!$A$1:$KO$275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94">
    <numFmt numFmtId="164" formatCode="[$-419]mmmm\ yyyy;@"/>
    <numFmt numFmtId="165" formatCode="#,##0.0"/>
    <numFmt numFmtId="166" formatCode="#,##0;#,##0;"/>
    <numFmt numFmtId="167" formatCode="_-* #,##0\ &quot;€&quot;_-;\-* #,##0\ &quot;€&quot;_-;_-* &quot;-&quot;\ &quot;€&quot;_-;_-@_-"/>
    <numFmt numFmtId="168" formatCode="_-* #,##0.00\ [$€]_-;\-* #,##0.00\ [$€]_-;_-* &quot;-&quot;??\ [$€]_-;_-@_-"/>
    <numFmt numFmtId="169" formatCode="&quot;$&quot;#,##0;[Red]\-&quot;$&quot;#,##0"/>
    <numFmt numFmtId="170" formatCode="_(&quot;$&quot;* #,##0.00_);_(&quot;$&quot;* \(#,##0.00\);_(&quot;$&quot;* &quot;-&quot;??_);_(@_)"/>
    <numFmt numFmtId="171" formatCode="_-* #,##0\ _€_-;\-* #,##0\ _€_-;_-* &quot;-&quot;\ _€_-;_-@_-"/>
    <numFmt numFmtId="172" formatCode="[$-409]d/mmm/yy;@"/>
    <numFmt numFmtId="173" formatCode="_ &quot;\&quot;* #,##0_ ;_ &quot;\&quot;* \-#,##0_ ;_ &quot;\&quot;* &quot;-&quot;_ ;_ @_ "/>
    <numFmt numFmtId="174" formatCode="_ &quot;\&quot;* #,##0.00_ ;_ &quot;\&quot;* \-#,##0.00_ ;_ &quot;\&quot;* &quot;-&quot;??_ ;_ @_ "/>
    <numFmt numFmtId="175" formatCode="_ * #,##0_ ;_ * \-#,##0_ ;_ * &quot;-&quot;_ ;_ @_ "/>
    <numFmt numFmtId="176" formatCode="_ * #,##0.00_ ;_ * \-#,##0.00_ ;_ * &quot;-&quot;??_ ;_ @_ "/>
    <numFmt numFmtId="177" formatCode="0.0%;\(0.0%\)"/>
    <numFmt numFmtId="178" formatCode="0.0%"/>
    <numFmt numFmtId="179" formatCode="&quot;$&quot;#,##0;\-&quot;$&quot;#,##0"/>
    <numFmt numFmtId="180" formatCode="0%_);\(0%\)"/>
    <numFmt numFmtId="181" formatCode="#,##0.00&quot;£&quot;_);\(#,##0.00&quot;£&quot;\)"/>
    <numFmt numFmtId="182" formatCode="#,##0.00&quot;£&quot;_);[Red]\(#,##0.00&quot;£&quot;\)"/>
    <numFmt numFmtId="183" formatCode="_ * #,##0_)&quot;£&quot;_ ;_ * \(#,##0\)&quot;£&quot;_ ;_ * &quot;-&quot;_)&quot;£&quot;_ ;_ @_ "/>
    <numFmt numFmtId="184" formatCode="_ * #,##0_)_£_ ;_ * \(#,##0\)_£_ ;_ * &quot;-&quot;_)_£_ ;_ @_ "/>
    <numFmt numFmtId="185" formatCode="#,##0&quot;£&quot;_);[Red]\(#,##0&quot;£&quot;\)"/>
    <numFmt numFmtId="186" formatCode="_ * #,##0.00_)&quot;£&quot;_ ;_ * \(#,##0.00\)&quot;£&quot;_ ;_ * &quot;-&quot;??_)&quot;£&quot;_ ;_ @_ "/>
    <numFmt numFmtId="187" formatCode="_(* #,##0.0_);_(* \(#,##0.0\);_(* &quot;-&quot;??_);_(@_)"/>
    <numFmt numFmtId="188" formatCode="&quot;$&quot;#,##0"/>
    <numFmt numFmtId="189" formatCode="_-* #,##0.00\ _€_-;\-* #,##0.00\ _€_-;_-* &quot;-&quot;??\ _€_-;_-@_-"/>
    <numFmt numFmtId="190" formatCode="_-* #,##0.00\ _₽_-;\-* #,##0.00\ _₽_-;_-* &quot;-&quot;??\ _₽_-;_-@_-"/>
    <numFmt numFmtId="191" formatCode="_-* #,##0_-;\-* #,##0_-;_-* &quot;-&quot;??_-;_-@_-"/>
    <numFmt numFmtId="192" formatCode="_-* #,##0.00_р_._-;\-* #,##0.00_р_._-;_-* &quot;-&quot;??_р_._-;_-@_-"/>
    <numFmt numFmtId="193" formatCode="&quot;$&quot;#,##0_);[Red]\(&quot;$&quot;#,##0\)"/>
    <numFmt numFmtId="194" formatCode="&quot;$&quot;#,##0.00;[Red]\-&quot;$&quot;#,##0.00"/>
    <numFmt numFmtId="195" formatCode="&quot;$&quot;#,##0.00_);[Red]\(&quot;$&quot;#,##0.00\)"/>
    <numFmt numFmtId="196" formatCode="_-&quot;£&quot;* #,##0.00_-;\-&quot;£&quot;* #,##0.00_-;_-&quot;£&quot;* &quot;-&quot;??_-;_-@_-"/>
    <numFmt numFmtId="197" formatCode="&quot;$&quot;#,##0\ ;\(&quot;$&quot;#,##0\)"/>
    <numFmt numFmtId="198" formatCode="00##"/>
    <numFmt numFmtId="199" formatCode="#,##0\ &quot;€&quot;;\-#,##0\ &quot;€&quot;"/>
    <numFmt numFmtId="200" formatCode="_-* #,##0.00\ _z_³_-;\-* #,##0.00\ _z_³_-;_-* &quot;-&quot;??\ _z_³_-;_-@_-"/>
    <numFmt numFmtId="201" formatCode="#,##0.0_);\(#,##0.0\)"/>
    <numFmt numFmtId="202" formatCode="#,##0.000_);\(#,##0.000\)"/>
    <numFmt numFmtId="203" formatCode="0.0"/>
    <numFmt numFmtId="204" formatCode="_-* #,##0\ _к_._-;\-* #,##0\ _к_._-;_-* &quot;-&quot;\ _к_._-;_-@_-"/>
    <numFmt numFmtId="205" formatCode="_-&quot;Ј&quot;* #,##0_-;\-&quot;Ј&quot;* #,##0_-;_-&quot;Ј&quot;* &quot;-&quot;_-;_-@_-"/>
    <numFmt numFmtId="206" formatCode="#,##0.00&quot; &quot;;[Red]\-#,##0.00&quot; &quot;"/>
    <numFmt numFmtId="207" formatCode="0.000"/>
    <numFmt numFmtId="208" formatCode="[White]#,##0&quot; &quot;;[Red]\-#,##0&quot; &quot;"/>
    <numFmt numFmtId="209" formatCode="\(0.0\)"/>
    <numFmt numFmtId="210" formatCode="#,##0\ &quot;Än÷&quot;;[Red]\-#,##0\ &quot;Än÷&quot;"/>
    <numFmt numFmtId="211" formatCode="_-* #,##0.00\ _к_._-;\-* #,##0.00\ _к_._-;_-* &quot;-&quot;??\ _к_._-;_-@_-"/>
    <numFmt numFmtId="212" formatCode="_-&quot;Ј&quot;* #,##0.00_-;\-&quot;Ј&quot;* #,##0.00_-;_-&quot;Ј&quot;* &quot;-&quot;??_-;_-@_-"/>
    <numFmt numFmtId="213" formatCode="#,##0\ &quot;zl&quot;;[Red]\-#,##0\ &quot;zl&quot;"/>
    <numFmt numFmtId="214" formatCode="#,##0.00\ &quot;Än÷&quot;;[Red]\-#,##0.00\ &quot;Än÷&quot;"/>
    <numFmt numFmtId="215" formatCode="_-* #,##0.00\ &quot;€&quot;_-;\-* #,##0.00\ &quot;€&quot;_-;_-* &quot;-&quot;??\ &quot;€&quot;_-;_-@_-"/>
    <numFmt numFmtId="216" formatCode="[Magenta]&quot;Err&quot;;[Magenta]&quot;Err&quot;;[Blue]&quot;OK&quot;"/>
    <numFmt numFmtId="217" formatCode="#,##0_);[Red]\(#,##0\);\-_)"/>
    <numFmt numFmtId="218" formatCode="0.0_)%;[Red]\(0.0%\);0.0_)%"/>
    <numFmt numFmtId="219" formatCode="[Red][&gt;1]&quot;&gt;100 %&quot;;[Red]\(0.0%\);0.0_)%"/>
    <numFmt numFmtId="220" formatCode="_-* #,##0\ _D_M_-;\-* #,##0\ _D_M_-;_-* &quot;-&quot;\ _D_M_-;_-@_-"/>
    <numFmt numFmtId="221" formatCode="_-* #,##0.00\ _D_M_-;\-* #,##0.00\ _D_M_-;_-* &quot;-&quot;??\ _D_M_-;_-@_-"/>
    <numFmt numFmtId="222" formatCode="0.00%;\(0.00%\)"/>
    <numFmt numFmtId="223" formatCode="0."/>
    <numFmt numFmtId="224" formatCode="&quot;Market Segment &quot;0"/>
    <numFmt numFmtId="225" formatCode="_ * #,##0.00_)\ _R_$_ ;_ * \(#,##0.00\)\ _R_$_ ;_ * &quot;-&quot;??_)\ _R_$_ ;_ @_ "/>
    <numFmt numFmtId="226" formatCode="#,##0\ &quot;R$&quot;;\-#,##0\ &quot;R$&quot;"/>
    <numFmt numFmtId="227" formatCode="#,##0\ &quot;DM&quot;;\-#,##0\ &quot;DM&quot;"/>
    <numFmt numFmtId="228" formatCode=".0%;\(.0%\)"/>
    <numFmt numFmtId="229" formatCode="#,##0.0_);[Red]\(#,##0.0\)"/>
    <numFmt numFmtId="230" formatCode="0.00%_);\(0.00%\)"/>
    <numFmt numFmtId="231" formatCode="_-* #,##0\ &quot;DM&quot;_-;\-* #,##0\ &quot;DM&quot;_-;_-* &quot;-&quot;\ &quot;DM&quot;_-;_-@_-"/>
    <numFmt numFmtId="232" formatCode="_-* #,##0.00\ &quot;DM&quot;_-;\-* #,##0.00\ &quot;DM&quot;_-;_-* &quot;-&quot;??\ &quot;DM&quot;_-;_-@_-"/>
    <numFmt numFmtId="233" formatCode="_-* #,##0\ &quot;z³&quot;_-;\-* #,##0\ &quot;z³&quot;_-;_-* &quot;-&quot;\ &quot;z³&quot;_-;_-@_-"/>
    <numFmt numFmtId="234" formatCode="0%;\(0%\)"/>
    <numFmt numFmtId="235" formatCode="#,##0.00\ &quot;DM&quot;;\-#,##0.00\ &quot;DM&quot;"/>
    <numFmt numFmtId="236" formatCode="#,##0\ &quot;€&quot;;[Red]\-#,##0\ &quot;€&quot;"/>
    <numFmt numFmtId="237" formatCode="_ * #,##0_)\ _R_$_ ;_ * \(#,##0\)\ _R_$_ ;_ * &quot;-&quot;_)\ _R_$_ ;_ @_ "/>
    <numFmt numFmtId="238" formatCode="_ * #,##0.00_)_£_ ;_ * \(#,##0.00\)_£_ ;_ * &quot;-&quot;??_)_£_ ;_ @_ "/>
    <numFmt numFmtId="239" formatCode="#,##0\ &quot;F&quot;;\-#,##0\ &quot;F&quot;"/>
    <numFmt numFmtId="240" formatCode="_-* #,##0\ _z_³_-;\-* #,##0\ _z_³_-;_-* &quot;-&quot;\ _z_³_-;_-@_-"/>
    <numFmt numFmtId="241" formatCode="_-* #,##0.00\ &quot;z³&quot;_-;\-* #,##0.00\ &quot;z³&quot;_-;_-* &quot;-&quot;??\ &quot;z³&quot;_-;_-@_-"/>
    <numFmt numFmtId="242" formatCode="#,##0\ &quot;DM&quot;;[Red]\-#,##0\ &quot;DM&quot;"/>
    <numFmt numFmtId="243" formatCode="#,##0.00\ &quot;DM&quot;;[Red]\-#,##0.00\ &quot;DM&quot;"/>
    <numFmt numFmtId="244" formatCode="#,##0&quot; &quot;;[Red]\-#,##0&quot; &quot;"/>
    <numFmt numFmtId="245" formatCode="[Blue]#,##0&quot; &quot;;[Red]\-#,##0&quot; &quot;"/>
    <numFmt numFmtId="246" formatCode="_-* #,##0\ &quot;р.&quot;_-;\-* #,##0\ &quot;р.&quot;_-;_-* &quot;-&quot;\ &quot;р.&quot;_-;_-@_-"/>
    <numFmt numFmtId="247" formatCode="_-* #,##0.00\ &quot;р.&quot;_-;\-* #,##0.00\ &quot;р.&quot;_-;_-* &quot;-&quot;??\ &quot;р.&quot;_-;_-@_-"/>
    <numFmt numFmtId="248" formatCode="#,##0.0;[Red]\-#,##0.0;&quot;---&quot;"/>
    <numFmt numFmtId="249" formatCode="_-* #,##0\ _р_._-;\-* #,##0\ _р_._-;_-* &quot;-&quot;\ _р_._-;_-@_-"/>
    <numFmt numFmtId="250" formatCode="_-* #,##0.00\ _р_._-;\-* #,##0.00\ _р_._-;_-* &quot;-&quot;??\ _р_._-;_-@_-"/>
    <numFmt numFmtId="251" formatCode="\-00##"/>
    <numFmt numFmtId="252" formatCode="&quot;\&quot;#,##0.00;[Red]\-&quot;\&quot;#,##0.00"/>
    <numFmt numFmtId="253" formatCode="&quot;\&quot;#,##0.00;[Red]&quot;\&quot;\-#,##0.00"/>
    <numFmt numFmtId="254" formatCode="&quot;\&quot;#,##0;[Red]&quot;\&quot;\-#,##0"/>
    <numFmt numFmtId="255" formatCode="0.0000_);[Red]\(0.0000\)"/>
    <numFmt numFmtId="256" formatCode="_ \¥* #,##0.00_ ;_ \¥* \-#,##0.00_ ;_ \¥* &quot;-&quot;??_ ;_ @_ "/>
    <numFmt numFmtId="257" formatCode="_-\¥* #,##0.00_-;\-\¥* #,##0.00_-;_-\¥* &quot;-&quot;??_-;_-@_-"/>
  </numFmts>
  <fonts count="209">
    <font>
      <name val="Calibri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"/>
      <charset val="204"/>
      <family val="2"/>
      <sz val="10"/>
    </font>
    <font>
      <name val="Arial MT"/>
      <sz val="12"/>
    </font>
    <font>
      <name val="MS Sans Serif"/>
      <sz val="10"/>
    </font>
    <font>
      <name val="Calibri"/>
      <charset val="204"/>
      <family val="2"/>
      <b val="1"/>
      <color indexed="45"/>
      <sz val="15"/>
    </font>
    <font>
      <name val="Calibri"/>
      <charset val="204"/>
      <family val="2"/>
      <b val="1"/>
      <color rgb="FF286676"/>
      <sz val="15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45"/>
      <sz val="13"/>
    </font>
    <font>
      <name val="Calibri"/>
      <charset val="204"/>
      <family val="2"/>
      <b val="1"/>
      <color rgb="FF286676"/>
      <sz val="13"/>
    </font>
    <font>
      <name val="Calibri"/>
      <charset val="204"/>
      <family val="2"/>
      <b val="1"/>
      <color indexed="45"/>
      <sz val="11"/>
    </font>
    <font>
      <name val="Calibri"/>
      <charset val="204"/>
      <family val="2"/>
      <b val="1"/>
      <color rgb="FF286676"/>
      <sz val="11"/>
    </font>
    <font>
      <name val="Calibri"/>
      <charset val="204"/>
      <family val="2"/>
      <b val="1"/>
      <color indexed="2"/>
      <sz val="11"/>
    </font>
    <font>
      <name val="Arial"/>
      <charset val="204"/>
      <family val="2"/>
      <color indexed="50"/>
      <sz val="11"/>
    </font>
    <font>
      <name val="Arial"/>
      <charset val="204"/>
      <family val="2"/>
      <color rgb="FF4A3285"/>
      <sz val="11"/>
    </font>
    <font>
      <name val="Cambria"/>
      <charset val="204"/>
      <family val="1"/>
      <b val="1"/>
      <color indexed="45"/>
      <sz val="18"/>
    </font>
    <font>
      <name val="Cambria"/>
      <charset val="204"/>
      <family val="1"/>
      <b val="1"/>
      <color rgb="FF286676"/>
      <sz val="18"/>
    </font>
    <font>
      <name val="Arial"/>
      <charset val="204"/>
      <family val="2"/>
      <color indexed="17"/>
      <sz val="11"/>
    </font>
    <font>
      <name val="Arial"/>
      <charset val="204"/>
      <family val="2"/>
      <b val="1"/>
      <sz val="11"/>
    </font>
    <font>
      <name val="Arial"/>
      <charset val="204"/>
      <family val="2"/>
      <color indexed="20"/>
      <sz val="11"/>
    </font>
    <font>
      <name val="Arial"/>
      <charset val="204"/>
      <family val="2"/>
      <i val="1"/>
      <color indexed="22"/>
      <sz val="11"/>
    </font>
    <font>
      <name val="Arial"/>
      <charset val="204"/>
      <family val="2"/>
      <i val="1"/>
      <color indexed="23"/>
      <sz val="11"/>
    </font>
    <font>
      <name val="Arial"/>
      <charset val="204"/>
      <family val="2"/>
      <sz val="8"/>
    </font>
    <font>
      <name val="Arial"/>
      <charset val="204"/>
      <family val="2"/>
      <color indexed="18"/>
      <sz val="11"/>
    </font>
    <font>
      <name val="Arial"/>
      <charset val="204"/>
      <family val="2"/>
      <color indexed="19"/>
      <sz val="11"/>
    </font>
    <font>
      <name val="Calibri"/>
      <charset val="204"/>
      <family val="2"/>
      <color indexed="2"/>
      <sz val="11"/>
    </font>
    <font>
      <name val="Arial"/>
      <charset val="204"/>
      <family val="2"/>
      <color indexed="2"/>
      <sz val="11"/>
    </font>
    <font>
      <name val="Arial"/>
      <charset val="204"/>
      <family val="2"/>
      <color indexed="4"/>
      <sz val="8"/>
      <u val="single"/>
    </font>
    <font>
      <name val="Arial"/>
      <charset val="204"/>
      <family val="2"/>
      <b val="1"/>
      <color indexed="45"/>
      <sz val="18"/>
    </font>
    <font>
      <name val="Arial"/>
      <charset val="204"/>
      <family val="2"/>
      <b val="1"/>
      <color rgb="FF286676"/>
      <sz val="18"/>
    </font>
    <font>
      <name val="Arial"/>
      <charset val="204"/>
      <family val="2"/>
      <b val="1"/>
      <color indexed="65"/>
      <sz val="11"/>
    </font>
    <font>
      <name val="Calibri"/>
      <charset val="204"/>
      <family val="2"/>
      <color indexed="65"/>
      <sz val="11"/>
    </font>
    <font>
      <name val="Arial"/>
      <charset val="204"/>
      <family val="2"/>
      <color indexed="20"/>
      <sz val="8"/>
      <u val="single"/>
    </font>
    <font>
      <name val="Arial"/>
      <charset val="204"/>
      <family val="2"/>
      <color indexed="20"/>
      <sz val="10"/>
      <u val="single"/>
    </font>
    <font>
      <name val="Arial"/>
      <charset val="204"/>
      <family val="2"/>
      <color indexed="4"/>
      <sz val="10"/>
      <u val="single"/>
    </font>
    <font>
      <name val="Arial"/>
      <charset val="204"/>
      <family val="2"/>
      <b val="1"/>
      <color indexed="45"/>
      <sz val="15"/>
    </font>
    <font>
      <name val="Arial"/>
      <charset val="204"/>
      <family val="2"/>
      <b val="1"/>
      <color rgb="FF286676"/>
      <sz val="15"/>
    </font>
    <font>
      <name val="Arial"/>
      <charset val="204"/>
      <family val="2"/>
      <b val="1"/>
      <color indexed="45"/>
      <sz val="13"/>
    </font>
    <font>
      <name val="Arial"/>
      <charset val="204"/>
      <family val="2"/>
      <b val="1"/>
      <color rgb="FF286676"/>
      <sz val="13"/>
    </font>
    <font>
      <name val="Arial"/>
      <charset val="204"/>
      <family val="2"/>
      <b val="1"/>
      <color indexed="45"/>
      <sz val="11"/>
    </font>
    <font>
      <name val="Arial"/>
      <charset val="204"/>
      <family val="2"/>
      <b val="1"/>
      <color rgb="FF286676"/>
      <sz val="11"/>
    </font>
    <font>
      <name val="Arial"/>
      <charset val="204"/>
      <family val="2"/>
      <b val="1"/>
      <color indexed="2"/>
      <sz val="11"/>
    </font>
    <font>
      <name val="Calibri"/>
      <charset val="204"/>
      <family val="2"/>
      <sz val="11"/>
    </font>
    <font>
      <name val="Calibri"/>
      <charset val="204"/>
      <family val="2"/>
      <color theme="1"/>
      <sz val="11"/>
    </font>
    <font>
      <name val="Arial"/>
      <charset val="204"/>
      <family val="2"/>
      <color indexed="65"/>
      <sz val="11"/>
    </font>
    <font>
      <name val="Times New Roman"/>
      <charset val="204"/>
      <family val="1"/>
      <sz val="12"/>
    </font>
    <font>
      <name val="Geneva"/>
      <sz val="10"/>
    </font>
    <font>
      <name val="Helv"/>
      <sz val="10"/>
    </font>
    <font>
      <name val="Times New Roman"/>
      <charset val="204"/>
      <family val="1"/>
      <sz val="10"/>
    </font>
    <font>
      <name val="新細明體"/>
      <sz val="12"/>
    </font>
    <font>
      <name val="Arial"/>
      <charset val="204"/>
      <family val="2"/>
      <sz val="11"/>
    </font>
    <font>
      <name val="Tahoma"/>
      <charset val="204"/>
      <family val="2"/>
      <color theme="1"/>
      <sz val="11"/>
    </font>
    <font>
      <name val="宋体"/>
      <sz val="11"/>
    </font>
    <font>
      <name val="Calibri"/>
      <charset val="204"/>
      <family val="2"/>
      <color theme="0"/>
      <sz val="11"/>
      <scheme val="minor"/>
    </font>
    <font>
      <name val="宋体"/>
      <color indexed="65"/>
      <sz val="11"/>
    </font>
    <font>
      <name val="Helv"/>
      <sz val="12"/>
    </font>
    <font>
      <name val="Tahoma"/>
      <charset val="204"/>
      <family val="2"/>
      <color theme="0"/>
      <sz val="11"/>
    </font>
    <font>
      <name val="±¼¸²Ã¼"/>
      <sz val="12"/>
    </font>
    <font>
      <name val="¹UAAA¼"/>
      <sz val="12"/>
    </font>
    <font>
      <name val="Arial"/>
      <charset val="204"/>
      <family val="2"/>
      <sz val="12"/>
    </font>
    <font>
      <name val="Arial"/>
      <charset val="204"/>
      <family val="2"/>
      <sz val="14"/>
    </font>
    <font>
      <name val="Tahoma"/>
      <charset val="204"/>
      <family val="2"/>
      <color rgb="FF9C0006"/>
      <sz val="11"/>
    </font>
    <font>
      <name val="Calibri"/>
      <charset val="204"/>
      <family val="2"/>
      <b val="1"/>
      <color indexed="65"/>
      <sz val="11"/>
    </font>
    <font>
      <name val="Arial MT"/>
      <sz val="10"/>
    </font>
    <font>
      <name val="Tms Rmn"/>
      <sz val="10"/>
    </font>
    <font>
      <name val="µ¸¿òÃ¼"/>
      <sz val="12"/>
    </font>
    <font>
      <name val="Calibri"/>
      <charset val="204"/>
      <family val="2"/>
      <b val="1"/>
      <color indexed="52"/>
      <sz val="11"/>
    </font>
    <font>
      <name val="Tahoma"/>
      <charset val="204"/>
      <family val="2"/>
      <b val="1"/>
      <color rgb="FFFA7D00"/>
      <sz val="11"/>
    </font>
    <font>
      <name val="Tahoma"/>
      <charset val="204"/>
      <family val="2"/>
      <b val="1"/>
      <color theme="0"/>
      <sz val="11"/>
    </font>
    <font>
      <name val="Times New Roman"/>
      <charset val="204"/>
      <family val="1"/>
      <color indexed="4"/>
      <sz val="10"/>
    </font>
    <font>
      <name val="Times New Roman"/>
      <charset val="204"/>
      <family val="1"/>
      <color indexed="3"/>
      <sz val="10"/>
    </font>
    <font>
      <name val="Times New Roman"/>
      <charset val="204"/>
      <family val="1"/>
      <color indexed="2"/>
      <sz val="10"/>
    </font>
    <font>
      <name val="Arial"/>
      <charset val="204"/>
      <family val="2"/>
      <b val="1"/>
      <sz val="8"/>
    </font>
    <font>
      <name val="Arial Narrow"/>
      <charset val="204"/>
      <family val="2"/>
      <color indexed="2"/>
      <sz val="10"/>
    </font>
    <font>
      <name val="宋体"/>
      <sz val="12"/>
    </font>
    <font>
      <name val="隸書"/>
      <sz val="11.5"/>
    </font>
    <font>
      <name val="MS Serif"/>
      <sz val="10"/>
    </font>
    <font>
      <name val="Tms Rmn"/>
      <sz val="12"/>
    </font>
    <font>
      <name val=".VnArial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65"/>
      <sz val="12"/>
    </font>
    <font>
      <name val="Arial"/>
      <charset val="204"/>
      <family val="2"/>
      <color indexed="22"/>
      <sz val="12"/>
    </font>
    <font>
      <name val="CG Times (E1)"/>
      <sz val="8"/>
    </font>
    <font>
      <name val="Times New Roman"/>
      <charset val="204"/>
      <family val="1"/>
      <sz val="8"/>
    </font>
    <font>
      <name val="Tms Rmn"/>
      <sz val="9"/>
    </font>
    <font>
      <name val="MS Serif"/>
      <color indexed="16"/>
      <sz val="10"/>
    </font>
    <font>
      <name val="Arial Narrow"/>
      <charset val="204"/>
      <family val="2"/>
      <i val="1"/>
      <sz val="8"/>
    </font>
    <font>
      <name val="Calibri"/>
      <charset val="204"/>
      <family val="2"/>
      <i val="1"/>
      <color indexed="23"/>
      <sz val="11"/>
    </font>
    <font>
      <name val="Tahoma"/>
      <charset val="204"/>
      <family val="2"/>
      <i val="1"/>
      <color rgb="FF7F7F7F"/>
      <sz val="11"/>
    </font>
    <font>
      <name val="Arial"/>
      <charset val="204"/>
      <family val="2"/>
      <color indexed="4"/>
      <sz val="9"/>
    </font>
    <font>
      <name val="Arial"/>
      <charset val="204"/>
      <family val="2"/>
      <b val="1"/>
      <color indexed="4"/>
      <sz val="8"/>
    </font>
    <font>
      <name val="Arial"/>
      <charset val="204"/>
      <family val="2"/>
      <sz val="10"/>
      <u val="single"/>
    </font>
    <font>
      <name val="0"/>
      <color indexed="4"/>
      <sz val="12"/>
    </font>
    <font>
      <name val="0"/>
      <color indexed="4"/>
      <sz val="10"/>
    </font>
    <font>
      <name val="TimesNewRomanPS"/>
      <sz val="10"/>
    </font>
    <font>
      <name val="Calibri"/>
      <charset val="204"/>
      <family val="2"/>
      <color indexed="17"/>
      <sz val="11"/>
    </font>
    <font>
      <name val="Tahoma"/>
      <charset val="204"/>
      <family val="2"/>
      <color rgb="FF006100"/>
      <sz val="11"/>
    </font>
    <font>
      <name val="隸書"/>
      <sz val="15.25"/>
    </font>
    <font>
      <name val="Arial"/>
      <charset val="204"/>
      <family val="2"/>
      <b val="1"/>
      <sz val="12"/>
    </font>
    <font>
      <name val="Tahoma"/>
      <charset val="204"/>
      <family val="2"/>
      <b val="1"/>
      <sz val="12"/>
    </font>
    <font>
      <name val="Arial"/>
      <charset val="204"/>
      <family val="2"/>
      <b val="1"/>
      <sz val="18"/>
    </font>
    <font>
      <name val="Tahoma"/>
      <charset val="204"/>
      <family val="2"/>
      <b val="1"/>
      <color theme="3"/>
      <sz val="15"/>
    </font>
    <font>
      <name val="Calibri"/>
      <charset val="204"/>
      <family val="2"/>
      <b val="1"/>
      <color indexed="56"/>
      <sz val="15"/>
    </font>
    <font>
      <name val="Tahoma"/>
      <charset val="204"/>
      <family val="2"/>
      <b val="1"/>
      <color theme="3"/>
      <sz val="13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Tahoma"/>
      <charset val="204"/>
      <family val="2"/>
      <b val="1"/>
      <color theme="3"/>
      <sz val="11"/>
    </font>
    <font>
      <name val="Arial"/>
      <charset val="204"/>
      <family val="2"/>
      <b val="1"/>
      <sz val="14"/>
    </font>
    <font>
      <name val="Arial"/>
      <charset val="204"/>
      <family val="2"/>
      <i val="1"/>
      <sz val="12"/>
    </font>
    <font>
      <name val="Arial"/>
      <charset val="204"/>
      <family val="2"/>
      <i val="1"/>
      <sz val="10"/>
    </font>
    <font>
      <name val="Calibri"/>
      <charset val="204"/>
      <family val="2"/>
      <color theme="10"/>
      <sz val="11"/>
      <u val="single"/>
    </font>
    <font>
      <name val="Arial"/>
      <charset val="204"/>
      <family val="2"/>
      <color indexed="4"/>
      <sz val="7.5"/>
      <u val="single"/>
    </font>
    <font>
      <name val="Arial Cyr"/>
      <sz val="10"/>
    </font>
    <font>
      <name val="Tahoma"/>
      <charset val="204"/>
      <family val="2"/>
      <sz val="10"/>
    </font>
    <font>
      <name val="Times New Roman"/>
      <charset val="204"/>
      <family val="1"/>
      <color indexed="4"/>
      <sz val="8"/>
    </font>
    <font>
      <name val="Calibri"/>
      <charset val="204"/>
      <family val="2"/>
      <color indexed="62"/>
      <sz val="11"/>
    </font>
    <font>
      <name val="Tahoma"/>
      <charset val="204"/>
      <family val="2"/>
      <color rgb="FF3F3F76"/>
      <sz val="11"/>
    </font>
    <font>
      <name val="Times New Roman"/>
      <charset val="204"/>
      <family val="1"/>
      <sz val="18"/>
    </font>
    <font>
      <name val="Times New Roman"/>
      <charset val="204"/>
      <family val="1"/>
      <b val="1"/>
      <sz val="13"/>
    </font>
    <font>
      <name val="Times New Roman"/>
      <charset val="204"/>
      <family val="1"/>
      <b val="1"/>
      <i val="1"/>
      <sz val="12"/>
    </font>
    <font>
      <name val="Times New Roman"/>
      <charset val="204"/>
      <family val="1"/>
      <i val="1"/>
      <sz val="12"/>
    </font>
    <font>
      <name val="Times New Roman"/>
      <charset val="204"/>
      <family val="1"/>
      <sz val="11"/>
    </font>
    <font>
      <name val="Arial"/>
      <charset val="204"/>
      <family val="2"/>
      <color indexed="4"/>
      <sz val="5"/>
      <u val="single"/>
    </font>
    <font>
      <name val="Calibri"/>
      <charset val="204"/>
      <family val="2"/>
      <color indexed="52"/>
      <sz val="11"/>
    </font>
    <font>
      <name val="Tahoma"/>
      <charset val="204"/>
      <family val="2"/>
      <color rgb="FFFA7D00"/>
      <sz val="11"/>
    </font>
    <font>
      <name val="Calibri"/>
      <charset val="204"/>
      <family val="2"/>
      <color indexed="60"/>
      <sz val="11"/>
    </font>
    <font>
      <name val="Tahoma"/>
      <charset val="204"/>
      <family val="2"/>
      <color rgb="FF9C5700"/>
      <sz val="11"/>
    </font>
    <font>
      <name val="Calibri"/>
      <charset val="204"/>
      <family val="2"/>
      <color rgb="FF9C6500"/>
      <sz val="11"/>
      <scheme val="minor"/>
    </font>
    <font>
      <name val="Small Fonts"/>
      <sz val="7"/>
    </font>
    <font>
      <name val="宋体"/>
      <color theme="1"/>
      <sz val="11"/>
    </font>
    <font>
      <name val="Helv"/>
      <b val="1"/>
      <i val="1"/>
      <sz val="16"/>
    </font>
    <font>
      <name val="Arial"/>
      <charset val="204"/>
      <family val="2"/>
      <color theme="1"/>
      <sz val="10"/>
    </font>
    <font>
      <name val="Tahoma"/>
      <charset val="204"/>
      <family val="2"/>
      <color theme="1"/>
      <sz val="10"/>
    </font>
    <font>
      <name val="Arial"/>
      <charset val="204"/>
      <family val="2"/>
      <color theme="1"/>
      <sz val="11"/>
    </font>
    <font>
      <name val="Arial"/>
      <charset val="204"/>
      <family val="2"/>
      <b val="1"/>
      <i val="1"/>
      <sz val="10"/>
    </font>
    <font>
      <name val="Calibri"/>
      <charset val="204"/>
      <family val="2"/>
      <b val="1"/>
      <color indexed="63"/>
      <sz val="11"/>
    </font>
    <font>
      <name val="Tahoma"/>
      <charset val="204"/>
      <family val="2"/>
      <b val="1"/>
      <color rgb="FF3F3F3F"/>
      <sz val="11"/>
    </font>
    <font>
      <name val="TimesET"/>
      <sz val="10"/>
    </font>
    <font>
      <name val="MS Sans Serif"/>
      <b val="1"/>
      <sz val="10"/>
    </font>
    <font>
      <name val="Arial"/>
      <charset val="204"/>
      <family val="2"/>
      <sz val="9"/>
    </font>
    <font>
      <name val="Arial"/>
      <charset val="204"/>
      <family val="2"/>
      <color indexed="4"/>
      <sz val="10"/>
    </font>
    <font>
      <name val="Arial"/>
      <charset val="204"/>
      <family val="2"/>
      <b val="1"/>
      <color indexed="23"/>
      <sz val="16"/>
    </font>
    <font>
      <name val="Arial"/>
      <charset val="204"/>
      <family val="2"/>
      <color indexed="2"/>
      <sz val="10"/>
    </font>
    <font>
      <name val="Arial"/>
      <charset val="204"/>
      <family val="2"/>
      <b val="1"/>
      <i val="1"/>
      <sz val="8"/>
    </font>
    <font>
      <name val="Arial Narrow"/>
      <charset val="204"/>
      <family val="2"/>
      <b val="1"/>
      <sz val="12"/>
      <u val="double"/>
    </font>
    <font>
      <name val="Arial"/>
      <charset val="204"/>
      <family val="2"/>
      <color indexed="20"/>
      <sz val="9"/>
    </font>
    <font>
      <name val="Arial"/>
      <charset val="204"/>
      <family val="2"/>
      <color indexed="48"/>
      <sz val="9"/>
    </font>
    <font>
      <name val="Arial"/>
      <charset val="204"/>
      <family val="2"/>
      <b val="1"/>
      <color indexed="20"/>
      <sz val="12"/>
    </font>
    <font>
      <name val="Arial"/>
      <charset val="204"/>
      <family val="2"/>
      <b val="1"/>
      <color indexed="20"/>
      <sz val="9"/>
    </font>
    <font>
      <name val="Tahoma"/>
      <charset val="204"/>
      <family val="2"/>
      <b val="1"/>
      <sz val="10"/>
    </font>
    <font>
      <name val="Arial"/>
      <charset val="204"/>
      <family val="2"/>
      <b val="1"/>
      <sz val="9"/>
    </font>
    <font>
      <name val="Times New Roman"/>
      <charset val="204"/>
      <family val="1"/>
      <b val="1"/>
      <sz val="11"/>
      <u val="single"/>
    </font>
    <font>
      <name val="Helv"/>
      <b val="1"/>
      <sz val="8"/>
    </font>
    <font>
      <name val="TimesET"/>
      <b val="1"/>
      <i val="1"/>
      <sz val="10"/>
    </font>
    <font>
      <name val="Univers (WN)"/>
      <b val="1"/>
      <sz val="12"/>
    </font>
    <font>
      <name val="Arial Narrow"/>
      <charset val="204"/>
      <family val="2"/>
      <sz val="10"/>
    </font>
    <font>
      <name val="Times New Roman"/>
      <charset val="204"/>
      <family val="1"/>
      <b val="1"/>
      <sz val="8"/>
    </font>
    <font>
      <name val="Cambria"/>
      <charset val="204"/>
      <family val="1"/>
      <b val="1"/>
      <color indexed="56"/>
      <sz val="18"/>
    </font>
    <font>
      <name val="Calibri Light"/>
      <charset val="204"/>
      <family val="2"/>
      <color theme="3"/>
      <sz val="18"/>
      <scheme val="major"/>
    </font>
    <font>
      <name val="Calibri Light"/>
      <charset val="204"/>
      <family val="2"/>
      <b val="1"/>
      <color theme="3"/>
      <sz val="18"/>
      <scheme val="major"/>
    </font>
    <font>
      <name val="Tahoma"/>
      <charset val="204"/>
      <family val="2"/>
      <b val="1"/>
      <color theme="1"/>
      <sz val="11"/>
    </font>
    <font>
      <name val="Calibri"/>
      <charset val="204"/>
      <family val="2"/>
      <b val="1"/>
      <sz val="11"/>
    </font>
    <font>
      <name val="Univers (E1)"/>
      <sz val="10"/>
    </font>
    <font>
      <name val="Tahoma"/>
      <charset val="204"/>
      <family val="2"/>
      <color indexed="2"/>
      <sz val="11"/>
    </font>
    <font>
      <name val="Times New Roman CE"/>
      <sz val="10"/>
    </font>
    <font>
      <name val="NTHelvetica/Cyrillic"/>
      <b val="1"/>
      <sz val="10"/>
    </font>
    <font>
      <name val="Calibri"/>
      <charset val="204"/>
      <family val="2"/>
      <color theme="1"/>
      <sz val="12"/>
      <scheme val="minor"/>
    </font>
    <font>
      <name val="Arial"/>
      <charset val="204"/>
      <family val="2"/>
      <color theme="1"/>
      <sz val="8"/>
    </font>
    <font>
      <name val=" "/>
      <sz val="10"/>
    </font>
    <font>
      <name val="뼻뮝"/>
      <sz val="14"/>
    </font>
    <font>
      <name val="바탕체"/>
      <sz val="12"/>
    </font>
    <font>
      <name val="뼻뮝"/>
      <sz val="12"/>
    </font>
    <font>
      <name val=".VnArial"/>
      <sz val="12"/>
    </font>
    <font>
      <name val=".VnTime"/>
      <sz val="12"/>
    </font>
    <font>
      <name val="굴림체"/>
      <sz val="10"/>
    </font>
    <font>
      <name val="Courier"/>
      <sz val="12"/>
    </font>
    <font>
      <name val="新細明體"/>
      <color indexed="20"/>
      <sz val="12"/>
      <u val="single"/>
    </font>
    <font>
      <name val="宋体"/>
      <color indexed="17"/>
      <sz val="11"/>
    </font>
    <font>
      <name val="Calibri"/>
      <charset val="204"/>
      <family val="2"/>
      <color rgb="FF006100"/>
      <sz val="11"/>
      <scheme val="minor"/>
    </font>
    <font>
      <name val="宋体"/>
      <color indexed="20"/>
      <sz val="11"/>
    </font>
    <font>
      <name val="Calibri"/>
      <charset val="204"/>
      <family val="2"/>
      <color rgb="FF9C0006"/>
      <sz val="11"/>
      <scheme val="minor"/>
    </font>
    <font>
      <name val="宋体"/>
      <sz val="10"/>
    </font>
    <font>
      <name val="Arial Narrow"/>
      <charset val="204"/>
      <family val="2"/>
      <color indexed="4"/>
      <sz val="11"/>
    </font>
    <font>
      <name val="宋体"/>
      <b val="1"/>
      <color indexed="56"/>
      <sz val="15"/>
    </font>
    <font>
      <name val="宋体"/>
      <b val="1"/>
      <color indexed="56"/>
      <sz val="13"/>
    </font>
    <font>
      <name val="宋体"/>
      <b val="1"/>
      <color indexed="56"/>
      <sz val="11"/>
    </font>
    <font>
      <name val="宋体"/>
      <b val="1"/>
      <color indexed="56"/>
      <sz val="18"/>
    </font>
    <font>
      <name val="宋体"/>
      <b val="1"/>
      <color indexed="65"/>
      <sz val="11"/>
    </font>
    <font>
      <name val="宋体"/>
      <b val="1"/>
      <sz val="11"/>
    </font>
    <font>
      <name val="宋体"/>
      <i val="1"/>
      <color indexed="23"/>
      <sz val="11"/>
    </font>
    <font>
      <name val="宋体"/>
      <color indexed="2"/>
      <sz val="11"/>
    </font>
    <font>
      <name val="宋体"/>
      <b val="1"/>
      <color indexed="52"/>
      <sz val="11"/>
    </font>
    <font>
      <name val="新細明體"/>
      <color indexed="4"/>
      <sz val="12"/>
      <u val="single"/>
    </font>
    <font>
      <name val="宋体"/>
      <color indexed="4"/>
      <sz val="12"/>
      <u val="single"/>
    </font>
    <font>
      <name val="宋体"/>
      <color indexed="62"/>
      <sz val="11"/>
    </font>
    <font>
      <name val="宋体"/>
      <b val="1"/>
      <color indexed="63"/>
      <sz val="11"/>
    </font>
    <font>
      <name val="宋体"/>
      <color indexed="60"/>
      <sz val="11"/>
    </font>
    <font>
      <name val="宋体"/>
      <color indexed="52"/>
      <sz val="11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indexed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222222"/>
      <sz val="11"/>
      <scheme val="minor"/>
    </font>
    <font>
      <name val="Calibri"/>
      <charset val="204"/>
      <family val="2"/>
      <b val="1"/>
      <sz val="11"/>
      <scheme val="minor"/>
    </font>
    <font>
      <name val="Calibri"/>
      <charset val="204"/>
      <family val="2"/>
      <b val="1"/>
      <color rgb="FF222222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sz val="8"/>
      <scheme val="minor"/>
    </font>
  </fonts>
  <fills count="123">
    <fill>
      <patternFill/>
    </fill>
    <fill>
      <patternFill patternType="gray125"/>
    </fill>
    <fill>
      <patternFill patternType="solid">
        <fgColor indexed="7"/>
        <bgColor indexed="7"/>
      </patternFill>
    </fill>
    <fill>
      <patternFill patternType="solid">
        <fgColor rgb="FFDD9CB3"/>
        <bgColor rgb="FFDD9CB3"/>
      </patternFill>
    </fill>
    <fill>
      <patternFill patternType="solid">
        <fgColor indexed="65"/>
      </patternFill>
    </fill>
    <fill>
      <patternFill patternType="solid">
        <fgColor indexed="29"/>
        <bgColor indexed="29"/>
      </patternFill>
    </fill>
    <fill>
      <patternFill patternType="solid">
        <fgColor indexed="51"/>
        <bgColor indexed="51"/>
      </patternFill>
    </fill>
    <fill>
      <patternFill patternType="solid">
        <fgColor rgb="FFC0DCC0"/>
        <bgColor rgb="FFC0DCC0"/>
      </patternFill>
    </fill>
    <fill>
      <patternFill patternType="solid">
        <fgColor indexed="26"/>
        <bgColor indexed="26"/>
      </patternFill>
    </fill>
    <fill>
      <patternFill patternType="solid">
        <fgColor rgb="FFFFFFC0"/>
        <bgColor rgb="FFFFFFC0"/>
      </patternFill>
    </fill>
    <fill>
      <patternFill patternType="solid">
        <fgColor indexed="25"/>
        <bgColor indexed="25"/>
      </patternFill>
    </fill>
    <fill>
      <patternFill patternType="solid">
        <fgColor rgb="FFA0A0A4"/>
        <bgColor rgb="FFA0A0A4"/>
      </patternFill>
    </fill>
    <fill>
      <patternFill patternType="solid">
        <fgColor indexed="21"/>
        <bgColor indexed="21"/>
      </patternFill>
    </fill>
    <fill>
      <patternFill patternType="solid">
        <fgColor rgb="FF3FB8CD"/>
        <bgColor rgb="FF3FB8CD"/>
      </patternFill>
    </fill>
    <fill>
      <patternFill patternType="solid">
        <fgColor indexed="63"/>
        <bgColor indexed="63"/>
      </patternFill>
    </fill>
    <fill>
      <patternFill patternType="solid">
        <fgColor rgb="FFD9853E"/>
        <bgColor rgb="FFD9853E"/>
      </patternFill>
    </fill>
    <fill>
      <patternFill patternType="solid">
        <fgColor indexed="40"/>
        <bgColor indexed="40"/>
      </patternFill>
    </fill>
    <fill>
      <patternFill patternType="solid">
        <fgColor rgb="FF958C41"/>
        <bgColor rgb="FF958C41"/>
      </patternFill>
    </fill>
    <fill>
      <patternFill patternType="solid">
        <fgColor indexed="43"/>
        <bgColor indexed="43"/>
      </patternFill>
    </fill>
    <fill>
      <patternFill patternType="solid">
        <fgColor rgb="FF624FAC"/>
        <bgColor rgb="FF624FAC"/>
      </patternFill>
    </fill>
    <fill>
      <patternFill patternType="solid">
        <fgColor indexed="22"/>
        <bgColor indexed="22"/>
      </patternFill>
    </fill>
    <fill>
      <patternFill patternType="solid">
        <fgColor indexed="52"/>
        <bgColor indexed="52"/>
      </patternFill>
    </fill>
    <fill>
      <patternFill patternType="solid">
        <fgColor rgb="FFA6CAF0"/>
        <bgColor rgb="FFA6CAF0"/>
      </patternFill>
    </fill>
    <fill>
      <patternFill patternType="solid">
        <fgColor indexed="27"/>
        <bgColor indexed="27"/>
      </patternFill>
    </fill>
    <fill>
      <patternFill patternType="solid">
        <fgColor rgb="FFA0E0E0"/>
        <bgColor rgb="FFA0E0E0"/>
      </patternFill>
    </fill>
    <fill>
      <patternFill patternType="solid">
        <fgColor indexed="60"/>
        <bgColor indexed="60"/>
      </patternFill>
    </fill>
    <fill>
      <patternFill patternType="solid">
        <fgColor rgb="FFFFFBF0"/>
        <bgColor rgb="FFFFFBF0"/>
      </patternFill>
    </fill>
    <fill>
      <patternFill patternType="solid">
        <fgColor theme="4" tint="0.7999816888943144"/>
        <bgColor indexed="65"/>
      </patternFill>
    </fill>
    <fill>
      <patternFill patternType="solid">
        <fgColor indexed="31"/>
        <bgColor indexed="31"/>
      </patternFill>
    </fill>
    <fill>
      <patternFill patternType="solid">
        <fgColor theme="5" tint="0.7999816888943144"/>
        <bgColor indexed="65"/>
      </patternFill>
    </fill>
    <fill>
      <patternFill patternType="solid">
        <fgColor indexed="45"/>
        <bgColor indexed="45"/>
      </patternFill>
    </fill>
    <fill>
      <patternFill patternType="solid">
        <fgColor theme="6" tint="0.7999816888943144"/>
        <bgColor indexed="65"/>
      </patternFill>
    </fill>
    <fill>
      <patternFill patternType="solid">
        <fgColor indexed="42"/>
        <bgColor indexed="42"/>
      </patternFill>
    </fill>
    <fill>
      <patternFill patternType="solid">
        <fgColor theme="7" tint="0.7999816888943144"/>
        <bgColor indexed="65"/>
      </patternFill>
    </fill>
    <fill>
      <patternFill patternType="solid">
        <fgColor indexed="46"/>
        <bgColor indexed="46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indexed="47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theme="4" tint="0.5999938962981048"/>
        <bgColor indexed="65"/>
      </patternFill>
    </fill>
    <fill>
      <patternFill patternType="solid">
        <fgColor indexed="44"/>
        <bgColor indexed="44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indexed="3"/>
        <bgColor indexed="3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indexed="30"/>
        <bgColor indexed="30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indexed="20"/>
        <bgColor indexed="20"/>
      </patternFill>
    </fill>
    <fill>
      <patternFill patternType="solid">
        <fgColor theme="7" tint="0.3999755851924192"/>
        <bgColor indexed="65"/>
      </patternFill>
    </fill>
    <fill>
      <patternFill patternType="solid">
        <fgColor indexed="49"/>
        <bgColor indexed="49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62"/>
        <bgColor indexed="62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indexed="2"/>
        <bgColor indexed="2"/>
      </patternFill>
    </fill>
    <fill>
      <patternFill patternType="solid">
        <fgColor indexed="57"/>
        <bgColor indexed="57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indexed="53"/>
        <bgColor indexed="53"/>
      </patternFill>
    </fill>
    <fill>
      <patternFill patternType="solid">
        <fgColor theme="9"/>
        <bgColor theme="9"/>
      </patternFill>
    </fill>
    <fill>
      <patternFill patternType="solid">
        <fgColor rgb="FFFFC7CE"/>
        <bgColor rgb="FFFFC7CE"/>
      </patternFill>
    </fill>
    <fill>
      <patternFill patternType="solid">
        <fgColor rgb="FF4F81BD"/>
        <bgColor rgb="FF4F81BD"/>
      </patternFill>
    </fill>
    <fill>
      <patternFill patternType="solid">
        <fgColor rgb="FFF2F2F2"/>
        <bgColor rgb="FFF2F2F2"/>
      </patternFill>
    </fill>
    <fill>
      <patternFill patternType="solid">
        <fgColor indexed="55"/>
        <bgColor indexed="55"/>
      </patternFill>
    </fill>
    <fill>
      <patternFill patternType="solid">
        <fgColor rgb="FFA5A5A5"/>
        <bgColor rgb="FFA5A5A5"/>
      </patternFill>
    </fill>
    <fill>
      <patternFill patternType="solid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mediumGray">
        <fgColor indexed="22"/>
        <bgColor indexed="22"/>
      </patternFill>
    </fill>
    <fill>
      <patternFill patternType="solid">
        <fgColor indexed="50"/>
        <bgColor indexed="50"/>
      </patternFill>
    </fill>
    <fill>
      <patternFill patternType="lightUp">
        <fgColor indexed="22"/>
        <bgColor indexed="7"/>
      </patternFill>
    </fill>
    <fill>
      <patternFill patternType="solid">
        <fgColor indexed="54"/>
        <bgColor indexed="54"/>
      </patternFill>
    </fill>
    <fill>
      <patternFill patternType="solid">
        <fgColor indexed="6"/>
        <bgColor indexed="6"/>
      </patternFill>
    </fill>
    <fill>
      <patternFill patternType="solid">
        <fgColor indexed="5"/>
        <bgColor indexed="5"/>
      </patternFill>
    </fill>
    <fill>
      <patternFill patternType="gray0625"/>
    </fill>
    <fill>
      <patternFill patternType="solid">
        <fgColor rgb="FF00B050"/>
        <bgColor rgb="FF00B050"/>
      </patternFill>
    </fill>
    <fill>
      <patternFill patternType="solid">
        <fgColor rgb="FF00B0F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5" tint="0.7999816888943144"/>
        <bgColor indexed="5"/>
      </patternFill>
    </fill>
    <fill>
      <patternFill patternType="solid">
        <fgColor theme="9" tint="0.5999938962981048"/>
        <bgColor indexed="5"/>
      </patternFill>
    </fill>
    <fill>
      <patternFill patternType="solid">
        <fgColor theme="4" tint="0.5999938962981048"/>
        <bgColor indexed="5"/>
      </patternFill>
    </fill>
    <fill>
      <patternFill patternType="solid">
        <fgColor theme="7" tint="0.5999938962981048"/>
        <bgColor indexed="5"/>
      </patternFill>
    </fill>
    <fill>
      <patternFill patternType="solid">
        <fgColor theme="0"/>
        <bgColor indexed="5"/>
      </patternFill>
    </fill>
    <fill>
      <patternFill patternType="solid">
        <fgColor theme="5" tint="0.5999938962981048"/>
        <bgColor theme="5" tint="0.5999938962981048"/>
      </patternFill>
    </fill>
    <fill>
      <patternFill patternType="solid">
        <fgColor theme="5" tint="0.3999755851924192"/>
        <bgColor theme="9" tint="0.7999816888943144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theme="5" tint="0.5999938962981048"/>
      </patternFill>
    </fill>
    <fill>
      <patternFill patternType="solid">
        <fgColor rgb="FF92D050"/>
        <bgColor theme="9" tint="0.7999816888943144"/>
      </patternFill>
    </fill>
    <fill>
      <patternFill patternType="solid">
        <fgColor rgb="FF00B0F0"/>
        <bgColor theme="5" tint="0.5999938962981048"/>
      </patternFill>
    </fill>
    <fill>
      <patternFill patternType="solid">
        <fgColor rgb="FF00B0F0"/>
        <bgColor theme="9" tint="0.7999816888943144"/>
      </patternFill>
    </fill>
    <fill>
      <patternFill patternType="solid">
        <fgColor indexed="5"/>
        <bgColor theme="5" tint="0.5999938962981048"/>
      </patternFill>
    </fill>
    <fill>
      <patternFill patternType="solid">
        <fgColor indexed="5"/>
        <bgColor theme="9" tint="0.799981688894314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8" tint="0.5999938962981048"/>
        <bgColor theme="4" tint="0.7999816888943144"/>
      </patternFill>
    </fill>
    <fill>
      <patternFill patternType="solid">
        <fgColor theme="4" tint="0.7999816888943144"/>
        <bgColor theme="0" tint="-0.249977111117893"/>
      </patternFill>
    </fill>
    <fill>
      <patternFill patternType="solid">
        <fgColor theme="0"/>
        <bgColor theme="0" tint="-0.249977111117893"/>
      </patternFill>
    </fill>
    <fill>
      <patternFill patternType="solid">
        <fgColor theme="8" tint="0.5999938962981048"/>
        <bgColor theme="0" tint="-0.249977111117893"/>
      </patternFill>
    </fill>
    <fill>
      <patternFill patternType="solid">
        <fgColor rgb="FF7030A0"/>
        <bgColor theme="0" tint="-0.249977111117893"/>
      </patternFill>
    </fill>
    <fill>
      <patternFill patternType="solid">
        <fgColor theme="0"/>
        <bgColor rgb="FF92D050"/>
      </patternFill>
    </fill>
    <fill>
      <patternFill patternType="solid">
        <fgColor theme="7" tint="0.7999816888943144"/>
        <bgColor theme="4" tint="0.5999938962981048"/>
      </patternFill>
    </fill>
    <fill>
      <patternFill patternType="solid">
        <fgColor theme="7" tint="0.7999816888943144"/>
        <bgColor theme="0" tint="-0.249977111117893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/>
        <bgColor theme="0"/>
      </patternFill>
    </fill>
    <fill>
      <patternFill patternType="solid">
        <fgColor indexed="5"/>
        <bgColor rgb="FF92D050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92D050"/>
        <bgColor indexed="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theme="4" tint="0.5999938962981048"/>
      </patternFill>
    </fill>
    <fill>
      <patternFill patternType="solid">
        <fgColor theme="0" tint="-0.499984740745262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rgb="FF3FB8CD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rgb="FFA0E0E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rgb="FFA0E0E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/>
      <right/>
      <top style="thin">
        <color rgb="FF3FB8CD"/>
      </top>
      <bottom style="double">
        <color rgb="FF3FB8CD"/>
      </bottom>
      <diagonal/>
    </border>
    <border>
      <left/>
      <right/>
      <top/>
      <bottom style="double">
        <color indexed="2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1650">
    <xf numFmtId="0" fontId="0" fillId="0" borderId="0"/>
    <xf numFmtId="0" fontId="3" fillId="0" borderId="0"/>
    <xf numFmtId="0" fontId="3" fillId="0" borderId="0"/>
    <xf numFmtId="0" fontId="3" fillId="0" borderId="0"/>
    <xf numFmtId="167" fontId="4" fillId="0" borderId="0" applyProtection="1">
      <protection locked="0" hidden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5" fillId="0" borderId="0"/>
    <xf numFmtId="41" fontId="3" fillId="0" borderId="0" applyAlignment="1">
      <alignment vertical="center"/>
    </xf>
    <xf numFmtId="0" fontId="6" fillId="0" borderId="1"/>
    <xf numFmtId="0" fontId="7" fillId="0" borderId="2"/>
    <xf numFmtId="0" fontId="6" fillId="0" borderId="1"/>
    <xf numFmtId="0" fontId="6" fillId="0" borderId="1"/>
    <xf numFmtId="0" fontId="6" fillId="0" borderId="1"/>
    <xf numFmtId="0" fontId="8" fillId="2" borderId="0"/>
    <xf numFmtId="0" fontId="8" fillId="3" borderId="0"/>
    <xf numFmtId="0" fontId="8" fillId="2" borderId="0"/>
    <xf numFmtId="0" fontId="8" fillId="3" borderId="0"/>
    <xf numFmtId="0" fontId="8" fillId="2" borderId="0"/>
    <xf numFmtId="0" fontId="8" fillId="3" borderId="0"/>
    <xf numFmtId="0" fontId="8" fillId="2" borderId="0"/>
    <xf numFmtId="0" fontId="8" fillId="2" borderId="0"/>
    <xf numFmtId="0" fontId="8" fillId="2" borderId="0"/>
    <xf numFmtId="0" fontId="8" fillId="2" borderId="0"/>
    <xf numFmtId="0" fontId="8" fillId="2" borderId="0"/>
    <xf numFmtId="0" fontId="8" fillId="3" borderId="0"/>
    <xf numFmtId="0" fontId="8" fillId="3" borderId="0"/>
    <xf numFmtId="0" fontId="8" fillId="3" borderId="0"/>
    <xf numFmtId="0" fontId="8" fillId="3" borderId="0"/>
    <xf numFmtId="0" fontId="8" fillId="2" borderId="0"/>
    <xf numFmtId="168" fontId="5" fillId="0" borderId="0"/>
    <xf numFmtId="0" fontId="9" fillId="0" borderId="3"/>
    <xf numFmtId="0" fontId="10" fillId="0" borderId="4"/>
    <xf numFmtId="0" fontId="9" fillId="0" borderId="3"/>
    <xf numFmtId="0" fontId="9" fillId="0" borderId="3"/>
    <xf numFmtId="0" fontId="9" fillId="0" borderId="3"/>
    <xf numFmtId="0" fontId="8" fillId="3" borderId="0"/>
    <xf numFmtId="0" fontId="8" fillId="3" borderId="0"/>
    <xf numFmtId="0" fontId="8" fillId="3" borderId="0"/>
    <xf numFmtId="0" fontId="8" fillId="3" borderId="0"/>
    <xf numFmtId="0" fontId="8" fillId="2" borderId="0"/>
    <xf numFmtId="0" fontId="8" fillId="2" borderId="0"/>
    <xf numFmtId="0" fontId="8" fillId="2" borderId="0"/>
    <xf numFmtId="0" fontId="8" fillId="2" borderId="0"/>
    <xf numFmtId="0" fontId="8" fillId="2" borderId="0"/>
    <xf numFmtId="168" fontId="5" fillId="0" borderId="0"/>
    <xf numFmtId="0" fontId="11" fillId="0" borderId="5"/>
    <xf numFmtId="0" fontId="12" fillId="0" borderId="6"/>
    <xf numFmtId="0" fontId="11" fillId="0" borderId="5"/>
    <xf numFmtId="0" fontId="11" fillId="0" borderId="5"/>
    <xf numFmtId="0" fontId="11" fillId="0" borderId="5"/>
    <xf numFmtId="0" fontId="8" fillId="3" borderId="0"/>
    <xf numFmtId="0" fontId="8" fillId="2" borderId="0"/>
    <xf numFmtId="0" fontId="8" fillId="2" borderId="0"/>
    <xf numFmtId="0" fontId="8" fillId="2" borderId="0"/>
    <xf numFmtId="0" fontId="13" fillId="4" borderId="7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8"/>
    <xf numFmtId="0" fontId="13" fillId="4" borderId="8"/>
    <xf numFmtId="0" fontId="13" fillId="4" borderId="7"/>
    <xf numFmtId="0" fontId="13" fillId="4" borderId="7"/>
    <xf numFmtId="0" fontId="13" fillId="4" borderId="8"/>
    <xf numFmtId="0" fontId="13" fillId="4" borderId="8"/>
    <xf numFmtId="0" fontId="13" fillId="4" borderId="7"/>
    <xf numFmtId="0" fontId="13" fillId="4" borderId="8"/>
    <xf numFmtId="0" fontId="13" fillId="4" borderId="8"/>
    <xf numFmtId="0" fontId="13" fillId="4" borderId="7"/>
    <xf numFmtId="0" fontId="13" fillId="4" borderId="8"/>
    <xf numFmtId="0" fontId="13" fillId="4" borderId="8"/>
    <xf numFmtId="0" fontId="13" fillId="4" borderId="8"/>
    <xf numFmtId="0" fontId="13" fillId="4" borderId="8"/>
    <xf numFmtId="0" fontId="13" fillId="4" borderId="8"/>
    <xf numFmtId="0" fontId="13" fillId="4" borderId="8"/>
    <xf numFmtId="0" fontId="13" fillId="4" borderId="7"/>
    <xf numFmtId="0" fontId="13" fillId="4" borderId="7"/>
    <xf numFmtId="0" fontId="13" fillId="4" borderId="7"/>
    <xf numFmtId="0" fontId="13" fillId="4" borderId="8"/>
    <xf numFmtId="0" fontId="13" fillId="4" borderId="7"/>
    <xf numFmtId="0" fontId="13" fillId="4" borderId="7"/>
    <xf numFmtId="0" fontId="13" fillId="4" borderId="7"/>
    <xf numFmtId="0" fontId="13" fillId="4" borderId="8"/>
    <xf numFmtId="0" fontId="13" fillId="4" borderId="8"/>
    <xf numFmtId="0" fontId="13" fillId="4" borderId="8"/>
    <xf numFmtId="0" fontId="13" fillId="4" borderId="8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8"/>
    <xf numFmtId="0" fontId="13" fillId="4" borderId="8"/>
    <xf numFmtId="0" fontId="13" fillId="4" borderId="7"/>
    <xf numFmtId="0" fontId="13" fillId="4" borderId="8"/>
    <xf numFmtId="0" fontId="13" fillId="4" borderId="8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8"/>
    <xf numFmtId="0" fontId="13" fillId="4" borderId="8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8" fillId="2" borderId="0"/>
    <xf numFmtId="0" fontId="8" fillId="3" borderId="0"/>
    <xf numFmtId="0" fontId="8" fillId="2" borderId="0"/>
    <xf numFmtId="0" fontId="8" fillId="2" borderId="0"/>
    <xf numFmtId="0" fontId="8" fillId="3" borderId="0"/>
    <xf numFmtId="0" fontId="8" fillId="2" borderId="0"/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5" fillId="5" borderId="8" applyAlignment="1">
      <alignment vertical="center"/>
    </xf>
    <xf numFmtId="0" fontId="15" fillId="5" borderId="8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5" fillId="5" borderId="8" applyAlignment="1">
      <alignment vertical="center"/>
    </xf>
    <xf numFmtId="0" fontId="15" fillId="5" borderId="8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5" fillId="5" borderId="8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5" fillId="5" borderId="8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8" fillId="2" borderId="0"/>
    <xf numFmtId="0" fontId="8" fillId="3" borderId="0"/>
    <xf numFmtId="0" fontId="8" fillId="2" borderId="0"/>
    <xf numFmtId="0" fontId="8" fillId="2" borderId="0"/>
    <xf numFmtId="0" fontId="8" fillId="3" borderId="0"/>
    <xf numFmtId="0" fontId="8" fillId="2" borderId="0"/>
    <xf numFmtId="0" fontId="8" fillId="3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6" borderId="0" applyAlignment="1">
      <alignment vertical="center"/>
    </xf>
    <xf numFmtId="0" fontId="18" fillId="7" borderId="0" applyAlignment="1">
      <alignment vertical="center"/>
    </xf>
    <xf numFmtId="0" fontId="18" fillId="6" borderId="0" applyAlignment="1">
      <alignment vertical="center"/>
    </xf>
    <xf numFmtId="0" fontId="18" fillId="6" borderId="0" applyAlignment="1">
      <alignment vertical="center"/>
    </xf>
    <xf numFmtId="0" fontId="18" fillId="6" borderId="0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10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10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20" fillId="2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3" fillId="8" borderId="8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4" fillId="8" borderId="0" applyAlignment="1">
      <alignment vertical="center"/>
    </xf>
    <xf numFmtId="0" fontId="24" fillId="8" borderId="0" applyAlignment="1">
      <alignment vertical="center"/>
    </xf>
    <xf numFmtId="0" fontId="24" fillId="8" borderId="0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8" fillId="0" borderId="0" applyAlignment="1">
      <alignment horizontal="left"/>
    </xf>
    <xf numFmtId="0" fontId="28" fillId="0" borderId="0" applyAlignment="1">
      <alignment horizontal="left"/>
    </xf>
    <xf numFmtId="0" fontId="28" fillId="0" borderId="0" applyAlignment="1">
      <alignment horizontal="left"/>
    </xf>
    <xf numFmtId="0" fontId="28" fillId="0" borderId="0" applyAlignment="1">
      <alignment horizontal="left"/>
    </xf>
    <xf numFmtId="0" fontId="28" fillId="0" borderId="0" applyAlignment="1">
      <alignment horizontal="left"/>
    </xf>
    <xf numFmtId="0" fontId="20" fillId="2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29" fillId="0" borderId="0" applyAlignment="1">
      <alignment vertical="center"/>
    </xf>
    <xf numFmtId="0" fontId="29" fillId="0" borderId="0" applyAlignment="1">
      <alignment vertical="center"/>
    </xf>
    <xf numFmtId="0" fontId="29" fillId="0" borderId="0" applyAlignment="1">
      <alignment vertical="center"/>
    </xf>
    <xf numFmtId="0" fontId="31" fillId="10" borderId="12" applyAlignment="1">
      <alignment vertical="center"/>
    </xf>
    <xf numFmtId="0" fontId="31" fillId="11" borderId="12" applyAlignment="1">
      <alignment vertical="center"/>
    </xf>
    <xf numFmtId="0" fontId="31" fillId="10" borderId="12" applyAlignment="1">
      <alignment vertical="center"/>
    </xf>
    <xf numFmtId="0" fontId="31" fillId="10" borderId="12" applyAlignment="1">
      <alignment vertical="center"/>
    </xf>
    <xf numFmtId="0" fontId="31" fillId="11" borderId="12" applyAlignment="1">
      <alignment vertical="center"/>
    </xf>
    <xf numFmtId="0" fontId="31" fillId="10" borderId="12" applyAlignment="1">
      <alignment vertical="center"/>
    </xf>
    <xf numFmtId="0" fontId="32" fillId="12" borderId="0"/>
    <xf numFmtId="0" fontId="32" fillId="13" borderId="0"/>
    <xf numFmtId="0" fontId="32" fillId="12" borderId="0"/>
    <xf numFmtId="0" fontId="32" fillId="12" borderId="0"/>
    <xf numFmtId="0" fontId="32" fillId="12" borderId="0"/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32" fillId="14" borderId="0"/>
    <xf numFmtId="0" fontId="32" fillId="15" borderId="0"/>
    <xf numFmtId="0" fontId="32" fillId="14" borderId="0"/>
    <xf numFmtId="0" fontId="32" fillId="14" borderId="0"/>
    <xf numFmtId="0" fontId="32" fillId="14" borderId="0"/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32" fillId="16" borderId="0"/>
    <xf numFmtId="0" fontId="32" fillId="17" borderId="0"/>
    <xf numFmtId="0" fontId="32" fillId="16" borderId="0"/>
    <xf numFmtId="0" fontId="32" fillId="16" borderId="0"/>
    <xf numFmtId="0" fontId="32" fillId="16" borderId="0"/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32" fillId="18" borderId="0"/>
    <xf numFmtId="0" fontId="32" fillId="19" borderId="0"/>
    <xf numFmtId="0" fontId="32" fillId="18" borderId="0"/>
    <xf numFmtId="0" fontId="32" fillId="18" borderId="0"/>
    <xf numFmtId="0" fontId="32" fillId="18" borderId="0"/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32" fillId="12" borderId="0"/>
    <xf numFmtId="0" fontId="32" fillId="13" borderId="0"/>
    <xf numFmtId="0" fontId="32" fillId="12" borderId="0"/>
    <xf numFmtId="0" fontId="32" fillId="12" borderId="0"/>
    <xf numFmtId="0" fontId="32" fillId="12" borderId="0"/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32" fillId="14" borderId="0"/>
    <xf numFmtId="0" fontId="32" fillId="15" borderId="0"/>
    <xf numFmtId="0" fontId="32" fillId="14" borderId="0"/>
    <xf numFmtId="0" fontId="32" fillId="14" borderId="0"/>
    <xf numFmtId="0" fontId="32" fillId="14" borderId="0"/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33" fillId="0" borderId="0" applyAlignment="1">
      <alignment horizontal="left"/>
    </xf>
    <xf numFmtId="0" fontId="33" fillId="0" borderId="0" applyAlignment="1">
      <alignment horizontal="left"/>
    </xf>
    <xf numFmtId="0" fontId="33" fillId="0" borderId="0" applyAlignment="1">
      <alignment horizontal="left"/>
    </xf>
    <xf numFmtId="0" fontId="33" fillId="0" borderId="0" applyAlignment="1">
      <alignment horizontal="left"/>
    </xf>
    <xf numFmtId="0" fontId="33" fillId="0" borderId="0" applyAlignment="1">
      <alignment horizontal="left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34" fillId="0" borderId="0" applyAlignment="1" applyProtection="1">
      <alignment vertical="top"/>
      <protection locked="0" hidden="0"/>
    </xf>
    <xf numFmtId="0" fontId="35" fillId="0" borderId="0" applyAlignment="1" applyProtection="1">
      <alignment vertical="top"/>
      <protection locked="0" hidden="0"/>
    </xf>
    <xf numFmtId="0" fontId="34" fillId="0" borderId="0" applyAlignment="1" applyProtection="1">
      <alignment vertical="top"/>
      <protection locked="0" hidden="0"/>
    </xf>
    <xf numFmtId="0" fontId="3" fillId="0" borderId="0"/>
    <xf numFmtId="0" fontId="35" fillId="0" borderId="0" applyAlignment="1" applyProtection="1">
      <alignment vertical="top"/>
      <protection locked="0" hidden="0"/>
    </xf>
    <xf numFmtId="0" fontId="36" fillId="0" borderId="1" applyAlignment="1">
      <alignment vertical="center"/>
    </xf>
    <xf numFmtId="0" fontId="37" fillId="0" borderId="2" applyAlignment="1">
      <alignment vertical="center"/>
    </xf>
    <xf numFmtId="0" fontId="36" fillId="0" borderId="1" applyAlignment="1">
      <alignment vertical="center"/>
    </xf>
    <xf numFmtId="0" fontId="36" fillId="0" borderId="1" applyAlignment="1">
      <alignment vertical="center"/>
    </xf>
    <xf numFmtId="0" fontId="36" fillId="0" borderId="1" applyAlignment="1">
      <alignment vertical="center"/>
    </xf>
    <xf numFmtId="0" fontId="38" fillId="0" borderId="3" applyAlignment="1">
      <alignment vertical="center"/>
    </xf>
    <xf numFmtId="0" fontId="39" fillId="0" borderId="4" applyAlignment="1">
      <alignment vertical="center"/>
    </xf>
    <xf numFmtId="0" fontId="38" fillId="0" borderId="3" applyAlignment="1">
      <alignment vertical="center"/>
    </xf>
    <xf numFmtId="0" fontId="38" fillId="0" borderId="3" applyAlignment="1">
      <alignment vertical="center"/>
    </xf>
    <xf numFmtId="0" fontId="38" fillId="0" borderId="3" applyAlignment="1">
      <alignment vertical="center"/>
    </xf>
    <xf numFmtId="0" fontId="40" fillId="0" borderId="5" applyAlignment="1">
      <alignment vertical="center"/>
    </xf>
    <xf numFmtId="0" fontId="41" fillId="0" borderId="6" applyAlignment="1">
      <alignment vertical="center"/>
    </xf>
    <xf numFmtId="0" fontId="40" fillId="0" borderId="5" applyAlignment="1">
      <alignment vertical="center"/>
    </xf>
    <xf numFmtId="0" fontId="40" fillId="0" borderId="5" applyAlignment="1">
      <alignment vertical="center"/>
    </xf>
    <xf numFmtId="0" fontId="40" fillId="0" borderId="5" applyAlignment="1">
      <alignment vertical="center"/>
    </xf>
    <xf numFmtId="0" fontId="40" fillId="0" borderId="0" applyAlignment="1">
      <alignment vertical="center"/>
    </xf>
    <xf numFmtId="0" fontId="4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8" applyAlignment="1">
      <alignment vertical="center"/>
    </xf>
    <xf numFmtId="0" fontId="42" fillId="4" borderId="8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8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8" applyAlignment="1">
      <alignment vertical="center"/>
    </xf>
    <xf numFmtId="0" fontId="35" fillId="0" borderId="0" applyAlignment="1" applyProtection="1">
      <alignment vertical="top"/>
      <protection locked="0" hidden="0"/>
    </xf>
    <xf numFmtId="0" fontId="35" fillId="0" borderId="0" applyAlignment="1" applyProtection="1">
      <alignment vertical="top"/>
      <protection locked="0" hidden="0"/>
    </xf>
    <xf numFmtId="0" fontId="35" fillId="0" borderId="0" applyAlignment="1" applyProtection="1">
      <alignment vertical="top"/>
      <protection locked="0" hidden="0"/>
    </xf>
    <xf numFmtId="0" fontId="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38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 applyAlignment="1" applyProtection="1">
      <alignment vertical="top"/>
      <protection locked="0" hidden="0"/>
    </xf>
    <xf numFmtId="0" fontId="45" fillId="12" borderId="0" applyAlignment="1">
      <alignment vertical="center"/>
    </xf>
    <xf numFmtId="0" fontId="45" fillId="13" borderId="0" applyAlignment="1">
      <alignment vertical="center"/>
    </xf>
    <xf numFmtId="0" fontId="45" fillId="12" borderId="0" applyAlignment="1">
      <alignment vertical="center"/>
    </xf>
    <xf numFmtId="0" fontId="45" fillId="12" borderId="0" applyAlignment="1">
      <alignment vertical="center"/>
    </xf>
    <xf numFmtId="0" fontId="45" fillId="12" borderId="0" applyAlignment="1">
      <alignment vertical="center"/>
    </xf>
    <xf numFmtId="0" fontId="45" fillId="14" borderId="0" applyAlignment="1">
      <alignment vertical="center"/>
    </xf>
    <xf numFmtId="0" fontId="45" fillId="15" borderId="0" applyAlignment="1">
      <alignment vertical="center"/>
    </xf>
    <xf numFmtId="0" fontId="45" fillId="14" borderId="0" applyAlignment="1">
      <alignment vertical="center"/>
    </xf>
    <xf numFmtId="0" fontId="45" fillId="14" borderId="0" applyAlignment="1">
      <alignment vertical="center"/>
    </xf>
    <xf numFmtId="0" fontId="45" fillId="14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5" fillId="16" borderId="0" applyAlignment="1">
      <alignment vertical="center"/>
    </xf>
    <xf numFmtId="0" fontId="45" fillId="16" borderId="0" applyAlignment="1">
      <alignment vertical="center"/>
    </xf>
    <xf numFmtId="0" fontId="45" fillId="16" borderId="0" applyAlignment="1">
      <alignment vertical="center"/>
    </xf>
    <xf numFmtId="0" fontId="45" fillId="18" borderId="0" applyAlignment="1">
      <alignment vertical="center"/>
    </xf>
    <xf numFmtId="0" fontId="45" fillId="19" borderId="0" applyAlignment="1">
      <alignment vertical="center"/>
    </xf>
    <xf numFmtId="0" fontId="45" fillId="18" borderId="0" applyAlignment="1">
      <alignment vertical="center"/>
    </xf>
    <xf numFmtId="0" fontId="45" fillId="18" borderId="0" applyAlignment="1">
      <alignment vertical="center"/>
    </xf>
    <xf numFmtId="0" fontId="45" fillId="18" borderId="0" applyAlignment="1">
      <alignment vertical="center"/>
    </xf>
    <xf numFmtId="0" fontId="45" fillId="12" borderId="0" applyAlignment="1">
      <alignment vertical="center"/>
    </xf>
    <xf numFmtId="0" fontId="45" fillId="13" borderId="0" applyAlignment="1">
      <alignment vertical="center"/>
    </xf>
    <xf numFmtId="0" fontId="45" fillId="12" borderId="0" applyAlignment="1">
      <alignment vertical="center"/>
    </xf>
    <xf numFmtId="0" fontId="45" fillId="12" borderId="0" applyAlignment="1">
      <alignment vertical="center"/>
    </xf>
    <xf numFmtId="0" fontId="45" fillId="12" borderId="0" applyAlignment="1">
      <alignment vertical="center"/>
    </xf>
    <xf numFmtId="0" fontId="45" fillId="14" borderId="0" applyAlignment="1">
      <alignment vertical="center"/>
    </xf>
    <xf numFmtId="0" fontId="45" fillId="15" borderId="0" applyAlignment="1">
      <alignment vertical="center"/>
    </xf>
    <xf numFmtId="0" fontId="45" fillId="14" borderId="0" applyAlignment="1">
      <alignment vertical="center"/>
    </xf>
    <xf numFmtId="0" fontId="45" fillId="14" borderId="0" applyAlignment="1">
      <alignment vertical="center"/>
    </xf>
    <xf numFmtId="0" fontId="45" fillId="14" borderId="0" applyAlignment="1">
      <alignment vertical="center"/>
    </xf>
    <xf numFmtId="169" fontId="5" fillId="0" borderId="0"/>
    <xf numFmtId="168" fontId="46" fillId="0" borderId="0"/>
    <xf numFmtId="0" fontId="34" fillId="0" borderId="0" applyAlignment="1" applyProtection="1">
      <alignment vertical="top"/>
      <protection locked="0" hidden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168" fontId="3" fillId="20" borderId="0"/>
    <xf numFmtId="168" fontId="3" fillId="20" borderId="0"/>
    <xf numFmtId="0" fontId="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48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48" fillId="0" borderId="0"/>
    <xf numFmtId="0" fontId="3" fillId="0" borderId="0"/>
    <xf numFmtId="0" fontId="3" fillId="0" borderId="0"/>
    <xf numFmtId="0" fontId="48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0" borderId="0"/>
    <xf numFmtId="0" fontId="34" fillId="0" borderId="0" applyAlignment="1" applyProtection="1">
      <alignment vertical="top"/>
      <protection locked="0" hidden="0"/>
    </xf>
    <xf numFmtId="0" fontId="34" fillId="0" borderId="0" applyAlignment="1" applyProtection="1">
      <alignment vertical="top"/>
      <protection locked="0" hidden="0"/>
    </xf>
    <xf numFmtId="39" fontId="49" fillId="0" borderId="0" applyAlignment="1" applyProtection="1">
      <alignment vertical="center"/>
      <protection locked="0" hidden="0"/>
    </xf>
    <xf numFmtId="170" fontId="3" fillId="0" borderId="0"/>
    <xf numFmtId="0" fontId="50" fillId="0" borderId="0"/>
    <xf numFmtId="0" fontId="50" fillId="0" borderId="0"/>
    <xf numFmtId="171" fontId="4" fillId="0" borderId="0" applyProtection="1">
      <protection locked="0" hidden="0"/>
    </xf>
    <xf numFmtId="0" fontId="43" fillId="21" borderId="0"/>
    <xf numFmtId="0" fontId="43" fillId="22" borderId="0"/>
    <xf numFmtId="0" fontId="43" fillId="22" borderId="0"/>
    <xf numFmtId="0" fontId="44" fillId="21" borderId="0"/>
    <xf numFmtId="0" fontId="43" fillId="21" borderId="0"/>
    <xf numFmtId="0" fontId="43" fillId="21" borderId="0"/>
    <xf numFmtId="0" fontId="43" fillId="21" borderId="0"/>
    <xf numFmtId="0" fontId="43" fillId="21" borderId="0"/>
    <xf numFmtId="0" fontId="43" fillId="5" borderId="0"/>
    <xf numFmtId="0" fontId="43" fillId="5" borderId="0"/>
    <xf numFmtId="0" fontId="43" fillId="5" borderId="0"/>
    <xf numFmtId="0" fontId="44" fillId="5" borderId="0"/>
    <xf numFmtId="0" fontId="43" fillId="5" borderId="0"/>
    <xf numFmtId="0" fontId="43" fillId="5" borderId="0"/>
    <xf numFmtId="0" fontId="43" fillId="5" borderId="0"/>
    <xf numFmtId="0" fontId="43" fillId="5" borderId="0"/>
    <xf numFmtId="0" fontId="43" fillId="6" borderId="0"/>
    <xf numFmtId="0" fontId="43" fillId="7" borderId="0"/>
    <xf numFmtId="0" fontId="43" fillId="7" borderId="0"/>
    <xf numFmtId="0" fontId="44" fillId="6" borderId="0"/>
    <xf numFmtId="0" fontId="43" fillId="6" borderId="0"/>
    <xf numFmtId="0" fontId="43" fillId="6" borderId="0"/>
    <xf numFmtId="0" fontId="43" fillId="6" borderId="0"/>
    <xf numFmtId="0" fontId="43" fillId="6" borderId="0"/>
    <xf numFmtId="0" fontId="43" fillId="4" borderId="0"/>
    <xf numFmtId="0" fontId="43" fillId="4" borderId="0"/>
    <xf numFmtId="0" fontId="43" fillId="4" borderId="0"/>
    <xf numFmtId="0" fontId="44" fillId="4" borderId="0"/>
    <xf numFmtId="0" fontId="43" fillId="4" borderId="0"/>
    <xf numFmtId="0" fontId="43" fillId="4" borderId="0"/>
    <xf numFmtId="0" fontId="43" fillId="4" borderId="0"/>
    <xf numFmtId="0" fontId="43" fillId="4" borderId="0"/>
    <xf numFmtId="0" fontId="43" fillId="23" borderId="0"/>
    <xf numFmtId="0" fontId="43" fillId="24" borderId="0"/>
    <xf numFmtId="0" fontId="43" fillId="24" borderId="0"/>
    <xf numFmtId="0" fontId="44" fillId="23" borderId="0"/>
    <xf numFmtId="0" fontId="43" fillId="23" borderId="0"/>
    <xf numFmtId="0" fontId="43" fillId="23" borderId="0"/>
    <xf numFmtId="0" fontId="43" fillId="23" borderId="0"/>
    <xf numFmtId="0" fontId="43" fillId="23" borderId="0"/>
    <xf numFmtId="0" fontId="43" fillId="25" borderId="0"/>
    <xf numFmtId="0" fontId="43" fillId="26" borderId="0"/>
    <xf numFmtId="0" fontId="43" fillId="26" borderId="0"/>
    <xf numFmtId="0" fontId="44" fillId="25" borderId="0"/>
    <xf numFmtId="0" fontId="43" fillId="25" borderId="0"/>
    <xf numFmtId="0" fontId="43" fillId="25" borderId="0"/>
    <xf numFmtId="0" fontId="43" fillId="25" borderId="0"/>
    <xf numFmtId="0" fontId="43" fillId="25" borderId="0"/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1" fillId="21" borderId="0" applyAlignment="1">
      <alignment vertical="center"/>
    </xf>
    <xf numFmtId="0" fontId="51" fillId="21" borderId="0" applyAlignment="1">
      <alignment vertical="center"/>
    </xf>
    <xf numFmtId="0" fontId="51" fillId="21" borderId="0" applyAlignment="1">
      <alignment vertical="center"/>
    </xf>
    <xf numFmtId="0" fontId="51" fillId="21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6" borderId="0" applyAlignment="1">
      <alignment vertical="center"/>
    </xf>
    <xf numFmtId="0" fontId="51" fillId="7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4" borderId="0" applyAlignment="1">
      <alignment vertical="center"/>
    </xf>
    <xf numFmtId="0" fontId="51" fillId="4" borderId="0" applyAlignment="1">
      <alignment vertical="center"/>
    </xf>
    <xf numFmtId="0" fontId="51" fillId="4" borderId="0" applyAlignment="1">
      <alignment vertical="center"/>
    </xf>
    <xf numFmtId="0" fontId="51" fillId="4" borderId="0" applyAlignment="1">
      <alignment vertical="center"/>
    </xf>
    <xf numFmtId="0" fontId="51" fillId="4" borderId="0" applyAlignment="1">
      <alignment vertical="center"/>
    </xf>
    <xf numFmtId="0" fontId="51" fillId="23" borderId="0" applyAlignment="1">
      <alignment vertical="center"/>
    </xf>
    <xf numFmtId="0" fontId="51" fillId="24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1" fillId="25" borderId="0" applyAlignment="1">
      <alignment vertical="center"/>
    </xf>
    <xf numFmtId="0" fontId="51" fillId="25" borderId="0" applyAlignment="1">
      <alignment vertical="center"/>
    </xf>
    <xf numFmtId="0" fontId="51" fillId="25" borderId="0" applyAlignment="1">
      <alignment vertical="center"/>
    </xf>
    <xf numFmtId="0" fontId="51" fillId="25" borderId="0" applyAlignment="1">
      <alignment vertical="center"/>
    </xf>
    <xf numFmtId="0" fontId="52" fillId="27" borderId="0"/>
    <xf numFmtId="0" fontId="52" fillId="27" borderId="0"/>
    <xf numFmtId="168" fontId="43" fillId="28" borderId="0"/>
    <xf numFmtId="0" fontId="52" fillId="27" borderId="0"/>
    <xf numFmtId="172" fontId="44" fillId="28" borderId="0"/>
    <xf numFmtId="0" fontId="207" fillId="27" borderId="0"/>
    <xf numFmtId="0" fontId="52" fillId="27" borderId="0"/>
    <xf numFmtId="0" fontId="207" fillId="27" borderId="0"/>
    <xf numFmtId="0" fontId="52" fillId="27" borderId="0"/>
    <xf numFmtId="0" fontId="207" fillId="27" borderId="0"/>
    <xf numFmtId="0" fontId="52" fillId="27" borderId="0"/>
    <xf numFmtId="0" fontId="207" fillId="27" borderId="0"/>
    <xf numFmtId="0" fontId="207" fillId="27" borderId="0"/>
    <xf numFmtId="0" fontId="207" fillId="27" borderId="0"/>
    <xf numFmtId="0" fontId="207" fillId="27" borderId="0"/>
    <xf numFmtId="0" fontId="52" fillId="29" borderId="0"/>
    <xf numFmtId="0" fontId="52" fillId="29" borderId="0"/>
    <xf numFmtId="168" fontId="43" fillId="30" borderId="0"/>
    <xf numFmtId="0" fontId="52" fillId="29" borderId="0"/>
    <xf numFmtId="172" fontId="44" fillId="30" borderId="0"/>
    <xf numFmtId="0" fontId="207" fillId="29" borderId="0"/>
    <xf numFmtId="0" fontId="52" fillId="29" borderId="0"/>
    <xf numFmtId="0" fontId="207" fillId="29" borderId="0"/>
    <xf numFmtId="0" fontId="52" fillId="29" borderId="0"/>
    <xf numFmtId="0" fontId="207" fillId="29" borderId="0"/>
    <xf numFmtId="0" fontId="52" fillId="29" borderId="0"/>
    <xf numFmtId="0" fontId="207" fillId="29" borderId="0"/>
    <xf numFmtId="0" fontId="207" fillId="29" borderId="0"/>
    <xf numFmtId="0" fontId="207" fillId="29" borderId="0"/>
    <xf numFmtId="0" fontId="207" fillId="29" borderId="0"/>
    <xf numFmtId="0" fontId="52" fillId="31" borderId="0"/>
    <xf numFmtId="0" fontId="52" fillId="31" borderId="0"/>
    <xf numFmtId="168" fontId="43" fillId="32" borderId="0"/>
    <xf numFmtId="0" fontId="52" fillId="31" borderId="0"/>
    <xf numFmtId="172" fontId="44" fillId="32" borderId="0"/>
    <xf numFmtId="0" fontId="207" fillId="31" borderId="0"/>
    <xf numFmtId="0" fontId="52" fillId="31" borderId="0"/>
    <xf numFmtId="0" fontId="207" fillId="31" borderId="0"/>
    <xf numFmtId="0" fontId="52" fillId="31" borderId="0"/>
    <xf numFmtId="0" fontId="207" fillId="31" borderId="0"/>
    <xf numFmtId="0" fontId="52" fillId="31" borderId="0"/>
    <xf numFmtId="0" fontId="207" fillId="31" borderId="0"/>
    <xf numFmtId="0" fontId="207" fillId="31" borderId="0"/>
    <xf numFmtId="0" fontId="207" fillId="31" borderId="0"/>
    <xf numFmtId="0" fontId="207" fillId="31" borderId="0"/>
    <xf numFmtId="0" fontId="52" fillId="33" borderId="0"/>
    <xf numFmtId="0" fontId="52" fillId="33" borderId="0"/>
    <xf numFmtId="168" fontId="43" fillId="34" borderId="0"/>
    <xf numFmtId="0" fontId="52" fillId="33" borderId="0"/>
    <xf numFmtId="172" fontId="44" fillId="34" borderId="0"/>
    <xf numFmtId="0" fontId="207" fillId="33" borderId="0"/>
    <xf numFmtId="0" fontId="52" fillId="33" borderId="0"/>
    <xf numFmtId="0" fontId="207" fillId="33" borderId="0"/>
    <xf numFmtId="0" fontId="52" fillId="33" borderId="0"/>
    <xf numFmtId="0" fontId="207" fillId="33" borderId="0"/>
    <xf numFmtId="0" fontId="52" fillId="33" borderId="0"/>
    <xf numFmtId="0" fontId="207" fillId="33" borderId="0"/>
    <xf numFmtId="0" fontId="207" fillId="33" borderId="0"/>
    <xf numFmtId="0" fontId="207" fillId="33" borderId="0"/>
    <xf numFmtId="0" fontId="207" fillId="33" borderId="0"/>
    <xf numFmtId="0" fontId="52" fillId="35" borderId="0"/>
    <xf numFmtId="0" fontId="52" fillId="35" borderId="0"/>
    <xf numFmtId="168" fontId="43" fillId="23" borderId="0"/>
    <xf numFmtId="0" fontId="52" fillId="35" borderId="0"/>
    <xf numFmtId="172" fontId="44" fillId="23" borderId="0"/>
    <xf numFmtId="0" fontId="207" fillId="35" borderId="0"/>
    <xf numFmtId="0" fontId="52" fillId="35" borderId="0"/>
    <xf numFmtId="0" fontId="207" fillId="35" borderId="0"/>
    <xf numFmtId="0" fontId="52" fillId="35" borderId="0"/>
    <xf numFmtId="0" fontId="207" fillId="35" borderId="0"/>
    <xf numFmtId="0" fontId="52" fillId="35" borderId="0"/>
    <xf numFmtId="0" fontId="207" fillId="35" borderId="0"/>
    <xf numFmtId="0" fontId="207" fillId="35" borderId="0"/>
    <xf numFmtId="0" fontId="207" fillId="35" borderId="0"/>
    <xf numFmtId="0" fontId="207" fillId="35" borderId="0"/>
    <xf numFmtId="0" fontId="52" fillId="36" borderId="0"/>
    <xf numFmtId="0" fontId="52" fillId="36" borderId="0"/>
    <xf numFmtId="168" fontId="43" fillId="37" borderId="0"/>
    <xf numFmtId="0" fontId="52" fillId="36" borderId="0"/>
    <xf numFmtId="172" fontId="44" fillId="37" borderId="0"/>
    <xf numFmtId="0" fontId="207" fillId="36" borderId="0"/>
    <xf numFmtId="0" fontId="52" fillId="36" borderId="0"/>
    <xf numFmtId="0" fontId="207" fillId="36" borderId="0"/>
    <xf numFmtId="0" fontId="52" fillId="36" borderId="0"/>
    <xf numFmtId="0" fontId="207" fillId="36" borderId="0"/>
    <xf numFmtId="0" fontId="52" fillId="36" borderId="0"/>
    <xf numFmtId="0" fontId="207" fillId="36" borderId="0"/>
    <xf numFmtId="0" fontId="207" fillId="36" borderId="0"/>
    <xf numFmtId="0" fontId="207" fillId="36" borderId="0"/>
    <xf numFmtId="0" fontId="207" fillId="36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43" fillId="23" borderId="0"/>
    <xf numFmtId="0" fontId="43" fillId="24" borderId="0"/>
    <xf numFmtId="0" fontId="43" fillId="24" borderId="0"/>
    <xf numFmtId="0" fontId="44" fillId="23" borderId="0"/>
    <xf numFmtId="0" fontId="43" fillId="23" borderId="0"/>
    <xf numFmtId="0" fontId="43" fillId="23" borderId="0"/>
    <xf numFmtId="0" fontId="43" fillId="23" borderId="0"/>
    <xf numFmtId="0" fontId="43" fillId="23" borderId="0"/>
    <xf numFmtId="0" fontId="43" fillId="14" borderId="0"/>
    <xf numFmtId="0" fontId="43" fillId="15" borderId="0"/>
    <xf numFmtId="0" fontId="43" fillId="15" borderId="0"/>
    <xf numFmtId="0" fontId="44" fillId="14" borderId="0"/>
    <xf numFmtId="0" fontId="43" fillId="14" borderId="0"/>
    <xf numFmtId="0" fontId="43" fillId="14" borderId="0"/>
    <xf numFmtId="0" fontId="43" fillId="14" borderId="0"/>
    <xf numFmtId="0" fontId="43" fillId="14" borderId="0"/>
    <xf numFmtId="0" fontId="43" fillId="6" borderId="0"/>
    <xf numFmtId="0" fontId="43" fillId="7" borderId="0"/>
    <xf numFmtId="0" fontId="43" fillId="7" borderId="0"/>
    <xf numFmtId="0" fontId="44" fillId="6" borderId="0"/>
    <xf numFmtId="0" fontId="43" fillId="6" borderId="0"/>
    <xf numFmtId="0" fontId="43" fillId="6" borderId="0"/>
    <xf numFmtId="0" fontId="43" fillId="6" borderId="0"/>
    <xf numFmtId="0" fontId="43" fillId="6" borderId="0"/>
    <xf numFmtId="0" fontId="43" fillId="38" borderId="0"/>
    <xf numFmtId="0" fontId="43" fillId="20" borderId="0"/>
    <xf numFmtId="0" fontId="43" fillId="20" borderId="0"/>
    <xf numFmtId="0" fontId="44" fillId="38" borderId="0"/>
    <xf numFmtId="0" fontId="43" fillId="38" borderId="0"/>
    <xf numFmtId="0" fontId="43" fillId="38" borderId="0"/>
    <xf numFmtId="0" fontId="43" fillId="38" borderId="0"/>
    <xf numFmtId="0" fontId="43" fillId="38" borderId="0"/>
    <xf numFmtId="0" fontId="43" fillId="23" borderId="0"/>
    <xf numFmtId="0" fontId="43" fillId="24" borderId="0"/>
    <xf numFmtId="0" fontId="43" fillId="24" borderId="0"/>
    <xf numFmtId="0" fontId="44" fillId="23" borderId="0"/>
    <xf numFmtId="0" fontId="43" fillId="23" borderId="0"/>
    <xf numFmtId="0" fontId="43" fillId="23" borderId="0"/>
    <xf numFmtId="0" fontId="43" fillId="23" borderId="0"/>
    <xf numFmtId="0" fontId="43" fillId="23" borderId="0"/>
    <xf numFmtId="0" fontId="43" fillId="8" borderId="0"/>
    <xf numFmtId="0" fontId="43" fillId="9" borderId="0"/>
    <xf numFmtId="0" fontId="43" fillId="9" borderId="0"/>
    <xf numFmtId="0" fontId="44" fillId="8" borderId="0"/>
    <xf numFmtId="0" fontId="43" fillId="8" borderId="0"/>
    <xf numFmtId="0" fontId="43" fillId="8" borderId="0"/>
    <xf numFmtId="0" fontId="43" fillId="8" borderId="0"/>
    <xf numFmtId="0" fontId="43" fillId="8" borderId="0"/>
    <xf numFmtId="0" fontId="51" fillId="23" borderId="0" applyAlignment="1">
      <alignment vertical="center"/>
    </xf>
    <xf numFmtId="0" fontId="51" fillId="24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14" borderId="0" applyAlignment="1">
      <alignment vertical="center"/>
    </xf>
    <xf numFmtId="0" fontId="51" fillId="15" borderId="0" applyAlignment="1">
      <alignment vertical="center"/>
    </xf>
    <xf numFmtId="0" fontId="51" fillId="14" borderId="0" applyAlignment="1">
      <alignment vertical="center"/>
    </xf>
    <xf numFmtId="0" fontId="51" fillId="14" borderId="0" applyAlignment="1">
      <alignment vertical="center"/>
    </xf>
    <xf numFmtId="0" fontId="51" fillId="14" borderId="0" applyAlignment="1">
      <alignment vertical="center"/>
    </xf>
    <xf numFmtId="0" fontId="51" fillId="14" borderId="0" applyAlignment="1">
      <alignment vertical="center"/>
    </xf>
    <xf numFmtId="0" fontId="51" fillId="6" borderId="0" applyAlignment="1">
      <alignment vertical="center"/>
    </xf>
    <xf numFmtId="0" fontId="51" fillId="7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38" borderId="0" applyAlignment="1">
      <alignment vertical="center"/>
    </xf>
    <xf numFmtId="0" fontId="51" fillId="20" borderId="0" applyAlignment="1">
      <alignment vertical="center"/>
    </xf>
    <xf numFmtId="0" fontId="51" fillId="38" borderId="0" applyAlignment="1">
      <alignment vertical="center"/>
    </xf>
    <xf numFmtId="0" fontId="51" fillId="38" borderId="0" applyAlignment="1">
      <alignment vertical="center"/>
    </xf>
    <xf numFmtId="0" fontId="51" fillId="38" borderId="0" applyAlignment="1">
      <alignment vertical="center"/>
    </xf>
    <xf numFmtId="0" fontId="51" fillId="38" borderId="0" applyAlignment="1">
      <alignment vertical="center"/>
    </xf>
    <xf numFmtId="0" fontId="51" fillId="23" borderId="0" applyAlignment="1">
      <alignment vertical="center"/>
    </xf>
    <xf numFmtId="0" fontId="51" fillId="24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8" borderId="0" applyAlignment="1">
      <alignment vertical="center"/>
    </xf>
    <xf numFmtId="0" fontId="51" fillId="9" borderId="0" applyAlignment="1">
      <alignment vertical="center"/>
    </xf>
    <xf numFmtId="0" fontId="51" fillId="8" borderId="0" applyAlignment="1">
      <alignment vertical="center"/>
    </xf>
    <xf numFmtId="0" fontId="51" fillId="8" borderId="0" applyAlignment="1">
      <alignment vertical="center"/>
    </xf>
    <xf numFmtId="0" fontId="51" fillId="8" borderId="0" applyAlignment="1">
      <alignment vertical="center"/>
    </xf>
    <xf numFmtId="0" fontId="51" fillId="8" borderId="0" applyAlignment="1">
      <alignment vertical="center"/>
    </xf>
    <xf numFmtId="0" fontId="52" fillId="39" borderId="0"/>
    <xf numFmtId="0" fontId="52" fillId="39" borderId="0"/>
    <xf numFmtId="168" fontId="43" fillId="40" borderId="0"/>
    <xf numFmtId="0" fontId="52" fillId="39" borderId="0"/>
    <xf numFmtId="172" fontId="44" fillId="40" borderId="0"/>
    <xf numFmtId="0" fontId="207" fillId="39" borderId="0"/>
    <xf numFmtId="0" fontId="52" fillId="39" borderId="0"/>
    <xf numFmtId="0" fontId="207" fillId="39" borderId="0"/>
    <xf numFmtId="0" fontId="52" fillId="39" borderId="0"/>
    <xf numFmtId="0" fontId="207" fillId="39" borderId="0"/>
    <xf numFmtId="0" fontId="52" fillId="39" borderId="0"/>
    <xf numFmtId="0" fontId="207" fillId="39" borderId="0"/>
    <xf numFmtId="0" fontId="207" fillId="39" borderId="0"/>
    <xf numFmtId="0" fontId="207" fillId="39" borderId="0"/>
    <xf numFmtId="0" fontId="207" fillId="39" borderId="0"/>
    <xf numFmtId="0" fontId="52" fillId="41" borderId="0"/>
    <xf numFmtId="0" fontId="52" fillId="41" borderId="0"/>
    <xf numFmtId="168" fontId="43" fillId="5" borderId="0"/>
    <xf numFmtId="0" fontId="52" fillId="41" borderId="0"/>
    <xf numFmtId="172" fontId="44" fillId="5" borderId="0"/>
    <xf numFmtId="0" fontId="207" fillId="41" borderId="0"/>
    <xf numFmtId="0" fontId="52" fillId="41" borderId="0"/>
    <xf numFmtId="0" fontId="207" fillId="41" borderId="0"/>
    <xf numFmtId="0" fontId="52" fillId="41" borderId="0"/>
    <xf numFmtId="0" fontId="207" fillId="41" borderId="0"/>
    <xf numFmtId="0" fontId="52" fillId="41" borderId="0"/>
    <xf numFmtId="0" fontId="207" fillId="41" borderId="0"/>
    <xf numFmtId="0" fontId="207" fillId="41" borderId="0"/>
    <xf numFmtId="0" fontId="207" fillId="41" borderId="0"/>
    <xf numFmtId="0" fontId="207" fillId="41" borderId="0"/>
    <xf numFmtId="0" fontId="52" fillId="42" borderId="0"/>
    <xf numFmtId="0" fontId="52" fillId="42" borderId="0"/>
    <xf numFmtId="168" fontId="43" fillId="43" borderId="0"/>
    <xf numFmtId="0" fontId="52" fillId="42" borderId="0"/>
    <xf numFmtId="172" fontId="44" fillId="43" borderId="0"/>
    <xf numFmtId="0" fontId="207" fillId="42" borderId="0"/>
    <xf numFmtId="0" fontId="52" fillId="42" borderId="0"/>
    <xf numFmtId="0" fontId="207" fillId="42" borderId="0"/>
    <xf numFmtId="0" fontId="52" fillId="42" borderId="0"/>
    <xf numFmtId="0" fontId="207" fillId="42" borderId="0"/>
    <xf numFmtId="0" fontId="52" fillId="42" borderId="0"/>
    <xf numFmtId="0" fontId="207" fillId="42" borderId="0"/>
    <xf numFmtId="0" fontId="207" fillId="42" borderId="0"/>
    <xf numFmtId="0" fontId="207" fillId="42" borderId="0"/>
    <xf numFmtId="0" fontId="207" fillId="42" borderId="0"/>
    <xf numFmtId="0" fontId="52" fillId="44" borderId="0"/>
    <xf numFmtId="0" fontId="52" fillId="44" borderId="0"/>
    <xf numFmtId="168" fontId="43" fillId="34" borderId="0"/>
    <xf numFmtId="0" fontId="52" fillId="44" borderId="0"/>
    <xf numFmtId="172" fontId="44" fillId="34" borderId="0"/>
    <xf numFmtId="0" fontId="207" fillId="44" borderId="0"/>
    <xf numFmtId="0" fontId="52" fillId="44" borderId="0"/>
    <xf numFmtId="0" fontId="207" fillId="44" borderId="0"/>
    <xf numFmtId="0" fontId="52" fillId="44" borderId="0"/>
    <xf numFmtId="0" fontId="207" fillId="44" borderId="0"/>
    <xf numFmtId="0" fontId="52" fillId="44" borderId="0"/>
    <xf numFmtId="0" fontId="207" fillId="44" borderId="0"/>
    <xf numFmtId="0" fontId="207" fillId="44" borderId="0"/>
    <xf numFmtId="0" fontId="207" fillId="44" borderId="0"/>
    <xf numFmtId="0" fontId="207" fillId="44" borderId="0"/>
    <xf numFmtId="0" fontId="52" fillId="45" borderId="0"/>
    <xf numFmtId="0" fontId="52" fillId="45" borderId="0"/>
    <xf numFmtId="0" fontId="207" fillId="45" borderId="0"/>
    <xf numFmtId="168" fontId="43" fillId="40" borderId="0"/>
    <xf numFmtId="0" fontId="52" fillId="45" borderId="0"/>
    <xf numFmtId="172" fontId="44" fillId="40" borderId="0"/>
    <xf numFmtId="0" fontId="207" fillId="45" borderId="0"/>
    <xf numFmtId="0" fontId="52" fillId="45" borderId="0"/>
    <xf numFmtId="0" fontId="207" fillId="45" borderId="0"/>
    <xf numFmtId="0" fontId="52" fillId="45" borderId="0"/>
    <xf numFmtId="0" fontId="207" fillId="45" borderId="0"/>
    <xf numFmtId="0" fontId="52" fillId="45" borderId="0"/>
    <xf numFmtId="0" fontId="207" fillId="45" borderId="0"/>
    <xf numFmtId="0" fontId="207" fillId="45" borderId="0"/>
    <xf numFmtId="0" fontId="207" fillId="45" borderId="0"/>
    <xf numFmtId="0" fontId="207" fillId="45" borderId="0"/>
    <xf numFmtId="0" fontId="52" fillId="46" borderId="0"/>
    <xf numFmtId="0" fontId="52" fillId="46" borderId="0"/>
    <xf numFmtId="168" fontId="43" fillId="6" borderId="0"/>
    <xf numFmtId="0" fontId="52" fillId="46" borderId="0"/>
    <xf numFmtId="172" fontId="44" fillId="6" borderId="0"/>
    <xf numFmtId="0" fontId="207" fillId="46" borderId="0"/>
    <xf numFmtId="0" fontId="52" fillId="46" borderId="0"/>
    <xf numFmtId="0" fontId="207" fillId="46" borderId="0"/>
    <xf numFmtId="0" fontId="52" fillId="46" borderId="0"/>
    <xf numFmtId="0" fontId="207" fillId="46" borderId="0"/>
    <xf numFmtId="0" fontId="52" fillId="46" borderId="0"/>
    <xf numFmtId="0" fontId="207" fillId="46" borderId="0"/>
    <xf numFmtId="0" fontId="207" fillId="46" borderId="0"/>
    <xf numFmtId="0" fontId="207" fillId="46" borderId="0"/>
    <xf numFmtId="0" fontId="207" fillId="46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32" fillId="23" borderId="0"/>
    <xf numFmtId="0" fontId="32" fillId="24" borderId="0"/>
    <xf numFmtId="0" fontId="32" fillId="23" borderId="0"/>
    <xf numFmtId="0" fontId="32" fillId="23" borderId="0"/>
    <xf numFmtId="0" fontId="32" fillId="23" borderId="0"/>
    <xf numFmtId="0" fontId="32" fillId="14" borderId="0"/>
    <xf numFmtId="0" fontId="32" fillId="15" borderId="0"/>
    <xf numFmtId="0" fontId="32" fillId="14" borderId="0"/>
    <xf numFmtId="0" fontId="32" fillId="14" borderId="0"/>
    <xf numFmtId="0" fontId="32" fillId="14" borderId="0"/>
    <xf numFmtId="0" fontId="32" fillId="6" borderId="0"/>
    <xf numFmtId="0" fontId="32" fillId="7" borderId="0"/>
    <xf numFmtId="0" fontId="32" fillId="6" borderId="0"/>
    <xf numFmtId="0" fontId="32" fillId="6" borderId="0"/>
    <xf numFmtId="0" fontId="32" fillId="6" borderId="0"/>
    <xf numFmtId="0" fontId="32" fillId="10" borderId="0"/>
    <xf numFmtId="0" fontId="32" fillId="11" borderId="0"/>
    <xf numFmtId="0" fontId="32" fillId="10" borderId="0"/>
    <xf numFmtId="0" fontId="32" fillId="10" borderId="0"/>
    <xf numFmtId="0" fontId="32" fillId="10" borderId="0"/>
    <xf numFmtId="0" fontId="32" fillId="23" borderId="0"/>
    <xf numFmtId="0" fontId="32" fillId="24" borderId="0"/>
    <xf numFmtId="0" fontId="32" fillId="23" borderId="0"/>
    <xf numFmtId="0" fontId="32" fillId="23" borderId="0"/>
    <xf numFmtId="0" fontId="32" fillId="23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45" fillId="23" borderId="0" applyAlignment="1">
      <alignment vertical="center"/>
    </xf>
    <xf numFmtId="0" fontId="45" fillId="24" borderId="0" applyAlignment="1">
      <alignment vertical="center"/>
    </xf>
    <xf numFmtId="0" fontId="45" fillId="23" borderId="0" applyAlignment="1">
      <alignment vertical="center"/>
    </xf>
    <xf numFmtId="0" fontId="45" fillId="23" borderId="0" applyAlignment="1">
      <alignment vertical="center"/>
    </xf>
    <xf numFmtId="0" fontId="45" fillId="23" borderId="0" applyAlignment="1">
      <alignment vertical="center"/>
    </xf>
    <xf numFmtId="0" fontId="45" fillId="14" borderId="0" applyAlignment="1">
      <alignment vertical="center"/>
    </xf>
    <xf numFmtId="0" fontId="45" fillId="15" borderId="0" applyAlignment="1">
      <alignment vertical="center"/>
    </xf>
    <xf numFmtId="0" fontId="45" fillId="14" borderId="0" applyAlignment="1">
      <alignment vertical="center"/>
    </xf>
    <xf numFmtId="0" fontId="45" fillId="14" borderId="0" applyAlignment="1">
      <alignment vertical="center"/>
    </xf>
    <xf numFmtId="0" fontId="45" fillId="14" borderId="0" applyAlignment="1">
      <alignment vertical="center"/>
    </xf>
    <xf numFmtId="0" fontId="45" fillId="6" borderId="0" applyAlignment="1">
      <alignment vertical="center"/>
    </xf>
    <xf numFmtId="0" fontId="45" fillId="7" borderId="0" applyAlignment="1">
      <alignment vertical="center"/>
    </xf>
    <xf numFmtId="0" fontId="45" fillId="6" borderId="0" applyAlignment="1">
      <alignment vertical="center"/>
    </xf>
    <xf numFmtId="0" fontId="45" fillId="6" borderId="0" applyAlignment="1">
      <alignment vertical="center"/>
    </xf>
    <xf numFmtId="0" fontId="45" fillId="6" borderId="0" applyAlignment="1">
      <alignment vertical="center"/>
    </xf>
    <xf numFmtId="0" fontId="45" fillId="10" borderId="0" applyAlignment="1">
      <alignment vertical="center"/>
    </xf>
    <xf numFmtId="0" fontId="45" fillId="11" borderId="0" applyAlignment="1">
      <alignment vertical="center"/>
    </xf>
    <xf numFmtId="0" fontId="45" fillId="10" borderId="0" applyAlignment="1">
      <alignment vertical="center"/>
    </xf>
    <xf numFmtId="0" fontId="45" fillId="10" borderId="0" applyAlignment="1">
      <alignment vertical="center"/>
    </xf>
    <xf numFmtId="0" fontId="45" fillId="10" borderId="0" applyAlignment="1">
      <alignment vertical="center"/>
    </xf>
    <xf numFmtId="0" fontId="45" fillId="23" borderId="0" applyAlignment="1">
      <alignment vertical="center"/>
    </xf>
    <xf numFmtId="0" fontId="45" fillId="24" borderId="0" applyAlignment="1">
      <alignment vertical="center"/>
    </xf>
    <xf numFmtId="0" fontId="45" fillId="23" borderId="0" applyAlignment="1">
      <alignment vertical="center"/>
    </xf>
    <xf numFmtId="0" fontId="45" fillId="23" borderId="0" applyAlignment="1">
      <alignment vertical="center"/>
    </xf>
    <xf numFmtId="0" fontId="45" fillId="23" borderId="0" applyAlignment="1">
      <alignment vertical="center"/>
    </xf>
    <xf numFmtId="0" fontId="45" fillId="5" borderId="0" applyAlignment="1">
      <alignment vertical="center"/>
    </xf>
    <xf numFmtId="0" fontId="45" fillId="5" borderId="0" applyAlignment="1">
      <alignment vertical="center"/>
    </xf>
    <xf numFmtId="0" fontId="45" fillId="5" borderId="0" applyAlignment="1">
      <alignment vertical="center"/>
    </xf>
    <xf numFmtId="0" fontId="45" fillId="5" borderId="0" applyAlignment="1">
      <alignment vertical="center"/>
    </xf>
    <xf numFmtId="0" fontId="45" fillId="5" borderId="0" applyAlignment="1">
      <alignment vertical="center"/>
    </xf>
    <xf numFmtId="168" fontId="32" fillId="47" borderId="0"/>
    <xf numFmtId="0" fontId="52" fillId="48" borderId="0"/>
    <xf numFmtId="172" fontId="32" fillId="47" borderId="0"/>
    <xf numFmtId="0" fontId="52" fillId="48" borderId="0"/>
    <xf numFmtId="0" fontId="52" fillId="48" borderId="0"/>
    <xf numFmtId="0" fontId="52" fillId="48" borderId="0"/>
    <xf numFmtId="0" fontId="52" fillId="48" borderId="0"/>
    <xf numFmtId="168" fontId="32" fillId="5" borderId="0"/>
    <xf numFmtId="0" fontId="52" fillId="49" borderId="0"/>
    <xf numFmtId="172" fontId="32" fillId="5" borderId="0"/>
    <xf numFmtId="0" fontId="52" fillId="49" borderId="0"/>
    <xf numFmtId="0" fontId="52" fillId="49" borderId="0"/>
    <xf numFmtId="0" fontId="52" fillId="49" borderId="0"/>
    <xf numFmtId="0" fontId="52" fillId="49" borderId="0"/>
    <xf numFmtId="168" fontId="32" fillId="43" borderId="0"/>
    <xf numFmtId="0" fontId="52" fillId="50" borderId="0"/>
    <xf numFmtId="172" fontId="32" fillId="43" borderId="0"/>
    <xf numFmtId="0" fontId="52" fillId="50" borderId="0"/>
    <xf numFmtId="0" fontId="52" fillId="50" borderId="0"/>
    <xf numFmtId="0" fontId="52" fillId="50" borderId="0"/>
    <xf numFmtId="0" fontId="52" fillId="50" borderId="0"/>
    <xf numFmtId="168" fontId="32" fillId="51" borderId="0"/>
    <xf numFmtId="0" fontId="52" fillId="52" borderId="0"/>
    <xf numFmtId="172" fontId="32" fillId="51" borderId="0"/>
    <xf numFmtId="0" fontId="52" fillId="52" borderId="0"/>
    <xf numFmtId="0" fontId="52" fillId="52" borderId="0"/>
    <xf numFmtId="0" fontId="52" fillId="52" borderId="0"/>
    <xf numFmtId="0" fontId="52" fillId="52" borderId="0"/>
    <xf numFmtId="168" fontId="32" fillId="53" borderId="0"/>
    <xf numFmtId="0" fontId="52" fillId="54" borderId="0"/>
    <xf numFmtId="172" fontId="32" fillId="53" borderId="0"/>
    <xf numFmtId="0" fontId="52" fillId="54" borderId="0"/>
    <xf numFmtId="0" fontId="52" fillId="54" borderId="0"/>
    <xf numFmtId="0" fontId="52" fillId="54" borderId="0"/>
    <xf numFmtId="0" fontId="52" fillId="54" borderId="0"/>
    <xf numFmtId="168" fontId="32" fillId="21" borderId="0"/>
    <xf numFmtId="0" fontId="52" fillId="55" borderId="0"/>
    <xf numFmtId="172" fontId="32" fillId="21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4" fillId="48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4" fillId="49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4" fillId="50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4" fillId="52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4" fillId="54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4" fillId="55" borderId="0"/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48" fillId="0" borderId="0"/>
    <xf numFmtId="0" fontId="47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6" fillId="0" borderId="13"/>
    <xf numFmtId="168" fontId="32" fillId="56" borderId="0"/>
    <xf numFmtId="0" fontId="54" fillId="57" borderId="0"/>
    <xf numFmtId="172" fontId="32" fillId="56" borderId="0"/>
    <xf numFmtId="0" fontId="54" fillId="57" borderId="0"/>
    <xf numFmtId="0" fontId="54" fillId="58" borderId="0"/>
    <xf numFmtId="168" fontId="32" fillId="59" borderId="0"/>
    <xf numFmtId="0" fontId="57" fillId="58" borderId="0"/>
    <xf numFmtId="172" fontId="32" fillId="59" borderId="0"/>
    <xf numFmtId="0" fontId="57" fillId="58" borderId="0"/>
    <xf numFmtId="168" fontId="32" fillId="60" borderId="0"/>
    <xf numFmtId="0" fontId="57" fillId="61" borderId="0"/>
    <xf numFmtId="172" fontId="32" fillId="60" borderId="0"/>
    <xf numFmtId="0" fontId="57" fillId="61" borderId="0"/>
    <xf numFmtId="168" fontId="32" fillId="51" borderId="0"/>
    <xf numFmtId="0" fontId="57" fillId="62" borderId="0"/>
    <xf numFmtId="172" fontId="32" fillId="51" borderId="0"/>
    <xf numFmtId="0" fontId="57" fillId="62" borderId="0"/>
    <xf numFmtId="168" fontId="32" fillId="53" borderId="0"/>
    <xf numFmtId="0" fontId="57" fillId="63" borderId="0"/>
    <xf numFmtId="172" fontId="32" fillId="53" borderId="0"/>
    <xf numFmtId="0" fontId="57" fillId="63" borderId="0"/>
    <xf numFmtId="168" fontId="32" fillId="64" borderId="0"/>
    <xf numFmtId="0" fontId="57" fillId="65" borderId="0"/>
    <xf numFmtId="172" fontId="32" fillId="64" borderId="0"/>
    <xf numFmtId="0" fontId="57" fillId="65" borderId="0"/>
    <xf numFmtId="173" fontId="58" fillId="0" borderId="0"/>
    <xf numFmtId="168" fontId="59" fillId="0" borderId="0"/>
    <xf numFmtId="174" fontId="58" fillId="0" borderId="0"/>
    <xf numFmtId="168" fontId="59" fillId="0" borderId="0"/>
    <xf numFmtId="3" fontId="60" fillId="0" borderId="0"/>
    <xf numFmtId="3" fontId="61" fillId="0" borderId="0"/>
    <xf numFmtId="175" fontId="58" fillId="0" borderId="0"/>
    <xf numFmtId="168" fontId="59" fillId="0" borderId="0"/>
    <xf numFmtId="176" fontId="58" fillId="0" borderId="0"/>
    <xf numFmtId="168" fontId="59" fillId="0" borderId="0"/>
    <xf numFmtId="168" fontId="8" fillId="30" borderId="0"/>
    <xf numFmtId="0" fontId="62" fillId="66" borderId="0"/>
    <xf numFmtId="172" fontId="8" fillId="30" borderId="0"/>
    <xf numFmtId="0" fontId="62" fillId="66" borderId="0"/>
    <xf numFmtId="0" fontId="34" fillId="0" borderId="0" applyAlignment="1" applyProtection="1">
      <alignment vertical="top"/>
      <protection locked="0" hidden="0"/>
    </xf>
    <xf numFmtId="0" fontId="34" fillId="0" borderId="0" applyAlignment="1" applyProtection="1">
      <alignment vertical="top"/>
      <protection locked="0" hidden="0"/>
    </xf>
    <xf numFmtId="0" fontId="34" fillId="0" borderId="0" applyAlignment="1" applyProtection="1">
      <alignment vertical="top"/>
      <protection locked="0" hidden="0"/>
    </xf>
    <xf numFmtId="177" fontId="23" fillId="0" borderId="0"/>
    <xf numFmtId="177" fontId="23" fillId="0" borderId="0"/>
    <xf numFmtId="0" fontId="63" fillId="67" borderId="0"/>
    <xf numFmtId="178" fontId="4" fillId="0" borderId="0"/>
    <xf numFmtId="38" fontId="64" fillId="0" borderId="13"/>
    <xf numFmtId="179" fontId="65" fillId="0" borderId="0" applyAlignment="1">
      <alignment horizontal="right" vertical="top" wrapText="1"/>
    </xf>
    <xf numFmtId="168" fontId="59" fillId="0" borderId="0"/>
    <xf numFmtId="168" fontId="66" fillId="0" borderId="0"/>
    <xf numFmtId="168" fontId="59" fillId="0" borderId="0"/>
    <xf numFmtId="180" fontId="3" fillId="0" borderId="0"/>
    <xf numFmtId="180" fontId="3" fillId="0" borderId="0"/>
    <xf numFmtId="181" fontId="3" fillId="0" borderId="0"/>
    <xf numFmtId="181" fontId="3" fillId="0" borderId="0"/>
    <xf numFmtId="182" fontId="3" fillId="0" borderId="0"/>
    <xf numFmtId="182" fontId="3" fillId="0" borderId="0"/>
    <xf numFmtId="183" fontId="3" fillId="0" borderId="0"/>
    <xf numFmtId="183" fontId="3" fillId="0" borderId="0"/>
    <xf numFmtId="184" fontId="3" fillId="0" borderId="0"/>
    <xf numFmtId="184" fontId="3" fillId="0" borderId="0"/>
    <xf numFmtId="185" fontId="3" fillId="0" borderId="0"/>
    <xf numFmtId="185" fontId="3" fillId="0" borderId="0"/>
    <xf numFmtId="186" fontId="3" fillId="0" borderId="0"/>
    <xf numFmtId="186" fontId="3" fillId="0" borderId="0"/>
    <xf numFmtId="181" fontId="3" fillId="0" borderId="0"/>
    <xf numFmtId="181" fontId="3" fillId="0" borderId="0"/>
    <xf numFmtId="168" fontId="67" fillId="20" borderId="8"/>
    <xf numFmtId="0" fontId="68" fillId="68" borderId="14"/>
    <xf numFmtId="168" fontId="67" fillId="20" borderId="8"/>
    <xf numFmtId="168" fontId="67" fillId="20" borderId="8"/>
    <xf numFmtId="168" fontId="67" fillId="20" borderId="8"/>
    <xf numFmtId="168" fontId="67" fillId="20" borderId="8"/>
    <xf numFmtId="168" fontId="67" fillId="20" borderId="8"/>
    <xf numFmtId="168" fontId="67" fillId="20" borderId="8"/>
    <xf numFmtId="168" fontId="67" fillId="20" borderId="8"/>
    <xf numFmtId="168" fontId="67" fillId="20" borderId="8"/>
    <xf numFmtId="168" fontId="67" fillId="20" borderId="8"/>
    <xf numFmtId="168" fontId="67" fillId="20" borderId="8"/>
    <xf numFmtId="168" fontId="67" fillId="20" borderId="8"/>
    <xf numFmtId="168" fontId="67" fillId="20" borderId="8"/>
    <xf numFmtId="168" fontId="67" fillId="20" borderId="8"/>
    <xf numFmtId="172" fontId="67" fillId="20" borderId="8"/>
    <xf numFmtId="0" fontId="68" fillId="68" borderId="14"/>
    <xf numFmtId="172" fontId="67" fillId="20" borderId="8"/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168" fontId="63" fillId="69" borderId="16"/>
    <xf numFmtId="0" fontId="69" fillId="70" borderId="17"/>
    <xf numFmtId="172" fontId="63" fillId="69" borderId="16"/>
    <xf numFmtId="0" fontId="69" fillId="70" borderId="17"/>
    <xf numFmtId="0" fontId="35" fillId="0" borderId="0" applyAlignment="1" applyProtection="1">
      <alignment vertical="top"/>
      <protection locked="0" hidden="0"/>
    </xf>
    <xf numFmtId="38" fontId="70" fillId="0" borderId="0" applyProtection="1">
      <protection locked="0" hidden="0"/>
    </xf>
    <xf numFmtId="38" fontId="71" fillId="0" borderId="0" applyProtection="1">
      <protection locked="0" hidden="0"/>
    </xf>
    <xf numFmtId="38" fontId="72" fillId="0" borderId="0" applyProtection="1">
      <protection locked="0" hidden="0"/>
    </xf>
    <xf numFmtId="0" fontId="73" fillId="0" borderId="18" applyAlignment="1">
      <alignment horizontal="center"/>
    </xf>
    <xf numFmtId="187" fontId="3" fillId="0" borderId="0"/>
    <xf numFmtId="187" fontId="3" fillId="0" borderId="0"/>
    <xf numFmtId="187" fontId="3" fillId="0" borderId="0"/>
    <xf numFmtId="187" fontId="3" fillId="0" borderId="0"/>
    <xf numFmtId="187" fontId="3" fillId="0" borderId="0"/>
    <xf numFmtId="187" fontId="3" fillId="0" borderId="0"/>
    <xf numFmtId="187" fontId="3" fillId="0" borderId="0"/>
    <xf numFmtId="187" fontId="3" fillId="0" borderId="0"/>
    <xf numFmtId="188" fontId="74" fillId="0" borderId="0"/>
    <xf numFmtId="178" fontId="4" fillId="0" borderId="0" applyProtection="1">
      <protection locked="0" hidden="0"/>
    </xf>
    <xf numFmtId="40" fontId="49" fillId="0" borderId="0" applyProtection="1">
      <protection locked="0" hidden="0"/>
    </xf>
    <xf numFmtId="40" fontId="49" fillId="0" borderId="0" applyProtection="1">
      <protection locked="0" hidden="0"/>
    </xf>
    <xf numFmtId="185" fontId="3" fillId="0" borderId="0"/>
    <xf numFmtId="185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89" fontId="3" fillId="0" borderId="0"/>
    <xf numFmtId="189" fontId="3" fillId="0" borderId="0"/>
    <xf numFmtId="43" fontId="23" fillId="0" borderId="0"/>
    <xf numFmtId="43" fontId="23" fillId="0" borderId="0"/>
    <xf numFmtId="189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0" fontId="207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0" fontId="207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0" fontId="207" fillId="0" borderId="0"/>
    <xf numFmtId="43" fontId="23" fillId="0" borderId="0"/>
    <xf numFmtId="189" fontId="3" fillId="0" borderId="0"/>
    <xf numFmtId="191" fontId="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1" fontId="3" fillId="0" borderId="0"/>
    <xf numFmtId="43" fontId="23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0" fontId="207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190" fontId="207" fillId="0" borderId="0"/>
    <xf numFmtId="191" fontId="3" fillId="0" borderId="0"/>
    <xf numFmtId="43" fontId="75" fillId="0" borderId="0"/>
    <xf numFmtId="191" fontId="3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75" fillId="0" borderId="0"/>
    <xf numFmtId="43" fontId="75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190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2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89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1" fontId="3" fillId="0" borderId="0"/>
    <xf numFmtId="191" fontId="3" fillId="0" borderId="0"/>
    <xf numFmtId="189" fontId="3" fillId="0" borderId="0"/>
    <xf numFmtId="43" fontId="3" fillId="0" borderId="0"/>
    <xf numFmtId="191" fontId="3" fillId="0" borderId="0"/>
    <xf numFmtId="191" fontId="3" fillId="0" borderId="0"/>
    <xf numFmtId="191" fontId="3" fillId="0" borderId="0"/>
    <xf numFmtId="19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3" fontId="49" fillId="0" borderId="0"/>
    <xf numFmtId="3" fontId="3" fillId="0" borderId="0"/>
    <xf numFmtId="3" fontId="3" fillId="0" borderId="0"/>
    <xf numFmtId="0" fontId="3" fillId="0" borderId="0"/>
    <xf numFmtId="0" fontId="3" fillId="0" borderId="0"/>
    <xf numFmtId="168" fontId="76" fillId="0" borderId="0" applyAlignment="1">
      <alignment horizontal="left" vertical="top" wrapText="1"/>
    </xf>
    <xf numFmtId="0" fontId="77" fillId="0" borderId="0" applyAlignment="1">
      <alignment horizontal="left"/>
    </xf>
    <xf numFmtId="193" fontId="49" fillId="0" borderId="0" applyProtection="1">
      <protection locked="0" hidden="0"/>
    </xf>
    <xf numFmtId="193" fontId="49" fillId="0" borderId="0" applyProtection="1">
      <protection locked="0" hidden="0"/>
    </xf>
    <xf numFmtId="194" fontId="78" fillId="0" borderId="19"/>
    <xf numFmtId="194" fontId="78" fillId="0" borderId="19"/>
    <xf numFmtId="194" fontId="78" fillId="0" borderId="19"/>
    <xf numFmtId="194" fontId="78" fillId="0" borderId="19"/>
    <xf numFmtId="194" fontId="78" fillId="0" borderId="19"/>
    <xf numFmtId="194" fontId="78" fillId="0" borderId="19"/>
    <xf numFmtId="194" fontId="78" fillId="0" borderId="19"/>
    <xf numFmtId="194" fontId="78" fillId="0" borderId="19"/>
    <xf numFmtId="194" fontId="78" fillId="0" borderId="19"/>
    <xf numFmtId="194" fontId="78" fillId="0" borderId="19"/>
    <xf numFmtId="194" fontId="78" fillId="0" borderId="19"/>
    <xf numFmtId="194" fontId="78" fillId="0" borderId="19"/>
    <xf numFmtId="194" fontId="78" fillId="0" borderId="19"/>
    <xf numFmtId="194" fontId="78" fillId="0" borderId="19"/>
    <xf numFmtId="194" fontId="78" fillId="0" borderId="19"/>
    <xf numFmtId="195" fontId="49" fillId="0" borderId="0" applyProtection="1">
      <protection locked="0" hidden="0"/>
    </xf>
    <xf numFmtId="195" fontId="49" fillId="0" borderId="0" applyProtection="1">
      <protection locked="0" hidden="0"/>
    </xf>
    <xf numFmtId="181" fontId="3" fillId="0" borderId="0"/>
    <xf numFmtId="181" fontId="3" fillId="0" borderId="0"/>
    <xf numFmtId="196" fontId="3" fillId="0" borderId="0"/>
    <xf numFmtId="196" fontId="3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170" fontId="3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170" fontId="3" fillId="0" borderId="0"/>
    <xf numFmtId="170" fontId="3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197" fontId="49" fillId="0" borderId="0"/>
    <xf numFmtId="198" fontId="79" fillId="0" borderId="0"/>
    <xf numFmtId="199" fontId="4" fillId="0" borderId="0"/>
    <xf numFmtId="168" fontId="80" fillId="20" borderId="0" applyAlignment="1">
      <alignment horizontal="left"/>
    </xf>
    <xf numFmtId="0" fontId="81" fillId="71" borderId="0" applyAlignment="1">
      <alignment horizontal="centerContinuous"/>
    </xf>
    <xf numFmtId="0" fontId="46" fillId="4" borderId="15"/>
    <xf numFmtId="0" fontId="46" fillId="4" borderId="15"/>
    <xf numFmtId="0" fontId="46" fillId="4" borderId="15"/>
    <xf numFmtId="0" fontId="46" fillId="4" borderId="15"/>
    <xf numFmtId="0" fontId="46" fillId="4" borderId="15"/>
    <xf numFmtId="0" fontId="46" fillId="4" borderId="15"/>
    <xf numFmtId="0" fontId="46" fillId="4" borderId="15"/>
    <xf numFmtId="0" fontId="46" fillId="4" borderId="15"/>
    <xf numFmtId="0" fontId="46" fillId="4" borderId="15"/>
    <xf numFmtId="0" fontId="46" fillId="4" borderId="15"/>
    <xf numFmtId="0" fontId="46" fillId="4" borderId="15"/>
    <xf numFmtId="168" fontId="49" fillId="0" borderId="0"/>
    <xf numFmtId="14" fontId="65" fillId="0" borderId="0" applyAlignment="1">
      <alignment horizontal="right" vertical="top" wrapText="1"/>
    </xf>
    <xf numFmtId="14" fontId="3" fillId="0" borderId="0"/>
    <xf numFmtId="0" fontId="82" fillId="0" borderId="0"/>
    <xf numFmtId="200" fontId="4" fillId="0" borderId="0" applyAlignment="1">
      <alignment horizontal="left"/>
    </xf>
    <xf numFmtId="201" fontId="83" fillId="0" borderId="0" applyProtection="1">
      <protection locked="0" hidden="0"/>
    </xf>
    <xf numFmtId="39" fontId="48" fillId="0" borderId="0"/>
    <xf numFmtId="202" fontId="84" fillId="0" borderId="0"/>
    <xf numFmtId="38" fontId="5" fillId="0" borderId="20" applyAlignment="1">
      <alignment vertical="center"/>
    </xf>
    <xf numFmtId="38" fontId="5" fillId="0" borderId="20" applyAlignment="1">
      <alignment vertical="center"/>
    </xf>
    <xf numFmtId="38" fontId="3" fillId="0" borderId="0"/>
    <xf numFmtId="40" fontId="3" fillId="0" borderId="0"/>
    <xf numFmtId="203" fontId="85" fillId="0" borderId="0"/>
    <xf numFmtId="204" fontId="56" fillId="0" borderId="0"/>
    <xf numFmtId="205" fontId="3" fillId="0" borderId="0"/>
    <xf numFmtId="206" fontId="3" fillId="0" borderId="0"/>
    <xf numFmtId="205" fontId="3" fillId="0" borderId="0"/>
    <xf numFmtId="206" fontId="3" fillId="0" borderId="0"/>
    <xf numFmtId="205" fontId="3" fillId="0" borderId="0"/>
    <xf numFmtId="206" fontId="3" fillId="0" borderId="0"/>
    <xf numFmtId="205" fontId="3" fillId="0" borderId="0"/>
    <xf numFmtId="206" fontId="3" fillId="0" borderId="0"/>
    <xf numFmtId="205" fontId="3" fillId="0" borderId="0"/>
    <xf numFmtId="206" fontId="3" fillId="0" borderId="0"/>
    <xf numFmtId="207" fontId="3" fillId="0" borderId="0"/>
    <xf numFmtId="208" fontId="3" fillId="0" borderId="0"/>
    <xf numFmtId="207" fontId="3" fillId="0" borderId="0"/>
    <xf numFmtId="208" fontId="3" fillId="0" borderId="0"/>
    <xf numFmtId="207" fontId="3" fillId="0" borderId="0"/>
    <xf numFmtId="208" fontId="3" fillId="0" borderId="0"/>
    <xf numFmtId="207" fontId="3" fillId="0" borderId="0"/>
    <xf numFmtId="208" fontId="3" fillId="0" borderId="0"/>
    <xf numFmtId="207" fontId="3" fillId="0" borderId="0"/>
    <xf numFmtId="208" fontId="3" fillId="0" borderId="0"/>
    <xf numFmtId="209" fontId="60" fillId="0" borderId="0"/>
    <xf numFmtId="210" fontId="60" fillId="0" borderId="0"/>
    <xf numFmtId="207" fontId="3" fillId="0" borderId="0"/>
    <xf numFmtId="208" fontId="3" fillId="0" borderId="0"/>
    <xf numFmtId="207" fontId="3" fillId="0" borderId="0"/>
    <xf numFmtId="208" fontId="3" fillId="0" borderId="0"/>
    <xf numFmtId="207" fontId="3" fillId="0" borderId="0"/>
    <xf numFmtId="208" fontId="3" fillId="0" borderId="0"/>
    <xf numFmtId="207" fontId="3" fillId="0" borderId="0"/>
    <xf numFmtId="208" fontId="3" fillId="0" borderId="0"/>
    <xf numFmtId="207" fontId="3" fillId="0" borderId="0"/>
    <xf numFmtId="208" fontId="3" fillId="0" borderId="0"/>
    <xf numFmtId="211" fontId="56" fillId="0" borderId="0"/>
    <xf numFmtId="212" fontId="3" fillId="0" borderId="0"/>
    <xf numFmtId="208" fontId="3" fillId="0" borderId="0"/>
    <xf numFmtId="212" fontId="3" fillId="0" borderId="0"/>
    <xf numFmtId="208" fontId="3" fillId="0" borderId="0"/>
    <xf numFmtId="212" fontId="3" fillId="0" borderId="0"/>
    <xf numFmtId="208" fontId="3" fillId="0" borderId="0"/>
    <xf numFmtId="212" fontId="3" fillId="0" borderId="0"/>
    <xf numFmtId="208" fontId="3" fillId="0" borderId="0"/>
    <xf numFmtId="212" fontId="3" fillId="0" borderId="0"/>
    <xf numFmtId="208" fontId="3" fillId="0" borderId="0"/>
    <xf numFmtId="203" fontId="3" fillId="0" borderId="0"/>
    <xf numFmtId="165" fontId="3" fillId="0" borderId="0"/>
    <xf numFmtId="203" fontId="3" fillId="0" borderId="0"/>
    <xf numFmtId="165" fontId="3" fillId="0" borderId="0"/>
    <xf numFmtId="203" fontId="3" fillId="0" borderId="0"/>
    <xf numFmtId="165" fontId="3" fillId="0" borderId="0"/>
    <xf numFmtId="203" fontId="3" fillId="0" borderId="0"/>
    <xf numFmtId="165" fontId="3" fillId="0" borderId="0"/>
    <xf numFmtId="203" fontId="3" fillId="0" borderId="0"/>
    <xf numFmtId="165" fontId="3" fillId="0" borderId="0"/>
    <xf numFmtId="213" fontId="60" fillId="0" borderId="0"/>
    <xf numFmtId="214" fontId="60" fillId="0" borderId="0"/>
    <xf numFmtId="203" fontId="3" fillId="0" borderId="0"/>
    <xf numFmtId="165" fontId="3" fillId="0" borderId="0"/>
    <xf numFmtId="203" fontId="3" fillId="0" borderId="0"/>
    <xf numFmtId="165" fontId="3" fillId="0" borderId="0"/>
    <xf numFmtId="203" fontId="3" fillId="0" borderId="0"/>
    <xf numFmtId="165" fontId="3" fillId="0" borderId="0"/>
    <xf numFmtId="203" fontId="3" fillId="0" borderId="0"/>
    <xf numFmtId="165" fontId="3" fillId="0" borderId="0"/>
    <xf numFmtId="203" fontId="3" fillId="0" borderId="0"/>
    <xf numFmtId="165" fontId="3" fillId="0" borderId="0"/>
    <xf numFmtId="185" fontId="3" fillId="0" borderId="0"/>
    <xf numFmtId="185" fontId="3" fillId="0" borderId="0"/>
    <xf numFmtId="181" fontId="3" fillId="0" borderId="0"/>
    <xf numFmtId="181" fontId="3" fillId="0" borderId="0"/>
    <xf numFmtId="185" fontId="3" fillId="0" borderId="0"/>
    <xf numFmtId="185" fontId="3" fillId="0" borderId="0"/>
    <xf numFmtId="186" fontId="3" fillId="0" borderId="0"/>
    <xf numFmtId="186" fontId="3" fillId="0" borderId="0"/>
    <xf numFmtId="181" fontId="3" fillId="0" borderId="0"/>
    <xf numFmtId="181" fontId="3" fillId="0" borderId="0"/>
    <xf numFmtId="0" fontId="86" fillId="0" borderId="0" applyAlignment="1">
      <alignment horizontal="left"/>
    </xf>
    <xf numFmtId="3" fontId="87" fillId="0" borderId="0" applyAlignment="1" applyProtection="1">
      <alignment horizontal="left"/>
      <protection locked="0" hidden="0"/>
    </xf>
    <xf numFmtId="168" fontId="23" fillId="0" borderId="0"/>
    <xf numFmtId="168" fontId="80" fillId="0" borderId="0"/>
    <xf numFmtId="168" fontId="23" fillId="0" borderId="0"/>
    <xf numFmtId="215" fontId="3" fillId="0" borderId="0"/>
    <xf numFmtId="0" fontId="44" fillId="0" borderId="0"/>
    <xf numFmtId="168" fontId="88" fillId="0" borderId="0"/>
    <xf numFmtId="0" fontId="89" fillId="0" borderId="0"/>
    <xf numFmtId="172" fontId="88" fillId="0" borderId="0"/>
    <xf numFmtId="0" fontId="89" fillId="0" borderId="0"/>
    <xf numFmtId="168" fontId="46" fillId="69" borderId="0"/>
    <xf numFmtId="168" fontId="90" fillId="0" borderId="0"/>
    <xf numFmtId="216" fontId="91" fillId="0" borderId="0" applyAlignment="1">
      <alignment horizontal="right"/>
    </xf>
    <xf numFmtId="15" fontId="46" fillId="0" borderId="0" applyAlignment="1">
      <alignment horizontal="center"/>
    </xf>
    <xf numFmtId="168" fontId="46" fillId="30" borderId="0"/>
    <xf numFmtId="217" fontId="80" fillId="20" borderId="21"/>
    <xf numFmtId="217" fontId="80" fillId="20" borderId="21"/>
    <xf numFmtId="217" fontId="80" fillId="20" borderId="21"/>
    <xf numFmtId="217" fontId="80" fillId="20" borderId="21"/>
    <xf numFmtId="217" fontId="80" fillId="20" borderId="21"/>
    <xf numFmtId="217" fontId="80" fillId="20" borderId="21"/>
    <xf numFmtId="217" fontId="80" fillId="20" borderId="21"/>
    <xf numFmtId="217" fontId="80" fillId="20" borderId="21"/>
    <xf numFmtId="217" fontId="80" fillId="20" borderId="21"/>
    <xf numFmtId="217" fontId="80" fillId="20" borderId="21"/>
    <xf numFmtId="217" fontId="80" fillId="20" borderId="21"/>
    <xf numFmtId="217" fontId="80" fillId="20" borderId="21"/>
    <xf numFmtId="217" fontId="80" fillId="20" borderId="21"/>
    <xf numFmtId="217" fontId="80" fillId="20" borderId="21"/>
    <xf numFmtId="217" fontId="80" fillId="0" borderId="0"/>
    <xf numFmtId="217" fontId="92" fillId="0" borderId="0"/>
    <xf numFmtId="15" fontId="46" fillId="0" borderId="0" applyAlignment="1">
      <alignment horizontal="center"/>
    </xf>
    <xf numFmtId="218" fontId="93" fillId="18" borderId="22" applyProtection="1">
      <protection locked="0" hidden="0"/>
    </xf>
    <xf numFmtId="217" fontId="94" fillId="18" borderId="22" applyProtection="1">
      <protection locked="0" hidden="0"/>
    </xf>
    <xf numFmtId="217" fontId="46" fillId="0" borderId="0"/>
    <xf numFmtId="218" fontId="46" fillId="0" borderId="0"/>
    <xf numFmtId="219" fontId="46" fillId="0" borderId="0"/>
    <xf numFmtId="168" fontId="46" fillId="0" borderId="21"/>
    <xf numFmtId="168" fontId="46" fillId="0" borderId="21"/>
    <xf numFmtId="168" fontId="46" fillId="0" borderId="21"/>
    <xf numFmtId="168" fontId="46" fillId="0" borderId="21"/>
    <xf numFmtId="168" fontId="46" fillId="0" borderId="21"/>
    <xf numFmtId="168" fontId="46" fillId="0" borderId="21"/>
    <xf numFmtId="168" fontId="46" fillId="0" borderId="21"/>
    <xf numFmtId="168" fontId="46" fillId="0" borderId="21"/>
    <xf numFmtId="168" fontId="46" fillId="0" borderId="21"/>
    <xf numFmtId="168" fontId="46" fillId="0" borderId="21"/>
    <xf numFmtId="168" fontId="46" fillId="0" borderId="21"/>
    <xf numFmtId="168" fontId="46" fillId="0" borderId="21"/>
    <xf numFmtId="168" fontId="46" fillId="0" borderId="21"/>
    <xf numFmtId="168" fontId="46" fillId="0" borderId="21"/>
    <xf numFmtId="168" fontId="46" fillId="0" borderId="23"/>
    <xf numFmtId="168" fontId="46" fillId="43" borderId="0"/>
    <xf numFmtId="220" fontId="95" fillId="0" borderId="0"/>
    <xf numFmtId="221" fontId="95" fillId="0" borderId="0"/>
    <xf numFmtId="2" fontId="49" fillId="0" borderId="0"/>
    <xf numFmtId="2" fontId="3" fillId="0" borderId="0"/>
    <xf numFmtId="2" fontId="3" fillId="0" borderId="0"/>
    <xf numFmtId="2" fontId="82" fillId="0" borderId="0"/>
    <xf numFmtId="168" fontId="3" fillId="0" borderId="0"/>
    <xf numFmtId="168" fontId="3" fillId="0" borderId="0"/>
    <xf numFmtId="0" fontId="47" fillId="32" borderId="0" applyAlignment="1">
      <alignment horizontal="right"/>
    </xf>
    <xf numFmtId="168" fontId="46" fillId="0" borderId="0"/>
    <xf numFmtId="168" fontId="96" fillId="32" borderId="0"/>
    <xf numFmtId="0" fontId="97" fillId="72" borderId="0"/>
    <xf numFmtId="172" fontId="96" fillId="32" borderId="0"/>
    <xf numFmtId="0" fontId="97" fillId="72" borderId="0"/>
    <xf numFmtId="38" fontId="23" fillId="20" borderId="0"/>
    <xf numFmtId="38" fontId="23" fillId="20" borderId="0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168" fontId="98" fillId="0" borderId="0" applyAlignment="1">
      <alignment horizontal="center"/>
    </xf>
    <xf numFmtId="168" fontId="99" fillId="0" borderId="24" applyAlignment="1">
      <alignment horizontal="left"/>
    </xf>
    <xf numFmtId="168" fontId="99" fillId="0" borderId="24" applyAlignment="1">
      <alignment horizontal="left" vertical="center"/>
    </xf>
    <xf numFmtId="168" fontId="99" fillId="0" borderId="21" applyAlignment="1">
      <alignment horizontal="left"/>
    </xf>
    <xf numFmtId="168" fontId="99" fillId="0" borderId="21" applyAlignment="1">
      <alignment horizontal="left" vertical="center"/>
    </xf>
    <xf numFmtId="168" fontId="99" fillId="0" borderId="21" applyAlignment="1">
      <alignment horizontal="left" vertical="center"/>
    </xf>
    <xf numFmtId="168" fontId="99" fillId="0" borderId="21" applyAlignment="1">
      <alignment horizontal="left" vertical="center"/>
    </xf>
    <xf numFmtId="168" fontId="99" fillId="0" borderId="21" applyAlignment="1">
      <alignment horizontal="left" vertical="center"/>
    </xf>
    <xf numFmtId="168" fontId="99" fillId="0" borderId="21" applyAlignment="1">
      <alignment horizontal="left" vertical="center"/>
    </xf>
    <xf numFmtId="168" fontId="99" fillId="0" borderId="21" applyAlignment="1">
      <alignment horizontal="left" vertical="center"/>
    </xf>
    <xf numFmtId="168" fontId="99" fillId="0" borderId="21" applyAlignment="1">
      <alignment horizontal="left" vertical="center"/>
    </xf>
    <xf numFmtId="168" fontId="99" fillId="0" borderId="21" applyAlignment="1">
      <alignment horizontal="left" vertical="center"/>
    </xf>
    <xf numFmtId="168" fontId="99" fillId="0" borderId="21" applyAlignment="1">
      <alignment horizontal="left" vertical="center"/>
    </xf>
    <xf numFmtId="168" fontId="99" fillId="0" borderId="21" applyAlignment="1">
      <alignment horizontal="left" vertical="center"/>
    </xf>
    <xf numFmtId="168" fontId="99" fillId="0" borderId="21" applyAlignment="1">
      <alignment horizontal="left" vertical="center"/>
    </xf>
    <xf numFmtId="168" fontId="99" fillId="0" borderId="21" applyAlignment="1">
      <alignment horizontal="left" vertical="center"/>
    </xf>
    <xf numFmtId="168" fontId="99" fillId="0" borderId="21" applyAlignment="1">
      <alignment horizontal="left" vertical="center"/>
    </xf>
    <xf numFmtId="168" fontId="99" fillId="0" borderId="21" applyAlignment="1">
      <alignment horizontal="left" vertical="center"/>
    </xf>
    <xf numFmtId="168" fontId="99" fillId="0" borderId="21" applyAlignment="1">
      <alignment horizontal="left"/>
    </xf>
    <xf numFmtId="168" fontId="99" fillId="0" borderId="21" applyAlignment="1">
      <alignment horizontal="left"/>
    </xf>
    <xf numFmtId="168" fontId="99" fillId="0" borderId="21" applyAlignment="1">
      <alignment horizontal="left"/>
    </xf>
    <xf numFmtId="168" fontId="99" fillId="0" borderId="21" applyAlignment="1">
      <alignment horizontal="left"/>
    </xf>
    <xf numFmtId="168" fontId="99" fillId="0" borderId="21" applyAlignment="1">
      <alignment horizontal="left"/>
    </xf>
    <xf numFmtId="168" fontId="99" fillId="0" borderId="21" applyAlignment="1">
      <alignment horizontal="left"/>
    </xf>
    <xf numFmtId="168" fontId="99" fillId="0" borderId="21" applyAlignment="1">
      <alignment horizontal="left"/>
    </xf>
    <xf numFmtId="168" fontId="99" fillId="0" borderId="21" applyAlignment="1">
      <alignment horizontal="left"/>
    </xf>
    <xf numFmtId="168" fontId="99" fillId="0" borderId="21" applyAlignment="1">
      <alignment horizontal="left"/>
    </xf>
    <xf numFmtId="168" fontId="99" fillId="0" borderId="21" applyAlignment="1">
      <alignment horizontal="left"/>
    </xf>
    <xf numFmtId="168" fontId="99" fillId="0" borderId="21" applyAlignment="1">
      <alignment horizontal="left"/>
    </xf>
    <xf numFmtId="168" fontId="99" fillId="0" borderId="21" applyAlignment="1">
      <alignment horizontal="left"/>
    </xf>
    <xf numFmtId="168" fontId="99" fillId="0" borderId="21" applyAlignment="1">
      <alignment horizontal="left"/>
    </xf>
    <xf numFmtId="0" fontId="99" fillId="0" borderId="21" applyAlignment="1">
      <alignment horizontal="left" vertical="center"/>
    </xf>
    <xf numFmtId="223" fontId="100" fillId="8" borderId="0" applyAlignment="1">
      <alignment horizontal="left" vertical="top"/>
    </xf>
    <xf numFmtId="168" fontId="101" fillId="0" borderId="0"/>
    <xf numFmtId="0" fontId="102" fillId="0" borderId="25"/>
    <xf numFmtId="172" fontId="103" fillId="0" borderId="26"/>
    <xf numFmtId="0" fontId="102" fillId="0" borderId="25"/>
    <xf numFmtId="168" fontId="99" fillId="0" borderId="0"/>
    <xf numFmtId="0" fontId="104" fillId="0" borderId="27"/>
    <xf numFmtId="172" fontId="105" fillId="0" borderId="28"/>
    <xf numFmtId="0" fontId="104" fillId="0" borderId="27"/>
    <xf numFmtId="168" fontId="106" fillId="0" borderId="29"/>
    <xf numFmtId="0" fontId="107" fillId="0" borderId="30"/>
    <xf numFmtId="172" fontId="106" fillId="0" borderId="29"/>
    <xf numFmtId="0" fontId="107" fillId="0" borderId="30"/>
    <xf numFmtId="168" fontId="106" fillId="0" borderId="0"/>
    <xf numFmtId="0" fontId="107" fillId="0" borderId="0"/>
    <xf numFmtId="172" fontId="106" fillId="0" borderId="0"/>
    <xf numFmtId="0" fontId="107" fillId="0" borderId="0"/>
    <xf numFmtId="168" fontId="108" fillId="0" borderId="0"/>
    <xf numFmtId="168" fontId="99" fillId="0" borderId="0"/>
    <xf numFmtId="168" fontId="109" fillId="0" borderId="0"/>
    <xf numFmtId="168" fontId="60" fillId="0" borderId="0"/>
    <xf numFmtId="168" fontId="80" fillId="0" borderId="0"/>
    <xf numFmtId="168" fontId="110" fillId="0" borderId="0"/>
    <xf numFmtId="168" fontId="3" fillId="0" borderId="0" applyAlignment="1">
      <alignment horizontal="center"/>
    </xf>
    <xf numFmtId="168" fontId="3" fillId="0" borderId="0" applyAlignment="1">
      <alignment horizontal="center"/>
    </xf>
    <xf numFmtId="0" fontId="111" fillId="0" borderId="0"/>
    <xf numFmtId="0" fontId="112" fillId="0" borderId="0" applyAlignment="1" applyProtection="1">
      <alignment vertical="top"/>
      <protection locked="0" hidden="0"/>
    </xf>
    <xf numFmtId="0" fontId="112" fillId="0" borderId="0" applyAlignment="1" applyProtection="1">
      <alignment vertical="top"/>
      <protection locked="0" hidden="0"/>
    </xf>
    <xf numFmtId="0" fontId="111" fillId="0" borderId="0"/>
    <xf numFmtId="0" fontId="111" fillId="0" borderId="0"/>
    <xf numFmtId="0" fontId="111" fillId="0" borderId="0"/>
    <xf numFmtId="0" fontId="35" fillId="0" borderId="0" applyAlignment="1" applyProtection="1">
      <alignment vertical="top"/>
      <protection locked="0" hidden="0"/>
    </xf>
    <xf numFmtId="0" fontId="35" fillId="0" borderId="0" applyAlignment="1" applyProtection="1">
      <alignment vertical="top"/>
      <protection locked="0" hidden="0"/>
    </xf>
    <xf numFmtId="0" fontId="111" fillId="0" borderId="0"/>
    <xf numFmtId="168" fontId="113" fillId="0" borderId="0"/>
    <xf numFmtId="168" fontId="114" fillId="8" borderId="0" applyAlignment="1">
      <alignment horizontal="left" wrapText="1" indent="2"/>
    </xf>
    <xf numFmtId="178" fontId="115" fillId="0" borderId="31" applyAlignment="1" applyProtection="1">
      <alignment horizontal="center"/>
      <protection locked="0" hidden="0"/>
    </xf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201" fontId="115" fillId="0" borderId="0" applyProtection="1">
      <protection locked="0" hidden="0"/>
    </xf>
    <xf numFmtId="168" fontId="116" fillId="37" borderId="8"/>
    <xf numFmtId="0" fontId="117" fillId="37" borderId="14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72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72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0" fontId="117" fillId="37" borderId="14"/>
    <xf numFmtId="221" fontId="3" fillId="0" borderId="0"/>
    <xf numFmtId="221" fontId="3" fillId="0" borderId="0"/>
    <xf numFmtId="221" fontId="3" fillId="0" borderId="0"/>
    <xf numFmtId="43" fontId="3" fillId="0" borderId="0"/>
    <xf numFmtId="38" fontId="118" fillId="0" borderId="0"/>
    <xf numFmtId="38" fontId="119" fillId="0" borderId="0"/>
    <xf numFmtId="38" fontId="120" fillId="0" borderId="0"/>
    <xf numFmtId="38" fontId="121" fillId="0" borderId="0"/>
    <xf numFmtId="168" fontId="122" fillId="0" borderId="0"/>
    <xf numFmtId="168" fontId="122" fillId="0" borderId="0"/>
    <xf numFmtId="168" fontId="122" fillId="0" borderId="0"/>
    <xf numFmtId="0" fontId="123" fillId="0" borderId="0" applyAlignment="1" applyProtection="1">
      <alignment vertical="top"/>
      <protection locked="0" hidden="0"/>
    </xf>
    <xf numFmtId="185" fontId="3" fillId="0" borderId="0"/>
    <xf numFmtId="185" fontId="3" fillId="0" borderId="0"/>
    <xf numFmtId="181" fontId="3" fillId="0" borderId="0"/>
    <xf numFmtId="181" fontId="3" fillId="0" borderId="0"/>
    <xf numFmtId="185" fontId="3" fillId="0" borderId="0"/>
    <xf numFmtId="185" fontId="3" fillId="0" borderId="0"/>
    <xf numFmtId="186" fontId="3" fillId="0" borderId="0"/>
    <xf numFmtId="186" fontId="3" fillId="0" borderId="0"/>
    <xf numFmtId="181" fontId="3" fillId="0" borderId="0"/>
    <xf numFmtId="181" fontId="3" fillId="0" borderId="0"/>
    <xf numFmtId="168" fontId="124" fillId="0" borderId="32"/>
    <xf numFmtId="0" fontId="125" fillId="0" borderId="33"/>
    <xf numFmtId="172" fontId="124" fillId="0" borderId="32"/>
    <xf numFmtId="0" fontId="125" fillId="0" borderId="33"/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168" fontId="3" fillId="0" borderId="0" applyAlignment="1">
      <alignment horizontal="center"/>
    </xf>
    <xf numFmtId="168" fontId="3" fillId="0" borderId="0" applyAlignment="1">
      <alignment horizontal="center"/>
    </xf>
    <xf numFmtId="0" fontId="46" fillId="38" borderId="0"/>
    <xf numFmtId="41" fontId="3" fillId="0" borderId="0"/>
    <xf numFmtId="43" fontId="3" fillId="0" borderId="0"/>
    <xf numFmtId="225" fontId="3" fillId="0" borderId="0"/>
    <xf numFmtId="226" fontId="3" fillId="0" borderId="0"/>
    <xf numFmtId="42" fontId="3" fillId="0" borderId="0"/>
    <xf numFmtId="170" fontId="3" fillId="0" borderId="0"/>
    <xf numFmtId="227" fontId="3" fillId="0" borderId="0"/>
    <xf numFmtId="168" fontId="5" fillId="0" borderId="0" applyAlignment="1">
      <alignment horizontal="right"/>
    </xf>
    <xf numFmtId="168" fontId="60" fillId="0" borderId="0"/>
    <xf numFmtId="168" fontId="126" fillId="18" borderId="0"/>
    <xf numFmtId="0" fontId="127" fillId="73" borderId="0"/>
    <xf numFmtId="0" fontId="128" fillId="73" borderId="0"/>
    <xf numFmtId="172" fontId="126" fillId="18" borderId="0"/>
    <xf numFmtId="0" fontId="127" fillId="73" borderId="0"/>
    <xf numFmtId="37" fontId="129" fillId="0" borderId="0"/>
    <xf numFmtId="0" fontId="130" fillId="0" borderId="0"/>
    <xf numFmtId="168" fontId="113" fillId="0" borderId="0"/>
    <xf numFmtId="168" fontId="113" fillId="0" borderId="0"/>
    <xf numFmtId="168" fontId="113" fillId="0" borderId="0"/>
    <xf numFmtId="168" fontId="113" fillId="0" borderId="0"/>
    <xf numFmtId="168" fontId="113" fillId="0" borderId="0"/>
    <xf numFmtId="168" fontId="113" fillId="0" borderId="0"/>
    <xf numFmtId="168" fontId="113" fillId="0" borderId="0"/>
    <xf numFmtId="168" fontId="113" fillId="0" borderId="0"/>
    <xf numFmtId="228" fontId="3" fillId="0" borderId="0"/>
    <xf numFmtId="168" fontId="3" fillId="0" borderId="0"/>
    <xf numFmtId="168" fontId="3" fillId="0" borderId="0"/>
    <xf numFmtId="0" fontId="3" fillId="0" borderId="0"/>
    <xf numFmtId="228" fontId="3" fillId="0" borderId="0"/>
    <xf numFmtId="0" fontId="131" fillId="0" borderId="0"/>
    <xf numFmtId="38" fontId="3" fillId="0" borderId="0"/>
    <xf numFmtId="38" fontId="3" fillId="0" borderId="0"/>
    <xf numFmtId="229" fontId="3" fillId="0" borderId="0"/>
    <xf numFmtId="229" fontId="3" fillId="0" borderId="0"/>
    <xf numFmtId="0" fontId="3" fillId="0" borderId="0"/>
    <xf numFmtId="0" fontId="3" fillId="0" borderId="0"/>
    <xf numFmtId="0" fontId="4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44" fillId="0" borderId="0"/>
    <xf numFmtId="0" fontId="207" fillId="0" borderId="0"/>
    <xf numFmtId="172" fontId="207" fillId="0" borderId="0"/>
    <xf numFmtId="0" fontId="43" fillId="0" borderId="0"/>
    <xf numFmtId="172" fontId="207" fillId="0" borderId="0"/>
    <xf numFmtId="172" fontId="207" fillId="0" borderId="0"/>
    <xf numFmtId="172" fontId="207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43" fillId="0" borderId="0"/>
    <xf numFmtId="0" fontId="4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07" fillId="0" borderId="0"/>
    <xf numFmtId="172" fontId="207" fillId="0" borderId="0"/>
    <xf numFmtId="168" fontId="207" fillId="0" borderId="0"/>
    <xf numFmtId="172" fontId="207" fillId="0" borderId="0"/>
    <xf numFmtId="0" fontId="43" fillId="0" borderId="0"/>
    <xf numFmtId="172" fontId="207" fillId="0" borderId="0"/>
    <xf numFmtId="172" fontId="207" fillId="0" borderId="0"/>
    <xf numFmtId="0" fontId="44" fillId="0" borderId="0"/>
    <xf numFmtId="0" fontId="207" fillId="0" borderId="0"/>
    <xf numFmtId="168" fontId="207" fillId="0" borderId="0"/>
    <xf numFmtId="172" fontId="207" fillId="0" borderId="0"/>
    <xf numFmtId="168" fontId="207" fillId="0" borderId="0"/>
    <xf numFmtId="172" fontId="207" fillId="0" borderId="0"/>
    <xf numFmtId="0" fontId="43" fillId="0" borderId="0"/>
    <xf numFmtId="172" fontId="207" fillId="0" borderId="0"/>
    <xf numFmtId="172" fontId="207" fillId="0" borderId="0"/>
    <xf numFmtId="0" fontId="44" fillId="0" borderId="0"/>
    <xf numFmtId="0" fontId="23" fillId="0" borderId="0" applyAlignment="1">
      <alignment horizontal="left"/>
    </xf>
    <xf numFmtId="0" fontId="23" fillId="0" borderId="0" applyAlignment="1">
      <alignment horizontal="left"/>
    </xf>
    <xf numFmtId="0" fontId="23" fillId="0" borderId="0" applyAlignment="1">
      <alignment horizontal="left"/>
    </xf>
    <xf numFmtId="0" fontId="23" fillId="0" borderId="0" applyAlignment="1">
      <alignment horizontal="left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7" fillId="0" borderId="0"/>
    <xf numFmtId="168" fontId="207" fillId="0" borderId="0"/>
    <xf numFmtId="168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68" fontId="207" fillId="0" borderId="0"/>
    <xf numFmtId="172" fontId="207" fillId="0" borderId="0"/>
    <xf numFmtId="168" fontId="207" fillId="0" borderId="0"/>
    <xf numFmtId="172" fontId="207" fillId="0" borderId="0"/>
    <xf numFmtId="0" fontId="207" fillId="0" borderId="0"/>
    <xf numFmtId="172" fontId="207" fillId="0" borderId="0"/>
    <xf numFmtId="172" fontId="207" fillId="0" borderId="0"/>
    <xf numFmtId="0" fontId="20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7" fillId="0" borderId="0"/>
    <xf numFmtId="168" fontId="207" fillId="0" borderId="0"/>
    <xf numFmtId="168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68" fontId="207" fillId="0" borderId="0"/>
    <xf numFmtId="172" fontId="207" fillId="0" borderId="0"/>
    <xf numFmtId="168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0" fontId="207" fillId="0" borderId="0"/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3" fillId="0" borderId="0"/>
    <xf numFmtId="0" fontId="207" fillId="0" borderId="0"/>
    <xf numFmtId="168" fontId="207" fillId="0" borderId="0"/>
    <xf numFmtId="172" fontId="207" fillId="0" borderId="0"/>
    <xf numFmtId="168" fontId="207" fillId="0" borderId="0"/>
    <xf numFmtId="172" fontId="207" fillId="0" borderId="0"/>
    <xf numFmtId="172" fontId="207" fillId="0" borderId="0"/>
    <xf numFmtId="172" fontId="207" fillId="0" borderId="0"/>
    <xf numFmtId="168" fontId="207" fillId="0" borderId="0"/>
    <xf numFmtId="172" fontId="207" fillId="0" borderId="0"/>
    <xf numFmtId="168" fontId="207" fillId="0" borderId="0"/>
    <xf numFmtId="172" fontId="207" fillId="0" borderId="0"/>
    <xf numFmtId="0" fontId="43" fillId="0" borderId="0"/>
    <xf numFmtId="172" fontId="207" fillId="0" borderId="0"/>
    <xf numFmtId="172" fontId="207" fillId="0" borderId="0"/>
    <xf numFmtId="0" fontId="44" fillId="0" borderId="0"/>
    <xf numFmtId="0" fontId="44" fillId="0" borderId="0"/>
    <xf numFmtId="0" fontId="207" fillId="0" borderId="0"/>
    <xf numFmtId="0" fontId="207" fillId="0" borderId="0"/>
    <xf numFmtId="0" fontId="207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4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3" fillId="0" borderId="0"/>
    <xf numFmtId="0" fontId="207" fillId="0" borderId="0"/>
    <xf numFmtId="0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0" fontId="207" fillId="0" borderId="0"/>
    <xf numFmtId="0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0" fontId="207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0" fontId="3" fillId="0" borderId="0"/>
    <xf numFmtId="0" fontId="207" fillId="0" borderId="0"/>
    <xf numFmtId="0" fontId="3" fillId="0" borderId="0"/>
    <xf numFmtId="0" fontId="3" fillId="0" borderId="0"/>
    <xf numFmtId="0" fontId="3" fillId="0" borderId="0"/>
    <xf numFmtId="168" fontId="3" fillId="0" borderId="0"/>
    <xf numFmtId="0" fontId="207" fillId="0" borderId="0"/>
    <xf numFmtId="172" fontId="3" fillId="0" borderId="0" applyAlignment="1">
      <alignment vertical="center"/>
    </xf>
    <xf numFmtId="0" fontId="207" fillId="0" borderId="0"/>
    <xf numFmtId="0" fontId="207" fillId="0" borderId="0"/>
    <xf numFmtId="168" fontId="3" fillId="0" borderId="0"/>
    <xf numFmtId="0" fontId="207" fillId="0" borderId="0"/>
    <xf numFmtId="172" fontId="3" fillId="0" borderId="0" applyAlignment="1">
      <alignment vertical="center"/>
    </xf>
    <xf numFmtId="0" fontId="207" fillId="0" borderId="0"/>
    <xf numFmtId="172" fontId="3" fillId="0" borderId="0" applyAlignment="1">
      <alignment vertical="center"/>
    </xf>
    <xf numFmtId="0" fontId="23" fillId="0" borderId="0"/>
    <xf numFmtId="0" fontId="207" fillId="0" borderId="0"/>
    <xf numFmtId="172" fontId="3" fillId="0" borderId="0" applyAlignment="1">
      <alignment vertical="center"/>
    </xf>
    <xf numFmtId="0" fontId="207" fillId="0" borderId="0"/>
    <xf numFmtId="0" fontId="207" fillId="0" borderId="0"/>
    <xf numFmtId="0" fontId="23" fillId="0" borderId="0"/>
    <xf numFmtId="0" fontId="3" fillId="0" borderId="0"/>
    <xf numFmtId="0" fontId="3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72" fontId="44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3" fillId="0" borderId="0"/>
    <xf numFmtId="0" fontId="207" fillId="0" borderId="0"/>
    <xf numFmtId="168" fontId="3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3" fillId="0" borderId="0"/>
    <xf numFmtId="0" fontId="207" fillId="0" borderId="0"/>
    <xf numFmtId="0" fontId="207" fillId="0" borderId="0"/>
    <xf numFmtId="172" fontId="44" fillId="0" borderId="0" applyAlignment="1">
      <alignment vertical="center"/>
    </xf>
    <xf numFmtId="0" fontId="207" fillId="0" borderId="0"/>
    <xf numFmtId="0" fontId="52" fillId="0" borderId="0"/>
    <xf numFmtId="172" fontId="44" fillId="0" borderId="0" applyAlignment="1">
      <alignment vertical="center"/>
    </xf>
    <xf numFmtId="0" fontId="23" fillId="0" borderId="0" applyAlignment="1">
      <alignment horizontal="left"/>
    </xf>
    <xf numFmtId="0" fontId="23" fillId="0" borderId="0" applyAlignment="1">
      <alignment horizontal="left"/>
    </xf>
    <xf numFmtId="0" fontId="3" fillId="0" borderId="0"/>
    <xf numFmtId="172" fontId="44" fillId="0" borderId="0" applyAlignment="1">
      <alignment vertical="center"/>
    </xf>
    <xf numFmtId="0" fontId="114" fillId="0" borderId="0"/>
    <xf numFmtId="0" fontId="114" fillId="0" borderId="0"/>
    <xf numFmtId="0" fontId="75" fillId="0" borderId="0"/>
    <xf numFmtId="0" fontId="3" fillId="0" borderId="0"/>
    <xf numFmtId="0" fontId="3" fillId="0" borderId="0"/>
    <xf numFmtId="0" fontId="207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0" fontId="3" fillId="0" borderId="0"/>
    <xf numFmtId="0" fontId="207" fillId="0" borderId="0"/>
    <xf numFmtId="0" fontId="207" fillId="0" borderId="0"/>
    <xf numFmtId="0" fontId="207" fillId="0" borderId="0"/>
    <xf numFmtId="172" fontId="44" fillId="0" borderId="0" applyAlignment="1">
      <alignment vertical="center"/>
    </xf>
    <xf numFmtId="0" fontId="207" fillId="0" borderId="0"/>
    <xf numFmtId="0" fontId="23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8" fontId="3" fillId="0" borderId="0"/>
    <xf numFmtId="0" fontId="3" fillId="0" borderId="0"/>
    <xf numFmtId="0" fontId="132" fillId="0" borderId="0"/>
    <xf numFmtId="0" fontId="3" fillId="0" borderId="0"/>
    <xf numFmtId="172" fontId="44" fillId="0" borderId="0" applyAlignment="1">
      <alignment vertical="center"/>
    </xf>
    <xf numFmtId="0" fontId="132" fillId="0" borderId="0"/>
    <xf numFmtId="172" fontId="44" fillId="0" borderId="0" applyAlignment="1">
      <alignment vertical="center"/>
    </xf>
    <xf numFmtId="0" fontId="23" fillId="0" borderId="0"/>
    <xf numFmtId="0" fontId="3" fillId="0" borderId="0"/>
    <xf numFmtId="172" fontId="44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3" fillId="0" borderId="0"/>
    <xf numFmtId="0" fontId="43" fillId="0" borderId="0"/>
    <xf numFmtId="0" fontId="207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3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3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3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3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3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52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52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52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0" fontId="3" fillId="0" borderId="0"/>
    <xf numFmtId="0" fontId="3" fillId="0" borderId="0"/>
    <xf numFmtId="172" fontId="20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2" fontId="207" fillId="0" borderId="0"/>
    <xf numFmtId="0" fontId="3" fillId="0" borderId="0"/>
    <xf numFmtId="0" fontId="3" fillId="0" borderId="0"/>
    <xf numFmtId="168" fontId="3" fillId="0" borderId="0"/>
    <xf numFmtId="172" fontId="207" fillId="0" borderId="0"/>
    <xf numFmtId="172" fontId="207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3" fillId="0" borderId="0"/>
    <xf numFmtId="172" fontId="207" fillId="0" borderId="0"/>
    <xf numFmtId="0" fontId="3" fillId="0" borderId="0"/>
    <xf numFmtId="0" fontId="44" fillId="0" borderId="0"/>
    <xf numFmtId="0" fontId="43" fillId="0" borderId="0"/>
    <xf numFmtId="0" fontId="3" fillId="0" borderId="0"/>
    <xf numFmtId="172" fontId="207" fillId="0" borderId="0"/>
    <xf numFmtId="0" fontId="3" fillId="0" borderId="0"/>
    <xf numFmtId="168" fontId="3" fillId="0" borderId="0"/>
    <xf numFmtId="0" fontId="43" fillId="0" borderId="0"/>
    <xf numFmtId="172" fontId="207" fillId="0" borderId="0"/>
    <xf numFmtId="0" fontId="207" fillId="0" borderId="0"/>
    <xf numFmtId="172" fontId="207" fillId="0" borderId="0"/>
    <xf numFmtId="0" fontId="23" fillId="0" borderId="0"/>
    <xf numFmtId="0" fontId="207" fillId="0" borderId="0"/>
    <xf numFmtId="0" fontId="3" fillId="0" borderId="0"/>
    <xf numFmtId="0" fontId="44" fillId="0" borderId="0"/>
    <xf numFmtId="0" fontId="3" fillId="0" borderId="0"/>
    <xf numFmtId="0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3" fillId="0" borderId="0"/>
    <xf numFmtId="0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207" fillId="0" borderId="0"/>
    <xf numFmtId="0" fontId="3" fillId="0" borderId="0"/>
    <xf numFmtId="0" fontId="3" fillId="0" borderId="0"/>
    <xf numFmtId="0" fontId="207" fillId="0" borderId="0"/>
    <xf numFmtId="0" fontId="3" fillId="0" borderId="0"/>
    <xf numFmtId="168" fontId="3" fillId="0" borderId="0"/>
    <xf numFmtId="172" fontId="207" fillId="0" borderId="0"/>
    <xf numFmtId="0" fontId="43" fillId="0" borderId="0"/>
    <xf numFmtId="172" fontId="207" fillId="0" borderId="0"/>
    <xf numFmtId="172" fontId="207" fillId="0" borderId="0"/>
    <xf numFmtId="172" fontId="207" fillId="0" borderId="0"/>
    <xf numFmtId="0" fontId="44" fillId="0" borderId="0"/>
    <xf numFmtId="0" fontId="43" fillId="0" borderId="0"/>
    <xf numFmtId="0" fontId="3" fillId="0" borderId="0"/>
    <xf numFmtId="172" fontId="207" fillId="0" borderId="0"/>
    <xf numFmtId="0" fontId="3" fillId="0" borderId="0"/>
    <xf numFmtId="168" fontId="3" fillId="0" borderId="0"/>
    <xf numFmtId="0" fontId="44" fillId="0" borderId="0"/>
    <xf numFmtId="172" fontId="207" fillId="0" borderId="0"/>
    <xf numFmtId="0" fontId="207" fillId="0" borderId="0"/>
    <xf numFmtId="172" fontId="207" fillId="0" borderId="0"/>
    <xf numFmtId="0" fontId="23" fillId="0" borderId="0"/>
    <xf numFmtId="172" fontId="207" fillId="0" borderId="0"/>
    <xf numFmtId="0" fontId="23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207" fillId="0" borderId="0"/>
    <xf numFmtId="0" fontId="207" fillId="0" borderId="0"/>
    <xf numFmtId="0" fontId="43" fillId="0" borderId="0"/>
    <xf numFmtId="0" fontId="43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43" fillId="0" borderId="0"/>
    <xf numFmtId="168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44" fillId="0" borderId="0"/>
    <xf numFmtId="168" fontId="3" fillId="0" borderId="0"/>
    <xf numFmtId="0" fontId="44" fillId="0" borderId="0"/>
    <xf numFmtId="172" fontId="207" fillId="0" borderId="0"/>
    <xf numFmtId="0" fontId="23" fillId="0" borderId="0"/>
    <xf numFmtId="172" fontId="207" fillId="0" borderId="0"/>
    <xf numFmtId="172" fontId="207" fillId="0" borderId="0"/>
    <xf numFmtId="172" fontId="207" fillId="0" borderId="0"/>
    <xf numFmtId="0" fontId="75" fillId="0" borderId="0"/>
    <xf numFmtId="0" fontId="44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3" fillId="0" borderId="0"/>
    <xf numFmtId="0" fontId="3" fillId="0" borderId="0"/>
    <xf numFmtId="0" fontId="207" fillId="0" borderId="0"/>
    <xf numFmtId="0" fontId="207" fillId="0" borderId="0"/>
    <xf numFmtId="0" fontId="3" fillId="0" borderId="0"/>
    <xf numFmtId="0" fontId="3" fillId="0" borderId="0"/>
    <xf numFmtId="0" fontId="3" fillId="0" borderId="0"/>
    <xf numFmtId="0" fontId="207" fillId="0" borderId="0"/>
    <xf numFmtId="0" fontId="207" fillId="0" borderId="0"/>
    <xf numFmtId="0" fontId="43" fillId="0" borderId="0"/>
    <xf numFmtId="168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68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44" fillId="0" borderId="0"/>
    <xf numFmtId="0" fontId="207" fillId="0" borderId="0"/>
    <xf numFmtId="0" fontId="133" fillId="0" borderId="0"/>
    <xf numFmtId="0" fontId="133" fillId="0" borderId="0"/>
    <xf numFmtId="0" fontId="207" fillId="0" borderId="0"/>
    <xf numFmtId="0" fontId="1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168" fontId="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68" fontId="3" fillId="0" borderId="0"/>
    <xf numFmtId="172" fontId="207" fillId="0" borderId="0"/>
    <xf numFmtId="0" fontId="75" fillId="0" borderId="0"/>
    <xf numFmtId="172" fontId="207" fillId="0" borderId="0"/>
    <xf numFmtId="172" fontId="207" fillId="0" borderId="0"/>
    <xf numFmtId="172" fontId="207" fillId="0" borderId="0"/>
    <xf numFmtId="0" fontId="75" fillId="0" borderId="0"/>
    <xf numFmtId="0" fontId="207" fillId="0" borderId="0"/>
    <xf numFmtId="0" fontId="207" fillId="0" borderId="0"/>
    <xf numFmtId="0" fontId="20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" fillId="0" borderId="0"/>
    <xf numFmtId="168" fontId="3" fillId="0" borderId="0"/>
    <xf numFmtId="0" fontId="43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0" fontId="44" fillId="0" borderId="0"/>
    <xf numFmtId="168" fontId="3" fillId="0" borderId="0"/>
    <xf numFmtId="172" fontId="207" fillId="0" borderId="0"/>
    <xf numFmtId="0" fontId="43" fillId="0" borderId="0"/>
    <xf numFmtId="172" fontId="207" fillId="0" borderId="0"/>
    <xf numFmtId="172" fontId="207" fillId="0" borderId="0"/>
    <xf numFmtId="172" fontId="207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48" fillId="0" borderId="0"/>
    <xf numFmtId="0" fontId="3" fillId="0" borderId="0"/>
    <xf numFmtId="168" fontId="3" fillId="0" borderId="0"/>
    <xf numFmtId="168" fontId="49" fillId="0" borderId="0"/>
    <xf numFmtId="0" fontId="207" fillId="8" borderId="35"/>
    <xf numFmtId="0" fontId="207" fillId="8" borderId="35"/>
    <xf numFmtId="0" fontId="207" fillId="8" borderId="35"/>
    <xf numFmtId="0" fontId="207" fillId="8" borderId="35"/>
    <xf numFmtId="0" fontId="207" fillId="8" borderId="35"/>
    <xf numFmtId="0" fontId="207" fillId="8" borderId="35"/>
    <xf numFmtId="0" fontId="207" fillId="8" borderId="35"/>
    <xf numFmtId="0" fontId="207" fillId="8" borderId="35"/>
    <xf numFmtId="0" fontId="207" fillId="8" borderId="35"/>
    <xf numFmtId="0" fontId="207" fillId="8" borderId="35"/>
    <xf numFmtId="0" fontId="207" fillId="8" borderId="35"/>
    <xf numFmtId="0" fontId="207" fillId="8" borderId="35"/>
    <xf numFmtId="0" fontId="207" fillId="8" borderId="35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0" fontId="207" fillId="8" borderId="35"/>
    <xf numFmtId="172" fontId="75" fillId="8" borderId="7"/>
    <xf numFmtId="168" fontId="3" fillId="8" borderId="7"/>
    <xf numFmtId="172" fontId="75" fillId="8" borderId="7"/>
    <xf numFmtId="168" fontId="3" fillId="8" borderId="7"/>
    <xf numFmtId="168" fontId="3" fillId="8" borderId="7"/>
    <xf numFmtId="168" fontId="3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68" fontId="3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68" fontId="3" fillId="8" borderId="7"/>
    <xf numFmtId="168" fontId="3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68" fontId="3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68" fontId="3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68" fontId="3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68" fontId="3" fillId="8" borderId="7"/>
    <xf numFmtId="168" fontId="3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68" fontId="3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68" fontId="3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68" fontId="3" fillId="8" borderId="7"/>
    <xf numFmtId="168" fontId="3" fillId="8" borderId="7"/>
    <xf numFmtId="168" fontId="3" fillId="8" borderId="7"/>
    <xf numFmtId="168" fontId="3" fillId="8" borderId="7"/>
    <xf numFmtId="168" fontId="3" fillId="8" borderId="7"/>
    <xf numFmtId="172" fontId="75" fillId="8" borderId="7"/>
    <xf numFmtId="168" fontId="3" fillId="8" borderId="7"/>
    <xf numFmtId="168" fontId="3" fillId="8" borderId="7"/>
    <xf numFmtId="168" fontId="3" fillId="8" borderId="7"/>
    <xf numFmtId="172" fontId="75" fillId="8" borderId="7"/>
    <xf numFmtId="168" fontId="3" fillId="8" borderId="7"/>
    <xf numFmtId="172" fontId="75" fillId="8" borderId="7"/>
    <xf numFmtId="168" fontId="3" fillId="8" borderId="7"/>
    <xf numFmtId="172" fontId="75" fillId="8" borderId="7"/>
    <xf numFmtId="168" fontId="3" fillId="8" borderId="7"/>
    <xf numFmtId="168" fontId="3" fillId="8" borderId="7"/>
    <xf numFmtId="172" fontId="75" fillId="8" borderId="7"/>
    <xf numFmtId="168" fontId="3" fillId="8" borderId="7"/>
    <xf numFmtId="172" fontId="75" fillId="8" borderId="7"/>
    <xf numFmtId="172" fontId="75" fillId="8" borderId="7"/>
    <xf numFmtId="172" fontId="75" fillId="8" borderId="7"/>
    <xf numFmtId="168" fontId="3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0" fontId="207" fillId="8" borderId="35"/>
    <xf numFmtId="172" fontId="75" fillId="8" borderId="7"/>
    <xf numFmtId="0" fontId="207" fillId="8" borderId="35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0" fontId="207" fillId="8" borderId="35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0" fontId="207" fillId="8" borderId="35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0" fontId="207" fillId="8" borderId="35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0" fontId="207" fillId="8" borderId="35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0" fontId="207" fillId="8" borderId="35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0" fontId="207" fillId="8" borderId="35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68" fontId="3" fillId="0" borderId="0"/>
    <xf numFmtId="168" fontId="3" fillId="0" borderId="0"/>
    <xf numFmtId="0" fontId="207" fillId="8" borderId="35"/>
    <xf numFmtId="2" fontId="74" fillId="0" borderId="0"/>
    <xf numFmtId="0" fontId="3" fillId="0" borderId="0"/>
    <xf numFmtId="168" fontId="3" fillId="0" borderId="0"/>
    <xf numFmtId="168" fontId="3" fillId="0" borderId="0"/>
    <xf numFmtId="168" fontId="135" fillId="0" borderId="0"/>
    <xf numFmtId="168" fontId="136" fillId="20" borderId="36"/>
    <xf numFmtId="0" fontId="137" fillId="68" borderId="37"/>
    <xf numFmtId="168" fontId="136" fillId="20" borderId="36"/>
    <xf numFmtId="168" fontId="136" fillId="20" borderId="36"/>
    <xf numFmtId="168" fontId="136" fillId="20" borderId="36"/>
    <xf numFmtId="168" fontId="136" fillId="20" borderId="36"/>
    <xf numFmtId="168" fontId="136" fillId="20" borderId="36"/>
    <xf numFmtId="168" fontId="136" fillId="20" borderId="36"/>
    <xf numFmtId="168" fontId="136" fillId="20" borderId="36"/>
    <xf numFmtId="168" fontId="136" fillId="20" borderId="36"/>
    <xf numFmtId="168" fontId="136" fillId="20" borderId="36"/>
    <xf numFmtId="168" fontId="136" fillId="20" borderId="36"/>
    <xf numFmtId="168" fontId="136" fillId="20" borderId="36"/>
    <xf numFmtId="168" fontId="136" fillId="20" borderId="36"/>
    <xf numFmtId="168" fontId="136" fillId="20" borderId="36"/>
    <xf numFmtId="172" fontId="136" fillId="20" borderId="36"/>
    <xf numFmtId="0" fontId="137" fillId="68" borderId="37"/>
    <xf numFmtId="172" fontId="136" fillId="20" borderId="36"/>
    <xf numFmtId="230" fontId="3" fillId="0" borderId="0"/>
    <xf numFmtId="230" fontId="3" fillId="0" borderId="0"/>
    <xf numFmtId="231" fontId="95" fillId="0" borderId="0"/>
    <xf numFmtId="232" fontId="95" fillId="0" borderId="0"/>
    <xf numFmtId="177" fontId="84" fillId="0" borderId="38" applyAlignment="1">
      <alignment horizontal="right"/>
    </xf>
    <xf numFmtId="233" fontId="4" fillId="0" borderId="0"/>
    <xf numFmtId="178" fontId="49" fillId="0" borderId="0" applyProtection="1">
      <protection locked="0" hidden="0"/>
    </xf>
    <xf numFmtId="178" fontId="49" fillId="0" borderId="0" applyProtection="1">
      <protection locked="0" hidden="0"/>
    </xf>
    <xf numFmtId="10" fontId="49" fillId="0" borderId="0" applyProtection="1">
      <protection locked="0" hidden="0"/>
    </xf>
    <xf numFmtId="10" fontId="49" fillId="0" borderId="0" applyProtection="1">
      <protection locked="0" hidden="0"/>
    </xf>
    <xf numFmtId="184" fontId="3" fillId="0" borderId="0"/>
    <xf numFmtId="184" fontId="3" fillId="0" borderId="0"/>
    <xf numFmtId="234" fontId="3" fillId="0" borderId="0"/>
    <xf numFmtId="10" fontId="3" fillId="0" borderId="0"/>
    <xf numFmtId="10" fontId="3" fillId="0" borderId="0"/>
    <xf numFmtId="10" fontId="3" fillId="0" borderId="0"/>
    <xf numFmtId="235" fontId="3" fillId="0" borderId="0"/>
    <xf numFmtId="9" fontId="207" fillId="0" borderId="0"/>
    <xf numFmtId="9" fontId="207" fillId="0" borderId="0"/>
    <xf numFmtId="9" fontId="207" fillId="0" borderId="0"/>
    <xf numFmtId="9" fontId="207" fillId="0" borderId="0"/>
    <xf numFmtId="9" fontId="207" fillId="0" borderId="0"/>
    <xf numFmtId="9" fontId="207" fillId="0" borderId="0"/>
    <xf numFmtId="9" fontId="207" fillId="0" borderId="0"/>
    <xf numFmtId="9" fontId="207" fillId="0" borderId="0"/>
    <xf numFmtId="9" fontId="207" fillId="0" borderId="0"/>
    <xf numFmtId="9" fontId="207" fillId="0" borderId="0"/>
    <xf numFmtId="9" fontId="207" fillId="0" borderId="0"/>
    <xf numFmtId="9" fontId="207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07" fillId="0" borderId="0"/>
    <xf numFmtId="9" fontId="207" fillId="0" borderId="0"/>
    <xf numFmtId="9" fontId="207" fillId="0" borderId="0"/>
    <xf numFmtId="9" fontId="3" fillId="0" borderId="0"/>
    <xf numFmtId="9" fontId="3" fillId="0" borderId="0"/>
    <xf numFmtId="9" fontId="207" fillId="0" borderId="0"/>
    <xf numFmtId="9" fontId="207" fillId="0" borderId="0"/>
    <xf numFmtId="9" fontId="207" fillId="0" borderId="0"/>
    <xf numFmtId="9" fontId="207" fillId="0" borderId="0"/>
    <xf numFmtId="9" fontId="207" fillId="0" borderId="0"/>
    <xf numFmtId="9" fontId="207" fillId="0" borderId="0"/>
    <xf numFmtId="9" fontId="207" fillId="0" borderId="0"/>
    <xf numFmtId="9" fontId="207" fillId="0" borderId="0"/>
    <xf numFmtId="9" fontId="133" fillId="0" borderId="0"/>
    <xf numFmtId="9" fontId="133" fillId="0" borderId="0"/>
    <xf numFmtId="9" fontId="133" fillId="0" borderId="0"/>
    <xf numFmtId="9" fontId="43" fillId="0" borderId="0"/>
    <xf numFmtId="9" fontId="3" fillId="0" borderId="0"/>
    <xf numFmtId="9" fontId="3" fillId="0" borderId="0"/>
    <xf numFmtId="9" fontId="207" fillId="0" borderId="0"/>
    <xf numFmtId="9" fontId="43" fillId="0" borderId="0"/>
    <xf numFmtId="9" fontId="44" fillId="0" borderId="0"/>
    <xf numFmtId="9" fontId="43" fillId="0" borderId="0"/>
    <xf numFmtId="9" fontId="43" fillId="0" borderId="0"/>
    <xf numFmtId="9" fontId="43" fillId="0" borderId="0"/>
    <xf numFmtId="9" fontId="43" fillId="0" borderId="0"/>
    <xf numFmtId="9" fontId="43" fillId="0" borderId="0"/>
    <xf numFmtId="9" fontId="43" fillId="0" borderId="0"/>
    <xf numFmtId="9" fontId="43" fillId="0" borderId="0"/>
    <xf numFmtId="9" fontId="43" fillId="0" borderId="0"/>
    <xf numFmtId="9" fontId="43" fillId="0" borderId="0"/>
    <xf numFmtId="9" fontId="3" fillId="0" borderId="0"/>
    <xf numFmtId="9" fontId="3" fillId="0" borderId="0"/>
    <xf numFmtId="9" fontId="43" fillId="0" borderId="0"/>
    <xf numFmtId="9" fontId="44" fillId="0" borderId="0"/>
    <xf numFmtId="9" fontId="3" fillId="0" borderId="0"/>
    <xf numFmtId="9" fontId="3" fillId="0" borderId="0"/>
    <xf numFmtId="9" fontId="43" fillId="0" borderId="0"/>
    <xf numFmtId="9" fontId="44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07" fillId="0" borderId="0"/>
    <xf numFmtId="9" fontId="207" fillId="0" borderId="0"/>
    <xf numFmtId="9" fontId="207" fillId="0" borderId="0"/>
    <xf numFmtId="9" fontId="207" fillId="0" borderId="0"/>
    <xf numFmtId="10" fontId="64" fillId="4" borderId="0"/>
    <xf numFmtId="185" fontId="3" fillId="0" borderId="0"/>
    <xf numFmtId="185" fontId="3" fillId="0" borderId="0"/>
    <xf numFmtId="181" fontId="3" fillId="0" borderId="0"/>
    <xf numFmtId="181" fontId="3" fillId="0" borderId="0"/>
    <xf numFmtId="185" fontId="3" fillId="0" borderId="0"/>
    <xf numFmtId="185" fontId="3" fillId="0" borderId="0"/>
    <xf numFmtId="186" fontId="3" fillId="0" borderId="0"/>
    <xf numFmtId="186" fontId="3" fillId="0" borderId="0"/>
    <xf numFmtId="181" fontId="3" fillId="0" borderId="0"/>
    <xf numFmtId="181" fontId="3" fillId="0" borderId="0"/>
    <xf numFmtId="168" fontId="3" fillId="0" borderId="0"/>
    <xf numFmtId="168" fontId="3" fillId="0" borderId="0"/>
    <xf numFmtId="4" fontId="138" fillId="0" borderId="0" applyAlignment="1">
      <alignment horizontal="right" vertical="top" wrapText="1"/>
    </xf>
    <xf numFmtId="9" fontId="5" fillId="0" borderId="0"/>
    <xf numFmtId="0" fontId="5" fillId="0" borderId="0" applyAlignment="1">
      <alignment horizontal="left"/>
    </xf>
    <xf numFmtId="15" fontId="5" fillId="0" borderId="0"/>
    <xf numFmtId="4" fontId="5" fillId="0" borderId="0"/>
    <xf numFmtId="0" fontId="139" fillId="0" borderId="39" applyAlignment="1">
      <alignment horizontal="center"/>
    </xf>
    <xf numFmtId="3" fontId="5" fillId="0" borderId="0"/>
    <xf numFmtId="0" fontId="5" fillId="74" borderId="0"/>
    <xf numFmtId="1" fontId="138" fillId="0" borderId="0" applyAlignment="1">
      <alignment horizontal="center" vertical="top" wrapText="1"/>
    </xf>
    <xf numFmtId="3" fontId="140" fillId="0" borderId="0"/>
    <xf numFmtId="3" fontId="60" fillId="0" borderId="0"/>
    <xf numFmtId="3" fontId="60" fillId="0" borderId="0"/>
    <xf numFmtId="3" fontId="140" fillId="0" borderId="0"/>
    <xf numFmtId="236" fontId="4" fillId="0" borderId="0" applyAlignment="1">
      <alignment horizontal="left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99" fillId="77" borderId="0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142" fillId="0" borderId="0"/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168" fontId="144" fillId="0" borderId="41"/>
    <xf numFmtId="168" fontId="144" fillId="0" borderId="41"/>
    <xf numFmtId="168" fontId="144" fillId="0" borderId="41"/>
    <xf numFmtId="168" fontId="144" fillId="0" borderId="41"/>
    <xf numFmtId="168" fontId="144" fillId="0" borderId="41"/>
    <xf numFmtId="168" fontId="144" fillId="0" borderId="41"/>
    <xf numFmtId="168" fontId="144" fillId="0" borderId="41"/>
    <xf numFmtId="168" fontId="144" fillId="0" borderId="41"/>
    <xf numFmtId="168" fontId="144" fillId="0" borderId="41"/>
    <xf numFmtId="168" fontId="144" fillId="0" borderId="41"/>
    <xf numFmtId="168" fontId="144" fillId="0" borderId="41"/>
    <xf numFmtId="179" fontId="145" fillId="0" borderId="0"/>
    <xf numFmtId="0" fontId="146" fillId="78" borderId="0"/>
    <xf numFmtId="0" fontId="147" fillId="78" borderId="0"/>
    <xf numFmtId="0" fontId="148" fillId="78" borderId="42"/>
    <xf numFmtId="0" fontId="148" fillId="78" borderId="0"/>
    <xf numFmtId="0" fontId="146" fillId="4" borderId="42" applyProtection="1">
      <protection locked="0" hidden="0"/>
    </xf>
    <xf numFmtId="0" fontId="146" fillId="78" borderId="0"/>
    <xf numFmtId="0" fontId="149" fillId="79" borderId="0"/>
    <xf numFmtId="0" fontId="149" fillId="43" borderId="0"/>
    <xf numFmtId="0" fontId="149" fillId="6" borderId="0"/>
    <xf numFmtId="237" fontId="3" fillId="0" borderId="0"/>
    <xf numFmtId="225" fontId="3" fillId="0" borderId="0"/>
    <xf numFmtId="38" fontId="5" fillId="80" borderId="0"/>
    <xf numFmtId="38" fontId="5" fillId="80" borderId="0"/>
    <xf numFmtId="0" fontId="207" fillId="0" borderId="0"/>
    <xf numFmtId="0" fontId="3" fillId="0" borderId="0"/>
    <xf numFmtId="0" fontId="3" fillId="0" borderId="0"/>
    <xf numFmtId="168" fontId="47" fillId="0" borderId="0"/>
    <xf numFmtId="0" fontId="3" fillId="0" borderId="0"/>
    <xf numFmtId="168" fontId="5" fillId="0" borderId="0"/>
    <xf numFmtId="168" fontId="5" fillId="0" borderId="0"/>
    <xf numFmtId="0" fontId="48" fillId="0" borderId="0"/>
    <xf numFmtId="0" fontId="3" fillId="0" borderId="0"/>
    <xf numFmtId="172" fontId="73" fillId="0" borderId="0" applyAlignment="1">
      <alignment horizontal="center"/>
    </xf>
    <xf numFmtId="168" fontId="150" fillId="8" borderId="0" applyAlignment="1">
      <alignment wrapText="1"/>
    </xf>
    <xf numFmtId="168" fontId="151" fillId="0" borderId="43"/>
    <xf numFmtId="168" fontId="152" fillId="0" borderId="0"/>
    <xf numFmtId="40" fontId="153" fillId="0" borderId="0" applyAlignment="1">
      <alignment horizontal="right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38" fontId="155" fillId="0" borderId="0"/>
    <xf numFmtId="235" fontId="3" fillId="0" borderId="0"/>
    <xf numFmtId="38" fontId="156" fillId="0" borderId="31" applyAlignment="1" applyProtection="1">
      <alignment horizontal="right"/>
      <protection locked="0" hidden="0"/>
    </xf>
    <xf numFmtId="168" fontId="76" fillId="80" borderId="0" applyAlignment="1">
      <alignment horizontal="center"/>
    </xf>
    <xf numFmtId="49" fontId="46" fillId="0" borderId="0"/>
    <xf numFmtId="49" fontId="3" fillId="0" borderId="0"/>
    <xf numFmtId="238" fontId="3" fillId="0" borderId="0"/>
    <xf numFmtId="238" fontId="3" fillId="0" borderId="0"/>
    <xf numFmtId="239" fontId="3" fillId="0" borderId="0"/>
    <xf numFmtId="239" fontId="3" fillId="0" borderId="0"/>
    <xf numFmtId="0" fontId="3" fillId="0" borderId="0" applyAlignment="1">
      <alignment horizontal="right"/>
    </xf>
    <xf numFmtId="240" fontId="4" fillId="0" borderId="0"/>
    <xf numFmtId="241" fontId="4" fillId="0" borderId="0"/>
    <xf numFmtId="0" fontId="3" fillId="0" borderId="0" applyAlignment="1">
      <alignment horizontal="right"/>
    </xf>
    <xf numFmtId="0" fontId="3" fillId="0" borderId="0" applyAlignment="1">
      <alignment horizontal="right"/>
    </xf>
    <xf numFmtId="0" fontId="3" fillId="0" borderId="0" applyAlignment="1">
      <alignment horizontal="right"/>
    </xf>
    <xf numFmtId="18" fontId="83" fillId="0" borderId="0" applyAlignment="1">
      <alignment horizontal="left"/>
    </xf>
    <xf numFmtId="168" fontId="157" fillId="0" borderId="0" applyAlignment="1">
      <alignment horizontal="right"/>
    </xf>
    <xf numFmtId="168" fontId="158" fillId="0" borderId="0"/>
    <xf numFmtId="0" fontId="159" fillId="0" borderId="0"/>
    <xf numFmtId="172" fontId="158" fillId="0" borderId="0"/>
    <xf numFmtId="0" fontId="159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168" fontId="3" fillId="0" borderId="44"/>
    <xf numFmtId="168" fontId="3" fillId="0" borderId="44"/>
    <xf numFmtId="0" fontId="161" fillId="0" borderId="45"/>
    <xf numFmtId="172" fontId="162" fillId="0" borderId="46"/>
    <xf numFmtId="0" fontId="161" fillId="0" borderId="45"/>
    <xf numFmtId="172" fontId="162" fillId="0" borderId="46"/>
    <xf numFmtId="10" fontId="163" fillId="0" borderId="47"/>
    <xf numFmtId="168" fontId="3" fillId="0" borderId="0"/>
    <xf numFmtId="168" fontId="3" fillId="0" borderId="0"/>
    <xf numFmtId="43" fontId="3" fillId="0" borderId="0"/>
    <xf numFmtId="168" fontId="3" fillId="0" borderId="0" applyAlignment="1">
      <alignment horizontal="center" textRotation="180"/>
    </xf>
    <xf numFmtId="168" fontId="3" fillId="0" borderId="0" applyAlignment="1">
      <alignment horizontal="center" textRotation="180"/>
    </xf>
    <xf numFmtId="242" fontId="3" fillId="0" borderId="0"/>
    <xf numFmtId="243" fontId="3" fillId="0" borderId="0"/>
    <xf numFmtId="242" fontId="3" fillId="0" borderId="0"/>
    <xf numFmtId="243" fontId="3" fillId="0" borderId="0"/>
    <xf numFmtId="244" fontId="3" fillId="0" borderId="0"/>
    <xf numFmtId="245" fontId="3" fillId="0" borderId="0"/>
    <xf numFmtId="168" fontId="26" fillId="0" borderId="0"/>
    <xf numFmtId="0" fontId="164" fillId="0" borderId="0"/>
    <xf numFmtId="172" fontId="26" fillId="0" borderId="0"/>
    <xf numFmtId="0" fontId="164" fillId="0" borderId="0"/>
    <xf numFmtId="0" fontId="3" fillId="0" borderId="0" applyAlignment="1">
      <alignment horizontal="left" wrapText="1"/>
    </xf>
    <xf numFmtId="246" fontId="113" fillId="0" borderId="0"/>
    <xf numFmtId="247" fontId="113" fillId="0" borderId="0"/>
    <xf numFmtId="231" fontId="3" fillId="0" borderId="21"/>
    <xf numFmtId="231" fontId="3" fillId="0" borderId="21"/>
    <xf numFmtId="231" fontId="3" fillId="0" borderId="21"/>
    <xf numFmtId="231" fontId="3" fillId="0" borderId="21"/>
    <xf numFmtId="231" fontId="3" fillId="0" borderId="21"/>
    <xf numFmtId="231" fontId="3" fillId="0" borderId="21"/>
    <xf numFmtId="231" fontId="3" fillId="0" borderId="21"/>
    <xf numFmtId="231" fontId="3" fillId="0" borderId="21"/>
    <xf numFmtId="231" fontId="3" fillId="0" borderId="21"/>
    <xf numFmtId="231" fontId="3" fillId="0" borderId="21"/>
    <xf numFmtId="231" fontId="3" fillId="0" borderId="21"/>
    <xf numFmtId="231" fontId="3" fillId="0" borderId="21"/>
    <xf numFmtId="231" fontId="3" fillId="0" borderId="21"/>
    <xf numFmtId="231" fontId="3" fillId="0" borderId="21"/>
    <xf numFmtId="248" fontId="165" fillId="0" borderId="0" applyProtection="1">
      <protection locked="0" hidden="0"/>
    </xf>
    <xf numFmtId="0" fontId="57" fillId="57" borderId="0"/>
    <xf numFmtId="0" fontId="57" fillId="58" borderId="0"/>
    <xf numFmtId="0" fontId="57" fillId="61" borderId="0"/>
    <xf numFmtId="0" fontId="57" fillId="62" borderId="0"/>
    <xf numFmtId="0" fontId="57" fillId="63" borderId="0"/>
    <xf numFmtId="0" fontId="57" fillId="65" borderId="0"/>
    <xf numFmtId="0" fontId="117" fillId="37" borderId="14"/>
    <xf numFmtId="0" fontId="137" fillId="68" borderId="37"/>
    <xf numFmtId="0" fontId="68" fillId="68" borderId="14"/>
    <xf numFmtId="0" fontId="35" fillId="0" borderId="0" applyAlignment="1" applyProtection="1">
      <alignment vertical="top"/>
      <protection locked="0" hidden="0"/>
    </xf>
    <xf numFmtId="0" fontId="111" fillId="0" borderId="0"/>
    <xf numFmtId="0" fontId="35" fillId="0" borderId="0" applyAlignment="1" applyProtection="1">
      <alignment vertical="top"/>
      <protection locked="0" hidden="0"/>
    </xf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0" fontId="102" fillId="0" borderId="25"/>
    <xf numFmtId="0" fontId="104" fillId="0" borderId="27"/>
    <xf numFmtId="0" fontId="166" fillId="0" borderId="0" applyAlignment="1">
      <alignment horizontal="left" vertical="top" wrapText="1"/>
    </xf>
    <xf numFmtId="0" fontId="107" fillId="0" borderId="30"/>
    <xf numFmtId="0" fontId="107" fillId="0" borderId="0"/>
    <xf numFmtId="0" fontId="161" fillId="0" borderId="45"/>
    <xf numFmtId="0" fontId="69" fillId="70" borderId="17"/>
    <xf numFmtId="0" fontId="159" fillId="0" borderId="0"/>
    <xf numFmtId="0" fontId="160" fillId="0" borderId="0"/>
    <xf numFmtId="0" fontId="127" fillId="73" borderId="0"/>
    <xf numFmtId="0" fontId="128" fillId="73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3" fillId="0" borderId="0"/>
    <xf numFmtId="0" fontId="167" fillId="0" borderId="0" applyAlignment="1">
      <alignment vertical="center"/>
    </xf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134" fillId="0" borderId="0"/>
    <xf numFmtId="0" fontId="23" fillId="0" borderId="0" applyAlignment="1">
      <alignment horizontal="left"/>
    </xf>
    <xf numFmtId="0" fontId="23" fillId="0" borderId="0" applyAlignment="1">
      <alignment horizontal="left"/>
    </xf>
    <xf numFmtId="0" fontId="23" fillId="0" borderId="0" applyAlignment="1">
      <alignment horizontal="left"/>
    </xf>
    <xf numFmtId="0" fontId="23" fillId="0" borderId="0" applyAlignment="1">
      <alignment horizontal="left"/>
    </xf>
    <xf numFmtId="0" fontId="23" fillId="0" borderId="0" applyAlignment="1">
      <alignment horizontal="left"/>
    </xf>
    <xf numFmtId="0" fontId="113" fillId="0" borderId="0"/>
    <xf numFmtId="0" fontId="207" fillId="0" borderId="0"/>
    <xf numFmtId="0" fontId="207" fillId="0" borderId="0"/>
    <xf numFmtId="0" fontId="207" fillId="0" borderId="0"/>
    <xf numFmtId="0" fontId="113" fillId="0" borderId="0"/>
    <xf numFmtId="0" fontId="113" fillId="0" borderId="0"/>
    <xf numFmtId="0" fontId="113" fillId="0" borderId="0"/>
    <xf numFmtId="0" fontId="75" fillId="0" borderId="0"/>
    <xf numFmtId="0" fontId="23" fillId="0" borderId="0" applyAlignment="1">
      <alignment horizontal="left"/>
    </xf>
    <xf numFmtId="0" fontId="134" fillId="0" borderId="0"/>
    <xf numFmtId="0" fontId="207" fillId="0" borderId="0"/>
    <xf numFmtId="0" fontId="3" fillId="0" borderId="0"/>
    <xf numFmtId="0" fontId="207" fillId="0" borderId="0"/>
    <xf numFmtId="0" fontId="207" fillId="0" borderId="0"/>
    <xf numFmtId="0" fontId="3" fillId="0" borderId="0"/>
    <xf numFmtId="0" fontId="207" fillId="0" borderId="0"/>
    <xf numFmtId="0" fontId="207" fillId="0" borderId="0" applyAlignment="1">
      <alignment vertical="center"/>
    </xf>
    <xf numFmtId="0" fontId="168" fillId="0" borderId="0" applyAlignment="1">
      <alignment horizontal="left"/>
    </xf>
    <xf numFmtId="0" fontId="23" fillId="0" borderId="0" applyAlignment="1">
      <alignment horizontal="left"/>
    </xf>
    <xf numFmtId="0" fontId="3" fillId="0" borderId="0"/>
    <xf numFmtId="0" fontId="168" fillId="0" borderId="0" applyAlignment="1">
      <alignment horizontal="left"/>
    </xf>
    <xf numFmtId="0" fontId="134" fillId="0" borderId="0"/>
    <xf numFmtId="0" fontId="207" fillId="0" borderId="0"/>
    <xf numFmtId="0" fontId="3" fillId="0" borderId="0"/>
    <xf numFmtId="0" fontId="207" fillId="0" borderId="0"/>
    <xf numFmtId="0" fontId="207" fillId="0" borderId="0"/>
    <xf numFmtId="0" fontId="207" fillId="0" borderId="0"/>
    <xf numFmtId="0" fontId="3" fillId="0" borderId="0"/>
    <xf numFmtId="0" fontId="134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44" fillId="0" borderId="0"/>
    <xf numFmtId="0" fontId="207" fillId="0" borderId="0" applyAlignment="1">
      <alignment vertical="center"/>
    </xf>
    <xf numFmtId="0" fontId="207" fillId="0" borderId="0"/>
    <xf numFmtId="0" fontId="207" fillId="0" borderId="0" applyAlignment="1">
      <alignment vertical="center"/>
    </xf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2" fillId="66" borderId="0"/>
    <xf numFmtId="0" fontId="89" fillId="0" borderId="0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207" fillId="8" borderId="35"/>
    <xf numFmtId="9" fontId="207" fillId="0" borderId="0"/>
    <xf numFmtId="9" fontId="207" fillId="0" borderId="0"/>
    <xf numFmtId="9" fontId="207" fillId="0" borderId="0"/>
    <xf numFmtId="9" fontId="75" fillId="0" borderId="0"/>
    <xf numFmtId="9" fontId="134" fillId="0" borderId="0"/>
    <xf numFmtId="9" fontId="44" fillId="0" borderId="0"/>
    <xf numFmtId="9" fontId="207" fillId="0" borderId="0"/>
    <xf numFmtId="0" fontId="125" fillId="0" borderId="33"/>
    <xf numFmtId="0" fontId="48" fillId="0" borderId="0"/>
    <xf numFmtId="0" fontId="48" fillId="0" borderId="0"/>
    <xf numFmtId="0" fontId="48" fillId="0" borderId="0"/>
    <xf numFmtId="0" fontId="48" fillId="0" borderId="0"/>
    <xf numFmtId="0" fontId="164" fillId="0" borderId="0"/>
    <xf numFmtId="249" fontId="113" fillId="0" borderId="0"/>
    <xf numFmtId="250" fontId="11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0" fontId="207" fillId="0" borderId="0"/>
    <xf numFmtId="43" fontId="23" fillId="0" borderId="0"/>
    <xf numFmtId="43" fontId="23" fillId="0" borderId="0"/>
    <xf numFmtId="190" fontId="20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89" fontId="3" fillId="0" borderId="0"/>
    <xf numFmtId="43" fontId="23" fillId="0" borderId="0"/>
    <xf numFmtId="43" fontId="23" fillId="0" borderId="0"/>
    <xf numFmtId="189" fontId="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0" fontId="97" fillId="72" borderId="0"/>
    <xf numFmtId="168" fontId="169" fillId="0" borderId="0"/>
    <xf numFmtId="168" fontId="169" fillId="0" borderId="0"/>
    <xf numFmtId="168" fontId="46" fillId="0" borderId="0" applyAlignment="1">
      <alignment vertical="center"/>
    </xf>
    <xf numFmtId="40" fontId="170" fillId="0" borderId="0"/>
    <xf numFmtId="38" fontId="170" fillId="0" borderId="0"/>
    <xf numFmtId="168" fontId="170" fillId="0" borderId="0"/>
    <xf numFmtId="168" fontId="170" fillId="0" borderId="0"/>
    <xf numFmtId="9" fontId="171" fillId="0" borderId="0"/>
    <xf numFmtId="168" fontId="172" fillId="0" borderId="0"/>
    <xf numFmtId="41" fontId="3" fillId="0" borderId="0" applyAlignment="1">
      <alignment vertical="center"/>
    </xf>
    <xf numFmtId="251" fontId="173" fillId="0" borderId="0"/>
    <xf numFmtId="252" fontId="174" fillId="0" borderId="0"/>
    <xf numFmtId="253" fontId="171" fillId="0" borderId="0"/>
    <xf numFmtId="254" fontId="171" fillId="0" borderId="0"/>
    <xf numFmtId="168" fontId="175" fillId="0" borderId="0"/>
    <xf numFmtId="0" fontId="50" fillId="0" borderId="0" applyAlignment="1">
      <alignment vertical="center"/>
    </xf>
    <xf numFmtId="168" fontId="176" fillId="0" borderId="31" applyAlignment="1">
      <alignment horizontal="center"/>
    </xf>
    <xf numFmtId="176" fontId="53" fillId="0" borderId="0"/>
    <xf numFmtId="255" fontId="75" fillId="0" borderId="0" applyAlignment="1">
      <alignment vertical="center"/>
    </xf>
    <xf numFmtId="176" fontId="207" fillId="0" borderId="0"/>
    <xf numFmtId="176" fontId="53" fillId="0" borderId="0"/>
    <xf numFmtId="176" fontId="207" fillId="0" borderId="0"/>
    <xf numFmtId="176" fontId="53" fillId="0" borderId="0"/>
    <xf numFmtId="176" fontId="207" fillId="0" borderId="0"/>
    <xf numFmtId="176" fontId="207" fillId="0" borderId="0"/>
    <xf numFmtId="176" fontId="53" fillId="0" borderId="0"/>
    <xf numFmtId="255" fontId="75" fillId="0" borderId="0" applyAlignment="1">
      <alignment vertical="center"/>
    </xf>
    <xf numFmtId="172" fontId="75" fillId="0" borderId="0"/>
    <xf numFmtId="255" fontId="75" fillId="0" borderId="0" applyAlignment="1">
      <alignment vertical="center"/>
    </xf>
    <xf numFmtId="176" fontId="53" fillId="0" borderId="0"/>
    <xf numFmtId="176" fontId="53" fillId="0" borderId="0"/>
    <xf numFmtId="255" fontId="75" fillId="0" borderId="0" applyAlignment="1">
      <alignment vertical="center"/>
    </xf>
    <xf numFmtId="176" fontId="53" fillId="0" borderId="0"/>
    <xf numFmtId="255" fontId="75" fillId="0" borderId="0" applyAlignment="1">
      <alignment vertical="center"/>
    </xf>
    <xf numFmtId="255" fontId="75" fillId="0" borderId="0" applyAlignment="1">
      <alignment vertical="center"/>
    </xf>
    <xf numFmtId="172" fontId="75" fillId="0" borderId="0"/>
    <xf numFmtId="255" fontId="75" fillId="0" borderId="0" applyAlignment="1">
      <alignment vertical="center"/>
    </xf>
    <xf numFmtId="176" fontId="207" fillId="0" borderId="0"/>
    <xf numFmtId="176" fontId="53" fillId="0" borderId="0"/>
    <xf numFmtId="255" fontId="75" fillId="0" borderId="0" applyAlignment="1">
      <alignment vertical="center"/>
    </xf>
    <xf numFmtId="172" fontId="75" fillId="0" borderId="0"/>
    <xf numFmtId="255" fontId="75" fillId="0" borderId="0" applyAlignment="1">
      <alignment vertical="center"/>
    </xf>
    <xf numFmtId="176" fontId="53" fillId="0" borderId="0"/>
    <xf numFmtId="176" fontId="53" fillId="0" borderId="0"/>
    <xf numFmtId="255" fontId="75" fillId="0" borderId="0" applyAlignment="1">
      <alignment vertical="center"/>
    </xf>
    <xf numFmtId="176" fontId="53" fillId="0" borderId="0"/>
    <xf numFmtId="176" fontId="207" fillId="0" borderId="0"/>
    <xf numFmtId="255" fontId="75" fillId="0" borderId="0" applyAlignment="1">
      <alignment vertical="center"/>
    </xf>
    <xf numFmtId="176" fontId="207" fillId="0" borderId="0"/>
    <xf numFmtId="255" fontId="75" fillId="0" borderId="0" applyAlignment="1">
      <alignment vertical="center"/>
    </xf>
    <xf numFmtId="176" fontId="53" fillId="0" borderId="0"/>
    <xf numFmtId="176" fontId="53" fillId="0" borderId="0"/>
    <xf numFmtId="172" fontId="75" fillId="0" borderId="0"/>
    <xf numFmtId="176" fontId="53" fillId="0" borderId="0"/>
    <xf numFmtId="176" fontId="53" fillId="0" borderId="0"/>
    <xf numFmtId="255" fontId="75" fillId="0" borderId="0" applyAlignment="1">
      <alignment vertical="center"/>
    </xf>
    <xf numFmtId="176" fontId="207" fillId="0" borderId="0"/>
    <xf numFmtId="176" fontId="53" fillId="0" borderId="0"/>
    <xf numFmtId="176" fontId="53" fillId="0" borderId="0"/>
    <xf numFmtId="43" fontId="75" fillId="0" borderId="0" applyAlignment="1">
      <alignment vertical="center"/>
    </xf>
    <xf numFmtId="176" fontId="53" fillId="0" borderId="0"/>
    <xf numFmtId="255" fontId="75" fillId="0" borderId="0" applyAlignment="1">
      <alignment vertical="center"/>
    </xf>
    <xf numFmtId="255" fontId="75" fillId="0" borderId="0" applyAlignment="1">
      <alignment vertical="center"/>
    </xf>
    <xf numFmtId="172" fontId="75" fillId="0" borderId="0"/>
    <xf numFmtId="255" fontId="75" fillId="0" borderId="0" applyAlignment="1">
      <alignment vertical="center"/>
    </xf>
    <xf numFmtId="255" fontId="75" fillId="0" borderId="0" applyAlignment="1">
      <alignment vertical="center"/>
    </xf>
    <xf numFmtId="255" fontId="75" fillId="0" borderId="0" applyAlignment="1">
      <alignment vertical="center"/>
    </xf>
    <xf numFmtId="172" fontId="75" fillId="0" borderId="0"/>
    <xf numFmtId="255" fontId="75" fillId="0" borderId="0" applyAlignment="1">
      <alignment vertical="center"/>
    </xf>
    <xf numFmtId="176" fontId="53" fillId="0" borderId="0"/>
    <xf numFmtId="176" fontId="53" fillId="0" borderId="0"/>
    <xf numFmtId="255" fontId="75" fillId="0" borderId="0" applyAlignment="1">
      <alignment vertical="center"/>
    </xf>
    <xf numFmtId="172" fontId="75" fillId="0" borderId="0"/>
    <xf numFmtId="255" fontId="75" fillId="0" borderId="0" applyAlignment="1">
      <alignment vertical="center"/>
    </xf>
    <xf numFmtId="176" fontId="53" fillId="0" borderId="0"/>
    <xf numFmtId="43" fontId="75" fillId="0" borderId="0" applyAlignment="1">
      <alignment vertical="center"/>
    </xf>
    <xf numFmtId="255" fontId="75" fillId="0" borderId="0" applyAlignment="1">
      <alignment vertical="center"/>
    </xf>
    <xf numFmtId="43" fontId="75" fillId="0" borderId="0" applyAlignment="1">
      <alignment vertical="center"/>
    </xf>
    <xf numFmtId="176" fontId="207" fillId="0" borderId="0"/>
    <xf numFmtId="255" fontId="75" fillId="0" borderId="0" applyAlignment="1">
      <alignment vertical="center"/>
    </xf>
    <xf numFmtId="176" fontId="207" fillId="0" borderId="0"/>
    <xf numFmtId="43" fontId="75" fillId="0" borderId="0" applyAlignment="1">
      <alignment vertical="center"/>
    </xf>
    <xf numFmtId="43" fontId="75" fillId="0" borderId="0" applyAlignment="1">
      <alignment vertical="center"/>
    </xf>
    <xf numFmtId="176" fontId="207" fillId="0" borderId="0"/>
    <xf numFmtId="255" fontId="75" fillId="0" borderId="0" applyAlignment="1">
      <alignment vertical="center"/>
    </xf>
    <xf numFmtId="43" fontId="75" fillId="0" borderId="0" applyAlignment="1">
      <alignment vertical="center"/>
    </xf>
    <xf numFmtId="43" fontId="75" fillId="0" borderId="0" applyAlignment="1">
      <alignment vertical="center"/>
    </xf>
    <xf numFmtId="172" fontId="75" fillId="0" borderId="0"/>
    <xf numFmtId="43" fontId="75" fillId="0" borderId="0" applyAlignment="1">
      <alignment vertical="center"/>
    </xf>
    <xf numFmtId="43" fontId="75" fillId="0" borderId="0" applyAlignment="1">
      <alignment vertical="center"/>
    </xf>
    <xf numFmtId="255" fontId="75" fillId="0" borderId="0" applyAlignment="1">
      <alignment vertical="center"/>
    </xf>
    <xf numFmtId="176" fontId="207" fillId="0" borderId="0"/>
    <xf numFmtId="43" fontId="75" fillId="0" borderId="0" applyAlignment="1">
      <alignment vertical="center"/>
    </xf>
    <xf numFmtId="43" fontId="75" fillId="0" borderId="0" applyAlignment="1">
      <alignment vertical="center"/>
    </xf>
    <xf numFmtId="176" fontId="53" fillId="0" borderId="0"/>
    <xf numFmtId="255" fontId="75" fillId="0" borderId="0" applyAlignment="1">
      <alignment vertical="center"/>
    </xf>
    <xf numFmtId="255" fontId="75" fillId="0" borderId="0" applyAlignment="1">
      <alignment vertical="center"/>
    </xf>
    <xf numFmtId="172" fontId="75" fillId="0" borderId="0"/>
    <xf numFmtId="255" fontId="75" fillId="0" borderId="0" applyAlignment="1">
      <alignment vertical="center"/>
    </xf>
    <xf numFmtId="255" fontId="75" fillId="0" borderId="0" applyAlignment="1">
      <alignment vertical="center"/>
    </xf>
    <xf numFmtId="255" fontId="75" fillId="0" borderId="0" applyAlignment="1">
      <alignment vertical="center"/>
    </xf>
    <xf numFmtId="172" fontId="75" fillId="0" borderId="0"/>
    <xf numFmtId="255" fontId="75" fillId="0" borderId="0" applyAlignment="1">
      <alignment vertical="center"/>
    </xf>
    <xf numFmtId="176" fontId="53" fillId="0" borderId="0"/>
    <xf numFmtId="176" fontId="53" fillId="0" borderId="0"/>
    <xf numFmtId="255" fontId="75" fillId="0" borderId="0" applyAlignment="1">
      <alignment vertical="center"/>
    </xf>
    <xf numFmtId="172" fontId="75" fillId="0" borderId="0"/>
    <xf numFmtId="255" fontId="75" fillId="0" borderId="0" applyAlignment="1">
      <alignment vertical="center"/>
    </xf>
    <xf numFmtId="176" fontId="53" fillId="0" borderId="0"/>
    <xf numFmtId="176" fontId="207" fillId="0" borderId="0"/>
    <xf numFmtId="255" fontId="75" fillId="0" borderId="0" applyAlignment="1">
      <alignment vertical="center"/>
    </xf>
    <xf numFmtId="176" fontId="207" fillId="0" borderId="0"/>
    <xf numFmtId="255" fontId="75" fillId="0" borderId="0" applyAlignment="1">
      <alignment vertical="center"/>
    </xf>
    <xf numFmtId="176" fontId="53" fillId="0" borderId="0"/>
    <xf numFmtId="176" fontId="53" fillId="0" borderId="0"/>
    <xf numFmtId="255" fontId="75" fillId="0" borderId="0" applyAlignment="1">
      <alignment vertical="center"/>
    </xf>
    <xf numFmtId="176" fontId="53" fillId="0" borderId="0"/>
    <xf numFmtId="176" fontId="53" fillId="0" borderId="0"/>
    <xf numFmtId="172" fontId="75" fillId="0" borderId="0"/>
    <xf numFmtId="176" fontId="53" fillId="0" borderId="0"/>
    <xf numFmtId="255" fontId="75" fillId="0" borderId="0" applyAlignment="1">
      <alignment vertical="center"/>
    </xf>
    <xf numFmtId="255" fontId="75" fillId="0" borderId="0" applyAlignment="1">
      <alignment vertical="center"/>
    </xf>
    <xf numFmtId="255" fontId="75" fillId="0" borderId="0" applyAlignment="1">
      <alignment vertical="center"/>
    </xf>
    <xf numFmtId="255" fontId="75" fillId="0" borderId="0" applyAlignment="1">
      <alignment vertical="center"/>
    </xf>
    <xf numFmtId="172" fontId="75" fillId="0" borderId="0"/>
    <xf numFmtId="255" fontId="75" fillId="0" borderId="0" applyAlignment="1">
      <alignment vertical="center"/>
    </xf>
    <xf numFmtId="255" fontId="75" fillId="0" borderId="0" applyAlignment="1">
      <alignment vertical="center"/>
    </xf>
    <xf numFmtId="255" fontId="75" fillId="0" borderId="0" applyAlignment="1">
      <alignment vertical="center"/>
    </xf>
    <xf numFmtId="172" fontId="75" fillId="0" borderId="0"/>
    <xf numFmtId="255" fontId="75" fillId="0" borderId="0" applyAlignment="1">
      <alignment vertical="center"/>
    </xf>
    <xf numFmtId="255" fontId="75" fillId="0" borderId="0" applyAlignment="1">
      <alignment vertical="center"/>
    </xf>
    <xf numFmtId="172" fontId="75" fillId="0" borderId="0"/>
    <xf numFmtId="255" fontId="75" fillId="0" borderId="0" applyAlignment="1">
      <alignment vertical="center"/>
    </xf>
    <xf numFmtId="255" fontId="75" fillId="0" borderId="0" applyAlignment="1">
      <alignment vertical="center"/>
    </xf>
    <xf numFmtId="255" fontId="75" fillId="0" borderId="0" applyAlignment="1">
      <alignment vertical="center"/>
    </xf>
    <xf numFmtId="172" fontId="75" fillId="0" borderId="0"/>
    <xf numFmtId="41" fontId="3" fillId="0" borderId="0"/>
    <xf numFmtId="43" fontId="3" fillId="0" borderId="0"/>
    <xf numFmtId="41" fontId="122" fillId="0" borderId="0"/>
    <xf numFmtId="0" fontId="3" fillId="0" borderId="0"/>
    <xf numFmtId="168" fontId="177" fillId="0" borderId="0" applyAlignment="1" applyProtection="1">
      <alignment vertical="top"/>
      <protection locked="0" hidden="0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172" fontId="179" fillId="72" borderId="0" applyAlignment="1">
      <alignment vertical="center"/>
    </xf>
    <xf numFmtId="172" fontId="179" fillId="72" borderId="0" applyAlignment="1">
      <alignment vertical="center"/>
    </xf>
    <xf numFmtId="172" fontId="75" fillId="0" borderId="0"/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172" fontId="181" fillId="66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/>
    <xf numFmtId="172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07" fillId="0" borderId="0" applyAlignment="1">
      <alignment vertical="center"/>
    </xf>
    <xf numFmtId="0" fontId="75" fillId="0" borderId="0"/>
    <xf numFmtId="0" fontId="75" fillId="0" borderId="0"/>
    <xf numFmtId="0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207" fillId="0" borderId="0" applyAlignment="1">
      <alignment vertical="center"/>
    </xf>
    <xf numFmtId="172" fontId="75" fillId="0" borderId="0"/>
    <xf numFmtId="0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07" fillId="0" borderId="0" applyAlignment="1">
      <alignment vertical="center"/>
    </xf>
    <xf numFmtId="0" fontId="75" fillId="0" borderId="0"/>
    <xf numFmtId="0" fontId="207" fillId="0" borderId="0" applyAlignment="1">
      <alignment vertical="center"/>
    </xf>
    <xf numFmtId="172" fontId="75" fillId="0" borderId="0"/>
    <xf numFmtId="0" fontId="207" fillId="0" borderId="0" applyAlignment="1">
      <alignment vertical="center"/>
    </xf>
    <xf numFmtId="0" fontId="75" fillId="0" borderId="0"/>
    <xf numFmtId="172" fontId="75" fillId="0" borderId="0"/>
    <xf numFmtId="0" fontId="75" fillId="0" borderId="0"/>
    <xf numFmtId="0" fontId="207" fillId="0" borderId="0" applyAlignment="1">
      <alignment vertical="center"/>
    </xf>
    <xf numFmtId="172" fontId="75" fillId="0" borderId="0"/>
    <xf numFmtId="0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07" fillId="0" borderId="0"/>
    <xf numFmtId="0" fontId="207" fillId="0" borderId="0"/>
    <xf numFmtId="0" fontId="207" fillId="0" borderId="0"/>
    <xf numFmtId="172" fontId="207" fillId="0" borderId="0" applyAlignment="1">
      <alignment vertical="center"/>
    </xf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172" fontId="207" fillId="0" borderId="0" applyAlignment="1">
      <alignment vertical="center"/>
    </xf>
    <xf numFmtId="0" fontId="207" fillId="0" borderId="0"/>
    <xf numFmtId="0" fontId="207" fillId="0" borderId="0"/>
    <xf numFmtId="172" fontId="207" fillId="0" borderId="0" applyAlignment="1">
      <alignment vertical="center"/>
    </xf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0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72" fontId="207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72" fontId="207" fillId="0" borderId="0" applyAlignment="1">
      <alignment vertical="center"/>
    </xf>
    <xf numFmtId="0" fontId="207" fillId="0" borderId="0"/>
    <xf numFmtId="0" fontId="20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07" fillId="0" borderId="0"/>
    <xf numFmtId="0" fontId="75" fillId="0" borderId="0"/>
    <xf numFmtId="0" fontId="75" fillId="0" borderId="0"/>
    <xf numFmtId="0" fontId="207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75" fillId="0" borderId="0"/>
    <xf numFmtId="0" fontId="75" fillId="0" borderId="0"/>
    <xf numFmtId="0" fontId="75" fillId="0" borderId="0"/>
    <xf numFmtId="0" fontId="207" fillId="0" borderId="0"/>
    <xf numFmtId="0" fontId="75" fillId="0" borderId="0"/>
    <xf numFmtId="0" fontId="75" fillId="0" borderId="0"/>
    <xf numFmtId="0" fontId="75" fillId="0" borderId="0"/>
    <xf numFmtId="0" fontId="207" fillId="0" borderId="0"/>
    <xf numFmtId="0" fontId="75" fillId="0" borderId="0"/>
    <xf numFmtId="0" fontId="207" fillId="0" borderId="0"/>
    <xf numFmtId="0" fontId="207" fillId="0" borderId="0"/>
    <xf numFmtId="0" fontId="182" fillId="0" borderId="0"/>
    <xf numFmtId="0" fontId="75" fillId="0" borderId="0"/>
    <xf numFmtId="0" fontId="182" fillId="0" borderId="0"/>
    <xf numFmtId="0" fontId="182" fillId="0" borderId="0"/>
    <xf numFmtId="0" fontId="75" fillId="0" borderId="0"/>
    <xf numFmtId="0" fontId="75" fillId="0" borderId="0"/>
    <xf numFmtId="0" fontId="75" fillId="0" borderId="0"/>
    <xf numFmtId="0" fontId="207" fillId="0" borderId="0"/>
    <xf numFmtId="0" fontId="207" fillId="0" borderId="0"/>
    <xf numFmtId="172" fontId="207" fillId="0" borderId="0" applyAlignment="1">
      <alignment vertical="center"/>
    </xf>
    <xf numFmtId="0" fontId="75" fillId="0" borderId="0"/>
    <xf numFmtId="0" fontId="207" fillId="0" borderId="0"/>
    <xf numFmtId="0" fontId="75" fillId="0" borderId="0"/>
    <xf numFmtId="0" fontId="207" fillId="0" borderId="0"/>
    <xf numFmtId="0" fontId="207" fillId="0" borderId="0"/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72" fontId="207" fillId="0" borderId="0" applyAlignment="1">
      <alignment vertical="center"/>
    </xf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172" fontId="207" fillId="0" borderId="0" applyAlignment="1">
      <alignment vertical="center"/>
    </xf>
    <xf numFmtId="0" fontId="207" fillId="0" borderId="0"/>
    <xf numFmtId="0" fontId="207" fillId="0" borderId="0"/>
    <xf numFmtId="172" fontId="207" fillId="0" borderId="0" applyAlignment="1">
      <alignment vertical="center"/>
    </xf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172" fontId="207" fillId="0" borderId="0" applyAlignment="1">
      <alignment vertical="center"/>
    </xf>
    <xf numFmtId="0" fontId="207" fillId="0" borderId="0"/>
    <xf numFmtId="0" fontId="207" fillId="0" borderId="0"/>
    <xf numFmtId="172" fontId="207" fillId="0" borderId="0" applyAlignment="1">
      <alignment vertical="center"/>
    </xf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207" fillId="0" borderId="0"/>
    <xf numFmtId="172" fontId="207" fillId="0" borderId="0" applyAlignment="1">
      <alignment vertical="center"/>
    </xf>
    <xf numFmtId="0" fontId="207" fillId="0" borderId="0"/>
    <xf numFmtId="0" fontId="75" fillId="0" borderId="0"/>
    <xf numFmtId="0" fontId="75" fillId="0" borderId="0"/>
    <xf numFmtId="0" fontId="207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20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07" fillId="0" borderId="0"/>
    <xf numFmtId="0" fontId="75" fillId="0" borderId="0"/>
    <xf numFmtId="0" fontId="207" fillId="0" borderId="0"/>
    <xf numFmtId="0" fontId="207" fillId="0" borderId="0"/>
    <xf numFmtId="0" fontId="75" fillId="0" borderId="0"/>
    <xf numFmtId="172" fontId="207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72" fontId="207" fillId="0" borderId="0" applyAlignment="1">
      <alignment vertical="center"/>
    </xf>
    <xf numFmtId="0" fontId="207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172" fontId="207" fillId="0" borderId="0" applyAlignment="1">
      <alignment vertical="center"/>
    </xf>
    <xf numFmtId="0" fontId="182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172" fontId="207" fillId="0" borderId="0" applyAlignment="1">
      <alignment vertical="center"/>
    </xf>
    <xf numFmtId="0" fontId="182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182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182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07" fillId="0" borderId="0"/>
    <xf numFmtId="0" fontId="207" fillId="0" borderId="0"/>
    <xf numFmtId="0" fontId="207" fillId="0" borderId="0"/>
    <xf numFmtId="172" fontId="207" fillId="0" borderId="0" applyAlignment="1">
      <alignment vertical="center"/>
    </xf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172" fontId="207" fillId="0" borderId="0" applyAlignment="1">
      <alignment vertical="center"/>
    </xf>
    <xf numFmtId="0" fontId="207" fillId="0" borderId="0"/>
    <xf numFmtId="0" fontId="207" fillId="0" borderId="0"/>
    <xf numFmtId="172" fontId="207" fillId="0" borderId="0" applyAlignment="1">
      <alignment vertical="center"/>
    </xf>
    <xf numFmtId="0" fontId="207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207" fillId="0" borderId="0"/>
    <xf numFmtId="0" fontId="207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182" fillId="0" borderId="0"/>
    <xf numFmtId="172" fontId="207" fillId="0" borderId="0" applyAlignment="1">
      <alignment vertical="center"/>
    </xf>
    <xf numFmtId="0" fontId="182" fillId="0" borderId="0"/>
    <xf numFmtId="0" fontId="182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207" fillId="0" borderId="0" applyAlignment="1">
      <alignment vertical="center"/>
    </xf>
    <xf numFmtId="0" fontId="75" fillId="0" borderId="0" applyAlignment="1">
      <alignment vertical="center"/>
    </xf>
    <xf numFmtId="0" fontId="207" fillId="0" borderId="0"/>
    <xf numFmtId="0" fontId="20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72" fontId="23" fillId="0" borderId="0"/>
    <xf numFmtId="0" fontId="207" fillId="0" borderId="0"/>
    <xf numFmtId="0" fontId="182" fillId="0" borderId="0"/>
    <xf numFmtId="0" fontId="207" fillId="0" borderId="0"/>
    <xf numFmtId="0" fontId="207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7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7" fillId="0" borderId="0"/>
    <xf numFmtId="0" fontId="207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7" fillId="0" borderId="0"/>
    <xf numFmtId="0" fontId="207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7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7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7" fillId="0" borderId="0"/>
    <xf numFmtId="0" fontId="207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7" fillId="0" borderId="0"/>
    <xf numFmtId="0" fontId="207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7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7" fillId="0" borderId="0"/>
    <xf numFmtId="0" fontId="207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7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7" fillId="0" borderId="0"/>
    <xf numFmtId="0" fontId="207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7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7" fillId="0" borderId="0"/>
    <xf numFmtId="0" fontId="207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7" fillId="0" borderId="0"/>
    <xf numFmtId="0" fontId="207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7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0" fontId="75" fillId="0" borderId="0"/>
    <xf numFmtId="0" fontId="207" fillId="0" borderId="0" applyAlignment="1">
      <alignment vertical="center"/>
    </xf>
    <xf numFmtId="0" fontId="75" fillId="0" borderId="0"/>
    <xf numFmtId="0" fontId="75" fillId="0" borderId="0"/>
    <xf numFmtId="0" fontId="207" fillId="0" borderId="0" applyAlignment="1">
      <alignment vertical="center"/>
    </xf>
    <xf numFmtId="172" fontId="52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52" fillId="0" borderId="0"/>
    <xf numFmtId="172" fontId="132" fillId="0" borderId="0"/>
    <xf numFmtId="0" fontId="52" fillId="0" borderId="0"/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75" fillId="0" borderId="0"/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75" fillId="0" borderId="0"/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172" fontId="52" fillId="0" borderId="0"/>
    <xf numFmtId="0" fontId="16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172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3" fillId="0" borderId="0" applyAlignment="1">
      <alignment vertical="top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07" fillId="0" borderId="0"/>
    <xf numFmtId="0" fontId="207" fillId="0" borderId="0"/>
    <xf numFmtId="0" fontId="207" fillId="0" borderId="0"/>
    <xf numFmtId="172" fontId="75" fillId="0" borderId="0" applyAlignment="1">
      <alignment vertical="center"/>
    </xf>
    <xf numFmtId="0" fontId="207" fillId="0" borderId="0"/>
    <xf numFmtId="0" fontId="207" fillId="0" borderId="0"/>
    <xf numFmtId="172" fontId="75" fillId="0" borderId="0" applyAlignment="1">
      <alignment vertical="center"/>
    </xf>
    <xf numFmtId="0" fontId="207" fillId="0" borderId="0"/>
    <xf numFmtId="0" fontId="207" fillId="0" borderId="0"/>
    <xf numFmtId="172" fontId="75" fillId="0" borderId="0" applyAlignment="1">
      <alignment vertical="center"/>
    </xf>
    <xf numFmtId="0" fontId="207" fillId="0" borderId="0"/>
    <xf numFmtId="172" fontId="75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72" fontId="75" fillId="0" borderId="0" applyAlignment="1">
      <alignment vertical="center"/>
    </xf>
    <xf numFmtId="0" fontId="207" fillId="0" borderId="0"/>
    <xf numFmtId="0" fontId="20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07" fillId="0" borderId="0" applyAlignment="1">
      <alignment vertical="center"/>
    </xf>
    <xf numFmtId="172" fontId="75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7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3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3" fillId="0" borderId="0"/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172" fontId="207" fillId="0" borderId="0" applyAlignment="1">
      <alignment vertical="center"/>
    </xf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07" fillId="0" borderId="0"/>
    <xf numFmtId="0" fontId="207" fillId="0" borderId="0"/>
    <xf numFmtId="0" fontId="207" fillId="0" borderId="0"/>
    <xf numFmtId="172" fontId="207" fillId="0" borderId="0" applyAlignment="1">
      <alignment vertical="center"/>
    </xf>
    <xf numFmtId="0" fontId="207" fillId="0" borderId="0"/>
    <xf numFmtId="0" fontId="207" fillId="0" borderId="0"/>
    <xf numFmtId="172" fontId="207" fillId="0" borderId="0" applyAlignment="1">
      <alignment vertical="center"/>
    </xf>
    <xf numFmtId="0" fontId="207" fillId="0" borderId="0"/>
    <xf numFmtId="0" fontId="207" fillId="0" borderId="0"/>
    <xf numFmtId="172" fontId="207" fillId="0" borderId="0" applyAlignment="1">
      <alignment vertical="center"/>
    </xf>
    <xf numFmtId="0" fontId="207" fillId="0" borderId="0"/>
    <xf numFmtId="172" fontId="207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72" fontId="207" fillId="0" borderId="0" applyAlignment="1">
      <alignment vertical="center"/>
    </xf>
    <xf numFmtId="0" fontId="207" fillId="0" borderId="0"/>
    <xf numFmtId="0" fontId="20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172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172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0" fontId="75" fillId="0" borderId="0"/>
    <xf numFmtId="172" fontId="207" fillId="0" borderId="0" applyAlignment="1">
      <alignment vertical="center"/>
    </xf>
    <xf numFmtId="0" fontId="75" fillId="0" borderId="0"/>
    <xf numFmtId="172" fontId="75" fillId="0" borderId="0"/>
    <xf numFmtId="0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68" fontId="3" fillId="0" borderId="0"/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168" fontId="183" fillId="0" borderId="48" applyAlignment="1">
      <alignment horizontal="center" vertical="center"/>
    </xf>
    <xf numFmtId="168" fontId="176" fillId="0" borderId="0"/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43" fontId="3" fillId="0" borderId="0"/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207" fillId="0" borderId="0"/>
    <xf numFmtId="0" fontId="51" fillId="0" borderId="0"/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3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0" fontId="3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/>
    <xf numFmtId="0" fontId="3" fillId="0" borderId="0"/>
    <xf numFmtId="9" fontId="75" fillId="0" borderId="0"/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42" fontId="122" fillId="0" borderId="0"/>
    <xf numFmtId="169" fontId="176" fillId="0" borderId="0"/>
    <xf numFmtId="170" fontId="122" fillId="0" borderId="0"/>
    <xf numFmtId="170" fontId="3" fillId="0" borderId="0"/>
    <xf numFmtId="215" fontId="53" fillId="0" borderId="0"/>
    <xf numFmtId="215" fontId="53" fillId="0" borderId="0"/>
    <xf numFmtId="215" fontId="207" fillId="0" borderId="0"/>
    <xf numFmtId="215" fontId="53" fillId="0" borderId="0"/>
    <xf numFmtId="215" fontId="53" fillId="0" borderId="0"/>
    <xf numFmtId="215" fontId="53" fillId="0" borderId="0"/>
    <xf numFmtId="215" fontId="53" fillId="0" borderId="0"/>
    <xf numFmtId="215" fontId="207" fillId="0" borderId="0"/>
    <xf numFmtId="215" fontId="53" fillId="0" borderId="0"/>
    <xf numFmtId="215" fontId="53" fillId="0" borderId="0"/>
    <xf numFmtId="215" fontId="207" fillId="0" borderId="0"/>
    <xf numFmtId="215" fontId="53" fillId="0" borderId="0"/>
    <xf numFmtId="215" fontId="53" fillId="0" borderId="0"/>
    <xf numFmtId="215" fontId="53" fillId="0" borderId="0"/>
    <xf numFmtId="215" fontId="207" fillId="0" borderId="0"/>
    <xf numFmtId="215" fontId="53" fillId="0" borderId="0"/>
    <xf numFmtId="215" fontId="53" fillId="0" borderId="0"/>
    <xf numFmtId="215" fontId="53" fillId="0" borderId="0"/>
    <xf numFmtId="215" fontId="53" fillId="0" borderId="0"/>
    <xf numFmtId="215" fontId="207" fillId="0" borderId="0"/>
    <xf numFmtId="256" fontId="75" fillId="0" borderId="0"/>
    <xf numFmtId="215" fontId="207" fillId="0" borderId="0"/>
    <xf numFmtId="215" fontId="53" fillId="0" borderId="0"/>
    <xf numFmtId="215" fontId="53" fillId="0" borderId="0"/>
    <xf numFmtId="215" fontId="53" fillId="0" borderId="0"/>
    <xf numFmtId="215" fontId="53" fillId="0" borderId="0"/>
    <xf numFmtId="215" fontId="207" fillId="0" borderId="0"/>
    <xf numFmtId="215" fontId="53" fillId="0" borderId="0"/>
    <xf numFmtId="215" fontId="53" fillId="0" borderId="0"/>
    <xf numFmtId="215" fontId="207" fillId="0" borderId="0"/>
    <xf numFmtId="215" fontId="53" fillId="0" borderId="0"/>
    <xf numFmtId="215" fontId="53" fillId="0" borderId="0"/>
    <xf numFmtId="215" fontId="53" fillId="0" borderId="0"/>
    <xf numFmtId="215" fontId="53" fillId="0" borderId="0"/>
    <xf numFmtId="215" fontId="207" fillId="0" borderId="0"/>
    <xf numFmtId="172" fontId="75" fillId="0" borderId="0"/>
    <xf numFmtId="215" fontId="207" fillId="0" borderId="0"/>
    <xf numFmtId="215" fontId="53" fillId="0" borderId="0"/>
    <xf numFmtId="215" fontId="53" fillId="0" borderId="0"/>
    <xf numFmtId="215" fontId="53" fillId="0" borderId="0"/>
    <xf numFmtId="215" fontId="53" fillId="0" borderId="0"/>
    <xf numFmtId="215" fontId="207" fillId="0" borderId="0"/>
    <xf numFmtId="215" fontId="53" fillId="0" borderId="0"/>
    <xf numFmtId="215" fontId="53" fillId="0" borderId="0"/>
    <xf numFmtId="215" fontId="207" fillId="0" borderId="0"/>
    <xf numFmtId="215" fontId="53" fillId="0" borderId="0"/>
    <xf numFmtId="215" fontId="53" fillId="0" borderId="0"/>
    <xf numFmtId="215" fontId="53" fillId="0" borderId="0"/>
    <xf numFmtId="215" fontId="53" fillId="0" borderId="0"/>
    <xf numFmtId="215" fontId="207" fillId="0" borderId="0"/>
    <xf numFmtId="215" fontId="53" fillId="0" borderId="0"/>
    <xf numFmtId="215" fontId="53" fillId="0" borderId="0"/>
    <xf numFmtId="215" fontId="207" fillId="0" borderId="0"/>
    <xf numFmtId="215" fontId="53" fillId="0" borderId="0"/>
    <xf numFmtId="215" fontId="53" fillId="0" borderId="0"/>
    <xf numFmtId="215" fontId="53" fillId="0" borderId="0"/>
    <xf numFmtId="257" fontId="75" fillId="0" borderId="0" applyAlignment="1">
      <alignment vertical="center"/>
    </xf>
    <xf numFmtId="257" fontId="75" fillId="0" borderId="0" applyAlignment="1">
      <alignment vertical="center"/>
    </xf>
    <xf numFmtId="257" fontId="75" fillId="0" borderId="0" applyAlignment="1">
      <alignment vertical="center"/>
    </xf>
    <xf numFmtId="257" fontId="75" fillId="0" borderId="0" applyAlignment="1">
      <alignment vertical="center"/>
    </xf>
    <xf numFmtId="257" fontId="75" fillId="0" borderId="0" applyAlignment="1">
      <alignment vertical="center"/>
    </xf>
    <xf numFmtId="257" fontId="75" fillId="0" borderId="0" applyAlignment="1">
      <alignment vertical="center"/>
    </xf>
    <xf numFmtId="257" fontId="75" fillId="0" borderId="0" applyAlignment="1">
      <alignment vertical="center"/>
    </xf>
    <xf numFmtId="257" fontId="75" fillId="0" borderId="0" applyAlignment="1">
      <alignment vertical="center"/>
    </xf>
    <xf numFmtId="257" fontId="75" fillId="0" borderId="0" applyAlignment="1">
      <alignment vertical="center"/>
    </xf>
    <xf numFmtId="256" fontId="75" fillId="0" borderId="0"/>
    <xf numFmtId="170" fontId="3" fillId="0" borderId="0"/>
    <xf numFmtId="42" fontId="3" fillId="0" borderId="0"/>
    <xf numFmtId="170" fontId="3" fillId="0" borderId="0"/>
    <xf numFmtId="168" fontId="193" fillId="0" borderId="0" applyAlignment="1" applyProtection="1">
      <alignment vertical="top"/>
      <protection locked="0" hidden="0"/>
    </xf>
    <xf numFmtId="172" fontId="194" fillId="0" borderId="0" applyAlignment="1" applyProtection="1">
      <alignment vertical="top"/>
      <protection locked="0" hidden="0"/>
    </xf>
    <xf numFmtId="172" fontId="194" fillId="0" borderId="0" applyAlignment="1" applyProtection="1">
      <alignment vertical="top"/>
      <protection locked="0" hidden="0"/>
    </xf>
    <xf numFmtId="172" fontId="194" fillId="0" borderId="0" applyAlignment="1" applyProtection="1">
      <alignment vertical="top"/>
      <protection locked="0" hidden="0"/>
    </xf>
    <xf numFmtId="172" fontId="194" fillId="0" borderId="0" applyAlignment="1" applyProtection="1">
      <alignment vertical="top"/>
      <protection locked="0" hidden="0"/>
    </xf>
    <xf numFmtId="172" fontId="75" fillId="0" borderId="0"/>
    <xf numFmtId="172" fontId="194" fillId="0" borderId="0" applyAlignment="1" applyProtection="1">
      <alignment vertical="top"/>
      <protection locked="0" hidden="0"/>
    </xf>
    <xf numFmtId="172" fontId="194" fillId="0" borderId="0" applyAlignment="1" applyProtection="1">
      <alignment vertical="top"/>
      <protection locked="0" hidden="0"/>
    </xf>
    <xf numFmtId="172" fontId="194" fillId="0" borderId="0" applyAlignment="1" applyProtection="1">
      <alignment vertical="top"/>
      <protection locked="0" hidden="0"/>
    </xf>
    <xf numFmtId="172" fontId="75" fillId="0" borderId="0"/>
    <xf numFmtId="172" fontId="194" fillId="0" borderId="0" applyAlignment="1" applyProtection="1">
      <alignment vertical="top"/>
      <protection locked="0" hidden="0"/>
    </xf>
    <xf numFmtId="172" fontId="194" fillId="0" borderId="0" applyAlignment="1" applyProtection="1">
      <alignment vertical="top"/>
      <protection locked="0" hidden="0"/>
    </xf>
    <xf numFmtId="172" fontId="75" fillId="0" borderId="0"/>
    <xf numFmtId="172" fontId="194" fillId="0" borderId="0" applyAlignment="1" applyProtection="1">
      <alignment vertical="top"/>
      <protection locked="0" hidden="0"/>
    </xf>
    <xf numFmtId="172" fontId="194" fillId="0" borderId="0" applyAlignment="1" applyProtection="1">
      <alignment vertical="top"/>
      <protection locked="0" hidden="0"/>
    </xf>
    <xf numFmtId="172" fontId="194" fillId="0" borderId="0" applyAlignment="1" applyProtection="1">
      <alignment vertical="top"/>
      <protection locked="0" hidden="0"/>
    </xf>
    <xf numFmtId="172" fontId="75" fillId="0" borderId="0"/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44" fontId="207" fillId="0" borderId="0"/>
  </cellStyleXfs>
  <cellXfs count="39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199" fillId="0" borderId="0" applyAlignment="1" pivotButton="0" quotePrefix="0" xfId="0">
      <alignment horizontal="right" vertical="center"/>
    </xf>
    <xf numFmtId="14" fontId="200" fillId="0" borderId="0" applyAlignment="1" pivotButton="0" quotePrefix="0" xfId="0">
      <alignment horizontal="center" vertical="center"/>
    </xf>
    <xf numFmtId="2" fontId="199" fillId="0" borderId="0" applyAlignment="1" pivotButton="0" quotePrefix="0" xfId="0">
      <alignment horizontal="right" vertical="center"/>
    </xf>
    <xf numFmtId="0" fontId="201" fillId="81" borderId="0" applyAlignment="1" pivotButton="0" quotePrefix="0" xfId="0">
      <alignment horizontal="left" vertical="center"/>
    </xf>
    <xf numFmtId="2" fontId="199" fillId="82" borderId="0" applyAlignment="1" pivotButton="0" quotePrefix="0" xfId="0">
      <alignment horizontal="right" vertical="center"/>
    </xf>
    <xf numFmtId="0" fontId="201" fillId="83" borderId="0" applyAlignment="1" pivotButton="0" quotePrefix="0" xfId="0">
      <alignment horizontal="left" vertical="center"/>
    </xf>
    <xf numFmtId="0" fontId="0" fillId="84" borderId="0" applyAlignment="1" pivotButton="0" quotePrefix="0" xfId="0">
      <alignment vertical="center" wrapText="1"/>
    </xf>
    <xf numFmtId="0" fontId="0" fillId="0" borderId="19" applyAlignment="1" pivotButton="0" quotePrefix="0" xfId="0">
      <alignment vertical="center"/>
    </xf>
    <xf numFmtId="0" fontId="0" fillId="0" borderId="19" applyAlignment="1" pivotButton="0" quotePrefix="0" xfId="0">
      <alignment horizontal="right" vertical="center"/>
    </xf>
    <xf numFmtId="0" fontId="199" fillId="0" borderId="19" applyAlignment="1" pivotButton="0" quotePrefix="0" xfId="0">
      <alignment horizontal="right" vertical="center"/>
    </xf>
    <xf numFmtId="0" fontId="0" fillId="0" borderId="19" applyAlignment="1" pivotButton="0" quotePrefix="0" xfId="0">
      <alignment horizontal="center" vertical="center"/>
    </xf>
    <xf numFmtId="0" fontId="0" fillId="0" borderId="19" applyAlignment="1" pivotButton="0" quotePrefix="0" xfId="0">
      <alignment vertical="center" wrapText="1"/>
    </xf>
    <xf numFmtId="0" fontId="0" fillId="85" borderId="19" applyAlignment="1" pivotButton="0" quotePrefix="0" xfId="0">
      <alignment horizontal="center" vertical="center" wrapText="1"/>
    </xf>
    <xf numFmtId="0" fontId="199" fillId="87" borderId="0" applyAlignment="1" pivotButton="0" quotePrefix="0" xfId="0">
      <alignment horizontal="center" vertical="center" wrapText="1"/>
    </xf>
    <xf numFmtId="0" fontId="199" fillId="88" borderId="0" applyAlignment="1" pivotButton="0" quotePrefix="0" xfId="0">
      <alignment horizontal="center" vertical="center" wrapText="1"/>
    </xf>
    <xf numFmtId="0" fontId="199" fillId="89" borderId="0" applyAlignment="1" pivotButton="0" quotePrefix="0" xfId="0">
      <alignment horizontal="center" vertical="center" wrapText="1"/>
    </xf>
    <xf numFmtId="0" fontId="199" fillId="0" borderId="19" applyAlignment="1" pivotButton="0" quotePrefix="0" xfId="0">
      <alignment horizontal="center" vertical="center"/>
    </xf>
    <xf numFmtId="0" fontId="199" fillId="0" borderId="19" applyAlignment="1" pivotButton="0" quotePrefix="0" xfId="0">
      <alignment horizontal="center" vertical="center" wrapText="1"/>
    </xf>
    <xf numFmtId="0" fontId="199" fillId="84" borderId="19" applyAlignment="1" pivotButton="0" quotePrefix="0" xfId="0">
      <alignment horizontal="center" vertical="center" wrapText="1"/>
    </xf>
    <xf numFmtId="49" fontId="199" fillId="91" borderId="19" applyAlignment="1" pivotButton="0" quotePrefix="0" xfId="0">
      <alignment horizontal="center" vertical="center" wrapText="1"/>
    </xf>
    <xf numFmtId="164" fontId="199" fillId="91" borderId="19" applyAlignment="1" pivotButton="0" quotePrefix="0" xfId="0">
      <alignment horizontal="center" vertical="center" wrapText="1"/>
    </xf>
    <xf numFmtId="14" fontId="199" fillId="100" borderId="19" applyAlignment="1" pivotButton="0" quotePrefix="0" xfId="0">
      <alignment horizontal="center" vertical="center" wrapText="1"/>
    </xf>
    <xf numFmtId="14" fontId="199" fillId="0" borderId="19" applyAlignment="1" pivotButton="0" quotePrefix="0" xfId="0">
      <alignment horizontal="center" vertical="center" wrapText="1"/>
    </xf>
    <xf numFmtId="0" fontId="199" fillId="101" borderId="19" applyAlignment="1" pivotButton="0" quotePrefix="0" xfId="0">
      <alignment horizontal="center" vertical="center" wrapText="1"/>
    </xf>
    <xf numFmtId="14" fontId="199" fillId="62" borderId="19" applyAlignment="1" pivotButton="0" quotePrefix="0" xfId="0">
      <alignment horizontal="center" vertical="center" wrapText="1"/>
    </xf>
    <xf numFmtId="14" fontId="199" fillId="102" borderId="19" applyAlignment="1" pivotButton="0" quotePrefix="0" xfId="0">
      <alignment horizontal="center" vertical="center" wrapText="1"/>
    </xf>
    <xf numFmtId="0" fontId="199" fillId="101" borderId="15" applyAlignment="1" pivotButton="0" quotePrefix="0" xfId="0">
      <alignment horizontal="center" vertical="center" wrapText="1"/>
    </xf>
    <xf numFmtId="0" fontId="199" fillId="0" borderId="19" applyAlignment="1" pivotButton="0" quotePrefix="0" xfId="30293">
      <alignment horizontal="center" vertical="center" wrapText="1"/>
    </xf>
    <xf numFmtId="0" fontId="3" fillId="0" borderId="19" applyAlignment="1" pivotButton="0" quotePrefix="0" xfId="0">
      <alignment horizontal="center" vertical="center"/>
    </xf>
    <xf numFmtId="0" fontId="201" fillId="0" borderId="19" applyAlignment="1" pivotButton="0" quotePrefix="0" xfId="0">
      <alignment horizontal="left" vertical="center" wrapText="1"/>
    </xf>
    <xf numFmtId="165" fontId="0" fillId="0" borderId="19" applyAlignment="1" pivotButton="0" quotePrefix="0" xfId="0">
      <alignment horizontal="center" vertical="center" wrapText="1"/>
    </xf>
    <xf numFmtId="0" fontId="0" fillId="103" borderId="19" applyAlignment="1" pivotButton="0" quotePrefix="0" xfId="0">
      <alignment horizontal="center" vertical="center" wrapText="1"/>
    </xf>
    <xf numFmtId="0" fontId="0" fillId="104" borderId="19" applyAlignment="1" pivotButton="0" quotePrefix="0" xfId="0">
      <alignment horizontal="center" vertical="center" wrapText="1"/>
    </xf>
    <xf numFmtId="0" fontId="0" fillId="101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104" borderId="18" applyAlignment="1" pivotButton="0" quotePrefix="0" xfId="0">
      <alignment horizontal="center" vertical="center" wrapText="1"/>
    </xf>
    <xf numFmtId="166" fontId="202" fillId="103" borderId="19" applyAlignment="1" pivotButton="0" quotePrefix="0" xfId="25429">
      <alignment horizontal="center" vertical="center" wrapText="1"/>
    </xf>
    <xf numFmtId="166" fontId="202" fillId="103" borderId="19" applyAlignment="1" pivotButton="0" quotePrefix="0" xfId="25429">
      <alignment vertical="center" wrapText="1"/>
    </xf>
    <xf numFmtId="166" fontId="202" fillId="0" borderId="19" applyAlignment="1" pivotButton="0" quotePrefix="0" xfId="25429">
      <alignment horizontal="center" vertical="center" wrapText="1"/>
    </xf>
    <xf numFmtId="166" fontId="202" fillId="0" borderId="19" applyAlignment="1" pivotButton="0" quotePrefix="0" xfId="25429">
      <alignment vertical="center" wrapText="1"/>
    </xf>
    <xf numFmtId="166" fontId="202" fillId="101" borderId="19" applyAlignment="1" pivotButton="0" quotePrefix="0" xfId="25429">
      <alignment horizontal="center" vertical="center" wrapText="1"/>
    </xf>
    <xf numFmtId="166" fontId="202" fillId="101" borderId="19" applyAlignment="1" pivotButton="0" quotePrefix="0" xfId="25429">
      <alignment vertical="center" wrapText="1"/>
    </xf>
    <xf numFmtId="0" fontId="0" fillId="105" borderId="19" applyAlignment="1" pivotButton="0" quotePrefix="0" xfId="0">
      <alignment horizontal="center" vertical="center" wrapText="1"/>
    </xf>
    <xf numFmtId="166" fontId="202" fillId="105" borderId="19" applyAlignment="1" pivotButton="0" quotePrefix="0" xfId="25429">
      <alignment horizontal="center" vertical="center" wrapText="1"/>
    </xf>
    <xf numFmtId="166" fontId="202" fillId="105" borderId="19" applyAlignment="1" pivotButton="0" quotePrefix="0" xfId="25429">
      <alignment vertical="center" wrapText="1"/>
    </xf>
    <xf numFmtId="166" fontId="202" fillId="101" borderId="15" applyAlignment="1" pivotButton="0" quotePrefix="0" xfId="25429">
      <alignment vertical="center" wrapText="1"/>
    </xf>
    <xf numFmtId="0" fontId="205" fillId="0" borderId="19" applyAlignment="1" pivotButton="0" quotePrefix="0" xfId="30293">
      <alignment horizontal="center" vertical="center" wrapText="1"/>
    </xf>
    <xf numFmtId="0" fontId="0" fillId="101" borderId="0" applyAlignment="1" pivotButton="0" quotePrefix="0" xfId="0">
      <alignment horizontal="center" vertical="center" wrapText="1"/>
    </xf>
    <xf numFmtId="0" fontId="0" fillId="104" borderId="51" applyAlignment="1" pivotButton="0" quotePrefix="0" xfId="0">
      <alignment horizontal="center" vertical="center" wrapText="1"/>
    </xf>
    <xf numFmtId="0" fontId="202" fillId="101" borderId="19" applyAlignment="1" pivotButton="0" quotePrefix="0" xfId="25429">
      <alignment horizontal="center" vertical="center" wrapText="1"/>
    </xf>
    <xf numFmtId="165" fontId="0" fillId="84" borderId="19" applyAlignment="1" pivotButton="0" quotePrefix="0" xfId="0">
      <alignment horizontal="center" vertical="center" wrapText="1"/>
    </xf>
    <xf numFmtId="0" fontId="3" fillId="84" borderId="19" applyAlignment="1" pivotButton="0" quotePrefix="0" xfId="0">
      <alignment horizontal="center" vertical="center"/>
    </xf>
    <xf numFmtId="0" fontId="201" fillId="84" borderId="19" applyAlignment="1" pivotButton="0" quotePrefix="0" xfId="0">
      <alignment horizontal="left" vertical="center" wrapText="1"/>
    </xf>
    <xf numFmtId="0" fontId="0" fillId="106" borderId="0" applyAlignment="1" pivotButton="0" quotePrefix="0" xfId="0">
      <alignment horizontal="center" vertical="center" wrapText="1"/>
    </xf>
    <xf numFmtId="0" fontId="0" fillId="104" borderId="50" applyAlignment="1" pivotButton="0" quotePrefix="0" xfId="0">
      <alignment horizontal="center" vertical="center" wrapText="1"/>
    </xf>
    <xf numFmtId="0" fontId="0" fillId="84" borderId="19" applyAlignment="1" pivotButton="0" quotePrefix="0" xfId="0">
      <alignment horizontal="center" vertical="center"/>
    </xf>
    <xf numFmtId="0" fontId="0" fillId="107" borderId="19" applyAlignment="1" pivotButton="0" quotePrefix="0" xfId="0">
      <alignment horizontal="center" vertical="center"/>
    </xf>
    <xf numFmtId="0" fontId="3" fillId="107" borderId="19" applyAlignment="1" pivotButton="0" quotePrefix="0" xfId="0">
      <alignment horizontal="center" vertical="center"/>
    </xf>
    <xf numFmtId="0" fontId="201" fillId="107" borderId="19" applyAlignment="1" pivotButton="0" quotePrefix="0" xfId="0">
      <alignment horizontal="left" vertical="center" wrapText="1"/>
    </xf>
    <xf numFmtId="165" fontId="0" fillId="90" borderId="19" applyAlignment="1" pivotButton="0" quotePrefix="0" xfId="0">
      <alignment horizontal="center" vertical="center" wrapText="1"/>
    </xf>
    <xf numFmtId="165" fontId="201" fillId="84" borderId="19" applyAlignment="1" pivotButton="0" quotePrefix="0" xfId="0">
      <alignment horizontal="center" vertical="center" wrapText="1"/>
    </xf>
    <xf numFmtId="0" fontId="199" fillId="0" borderId="51" applyAlignment="1" pivotButton="0" quotePrefix="0" xfId="30293">
      <alignment horizontal="center" vertical="center" wrapText="1"/>
    </xf>
    <xf numFmtId="0" fontId="199" fillId="0" borderId="50" applyAlignment="1" pivotButton="0" quotePrefix="0" xfId="30293">
      <alignment horizontal="center" vertical="center" wrapText="1"/>
    </xf>
    <xf numFmtId="0" fontId="199" fillId="0" borderId="0" applyAlignment="1" pivotButton="0" quotePrefix="0" xfId="0">
      <alignment vertical="center"/>
    </xf>
    <xf numFmtId="0" fontId="0" fillId="84" borderId="19" applyAlignment="1" pivotButton="0" quotePrefix="0" xfId="0">
      <alignment horizontal="center" vertical="center" wrapText="1"/>
    </xf>
    <xf numFmtId="0" fontId="199" fillId="84" borderId="19" applyAlignment="1" pivotButton="0" quotePrefix="0" xfId="0">
      <alignment horizontal="center" vertical="center"/>
    </xf>
    <xf numFmtId="0" fontId="203" fillId="84" borderId="19" applyAlignment="1" pivotButton="0" quotePrefix="0" xfId="0">
      <alignment horizontal="center" vertical="center"/>
    </xf>
    <xf numFmtId="0" fontId="203" fillId="84" borderId="19" applyAlignment="1" pivotButton="0" quotePrefix="0" xfId="0">
      <alignment horizontal="left" vertical="center" wrapText="1"/>
    </xf>
    <xf numFmtId="165" fontId="203" fillId="84" borderId="19" applyAlignment="1" pivotButton="0" quotePrefix="0" xfId="0">
      <alignment horizontal="center" vertical="center" wrapText="1"/>
    </xf>
    <xf numFmtId="0" fontId="199" fillId="103" borderId="19" applyAlignment="1" pivotButton="0" quotePrefix="0" xfId="0">
      <alignment horizontal="center" vertical="center" wrapText="1"/>
    </xf>
    <xf numFmtId="0" fontId="199" fillId="104" borderId="19" applyAlignment="1" pivotButton="0" quotePrefix="0" xfId="0">
      <alignment horizontal="center" vertical="center" wrapText="1"/>
    </xf>
    <xf numFmtId="0" fontId="203" fillId="0" borderId="19" applyAlignment="1" pivotButton="0" quotePrefix="0" xfId="30493">
      <alignment vertical="center" wrapText="1"/>
    </xf>
    <xf numFmtId="0" fontId="203" fillId="101" borderId="19" applyAlignment="1" pivotButton="0" quotePrefix="0" xfId="30493">
      <alignment horizontal="center" vertical="center" wrapText="1"/>
    </xf>
    <xf numFmtId="0" fontId="204" fillId="101" borderId="19" applyAlignment="1" pivotButton="0" quotePrefix="0" xfId="25429">
      <alignment horizontal="center" vertical="center" wrapText="1"/>
    </xf>
    <xf numFmtId="0" fontId="199" fillId="105" borderId="19" applyAlignment="1" pivotButton="0" quotePrefix="0" xfId="0">
      <alignment horizontal="center" vertical="center" wrapText="1"/>
    </xf>
    <xf numFmtId="0" fontId="199" fillId="0" borderId="19" applyAlignment="1" pivotButton="0" quotePrefix="0" xfId="0">
      <alignment vertical="center"/>
    </xf>
    <xf numFmtId="0" fontId="0" fillId="108" borderId="19" applyAlignment="1" pivotButton="0" quotePrefix="0" xfId="0">
      <alignment horizontal="center" vertical="center" wrapText="1"/>
    </xf>
    <xf numFmtId="0" fontId="199" fillId="108" borderId="19" applyAlignment="1" pivotButton="0" quotePrefix="0" xfId="0">
      <alignment horizontal="center" vertical="center" wrapText="1"/>
    </xf>
    <xf numFmtId="0" fontId="0" fillId="108" borderId="19" applyAlignment="1" pivotButton="0" quotePrefix="0" xfId="0">
      <alignment horizontal="center" vertical="center"/>
    </xf>
    <xf numFmtId="0" fontId="201" fillId="108" borderId="19" applyAlignment="1" pivotButton="0" quotePrefix="0" xfId="0">
      <alignment horizontal="center" vertical="center"/>
    </xf>
    <xf numFmtId="0" fontId="201" fillId="108" borderId="19" applyAlignment="1" pivotButton="0" quotePrefix="0" xfId="0">
      <alignment horizontal="center" vertical="center" wrapText="1"/>
    </xf>
    <xf numFmtId="165" fontId="201" fillId="108" borderId="19" applyAlignment="1" pivotButton="0" quotePrefix="0" xfId="0">
      <alignment horizontal="center" vertical="center" wrapText="1"/>
    </xf>
    <xf numFmtId="0" fontId="23" fillId="108" borderId="19" applyAlignment="1" pivotButton="0" quotePrefix="0" xfId="30493">
      <alignment vertical="center" wrapText="1"/>
    </xf>
    <xf numFmtId="0" fontId="23" fillId="108" borderId="19" applyAlignment="1" pivotButton="0" quotePrefix="0" xfId="30493">
      <alignment horizontal="center" vertical="center" wrapText="1"/>
    </xf>
    <xf numFmtId="166" fontId="202" fillId="109" borderId="19" applyAlignment="1" pivotButton="0" quotePrefix="0" xfId="25429">
      <alignment horizontal="center" vertical="center" wrapText="1"/>
    </xf>
    <xf numFmtId="166" fontId="202" fillId="109" borderId="19" applyAlignment="1" pivotButton="0" quotePrefix="0" xfId="25429">
      <alignment vertical="center" wrapText="1"/>
    </xf>
    <xf numFmtId="166" fontId="202" fillId="109" borderId="15" applyAlignment="1" pivotButton="0" quotePrefix="0" xfId="25429">
      <alignment vertical="center" wrapText="1"/>
    </xf>
    <xf numFmtId="0" fontId="0" fillId="110" borderId="19" applyAlignment="1" pivotButton="0" quotePrefix="0" xfId="0">
      <alignment horizontal="center" vertical="center" wrapText="1"/>
    </xf>
    <xf numFmtId="0" fontId="0" fillId="111" borderId="19" applyAlignment="1" pivotButton="0" quotePrefix="0" xfId="0">
      <alignment horizontal="center" vertical="center" wrapText="1"/>
    </xf>
    <xf numFmtId="0" fontId="199" fillId="0" borderId="50" applyAlignment="1" pivotButton="0" quotePrefix="0" xfId="0">
      <alignment horizontal="center" vertical="center" wrapText="1"/>
    </xf>
    <xf numFmtId="165" fontId="0" fillId="107" borderId="19" applyAlignment="1" pivotButton="0" quotePrefix="0" xfId="0">
      <alignment horizontal="center" vertical="center" wrapText="1"/>
    </xf>
    <xf numFmtId="0" fontId="0" fillId="104" borderId="19" applyAlignment="1" pivotButton="0" quotePrefix="0" xfId="0">
      <alignment vertical="center" wrapText="1"/>
    </xf>
    <xf numFmtId="0" fontId="203" fillId="84" borderId="19" applyAlignment="1" pivotButton="0" quotePrefix="0" xfId="30493">
      <alignment vertical="center" wrapText="1"/>
    </xf>
    <xf numFmtId="0" fontId="0" fillId="79" borderId="19" applyAlignment="1" pivotButton="0" quotePrefix="0" xfId="0">
      <alignment horizontal="center" vertical="center"/>
    </xf>
    <xf numFmtId="0" fontId="201" fillId="110" borderId="19" applyAlignment="1" pivotButton="0" quotePrefix="0" xfId="0">
      <alignment horizontal="center" vertical="center" wrapText="1"/>
    </xf>
    <xf numFmtId="166" fontId="202" fillId="84" borderId="19" applyAlignment="1" pivotButton="0" quotePrefix="0" xfId="25429">
      <alignment horizontal="center" vertical="center" wrapText="1"/>
    </xf>
    <xf numFmtId="0" fontId="0" fillId="108" borderId="18" applyAlignment="1" pivotButton="0" quotePrefix="0" xfId="0">
      <alignment horizontal="center" vertical="center" wrapText="1"/>
    </xf>
    <xf numFmtId="0" fontId="199" fillId="108" borderId="18" applyAlignment="1" pivotButton="0" quotePrefix="0" xfId="0">
      <alignment horizontal="center" vertical="center" wrapText="1"/>
    </xf>
    <xf numFmtId="0" fontId="0" fillId="108" borderId="18" applyAlignment="1" pivotButton="0" quotePrefix="0" xfId="0">
      <alignment horizontal="center" vertical="center"/>
    </xf>
    <xf numFmtId="0" fontId="201" fillId="108" borderId="18" applyAlignment="1" pivotButton="0" quotePrefix="0" xfId="0">
      <alignment horizontal="center" vertical="center"/>
    </xf>
    <xf numFmtId="0" fontId="201" fillId="108" borderId="18" applyAlignment="1" pivotButton="0" quotePrefix="0" xfId="0">
      <alignment horizontal="center" vertical="center" wrapText="1"/>
    </xf>
    <xf numFmtId="165" fontId="201" fillId="108" borderId="18" applyAlignment="1" pivotButton="0" quotePrefix="0" xfId="0">
      <alignment horizontal="center" vertical="center" wrapText="1"/>
    </xf>
    <xf numFmtId="0" fontId="23" fillId="108" borderId="18" applyAlignment="1" pivotButton="0" quotePrefix="0" xfId="30493">
      <alignment vertical="center" wrapText="1"/>
    </xf>
    <xf numFmtId="0" fontId="23" fillId="108" borderId="18" applyAlignment="1" pivotButton="0" quotePrefix="0" xfId="30493">
      <alignment horizontal="center" vertical="center" wrapText="1"/>
    </xf>
    <xf numFmtId="166" fontId="202" fillId="109" borderId="18" applyAlignment="1" pivotButton="0" quotePrefix="0" xfId="25429">
      <alignment horizontal="center" vertical="center" wrapText="1"/>
    </xf>
    <xf numFmtId="166" fontId="202" fillId="109" borderId="18" applyAlignment="1" pivotButton="0" quotePrefix="0" xfId="25429">
      <alignment vertical="center" wrapText="1"/>
    </xf>
    <xf numFmtId="165" fontId="0" fillId="111" borderId="19" applyAlignment="1" pivotButton="0" quotePrefix="0" xfId="0">
      <alignment horizontal="center" vertical="center" wrapText="1"/>
    </xf>
    <xf numFmtId="0" fontId="3" fillId="111" borderId="19" applyAlignment="1" pivotButton="0" quotePrefix="0" xfId="0">
      <alignment horizontal="center" vertical="center"/>
    </xf>
    <xf numFmtId="0" fontId="0" fillId="112" borderId="19" applyAlignment="1" pivotButton="0" quotePrefix="0" xfId="0">
      <alignment horizontal="center" vertical="center"/>
    </xf>
    <xf numFmtId="0" fontId="0" fillId="0" borderId="15" applyAlignment="1" pivotButton="0" quotePrefix="0" xfId="0">
      <alignment vertical="center" wrapText="1"/>
    </xf>
    <xf numFmtId="0" fontId="199" fillId="0" borderId="19" applyAlignment="1" pivotButton="0" quotePrefix="0" xfId="0">
      <alignment horizontal="right" vertical="center" wrapText="1"/>
    </xf>
    <xf numFmtId="3" fontId="199" fillId="0" borderId="19" applyAlignment="1" pivotButton="0" quotePrefix="0" xfId="0">
      <alignment vertical="center" wrapText="1"/>
    </xf>
    <xf numFmtId="3" fontId="199" fillId="0" borderId="15" applyAlignment="1" pivotButton="0" quotePrefix="0" xfId="0">
      <alignment vertical="center" wrapText="1"/>
    </xf>
    <xf numFmtId="0" fontId="199" fillId="0" borderId="38" applyAlignment="1" pivotButton="0" quotePrefix="0" xfId="0">
      <alignment horizontal="center" vertical="center" wrapText="1"/>
    </xf>
    <xf numFmtId="0" fontId="199" fillId="0" borderId="54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/>
    </xf>
    <xf numFmtId="0" fontId="0" fillId="0" borderId="19" applyAlignment="1" pivotButton="0" quotePrefix="0" xfId="0">
      <alignment horizontal="left" vertical="center" wrapText="1"/>
    </xf>
    <xf numFmtId="3" fontId="0" fillId="0" borderId="19" applyAlignment="1" pivotButton="0" quotePrefix="0" xfId="0">
      <alignment horizontal="center" vertical="center"/>
    </xf>
    <xf numFmtId="3" fontId="199" fillId="0" borderId="19" applyAlignment="1" pivotButton="0" quotePrefix="0" xfId="0">
      <alignment horizontal="center" vertical="center"/>
    </xf>
    <xf numFmtId="0" fontId="0" fillId="0" borderId="15" applyAlignment="1" pivotButton="0" quotePrefix="0" xfId="0">
      <alignment vertical="center"/>
    </xf>
    <xf numFmtId="0" fontId="201" fillId="79" borderId="19" applyAlignment="1" pivotButton="0" quotePrefix="0" xfId="0">
      <alignment horizontal="center" vertical="center"/>
    </xf>
    <xf numFmtId="0" fontId="205" fillId="0" borderId="15" applyAlignment="1" pivotButton="0" quotePrefix="0" xfId="30293">
      <alignment vertical="center"/>
    </xf>
    <xf numFmtId="0" fontId="0" fillId="0" borderId="55" pivotButton="0" quotePrefix="0" xfId="0"/>
    <xf numFmtId="0" fontId="0" fillId="0" borderId="18" pivotButton="0" quotePrefix="0" xfId="0"/>
    <xf numFmtId="3" fontId="0" fillId="0" borderId="18" applyAlignment="1" pivotButton="0" quotePrefix="0" xfId="0">
      <alignment horizontal="center" vertical="center"/>
    </xf>
    <xf numFmtId="0" fontId="0" fillId="0" borderId="52" pivotButton="0" quotePrefix="0" xfId="0"/>
    <xf numFmtId="0" fontId="205" fillId="0" borderId="0" applyAlignment="1" pivotButton="0" quotePrefix="0" xfId="30293">
      <alignment vertical="center"/>
    </xf>
    <xf numFmtId="0" fontId="199" fillId="0" borderId="38" applyAlignment="1" pivotButton="0" quotePrefix="0" xfId="30293">
      <alignment horizontal="center" vertical="center" wrapText="1"/>
    </xf>
    <xf numFmtId="0" fontId="205" fillId="0" borderId="54" applyAlignment="1" pivotButton="0" quotePrefix="0" xfId="30293">
      <alignment horizontal="center" vertical="center" wrapText="1"/>
    </xf>
    <xf numFmtId="0" fontId="205" fillId="0" borderId="19" applyAlignment="1" pivotButton="0" quotePrefix="0" xfId="30293">
      <alignment horizontal="center" vertical="center"/>
    </xf>
    <xf numFmtId="0" fontId="201" fillId="0" borderId="19" applyAlignment="1" pivotButton="0" quotePrefix="0" xfId="30293">
      <alignment horizontal="center" vertical="center"/>
    </xf>
    <xf numFmtId="0" fontId="201" fillId="0" borderId="19" applyAlignment="1" pivotButton="0" quotePrefix="0" xfId="30293">
      <alignment horizontal="left" vertical="center" wrapText="1"/>
    </xf>
    <xf numFmtId="0" fontId="205" fillId="0" borderId="19" applyAlignment="1" pivotButton="0" quotePrefix="0" xfId="30293">
      <alignment vertical="center"/>
    </xf>
    <xf numFmtId="0" fontId="201" fillId="113" borderId="19" applyAlignment="1" pivotButton="0" quotePrefix="0" xfId="30293">
      <alignment horizontal="left" vertical="center" wrapText="1"/>
    </xf>
    <xf numFmtId="0" fontId="201" fillId="113" borderId="19" applyAlignment="1" pivotButton="0" quotePrefix="0" xfId="30293">
      <alignment vertical="center"/>
    </xf>
    <xf numFmtId="0" fontId="205" fillId="0" borderId="19" applyAlignment="1" pivotButton="0" quotePrefix="0" xfId="30293">
      <alignment horizontal="left" vertical="center" wrapText="1"/>
    </xf>
    <xf numFmtId="0" fontId="205" fillId="113" borderId="19" applyAlignment="1" pivotButton="0" quotePrefix="0" xfId="30293">
      <alignment horizontal="left" vertical="center" wrapText="1"/>
    </xf>
    <xf numFmtId="0" fontId="205" fillId="113" borderId="19" applyAlignment="1" pivotButton="0" quotePrefix="0" xfId="30293">
      <alignment vertical="center"/>
    </xf>
    <xf numFmtId="0" fontId="205" fillId="0" borderId="18" applyAlignment="1" pivotButton="0" quotePrefix="0" xfId="30293">
      <alignment horizontal="center" vertical="center"/>
    </xf>
    <xf numFmtId="0" fontId="205" fillId="0" borderId="18" applyAlignment="1" pivotButton="0" quotePrefix="0" xfId="30293">
      <alignment horizontal="left" vertical="center" wrapText="1"/>
    </xf>
    <xf numFmtId="0" fontId="205" fillId="0" borderId="18" applyAlignment="1" pivotButton="0" quotePrefix="0" xfId="30293">
      <alignment vertical="center"/>
    </xf>
    <xf numFmtId="0" fontId="0" fillId="79" borderId="0" pivotButton="0" quotePrefix="0" xfId="0"/>
    <xf numFmtId="0" fontId="3" fillId="115" borderId="19" applyAlignment="1" pivotButton="0" quotePrefix="0" xfId="0">
      <alignment horizontal="center" vertical="center"/>
    </xf>
    <xf numFmtId="0" fontId="201" fillId="115" borderId="19" applyAlignment="1" pivotButton="0" quotePrefix="0" xfId="0">
      <alignment horizontal="left" vertical="center" wrapText="1"/>
    </xf>
    <xf numFmtId="0" fontId="0" fillId="116" borderId="19" applyAlignment="1" pivotButton="0" quotePrefix="0" xfId="0">
      <alignment horizontal="center" vertical="center"/>
    </xf>
    <xf numFmtId="0" fontId="206" fillId="0" borderId="19" applyAlignment="1" pivotButton="0" quotePrefix="0" xfId="25385">
      <alignment horizontal="center" vertical="center" wrapText="1"/>
    </xf>
    <xf numFmtId="0" fontId="0" fillId="104" borderId="56" applyAlignment="1" pivotButton="0" quotePrefix="0" xfId="0">
      <alignment vertical="center" wrapText="1"/>
    </xf>
    <xf numFmtId="0" fontId="199" fillId="0" borderId="56" applyAlignment="1" pivotButton="0" quotePrefix="0" xfId="30293">
      <alignment vertical="center" wrapText="1"/>
    </xf>
    <xf numFmtId="0" fontId="206" fillId="115" borderId="19" applyAlignment="1" pivotButton="0" quotePrefix="0" xfId="25385">
      <alignment horizontal="center" vertical="center" wrapText="1"/>
    </xf>
    <xf numFmtId="0" fontId="201" fillId="111" borderId="19" applyAlignment="1" pivotButton="0" quotePrefix="0" xfId="0">
      <alignment horizontal="left" vertical="center" wrapText="1"/>
    </xf>
    <xf numFmtId="0" fontId="0" fillId="115" borderId="19" applyAlignment="1" pivotButton="0" quotePrefix="0" xfId="0">
      <alignment horizontal="center" vertical="center" wrapText="1"/>
    </xf>
    <xf numFmtId="0" fontId="0" fillId="117" borderId="19" applyAlignment="1" pivotButton="0" quotePrefix="0" xfId="0">
      <alignment horizontal="center" vertical="center" wrapText="1"/>
    </xf>
    <xf numFmtId="165" fontId="201" fillId="0" borderId="19" applyAlignment="1" pivotButton="0" quotePrefix="0" xfId="0">
      <alignment horizontal="center" vertical="center" wrapText="1"/>
    </xf>
    <xf numFmtId="0" fontId="201" fillId="0" borderId="19" applyAlignment="1" pivotButton="0" quotePrefix="0" xfId="0">
      <alignment horizontal="center" vertical="center" wrapText="1"/>
    </xf>
    <xf numFmtId="0" fontId="204" fillId="0" borderId="19" applyAlignment="1" pivotButton="0" quotePrefix="0" xfId="25429">
      <alignment horizontal="center" vertical="center" wrapText="1"/>
    </xf>
    <xf numFmtId="166" fontId="202" fillId="118" borderId="19" applyAlignment="1" pivotButton="0" quotePrefix="0" xfId="25429">
      <alignment horizontal="center" vertical="center" wrapText="1"/>
    </xf>
    <xf numFmtId="166" fontId="202" fillId="118" borderId="19" applyAlignment="1" pivotButton="0" quotePrefix="0" xfId="25429">
      <alignment vertical="center" wrapText="1"/>
    </xf>
    <xf numFmtId="166" fontId="202" fillId="0" borderId="15" applyAlignment="1" pivotButton="0" quotePrefix="0" xfId="25429">
      <alignment vertical="center" wrapText="1"/>
    </xf>
    <xf numFmtId="0" fontId="0" fillId="0" borderId="51" applyAlignment="1" pivotButton="0" quotePrefix="0" xfId="0">
      <alignment horizontal="center" vertical="center" wrapText="1"/>
    </xf>
    <xf numFmtId="0" fontId="0" fillId="0" borderId="50" applyAlignment="1" pivotButton="0" quotePrefix="0" xfId="0">
      <alignment horizontal="center" vertical="center" wrapText="1"/>
    </xf>
    <xf numFmtId="0" fontId="203" fillId="0" borderId="19" applyAlignment="1" pivotButton="0" quotePrefix="0" xfId="0">
      <alignment horizontal="center" vertical="center"/>
    </xf>
    <xf numFmtId="0" fontId="203" fillId="0" borderId="19" applyAlignment="1" pivotButton="0" quotePrefix="0" xfId="0">
      <alignment horizontal="left" vertical="center" wrapText="1"/>
    </xf>
    <xf numFmtId="165" fontId="203" fillId="0" borderId="19" applyAlignment="1" pivotButton="0" quotePrefix="0" xfId="0">
      <alignment horizontal="center" vertical="center" wrapText="1"/>
    </xf>
    <xf numFmtId="0" fontId="203" fillId="0" borderId="19" applyAlignment="1" pivotButton="0" quotePrefix="0" xfId="30493">
      <alignment horizontal="center" vertical="center" wrapText="1"/>
    </xf>
    <xf numFmtId="0" fontId="0" fillId="119" borderId="19" applyAlignment="1" pivotButton="0" quotePrefix="0" xfId="0">
      <alignment horizontal="center" vertical="center" wrapText="1"/>
    </xf>
    <xf numFmtId="0" fontId="0" fillId="84" borderId="56" applyAlignment="1" pivotButton="0" quotePrefix="0" xfId="0">
      <alignment horizontal="center" vertical="center"/>
    </xf>
    <xf numFmtId="0" fontId="3" fillId="84" borderId="56" applyAlignment="1" pivotButton="0" quotePrefix="0" xfId="0">
      <alignment horizontal="center" vertical="center"/>
    </xf>
    <xf numFmtId="0" fontId="201" fillId="84" borderId="56" applyAlignment="1" pivotButton="0" quotePrefix="0" xfId="0">
      <alignment horizontal="left" vertical="center" wrapText="1"/>
    </xf>
    <xf numFmtId="165" fontId="0" fillId="84" borderId="56" applyAlignment="1" pivotButton="0" quotePrefix="0" xfId="0">
      <alignment horizontal="center" vertical="center" wrapText="1"/>
    </xf>
    <xf numFmtId="165" fontId="0" fillId="0" borderId="56" applyAlignment="1" pivotButton="0" quotePrefix="0" xfId="0">
      <alignment horizontal="center" vertical="center" wrapText="1"/>
    </xf>
    <xf numFmtId="0" fontId="0" fillId="103" borderId="56" applyAlignment="1" pivotButton="0" quotePrefix="0" xfId="0">
      <alignment horizontal="center" vertical="center" wrapText="1"/>
    </xf>
    <xf numFmtId="0" fontId="0" fillId="104" borderId="56" applyAlignment="1" pivotButton="0" quotePrefix="0" xfId="0">
      <alignment horizontal="center" vertical="center" wrapText="1"/>
    </xf>
    <xf numFmtId="0" fontId="0" fillId="101" borderId="56" applyAlignment="1" pivotButton="0" quotePrefix="0" xfId="0">
      <alignment horizontal="center" vertical="center" wrapText="1"/>
    </xf>
    <xf numFmtId="0" fontId="201" fillId="110" borderId="56" applyAlignment="1" pivotButton="0" quotePrefix="0" xfId="0">
      <alignment horizontal="center" vertical="center" wrapText="1"/>
    </xf>
    <xf numFmtId="0" fontId="204" fillId="101" borderId="56" applyAlignment="1" pivotButton="0" quotePrefix="0" xfId="25429">
      <alignment horizontal="center" vertical="center" wrapText="1"/>
    </xf>
    <xf numFmtId="166" fontId="202" fillId="103" borderId="56" applyAlignment="1" pivotButton="0" quotePrefix="0" xfId="25429">
      <alignment horizontal="center" vertical="center" wrapText="1"/>
    </xf>
    <xf numFmtId="166" fontId="202" fillId="103" borderId="56" applyAlignment="1" pivotButton="0" quotePrefix="0" xfId="25429">
      <alignment vertical="center" wrapText="1"/>
    </xf>
    <xf numFmtId="166" fontId="202" fillId="0" borderId="56" applyAlignment="1" pivotButton="0" quotePrefix="0" xfId="25429">
      <alignment horizontal="center" vertical="center" wrapText="1"/>
    </xf>
    <xf numFmtId="166" fontId="202" fillId="0" borderId="56" applyAlignment="1" pivotButton="0" quotePrefix="0" xfId="25429">
      <alignment vertical="center" wrapText="1"/>
    </xf>
    <xf numFmtId="166" fontId="202" fillId="101" borderId="56" applyAlignment="1" pivotButton="0" quotePrefix="0" xfId="25429">
      <alignment horizontal="center" vertical="center" wrapText="1"/>
    </xf>
    <xf numFmtId="166" fontId="202" fillId="101" borderId="56" applyAlignment="1" pivotButton="0" quotePrefix="0" xfId="25429">
      <alignment vertical="center" wrapText="1"/>
    </xf>
    <xf numFmtId="0" fontId="0" fillId="105" borderId="56" applyAlignment="1" pivotButton="0" quotePrefix="0" xfId="0">
      <alignment horizontal="center" vertical="center" wrapText="1"/>
    </xf>
    <xf numFmtId="166" fontId="202" fillId="105" borderId="56" applyAlignment="1" pivotButton="0" quotePrefix="0" xfId="25429">
      <alignment horizontal="center" vertical="center" wrapText="1"/>
    </xf>
    <xf numFmtId="166" fontId="202" fillId="105" borderId="56" applyAlignment="1" pivotButton="0" quotePrefix="0" xfId="25429">
      <alignment vertical="center" wrapText="1"/>
    </xf>
    <xf numFmtId="0" fontId="199" fillId="0" borderId="56" applyAlignment="1" pivotButton="0" quotePrefix="0" xfId="0">
      <alignment vertical="center"/>
    </xf>
    <xf numFmtId="0" fontId="205" fillId="0" borderId="56" applyAlignment="1" pivotButton="0" quotePrefix="0" xfId="30293">
      <alignment horizontal="center" vertical="center" wrapText="1"/>
    </xf>
    <xf numFmtId="0" fontId="199" fillId="0" borderId="56" applyAlignment="1" pivotButton="0" quotePrefix="0" xfId="30293">
      <alignment horizontal="center" vertical="center" wrapText="1"/>
    </xf>
    <xf numFmtId="0" fontId="0" fillId="0" borderId="56" pivotButton="0" quotePrefix="0" xfId="0"/>
    <xf numFmtId="0" fontId="0" fillId="119" borderId="56" pivotButton="0" quotePrefix="0" xfId="0"/>
    <xf numFmtId="1" fontId="0" fillId="0" borderId="56" pivotButton="0" quotePrefix="0" xfId="0"/>
    <xf numFmtId="1" fontId="0" fillId="119" borderId="56" pivotButton="0" quotePrefix="0" xfId="0"/>
    <xf numFmtId="0" fontId="0" fillId="79" borderId="56" pivotButton="0" quotePrefix="0" xfId="0"/>
    <xf numFmtId="1" fontId="0" fillId="79" borderId="56" pivotButton="0" quotePrefix="0" xfId="0"/>
    <xf numFmtId="1" fontId="0" fillId="114" borderId="56" pivotButton="0" quotePrefix="0" xfId="0"/>
    <xf numFmtId="0" fontId="199" fillId="0" borderId="18" applyAlignment="1" pivotButton="0" quotePrefix="0" xfId="30293">
      <alignment horizontal="center" vertical="center" wrapText="1"/>
    </xf>
    <xf numFmtId="0" fontId="0" fillId="103" borderId="56" applyAlignment="1" pivotButton="0" quotePrefix="0" xfId="0">
      <alignment horizontal="center" vertical="center"/>
    </xf>
    <xf numFmtId="1" fontId="0" fillId="103" borderId="56" applyAlignment="1" pivotButton="0" quotePrefix="0" xfId="0">
      <alignment horizontal="center" vertical="center"/>
    </xf>
    <xf numFmtId="0" fontId="0" fillId="115" borderId="19" applyAlignment="1" pivotButton="0" quotePrefix="0" xfId="0">
      <alignment horizontal="center" vertical="center"/>
    </xf>
    <xf numFmtId="0" fontId="199" fillId="103" borderId="59" applyAlignment="1" pivotButton="0" quotePrefix="0" xfId="0">
      <alignment horizontal="center" vertical="center"/>
    </xf>
    <xf numFmtId="0" fontId="0" fillId="120" borderId="19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/>
    </xf>
    <xf numFmtId="0" fontId="0" fillId="0" borderId="56" applyAlignment="1" pivotButton="0" quotePrefix="0" xfId="0">
      <alignment horizontal="center" vertical="center" wrapText="1"/>
    </xf>
    <xf numFmtId="0" fontId="0" fillId="110" borderId="56" applyAlignment="1" pivotButton="0" quotePrefix="0" xfId="0">
      <alignment horizontal="center" vertical="center" wrapText="1"/>
    </xf>
    <xf numFmtId="0" fontId="202" fillId="101" borderId="56" applyAlignment="1" pivotButton="0" quotePrefix="0" xfId="25429">
      <alignment horizontal="center" vertical="center" wrapText="1"/>
    </xf>
    <xf numFmtId="166" fontId="202" fillId="101" borderId="57" applyAlignment="1" pivotButton="0" quotePrefix="0" xfId="25429">
      <alignment vertical="center" wrapText="1"/>
    </xf>
    <xf numFmtId="0" fontId="0" fillId="0" borderId="56" applyAlignment="1" pivotButton="0" quotePrefix="0" xfId="0">
      <alignment vertical="center"/>
    </xf>
    <xf numFmtId="0" fontId="2" fillId="85" borderId="19" applyAlignment="1" pivotButton="0" quotePrefix="0" xfId="0">
      <alignment horizontal="center" vertical="center" wrapText="1"/>
    </xf>
    <xf numFmtId="0" fontId="3" fillId="115" borderId="56" applyAlignment="1" pivotButton="0" quotePrefix="0" xfId="0">
      <alignment horizontal="center" vertical="center"/>
    </xf>
    <xf numFmtId="0" fontId="201" fillId="115" borderId="56" applyAlignment="1" pivotButton="0" quotePrefix="0" xfId="0">
      <alignment horizontal="left" vertical="center" wrapText="1"/>
    </xf>
    <xf numFmtId="0" fontId="206" fillId="115" borderId="56" applyAlignment="1" pivotButton="0" quotePrefix="0" xfId="25385">
      <alignment horizontal="center" vertical="center" wrapText="1"/>
    </xf>
    <xf numFmtId="0" fontId="0" fillId="118" borderId="18" applyAlignment="1" pivotButton="0" quotePrefix="0" xfId="0">
      <alignment horizontal="center" vertical="center"/>
    </xf>
    <xf numFmtId="0" fontId="201" fillId="118" borderId="18" applyAlignment="1" pivotButton="0" quotePrefix="0" xfId="0">
      <alignment horizontal="center" vertical="center"/>
    </xf>
    <xf numFmtId="0" fontId="201" fillId="118" borderId="18" applyAlignment="1" pivotButton="0" quotePrefix="0" xfId="0">
      <alignment horizontal="center" vertical="center" wrapText="1"/>
    </xf>
    <xf numFmtId="165" fontId="201" fillId="118" borderId="18" applyAlignment="1" pivotButton="0" quotePrefix="0" xfId="0">
      <alignment horizontal="center" vertical="center" wrapText="1"/>
    </xf>
    <xf numFmtId="0" fontId="0" fillId="118" borderId="18" applyAlignment="1" pivotButton="0" quotePrefix="0" xfId="0">
      <alignment horizontal="center" vertical="center" wrapText="1"/>
    </xf>
    <xf numFmtId="0" fontId="23" fillId="118" borderId="18" applyAlignment="1" pivotButton="0" quotePrefix="0" xfId="30493">
      <alignment vertical="center" wrapText="1"/>
    </xf>
    <xf numFmtId="0" fontId="23" fillId="118" borderId="18" applyAlignment="1" pivotButton="0" quotePrefix="0" xfId="30493">
      <alignment horizontal="center" vertical="center" wrapText="1"/>
    </xf>
    <xf numFmtId="166" fontId="202" fillId="118" borderId="18" applyAlignment="1" pivotButton="0" quotePrefix="0" xfId="25429">
      <alignment horizontal="center" vertical="center" wrapText="1"/>
    </xf>
    <xf numFmtId="166" fontId="202" fillId="118" borderId="18" applyAlignment="1" pivotButton="0" quotePrefix="0" xfId="25429">
      <alignment vertical="center" wrapText="1"/>
    </xf>
    <xf numFmtId="166" fontId="202" fillId="118" borderId="15" applyAlignment="1" pivotButton="0" quotePrefix="0" xfId="25429">
      <alignment vertical="center" wrapText="1"/>
    </xf>
    <xf numFmtId="0" fontId="0" fillId="0" borderId="50" applyAlignment="1" pivotButton="0" quotePrefix="0" xfId="0">
      <alignment vertical="center" wrapText="1"/>
    </xf>
    <xf numFmtId="0" fontId="0" fillId="104" borderId="18" applyAlignment="1" pivotButton="0" quotePrefix="0" xfId="0">
      <alignment vertical="center" wrapText="1"/>
    </xf>
    <xf numFmtId="0" fontId="0" fillId="104" borderId="51" applyAlignment="1" pivotButton="0" quotePrefix="0" xfId="0">
      <alignment vertical="center" wrapText="1"/>
    </xf>
    <xf numFmtId="0" fontId="0" fillId="104" borderId="50" applyAlignment="1" pivotButton="0" quotePrefix="0" xfId="0">
      <alignment vertical="center" wrapText="1"/>
    </xf>
    <xf numFmtId="165" fontId="201" fillId="111" borderId="19" applyAlignment="1" pivotButton="0" quotePrefix="0" xfId="0">
      <alignment horizontal="center" vertical="center" wrapText="1"/>
    </xf>
    <xf numFmtId="165" fontId="201" fillId="111" borderId="56" applyAlignment="1" pivotButton="0" quotePrefix="0" xfId="0">
      <alignment horizontal="center" vertical="center" wrapText="1"/>
    </xf>
    <xf numFmtId="165" fontId="0" fillId="115" borderId="19" applyAlignment="1" pivotButton="0" quotePrefix="0" xfId="0">
      <alignment horizontal="center" vertical="center" wrapText="1"/>
    </xf>
    <xf numFmtId="165" fontId="0" fillId="115" borderId="56" applyAlignment="1" pivotButton="0" quotePrefix="0" xfId="0">
      <alignment horizontal="center" vertical="center" wrapText="1"/>
    </xf>
    <xf numFmtId="0" fontId="199" fillId="121" borderId="19" applyAlignment="1" pivotButton="0" quotePrefix="0" xfId="0">
      <alignment horizontal="center" vertical="center" wrapText="1"/>
    </xf>
    <xf numFmtId="0" fontId="199" fillId="118" borderId="18" applyAlignment="1" pivotButton="0" quotePrefix="0" xfId="0">
      <alignment horizontal="center" vertical="center"/>
    </xf>
    <xf numFmtId="165" fontId="0" fillId="116" borderId="19" applyAlignment="1" pivotButton="0" quotePrefix="0" xfId="0">
      <alignment horizontal="center" vertical="center" wrapText="1"/>
    </xf>
    <xf numFmtId="165" fontId="0" fillId="116" borderId="56" applyAlignment="1" pivotButton="0" quotePrefix="0" xfId="0">
      <alignment horizontal="center" vertical="center" wrapText="1"/>
    </xf>
    <xf numFmtId="166" fontId="202" fillId="84" borderId="56" applyAlignment="1" pivotButton="0" quotePrefix="0" xfId="25429">
      <alignment horizontal="center" vertical="center" wrapText="1"/>
    </xf>
    <xf numFmtId="0" fontId="0" fillId="115" borderId="56" applyAlignment="1" pivotButton="0" quotePrefix="0" xfId="0">
      <alignment horizontal="center" vertical="center" wrapText="1"/>
    </xf>
    <xf numFmtId="0" fontId="0" fillId="115" borderId="0" applyAlignment="1" pivotButton="0" quotePrefix="0" xfId="0">
      <alignment vertical="center" wrapText="1"/>
    </xf>
    <xf numFmtId="0" fontId="0" fillId="0" borderId="59" applyAlignment="1" pivotButton="0" quotePrefix="0" xfId="0">
      <alignment horizontal="center" vertical="center"/>
    </xf>
    <xf numFmtId="0" fontId="0" fillId="79" borderId="56" applyAlignment="1" pivotButton="0" quotePrefix="0" xfId="0">
      <alignment horizontal="center" vertical="center"/>
    </xf>
    <xf numFmtId="0" fontId="0" fillId="0" borderId="56" applyAlignment="1" pivotButton="0" quotePrefix="0" xfId="0">
      <alignment horizontal="left" vertical="center" wrapText="1"/>
    </xf>
    <xf numFmtId="0" fontId="0" fillId="0" borderId="57" applyAlignment="1" pivotButton="0" quotePrefix="0" xfId="0">
      <alignment vertical="center"/>
    </xf>
    <xf numFmtId="3" fontId="0" fillId="122" borderId="56" applyAlignment="1" pivotButton="0" quotePrefix="0" xfId="0">
      <alignment horizontal="center" vertical="center"/>
    </xf>
    <xf numFmtId="0" fontId="0" fillId="104" borderId="18" applyAlignment="1" pivotButton="0" quotePrefix="0" xfId="0">
      <alignment horizontal="center" vertical="center" wrapText="1"/>
    </xf>
    <xf numFmtId="0" fontId="0" fillId="104" borderId="51" applyAlignment="1" pivotButton="0" quotePrefix="0" xfId="0">
      <alignment horizontal="center" vertical="center" wrapText="1"/>
    </xf>
    <xf numFmtId="0" fontId="0" fillId="104" borderId="50" applyAlignment="1" pivotButton="0" quotePrefix="0" xfId="0">
      <alignment horizontal="center" vertical="center" wrapText="1"/>
    </xf>
    <xf numFmtId="0" fontId="199" fillId="86" borderId="19" applyAlignment="1" pivotButton="0" quotePrefix="0" xfId="0">
      <alignment horizontal="center" vertical="center" wrapText="1"/>
    </xf>
    <xf numFmtId="49" fontId="199" fillId="91" borderId="19" applyAlignment="1" pivotButton="0" quotePrefix="0" xfId="0">
      <alignment horizontal="center" vertical="center" wrapText="1"/>
    </xf>
    <xf numFmtId="164" fontId="199" fillId="91" borderId="19" applyAlignment="1" pivotButton="0" quotePrefix="0" xfId="0">
      <alignment horizontal="center" vertical="center" wrapText="1"/>
    </xf>
    <xf numFmtId="0" fontId="199" fillId="92" borderId="19" applyAlignment="1" pivotButton="0" quotePrefix="0" xfId="0">
      <alignment horizontal="center" vertical="center" wrapText="1"/>
    </xf>
    <xf numFmtId="0" fontId="199" fillId="0" borderId="19" applyAlignment="1" pivotButton="0" quotePrefix="0" xfId="0">
      <alignment horizontal="center" vertical="center"/>
    </xf>
    <xf numFmtId="0" fontId="199" fillId="0" borderId="19" applyAlignment="1" pivotButton="0" quotePrefix="0" xfId="0">
      <alignment horizontal="center" vertical="center" wrapText="1"/>
    </xf>
    <xf numFmtId="0" fontId="199" fillId="0" borderId="19" applyAlignment="1" pivotButton="0" quotePrefix="0" xfId="0">
      <alignment horizontal="center" vertical="center" textRotation="90" wrapText="1"/>
    </xf>
    <xf numFmtId="0" fontId="199" fillId="90" borderId="19" applyAlignment="1" pivotButton="0" quotePrefix="0" xfId="0">
      <alignment horizontal="center" vertical="center" wrapText="1"/>
    </xf>
    <xf numFmtId="0" fontId="199" fillId="84" borderId="19" applyAlignment="1" pivotButton="0" quotePrefix="0" xfId="0">
      <alignment horizontal="center" vertical="center" wrapText="1"/>
    </xf>
    <xf numFmtId="0" fontId="199" fillId="84" borderId="18" applyAlignment="1" pivotButton="0" quotePrefix="0" xfId="0">
      <alignment horizontal="center" vertical="center" wrapText="1"/>
    </xf>
    <xf numFmtId="0" fontId="199" fillId="84" borderId="50" applyAlignment="1" pivotButton="0" quotePrefix="0" xfId="0">
      <alignment horizontal="center" vertical="center" wrapText="1"/>
    </xf>
    <xf numFmtId="164" fontId="199" fillId="93" borderId="15" applyAlignment="1" pivotButton="0" quotePrefix="0" xfId="0">
      <alignment horizontal="center" vertical="center" wrapText="1"/>
    </xf>
    <xf numFmtId="164" fontId="199" fillId="93" borderId="21" applyAlignment="1" pivotButton="0" quotePrefix="0" xfId="0">
      <alignment horizontal="center" vertical="center" wrapText="1"/>
    </xf>
    <xf numFmtId="164" fontId="199" fillId="93" borderId="49" applyAlignment="1" pivotButton="0" quotePrefix="0" xfId="0">
      <alignment horizontal="center" vertical="center" wrapText="1"/>
    </xf>
    <xf numFmtId="164" fontId="199" fillId="94" borderId="15" applyAlignment="1" pivotButton="0" quotePrefix="0" xfId="0">
      <alignment horizontal="center" vertical="center" wrapText="1"/>
    </xf>
    <xf numFmtId="164" fontId="199" fillId="94" borderId="21" applyAlignment="1" pivotButton="0" quotePrefix="0" xfId="0">
      <alignment horizontal="center" vertical="center" wrapText="1"/>
    </xf>
    <xf numFmtId="164" fontId="199" fillId="94" borderId="49" applyAlignment="1" pivotButton="0" quotePrefix="0" xfId="0">
      <alignment horizontal="center" vertical="center" wrapText="1"/>
    </xf>
    <xf numFmtId="0" fontId="199" fillId="95" borderId="19" applyAlignment="1" pivotButton="0" quotePrefix="0" xfId="0">
      <alignment horizontal="center" vertical="center" wrapText="1"/>
    </xf>
    <xf numFmtId="164" fontId="199" fillId="96" borderId="15" applyAlignment="1" pivotButton="0" quotePrefix="0" xfId="0">
      <alignment horizontal="center" vertical="center" wrapText="1"/>
    </xf>
    <xf numFmtId="164" fontId="199" fillId="96" borderId="21" applyAlignment="1" pivotButton="0" quotePrefix="0" xfId="0">
      <alignment horizontal="center" vertical="center" wrapText="1"/>
    </xf>
    <xf numFmtId="164" fontId="199" fillId="96" borderId="49" applyAlignment="1" pivotButton="0" quotePrefix="0" xfId="0">
      <alignment horizontal="center" vertical="center" wrapText="1"/>
    </xf>
    <xf numFmtId="0" fontId="199" fillId="97" borderId="19" applyAlignment="1" pivotButton="0" quotePrefix="0" xfId="0">
      <alignment horizontal="center" vertical="center" wrapText="1"/>
    </xf>
    <xf numFmtId="164" fontId="199" fillId="98" borderId="15" applyAlignment="1" pivotButton="0" quotePrefix="0" xfId="0">
      <alignment horizontal="center" vertical="center" wrapText="1"/>
    </xf>
    <xf numFmtId="164" fontId="199" fillId="98" borderId="21" applyAlignment="1" pivotButton="0" quotePrefix="0" xfId="0">
      <alignment horizontal="center" vertical="center" wrapText="1"/>
    </xf>
    <xf numFmtId="164" fontId="199" fillId="98" borderId="49" applyAlignment="1" pivotButton="0" quotePrefix="0" xfId="0">
      <alignment horizontal="center" vertical="center" wrapText="1"/>
    </xf>
    <xf numFmtId="0" fontId="199" fillId="99" borderId="19" applyAlignment="1" pivotButton="0" quotePrefix="0" xfId="0">
      <alignment horizontal="center" vertical="center" wrapText="1"/>
    </xf>
    <xf numFmtId="0" fontId="199" fillId="115" borderId="18" applyAlignment="1" pivotButton="0" quotePrefix="0" xfId="0">
      <alignment horizontal="center" vertical="center" wrapText="1"/>
    </xf>
    <xf numFmtId="0" fontId="199" fillId="115" borderId="51" applyAlignment="1" pivotButton="0" quotePrefix="0" xfId="0">
      <alignment horizontal="center" vertical="center"/>
    </xf>
    <xf numFmtId="0" fontId="199" fillId="115" borderId="50" applyAlignment="1" pivotButton="0" quotePrefix="0" xfId="0">
      <alignment horizontal="center" vertical="center"/>
    </xf>
    <xf numFmtId="0" fontId="0" fillId="84" borderId="18" applyAlignment="1" pivotButton="0" quotePrefix="0" xfId="0">
      <alignment horizontal="center" vertical="center" textRotation="90" wrapText="1"/>
    </xf>
    <xf numFmtId="0" fontId="0" fillId="84" borderId="51" applyAlignment="1" pivotButton="0" quotePrefix="0" xfId="0">
      <alignment horizontal="center" vertical="center" textRotation="90" wrapText="1"/>
    </xf>
    <xf numFmtId="0" fontId="0" fillId="84" borderId="50" applyAlignment="1" pivotButton="0" quotePrefix="0" xfId="0">
      <alignment horizontal="center" vertical="center" textRotation="90" wrapText="1"/>
    </xf>
    <xf numFmtId="0" fontId="199" fillId="84" borderId="51" applyAlignment="1" pivotButton="0" quotePrefix="0" xfId="0">
      <alignment horizontal="center" vertical="center" wrapText="1"/>
    </xf>
    <xf numFmtId="0" fontId="199" fillId="84" borderId="18" applyAlignment="1" pivotButton="0" quotePrefix="0" xfId="0">
      <alignment horizontal="center" vertical="center" textRotation="90" wrapText="1"/>
    </xf>
    <xf numFmtId="0" fontId="199" fillId="84" borderId="51" applyAlignment="1" pivotButton="0" quotePrefix="0" xfId="0">
      <alignment horizontal="center" vertical="center" textRotation="90" wrapText="1"/>
    </xf>
    <xf numFmtId="0" fontId="199" fillId="84" borderId="50" applyAlignment="1" pivotButton="0" quotePrefix="0" xfId="0">
      <alignment horizontal="center" vertical="center" textRotation="90" wrapText="1"/>
    </xf>
    <xf numFmtId="0" fontId="0" fillId="104" borderId="19" applyAlignment="1" pivotButton="0" quotePrefix="0" xfId="0">
      <alignment horizontal="center" vertical="center" wrapText="1"/>
    </xf>
    <xf numFmtId="0" fontId="199" fillId="0" borderId="19" applyAlignment="1" pivotButton="0" quotePrefix="0" xfId="30293">
      <alignment horizontal="center" vertical="center" wrapText="1"/>
    </xf>
    <xf numFmtId="0" fontId="199" fillId="0" borderId="18" applyAlignment="1" pivotButton="0" quotePrefix="0" xfId="30293">
      <alignment horizontal="center" vertical="center" wrapText="1"/>
    </xf>
    <xf numFmtId="0" fontId="199" fillId="0" borderId="51" applyAlignment="1" pivotButton="0" quotePrefix="0" xfId="30293">
      <alignment horizontal="center" vertical="center" wrapText="1"/>
    </xf>
    <xf numFmtId="0" fontId="199" fillId="0" borderId="50" applyAlignment="1" pivotButton="0" quotePrefix="0" xfId="30293">
      <alignment horizontal="center" vertical="center" wrapText="1"/>
    </xf>
    <xf numFmtId="0" fontId="199" fillId="115" borderId="51" applyAlignment="1" pivotButton="0" quotePrefix="0" xfId="0">
      <alignment horizontal="center" vertical="center" wrapText="1"/>
    </xf>
    <xf numFmtId="0" fontId="199" fillId="115" borderId="50" applyAlignment="1" pivotButton="0" quotePrefix="0" xfId="0">
      <alignment horizontal="center" vertical="center" wrapText="1"/>
    </xf>
    <xf numFmtId="0" fontId="199" fillId="0" borderId="56" applyAlignment="1" pivotButton="0" quotePrefix="0" xfId="30293">
      <alignment horizontal="center" vertical="center" wrapText="1"/>
    </xf>
    <xf numFmtId="0" fontId="199" fillId="0" borderId="18" applyAlignment="1" pivotButton="0" quotePrefix="0" xfId="51649">
      <alignment horizontal="center" vertical="center" wrapText="1"/>
    </xf>
    <xf numFmtId="0" fontId="199" fillId="0" borderId="51" applyAlignment="1" pivotButton="0" quotePrefix="0" xfId="51649">
      <alignment horizontal="center" vertical="center" wrapText="1"/>
    </xf>
    <xf numFmtId="0" fontId="199" fillId="0" borderId="50" applyAlignment="1" pivotButton="0" quotePrefix="0" xfId="51649">
      <alignment horizontal="center" vertical="center" wrapText="1"/>
    </xf>
    <xf numFmtId="0" fontId="199" fillId="119" borderId="18" applyAlignment="1" pivotButton="0" quotePrefix="0" xfId="0">
      <alignment horizontal="center" vertical="center" wrapText="1"/>
    </xf>
    <xf numFmtId="0" fontId="199" fillId="119" borderId="51" applyAlignment="1" pivotButton="0" quotePrefix="0" xfId="0">
      <alignment horizontal="center" vertical="center" wrapText="1"/>
    </xf>
    <xf numFmtId="0" fontId="199" fillId="0" borderId="18" applyAlignment="1" pivotButton="0" quotePrefix="0" xfId="0">
      <alignment horizontal="center" vertical="center" wrapText="1"/>
    </xf>
    <xf numFmtId="0" fontId="199" fillId="0" borderId="51" applyAlignment="1" pivotButton="0" quotePrefix="0" xfId="0">
      <alignment horizontal="center" vertical="center" wrapText="1"/>
    </xf>
    <xf numFmtId="0" fontId="199" fillId="119" borderId="50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textRotation="90" wrapText="1"/>
    </xf>
    <xf numFmtId="0" fontId="0" fillId="0" borderId="51" applyAlignment="1" pivotButton="0" quotePrefix="0" xfId="0">
      <alignment horizontal="center" vertical="center" textRotation="90" wrapText="1"/>
    </xf>
    <xf numFmtId="0" fontId="0" fillId="0" borderId="50" applyAlignment="1" pivotButton="0" quotePrefix="0" xfId="0">
      <alignment horizontal="center" vertical="center" textRotation="90" wrapText="1"/>
    </xf>
    <xf numFmtId="0" fontId="199" fillId="0" borderId="50" applyAlignment="1" pivotButton="0" quotePrefix="0" xfId="0">
      <alignment horizontal="center" vertical="center" wrapText="1"/>
    </xf>
    <xf numFmtId="0" fontId="199" fillId="0" borderId="18" applyAlignment="1" pivotButton="0" quotePrefix="0" xfId="0">
      <alignment horizontal="center" vertical="center" textRotation="90" wrapText="1"/>
    </xf>
    <xf numFmtId="0" fontId="199" fillId="0" borderId="51" applyAlignment="1" pivotButton="0" quotePrefix="0" xfId="0">
      <alignment horizontal="center" vertical="center" textRotation="90" wrapText="1"/>
    </xf>
    <xf numFmtId="0" fontId="199" fillId="0" borderId="50" applyAlignment="1" pivotButton="0" quotePrefix="0" xfId="0">
      <alignment horizontal="center" vertical="center" textRotation="90" wrapText="1"/>
    </xf>
    <xf numFmtId="0" fontId="0" fillId="0" borderId="18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 wrapText="1"/>
    </xf>
    <xf numFmtId="0" fontId="0" fillId="0" borderId="50" applyAlignment="1" pivotButton="0" quotePrefix="0" xfId="0">
      <alignment horizontal="center" vertical="center" wrapText="1"/>
    </xf>
    <xf numFmtId="0" fontId="199" fillId="111" borderId="18" applyAlignment="1" pivotButton="0" quotePrefix="0" xfId="0">
      <alignment horizontal="center" vertical="center" wrapText="1"/>
    </xf>
    <xf numFmtId="0" fontId="199" fillId="111" borderId="51" applyAlignment="1" pivotButton="0" quotePrefix="0" xfId="0">
      <alignment horizontal="center" vertical="center" wrapText="1"/>
    </xf>
    <xf numFmtId="0" fontId="199" fillId="111" borderId="50" applyAlignment="1" pivotButton="0" quotePrefix="0" xfId="0">
      <alignment horizontal="center" vertical="center" wrapText="1"/>
    </xf>
    <xf numFmtId="0" fontId="0" fillId="111" borderId="18" applyAlignment="1" pivotButton="0" quotePrefix="0" xfId="0">
      <alignment horizontal="center" vertical="center" textRotation="90" wrapText="1"/>
    </xf>
    <xf numFmtId="0" fontId="0" fillId="111" borderId="51" applyAlignment="1" pivotButton="0" quotePrefix="0" xfId="0">
      <alignment horizontal="center" vertical="center" textRotation="90" wrapText="1"/>
    </xf>
    <xf numFmtId="0" fontId="0" fillId="104" borderId="56" applyAlignment="1" pivotButton="0" quotePrefix="0" xfId="0">
      <alignment horizontal="center" vertical="center" wrapText="1"/>
    </xf>
    <xf numFmtId="0" fontId="1" fillId="84" borderId="18" applyAlignment="1" pivotButton="0" quotePrefix="0" xfId="0">
      <alignment horizontal="center" vertical="center" textRotation="90" wrapText="1"/>
    </xf>
    <xf numFmtId="0" fontId="199" fillId="84" borderId="5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199" fillId="0" borderId="18" applyAlignment="1" pivotButton="0" quotePrefix="0" xfId="0">
      <alignment horizontal="center" vertical="center"/>
    </xf>
    <xf numFmtId="17" fontId="0" fillId="0" borderId="56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0" fillId="0" borderId="57" applyAlignment="1" pivotButton="0" quotePrefix="0" xfId="0">
      <alignment horizontal="center"/>
    </xf>
    <xf numFmtId="0" fontId="0" fillId="0" borderId="58" applyAlignment="1" pivotButton="0" quotePrefix="0" xfId="0">
      <alignment horizontal="center"/>
    </xf>
    <xf numFmtId="0" fontId="0" fillId="0" borderId="59" applyAlignment="1" pivotButton="0" quotePrefix="0" xfId="0">
      <alignment horizontal="center"/>
    </xf>
    <xf numFmtId="0" fontId="0" fillId="0" borderId="21" pivotButton="0" quotePrefix="0" xfId="0"/>
    <xf numFmtId="0" fontId="0" fillId="0" borderId="49" pivotButton="0" quotePrefix="0" xfId="0"/>
    <xf numFmtId="164" fontId="199" fillId="91" borderId="19" applyAlignment="1" pivotButton="0" quotePrefix="0" xfId="0">
      <alignment horizontal="center" vertical="center" wrapText="1"/>
    </xf>
    <xf numFmtId="164" fontId="199" fillId="93" borderId="19" applyAlignment="1" pivotButton="0" quotePrefix="0" xfId="0">
      <alignment horizontal="center" vertical="center" wrapText="1"/>
    </xf>
    <xf numFmtId="164" fontId="199" fillId="94" borderId="19" applyAlignment="1" pivotButton="0" quotePrefix="0" xfId="0">
      <alignment horizontal="center" vertical="center" wrapText="1"/>
    </xf>
    <xf numFmtId="164" fontId="199" fillId="96" borderId="19" applyAlignment="1" pivotButton="0" quotePrefix="0" xfId="0">
      <alignment horizontal="center" vertical="center" wrapText="1"/>
    </xf>
    <xf numFmtId="164" fontId="199" fillId="98" borderId="19" applyAlignment="1" pivotButton="0" quotePrefix="0" xfId="0">
      <alignment horizontal="center" vertical="center" wrapText="1"/>
    </xf>
    <xf numFmtId="0" fontId="0" fillId="0" borderId="50" pivotButton="0" quotePrefix="0" xfId="0"/>
    <xf numFmtId="0" fontId="199" fillId="115" borderId="19" applyAlignment="1" pivotButton="0" quotePrefix="0" xfId="0">
      <alignment horizontal="center" vertical="center" wrapText="1"/>
    </xf>
    <xf numFmtId="0" fontId="0" fillId="84" borderId="19" applyAlignment="1" pivotButton="0" quotePrefix="0" xfId="0">
      <alignment horizontal="center" vertical="center" textRotation="90" wrapText="1"/>
    </xf>
    <xf numFmtId="0" fontId="199" fillId="84" borderId="19" applyAlignment="1" pivotButton="0" quotePrefix="0" xfId="0">
      <alignment horizontal="center" vertical="center" textRotation="90" wrapText="1"/>
    </xf>
    <xf numFmtId="165" fontId="0" fillId="0" borderId="19" applyAlignment="1" pivotButton="0" quotePrefix="0" xfId="0">
      <alignment horizontal="center" vertical="center" wrapText="1"/>
    </xf>
    <xf numFmtId="166" fontId="202" fillId="103" borderId="19" applyAlignment="1" pivotButton="0" quotePrefix="0" xfId="25429">
      <alignment horizontal="center" vertical="center" wrapText="1"/>
    </xf>
    <xf numFmtId="166" fontId="202" fillId="103" borderId="19" applyAlignment="1" pivotButton="0" quotePrefix="0" xfId="25429">
      <alignment vertical="center" wrapText="1"/>
    </xf>
    <xf numFmtId="166" fontId="202" fillId="0" borderId="19" applyAlignment="1" pivotButton="0" quotePrefix="0" xfId="25429">
      <alignment horizontal="center" vertical="center" wrapText="1"/>
    </xf>
    <xf numFmtId="166" fontId="202" fillId="0" borderId="19" applyAlignment="1" pivotButton="0" quotePrefix="0" xfId="25429">
      <alignment vertical="center" wrapText="1"/>
    </xf>
    <xf numFmtId="166" fontId="202" fillId="101" borderId="19" applyAlignment="1" pivotButton="0" quotePrefix="0" xfId="25429">
      <alignment horizontal="center" vertical="center" wrapText="1"/>
    </xf>
    <xf numFmtId="166" fontId="202" fillId="101" borderId="19" applyAlignment="1" pivotButton="0" quotePrefix="0" xfId="25429">
      <alignment vertical="center" wrapText="1"/>
    </xf>
    <xf numFmtId="166" fontId="202" fillId="105" borderId="19" applyAlignment="1" pivotButton="0" quotePrefix="0" xfId="25429">
      <alignment horizontal="center" vertical="center" wrapText="1"/>
    </xf>
    <xf numFmtId="166" fontId="202" fillId="105" borderId="19" applyAlignment="1" pivotButton="0" quotePrefix="0" xfId="25429">
      <alignment vertical="center" wrapText="1"/>
    </xf>
    <xf numFmtId="166" fontId="202" fillId="101" borderId="15" applyAlignment="1" pivotButton="0" quotePrefix="0" xfId="25429">
      <alignment vertical="center" wrapText="1"/>
    </xf>
    <xf numFmtId="0" fontId="0" fillId="0" borderId="51" pivotButton="0" quotePrefix="0" xfId="0"/>
    <xf numFmtId="165" fontId="0" fillId="84" borderId="19" applyAlignment="1" pivotButton="0" quotePrefix="0" xfId="0">
      <alignment horizontal="center" vertical="center" wrapText="1"/>
    </xf>
    <xf numFmtId="165" fontId="0" fillId="0" borderId="56" applyAlignment="1" pivotButton="0" quotePrefix="0" xfId="0">
      <alignment horizontal="center" vertical="center" wrapText="1"/>
    </xf>
    <xf numFmtId="166" fontId="202" fillId="103" borderId="56" applyAlignment="1" pivotButton="0" quotePrefix="0" xfId="25429">
      <alignment horizontal="center" vertical="center" wrapText="1"/>
    </xf>
    <xf numFmtId="166" fontId="202" fillId="103" borderId="56" applyAlignment="1" pivotButton="0" quotePrefix="0" xfId="25429">
      <alignment vertical="center" wrapText="1"/>
    </xf>
    <xf numFmtId="166" fontId="202" fillId="0" borderId="56" applyAlignment="1" pivotButton="0" quotePrefix="0" xfId="25429">
      <alignment horizontal="center" vertical="center" wrapText="1"/>
    </xf>
    <xf numFmtId="166" fontId="202" fillId="0" borderId="56" applyAlignment="1" pivotButton="0" quotePrefix="0" xfId="25429">
      <alignment vertical="center" wrapText="1"/>
    </xf>
    <xf numFmtId="166" fontId="202" fillId="101" borderId="56" applyAlignment="1" pivotButton="0" quotePrefix="0" xfId="25429">
      <alignment horizontal="center" vertical="center" wrapText="1"/>
    </xf>
    <xf numFmtId="166" fontId="202" fillId="101" borderId="56" applyAlignment="1" pivotButton="0" quotePrefix="0" xfId="25429">
      <alignment vertical="center" wrapText="1"/>
    </xf>
    <xf numFmtId="166" fontId="202" fillId="105" borderId="56" applyAlignment="1" pivotButton="0" quotePrefix="0" xfId="25429">
      <alignment horizontal="center" vertical="center" wrapText="1"/>
    </xf>
    <xf numFmtId="166" fontId="202" fillId="105" borderId="56" applyAlignment="1" pivotButton="0" quotePrefix="0" xfId="25429">
      <alignment vertical="center" wrapText="1"/>
    </xf>
    <xf numFmtId="166" fontId="202" fillId="101" borderId="57" applyAlignment="1" pivotButton="0" quotePrefix="0" xfId="25429">
      <alignment vertical="center" wrapText="1"/>
    </xf>
    <xf numFmtId="165" fontId="0" fillId="90" borderId="19" applyAlignment="1" pivotButton="0" quotePrefix="0" xfId="0">
      <alignment horizontal="center" vertical="center" wrapText="1"/>
    </xf>
    <xf numFmtId="165" fontId="201" fillId="84" borderId="19" applyAlignment="1" pivotButton="0" quotePrefix="0" xfId="0">
      <alignment horizontal="center" vertical="center" wrapText="1"/>
    </xf>
    <xf numFmtId="165" fontId="203" fillId="84" borderId="19" applyAlignment="1" pivotButton="0" quotePrefix="0" xfId="0">
      <alignment horizontal="center" vertical="center" wrapText="1"/>
    </xf>
    <xf numFmtId="165" fontId="201" fillId="108" borderId="19" applyAlignment="1" pivotButton="0" quotePrefix="0" xfId="0">
      <alignment horizontal="center" vertical="center" wrapText="1"/>
    </xf>
    <xf numFmtId="166" fontId="202" fillId="109" borderId="19" applyAlignment="1" pivotButton="0" quotePrefix="0" xfId="25429">
      <alignment horizontal="center" vertical="center" wrapText="1"/>
    </xf>
    <xf numFmtId="166" fontId="202" fillId="109" borderId="19" applyAlignment="1" pivotButton="0" quotePrefix="0" xfId="25429">
      <alignment vertical="center" wrapText="1"/>
    </xf>
    <xf numFmtId="166" fontId="202" fillId="118" borderId="19" applyAlignment="1" pivotButton="0" quotePrefix="0" xfId="25429">
      <alignment horizontal="center" vertical="center" wrapText="1"/>
    </xf>
    <xf numFmtId="166" fontId="202" fillId="118" borderId="19" applyAlignment="1" pivotButton="0" quotePrefix="0" xfId="25429">
      <alignment vertical="center" wrapText="1"/>
    </xf>
    <xf numFmtId="166" fontId="202" fillId="109" borderId="15" applyAlignment="1" pivotButton="0" quotePrefix="0" xfId="25429">
      <alignment vertical="center" wrapText="1"/>
    </xf>
    <xf numFmtId="165" fontId="0" fillId="84" borderId="56" applyAlignment="1" pivotButton="0" quotePrefix="0" xfId="0">
      <alignment horizontal="center" vertical="center" wrapText="1"/>
    </xf>
    <xf numFmtId="165" fontId="201" fillId="111" borderId="19" applyAlignment="1" pivotButton="0" quotePrefix="0" xfId="0">
      <alignment horizontal="center" vertical="center" wrapText="1"/>
    </xf>
    <xf numFmtId="165" fontId="201" fillId="111" borderId="56" applyAlignment="1" pivotButton="0" quotePrefix="0" xfId="0">
      <alignment horizontal="center" vertical="center" wrapText="1"/>
    </xf>
    <xf numFmtId="165" fontId="0" fillId="107" borderId="19" applyAlignment="1" pivotButton="0" quotePrefix="0" xfId="0">
      <alignment horizontal="center" vertical="center" wrapText="1"/>
    </xf>
    <xf numFmtId="0" fontId="199" fillId="0" borderId="19" applyAlignment="1" pivotButton="0" quotePrefix="0" xfId="51649">
      <alignment horizontal="center" vertical="center" wrapText="1"/>
    </xf>
    <xf numFmtId="0" fontId="199" fillId="119" borderId="19" applyAlignment="1" pivotButton="0" quotePrefix="0" xfId="0">
      <alignment horizontal="center" vertical="center" wrapText="1"/>
    </xf>
    <xf numFmtId="165" fontId="0" fillId="116" borderId="19" applyAlignment="1" pivotButton="0" quotePrefix="0" xfId="0">
      <alignment horizontal="center" vertical="center" wrapText="1"/>
    </xf>
    <xf numFmtId="165" fontId="0" fillId="115" borderId="19" applyAlignment="1" pivotButton="0" quotePrefix="0" xfId="0">
      <alignment horizontal="center" vertical="center" wrapText="1"/>
    </xf>
    <xf numFmtId="166" fontId="202" fillId="84" borderId="19" applyAlignment="1" pivotButton="0" quotePrefix="0" xfId="25429">
      <alignment horizontal="center" vertical="center" wrapText="1"/>
    </xf>
    <xf numFmtId="165" fontId="0" fillId="111" borderId="19" applyAlignment="1" pivotButton="0" quotePrefix="0" xfId="0">
      <alignment horizontal="center" vertical="center" wrapText="1"/>
    </xf>
    <xf numFmtId="165" fontId="0" fillId="116" borderId="56" applyAlignment="1" pivotButton="0" quotePrefix="0" xfId="0">
      <alignment horizontal="center" vertical="center" wrapText="1"/>
    </xf>
    <xf numFmtId="165" fontId="0" fillId="115" borderId="56" applyAlignment="1" pivotButton="0" quotePrefix="0" xfId="0">
      <alignment horizontal="center" vertical="center" wrapText="1"/>
    </xf>
    <xf numFmtId="166" fontId="202" fillId="84" borderId="56" applyAlignment="1" pivotButton="0" quotePrefix="0" xfId="25429">
      <alignment horizontal="center" vertical="center" wrapText="1"/>
    </xf>
    <xf numFmtId="0" fontId="199" fillId="111" borderId="19" applyAlignment="1" pivotButton="0" quotePrefix="0" xfId="0">
      <alignment horizontal="center" vertical="center" wrapText="1"/>
    </xf>
    <xf numFmtId="0" fontId="0" fillId="0" borderId="61" pivotButton="0" quotePrefix="0" xfId="0"/>
    <xf numFmtId="0" fontId="0" fillId="0" borderId="62" pivotButton="0" quotePrefix="0" xfId="0"/>
    <xf numFmtId="0" fontId="0" fillId="0" borderId="19" applyAlignment="1" pivotButton="0" quotePrefix="0" xfId="0">
      <alignment horizontal="center" vertical="center" textRotation="90" wrapText="1"/>
    </xf>
    <xf numFmtId="166" fontId="202" fillId="0" borderId="15" applyAlignment="1" pivotButton="0" quotePrefix="0" xfId="25429">
      <alignment vertical="center" wrapText="1"/>
    </xf>
    <xf numFmtId="165" fontId="203" fillId="0" borderId="19" applyAlignment="1" pivotButton="0" quotePrefix="0" xfId="0">
      <alignment horizontal="center" vertical="center" wrapText="1"/>
    </xf>
    <xf numFmtId="165" fontId="201" fillId="0" borderId="19" applyAlignment="1" pivotButton="0" quotePrefix="0" xfId="0">
      <alignment horizontal="center" vertical="center" wrapText="1"/>
    </xf>
    <xf numFmtId="165" fontId="201" fillId="118" borderId="18" applyAlignment="1" pivotButton="0" quotePrefix="0" xfId="0">
      <alignment horizontal="center" vertical="center" wrapText="1"/>
    </xf>
    <xf numFmtId="166" fontId="202" fillId="118" borderId="18" applyAlignment="1" pivotButton="0" quotePrefix="0" xfId="25429">
      <alignment horizontal="center" vertical="center" wrapText="1"/>
    </xf>
    <xf numFmtId="166" fontId="202" fillId="118" borderId="18" applyAlignment="1" pivotButton="0" quotePrefix="0" xfId="25429">
      <alignment vertical="center" wrapText="1"/>
    </xf>
    <xf numFmtId="166" fontId="202" fillId="118" borderId="15" applyAlignment="1" pivotButton="0" quotePrefix="0" xfId="25429">
      <alignment vertical="center" wrapText="1"/>
    </xf>
    <xf numFmtId="165" fontId="201" fillId="108" borderId="18" applyAlignment="1" pivotButton="0" quotePrefix="0" xfId="0">
      <alignment horizontal="center" vertical="center" wrapText="1"/>
    </xf>
    <xf numFmtId="166" fontId="202" fillId="109" borderId="18" applyAlignment="1" pivotButton="0" quotePrefix="0" xfId="25429">
      <alignment horizontal="center" vertical="center" wrapText="1"/>
    </xf>
    <xf numFmtId="166" fontId="202" fillId="109" borderId="18" applyAlignment="1" pivotButton="0" quotePrefix="0" xfId="25429">
      <alignment vertical="center" wrapText="1"/>
    </xf>
    <xf numFmtId="0" fontId="0" fillId="0" borderId="53" pivotButton="0" quotePrefix="0" xfId="0"/>
    <xf numFmtId="0" fontId="0" fillId="0" borderId="34" pivotButton="0" quotePrefix="0" xfId="0"/>
    <xf numFmtId="0" fontId="0" fillId="0" borderId="58" pivotButton="0" quotePrefix="0" xfId="0"/>
    <xf numFmtId="0" fontId="0" fillId="0" borderId="59" pivotButton="0" quotePrefix="0" xfId="0"/>
  </cellXfs>
  <cellStyles count="51650">
    <cellStyle name="Обычный" xfId="0" builtinId="0"/>
    <cellStyle name=" 1" xfId="1"/>
    <cellStyle name=" 1 2" xfId="2"/>
    <cellStyle name=" 386grabber=m" xfId="3"/>
    <cellStyle name="$1000s (0)" xfId="4"/>
    <cellStyle name="%" xfId="5"/>
    <cellStyle name="%_BS_Separation_TaxResIndem_Q12412 tf" xfId="6"/>
    <cellStyle name="%_BS_Separation_TaxResIndem_Q12412 tf_Guidance" xfId="7"/>
    <cellStyle name="%_BS_Separation_TaxResIndem_Q12412 tf_Guidance 2" xfId="8"/>
    <cellStyle name="%_BS_Separation_TaxResIndem_Q12412 tf_Guidance_BS retrieve" xfId="9"/>
    <cellStyle name="%_BS_Separation_TaxResIndem_Q12412 tf_Guidance_Free CF" xfId="10"/>
    <cellStyle name="%_BS_Separation_TaxResIndem_Q12412 tf_Guidance_P&amp;L Rec Qtr" xfId="11"/>
    <cellStyle name="%_BS_Separation_TaxResIndem_Q12412 tf_Guidance_Sheet1" xfId="12"/>
    <cellStyle name="%_BS_Separation_TaxResIndem_Q12412 tf_Guidance_Sheet2" xfId="13"/>
    <cellStyle name="%_BS_Separation_TaxResIndem_Q12412 tf_Guidance_Sheet3" xfId="14"/>
    <cellStyle name="%_BS_Separation_TaxResIndem_Q12412 tf_Guidance_Sheet4" xfId="15"/>
    <cellStyle name="%_BS_Separation_TaxResIndem_Q12412 tf_II.7. Sep&amp;Discrete" xfId="16"/>
    <cellStyle name="%_BS_Separation_TaxResIndem_Q12412 tf_II.7. Sep&amp;Discrete_Guidance" xfId="17"/>
    <cellStyle name="%_BS_Separation_TaxResIndem_Q12412 tf_II.7. Sep&amp;Discrete_Guidance 2" xfId="18"/>
    <cellStyle name="%_BS_Separation_TaxResIndem_Q12412 tf_II.7. Sep&amp;Discrete_Guidance_BS retrieve" xfId="19"/>
    <cellStyle name="%_BS_Separation_TaxResIndem_Q12412 tf_II.7. Sep&amp;Discrete_Guidance_Free CF" xfId="20"/>
    <cellStyle name="%_BS_Separation_TaxResIndem_Q12412 tf_II.7. Sep&amp;Discrete_Guidance_P&amp;L Rec Qtr" xfId="21"/>
    <cellStyle name="%_BS_Separation_TaxResIndem_Q12412 tf_II.7. Sep&amp;Discrete_Guidance_Sheet1" xfId="22"/>
    <cellStyle name="%_BS_Separation_TaxResIndem_Q12412 tf_II.7. Sep&amp;Discrete_Guidance_Sheet2" xfId="23"/>
    <cellStyle name="%_BS_Separation_TaxResIndem_Q12412 tf_II.7. Sep&amp;Discrete_Guidance_Sheet3" xfId="24"/>
    <cellStyle name="%_BS_Separation_TaxResIndem_Q12412 tf_II.7. Sep&amp;Discrete_Guidance_Sheet4" xfId="25"/>
    <cellStyle name="%_BS_Separation_TaxResIndem_Q12412 tf_Restructuring &amp; Separation" xfId="26"/>
    <cellStyle name="%_BS_Separation_TaxResIndem_Q12412 tf_Restructuring &amp; Separation_Guidance" xfId="27"/>
    <cellStyle name="%_BS_Separation_TaxResIndem_Q12412 tf_Restructuring &amp; Separation_Guidance 2" xfId="28"/>
    <cellStyle name="%_BS_Separation_TaxResIndem_Q12412 tf_Restructuring &amp; Separation_Guidance_BS retrieve" xfId="29"/>
    <cellStyle name="%_BS_Separation_TaxResIndem_Q12412 tf_Restructuring &amp; Separation_Guidance_Free CF" xfId="30"/>
    <cellStyle name="%_BS_Separation_TaxResIndem_Q12412 tf_Restructuring &amp; Separation_Guidance_P&amp;L Rec Qtr" xfId="31"/>
    <cellStyle name="%_BS_Separation_TaxResIndem_Q12412 tf_Restructuring &amp; Separation_Guidance_Sheet1" xfId="32"/>
    <cellStyle name="%_BS_Separation_TaxResIndem_Q12412 tf_Restructuring &amp; Separation_Guidance_Sheet2" xfId="33"/>
    <cellStyle name="%_BS_Separation_TaxResIndem_Q12412 tf_Restructuring &amp; Separation_Guidance_Sheet3" xfId="34"/>
    <cellStyle name="%_BS_Separation_TaxResIndem_Q12412 tf_Restructuring &amp; Separation_Guidance_Sheet4" xfId="35"/>
    <cellStyle name="%_BS_Separation_TaxResIndem_Q12412 tf_Restructuring &amp; Separation_II.7. Sep&amp;Discrete" xfId="36"/>
    <cellStyle name="%_BS_Separation_TaxResIndem_Q12412 tf_Restructuring &amp; Separation_II.7. Sep&amp;Discrete_Guidance" xfId="37"/>
    <cellStyle name="%_BS_Separation_TaxResIndem_Q12412 tf_Restructuring &amp; Separation_II.7. Sep&amp;Discrete_Guidance 2" xfId="38"/>
    <cellStyle name="%_BS_Separation_TaxResIndem_Q12412 tf_Restructuring &amp; Separation_II.7. Sep&amp;Discrete_Guidance_BS retrieve" xfId="39"/>
    <cellStyle name="%_BS_Separation_TaxResIndem_Q12412 tf_Restructuring &amp; Separation_II.7. Sep&amp;Discrete_Guidance_Free CF" xfId="40"/>
    <cellStyle name="%_BS_Separation_TaxResIndem_Q12412 tf_Restructuring &amp; Separation_II.7. Sep&amp;Discrete_Guidance_P&amp;L Rec Qtr" xfId="41"/>
    <cellStyle name="%_BS_Separation_TaxResIndem_Q12412 tf_Restructuring &amp; Separation_II.7. Sep&amp;Discrete_Guidance_Sheet1" xfId="42"/>
    <cellStyle name="%_BS_Separation_TaxResIndem_Q12412 tf_Restructuring &amp; Separation_II.7. Sep&amp;Discrete_Guidance_Sheet2" xfId="43"/>
    <cellStyle name="%_BS_Separation_TaxResIndem_Q12412 tf_Restructuring &amp; Separation_II.7. Sep&amp;Discrete_Guidance_Sheet3" xfId="44"/>
    <cellStyle name="%_BS_Separation_TaxResIndem_Q12412 tf_Restructuring &amp; Separation_II.7. Sep&amp;Discrete_Guidance_Sheet4" xfId="45"/>
    <cellStyle name="%_Guidance" xfId="46"/>
    <cellStyle name="%_Guidance 2" xfId="47"/>
    <cellStyle name="%_Guidance_BS retrieve" xfId="48"/>
    <cellStyle name="%_Guidance_Free CF" xfId="49"/>
    <cellStyle name="%_Guidance_P&amp;L Rec Qtr" xfId="50"/>
    <cellStyle name="%_Guidance_Sheet1" xfId="51"/>
    <cellStyle name="%_Guidance_Sheet2" xfId="52"/>
    <cellStyle name="%_Guidance_Sheet3" xfId="53"/>
    <cellStyle name="%_Guidance_Sheet4" xfId="54"/>
    <cellStyle name="%_II.7. Sep&amp;Discrete" xfId="55"/>
    <cellStyle name="%_II.7. Sep&amp;Discrete_Guidance" xfId="56"/>
    <cellStyle name="%_II.7. Sep&amp;Discrete_Guidance 2" xfId="57"/>
    <cellStyle name="%_II.7. Sep&amp;Discrete_Guidance_BS retrieve" xfId="58"/>
    <cellStyle name="%_II.7. Sep&amp;Discrete_Guidance_Free CF" xfId="59"/>
    <cellStyle name="%_II.7. Sep&amp;Discrete_Guidance_P&amp;L Rec Qtr" xfId="60"/>
    <cellStyle name="%_II.7. Sep&amp;Discrete_Guidance_Sheet1" xfId="61"/>
    <cellStyle name="%_II.7. Sep&amp;Discrete_Guidance_Sheet2" xfId="62"/>
    <cellStyle name="%_II.7. Sep&amp;Discrete_Guidance_Sheet3" xfId="63"/>
    <cellStyle name="%_II.7. Sep&amp;Discrete_Guidance_Sheet4" xfId="64"/>
    <cellStyle name="%_II.8. Sep&amp;Discrete" xfId="65"/>
    <cellStyle name="%_II.8. Sep&amp;Discrete_Guidance" xfId="66"/>
    <cellStyle name="%_II.8. Sep&amp;Discrete_Guidance 2" xfId="67"/>
    <cellStyle name="%_II.8. Sep&amp;Discrete_Guidance_BS retrieve" xfId="68"/>
    <cellStyle name="%_II.8. Sep&amp;Discrete_Guidance_Free CF" xfId="69"/>
    <cellStyle name="%_II.8. Sep&amp;Discrete_Guidance_P&amp;L Rec Qtr" xfId="70"/>
    <cellStyle name="%_II.8. Sep&amp;Discrete_Guidance_Sheet1" xfId="71"/>
    <cellStyle name="%_II.8. Sep&amp;Discrete_Guidance_Sheet2" xfId="72"/>
    <cellStyle name="%_II.8. Sep&amp;Discrete_Guidance_Sheet3" xfId="73"/>
    <cellStyle name="%_II.8. Sep&amp;Discrete_Guidance_Sheet4" xfId="74"/>
    <cellStyle name="%_Restructuring &amp; Separation" xfId="75"/>
    <cellStyle name="%_Restructuring &amp; Separation_Guidance" xfId="76"/>
    <cellStyle name="%_Restructuring &amp; Separation_Guidance 2" xfId="77"/>
    <cellStyle name="%_Restructuring &amp; Separation_Guidance_BS retrieve" xfId="78"/>
    <cellStyle name="%_Restructuring &amp; Separation_Guidance_Free CF" xfId="79"/>
    <cellStyle name="%_Restructuring &amp; Separation_Guidance_P&amp;L Rec Qtr" xfId="80"/>
    <cellStyle name="%_Restructuring &amp; Separation_Guidance_Sheet1" xfId="81"/>
    <cellStyle name="%_Restructuring &amp; Separation_Guidance_Sheet2" xfId="82"/>
    <cellStyle name="%_Restructuring &amp; Separation_Guidance_Sheet3" xfId="83"/>
    <cellStyle name="%_Restructuring &amp; Separation_Guidance_Sheet4" xfId="84"/>
    <cellStyle name="%_Restructuring &amp; Separation_II.7. Sep&amp;Discrete" xfId="85"/>
    <cellStyle name="%_Restructuring &amp; Separation_II.7. Sep&amp;Discrete_Guidance" xfId="86"/>
    <cellStyle name="%_Restructuring &amp; Separation_II.7. Sep&amp;Discrete_Guidance 2" xfId="87"/>
    <cellStyle name="%_Restructuring &amp; Separation_II.7. Sep&amp;Discrete_Guidance_BS retrieve" xfId="88"/>
    <cellStyle name="%_Restructuring &amp; Separation_II.7. Sep&amp;Discrete_Guidance_Free CF" xfId="89"/>
    <cellStyle name="%_Restructuring &amp; Separation_II.7. Sep&amp;Discrete_Guidance_P&amp;L Rec Qtr" xfId="90"/>
    <cellStyle name="%_Restructuring &amp; Separation_II.7. Sep&amp;Discrete_Guidance_Sheet1" xfId="91"/>
    <cellStyle name="%_Restructuring &amp; Separation_II.7. Sep&amp;Discrete_Guidance_Sheet2" xfId="92"/>
    <cellStyle name="%_Restructuring &amp; Separation_II.7. Sep&amp;Discrete_Guidance_Sheet3" xfId="93"/>
    <cellStyle name="%_Restructuring &amp; Separation_II.7. Sep&amp;Discrete_Guidance_Sheet4" xfId="94"/>
    <cellStyle name="??" xfId="95"/>
    <cellStyle name="?? [0]_Apr AcFc_WKI" xfId="96"/>
    <cellStyle name="?? 1- " xfId="97"/>
    <cellStyle name="?? 1-  2" xfId="98"/>
    <cellStyle name="?? 1-  3" xfId="99"/>
    <cellStyle name="?? 1-  3 2" xfId="100"/>
    <cellStyle name="?? 1-  4" xfId="101"/>
    <cellStyle name="?? 10" xfId="102"/>
    <cellStyle name="?? 10 2" xfId="103"/>
    <cellStyle name="?? 11" xfId="104"/>
    <cellStyle name="?? 11 2" xfId="105"/>
    <cellStyle name="?? 12" xfId="106"/>
    <cellStyle name="?? 12 2" xfId="107"/>
    <cellStyle name="?? 13" xfId="108"/>
    <cellStyle name="?? 13 2" xfId="109"/>
    <cellStyle name="?? 14" xfId="110"/>
    <cellStyle name="?? 14 2" xfId="111"/>
    <cellStyle name="?? 15" xfId="112"/>
    <cellStyle name="?? 15 2" xfId="113"/>
    <cellStyle name="?? 16" xfId="114"/>
    <cellStyle name="?? 17" xfId="115"/>
    <cellStyle name="?? 18" xfId="116"/>
    <cellStyle name="?? 19" xfId="117"/>
    <cellStyle name="?? 2" xfId="118"/>
    <cellStyle name="?? 2- " xfId="119"/>
    <cellStyle name="?? 2-  2" xfId="120"/>
    <cellStyle name="?? 2-  3" xfId="121"/>
    <cellStyle name="?? 2-  3 2" xfId="122"/>
    <cellStyle name="?? 2-  4" xfId="123"/>
    <cellStyle name="?? 2 2" xfId="124"/>
    <cellStyle name="?? 2 3" xfId="125"/>
    <cellStyle name="?? 2 4" xfId="126"/>
    <cellStyle name="?? 2 5" xfId="127"/>
    <cellStyle name="?? 20" xfId="128"/>
    <cellStyle name="?? 21" xfId="129"/>
    <cellStyle name="?? 22" xfId="130"/>
    <cellStyle name="?? 23" xfId="131"/>
    <cellStyle name="?? 24" xfId="132"/>
    <cellStyle name="?? 3" xfId="133"/>
    <cellStyle name="?? 3- " xfId="134"/>
    <cellStyle name="?? 3-  2" xfId="135"/>
    <cellStyle name="?? 3-  3" xfId="136"/>
    <cellStyle name="?? 3-  3 2" xfId="137"/>
    <cellStyle name="?? 3-  4" xfId="138"/>
    <cellStyle name="?? 3 2" xfId="139"/>
    <cellStyle name="?? 3 3" xfId="140"/>
    <cellStyle name="?? 3 4" xfId="141"/>
    <cellStyle name="?? 3 5" xfId="142"/>
    <cellStyle name="?? 4" xfId="143"/>
    <cellStyle name="?? 4- " xfId="144"/>
    <cellStyle name="?? 4-  2" xfId="145"/>
    <cellStyle name="?? 4-  3" xfId="146"/>
    <cellStyle name="?? 4-  3 2" xfId="147"/>
    <cellStyle name="?? 4-  4" xfId="148"/>
    <cellStyle name="?? 4 10" xfId="149"/>
    <cellStyle name="?? 4 10 2" xfId="150"/>
    <cellStyle name="?? 4 10 3" xfId="151"/>
    <cellStyle name="?? 4 10 4" xfId="152"/>
    <cellStyle name="?? 4 10 5" xfId="153"/>
    <cellStyle name="?? 4 10 6" xfId="154"/>
    <cellStyle name="?? 4 11" xfId="155"/>
    <cellStyle name="?? 4 11 2" xfId="156"/>
    <cellStyle name="?? 4 11 3" xfId="157"/>
    <cellStyle name="?? 4 11 4" xfId="158"/>
    <cellStyle name="?? 4 12" xfId="159"/>
    <cellStyle name="?? 4 12 2" xfId="160"/>
    <cellStyle name="?? 4 12 3" xfId="161"/>
    <cellStyle name="?? 4 12 4" xfId="162"/>
    <cellStyle name="?? 4 13" xfId="163"/>
    <cellStyle name="?? 4 13 2" xfId="164"/>
    <cellStyle name="?? 4 13 3" xfId="165"/>
    <cellStyle name="?? 4 14" xfId="166"/>
    <cellStyle name="?? 4 14 2" xfId="167"/>
    <cellStyle name="?? 4 14 3" xfId="168"/>
    <cellStyle name="?? 4 15" xfId="169"/>
    <cellStyle name="?? 4 15 2" xfId="170"/>
    <cellStyle name="?? 4 15 3" xfId="171"/>
    <cellStyle name="?? 4 16" xfId="172"/>
    <cellStyle name="?? 4 16 2" xfId="173"/>
    <cellStyle name="?? 4 16 3" xfId="174"/>
    <cellStyle name="?? 4 16 4" xfId="175"/>
    <cellStyle name="?? 4 17" xfId="176"/>
    <cellStyle name="?? 4 17 2" xfId="177"/>
    <cellStyle name="?? 4 17 3" xfId="178"/>
    <cellStyle name="?? 4 17 4" xfId="179"/>
    <cellStyle name="?? 4 18" xfId="180"/>
    <cellStyle name="?? 4 18 2" xfId="181"/>
    <cellStyle name="?? 4 19" xfId="182"/>
    <cellStyle name="?? 4 19 2" xfId="183"/>
    <cellStyle name="?? 4 2" xfId="184"/>
    <cellStyle name="?? 4 2 2" xfId="185"/>
    <cellStyle name="?? 4 2 2 2" xfId="186"/>
    <cellStyle name="?? 4 2 2 2 2" xfId="187"/>
    <cellStyle name="?? 4 2 2 2 3" xfId="188"/>
    <cellStyle name="?? 4 2 2 3" xfId="189"/>
    <cellStyle name="?? 4 2 2 3 2" xfId="190"/>
    <cellStyle name="?? 4 2 2 3 3" xfId="191"/>
    <cellStyle name="?? 4 2 2 4" xfId="192"/>
    <cellStyle name="?? 4 2 2 5" xfId="193"/>
    <cellStyle name="?? 4 2 2 6" xfId="194"/>
    <cellStyle name="?? 4 2 3" xfId="195"/>
    <cellStyle name="?? 4 2 3 2" xfId="196"/>
    <cellStyle name="?? 4 2 3 3" xfId="197"/>
    <cellStyle name="?? 4 2 4" xfId="198"/>
    <cellStyle name="?? 4 2 5" xfId="199"/>
    <cellStyle name="?? 4 2 6" xfId="200"/>
    <cellStyle name="?? 4 2 7" xfId="201"/>
    <cellStyle name="?? 4 20" xfId="202"/>
    <cellStyle name="?? 4 20 2" xfId="203"/>
    <cellStyle name="?? 4 21" xfId="204"/>
    <cellStyle name="?? 4 21 2" xfId="205"/>
    <cellStyle name="?? 4 21 3" xfId="206"/>
    <cellStyle name="?? 4 22" xfId="207"/>
    <cellStyle name="?? 4 22 2" xfId="208"/>
    <cellStyle name="?? 4 22 3" xfId="209"/>
    <cellStyle name="?? 4 23" xfId="210"/>
    <cellStyle name="?? 4 23 2" xfId="211"/>
    <cellStyle name="?? 4 24" xfId="212"/>
    <cellStyle name="?? 4 24 2" xfId="213"/>
    <cellStyle name="?? 4 25" xfId="214"/>
    <cellStyle name="?? 4 25 2" xfId="215"/>
    <cellStyle name="?? 4 26" xfId="216"/>
    <cellStyle name="?? 4 27" xfId="217"/>
    <cellStyle name="?? 4 3" xfId="218"/>
    <cellStyle name="?? 4 3 2" xfId="219"/>
    <cellStyle name="?? 4 3 2 2" xfId="220"/>
    <cellStyle name="?? 4 3 2 2 2" xfId="221"/>
    <cellStyle name="?? 4 3 2 2 3" xfId="222"/>
    <cellStyle name="?? 4 3 2 3" xfId="223"/>
    <cellStyle name="?? 4 3 2 3 2" xfId="224"/>
    <cellStyle name="?? 4 3 2 3 3" xfId="225"/>
    <cellStyle name="?? 4 3 2 4" xfId="226"/>
    <cellStyle name="?? 4 3 2 5" xfId="227"/>
    <cellStyle name="?? 4 3 2 6" xfId="228"/>
    <cellStyle name="?? 4 3 3" xfId="229"/>
    <cellStyle name="?? 4 3 3 2" xfId="230"/>
    <cellStyle name="?? 4 3 3 3" xfId="231"/>
    <cellStyle name="?? 4 3 4" xfId="232"/>
    <cellStyle name="?? 4 3 5" xfId="233"/>
    <cellStyle name="?? 4 3 6" xfId="234"/>
    <cellStyle name="?? 4 3 7" xfId="235"/>
    <cellStyle name="?? 4 4" xfId="236"/>
    <cellStyle name="?? 4 4 2" xfId="237"/>
    <cellStyle name="?? 4 4 2 2" xfId="238"/>
    <cellStyle name="?? 4 4 2 2 2" xfId="239"/>
    <cellStyle name="?? 4 4 2 2 3" xfId="240"/>
    <cellStyle name="?? 4 4 2 3" xfId="241"/>
    <cellStyle name="?? 4 4 2 3 2" xfId="242"/>
    <cellStyle name="?? 4 4 2 3 3" xfId="243"/>
    <cellStyle name="?? 4 4 2 4" xfId="244"/>
    <cellStyle name="?? 4 4 2 5" xfId="245"/>
    <cellStyle name="?? 4 4 2 6" xfId="246"/>
    <cellStyle name="?? 4 4 3" xfId="247"/>
    <cellStyle name="?? 4 4 3 2" xfId="248"/>
    <cellStyle name="?? 4 4 3 3" xfId="249"/>
    <cellStyle name="?? 4 4 4" xfId="250"/>
    <cellStyle name="?? 4 4 5" xfId="251"/>
    <cellStyle name="?? 4 4 6" xfId="252"/>
    <cellStyle name="?? 4 4 7" xfId="253"/>
    <cellStyle name="?? 4 5" xfId="254"/>
    <cellStyle name="?? 4 5 2" xfId="255"/>
    <cellStyle name="?? 4 5 2 2" xfId="256"/>
    <cellStyle name="?? 4 5 2 2 2" xfId="257"/>
    <cellStyle name="?? 4 5 2 2 2 2" xfId="258"/>
    <cellStyle name="?? 4 5 2 2 2 3" xfId="259"/>
    <cellStyle name="?? 4 5 2 2 3" xfId="260"/>
    <cellStyle name="?? 4 5 2 2 3 2" xfId="261"/>
    <cellStyle name="?? 4 5 2 2 3 3" xfId="262"/>
    <cellStyle name="?? 4 5 2 2 4" xfId="263"/>
    <cellStyle name="?? 4 5 2 2 5" xfId="264"/>
    <cellStyle name="?? 4 5 2 3" xfId="265"/>
    <cellStyle name="?? 4 5 2 3 2" xfId="266"/>
    <cellStyle name="?? 4 5 2 3 3" xfId="267"/>
    <cellStyle name="?? 4 5 2 4" xfId="268"/>
    <cellStyle name="?? 4 5 2 4 2" xfId="269"/>
    <cellStyle name="?? 4 5 2 4 3" xfId="270"/>
    <cellStyle name="?? 4 5 2 5" xfId="271"/>
    <cellStyle name="?? 4 5 2 6" xfId="272"/>
    <cellStyle name="?? 4 5 2 7" xfId="273"/>
    <cellStyle name="?? 4 5 3" xfId="274"/>
    <cellStyle name="?? 4 5 3 2" xfId="275"/>
    <cellStyle name="?? 4 5 3 3" xfId="276"/>
    <cellStyle name="?? 4 5 4" xfId="277"/>
    <cellStyle name="?? 4 5 5" xfId="278"/>
    <cellStyle name="?? 4 5 6" xfId="279"/>
    <cellStyle name="?? 4 5 7" xfId="280"/>
    <cellStyle name="?? 4 6" xfId="281"/>
    <cellStyle name="?? 4 6 2" xfId="282"/>
    <cellStyle name="?? 4 6 2 2" xfId="283"/>
    <cellStyle name="?? 4 6 2 2 2" xfId="284"/>
    <cellStyle name="?? 4 6 2 2 3" xfId="285"/>
    <cellStyle name="?? 4 6 2 3" xfId="286"/>
    <cellStyle name="?? 4 6 2 3 2" xfId="287"/>
    <cellStyle name="?? 4 6 2 3 3" xfId="288"/>
    <cellStyle name="?? 4 6 2 4" xfId="289"/>
    <cellStyle name="?? 4 6 2 5" xfId="290"/>
    <cellStyle name="?? 4 6 2 6" xfId="291"/>
    <cellStyle name="?? 4 6 3" xfId="292"/>
    <cellStyle name="?? 4 6 3 2" xfId="293"/>
    <cellStyle name="?? 4 6 3 3" xfId="294"/>
    <cellStyle name="?? 4 6 4" xfId="295"/>
    <cellStyle name="?? 4 6 5" xfId="296"/>
    <cellStyle name="?? 4 6 6" xfId="297"/>
    <cellStyle name="?? 4 6 7" xfId="298"/>
    <cellStyle name="?? 4 7" xfId="299"/>
    <cellStyle name="?? 4 7 2" xfId="300"/>
    <cellStyle name="?? 4 7 2 2" xfId="301"/>
    <cellStyle name="?? 4 7 2 3" xfId="302"/>
    <cellStyle name="?? 4 7 2 4" xfId="303"/>
    <cellStyle name="?? 4 7 3" xfId="304"/>
    <cellStyle name="?? 4 7 3 2" xfId="305"/>
    <cellStyle name="?? 4 7 3 3" xfId="306"/>
    <cellStyle name="?? 4 7 4" xfId="307"/>
    <cellStyle name="?? 4 7 5" xfId="308"/>
    <cellStyle name="?? 4 7 6" xfId="309"/>
    <cellStyle name="?? 4 7 7" xfId="310"/>
    <cellStyle name="?? 4 7 8" xfId="311"/>
    <cellStyle name="?? 4 8" xfId="312"/>
    <cellStyle name="?? 4 8 2" xfId="313"/>
    <cellStyle name="?? 4 8 2 2" xfId="314"/>
    <cellStyle name="?? 4 8 3" xfId="315"/>
    <cellStyle name="?? 4 8 4" xfId="316"/>
    <cellStyle name="?? 4 8 5" xfId="317"/>
    <cellStyle name="?? 4 8 6" xfId="318"/>
    <cellStyle name="?? 4 9" xfId="319"/>
    <cellStyle name="?? 4 9 2" xfId="320"/>
    <cellStyle name="?? 4 9 2 2" xfId="321"/>
    <cellStyle name="?? 4 9 3" xfId="322"/>
    <cellStyle name="?? 4 9 4" xfId="323"/>
    <cellStyle name="?? 4 9 5" xfId="324"/>
    <cellStyle name="?? 4 9 6" xfId="325"/>
    <cellStyle name="?? 5" xfId="326"/>
    <cellStyle name="?? 5 2" xfId="327"/>
    <cellStyle name="?? 5 3" xfId="328"/>
    <cellStyle name="?? 6" xfId="329"/>
    <cellStyle name="?? 6 2" xfId="330"/>
    <cellStyle name="?? 6 3" xfId="331"/>
    <cellStyle name="?? 6i" xfId="332"/>
    <cellStyle name="?? 6i 10" xfId="333"/>
    <cellStyle name="?? 6i 11" xfId="334"/>
    <cellStyle name="?? 6i 12" xfId="335"/>
    <cellStyle name="?? 6i 2" xfId="336"/>
    <cellStyle name="?? 6i 2 2" xfId="337"/>
    <cellStyle name="?? 6i 2 2 2" xfId="338"/>
    <cellStyle name="?? 6i 2 2 2 2" xfId="339"/>
    <cellStyle name="?? 6i 2 2 2 3" xfId="340"/>
    <cellStyle name="?? 6i 2 2 3" xfId="341"/>
    <cellStyle name="?? 6i 2 2 3 2" xfId="342"/>
    <cellStyle name="?? 6i 2 2 3 3" xfId="343"/>
    <cellStyle name="?? 6i 2 2 4" xfId="344"/>
    <cellStyle name="?? 6i 2 2 5" xfId="345"/>
    <cellStyle name="?? 6i 2 2 6" xfId="346"/>
    <cellStyle name="?? 6i 2 3" xfId="347"/>
    <cellStyle name="?? 6i 2 3 2" xfId="348"/>
    <cellStyle name="?? 6i 2 3 3" xfId="349"/>
    <cellStyle name="?? 6i 2 4" xfId="350"/>
    <cellStyle name="?? 6i 2 5" xfId="351"/>
    <cellStyle name="?? 6i 2 6" xfId="352"/>
    <cellStyle name="?? 6i 2 7" xfId="353"/>
    <cellStyle name="?? 6i 3" xfId="354"/>
    <cellStyle name="?? 6i 3 2" xfId="355"/>
    <cellStyle name="?? 6i 3 2 2" xfId="356"/>
    <cellStyle name="?? 6i 3 2 2 2" xfId="357"/>
    <cellStyle name="?? 6i 3 2 2 3" xfId="358"/>
    <cellStyle name="?? 6i 3 2 3" xfId="359"/>
    <cellStyle name="?? 6i 3 2 3 2" xfId="360"/>
    <cellStyle name="?? 6i 3 2 3 3" xfId="361"/>
    <cellStyle name="?? 6i 3 2 4" xfId="362"/>
    <cellStyle name="?? 6i 3 2 5" xfId="363"/>
    <cellStyle name="?? 6i 3 2 6" xfId="364"/>
    <cellStyle name="?? 6i 3 3" xfId="365"/>
    <cellStyle name="?? 6i 3 3 2" xfId="366"/>
    <cellStyle name="?? 6i 3 3 3" xfId="367"/>
    <cellStyle name="?? 6i 3 4" xfId="368"/>
    <cellStyle name="?? 6i 3 4 2" xfId="369"/>
    <cellStyle name="?? 6i 3 4 3" xfId="370"/>
    <cellStyle name="?? 6i 3 5" xfId="371"/>
    <cellStyle name="?? 6i 3 6" xfId="372"/>
    <cellStyle name="?? 6i 3 7" xfId="373"/>
    <cellStyle name="?? 6i 3 8" xfId="374"/>
    <cellStyle name="?? 6i 3 9" xfId="375"/>
    <cellStyle name="?? 6i 4" xfId="376"/>
    <cellStyle name="?? 6i 4 2" xfId="377"/>
    <cellStyle name="?? 6i 4 2 2" xfId="378"/>
    <cellStyle name="?? 6i 4 3" xfId="379"/>
    <cellStyle name="?? 6i 4 4" xfId="380"/>
    <cellStyle name="?? 6i 4 5" xfId="381"/>
    <cellStyle name="?? 6i 4 6" xfId="382"/>
    <cellStyle name="?? 6i 5" xfId="383"/>
    <cellStyle name="?? 6i 5 2" xfId="384"/>
    <cellStyle name="?? 6i 5 3" xfId="385"/>
    <cellStyle name="?? 6i 5 4" xfId="386"/>
    <cellStyle name="?? 6i 5 5" xfId="387"/>
    <cellStyle name="?? 6i 6" xfId="388"/>
    <cellStyle name="?? 6i 6 2" xfId="389"/>
    <cellStyle name="?? 6i 6 3" xfId="390"/>
    <cellStyle name="?? 6i 6 4" xfId="391"/>
    <cellStyle name="?? 6i 7" xfId="392"/>
    <cellStyle name="?? 6i 7 2" xfId="393"/>
    <cellStyle name="?? 6i 7 3" xfId="394"/>
    <cellStyle name="?? 6i 8" xfId="395"/>
    <cellStyle name="?? 6i 8 2" xfId="396"/>
    <cellStyle name="?? 6i 8 3" xfId="397"/>
    <cellStyle name="?? 6i 9" xfId="398"/>
    <cellStyle name="?? 6i 9 2" xfId="399"/>
    <cellStyle name="?? 6i 9 3" xfId="400"/>
    <cellStyle name="?? 7" xfId="401"/>
    <cellStyle name="?? 7 2" xfId="402"/>
    <cellStyle name="?? 7 3" xfId="403"/>
    <cellStyle name="?? 8" xfId="404"/>
    <cellStyle name="?? 8 2" xfId="405"/>
    <cellStyle name="?? 9" xfId="406"/>
    <cellStyle name="?? 9 2" xfId="407"/>
    <cellStyle name="??% " xfId="408"/>
    <cellStyle name="??%  2" xfId="409"/>
    <cellStyle name="??%  3" xfId="410"/>
    <cellStyle name="??%  3 2" xfId="411"/>
    <cellStyle name="??%  4" xfId="412"/>
    <cellStyle name="??? ???" xfId="413"/>
    <cellStyle name="??? ??? 2" xfId="414"/>
    <cellStyle name="??? ??? 3" xfId="415"/>
    <cellStyle name="??? ??? 3 2" xfId="416"/>
    <cellStyle name="??? ??? 4" xfId="417"/>
    <cellStyle name="????" xfId="418"/>
    <cellStyle name="???? 10" xfId="419"/>
    <cellStyle name="???? 11" xfId="420"/>
    <cellStyle name="???? 2" xfId="421"/>
    <cellStyle name="???? 2 2" xfId="422"/>
    <cellStyle name="???? 2 2 2" xfId="423"/>
    <cellStyle name="???? 2 2 2 2" xfId="424"/>
    <cellStyle name="???? 2 2 2 3" xfId="425"/>
    <cellStyle name="???? 2 2 3" xfId="426"/>
    <cellStyle name="???? 2 2 3 2" xfId="427"/>
    <cellStyle name="???? 2 2 3 3" xfId="428"/>
    <cellStyle name="???? 2 2 4" xfId="429"/>
    <cellStyle name="???? 2 2 5" xfId="430"/>
    <cellStyle name="???? 2 2 6" xfId="431"/>
    <cellStyle name="???? 2 3" xfId="432"/>
    <cellStyle name="???? 2 3 2" xfId="433"/>
    <cellStyle name="???? 2 3 3" xfId="434"/>
    <cellStyle name="???? 2 4" xfId="435"/>
    <cellStyle name="???? 2 5" xfId="436"/>
    <cellStyle name="???? 2 6" xfId="437"/>
    <cellStyle name="???? 2 7" xfId="438"/>
    <cellStyle name="???? 3" xfId="439"/>
    <cellStyle name="???? 3 2" xfId="440"/>
    <cellStyle name="???? 3 2 2" xfId="441"/>
    <cellStyle name="???? 3 2 2 2" xfId="442"/>
    <cellStyle name="???? 3 2 2 3" xfId="443"/>
    <cellStyle name="???? 3 2 3" xfId="444"/>
    <cellStyle name="???? 3 2 3 2" xfId="445"/>
    <cellStyle name="???? 3 2 3 3" xfId="446"/>
    <cellStyle name="???? 3 2 4" xfId="447"/>
    <cellStyle name="???? 3 2 5" xfId="448"/>
    <cellStyle name="???? 3 2 6" xfId="449"/>
    <cellStyle name="???? 3 3" xfId="450"/>
    <cellStyle name="???? 3 3 2" xfId="451"/>
    <cellStyle name="???? 3 3 3" xfId="452"/>
    <cellStyle name="???? 3 4" xfId="453"/>
    <cellStyle name="???? 3 4 2" xfId="454"/>
    <cellStyle name="???? 3 4 3" xfId="455"/>
    <cellStyle name="???? 3 5" xfId="456"/>
    <cellStyle name="???? 3 6" xfId="457"/>
    <cellStyle name="???? 3 7" xfId="458"/>
    <cellStyle name="???? 3 8" xfId="459"/>
    <cellStyle name="???? 3 9" xfId="460"/>
    <cellStyle name="???? 4" xfId="461"/>
    <cellStyle name="???? 4 2" xfId="462"/>
    <cellStyle name="???? 4 2 2" xfId="463"/>
    <cellStyle name="???? 4 3" xfId="464"/>
    <cellStyle name="???? 4 4" xfId="465"/>
    <cellStyle name="???? 4 5" xfId="466"/>
    <cellStyle name="???? 5" xfId="467"/>
    <cellStyle name="???? 5 2" xfId="468"/>
    <cellStyle name="???? 5 3" xfId="469"/>
    <cellStyle name="???? 5 4" xfId="470"/>
    <cellStyle name="???? 5 5" xfId="471"/>
    <cellStyle name="???? 5 6" xfId="472"/>
    <cellStyle name="???? 6" xfId="473"/>
    <cellStyle name="???? 6 2" xfId="474"/>
    <cellStyle name="???? 6 3" xfId="475"/>
    <cellStyle name="???? 6 4" xfId="476"/>
    <cellStyle name="???? 7" xfId="477"/>
    <cellStyle name="???? 7 2" xfId="478"/>
    <cellStyle name="???? 7 3" xfId="479"/>
    <cellStyle name="???? 8" xfId="480"/>
    <cellStyle name="???? 8 2" xfId="481"/>
    <cellStyle name="???? 8 3" xfId="482"/>
    <cellStyle name="???? 9" xfId="483"/>
    <cellStyle name="????? " xfId="484"/>
    <cellStyle name="?????  ??" xfId="485"/>
    <cellStyle name="?????  ?? 2" xfId="486"/>
    <cellStyle name="?????  ?? 3" xfId="487"/>
    <cellStyle name="?????  ?? 3 2" xfId="488"/>
    <cellStyle name="?????  ?? 4" xfId="489"/>
    <cellStyle name="?????  ???" xfId="490"/>
    <cellStyle name="?????  ??? " xfId="491"/>
    <cellStyle name="?????  ???  2" xfId="492"/>
    <cellStyle name="?????  ???  3" xfId="493"/>
    <cellStyle name="?????  ???  3 2" xfId="494"/>
    <cellStyle name="?????  ???  4" xfId="495"/>
    <cellStyle name="?????  ??? 10" xfId="496"/>
    <cellStyle name="?????  ??? 10 2" xfId="497"/>
    <cellStyle name="?????  ??? 10 2 2" xfId="498"/>
    <cellStyle name="?????  ??? 10 2 3" xfId="499"/>
    <cellStyle name="?????  ??? 10 2 4" xfId="500"/>
    <cellStyle name="?????  ??? 10 3" xfId="501"/>
    <cellStyle name="?????  ??? 10 3 2" xfId="502"/>
    <cellStyle name="?????  ??? 10 3 3" xfId="503"/>
    <cellStyle name="?????  ??? 10 4" xfId="504"/>
    <cellStyle name="?????  ??? 10 5" xfId="505"/>
    <cellStyle name="?????  ??? 10 6" xfId="506"/>
    <cellStyle name="?????  ??? 10 7" xfId="507"/>
    <cellStyle name="?????  ??? 10 8" xfId="508"/>
    <cellStyle name="?????  ??? 11" xfId="509"/>
    <cellStyle name="?????  ??? 11 2" xfId="510"/>
    <cellStyle name="?????  ??? 11 3" xfId="511"/>
    <cellStyle name="?????  ??? 11 4" xfId="512"/>
    <cellStyle name="?????  ??? 11 5" xfId="513"/>
    <cellStyle name="?????  ??? 11 6" xfId="514"/>
    <cellStyle name="?????  ??? 12" xfId="515"/>
    <cellStyle name="?????  ??? 12 2" xfId="516"/>
    <cellStyle name="?????  ??? 12 3" xfId="517"/>
    <cellStyle name="?????  ??? 12 4" xfId="518"/>
    <cellStyle name="?????  ??? 12 5" xfId="519"/>
    <cellStyle name="?????  ??? 12 6" xfId="520"/>
    <cellStyle name="?????  ??? 13" xfId="521"/>
    <cellStyle name="?????  ??? 13 2" xfId="522"/>
    <cellStyle name="?????  ??? 13 3" xfId="523"/>
    <cellStyle name="?????  ??? 13 4" xfId="524"/>
    <cellStyle name="?????  ??? 13 5" xfId="525"/>
    <cellStyle name="?????  ??? 13 6" xfId="526"/>
    <cellStyle name="?????  ??? 14" xfId="527"/>
    <cellStyle name="?????  ??? 14 2" xfId="528"/>
    <cellStyle name="?????  ??? 14 3" xfId="529"/>
    <cellStyle name="?????  ??? 14 4" xfId="530"/>
    <cellStyle name="?????  ??? 15" xfId="531"/>
    <cellStyle name="?????  ??? 15 2" xfId="532"/>
    <cellStyle name="?????  ??? 15 3" xfId="533"/>
    <cellStyle name="?????  ??? 15 4" xfId="534"/>
    <cellStyle name="?????  ??? 16" xfId="535"/>
    <cellStyle name="?????  ??? 16 2" xfId="536"/>
    <cellStyle name="?????  ??? 16 3" xfId="537"/>
    <cellStyle name="?????  ??? 17" xfId="538"/>
    <cellStyle name="?????  ??? 17 2" xfId="539"/>
    <cellStyle name="?????  ??? 17 3" xfId="540"/>
    <cellStyle name="?????  ??? 18" xfId="541"/>
    <cellStyle name="?????  ??? 18 2" xfId="542"/>
    <cellStyle name="?????  ??? 18 3" xfId="543"/>
    <cellStyle name="?????  ??? 19" xfId="544"/>
    <cellStyle name="?????  ??? 19 2" xfId="545"/>
    <cellStyle name="?????  ??? 19 3" xfId="546"/>
    <cellStyle name="?????  ??? 2" xfId="547"/>
    <cellStyle name="?????  ??? 2 10" xfId="548"/>
    <cellStyle name="?????  ??? 2 11" xfId="549"/>
    <cellStyle name="?????  ??? 2 2" xfId="550"/>
    <cellStyle name="?????  ??? 2 2 2" xfId="551"/>
    <cellStyle name="?????  ??? 2 2 2 2" xfId="552"/>
    <cellStyle name="?????  ??? 2 2 2 2 2" xfId="553"/>
    <cellStyle name="?????  ??? 2 2 2 2 3" xfId="554"/>
    <cellStyle name="?????  ??? 2 2 2 3" xfId="555"/>
    <cellStyle name="?????  ??? 2 2 2 3 2" xfId="556"/>
    <cellStyle name="?????  ??? 2 2 2 3 3" xfId="557"/>
    <cellStyle name="?????  ??? 2 2 2 4" xfId="558"/>
    <cellStyle name="?????  ??? 2 2 2 5" xfId="559"/>
    <cellStyle name="?????  ??? 2 2 2 6" xfId="560"/>
    <cellStyle name="?????  ??? 2 2 3" xfId="561"/>
    <cellStyle name="?????  ??? 2 2 3 2" xfId="562"/>
    <cellStyle name="?????  ??? 2 2 3 3" xfId="563"/>
    <cellStyle name="?????  ??? 2 2 4" xfId="564"/>
    <cellStyle name="?????  ??? 2 2 5" xfId="565"/>
    <cellStyle name="?????  ??? 2 2 6" xfId="566"/>
    <cellStyle name="?????  ??? 2 2 7" xfId="567"/>
    <cellStyle name="?????  ??? 2 3" xfId="568"/>
    <cellStyle name="?????  ??? 2 3 2" xfId="569"/>
    <cellStyle name="?????  ??? 2 3 2 2" xfId="570"/>
    <cellStyle name="?????  ??? 2 3 2 2 2" xfId="571"/>
    <cellStyle name="?????  ??? 2 3 2 2 3" xfId="572"/>
    <cellStyle name="?????  ??? 2 3 2 3" xfId="573"/>
    <cellStyle name="?????  ??? 2 3 2 3 2" xfId="574"/>
    <cellStyle name="?????  ??? 2 3 2 3 3" xfId="575"/>
    <cellStyle name="?????  ??? 2 3 2 4" xfId="576"/>
    <cellStyle name="?????  ??? 2 3 2 5" xfId="577"/>
    <cellStyle name="?????  ??? 2 3 2 6" xfId="578"/>
    <cellStyle name="?????  ??? 2 3 3" xfId="579"/>
    <cellStyle name="?????  ??? 2 3 3 2" xfId="580"/>
    <cellStyle name="?????  ??? 2 3 3 3" xfId="581"/>
    <cellStyle name="?????  ??? 2 3 4" xfId="582"/>
    <cellStyle name="?????  ??? 2 3 4 2" xfId="583"/>
    <cellStyle name="?????  ??? 2 3 4 3" xfId="584"/>
    <cellStyle name="?????  ??? 2 3 5" xfId="585"/>
    <cellStyle name="?????  ??? 2 3 6" xfId="586"/>
    <cellStyle name="?????  ??? 2 3 7" xfId="587"/>
    <cellStyle name="?????  ??? 2 3 8" xfId="588"/>
    <cellStyle name="?????  ??? 2 3 9" xfId="589"/>
    <cellStyle name="?????  ??? 2 4" xfId="590"/>
    <cellStyle name="?????  ??? 2 4 2" xfId="591"/>
    <cellStyle name="?????  ??? 2 4 3" xfId="592"/>
    <cellStyle name="?????  ??? 2 4 4" xfId="593"/>
    <cellStyle name="?????  ??? 2 4 5" xfId="594"/>
    <cellStyle name="?????  ??? 2 4 6" xfId="595"/>
    <cellStyle name="?????  ??? 2 5" xfId="596"/>
    <cellStyle name="?????  ??? 2 5 2" xfId="597"/>
    <cellStyle name="?????  ??? 2 5 3" xfId="598"/>
    <cellStyle name="?????  ??? 2 5 4" xfId="599"/>
    <cellStyle name="?????  ??? 2 6" xfId="600"/>
    <cellStyle name="?????  ??? 2 6 2" xfId="601"/>
    <cellStyle name="?????  ??? 2 6 3" xfId="602"/>
    <cellStyle name="?????  ??? 2 7" xfId="603"/>
    <cellStyle name="?????  ??? 2 7 2" xfId="604"/>
    <cellStyle name="?????  ??? 2 7 3" xfId="605"/>
    <cellStyle name="?????  ??? 2 8" xfId="606"/>
    <cellStyle name="?????  ??? 2 8 2" xfId="607"/>
    <cellStyle name="?????  ??? 2 8 3" xfId="608"/>
    <cellStyle name="?????  ??? 2 9" xfId="609"/>
    <cellStyle name="?????  ??? 20" xfId="610"/>
    <cellStyle name="?????  ??? 20 2" xfId="611"/>
    <cellStyle name="?????  ??? 20 3" xfId="612"/>
    <cellStyle name="?????  ??? 20 4" xfId="613"/>
    <cellStyle name="?????  ??? 21" xfId="614"/>
    <cellStyle name="?????  ??? 21 2" xfId="615"/>
    <cellStyle name="?????  ??? 21 3" xfId="616"/>
    <cellStyle name="?????  ??? 21 4" xfId="617"/>
    <cellStyle name="?????  ??? 22" xfId="618"/>
    <cellStyle name="?????  ??? 22 2" xfId="619"/>
    <cellStyle name="?????  ??? 22 3" xfId="620"/>
    <cellStyle name="?????  ??? 23" xfId="621"/>
    <cellStyle name="?????  ??? 23 2" xfId="622"/>
    <cellStyle name="?????  ??? 23 3" xfId="623"/>
    <cellStyle name="?????  ??? 24" xfId="624"/>
    <cellStyle name="?????  ??? 24 2" xfId="625"/>
    <cellStyle name="?????  ??? 25" xfId="626"/>
    <cellStyle name="?????  ??? 25 2" xfId="627"/>
    <cellStyle name="?????  ??? 26" xfId="628"/>
    <cellStyle name="?????  ??? 26 2" xfId="629"/>
    <cellStyle name="?????  ??? 27" xfId="630"/>
    <cellStyle name="?????  ??? 27 2" xfId="631"/>
    <cellStyle name="?????  ??? 28" xfId="632"/>
    <cellStyle name="?????  ??? 28 2" xfId="633"/>
    <cellStyle name="?????  ??? 29" xfId="634"/>
    <cellStyle name="?????  ??? 29 2" xfId="635"/>
    <cellStyle name="?????  ??? 3" xfId="636"/>
    <cellStyle name="?????  ??? 3 2" xfId="637"/>
    <cellStyle name="?????  ??? 3 2 2" xfId="638"/>
    <cellStyle name="?????  ??? 3 2 2 2" xfId="639"/>
    <cellStyle name="?????  ??? 3 2 2 2 2" xfId="640"/>
    <cellStyle name="?????  ??? 3 2 2 2 3" xfId="641"/>
    <cellStyle name="?????  ??? 3 2 2 3" xfId="642"/>
    <cellStyle name="?????  ??? 3 2 2 3 2" xfId="643"/>
    <cellStyle name="?????  ??? 3 2 2 3 3" xfId="644"/>
    <cellStyle name="?????  ??? 3 2 2 4" xfId="645"/>
    <cellStyle name="?????  ??? 3 2 2 5" xfId="646"/>
    <cellStyle name="?????  ??? 3 2 3" xfId="647"/>
    <cellStyle name="?????  ??? 3 2 3 2" xfId="648"/>
    <cellStyle name="?????  ??? 3 2 3 3" xfId="649"/>
    <cellStyle name="?????  ??? 3 2 4" xfId="650"/>
    <cellStyle name="?????  ??? 3 2 4 2" xfId="651"/>
    <cellStyle name="?????  ??? 3 2 4 3" xfId="652"/>
    <cellStyle name="?????  ??? 3 2 5" xfId="653"/>
    <cellStyle name="?????  ??? 3 2 6" xfId="654"/>
    <cellStyle name="?????  ??? 3 2 7" xfId="655"/>
    <cellStyle name="?????  ??? 3 2 8" xfId="656"/>
    <cellStyle name="?????  ??? 3 2 9" xfId="657"/>
    <cellStyle name="?????  ??? 3 3" xfId="658"/>
    <cellStyle name="?????  ??? 3 3 2" xfId="659"/>
    <cellStyle name="?????  ??? 3 3 3" xfId="660"/>
    <cellStyle name="?????  ??? 3 3 4" xfId="661"/>
    <cellStyle name="?????  ??? 3 3 5" xfId="662"/>
    <cellStyle name="?????  ??? 3 3 6" xfId="663"/>
    <cellStyle name="?????  ??? 3 4" xfId="664"/>
    <cellStyle name="?????  ??? 3 5" xfId="665"/>
    <cellStyle name="?????  ??? 3 6" xfId="666"/>
    <cellStyle name="?????  ??? 3 7" xfId="667"/>
    <cellStyle name="?????  ??? 30" xfId="668"/>
    <cellStyle name="?????  ??? 31" xfId="669"/>
    <cellStyle name="?????  ??? 4" xfId="670"/>
    <cellStyle name="?????  ??? 4 2" xfId="671"/>
    <cellStyle name="?????  ??? 4 2 2" xfId="672"/>
    <cellStyle name="?????  ??? 4 2 2 2" xfId="673"/>
    <cellStyle name="?????  ??? 4 2 2 2 2" xfId="674"/>
    <cellStyle name="?????  ??? 4 2 2 2 3" xfId="675"/>
    <cellStyle name="?????  ??? 4 2 2 3" xfId="676"/>
    <cellStyle name="?????  ??? 4 2 2 3 2" xfId="677"/>
    <cellStyle name="?????  ??? 4 2 2 3 3" xfId="678"/>
    <cellStyle name="?????  ??? 4 2 2 4" xfId="679"/>
    <cellStyle name="?????  ??? 4 2 2 5" xfId="680"/>
    <cellStyle name="?????  ??? 4 2 3" xfId="681"/>
    <cellStyle name="?????  ??? 4 2 3 2" xfId="682"/>
    <cellStyle name="?????  ??? 4 2 3 3" xfId="683"/>
    <cellStyle name="?????  ??? 4 2 4" xfId="684"/>
    <cellStyle name="?????  ??? 4 2 4 2" xfId="685"/>
    <cellStyle name="?????  ??? 4 2 4 3" xfId="686"/>
    <cellStyle name="?????  ??? 4 2 5" xfId="687"/>
    <cellStyle name="?????  ??? 4 2 6" xfId="688"/>
    <cellStyle name="?????  ??? 4 2 7" xfId="689"/>
    <cellStyle name="?????  ??? 4 2 8" xfId="690"/>
    <cellStyle name="?????  ??? 4 2 9" xfId="691"/>
    <cellStyle name="?????  ??? 4 3" xfId="692"/>
    <cellStyle name="?????  ??? 4 3 2" xfId="693"/>
    <cellStyle name="?????  ??? 4 3 3" xfId="694"/>
    <cellStyle name="?????  ??? 4 3 4" xfId="695"/>
    <cellStyle name="?????  ??? 4 3 5" xfId="696"/>
    <cellStyle name="?????  ??? 4 3 6" xfId="697"/>
    <cellStyle name="?????  ??? 4 4" xfId="698"/>
    <cellStyle name="?????  ??? 4 5" xfId="699"/>
    <cellStyle name="?????  ??? 4 6" xfId="700"/>
    <cellStyle name="?????  ??? 4 7" xfId="701"/>
    <cellStyle name="?????  ??? 5" xfId="702"/>
    <cellStyle name="?????  ??? 5 2" xfId="703"/>
    <cellStyle name="?????  ??? 5 2 2" xfId="704"/>
    <cellStyle name="?????  ??? 5 2 2 2" xfId="705"/>
    <cellStyle name="?????  ??? 5 2 2 2 2" xfId="706"/>
    <cellStyle name="?????  ??? 5 2 2 2 3" xfId="707"/>
    <cellStyle name="?????  ??? 5 2 2 3" xfId="708"/>
    <cellStyle name="?????  ??? 5 2 2 3 2" xfId="709"/>
    <cellStyle name="?????  ??? 5 2 2 3 3" xfId="710"/>
    <cellStyle name="?????  ??? 5 2 2 4" xfId="711"/>
    <cellStyle name="?????  ??? 5 2 2 5" xfId="712"/>
    <cellStyle name="?????  ??? 5 2 3" xfId="713"/>
    <cellStyle name="?????  ??? 5 2 3 2" xfId="714"/>
    <cellStyle name="?????  ??? 5 2 3 3" xfId="715"/>
    <cellStyle name="?????  ??? 5 2 4" xfId="716"/>
    <cellStyle name="?????  ??? 5 2 4 2" xfId="717"/>
    <cellStyle name="?????  ??? 5 2 4 3" xfId="718"/>
    <cellStyle name="?????  ??? 5 2 5" xfId="719"/>
    <cellStyle name="?????  ??? 5 2 6" xfId="720"/>
    <cellStyle name="?????  ??? 5 2 7" xfId="721"/>
    <cellStyle name="?????  ??? 5 2 8" xfId="722"/>
    <cellStyle name="?????  ??? 5 2 9" xfId="723"/>
    <cellStyle name="?????  ??? 5 3" xfId="724"/>
    <cellStyle name="?????  ??? 5 3 2" xfId="725"/>
    <cellStyle name="?????  ??? 5 3 3" xfId="726"/>
    <cellStyle name="?????  ??? 5 3 4" xfId="727"/>
    <cellStyle name="?????  ??? 5 3 5" xfId="728"/>
    <cellStyle name="?????  ??? 5 3 6" xfId="729"/>
    <cellStyle name="?????  ??? 5 4" xfId="730"/>
    <cellStyle name="?????  ??? 5 5" xfId="731"/>
    <cellStyle name="?????  ??? 5 6" xfId="732"/>
    <cellStyle name="?????  ??? 5 7" xfId="733"/>
    <cellStyle name="?????  ??? 6" xfId="734"/>
    <cellStyle name="?????  ??? 6 2" xfId="735"/>
    <cellStyle name="?????  ??? 6 2 2" xfId="736"/>
    <cellStyle name="?????  ??? 6 2 2 2" xfId="737"/>
    <cellStyle name="?????  ??? 6 2 2 2 2" xfId="738"/>
    <cellStyle name="?????  ??? 6 2 2 2 3" xfId="739"/>
    <cellStyle name="?????  ??? 6 2 2 3" xfId="740"/>
    <cellStyle name="?????  ??? 6 2 2 3 2" xfId="741"/>
    <cellStyle name="?????  ??? 6 2 2 3 3" xfId="742"/>
    <cellStyle name="?????  ??? 6 2 2 4" xfId="743"/>
    <cellStyle name="?????  ??? 6 2 2 5" xfId="744"/>
    <cellStyle name="?????  ??? 6 2 3" xfId="745"/>
    <cellStyle name="?????  ??? 6 2 3 2" xfId="746"/>
    <cellStyle name="?????  ??? 6 2 3 3" xfId="747"/>
    <cellStyle name="?????  ??? 6 2 4" xfId="748"/>
    <cellStyle name="?????  ??? 6 2 4 2" xfId="749"/>
    <cellStyle name="?????  ??? 6 2 4 3" xfId="750"/>
    <cellStyle name="?????  ??? 6 2 5" xfId="751"/>
    <cellStyle name="?????  ??? 6 2 6" xfId="752"/>
    <cellStyle name="?????  ??? 6 2 7" xfId="753"/>
    <cellStyle name="?????  ??? 6 2 8" xfId="754"/>
    <cellStyle name="?????  ??? 6 2 9" xfId="755"/>
    <cellStyle name="?????  ??? 6 3" xfId="756"/>
    <cellStyle name="?????  ??? 6 3 2" xfId="757"/>
    <cellStyle name="?????  ??? 6 3 3" xfId="758"/>
    <cellStyle name="?????  ??? 6 3 4" xfId="759"/>
    <cellStyle name="?????  ??? 6 3 5" xfId="760"/>
    <cellStyle name="?????  ??? 6 3 6" xfId="761"/>
    <cellStyle name="?????  ??? 6 4" xfId="762"/>
    <cellStyle name="?????  ??? 6 5" xfId="763"/>
    <cellStyle name="?????  ??? 6 6" xfId="764"/>
    <cellStyle name="?????  ??? 6 7" xfId="765"/>
    <cellStyle name="?????  ??? 7" xfId="766"/>
    <cellStyle name="?????  ??? 7 2" xfId="767"/>
    <cellStyle name="?????  ??? 7 2 2" xfId="768"/>
    <cellStyle name="?????  ??? 7 2 2 2" xfId="769"/>
    <cellStyle name="?????  ??? 7 2 2 3" xfId="770"/>
    <cellStyle name="?????  ??? 7 2 3" xfId="771"/>
    <cellStyle name="?????  ??? 7 2 3 2" xfId="772"/>
    <cellStyle name="?????  ??? 7 2 3 3" xfId="773"/>
    <cellStyle name="?????  ??? 7 2 4" xfId="774"/>
    <cellStyle name="?????  ??? 7 2 5" xfId="775"/>
    <cellStyle name="?????  ??? 7 2 6" xfId="776"/>
    <cellStyle name="?????  ??? 7 2 7" xfId="777"/>
    <cellStyle name="?????  ??? 7 2 8" xfId="778"/>
    <cellStyle name="?????  ??? 7 3" xfId="779"/>
    <cellStyle name="?????  ??? 7 3 2" xfId="780"/>
    <cellStyle name="?????  ??? 7 3 3" xfId="781"/>
    <cellStyle name="?????  ??? 7 4" xfId="782"/>
    <cellStyle name="?????  ??? 7 5" xfId="783"/>
    <cellStyle name="?????  ??? 7 6" xfId="784"/>
    <cellStyle name="?????  ??? 7 7" xfId="785"/>
    <cellStyle name="?????  ??? 8" xfId="786"/>
    <cellStyle name="?????  ??? 8 2" xfId="787"/>
    <cellStyle name="?????  ??? 8 2 2" xfId="788"/>
    <cellStyle name="?????  ??? 8 2 2 2" xfId="789"/>
    <cellStyle name="?????  ??? 8 2 2 3" xfId="790"/>
    <cellStyle name="?????  ??? 8 2 3" xfId="791"/>
    <cellStyle name="?????  ??? 8 2 3 2" xfId="792"/>
    <cellStyle name="?????  ??? 8 2 3 3" xfId="793"/>
    <cellStyle name="?????  ??? 8 2 4" xfId="794"/>
    <cellStyle name="?????  ??? 8 2 5" xfId="795"/>
    <cellStyle name="?????  ??? 8 2 6" xfId="796"/>
    <cellStyle name="?????  ??? 8 3" xfId="797"/>
    <cellStyle name="?????  ??? 8 3 2" xfId="798"/>
    <cellStyle name="?????  ??? 8 3 3" xfId="799"/>
    <cellStyle name="?????  ??? 8 4" xfId="800"/>
    <cellStyle name="?????  ??? 8 5" xfId="801"/>
    <cellStyle name="?????  ??? 8 6" xfId="802"/>
    <cellStyle name="?????  ??? 8 7" xfId="803"/>
    <cellStyle name="?????  ??? 9" xfId="804"/>
    <cellStyle name="?????  ??? 9 2" xfId="805"/>
    <cellStyle name="?????  ??? 9 2 2" xfId="806"/>
    <cellStyle name="?????  ??? 9 2 2 2" xfId="807"/>
    <cellStyle name="?????  ??? 9 2 2 3" xfId="808"/>
    <cellStyle name="?????  ??? 9 2 3" xfId="809"/>
    <cellStyle name="?????  ??? 9 2 3 2" xfId="810"/>
    <cellStyle name="?????  ??? 9 2 3 3" xfId="811"/>
    <cellStyle name="?????  ??? 9 2 4" xfId="812"/>
    <cellStyle name="?????  ??? 9 2 5" xfId="813"/>
    <cellStyle name="?????  ??? 9 2 6" xfId="814"/>
    <cellStyle name="?????  ??? 9 3" xfId="815"/>
    <cellStyle name="?????  ??? 9 3 2" xfId="816"/>
    <cellStyle name="?????  ??? 9 3 3" xfId="817"/>
    <cellStyle name="?????  ??? 9 4" xfId="818"/>
    <cellStyle name="?????  ??? 9 4 2" xfId="819"/>
    <cellStyle name="?????  ??? 9 4 3" xfId="820"/>
    <cellStyle name="?????  ??? 9 5" xfId="821"/>
    <cellStyle name="?????  ??? 9 6" xfId="822"/>
    <cellStyle name="?????  ??? 9 7" xfId="823"/>
    <cellStyle name="?????  ??? 9 8" xfId="824"/>
    <cellStyle name="?????  ??? 9 9" xfId="825"/>
    <cellStyle name="?????  10" xfId="826"/>
    <cellStyle name="?????  11" xfId="827"/>
    <cellStyle name="?????  12" xfId="828"/>
    <cellStyle name="?????  12 2" xfId="829"/>
    <cellStyle name="?????  13" xfId="830"/>
    <cellStyle name="?????  13 2" xfId="831"/>
    <cellStyle name="?????  14" xfId="832"/>
    <cellStyle name="?????  14 2" xfId="833"/>
    <cellStyle name="?????  15" xfId="834"/>
    <cellStyle name="?????  16" xfId="835"/>
    <cellStyle name="?????  17" xfId="836"/>
    <cellStyle name="?????  18" xfId="837"/>
    <cellStyle name="?????  19" xfId="838"/>
    <cellStyle name="?????  2" xfId="839"/>
    <cellStyle name="?????  20" xfId="840"/>
    <cellStyle name="?????  21" xfId="841"/>
    <cellStyle name="?????  22" xfId="842"/>
    <cellStyle name="?????  23" xfId="843"/>
    <cellStyle name="?????  3" xfId="844"/>
    <cellStyle name="?????  3 2" xfId="845"/>
    <cellStyle name="?????  3 3" xfId="846"/>
    <cellStyle name="?????  4" xfId="847"/>
    <cellStyle name="?????  4 2" xfId="848"/>
    <cellStyle name="?????  4 3" xfId="849"/>
    <cellStyle name="?????  5" xfId="850"/>
    <cellStyle name="?????  5 2" xfId="851"/>
    <cellStyle name="?????  5 3" xfId="852"/>
    <cellStyle name="?????  6" xfId="853"/>
    <cellStyle name="?????  6 2" xfId="854"/>
    <cellStyle name="?????  6 3" xfId="855"/>
    <cellStyle name="?????  7" xfId="856"/>
    <cellStyle name="?????  8" xfId="857"/>
    <cellStyle name="?????  8 2" xfId="858"/>
    <cellStyle name="?????  9" xfId="859"/>
    <cellStyle name="????? ??" xfId="860"/>
    <cellStyle name="????? ?? 2" xfId="861"/>
    <cellStyle name="????? ?? 3" xfId="862"/>
    <cellStyle name="????? ?? 3 2" xfId="863"/>
    <cellStyle name="????? ?? 4" xfId="864"/>
    <cellStyle name="????? ???  tTex" xfId="865"/>
    <cellStyle name="????? ???  tTex 2" xfId="866"/>
    <cellStyle name="????? ???  tTex 3" xfId="867"/>
    <cellStyle name="????? ???  tTex 3 2" xfId="868"/>
    <cellStyle name="????? ???  tTex 4" xfId="869"/>
    <cellStyle name="????? ??? ??? x" xfId="870"/>
    <cellStyle name="????? ??? ??? x 2" xfId="871"/>
    <cellStyle name="????? ??? ??? x 3" xfId="872"/>
    <cellStyle name="????? ??? ??? x 3 2" xfId="873"/>
    <cellStyle name="????? ??? ??? x 4" xfId="874"/>
    <cellStyle name="????? ????" xfId="875"/>
    <cellStyle name="????? ???? 2" xfId="876"/>
    <cellStyle name="????? ???? 3" xfId="877"/>
    <cellStyle name="????? ???? 3 2" xfId="878"/>
    <cellStyle name="????? ???? 4" xfId="879"/>
    <cellStyle name="????? g Tex" xfId="880"/>
    <cellStyle name="????? g Tex 2" xfId="881"/>
    <cellStyle name="????? g Tex 3" xfId="882"/>
    <cellStyle name="????? g Tex 3 2" xfId="883"/>
    <cellStyle name="????? g Tex 4" xfId="884"/>
    <cellStyle name="??????" xfId="885"/>
    <cellStyle name="?????? ?" xfId="886"/>
    <cellStyle name="?????? ? 2" xfId="887"/>
    <cellStyle name="?????? ? 3" xfId="888"/>
    <cellStyle name="?????? ? 3 2" xfId="889"/>
    <cellStyle name="?????? ? 4" xfId="890"/>
    <cellStyle name="?????? ??? tTextt\" xfId="891"/>
    <cellStyle name="?????? ??? tTextt\ 2" xfId="892"/>
    <cellStyle name="?????? ??? tTextt\ 3" xfId="893"/>
    <cellStyle name="?????? ??? tTextt\ 3 2" xfId="894"/>
    <cellStyle name="?????? ??? tTextt\ 4" xfId="895"/>
    <cellStyle name="?????? ??? tTextt\ 5" xfId="896"/>
    <cellStyle name="?????? 1???? 6" xfId="897"/>
    <cellStyle name="?????? 1???? 6 2" xfId="898"/>
    <cellStyle name="?????? 1???? 6 3" xfId="899"/>
    <cellStyle name="?????? 1???? 6 3 2" xfId="900"/>
    <cellStyle name="?????? 1???? 6 4" xfId="901"/>
    <cellStyle name="?????? 10" xfId="902"/>
    <cellStyle name="?????? 11" xfId="903"/>
    <cellStyle name="?????? 12" xfId="904"/>
    <cellStyle name="?????? 12 2" xfId="905"/>
    <cellStyle name="?????? 13" xfId="906"/>
    <cellStyle name="?????? 13 2" xfId="907"/>
    <cellStyle name="?????? 14" xfId="908"/>
    <cellStyle name="?????? 14 2" xfId="909"/>
    <cellStyle name="?????? 15" xfId="910"/>
    <cellStyle name="?????? 16" xfId="911"/>
    <cellStyle name="?????? 17" xfId="912"/>
    <cellStyle name="?????? 18" xfId="913"/>
    <cellStyle name="?????? 19" xfId="914"/>
    <cellStyle name="?????? 2" xfId="915"/>
    <cellStyle name="?????? 2???? 6" xfId="916"/>
    <cellStyle name="?????? 2???? 6 2" xfId="917"/>
    <cellStyle name="?????? 2???? 6 3" xfId="918"/>
    <cellStyle name="?????? 2???? 6 3 2" xfId="919"/>
    <cellStyle name="?????? 2???? 6 4" xfId="920"/>
    <cellStyle name="?????? 20" xfId="921"/>
    <cellStyle name="?????? 21" xfId="922"/>
    <cellStyle name="?????? 22" xfId="923"/>
    <cellStyle name="?????? 23" xfId="924"/>
    <cellStyle name="?????? 3" xfId="925"/>
    <cellStyle name="?????? 3 2" xfId="926"/>
    <cellStyle name="?????? 3 3" xfId="927"/>
    <cellStyle name="?????? 3???? 6" xfId="928"/>
    <cellStyle name="?????? 3???? 6 2" xfId="929"/>
    <cellStyle name="?????? 3???? 6 3" xfId="930"/>
    <cellStyle name="?????? 3???? 6 3 2" xfId="931"/>
    <cellStyle name="?????? 3???? 6 4" xfId="932"/>
    <cellStyle name="?????? 4" xfId="933"/>
    <cellStyle name="?????? 4 2" xfId="934"/>
    <cellStyle name="?????? 4 3" xfId="935"/>
    <cellStyle name="?????? 4???? 6" xfId="936"/>
    <cellStyle name="?????? 4???? 6 2" xfId="937"/>
    <cellStyle name="?????? 4???? 6 3" xfId="938"/>
    <cellStyle name="?????? 4???? 6 3 2" xfId="939"/>
    <cellStyle name="?????? 4???? 6 4" xfId="940"/>
    <cellStyle name="?????? 5" xfId="941"/>
    <cellStyle name="?????? 5 2" xfId="942"/>
    <cellStyle name="?????? 5 3" xfId="943"/>
    <cellStyle name="?????? 5???? 6" xfId="944"/>
    <cellStyle name="?????? 5???? 6 2" xfId="945"/>
    <cellStyle name="?????? 5???? 6 3" xfId="946"/>
    <cellStyle name="?????? 5???? 6 3 2" xfId="947"/>
    <cellStyle name="?????? 5???? 6 4" xfId="948"/>
    <cellStyle name="?????? 6" xfId="949"/>
    <cellStyle name="?????? 6 2" xfId="950"/>
    <cellStyle name="?????? 6 3" xfId="951"/>
    <cellStyle name="?????? 6???? 6" xfId="952"/>
    <cellStyle name="?????? 6???? 6 2" xfId="953"/>
    <cellStyle name="?????? 6???? 6 3" xfId="954"/>
    <cellStyle name="?????? 6???? 6 3 2" xfId="955"/>
    <cellStyle name="?????? 6???? 6 4" xfId="956"/>
    <cellStyle name="?????? 7" xfId="957"/>
    <cellStyle name="?????? 8" xfId="958"/>
    <cellStyle name="?????? 8 2" xfId="959"/>
    <cellStyle name="?????? 9" xfId="960"/>
    <cellStyle name="??????? ?" xfId="961"/>
    <cellStyle name="??????? ? 2" xfId="962"/>
    <cellStyle name="??????? ? 3" xfId="963"/>
    <cellStyle name="??????? ? 3 2" xfId="964"/>
    <cellStyle name="??????? ? 4" xfId="965"/>
    <cellStyle name="??????? ??" xfId="966"/>
    <cellStyle name="??????? ?? 10" xfId="967"/>
    <cellStyle name="??????? ?? 11" xfId="968"/>
    <cellStyle name="??????? ?? 12" xfId="969"/>
    <cellStyle name="??????? ?? 13" xfId="970"/>
    <cellStyle name="??????? ?? 2" xfId="971"/>
    <cellStyle name="??????? ?? 2 10" xfId="972"/>
    <cellStyle name="??????? ?? 2 11" xfId="973"/>
    <cellStyle name="??????? ?? 2 2" xfId="974"/>
    <cellStyle name="??????? ?? 2 2 2" xfId="975"/>
    <cellStyle name="??????? ?? 2 2 2 2" xfId="976"/>
    <cellStyle name="??????? ?? 2 2 2 2 2" xfId="977"/>
    <cellStyle name="??????? ?? 2 2 2 2 3" xfId="978"/>
    <cellStyle name="??????? ?? 2 2 2 3" xfId="979"/>
    <cellStyle name="??????? ?? 2 2 2 3 2" xfId="980"/>
    <cellStyle name="??????? ?? 2 2 2 3 3" xfId="981"/>
    <cellStyle name="??????? ?? 2 2 2 4" xfId="982"/>
    <cellStyle name="??????? ?? 2 2 2 5" xfId="983"/>
    <cellStyle name="??????? ?? 2 2 2 6" xfId="984"/>
    <cellStyle name="??????? ?? 2 2 3" xfId="985"/>
    <cellStyle name="??????? ?? 2 2 3 2" xfId="986"/>
    <cellStyle name="??????? ?? 2 2 3 3" xfId="987"/>
    <cellStyle name="??????? ?? 2 2 4" xfId="988"/>
    <cellStyle name="??????? ?? 2 2 5" xfId="989"/>
    <cellStyle name="??????? ?? 2 2 6" xfId="990"/>
    <cellStyle name="??????? ?? 2 2 7" xfId="991"/>
    <cellStyle name="??????? ?? 2 3" xfId="992"/>
    <cellStyle name="??????? ?? 2 3 2" xfId="993"/>
    <cellStyle name="??????? ?? 2 3 2 2" xfId="994"/>
    <cellStyle name="??????? ?? 2 3 2 2 2" xfId="995"/>
    <cellStyle name="??????? ?? 2 3 2 2 3" xfId="996"/>
    <cellStyle name="??????? ?? 2 3 2 3" xfId="997"/>
    <cellStyle name="??????? ?? 2 3 2 3 2" xfId="998"/>
    <cellStyle name="??????? ?? 2 3 2 3 3" xfId="999"/>
    <cellStyle name="??????? ?? 2 3 2 4" xfId="1000"/>
    <cellStyle name="??????? ?? 2 3 2 5" xfId="1001"/>
    <cellStyle name="??????? ?? 2 3 2 6" xfId="1002"/>
    <cellStyle name="??????? ?? 2 3 3" xfId="1003"/>
    <cellStyle name="??????? ?? 2 3 3 2" xfId="1004"/>
    <cellStyle name="??????? ?? 2 3 3 3" xfId="1005"/>
    <cellStyle name="??????? ?? 2 3 4" xfId="1006"/>
    <cellStyle name="??????? ?? 2 3 4 2" xfId="1007"/>
    <cellStyle name="??????? ?? 2 3 4 3" xfId="1008"/>
    <cellStyle name="??????? ?? 2 3 5" xfId="1009"/>
    <cellStyle name="??????? ?? 2 3 6" xfId="1010"/>
    <cellStyle name="??????? ?? 2 3 7" xfId="1011"/>
    <cellStyle name="??????? ?? 2 3 8" xfId="1012"/>
    <cellStyle name="??????? ?? 2 3 9" xfId="1013"/>
    <cellStyle name="??????? ?? 2 4" xfId="1014"/>
    <cellStyle name="??????? ?? 2 4 2" xfId="1015"/>
    <cellStyle name="??????? ?? 2 4 3" xfId="1016"/>
    <cellStyle name="??????? ?? 2 4 4" xfId="1017"/>
    <cellStyle name="??????? ?? 2 4 5" xfId="1018"/>
    <cellStyle name="??????? ?? 2 4 6" xfId="1019"/>
    <cellStyle name="??????? ?? 2 5" xfId="1020"/>
    <cellStyle name="??????? ?? 2 5 2" xfId="1021"/>
    <cellStyle name="??????? ?? 2 5 3" xfId="1022"/>
    <cellStyle name="??????? ?? 2 5 4" xfId="1023"/>
    <cellStyle name="??????? ?? 2 6" xfId="1024"/>
    <cellStyle name="??????? ?? 2 6 2" xfId="1025"/>
    <cellStyle name="??????? ?? 2 6 3" xfId="1026"/>
    <cellStyle name="??????? ?? 2 7" xfId="1027"/>
    <cellStyle name="??????? ?? 2 7 2" xfId="1028"/>
    <cellStyle name="??????? ?? 2 7 3" xfId="1029"/>
    <cellStyle name="??????? ?? 2 8" xfId="1030"/>
    <cellStyle name="??????? ?? 2 8 2" xfId="1031"/>
    <cellStyle name="??????? ?? 2 8 3" xfId="1032"/>
    <cellStyle name="??????? ?? 2 9" xfId="1033"/>
    <cellStyle name="??????? ?? 3" xfId="1034"/>
    <cellStyle name="??????? ?? 3 2" xfId="1035"/>
    <cellStyle name="??????? ?? 3 2 2" xfId="1036"/>
    <cellStyle name="??????? ?? 3 2 2 2" xfId="1037"/>
    <cellStyle name="??????? ?? 3 2 2 2 2" xfId="1038"/>
    <cellStyle name="??????? ?? 3 2 2 2 3" xfId="1039"/>
    <cellStyle name="??????? ?? 3 2 2 3" xfId="1040"/>
    <cellStyle name="??????? ?? 3 2 2 3 2" xfId="1041"/>
    <cellStyle name="??????? ?? 3 2 2 3 3" xfId="1042"/>
    <cellStyle name="??????? ?? 3 2 2 4" xfId="1043"/>
    <cellStyle name="??????? ?? 3 2 2 5" xfId="1044"/>
    <cellStyle name="??????? ?? 3 2 3" xfId="1045"/>
    <cellStyle name="??????? ?? 3 2 3 2" xfId="1046"/>
    <cellStyle name="??????? ?? 3 2 3 3" xfId="1047"/>
    <cellStyle name="??????? ?? 3 2 4" xfId="1048"/>
    <cellStyle name="??????? ?? 3 2 4 2" xfId="1049"/>
    <cellStyle name="??????? ?? 3 2 4 3" xfId="1050"/>
    <cellStyle name="??????? ?? 3 2 5" xfId="1051"/>
    <cellStyle name="??????? ?? 3 2 6" xfId="1052"/>
    <cellStyle name="??????? ?? 3 2 7" xfId="1053"/>
    <cellStyle name="??????? ?? 3 2 8" xfId="1054"/>
    <cellStyle name="??????? ?? 3 2 9" xfId="1055"/>
    <cellStyle name="??????? ?? 3 3" xfId="1056"/>
    <cellStyle name="??????? ?? 3 3 2" xfId="1057"/>
    <cellStyle name="??????? ?? 3 3 3" xfId="1058"/>
    <cellStyle name="??????? ?? 3 3 4" xfId="1059"/>
    <cellStyle name="??????? ?? 3 3 5" xfId="1060"/>
    <cellStyle name="??????? ?? 3 3 6" xfId="1061"/>
    <cellStyle name="??????? ?? 3 4" xfId="1062"/>
    <cellStyle name="??????? ?? 3 5" xfId="1063"/>
    <cellStyle name="??????? ?? 3 6" xfId="1064"/>
    <cellStyle name="??????? ?? 3 7" xfId="1065"/>
    <cellStyle name="??????? ?? 4" xfId="1066"/>
    <cellStyle name="??????? ?? 4 2" xfId="1067"/>
    <cellStyle name="??????? ?? 4 2 2" xfId="1068"/>
    <cellStyle name="??????? ?? 4 2 2 2" xfId="1069"/>
    <cellStyle name="??????? ?? 4 2 2 2 2" xfId="1070"/>
    <cellStyle name="??????? ?? 4 2 2 2 3" xfId="1071"/>
    <cellStyle name="??????? ?? 4 2 2 3" xfId="1072"/>
    <cellStyle name="??????? ?? 4 2 2 3 2" xfId="1073"/>
    <cellStyle name="??????? ?? 4 2 2 3 3" xfId="1074"/>
    <cellStyle name="??????? ?? 4 2 2 4" xfId="1075"/>
    <cellStyle name="??????? ?? 4 2 2 5" xfId="1076"/>
    <cellStyle name="??????? ?? 4 2 3" xfId="1077"/>
    <cellStyle name="??????? ?? 4 2 3 2" xfId="1078"/>
    <cellStyle name="??????? ?? 4 2 3 3" xfId="1079"/>
    <cellStyle name="??????? ?? 4 2 4" xfId="1080"/>
    <cellStyle name="??????? ?? 4 2 4 2" xfId="1081"/>
    <cellStyle name="??????? ?? 4 2 4 3" xfId="1082"/>
    <cellStyle name="??????? ?? 4 2 5" xfId="1083"/>
    <cellStyle name="??????? ?? 4 2 6" xfId="1084"/>
    <cellStyle name="??????? ?? 4 2 7" xfId="1085"/>
    <cellStyle name="??????? ?? 4 3" xfId="1086"/>
    <cellStyle name="??????? ?? 4 3 2" xfId="1087"/>
    <cellStyle name="??????? ?? 4 3 3" xfId="1088"/>
    <cellStyle name="??????? ?? 4 4" xfId="1089"/>
    <cellStyle name="??????? ?? 4 5" xfId="1090"/>
    <cellStyle name="??????? ?? 4 6" xfId="1091"/>
    <cellStyle name="??????? ?? 4 7" xfId="1092"/>
    <cellStyle name="??????? ?? 5" xfId="1093"/>
    <cellStyle name="??????? ?? 5 2" xfId="1094"/>
    <cellStyle name="??????? ?? 5 2 2" xfId="1095"/>
    <cellStyle name="??????? ?? 5 3" xfId="1096"/>
    <cellStyle name="??????? ?? 5 4" xfId="1097"/>
    <cellStyle name="??????? ?? 5 5" xfId="1098"/>
    <cellStyle name="??????? ?? 5 6" xfId="1099"/>
    <cellStyle name="??????? ?? 6" xfId="1100"/>
    <cellStyle name="??????? ?? 6 2" xfId="1101"/>
    <cellStyle name="??????? ?? 6 3" xfId="1102"/>
    <cellStyle name="??????? ?? 6 4" xfId="1103"/>
    <cellStyle name="??????? ?? 6 5" xfId="1104"/>
    <cellStyle name="??????? ?? 7" xfId="1105"/>
    <cellStyle name="??????? ?? 7 2" xfId="1106"/>
    <cellStyle name="??????? ?? 7 3" xfId="1107"/>
    <cellStyle name="??????? ?? 7 4" xfId="1108"/>
    <cellStyle name="??????? ?? 8" xfId="1109"/>
    <cellStyle name="??????? ?? 8 2" xfId="1110"/>
    <cellStyle name="??????? ?? 8 3" xfId="1111"/>
    <cellStyle name="??????? ?? 9" xfId="1112"/>
    <cellStyle name="??????? ?? 9 2" xfId="1113"/>
    <cellStyle name="??????? ?? 9 3" xfId="1114"/>
    <cellStyle name="??????? ????? xtt\Shared" xfId="1115"/>
    <cellStyle name="??????? ????? xtt\Shared 2" xfId="1116"/>
    <cellStyle name="??????? ????? xtt\Shared 3" xfId="1117"/>
    <cellStyle name="??????? ????? xtt\Shared 3 2" xfId="1118"/>
    <cellStyle name="??????? ????? xtt\Shared 4" xfId="1119"/>
    <cellStyle name="?????????? tTextt\" xfId="1120"/>
    <cellStyle name="?????????? tTextt\ 2" xfId="1121"/>
    <cellStyle name="?????????? tTextt\ 3" xfId="1122"/>
    <cellStyle name="?????????? tTextt\ 3 2" xfId="1123"/>
    <cellStyle name="?????????? tTextt\ 4" xfId="1124"/>
    <cellStyle name="????????????? xtt\" xfId="1125"/>
    <cellStyle name="????????????? xtt\ 2" xfId="1126"/>
    <cellStyle name="????????????? xtt\ 3" xfId="1127"/>
    <cellStyle name="????????????? xtt\ 3 2" xfId="1128"/>
    <cellStyle name="????????????? xtt\ 4" xfId="1129"/>
    <cellStyle name="??????????¢ç¢®¢¯?? ????¢ç¢®¢¯?? ????????¢ç¢®¢¯?????????" xfId="1130"/>
    <cellStyle name="????????¢ç¢®¢¯?????????" xfId="1131"/>
    <cellStyle name="???????¢ç¢®¡¿?? ?¢ç¢®¡¿?? ?????¢ç¢®¡¿?????????" xfId="1132"/>
    <cellStyle name="???????¢ç¢®¢¯?¢ç¢®¡¿?_Template-ProdMarketing 1009" xfId="1133"/>
    <cellStyle name="?????¢ç¢®¡¿?????????" xfId="1134"/>
    <cellStyle name="?????1g Te" xfId="1135"/>
    <cellStyle name="?????1g Te 2" xfId="1136"/>
    <cellStyle name="?????1g Te 3" xfId="1137"/>
    <cellStyle name="?????1g Te 3 2" xfId="1138"/>
    <cellStyle name="?????1g Te 4" xfId="1139"/>
    <cellStyle name="?????2g Te" xfId="1140"/>
    <cellStyle name="?????2g Te 2" xfId="1141"/>
    <cellStyle name="?????2g Te 3" xfId="1142"/>
    <cellStyle name="?????2g Te 3 2" xfId="1143"/>
    <cellStyle name="?????2g Te 4" xfId="1144"/>
    <cellStyle name="?????3g Te" xfId="1145"/>
    <cellStyle name="?????3g Te 2" xfId="1146"/>
    <cellStyle name="?????3g Te 3" xfId="1147"/>
    <cellStyle name="?????3g Te 3 2" xfId="1148"/>
    <cellStyle name="?????3g Te 4" xfId="1149"/>
    <cellStyle name="?????4g Te" xfId="1150"/>
    <cellStyle name="?????4g Te 2" xfId="1151"/>
    <cellStyle name="?????4g Te 3" xfId="1152"/>
    <cellStyle name="?????4g Te 3 2" xfId="1153"/>
    <cellStyle name="?????4g Te 4" xfId="1154"/>
    <cellStyle name="?????ng Te" xfId="1155"/>
    <cellStyle name="?????ng Te 10" xfId="1156"/>
    <cellStyle name="?????ng Te 11" xfId="1157"/>
    <cellStyle name="?????ng Te 12" xfId="1158"/>
    <cellStyle name="?????ng Te 2" xfId="1159"/>
    <cellStyle name="?????ng Te 2 2" xfId="1160"/>
    <cellStyle name="?????ng Te 2 2 2" xfId="1161"/>
    <cellStyle name="?????ng Te 2 2 2 2" xfId="1162"/>
    <cellStyle name="?????ng Te 2 2 2 3" xfId="1163"/>
    <cellStyle name="?????ng Te 2 2 3" xfId="1164"/>
    <cellStyle name="?????ng Te 2 2 3 2" xfId="1165"/>
    <cellStyle name="?????ng Te 2 2 3 3" xfId="1166"/>
    <cellStyle name="?????ng Te 2 2 4" xfId="1167"/>
    <cellStyle name="?????ng Te 2 2 5" xfId="1168"/>
    <cellStyle name="?????ng Te 2 2 6" xfId="1169"/>
    <cellStyle name="?????ng Te 2 3" xfId="1170"/>
    <cellStyle name="?????ng Te 2 3 2" xfId="1171"/>
    <cellStyle name="?????ng Te 2 3 3" xfId="1172"/>
    <cellStyle name="?????ng Te 2 4" xfId="1173"/>
    <cellStyle name="?????ng Te 2 5" xfId="1174"/>
    <cellStyle name="?????ng Te 2 6" xfId="1175"/>
    <cellStyle name="?????ng Te 2 7" xfId="1176"/>
    <cellStyle name="?????ng Te 3" xfId="1177"/>
    <cellStyle name="?????ng Te 3 2" xfId="1178"/>
    <cellStyle name="?????ng Te 3 2 2" xfId="1179"/>
    <cellStyle name="?????ng Te 3 2 2 2" xfId="1180"/>
    <cellStyle name="?????ng Te 3 2 2 3" xfId="1181"/>
    <cellStyle name="?????ng Te 3 2 3" xfId="1182"/>
    <cellStyle name="?????ng Te 3 2 3 2" xfId="1183"/>
    <cellStyle name="?????ng Te 3 2 3 3" xfId="1184"/>
    <cellStyle name="?????ng Te 3 2 4" xfId="1185"/>
    <cellStyle name="?????ng Te 3 2 5" xfId="1186"/>
    <cellStyle name="?????ng Te 3 2 6" xfId="1187"/>
    <cellStyle name="?????ng Te 3 3" xfId="1188"/>
    <cellStyle name="?????ng Te 3 3 2" xfId="1189"/>
    <cellStyle name="?????ng Te 3 3 3" xfId="1190"/>
    <cellStyle name="?????ng Te 3 4" xfId="1191"/>
    <cellStyle name="?????ng Te 3 4 2" xfId="1192"/>
    <cellStyle name="?????ng Te 3 4 3" xfId="1193"/>
    <cellStyle name="?????ng Te 3 5" xfId="1194"/>
    <cellStyle name="?????ng Te 3 6" xfId="1195"/>
    <cellStyle name="?????ng Te 3 7" xfId="1196"/>
    <cellStyle name="?????ng Te 3 8" xfId="1197"/>
    <cellStyle name="?????ng Te 3 9" xfId="1198"/>
    <cellStyle name="?????ng Te 4" xfId="1199"/>
    <cellStyle name="?????ng Te 4 2" xfId="1200"/>
    <cellStyle name="?????ng Te 4 2 2" xfId="1201"/>
    <cellStyle name="?????ng Te 4 3" xfId="1202"/>
    <cellStyle name="?????ng Te 4 4" xfId="1203"/>
    <cellStyle name="?????ng Te 4 5" xfId="1204"/>
    <cellStyle name="?????ng Te 4 6" xfId="1205"/>
    <cellStyle name="?????ng Te 5" xfId="1206"/>
    <cellStyle name="?????ng Te 5 2" xfId="1207"/>
    <cellStyle name="?????ng Te 5 3" xfId="1208"/>
    <cellStyle name="?????ng Te 5 4" xfId="1209"/>
    <cellStyle name="?????ng Te 5 5" xfId="1210"/>
    <cellStyle name="?????ng Te 6" xfId="1211"/>
    <cellStyle name="?????ng Te 6 2" xfId="1212"/>
    <cellStyle name="?????ng Te 6 3" xfId="1213"/>
    <cellStyle name="?????ng Te 6 4" xfId="1214"/>
    <cellStyle name="?????ng Te 7" xfId="1215"/>
    <cellStyle name="?????ng Te 7 2" xfId="1216"/>
    <cellStyle name="?????ng Te 7 3" xfId="1217"/>
    <cellStyle name="?????ng Te 8" xfId="1218"/>
    <cellStyle name="?????ng Te 8 2" xfId="1219"/>
    <cellStyle name="?????ng Te 8 3" xfId="1220"/>
    <cellStyle name="?????ng Te 9" xfId="1221"/>
    <cellStyle name="????¡§¢®??????" xfId="1222"/>
    <cellStyle name="????¨¡?¢¬???" xfId="1223"/>
    <cellStyle name="????¢®¡×?¢ç??????" xfId="1224"/>
    <cellStyle name="????¢ç¢®¡¿¢®¡×?_2009 Opex Plan QD" xfId="1225"/>
    <cellStyle name="????2  ?" xfId="1226"/>
    <cellStyle name="????2  ? 2" xfId="1227"/>
    <cellStyle name="????2  ? 2 2" xfId="1228"/>
    <cellStyle name="????2  ? 3" xfId="1229"/>
    <cellStyle name="????2  ? 3 2" xfId="1230"/>
    <cellStyle name="????2  ? 3 3" xfId="1231"/>
    <cellStyle name="????2  ? 4" xfId="1232"/>
    <cellStyle name="????2  ? 4 2" xfId="1233"/>
    <cellStyle name="???[0]_CBALA11" xfId="1234"/>
    <cellStyle name="???_6sigma" xfId="1235"/>
    <cellStyle name="???¡§¨£_2009 Opex Plan QD" xfId="1236"/>
    <cellStyle name="???¨ª_2009 Opex Plan QD" xfId="1237"/>
    <cellStyle name="???¢®¡×¡§?_2009 Opex Plan QD" xfId="1238"/>
    <cellStyle name="???¢ç?¢®¡×?? ¢®¡×?? ????¢®¡×?¢ç??????" xfId="1239"/>
    <cellStyle name="???1ing" xfId="1240"/>
    <cellStyle name="???1ing 2" xfId="1241"/>
    <cellStyle name="???1ing 3" xfId="1242"/>
    <cellStyle name="???1ing 3 2" xfId="1243"/>
    <cellStyle name="???1ing 4" xfId="1244"/>
    <cellStyle name="???2ing" xfId="1245"/>
    <cellStyle name="???2ing 2" xfId="1246"/>
    <cellStyle name="???2ing 3" xfId="1247"/>
    <cellStyle name="???2ing 3 2" xfId="1248"/>
    <cellStyle name="???2ing 4" xfId="1249"/>
    <cellStyle name="???3ing" xfId="1250"/>
    <cellStyle name="???3ing 2" xfId="1251"/>
    <cellStyle name="???3ing 3" xfId="1252"/>
    <cellStyle name="???3ing 3 2" xfId="1253"/>
    <cellStyle name="???3ing 4" xfId="1254"/>
    <cellStyle name="???4ing" xfId="1255"/>
    <cellStyle name="???4ing 2" xfId="1256"/>
    <cellStyle name="???4ing 3" xfId="1257"/>
    <cellStyle name="???4ing 3 2" xfId="1258"/>
    <cellStyle name="???4ing 4" xfId="1259"/>
    <cellStyle name="???5ing" xfId="1260"/>
    <cellStyle name="???5ing 2" xfId="1261"/>
    <cellStyle name="???5ing 3" xfId="1262"/>
    <cellStyle name="???5ing 3 2" xfId="1263"/>
    <cellStyle name="???5ing 4" xfId="1264"/>
    <cellStyle name="???6ing" xfId="1265"/>
    <cellStyle name="???6ing 2" xfId="1266"/>
    <cellStyle name="???6ing 3" xfId="1267"/>
    <cellStyle name="???6ing 3 2" xfId="1268"/>
    <cellStyle name="???6ing 4" xfId="1269"/>
    <cellStyle name="??[0]_CBALA11" xfId="1270"/>
    <cellStyle name="??_?? 7,8,9?" xfId="1271"/>
    <cellStyle name="??¢®?¡§?? ¡§?? ????¡§¢®??????" xfId="1272"/>
    <cellStyle name="?ñ×_Revised MOR4" xfId="1273"/>
    <cellStyle name="] Width=797 Height=554  [Code] Code0=/nyf50 Code1=4500000136 Code2=ME23 Code3=4500002322 Code4=# Code5=MB01 " xfId="1274"/>
    <cellStyle name="] Width=797 Height=554  [Code] Code0=/nyf50 Code1=4500000136 Code2=ME23 Code3=4500002322 Code4=# Code5=MB01  2" xfId="1275"/>
    <cellStyle name="_~0039877" xfId="1276"/>
    <cellStyle name="_~0039877_BS_Separation_TaxResIndem_Q12412 tf" xfId="1277"/>
    <cellStyle name="_~0039877_BS_Separation_TaxResIndem_Q12412 tf_Guidance" xfId="1278"/>
    <cellStyle name="_~0039877_BS_Separation_TaxResIndem_Q12412 tf_Guidance 2" xfId="1279"/>
    <cellStyle name="_~0039877_BS_Separation_TaxResIndem_Q12412 tf_Guidance_BS retrieve" xfId="1280"/>
    <cellStyle name="_~0039877_BS_Separation_TaxResIndem_Q12412 tf_Guidance_Free CF" xfId="1281"/>
    <cellStyle name="_~0039877_BS_Separation_TaxResIndem_Q12412 tf_Guidance_P&amp;L Rec Qtr" xfId="1282"/>
    <cellStyle name="_~0039877_BS_Separation_TaxResIndem_Q12412 tf_Guidance_Sheet1" xfId="1283"/>
    <cellStyle name="_~0039877_BS_Separation_TaxResIndem_Q12412 tf_Guidance_Sheet2" xfId="1284"/>
    <cellStyle name="_~0039877_BS_Separation_TaxResIndem_Q12412 tf_Guidance_Sheet3" xfId="1285"/>
    <cellStyle name="_~0039877_BS_Separation_TaxResIndem_Q12412 tf_Guidance_Sheet4" xfId="1286"/>
    <cellStyle name="_~0039877_BS_Separation_TaxResIndem_Q12412 tf_II.7. Sep&amp;Discrete" xfId="1287"/>
    <cellStyle name="_~0039877_BS_Separation_TaxResIndem_Q12412 tf_II.7. Sep&amp;Discrete_Guidance" xfId="1288"/>
    <cellStyle name="_~0039877_BS_Separation_TaxResIndem_Q12412 tf_II.7. Sep&amp;Discrete_Guidance 2" xfId="1289"/>
    <cellStyle name="_~0039877_BS_Separation_TaxResIndem_Q12412 tf_II.7. Sep&amp;Discrete_Guidance_BS retrieve" xfId="1290"/>
    <cellStyle name="_~0039877_BS_Separation_TaxResIndem_Q12412 tf_II.7. Sep&amp;Discrete_Guidance_Free CF" xfId="1291"/>
    <cellStyle name="_~0039877_BS_Separation_TaxResIndem_Q12412 tf_II.7. Sep&amp;Discrete_Guidance_P&amp;L Rec Qtr" xfId="1292"/>
    <cellStyle name="_~0039877_BS_Separation_TaxResIndem_Q12412 tf_II.7. Sep&amp;Discrete_Guidance_Sheet1" xfId="1293"/>
    <cellStyle name="_~0039877_BS_Separation_TaxResIndem_Q12412 tf_II.7. Sep&amp;Discrete_Guidance_Sheet2" xfId="1294"/>
    <cellStyle name="_~0039877_BS_Separation_TaxResIndem_Q12412 tf_II.7. Sep&amp;Discrete_Guidance_Sheet3" xfId="1295"/>
    <cellStyle name="_~0039877_BS_Separation_TaxResIndem_Q12412 tf_II.7. Sep&amp;Discrete_Guidance_Sheet4" xfId="1296"/>
    <cellStyle name="_~0039877_BS_Separation_TaxResIndem_Q12412 tf_Restructuring &amp; Separation" xfId="1297"/>
    <cellStyle name="_~0039877_BS_Separation_TaxResIndem_Q12412 tf_Restructuring &amp; Separation_Guidance" xfId="1298"/>
    <cellStyle name="_~0039877_BS_Separation_TaxResIndem_Q12412 tf_Restructuring &amp; Separation_Guidance 2" xfId="1299"/>
    <cellStyle name="_~0039877_BS_Separation_TaxResIndem_Q12412 tf_Restructuring &amp; Separation_Guidance_BS retrieve" xfId="1300"/>
    <cellStyle name="_~0039877_BS_Separation_TaxResIndem_Q12412 tf_Restructuring &amp; Separation_Guidance_Free CF" xfId="1301"/>
    <cellStyle name="_~0039877_BS_Separation_TaxResIndem_Q12412 tf_Restructuring &amp; Separation_Guidance_P&amp;L Rec Qtr" xfId="1302"/>
    <cellStyle name="_~0039877_BS_Separation_TaxResIndem_Q12412 tf_Restructuring &amp; Separation_Guidance_Sheet1" xfId="1303"/>
    <cellStyle name="_~0039877_BS_Separation_TaxResIndem_Q12412 tf_Restructuring &amp; Separation_Guidance_Sheet2" xfId="1304"/>
    <cellStyle name="_~0039877_BS_Separation_TaxResIndem_Q12412 tf_Restructuring &amp; Separation_Guidance_Sheet3" xfId="1305"/>
    <cellStyle name="_~0039877_BS_Separation_TaxResIndem_Q12412 tf_Restructuring &amp; Separation_Guidance_Sheet4" xfId="1306"/>
    <cellStyle name="_~0039877_BS_Separation_TaxResIndem_Q12412 tf_Restructuring &amp; Separation_II.7. Sep&amp;Discrete" xfId="1307"/>
    <cellStyle name="_~0039877_BS_Separation_TaxResIndem_Q12412 tf_Restructuring &amp; Separation_II.7. Sep&amp;Discrete_Guidance" xfId="1308"/>
    <cellStyle name="_~0039877_BS_Separation_TaxResIndem_Q12412 tf_Restructuring &amp; Separation_II.7. Sep&amp;Discrete_Guidance 2" xfId="1309"/>
    <cellStyle name="_~0039877_BS_Separation_TaxResIndem_Q12412 tf_Restructuring &amp; Separation_II.7. Sep&amp;Discrete_Guidance_BS retrieve" xfId="1310"/>
    <cellStyle name="_~0039877_BS_Separation_TaxResIndem_Q12412 tf_Restructuring &amp; Separation_II.7. Sep&amp;Discrete_Guidance_Free CF" xfId="1311"/>
    <cellStyle name="_~0039877_BS_Separation_TaxResIndem_Q12412 tf_Restructuring &amp; Separation_II.7. Sep&amp;Discrete_Guidance_P&amp;L Rec Qtr" xfId="1312"/>
    <cellStyle name="_~0039877_BS_Separation_TaxResIndem_Q12412 tf_Restructuring &amp; Separation_II.7. Sep&amp;Discrete_Guidance_Sheet1" xfId="1313"/>
    <cellStyle name="_~0039877_BS_Separation_TaxResIndem_Q12412 tf_Restructuring &amp; Separation_II.7. Sep&amp;Discrete_Guidance_Sheet2" xfId="1314"/>
    <cellStyle name="_~0039877_BS_Separation_TaxResIndem_Q12412 tf_Restructuring &amp; Separation_II.7. Sep&amp;Discrete_Guidance_Sheet3" xfId="1315"/>
    <cellStyle name="_~0039877_BS_Separation_TaxResIndem_Q12412 tf_Restructuring &amp; Separation_II.7. Sep&amp;Discrete_Guidance_Sheet4" xfId="1316"/>
    <cellStyle name="_~0039877_By Country Detail 1Q10 041410pm FIN 18 revised per disc w Mary" xfId="1317"/>
    <cellStyle name="_~0039877_By Country Detail 1Q10 041410pm FIN 18 revised per disc w Mary_BS_Separation_TaxResIndem_Q12412 tf" xfId="1318"/>
    <cellStyle name="_~0039877_By Country Detail 1Q10 041410pm FIN 18 revised per disc w Mary_BS_Separation_TaxResIndem_Q12412 tf_Guidance" xfId="1319"/>
    <cellStyle name="_~0039877_By Country Detail 1Q10 041410pm FIN 18 revised per disc w Mary_BS_Separation_TaxResIndem_Q12412 tf_Guidance 2" xfId="1320"/>
    <cellStyle name="_~0039877_By Country Detail 1Q10 041410pm FIN 18 revised per disc w Mary_BS_Separation_TaxResIndem_Q12412 tf_Guidance_BS retrieve" xfId="1321"/>
    <cellStyle name="_~0039877_By Country Detail 1Q10 041410pm FIN 18 revised per disc w Mary_BS_Separation_TaxResIndem_Q12412 tf_Guidance_Free CF" xfId="1322"/>
    <cellStyle name="_~0039877_By Country Detail 1Q10 041410pm FIN 18 revised per disc w Mary_BS_Separation_TaxResIndem_Q12412 tf_Guidance_P&amp;L Rec Qtr" xfId="1323"/>
    <cellStyle name="_~0039877_By Country Detail 1Q10 041410pm FIN 18 revised per disc w Mary_BS_Separation_TaxResIndem_Q12412 tf_Guidance_Sheet1" xfId="1324"/>
    <cellStyle name="_~0039877_By Country Detail 1Q10 041410pm FIN 18 revised per disc w Mary_BS_Separation_TaxResIndem_Q12412 tf_Guidance_Sheet2" xfId="1325"/>
    <cellStyle name="_~0039877_By Country Detail 1Q10 041410pm FIN 18 revised per disc w Mary_BS_Separation_TaxResIndem_Q12412 tf_Guidance_Sheet3" xfId="1326"/>
    <cellStyle name="_~0039877_By Country Detail 1Q10 041410pm FIN 18 revised per disc w Mary_BS_Separation_TaxResIndem_Q12412 tf_Guidance_Sheet4" xfId="1327"/>
    <cellStyle name="_~0039877_By Country Detail 1Q10 041410pm FIN 18 revised per disc w Mary_BS_Separation_TaxResIndem_Q12412 tf_II.7. Sep&amp;Discrete" xfId="1328"/>
    <cellStyle name="_~0039877_By Country Detail 1Q10 041410pm FIN 18 revised per disc w Mary_BS_Separation_TaxResIndem_Q12412 tf_II.7. Sep&amp;Discrete_Guidance" xfId="1329"/>
    <cellStyle name="_~0039877_By Country Detail 1Q10 041410pm FIN 18 revised per disc w Mary_BS_Separation_TaxResIndem_Q12412 tf_II.7. Sep&amp;Discrete_Guidance 2" xfId="1330"/>
    <cellStyle name="_~0039877_By Country Detail 1Q10 041410pm FIN 18 revised per disc w Mary_BS_Separation_TaxResIndem_Q12412 tf_II.7. Sep&amp;Discrete_Guidance_BS retrieve" xfId="1331"/>
    <cellStyle name="_~0039877_By Country Detail 1Q10 041410pm FIN 18 revised per disc w Mary_BS_Separation_TaxResIndem_Q12412 tf_II.7. Sep&amp;Discrete_Guidance_Free CF" xfId="1332"/>
    <cellStyle name="_~0039877_By Country Detail 1Q10 041410pm FIN 18 revised per disc w Mary_BS_Separation_TaxResIndem_Q12412 tf_II.7. Sep&amp;Discrete_Guidance_P&amp;L Rec Qtr" xfId="1333"/>
    <cellStyle name="_~0039877_By Country Detail 1Q10 041410pm FIN 18 revised per disc w Mary_BS_Separation_TaxResIndem_Q12412 tf_II.7. Sep&amp;Discrete_Guidance_Sheet1" xfId="1334"/>
    <cellStyle name="_~0039877_By Country Detail 1Q10 041410pm FIN 18 revised per disc w Mary_BS_Separation_TaxResIndem_Q12412 tf_II.7. Sep&amp;Discrete_Guidance_Sheet2" xfId="1335"/>
    <cellStyle name="_~0039877_By Country Detail 1Q10 041410pm FIN 18 revised per disc w Mary_BS_Separation_TaxResIndem_Q12412 tf_II.7. Sep&amp;Discrete_Guidance_Sheet3" xfId="1336"/>
    <cellStyle name="_~0039877_By Country Detail 1Q10 041410pm FIN 18 revised per disc w Mary_BS_Separation_TaxResIndem_Q12412 tf_II.7. Sep&amp;Discrete_Guidance_Sheet4" xfId="1337"/>
    <cellStyle name="_~0039877_By Country Detail 1Q10 041410pm FIN 18 revised per disc w Mary_BS_Separation_TaxResIndem_Q12412 tf_Restructuring &amp; Separation" xfId="1338"/>
    <cellStyle name="_~0039877_By Country Detail 1Q10 041410pm FIN 18 revised per disc w Mary_BS_Separation_TaxResIndem_Q12412 tf_Restructuring &amp; Separation_Guidance" xfId="1339"/>
    <cellStyle name="_~0039877_By Country Detail 1Q10 041410pm FIN 18 revised per disc w Mary_BS_Separation_TaxResIndem_Q12412 tf_Restructuring &amp; Separation_Guidance 2" xfId="1340"/>
    <cellStyle name="_~0039877_By Country Detail 1Q10 041410pm FIN 18 revised per disc w Mary_BS_Separation_TaxResIndem_Q12412 tf_Restructuring &amp; Separation_Guidance_BS retrieve" xfId="1341"/>
    <cellStyle name="_~0039877_By Country Detail 1Q10 041410pm FIN 18 revised per disc w Mary_BS_Separation_TaxResIndem_Q12412 tf_Restructuring &amp; Separation_Guidance_Free CF" xfId="1342"/>
    <cellStyle name="_~0039877_By Country Detail 1Q10 041410pm FIN 18 revised per disc w Mary_BS_Separation_TaxResIndem_Q12412 tf_Restructuring &amp; Separation_Guidance_P&amp;L Rec Qtr" xfId="1343"/>
    <cellStyle name="_~0039877_By Country Detail 1Q10 041410pm FIN 18 revised per disc w Mary_BS_Separation_TaxResIndem_Q12412 tf_Restructuring &amp; Separation_Guidance_Sheet1" xfId="1344"/>
    <cellStyle name="_~0039877_By Country Detail 1Q10 041410pm FIN 18 revised per disc w Mary_BS_Separation_TaxResIndem_Q12412 tf_Restructuring &amp; Separation_Guidance_Sheet2" xfId="1345"/>
    <cellStyle name="_~0039877_By Country Detail 1Q10 041410pm FIN 18 revised per disc w Mary_BS_Separation_TaxResIndem_Q12412 tf_Restructuring &amp; Separation_Guidance_Sheet3" xfId="1346"/>
    <cellStyle name="_~0039877_By Country Detail 1Q10 041410pm FIN 18 revised per disc w Mary_BS_Separation_TaxResIndem_Q12412 tf_Restructuring &amp; Separation_Guidance_Sheet4" xfId="1347"/>
    <cellStyle name="_~0039877_By Country Detail 1Q10 041410pm FIN 18 revised per disc w Mary_BS_Separation_TaxResIndem_Q12412 tf_Restructuring &amp; Separation_II.7. Sep&amp;Discrete" xfId="1348"/>
    <cellStyle name="_~0039877_By Country Detail 1Q10 041410pm FIN 18 revised per disc w Mary_BS_Separation_TaxResIndem_Q12412 tf_Restructuring &amp; Separation_II.7. Sep&amp;Discrete_Guidance" xfId="1349"/>
    <cellStyle name="_~0039877_By Country Detail 1Q10 041410pm FIN 18 revised per disc w Mary_BS_Separation_TaxResIndem_Q12412 tf_Restructuring &amp; Separation_II.7. Sep&amp;Discrete_Guidance 2" xfId="1350"/>
    <cellStyle name="_~0039877_By Country Detail 1Q10 041410pm FIN 18 revised per disc w Mary_BS_Separation_TaxResIndem_Q12412 tf_Restructuring &amp; Separation_II.7. Sep&amp;Discrete_Guidance_BS retrieve" xfId="1351"/>
    <cellStyle name="_~0039877_By Country Detail 1Q10 041410pm FIN 18 revised per disc w Mary_BS_Separation_TaxResIndem_Q12412 tf_Restructuring &amp; Separation_II.7. Sep&amp;Discrete_Guidance_Free CF" xfId="1352"/>
    <cellStyle name="_~0039877_By Country Detail 1Q10 041410pm FIN 18 revised per disc w Mary_BS_Separation_TaxResIndem_Q12412 tf_Restructuring &amp; Separation_II.7. Sep&amp;Discrete_Guidance_P&amp;L Rec Qtr" xfId="1353"/>
    <cellStyle name="_~0039877_By Country Detail 1Q10 041410pm FIN 18 revised per disc w Mary_BS_Separation_TaxResIndem_Q12412 tf_Restructuring &amp; Separation_II.7. Sep&amp;Discrete_Guidance_Sheet1" xfId="1354"/>
    <cellStyle name="_~0039877_By Country Detail 1Q10 041410pm FIN 18 revised per disc w Mary_BS_Separation_TaxResIndem_Q12412 tf_Restructuring &amp; Separation_II.7. Sep&amp;Discrete_Guidance_Sheet2" xfId="1355"/>
    <cellStyle name="_~0039877_By Country Detail 1Q10 041410pm FIN 18 revised per disc w Mary_BS_Separation_TaxResIndem_Q12412 tf_Restructuring &amp; Separation_II.7. Sep&amp;Discrete_Guidance_Sheet3" xfId="1356"/>
    <cellStyle name="_~0039877_By Country Detail 1Q10 041410pm FIN 18 revised per disc w Mary_BS_Separation_TaxResIndem_Q12412 tf_Restructuring &amp; Separation_II.7. Sep&amp;Discrete_Guidance_Sheet4" xfId="1357"/>
    <cellStyle name="_~0039877_By Country Detail 1Q10 041410pm FIN 18 revised per disc w Mary_Guidance" xfId="1358"/>
    <cellStyle name="_~0039877_By Country Detail 1Q10 041410pm FIN 18 revised per disc w Mary_Guidance 2" xfId="1359"/>
    <cellStyle name="_~0039877_By Country Detail 1Q10 041410pm FIN 18 revised per disc w Mary_Guidance_BS retrieve" xfId="1360"/>
    <cellStyle name="_~0039877_By Country Detail 1Q10 041410pm FIN 18 revised per disc w Mary_Guidance_Free CF" xfId="1361"/>
    <cellStyle name="_~0039877_By Country Detail 1Q10 041410pm FIN 18 revised per disc w Mary_Guidance_P&amp;L Rec Qtr" xfId="1362"/>
    <cellStyle name="_~0039877_By Country Detail 1Q10 041410pm FIN 18 revised per disc w Mary_Guidance_Sheet1" xfId="1363"/>
    <cellStyle name="_~0039877_By Country Detail 1Q10 041410pm FIN 18 revised per disc w Mary_Guidance_Sheet2" xfId="1364"/>
    <cellStyle name="_~0039877_By Country Detail 1Q10 041410pm FIN 18 revised per disc w Mary_Guidance_Sheet3" xfId="1365"/>
    <cellStyle name="_~0039877_By Country Detail 1Q10 041410pm FIN 18 revised per disc w Mary_Guidance_Sheet4" xfId="1366"/>
    <cellStyle name="_~0039877_By Country Detail 1Q10 041410pm FIN 18 revised per disc w Mary_II.7. Sep&amp;Discrete" xfId="1367"/>
    <cellStyle name="_~0039877_By Country Detail 1Q10 041410pm FIN 18 revised per disc w Mary_II.7. Sep&amp;Discrete_Guidance" xfId="1368"/>
    <cellStyle name="_~0039877_By Country Detail 1Q10 041410pm FIN 18 revised per disc w Mary_II.7. Sep&amp;Discrete_Guidance 2" xfId="1369"/>
    <cellStyle name="_~0039877_By Country Detail 1Q10 041410pm FIN 18 revised per disc w Mary_II.7. Sep&amp;Discrete_Guidance_BS retrieve" xfId="1370"/>
    <cellStyle name="_~0039877_By Country Detail 1Q10 041410pm FIN 18 revised per disc w Mary_II.7. Sep&amp;Discrete_Guidance_Free CF" xfId="1371"/>
    <cellStyle name="_~0039877_By Country Detail 1Q10 041410pm FIN 18 revised per disc w Mary_II.7. Sep&amp;Discrete_Guidance_P&amp;L Rec Qtr" xfId="1372"/>
    <cellStyle name="_~0039877_By Country Detail 1Q10 041410pm FIN 18 revised per disc w Mary_II.7. Sep&amp;Discrete_Guidance_Sheet1" xfId="1373"/>
    <cellStyle name="_~0039877_By Country Detail 1Q10 041410pm FIN 18 revised per disc w Mary_II.7. Sep&amp;Discrete_Guidance_Sheet2" xfId="1374"/>
    <cellStyle name="_~0039877_By Country Detail 1Q10 041410pm FIN 18 revised per disc w Mary_II.7. Sep&amp;Discrete_Guidance_Sheet3" xfId="1375"/>
    <cellStyle name="_~0039877_By Country Detail 1Q10 041410pm FIN 18 revised per disc w Mary_II.7. Sep&amp;Discrete_Guidance_Sheet4" xfId="1376"/>
    <cellStyle name="_~0039877_By Country Detail 1Q10 041410pm FIN 18 revised per disc w Mary_II.8. Sep&amp;Discrete" xfId="1377"/>
    <cellStyle name="_~0039877_By Country Detail 1Q10 041410pm FIN 18 revised per disc w Mary_II.8. Sep&amp;Discrete_Guidance" xfId="1378"/>
    <cellStyle name="_~0039877_By Country Detail 1Q10 041410pm FIN 18 revised per disc w Mary_II.8. Sep&amp;Discrete_Guidance 2" xfId="1379"/>
    <cellStyle name="_~0039877_By Country Detail 1Q10 041410pm FIN 18 revised per disc w Mary_II.8. Sep&amp;Discrete_Guidance_BS retrieve" xfId="1380"/>
    <cellStyle name="_~0039877_By Country Detail 1Q10 041410pm FIN 18 revised per disc w Mary_II.8. Sep&amp;Discrete_Guidance_Free CF" xfId="1381"/>
    <cellStyle name="_~0039877_By Country Detail 1Q10 041410pm FIN 18 revised per disc w Mary_II.8. Sep&amp;Discrete_Guidance_P&amp;L Rec Qtr" xfId="1382"/>
    <cellStyle name="_~0039877_By Country Detail 1Q10 041410pm FIN 18 revised per disc w Mary_II.8. Sep&amp;Discrete_Guidance_Sheet1" xfId="1383"/>
    <cellStyle name="_~0039877_By Country Detail 1Q10 041410pm FIN 18 revised per disc w Mary_II.8. Sep&amp;Discrete_Guidance_Sheet2" xfId="1384"/>
    <cellStyle name="_~0039877_By Country Detail 1Q10 041410pm FIN 18 revised per disc w Mary_II.8. Sep&amp;Discrete_Guidance_Sheet3" xfId="1385"/>
    <cellStyle name="_~0039877_By Country Detail 1Q10 041410pm FIN 18 revised per disc w Mary_II.8. Sep&amp;Discrete_Guidance_Sheet4" xfId="1386"/>
    <cellStyle name="_~0039877_By Country Detail 1Q10 041410pm FIN 18 revised per disc w Mary_Restructuring &amp; Separation" xfId="1387"/>
    <cellStyle name="_~0039877_By Country Detail 1Q10 041410pm FIN 18 revised per disc w Mary_Restructuring &amp; Separation_Guidance" xfId="1388"/>
    <cellStyle name="_~0039877_By Country Detail 1Q10 041410pm FIN 18 revised per disc w Mary_Restructuring &amp; Separation_Guidance 2" xfId="1389"/>
    <cellStyle name="_~0039877_By Country Detail 1Q10 041410pm FIN 18 revised per disc w Mary_Restructuring &amp; Separation_Guidance_BS retrieve" xfId="1390"/>
    <cellStyle name="_~0039877_By Country Detail 1Q10 041410pm FIN 18 revised per disc w Mary_Restructuring &amp; Separation_Guidance_Free CF" xfId="1391"/>
    <cellStyle name="_~0039877_By Country Detail 1Q10 041410pm FIN 18 revised per disc w Mary_Restructuring &amp; Separation_Guidance_P&amp;L Rec Qtr" xfId="1392"/>
    <cellStyle name="_~0039877_By Country Detail 1Q10 041410pm FIN 18 revised per disc w Mary_Restructuring &amp; Separation_Guidance_Sheet1" xfId="1393"/>
    <cellStyle name="_~0039877_By Country Detail 1Q10 041410pm FIN 18 revised per disc w Mary_Restructuring &amp; Separation_Guidance_Sheet2" xfId="1394"/>
    <cellStyle name="_~0039877_By Country Detail 1Q10 041410pm FIN 18 revised per disc w Mary_Restructuring &amp; Separation_Guidance_Sheet3" xfId="1395"/>
    <cellStyle name="_~0039877_By Country Detail 1Q10 041410pm FIN 18 revised per disc w Mary_Restructuring &amp; Separation_Guidance_Sheet4" xfId="1396"/>
    <cellStyle name="_~0039877_By Country Detail 1Q10 041410pm FIN 18 revised per disc w Mary_Restructuring &amp; Separation_II.7. Sep&amp;Discrete" xfId="1397"/>
    <cellStyle name="_~0039877_By Country Detail 1Q10 041410pm FIN 18 revised per disc w Mary_Restructuring &amp; Separation_II.7. Sep&amp;Discrete_Guidance" xfId="1398"/>
    <cellStyle name="_~0039877_By Country Detail 1Q10 041410pm FIN 18 revised per disc w Mary_Restructuring &amp; Separation_II.7. Sep&amp;Discrete_Guidance 2" xfId="1399"/>
    <cellStyle name="_~0039877_By Country Detail 1Q10 041410pm FIN 18 revised per disc w Mary_Restructuring &amp; Separation_II.7. Sep&amp;Discrete_Guidance_BS retrieve" xfId="1400"/>
    <cellStyle name="_~0039877_By Country Detail 1Q10 041410pm FIN 18 revised per disc w Mary_Restructuring &amp; Separation_II.7. Sep&amp;Discrete_Guidance_Free CF" xfId="1401"/>
    <cellStyle name="_~0039877_By Country Detail 1Q10 041410pm FIN 18 revised per disc w Mary_Restructuring &amp; Separation_II.7. Sep&amp;Discrete_Guidance_P&amp;L Rec Qtr" xfId="1402"/>
    <cellStyle name="_~0039877_By Country Detail 1Q10 041410pm FIN 18 revised per disc w Mary_Restructuring &amp; Separation_II.7. Sep&amp;Discrete_Guidance_Sheet1" xfId="1403"/>
    <cellStyle name="_~0039877_By Country Detail 1Q10 041410pm FIN 18 revised per disc w Mary_Restructuring &amp; Separation_II.7. Sep&amp;Discrete_Guidance_Sheet2" xfId="1404"/>
    <cellStyle name="_~0039877_By Country Detail 1Q10 041410pm FIN 18 revised per disc w Mary_Restructuring &amp; Separation_II.7. Sep&amp;Discrete_Guidance_Sheet3" xfId="1405"/>
    <cellStyle name="_~0039877_By Country Detail 1Q10 041410pm FIN 18 revised per disc w Mary_Restructuring &amp; Separation_II.7. Sep&amp;Discrete_Guidance_Sheet4" xfId="1406"/>
    <cellStyle name="_~0039877_Guidance" xfId="1407"/>
    <cellStyle name="_~0039877_Guidance 2" xfId="1408"/>
    <cellStyle name="_~0039877_Guidance_BS retrieve" xfId="1409"/>
    <cellStyle name="_~0039877_Guidance_Free CF" xfId="1410"/>
    <cellStyle name="_~0039877_Guidance_P&amp;L Rec Qtr" xfId="1411"/>
    <cellStyle name="_~0039877_Guidance_Sheet1" xfId="1412"/>
    <cellStyle name="_~0039877_Guidance_Sheet2" xfId="1413"/>
    <cellStyle name="_~0039877_Guidance_Sheet3" xfId="1414"/>
    <cellStyle name="_~0039877_Guidance_Sheet4" xfId="1415"/>
    <cellStyle name="_~0039877_II.4. RawMaterials" xfId="1416"/>
    <cellStyle name="_~0039877_II.4. RawMaterials 2" xfId="1417"/>
    <cellStyle name="_~0039877_II.4. RawMaterials_BS retrieve" xfId="1418"/>
    <cellStyle name="_~0039877_II.4. RawMaterials_Free CF" xfId="1419"/>
    <cellStyle name="_~0039877_II.4. RawMaterials_P&amp;L Rec Qtr" xfId="1420"/>
    <cellStyle name="_~0039877_II.4. RawMaterials_Sheet1" xfId="1421"/>
    <cellStyle name="_~0039877_II.4. RawMaterials_Sheet2" xfId="1422"/>
    <cellStyle name="_~0039877_II.4. RawMaterials_Sheet3" xfId="1423"/>
    <cellStyle name="_~0039877_II.4. RawMaterials_Sheet4" xfId="1424"/>
    <cellStyle name="_~0039877_II.5. RawMaterials" xfId="1425"/>
    <cellStyle name="_~0039877_II.5. RawMaterials 2" xfId="1426"/>
    <cellStyle name="_~0039877_II.5. RawMaterials_BS retrieve" xfId="1427"/>
    <cellStyle name="_~0039877_II.5. RawMaterials_Free CF" xfId="1428"/>
    <cellStyle name="_~0039877_II.5. RawMaterials_Guidance" xfId="1429"/>
    <cellStyle name="_~0039877_II.5. RawMaterials_Guidance 2" xfId="1430"/>
    <cellStyle name="_~0039877_II.5. RawMaterials_Guidance_BS retrieve" xfId="1431"/>
    <cellStyle name="_~0039877_II.5. RawMaterials_Guidance_Free CF" xfId="1432"/>
    <cellStyle name="_~0039877_II.5. RawMaterials_Guidance_P&amp;L Rec Qtr" xfId="1433"/>
    <cellStyle name="_~0039877_II.5. RawMaterials_Guidance_Sheet1" xfId="1434"/>
    <cellStyle name="_~0039877_II.5. RawMaterials_Guidance_Sheet2" xfId="1435"/>
    <cellStyle name="_~0039877_II.5. RawMaterials_Guidance_Sheet3" xfId="1436"/>
    <cellStyle name="_~0039877_II.5. RawMaterials_Guidance_Sheet4" xfId="1437"/>
    <cellStyle name="_~0039877_II.5. RawMaterials_P&amp;L Rec Qtr" xfId="1438"/>
    <cellStyle name="_~0039877_II.5. RawMaterials_Sheet1" xfId="1439"/>
    <cellStyle name="_~0039877_II.5. RawMaterials_Sheet2" xfId="1440"/>
    <cellStyle name="_~0039877_II.5. RawMaterials_Sheet3" xfId="1441"/>
    <cellStyle name="_~0039877_II.5. RawMaterials_Sheet4" xfId="1442"/>
    <cellStyle name="_~0039877_II.5. RM Volume Sensitivities" xfId="1443"/>
    <cellStyle name="_~0039877_II.5. RM Volume Sensitivities 2" xfId="1444"/>
    <cellStyle name="_~0039877_II.5. RM Volume Sensitivities_BS retrieve" xfId="1445"/>
    <cellStyle name="_~0039877_II.5. RM Volume Sensitivities_Free CF" xfId="1446"/>
    <cellStyle name="_~0039877_II.5. RM Volume Sensitivities_P&amp;L Rec Qtr" xfId="1447"/>
    <cellStyle name="_~0039877_II.5. RM Volume Sensitivities_Sheet1" xfId="1448"/>
    <cellStyle name="_~0039877_II.5. RM Volume Sensitivities_Sheet2" xfId="1449"/>
    <cellStyle name="_~0039877_II.5. RM Volume Sensitivities_Sheet3" xfId="1450"/>
    <cellStyle name="_~0039877_II.5. RM Volume Sensitivities_Sheet4" xfId="1451"/>
    <cellStyle name="_~0039877_II.7. Sep&amp;Discrete" xfId="1452"/>
    <cellStyle name="_~0039877_II.7. Sep&amp;Discrete_Guidance" xfId="1453"/>
    <cellStyle name="_~0039877_II.7. Sep&amp;Discrete_Guidance 2" xfId="1454"/>
    <cellStyle name="_~0039877_II.7. Sep&amp;Discrete_Guidance_BS retrieve" xfId="1455"/>
    <cellStyle name="_~0039877_II.7. Sep&amp;Discrete_Guidance_Free CF" xfId="1456"/>
    <cellStyle name="_~0039877_II.7. Sep&amp;Discrete_Guidance_P&amp;L Rec Qtr" xfId="1457"/>
    <cellStyle name="_~0039877_II.7. Sep&amp;Discrete_Guidance_Sheet1" xfId="1458"/>
    <cellStyle name="_~0039877_II.7. Sep&amp;Discrete_Guidance_Sheet2" xfId="1459"/>
    <cellStyle name="_~0039877_II.7. Sep&amp;Discrete_Guidance_Sheet3" xfId="1460"/>
    <cellStyle name="_~0039877_II.7. Sep&amp;Discrete_Guidance_Sheet4" xfId="1461"/>
    <cellStyle name="_~0039877_II.8. Sep&amp;Discrete" xfId="1462"/>
    <cellStyle name="_~0039877_II.8. Sep&amp;Discrete_Guidance" xfId="1463"/>
    <cellStyle name="_~0039877_II.8. Sep&amp;Discrete_Guidance 2" xfId="1464"/>
    <cellStyle name="_~0039877_II.8. Sep&amp;Discrete_Guidance_BS retrieve" xfId="1465"/>
    <cellStyle name="_~0039877_II.8. Sep&amp;Discrete_Guidance_Free CF" xfId="1466"/>
    <cellStyle name="_~0039877_II.8. Sep&amp;Discrete_Guidance_P&amp;L Rec Qtr" xfId="1467"/>
    <cellStyle name="_~0039877_II.8. Sep&amp;Discrete_Guidance_Sheet1" xfId="1468"/>
    <cellStyle name="_~0039877_II.8. Sep&amp;Discrete_Guidance_Sheet2" xfId="1469"/>
    <cellStyle name="_~0039877_II.8. Sep&amp;Discrete_Guidance_Sheet3" xfId="1470"/>
    <cellStyle name="_~0039877_II.8. Sep&amp;Discrete_Guidance_Sheet4" xfId="1471"/>
    <cellStyle name="_~0039877_Restructuring &amp; Separation" xfId="1472"/>
    <cellStyle name="_~0039877_Restructuring &amp; Separation_Guidance" xfId="1473"/>
    <cellStyle name="_~0039877_Restructuring &amp; Separation_Guidance 2" xfId="1474"/>
    <cellStyle name="_~0039877_Restructuring &amp; Separation_Guidance_BS retrieve" xfId="1475"/>
    <cellStyle name="_~0039877_Restructuring &amp; Separation_Guidance_Free CF" xfId="1476"/>
    <cellStyle name="_~0039877_Restructuring &amp; Separation_Guidance_P&amp;L Rec Qtr" xfId="1477"/>
    <cellStyle name="_~0039877_Restructuring &amp; Separation_Guidance_Sheet1" xfId="1478"/>
    <cellStyle name="_~0039877_Restructuring &amp; Separation_Guidance_Sheet2" xfId="1479"/>
    <cellStyle name="_~0039877_Restructuring &amp; Separation_Guidance_Sheet3" xfId="1480"/>
    <cellStyle name="_~0039877_Restructuring &amp; Separation_Guidance_Sheet4" xfId="1481"/>
    <cellStyle name="_~0039877_Restructuring &amp; Separation_II.7. Sep&amp;Discrete" xfId="1482"/>
    <cellStyle name="_~0039877_Restructuring &amp; Separation_II.7. Sep&amp;Discrete_Guidance" xfId="1483"/>
    <cellStyle name="_~0039877_Restructuring &amp; Separation_II.7. Sep&amp;Discrete_Guidance 2" xfId="1484"/>
    <cellStyle name="_~0039877_Restructuring &amp; Separation_II.7. Sep&amp;Discrete_Guidance_BS retrieve" xfId="1485"/>
    <cellStyle name="_~0039877_Restructuring &amp; Separation_II.7. Sep&amp;Discrete_Guidance_Free CF" xfId="1486"/>
    <cellStyle name="_~0039877_Restructuring &amp; Separation_II.7. Sep&amp;Discrete_Guidance_P&amp;L Rec Qtr" xfId="1487"/>
    <cellStyle name="_~0039877_Restructuring &amp; Separation_II.7. Sep&amp;Discrete_Guidance_Sheet1" xfId="1488"/>
    <cellStyle name="_~0039877_Restructuring &amp; Separation_II.7. Sep&amp;Discrete_Guidance_Sheet2" xfId="1489"/>
    <cellStyle name="_~0039877_Restructuring &amp; Separation_II.7. Sep&amp;Discrete_Guidance_Sheet3" xfId="1490"/>
    <cellStyle name="_~0039877_Restructuring &amp; Separation_II.7. Sep&amp;Discrete_Guidance_Sheet4" xfId="1491"/>
    <cellStyle name="_~0039877_Restructuring_Separation_TAX_JuneFC2010 tf" xfId="1492"/>
    <cellStyle name="_~0039877_Restructuring_Separation_TAX_JuneFC2010 tf_BS_Separation_TaxResIndem_Q12412 tf" xfId="1493"/>
    <cellStyle name="_~0039877_Restructuring_Separation_TAX_JuneFC2010 tf_BS_Separation_TaxResIndem_Q12412 tf_Guidance" xfId="1494"/>
    <cellStyle name="_~0039877_Restructuring_Separation_TAX_JuneFC2010 tf_BS_Separation_TaxResIndem_Q12412 tf_Guidance 2" xfId="1495"/>
    <cellStyle name="_~0039877_Restructuring_Separation_TAX_JuneFC2010 tf_BS_Separation_TaxResIndem_Q12412 tf_Guidance_BS retrieve" xfId="1496"/>
    <cellStyle name="_~0039877_Restructuring_Separation_TAX_JuneFC2010 tf_BS_Separation_TaxResIndem_Q12412 tf_Guidance_Free CF" xfId="1497"/>
    <cellStyle name="_~0039877_Restructuring_Separation_TAX_JuneFC2010 tf_BS_Separation_TaxResIndem_Q12412 tf_Guidance_P&amp;L Rec Qtr" xfId="1498"/>
    <cellStyle name="_~0039877_Restructuring_Separation_TAX_JuneFC2010 tf_BS_Separation_TaxResIndem_Q12412 tf_Guidance_Sheet1" xfId="1499"/>
    <cellStyle name="_~0039877_Restructuring_Separation_TAX_JuneFC2010 tf_BS_Separation_TaxResIndem_Q12412 tf_Guidance_Sheet2" xfId="1500"/>
    <cellStyle name="_~0039877_Restructuring_Separation_TAX_JuneFC2010 tf_BS_Separation_TaxResIndem_Q12412 tf_Guidance_Sheet3" xfId="1501"/>
    <cellStyle name="_~0039877_Restructuring_Separation_TAX_JuneFC2010 tf_BS_Separation_TaxResIndem_Q12412 tf_Guidance_Sheet4" xfId="1502"/>
    <cellStyle name="_~0039877_Restructuring_Separation_TAX_JuneFC2010 tf_BS_Separation_TaxResIndem_Q12412 tf_II.7. Sep&amp;Discrete" xfId="1503"/>
    <cellStyle name="_~0039877_Restructuring_Separation_TAX_JuneFC2010 tf_BS_Separation_TaxResIndem_Q12412 tf_II.7. Sep&amp;Discrete_Guidance" xfId="1504"/>
    <cellStyle name="_~0039877_Restructuring_Separation_TAX_JuneFC2010 tf_BS_Separation_TaxResIndem_Q12412 tf_II.7. Sep&amp;Discrete_Guidance 2" xfId="1505"/>
    <cellStyle name="_~0039877_Restructuring_Separation_TAX_JuneFC2010 tf_BS_Separation_TaxResIndem_Q12412 tf_II.7. Sep&amp;Discrete_Guidance_BS retrieve" xfId="1506"/>
    <cellStyle name="_~0039877_Restructuring_Separation_TAX_JuneFC2010 tf_BS_Separation_TaxResIndem_Q12412 tf_II.7. Sep&amp;Discrete_Guidance_Free CF" xfId="1507"/>
    <cellStyle name="_~0039877_Restructuring_Separation_TAX_JuneFC2010 tf_BS_Separation_TaxResIndem_Q12412 tf_II.7. Sep&amp;Discrete_Guidance_P&amp;L Rec Qtr" xfId="1508"/>
    <cellStyle name="_~0039877_Restructuring_Separation_TAX_JuneFC2010 tf_BS_Separation_TaxResIndem_Q12412 tf_II.7. Sep&amp;Discrete_Guidance_Sheet1" xfId="1509"/>
    <cellStyle name="_~0039877_Restructuring_Separation_TAX_JuneFC2010 tf_BS_Separation_TaxResIndem_Q12412 tf_II.7. Sep&amp;Discrete_Guidance_Sheet2" xfId="1510"/>
    <cellStyle name="_~0039877_Restructuring_Separation_TAX_JuneFC2010 tf_BS_Separation_TaxResIndem_Q12412 tf_II.7. Sep&amp;Discrete_Guidance_Sheet3" xfId="1511"/>
    <cellStyle name="_~0039877_Restructuring_Separation_TAX_JuneFC2010 tf_BS_Separation_TaxResIndem_Q12412 tf_II.7. Sep&amp;Discrete_Guidance_Sheet4" xfId="1512"/>
    <cellStyle name="_~0039877_Restructuring_Separation_TAX_JuneFC2010 tf_BS_Separation_TaxResIndem_Q12412 tf_Restructuring &amp; Separation" xfId="1513"/>
    <cellStyle name="_~0039877_Restructuring_Separation_TAX_JuneFC2010 tf_BS_Separation_TaxResIndem_Q12412 tf_Restructuring &amp; Separation_Guidance" xfId="1514"/>
    <cellStyle name="_~0039877_Restructuring_Separation_TAX_JuneFC2010 tf_BS_Separation_TaxResIndem_Q12412 tf_Restructuring &amp; Separation_Guidance 2" xfId="1515"/>
    <cellStyle name="_~0039877_Restructuring_Separation_TAX_JuneFC2010 tf_BS_Separation_TaxResIndem_Q12412 tf_Restructuring &amp; Separation_Guidance_BS retrieve" xfId="1516"/>
    <cellStyle name="_~0039877_Restructuring_Separation_TAX_JuneFC2010 tf_BS_Separation_TaxResIndem_Q12412 tf_Restructuring &amp; Separation_Guidance_Free CF" xfId="1517"/>
    <cellStyle name="_~0039877_Restructuring_Separation_TAX_JuneFC2010 tf_BS_Separation_TaxResIndem_Q12412 tf_Restructuring &amp; Separation_Guidance_P&amp;L Rec Qtr" xfId="1518"/>
    <cellStyle name="_~0039877_Restructuring_Separation_TAX_JuneFC2010 tf_BS_Separation_TaxResIndem_Q12412 tf_Restructuring &amp; Separation_Guidance_Sheet1" xfId="1519"/>
    <cellStyle name="_~0039877_Restructuring_Separation_TAX_JuneFC2010 tf_BS_Separation_TaxResIndem_Q12412 tf_Restructuring &amp; Separation_Guidance_Sheet2" xfId="1520"/>
    <cellStyle name="_~0039877_Restructuring_Separation_TAX_JuneFC2010 tf_BS_Separation_TaxResIndem_Q12412 tf_Restructuring &amp; Separation_Guidance_Sheet3" xfId="1521"/>
    <cellStyle name="_~0039877_Restructuring_Separation_TAX_JuneFC2010 tf_BS_Separation_TaxResIndem_Q12412 tf_Restructuring &amp; Separation_Guidance_Sheet4" xfId="1522"/>
    <cellStyle name="_~0039877_Restructuring_Separation_TAX_JuneFC2010 tf_BS_Separation_TaxResIndem_Q12412 tf_Restructuring &amp; Separation_II.7. Sep&amp;Discrete" xfId="1523"/>
    <cellStyle name="_~0039877_Restructuring_Separation_TAX_JuneFC2010 tf_BS_Separation_TaxResIndem_Q12412 tf_Restructuring &amp; Separation_II.7. Sep&amp;Discrete_Guidance" xfId="1524"/>
    <cellStyle name="_~0039877_Restructuring_Separation_TAX_JuneFC2010 tf_BS_Separation_TaxResIndem_Q12412 tf_Restructuring &amp; Separation_II.7. Sep&amp;Discrete_Guidance 2" xfId="1525"/>
    <cellStyle name="_~0039877_Restructuring_Separation_TAX_JuneFC2010 tf_BS_Separation_TaxResIndem_Q12412 tf_Restructuring &amp; Separation_II.7. Sep&amp;Discrete_Guidance_BS retrieve" xfId="1526"/>
    <cellStyle name="_~0039877_Restructuring_Separation_TAX_JuneFC2010 tf_BS_Separation_TaxResIndem_Q12412 tf_Restructuring &amp; Separation_II.7. Sep&amp;Discrete_Guidance_Free CF" xfId="1527"/>
    <cellStyle name="_~0039877_Restructuring_Separation_TAX_JuneFC2010 tf_BS_Separation_TaxResIndem_Q12412 tf_Restructuring &amp; Separation_II.7. Sep&amp;Discrete_Guidance_P&amp;L Rec Qtr" xfId="1528"/>
    <cellStyle name="_~0039877_Restructuring_Separation_TAX_JuneFC2010 tf_BS_Separation_TaxResIndem_Q12412 tf_Restructuring &amp; Separation_II.7. Sep&amp;Discrete_Guidance_Sheet1" xfId="1529"/>
    <cellStyle name="_~0039877_Restructuring_Separation_TAX_JuneFC2010 tf_BS_Separation_TaxResIndem_Q12412 tf_Restructuring &amp; Separation_II.7. Sep&amp;Discrete_Guidance_Sheet2" xfId="1530"/>
    <cellStyle name="_~0039877_Restructuring_Separation_TAX_JuneFC2010 tf_BS_Separation_TaxResIndem_Q12412 tf_Restructuring &amp; Separation_II.7. Sep&amp;Discrete_Guidance_Sheet3" xfId="1531"/>
    <cellStyle name="_~0039877_Restructuring_Separation_TAX_JuneFC2010 tf_BS_Separation_TaxResIndem_Q12412 tf_Restructuring &amp; Separation_II.7. Sep&amp;Discrete_Guidance_Sheet4" xfId="1532"/>
    <cellStyle name="_~0039877_Restructuring_Separation_TAX_JuneFC2010 tf_Guidance" xfId="1533"/>
    <cellStyle name="_~0039877_Restructuring_Separation_TAX_JuneFC2010 tf_Guidance 2" xfId="1534"/>
    <cellStyle name="_~0039877_Restructuring_Separation_TAX_JuneFC2010 tf_Guidance_BS retrieve" xfId="1535"/>
    <cellStyle name="_~0039877_Restructuring_Separation_TAX_JuneFC2010 tf_Guidance_Free CF" xfId="1536"/>
    <cellStyle name="_~0039877_Restructuring_Separation_TAX_JuneFC2010 tf_Guidance_P&amp;L Rec Qtr" xfId="1537"/>
    <cellStyle name="_~0039877_Restructuring_Separation_TAX_JuneFC2010 tf_Guidance_Sheet1" xfId="1538"/>
    <cellStyle name="_~0039877_Restructuring_Separation_TAX_JuneFC2010 tf_Guidance_Sheet2" xfId="1539"/>
    <cellStyle name="_~0039877_Restructuring_Separation_TAX_JuneFC2010 tf_Guidance_Sheet3" xfId="1540"/>
    <cellStyle name="_~0039877_Restructuring_Separation_TAX_JuneFC2010 tf_Guidance_Sheet4" xfId="1541"/>
    <cellStyle name="_~0039877_Restructuring_Separation_TAX_JuneFC2010 tf_II.7. Sep&amp;Discrete" xfId="1542"/>
    <cellStyle name="_~0039877_Restructuring_Separation_TAX_JuneFC2010 tf_II.7. Sep&amp;Discrete_Guidance" xfId="1543"/>
    <cellStyle name="_~0039877_Restructuring_Separation_TAX_JuneFC2010 tf_II.7. Sep&amp;Discrete_Guidance 2" xfId="1544"/>
    <cellStyle name="_~0039877_Restructuring_Separation_TAX_JuneFC2010 tf_II.7. Sep&amp;Discrete_Guidance_BS retrieve" xfId="1545"/>
    <cellStyle name="_~0039877_Restructuring_Separation_TAX_JuneFC2010 tf_II.7. Sep&amp;Discrete_Guidance_Free CF" xfId="1546"/>
    <cellStyle name="_~0039877_Restructuring_Separation_TAX_JuneFC2010 tf_II.7. Sep&amp;Discrete_Guidance_P&amp;L Rec Qtr" xfId="1547"/>
    <cellStyle name="_~0039877_Restructuring_Separation_TAX_JuneFC2010 tf_II.7. Sep&amp;Discrete_Guidance_Sheet1" xfId="1548"/>
    <cellStyle name="_~0039877_Restructuring_Separation_TAX_JuneFC2010 tf_II.7. Sep&amp;Discrete_Guidance_Sheet2" xfId="1549"/>
    <cellStyle name="_~0039877_Restructuring_Separation_TAX_JuneFC2010 tf_II.7. Sep&amp;Discrete_Guidance_Sheet3" xfId="1550"/>
    <cellStyle name="_~0039877_Restructuring_Separation_TAX_JuneFC2010 tf_II.7. Sep&amp;Discrete_Guidance_Sheet4" xfId="1551"/>
    <cellStyle name="_~0039877_Restructuring_Separation_TAX_JuneFC2010 tf_II.8. Sep&amp;Discrete" xfId="1552"/>
    <cellStyle name="_~0039877_Restructuring_Separation_TAX_JuneFC2010 tf_II.8. Sep&amp;Discrete_Guidance" xfId="1553"/>
    <cellStyle name="_~0039877_Restructuring_Separation_TAX_JuneFC2010 tf_II.8. Sep&amp;Discrete_Guidance 2" xfId="1554"/>
    <cellStyle name="_~0039877_Restructuring_Separation_TAX_JuneFC2010 tf_II.8. Sep&amp;Discrete_Guidance_BS retrieve" xfId="1555"/>
    <cellStyle name="_~0039877_Restructuring_Separation_TAX_JuneFC2010 tf_II.8. Sep&amp;Discrete_Guidance_Free CF" xfId="1556"/>
    <cellStyle name="_~0039877_Restructuring_Separation_TAX_JuneFC2010 tf_II.8. Sep&amp;Discrete_Guidance_P&amp;L Rec Qtr" xfId="1557"/>
    <cellStyle name="_~0039877_Restructuring_Separation_TAX_JuneFC2010 tf_II.8. Sep&amp;Discrete_Guidance_Sheet1" xfId="1558"/>
    <cellStyle name="_~0039877_Restructuring_Separation_TAX_JuneFC2010 tf_II.8. Sep&amp;Discrete_Guidance_Sheet2" xfId="1559"/>
    <cellStyle name="_~0039877_Restructuring_Separation_TAX_JuneFC2010 tf_II.8. Sep&amp;Discrete_Guidance_Sheet3" xfId="1560"/>
    <cellStyle name="_~0039877_Restructuring_Separation_TAX_JuneFC2010 tf_II.8. Sep&amp;Discrete_Guidance_Sheet4" xfId="1561"/>
    <cellStyle name="_~0039877_Restructuring_Separation_TAX_JuneFC2010 tf_Restructuring &amp; Separation" xfId="1562"/>
    <cellStyle name="_~0039877_Restructuring_Separation_TAX_JuneFC2010 tf_Restructuring &amp; Separation_Guidance" xfId="1563"/>
    <cellStyle name="_~0039877_Restructuring_Separation_TAX_JuneFC2010 tf_Restructuring &amp; Separation_Guidance 2" xfId="1564"/>
    <cellStyle name="_~0039877_Restructuring_Separation_TAX_JuneFC2010 tf_Restructuring &amp; Separation_Guidance_BS retrieve" xfId="1565"/>
    <cellStyle name="_~0039877_Restructuring_Separation_TAX_JuneFC2010 tf_Restructuring &amp; Separation_Guidance_Free CF" xfId="1566"/>
    <cellStyle name="_~0039877_Restructuring_Separation_TAX_JuneFC2010 tf_Restructuring &amp; Separation_Guidance_P&amp;L Rec Qtr" xfId="1567"/>
    <cellStyle name="_~0039877_Restructuring_Separation_TAX_JuneFC2010 tf_Restructuring &amp; Separation_Guidance_Sheet1" xfId="1568"/>
    <cellStyle name="_~0039877_Restructuring_Separation_TAX_JuneFC2010 tf_Restructuring &amp; Separation_Guidance_Sheet2" xfId="1569"/>
    <cellStyle name="_~0039877_Restructuring_Separation_TAX_JuneFC2010 tf_Restructuring &amp; Separation_Guidance_Sheet3" xfId="1570"/>
    <cellStyle name="_~0039877_Restructuring_Separation_TAX_JuneFC2010 tf_Restructuring &amp; Separation_Guidance_Sheet4" xfId="1571"/>
    <cellStyle name="_~0039877_Restructuring_Separation_TAX_JuneFC2010 tf_Restructuring &amp; Separation_II.7. Sep&amp;Discrete" xfId="1572"/>
    <cellStyle name="_~0039877_Restructuring_Separation_TAX_JuneFC2010 tf_Restructuring &amp; Separation_II.7. Sep&amp;Discrete_Guidance" xfId="1573"/>
    <cellStyle name="_~0039877_Restructuring_Separation_TAX_JuneFC2010 tf_Restructuring &amp; Separation_II.7. Sep&amp;Discrete_Guidance 2" xfId="1574"/>
    <cellStyle name="_~0039877_Restructuring_Separation_TAX_JuneFC2010 tf_Restructuring &amp; Separation_II.7. Sep&amp;Discrete_Guidance_BS retrieve" xfId="1575"/>
    <cellStyle name="_~0039877_Restructuring_Separation_TAX_JuneFC2010 tf_Restructuring &amp; Separation_II.7. Sep&amp;Discrete_Guidance_Free CF" xfId="1576"/>
    <cellStyle name="_~0039877_Restructuring_Separation_TAX_JuneFC2010 tf_Restructuring &amp; Separation_II.7. Sep&amp;Discrete_Guidance_P&amp;L Rec Qtr" xfId="1577"/>
    <cellStyle name="_~0039877_Restructuring_Separation_TAX_JuneFC2010 tf_Restructuring &amp; Separation_II.7. Sep&amp;Discrete_Guidance_Sheet1" xfId="1578"/>
    <cellStyle name="_~0039877_Restructuring_Separation_TAX_JuneFC2010 tf_Restructuring &amp; Separation_II.7. Sep&amp;Discrete_Guidance_Sheet2" xfId="1579"/>
    <cellStyle name="_~0039877_Restructuring_Separation_TAX_JuneFC2010 tf_Restructuring &amp; Separation_II.7. Sep&amp;Discrete_Guidance_Sheet3" xfId="1580"/>
    <cellStyle name="_~0039877_Restructuring_Separation_TAX_JuneFC2010 tf_Restructuring &amp; Separation_II.7. Sep&amp;Discrete_Guidance_Sheet4" xfId="1581"/>
    <cellStyle name="_041005 Exhibit 4C v1" xfId="1582"/>
    <cellStyle name="_041005 Exhibit 4C v1_BS_Separation_TaxResIndem_Q12412 tf" xfId="1583"/>
    <cellStyle name="_041005 Exhibit 4C v1_BS_Separation_TaxResIndem_Q12412 tf_Guidance" xfId="1584"/>
    <cellStyle name="_041005 Exhibit 4C v1_BS_Separation_TaxResIndem_Q12412 tf_Guidance 2" xfId="1585"/>
    <cellStyle name="_041005 Exhibit 4C v1_BS_Separation_TaxResIndem_Q12412 tf_Guidance_BS retrieve" xfId="1586"/>
    <cellStyle name="_041005 Exhibit 4C v1_BS_Separation_TaxResIndem_Q12412 tf_Guidance_Free CF" xfId="1587"/>
    <cellStyle name="_041005 Exhibit 4C v1_BS_Separation_TaxResIndem_Q12412 tf_Guidance_P&amp;L Rec Qtr" xfId="1588"/>
    <cellStyle name="_041005 Exhibit 4C v1_BS_Separation_TaxResIndem_Q12412 tf_Guidance_Sheet1" xfId="1589"/>
    <cellStyle name="_041005 Exhibit 4C v1_BS_Separation_TaxResIndem_Q12412 tf_Guidance_Sheet2" xfId="1590"/>
    <cellStyle name="_041005 Exhibit 4C v1_BS_Separation_TaxResIndem_Q12412 tf_Guidance_Sheet3" xfId="1591"/>
    <cellStyle name="_041005 Exhibit 4C v1_BS_Separation_TaxResIndem_Q12412 tf_Guidance_Sheet4" xfId="1592"/>
    <cellStyle name="_041005 Exhibit 4C v1_BS_Separation_TaxResIndem_Q12412 tf_II.7. Sep&amp;Discrete" xfId="1593"/>
    <cellStyle name="_041005 Exhibit 4C v1_BS_Separation_TaxResIndem_Q12412 tf_II.7. Sep&amp;Discrete_Guidance" xfId="1594"/>
    <cellStyle name="_041005 Exhibit 4C v1_BS_Separation_TaxResIndem_Q12412 tf_II.7. Sep&amp;Discrete_Guidance 2" xfId="1595"/>
    <cellStyle name="_041005 Exhibit 4C v1_BS_Separation_TaxResIndem_Q12412 tf_II.7. Sep&amp;Discrete_Guidance_BS retrieve" xfId="1596"/>
    <cellStyle name="_041005 Exhibit 4C v1_BS_Separation_TaxResIndem_Q12412 tf_II.7. Sep&amp;Discrete_Guidance_Free CF" xfId="1597"/>
    <cellStyle name="_041005 Exhibit 4C v1_BS_Separation_TaxResIndem_Q12412 tf_II.7. Sep&amp;Discrete_Guidance_P&amp;L Rec Qtr" xfId="1598"/>
    <cellStyle name="_041005 Exhibit 4C v1_BS_Separation_TaxResIndem_Q12412 tf_II.7. Sep&amp;Discrete_Guidance_Sheet1" xfId="1599"/>
    <cellStyle name="_041005 Exhibit 4C v1_BS_Separation_TaxResIndem_Q12412 tf_II.7. Sep&amp;Discrete_Guidance_Sheet2" xfId="1600"/>
    <cellStyle name="_041005 Exhibit 4C v1_BS_Separation_TaxResIndem_Q12412 tf_II.7. Sep&amp;Discrete_Guidance_Sheet3" xfId="1601"/>
    <cellStyle name="_041005 Exhibit 4C v1_BS_Separation_TaxResIndem_Q12412 tf_II.7. Sep&amp;Discrete_Guidance_Sheet4" xfId="1602"/>
    <cellStyle name="_041005 Exhibit 4C v1_BS_Separation_TaxResIndem_Q12412 tf_Restructuring &amp; Separation" xfId="1603"/>
    <cellStyle name="_041005 Exhibit 4C v1_BS_Separation_TaxResIndem_Q12412 tf_Restructuring &amp; Separation_Guidance" xfId="1604"/>
    <cellStyle name="_041005 Exhibit 4C v1_BS_Separation_TaxResIndem_Q12412 tf_Restructuring &amp; Separation_Guidance 2" xfId="1605"/>
    <cellStyle name="_041005 Exhibit 4C v1_BS_Separation_TaxResIndem_Q12412 tf_Restructuring &amp; Separation_Guidance_BS retrieve" xfId="1606"/>
    <cellStyle name="_041005 Exhibit 4C v1_BS_Separation_TaxResIndem_Q12412 tf_Restructuring &amp; Separation_Guidance_Free CF" xfId="1607"/>
    <cellStyle name="_041005 Exhibit 4C v1_BS_Separation_TaxResIndem_Q12412 tf_Restructuring &amp; Separation_Guidance_P&amp;L Rec Qtr" xfId="1608"/>
    <cellStyle name="_041005 Exhibit 4C v1_BS_Separation_TaxResIndem_Q12412 tf_Restructuring &amp; Separation_Guidance_Sheet1" xfId="1609"/>
    <cellStyle name="_041005 Exhibit 4C v1_BS_Separation_TaxResIndem_Q12412 tf_Restructuring &amp; Separation_Guidance_Sheet2" xfId="1610"/>
    <cellStyle name="_041005 Exhibit 4C v1_BS_Separation_TaxResIndem_Q12412 tf_Restructuring &amp; Separation_Guidance_Sheet3" xfId="1611"/>
    <cellStyle name="_041005 Exhibit 4C v1_BS_Separation_TaxResIndem_Q12412 tf_Restructuring &amp; Separation_Guidance_Sheet4" xfId="1612"/>
    <cellStyle name="_041005 Exhibit 4C v1_BS_Separation_TaxResIndem_Q12412 tf_Restructuring &amp; Separation_II.7. Sep&amp;Discrete" xfId="1613"/>
    <cellStyle name="_041005 Exhibit 4C v1_BS_Separation_TaxResIndem_Q12412 tf_Restructuring &amp; Separation_II.7. Sep&amp;Discrete_Guidance" xfId="1614"/>
    <cellStyle name="_041005 Exhibit 4C v1_BS_Separation_TaxResIndem_Q12412 tf_Restructuring &amp; Separation_II.7. Sep&amp;Discrete_Guidance 2" xfId="1615"/>
    <cellStyle name="_041005 Exhibit 4C v1_BS_Separation_TaxResIndem_Q12412 tf_Restructuring &amp; Separation_II.7. Sep&amp;Discrete_Guidance_BS retrieve" xfId="1616"/>
    <cellStyle name="_041005 Exhibit 4C v1_BS_Separation_TaxResIndem_Q12412 tf_Restructuring &amp; Separation_II.7. Sep&amp;Discrete_Guidance_Free CF" xfId="1617"/>
    <cellStyle name="_041005 Exhibit 4C v1_BS_Separation_TaxResIndem_Q12412 tf_Restructuring &amp; Separation_II.7. Sep&amp;Discrete_Guidance_P&amp;L Rec Qtr" xfId="1618"/>
    <cellStyle name="_041005 Exhibit 4C v1_BS_Separation_TaxResIndem_Q12412 tf_Restructuring &amp; Separation_II.7. Sep&amp;Discrete_Guidance_Sheet1" xfId="1619"/>
    <cellStyle name="_041005 Exhibit 4C v1_BS_Separation_TaxResIndem_Q12412 tf_Restructuring &amp; Separation_II.7. Sep&amp;Discrete_Guidance_Sheet2" xfId="1620"/>
    <cellStyle name="_041005 Exhibit 4C v1_BS_Separation_TaxResIndem_Q12412 tf_Restructuring &amp; Separation_II.7. Sep&amp;Discrete_Guidance_Sheet3" xfId="1621"/>
    <cellStyle name="_041005 Exhibit 4C v1_BS_Separation_TaxResIndem_Q12412 tf_Restructuring &amp; Separation_II.7. Sep&amp;Discrete_Guidance_Sheet4" xfId="1622"/>
    <cellStyle name="_041005 Exhibit 4C v1_Deferred tax MarchFC 2011" xfId="1623"/>
    <cellStyle name="_041005 Exhibit 4C v1_Deferred tax MarchFC 2011_BS_Separation_TaxResIndem_Q12412 tf" xfId="1624"/>
    <cellStyle name="_041005 Exhibit 4C v1_Deferred tax MarchFC 2011_BS_Separation_TaxResIndem_Q12412 tf_Guidance" xfId="1625"/>
    <cellStyle name="_041005 Exhibit 4C v1_Deferred tax MarchFC 2011_BS_Separation_TaxResIndem_Q12412 tf_Guidance 2" xfId="1626"/>
    <cellStyle name="_041005 Exhibit 4C v1_Deferred tax MarchFC 2011_BS_Separation_TaxResIndem_Q12412 tf_Guidance_BS retrieve" xfId="1627"/>
    <cellStyle name="_041005 Exhibit 4C v1_Deferred tax MarchFC 2011_BS_Separation_TaxResIndem_Q12412 tf_Guidance_Free CF" xfId="1628"/>
    <cellStyle name="_041005 Exhibit 4C v1_Deferred tax MarchFC 2011_BS_Separation_TaxResIndem_Q12412 tf_Guidance_P&amp;L Rec Qtr" xfId="1629"/>
    <cellStyle name="_041005 Exhibit 4C v1_Deferred tax MarchFC 2011_BS_Separation_TaxResIndem_Q12412 tf_Guidance_Sheet1" xfId="1630"/>
    <cellStyle name="_041005 Exhibit 4C v1_Deferred tax MarchFC 2011_BS_Separation_TaxResIndem_Q12412 tf_Guidance_Sheet2" xfId="1631"/>
    <cellStyle name="_041005 Exhibit 4C v1_Deferred tax MarchFC 2011_BS_Separation_TaxResIndem_Q12412 tf_Guidance_Sheet3" xfId="1632"/>
    <cellStyle name="_041005 Exhibit 4C v1_Deferred tax MarchFC 2011_BS_Separation_TaxResIndem_Q12412 tf_Guidance_Sheet4" xfId="1633"/>
    <cellStyle name="_041005 Exhibit 4C v1_Deferred tax MarchFC 2011_BS_Separation_TaxResIndem_Q12412 tf_II.7. Sep&amp;Discrete" xfId="1634"/>
    <cellStyle name="_041005 Exhibit 4C v1_Deferred tax MarchFC 2011_BS_Separation_TaxResIndem_Q12412 tf_II.7. Sep&amp;Discrete_Guidance" xfId="1635"/>
    <cellStyle name="_041005 Exhibit 4C v1_Deferred tax MarchFC 2011_BS_Separation_TaxResIndem_Q12412 tf_II.7. Sep&amp;Discrete_Guidance 2" xfId="1636"/>
    <cellStyle name="_041005 Exhibit 4C v1_Deferred tax MarchFC 2011_BS_Separation_TaxResIndem_Q12412 tf_II.7. Sep&amp;Discrete_Guidance_BS retrieve" xfId="1637"/>
    <cellStyle name="_041005 Exhibit 4C v1_Deferred tax MarchFC 2011_BS_Separation_TaxResIndem_Q12412 tf_II.7. Sep&amp;Discrete_Guidance_Free CF" xfId="1638"/>
    <cellStyle name="_041005 Exhibit 4C v1_Deferred tax MarchFC 2011_BS_Separation_TaxResIndem_Q12412 tf_II.7. Sep&amp;Discrete_Guidance_P&amp;L Rec Qtr" xfId="1639"/>
    <cellStyle name="_041005 Exhibit 4C v1_Deferred tax MarchFC 2011_BS_Separation_TaxResIndem_Q12412 tf_II.7. Sep&amp;Discrete_Guidance_Sheet1" xfId="1640"/>
    <cellStyle name="_041005 Exhibit 4C v1_Deferred tax MarchFC 2011_BS_Separation_TaxResIndem_Q12412 tf_II.7. Sep&amp;Discrete_Guidance_Sheet2" xfId="1641"/>
    <cellStyle name="_041005 Exhibit 4C v1_Deferred tax MarchFC 2011_BS_Separation_TaxResIndem_Q12412 tf_II.7. Sep&amp;Discrete_Guidance_Sheet3" xfId="1642"/>
    <cellStyle name="_041005 Exhibit 4C v1_Deferred tax MarchFC 2011_BS_Separation_TaxResIndem_Q12412 tf_II.7. Sep&amp;Discrete_Guidance_Sheet4" xfId="1643"/>
    <cellStyle name="_041005 Exhibit 4C v1_Deferred tax MarchFC 2011_BS_Separation_TaxResIndem_Q12412 tf_Restructuring &amp; Separation" xfId="1644"/>
    <cellStyle name="_041005 Exhibit 4C v1_Deferred tax MarchFC 2011_BS_Separation_TaxResIndem_Q12412 tf_Restructuring &amp; Separation_Guidance" xfId="1645"/>
    <cellStyle name="_041005 Exhibit 4C v1_Deferred tax MarchFC 2011_BS_Separation_TaxResIndem_Q12412 tf_Restructuring &amp; Separation_Guidance 2" xfId="1646"/>
    <cellStyle name="_041005 Exhibit 4C v1_Deferred tax MarchFC 2011_BS_Separation_TaxResIndem_Q12412 tf_Restructuring &amp; Separation_Guidance_BS retrieve" xfId="1647"/>
    <cellStyle name="_041005 Exhibit 4C v1_Deferred tax MarchFC 2011_BS_Separation_TaxResIndem_Q12412 tf_Restructuring &amp; Separation_Guidance_Free CF" xfId="1648"/>
    <cellStyle name="_041005 Exhibit 4C v1_Deferred tax MarchFC 2011_BS_Separation_TaxResIndem_Q12412 tf_Restructuring &amp; Separation_Guidance_P&amp;L Rec Qtr" xfId="1649"/>
    <cellStyle name="_041005 Exhibit 4C v1_Deferred tax MarchFC 2011_BS_Separation_TaxResIndem_Q12412 tf_Restructuring &amp; Separation_Guidance_Sheet1" xfId="1650"/>
    <cellStyle name="_041005 Exhibit 4C v1_Deferred tax MarchFC 2011_BS_Separation_TaxResIndem_Q12412 tf_Restructuring &amp; Separation_Guidance_Sheet2" xfId="1651"/>
    <cellStyle name="_041005 Exhibit 4C v1_Deferred tax MarchFC 2011_BS_Separation_TaxResIndem_Q12412 tf_Restructuring &amp; Separation_Guidance_Sheet3" xfId="1652"/>
    <cellStyle name="_041005 Exhibit 4C v1_Deferred tax MarchFC 2011_BS_Separation_TaxResIndem_Q12412 tf_Restructuring &amp; Separation_Guidance_Sheet4" xfId="1653"/>
    <cellStyle name="_041005 Exhibit 4C v1_Deferred tax MarchFC 2011_BS_Separation_TaxResIndem_Q12412 tf_Restructuring &amp; Separation_II.7. Sep&amp;Discrete" xfId="1654"/>
    <cellStyle name="_041005 Exhibit 4C v1_Deferred tax MarchFC 2011_BS_Separation_TaxResIndem_Q12412 tf_Restructuring &amp; Separation_II.7. Sep&amp;Discrete_Guidance" xfId="1655"/>
    <cellStyle name="_041005 Exhibit 4C v1_Deferred tax MarchFC 2011_BS_Separation_TaxResIndem_Q12412 tf_Restructuring &amp; Separation_II.7. Sep&amp;Discrete_Guidance 2" xfId="1656"/>
    <cellStyle name="_041005 Exhibit 4C v1_Deferred tax MarchFC 2011_BS_Separation_TaxResIndem_Q12412 tf_Restructuring &amp; Separation_II.7. Sep&amp;Discrete_Guidance_BS retrieve" xfId="1657"/>
    <cellStyle name="_041005 Exhibit 4C v1_Deferred tax MarchFC 2011_BS_Separation_TaxResIndem_Q12412 tf_Restructuring &amp; Separation_II.7. Sep&amp;Discrete_Guidance_Free CF" xfId="1658"/>
    <cellStyle name="_041005 Exhibit 4C v1_Deferred tax MarchFC 2011_BS_Separation_TaxResIndem_Q12412 tf_Restructuring &amp; Separation_II.7. Sep&amp;Discrete_Guidance_P&amp;L Rec Qtr" xfId="1659"/>
    <cellStyle name="_041005 Exhibit 4C v1_Deferred tax MarchFC 2011_BS_Separation_TaxResIndem_Q12412 tf_Restructuring &amp; Separation_II.7. Sep&amp;Discrete_Guidance_Sheet1" xfId="1660"/>
    <cellStyle name="_041005 Exhibit 4C v1_Deferred tax MarchFC 2011_BS_Separation_TaxResIndem_Q12412 tf_Restructuring &amp; Separation_II.7. Sep&amp;Discrete_Guidance_Sheet2" xfId="1661"/>
    <cellStyle name="_041005 Exhibit 4C v1_Deferred tax MarchFC 2011_BS_Separation_TaxResIndem_Q12412 tf_Restructuring &amp; Separation_II.7. Sep&amp;Discrete_Guidance_Sheet3" xfId="1662"/>
    <cellStyle name="_041005 Exhibit 4C v1_Deferred tax MarchFC 2011_BS_Separation_TaxResIndem_Q12412 tf_Restructuring &amp; Separation_II.7. Sep&amp;Discrete_Guidance_Sheet4" xfId="1663"/>
    <cellStyle name="_041005 Exhibit 4C v1_Deferred tax MarchFC 2011_Guidance" xfId="1664"/>
    <cellStyle name="_041005 Exhibit 4C v1_Deferred tax MarchFC 2011_Guidance 2" xfId="1665"/>
    <cellStyle name="_041005 Exhibit 4C v1_Deferred tax MarchFC 2011_Guidance_BS retrieve" xfId="1666"/>
    <cellStyle name="_041005 Exhibit 4C v1_Deferred tax MarchFC 2011_Guidance_Free CF" xfId="1667"/>
    <cellStyle name="_041005 Exhibit 4C v1_Deferred tax MarchFC 2011_Guidance_P&amp;L Rec Qtr" xfId="1668"/>
    <cellStyle name="_041005 Exhibit 4C v1_Deferred tax MarchFC 2011_Guidance_Sheet1" xfId="1669"/>
    <cellStyle name="_041005 Exhibit 4C v1_Deferred tax MarchFC 2011_Guidance_Sheet2" xfId="1670"/>
    <cellStyle name="_041005 Exhibit 4C v1_Deferred tax MarchFC 2011_Guidance_Sheet3" xfId="1671"/>
    <cellStyle name="_041005 Exhibit 4C v1_Deferred tax MarchFC 2011_Guidance_Sheet4" xfId="1672"/>
    <cellStyle name="_041005 Exhibit 4C v1_Deferred tax MarchFC 2011_II.7. Sep&amp;Discrete" xfId="1673"/>
    <cellStyle name="_041005 Exhibit 4C v1_Deferred tax MarchFC 2011_II.7. Sep&amp;Discrete_Guidance" xfId="1674"/>
    <cellStyle name="_041005 Exhibit 4C v1_Deferred tax MarchFC 2011_II.7. Sep&amp;Discrete_Guidance 2" xfId="1675"/>
    <cellStyle name="_041005 Exhibit 4C v1_Deferred tax MarchFC 2011_II.7. Sep&amp;Discrete_Guidance_BS retrieve" xfId="1676"/>
    <cellStyle name="_041005 Exhibit 4C v1_Deferred tax MarchFC 2011_II.7. Sep&amp;Discrete_Guidance_Free CF" xfId="1677"/>
    <cellStyle name="_041005 Exhibit 4C v1_Deferred tax MarchFC 2011_II.7. Sep&amp;Discrete_Guidance_P&amp;L Rec Qtr" xfId="1678"/>
    <cellStyle name="_041005 Exhibit 4C v1_Deferred tax MarchFC 2011_II.7. Sep&amp;Discrete_Guidance_Sheet1" xfId="1679"/>
    <cellStyle name="_041005 Exhibit 4C v1_Deferred tax MarchFC 2011_II.7. Sep&amp;Discrete_Guidance_Sheet2" xfId="1680"/>
    <cellStyle name="_041005 Exhibit 4C v1_Deferred tax MarchFC 2011_II.7. Sep&amp;Discrete_Guidance_Sheet3" xfId="1681"/>
    <cellStyle name="_041005 Exhibit 4C v1_Deferred tax MarchFC 2011_II.7. Sep&amp;Discrete_Guidance_Sheet4" xfId="1682"/>
    <cellStyle name="_041005 Exhibit 4C v1_Deferred tax MarchFC 2011_II.8. Sep&amp;Discrete" xfId="1683"/>
    <cellStyle name="_041005 Exhibit 4C v1_Deferred tax MarchFC 2011_II.8. Sep&amp;Discrete_Guidance" xfId="1684"/>
    <cellStyle name="_041005 Exhibit 4C v1_Deferred tax MarchFC 2011_II.8. Sep&amp;Discrete_Guidance 2" xfId="1685"/>
    <cellStyle name="_041005 Exhibit 4C v1_Deferred tax MarchFC 2011_II.8. Sep&amp;Discrete_Guidance_BS retrieve" xfId="1686"/>
    <cellStyle name="_041005 Exhibit 4C v1_Deferred tax MarchFC 2011_II.8. Sep&amp;Discrete_Guidance_Free CF" xfId="1687"/>
    <cellStyle name="_041005 Exhibit 4C v1_Deferred tax MarchFC 2011_II.8. Sep&amp;Discrete_Guidance_P&amp;L Rec Qtr" xfId="1688"/>
    <cellStyle name="_041005 Exhibit 4C v1_Deferred tax MarchFC 2011_II.8. Sep&amp;Discrete_Guidance_Sheet1" xfId="1689"/>
    <cellStyle name="_041005 Exhibit 4C v1_Deferred tax MarchFC 2011_II.8. Sep&amp;Discrete_Guidance_Sheet2" xfId="1690"/>
    <cellStyle name="_041005 Exhibit 4C v1_Deferred tax MarchFC 2011_II.8. Sep&amp;Discrete_Guidance_Sheet3" xfId="1691"/>
    <cellStyle name="_041005 Exhibit 4C v1_Deferred tax MarchFC 2011_II.8. Sep&amp;Discrete_Guidance_Sheet4" xfId="1692"/>
    <cellStyle name="_041005 Exhibit 4C v1_Deferred tax MarchFC 2011_Restructuring &amp; Separation" xfId="1693"/>
    <cellStyle name="_041005 Exhibit 4C v1_Deferred tax MarchFC 2011_Restructuring &amp; Separation_Guidance" xfId="1694"/>
    <cellStyle name="_041005 Exhibit 4C v1_Deferred tax MarchFC 2011_Restructuring &amp; Separation_Guidance 2" xfId="1695"/>
    <cellStyle name="_041005 Exhibit 4C v1_Deferred tax MarchFC 2011_Restructuring &amp; Separation_Guidance_BS retrieve" xfId="1696"/>
    <cellStyle name="_041005 Exhibit 4C v1_Deferred tax MarchFC 2011_Restructuring &amp; Separation_Guidance_Free CF" xfId="1697"/>
    <cellStyle name="_041005 Exhibit 4C v1_Deferred tax MarchFC 2011_Restructuring &amp; Separation_Guidance_P&amp;L Rec Qtr" xfId="1698"/>
    <cellStyle name="_041005 Exhibit 4C v1_Deferred tax MarchFC 2011_Restructuring &amp; Separation_Guidance_Sheet1" xfId="1699"/>
    <cellStyle name="_041005 Exhibit 4C v1_Deferred tax MarchFC 2011_Restructuring &amp; Separation_Guidance_Sheet2" xfId="1700"/>
    <cellStyle name="_041005 Exhibit 4C v1_Deferred tax MarchFC 2011_Restructuring &amp; Separation_Guidance_Sheet3" xfId="1701"/>
    <cellStyle name="_041005 Exhibit 4C v1_Deferred tax MarchFC 2011_Restructuring &amp; Separation_Guidance_Sheet4" xfId="1702"/>
    <cellStyle name="_041005 Exhibit 4C v1_Deferred tax MarchFC 2011_Restructuring &amp; Separation_II.7. Sep&amp;Discrete" xfId="1703"/>
    <cellStyle name="_041005 Exhibit 4C v1_Deferred tax MarchFC 2011_Restructuring &amp; Separation_II.7. Sep&amp;Discrete_Guidance" xfId="1704"/>
    <cellStyle name="_041005 Exhibit 4C v1_Deferred tax MarchFC 2011_Restructuring &amp; Separation_II.7. Sep&amp;Discrete_Guidance 2" xfId="1705"/>
    <cellStyle name="_041005 Exhibit 4C v1_Deferred tax MarchFC 2011_Restructuring &amp; Separation_II.7. Sep&amp;Discrete_Guidance_BS retrieve" xfId="1706"/>
    <cellStyle name="_041005 Exhibit 4C v1_Deferred tax MarchFC 2011_Restructuring &amp; Separation_II.7. Sep&amp;Discrete_Guidance_Free CF" xfId="1707"/>
    <cellStyle name="_041005 Exhibit 4C v1_Deferred tax MarchFC 2011_Restructuring &amp; Separation_II.7. Sep&amp;Discrete_Guidance_P&amp;L Rec Qtr" xfId="1708"/>
    <cellStyle name="_041005 Exhibit 4C v1_Deferred tax MarchFC 2011_Restructuring &amp; Separation_II.7. Sep&amp;Discrete_Guidance_Sheet1" xfId="1709"/>
    <cellStyle name="_041005 Exhibit 4C v1_Deferred tax MarchFC 2011_Restructuring &amp; Separation_II.7. Sep&amp;Discrete_Guidance_Sheet2" xfId="1710"/>
    <cellStyle name="_041005 Exhibit 4C v1_Deferred tax MarchFC 2011_Restructuring &amp; Separation_II.7. Sep&amp;Discrete_Guidance_Sheet3" xfId="1711"/>
    <cellStyle name="_041005 Exhibit 4C v1_Deferred tax MarchFC 2011_Restructuring &amp; Separation_II.7. Sep&amp;Discrete_Guidance_Sheet4" xfId="1712"/>
    <cellStyle name="_041005 Exhibit 4C v1_Guidance" xfId="1713"/>
    <cellStyle name="_041005 Exhibit 4C v1_Guidance 2" xfId="1714"/>
    <cellStyle name="_041005 Exhibit 4C v1_Guidance_BS retrieve" xfId="1715"/>
    <cellStyle name="_041005 Exhibit 4C v1_Guidance_Free CF" xfId="1716"/>
    <cellStyle name="_041005 Exhibit 4C v1_Guidance_P&amp;L Rec Qtr" xfId="1717"/>
    <cellStyle name="_041005 Exhibit 4C v1_Guidance_Sheet1" xfId="1718"/>
    <cellStyle name="_041005 Exhibit 4C v1_Guidance_Sheet2" xfId="1719"/>
    <cellStyle name="_041005 Exhibit 4C v1_Guidance_Sheet3" xfId="1720"/>
    <cellStyle name="_041005 Exhibit 4C v1_Guidance_Sheet4" xfId="1721"/>
    <cellStyle name="_041005 Exhibit 4C v1_II.7. Sep&amp;Discrete" xfId="1722"/>
    <cellStyle name="_041005 Exhibit 4C v1_II.7. Sep&amp;Discrete_Guidance" xfId="1723"/>
    <cellStyle name="_041005 Exhibit 4C v1_II.7. Sep&amp;Discrete_Guidance 2" xfId="1724"/>
    <cellStyle name="_041005 Exhibit 4C v1_II.7. Sep&amp;Discrete_Guidance_BS retrieve" xfId="1725"/>
    <cellStyle name="_041005 Exhibit 4C v1_II.7. Sep&amp;Discrete_Guidance_Free CF" xfId="1726"/>
    <cellStyle name="_041005 Exhibit 4C v1_II.7. Sep&amp;Discrete_Guidance_P&amp;L Rec Qtr" xfId="1727"/>
    <cellStyle name="_041005 Exhibit 4C v1_II.7. Sep&amp;Discrete_Guidance_Sheet1" xfId="1728"/>
    <cellStyle name="_041005 Exhibit 4C v1_II.7. Sep&amp;Discrete_Guidance_Sheet2" xfId="1729"/>
    <cellStyle name="_041005 Exhibit 4C v1_II.7. Sep&amp;Discrete_Guidance_Sheet3" xfId="1730"/>
    <cellStyle name="_041005 Exhibit 4C v1_II.7. Sep&amp;Discrete_Guidance_Sheet4" xfId="1731"/>
    <cellStyle name="_041005 Exhibit 4C v1_II.8. Sep&amp;Discrete" xfId="1732"/>
    <cellStyle name="_041005 Exhibit 4C v1_II.8. Sep&amp;Discrete_Guidance" xfId="1733"/>
    <cellStyle name="_041005 Exhibit 4C v1_II.8. Sep&amp;Discrete_Guidance 2" xfId="1734"/>
    <cellStyle name="_041005 Exhibit 4C v1_II.8. Sep&amp;Discrete_Guidance_BS retrieve" xfId="1735"/>
    <cellStyle name="_041005 Exhibit 4C v1_II.8. Sep&amp;Discrete_Guidance_Free CF" xfId="1736"/>
    <cellStyle name="_041005 Exhibit 4C v1_II.8. Sep&amp;Discrete_Guidance_P&amp;L Rec Qtr" xfId="1737"/>
    <cellStyle name="_041005 Exhibit 4C v1_II.8. Sep&amp;Discrete_Guidance_Sheet1" xfId="1738"/>
    <cellStyle name="_041005 Exhibit 4C v1_II.8. Sep&amp;Discrete_Guidance_Sheet2" xfId="1739"/>
    <cellStyle name="_041005 Exhibit 4C v1_II.8. Sep&amp;Discrete_Guidance_Sheet3" xfId="1740"/>
    <cellStyle name="_041005 Exhibit 4C v1_II.8. Sep&amp;Discrete_Guidance_Sheet4" xfId="1741"/>
    <cellStyle name="_041005 Exhibit 4C v1_Restructuring &amp; Separation" xfId="1742"/>
    <cellStyle name="_041005 Exhibit 4C v1_Restructuring &amp; Separation_Guidance" xfId="1743"/>
    <cellStyle name="_041005 Exhibit 4C v1_Restructuring &amp; Separation_Guidance 2" xfId="1744"/>
    <cellStyle name="_041005 Exhibit 4C v1_Restructuring &amp; Separation_Guidance_BS retrieve" xfId="1745"/>
    <cellStyle name="_041005 Exhibit 4C v1_Restructuring &amp; Separation_Guidance_Free CF" xfId="1746"/>
    <cellStyle name="_041005 Exhibit 4C v1_Restructuring &amp; Separation_Guidance_P&amp;L Rec Qtr" xfId="1747"/>
    <cellStyle name="_041005 Exhibit 4C v1_Restructuring &amp; Separation_Guidance_Sheet1" xfId="1748"/>
    <cellStyle name="_041005 Exhibit 4C v1_Restructuring &amp; Separation_Guidance_Sheet2" xfId="1749"/>
    <cellStyle name="_041005 Exhibit 4C v1_Restructuring &amp; Separation_Guidance_Sheet3" xfId="1750"/>
    <cellStyle name="_041005 Exhibit 4C v1_Restructuring &amp; Separation_Guidance_Sheet4" xfId="1751"/>
    <cellStyle name="_041005 Exhibit 4C v1_Restructuring &amp; Separation_II.7. Sep&amp;Discrete" xfId="1752"/>
    <cellStyle name="_041005 Exhibit 4C v1_Restructuring &amp; Separation_II.7. Sep&amp;Discrete_Guidance" xfId="1753"/>
    <cellStyle name="_041005 Exhibit 4C v1_Restructuring &amp; Separation_II.7. Sep&amp;Discrete_Guidance 2" xfId="1754"/>
    <cellStyle name="_041005 Exhibit 4C v1_Restructuring &amp; Separation_II.7. Sep&amp;Discrete_Guidance_BS retrieve" xfId="1755"/>
    <cellStyle name="_041005 Exhibit 4C v1_Restructuring &amp; Separation_II.7. Sep&amp;Discrete_Guidance_Free CF" xfId="1756"/>
    <cellStyle name="_041005 Exhibit 4C v1_Restructuring &amp; Separation_II.7. Sep&amp;Discrete_Guidance_P&amp;L Rec Qtr" xfId="1757"/>
    <cellStyle name="_041005 Exhibit 4C v1_Restructuring &amp; Separation_II.7. Sep&amp;Discrete_Guidance_Sheet1" xfId="1758"/>
    <cellStyle name="_041005 Exhibit 4C v1_Restructuring &amp; Separation_II.7. Sep&amp;Discrete_Guidance_Sheet2" xfId="1759"/>
    <cellStyle name="_041005 Exhibit 4C v1_Restructuring &amp; Separation_II.7. Sep&amp;Discrete_Guidance_Sheet3" xfId="1760"/>
    <cellStyle name="_041005 Exhibit 4C v1_Restructuring &amp; Separation_II.7. Sep&amp;Discrete_Guidance_Sheet4" xfId="1761"/>
    <cellStyle name="_041005 Exhibit 4C v1_Sheet1" xfId="1762"/>
    <cellStyle name="_041005 Exhibit 4C v1_Sheet1_1" xfId="1763"/>
    <cellStyle name="_041005 Exhibit 4C v1_Sheet1_1_Guidance" xfId="1764"/>
    <cellStyle name="_041005 Exhibit 4C v1_Sheet1_1_Guidance 2" xfId="1765"/>
    <cellStyle name="_041005 Exhibit 4C v1_Sheet1_1_Guidance_BS retrieve" xfId="1766"/>
    <cellStyle name="_041005 Exhibit 4C v1_Sheet1_1_Guidance_Free CF" xfId="1767"/>
    <cellStyle name="_041005 Exhibit 4C v1_Sheet1_1_Guidance_P&amp;L Rec Qtr" xfId="1768"/>
    <cellStyle name="_041005 Exhibit 4C v1_Sheet1_1_Guidance_Sheet1" xfId="1769"/>
    <cellStyle name="_041005 Exhibit 4C v1_Sheet1_1_Guidance_Sheet2" xfId="1770"/>
    <cellStyle name="_041005 Exhibit 4C v1_Sheet1_1_Guidance_Sheet3" xfId="1771"/>
    <cellStyle name="_041005 Exhibit 4C v1_Sheet1_1_Guidance_Sheet4" xfId="1772"/>
    <cellStyle name="_041005 Exhibit 4C v1_Sheet1_1_II.7. Sep&amp;Discrete" xfId="1773"/>
    <cellStyle name="_041005 Exhibit 4C v1_Sheet1_1_II.7. Sep&amp;Discrete_Guidance" xfId="1774"/>
    <cellStyle name="_041005 Exhibit 4C v1_Sheet1_1_II.7. Sep&amp;Discrete_Guidance 2" xfId="1775"/>
    <cellStyle name="_041005 Exhibit 4C v1_Sheet1_1_II.7. Sep&amp;Discrete_Guidance_BS retrieve" xfId="1776"/>
    <cellStyle name="_041005 Exhibit 4C v1_Sheet1_1_II.7. Sep&amp;Discrete_Guidance_Free CF" xfId="1777"/>
    <cellStyle name="_041005 Exhibit 4C v1_Sheet1_1_II.7. Sep&amp;Discrete_Guidance_P&amp;L Rec Qtr" xfId="1778"/>
    <cellStyle name="_041005 Exhibit 4C v1_Sheet1_1_II.7. Sep&amp;Discrete_Guidance_Sheet1" xfId="1779"/>
    <cellStyle name="_041005 Exhibit 4C v1_Sheet1_1_II.7. Sep&amp;Discrete_Guidance_Sheet2" xfId="1780"/>
    <cellStyle name="_041005 Exhibit 4C v1_Sheet1_1_II.7. Sep&amp;Discrete_Guidance_Sheet3" xfId="1781"/>
    <cellStyle name="_041005 Exhibit 4C v1_Sheet1_1_II.7. Sep&amp;Discrete_Guidance_Sheet4" xfId="1782"/>
    <cellStyle name="_041005 Exhibit 4C v1_Sheet1_1_Restructuring &amp; Separation" xfId="1783"/>
    <cellStyle name="_041005 Exhibit 4C v1_Sheet1_1_Restructuring &amp; Separation_Guidance" xfId="1784"/>
    <cellStyle name="_041005 Exhibit 4C v1_Sheet1_1_Restructuring &amp; Separation_Guidance 2" xfId="1785"/>
    <cellStyle name="_041005 Exhibit 4C v1_Sheet1_1_Restructuring &amp; Separation_Guidance_BS retrieve" xfId="1786"/>
    <cellStyle name="_041005 Exhibit 4C v1_Sheet1_1_Restructuring &amp; Separation_Guidance_Free CF" xfId="1787"/>
    <cellStyle name="_041005 Exhibit 4C v1_Sheet1_1_Restructuring &amp; Separation_Guidance_P&amp;L Rec Qtr" xfId="1788"/>
    <cellStyle name="_041005 Exhibit 4C v1_Sheet1_1_Restructuring &amp; Separation_Guidance_Sheet1" xfId="1789"/>
    <cellStyle name="_041005 Exhibit 4C v1_Sheet1_1_Restructuring &amp; Separation_Guidance_Sheet2" xfId="1790"/>
    <cellStyle name="_041005 Exhibit 4C v1_Sheet1_1_Restructuring &amp; Separation_Guidance_Sheet3" xfId="1791"/>
    <cellStyle name="_041005 Exhibit 4C v1_Sheet1_1_Restructuring &amp; Separation_Guidance_Sheet4" xfId="1792"/>
    <cellStyle name="_041005 Exhibit 4C v1_Sheet1_1_Restructuring &amp; Separation_II.7. Sep&amp;Discrete" xfId="1793"/>
    <cellStyle name="_041005 Exhibit 4C v1_Sheet1_1_Restructuring &amp; Separation_II.7. Sep&amp;Discrete_Guidance" xfId="1794"/>
    <cellStyle name="_041005 Exhibit 4C v1_Sheet1_1_Restructuring &amp; Separation_II.7. Sep&amp;Discrete_Guidance 2" xfId="1795"/>
    <cellStyle name="_041005 Exhibit 4C v1_Sheet1_1_Restructuring &amp; Separation_II.7. Sep&amp;Discrete_Guidance_BS retrieve" xfId="1796"/>
    <cellStyle name="_041005 Exhibit 4C v1_Sheet1_1_Restructuring &amp; Separation_II.7. Sep&amp;Discrete_Guidance_Free CF" xfId="1797"/>
    <cellStyle name="_041005 Exhibit 4C v1_Sheet1_1_Restructuring &amp; Separation_II.7. Sep&amp;Discrete_Guidance_P&amp;L Rec Qtr" xfId="1798"/>
    <cellStyle name="_041005 Exhibit 4C v1_Sheet1_1_Restructuring &amp; Separation_II.7. Sep&amp;Discrete_Guidance_Sheet1" xfId="1799"/>
    <cellStyle name="_041005 Exhibit 4C v1_Sheet1_1_Restructuring &amp; Separation_II.7. Sep&amp;Discrete_Guidance_Sheet2" xfId="1800"/>
    <cellStyle name="_041005 Exhibit 4C v1_Sheet1_1_Restructuring &amp; Separation_II.7. Sep&amp;Discrete_Guidance_Sheet3" xfId="1801"/>
    <cellStyle name="_041005 Exhibit 4C v1_Sheet1_1_Restructuring &amp; Separation_II.7. Sep&amp;Discrete_Guidance_Sheet4" xfId="1802"/>
    <cellStyle name="_041005 Exhibit 4C v1_Sheet1_BS_Separation_TaxResIndem_Q12412 tf" xfId="1803"/>
    <cellStyle name="_041005 Exhibit 4C v1_Sheet1_BS_Separation_TaxResIndem_Q12412 tf_Guidance" xfId="1804"/>
    <cellStyle name="_041005 Exhibit 4C v1_Sheet1_BS_Separation_TaxResIndem_Q12412 tf_Guidance 2" xfId="1805"/>
    <cellStyle name="_041005 Exhibit 4C v1_Sheet1_BS_Separation_TaxResIndem_Q12412 tf_Guidance_BS retrieve" xfId="1806"/>
    <cellStyle name="_041005 Exhibit 4C v1_Sheet1_BS_Separation_TaxResIndem_Q12412 tf_Guidance_Free CF" xfId="1807"/>
    <cellStyle name="_041005 Exhibit 4C v1_Sheet1_BS_Separation_TaxResIndem_Q12412 tf_Guidance_P&amp;L Rec Qtr" xfId="1808"/>
    <cellStyle name="_041005 Exhibit 4C v1_Sheet1_BS_Separation_TaxResIndem_Q12412 tf_Guidance_Sheet1" xfId="1809"/>
    <cellStyle name="_041005 Exhibit 4C v1_Sheet1_BS_Separation_TaxResIndem_Q12412 tf_Guidance_Sheet2" xfId="1810"/>
    <cellStyle name="_041005 Exhibit 4C v1_Sheet1_BS_Separation_TaxResIndem_Q12412 tf_Guidance_Sheet3" xfId="1811"/>
    <cellStyle name="_041005 Exhibit 4C v1_Sheet1_BS_Separation_TaxResIndem_Q12412 tf_Guidance_Sheet4" xfId="1812"/>
    <cellStyle name="_041005 Exhibit 4C v1_Sheet1_BS_Separation_TaxResIndem_Q12412 tf_II.7. Sep&amp;Discrete" xfId="1813"/>
    <cellStyle name="_041005 Exhibit 4C v1_Sheet1_BS_Separation_TaxResIndem_Q12412 tf_II.7. Sep&amp;Discrete_Guidance" xfId="1814"/>
    <cellStyle name="_041005 Exhibit 4C v1_Sheet1_BS_Separation_TaxResIndem_Q12412 tf_II.7. Sep&amp;Discrete_Guidance 2" xfId="1815"/>
    <cellStyle name="_041005 Exhibit 4C v1_Sheet1_BS_Separation_TaxResIndem_Q12412 tf_II.7. Sep&amp;Discrete_Guidance_BS retrieve" xfId="1816"/>
    <cellStyle name="_041005 Exhibit 4C v1_Sheet1_BS_Separation_TaxResIndem_Q12412 tf_II.7. Sep&amp;Discrete_Guidance_Free CF" xfId="1817"/>
    <cellStyle name="_041005 Exhibit 4C v1_Sheet1_BS_Separation_TaxResIndem_Q12412 tf_II.7. Sep&amp;Discrete_Guidance_P&amp;L Rec Qtr" xfId="1818"/>
    <cellStyle name="_041005 Exhibit 4C v1_Sheet1_BS_Separation_TaxResIndem_Q12412 tf_II.7. Sep&amp;Discrete_Guidance_Sheet1" xfId="1819"/>
    <cellStyle name="_041005 Exhibit 4C v1_Sheet1_BS_Separation_TaxResIndem_Q12412 tf_II.7. Sep&amp;Discrete_Guidance_Sheet2" xfId="1820"/>
    <cellStyle name="_041005 Exhibit 4C v1_Sheet1_BS_Separation_TaxResIndem_Q12412 tf_II.7. Sep&amp;Discrete_Guidance_Sheet3" xfId="1821"/>
    <cellStyle name="_041005 Exhibit 4C v1_Sheet1_BS_Separation_TaxResIndem_Q12412 tf_II.7. Sep&amp;Discrete_Guidance_Sheet4" xfId="1822"/>
    <cellStyle name="_041005 Exhibit 4C v1_Sheet1_BS_Separation_TaxResIndem_Q12412 tf_Restructuring &amp; Separation" xfId="1823"/>
    <cellStyle name="_041005 Exhibit 4C v1_Sheet1_BS_Separation_TaxResIndem_Q12412 tf_Restructuring &amp; Separation_Guidance" xfId="1824"/>
    <cellStyle name="_041005 Exhibit 4C v1_Sheet1_BS_Separation_TaxResIndem_Q12412 tf_Restructuring &amp; Separation_Guidance 2" xfId="1825"/>
    <cellStyle name="_041005 Exhibit 4C v1_Sheet1_BS_Separation_TaxResIndem_Q12412 tf_Restructuring &amp; Separation_Guidance_BS retrieve" xfId="1826"/>
    <cellStyle name="_041005 Exhibit 4C v1_Sheet1_BS_Separation_TaxResIndem_Q12412 tf_Restructuring &amp; Separation_Guidance_Free CF" xfId="1827"/>
    <cellStyle name="_041005 Exhibit 4C v1_Sheet1_BS_Separation_TaxResIndem_Q12412 tf_Restructuring &amp; Separation_Guidance_P&amp;L Rec Qtr" xfId="1828"/>
    <cellStyle name="_041005 Exhibit 4C v1_Sheet1_BS_Separation_TaxResIndem_Q12412 tf_Restructuring &amp; Separation_Guidance_Sheet1" xfId="1829"/>
    <cellStyle name="_041005 Exhibit 4C v1_Sheet1_BS_Separation_TaxResIndem_Q12412 tf_Restructuring &amp; Separation_Guidance_Sheet2" xfId="1830"/>
    <cellStyle name="_041005 Exhibit 4C v1_Sheet1_BS_Separation_TaxResIndem_Q12412 tf_Restructuring &amp; Separation_Guidance_Sheet3" xfId="1831"/>
    <cellStyle name="_041005 Exhibit 4C v1_Sheet1_BS_Separation_TaxResIndem_Q12412 tf_Restructuring &amp; Separation_Guidance_Sheet4" xfId="1832"/>
    <cellStyle name="_041005 Exhibit 4C v1_Sheet1_BS_Separation_TaxResIndem_Q12412 tf_Restructuring &amp; Separation_II.7. Sep&amp;Discrete" xfId="1833"/>
    <cellStyle name="_041005 Exhibit 4C v1_Sheet1_BS_Separation_TaxResIndem_Q12412 tf_Restructuring &amp; Separation_II.7. Sep&amp;Discrete_Guidance" xfId="1834"/>
    <cellStyle name="_041005 Exhibit 4C v1_Sheet1_BS_Separation_TaxResIndem_Q12412 tf_Restructuring &amp; Separation_II.7. Sep&amp;Discrete_Guidance 2" xfId="1835"/>
    <cellStyle name="_041005 Exhibit 4C v1_Sheet1_BS_Separation_TaxResIndem_Q12412 tf_Restructuring &amp; Separation_II.7. Sep&amp;Discrete_Guidance_BS retrieve" xfId="1836"/>
    <cellStyle name="_041005 Exhibit 4C v1_Sheet1_BS_Separation_TaxResIndem_Q12412 tf_Restructuring &amp; Separation_II.7. Sep&amp;Discrete_Guidance_Free CF" xfId="1837"/>
    <cellStyle name="_041005 Exhibit 4C v1_Sheet1_BS_Separation_TaxResIndem_Q12412 tf_Restructuring &amp; Separation_II.7. Sep&amp;Discrete_Guidance_P&amp;L Rec Qtr" xfId="1838"/>
    <cellStyle name="_041005 Exhibit 4C v1_Sheet1_BS_Separation_TaxResIndem_Q12412 tf_Restructuring &amp; Separation_II.7. Sep&amp;Discrete_Guidance_Sheet1" xfId="1839"/>
    <cellStyle name="_041005 Exhibit 4C v1_Sheet1_BS_Separation_TaxResIndem_Q12412 tf_Restructuring &amp; Separation_II.7. Sep&amp;Discrete_Guidance_Sheet2" xfId="1840"/>
    <cellStyle name="_041005 Exhibit 4C v1_Sheet1_BS_Separation_TaxResIndem_Q12412 tf_Restructuring &amp; Separation_II.7. Sep&amp;Discrete_Guidance_Sheet3" xfId="1841"/>
    <cellStyle name="_041005 Exhibit 4C v1_Sheet1_BS_Separation_TaxResIndem_Q12412 tf_Restructuring &amp; Separation_II.7. Sep&amp;Discrete_Guidance_Sheet4" xfId="1842"/>
    <cellStyle name="_041005 Exhibit 4C v1_Sheet1_Guidance" xfId="1843"/>
    <cellStyle name="_041005 Exhibit 4C v1_Sheet1_Guidance 2" xfId="1844"/>
    <cellStyle name="_041005 Exhibit 4C v1_Sheet1_Guidance_BS retrieve" xfId="1845"/>
    <cellStyle name="_041005 Exhibit 4C v1_Sheet1_Guidance_Free CF" xfId="1846"/>
    <cellStyle name="_041005 Exhibit 4C v1_Sheet1_Guidance_P&amp;L Rec Qtr" xfId="1847"/>
    <cellStyle name="_041005 Exhibit 4C v1_Sheet1_Guidance_Sheet1" xfId="1848"/>
    <cellStyle name="_041005 Exhibit 4C v1_Sheet1_Guidance_Sheet2" xfId="1849"/>
    <cellStyle name="_041005 Exhibit 4C v1_Sheet1_Guidance_Sheet3" xfId="1850"/>
    <cellStyle name="_041005 Exhibit 4C v1_Sheet1_Guidance_Sheet4" xfId="1851"/>
    <cellStyle name="_041005 Exhibit 4C v1_Sheet1_II.7. Sep&amp;Discrete" xfId="1852"/>
    <cellStyle name="_041005 Exhibit 4C v1_Sheet1_II.7. Sep&amp;Discrete_Guidance" xfId="1853"/>
    <cellStyle name="_041005 Exhibit 4C v1_Sheet1_II.7. Sep&amp;Discrete_Guidance 2" xfId="1854"/>
    <cellStyle name="_041005 Exhibit 4C v1_Sheet1_II.7. Sep&amp;Discrete_Guidance_BS retrieve" xfId="1855"/>
    <cellStyle name="_041005 Exhibit 4C v1_Sheet1_II.7. Sep&amp;Discrete_Guidance_Free CF" xfId="1856"/>
    <cellStyle name="_041005 Exhibit 4C v1_Sheet1_II.7. Sep&amp;Discrete_Guidance_P&amp;L Rec Qtr" xfId="1857"/>
    <cellStyle name="_041005 Exhibit 4C v1_Sheet1_II.7. Sep&amp;Discrete_Guidance_Sheet1" xfId="1858"/>
    <cellStyle name="_041005 Exhibit 4C v1_Sheet1_II.7. Sep&amp;Discrete_Guidance_Sheet2" xfId="1859"/>
    <cellStyle name="_041005 Exhibit 4C v1_Sheet1_II.7. Sep&amp;Discrete_Guidance_Sheet3" xfId="1860"/>
    <cellStyle name="_041005 Exhibit 4C v1_Sheet1_II.7. Sep&amp;Discrete_Guidance_Sheet4" xfId="1861"/>
    <cellStyle name="_041005 Exhibit 4C v1_Sheet1_II.8. Sep&amp;Discrete" xfId="1862"/>
    <cellStyle name="_041005 Exhibit 4C v1_Sheet1_II.8. Sep&amp;Discrete_Guidance" xfId="1863"/>
    <cellStyle name="_041005 Exhibit 4C v1_Sheet1_II.8. Sep&amp;Discrete_Guidance 2" xfId="1864"/>
    <cellStyle name="_041005 Exhibit 4C v1_Sheet1_II.8. Sep&amp;Discrete_Guidance_BS retrieve" xfId="1865"/>
    <cellStyle name="_041005 Exhibit 4C v1_Sheet1_II.8. Sep&amp;Discrete_Guidance_Free CF" xfId="1866"/>
    <cellStyle name="_041005 Exhibit 4C v1_Sheet1_II.8. Sep&amp;Discrete_Guidance_P&amp;L Rec Qtr" xfId="1867"/>
    <cellStyle name="_041005 Exhibit 4C v1_Sheet1_II.8. Sep&amp;Discrete_Guidance_Sheet1" xfId="1868"/>
    <cellStyle name="_041005 Exhibit 4C v1_Sheet1_II.8. Sep&amp;Discrete_Guidance_Sheet2" xfId="1869"/>
    <cellStyle name="_041005 Exhibit 4C v1_Sheet1_II.8. Sep&amp;Discrete_Guidance_Sheet3" xfId="1870"/>
    <cellStyle name="_041005 Exhibit 4C v1_Sheet1_II.8. Sep&amp;Discrete_Guidance_Sheet4" xfId="1871"/>
    <cellStyle name="_041005 Exhibit 4C v1_Sheet1_Restructuring &amp; Separation" xfId="1872"/>
    <cellStyle name="_041005 Exhibit 4C v1_Sheet1_Restructuring &amp; Separation_Guidance" xfId="1873"/>
    <cellStyle name="_041005 Exhibit 4C v1_Sheet1_Restructuring &amp; Separation_Guidance 2" xfId="1874"/>
    <cellStyle name="_041005 Exhibit 4C v1_Sheet1_Restructuring &amp; Separation_Guidance_BS retrieve" xfId="1875"/>
    <cellStyle name="_041005 Exhibit 4C v1_Sheet1_Restructuring &amp; Separation_Guidance_Free CF" xfId="1876"/>
    <cellStyle name="_041005 Exhibit 4C v1_Sheet1_Restructuring &amp; Separation_Guidance_P&amp;L Rec Qtr" xfId="1877"/>
    <cellStyle name="_041005 Exhibit 4C v1_Sheet1_Restructuring &amp; Separation_Guidance_Sheet1" xfId="1878"/>
    <cellStyle name="_041005 Exhibit 4C v1_Sheet1_Restructuring &amp; Separation_Guidance_Sheet2" xfId="1879"/>
    <cellStyle name="_041005 Exhibit 4C v1_Sheet1_Restructuring &amp; Separation_Guidance_Sheet3" xfId="1880"/>
    <cellStyle name="_041005 Exhibit 4C v1_Sheet1_Restructuring &amp; Separation_Guidance_Sheet4" xfId="1881"/>
    <cellStyle name="_041005 Exhibit 4C v1_Sheet1_Restructuring &amp; Separation_II.7. Sep&amp;Discrete" xfId="1882"/>
    <cellStyle name="_041005 Exhibit 4C v1_Sheet1_Restructuring &amp; Separation_II.7. Sep&amp;Discrete_Guidance" xfId="1883"/>
    <cellStyle name="_041005 Exhibit 4C v1_Sheet1_Restructuring &amp; Separation_II.7. Sep&amp;Discrete_Guidance 2" xfId="1884"/>
    <cellStyle name="_041005 Exhibit 4C v1_Sheet1_Restructuring &amp; Separation_II.7. Sep&amp;Discrete_Guidance_BS retrieve" xfId="1885"/>
    <cellStyle name="_041005 Exhibit 4C v1_Sheet1_Restructuring &amp; Separation_II.7. Sep&amp;Discrete_Guidance_Free CF" xfId="1886"/>
    <cellStyle name="_041005 Exhibit 4C v1_Sheet1_Restructuring &amp; Separation_II.7. Sep&amp;Discrete_Guidance_P&amp;L Rec Qtr" xfId="1887"/>
    <cellStyle name="_041005 Exhibit 4C v1_Sheet1_Restructuring &amp; Separation_II.7. Sep&amp;Discrete_Guidance_Sheet1" xfId="1888"/>
    <cellStyle name="_041005 Exhibit 4C v1_Sheet1_Restructuring &amp; Separation_II.7. Sep&amp;Discrete_Guidance_Sheet2" xfId="1889"/>
    <cellStyle name="_041005 Exhibit 4C v1_Sheet1_Restructuring &amp; Separation_II.7. Sep&amp;Discrete_Guidance_Sheet3" xfId="1890"/>
    <cellStyle name="_041005 Exhibit 4C v1_Sheet1_Restructuring &amp; Separation_II.7. Sep&amp;Discrete_Guidance_Sheet4" xfId="1891"/>
    <cellStyle name="_06.04" xfId="1892"/>
    <cellStyle name="_06.04 2" xfId="1893"/>
    <cellStyle name="_12+0 MOR" xfId="1894"/>
    <cellStyle name="_12+0 MOR_BS_Separation_TaxResIndem_Q12412 tf" xfId="1895"/>
    <cellStyle name="_12+0 MOR_BS_Separation_TaxResIndem_Q12412 tf_Guidance" xfId="1896"/>
    <cellStyle name="_12+0 MOR_BS_Separation_TaxResIndem_Q12412 tf_Guidance 2" xfId="1897"/>
    <cellStyle name="_12+0 MOR_BS_Separation_TaxResIndem_Q12412 tf_Guidance_BS retrieve" xfId="1898"/>
    <cellStyle name="_12+0 MOR_BS_Separation_TaxResIndem_Q12412 tf_Guidance_Free CF" xfId="1899"/>
    <cellStyle name="_12+0 MOR_BS_Separation_TaxResIndem_Q12412 tf_Guidance_P&amp;L Rec Qtr" xfId="1900"/>
    <cellStyle name="_12+0 MOR_BS_Separation_TaxResIndem_Q12412 tf_Guidance_Sheet1" xfId="1901"/>
    <cellStyle name="_12+0 MOR_BS_Separation_TaxResIndem_Q12412 tf_Guidance_Sheet2" xfId="1902"/>
    <cellStyle name="_12+0 MOR_BS_Separation_TaxResIndem_Q12412 tf_Guidance_Sheet3" xfId="1903"/>
    <cellStyle name="_12+0 MOR_BS_Separation_TaxResIndem_Q12412 tf_Guidance_Sheet4" xfId="1904"/>
    <cellStyle name="_12+0 MOR_BS_Separation_TaxResIndem_Q12412 tf_II.7. Sep&amp;Discrete" xfId="1905"/>
    <cellStyle name="_12+0 MOR_BS_Separation_TaxResIndem_Q12412 tf_II.7. Sep&amp;Discrete_Guidance" xfId="1906"/>
    <cellStyle name="_12+0 MOR_BS_Separation_TaxResIndem_Q12412 tf_II.7. Sep&amp;Discrete_Guidance 2" xfId="1907"/>
    <cellStyle name="_12+0 MOR_BS_Separation_TaxResIndem_Q12412 tf_II.7. Sep&amp;Discrete_Guidance_BS retrieve" xfId="1908"/>
    <cellStyle name="_12+0 MOR_BS_Separation_TaxResIndem_Q12412 tf_II.7. Sep&amp;Discrete_Guidance_Free CF" xfId="1909"/>
    <cellStyle name="_12+0 MOR_BS_Separation_TaxResIndem_Q12412 tf_II.7. Sep&amp;Discrete_Guidance_P&amp;L Rec Qtr" xfId="1910"/>
    <cellStyle name="_12+0 MOR_BS_Separation_TaxResIndem_Q12412 tf_II.7. Sep&amp;Discrete_Guidance_Sheet1" xfId="1911"/>
    <cellStyle name="_12+0 MOR_BS_Separation_TaxResIndem_Q12412 tf_II.7. Sep&amp;Discrete_Guidance_Sheet2" xfId="1912"/>
    <cellStyle name="_12+0 MOR_BS_Separation_TaxResIndem_Q12412 tf_II.7. Sep&amp;Discrete_Guidance_Sheet3" xfId="1913"/>
    <cellStyle name="_12+0 MOR_BS_Separation_TaxResIndem_Q12412 tf_II.7. Sep&amp;Discrete_Guidance_Sheet4" xfId="1914"/>
    <cellStyle name="_12+0 MOR_BS_Separation_TaxResIndem_Q12412 tf_Restructuring &amp; Separation" xfId="1915"/>
    <cellStyle name="_12+0 MOR_BS_Separation_TaxResIndem_Q12412 tf_Restructuring &amp; Separation_Guidance" xfId="1916"/>
    <cellStyle name="_12+0 MOR_BS_Separation_TaxResIndem_Q12412 tf_Restructuring &amp; Separation_Guidance 2" xfId="1917"/>
    <cellStyle name="_12+0 MOR_BS_Separation_TaxResIndem_Q12412 tf_Restructuring &amp; Separation_Guidance_BS retrieve" xfId="1918"/>
    <cellStyle name="_12+0 MOR_BS_Separation_TaxResIndem_Q12412 tf_Restructuring &amp; Separation_Guidance_Free CF" xfId="1919"/>
    <cellStyle name="_12+0 MOR_BS_Separation_TaxResIndem_Q12412 tf_Restructuring &amp; Separation_Guidance_P&amp;L Rec Qtr" xfId="1920"/>
    <cellStyle name="_12+0 MOR_BS_Separation_TaxResIndem_Q12412 tf_Restructuring &amp; Separation_Guidance_Sheet1" xfId="1921"/>
    <cellStyle name="_12+0 MOR_BS_Separation_TaxResIndem_Q12412 tf_Restructuring &amp; Separation_Guidance_Sheet2" xfId="1922"/>
    <cellStyle name="_12+0 MOR_BS_Separation_TaxResIndem_Q12412 tf_Restructuring &amp; Separation_Guidance_Sheet3" xfId="1923"/>
    <cellStyle name="_12+0 MOR_BS_Separation_TaxResIndem_Q12412 tf_Restructuring &amp; Separation_Guidance_Sheet4" xfId="1924"/>
    <cellStyle name="_12+0 MOR_BS_Separation_TaxResIndem_Q12412 tf_Restructuring &amp; Separation_II.7. Sep&amp;Discrete" xfId="1925"/>
    <cellStyle name="_12+0 MOR_BS_Separation_TaxResIndem_Q12412 tf_Restructuring &amp; Separation_II.7. Sep&amp;Discrete_Guidance" xfId="1926"/>
    <cellStyle name="_12+0 MOR_BS_Separation_TaxResIndem_Q12412 tf_Restructuring &amp; Separation_II.7. Sep&amp;Discrete_Guidance 2" xfId="1927"/>
    <cellStyle name="_12+0 MOR_BS_Separation_TaxResIndem_Q12412 tf_Restructuring &amp; Separation_II.7. Sep&amp;Discrete_Guidance_BS retrieve" xfId="1928"/>
    <cellStyle name="_12+0 MOR_BS_Separation_TaxResIndem_Q12412 tf_Restructuring &amp; Separation_II.7. Sep&amp;Discrete_Guidance_Free CF" xfId="1929"/>
    <cellStyle name="_12+0 MOR_BS_Separation_TaxResIndem_Q12412 tf_Restructuring &amp; Separation_II.7. Sep&amp;Discrete_Guidance_P&amp;L Rec Qtr" xfId="1930"/>
    <cellStyle name="_12+0 MOR_BS_Separation_TaxResIndem_Q12412 tf_Restructuring &amp; Separation_II.7. Sep&amp;Discrete_Guidance_Sheet1" xfId="1931"/>
    <cellStyle name="_12+0 MOR_BS_Separation_TaxResIndem_Q12412 tf_Restructuring &amp; Separation_II.7. Sep&amp;Discrete_Guidance_Sheet2" xfId="1932"/>
    <cellStyle name="_12+0 MOR_BS_Separation_TaxResIndem_Q12412 tf_Restructuring &amp; Separation_II.7. Sep&amp;Discrete_Guidance_Sheet3" xfId="1933"/>
    <cellStyle name="_12+0 MOR_BS_Separation_TaxResIndem_Q12412 tf_Restructuring &amp; Separation_II.7. Sep&amp;Discrete_Guidance_Sheet4" xfId="1934"/>
    <cellStyle name="_12+0 MOR_By Country Detail 1Q10 041410pm FIN 18 revised per disc w Mary" xfId="1935"/>
    <cellStyle name="_12+0 MOR_By Country Detail 1Q10 041410pm FIN 18 revised per disc w Mary_BS_Separation_TaxResIndem_Q12412 tf" xfId="1936"/>
    <cellStyle name="_12+0 MOR_By Country Detail 1Q10 041410pm FIN 18 revised per disc w Mary_BS_Separation_TaxResIndem_Q12412 tf_Guidance" xfId="1937"/>
    <cellStyle name="_12+0 MOR_By Country Detail 1Q10 041410pm FIN 18 revised per disc w Mary_BS_Separation_TaxResIndem_Q12412 tf_Guidance 2" xfId="1938"/>
    <cellStyle name="_12+0 MOR_By Country Detail 1Q10 041410pm FIN 18 revised per disc w Mary_BS_Separation_TaxResIndem_Q12412 tf_Guidance_BS retrieve" xfId="1939"/>
    <cellStyle name="_12+0 MOR_By Country Detail 1Q10 041410pm FIN 18 revised per disc w Mary_BS_Separation_TaxResIndem_Q12412 tf_Guidance_Free CF" xfId="1940"/>
    <cellStyle name="_12+0 MOR_By Country Detail 1Q10 041410pm FIN 18 revised per disc w Mary_BS_Separation_TaxResIndem_Q12412 tf_Guidance_P&amp;L Rec Qtr" xfId="1941"/>
    <cellStyle name="_12+0 MOR_By Country Detail 1Q10 041410pm FIN 18 revised per disc w Mary_BS_Separation_TaxResIndem_Q12412 tf_Guidance_Sheet1" xfId="1942"/>
    <cellStyle name="_12+0 MOR_By Country Detail 1Q10 041410pm FIN 18 revised per disc w Mary_BS_Separation_TaxResIndem_Q12412 tf_Guidance_Sheet2" xfId="1943"/>
    <cellStyle name="_12+0 MOR_By Country Detail 1Q10 041410pm FIN 18 revised per disc w Mary_BS_Separation_TaxResIndem_Q12412 tf_Guidance_Sheet3" xfId="1944"/>
    <cellStyle name="_12+0 MOR_By Country Detail 1Q10 041410pm FIN 18 revised per disc w Mary_BS_Separation_TaxResIndem_Q12412 tf_Guidance_Sheet4" xfId="1945"/>
    <cellStyle name="_12+0 MOR_By Country Detail 1Q10 041410pm FIN 18 revised per disc w Mary_BS_Separation_TaxResIndem_Q12412 tf_II.7. Sep&amp;Discrete" xfId="1946"/>
    <cellStyle name="_12+0 MOR_By Country Detail 1Q10 041410pm FIN 18 revised per disc w Mary_BS_Separation_TaxResIndem_Q12412 tf_II.7. Sep&amp;Discrete_Guidance" xfId="1947"/>
    <cellStyle name="_12+0 MOR_By Country Detail 1Q10 041410pm FIN 18 revised per disc w Mary_BS_Separation_TaxResIndem_Q12412 tf_II.7. Sep&amp;Discrete_Guidance 2" xfId="1948"/>
    <cellStyle name="_12+0 MOR_By Country Detail 1Q10 041410pm FIN 18 revised per disc w Mary_BS_Separation_TaxResIndem_Q12412 tf_II.7. Sep&amp;Discrete_Guidance_BS retrieve" xfId="1949"/>
    <cellStyle name="_12+0 MOR_By Country Detail 1Q10 041410pm FIN 18 revised per disc w Mary_BS_Separation_TaxResIndem_Q12412 tf_II.7. Sep&amp;Discrete_Guidance_Free CF" xfId="1950"/>
    <cellStyle name="_12+0 MOR_By Country Detail 1Q10 041410pm FIN 18 revised per disc w Mary_BS_Separation_TaxResIndem_Q12412 tf_II.7. Sep&amp;Discrete_Guidance_P&amp;L Rec Qtr" xfId="1951"/>
    <cellStyle name="_12+0 MOR_By Country Detail 1Q10 041410pm FIN 18 revised per disc w Mary_BS_Separation_TaxResIndem_Q12412 tf_II.7. Sep&amp;Discrete_Guidance_Sheet1" xfId="1952"/>
    <cellStyle name="_12+0 MOR_By Country Detail 1Q10 041410pm FIN 18 revised per disc w Mary_BS_Separation_TaxResIndem_Q12412 tf_II.7. Sep&amp;Discrete_Guidance_Sheet2" xfId="1953"/>
    <cellStyle name="_12+0 MOR_By Country Detail 1Q10 041410pm FIN 18 revised per disc w Mary_BS_Separation_TaxResIndem_Q12412 tf_II.7. Sep&amp;Discrete_Guidance_Sheet3" xfId="1954"/>
    <cellStyle name="_12+0 MOR_By Country Detail 1Q10 041410pm FIN 18 revised per disc w Mary_BS_Separation_TaxResIndem_Q12412 tf_II.7. Sep&amp;Discrete_Guidance_Sheet4" xfId="1955"/>
    <cellStyle name="_12+0 MOR_By Country Detail 1Q10 041410pm FIN 18 revised per disc w Mary_BS_Separation_TaxResIndem_Q12412 tf_Restructuring &amp; Separation" xfId="1956"/>
    <cellStyle name="_12+0 MOR_By Country Detail 1Q10 041410pm FIN 18 revised per disc w Mary_BS_Separation_TaxResIndem_Q12412 tf_Restructuring &amp; Separation_Guidance" xfId="1957"/>
    <cellStyle name="_12+0 MOR_By Country Detail 1Q10 041410pm FIN 18 revised per disc w Mary_BS_Separation_TaxResIndem_Q12412 tf_Restructuring &amp; Separation_Guidance 2" xfId="1958"/>
    <cellStyle name="_12+0 MOR_By Country Detail 1Q10 041410pm FIN 18 revised per disc w Mary_BS_Separation_TaxResIndem_Q12412 tf_Restructuring &amp; Separation_Guidance_BS retrieve" xfId="1959"/>
    <cellStyle name="_12+0 MOR_By Country Detail 1Q10 041410pm FIN 18 revised per disc w Mary_BS_Separation_TaxResIndem_Q12412 tf_Restructuring &amp; Separation_Guidance_Free CF" xfId="1960"/>
    <cellStyle name="_12+0 MOR_By Country Detail 1Q10 041410pm FIN 18 revised per disc w Mary_BS_Separation_TaxResIndem_Q12412 tf_Restructuring &amp; Separation_Guidance_P&amp;L Rec Qtr" xfId="1961"/>
    <cellStyle name="_12+0 MOR_By Country Detail 1Q10 041410pm FIN 18 revised per disc w Mary_BS_Separation_TaxResIndem_Q12412 tf_Restructuring &amp; Separation_Guidance_Sheet1" xfId="1962"/>
    <cellStyle name="_12+0 MOR_By Country Detail 1Q10 041410pm FIN 18 revised per disc w Mary_BS_Separation_TaxResIndem_Q12412 tf_Restructuring &amp; Separation_Guidance_Sheet2" xfId="1963"/>
    <cellStyle name="_12+0 MOR_By Country Detail 1Q10 041410pm FIN 18 revised per disc w Mary_BS_Separation_TaxResIndem_Q12412 tf_Restructuring &amp; Separation_Guidance_Sheet3" xfId="1964"/>
    <cellStyle name="_12+0 MOR_By Country Detail 1Q10 041410pm FIN 18 revised per disc w Mary_BS_Separation_TaxResIndem_Q12412 tf_Restructuring &amp; Separation_Guidance_Sheet4" xfId="1965"/>
    <cellStyle name="_12+0 MOR_By Country Detail 1Q10 041410pm FIN 18 revised per disc w Mary_BS_Separation_TaxResIndem_Q12412 tf_Restructuring &amp; Separation_II.7. Sep&amp;Discrete" xfId="1966"/>
    <cellStyle name="_12+0 MOR_By Country Detail 1Q10 041410pm FIN 18 revised per disc w Mary_BS_Separation_TaxResIndem_Q12412 tf_Restructuring &amp; Separation_II.7. Sep&amp;Discrete_Guidance" xfId="1967"/>
    <cellStyle name="_12+0 MOR_By Country Detail 1Q10 041410pm FIN 18 revised per disc w Mary_BS_Separation_TaxResIndem_Q12412 tf_Restructuring &amp; Separation_II.7. Sep&amp;Discrete_Guidance 2" xfId="1968"/>
    <cellStyle name="_12+0 MOR_By Country Detail 1Q10 041410pm FIN 18 revised per disc w Mary_BS_Separation_TaxResIndem_Q12412 tf_Restructuring &amp; Separation_II.7. Sep&amp;Discrete_Guidance_BS retrieve" xfId="1969"/>
    <cellStyle name="_12+0 MOR_By Country Detail 1Q10 041410pm FIN 18 revised per disc w Mary_BS_Separation_TaxResIndem_Q12412 tf_Restructuring &amp; Separation_II.7. Sep&amp;Discrete_Guidance_Free CF" xfId="1970"/>
    <cellStyle name="_12+0 MOR_By Country Detail 1Q10 041410pm FIN 18 revised per disc w Mary_BS_Separation_TaxResIndem_Q12412 tf_Restructuring &amp; Separation_II.7. Sep&amp;Discrete_Guidance_P&amp;L Rec Qtr" xfId="1971"/>
    <cellStyle name="_12+0 MOR_By Country Detail 1Q10 041410pm FIN 18 revised per disc w Mary_BS_Separation_TaxResIndem_Q12412 tf_Restructuring &amp; Separation_II.7. Sep&amp;Discrete_Guidance_Sheet1" xfId="1972"/>
    <cellStyle name="_12+0 MOR_By Country Detail 1Q10 041410pm FIN 18 revised per disc w Mary_BS_Separation_TaxResIndem_Q12412 tf_Restructuring &amp; Separation_II.7. Sep&amp;Discrete_Guidance_Sheet2" xfId="1973"/>
    <cellStyle name="_12+0 MOR_By Country Detail 1Q10 041410pm FIN 18 revised per disc w Mary_BS_Separation_TaxResIndem_Q12412 tf_Restructuring &amp; Separation_II.7. Sep&amp;Discrete_Guidance_Sheet3" xfId="1974"/>
    <cellStyle name="_12+0 MOR_By Country Detail 1Q10 041410pm FIN 18 revised per disc w Mary_BS_Separation_TaxResIndem_Q12412 tf_Restructuring &amp; Separation_II.7. Sep&amp;Discrete_Guidance_Sheet4" xfId="1975"/>
    <cellStyle name="_12+0 MOR_By Country Detail 1Q10 041410pm FIN 18 revised per disc w Mary_Guidance" xfId="1976"/>
    <cellStyle name="_12+0 MOR_By Country Detail 1Q10 041410pm FIN 18 revised per disc w Mary_Guidance 2" xfId="1977"/>
    <cellStyle name="_12+0 MOR_By Country Detail 1Q10 041410pm FIN 18 revised per disc w Mary_Guidance_BS retrieve" xfId="1978"/>
    <cellStyle name="_12+0 MOR_By Country Detail 1Q10 041410pm FIN 18 revised per disc w Mary_Guidance_Free CF" xfId="1979"/>
    <cellStyle name="_12+0 MOR_By Country Detail 1Q10 041410pm FIN 18 revised per disc w Mary_Guidance_P&amp;L Rec Qtr" xfId="1980"/>
    <cellStyle name="_12+0 MOR_By Country Detail 1Q10 041410pm FIN 18 revised per disc w Mary_Guidance_Sheet1" xfId="1981"/>
    <cellStyle name="_12+0 MOR_By Country Detail 1Q10 041410pm FIN 18 revised per disc w Mary_Guidance_Sheet2" xfId="1982"/>
    <cellStyle name="_12+0 MOR_By Country Detail 1Q10 041410pm FIN 18 revised per disc w Mary_Guidance_Sheet3" xfId="1983"/>
    <cellStyle name="_12+0 MOR_By Country Detail 1Q10 041410pm FIN 18 revised per disc w Mary_Guidance_Sheet4" xfId="1984"/>
    <cellStyle name="_12+0 MOR_By Country Detail 1Q10 041410pm FIN 18 revised per disc w Mary_II.7. Sep&amp;Discrete" xfId="1985"/>
    <cellStyle name="_12+0 MOR_By Country Detail 1Q10 041410pm FIN 18 revised per disc w Mary_II.7. Sep&amp;Discrete_Guidance" xfId="1986"/>
    <cellStyle name="_12+0 MOR_By Country Detail 1Q10 041410pm FIN 18 revised per disc w Mary_II.7. Sep&amp;Discrete_Guidance 2" xfId="1987"/>
    <cellStyle name="_12+0 MOR_By Country Detail 1Q10 041410pm FIN 18 revised per disc w Mary_II.7. Sep&amp;Discrete_Guidance_BS retrieve" xfId="1988"/>
    <cellStyle name="_12+0 MOR_By Country Detail 1Q10 041410pm FIN 18 revised per disc w Mary_II.7. Sep&amp;Discrete_Guidance_Free CF" xfId="1989"/>
    <cellStyle name="_12+0 MOR_By Country Detail 1Q10 041410pm FIN 18 revised per disc w Mary_II.7. Sep&amp;Discrete_Guidance_P&amp;L Rec Qtr" xfId="1990"/>
    <cellStyle name="_12+0 MOR_By Country Detail 1Q10 041410pm FIN 18 revised per disc w Mary_II.7. Sep&amp;Discrete_Guidance_Sheet1" xfId="1991"/>
    <cellStyle name="_12+0 MOR_By Country Detail 1Q10 041410pm FIN 18 revised per disc w Mary_II.7. Sep&amp;Discrete_Guidance_Sheet2" xfId="1992"/>
    <cellStyle name="_12+0 MOR_By Country Detail 1Q10 041410pm FIN 18 revised per disc w Mary_II.7. Sep&amp;Discrete_Guidance_Sheet3" xfId="1993"/>
    <cellStyle name="_12+0 MOR_By Country Detail 1Q10 041410pm FIN 18 revised per disc w Mary_II.7. Sep&amp;Discrete_Guidance_Sheet4" xfId="1994"/>
    <cellStyle name="_12+0 MOR_By Country Detail 1Q10 041410pm FIN 18 revised per disc w Mary_II.8. Sep&amp;Discrete" xfId="1995"/>
    <cellStyle name="_12+0 MOR_By Country Detail 1Q10 041410pm FIN 18 revised per disc w Mary_II.8. Sep&amp;Discrete_Guidance" xfId="1996"/>
    <cellStyle name="_12+0 MOR_By Country Detail 1Q10 041410pm FIN 18 revised per disc w Mary_II.8. Sep&amp;Discrete_Guidance 2" xfId="1997"/>
    <cellStyle name="_12+0 MOR_By Country Detail 1Q10 041410pm FIN 18 revised per disc w Mary_II.8. Sep&amp;Discrete_Guidance_BS retrieve" xfId="1998"/>
    <cellStyle name="_12+0 MOR_By Country Detail 1Q10 041410pm FIN 18 revised per disc w Mary_II.8. Sep&amp;Discrete_Guidance_Free CF" xfId="1999"/>
    <cellStyle name="_12+0 MOR_By Country Detail 1Q10 041410pm FIN 18 revised per disc w Mary_II.8. Sep&amp;Discrete_Guidance_P&amp;L Rec Qtr" xfId="2000"/>
    <cellStyle name="_12+0 MOR_By Country Detail 1Q10 041410pm FIN 18 revised per disc w Mary_II.8. Sep&amp;Discrete_Guidance_Sheet1" xfId="2001"/>
    <cellStyle name="_12+0 MOR_By Country Detail 1Q10 041410pm FIN 18 revised per disc w Mary_II.8. Sep&amp;Discrete_Guidance_Sheet2" xfId="2002"/>
    <cellStyle name="_12+0 MOR_By Country Detail 1Q10 041410pm FIN 18 revised per disc w Mary_II.8. Sep&amp;Discrete_Guidance_Sheet3" xfId="2003"/>
    <cellStyle name="_12+0 MOR_By Country Detail 1Q10 041410pm FIN 18 revised per disc w Mary_II.8. Sep&amp;Discrete_Guidance_Sheet4" xfId="2004"/>
    <cellStyle name="_12+0 MOR_By Country Detail 1Q10 041410pm FIN 18 revised per disc w Mary_Restructuring &amp; Separation" xfId="2005"/>
    <cellStyle name="_12+0 MOR_By Country Detail 1Q10 041410pm FIN 18 revised per disc w Mary_Restructuring &amp; Separation_Guidance" xfId="2006"/>
    <cellStyle name="_12+0 MOR_By Country Detail 1Q10 041410pm FIN 18 revised per disc w Mary_Restructuring &amp; Separation_Guidance 2" xfId="2007"/>
    <cellStyle name="_12+0 MOR_By Country Detail 1Q10 041410pm FIN 18 revised per disc w Mary_Restructuring &amp; Separation_Guidance_BS retrieve" xfId="2008"/>
    <cellStyle name="_12+0 MOR_By Country Detail 1Q10 041410pm FIN 18 revised per disc w Mary_Restructuring &amp; Separation_Guidance_Free CF" xfId="2009"/>
    <cellStyle name="_12+0 MOR_By Country Detail 1Q10 041410pm FIN 18 revised per disc w Mary_Restructuring &amp; Separation_Guidance_P&amp;L Rec Qtr" xfId="2010"/>
    <cellStyle name="_12+0 MOR_By Country Detail 1Q10 041410pm FIN 18 revised per disc w Mary_Restructuring &amp; Separation_Guidance_Sheet1" xfId="2011"/>
    <cellStyle name="_12+0 MOR_By Country Detail 1Q10 041410pm FIN 18 revised per disc w Mary_Restructuring &amp; Separation_Guidance_Sheet2" xfId="2012"/>
    <cellStyle name="_12+0 MOR_By Country Detail 1Q10 041410pm FIN 18 revised per disc w Mary_Restructuring &amp; Separation_Guidance_Sheet3" xfId="2013"/>
    <cellStyle name="_12+0 MOR_By Country Detail 1Q10 041410pm FIN 18 revised per disc w Mary_Restructuring &amp; Separation_Guidance_Sheet4" xfId="2014"/>
    <cellStyle name="_12+0 MOR_By Country Detail 1Q10 041410pm FIN 18 revised per disc w Mary_Restructuring &amp; Separation_II.7. Sep&amp;Discrete" xfId="2015"/>
    <cellStyle name="_12+0 MOR_By Country Detail 1Q10 041410pm FIN 18 revised per disc w Mary_Restructuring &amp; Separation_II.7. Sep&amp;Discrete_Guidance" xfId="2016"/>
    <cellStyle name="_12+0 MOR_By Country Detail 1Q10 041410pm FIN 18 revised per disc w Mary_Restructuring &amp; Separation_II.7. Sep&amp;Discrete_Guidance 2" xfId="2017"/>
    <cellStyle name="_12+0 MOR_By Country Detail 1Q10 041410pm FIN 18 revised per disc w Mary_Restructuring &amp; Separation_II.7. Sep&amp;Discrete_Guidance_BS retrieve" xfId="2018"/>
    <cellStyle name="_12+0 MOR_By Country Detail 1Q10 041410pm FIN 18 revised per disc w Mary_Restructuring &amp; Separation_II.7. Sep&amp;Discrete_Guidance_Free CF" xfId="2019"/>
    <cellStyle name="_12+0 MOR_By Country Detail 1Q10 041410pm FIN 18 revised per disc w Mary_Restructuring &amp; Separation_II.7. Sep&amp;Discrete_Guidance_P&amp;L Rec Qtr" xfId="2020"/>
    <cellStyle name="_12+0 MOR_By Country Detail 1Q10 041410pm FIN 18 revised per disc w Mary_Restructuring &amp; Separation_II.7. Sep&amp;Discrete_Guidance_Sheet1" xfId="2021"/>
    <cellStyle name="_12+0 MOR_By Country Detail 1Q10 041410pm FIN 18 revised per disc w Mary_Restructuring &amp; Separation_II.7. Sep&amp;Discrete_Guidance_Sheet2" xfId="2022"/>
    <cellStyle name="_12+0 MOR_By Country Detail 1Q10 041410pm FIN 18 revised per disc w Mary_Restructuring &amp; Separation_II.7. Sep&amp;Discrete_Guidance_Sheet3" xfId="2023"/>
    <cellStyle name="_12+0 MOR_By Country Detail 1Q10 041410pm FIN 18 revised per disc w Mary_Restructuring &amp; Separation_II.7. Sep&amp;Discrete_Guidance_Sheet4" xfId="2024"/>
    <cellStyle name="_12+0 MOR_Guidance" xfId="2025"/>
    <cellStyle name="_12+0 MOR_Guidance 2" xfId="2026"/>
    <cellStyle name="_12+0 MOR_Guidance_BS retrieve" xfId="2027"/>
    <cellStyle name="_12+0 MOR_Guidance_Free CF" xfId="2028"/>
    <cellStyle name="_12+0 MOR_Guidance_P&amp;L Rec Qtr" xfId="2029"/>
    <cellStyle name="_12+0 MOR_Guidance_Sheet1" xfId="2030"/>
    <cellStyle name="_12+0 MOR_Guidance_Sheet2" xfId="2031"/>
    <cellStyle name="_12+0 MOR_Guidance_Sheet3" xfId="2032"/>
    <cellStyle name="_12+0 MOR_Guidance_Sheet4" xfId="2033"/>
    <cellStyle name="_12+0 MOR_II.4. RawMaterials" xfId="2034"/>
    <cellStyle name="_12+0 MOR_II.4. RawMaterials 2" xfId="2035"/>
    <cellStyle name="_12+0 MOR_II.4. RawMaterials_BS retrieve" xfId="2036"/>
    <cellStyle name="_12+0 MOR_II.4. RawMaterials_Free CF" xfId="2037"/>
    <cellStyle name="_12+0 MOR_II.4. RawMaterials_P&amp;L Rec Qtr" xfId="2038"/>
    <cellStyle name="_12+0 MOR_II.4. RawMaterials_Sheet1" xfId="2039"/>
    <cellStyle name="_12+0 MOR_II.4. RawMaterials_Sheet2" xfId="2040"/>
    <cellStyle name="_12+0 MOR_II.4. RawMaterials_Sheet3" xfId="2041"/>
    <cellStyle name="_12+0 MOR_II.4. RawMaterials_Sheet4" xfId="2042"/>
    <cellStyle name="_12+0 MOR_II.5. RawMaterials" xfId="2043"/>
    <cellStyle name="_12+0 MOR_II.5. RawMaterials 2" xfId="2044"/>
    <cellStyle name="_12+0 MOR_II.5. RawMaterials_BS retrieve" xfId="2045"/>
    <cellStyle name="_12+0 MOR_II.5. RawMaterials_Free CF" xfId="2046"/>
    <cellStyle name="_12+0 MOR_II.5. RawMaterials_Guidance" xfId="2047"/>
    <cellStyle name="_12+0 MOR_II.5. RawMaterials_Guidance 2" xfId="2048"/>
    <cellStyle name="_12+0 MOR_II.5. RawMaterials_Guidance_BS retrieve" xfId="2049"/>
    <cellStyle name="_12+0 MOR_II.5. RawMaterials_Guidance_Free CF" xfId="2050"/>
    <cellStyle name="_12+0 MOR_II.5. RawMaterials_Guidance_P&amp;L Rec Qtr" xfId="2051"/>
    <cellStyle name="_12+0 MOR_II.5. RawMaterials_Guidance_Sheet1" xfId="2052"/>
    <cellStyle name="_12+0 MOR_II.5. RawMaterials_Guidance_Sheet2" xfId="2053"/>
    <cellStyle name="_12+0 MOR_II.5. RawMaterials_Guidance_Sheet3" xfId="2054"/>
    <cellStyle name="_12+0 MOR_II.5. RawMaterials_Guidance_Sheet4" xfId="2055"/>
    <cellStyle name="_12+0 MOR_II.5. RawMaterials_P&amp;L Rec Qtr" xfId="2056"/>
    <cellStyle name="_12+0 MOR_II.5. RawMaterials_Sheet1" xfId="2057"/>
    <cellStyle name="_12+0 MOR_II.5. RawMaterials_Sheet2" xfId="2058"/>
    <cellStyle name="_12+0 MOR_II.5. RawMaterials_Sheet3" xfId="2059"/>
    <cellStyle name="_12+0 MOR_II.5. RawMaterials_Sheet4" xfId="2060"/>
    <cellStyle name="_12+0 MOR_II.5. RM Volume Sensitivities" xfId="2061"/>
    <cellStyle name="_12+0 MOR_II.5. RM Volume Sensitivities 2" xfId="2062"/>
    <cellStyle name="_12+0 MOR_II.5. RM Volume Sensitivities_BS retrieve" xfId="2063"/>
    <cellStyle name="_12+0 MOR_II.5. RM Volume Sensitivities_Free CF" xfId="2064"/>
    <cellStyle name="_12+0 MOR_II.5. RM Volume Sensitivities_P&amp;L Rec Qtr" xfId="2065"/>
    <cellStyle name="_12+0 MOR_II.5. RM Volume Sensitivities_Sheet1" xfId="2066"/>
    <cellStyle name="_12+0 MOR_II.5. RM Volume Sensitivities_Sheet2" xfId="2067"/>
    <cellStyle name="_12+0 MOR_II.5. RM Volume Sensitivities_Sheet3" xfId="2068"/>
    <cellStyle name="_12+0 MOR_II.5. RM Volume Sensitivities_Sheet4" xfId="2069"/>
    <cellStyle name="_12+0 MOR_II.7. Sep&amp;Discrete" xfId="2070"/>
    <cellStyle name="_12+0 MOR_II.7. Sep&amp;Discrete_Guidance" xfId="2071"/>
    <cellStyle name="_12+0 MOR_II.7. Sep&amp;Discrete_Guidance 2" xfId="2072"/>
    <cellStyle name="_12+0 MOR_II.7. Sep&amp;Discrete_Guidance_BS retrieve" xfId="2073"/>
    <cellStyle name="_12+0 MOR_II.7. Sep&amp;Discrete_Guidance_Free CF" xfId="2074"/>
    <cellStyle name="_12+0 MOR_II.7. Sep&amp;Discrete_Guidance_P&amp;L Rec Qtr" xfId="2075"/>
    <cellStyle name="_12+0 MOR_II.7. Sep&amp;Discrete_Guidance_Sheet1" xfId="2076"/>
    <cellStyle name="_12+0 MOR_II.7. Sep&amp;Discrete_Guidance_Sheet2" xfId="2077"/>
    <cellStyle name="_12+0 MOR_II.7. Sep&amp;Discrete_Guidance_Sheet3" xfId="2078"/>
    <cellStyle name="_12+0 MOR_II.7. Sep&amp;Discrete_Guidance_Sheet4" xfId="2079"/>
    <cellStyle name="_12+0 MOR_II.8. Sep&amp;Discrete" xfId="2080"/>
    <cellStyle name="_12+0 MOR_II.8. Sep&amp;Discrete_Guidance" xfId="2081"/>
    <cellStyle name="_12+0 MOR_II.8. Sep&amp;Discrete_Guidance 2" xfId="2082"/>
    <cellStyle name="_12+0 MOR_II.8. Sep&amp;Discrete_Guidance_BS retrieve" xfId="2083"/>
    <cellStyle name="_12+0 MOR_II.8. Sep&amp;Discrete_Guidance_Free CF" xfId="2084"/>
    <cellStyle name="_12+0 MOR_II.8. Sep&amp;Discrete_Guidance_P&amp;L Rec Qtr" xfId="2085"/>
    <cellStyle name="_12+0 MOR_II.8. Sep&amp;Discrete_Guidance_Sheet1" xfId="2086"/>
    <cellStyle name="_12+0 MOR_II.8. Sep&amp;Discrete_Guidance_Sheet2" xfId="2087"/>
    <cellStyle name="_12+0 MOR_II.8. Sep&amp;Discrete_Guidance_Sheet3" xfId="2088"/>
    <cellStyle name="_12+0 MOR_II.8. Sep&amp;Discrete_Guidance_Sheet4" xfId="2089"/>
    <cellStyle name="_12+0 MOR_Restructuring &amp; Separation" xfId="2090"/>
    <cellStyle name="_12+0 MOR_Restructuring &amp; Separation_Guidance" xfId="2091"/>
    <cellStyle name="_12+0 MOR_Restructuring &amp; Separation_Guidance 2" xfId="2092"/>
    <cellStyle name="_12+0 MOR_Restructuring &amp; Separation_Guidance_BS retrieve" xfId="2093"/>
    <cellStyle name="_12+0 MOR_Restructuring &amp; Separation_Guidance_Free CF" xfId="2094"/>
    <cellStyle name="_12+0 MOR_Restructuring &amp; Separation_Guidance_P&amp;L Rec Qtr" xfId="2095"/>
    <cellStyle name="_12+0 MOR_Restructuring &amp; Separation_Guidance_Sheet1" xfId="2096"/>
    <cellStyle name="_12+0 MOR_Restructuring &amp; Separation_Guidance_Sheet2" xfId="2097"/>
    <cellStyle name="_12+0 MOR_Restructuring &amp; Separation_Guidance_Sheet3" xfId="2098"/>
    <cellStyle name="_12+0 MOR_Restructuring &amp; Separation_Guidance_Sheet4" xfId="2099"/>
    <cellStyle name="_12+0 MOR_Restructuring &amp; Separation_II.7. Sep&amp;Discrete" xfId="2100"/>
    <cellStyle name="_12+0 MOR_Restructuring &amp; Separation_II.7. Sep&amp;Discrete_Guidance" xfId="2101"/>
    <cellStyle name="_12+0 MOR_Restructuring &amp; Separation_II.7. Sep&amp;Discrete_Guidance 2" xfId="2102"/>
    <cellStyle name="_12+0 MOR_Restructuring &amp; Separation_II.7. Sep&amp;Discrete_Guidance_BS retrieve" xfId="2103"/>
    <cellStyle name="_12+0 MOR_Restructuring &amp; Separation_II.7. Sep&amp;Discrete_Guidance_Free CF" xfId="2104"/>
    <cellStyle name="_12+0 MOR_Restructuring &amp; Separation_II.7. Sep&amp;Discrete_Guidance_P&amp;L Rec Qtr" xfId="2105"/>
    <cellStyle name="_12+0 MOR_Restructuring &amp; Separation_II.7. Sep&amp;Discrete_Guidance_Sheet1" xfId="2106"/>
    <cellStyle name="_12+0 MOR_Restructuring &amp; Separation_II.7. Sep&amp;Discrete_Guidance_Sheet2" xfId="2107"/>
    <cellStyle name="_12+0 MOR_Restructuring &amp; Separation_II.7. Sep&amp;Discrete_Guidance_Sheet3" xfId="2108"/>
    <cellStyle name="_12+0 MOR_Restructuring &amp; Separation_II.7. Sep&amp;Discrete_Guidance_Sheet4" xfId="2109"/>
    <cellStyle name="_12+0 MOR_Restructuring_Separation_TAX_JuneFC2010 tf" xfId="2110"/>
    <cellStyle name="_12+0 MOR_Restructuring_Separation_TAX_JuneFC2010 tf_BS_Separation_TaxResIndem_Q12412 tf" xfId="2111"/>
    <cellStyle name="_12+0 MOR_Restructuring_Separation_TAX_JuneFC2010 tf_BS_Separation_TaxResIndem_Q12412 tf_Guidance" xfId="2112"/>
    <cellStyle name="_12+0 MOR_Restructuring_Separation_TAX_JuneFC2010 tf_BS_Separation_TaxResIndem_Q12412 tf_Guidance 2" xfId="2113"/>
    <cellStyle name="_12+0 MOR_Restructuring_Separation_TAX_JuneFC2010 tf_BS_Separation_TaxResIndem_Q12412 tf_Guidance_BS retrieve" xfId="2114"/>
    <cellStyle name="_12+0 MOR_Restructuring_Separation_TAX_JuneFC2010 tf_BS_Separation_TaxResIndem_Q12412 tf_Guidance_Free CF" xfId="2115"/>
    <cellStyle name="_12+0 MOR_Restructuring_Separation_TAX_JuneFC2010 tf_BS_Separation_TaxResIndem_Q12412 tf_Guidance_P&amp;L Rec Qtr" xfId="2116"/>
    <cellStyle name="_12+0 MOR_Restructuring_Separation_TAX_JuneFC2010 tf_BS_Separation_TaxResIndem_Q12412 tf_Guidance_Sheet1" xfId="2117"/>
    <cellStyle name="_12+0 MOR_Restructuring_Separation_TAX_JuneFC2010 tf_BS_Separation_TaxResIndem_Q12412 tf_Guidance_Sheet2" xfId="2118"/>
    <cellStyle name="_12+0 MOR_Restructuring_Separation_TAX_JuneFC2010 tf_BS_Separation_TaxResIndem_Q12412 tf_Guidance_Sheet3" xfId="2119"/>
    <cellStyle name="_12+0 MOR_Restructuring_Separation_TAX_JuneFC2010 tf_BS_Separation_TaxResIndem_Q12412 tf_Guidance_Sheet4" xfId="2120"/>
    <cellStyle name="_12+0 MOR_Restructuring_Separation_TAX_JuneFC2010 tf_BS_Separation_TaxResIndem_Q12412 tf_II.7. Sep&amp;Discrete" xfId="2121"/>
    <cellStyle name="_12+0 MOR_Restructuring_Separation_TAX_JuneFC2010 tf_BS_Separation_TaxResIndem_Q12412 tf_II.7. Sep&amp;Discrete_Guidance" xfId="2122"/>
    <cellStyle name="_12+0 MOR_Restructuring_Separation_TAX_JuneFC2010 tf_BS_Separation_TaxResIndem_Q12412 tf_II.7. Sep&amp;Discrete_Guidance 2" xfId="2123"/>
    <cellStyle name="_12+0 MOR_Restructuring_Separation_TAX_JuneFC2010 tf_BS_Separation_TaxResIndem_Q12412 tf_II.7. Sep&amp;Discrete_Guidance_BS retrieve" xfId="2124"/>
    <cellStyle name="_12+0 MOR_Restructuring_Separation_TAX_JuneFC2010 tf_BS_Separation_TaxResIndem_Q12412 tf_II.7. Sep&amp;Discrete_Guidance_Free CF" xfId="2125"/>
    <cellStyle name="_12+0 MOR_Restructuring_Separation_TAX_JuneFC2010 tf_BS_Separation_TaxResIndem_Q12412 tf_II.7. Sep&amp;Discrete_Guidance_P&amp;L Rec Qtr" xfId="2126"/>
    <cellStyle name="_12+0 MOR_Restructuring_Separation_TAX_JuneFC2010 tf_BS_Separation_TaxResIndem_Q12412 tf_II.7. Sep&amp;Discrete_Guidance_Sheet1" xfId="2127"/>
    <cellStyle name="_12+0 MOR_Restructuring_Separation_TAX_JuneFC2010 tf_BS_Separation_TaxResIndem_Q12412 tf_II.7. Sep&amp;Discrete_Guidance_Sheet2" xfId="2128"/>
    <cellStyle name="_12+0 MOR_Restructuring_Separation_TAX_JuneFC2010 tf_BS_Separation_TaxResIndem_Q12412 tf_II.7. Sep&amp;Discrete_Guidance_Sheet3" xfId="2129"/>
    <cellStyle name="_12+0 MOR_Restructuring_Separation_TAX_JuneFC2010 tf_BS_Separation_TaxResIndem_Q12412 tf_II.7. Sep&amp;Discrete_Guidance_Sheet4" xfId="2130"/>
    <cellStyle name="_12+0 MOR_Restructuring_Separation_TAX_JuneFC2010 tf_BS_Separation_TaxResIndem_Q12412 tf_Restructuring &amp; Separation" xfId="2131"/>
    <cellStyle name="_12+0 MOR_Restructuring_Separation_TAX_JuneFC2010 tf_BS_Separation_TaxResIndem_Q12412 tf_Restructuring &amp; Separation_Guidance" xfId="2132"/>
    <cellStyle name="_12+0 MOR_Restructuring_Separation_TAX_JuneFC2010 tf_BS_Separation_TaxResIndem_Q12412 tf_Restructuring &amp; Separation_Guidance 2" xfId="2133"/>
    <cellStyle name="_12+0 MOR_Restructuring_Separation_TAX_JuneFC2010 tf_BS_Separation_TaxResIndem_Q12412 tf_Restructuring &amp; Separation_Guidance_BS retrieve" xfId="2134"/>
    <cellStyle name="_12+0 MOR_Restructuring_Separation_TAX_JuneFC2010 tf_BS_Separation_TaxResIndem_Q12412 tf_Restructuring &amp; Separation_Guidance_Free CF" xfId="2135"/>
    <cellStyle name="_12+0 MOR_Restructuring_Separation_TAX_JuneFC2010 tf_BS_Separation_TaxResIndem_Q12412 tf_Restructuring &amp; Separation_Guidance_P&amp;L Rec Qtr" xfId="2136"/>
    <cellStyle name="_12+0 MOR_Restructuring_Separation_TAX_JuneFC2010 tf_BS_Separation_TaxResIndem_Q12412 tf_Restructuring &amp; Separation_Guidance_Sheet1" xfId="2137"/>
    <cellStyle name="_12+0 MOR_Restructuring_Separation_TAX_JuneFC2010 tf_BS_Separation_TaxResIndem_Q12412 tf_Restructuring &amp; Separation_Guidance_Sheet2" xfId="2138"/>
    <cellStyle name="_12+0 MOR_Restructuring_Separation_TAX_JuneFC2010 tf_BS_Separation_TaxResIndem_Q12412 tf_Restructuring &amp; Separation_Guidance_Sheet3" xfId="2139"/>
    <cellStyle name="_12+0 MOR_Restructuring_Separation_TAX_JuneFC2010 tf_BS_Separation_TaxResIndem_Q12412 tf_Restructuring &amp; Separation_Guidance_Sheet4" xfId="2140"/>
    <cellStyle name="_12+0 MOR_Restructuring_Separation_TAX_JuneFC2010 tf_BS_Separation_TaxResIndem_Q12412 tf_Restructuring &amp; Separation_II.7. Sep&amp;Discrete" xfId="2141"/>
    <cellStyle name="_12+0 MOR_Restructuring_Separation_TAX_JuneFC2010 tf_BS_Separation_TaxResIndem_Q12412 tf_Restructuring &amp; Separation_II.7. Sep&amp;Discrete_Guidance" xfId="2142"/>
    <cellStyle name="_12+0 MOR_Restructuring_Separation_TAX_JuneFC2010 tf_BS_Separation_TaxResIndem_Q12412 tf_Restructuring &amp; Separation_II.7. Sep&amp;Discrete_Guidance 2" xfId="2143"/>
    <cellStyle name="_12+0 MOR_Restructuring_Separation_TAX_JuneFC2010 tf_BS_Separation_TaxResIndem_Q12412 tf_Restructuring &amp; Separation_II.7. Sep&amp;Discrete_Guidance_BS retrieve" xfId="2144"/>
    <cellStyle name="_12+0 MOR_Restructuring_Separation_TAX_JuneFC2010 tf_BS_Separation_TaxResIndem_Q12412 tf_Restructuring &amp; Separation_II.7. Sep&amp;Discrete_Guidance_Free CF" xfId="2145"/>
    <cellStyle name="_12+0 MOR_Restructuring_Separation_TAX_JuneFC2010 tf_BS_Separation_TaxResIndem_Q12412 tf_Restructuring &amp; Separation_II.7. Sep&amp;Discrete_Guidance_P&amp;L Rec Qtr" xfId="2146"/>
    <cellStyle name="_12+0 MOR_Restructuring_Separation_TAX_JuneFC2010 tf_BS_Separation_TaxResIndem_Q12412 tf_Restructuring &amp; Separation_II.7. Sep&amp;Discrete_Guidance_Sheet1" xfId="2147"/>
    <cellStyle name="_12+0 MOR_Restructuring_Separation_TAX_JuneFC2010 tf_BS_Separation_TaxResIndem_Q12412 tf_Restructuring &amp; Separation_II.7. Sep&amp;Discrete_Guidance_Sheet2" xfId="2148"/>
    <cellStyle name="_12+0 MOR_Restructuring_Separation_TAX_JuneFC2010 tf_BS_Separation_TaxResIndem_Q12412 tf_Restructuring &amp; Separation_II.7. Sep&amp;Discrete_Guidance_Sheet3" xfId="2149"/>
    <cellStyle name="_12+0 MOR_Restructuring_Separation_TAX_JuneFC2010 tf_BS_Separation_TaxResIndem_Q12412 tf_Restructuring &amp; Separation_II.7. Sep&amp;Discrete_Guidance_Sheet4" xfId="2150"/>
    <cellStyle name="_12+0 MOR_Restructuring_Separation_TAX_JuneFC2010 tf_Guidance" xfId="2151"/>
    <cellStyle name="_12+0 MOR_Restructuring_Separation_TAX_JuneFC2010 tf_Guidance 2" xfId="2152"/>
    <cellStyle name="_12+0 MOR_Restructuring_Separation_TAX_JuneFC2010 tf_Guidance_BS retrieve" xfId="2153"/>
    <cellStyle name="_12+0 MOR_Restructuring_Separation_TAX_JuneFC2010 tf_Guidance_Free CF" xfId="2154"/>
    <cellStyle name="_12+0 MOR_Restructuring_Separation_TAX_JuneFC2010 tf_Guidance_P&amp;L Rec Qtr" xfId="2155"/>
    <cellStyle name="_12+0 MOR_Restructuring_Separation_TAX_JuneFC2010 tf_Guidance_Sheet1" xfId="2156"/>
    <cellStyle name="_12+0 MOR_Restructuring_Separation_TAX_JuneFC2010 tf_Guidance_Sheet2" xfId="2157"/>
    <cellStyle name="_12+0 MOR_Restructuring_Separation_TAX_JuneFC2010 tf_Guidance_Sheet3" xfId="2158"/>
    <cellStyle name="_12+0 MOR_Restructuring_Separation_TAX_JuneFC2010 tf_Guidance_Sheet4" xfId="2159"/>
    <cellStyle name="_12+0 MOR_Restructuring_Separation_TAX_JuneFC2010 tf_II.7. Sep&amp;Discrete" xfId="2160"/>
    <cellStyle name="_12+0 MOR_Restructuring_Separation_TAX_JuneFC2010 tf_II.7. Sep&amp;Discrete_Guidance" xfId="2161"/>
    <cellStyle name="_12+0 MOR_Restructuring_Separation_TAX_JuneFC2010 tf_II.7. Sep&amp;Discrete_Guidance 2" xfId="2162"/>
    <cellStyle name="_12+0 MOR_Restructuring_Separation_TAX_JuneFC2010 tf_II.7. Sep&amp;Discrete_Guidance_BS retrieve" xfId="2163"/>
    <cellStyle name="_12+0 MOR_Restructuring_Separation_TAX_JuneFC2010 tf_II.7. Sep&amp;Discrete_Guidance_Free CF" xfId="2164"/>
    <cellStyle name="_12+0 MOR_Restructuring_Separation_TAX_JuneFC2010 tf_II.7. Sep&amp;Discrete_Guidance_P&amp;L Rec Qtr" xfId="2165"/>
    <cellStyle name="_12+0 MOR_Restructuring_Separation_TAX_JuneFC2010 tf_II.7. Sep&amp;Discrete_Guidance_Sheet1" xfId="2166"/>
    <cellStyle name="_12+0 MOR_Restructuring_Separation_TAX_JuneFC2010 tf_II.7. Sep&amp;Discrete_Guidance_Sheet2" xfId="2167"/>
    <cellStyle name="_12+0 MOR_Restructuring_Separation_TAX_JuneFC2010 tf_II.7. Sep&amp;Discrete_Guidance_Sheet3" xfId="2168"/>
    <cellStyle name="_12+0 MOR_Restructuring_Separation_TAX_JuneFC2010 tf_II.7. Sep&amp;Discrete_Guidance_Sheet4" xfId="2169"/>
    <cellStyle name="_12+0 MOR_Restructuring_Separation_TAX_JuneFC2010 tf_II.8. Sep&amp;Discrete" xfId="2170"/>
    <cellStyle name="_12+0 MOR_Restructuring_Separation_TAX_JuneFC2010 tf_II.8. Sep&amp;Discrete_Guidance" xfId="2171"/>
    <cellStyle name="_12+0 MOR_Restructuring_Separation_TAX_JuneFC2010 tf_II.8. Sep&amp;Discrete_Guidance 2" xfId="2172"/>
    <cellStyle name="_12+0 MOR_Restructuring_Separation_TAX_JuneFC2010 tf_II.8. Sep&amp;Discrete_Guidance_BS retrieve" xfId="2173"/>
    <cellStyle name="_12+0 MOR_Restructuring_Separation_TAX_JuneFC2010 tf_II.8. Sep&amp;Discrete_Guidance_Free CF" xfId="2174"/>
    <cellStyle name="_12+0 MOR_Restructuring_Separation_TAX_JuneFC2010 tf_II.8. Sep&amp;Discrete_Guidance_P&amp;L Rec Qtr" xfId="2175"/>
    <cellStyle name="_12+0 MOR_Restructuring_Separation_TAX_JuneFC2010 tf_II.8. Sep&amp;Discrete_Guidance_Sheet1" xfId="2176"/>
    <cellStyle name="_12+0 MOR_Restructuring_Separation_TAX_JuneFC2010 tf_II.8. Sep&amp;Discrete_Guidance_Sheet2" xfId="2177"/>
    <cellStyle name="_12+0 MOR_Restructuring_Separation_TAX_JuneFC2010 tf_II.8. Sep&amp;Discrete_Guidance_Sheet3" xfId="2178"/>
    <cellStyle name="_12+0 MOR_Restructuring_Separation_TAX_JuneFC2010 tf_II.8. Sep&amp;Discrete_Guidance_Sheet4" xfId="2179"/>
    <cellStyle name="_12+0 MOR_Restructuring_Separation_TAX_JuneFC2010 tf_Restructuring &amp; Separation" xfId="2180"/>
    <cellStyle name="_12+0 MOR_Restructuring_Separation_TAX_JuneFC2010 tf_Restructuring &amp; Separation_Guidance" xfId="2181"/>
    <cellStyle name="_12+0 MOR_Restructuring_Separation_TAX_JuneFC2010 tf_Restructuring &amp; Separation_Guidance 2" xfId="2182"/>
    <cellStyle name="_12+0 MOR_Restructuring_Separation_TAX_JuneFC2010 tf_Restructuring &amp; Separation_Guidance_BS retrieve" xfId="2183"/>
    <cellStyle name="_12+0 MOR_Restructuring_Separation_TAX_JuneFC2010 tf_Restructuring &amp; Separation_Guidance_Free CF" xfId="2184"/>
    <cellStyle name="_12+0 MOR_Restructuring_Separation_TAX_JuneFC2010 tf_Restructuring &amp; Separation_Guidance_P&amp;L Rec Qtr" xfId="2185"/>
    <cellStyle name="_12+0 MOR_Restructuring_Separation_TAX_JuneFC2010 tf_Restructuring &amp; Separation_Guidance_Sheet1" xfId="2186"/>
    <cellStyle name="_12+0 MOR_Restructuring_Separation_TAX_JuneFC2010 tf_Restructuring &amp; Separation_Guidance_Sheet2" xfId="2187"/>
    <cellStyle name="_12+0 MOR_Restructuring_Separation_TAX_JuneFC2010 tf_Restructuring &amp; Separation_Guidance_Sheet3" xfId="2188"/>
    <cellStyle name="_12+0 MOR_Restructuring_Separation_TAX_JuneFC2010 tf_Restructuring &amp; Separation_Guidance_Sheet4" xfId="2189"/>
    <cellStyle name="_12+0 MOR_Restructuring_Separation_TAX_JuneFC2010 tf_Restructuring &amp; Separation_II.7. Sep&amp;Discrete" xfId="2190"/>
    <cellStyle name="_12+0 MOR_Restructuring_Separation_TAX_JuneFC2010 tf_Restructuring &amp; Separation_II.7. Sep&amp;Discrete_Guidance" xfId="2191"/>
    <cellStyle name="_12+0 MOR_Restructuring_Separation_TAX_JuneFC2010 tf_Restructuring &amp; Separation_II.7. Sep&amp;Discrete_Guidance 2" xfId="2192"/>
    <cellStyle name="_12+0 MOR_Restructuring_Separation_TAX_JuneFC2010 tf_Restructuring &amp; Separation_II.7. Sep&amp;Discrete_Guidance_BS retrieve" xfId="2193"/>
    <cellStyle name="_12+0 MOR_Restructuring_Separation_TAX_JuneFC2010 tf_Restructuring &amp; Separation_II.7. Sep&amp;Discrete_Guidance_Free CF" xfId="2194"/>
    <cellStyle name="_12+0 MOR_Restructuring_Separation_TAX_JuneFC2010 tf_Restructuring &amp; Separation_II.7. Sep&amp;Discrete_Guidance_P&amp;L Rec Qtr" xfId="2195"/>
    <cellStyle name="_12+0 MOR_Restructuring_Separation_TAX_JuneFC2010 tf_Restructuring &amp; Separation_II.7. Sep&amp;Discrete_Guidance_Sheet1" xfId="2196"/>
    <cellStyle name="_12+0 MOR_Restructuring_Separation_TAX_JuneFC2010 tf_Restructuring &amp; Separation_II.7. Sep&amp;Discrete_Guidance_Sheet2" xfId="2197"/>
    <cellStyle name="_12+0 MOR_Restructuring_Separation_TAX_JuneFC2010 tf_Restructuring &amp; Separation_II.7. Sep&amp;Discrete_Guidance_Sheet3" xfId="2198"/>
    <cellStyle name="_12+0 MOR_Restructuring_Separation_TAX_JuneFC2010 tf_Restructuring &amp; Separation_II.7. Sep&amp;Discrete_Guidance_Sheet4" xfId="2199"/>
    <cellStyle name="_AOP 2010 Income Statement VCS" xfId="2200"/>
    <cellStyle name="_AOP 2010 Income Statement VCS_BS_Separation_TaxResIndem_Q12412 tf" xfId="2201"/>
    <cellStyle name="_AOP 2010 Income Statement VCS_BS_Separation_TaxResIndem_Q12412 tf_Guidance" xfId="2202"/>
    <cellStyle name="_AOP 2010 Income Statement VCS_BS_Separation_TaxResIndem_Q12412 tf_Guidance 2" xfId="2203"/>
    <cellStyle name="_AOP 2010 Income Statement VCS_BS_Separation_TaxResIndem_Q12412 tf_Guidance_BS retrieve" xfId="2204"/>
    <cellStyle name="_AOP 2010 Income Statement VCS_BS_Separation_TaxResIndem_Q12412 tf_Guidance_Free CF" xfId="2205"/>
    <cellStyle name="_AOP 2010 Income Statement VCS_BS_Separation_TaxResIndem_Q12412 tf_Guidance_P&amp;L Rec Qtr" xfId="2206"/>
    <cellStyle name="_AOP 2010 Income Statement VCS_BS_Separation_TaxResIndem_Q12412 tf_Guidance_Sheet1" xfId="2207"/>
    <cellStyle name="_AOP 2010 Income Statement VCS_BS_Separation_TaxResIndem_Q12412 tf_Guidance_Sheet2" xfId="2208"/>
    <cellStyle name="_AOP 2010 Income Statement VCS_BS_Separation_TaxResIndem_Q12412 tf_Guidance_Sheet3" xfId="2209"/>
    <cellStyle name="_AOP 2010 Income Statement VCS_BS_Separation_TaxResIndem_Q12412 tf_Guidance_Sheet4" xfId="2210"/>
    <cellStyle name="_AOP 2010 Income Statement VCS_BS_Separation_TaxResIndem_Q12412 tf_II.7. Sep&amp;Discrete" xfId="2211"/>
    <cellStyle name="_AOP 2010 Income Statement VCS_BS_Separation_TaxResIndem_Q12412 tf_II.7. Sep&amp;Discrete_Guidance" xfId="2212"/>
    <cellStyle name="_AOP 2010 Income Statement VCS_BS_Separation_TaxResIndem_Q12412 tf_II.7. Sep&amp;Discrete_Guidance 2" xfId="2213"/>
    <cellStyle name="_AOP 2010 Income Statement VCS_BS_Separation_TaxResIndem_Q12412 tf_II.7. Sep&amp;Discrete_Guidance_BS retrieve" xfId="2214"/>
    <cellStyle name="_AOP 2010 Income Statement VCS_BS_Separation_TaxResIndem_Q12412 tf_II.7. Sep&amp;Discrete_Guidance_Free CF" xfId="2215"/>
    <cellStyle name="_AOP 2010 Income Statement VCS_BS_Separation_TaxResIndem_Q12412 tf_II.7. Sep&amp;Discrete_Guidance_P&amp;L Rec Qtr" xfId="2216"/>
    <cellStyle name="_AOP 2010 Income Statement VCS_BS_Separation_TaxResIndem_Q12412 tf_II.7. Sep&amp;Discrete_Guidance_Sheet1" xfId="2217"/>
    <cellStyle name="_AOP 2010 Income Statement VCS_BS_Separation_TaxResIndem_Q12412 tf_II.7. Sep&amp;Discrete_Guidance_Sheet2" xfId="2218"/>
    <cellStyle name="_AOP 2010 Income Statement VCS_BS_Separation_TaxResIndem_Q12412 tf_II.7. Sep&amp;Discrete_Guidance_Sheet3" xfId="2219"/>
    <cellStyle name="_AOP 2010 Income Statement VCS_BS_Separation_TaxResIndem_Q12412 tf_II.7. Sep&amp;Discrete_Guidance_Sheet4" xfId="2220"/>
    <cellStyle name="_AOP 2010 Income Statement VCS_BS_Separation_TaxResIndem_Q12412 tf_Restructuring &amp; Separation" xfId="2221"/>
    <cellStyle name="_AOP 2010 Income Statement VCS_BS_Separation_TaxResIndem_Q12412 tf_Restructuring &amp; Separation_Guidance" xfId="2222"/>
    <cellStyle name="_AOP 2010 Income Statement VCS_BS_Separation_TaxResIndem_Q12412 tf_Restructuring &amp; Separation_Guidance 2" xfId="2223"/>
    <cellStyle name="_AOP 2010 Income Statement VCS_BS_Separation_TaxResIndem_Q12412 tf_Restructuring &amp; Separation_Guidance_BS retrieve" xfId="2224"/>
    <cellStyle name="_AOP 2010 Income Statement VCS_BS_Separation_TaxResIndem_Q12412 tf_Restructuring &amp; Separation_Guidance_Free CF" xfId="2225"/>
    <cellStyle name="_AOP 2010 Income Statement VCS_BS_Separation_TaxResIndem_Q12412 tf_Restructuring &amp; Separation_Guidance_P&amp;L Rec Qtr" xfId="2226"/>
    <cellStyle name="_AOP 2010 Income Statement VCS_BS_Separation_TaxResIndem_Q12412 tf_Restructuring &amp; Separation_Guidance_Sheet1" xfId="2227"/>
    <cellStyle name="_AOP 2010 Income Statement VCS_BS_Separation_TaxResIndem_Q12412 tf_Restructuring &amp; Separation_Guidance_Sheet2" xfId="2228"/>
    <cellStyle name="_AOP 2010 Income Statement VCS_BS_Separation_TaxResIndem_Q12412 tf_Restructuring &amp; Separation_Guidance_Sheet3" xfId="2229"/>
    <cellStyle name="_AOP 2010 Income Statement VCS_BS_Separation_TaxResIndem_Q12412 tf_Restructuring &amp; Separation_Guidance_Sheet4" xfId="2230"/>
    <cellStyle name="_AOP 2010 Income Statement VCS_BS_Separation_TaxResIndem_Q12412 tf_Restructuring &amp; Separation_II.7. Sep&amp;Discrete" xfId="2231"/>
    <cellStyle name="_AOP 2010 Income Statement VCS_BS_Separation_TaxResIndem_Q12412 tf_Restructuring &amp; Separation_II.7. Sep&amp;Discrete_Guidance" xfId="2232"/>
    <cellStyle name="_AOP 2010 Income Statement VCS_BS_Separation_TaxResIndem_Q12412 tf_Restructuring &amp; Separation_II.7. Sep&amp;Discrete_Guidance 2" xfId="2233"/>
    <cellStyle name="_AOP 2010 Income Statement VCS_BS_Separation_TaxResIndem_Q12412 tf_Restructuring &amp; Separation_II.7. Sep&amp;Discrete_Guidance_BS retrieve" xfId="2234"/>
    <cellStyle name="_AOP 2010 Income Statement VCS_BS_Separation_TaxResIndem_Q12412 tf_Restructuring &amp; Separation_II.7. Sep&amp;Discrete_Guidance_Free CF" xfId="2235"/>
    <cellStyle name="_AOP 2010 Income Statement VCS_BS_Separation_TaxResIndem_Q12412 tf_Restructuring &amp; Separation_II.7. Sep&amp;Discrete_Guidance_P&amp;L Rec Qtr" xfId="2236"/>
    <cellStyle name="_AOP 2010 Income Statement VCS_BS_Separation_TaxResIndem_Q12412 tf_Restructuring &amp; Separation_II.7. Sep&amp;Discrete_Guidance_Sheet1" xfId="2237"/>
    <cellStyle name="_AOP 2010 Income Statement VCS_BS_Separation_TaxResIndem_Q12412 tf_Restructuring &amp; Separation_II.7. Sep&amp;Discrete_Guidance_Sheet2" xfId="2238"/>
    <cellStyle name="_AOP 2010 Income Statement VCS_BS_Separation_TaxResIndem_Q12412 tf_Restructuring &amp; Separation_II.7. Sep&amp;Discrete_Guidance_Sheet3" xfId="2239"/>
    <cellStyle name="_AOP 2010 Income Statement VCS_BS_Separation_TaxResIndem_Q12412 tf_Restructuring &amp; Separation_II.7. Sep&amp;Discrete_Guidance_Sheet4" xfId="2240"/>
    <cellStyle name="_AOP 2010 Income Statement VCS_Guidance" xfId="2241"/>
    <cellStyle name="_AOP 2010 Income Statement VCS_Guidance 2" xfId="2242"/>
    <cellStyle name="_AOP 2010 Income Statement VCS_Guidance_BS retrieve" xfId="2243"/>
    <cellStyle name="_AOP 2010 Income Statement VCS_Guidance_Free CF" xfId="2244"/>
    <cellStyle name="_AOP 2010 Income Statement VCS_Guidance_P&amp;L Rec Qtr" xfId="2245"/>
    <cellStyle name="_AOP 2010 Income Statement VCS_Guidance_Sheet1" xfId="2246"/>
    <cellStyle name="_AOP 2010 Income Statement VCS_Guidance_Sheet2" xfId="2247"/>
    <cellStyle name="_AOP 2010 Income Statement VCS_Guidance_Sheet3" xfId="2248"/>
    <cellStyle name="_AOP 2010 Income Statement VCS_Guidance_Sheet4" xfId="2249"/>
    <cellStyle name="_AOP 2010 Income Statement VCS_II.7. Sep&amp;Discrete" xfId="2250"/>
    <cellStyle name="_AOP 2010 Income Statement VCS_II.7. Sep&amp;Discrete_Guidance" xfId="2251"/>
    <cellStyle name="_AOP 2010 Income Statement VCS_II.7. Sep&amp;Discrete_Guidance 2" xfId="2252"/>
    <cellStyle name="_AOP 2010 Income Statement VCS_II.7. Sep&amp;Discrete_Guidance_BS retrieve" xfId="2253"/>
    <cellStyle name="_AOP 2010 Income Statement VCS_II.7. Sep&amp;Discrete_Guidance_Free CF" xfId="2254"/>
    <cellStyle name="_AOP 2010 Income Statement VCS_II.7. Sep&amp;Discrete_Guidance_P&amp;L Rec Qtr" xfId="2255"/>
    <cellStyle name="_AOP 2010 Income Statement VCS_II.7. Sep&amp;Discrete_Guidance_Sheet1" xfId="2256"/>
    <cellStyle name="_AOP 2010 Income Statement VCS_II.7. Sep&amp;Discrete_Guidance_Sheet2" xfId="2257"/>
    <cellStyle name="_AOP 2010 Income Statement VCS_II.7. Sep&amp;Discrete_Guidance_Sheet3" xfId="2258"/>
    <cellStyle name="_AOP 2010 Income Statement VCS_II.7. Sep&amp;Discrete_Guidance_Sheet4" xfId="2259"/>
    <cellStyle name="_AOP 2010 Income Statement VCS_II.8. Sep&amp;Discrete" xfId="2260"/>
    <cellStyle name="_AOP 2010 Income Statement VCS_II.8. Sep&amp;Discrete_Guidance" xfId="2261"/>
    <cellStyle name="_AOP 2010 Income Statement VCS_II.8. Sep&amp;Discrete_Guidance 2" xfId="2262"/>
    <cellStyle name="_AOP 2010 Income Statement VCS_II.8. Sep&amp;Discrete_Guidance_BS retrieve" xfId="2263"/>
    <cellStyle name="_AOP 2010 Income Statement VCS_II.8. Sep&amp;Discrete_Guidance_Free CF" xfId="2264"/>
    <cellStyle name="_AOP 2010 Income Statement VCS_II.8. Sep&amp;Discrete_Guidance_P&amp;L Rec Qtr" xfId="2265"/>
    <cellStyle name="_AOP 2010 Income Statement VCS_II.8. Sep&amp;Discrete_Guidance_Sheet1" xfId="2266"/>
    <cellStyle name="_AOP 2010 Income Statement VCS_II.8. Sep&amp;Discrete_Guidance_Sheet2" xfId="2267"/>
    <cellStyle name="_AOP 2010 Income Statement VCS_II.8. Sep&amp;Discrete_Guidance_Sheet3" xfId="2268"/>
    <cellStyle name="_AOP 2010 Income Statement VCS_II.8. Sep&amp;Discrete_Guidance_Sheet4" xfId="2269"/>
    <cellStyle name="_AOP 2010 Income Statement VCS_Restructuring &amp; Separation" xfId="2270"/>
    <cellStyle name="_AOP 2010 Income Statement VCS_Restructuring &amp; Separation_Guidance" xfId="2271"/>
    <cellStyle name="_AOP 2010 Income Statement VCS_Restructuring &amp; Separation_Guidance 2" xfId="2272"/>
    <cellStyle name="_AOP 2010 Income Statement VCS_Restructuring &amp; Separation_Guidance_BS retrieve" xfId="2273"/>
    <cellStyle name="_AOP 2010 Income Statement VCS_Restructuring &amp; Separation_Guidance_Free CF" xfId="2274"/>
    <cellStyle name="_AOP 2010 Income Statement VCS_Restructuring &amp; Separation_Guidance_P&amp;L Rec Qtr" xfId="2275"/>
    <cellStyle name="_AOP 2010 Income Statement VCS_Restructuring &amp; Separation_Guidance_Sheet1" xfId="2276"/>
    <cellStyle name="_AOP 2010 Income Statement VCS_Restructuring &amp; Separation_Guidance_Sheet2" xfId="2277"/>
    <cellStyle name="_AOP 2010 Income Statement VCS_Restructuring &amp; Separation_Guidance_Sheet3" xfId="2278"/>
    <cellStyle name="_AOP 2010 Income Statement VCS_Restructuring &amp; Separation_Guidance_Sheet4" xfId="2279"/>
    <cellStyle name="_AOP 2010 Income Statement VCS_Restructuring &amp; Separation_II.7. Sep&amp;Discrete" xfId="2280"/>
    <cellStyle name="_AOP 2010 Income Statement VCS_Restructuring &amp; Separation_II.7. Sep&amp;Discrete_Guidance" xfId="2281"/>
    <cellStyle name="_AOP 2010 Income Statement VCS_Restructuring &amp; Separation_II.7. Sep&amp;Discrete_Guidance 2" xfId="2282"/>
    <cellStyle name="_AOP 2010 Income Statement VCS_Restructuring &amp; Separation_II.7. Sep&amp;Discrete_Guidance_BS retrieve" xfId="2283"/>
    <cellStyle name="_AOP 2010 Income Statement VCS_Restructuring &amp; Separation_II.7. Sep&amp;Discrete_Guidance_Free CF" xfId="2284"/>
    <cellStyle name="_AOP 2010 Income Statement VCS_Restructuring &amp; Separation_II.7. Sep&amp;Discrete_Guidance_P&amp;L Rec Qtr" xfId="2285"/>
    <cellStyle name="_AOP 2010 Income Statement VCS_Restructuring &amp; Separation_II.7. Sep&amp;Discrete_Guidance_Sheet1" xfId="2286"/>
    <cellStyle name="_AOP 2010 Income Statement VCS_Restructuring &amp; Separation_II.7. Sep&amp;Discrete_Guidance_Sheet2" xfId="2287"/>
    <cellStyle name="_AOP 2010 Income Statement VCS_Restructuring &amp; Separation_II.7. Sep&amp;Discrete_Guidance_Sheet3" xfId="2288"/>
    <cellStyle name="_AOP 2010 Income Statement VCS_Restructuring &amp; Separation_II.7. Sep&amp;Discrete_Guidance_Sheet4" xfId="2289"/>
    <cellStyle name="_AOP 2010 Income Statement VCS_Sheet1" xfId="2290"/>
    <cellStyle name="_AOP 2010 Income Statement VCS_Sheet1_1" xfId="2291"/>
    <cellStyle name="_AOP 2010 Income Statement VCS_Sheet1_1_Guidance" xfId="2292"/>
    <cellStyle name="_AOP 2010 Income Statement VCS_Sheet1_1_Guidance 2" xfId="2293"/>
    <cellStyle name="_AOP 2010 Income Statement VCS_Sheet1_1_Guidance_BS retrieve" xfId="2294"/>
    <cellStyle name="_AOP 2010 Income Statement VCS_Sheet1_1_Guidance_Free CF" xfId="2295"/>
    <cellStyle name="_AOP 2010 Income Statement VCS_Sheet1_1_Guidance_P&amp;L Rec Qtr" xfId="2296"/>
    <cellStyle name="_AOP 2010 Income Statement VCS_Sheet1_1_Guidance_Sheet1" xfId="2297"/>
    <cellStyle name="_AOP 2010 Income Statement VCS_Sheet1_1_Guidance_Sheet2" xfId="2298"/>
    <cellStyle name="_AOP 2010 Income Statement VCS_Sheet1_1_Guidance_Sheet3" xfId="2299"/>
    <cellStyle name="_AOP 2010 Income Statement VCS_Sheet1_1_Guidance_Sheet4" xfId="2300"/>
    <cellStyle name="_AOP 2010 Income Statement VCS_Sheet1_1_II.7. Sep&amp;Discrete" xfId="2301"/>
    <cellStyle name="_AOP 2010 Income Statement VCS_Sheet1_1_II.7. Sep&amp;Discrete_Guidance" xfId="2302"/>
    <cellStyle name="_AOP 2010 Income Statement VCS_Sheet1_1_II.7. Sep&amp;Discrete_Guidance 2" xfId="2303"/>
    <cellStyle name="_AOP 2010 Income Statement VCS_Sheet1_1_II.7. Sep&amp;Discrete_Guidance_BS retrieve" xfId="2304"/>
    <cellStyle name="_AOP 2010 Income Statement VCS_Sheet1_1_II.7. Sep&amp;Discrete_Guidance_Free CF" xfId="2305"/>
    <cellStyle name="_AOP 2010 Income Statement VCS_Sheet1_1_II.7. Sep&amp;Discrete_Guidance_P&amp;L Rec Qtr" xfId="2306"/>
    <cellStyle name="_AOP 2010 Income Statement VCS_Sheet1_1_II.7. Sep&amp;Discrete_Guidance_Sheet1" xfId="2307"/>
    <cellStyle name="_AOP 2010 Income Statement VCS_Sheet1_1_II.7. Sep&amp;Discrete_Guidance_Sheet2" xfId="2308"/>
    <cellStyle name="_AOP 2010 Income Statement VCS_Sheet1_1_II.7. Sep&amp;Discrete_Guidance_Sheet3" xfId="2309"/>
    <cellStyle name="_AOP 2010 Income Statement VCS_Sheet1_1_II.7. Sep&amp;Discrete_Guidance_Sheet4" xfId="2310"/>
    <cellStyle name="_AOP 2010 Income Statement VCS_Sheet1_1_Restructuring &amp; Separation" xfId="2311"/>
    <cellStyle name="_AOP 2010 Income Statement VCS_Sheet1_1_Restructuring &amp; Separation_Guidance" xfId="2312"/>
    <cellStyle name="_AOP 2010 Income Statement VCS_Sheet1_1_Restructuring &amp; Separation_Guidance 2" xfId="2313"/>
    <cellStyle name="_AOP 2010 Income Statement VCS_Sheet1_1_Restructuring &amp; Separation_Guidance_BS retrieve" xfId="2314"/>
    <cellStyle name="_AOP 2010 Income Statement VCS_Sheet1_1_Restructuring &amp; Separation_Guidance_Free CF" xfId="2315"/>
    <cellStyle name="_AOP 2010 Income Statement VCS_Sheet1_1_Restructuring &amp; Separation_Guidance_P&amp;L Rec Qtr" xfId="2316"/>
    <cellStyle name="_AOP 2010 Income Statement VCS_Sheet1_1_Restructuring &amp; Separation_Guidance_Sheet1" xfId="2317"/>
    <cellStyle name="_AOP 2010 Income Statement VCS_Sheet1_1_Restructuring &amp; Separation_Guidance_Sheet2" xfId="2318"/>
    <cellStyle name="_AOP 2010 Income Statement VCS_Sheet1_1_Restructuring &amp; Separation_Guidance_Sheet3" xfId="2319"/>
    <cellStyle name="_AOP 2010 Income Statement VCS_Sheet1_1_Restructuring &amp; Separation_Guidance_Sheet4" xfId="2320"/>
    <cellStyle name="_AOP 2010 Income Statement VCS_Sheet1_1_Restructuring &amp; Separation_II.7. Sep&amp;Discrete" xfId="2321"/>
    <cellStyle name="_AOP 2010 Income Statement VCS_Sheet1_1_Restructuring &amp; Separation_II.7. Sep&amp;Discrete_Guidance" xfId="2322"/>
    <cellStyle name="_AOP 2010 Income Statement VCS_Sheet1_1_Restructuring &amp; Separation_II.7. Sep&amp;Discrete_Guidance 2" xfId="2323"/>
    <cellStyle name="_AOP 2010 Income Statement VCS_Sheet1_1_Restructuring &amp; Separation_II.7. Sep&amp;Discrete_Guidance_BS retrieve" xfId="2324"/>
    <cellStyle name="_AOP 2010 Income Statement VCS_Sheet1_1_Restructuring &amp; Separation_II.7. Sep&amp;Discrete_Guidance_Free CF" xfId="2325"/>
    <cellStyle name="_AOP 2010 Income Statement VCS_Sheet1_1_Restructuring &amp; Separation_II.7. Sep&amp;Discrete_Guidance_P&amp;L Rec Qtr" xfId="2326"/>
    <cellStyle name="_AOP 2010 Income Statement VCS_Sheet1_1_Restructuring &amp; Separation_II.7. Sep&amp;Discrete_Guidance_Sheet1" xfId="2327"/>
    <cellStyle name="_AOP 2010 Income Statement VCS_Sheet1_1_Restructuring &amp; Separation_II.7. Sep&amp;Discrete_Guidance_Sheet2" xfId="2328"/>
    <cellStyle name="_AOP 2010 Income Statement VCS_Sheet1_1_Restructuring &amp; Separation_II.7. Sep&amp;Discrete_Guidance_Sheet3" xfId="2329"/>
    <cellStyle name="_AOP 2010 Income Statement VCS_Sheet1_1_Restructuring &amp; Separation_II.7. Sep&amp;Discrete_Guidance_Sheet4" xfId="2330"/>
    <cellStyle name="_AOP 2010 Income Statement VCS_Sheet1_BS_Separation_TaxResIndem_Q12412 tf" xfId="2331"/>
    <cellStyle name="_AOP 2010 Income Statement VCS_Sheet1_BS_Separation_TaxResIndem_Q12412 tf_Guidance" xfId="2332"/>
    <cellStyle name="_AOP 2010 Income Statement VCS_Sheet1_BS_Separation_TaxResIndem_Q12412 tf_Guidance 2" xfId="2333"/>
    <cellStyle name="_AOP 2010 Income Statement VCS_Sheet1_BS_Separation_TaxResIndem_Q12412 tf_Guidance_BS retrieve" xfId="2334"/>
    <cellStyle name="_AOP 2010 Income Statement VCS_Sheet1_BS_Separation_TaxResIndem_Q12412 tf_Guidance_Free CF" xfId="2335"/>
    <cellStyle name="_AOP 2010 Income Statement VCS_Sheet1_BS_Separation_TaxResIndem_Q12412 tf_Guidance_P&amp;L Rec Qtr" xfId="2336"/>
    <cellStyle name="_AOP 2010 Income Statement VCS_Sheet1_BS_Separation_TaxResIndem_Q12412 tf_Guidance_Sheet1" xfId="2337"/>
    <cellStyle name="_AOP 2010 Income Statement VCS_Sheet1_BS_Separation_TaxResIndem_Q12412 tf_Guidance_Sheet2" xfId="2338"/>
    <cellStyle name="_AOP 2010 Income Statement VCS_Sheet1_BS_Separation_TaxResIndem_Q12412 tf_Guidance_Sheet3" xfId="2339"/>
    <cellStyle name="_AOP 2010 Income Statement VCS_Sheet1_BS_Separation_TaxResIndem_Q12412 tf_Guidance_Sheet4" xfId="2340"/>
    <cellStyle name="_AOP 2010 Income Statement VCS_Sheet1_BS_Separation_TaxResIndem_Q12412 tf_II.7. Sep&amp;Discrete" xfId="2341"/>
    <cellStyle name="_AOP 2010 Income Statement VCS_Sheet1_BS_Separation_TaxResIndem_Q12412 tf_II.7. Sep&amp;Discrete_Guidance" xfId="2342"/>
    <cellStyle name="_AOP 2010 Income Statement VCS_Sheet1_BS_Separation_TaxResIndem_Q12412 tf_II.7. Sep&amp;Discrete_Guidance 2" xfId="2343"/>
    <cellStyle name="_AOP 2010 Income Statement VCS_Sheet1_BS_Separation_TaxResIndem_Q12412 tf_II.7. Sep&amp;Discrete_Guidance_BS retrieve" xfId="2344"/>
    <cellStyle name="_AOP 2010 Income Statement VCS_Sheet1_BS_Separation_TaxResIndem_Q12412 tf_II.7. Sep&amp;Discrete_Guidance_Free CF" xfId="2345"/>
    <cellStyle name="_AOP 2010 Income Statement VCS_Sheet1_BS_Separation_TaxResIndem_Q12412 tf_II.7. Sep&amp;Discrete_Guidance_P&amp;L Rec Qtr" xfId="2346"/>
    <cellStyle name="_AOP 2010 Income Statement VCS_Sheet1_BS_Separation_TaxResIndem_Q12412 tf_II.7. Sep&amp;Discrete_Guidance_Sheet1" xfId="2347"/>
    <cellStyle name="_AOP 2010 Income Statement VCS_Sheet1_BS_Separation_TaxResIndem_Q12412 tf_II.7. Sep&amp;Discrete_Guidance_Sheet2" xfId="2348"/>
    <cellStyle name="_AOP 2010 Income Statement VCS_Sheet1_BS_Separation_TaxResIndem_Q12412 tf_II.7. Sep&amp;Discrete_Guidance_Sheet3" xfId="2349"/>
    <cellStyle name="_AOP 2010 Income Statement VCS_Sheet1_BS_Separation_TaxResIndem_Q12412 tf_II.7. Sep&amp;Discrete_Guidance_Sheet4" xfId="2350"/>
    <cellStyle name="_AOP 2010 Income Statement VCS_Sheet1_BS_Separation_TaxResIndem_Q12412 tf_Restructuring &amp; Separation" xfId="2351"/>
    <cellStyle name="_AOP 2010 Income Statement VCS_Sheet1_BS_Separation_TaxResIndem_Q12412 tf_Restructuring &amp; Separation_Guidance" xfId="2352"/>
    <cellStyle name="_AOP 2010 Income Statement VCS_Sheet1_BS_Separation_TaxResIndem_Q12412 tf_Restructuring &amp; Separation_Guidance 2" xfId="2353"/>
    <cellStyle name="_AOP 2010 Income Statement VCS_Sheet1_BS_Separation_TaxResIndem_Q12412 tf_Restructuring &amp; Separation_Guidance_BS retrieve" xfId="2354"/>
    <cellStyle name="_AOP 2010 Income Statement VCS_Sheet1_BS_Separation_TaxResIndem_Q12412 tf_Restructuring &amp; Separation_Guidance_Free CF" xfId="2355"/>
    <cellStyle name="_AOP 2010 Income Statement VCS_Sheet1_BS_Separation_TaxResIndem_Q12412 tf_Restructuring &amp; Separation_Guidance_P&amp;L Rec Qtr" xfId="2356"/>
    <cellStyle name="_AOP 2010 Income Statement VCS_Sheet1_BS_Separation_TaxResIndem_Q12412 tf_Restructuring &amp; Separation_Guidance_Sheet1" xfId="2357"/>
    <cellStyle name="_AOP 2010 Income Statement VCS_Sheet1_BS_Separation_TaxResIndem_Q12412 tf_Restructuring &amp; Separation_Guidance_Sheet2" xfId="2358"/>
    <cellStyle name="_AOP 2010 Income Statement VCS_Sheet1_BS_Separation_TaxResIndem_Q12412 tf_Restructuring &amp; Separation_Guidance_Sheet3" xfId="2359"/>
    <cellStyle name="_AOP 2010 Income Statement VCS_Sheet1_BS_Separation_TaxResIndem_Q12412 tf_Restructuring &amp; Separation_Guidance_Sheet4" xfId="2360"/>
    <cellStyle name="_AOP 2010 Income Statement VCS_Sheet1_BS_Separation_TaxResIndem_Q12412 tf_Restructuring &amp; Separation_II.7. Sep&amp;Discrete" xfId="2361"/>
    <cellStyle name="_AOP 2010 Income Statement VCS_Sheet1_BS_Separation_TaxResIndem_Q12412 tf_Restructuring &amp; Separation_II.7. Sep&amp;Discrete_Guidance" xfId="2362"/>
    <cellStyle name="_AOP 2010 Income Statement VCS_Sheet1_BS_Separation_TaxResIndem_Q12412 tf_Restructuring &amp; Separation_II.7. Sep&amp;Discrete_Guidance 2" xfId="2363"/>
    <cellStyle name="_AOP 2010 Income Statement VCS_Sheet1_BS_Separation_TaxResIndem_Q12412 tf_Restructuring &amp; Separation_II.7. Sep&amp;Discrete_Guidance_BS retrieve" xfId="2364"/>
    <cellStyle name="_AOP 2010 Income Statement VCS_Sheet1_BS_Separation_TaxResIndem_Q12412 tf_Restructuring &amp; Separation_II.7. Sep&amp;Discrete_Guidance_Free CF" xfId="2365"/>
    <cellStyle name="_AOP 2010 Income Statement VCS_Sheet1_BS_Separation_TaxResIndem_Q12412 tf_Restructuring &amp; Separation_II.7. Sep&amp;Discrete_Guidance_P&amp;L Rec Qtr" xfId="2366"/>
    <cellStyle name="_AOP 2010 Income Statement VCS_Sheet1_BS_Separation_TaxResIndem_Q12412 tf_Restructuring &amp; Separation_II.7. Sep&amp;Discrete_Guidance_Sheet1" xfId="2367"/>
    <cellStyle name="_AOP 2010 Income Statement VCS_Sheet1_BS_Separation_TaxResIndem_Q12412 tf_Restructuring &amp; Separation_II.7. Sep&amp;Discrete_Guidance_Sheet2" xfId="2368"/>
    <cellStyle name="_AOP 2010 Income Statement VCS_Sheet1_BS_Separation_TaxResIndem_Q12412 tf_Restructuring &amp; Separation_II.7. Sep&amp;Discrete_Guidance_Sheet3" xfId="2369"/>
    <cellStyle name="_AOP 2010 Income Statement VCS_Sheet1_BS_Separation_TaxResIndem_Q12412 tf_Restructuring &amp; Separation_II.7. Sep&amp;Discrete_Guidance_Sheet4" xfId="2370"/>
    <cellStyle name="_AOP 2010 Income Statement VCS_Sheet1_Guidance" xfId="2371"/>
    <cellStyle name="_AOP 2010 Income Statement VCS_Sheet1_Guidance 2" xfId="2372"/>
    <cellStyle name="_AOP 2010 Income Statement VCS_Sheet1_Guidance_BS retrieve" xfId="2373"/>
    <cellStyle name="_AOP 2010 Income Statement VCS_Sheet1_Guidance_Free CF" xfId="2374"/>
    <cellStyle name="_AOP 2010 Income Statement VCS_Sheet1_Guidance_P&amp;L Rec Qtr" xfId="2375"/>
    <cellStyle name="_AOP 2010 Income Statement VCS_Sheet1_Guidance_Sheet1" xfId="2376"/>
    <cellStyle name="_AOP 2010 Income Statement VCS_Sheet1_Guidance_Sheet2" xfId="2377"/>
    <cellStyle name="_AOP 2010 Income Statement VCS_Sheet1_Guidance_Sheet3" xfId="2378"/>
    <cellStyle name="_AOP 2010 Income Statement VCS_Sheet1_Guidance_Sheet4" xfId="2379"/>
    <cellStyle name="_AOP 2010 Income Statement VCS_Sheet1_II.7. Sep&amp;Discrete" xfId="2380"/>
    <cellStyle name="_AOP 2010 Income Statement VCS_Sheet1_II.7. Sep&amp;Discrete_Guidance" xfId="2381"/>
    <cellStyle name="_AOP 2010 Income Statement VCS_Sheet1_II.7. Sep&amp;Discrete_Guidance 2" xfId="2382"/>
    <cellStyle name="_AOP 2010 Income Statement VCS_Sheet1_II.7. Sep&amp;Discrete_Guidance_BS retrieve" xfId="2383"/>
    <cellStyle name="_AOP 2010 Income Statement VCS_Sheet1_II.7. Sep&amp;Discrete_Guidance_Free CF" xfId="2384"/>
    <cellStyle name="_AOP 2010 Income Statement VCS_Sheet1_II.7. Sep&amp;Discrete_Guidance_P&amp;L Rec Qtr" xfId="2385"/>
    <cellStyle name="_AOP 2010 Income Statement VCS_Sheet1_II.7. Sep&amp;Discrete_Guidance_Sheet1" xfId="2386"/>
    <cellStyle name="_AOP 2010 Income Statement VCS_Sheet1_II.7. Sep&amp;Discrete_Guidance_Sheet2" xfId="2387"/>
    <cellStyle name="_AOP 2010 Income Statement VCS_Sheet1_II.7. Sep&amp;Discrete_Guidance_Sheet3" xfId="2388"/>
    <cellStyle name="_AOP 2010 Income Statement VCS_Sheet1_II.7. Sep&amp;Discrete_Guidance_Sheet4" xfId="2389"/>
    <cellStyle name="_AOP 2010 Income Statement VCS_Sheet1_II.8. Sep&amp;Discrete" xfId="2390"/>
    <cellStyle name="_AOP 2010 Income Statement VCS_Sheet1_II.8. Sep&amp;Discrete_Guidance" xfId="2391"/>
    <cellStyle name="_AOP 2010 Income Statement VCS_Sheet1_II.8. Sep&amp;Discrete_Guidance 2" xfId="2392"/>
    <cellStyle name="_AOP 2010 Income Statement VCS_Sheet1_II.8. Sep&amp;Discrete_Guidance_BS retrieve" xfId="2393"/>
    <cellStyle name="_AOP 2010 Income Statement VCS_Sheet1_II.8. Sep&amp;Discrete_Guidance_Free CF" xfId="2394"/>
    <cellStyle name="_AOP 2010 Income Statement VCS_Sheet1_II.8. Sep&amp;Discrete_Guidance_P&amp;L Rec Qtr" xfId="2395"/>
    <cellStyle name="_AOP 2010 Income Statement VCS_Sheet1_II.8. Sep&amp;Discrete_Guidance_Sheet1" xfId="2396"/>
    <cellStyle name="_AOP 2010 Income Statement VCS_Sheet1_II.8. Sep&amp;Discrete_Guidance_Sheet2" xfId="2397"/>
    <cellStyle name="_AOP 2010 Income Statement VCS_Sheet1_II.8. Sep&amp;Discrete_Guidance_Sheet3" xfId="2398"/>
    <cellStyle name="_AOP 2010 Income Statement VCS_Sheet1_II.8. Sep&amp;Discrete_Guidance_Sheet4" xfId="2399"/>
    <cellStyle name="_AOP 2010 Income Statement VCS_Sheet1_Restructuring &amp; Separation" xfId="2400"/>
    <cellStyle name="_AOP 2010 Income Statement VCS_Sheet1_Restructuring &amp; Separation_Guidance" xfId="2401"/>
    <cellStyle name="_AOP 2010 Income Statement VCS_Sheet1_Restructuring &amp; Separation_Guidance 2" xfId="2402"/>
    <cellStyle name="_AOP 2010 Income Statement VCS_Sheet1_Restructuring &amp; Separation_Guidance_BS retrieve" xfId="2403"/>
    <cellStyle name="_AOP 2010 Income Statement VCS_Sheet1_Restructuring &amp; Separation_Guidance_Free CF" xfId="2404"/>
    <cellStyle name="_AOP 2010 Income Statement VCS_Sheet1_Restructuring &amp; Separation_Guidance_P&amp;L Rec Qtr" xfId="2405"/>
    <cellStyle name="_AOP 2010 Income Statement VCS_Sheet1_Restructuring &amp; Separation_Guidance_Sheet1" xfId="2406"/>
    <cellStyle name="_AOP 2010 Income Statement VCS_Sheet1_Restructuring &amp; Separation_Guidance_Sheet2" xfId="2407"/>
    <cellStyle name="_AOP 2010 Income Statement VCS_Sheet1_Restructuring &amp; Separation_Guidance_Sheet3" xfId="2408"/>
    <cellStyle name="_AOP 2010 Income Statement VCS_Sheet1_Restructuring &amp; Separation_Guidance_Sheet4" xfId="2409"/>
    <cellStyle name="_AOP 2010 Income Statement VCS_Sheet1_Restructuring &amp; Separation_II.7. Sep&amp;Discrete" xfId="2410"/>
    <cellStyle name="_AOP 2010 Income Statement VCS_Sheet1_Restructuring &amp; Separation_II.7. Sep&amp;Discrete_Guidance" xfId="2411"/>
    <cellStyle name="_AOP 2010 Income Statement VCS_Sheet1_Restructuring &amp; Separation_II.7. Sep&amp;Discrete_Guidance 2" xfId="2412"/>
    <cellStyle name="_AOP 2010 Income Statement VCS_Sheet1_Restructuring &amp; Separation_II.7. Sep&amp;Discrete_Guidance_BS retrieve" xfId="2413"/>
    <cellStyle name="_AOP 2010 Income Statement VCS_Sheet1_Restructuring &amp; Separation_II.7. Sep&amp;Discrete_Guidance_Free CF" xfId="2414"/>
    <cellStyle name="_AOP 2010 Income Statement VCS_Sheet1_Restructuring &amp; Separation_II.7. Sep&amp;Discrete_Guidance_P&amp;L Rec Qtr" xfId="2415"/>
    <cellStyle name="_AOP 2010 Income Statement VCS_Sheet1_Restructuring &amp; Separation_II.7. Sep&amp;Discrete_Guidance_Sheet1" xfId="2416"/>
    <cellStyle name="_AOP 2010 Income Statement VCS_Sheet1_Restructuring &amp; Separation_II.7. Sep&amp;Discrete_Guidance_Sheet2" xfId="2417"/>
    <cellStyle name="_AOP 2010 Income Statement VCS_Sheet1_Restructuring &amp; Separation_II.7. Sep&amp;Discrete_Guidance_Sheet3" xfId="2418"/>
    <cellStyle name="_AOP 2010 Income Statement VCS_Sheet1_Restructuring &amp; Separation_II.7. Sep&amp;Discrete_Guidance_Sheet4" xfId="2419"/>
    <cellStyle name="_APGA 5045.04" xfId="2420"/>
    <cellStyle name="_APGA 5045.04_BS_Separation_TaxResIndem_Q12412 tf" xfId="2421"/>
    <cellStyle name="_APGA 5045.04_BS_Separation_TaxResIndem_Q12412 tf_Guidance" xfId="2422"/>
    <cellStyle name="_APGA 5045.04_BS_Separation_TaxResIndem_Q12412 tf_Guidance 2" xfId="2423"/>
    <cellStyle name="_APGA 5045.04_BS_Separation_TaxResIndem_Q12412 tf_Guidance_BS retrieve" xfId="2424"/>
    <cellStyle name="_APGA 5045.04_BS_Separation_TaxResIndem_Q12412 tf_Guidance_Free CF" xfId="2425"/>
    <cellStyle name="_APGA 5045.04_BS_Separation_TaxResIndem_Q12412 tf_Guidance_P&amp;L Rec Qtr" xfId="2426"/>
    <cellStyle name="_APGA 5045.04_BS_Separation_TaxResIndem_Q12412 tf_Guidance_Sheet1" xfId="2427"/>
    <cellStyle name="_APGA 5045.04_BS_Separation_TaxResIndem_Q12412 tf_Guidance_Sheet2" xfId="2428"/>
    <cellStyle name="_APGA 5045.04_BS_Separation_TaxResIndem_Q12412 tf_Guidance_Sheet3" xfId="2429"/>
    <cellStyle name="_APGA 5045.04_BS_Separation_TaxResIndem_Q12412 tf_Guidance_Sheet4" xfId="2430"/>
    <cellStyle name="_APGA 5045.04_BS_Separation_TaxResIndem_Q12412 tf_II.7. Sep&amp;Discrete" xfId="2431"/>
    <cellStyle name="_APGA 5045.04_BS_Separation_TaxResIndem_Q12412 tf_II.7. Sep&amp;Discrete_Guidance" xfId="2432"/>
    <cellStyle name="_APGA 5045.04_BS_Separation_TaxResIndem_Q12412 tf_II.7. Sep&amp;Discrete_Guidance 2" xfId="2433"/>
    <cellStyle name="_APGA 5045.04_BS_Separation_TaxResIndem_Q12412 tf_II.7. Sep&amp;Discrete_Guidance_BS retrieve" xfId="2434"/>
    <cellStyle name="_APGA 5045.04_BS_Separation_TaxResIndem_Q12412 tf_II.7. Sep&amp;Discrete_Guidance_Free CF" xfId="2435"/>
    <cellStyle name="_APGA 5045.04_BS_Separation_TaxResIndem_Q12412 tf_II.7. Sep&amp;Discrete_Guidance_P&amp;L Rec Qtr" xfId="2436"/>
    <cellStyle name="_APGA 5045.04_BS_Separation_TaxResIndem_Q12412 tf_II.7. Sep&amp;Discrete_Guidance_Sheet1" xfId="2437"/>
    <cellStyle name="_APGA 5045.04_BS_Separation_TaxResIndem_Q12412 tf_II.7. Sep&amp;Discrete_Guidance_Sheet2" xfId="2438"/>
    <cellStyle name="_APGA 5045.04_BS_Separation_TaxResIndem_Q12412 tf_II.7. Sep&amp;Discrete_Guidance_Sheet3" xfId="2439"/>
    <cellStyle name="_APGA 5045.04_BS_Separation_TaxResIndem_Q12412 tf_II.7. Sep&amp;Discrete_Guidance_Sheet4" xfId="2440"/>
    <cellStyle name="_APGA 5045.04_BS_Separation_TaxResIndem_Q12412 tf_Restructuring &amp; Separation" xfId="2441"/>
    <cellStyle name="_APGA 5045.04_BS_Separation_TaxResIndem_Q12412 tf_Restructuring &amp; Separation_Guidance" xfId="2442"/>
    <cellStyle name="_APGA 5045.04_BS_Separation_TaxResIndem_Q12412 tf_Restructuring &amp; Separation_Guidance 2" xfId="2443"/>
    <cellStyle name="_APGA 5045.04_BS_Separation_TaxResIndem_Q12412 tf_Restructuring &amp; Separation_Guidance_BS retrieve" xfId="2444"/>
    <cellStyle name="_APGA 5045.04_BS_Separation_TaxResIndem_Q12412 tf_Restructuring &amp; Separation_Guidance_Free CF" xfId="2445"/>
    <cellStyle name="_APGA 5045.04_BS_Separation_TaxResIndem_Q12412 tf_Restructuring &amp; Separation_Guidance_P&amp;L Rec Qtr" xfId="2446"/>
    <cellStyle name="_APGA 5045.04_BS_Separation_TaxResIndem_Q12412 tf_Restructuring &amp; Separation_Guidance_Sheet1" xfId="2447"/>
    <cellStyle name="_APGA 5045.04_BS_Separation_TaxResIndem_Q12412 tf_Restructuring &amp; Separation_Guidance_Sheet2" xfId="2448"/>
    <cellStyle name="_APGA 5045.04_BS_Separation_TaxResIndem_Q12412 tf_Restructuring &amp; Separation_Guidance_Sheet3" xfId="2449"/>
    <cellStyle name="_APGA 5045.04_BS_Separation_TaxResIndem_Q12412 tf_Restructuring &amp; Separation_Guidance_Sheet4" xfId="2450"/>
    <cellStyle name="_APGA 5045.04_BS_Separation_TaxResIndem_Q12412 tf_Restructuring &amp; Separation_II.7. Sep&amp;Discrete" xfId="2451"/>
    <cellStyle name="_APGA 5045.04_BS_Separation_TaxResIndem_Q12412 tf_Restructuring &amp; Separation_II.7. Sep&amp;Discrete_Guidance" xfId="2452"/>
    <cellStyle name="_APGA 5045.04_BS_Separation_TaxResIndem_Q12412 tf_Restructuring &amp; Separation_II.7. Sep&amp;Discrete_Guidance 2" xfId="2453"/>
    <cellStyle name="_APGA 5045.04_BS_Separation_TaxResIndem_Q12412 tf_Restructuring &amp; Separation_II.7. Sep&amp;Discrete_Guidance_BS retrieve" xfId="2454"/>
    <cellStyle name="_APGA 5045.04_BS_Separation_TaxResIndem_Q12412 tf_Restructuring &amp; Separation_II.7. Sep&amp;Discrete_Guidance_Free CF" xfId="2455"/>
    <cellStyle name="_APGA 5045.04_BS_Separation_TaxResIndem_Q12412 tf_Restructuring &amp; Separation_II.7. Sep&amp;Discrete_Guidance_P&amp;L Rec Qtr" xfId="2456"/>
    <cellStyle name="_APGA 5045.04_BS_Separation_TaxResIndem_Q12412 tf_Restructuring &amp; Separation_II.7. Sep&amp;Discrete_Guidance_Sheet1" xfId="2457"/>
    <cellStyle name="_APGA 5045.04_BS_Separation_TaxResIndem_Q12412 tf_Restructuring &amp; Separation_II.7. Sep&amp;Discrete_Guidance_Sheet2" xfId="2458"/>
    <cellStyle name="_APGA 5045.04_BS_Separation_TaxResIndem_Q12412 tf_Restructuring &amp; Separation_II.7. Sep&amp;Discrete_Guidance_Sheet3" xfId="2459"/>
    <cellStyle name="_APGA 5045.04_BS_Separation_TaxResIndem_Q12412 tf_Restructuring &amp; Separation_II.7. Sep&amp;Discrete_Guidance_Sheet4" xfId="2460"/>
    <cellStyle name="_APGA 5045.04_Guidance" xfId="2461"/>
    <cellStyle name="_APGA 5045.04_Guidance 2" xfId="2462"/>
    <cellStyle name="_APGA 5045.04_Guidance_BS retrieve" xfId="2463"/>
    <cellStyle name="_APGA 5045.04_Guidance_Free CF" xfId="2464"/>
    <cellStyle name="_APGA 5045.04_Guidance_P&amp;L Rec Qtr" xfId="2465"/>
    <cellStyle name="_APGA 5045.04_Guidance_Sheet1" xfId="2466"/>
    <cellStyle name="_APGA 5045.04_Guidance_Sheet2" xfId="2467"/>
    <cellStyle name="_APGA 5045.04_Guidance_Sheet3" xfId="2468"/>
    <cellStyle name="_APGA 5045.04_Guidance_Sheet4" xfId="2469"/>
    <cellStyle name="_APGA 5045.04_II.7. Sep&amp;Discrete" xfId="2470"/>
    <cellStyle name="_APGA 5045.04_II.7. Sep&amp;Discrete_Guidance" xfId="2471"/>
    <cellStyle name="_APGA 5045.04_II.7. Sep&amp;Discrete_Guidance 2" xfId="2472"/>
    <cellStyle name="_APGA 5045.04_II.7. Sep&amp;Discrete_Guidance_BS retrieve" xfId="2473"/>
    <cellStyle name="_APGA 5045.04_II.7. Sep&amp;Discrete_Guidance_Free CF" xfId="2474"/>
    <cellStyle name="_APGA 5045.04_II.7. Sep&amp;Discrete_Guidance_P&amp;L Rec Qtr" xfId="2475"/>
    <cellStyle name="_APGA 5045.04_II.7. Sep&amp;Discrete_Guidance_Sheet1" xfId="2476"/>
    <cellStyle name="_APGA 5045.04_II.7. Sep&amp;Discrete_Guidance_Sheet2" xfId="2477"/>
    <cellStyle name="_APGA 5045.04_II.7. Sep&amp;Discrete_Guidance_Sheet3" xfId="2478"/>
    <cellStyle name="_APGA 5045.04_II.7. Sep&amp;Discrete_Guidance_Sheet4" xfId="2479"/>
    <cellStyle name="_APGA 5045.04_II.8. Sep&amp;Discrete" xfId="2480"/>
    <cellStyle name="_APGA 5045.04_II.8. Sep&amp;Discrete_Guidance" xfId="2481"/>
    <cellStyle name="_APGA 5045.04_II.8. Sep&amp;Discrete_Guidance 2" xfId="2482"/>
    <cellStyle name="_APGA 5045.04_II.8. Sep&amp;Discrete_Guidance_BS retrieve" xfId="2483"/>
    <cellStyle name="_APGA 5045.04_II.8. Sep&amp;Discrete_Guidance_Free CF" xfId="2484"/>
    <cellStyle name="_APGA 5045.04_II.8. Sep&amp;Discrete_Guidance_P&amp;L Rec Qtr" xfId="2485"/>
    <cellStyle name="_APGA 5045.04_II.8. Sep&amp;Discrete_Guidance_Sheet1" xfId="2486"/>
    <cellStyle name="_APGA 5045.04_II.8. Sep&amp;Discrete_Guidance_Sheet2" xfId="2487"/>
    <cellStyle name="_APGA 5045.04_II.8. Sep&amp;Discrete_Guidance_Sheet3" xfId="2488"/>
    <cellStyle name="_APGA 5045.04_II.8. Sep&amp;Discrete_Guidance_Sheet4" xfId="2489"/>
    <cellStyle name="_APGA 5045.04_Restructuring &amp; Separation" xfId="2490"/>
    <cellStyle name="_APGA 5045.04_Restructuring &amp; Separation_Guidance" xfId="2491"/>
    <cellStyle name="_APGA 5045.04_Restructuring &amp; Separation_Guidance 2" xfId="2492"/>
    <cellStyle name="_APGA 5045.04_Restructuring &amp; Separation_Guidance_BS retrieve" xfId="2493"/>
    <cellStyle name="_APGA 5045.04_Restructuring &amp; Separation_Guidance_Free CF" xfId="2494"/>
    <cellStyle name="_APGA 5045.04_Restructuring &amp; Separation_Guidance_P&amp;L Rec Qtr" xfId="2495"/>
    <cellStyle name="_APGA 5045.04_Restructuring &amp; Separation_Guidance_Sheet1" xfId="2496"/>
    <cellStyle name="_APGA 5045.04_Restructuring &amp; Separation_Guidance_Sheet2" xfId="2497"/>
    <cellStyle name="_APGA 5045.04_Restructuring &amp; Separation_Guidance_Sheet3" xfId="2498"/>
    <cellStyle name="_APGA 5045.04_Restructuring &amp; Separation_Guidance_Sheet4" xfId="2499"/>
    <cellStyle name="_APGA 5045.04_Restructuring &amp; Separation_II.7. Sep&amp;Discrete" xfId="2500"/>
    <cellStyle name="_APGA 5045.04_Restructuring &amp; Separation_II.7. Sep&amp;Discrete_Guidance" xfId="2501"/>
    <cellStyle name="_APGA 5045.04_Restructuring &amp; Separation_II.7. Sep&amp;Discrete_Guidance 2" xfId="2502"/>
    <cellStyle name="_APGA 5045.04_Restructuring &amp; Separation_II.7. Sep&amp;Discrete_Guidance_BS retrieve" xfId="2503"/>
    <cellStyle name="_APGA 5045.04_Restructuring &amp; Separation_II.7. Sep&amp;Discrete_Guidance_Free CF" xfId="2504"/>
    <cellStyle name="_APGA 5045.04_Restructuring &amp; Separation_II.7. Sep&amp;Discrete_Guidance_P&amp;L Rec Qtr" xfId="2505"/>
    <cellStyle name="_APGA 5045.04_Restructuring &amp; Separation_II.7. Sep&amp;Discrete_Guidance_Sheet1" xfId="2506"/>
    <cellStyle name="_APGA 5045.04_Restructuring &amp; Separation_II.7. Sep&amp;Discrete_Guidance_Sheet2" xfId="2507"/>
    <cellStyle name="_APGA 5045.04_Restructuring &amp; Separation_II.7. Sep&amp;Discrete_Guidance_Sheet3" xfId="2508"/>
    <cellStyle name="_APGA 5045.04_Restructuring &amp; Separation_II.7. Sep&amp;Discrete_Guidance_Sheet4" xfId="2509"/>
    <cellStyle name="_APGA 5045.04_Sheet1" xfId="2510"/>
    <cellStyle name="_APGA 5045.04_Sheet1_1" xfId="2511"/>
    <cellStyle name="_APGA 5045.04_Sheet1_1_Guidance" xfId="2512"/>
    <cellStyle name="_APGA 5045.04_Sheet1_1_Guidance 2" xfId="2513"/>
    <cellStyle name="_APGA 5045.04_Sheet1_1_Guidance_BS retrieve" xfId="2514"/>
    <cellStyle name="_APGA 5045.04_Sheet1_1_Guidance_Free CF" xfId="2515"/>
    <cellStyle name="_APGA 5045.04_Sheet1_1_Guidance_P&amp;L Rec Qtr" xfId="2516"/>
    <cellStyle name="_APGA 5045.04_Sheet1_1_Guidance_Sheet1" xfId="2517"/>
    <cellStyle name="_APGA 5045.04_Sheet1_1_Guidance_Sheet2" xfId="2518"/>
    <cellStyle name="_APGA 5045.04_Sheet1_1_Guidance_Sheet3" xfId="2519"/>
    <cellStyle name="_APGA 5045.04_Sheet1_1_Guidance_Sheet4" xfId="2520"/>
    <cellStyle name="_APGA 5045.04_Sheet1_1_II.7. Sep&amp;Discrete" xfId="2521"/>
    <cellStyle name="_APGA 5045.04_Sheet1_1_II.7. Sep&amp;Discrete_Guidance" xfId="2522"/>
    <cellStyle name="_APGA 5045.04_Sheet1_1_II.7. Sep&amp;Discrete_Guidance 2" xfId="2523"/>
    <cellStyle name="_APGA 5045.04_Sheet1_1_II.7. Sep&amp;Discrete_Guidance_BS retrieve" xfId="2524"/>
    <cellStyle name="_APGA 5045.04_Sheet1_1_II.7. Sep&amp;Discrete_Guidance_Free CF" xfId="2525"/>
    <cellStyle name="_APGA 5045.04_Sheet1_1_II.7. Sep&amp;Discrete_Guidance_P&amp;L Rec Qtr" xfId="2526"/>
    <cellStyle name="_APGA 5045.04_Sheet1_1_II.7. Sep&amp;Discrete_Guidance_Sheet1" xfId="2527"/>
    <cellStyle name="_APGA 5045.04_Sheet1_1_II.7. Sep&amp;Discrete_Guidance_Sheet2" xfId="2528"/>
    <cellStyle name="_APGA 5045.04_Sheet1_1_II.7. Sep&amp;Discrete_Guidance_Sheet3" xfId="2529"/>
    <cellStyle name="_APGA 5045.04_Sheet1_1_II.7. Sep&amp;Discrete_Guidance_Sheet4" xfId="2530"/>
    <cellStyle name="_APGA 5045.04_Sheet1_1_Restructuring &amp; Separation" xfId="2531"/>
    <cellStyle name="_APGA 5045.04_Sheet1_1_Restructuring &amp; Separation_Guidance" xfId="2532"/>
    <cellStyle name="_APGA 5045.04_Sheet1_1_Restructuring &amp; Separation_Guidance 2" xfId="2533"/>
    <cellStyle name="_APGA 5045.04_Sheet1_1_Restructuring &amp; Separation_Guidance_BS retrieve" xfId="2534"/>
    <cellStyle name="_APGA 5045.04_Sheet1_1_Restructuring &amp; Separation_Guidance_Free CF" xfId="2535"/>
    <cellStyle name="_APGA 5045.04_Sheet1_1_Restructuring &amp; Separation_Guidance_P&amp;L Rec Qtr" xfId="2536"/>
    <cellStyle name="_APGA 5045.04_Sheet1_1_Restructuring &amp; Separation_Guidance_Sheet1" xfId="2537"/>
    <cellStyle name="_APGA 5045.04_Sheet1_1_Restructuring &amp; Separation_Guidance_Sheet2" xfId="2538"/>
    <cellStyle name="_APGA 5045.04_Sheet1_1_Restructuring &amp; Separation_Guidance_Sheet3" xfId="2539"/>
    <cellStyle name="_APGA 5045.04_Sheet1_1_Restructuring &amp; Separation_Guidance_Sheet4" xfId="2540"/>
    <cellStyle name="_APGA 5045.04_Sheet1_1_Restructuring &amp; Separation_II.7. Sep&amp;Discrete" xfId="2541"/>
    <cellStyle name="_APGA 5045.04_Sheet1_1_Restructuring &amp; Separation_II.7. Sep&amp;Discrete_Guidance" xfId="2542"/>
    <cellStyle name="_APGA 5045.04_Sheet1_1_Restructuring &amp; Separation_II.7. Sep&amp;Discrete_Guidance 2" xfId="2543"/>
    <cellStyle name="_APGA 5045.04_Sheet1_1_Restructuring &amp; Separation_II.7. Sep&amp;Discrete_Guidance_BS retrieve" xfId="2544"/>
    <cellStyle name="_APGA 5045.04_Sheet1_1_Restructuring &amp; Separation_II.7. Sep&amp;Discrete_Guidance_Free CF" xfId="2545"/>
    <cellStyle name="_APGA 5045.04_Sheet1_1_Restructuring &amp; Separation_II.7. Sep&amp;Discrete_Guidance_P&amp;L Rec Qtr" xfId="2546"/>
    <cellStyle name="_APGA 5045.04_Sheet1_1_Restructuring &amp; Separation_II.7. Sep&amp;Discrete_Guidance_Sheet1" xfId="2547"/>
    <cellStyle name="_APGA 5045.04_Sheet1_1_Restructuring &amp; Separation_II.7. Sep&amp;Discrete_Guidance_Sheet2" xfId="2548"/>
    <cellStyle name="_APGA 5045.04_Sheet1_1_Restructuring &amp; Separation_II.7. Sep&amp;Discrete_Guidance_Sheet3" xfId="2549"/>
    <cellStyle name="_APGA 5045.04_Sheet1_1_Restructuring &amp; Separation_II.7. Sep&amp;Discrete_Guidance_Sheet4" xfId="2550"/>
    <cellStyle name="_APGA 5045.04_Sheet1_BS_Separation_TaxResIndem_Q12412 tf" xfId="2551"/>
    <cellStyle name="_APGA 5045.04_Sheet1_BS_Separation_TaxResIndem_Q12412 tf_Guidance" xfId="2552"/>
    <cellStyle name="_APGA 5045.04_Sheet1_BS_Separation_TaxResIndem_Q12412 tf_Guidance 2" xfId="2553"/>
    <cellStyle name="_APGA 5045.04_Sheet1_BS_Separation_TaxResIndem_Q12412 tf_Guidance_BS retrieve" xfId="2554"/>
    <cellStyle name="_APGA 5045.04_Sheet1_BS_Separation_TaxResIndem_Q12412 tf_Guidance_Free CF" xfId="2555"/>
    <cellStyle name="_APGA 5045.04_Sheet1_BS_Separation_TaxResIndem_Q12412 tf_Guidance_P&amp;L Rec Qtr" xfId="2556"/>
    <cellStyle name="_APGA 5045.04_Sheet1_BS_Separation_TaxResIndem_Q12412 tf_Guidance_Sheet1" xfId="2557"/>
    <cellStyle name="_APGA 5045.04_Sheet1_BS_Separation_TaxResIndem_Q12412 tf_Guidance_Sheet2" xfId="2558"/>
    <cellStyle name="_APGA 5045.04_Sheet1_BS_Separation_TaxResIndem_Q12412 tf_Guidance_Sheet3" xfId="2559"/>
    <cellStyle name="_APGA 5045.04_Sheet1_BS_Separation_TaxResIndem_Q12412 tf_Guidance_Sheet4" xfId="2560"/>
    <cellStyle name="_APGA 5045.04_Sheet1_BS_Separation_TaxResIndem_Q12412 tf_II.7. Sep&amp;Discrete" xfId="2561"/>
    <cellStyle name="_APGA 5045.04_Sheet1_BS_Separation_TaxResIndem_Q12412 tf_II.7. Sep&amp;Discrete_Guidance" xfId="2562"/>
    <cellStyle name="_APGA 5045.04_Sheet1_BS_Separation_TaxResIndem_Q12412 tf_II.7. Sep&amp;Discrete_Guidance 2" xfId="2563"/>
    <cellStyle name="_APGA 5045.04_Sheet1_BS_Separation_TaxResIndem_Q12412 tf_II.7. Sep&amp;Discrete_Guidance_BS retrieve" xfId="2564"/>
    <cellStyle name="_APGA 5045.04_Sheet1_BS_Separation_TaxResIndem_Q12412 tf_II.7. Sep&amp;Discrete_Guidance_Free CF" xfId="2565"/>
    <cellStyle name="_APGA 5045.04_Sheet1_BS_Separation_TaxResIndem_Q12412 tf_II.7. Sep&amp;Discrete_Guidance_P&amp;L Rec Qtr" xfId="2566"/>
    <cellStyle name="_APGA 5045.04_Sheet1_BS_Separation_TaxResIndem_Q12412 tf_II.7. Sep&amp;Discrete_Guidance_Sheet1" xfId="2567"/>
    <cellStyle name="_APGA 5045.04_Sheet1_BS_Separation_TaxResIndem_Q12412 tf_II.7. Sep&amp;Discrete_Guidance_Sheet2" xfId="2568"/>
    <cellStyle name="_APGA 5045.04_Sheet1_BS_Separation_TaxResIndem_Q12412 tf_II.7. Sep&amp;Discrete_Guidance_Sheet3" xfId="2569"/>
    <cellStyle name="_APGA 5045.04_Sheet1_BS_Separation_TaxResIndem_Q12412 tf_II.7. Sep&amp;Discrete_Guidance_Sheet4" xfId="2570"/>
    <cellStyle name="_APGA 5045.04_Sheet1_BS_Separation_TaxResIndem_Q12412 tf_Restructuring &amp; Separation" xfId="2571"/>
    <cellStyle name="_APGA 5045.04_Sheet1_BS_Separation_TaxResIndem_Q12412 tf_Restructuring &amp; Separation_Guidance" xfId="2572"/>
    <cellStyle name="_APGA 5045.04_Sheet1_BS_Separation_TaxResIndem_Q12412 tf_Restructuring &amp; Separation_Guidance 2" xfId="2573"/>
    <cellStyle name="_APGA 5045.04_Sheet1_BS_Separation_TaxResIndem_Q12412 tf_Restructuring &amp; Separation_Guidance_BS retrieve" xfId="2574"/>
    <cellStyle name="_APGA 5045.04_Sheet1_BS_Separation_TaxResIndem_Q12412 tf_Restructuring &amp; Separation_Guidance_Free CF" xfId="2575"/>
    <cellStyle name="_APGA 5045.04_Sheet1_BS_Separation_TaxResIndem_Q12412 tf_Restructuring &amp; Separation_Guidance_P&amp;L Rec Qtr" xfId="2576"/>
    <cellStyle name="_APGA 5045.04_Sheet1_BS_Separation_TaxResIndem_Q12412 tf_Restructuring &amp; Separation_Guidance_Sheet1" xfId="2577"/>
    <cellStyle name="_APGA 5045.04_Sheet1_BS_Separation_TaxResIndem_Q12412 tf_Restructuring &amp; Separation_Guidance_Sheet2" xfId="2578"/>
    <cellStyle name="_APGA 5045.04_Sheet1_BS_Separation_TaxResIndem_Q12412 tf_Restructuring &amp; Separation_Guidance_Sheet3" xfId="2579"/>
    <cellStyle name="_APGA 5045.04_Sheet1_BS_Separation_TaxResIndem_Q12412 tf_Restructuring &amp; Separation_Guidance_Sheet4" xfId="2580"/>
    <cellStyle name="_APGA 5045.04_Sheet1_BS_Separation_TaxResIndem_Q12412 tf_Restructuring &amp; Separation_II.7. Sep&amp;Discrete" xfId="2581"/>
    <cellStyle name="_APGA 5045.04_Sheet1_BS_Separation_TaxResIndem_Q12412 tf_Restructuring &amp; Separation_II.7. Sep&amp;Discrete_Guidance" xfId="2582"/>
    <cellStyle name="_APGA 5045.04_Sheet1_BS_Separation_TaxResIndem_Q12412 tf_Restructuring &amp; Separation_II.7. Sep&amp;Discrete_Guidance 2" xfId="2583"/>
    <cellStyle name="_APGA 5045.04_Sheet1_BS_Separation_TaxResIndem_Q12412 tf_Restructuring &amp; Separation_II.7. Sep&amp;Discrete_Guidance_BS retrieve" xfId="2584"/>
    <cellStyle name="_APGA 5045.04_Sheet1_BS_Separation_TaxResIndem_Q12412 tf_Restructuring &amp; Separation_II.7. Sep&amp;Discrete_Guidance_Free CF" xfId="2585"/>
    <cellStyle name="_APGA 5045.04_Sheet1_BS_Separation_TaxResIndem_Q12412 tf_Restructuring &amp; Separation_II.7. Sep&amp;Discrete_Guidance_P&amp;L Rec Qtr" xfId="2586"/>
    <cellStyle name="_APGA 5045.04_Sheet1_BS_Separation_TaxResIndem_Q12412 tf_Restructuring &amp; Separation_II.7. Sep&amp;Discrete_Guidance_Sheet1" xfId="2587"/>
    <cellStyle name="_APGA 5045.04_Sheet1_BS_Separation_TaxResIndem_Q12412 tf_Restructuring &amp; Separation_II.7. Sep&amp;Discrete_Guidance_Sheet2" xfId="2588"/>
    <cellStyle name="_APGA 5045.04_Sheet1_BS_Separation_TaxResIndem_Q12412 tf_Restructuring &amp; Separation_II.7. Sep&amp;Discrete_Guidance_Sheet3" xfId="2589"/>
    <cellStyle name="_APGA 5045.04_Sheet1_BS_Separation_TaxResIndem_Q12412 tf_Restructuring &amp; Separation_II.7. Sep&amp;Discrete_Guidance_Sheet4" xfId="2590"/>
    <cellStyle name="_APGA 5045.04_Sheet1_Guidance" xfId="2591"/>
    <cellStyle name="_APGA 5045.04_Sheet1_Guidance 2" xfId="2592"/>
    <cellStyle name="_APGA 5045.04_Sheet1_Guidance_BS retrieve" xfId="2593"/>
    <cellStyle name="_APGA 5045.04_Sheet1_Guidance_Free CF" xfId="2594"/>
    <cellStyle name="_APGA 5045.04_Sheet1_Guidance_P&amp;L Rec Qtr" xfId="2595"/>
    <cellStyle name="_APGA 5045.04_Sheet1_Guidance_Sheet1" xfId="2596"/>
    <cellStyle name="_APGA 5045.04_Sheet1_Guidance_Sheet2" xfId="2597"/>
    <cellStyle name="_APGA 5045.04_Sheet1_Guidance_Sheet3" xfId="2598"/>
    <cellStyle name="_APGA 5045.04_Sheet1_Guidance_Sheet4" xfId="2599"/>
    <cellStyle name="_APGA 5045.04_Sheet1_II.7. Sep&amp;Discrete" xfId="2600"/>
    <cellStyle name="_APGA 5045.04_Sheet1_II.7. Sep&amp;Discrete_Guidance" xfId="2601"/>
    <cellStyle name="_APGA 5045.04_Sheet1_II.7. Sep&amp;Discrete_Guidance 2" xfId="2602"/>
    <cellStyle name="_APGA 5045.04_Sheet1_II.7. Sep&amp;Discrete_Guidance_BS retrieve" xfId="2603"/>
    <cellStyle name="_APGA 5045.04_Sheet1_II.7. Sep&amp;Discrete_Guidance_Free CF" xfId="2604"/>
    <cellStyle name="_APGA 5045.04_Sheet1_II.7. Sep&amp;Discrete_Guidance_P&amp;L Rec Qtr" xfId="2605"/>
    <cellStyle name="_APGA 5045.04_Sheet1_II.7. Sep&amp;Discrete_Guidance_Sheet1" xfId="2606"/>
    <cellStyle name="_APGA 5045.04_Sheet1_II.7. Sep&amp;Discrete_Guidance_Sheet2" xfId="2607"/>
    <cellStyle name="_APGA 5045.04_Sheet1_II.7. Sep&amp;Discrete_Guidance_Sheet3" xfId="2608"/>
    <cellStyle name="_APGA 5045.04_Sheet1_II.7. Sep&amp;Discrete_Guidance_Sheet4" xfId="2609"/>
    <cellStyle name="_APGA 5045.04_Sheet1_II.8. Sep&amp;Discrete" xfId="2610"/>
    <cellStyle name="_APGA 5045.04_Sheet1_II.8. Sep&amp;Discrete_Guidance" xfId="2611"/>
    <cellStyle name="_APGA 5045.04_Sheet1_II.8. Sep&amp;Discrete_Guidance 2" xfId="2612"/>
    <cellStyle name="_APGA 5045.04_Sheet1_II.8. Sep&amp;Discrete_Guidance_BS retrieve" xfId="2613"/>
    <cellStyle name="_APGA 5045.04_Sheet1_II.8. Sep&amp;Discrete_Guidance_Free CF" xfId="2614"/>
    <cellStyle name="_APGA 5045.04_Sheet1_II.8. Sep&amp;Discrete_Guidance_P&amp;L Rec Qtr" xfId="2615"/>
    <cellStyle name="_APGA 5045.04_Sheet1_II.8. Sep&amp;Discrete_Guidance_Sheet1" xfId="2616"/>
    <cellStyle name="_APGA 5045.04_Sheet1_II.8. Sep&amp;Discrete_Guidance_Sheet2" xfId="2617"/>
    <cellStyle name="_APGA 5045.04_Sheet1_II.8. Sep&amp;Discrete_Guidance_Sheet3" xfId="2618"/>
    <cellStyle name="_APGA 5045.04_Sheet1_II.8. Sep&amp;Discrete_Guidance_Sheet4" xfId="2619"/>
    <cellStyle name="_APGA 5045.04_Sheet1_Restructuring &amp; Separation" xfId="2620"/>
    <cellStyle name="_APGA 5045.04_Sheet1_Restructuring &amp; Separation_Guidance" xfId="2621"/>
    <cellStyle name="_APGA 5045.04_Sheet1_Restructuring &amp; Separation_Guidance 2" xfId="2622"/>
    <cellStyle name="_APGA 5045.04_Sheet1_Restructuring &amp; Separation_Guidance_BS retrieve" xfId="2623"/>
    <cellStyle name="_APGA 5045.04_Sheet1_Restructuring &amp; Separation_Guidance_Free CF" xfId="2624"/>
    <cellStyle name="_APGA 5045.04_Sheet1_Restructuring &amp; Separation_Guidance_P&amp;L Rec Qtr" xfId="2625"/>
    <cellStyle name="_APGA 5045.04_Sheet1_Restructuring &amp; Separation_Guidance_Sheet1" xfId="2626"/>
    <cellStyle name="_APGA 5045.04_Sheet1_Restructuring &amp; Separation_Guidance_Sheet2" xfId="2627"/>
    <cellStyle name="_APGA 5045.04_Sheet1_Restructuring &amp; Separation_Guidance_Sheet3" xfId="2628"/>
    <cellStyle name="_APGA 5045.04_Sheet1_Restructuring &amp; Separation_Guidance_Sheet4" xfId="2629"/>
    <cellStyle name="_APGA 5045.04_Sheet1_Restructuring &amp; Separation_II.7. Sep&amp;Discrete" xfId="2630"/>
    <cellStyle name="_APGA 5045.04_Sheet1_Restructuring &amp; Separation_II.7. Sep&amp;Discrete_Guidance" xfId="2631"/>
    <cellStyle name="_APGA 5045.04_Sheet1_Restructuring &amp; Separation_II.7. Sep&amp;Discrete_Guidance 2" xfId="2632"/>
    <cellStyle name="_APGA 5045.04_Sheet1_Restructuring &amp; Separation_II.7. Sep&amp;Discrete_Guidance_BS retrieve" xfId="2633"/>
    <cellStyle name="_APGA 5045.04_Sheet1_Restructuring &amp; Separation_II.7. Sep&amp;Discrete_Guidance_Free CF" xfId="2634"/>
    <cellStyle name="_APGA 5045.04_Sheet1_Restructuring &amp; Separation_II.7. Sep&amp;Discrete_Guidance_P&amp;L Rec Qtr" xfId="2635"/>
    <cellStyle name="_APGA 5045.04_Sheet1_Restructuring &amp; Separation_II.7. Sep&amp;Discrete_Guidance_Sheet1" xfId="2636"/>
    <cellStyle name="_APGA 5045.04_Sheet1_Restructuring &amp; Separation_II.7. Sep&amp;Discrete_Guidance_Sheet2" xfId="2637"/>
    <cellStyle name="_APGA 5045.04_Sheet1_Restructuring &amp; Separation_II.7. Sep&amp;Discrete_Guidance_Sheet3" xfId="2638"/>
    <cellStyle name="_APGA 5045.04_Sheet1_Restructuring &amp; Separation_II.7. Sep&amp;Discrete_Guidance_Sheet4" xfId="2639"/>
    <cellStyle name="_ASE - Financial Approval - 05.18.05" xfId="2640"/>
    <cellStyle name="_Book1" xfId="2641"/>
    <cellStyle name="_Book1 (2)" xfId="2642"/>
    <cellStyle name="_CAPEX  TOOL Update-APAC 08-QD" xfId="2643"/>
    <cellStyle name="_Copy of Check_Plan2010 VCS" xfId="2644"/>
    <cellStyle name="_Copy of Check_Plan2010 VCS_BS_Separation_TaxResIndem_Q12412 tf" xfId="2645"/>
    <cellStyle name="_Copy of Check_Plan2010 VCS_BS_Separation_TaxResIndem_Q12412 tf_Guidance" xfId="2646"/>
    <cellStyle name="_Copy of Check_Plan2010 VCS_BS_Separation_TaxResIndem_Q12412 tf_Guidance 2" xfId="2647"/>
    <cellStyle name="_Copy of Check_Plan2010 VCS_BS_Separation_TaxResIndem_Q12412 tf_Guidance_BS retrieve" xfId="2648"/>
    <cellStyle name="_Copy of Check_Plan2010 VCS_BS_Separation_TaxResIndem_Q12412 tf_Guidance_Free CF" xfId="2649"/>
    <cellStyle name="_Copy of Check_Plan2010 VCS_BS_Separation_TaxResIndem_Q12412 tf_Guidance_P&amp;L Rec Qtr" xfId="2650"/>
    <cellStyle name="_Copy of Check_Plan2010 VCS_BS_Separation_TaxResIndem_Q12412 tf_Guidance_Sheet1" xfId="2651"/>
    <cellStyle name="_Copy of Check_Plan2010 VCS_BS_Separation_TaxResIndem_Q12412 tf_Guidance_Sheet2" xfId="2652"/>
    <cellStyle name="_Copy of Check_Plan2010 VCS_BS_Separation_TaxResIndem_Q12412 tf_Guidance_Sheet3" xfId="2653"/>
    <cellStyle name="_Copy of Check_Plan2010 VCS_BS_Separation_TaxResIndem_Q12412 tf_Guidance_Sheet4" xfId="2654"/>
    <cellStyle name="_Copy of Check_Plan2010 VCS_BS_Separation_TaxResIndem_Q12412 tf_II.7. Sep&amp;Discrete" xfId="2655"/>
    <cellStyle name="_Copy of Check_Plan2010 VCS_BS_Separation_TaxResIndem_Q12412 tf_II.7. Sep&amp;Discrete_Guidance" xfId="2656"/>
    <cellStyle name="_Copy of Check_Plan2010 VCS_BS_Separation_TaxResIndem_Q12412 tf_II.7. Sep&amp;Discrete_Guidance 2" xfId="2657"/>
    <cellStyle name="_Copy of Check_Plan2010 VCS_BS_Separation_TaxResIndem_Q12412 tf_II.7. Sep&amp;Discrete_Guidance_BS retrieve" xfId="2658"/>
    <cellStyle name="_Copy of Check_Plan2010 VCS_BS_Separation_TaxResIndem_Q12412 tf_II.7. Sep&amp;Discrete_Guidance_Free CF" xfId="2659"/>
    <cellStyle name="_Copy of Check_Plan2010 VCS_BS_Separation_TaxResIndem_Q12412 tf_II.7. Sep&amp;Discrete_Guidance_P&amp;L Rec Qtr" xfId="2660"/>
    <cellStyle name="_Copy of Check_Plan2010 VCS_BS_Separation_TaxResIndem_Q12412 tf_II.7. Sep&amp;Discrete_Guidance_Sheet1" xfId="2661"/>
    <cellStyle name="_Copy of Check_Plan2010 VCS_BS_Separation_TaxResIndem_Q12412 tf_II.7. Sep&amp;Discrete_Guidance_Sheet2" xfId="2662"/>
    <cellStyle name="_Copy of Check_Plan2010 VCS_BS_Separation_TaxResIndem_Q12412 tf_II.7. Sep&amp;Discrete_Guidance_Sheet3" xfId="2663"/>
    <cellStyle name="_Copy of Check_Plan2010 VCS_BS_Separation_TaxResIndem_Q12412 tf_II.7. Sep&amp;Discrete_Guidance_Sheet4" xfId="2664"/>
    <cellStyle name="_Copy of Check_Plan2010 VCS_BS_Separation_TaxResIndem_Q12412 tf_Restructuring &amp; Separation" xfId="2665"/>
    <cellStyle name="_Copy of Check_Plan2010 VCS_BS_Separation_TaxResIndem_Q12412 tf_Restructuring &amp; Separation_Guidance" xfId="2666"/>
    <cellStyle name="_Copy of Check_Plan2010 VCS_BS_Separation_TaxResIndem_Q12412 tf_Restructuring &amp; Separation_Guidance 2" xfId="2667"/>
    <cellStyle name="_Copy of Check_Plan2010 VCS_BS_Separation_TaxResIndem_Q12412 tf_Restructuring &amp; Separation_Guidance_BS retrieve" xfId="2668"/>
    <cellStyle name="_Copy of Check_Plan2010 VCS_BS_Separation_TaxResIndem_Q12412 tf_Restructuring &amp; Separation_Guidance_Free CF" xfId="2669"/>
    <cellStyle name="_Copy of Check_Plan2010 VCS_BS_Separation_TaxResIndem_Q12412 tf_Restructuring &amp; Separation_Guidance_P&amp;L Rec Qtr" xfId="2670"/>
    <cellStyle name="_Copy of Check_Plan2010 VCS_BS_Separation_TaxResIndem_Q12412 tf_Restructuring &amp; Separation_Guidance_Sheet1" xfId="2671"/>
    <cellStyle name="_Copy of Check_Plan2010 VCS_BS_Separation_TaxResIndem_Q12412 tf_Restructuring &amp; Separation_Guidance_Sheet2" xfId="2672"/>
    <cellStyle name="_Copy of Check_Plan2010 VCS_BS_Separation_TaxResIndem_Q12412 tf_Restructuring &amp; Separation_Guidance_Sheet3" xfId="2673"/>
    <cellStyle name="_Copy of Check_Plan2010 VCS_BS_Separation_TaxResIndem_Q12412 tf_Restructuring &amp; Separation_Guidance_Sheet4" xfId="2674"/>
    <cellStyle name="_Copy of Check_Plan2010 VCS_BS_Separation_TaxResIndem_Q12412 tf_Restructuring &amp; Separation_II.7. Sep&amp;Discrete" xfId="2675"/>
    <cellStyle name="_Copy of Check_Plan2010 VCS_BS_Separation_TaxResIndem_Q12412 tf_Restructuring &amp; Separation_II.7. Sep&amp;Discrete_Guidance" xfId="2676"/>
    <cellStyle name="_Copy of Check_Plan2010 VCS_BS_Separation_TaxResIndem_Q12412 tf_Restructuring &amp; Separation_II.7. Sep&amp;Discrete_Guidance 2" xfId="2677"/>
    <cellStyle name="_Copy of Check_Plan2010 VCS_BS_Separation_TaxResIndem_Q12412 tf_Restructuring &amp; Separation_II.7. Sep&amp;Discrete_Guidance_BS retrieve" xfId="2678"/>
    <cellStyle name="_Copy of Check_Plan2010 VCS_BS_Separation_TaxResIndem_Q12412 tf_Restructuring &amp; Separation_II.7. Sep&amp;Discrete_Guidance_Free CF" xfId="2679"/>
    <cellStyle name="_Copy of Check_Plan2010 VCS_BS_Separation_TaxResIndem_Q12412 tf_Restructuring &amp; Separation_II.7. Sep&amp;Discrete_Guidance_P&amp;L Rec Qtr" xfId="2680"/>
    <cellStyle name="_Copy of Check_Plan2010 VCS_BS_Separation_TaxResIndem_Q12412 tf_Restructuring &amp; Separation_II.7. Sep&amp;Discrete_Guidance_Sheet1" xfId="2681"/>
    <cellStyle name="_Copy of Check_Plan2010 VCS_BS_Separation_TaxResIndem_Q12412 tf_Restructuring &amp; Separation_II.7. Sep&amp;Discrete_Guidance_Sheet2" xfId="2682"/>
    <cellStyle name="_Copy of Check_Plan2010 VCS_BS_Separation_TaxResIndem_Q12412 tf_Restructuring &amp; Separation_II.7. Sep&amp;Discrete_Guidance_Sheet3" xfId="2683"/>
    <cellStyle name="_Copy of Check_Plan2010 VCS_BS_Separation_TaxResIndem_Q12412 tf_Restructuring &amp; Separation_II.7. Sep&amp;Discrete_Guidance_Sheet4" xfId="2684"/>
    <cellStyle name="_Copy of Check_Plan2010 VCS_Guidance" xfId="2685"/>
    <cellStyle name="_Copy of Check_Plan2010 VCS_Guidance 2" xfId="2686"/>
    <cellStyle name="_Copy of Check_Plan2010 VCS_Guidance_BS retrieve" xfId="2687"/>
    <cellStyle name="_Copy of Check_Plan2010 VCS_Guidance_Free CF" xfId="2688"/>
    <cellStyle name="_Copy of Check_Plan2010 VCS_Guidance_P&amp;L Rec Qtr" xfId="2689"/>
    <cellStyle name="_Copy of Check_Plan2010 VCS_Guidance_Sheet1" xfId="2690"/>
    <cellStyle name="_Copy of Check_Plan2010 VCS_Guidance_Sheet2" xfId="2691"/>
    <cellStyle name="_Copy of Check_Plan2010 VCS_Guidance_Sheet3" xfId="2692"/>
    <cellStyle name="_Copy of Check_Plan2010 VCS_Guidance_Sheet4" xfId="2693"/>
    <cellStyle name="_Copy of Check_Plan2010 VCS_II.7. Sep&amp;Discrete" xfId="2694"/>
    <cellStyle name="_Copy of Check_Plan2010 VCS_II.7. Sep&amp;Discrete_Guidance" xfId="2695"/>
    <cellStyle name="_Copy of Check_Plan2010 VCS_II.7. Sep&amp;Discrete_Guidance 2" xfId="2696"/>
    <cellStyle name="_Copy of Check_Plan2010 VCS_II.7. Sep&amp;Discrete_Guidance_BS retrieve" xfId="2697"/>
    <cellStyle name="_Copy of Check_Plan2010 VCS_II.7. Sep&amp;Discrete_Guidance_Free CF" xfId="2698"/>
    <cellStyle name="_Copy of Check_Plan2010 VCS_II.7. Sep&amp;Discrete_Guidance_P&amp;L Rec Qtr" xfId="2699"/>
    <cellStyle name="_Copy of Check_Plan2010 VCS_II.7. Sep&amp;Discrete_Guidance_Sheet1" xfId="2700"/>
    <cellStyle name="_Copy of Check_Plan2010 VCS_II.7. Sep&amp;Discrete_Guidance_Sheet2" xfId="2701"/>
    <cellStyle name="_Copy of Check_Plan2010 VCS_II.7. Sep&amp;Discrete_Guidance_Sheet3" xfId="2702"/>
    <cellStyle name="_Copy of Check_Plan2010 VCS_II.7. Sep&amp;Discrete_Guidance_Sheet4" xfId="2703"/>
    <cellStyle name="_Copy of Check_Plan2010 VCS_II.8. Sep&amp;Discrete" xfId="2704"/>
    <cellStyle name="_Copy of Check_Plan2010 VCS_II.8. Sep&amp;Discrete_Guidance" xfId="2705"/>
    <cellStyle name="_Copy of Check_Plan2010 VCS_II.8. Sep&amp;Discrete_Guidance 2" xfId="2706"/>
    <cellStyle name="_Copy of Check_Plan2010 VCS_II.8. Sep&amp;Discrete_Guidance_BS retrieve" xfId="2707"/>
    <cellStyle name="_Copy of Check_Plan2010 VCS_II.8. Sep&amp;Discrete_Guidance_Free CF" xfId="2708"/>
    <cellStyle name="_Copy of Check_Plan2010 VCS_II.8. Sep&amp;Discrete_Guidance_P&amp;L Rec Qtr" xfId="2709"/>
    <cellStyle name="_Copy of Check_Plan2010 VCS_II.8. Sep&amp;Discrete_Guidance_Sheet1" xfId="2710"/>
    <cellStyle name="_Copy of Check_Plan2010 VCS_II.8. Sep&amp;Discrete_Guidance_Sheet2" xfId="2711"/>
    <cellStyle name="_Copy of Check_Plan2010 VCS_II.8. Sep&amp;Discrete_Guidance_Sheet3" xfId="2712"/>
    <cellStyle name="_Copy of Check_Plan2010 VCS_II.8. Sep&amp;Discrete_Guidance_Sheet4" xfId="2713"/>
    <cellStyle name="_Copy of Check_Plan2010 VCS_Restructuring &amp; Separation" xfId="2714"/>
    <cellStyle name="_Copy of Check_Plan2010 VCS_Restructuring &amp; Separation_Guidance" xfId="2715"/>
    <cellStyle name="_Copy of Check_Plan2010 VCS_Restructuring &amp; Separation_Guidance 2" xfId="2716"/>
    <cellStyle name="_Copy of Check_Plan2010 VCS_Restructuring &amp; Separation_Guidance_BS retrieve" xfId="2717"/>
    <cellStyle name="_Copy of Check_Plan2010 VCS_Restructuring &amp; Separation_Guidance_Free CF" xfId="2718"/>
    <cellStyle name="_Copy of Check_Plan2010 VCS_Restructuring &amp; Separation_Guidance_P&amp;L Rec Qtr" xfId="2719"/>
    <cellStyle name="_Copy of Check_Plan2010 VCS_Restructuring &amp; Separation_Guidance_Sheet1" xfId="2720"/>
    <cellStyle name="_Copy of Check_Plan2010 VCS_Restructuring &amp; Separation_Guidance_Sheet2" xfId="2721"/>
    <cellStyle name="_Copy of Check_Plan2010 VCS_Restructuring &amp; Separation_Guidance_Sheet3" xfId="2722"/>
    <cellStyle name="_Copy of Check_Plan2010 VCS_Restructuring &amp; Separation_Guidance_Sheet4" xfId="2723"/>
    <cellStyle name="_Copy of Check_Plan2010 VCS_Restructuring &amp; Separation_II.7. Sep&amp;Discrete" xfId="2724"/>
    <cellStyle name="_Copy of Check_Plan2010 VCS_Restructuring &amp; Separation_II.7. Sep&amp;Discrete_Guidance" xfId="2725"/>
    <cellStyle name="_Copy of Check_Plan2010 VCS_Restructuring &amp; Separation_II.7. Sep&amp;Discrete_Guidance 2" xfId="2726"/>
    <cellStyle name="_Copy of Check_Plan2010 VCS_Restructuring &amp; Separation_II.7. Sep&amp;Discrete_Guidance_BS retrieve" xfId="2727"/>
    <cellStyle name="_Copy of Check_Plan2010 VCS_Restructuring &amp; Separation_II.7. Sep&amp;Discrete_Guidance_Free CF" xfId="2728"/>
    <cellStyle name="_Copy of Check_Plan2010 VCS_Restructuring &amp; Separation_II.7. Sep&amp;Discrete_Guidance_P&amp;L Rec Qtr" xfId="2729"/>
    <cellStyle name="_Copy of Check_Plan2010 VCS_Restructuring &amp; Separation_II.7. Sep&amp;Discrete_Guidance_Sheet1" xfId="2730"/>
    <cellStyle name="_Copy of Check_Plan2010 VCS_Restructuring &amp; Separation_II.7. Sep&amp;Discrete_Guidance_Sheet2" xfId="2731"/>
    <cellStyle name="_Copy of Check_Plan2010 VCS_Restructuring &amp; Separation_II.7. Sep&amp;Discrete_Guidance_Sheet3" xfId="2732"/>
    <cellStyle name="_Copy of Check_Plan2010 VCS_Restructuring &amp; Separation_II.7. Sep&amp;Discrete_Guidance_Sheet4" xfId="2733"/>
    <cellStyle name="_Copy of Check_Plan2010 VCS_Sheet1" xfId="2734"/>
    <cellStyle name="_Copy of Check_Plan2010 VCS_Sheet1_1" xfId="2735"/>
    <cellStyle name="_Copy of Check_Plan2010 VCS_Sheet1_1_Guidance" xfId="2736"/>
    <cellStyle name="_Copy of Check_Plan2010 VCS_Sheet1_1_Guidance 2" xfId="2737"/>
    <cellStyle name="_Copy of Check_Plan2010 VCS_Sheet1_1_Guidance_BS retrieve" xfId="2738"/>
    <cellStyle name="_Copy of Check_Plan2010 VCS_Sheet1_1_Guidance_Free CF" xfId="2739"/>
    <cellStyle name="_Copy of Check_Plan2010 VCS_Sheet1_1_Guidance_P&amp;L Rec Qtr" xfId="2740"/>
    <cellStyle name="_Copy of Check_Plan2010 VCS_Sheet1_1_Guidance_Sheet1" xfId="2741"/>
    <cellStyle name="_Copy of Check_Plan2010 VCS_Sheet1_1_Guidance_Sheet2" xfId="2742"/>
    <cellStyle name="_Copy of Check_Plan2010 VCS_Sheet1_1_Guidance_Sheet3" xfId="2743"/>
    <cellStyle name="_Copy of Check_Plan2010 VCS_Sheet1_1_Guidance_Sheet4" xfId="2744"/>
    <cellStyle name="_Copy of Check_Plan2010 VCS_Sheet1_1_II.7. Sep&amp;Discrete" xfId="2745"/>
    <cellStyle name="_Copy of Check_Plan2010 VCS_Sheet1_1_II.7. Sep&amp;Discrete_Guidance" xfId="2746"/>
    <cellStyle name="_Copy of Check_Plan2010 VCS_Sheet1_1_II.7. Sep&amp;Discrete_Guidance 2" xfId="2747"/>
    <cellStyle name="_Copy of Check_Plan2010 VCS_Sheet1_1_II.7. Sep&amp;Discrete_Guidance_BS retrieve" xfId="2748"/>
    <cellStyle name="_Copy of Check_Plan2010 VCS_Sheet1_1_II.7. Sep&amp;Discrete_Guidance_Free CF" xfId="2749"/>
    <cellStyle name="_Copy of Check_Plan2010 VCS_Sheet1_1_II.7. Sep&amp;Discrete_Guidance_P&amp;L Rec Qtr" xfId="2750"/>
    <cellStyle name="_Copy of Check_Plan2010 VCS_Sheet1_1_II.7. Sep&amp;Discrete_Guidance_Sheet1" xfId="2751"/>
    <cellStyle name="_Copy of Check_Plan2010 VCS_Sheet1_1_II.7. Sep&amp;Discrete_Guidance_Sheet2" xfId="2752"/>
    <cellStyle name="_Copy of Check_Plan2010 VCS_Sheet1_1_II.7. Sep&amp;Discrete_Guidance_Sheet3" xfId="2753"/>
    <cellStyle name="_Copy of Check_Plan2010 VCS_Sheet1_1_II.7. Sep&amp;Discrete_Guidance_Sheet4" xfId="2754"/>
    <cellStyle name="_Copy of Check_Plan2010 VCS_Sheet1_1_Restructuring &amp; Separation" xfId="2755"/>
    <cellStyle name="_Copy of Check_Plan2010 VCS_Sheet1_1_Restructuring &amp; Separation_Guidance" xfId="2756"/>
    <cellStyle name="_Copy of Check_Plan2010 VCS_Sheet1_1_Restructuring &amp; Separation_Guidance 2" xfId="2757"/>
    <cellStyle name="_Copy of Check_Plan2010 VCS_Sheet1_1_Restructuring &amp; Separation_Guidance_BS retrieve" xfId="2758"/>
    <cellStyle name="_Copy of Check_Plan2010 VCS_Sheet1_1_Restructuring &amp; Separation_Guidance_Free CF" xfId="2759"/>
    <cellStyle name="_Copy of Check_Plan2010 VCS_Sheet1_1_Restructuring &amp; Separation_Guidance_P&amp;L Rec Qtr" xfId="2760"/>
    <cellStyle name="_Copy of Check_Plan2010 VCS_Sheet1_1_Restructuring &amp; Separation_Guidance_Sheet1" xfId="2761"/>
    <cellStyle name="_Copy of Check_Plan2010 VCS_Sheet1_1_Restructuring &amp; Separation_Guidance_Sheet2" xfId="2762"/>
    <cellStyle name="_Copy of Check_Plan2010 VCS_Sheet1_1_Restructuring &amp; Separation_Guidance_Sheet3" xfId="2763"/>
    <cellStyle name="_Copy of Check_Plan2010 VCS_Sheet1_1_Restructuring &amp; Separation_Guidance_Sheet4" xfId="2764"/>
    <cellStyle name="_Copy of Check_Plan2010 VCS_Sheet1_1_Restructuring &amp; Separation_II.7. Sep&amp;Discrete" xfId="2765"/>
    <cellStyle name="_Copy of Check_Plan2010 VCS_Sheet1_1_Restructuring &amp; Separation_II.7. Sep&amp;Discrete_Guidance" xfId="2766"/>
    <cellStyle name="_Copy of Check_Plan2010 VCS_Sheet1_1_Restructuring &amp; Separation_II.7. Sep&amp;Discrete_Guidance 2" xfId="2767"/>
    <cellStyle name="_Copy of Check_Plan2010 VCS_Sheet1_1_Restructuring &amp; Separation_II.7. Sep&amp;Discrete_Guidance_BS retrieve" xfId="2768"/>
    <cellStyle name="_Copy of Check_Plan2010 VCS_Sheet1_1_Restructuring &amp; Separation_II.7. Sep&amp;Discrete_Guidance_Free CF" xfId="2769"/>
    <cellStyle name="_Copy of Check_Plan2010 VCS_Sheet1_1_Restructuring &amp; Separation_II.7. Sep&amp;Discrete_Guidance_P&amp;L Rec Qtr" xfId="2770"/>
    <cellStyle name="_Copy of Check_Plan2010 VCS_Sheet1_1_Restructuring &amp; Separation_II.7. Sep&amp;Discrete_Guidance_Sheet1" xfId="2771"/>
    <cellStyle name="_Copy of Check_Plan2010 VCS_Sheet1_1_Restructuring &amp; Separation_II.7. Sep&amp;Discrete_Guidance_Sheet2" xfId="2772"/>
    <cellStyle name="_Copy of Check_Plan2010 VCS_Sheet1_1_Restructuring &amp; Separation_II.7. Sep&amp;Discrete_Guidance_Sheet3" xfId="2773"/>
    <cellStyle name="_Copy of Check_Plan2010 VCS_Sheet1_1_Restructuring &amp; Separation_II.7. Sep&amp;Discrete_Guidance_Sheet4" xfId="2774"/>
    <cellStyle name="_Copy of Check_Plan2010 VCS_Sheet1_BS_Separation_TaxResIndem_Q12412 tf" xfId="2775"/>
    <cellStyle name="_Copy of Check_Plan2010 VCS_Sheet1_BS_Separation_TaxResIndem_Q12412 tf_Guidance" xfId="2776"/>
    <cellStyle name="_Copy of Check_Plan2010 VCS_Sheet1_BS_Separation_TaxResIndem_Q12412 tf_Guidance 2" xfId="2777"/>
    <cellStyle name="_Copy of Check_Plan2010 VCS_Sheet1_BS_Separation_TaxResIndem_Q12412 tf_Guidance_BS retrieve" xfId="2778"/>
    <cellStyle name="_Copy of Check_Plan2010 VCS_Sheet1_BS_Separation_TaxResIndem_Q12412 tf_Guidance_Free CF" xfId="2779"/>
    <cellStyle name="_Copy of Check_Plan2010 VCS_Sheet1_BS_Separation_TaxResIndem_Q12412 tf_Guidance_P&amp;L Rec Qtr" xfId="2780"/>
    <cellStyle name="_Copy of Check_Plan2010 VCS_Sheet1_BS_Separation_TaxResIndem_Q12412 tf_Guidance_Sheet1" xfId="2781"/>
    <cellStyle name="_Copy of Check_Plan2010 VCS_Sheet1_BS_Separation_TaxResIndem_Q12412 tf_Guidance_Sheet2" xfId="2782"/>
    <cellStyle name="_Copy of Check_Plan2010 VCS_Sheet1_BS_Separation_TaxResIndem_Q12412 tf_Guidance_Sheet3" xfId="2783"/>
    <cellStyle name="_Copy of Check_Plan2010 VCS_Sheet1_BS_Separation_TaxResIndem_Q12412 tf_Guidance_Sheet4" xfId="2784"/>
    <cellStyle name="_Copy of Check_Plan2010 VCS_Sheet1_BS_Separation_TaxResIndem_Q12412 tf_II.7. Sep&amp;Discrete" xfId="2785"/>
    <cellStyle name="_Copy of Check_Plan2010 VCS_Sheet1_BS_Separation_TaxResIndem_Q12412 tf_II.7. Sep&amp;Discrete_Guidance" xfId="2786"/>
    <cellStyle name="_Copy of Check_Plan2010 VCS_Sheet1_BS_Separation_TaxResIndem_Q12412 tf_II.7. Sep&amp;Discrete_Guidance 2" xfId="2787"/>
    <cellStyle name="_Copy of Check_Plan2010 VCS_Sheet1_BS_Separation_TaxResIndem_Q12412 tf_II.7. Sep&amp;Discrete_Guidance_BS retrieve" xfId="2788"/>
    <cellStyle name="_Copy of Check_Plan2010 VCS_Sheet1_BS_Separation_TaxResIndem_Q12412 tf_II.7. Sep&amp;Discrete_Guidance_Free CF" xfId="2789"/>
    <cellStyle name="_Copy of Check_Plan2010 VCS_Sheet1_BS_Separation_TaxResIndem_Q12412 tf_II.7. Sep&amp;Discrete_Guidance_P&amp;L Rec Qtr" xfId="2790"/>
    <cellStyle name="_Copy of Check_Plan2010 VCS_Sheet1_BS_Separation_TaxResIndem_Q12412 tf_II.7. Sep&amp;Discrete_Guidance_Sheet1" xfId="2791"/>
    <cellStyle name="_Copy of Check_Plan2010 VCS_Sheet1_BS_Separation_TaxResIndem_Q12412 tf_II.7. Sep&amp;Discrete_Guidance_Sheet2" xfId="2792"/>
    <cellStyle name="_Copy of Check_Plan2010 VCS_Sheet1_BS_Separation_TaxResIndem_Q12412 tf_II.7. Sep&amp;Discrete_Guidance_Sheet3" xfId="2793"/>
    <cellStyle name="_Copy of Check_Plan2010 VCS_Sheet1_BS_Separation_TaxResIndem_Q12412 tf_II.7. Sep&amp;Discrete_Guidance_Sheet4" xfId="2794"/>
    <cellStyle name="_Copy of Check_Plan2010 VCS_Sheet1_BS_Separation_TaxResIndem_Q12412 tf_Restructuring &amp; Separation" xfId="2795"/>
    <cellStyle name="_Copy of Check_Plan2010 VCS_Sheet1_BS_Separation_TaxResIndem_Q12412 tf_Restructuring &amp; Separation_Guidance" xfId="2796"/>
    <cellStyle name="_Copy of Check_Plan2010 VCS_Sheet1_BS_Separation_TaxResIndem_Q12412 tf_Restructuring &amp; Separation_Guidance 2" xfId="2797"/>
    <cellStyle name="_Copy of Check_Plan2010 VCS_Sheet1_BS_Separation_TaxResIndem_Q12412 tf_Restructuring &amp; Separation_Guidance_BS retrieve" xfId="2798"/>
    <cellStyle name="_Copy of Check_Plan2010 VCS_Sheet1_BS_Separation_TaxResIndem_Q12412 tf_Restructuring &amp; Separation_Guidance_Free CF" xfId="2799"/>
    <cellStyle name="_Copy of Check_Plan2010 VCS_Sheet1_BS_Separation_TaxResIndem_Q12412 tf_Restructuring &amp; Separation_Guidance_P&amp;L Rec Qtr" xfId="2800"/>
    <cellStyle name="_Copy of Check_Plan2010 VCS_Sheet1_BS_Separation_TaxResIndem_Q12412 tf_Restructuring &amp; Separation_Guidance_Sheet1" xfId="2801"/>
    <cellStyle name="_Copy of Check_Plan2010 VCS_Sheet1_BS_Separation_TaxResIndem_Q12412 tf_Restructuring &amp; Separation_Guidance_Sheet2" xfId="2802"/>
    <cellStyle name="_Copy of Check_Plan2010 VCS_Sheet1_BS_Separation_TaxResIndem_Q12412 tf_Restructuring &amp; Separation_Guidance_Sheet3" xfId="2803"/>
    <cellStyle name="_Copy of Check_Plan2010 VCS_Sheet1_BS_Separation_TaxResIndem_Q12412 tf_Restructuring &amp; Separation_Guidance_Sheet4" xfId="2804"/>
    <cellStyle name="_Copy of Check_Plan2010 VCS_Sheet1_BS_Separation_TaxResIndem_Q12412 tf_Restructuring &amp; Separation_II.7. Sep&amp;Discrete" xfId="2805"/>
    <cellStyle name="_Copy of Check_Plan2010 VCS_Sheet1_BS_Separation_TaxResIndem_Q12412 tf_Restructuring &amp; Separation_II.7. Sep&amp;Discrete_Guidance" xfId="2806"/>
    <cellStyle name="_Copy of Check_Plan2010 VCS_Sheet1_BS_Separation_TaxResIndem_Q12412 tf_Restructuring &amp; Separation_II.7. Sep&amp;Discrete_Guidance 2" xfId="2807"/>
    <cellStyle name="_Copy of Check_Plan2010 VCS_Sheet1_BS_Separation_TaxResIndem_Q12412 tf_Restructuring &amp; Separation_II.7. Sep&amp;Discrete_Guidance_BS retrieve" xfId="2808"/>
    <cellStyle name="_Copy of Check_Plan2010 VCS_Sheet1_BS_Separation_TaxResIndem_Q12412 tf_Restructuring &amp; Separation_II.7. Sep&amp;Discrete_Guidance_Free CF" xfId="2809"/>
    <cellStyle name="_Copy of Check_Plan2010 VCS_Sheet1_BS_Separation_TaxResIndem_Q12412 tf_Restructuring &amp; Separation_II.7. Sep&amp;Discrete_Guidance_P&amp;L Rec Qtr" xfId="2810"/>
    <cellStyle name="_Copy of Check_Plan2010 VCS_Sheet1_BS_Separation_TaxResIndem_Q12412 tf_Restructuring &amp; Separation_II.7. Sep&amp;Discrete_Guidance_Sheet1" xfId="2811"/>
    <cellStyle name="_Copy of Check_Plan2010 VCS_Sheet1_BS_Separation_TaxResIndem_Q12412 tf_Restructuring &amp; Separation_II.7. Sep&amp;Discrete_Guidance_Sheet2" xfId="2812"/>
    <cellStyle name="_Copy of Check_Plan2010 VCS_Sheet1_BS_Separation_TaxResIndem_Q12412 tf_Restructuring &amp; Separation_II.7. Sep&amp;Discrete_Guidance_Sheet3" xfId="2813"/>
    <cellStyle name="_Copy of Check_Plan2010 VCS_Sheet1_BS_Separation_TaxResIndem_Q12412 tf_Restructuring &amp; Separation_II.7. Sep&amp;Discrete_Guidance_Sheet4" xfId="2814"/>
    <cellStyle name="_Copy of Check_Plan2010 VCS_Sheet1_Guidance" xfId="2815"/>
    <cellStyle name="_Copy of Check_Plan2010 VCS_Sheet1_Guidance 2" xfId="2816"/>
    <cellStyle name="_Copy of Check_Plan2010 VCS_Sheet1_Guidance_BS retrieve" xfId="2817"/>
    <cellStyle name="_Copy of Check_Plan2010 VCS_Sheet1_Guidance_Free CF" xfId="2818"/>
    <cellStyle name="_Copy of Check_Plan2010 VCS_Sheet1_Guidance_P&amp;L Rec Qtr" xfId="2819"/>
    <cellStyle name="_Copy of Check_Plan2010 VCS_Sheet1_Guidance_Sheet1" xfId="2820"/>
    <cellStyle name="_Copy of Check_Plan2010 VCS_Sheet1_Guidance_Sheet2" xfId="2821"/>
    <cellStyle name="_Copy of Check_Plan2010 VCS_Sheet1_Guidance_Sheet3" xfId="2822"/>
    <cellStyle name="_Copy of Check_Plan2010 VCS_Sheet1_Guidance_Sheet4" xfId="2823"/>
    <cellStyle name="_Copy of Check_Plan2010 VCS_Sheet1_II.7. Sep&amp;Discrete" xfId="2824"/>
    <cellStyle name="_Copy of Check_Plan2010 VCS_Sheet1_II.7. Sep&amp;Discrete_Guidance" xfId="2825"/>
    <cellStyle name="_Copy of Check_Plan2010 VCS_Sheet1_II.7. Sep&amp;Discrete_Guidance 2" xfId="2826"/>
    <cellStyle name="_Copy of Check_Plan2010 VCS_Sheet1_II.7. Sep&amp;Discrete_Guidance_BS retrieve" xfId="2827"/>
    <cellStyle name="_Copy of Check_Plan2010 VCS_Sheet1_II.7. Sep&amp;Discrete_Guidance_Free CF" xfId="2828"/>
    <cellStyle name="_Copy of Check_Plan2010 VCS_Sheet1_II.7. Sep&amp;Discrete_Guidance_P&amp;L Rec Qtr" xfId="2829"/>
    <cellStyle name="_Copy of Check_Plan2010 VCS_Sheet1_II.7. Sep&amp;Discrete_Guidance_Sheet1" xfId="2830"/>
    <cellStyle name="_Copy of Check_Plan2010 VCS_Sheet1_II.7. Sep&amp;Discrete_Guidance_Sheet2" xfId="2831"/>
    <cellStyle name="_Copy of Check_Plan2010 VCS_Sheet1_II.7. Sep&amp;Discrete_Guidance_Sheet3" xfId="2832"/>
    <cellStyle name="_Copy of Check_Plan2010 VCS_Sheet1_II.7. Sep&amp;Discrete_Guidance_Sheet4" xfId="2833"/>
    <cellStyle name="_Copy of Check_Plan2010 VCS_Sheet1_II.8. Sep&amp;Discrete" xfId="2834"/>
    <cellStyle name="_Copy of Check_Plan2010 VCS_Sheet1_II.8. Sep&amp;Discrete_Guidance" xfId="2835"/>
    <cellStyle name="_Copy of Check_Plan2010 VCS_Sheet1_II.8. Sep&amp;Discrete_Guidance 2" xfId="2836"/>
    <cellStyle name="_Copy of Check_Plan2010 VCS_Sheet1_II.8. Sep&amp;Discrete_Guidance_BS retrieve" xfId="2837"/>
    <cellStyle name="_Copy of Check_Plan2010 VCS_Sheet1_II.8. Sep&amp;Discrete_Guidance_Free CF" xfId="2838"/>
    <cellStyle name="_Copy of Check_Plan2010 VCS_Sheet1_II.8. Sep&amp;Discrete_Guidance_P&amp;L Rec Qtr" xfId="2839"/>
    <cellStyle name="_Copy of Check_Plan2010 VCS_Sheet1_II.8. Sep&amp;Discrete_Guidance_Sheet1" xfId="2840"/>
    <cellStyle name="_Copy of Check_Plan2010 VCS_Sheet1_II.8. Sep&amp;Discrete_Guidance_Sheet2" xfId="2841"/>
    <cellStyle name="_Copy of Check_Plan2010 VCS_Sheet1_II.8. Sep&amp;Discrete_Guidance_Sheet3" xfId="2842"/>
    <cellStyle name="_Copy of Check_Plan2010 VCS_Sheet1_II.8. Sep&amp;Discrete_Guidance_Sheet4" xfId="2843"/>
    <cellStyle name="_Copy of Check_Plan2010 VCS_Sheet1_Restructuring &amp; Separation" xfId="2844"/>
    <cellStyle name="_Copy of Check_Plan2010 VCS_Sheet1_Restructuring &amp; Separation_Guidance" xfId="2845"/>
    <cellStyle name="_Copy of Check_Plan2010 VCS_Sheet1_Restructuring &amp; Separation_Guidance 2" xfId="2846"/>
    <cellStyle name="_Copy of Check_Plan2010 VCS_Sheet1_Restructuring &amp; Separation_Guidance_BS retrieve" xfId="2847"/>
    <cellStyle name="_Copy of Check_Plan2010 VCS_Sheet1_Restructuring &amp; Separation_Guidance_Free CF" xfId="2848"/>
    <cellStyle name="_Copy of Check_Plan2010 VCS_Sheet1_Restructuring &amp; Separation_Guidance_P&amp;L Rec Qtr" xfId="2849"/>
    <cellStyle name="_Copy of Check_Plan2010 VCS_Sheet1_Restructuring &amp; Separation_Guidance_Sheet1" xfId="2850"/>
    <cellStyle name="_Copy of Check_Plan2010 VCS_Sheet1_Restructuring &amp; Separation_Guidance_Sheet2" xfId="2851"/>
    <cellStyle name="_Copy of Check_Plan2010 VCS_Sheet1_Restructuring &amp; Separation_Guidance_Sheet3" xfId="2852"/>
    <cellStyle name="_Copy of Check_Plan2010 VCS_Sheet1_Restructuring &amp; Separation_Guidance_Sheet4" xfId="2853"/>
    <cellStyle name="_Copy of Check_Plan2010 VCS_Sheet1_Restructuring &amp; Separation_II.7. Sep&amp;Discrete" xfId="2854"/>
    <cellStyle name="_Copy of Check_Plan2010 VCS_Sheet1_Restructuring &amp; Separation_II.7. Sep&amp;Discrete_Guidance" xfId="2855"/>
    <cellStyle name="_Copy of Check_Plan2010 VCS_Sheet1_Restructuring &amp; Separation_II.7. Sep&amp;Discrete_Guidance 2" xfId="2856"/>
    <cellStyle name="_Copy of Check_Plan2010 VCS_Sheet1_Restructuring &amp; Separation_II.7. Sep&amp;Discrete_Guidance_BS retrieve" xfId="2857"/>
    <cellStyle name="_Copy of Check_Plan2010 VCS_Sheet1_Restructuring &amp; Separation_II.7. Sep&amp;Discrete_Guidance_Free CF" xfId="2858"/>
    <cellStyle name="_Copy of Check_Plan2010 VCS_Sheet1_Restructuring &amp; Separation_II.7. Sep&amp;Discrete_Guidance_P&amp;L Rec Qtr" xfId="2859"/>
    <cellStyle name="_Copy of Check_Plan2010 VCS_Sheet1_Restructuring &amp; Separation_II.7. Sep&amp;Discrete_Guidance_Sheet1" xfId="2860"/>
    <cellStyle name="_Copy of Check_Plan2010 VCS_Sheet1_Restructuring &amp; Separation_II.7. Sep&amp;Discrete_Guidance_Sheet2" xfId="2861"/>
    <cellStyle name="_Copy of Check_Plan2010 VCS_Sheet1_Restructuring &amp; Separation_II.7. Sep&amp;Discrete_Guidance_Sheet3" xfId="2862"/>
    <cellStyle name="_Copy of Check_Plan2010 VCS_Sheet1_Restructuring &amp; Separation_II.7. Sep&amp;Discrete_Guidance_Sheet4" xfId="2863"/>
    <cellStyle name="_Deal Approval Template v42 5-3-05 JWK" xfId="2864"/>
    <cellStyle name="_Deal Approval Template v42 5-3-05 JWK_BS_Separation_TaxResIndem_Q12412 tf" xfId="2865"/>
    <cellStyle name="_Deal Approval Template v42 5-3-05 JWK_BS_Separation_TaxResIndem_Q12412 tf_Guidance" xfId="2866"/>
    <cellStyle name="_Deal Approval Template v42 5-3-05 JWK_BS_Separation_TaxResIndem_Q12412 tf_Guidance 2" xfId="2867"/>
    <cellStyle name="_Deal Approval Template v42 5-3-05 JWK_BS_Separation_TaxResIndem_Q12412 tf_Guidance_BS retrieve" xfId="2868"/>
    <cellStyle name="_Deal Approval Template v42 5-3-05 JWK_BS_Separation_TaxResIndem_Q12412 tf_Guidance_Free CF" xfId="2869"/>
    <cellStyle name="_Deal Approval Template v42 5-3-05 JWK_BS_Separation_TaxResIndem_Q12412 tf_Guidance_P&amp;L Rec Qtr" xfId="2870"/>
    <cellStyle name="_Deal Approval Template v42 5-3-05 JWK_BS_Separation_TaxResIndem_Q12412 tf_Guidance_Sheet1" xfId="2871"/>
    <cellStyle name="_Deal Approval Template v42 5-3-05 JWK_BS_Separation_TaxResIndem_Q12412 tf_Guidance_Sheet2" xfId="2872"/>
    <cellStyle name="_Deal Approval Template v42 5-3-05 JWK_BS_Separation_TaxResIndem_Q12412 tf_Guidance_Sheet3" xfId="2873"/>
    <cellStyle name="_Deal Approval Template v42 5-3-05 JWK_BS_Separation_TaxResIndem_Q12412 tf_Guidance_Sheet4" xfId="2874"/>
    <cellStyle name="_Deal Approval Template v42 5-3-05 JWK_BS_Separation_TaxResIndem_Q12412 tf_II.7. Sep&amp;Discrete" xfId="2875"/>
    <cellStyle name="_Deal Approval Template v42 5-3-05 JWK_BS_Separation_TaxResIndem_Q12412 tf_II.7. Sep&amp;Discrete_Guidance" xfId="2876"/>
    <cellStyle name="_Deal Approval Template v42 5-3-05 JWK_BS_Separation_TaxResIndem_Q12412 tf_II.7. Sep&amp;Discrete_Guidance 2" xfId="2877"/>
    <cellStyle name="_Deal Approval Template v42 5-3-05 JWK_BS_Separation_TaxResIndem_Q12412 tf_II.7. Sep&amp;Discrete_Guidance_BS retrieve" xfId="2878"/>
    <cellStyle name="_Deal Approval Template v42 5-3-05 JWK_BS_Separation_TaxResIndem_Q12412 tf_II.7. Sep&amp;Discrete_Guidance_Free CF" xfId="2879"/>
    <cellStyle name="_Deal Approval Template v42 5-3-05 JWK_BS_Separation_TaxResIndem_Q12412 tf_II.7. Sep&amp;Discrete_Guidance_P&amp;L Rec Qtr" xfId="2880"/>
    <cellStyle name="_Deal Approval Template v42 5-3-05 JWK_BS_Separation_TaxResIndem_Q12412 tf_II.7. Sep&amp;Discrete_Guidance_Sheet1" xfId="2881"/>
    <cellStyle name="_Deal Approval Template v42 5-3-05 JWK_BS_Separation_TaxResIndem_Q12412 tf_II.7. Sep&amp;Discrete_Guidance_Sheet2" xfId="2882"/>
    <cellStyle name="_Deal Approval Template v42 5-3-05 JWK_BS_Separation_TaxResIndem_Q12412 tf_II.7. Sep&amp;Discrete_Guidance_Sheet3" xfId="2883"/>
    <cellStyle name="_Deal Approval Template v42 5-3-05 JWK_BS_Separation_TaxResIndem_Q12412 tf_II.7. Sep&amp;Discrete_Guidance_Sheet4" xfId="2884"/>
    <cellStyle name="_Deal Approval Template v42 5-3-05 JWK_BS_Separation_TaxResIndem_Q12412 tf_Restructuring &amp; Separation" xfId="2885"/>
    <cellStyle name="_Deal Approval Template v42 5-3-05 JWK_BS_Separation_TaxResIndem_Q12412 tf_Restructuring &amp; Separation_Guidance" xfId="2886"/>
    <cellStyle name="_Deal Approval Template v42 5-3-05 JWK_BS_Separation_TaxResIndem_Q12412 tf_Restructuring &amp; Separation_Guidance 2" xfId="2887"/>
    <cellStyle name="_Deal Approval Template v42 5-3-05 JWK_BS_Separation_TaxResIndem_Q12412 tf_Restructuring &amp; Separation_Guidance_BS retrieve" xfId="2888"/>
    <cellStyle name="_Deal Approval Template v42 5-3-05 JWK_BS_Separation_TaxResIndem_Q12412 tf_Restructuring &amp; Separation_Guidance_Free CF" xfId="2889"/>
    <cellStyle name="_Deal Approval Template v42 5-3-05 JWK_BS_Separation_TaxResIndem_Q12412 tf_Restructuring &amp; Separation_Guidance_P&amp;L Rec Qtr" xfId="2890"/>
    <cellStyle name="_Deal Approval Template v42 5-3-05 JWK_BS_Separation_TaxResIndem_Q12412 tf_Restructuring &amp; Separation_Guidance_Sheet1" xfId="2891"/>
    <cellStyle name="_Deal Approval Template v42 5-3-05 JWK_BS_Separation_TaxResIndem_Q12412 tf_Restructuring &amp; Separation_Guidance_Sheet2" xfId="2892"/>
    <cellStyle name="_Deal Approval Template v42 5-3-05 JWK_BS_Separation_TaxResIndem_Q12412 tf_Restructuring &amp; Separation_Guidance_Sheet3" xfId="2893"/>
    <cellStyle name="_Deal Approval Template v42 5-3-05 JWK_BS_Separation_TaxResIndem_Q12412 tf_Restructuring &amp; Separation_Guidance_Sheet4" xfId="2894"/>
    <cellStyle name="_Deal Approval Template v42 5-3-05 JWK_BS_Separation_TaxResIndem_Q12412 tf_Restructuring &amp; Separation_II.7. Sep&amp;Discrete" xfId="2895"/>
    <cellStyle name="_Deal Approval Template v42 5-3-05 JWK_BS_Separation_TaxResIndem_Q12412 tf_Restructuring &amp; Separation_II.7. Sep&amp;Discrete_Guidance" xfId="2896"/>
    <cellStyle name="_Deal Approval Template v42 5-3-05 JWK_BS_Separation_TaxResIndem_Q12412 tf_Restructuring &amp; Separation_II.7. Sep&amp;Discrete_Guidance 2" xfId="2897"/>
    <cellStyle name="_Deal Approval Template v42 5-3-05 JWK_BS_Separation_TaxResIndem_Q12412 tf_Restructuring &amp; Separation_II.7. Sep&amp;Discrete_Guidance_BS retrieve" xfId="2898"/>
    <cellStyle name="_Deal Approval Template v42 5-3-05 JWK_BS_Separation_TaxResIndem_Q12412 tf_Restructuring &amp; Separation_II.7. Sep&amp;Discrete_Guidance_Free CF" xfId="2899"/>
    <cellStyle name="_Deal Approval Template v42 5-3-05 JWK_BS_Separation_TaxResIndem_Q12412 tf_Restructuring &amp; Separation_II.7. Sep&amp;Discrete_Guidance_P&amp;L Rec Qtr" xfId="2900"/>
    <cellStyle name="_Deal Approval Template v42 5-3-05 JWK_BS_Separation_TaxResIndem_Q12412 tf_Restructuring &amp; Separation_II.7. Sep&amp;Discrete_Guidance_Sheet1" xfId="2901"/>
    <cellStyle name="_Deal Approval Template v42 5-3-05 JWK_BS_Separation_TaxResIndem_Q12412 tf_Restructuring &amp; Separation_II.7. Sep&amp;Discrete_Guidance_Sheet2" xfId="2902"/>
    <cellStyle name="_Deal Approval Template v42 5-3-05 JWK_BS_Separation_TaxResIndem_Q12412 tf_Restructuring &amp; Separation_II.7. Sep&amp;Discrete_Guidance_Sheet3" xfId="2903"/>
    <cellStyle name="_Deal Approval Template v42 5-3-05 JWK_BS_Separation_TaxResIndem_Q12412 tf_Restructuring &amp; Separation_II.7. Sep&amp;Discrete_Guidance_Sheet4" xfId="2904"/>
    <cellStyle name="_Deal Approval Template v42 5-3-05 JWK_Deferred tax MarchFC 2011" xfId="2905"/>
    <cellStyle name="_Deal Approval Template v42 5-3-05 JWK_Deferred tax MarchFC 2011_BS_Separation_TaxResIndem_Q12412 tf" xfId="2906"/>
    <cellStyle name="_Deal Approval Template v42 5-3-05 JWK_Deferred tax MarchFC 2011_BS_Separation_TaxResIndem_Q12412 tf_Guidance" xfId="2907"/>
    <cellStyle name="_Deal Approval Template v42 5-3-05 JWK_Deferred tax MarchFC 2011_BS_Separation_TaxResIndem_Q12412 tf_Guidance 2" xfId="2908"/>
    <cellStyle name="_Deal Approval Template v42 5-3-05 JWK_Deferred tax MarchFC 2011_BS_Separation_TaxResIndem_Q12412 tf_Guidance_BS retrieve" xfId="2909"/>
    <cellStyle name="_Deal Approval Template v42 5-3-05 JWK_Deferred tax MarchFC 2011_BS_Separation_TaxResIndem_Q12412 tf_Guidance_Free CF" xfId="2910"/>
    <cellStyle name="_Deal Approval Template v42 5-3-05 JWK_Deferred tax MarchFC 2011_BS_Separation_TaxResIndem_Q12412 tf_Guidance_P&amp;L Rec Qtr" xfId="2911"/>
    <cellStyle name="_Deal Approval Template v42 5-3-05 JWK_Deferred tax MarchFC 2011_BS_Separation_TaxResIndem_Q12412 tf_Guidance_Sheet1" xfId="2912"/>
    <cellStyle name="_Deal Approval Template v42 5-3-05 JWK_Deferred tax MarchFC 2011_BS_Separation_TaxResIndem_Q12412 tf_Guidance_Sheet2" xfId="2913"/>
    <cellStyle name="_Deal Approval Template v42 5-3-05 JWK_Deferred tax MarchFC 2011_BS_Separation_TaxResIndem_Q12412 tf_Guidance_Sheet3" xfId="2914"/>
    <cellStyle name="_Deal Approval Template v42 5-3-05 JWK_Deferred tax MarchFC 2011_BS_Separation_TaxResIndem_Q12412 tf_Guidance_Sheet4" xfId="2915"/>
    <cellStyle name="_Deal Approval Template v42 5-3-05 JWK_Deferred tax MarchFC 2011_BS_Separation_TaxResIndem_Q12412 tf_II.7. Sep&amp;Discrete" xfId="2916"/>
    <cellStyle name="_Deal Approval Template v42 5-3-05 JWK_Deferred tax MarchFC 2011_BS_Separation_TaxResIndem_Q12412 tf_II.7. Sep&amp;Discrete_Guidance" xfId="2917"/>
    <cellStyle name="_Deal Approval Template v42 5-3-05 JWK_Deferred tax MarchFC 2011_BS_Separation_TaxResIndem_Q12412 tf_II.7. Sep&amp;Discrete_Guidance 2" xfId="2918"/>
    <cellStyle name="_Deal Approval Template v42 5-3-05 JWK_Deferred tax MarchFC 2011_BS_Separation_TaxResIndem_Q12412 tf_II.7. Sep&amp;Discrete_Guidance_BS retrieve" xfId="2919"/>
    <cellStyle name="_Deal Approval Template v42 5-3-05 JWK_Deferred tax MarchFC 2011_BS_Separation_TaxResIndem_Q12412 tf_II.7. Sep&amp;Discrete_Guidance_Free CF" xfId="2920"/>
    <cellStyle name="_Deal Approval Template v42 5-3-05 JWK_Deferred tax MarchFC 2011_BS_Separation_TaxResIndem_Q12412 tf_II.7. Sep&amp;Discrete_Guidance_P&amp;L Rec Qtr" xfId="2921"/>
    <cellStyle name="_Deal Approval Template v42 5-3-05 JWK_Deferred tax MarchFC 2011_BS_Separation_TaxResIndem_Q12412 tf_II.7. Sep&amp;Discrete_Guidance_Sheet1" xfId="2922"/>
    <cellStyle name="_Deal Approval Template v42 5-3-05 JWK_Deferred tax MarchFC 2011_BS_Separation_TaxResIndem_Q12412 tf_II.7. Sep&amp;Discrete_Guidance_Sheet2" xfId="2923"/>
    <cellStyle name="_Deal Approval Template v42 5-3-05 JWK_Deferred tax MarchFC 2011_BS_Separation_TaxResIndem_Q12412 tf_II.7. Sep&amp;Discrete_Guidance_Sheet3" xfId="2924"/>
    <cellStyle name="_Deal Approval Template v42 5-3-05 JWK_Deferred tax MarchFC 2011_BS_Separation_TaxResIndem_Q12412 tf_II.7. Sep&amp;Discrete_Guidance_Sheet4" xfId="2925"/>
    <cellStyle name="_Deal Approval Template v42 5-3-05 JWK_Deferred tax MarchFC 2011_BS_Separation_TaxResIndem_Q12412 tf_Restructuring &amp; Separation" xfId="2926"/>
    <cellStyle name="_Deal Approval Template v42 5-3-05 JWK_Deferred tax MarchFC 2011_BS_Separation_TaxResIndem_Q12412 tf_Restructuring &amp; Separation_Guidance" xfId="2927"/>
    <cellStyle name="_Deal Approval Template v42 5-3-05 JWK_Deferred tax MarchFC 2011_BS_Separation_TaxResIndem_Q12412 tf_Restructuring &amp; Separation_Guidance 2" xfId="2928"/>
    <cellStyle name="_Deal Approval Template v42 5-3-05 JWK_Deferred tax MarchFC 2011_BS_Separation_TaxResIndem_Q12412 tf_Restructuring &amp; Separation_Guidance_BS retrieve" xfId="2929"/>
    <cellStyle name="_Deal Approval Template v42 5-3-05 JWK_Deferred tax MarchFC 2011_BS_Separation_TaxResIndem_Q12412 tf_Restructuring &amp; Separation_Guidance_Free CF" xfId="2930"/>
    <cellStyle name="_Deal Approval Template v42 5-3-05 JWK_Deferred tax MarchFC 2011_BS_Separation_TaxResIndem_Q12412 tf_Restructuring &amp; Separation_Guidance_P&amp;L Rec Qtr" xfId="2931"/>
    <cellStyle name="_Deal Approval Template v42 5-3-05 JWK_Deferred tax MarchFC 2011_BS_Separation_TaxResIndem_Q12412 tf_Restructuring &amp; Separation_Guidance_Sheet1" xfId="2932"/>
    <cellStyle name="_Deal Approval Template v42 5-3-05 JWK_Deferred tax MarchFC 2011_BS_Separation_TaxResIndem_Q12412 tf_Restructuring &amp; Separation_Guidance_Sheet2" xfId="2933"/>
    <cellStyle name="_Deal Approval Template v42 5-3-05 JWK_Deferred tax MarchFC 2011_BS_Separation_TaxResIndem_Q12412 tf_Restructuring &amp; Separation_Guidance_Sheet3" xfId="2934"/>
    <cellStyle name="_Deal Approval Template v42 5-3-05 JWK_Deferred tax MarchFC 2011_BS_Separation_TaxResIndem_Q12412 tf_Restructuring &amp; Separation_Guidance_Sheet4" xfId="2935"/>
    <cellStyle name="_Deal Approval Template v42 5-3-05 JWK_Deferred tax MarchFC 2011_BS_Separation_TaxResIndem_Q12412 tf_Restructuring &amp; Separation_II.7. Sep&amp;Discrete" xfId="2936"/>
    <cellStyle name="_Deal Approval Template v42 5-3-05 JWK_Deferred tax MarchFC 2011_BS_Separation_TaxResIndem_Q12412 tf_Restructuring &amp; Separation_II.7. Sep&amp;Discrete_Guidance" xfId="2937"/>
    <cellStyle name="_Deal Approval Template v42 5-3-05 JWK_Deferred tax MarchFC 2011_BS_Separation_TaxResIndem_Q12412 tf_Restructuring &amp; Separation_II.7. Sep&amp;Discrete_Guidance 2" xfId="2938"/>
    <cellStyle name="_Deal Approval Template v42 5-3-05 JWK_Deferred tax MarchFC 2011_BS_Separation_TaxResIndem_Q12412 tf_Restructuring &amp; Separation_II.7. Sep&amp;Discrete_Guidance_BS retrieve" xfId="2939"/>
    <cellStyle name="_Deal Approval Template v42 5-3-05 JWK_Deferred tax MarchFC 2011_BS_Separation_TaxResIndem_Q12412 tf_Restructuring &amp; Separation_II.7. Sep&amp;Discrete_Guidance_Free CF" xfId="2940"/>
    <cellStyle name="_Deal Approval Template v42 5-3-05 JWK_Deferred tax MarchFC 2011_BS_Separation_TaxResIndem_Q12412 tf_Restructuring &amp; Separation_II.7. Sep&amp;Discrete_Guidance_P&amp;L Rec Qtr" xfId="2941"/>
    <cellStyle name="_Deal Approval Template v42 5-3-05 JWK_Deferred tax MarchFC 2011_BS_Separation_TaxResIndem_Q12412 tf_Restructuring &amp; Separation_II.7. Sep&amp;Discrete_Guidance_Sheet1" xfId="2942"/>
    <cellStyle name="_Deal Approval Template v42 5-3-05 JWK_Deferred tax MarchFC 2011_BS_Separation_TaxResIndem_Q12412 tf_Restructuring &amp; Separation_II.7. Sep&amp;Discrete_Guidance_Sheet2" xfId="2943"/>
    <cellStyle name="_Deal Approval Template v42 5-3-05 JWK_Deferred tax MarchFC 2011_BS_Separation_TaxResIndem_Q12412 tf_Restructuring &amp; Separation_II.7. Sep&amp;Discrete_Guidance_Sheet3" xfId="2944"/>
    <cellStyle name="_Deal Approval Template v42 5-3-05 JWK_Deferred tax MarchFC 2011_BS_Separation_TaxResIndem_Q12412 tf_Restructuring &amp; Separation_II.7. Sep&amp;Discrete_Guidance_Sheet4" xfId="2945"/>
    <cellStyle name="_Deal Approval Template v42 5-3-05 JWK_Deferred tax MarchFC 2011_Guidance" xfId="2946"/>
    <cellStyle name="_Deal Approval Template v42 5-3-05 JWK_Deferred tax MarchFC 2011_Guidance 2" xfId="2947"/>
    <cellStyle name="_Deal Approval Template v42 5-3-05 JWK_Deferred tax MarchFC 2011_Guidance_BS retrieve" xfId="2948"/>
    <cellStyle name="_Deal Approval Template v42 5-3-05 JWK_Deferred tax MarchFC 2011_Guidance_Free CF" xfId="2949"/>
    <cellStyle name="_Deal Approval Template v42 5-3-05 JWK_Deferred tax MarchFC 2011_Guidance_P&amp;L Rec Qtr" xfId="2950"/>
    <cellStyle name="_Deal Approval Template v42 5-3-05 JWK_Deferred tax MarchFC 2011_Guidance_Sheet1" xfId="2951"/>
    <cellStyle name="_Deal Approval Template v42 5-3-05 JWK_Deferred tax MarchFC 2011_Guidance_Sheet2" xfId="2952"/>
    <cellStyle name="_Deal Approval Template v42 5-3-05 JWK_Deferred tax MarchFC 2011_Guidance_Sheet3" xfId="2953"/>
    <cellStyle name="_Deal Approval Template v42 5-3-05 JWK_Deferred tax MarchFC 2011_Guidance_Sheet4" xfId="2954"/>
    <cellStyle name="_Deal Approval Template v42 5-3-05 JWK_Deferred tax MarchFC 2011_II.7. Sep&amp;Discrete" xfId="2955"/>
    <cellStyle name="_Deal Approval Template v42 5-3-05 JWK_Deferred tax MarchFC 2011_II.7. Sep&amp;Discrete_Guidance" xfId="2956"/>
    <cellStyle name="_Deal Approval Template v42 5-3-05 JWK_Deferred tax MarchFC 2011_II.7. Sep&amp;Discrete_Guidance 2" xfId="2957"/>
    <cellStyle name="_Deal Approval Template v42 5-3-05 JWK_Deferred tax MarchFC 2011_II.7. Sep&amp;Discrete_Guidance_BS retrieve" xfId="2958"/>
    <cellStyle name="_Deal Approval Template v42 5-3-05 JWK_Deferred tax MarchFC 2011_II.7. Sep&amp;Discrete_Guidance_Free CF" xfId="2959"/>
    <cellStyle name="_Deal Approval Template v42 5-3-05 JWK_Deferred tax MarchFC 2011_II.7. Sep&amp;Discrete_Guidance_P&amp;L Rec Qtr" xfId="2960"/>
    <cellStyle name="_Deal Approval Template v42 5-3-05 JWK_Deferred tax MarchFC 2011_II.7. Sep&amp;Discrete_Guidance_Sheet1" xfId="2961"/>
    <cellStyle name="_Deal Approval Template v42 5-3-05 JWK_Deferred tax MarchFC 2011_II.7. Sep&amp;Discrete_Guidance_Sheet2" xfId="2962"/>
    <cellStyle name="_Deal Approval Template v42 5-3-05 JWK_Deferred tax MarchFC 2011_II.7. Sep&amp;Discrete_Guidance_Sheet3" xfId="2963"/>
    <cellStyle name="_Deal Approval Template v42 5-3-05 JWK_Deferred tax MarchFC 2011_II.7. Sep&amp;Discrete_Guidance_Sheet4" xfId="2964"/>
    <cellStyle name="_Deal Approval Template v42 5-3-05 JWK_Deferred tax MarchFC 2011_II.8. Sep&amp;Discrete" xfId="2965"/>
    <cellStyle name="_Deal Approval Template v42 5-3-05 JWK_Deferred tax MarchFC 2011_II.8. Sep&amp;Discrete_Guidance" xfId="2966"/>
    <cellStyle name="_Deal Approval Template v42 5-3-05 JWK_Deferred tax MarchFC 2011_II.8. Sep&amp;Discrete_Guidance 2" xfId="2967"/>
    <cellStyle name="_Deal Approval Template v42 5-3-05 JWK_Deferred tax MarchFC 2011_II.8. Sep&amp;Discrete_Guidance_BS retrieve" xfId="2968"/>
    <cellStyle name="_Deal Approval Template v42 5-3-05 JWK_Deferred tax MarchFC 2011_II.8. Sep&amp;Discrete_Guidance_Free CF" xfId="2969"/>
    <cellStyle name="_Deal Approval Template v42 5-3-05 JWK_Deferred tax MarchFC 2011_II.8. Sep&amp;Discrete_Guidance_P&amp;L Rec Qtr" xfId="2970"/>
    <cellStyle name="_Deal Approval Template v42 5-3-05 JWK_Deferred tax MarchFC 2011_II.8. Sep&amp;Discrete_Guidance_Sheet1" xfId="2971"/>
    <cellStyle name="_Deal Approval Template v42 5-3-05 JWK_Deferred tax MarchFC 2011_II.8. Sep&amp;Discrete_Guidance_Sheet2" xfId="2972"/>
    <cellStyle name="_Deal Approval Template v42 5-3-05 JWK_Deferred tax MarchFC 2011_II.8. Sep&amp;Discrete_Guidance_Sheet3" xfId="2973"/>
    <cellStyle name="_Deal Approval Template v42 5-3-05 JWK_Deferred tax MarchFC 2011_II.8. Sep&amp;Discrete_Guidance_Sheet4" xfId="2974"/>
    <cellStyle name="_Deal Approval Template v42 5-3-05 JWK_Deferred tax MarchFC 2011_Restructuring &amp; Separation" xfId="2975"/>
    <cellStyle name="_Deal Approval Template v42 5-3-05 JWK_Deferred tax MarchFC 2011_Restructuring &amp; Separation_Guidance" xfId="2976"/>
    <cellStyle name="_Deal Approval Template v42 5-3-05 JWK_Deferred tax MarchFC 2011_Restructuring &amp; Separation_Guidance 2" xfId="2977"/>
    <cellStyle name="_Deal Approval Template v42 5-3-05 JWK_Deferred tax MarchFC 2011_Restructuring &amp; Separation_Guidance_BS retrieve" xfId="2978"/>
    <cellStyle name="_Deal Approval Template v42 5-3-05 JWK_Deferred tax MarchFC 2011_Restructuring &amp; Separation_Guidance_Free CF" xfId="2979"/>
    <cellStyle name="_Deal Approval Template v42 5-3-05 JWK_Deferred tax MarchFC 2011_Restructuring &amp; Separation_Guidance_P&amp;L Rec Qtr" xfId="2980"/>
    <cellStyle name="_Deal Approval Template v42 5-3-05 JWK_Deferred tax MarchFC 2011_Restructuring &amp; Separation_Guidance_Sheet1" xfId="2981"/>
    <cellStyle name="_Deal Approval Template v42 5-3-05 JWK_Deferred tax MarchFC 2011_Restructuring &amp; Separation_Guidance_Sheet2" xfId="2982"/>
    <cellStyle name="_Deal Approval Template v42 5-3-05 JWK_Deferred tax MarchFC 2011_Restructuring &amp; Separation_Guidance_Sheet3" xfId="2983"/>
    <cellStyle name="_Deal Approval Template v42 5-3-05 JWK_Deferred tax MarchFC 2011_Restructuring &amp; Separation_Guidance_Sheet4" xfId="2984"/>
    <cellStyle name="_Deal Approval Template v42 5-3-05 JWK_Deferred tax MarchFC 2011_Restructuring &amp; Separation_II.7. Sep&amp;Discrete" xfId="2985"/>
    <cellStyle name="_Deal Approval Template v42 5-3-05 JWK_Deferred tax MarchFC 2011_Restructuring &amp; Separation_II.7. Sep&amp;Discrete_Guidance" xfId="2986"/>
    <cellStyle name="_Deal Approval Template v42 5-3-05 JWK_Deferred tax MarchFC 2011_Restructuring &amp; Separation_II.7. Sep&amp;Discrete_Guidance 2" xfId="2987"/>
    <cellStyle name="_Deal Approval Template v42 5-3-05 JWK_Deferred tax MarchFC 2011_Restructuring &amp; Separation_II.7. Sep&amp;Discrete_Guidance_BS retrieve" xfId="2988"/>
    <cellStyle name="_Deal Approval Template v42 5-3-05 JWK_Deferred tax MarchFC 2011_Restructuring &amp; Separation_II.7. Sep&amp;Discrete_Guidance_Free CF" xfId="2989"/>
    <cellStyle name="_Deal Approval Template v42 5-3-05 JWK_Deferred tax MarchFC 2011_Restructuring &amp; Separation_II.7. Sep&amp;Discrete_Guidance_P&amp;L Rec Qtr" xfId="2990"/>
    <cellStyle name="_Deal Approval Template v42 5-3-05 JWK_Deferred tax MarchFC 2011_Restructuring &amp; Separation_II.7. Sep&amp;Discrete_Guidance_Sheet1" xfId="2991"/>
    <cellStyle name="_Deal Approval Template v42 5-3-05 JWK_Deferred tax MarchFC 2011_Restructuring &amp; Separation_II.7. Sep&amp;Discrete_Guidance_Sheet2" xfId="2992"/>
    <cellStyle name="_Deal Approval Template v42 5-3-05 JWK_Deferred tax MarchFC 2011_Restructuring &amp; Separation_II.7. Sep&amp;Discrete_Guidance_Sheet3" xfId="2993"/>
    <cellStyle name="_Deal Approval Template v42 5-3-05 JWK_Deferred tax MarchFC 2011_Restructuring &amp; Separation_II.7. Sep&amp;Discrete_Guidance_Sheet4" xfId="2994"/>
    <cellStyle name="_Deal Approval Template v42 5-3-05 JWK_Guidance" xfId="2995"/>
    <cellStyle name="_Deal Approval Template v42 5-3-05 JWK_Guidance 2" xfId="2996"/>
    <cellStyle name="_Deal Approval Template v42 5-3-05 JWK_Guidance_BS retrieve" xfId="2997"/>
    <cellStyle name="_Deal Approval Template v42 5-3-05 JWK_Guidance_Free CF" xfId="2998"/>
    <cellStyle name="_Deal Approval Template v42 5-3-05 JWK_Guidance_P&amp;L Rec Qtr" xfId="2999"/>
    <cellStyle name="_Deal Approval Template v42 5-3-05 JWK_Guidance_Sheet1" xfId="3000"/>
    <cellStyle name="_Deal Approval Template v42 5-3-05 JWK_Guidance_Sheet2" xfId="3001"/>
    <cellStyle name="_Deal Approval Template v42 5-3-05 JWK_Guidance_Sheet3" xfId="3002"/>
    <cellStyle name="_Deal Approval Template v42 5-3-05 JWK_Guidance_Sheet4" xfId="3003"/>
    <cellStyle name="_Deal Approval Template v42 5-3-05 JWK_II.7. Sep&amp;Discrete" xfId="3004"/>
    <cellStyle name="_Deal Approval Template v42 5-3-05 JWK_II.7. Sep&amp;Discrete_Guidance" xfId="3005"/>
    <cellStyle name="_Deal Approval Template v42 5-3-05 JWK_II.7. Sep&amp;Discrete_Guidance 2" xfId="3006"/>
    <cellStyle name="_Deal Approval Template v42 5-3-05 JWK_II.7. Sep&amp;Discrete_Guidance_BS retrieve" xfId="3007"/>
    <cellStyle name="_Deal Approval Template v42 5-3-05 JWK_II.7. Sep&amp;Discrete_Guidance_Free CF" xfId="3008"/>
    <cellStyle name="_Deal Approval Template v42 5-3-05 JWK_II.7. Sep&amp;Discrete_Guidance_P&amp;L Rec Qtr" xfId="3009"/>
    <cellStyle name="_Deal Approval Template v42 5-3-05 JWK_II.7. Sep&amp;Discrete_Guidance_Sheet1" xfId="3010"/>
    <cellStyle name="_Deal Approval Template v42 5-3-05 JWK_II.7. Sep&amp;Discrete_Guidance_Sheet2" xfId="3011"/>
    <cellStyle name="_Deal Approval Template v42 5-3-05 JWK_II.7. Sep&amp;Discrete_Guidance_Sheet3" xfId="3012"/>
    <cellStyle name="_Deal Approval Template v42 5-3-05 JWK_II.7. Sep&amp;Discrete_Guidance_Sheet4" xfId="3013"/>
    <cellStyle name="_Deal Approval Template v42 5-3-05 JWK_II.8. Sep&amp;Discrete" xfId="3014"/>
    <cellStyle name="_Deal Approval Template v42 5-3-05 JWK_II.8. Sep&amp;Discrete_Guidance" xfId="3015"/>
    <cellStyle name="_Deal Approval Template v42 5-3-05 JWK_II.8. Sep&amp;Discrete_Guidance 2" xfId="3016"/>
    <cellStyle name="_Deal Approval Template v42 5-3-05 JWK_II.8. Sep&amp;Discrete_Guidance_BS retrieve" xfId="3017"/>
    <cellStyle name="_Deal Approval Template v42 5-3-05 JWK_II.8. Sep&amp;Discrete_Guidance_Free CF" xfId="3018"/>
    <cellStyle name="_Deal Approval Template v42 5-3-05 JWK_II.8. Sep&amp;Discrete_Guidance_P&amp;L Rec Qtr" xfId="3019"/>
    <cellStyle name="_Deal Approval Template v42 5-3-05 JWK_II.8. Sep&amp;Discrete_Guidance_Sheet1" xfId="3020"/>
    <cellStyle name="_Deal Approval Template v42 5-3-05 JWK_II.8. Sep&amp;Discrete_Guidance_Sheet2" xfId="3021"/>
    <cellStyle name="_Deal Approval Template v42 5-3-05 JWK_II.8. Sep&amp;Discrete_Guidance_Sheet3" xfId="3022"/>
    <cellStyle name="_Deal Approval Template v42 5-3-05 JWK_II.8. Sep&amp;Discrete_Guidance_Sheet4" xfId="3023"/>
    <cellStyle name="_Deal Approval Template v42 5-3-05 JWK_Restructuring &amp; Separation" xfId="3024"/>
    <cellStyle name="_Deal Approval Template v42 5-3-05 JWK_Restructuring &amp; Separation_Guidance" xfId="3025"/>
    <cellStyle name="_Deal Approval Template v42 5-3-05 JWK_Restructuring &amp; Separation_Guidance 2" xfId="3026"/>
    <cellStyle name="_Deal Approval Template v42 5-3-05 JWK_Restructuring &amp; Separation_Guidance_BS retrieve" xfId="3027"/>
    <cellStyle name="_Deal Approval Template v42 5-3-05 JWK_Restructuring &amp; Separation_Guidance_Free CF" xfId="3028"/>
    <cellStyle name="_Deal Approval Template v42 5-3-05 JWK_Restructuring &amp; Separation_Guidance_P&amp;L Rec Qtr" xfId="3029"/>
    <cellStyle name="_Deal Approval Template v42 5-3-05 JWK_Restructuring &amp; Separation_Guidance_Sheet1" xfId="3030"/>
    <cellStyle name="_Deal Approval Template v42 5-3-05 JWK_Restructuring &amp; Separation_Guidance_Sheet2" xfId="3031"/>
    <cellStyle name="_Deal Approval Template v42 5-3-05 JWK_Restructuring &amp; Separation_Guidance_Sheet3" xfId="3032"/>
    <cellStyle name="_Deal Approval Template v42 5-3-05 JWK_Restructuring &amp; Separation_Guidance_Sheet4" xfId="3033"/>
    <cellStyle name="_Deal Approval Template v42 5-3-05 JWK_Restructuring &amp; Separation_II.7. Sep&amp;Discrete" xfId="3034"/>
    <cellStyle name="_Deal Approval Template v42 5-3-05 JWK_Restructuring &amp; Separation_II.7. Sep&amp;Discrete_Guidance" xfId="3035"/>
    <cellStyle name="_Deal Approval Template v42 5-3-05 JWK_Restructuring &amp; Separation_II.7. Sep&amp;Discrete_Guidance 2" xfId="3036"/>
    <cellStyle name="_Deal Approval Template v42 5-3-05 JWK_Restructuring &amp; Separation_II.7. Sep&amp;Discrete_Guidance_BS retrieve" xfId="3037"/>
    <cellStyle name="_Deal Approval Template v42 5-3-05 JWK_Restructuring &amp; Separation_II.7. Sep&amp;Discrete_Guidance_Free CF" xfId="3038"/>
    <cellStyle name="_Deal Approval Template v42 5-3-05 JWK_Restructuring &amp; Separation_II.7. Sep&amp;Discrete_Guidance_P&amp;L Rec Qtr" xfId="3039"/>
    <cellStyle name="_Deal Approval Template v42 5-3-05 JWK_Restructuring &amp; Separation_II.7. Sep&amp;Discrete_Guidance_Sheet1" xfId="3040"/>
    <cellStyle name="_Deal Approval Template v42 5-3-05 JWK_Restructuring &amp; Separation_II.7. Sep&amp;Discrete_Guidance_Sheet2" xfId="3041"/>
    <cellStyle name="_Deal Approval Template v42 5-3-05 JWK_Restructuring &amp; Separation_II.7. Sep&amp;Discrete_Guidance_Sheet3" xfId="3042"/>
    <cellStyle name="_Deal Approval Template v42 5-3-05 JWK_Restructuring &amp; Separation_II.7. Sep&amp;Discrete_Guidance_Sheet4" xfId="3043"/>
    <cellStyle name="_Deal Approval Template v42 5-3-05 JWK_Sheet1" xfId="3044"/>
    <cellStyle name="_Deal Approval Template v42 5-3-05 JWK_Sheet1_1" xfId="3045"/>
    <cellStyle name="_Deal Approval Template v42 5-3-05 JWK_Sheet1_1_Guidance" xfId="3046"/>
    <cellStyle name="_Deal Approval Template v42 5-3-05 JWK_Sheet1_1_Guidance 2" xfId="3047"/>
    <cellStyle name="_Deal Approval Template v42 5-3-05 JWK_Sheet1_1_Guidance_BS retrieve" xfId="3048"/>
    <cellStyle name="_Deal Approval Template v42 5-3-05 JWK_Sheet1_1_Guidance_Free CF" xfId="3049"/>
    <cellStyle name="_Deal Approval Template v42 5-3-05 JWK_Sheet1_1_Guidance_P&amp;L Rec Qtr" xfId="3050"/>
    <cellStyle name="_Deal Approval Template v42 5-3-05 JWK_Sheet1_1_Guidance_Sheet1" xfId="3051"/>
    <cellStyle name="_Deal Approval Template v42 5-3-05 JWK_Sheet1_1_Guidance_Sheet2" xfId="3052"/>
    <cellStyle name="_Deal Approval Template v42 5-3-05 JWK_Sheet1_1_Guidance_Sheet3" xfId="3053"/>
    <cellStyle name="_Deal Approval Template v42 5-3-05 JWK_Sheet1_1_Guidance_Sheet4" xfId="3054"/>
    <cellStyle name="_Deal Approval Template v42 5-3-05 JWK_Sheet1_1_II.7. Sep&amp;Discrete" xfId="3055"/>
    <cellStyle name="_Deal Approval Template v42 5-3-05 JWK_Sheet1_1_II.7. Sep&amp;Discrete_Guidance" xfId="3056"/>
    <cellStyle name="_Deal Approval Template v42 5-3-05 JWK_Sheet1_1_II.7. Sep&amp;Discrete_Guidance 2" xfId="3057"/>
    <cellStyle name="_Deal Approval Template v42 5-3-05 JWK_Sheet1_1_II.7. Sep&amp;Discrete_Guidance_BS retrieve" xfId="3058"/>
    <cellStyle name="_Deal Approval Template v42 5-3-05 JWK_Sheet1_1_II.7. Sep&amp;Discrete_Guidance_Free CF" xfId="3059"/>
    <cellStyle name="_Deal Approval Template v42 5-3-05 JWK_Sheet1_1_II.7. Sep&amp;Discrete_Guidance_P&amp;L Rec Qtr" xfId="3060"/>
    <cellStyle name="_Deal Approval Template v42 5-3-05 JWK_Sheet1_1_II.7. Sep&amp;Discrete_Guidance_Sheet1" xfId="3061"/>
    <cellStyle name="_Deal Approval Template v42 5-3-05 JWK_Sheet1_1_II.7. Sep&amp;Discrete_Guidance_Sheet2" xfId="3062"/>
    <cellStyle name="_Deal Approval Template v42 5-3-05 JWK_Sheet1_1_II.7. Sep&amp;Discrete_Guidance_Sheet3" xfId="3063"/>
    <cellStyle name="_Deal Approval Template v42 5-3-05 JWK_Sheet1_1_II.7. Sep&amp;Discrete_Guidance_Sheet4" xfId="3064"/>
    <cellStyle name="_Deal Approval Template v42 5-3-05 JWK_Sheet1_1_Restructuring &amp; Separation" xfId="3065"/>
    <cellStyle name="_Deal Approval Template v42 5-3-05 JWK_Sheet1_1_Restructuring &amp; Separation_Guidance" xfId="3066"/>
    <cellStyle name="_Deal Approval Template v42 5-3-05 JWK_Sheet1_1_Restructuring &amp; Separation_Guidance 2" xfId="3067"/>
    <cellStyle name="_Deal Approval Template v42 5-3-05 JWK_Sheet1_1_Restructuring &amp; Separation_Guidance_BS retrieve" xfId="3068"/>
    <cellStyle name="_Deal Approval Template v42 5-3-05 JWK_Sheet1_1_Restructuring &amp; Separation_Guidance_Free CF" xfId="3069"/>
    <cellStyle name="_Deal Approval Template v42 5-3-05 JWK_Sheet1_1_Restructuring &amp; Separation_Guidance_P&amp;L Rec Qtr" xfId="3070"/>
    <cellStyle name="_Deal Approval Template v42 5-3-05 JWK_Sheet1_1_Restructuring &amp; Separation_Guidance_Sheet1" xfId="3071"/>
    <cellStyle name="_Deal Approval Template v42 5-3-05 JWK_Sheet1_1_Restructuring &amp; Separation_Guidance_Sheet2" xfId="3072"/>
    <cellStyle name="_Deal Approval Template v42 5-3-05 JWK_Sheet1_1_Restructuring &amp; Separation_Guidance_Sheet3" xfId="3073"/>
    <cellStyle name="_Deal Approval Template v42 5-3-05 JWK_Sheet1_1_Restructuring &amp; Separation_Guidance_Sheet4" xfId="3074"/>
    <cellStyle name="_Deal Approval Template v42 5-3-05 JWK_Sheet1_1_Restructuring &amp; Separation_II.7. Sep&amp;Discrete" xfId="3075"/>
    <cellStyle name="_Deal Approval Template v42 5-3-05 JWK_Sheet1_1_Restructuring &amp; Separation_II.7. Sep&amp;Discrete_Guidance" xfId="3076"/>
    <cellStyle name="_Deal Approval Template v42 5-3-05 JWK_Sheet1_1_Restructuring &amp; Separation_II.7. Sep&amp;Discrete_Guidance 2" xfId="3077"/>
    <cellStyle name="_Deal Approval Template v42 5-3-05 JWK_Sheet1_1_Restructuring &amp; Separation_II.7. Sep&amp;Discrete_Guidance_BS retrieve" xfId="3078"/>
    <cellStyle name="_Deal Approval Template v42 5-3-05 JWK_Sheet1_1_Restructuring &amp; Separation_II.7. Sep&amp;Discrete_Guidance_Free CF" xfId="3079"/>
    <cellStyle name="_Deal Approval Template v42 5-3-05 JWK_Sheet1_1_Restructuring &amp; Separation_II.7. Sep&amp;Discrete_Guidance_P&amp;L Rec Qtr" xfId="3080"/>
    <cellStyle name="_Deal Approval Template v42 5-3-05 JWK_Sheet1_1_Restructuring &amp; Separation_II.7. Sep&amp;Discrete_Guidance_Sheet1" xfId="3081"/>
    <cellStyle name="_Deal Approval Template v42 5-3-05 JWK_Sheet1_1_Restructuring &amp; Separation_II.7. Sep&amp;Discrete_Guidance_Sheet2" xfId="3082"/>
    <cellStyle name="_Deal Approval Template v42 5-3-05 JWK_Sheet1_1_Restructuring &amp; Separation_II.7. Sep&amp;Discrete_Guidance_Sheet3" xfId="3083"/>
    <cellStyle name="_Deal Approval Template v42 5-3-05 JWK_Sheet1_1_Restructuring &amp; Separation_II.7. Sep&amp;Discrete_Guidance_Sheet4" xfId="3084"/>
    <cellStyle name="_Deal Approval Template v42 5-3-05 JWK_Sheet1_BS_Separation_TaxResIndem_Q12412 tf" xfId="3085"/>
    <cellStyle name="_Deal Approval Template v42 5-3-05 JWK_Sheet1_BS_Separation_TaxResIndem_Q12412 tf_Guidance" xfId="3086"/>
    <cellStyle name="_Deal Approval Template v42 5-3-05 JWK_Sheet1_BS_Separation_TaxResIndem_Q12412 tf_Guidance 2" xfId="3087"/>
    <cellStyle name="_Deal Approval Template v42 5-3-05 JWK_Sheet1_BS_Separation_TaxResIndem_Q12412 tf_Guidance_BS retrieve" xfId="3088"/>
    <cellStyle name="_Deal Approval Template v42 5-3-05 JWK_Sheet1_BS_Separation_TaxResIndem_Q12412 tf_Guidance_Free CF" xfId="3089"/>
    <cellStyle name="_Deal Approval Template v42 5-3-05 JWK_Sheet1_BS_Separation_TaxResIndem_Q12412 tf_Guidance_P&amp;L Rec Qtr" xfId="3090"/>
    <cellStyle name="_Deal Approval Template v42 5-3-05 JWK_Sheet1_BS_Separation_TaxResIndem_Q12412 tf_Guidance_Sheet1" xfId="3091"/>
    <cellStyle name="_Deal Approval Template v42 5-3-05 JWK_Sheet1_BS_Separation_TaxResIndem_Q12412 tf_Guidance_Sheet2" xfId="3092"/>
    <cellStyle name="_Deal Approval Template v42 5-3-05 JWK_Sheet1_BS_Separation_TaxResIndem_Q12412 tf_Guidance_Sheet3" xfId="3093"/>
    <cellStyle name="_Deal Approval Template v42 5-3-05 JWK_Sheet1_BS_Separation_TaxResIndem_Q12412 tf_Guidance_Sheet4" xfId="3094"/>
    <cellStyle name="_Deal Approval Template v42 5-3-05 JWK_Sheet1_BS_Separation_TaxResIndem_Q12412 tf_II.7. Sep&amp;Discrete" xfId="3095"/>
    <cellStyle name="_Deal Approval Template v42 5-3-05 JWK_Sheet1_BS_Separation_TaxResIndem_Q12412 tf_II.7. Sep&amp;Discrete_Guidance" xfId="3096"/>
    <cellStyle name="_Deal Approval Template v42 5-3-05 JWK_Sheet1_BS_Separation_TaxResIndem_Q12412 tf_II.7. Sep&amp;Discrete_Guidance 2" xfId="3097"/>
    <cellStyle name="_Deal Approval Template v42 5-3-05 JWK_Sheet1_BS_Separation_TaxResIndem_Q12412 tf_II.7. Sep&amp;Discrete_Guidance_BS retrieve" xfId="3098"/>
    <cellStyle name="_Deal Approval Template v42 5-3-05 JWK_Sheet1_BS_Separation_TaxResIndem_Q12412 tf_II.7. Sep&amp;Discrete_Guidance_Free CF" xfId="3099"/>
    <cellStyle name="_Deal Approval Template v42 5-3-05 JWK_Sheet1_BS_Separation_TaxResIndem_Q12412 tf_II.7. Sep&amp;Discrete_Guidance_P&amp;L Rec Qtr" xfId="3100"/>
    <cellStyle name="_Deal Approval Template v42 5-3-05 JWK_Sheet1_BS_Separation_TaxResIndem_Q12412 tf_II.7. Sep&amp;Discrete_Guidance_Sheet1" xfId="3101"/>
    <cellStyle name="_Deal Approval Template v42 5-3-05 JWK_Sheet1_BS_Separation_TaxResIndem_Q12412 tf_II.7. Sep&amp;Discrete_Guidance_Sheet2" xfId="3102"/>
    <cellStyle name="_Deal Approval Template v42 5-3-05 JWK_Sheet1_BS_Separation_TaxResIndem_Q12412 tf_II.7. Sep&amp;Discrete_Guidance_Sheet3" xfId="3103"/>
    <cellStyle name="_Deal Approval Template v42 5-3-05 JWK_Sheet1_BS_Separation_TaxResIndem_Q12412 tf_II.7. Sep&amp;Discrete_Guidance_Sheet4" xfId="3104"/>
    <cellStyle name="_Deal Approval Template v42 5-3-05 JWK_Sheet1_BS_Separation_TaxResIndem_Q12412 tf_Restructuring &amp; Separation" xfId="3105"/>
    <cellStyle name="_Deal Approval Template v42 5-3-05 JWK_Sheet1_BS_Separation_TaxResIndem_Q12412 tf_Restructuring &amp; Separation_Guidance" xfId="3106"/>
    <cellStyle name="_Deal Approval Template v42 5-3-05 JWK_Sheet1_BS_Separation_TaxResIndem_Q12412 tf_Restructuring &amp; Separation_Guidance 2" xfId="3107"/>
    <cellStyle name="_Deal Approval Template v42 5-3-05 JWK_Sheet1_BS_Separation_TaxResIndem_Q12412 tf_Restructuring &amp; Separation_Guidance_BS retrieve" xfId="3108"/>
    <cellStyle name="_Deal Approval Template v42 5-3-05 JWK_Sheet1_BS_Separation_TaxResIndem_Q12412 tf_Restructuring &amp; Separation_Guidance_Free CF" xfId="3109"/>
    <cellStyle name="_Deal Approval Template v42 5-3-05 JWK_Sheet1_BS_Separation_TaxResIndem_Q12412 tf_Restructuring &amp; Separation_Guidance_P&amp;L Rec Qtr" xfId="3110"/>
    <cellStyle name="_Deal Approval Template v42 5-3-05 JWK_Sheet1_BS_Separation_TaxResIndem_Q12412 tf_Restructuring &amp; Separation_Guidance_Sheet1" xfId="3111"/>
    <cellStyle name="_Deal Approval Template v42 5-3-05 JWK_Sheet1_BS_Separation_TaxResIndem_Q12412 tf_Restructuring &amp; Separation_Guidance_Sheet2" xfId="3112"/>
    <cellStyle name="_Deal Approval Template v42 5-3-05 JWK_Sheet1_BS_Separation_TaxResIndem_Q12412 tf_Restructuring &amp; Separation_Guidance_Sheet3" xfId="3113"/>
    <cellStyle name="_Deal Approval Template v42 5-3-05 JWK_Sheet1_BS_Separation_TaxResIndem_Q12412 tf_Restructuring &amp; Separation_Guidance_Sheet4" xfId="3114"/>
    <cellStyle name="_Deal Approval Template v42 5-3-05 JWK_Sheet1_BS_Separation_TaxResIndem_Q12412 tf_Restructuring &amp; Separation_II.7. Sep&amp;Discrete" xfId="3115"/>
    <cellStyle name="_Deal Approval Template v42 5-3-05 JWK_Sheet1_BS_Separation_TaxResIndem_Q12412 tf_Restructuring &amp; Separation_II.7. Sep&amp;Discrete_Guidance" xfId="3116"/>
    <cellStyle name="_Deal Approval Template v42 5-3-05 JWK_Sheet1_BS_Separation_TaxResIndem_Q12412 tf_Restructuring &amp; Separation_II.7. Sep&amp;Discrete_Guidance 2" xfId="3117"/>
    <cellStyle name="_Deal Approval Template v42 5-3-05 JWK_Sheet1_BS_Separation_TaxResIndem_Q12412 tf_Restructuring &amp; Separation_II.7. Sep&amp;Discrete_Guidance_BS retrieve" xfId="3118"/>
    <cellStyle name="_Deal Approval Template v42 5-3-05 JWK_Sheet1_BS_Separation_TaxResIndem_Q12412 tf_Restructuring &amp; Separation_II.7. Sep&amp;Discrete_Guidance_Free CF" xfId="3119"/>
    <cellStyle name="_Deal Approval Template v42 5-3-05 JWK_Sheet1_BS_Separation_TaxResIndem_Q12412 tf_Restructuring &amp; Separation_II.7. Sep&amp;Discrete_Guidance_P&amp;L Rec Qtr" xfId="3120"/>
    <cellStyle name="_Deal Approval Template v42 5-3-05 JWK_Sheet1_BS_Separation_TaxResIndem_Q12412 tf_Restructuring &amp; Separation_II.7. Sep&amp;Discrete_Guidance_Sheet1" xfId="3121"/>
    <cellStyle name="_Deal Approval Template v42 5-3-05 JWK_Sheet1_BS_Separation_TaxResIndem_Q12412 tf_Restructuring &amp; Separation_II.7. Sep&amp;Discrete_Guidance_Sheet2" xfId="3122"/>
    <cellStyle name="_Deal Approval Template v42 5-3-05 JWK_Sheet1_BS_Separation_TaxResIndem_Q12412 tf_Restructuring &amp; Separation_II.7. Sep&amp;Discrete_Guidance_Sheet3" xfId="3123"/>
    <cellStyle name="_Deal Approval Template v42 5-3-05 JWK_Sheet1_BS_Separation_TaxResIndem_Q12412 tf_Restructuring &amp; Separation_II.7. Sep&amp;Discrete_Guidance_Sheet4" xfId="3124"/>
    <cellStyle name="_Deal Approval Template v42 5-3-05 JWK_Sheet1_Guidance" xfId="3125"/>
    <cellStyle name="_Deal Approval Template v42 5-3-05 JWK_Sheet1_Guidance 2" xfId="3126"/>
    <cellStyle name="_Deal Approval Template v42 5-3-05 JWK_Sheet1_Guidance_BS retrieve" xfId="3127"/>
    <cellStyle name="_Deal Approval Template v42 5-3-05 JWK_Sheet1_Guidance_Free CF" xfId="3128"/>
    <cellStyle name="_Deal Approval Template v42 5-3-05 JWK_Sheet1_Guidance_P&amp;L Rec Qtr" xfId="3129"/>
    <cellStyle name="_Deal Approval Template v42 5-3-05 JWK_Sheet1_Guidance_Sheet1" xfId="3130"/>
    <cellStyle name="_Deal Approval Template v42 5-3-05 JWK_Sheet1_Guidance_Sheet2" xfId="3131"/>
    <cellStyle name="_Deal Approval Template v42 5-3-05 JWK_Sheet1_Guidance_Sheet3" xfId="3132"/>
    <cellStyle name="_Deal Approval Template v42 5-3-05 JWK_Sheet1_Guidance_Sheet4" xfId="3133"/>
    <cellStyle name="_Deal Approval Template v42 5-3-05 JWK_Sheet1_II.7. Sep&amp;Discrete" xfId="3134"/>
    <cellStyle name="_Deal Approval Template v42 5-3-05 JWK_Sheet1_II.7. Sep&amp;Discrete_Guidance" xfId="3135"/>
    <cellStyle name="_Deal Approval Template v42 5-3-05 JWK_Sheet1_II.7. Sep&amp;Discrete_Guidance 2" xfId="3136"/>
    <cellStyle name="_Deal Approval Template v42 5-3-05 JWK_Sheet1_II.7. Sep&amp;Discrete_Guidance_BS retrieve" xfId="3137"/>
    <cellStyle name="_Deal Approval Template v42 5-3-05 JWK_Sheet1_II.7. Sep&amp;Discrete_Guidance_Free CF" xfId="3138"/>
    <cellStyle name="_Deal Approval Template v42 5-3-05 JWK_Sheet1_II.7. Sep&amp;Discrete_Guidance_P&amp;L Rec Qtr" xfId="3139"/>
    <cellStyle name="_Deal Approval Template v42 5-3-05 JWK_Sheet1_II.7. Sep&amp;Discrete_Guidance_Sheet1" xfId="3140"/>
    <cellStyle name="_Deal Approval Template v42 5-3-05 JWK_Sheet1_II.7. Sep&amp;Discrete_Guidance_Sheet2" xfId="3141"/>
    <cellStyle name="_Deal Approval Template v42 5-3-05 JWK_Sheet1_II.7. Sep&amp;Discrete_Guidance_Sheet3" xfId="3142"/>
    <cellStyle name="_Deal Approval Template v42 5-3-05 JWK_Sheet1_II.7. Sep&amp;Discrete_Guidance_Sheet4" xfId="3143"/>
    <cellStyle name="_Deal Approval Template v42 5-3-05 JWK_Sheet1_II.8. Sep&amp;Discrete" xfId="3144"/>
    <cellStyle name="_Deal Approval Template v42 5-3-05 JWK_Sheet1_II.8. Sep&amp;Discrete_Guidance" xfId="3145"/>
    <cellStyle name="_Deal Approval Template v42 5-3-05 JWK_Sheet1_II.8. Sep&amp;Discrete_Guidance 2" xfId="3146"/>
    <cellStyle name="_Deal Approval Template v42 5-3-05 JWK_Sheet1_II.8. Sep&amp;Discrete_Guidance_BS retrieve" xfId="3147"/>
    <cellStyle name="_Deal Approval Template v42 5-3-05 JWK_Sheet1_II.8. Sep&amp;Discrete_Guidance_Free CF" xfId="3148"/>
    <cellStyle name="_Deal Approval Template v42 5-3-05 JWK_Sheet1_II.8. Sep&amp;Discrete_Guidance_P&amp;L Rec Qtr" xfId="3149"/>
    <cellStyle name="_Deal Approval Template v42 5-3-05 JWK_Sheet1_II.8. Sep&amp;Discrete_Guidance_Sheet1" xfId="3150"/>
    <cellStyle name="_Deal Approval Template v42 5-3-05 JWK_Sheet1_II.8. Sep&amp;Discrete_Guidance_Sheet2" xfId="3151"/>
    <cellStyle name="_Deal Approval Template v42 5-3-05 JWK_Sheet1_II.8. Sep&amp;Discrete_Guidance_Sheet3" xfId="3152"/>
    <cellStyle name="_Deal Approval Template v42 5-3-05 JWK_Sheet1_II.8. Sep&amp;Discrete_Guidance_Sheet4" xfId="3153"/>
    <cellStyle name="_Deal Approval Template v42 5-3-05 JWK_Sheet1_Restructuring &amp; Separation" xfId="3154"/>
    <cellStyle name="_Deal Approval Template v42 5-3-05 JWK_Sheet1_Restructuring &amp; Separation_Guidance" xfId="3155"/>
    <cellStyle name="_Deal Approval Template v42 5-3-05 JWK_Sheet1_Restructuring &amp; Separation_Guidance 2" xfId="3156"/>
    <cellStyle name="_Deal Approval Template v42 5-3-05 JWK_Sheet1_Restructuring &amp; Separation_Guidance_BS retrieve" xfId="3157"/>
    <cellStyle name="_Deal Approval Template v42 5-3-05 JWK_Sheet1_Restructuring &amp; Separation_Guidance_Free CF" xfId="3158"/>
    <cellStyle name="_Deal Approval Template v42 5-3-05 JWK_Sheet1_Restructuring &amp; Separation_Guidance_P&amp;L Rec Qtr" xfId="3159"/>
    <cellStyle name="_Deal Approval Template v42 5-3-05 JWK_Sheet1_Restructuring &amp; Separation_Guidance_Sheet1" xfId="3160"/>
    <cellStyle name="_Deal Approval Template v42 5-3-05 JWK_Sheet1_Restructuring &amp; Separation_Guidance_Sheet2" xfId="3161"/>
    <cellStyle name="_Deal Approval Template v42 5-3-05 JWK_Sheet1_Restructuring &amp; Separation_Guidance_Sheet3" xfId="3162"/>
    <cellStyle name="_Deal Approval Template v42 5-3-05 JWK_Sheet1_Restructuring &amp; Separation_Guidance_Sheet4" xfId="3163"/>
    <cellStyle name="_Deal Approval Template v42 5-3-05 JWK2" xfId="3164"/>
    <cellStyle name="_Deal Approval Template v42 5-3-05 JWK2_BS_Separation_TaxResIndem_Q12412 tf" xfId="3165"/>
    <cellStyle name="_Deal Approval Template v42 5-3-05 JWK2_BS_Separation_TaxResIndem_Q12412 tf_Guidance" xfId="3166"/>
    <cellStyle name="_Deal Approval Template v42 5-3-05 JWK2_BS_Separation_TaxResIndem_Q12412 tf_Guidance 2" xfId="3167"/>
    <cellStyle name="_Deal Approval Template v42 5-3-05 JWK2_BS_Separation_TaxResIndem_Q12412 tf_Guidance_BS retrieve" xfId="3168"/>
    <cellStyle name="_Deal Approval Template v42 5-3-05 JWK2_BS_Separation_TaxResIndem_Q12412 tf_Guidance_Free CF" xfId="3169"/>
    <cellStyle name="_Deal Approval Template v42 5-3-05 JWK2_BS_Separation_TaxResIndem_Q12412 tf_Guidance_P&amp;L Rec Qtr" xfId="3170"/>
    <cellStyle name="_Deal Approval Template v42 5-3-05 JWK2_BS_Separation_TaxResIndem_Q12412 tf_Guidance_Sheet1" xfId="3171"/>
    <cellStyle name="_Deal Approval Template v42 5-3-05 JWK2_BS_Separation_TaxResIndem_Q12412 tf_Guidance_Sheet2" xfId="3172"/>
    <cellStyle name="_Deal Approval Template v42 5-3-05 JWK2_BS_Separation_TaxResIndem_Q12412 tf_Guidance_Sheet3" xfId="3173"/>
    <cellStyle name="_Deal Approval Template v42 5-3-05 JWK2_BS_Separation_TaxResIndem_Q12412 tf_Guidance_Sheet4" xfId="3174"/>
    <cellStyle name="_Deal Approval Template v42 5-3-05 JWK2_BS_Separation_TaxResIndem_Q12412 tf_Restructuring &amp; Separation" xfId="3175"/>
    <cellStyle name="_Deal Approval Template v42 5-3-05 JWK2_BS_Separation_TaxResIndem_Q12412 tf_Restructuring &amp; Separation_Guidance" xfId="3176"/>
    <cellStyle name="_Deal Approval Template v42 5-3-05 JWK2_BS_Separation_TaxResIndem_Q12412 tf_Restructuring &amp; Separation_Guidance 2" xfId="3177"/>
    <cellStyle name="_Deal Approval Template v42 5-3-05 JWK2_BS_Separation_TaxResIndem_Q12412 tf_Restructuring &amp; Separation_Guidance_BS retrieve" xfId="3178"/>
    <cellStyle name="_Deal Approval Template v42 5-3-05 JWK2_BS_Separation_TaxResIndem_Q12412 tf_Restructuring &amp; Separation_Guidance_Free CF" xfId="3179"/>
    <cellStyle name="_Deal Approval Template v42 5-3-05 JWK2_BS_Separation_TaxResIndem_Q12412 tf_Restructuring &amp; Separation_Guidance_P&amp;L Rec Qtr" xfId="3180"/>
    <cellStyle name="_Deal Approval Template v42 5-3-05 JWK2_BS_Separation_TaxResIndem_Q12412 tf_Restructuring &amp; Separation_Guidance_Sheet1" xfId="3181"/>
    <cellStyle name="_Deal Approval Template v42 5-3-05 JWK2_BS_Separation_TaxResIndem_Q12412 tf_Restructuring &amp; Separation_Guidance_Sheet2" xfId="3182"/>
    <cellStyle name="_Deal Approval Template v42 5-3-05 JWK2_BS_Separation_TaxResIndem_Q12412 tf_Restructuring &amp; Separation_Guidance_Sheet3" xfId="3183"/>
    <cellStyle name="_Deal Approval Template v42 5-3-05 JWK2_BS_Separation_TaxResIndem_Q12412 tf_Restructuring &amp; Separation_Guidance_Sheet4" xfId="3184"/>
    <cellStyle name="_Deal Approval Template v42 5-3-05 JWK2_Deferred tax MarchFC 2011" xfId="3185"/>
    <cellStyle name="_Deal Approval Template v42 5-3-05 JWK2_Deferred tax MarchFC 2011_BS_Separation_TaxResIndem_Q12412 tf" xfId="3186"/>
    <cellStyle name="_Deal Approval Template v42 5-3-05 JWK2_Deferred tax MarchFC 2011_BS_Separation_TaxResIndem_Q12412 tf_Guidance" xfId="3187"/>
    <cellStyle name="_Deal Approval Template v42 5-3-05 JWK2_Deferred tax MarchFC 2011_BS_Separation_TaxResIndem_Q12412 tf_Guidance 2" xfId="3188"/>
    <cellStyle name="_Deal Approval Template v42 5-3-05 JWK2_Deferred tax MarchFC 2011_BS_Separation_TaxResIndem_Q12412 tf_Guidance_BS retrieve" xfId="3189"/>
    <cellStyle name="_Deal Approval Template v42 5-3-05 JWK2_Deferred tax MarchFC 2011_BS_Separation_TaxResIndem_Q12412 tf_Guidance_Free CF" xfId="3190"/>
    <cellStyle name="_Deal Approval Template v42 5-3-05 JWK2_Deferred tax MarchFC 2011_BS_Separation_TaxResIndem_Q12412 tf_Guidance_P&amp;L Rec Qtr" xfId="3191"/>
    <cellStyle name="_Deal Approval Template v42 5-3-05 JWK2_Deferred tax MarchFC 2011_BS_Separation_TaxResIndem_Q12412 tf_Guidance_Sheet1" xfId="3192"/>
    <cellStyle name="_Deal Approval Template v42 5-3-05 JWK2_Deferred tax MarchFC 2011_BS_Separation_TaxResIndem_Q12412 tf_Guidance_Sheet2" xfId="3193"/>
    <cellStyle name="_Deal Approval Template v42 5-3-05 JWK2_Deferred tax MarchFC 2011_BS_Separation_TaxResIndem_Q12412 tf_Guidance_Sheet3" xfId="3194"/>
    <cellStyle name="_Deal Approval Template v42 5-3-05 JWK2_Deferred tax MarchFC 2011_BS_Separation_TaxResIndem_Q12412 tf_Guidance_Sheet4" xfId="3195"/>
    <cellStyle name="_Deal Approval Template v42 5-3-05 JWK2_Deferred tax MarchFC 2011_BS_Separation_TaxResIndem_Q12412 tf_Restructuring &amp; Separation" xfId="3196"/>
    <cellStyle name="_Deal Approval Template v42 5-3-05 JWK2_Deferred tax MarchFC 2011_BS_Separation_TaxResIndem_Q12412 tf_Restructuring &amp; Separation_Guidance" xfId="3197"/>
    <cellStyle name="_Deal Approval Template v42 5-3-05 JWK2_Deferred tax MarchFC 2011_BS_Separation_TaxResIndem_Q12412 tf_Restructuring &amp; Separation_Guidance 2" xfId="3198"/>
    <cellStyle name="_Deal Approval Template v42 5-3-05 JWK2_Deferred tax MarchFC 2011_BS_Separation_TaxResIndem_Q12412 tf_Restructuring &amp; Separation_Guidance_BS retrieve" xfId="3199"/>
    <cellStyle name="_Deal Approval Template v42 5-3-05 JWK2_Deferred tax MarchFC 2011_BS_Separation_TaxResIndem_Q12412 tf_Restructuring &amp; Separation_Guidance_Free CF" xfId="3200"/>
    <cellStyle name="_Deal Approval Template v42 5-3-05 JWK2_Deferred tax MarchFC 2011_BS_Separation_TaxResIndem_Q12412 tf_Restructuring &amp; Separation_Guidance_P&amp;L Rec Qtr" xfId="3201"/>
    <cellStyle name="_Deal Approval Template v42 5-3-05 JWK2_Deferred tax MarchFC 2011_BS_Separation_TaxResIndem_Q12412 tf_Restructuring &amp; Separation_Guidance_Sheet1" xfId="3202"/>
    <cellStyle name="_Deal Approval Template v42 5-3-05 JWK2_Deferred tax MarchFC 2011_BS_Separation_TaxResIndem_Q12412 tf_Restructuring &amp; Separation_Guidance_Sheet2" xfId="3203"/>
    <cellStyle name="_Deal Approval Template v42 5-3-05 JWK2_Deferred tax MarchFC 2011_BS_Separation_TaxResIndem_Q12412 tf_Restructuring &amp; Separation_Guidance_Sheet3" xfId="3204"/>
    <cellStyle name="_Deal Approval Template v42 5-3-05 JWK2_Deferred tax MarchFC 2011_BS_Separation_TaxResIndem_Q12412 tf_Restructuring &amp; Separation_Guidance_Sheet4" xfId="3205"/>
    <cellStyle name="_Deal Approval Template v42 5-3-05 JWK2_Deferred tax MarchFC 2011_Guidance" xfId="3206"/>
    <cellStyle name="_Deal Approval Template v42 5-3-05 JWK2_Deferred tax MarchFC 2011_Guidance 2" xfId="3207"/>
    <cellStyle name="_Deal Approval Template v42 5-3-05 JWK2_Deferred tax MarchFC 2011_Guidance_BS retrieve" xfId="3208"/>
    <cellStyle name="_Deal Approval Template v42 5-3-05 JWK2_Deferred tax MarchFC 2011_Guidance_Free CF" xfId="3209"/>
    <cellStyle name="_Deal Approval Template v42 5-3-05 JWK2_Deferred tax MarchFC 2011_Guidance_P&amp;L Rec Qtr" xfId="3210"/>
    <cellStyle name="_Deal Approval Template v42 5-3-05 JWK2_Deferred tax MarchFC 2011_Guidance_Sheet1" xfId="3211"/>
    <cellStyle name="_Deal Approval Template v42 5-3-05 JWK2_Deferred tax MarchFC 2011_Guidance_Sheet2" xfId="3212"/>
    <cellStyle name="_Deal Approval Template v42 5-3-05 JWK2_Deferred tax MarchFC 2011_Guidance_Sheet3" xfId="3213"/>
    <cellStyle name="_Deal Approval Template v42 5-3-05 JWK2_Deferred tax MarchFC 2011_Guidance_Sheet4" xfId="3214"/>
    <cellStyle name="_Deal Approval Template v42 5-3-05 JWK2_Deferred tax MarchFC 2011_II.8. Sep&amp;Discrete" xfId="3215"/>
    <cellStyle name="_Deal Approval Template v42 5-3-05 JWK2_Deferred tax MarchFC 2011_II.8. Sep&amp;Discrete_Guidance" xfId="3216"/>
    <cellStyle name="_Deal Approval Template v42 5-3-05 JWK2_Deferred tax MarchFC 2011_II.8. Sep&amp;Discrete_Guidance 2" xfId="3217"/>
    <cellStyle name="_Deal Approval Template v42 5-3-05 JWK2_Deferred tax MarchFC 2011_II.8. Sep&amp;Discrete_Guidance_BS retrieve" xfId="3218"/>
    <cellStyle name="_Deal Approval Template v42 5-3-05 JWK2_Deferred tax MarchFC 2011_II.8. Sep&amp;Discrete_Guidance_Free CF" xfId="3219"/>
    <cellStyle name="_Deal Approval Template v42 5-3-05 JWK2_Deferred tax MarchFC 2011_II.8. Sep&amp;Discrete_Guidance_P&amp;L Rec Qtr" xfId="3220"/>
    <cellStyle name="_Deal Approval Template v42 5-3-05 JWK2_Deferred tax MarchFC 2011_II.8. Sep&amp;Discrete_Guidance_Sheet1" xfId="3221"/>
    <cellStyle name="_Deal Approval Template v42 5-3-05 JWK2_Deferred tax MarchFC 2011_II.8. Sep&amp;Discrete_Guidance_Sheet2" xfId="3222"/>
    <cellStyle name="_Deal Approval Template v42 5-3-05 JWK2_Deferred tax MarchFC 2011_II.8. Sep&amp;Discrete_Guidance_Sheet3" xfId="3223"/>
    <cellStyle name="_Deal Approval Template v42 5-3-05 JWK2_Deferred tax MarchFC 2011_II.8. Sep&amp;Discrete_Guidance_Sheet4" xfId="3224"/>
    <cellStyle name="_Deal Approval Template v42 5-3-05 JWK2_Deferred tax MarchFC 2011_Restructuring &amp; Separation" xfId="3225"/>
    <cellStyle name="_Deal Approval Template v42 5-3-05 JWK2_Deferred tax MarchFC 2011_Restructuring &amp; Separation_Guidance" xfId="3226"/>
    <cellStyle name="_Deal Approval Template v42 5-3-05 JWK2_Deferred tax MarchFC 2011_Restructuring &amp; Separation_Guidance 2" xfId="3227"/>
    <cellStyle name="_Deal Approval Template v42 5-3-05 JWK2_Deferred tax MarchFC 2011_Restructuring &amp; Separation_Guidance_BS retrieve" xfId="3228"/>
    <cellStyle name="_Deal Approval Template v42 5-3-05 JWK2_Deferred tax MarchFC 2011_Restructuring &amp; Separation_Guidance_Free CF" xfId="3229"/>
    <cellStyle name="_Deal Approval Template v42 5-3-05 JWK2_Deferred tax MarchFC 2011_Restructuring &amp; Separation_Guidance_P&amp;L Rec Qtr" xfId="3230"/>
    <cellStyle name="_Deal Approval Template v42 5-3-05 JWK2_Deferred tax MarchFC 2011_Restructuring &amp; Separation_Guidance_Sheet1" xfId="3231"/>
    <cellStyle name="_Deal Approval Template v42 5-3-05 JWK2_Deferred tax MarchFC 2011_Restructuring &amp; Separation_Guidance_Sheet2" xfId="3232"/>
    <cellStyle name="_Deal Approval Template v42 5-3-05 JWK2_Deferred tax MarchFC 2011_Restructuring &amp; Separation_Guidance_Sheet3" xfId="3233"/>
    <cellStyle name="_Deal Approval Template v42 5-3-05 JWK2_Deferred tax MarchFC 2011_Restructuring &amp; Separation_Guidance_Sheet4" xfId="3234"/>
    <cellStyle name="_Deal Approval Template v42 5-3-05 JWK2_Guidance" xfId="3235"/>
    <cellStyle name="_Deal Approval Template v42 5-3-05 JWK2_Guidance 2" xfId="3236"/>
    <cellStyle name="_Deal Approval Template v42 5-3-05 JWK2_Guidance_BS retrieve" xfId="3237"/>
    <cellStyle name="_Deal Approval Template v42 5-3-05 JWK2_Guidance_Free CF" xfId="3238"/>
    <cellStyle name="_Deal Approval Template v42 5-3-05 JWK2_Guidance_P&amp;L Rec Qtr" xfId="3239"/>
    <cellStyle name="_Deal Approval Template v42 5-3-05 JWK2_Guidance_Sheet1" xfId="3240"/>
    <cellStyle name="_Deal Approval Template v42 5-3-05 JWK2_Guidance_Sheet2" xfId="3241"/>
    <cellStyle name="_Deal Approval Template v42 5-3-05 JWK2_Guidance_Sheet3" xfId="3242"/>
    <cellStyle name="_Deal Approval Template v42 5-3-05 JWK2_Guidance_Sheet4" xfId="3243"/>
    <cellStyle name="_Deal Approval Template v42 5-3-05 JWK2_II.8. Sep&amp;Discrete" xfId="3244"/>
    <cellStyle name="_Deal Approval Template v42 5-3-05 JWK2_II.8. Sep&amp;Discrete_Guidance" xfId="3245"/>
    <cellStyle name="_Deal Approval Template v42 5-3-05 JWK2_II.8. Sep&amp;Discrete_Guidance 2" xfId="3246"/>
    <cellStyle name="_Deal Approval Template v42 5-3-05 JWK2_II.8. Sep&amp;Discrete_Guidance_BS retrieve" xfId="3247"/>
    <cellStyle name="_Deal Approval Template v42 5-3-05 JWK2_II.8. Sep&amp;Discrete_Guidance_Free CF" xfId="3248"/>
    <cellStyle name="_Deal Approval Template v42 5-3-05 JWK2_II.8. Sep&amp;Discrete_Guidance_P&amp;L Rec Qtr" xfId="3249"/>
    <cellStyle name="_Deal Approval Template v42 5-3-05 JWK2_II.8. Sep&amp;Discrete_Guidance_Sheet1" xfId="3250"/>
    <cellStyle name="_Deal Approval Template v42 5-3-05 JWK2_II.8. Sep&amp;Discrete_Guidance_Sheet2" xfId="3251"/>
    <cellStyle name="_Deal Approval Template v42 5-3-05 JWK2_II.8. Sep&amp;Discrete_Guidance_Sheet3" xfId="3252"/>
    <cellStyle name="_Deal Approval Template v42 5-3-05 JWK2_II.8. Sep&amp;Discrete_Guidance_Sheet4" xfId="3253"/>
    <cellStyle name="_Deal Approval Template v42 5-3-05 JWK2_Restructuring &amp; Separation" xfId="3254"/>
    <cellStyle name="_Deal Approval Template v42 5-3-05 JWK2_Restructuring &amp; Separation_Guidance" xfId="3255"/>
    <cellStyle name="_Deal Approval Template v42 5-3-05 JWK2_Restructuring &amp; Separation_Guidance 2" xfId="3256"/>
    <cellStyle name="_Deal Approval Template v42 5-3-05 JWK2_Restructuring &amp; Separation_Guidance_BS retrieve" xfId="3257"/>
    <cellStyle name="_Deal Approval Template v42 5-3-05 JWK2_Restructuring &amp; Separation_Guidance_Free CF" xfId="3258"/>
    <cellStyle name="_Deal Approval Template v42 5-3-05 JWK2_Restructuring &amp; Separation_Guidance_P&amp;L Rec Qtr" xfId="3259"/>
    <cellStyle name="_Deal Approval Template v42 5-3-05 JWK2_Restructuring &amp; Separation_Guidance_Sheet1" xfId="3260"/>
    <cellStyle name="_Deal Approval Template v42 5-3-05 JWK2_Restructuring &amp; Separation_Guidance_Sheet2" xfId="3261"/>
    <cellStyle name="_Deal Approval Template v42 5-3-05 JWK2_Restructuring &amp; Separation_Guidance_Sheet3" xfId="3262"/>
    <cellStyle name="_Deal Approval Template v42 5-3-05 JWK2_Restructuring &amp; Separation_Guidance_Sheet4" xfId="3263"/>
    <cellStyle name="_Deal Approval Template v42 5-3-05 JWK2_Sheet1" xfId="3264"/>
    <cellStyle name="_Deal Approval Template v42 5-3-05 JWK2_Sheet1_1" xfId="3265"/>
    <cellStyle name="_Deal Approval Template v42 5-3-05 JWK2_Sheet1_1_Guidance" xfId="3266"/>
    <cellStyle name="_Deal Approval Template v42 5-3-05 JWK2_Sheet1_1_Guidance 2" xfId="3267"/>
    <cellStyle name="_Deal Approval Template v42 5-3-05 JWK2_Sheet1_1_Guidance_BS retrieve" xfId="3268"/>
    <cellStyle name="_Deal Approval Template v42 5-3-05 JWK2_Sheet1_1_Guidance_Free CF" xfId="3269"/>
    <cellStyle name="_Deal Approval Template v42 5-3-05 JWK2_Sheet1_1_Guidance_P&amp;L Rec Qtr" xfId="3270"/>
    <cellStyle name="_Deal Approval Template v42 5-3-05 JWK2_Sheet1_1_Guidance_Sheet1" xfId="3271"/>
    <cellStyle name="_Deal Approval Template v42 5-3-05 JWK2_Sheet1_1_Guidance_Sheet2" xfId="3272"/>
    <cellStyle name="_Deal Approval Template v42 5-3-05 JWK2_Sheet1_1_Guidance_Sheet3" xfId="3273"/>
    <cellStyle name="_Deal Approval Template v42 5-3-05 JWK2_Sheet1_1_Guidance_Sheet4" xfId="3274"/>
    <cellStyle name="_Deal Approval Template v42 5-3-05 JWK2_Sheet1_1_Restructuring &amp; Separation" xfId="3275"/>
    <cellStyle name="_Deal Approval Template v42 5-3-05 JWK2_Sheet1_1_Restructuring &amp; Separation_Guidance" xfId="3276"/>
    <cellStyle name="_Deal Approval Template v42 5-3-05 JWK2_Sheet1_1_Restructuring &amp; Separation_Guidance 2" xfId="3277"/>
    <cellStyle name="_Deal Approval Template v42 5-3-05 JWK2_Sheet1_1_Restructuring &amp; Separation_Guidance_BS retrieve" xfId="3278"/>
    <cellStyle name="_Deal Approval Template v42 5-3-05 JWK2_Sheet1_1_Restructuring &amp; Separation_Guidance_Free CF" xfId="3279"/>
    <cellStyle name="_Deal Approval Template v42 5-3-05 JWK2_Sheet1_1_Restructuring &amp; Separation_Guidance_P&amp;L Rec Qtr" xfId="3280"/>
    <cellStyle name="_Deal Approval Template v42 5-3-05 JWK2_Sheet1_1_Restructuring &amp; Separation_Guidance_Sheet1" xfId="3281"/>
    <cellStyle name="_Deal Approval Template v42 5-3-05 JWK2_Sheet1_1_Restructuring &amp; Separation_Guidance_Sheet2" xfId="3282"/>
    <cellStyle name="_Deal Approval Template v42 5-3-05 JWK2_Sheet1_1_Restructuring &amp; Separation_Guidance_Sheet3" xfId="3283"/>
    <cellStyle name="_Deal Approval Template v42 5-3-05 JWK2_Sheet1_1_Restructuring &amp; Separation_Guidance_Sheet4" xfId="3284"/>
    <cellStyle name="_Deal Approval Template v42 5-3-05 JWK2_Sheet1_BS_Separation_TaxResIndem_Q12412 tf" xfId="3285"/>
    <cellStyle name="_Deal Approval Template v42 5-3-05 JWK2_Sheet1_BS_Separation_TaxResIndem_Q12412 tf_Guidance" xfId="3286"/>
    <cellStyle name="_Deal Approval Template v42 5-3-05 JWK2_Sheet1_BS_Separation_TaxResIndem_Q12412 tf_Guidance 2" xfId="3287"/>
    <cellStyle name="_Deal Approval Template v42 5-3-05 JWK2_Sheet1_BS_Separation_TaxResIndem_Q12412 tf_Guidance_BS retrieve" xfId="3288"/>
    <cellStyle name="_Deal Approval Template v42 5-3-05 JWK2_Sheet1_BS_Separation_TaxResIndem_Q12412 tf_Guidance_Free CF" xfId="3289"/>
    <cellStyle name="_Deal Approval Template v42 5-3-05 JWK2_Sheet1_BS_Separation_TaxResIndem_Q12412 tf_Guidance_P&amp;L Rec Qtr" xfId="3290"/>
    <cellStyle name="_Deal Approval Template v42 5-3-05 JWK2_Sheet1_BS_Separation_TaxResIndem_Q12412 tf_Guidance_Sheet1" xfId="3291"/>
    <cellStyle name="_Deal Approval Template v42 5-3-05 JWK2_Sheet1_BS_Separation_TaxResIndem_Q12412 tf_Guidance_Sheet2" xfId="3292"/>
    <cellStyle name="_Deal Approval Template v42 5-3-05 JWK2_Sheet1_BS_Separation_TaxResIndem_Q12412 tf_Guidance_Sheet3" xfId="3293"/>
    <cellStyle name="_Deal Approval Template v42 5-3-05 JWK2_Sheet1_BS_Separation_TaxResIndem_Q12412 tf_Guidance_Sheet4" xfId="3294"/>
    <cellStyle name="_Deal Approval Template v42 5-3-05 JWK2_Sheet1_BS_Separation_TaxResIndem_Q12412 tf_Restructuring &amp; Separation" xfId="3295"/>
    <cellStyle name="_Deal Approval Template v42 5-3-05 JWK2_Sheet1_BS_Separation_TaxResIndem_Q12412 tf_Restructuring &amp; Separation_Guidance" xfId="3296"/>
    <cellStyle name="_Deal Approval Template v42 5-3-05 JWK2_Sheet1_BS_Separation_TaxResIndem_Q12412 tf_Restructuring &amp; Separation_Guidance 2" xfId="3297"/>
    <cellStyle name="_Deal Approval Template v42 5-3-05 JWK2_Sheet1_BS_Separation_TaxResIndem_Q12412 tf_Restructuring &amp; Separation_Guidance_BS retrieve" xfId="3298"/>
    <cellStyle name="_Deal Approval Template v42 5-3-05 JWK2_Sheet1_BS_Separation_TaxResIndem_Q12412 tf_Restructuring &amp; Separation_Guidance_Free CF" xfId="3299"/>
    <cellStyle name="_Deal Approval Template v42 5-3-05 JWK2_Sheet1_BS_Separation_TaxResIndem_Q12412 tf_Restructuring &amp; Separation_Guidance_P&amp;L Rec Qtr" xfId="3300"/>
    <cellStyle name="_Deal Approval Template v42 5-3-05 JWK2_Sheet1_BS_Separation_TaxResIndem_Q12412 tf_Restructuring &amp; Separation_Guidance_Sheet1" xfId="3301"/>
    <cellStyle name="_Deal Approval Template v42 5-3-05 JWK2_Sheet1_BS_Separation_TaxResIndem_Q12412 tf_Restructuring &amp; Separation_Guidance_Sheet2" xfId="3302"/>
    <cellStyle name="_Deal Approval Template v42 5-3-05 JWK2_Sheet1_BS_Separation_TaxResIndem_Q12412 tf_Restructuring &amp; Separation_Guidance_Sheet3" xfId="3303"/>
    <cellStyle name="_Deal Approval Template v42 5-3-05 JWK2_Sheet1_BS_Separation_TaxResIndem_Q12412 tf_Restructuring &amp; Separation_Guidance_Sheet4" xfId="3304"/>
    <cellStyle name="_Deal Approval Template v42 5-3-05 JWK2_Sheet1_Guidance" xfId="3305"/>
    <cellStyle name="_Deal Approval Template v42 5-3-05 JWK2_Sheet1_Guidance 2" xfId="3306"/>
    <cellStyle name="_Deal Approval Template v42 5-3-05 JWK2_Sheet1_Guidance_BS retrieve" xfId="3307"/>
    <cellStyle name="_Deal Approval Template v42 5-3-05 JWK2_Sheet1_Guidance_Free CF" xfId="3308"/>
    <cellStyle name="_Deal Approval Template v42 5-3-05 JWK2_Sheet1_Guidance_P&amp;L Rec Qtr" xfId="3309"/>
    <cellStyle name="_Deal Approval Template v42 5-3-05 JWK2_Sheet1_Guidance_Sheet1" xfId="3310"/>
    <cellStyle name="_Deal Approval Template v42 5-3-05 JWK2_Sheet1_Guidance_Sheet2" xfId="3311"/>
    <cellStyle name="_Deal Approval Template v42 5-3-05 JWK2_Sheet1_Guidance_Sheet3" xfId="3312"/>
    <cellStyle name="_Deal Approval Template v42 5-3-05 JWK2_Sheet1_Guidance_Sheet4" xfId="3313"/>
    <cellStyle name="_Deal Approval Template v42 5-3-05 JWK2_Sheet1_II.8. Sep&amp;Discrete" xfId="3314"/>
    <cellStyle name="_Deal Approval Template v42 5-3-05 JWK2_Sheet1_II.8. Sep&amp;Discrete_Guidance" xfId="3315"/>
    <cellStyle name="_Deal Approval Template v42 5-3-05 JWK2_Sheet1_II.8. Sep&amp;Discrete_Guidance 2" xfId="3316"/>
    <cellStyle name="_Deal Approval Template v42 5-3-05 JWK2_Sheet1_II.8. Sep&amp;Discrete_Guidance_BS retrieve" xfId="3317"/>
    <cellStyle name="_Deal Approval Template v42 5-3-05 JWK2_Sheet1_II.8. Sep&amp;Discrete_Guidance_Free CF" xfId="3318"/>
    <cellStyle name="_Deal Approval Template v42 5-3-05 JWK2_Sheet1_II.8. Sep&amp;Discrete_Guidance_P&amp;L Rec Qtr" xfId="3319"/>
    <cellStyle name="_Deal Approval Template v42 5-3-05 JWK2_Sheet1_II.8. Sep&amp;Discrete_Guidance_Sheet1" xfId="3320"/>
    <cellStyle name="_Deal Approval Template v42 5-3-05 JWK2_Sheet1_II.8. Sep&amp;Discrete_Guidance_Sheet2" xfId="3321"/>
    <cellStyle name="_Deal Approval Template v42 5-3-05 JWK2_Sheet1_II.8. Sep&amp;Discrete_Guidance_Sheet3" xfId="3322"/>
    <cellStyle name="_Deal Approval Template v42 5-3-05 JWK2_Sheet1_II.8. Sep&amp;Discrete_Guidance_Sheet4" xfId="3323"/>
    <cellStyle name="_Deal Approval Template v42 5-3-05 JWK2_Sheet1_Restructuring &amp; Separation" xfId="3324"/>
    <cellStyle name="_Deal Approval Template v42 5-3-05 JWK2_Sheet1_Restructuring &amp; Separation_Guidance" xfId="3325"/>
    <cellStyle name="_Deal Approval Template v42 5-3-05 JWK2_Sheet1_Restructuring &amp; Separation_Guidance 2" xfId="3326"/>
    <cellStyle name="_Deal Approval Template v42 5-3-05 JWK2_Sheet1_Restructuring &amp; Separation_Guidance_BS retrieve" xfId="3327"/>
    <cellStyle name="_Deal Approval Template v42 5-3-05 JWK2_Sheet1_Restructuring &amp; Separation_Guidance_Free CF" xfId="3328"/>
    <cellStyle name="_Deal Approval Template v42 5-3-05 JWK2_Sheet1_Restructuring &amp; Separation_Guidance_P&amp;L Rec Qtr" xfId="3329"/>
    <cellStyle name="_Deal Approval Template v42 5-3-05 JWK2_Sheet1_Restructuring &amp; Separation_Guidance_Sheet1" xfId="3330"/>
    <cellStyle name="_Deal Approval Template v42 5-3-05 JWK2_Sheet1_Restructuring &amp; Separation_Guidance_Sheet2" xfId="3331"/>
    <cellStyle name="_Deal Approval Template v42 5-3-05 JWK2_Sheet1_Restructuring &amp; Separation_Guidance_Sheet3" xfId="3332"/>
    <cellStyle name="_Deal Approval Template v42 5-3-05 JWK2_Sheet1_Restructuring &amp; Separation_Guidance_Sheet4" xfId="3333"/>
    <cellStyle name="_Deferred tax JunFC 2010_" xfId="3334"/>
    <cellStyle name="_DM Draft Correction" xfId="3335"/>
    <cellStyle name="_DM Draft Correction 2" xfId="3336"/>
    <cellStyle name="_DM Draft Correction_BS retrieve" xfId="3337"/>
    <cellStyle name="_DM Draft Correction_Free CF" xfId="3338"/>
    <cellStyle name="_DM Draft Correction_P&amp;L Rec Qtr" xfId="3339"/>
    <cellStyle name="_DM Draft Correction_Sheet1" xfId="3340"/>
    <cellStyle name="_DM Draft Correction_Sheet2" xfId="3341"/>
    <cellStyle name="_DM Draft Correction_Sheet3" xfId="3342"/>
    <cellStyle name="_DM Draft Correction_Sheet4" xfId="3343"/>
    <cellStyle name="_ET_STYLE_NoName_00_" xfId="3344"/>
    <cellStyle name="_ET_STYLE_NoName_00__青岛海信_1" xfId="3345"/>
    <cellStyle name="_ET_STYLE_NoName_00__青岛海信_10_4海信发票申请表2008(1).2.4xls" xfId="3346"/>
    <cellStyle name="_ET_STYLE_NoName_00__青岛海信_10_海信发票申请表1(1).23.1.1xls" xfId="3347"/>
    <cellStyle name="_ET_STYLE_NoName_00__青岛海信_10_海信发票申请表2008(1).3.5xls" xfId="3348"/>
    <cellStyle name="_ET_STYLE_NoName_00__青岛海信_10_海信发票申请表4(1).23.1" xfId="3349"/>
    <cellStyle name="_ET_STYLE_NoName_00__青岛海信_10_海信发票申请表4(1).23.2" xfId="3350"/>
    <cellStyle name="_ET_STYLE_NoName_00__青岛海信_10_海信发票申请表5(1).20.1" xfId="3351"/>
    <cellStyle name="_ET_STYLE_NoName_00__青岛海信_10_青岛海信3.24.1xls" xfId="3352"/>
    <cellStyle name="_ET_STYLE_NoName_00__青岛海信_10_青岛海信3.24。xls" xfId="3353"/>
    <cellStyle name="_ET_STYLE_NoName_00__青岛海信_11_4海信发票申请表2008(1).2.4xls" xfId="3354"/>
    <cellStyle name="_ET_STYLE_NoName_00__青岛海信_11_海信发票申请表1(1).23.1.1xls" xfId="3355"/>
    <cellStyle name="_ET_STYLE_NoName_00__青岛海信_11_海信发票申请表1(1).23.1xls" xfId="3356"/>
    <cellStyle name="_ET_STYLE_NoName_00__青岛海信_11_海信发票申请表4(1).23.1" xfId="3357"/>
    <cellStyle name="_ET_STYLE_NoName_00__青岛海信_11_海信发票申请表4(1).23.2" xfId="3358"/>
    <cellStyle name="_ET_STYLE_NoName_00__青岛海信_11_青岛海信3.24.1xls" xfId="3359"/>
    <cellStyle name="_ET_STYLE_NoName_00__青岛海信_11_青岛海信3.24。xls" xfId="3360"/>
    <cellStyle name="_ET_STYLE_NoName_00__青岛海信_12_4海信发票申请表2008(1).2.4xls" xfId="3361"/>
    <cellStyle name="_ET_STYLE_NoName_00__青岛海信_12_海信发票申请表1(1).23.1.1xls" xfId="3362"/>
    <cellStyle name="_ET_STYLE_NoName_00__青岛海信_12_海信发票申请表1(1).23.1xls" xfId="3363"/>
    <cellStyle name="_ET_STYLE_NoName_00__青岛海信_12_海信发票申请表4(1).23.1" xfId="3364"/>
    <cellStyle name="_ET_STYLE_NoName_00__青岛海信_12_海信发票申请表4(1).23.2" xfId="3365"/>
    <cellStyle name="_ET_STYLE_NoName_00__青岛海信_12_海信发票申请表5(1).20.1" xfId="3366"/>
    <cellStyle name="_ET_STYLE_NoName_00__青岛海信_12_青岛海信3.24.1xls" xfId="3367"/>
    <cellStyle name="_ET_STYLE_NoName_00__青岛海信_12_青岛海信3.24。xls" xfId="3368"/>
    <cellStyle name="_ET_STYLE_NoName_00__青岛海信_2" xfId="3369"/>
    <cellStyle name="_ET_STYLE_NoName_00__青岛海信_3" xfId="3370"/>
    <cellStyle name="_ET_STYLE_NoName_00__青岛海信_3_海信发票申请表1(1).23.1.1xls" xfId="3371"/>
    <cellStyle name="_ET_STYLE_NoName_00__青岛海信_3_海信发票申请表1(1).23.1xls" xfId="3372"/>
    <cellStyle name="_ET_STYLE_NoName_00__青岛海信_3_海信发票申请表4(1).23.1" xfId="3373"/>
    <cellStyle name="_ET_STYLE_NoName_00__青岛海信_3_海信发票申请表4(1).23.2" xfId="3374"/>
    <cellStyle name="_ET_STYLE_NoName_00__青岛海信_3_海信发票申请表5(1).20.1" xfId="3375"/>
    <cellStyle name="_ET_STYLE_NoName_00__青岛海信_3_青岛海信3.24.1xls" xfId="3376"/>
    <cellStyle name="_ET_STYLE_NoName_00__青岛海信_4" xfId="3377"/>
    <cellStyle name="_ET_STYLE_NoName_00__青岛海信_4_海信发票申请表1(1).23.1.1xls" xfId="3378"/>
    <cellStyle name="_ET_STYLE_NoName_00__青岛海信_4_海信发票申请表1(1).23.1xls" xfId="3379"/>
    <cellStyle name="_ET_STYLE_NoName_00__青岛海信_4_海信发票申请表4(1).23.1" xfId="3380"/>
    <cellStyle name="_ET_STYLE_NoName_00__青岛海信_5" xfId="3381"/>
    <cellStyle name="_ET_STYLE_NoName_00__青岛海信_5_海信发票申请表1(1).23.1xls" xfId="3382"/>
    <cellStyle name="_ET_STYLE_NoName_00__青岛海信_5_海信发票申请表4(1).23.2" xfId="3383"/>
    <cellStyle name="_ET_STYLE_NoName_00__青岛海信_5_海信发票申请表5(1).20.1" xfId="3384"/>
    <cellStyle name="_ET_STYLE_NoName_00__青岛海信_6_4海信发票申请表2008(1).2.4xls" xfId="3385"/>
    <cellStyle name="_ET_STYLE_NoName_00__青岛海信_6_海信发票申请表1(1).23.1.1xls" xfId="3386"/>
    <cellStyle name="_ET_STYLE_NoName_00__青岛海信_6_海信发票申请表1(1).23.1xls" xfId="3387"/>
    <cellStyle name="_ET_STYLE_NoName_00__青岛海信_6_海信发票申请表2008(1).3.5xls" xfId="3388"/>
    <cellStyle name="_ET_STYLE_NoName_00__青岛海信_6_海信发票申请表4(1).23.1" xfId="3389"/>
    <cellStyle name="_ET_STYLE_NoName_00__青岛海信_6_海信发票申请表4(1).23.2" xfId="3390"/>
    <cellStyle name="_ET_STYLE_NoName_00__青岛海信_6_海信发票申请表5(1).20.1" xfId="3391"/>
    <cellStyle name="_ET_STYLE_NoName_00__青岛海信_6_青岛海信3.24.1xls" xfId="3392"/>
    <cellStyle name="_ET_STYLE_NoName_00__青岛海信_6_青岛海信3.24。xls" xfId="3393"/>
    <cellStyle name="_ET_STYLE_NoName_00__青岛海信_7_4海信发票申请表2008(1).2.4xls" xfId="3394"/>
    <cellStyle name="_ET_STYLE_NoName_00__青岛海信_7_海信发票申请表1(1).23.1.1xls" xfId="3395"/>
    <cellStyle name="_ET_STYLE_NoName_00__青岛海信_7_海信发票申请表1(1).23.1xls" xfId="3396"/>
    <cellStyle name="_ET_STYLE_NoName_00__青岛海信_7_海信发票申请表2008(1).3.5xls" xfId="3397"/>
    <cellStyle name="_ET_STYLE_NoName_00__青岛海信_7_海信发票申请表4(1).23.2" xfId="3398"/>
    <cellStyle name="_ET_STYLE_NoName_00__青岛海信_7_青岛海信3.24.1xls" xfId="3399"/>
    <cellStyle name="_ET_STYLE_NoName_00__青岛海信_7_青岛海信3.24。xls" xfId="3400"/>
    <cellStyle name="_ET_STYLE_NoName_00__青岛海信_8" xfId="3401"/>
    <cellStyle name="_ET_STYLE_NoName_00__青岛海信_8_海信发票申请表4(1).23.2" xfId="3402"/>
    <cellStyle name="_ET_STYLE_NoName_00__青岛海信_8_海信发票申请表5(1).20.1" xfId="3403"/>
    <cellStyle name="_ET_STYLE_NoName_00__青岛海信_9" xfId="3404"/>
    <cellStyle name="_ET_STYLE_NoName_00__青岛海信_9_海信发票申请表1(1).23.1xls" xfId="3405"/>
    <cellStyle name="_ET_STYLE_NoName_00__青岛海信_9_海信发票申请表4(1).23.1" xfId="3406"/>
    <cellStyle name="_ET_STYLE_NoName_00__青岛海信_9_海信发票申请表4(1).23.2" xfId="3407"/>
    <cellStyle name="_ET_STYLE_NoName_00__青岛海信_9_海信发票申请表5(1).20.1" xfId="3408"/>
    <cellStyle name="_ET_STYLE_NoName_00__青岛海信_9_青岛海信3.24.1xls" xfId="3409"/>
    <cellStyle name="_FTQ Tri Charts April`05 (2) (2)" xfId="3410"/>
    <cellStyle name="_FTQ Tri Charts April`05 (2) (2)_BS_Separation_TaxResIndem_Q12412 tf" xfId="3411"/>
    <cellStyle name="_FTQ Tri Charts April`05 (2) (2)_BS_Separation_TaxResIndem_Q12412 tf_Guidance" xfId="3412"/>
    <cellStyle name="_FTQ Tri Charts April`05 (2) (2)_BS_Separation_TaxResIndem_Q12412 tf_Guidance 2" xfId="3413"/>
    <cellStyle name="_FTQ Tri Charts April`05 (2) (2)_BS_Separation_TaxResIndem_Q12412 tf_Guidance_BS retrieve" xfId="3414"/>
    <cellStyle name="_FTQ Tri Charts April`05 (2) (2)_BS_Separation_TaxResIndem_Q12412 tf_Guidance_Free CF" xfId="3415"/>
    <cellStyle name="_FTQ Tri Charts April`05 (2) (2)_BS_Separation_TaxResIndem_Q12412 tf_Guidance_P&amp;L Rec Qtr" xfId="3416"/>
    <cellStyle name="_FTQ Tri Charts April`05 (2) (2)_BS_Separation_TaxResIndem_Q12412 tf_Guidance_Sheet1" xfId="3417"/>
    <cellStyle name="_FTQ Tri Charts April`05 (2) (2)_BS_Separation_TaxResIndem_Q12412 tf_Guidance_Sheet2" xfId="3418"/>
    <cellStyle name="_FTQ Tri Charts April`05 (2) (2)_BS_Separation_TaxResIndem_Q12412 tf_Guidance_Sheet3" xfId="3419"/>
    <cellStyle name="_FTQ Tri Charts April`05 (2) (2)_BS_Separation_TaxResIndem_Q12412 tf_Guidance_Sheet4" xfId="3420"/>
    <cellStyle name="_FTQ Tri Charts April`05 (2) (2)_BS_Separation_TaxResIndem_Q12412 tf_Restructuring &amp; Separation" xfId="3421"/>
    <cellStyle name="_FTQ Tri Charts April`05 (2) (2)_BS_Separation_TaxResIndem_Q12412 tf_Restructuring &amp; Separation_Guidance" xfId="3422"/>
    <cellStyle name="_FTQ Tri Charts April`05 (2) (2)_BS_Separation_TaxResIndem_Q12412 tf_Restructuring &amp; Separation_Guidance 2" xfId="3423"/>
    <cellStyle name="_FTQ Tri Charts April`05 (2) (2)_BS_Separation_TaxResIndem_Q12412 tf_Restructuring &amp; Separation_Guidance_BS retrieve" xfId="3424"/>
    <cellStyle name="_FTQ Tri Charts April`05 (2) (2)_BS_Separation_TaxResIndem_Q12412 tf_Restructuring &amp; Separation_Guidance_Free CF" xfId="3425"/>
    <cellStyle name="_FTQ Tri Charts April`05 (2) (2)_BS_Separation_TaxResIndem_Q12412 tf_Restructuring &amp; Separation_Guidance_P&amp;L Rec Qtr" xfId="3426"/>
    <cellStyle name="_FTQ Tri Charts April`05 (2) (2)_BS_Separation_TaxResIndem_Q12412 tf_Restructuring &amp; Separation_Guidance_Sheet1" xfId="3427"/>
    <cellStyle name="_FTQ Tri Charts April`05 (2) (2)_BS_Separation_TaxResIndem_Q12412 tf_Restructuring &amp; Separation_Guidance_Sheet2" xfId="3428"/>
    <cellStyle name="_FTQ Tri Charts April`05 (2) (2)_BS_Separation_TaxResIndem_Q12412 tf_Restructuring &amp; Separation_Guidance_Sheet3" xfId="3429"/>
    <cellStyle name="_FTQ Tri Charts April`05 (2) (2)_BS_Separation_TaxResIndem_Q12412 tf_Restructuring &amp; Separation_Guidance_Sheet4" xfId="3430"/>
    <cellStyle name="_FTQ Tri Charts April`05 (2) (2)_By Country Detail 1Q10 041410pm FIN 18 revised per disc w Mary" xfId="3431"/>
    <cellStyle name="_FTQ Tri Charts April`05 (2) (2)_By Country Detail 1Q10 041410pm FIN 18 revised per disc w Mary_BS_Separation_TaxResIndem_Q12412 tf" xfId="3432"/>
    <cellStyle name="_FTQ Tri Charts April`05 (2) (2)_By Country Detail 1Q10 041410pm FIN 18 revised per disc w Mary_BS_Separation_TaxResIndem_Q12412 tf_Guidance" xfId="3433"/>
    <cellStyle name="_FTQ Tri Charts April`05 (2) (2)_By Country Detail 1Q10 041410pm FIN 18 revised per disc w Mary_BS_Separation_TaxResIndem_Q12412 tf_Guidance 2" xfId="3434"/>
    <cellStyle name="_FTQ Tri Charts April`05 (2) (2)_By Country Detail 1Q10 041410pm FIN 18 revised per disc w Mary_BS_Separation_TaxResIndem_Q12412 tf_Guidance_BS retrieve" xfId="3435"/>
    <cellStyle name="_FTQ Tri Charts April`05 (2) (2)_By Country Detail 1Q10 041410pm FIN 18 revised per disc w Mary_BS_Separation_TaxResIndem_Q12412 tf_Guidance_Free CF" xfId="3436"/>
    <cellStyle name="_FTQ Tri Charts April`05 (2) (2)_By Country Detail 1Q10 041410pm FIN 18 revised per disc w Mary_BS_Separation_TaxResIndem_Q12412 tf_Guidance_P&amp;L Rec Qtr" xfId="3437"/>
    <cellStyle name="_FTQ Tri Charts April`05 (2) (2)_By Country Detail 1Q10 041410pm FIN 18 revised per disc w Mary_BS_Separation_TaxResIndem_Q12412 tf_Guidance_Sheet1" xfId="3438"/>
    <cellStyle name="_FTQ Tri Charts April`05 (2) (2)_By Country Detail 1Q10 041410pm FIN 18 revised per disc w Mary_BS_Separation_TaxResIndem_Q12412 tf_Guidance_Sheet2" xfId="3439"/>
    <cellStyle name="_FTQ Tri Charts April`05 (2) (2)_By Country Detail 1Q10 041410pm FIN 18 revised per disc w Mary_BS_Separation_TaxResIndem_Q12412 tf_Guidance_Sheet3" xfId="3440"/>
    <cellStyle name="_FTQ Tri Charts April`05 (2) (2)_By Country Detail 1Q10 041410pm FIN 18 revised per disc w Mary_BS_Separation_TaxResIndem_Q12412 tf_Guidance_Sheet4" xfId="3441"/>
    <cellStyle name="_FTQ Tri Charts April`05 (2) (2)_By Country Detail 1Q10 041410pm FIN 18 revised per disc w Mary_BS_Separation_TaxResIndem_Q12412 tf_Restructuring &amp; Separation" xfId="3442"/>
    <cellStyle name="_FTQ Tri Charts April`05 (2) (2)_By Country Detail 1Q10 041410pm FIN 18 revised per disc w Mary_BS_Separation_TaxResIndem_Q12412 tf_Restructuring &amp; Separation_Guidance" xfId="3443"/>
    <cellStyle name="_FTQ Tri Charts April`05 (2) (2)_By Country Detail 1Q10 041410pm FIN 18 revised per disc w Mary_BS_Separation_TaxResIndem_Q12412 tf_Restructuring &amp; Separation_Guidance 2" xfId="3444"/>
    <cellStyle name="_FTQ Tri Charts April`05 (2) (2)_By Country Detail 1Q10 041410pm FIN 18 revised per disc w Mary_BS_Separation_TaxResIndem_Q12412 tf_Restructuring &amp; Separation_Guidance_BS retrieve" xfId="3445"/>
    <cellStyle name="_FTQ Tri Charts April`05 (2) (2)_By Country Detail 1Q10 041410pm FIN 18 revised per disc w Mary_BS_Separation_TaxResIndem_Q12412 tf_Restructuring &amp; Separation_Guidance_Free CF" xfId="3446"/>
    <cellStyle name="_FTQ Tri Charts April`05 (2) (2)_By Country Detail 1Q10 041410pm FIN 18 revised per disc w Mary_BS_Separation_TaxResIndem_Q12412 tf_Restructuring &amp; Separation_Guidance_P&amp;L Rec Qtr" xfId="3447"/>
    <cellStyle name="_FTQ Tri Charts April`05 (2) (2)_By Country Detail 1Q10 041410pm FIN 18 revised per disc w Mary_BS_Separation_TaxResIndem_Q12412 tf_Restructuring &amp; Separation_Guidance_Sheet1" xfId="3448"/>
    <cellStyle name="_FTQ Tri Charts April`05 (2) (2)_By Country Detail 1Q10 041410pm FIN 18 revised per disc w Mary_BS_Separation_TaxResIndem_Q12412 tf_Restructuring &amp; Separation_Guidance_Sheet2" xfId="3449"/>
    <cellStyle name="_FTQ Tri Charts April`05 (2) (2)_By Country Detail 1Q10 041410pm FIN 18 revised per disc w Mary_BS_Separation_TaxResIndem_Q12412 tf_Restructuring &amp; Separation_Guidance_Sheet3" xfId="3450"/>
    <cellStyle name="_FTQ Tri Charts April`05 (2) (2)_By Country Detail 1Q10 041410pm FIN 18 revised per disc w Mary_BS_Separation_TaxResIndem_Q12412 tf_Restructuring &amp; Separation_Guidance_Sheet4" xfId="3451"/>
    <cellStyle name="_FTQ Tri Charts April`05 (2) (2)_By Country Detail 1Q10 041410pm FIN 18 revised per disc w Mary_Guidance" xfId="3452"/>
    <cellStyle name="_FTQ Tri Charts April`05 (2) (2)_By Country Detail 1Q10 041410pm FIN 18 revised per disc w Mary_Guidance 2" xfId="3453"/>
    <cellStyle name="_FTQ Tri Charts April`05 (2) (2)_By Country Detail 1Q10 041410pm FIN 18 revised per disc w Mary_Guidance_BS retrieve" xfId="3454"/>
    <cellStyle name="_FTQ Tri Charts April`05 (2) (2)_By Country Detail 1Q10 041410pm FIN 18 revised per disc w Mary_Guidance_Free CF" xfId="3455"/>
    <cellStyle name="_FTQ Tri Charts April`05 (2) (2)_By Country Detail 1Q10 041410pm FIN 18 revised per disc w Mary_Guidance_P&amp;L Rec Qtr" xfId="3456"/>
    <cellStyle name="_FTQ Tri Charts April`05 (2) (2)_By Country Detail 1Q10 041410pm FIN 18 revised per disc w Mary_Guidance_Sheet1" xfId="3457"/>
    <cellStyle name="_FTQ Tri Charts April`05 (2) (2)_By Country Detail 1Q10 041410pm FIN 18 revised per disc w Mary_Guidance_Sheet2" xfId="3458"/>
    <cellStyle name="_FTQ Tri Charts April`05 (2) (2)_By Country Detail 1Q10 041410pm FIN 18 revised per disc w Mary_Guidance_Sheet3" xfId="3459"/>
    <cellStyle name="_FTQ Tri Charts April`05 (2) (2)_By Country Detail 1Q10 041410pm FIN 18 revised per disc w Mary_Guidance_Sheet4" xfId="3460"/>
    <cellStyle name="_FTQ Tri Charts April`05 (2) (2)_By Country Detail 1Q10 041410pm FIN 18 revised per disc w Mary_II.8. Sep&amp;Discrete" xfId="3461"/>
    <cellStyle name="_FTQ Tri Charts April`05 (2) (2)_By Country Detail 1Q10 041410pm FIN 18 revised per disc w Mary_II.8. Sep&amp;Discrete_Guidance" xfId="3462"/>
    <cellStyle name="_FTQ Tri Charts April`05 (2) (2)_By Country Detail 1Q10 041410pm FIN 18 revised per disc w Mary_II.8. Sep&amp;Discrete_Guidance 2" xfId="3463"/>
    <cellStyle name="_FTQ Tri Charts April`05 (2) (2)_By Country Detail 1Q10 041410pm FIN 18 revised per disc w Mary_II.8. Sep&amp;Discrete_Guidance_BS retrieve" xfId="3464"/>
    <cellStyle name="_FTQ Tri Charts April`05 (2) (2)_By Country Detail 1Q10 041410pm FIN 18 revised per disc w Mary_II.8. Sep&amp;Discrete_Guidance_Free CF" xfId="3465"/>
    <cellStyle name="_FTQ Tri Charts April`05 (2) (2)_By Country Detail 1Q10 041410pm FIN 18 revised per disc w Mary_II.8. Sep&amp;Discrete_Guidance_P&amp;L Rec Qtr" xfId="3466"/>
    <cellStyle name="_FTQ Tri Charts April`05 (2) (2)_By Country Detail 1Q10 041410pm FIN 18 revised per disc w Mary_II.8. Sep&amp;Discrete_Guidance_Sheet1" xfId="3467"/>
    <cellStyle name="_FTQ Tri Charts April`05 (2) (2)_By Country Detail 1Q10 041410pm FIN 18 revised per disc w Mary_II.8. Sep&amp;Discrete_Guidance_Sheet2" xfId="3468"/>
    <cellStyle name="_FTQ Tri Charts April`05 (2) (2)_By Country Detail 1Q10 041410pm FIN 18 revised per disc w Mary_II.8. Sep&amp;Discrete_Guidance_Sheet3" xfId="3469"/>
    <cellStyle name="_FTQ Tri Charts April`05 (2) (2)_By Country Detail 1Q10 041410pm FIN 18 revised per disc w Mary_II.8. Sep&amp;Discrete_Guidance_Sheet4" xfId="3470"/>
    <cellStyle name="_FTQ Tri Charts April`05 (2) (2)_By Country Detail 1Q10 041410pm FIN 18 revised per disc w Mary_Restructuring &amp; Separation" xfId="3471"/>
    <cellStyle name="_FTQ Tri Charts April`05 (2) (2)_By Country Detail 1Q10 041410pm FIN 18 revised per disc w Mary_Restructuring &amp; Separation_Guidance" xfId="3472"/>
    <cellStyle name="_FTQ Tri Charts April`05 (2) (2)_By Country Detail 1Q10 041410pm FIN 18 revised per disc w Mary_Restructuring &amp; Separation_Guidance 2" xfId="3473"/>
    <cellStyle name="_FTQ Tri Charts April`05 (2) (2)_By Country Detail 1Q10 041410pm FIN 18 revised per disc w Mary_Restructuring &amp; Separation_Guidance_BS retrieve" xfId="3474"/>
    <cellStyle name="_FTQ Tri Charts April`05 (2) (2)_By Country Detail 1Q10 041410pm FIN 18 revised per disc w Mary_Restructuring &amp; Separation_Guidance_Free CF" xfId="3475"/>
    <cellStyle name="_FTQ Tri Charts April`05 (2) (2)_By Country Detail 1Q10 041410pm FIN 18 revised per disc w Mary_Restructuring &amp; Separation_Guidance_P&amp;L Rec Qtr" xfId="3476"/>
    <cellStyle name="_FTQ Tri Charts April`05 (2) (2)_By Country Detail 1Q10 041410pm FIN 18 revised per disc w Mary_Restructuring &amp; Separation_Guidance_Sheet1" xfId="3477"/>
    <cellStyle name="_FTQ Tri Charts April`05 (2) (2)_By Country Detail 1Q10 041410pm FIN 18 revised per disc w Mary_Restructuring &amp; Separation_Guidance_Sheet2" xfId="3478"/>
    <cellStyle name="_FTQ Tri Charts April`05 (2) (2)_By Country Detail 1Q10 041410pm FIN 18 revised per disc w Mary_Restructuring &amp; Separation_Guidance_Sheet3" xfId="3479"/>
    <cellStyle name="_FTQ Tri Charts April`05 (2) (2)_By Country Detail 1Q10 041410pm FIN 18 revised per disc w Mary_Restructuring &amp; Separation_Guidance_Sheet4" xfId="3480"/>
    <cellStyle name="_FTQ Tri Charts April`05 (2) (2)_Guidance" xfId="3481"/>
    <cellStyle name="_FTQ Tri Charts April`05 (2) (2)_Guidance 2" xfId="3482"/>
    <cellStyle name="_FTQ Tri Charts April`05 (2) (2)_Guidance_BS retrieve" xfId="3483"/>
    <cellStyle name="_FTQ Tri Charts April`05 (2) (2)_Guidance_Free CF" xfId="3484"/>
    <cellStyle name="_FTQ Tri Charts April`05 (2) (2)_Guidance_P&amp;L Rec Qtr" xfId="3485"/>
    <cellStyle name="_FTQ Tri Charts April`05 (2) (2)_Guidance_Sheet1" xfId="3486"/>
    <cellStyle name="_FTQ Tri Charts April`05 (2) (2)_Guidance_Sheet2" xfId="3487"/>
    <cellStyle name="_FTQ Tri Charts April`05 (2) (2)_Guidance_Sheet3" xfId="3488"/>
    <cellStyle name="_FTQ Tri Charts April`05 (2) (2)_Guidance_Sheet4" xfId="3489"/>
    <cellStyle name="_FTQ Tri Charts April`05 (2) (2)_II.4. RawMaterials" xfId="3490"/>
    <cellStyle name="_FTQ Tri Charts April`05 (2) (2)_II.4. RawMaterials 2" xfId="3491"/>
    <cellStyle name="_FTQ Tri Charts April`05 (2) (2)_II.4. RawMaterials_BS retrieve" xfId="3492"/>
    <cellStyle name="_FTQ Tri Charts April`05 (2) (2)_II.4. RawMaterials_Free CF" xfId="3493"/>
    <cellStyle name="_FTQ Tri Charts April`05 (2) (2)_II.4. RawMaterials_P&amp;L Rec Qtr" xfId="3494"/>
    <cellStyle name="_FTQ Tri Charts April`05 (2) (2)_II.4. RawMaterials_Sheet1" xfId="3495"/>
    <cellStyle name="_FTQ Tri Charts April`05 (2) (2)_II.4. RawMaterials_Sheet2" xfId="3496"/>
    <cellStyle name="_FTQ Tri Charts April`05 (2) (2)_II.4. RawMaterials_Sheet3" xfId="3497"/>
    <cellStyle name="_FTQ Tri Charts April`05 (2) (2)_II.4. RawMaterials_Sheet4" xfId="3498"/>
    <cellStyle name="_FTQ Tri Charts April`05 (2) (2)_II.5. RawMaterials" xfId="3499"/>
    <cellStyle name="_FTQ Tri Charts April`05 (2) (2)_II.5. RawMaterials 2" xfId="3500"/>
    <cellStyle name="_FTQ Tri Charts April`05 (2) (2)_II.5. RawMaterials_BS retrieve" xfId="3501"/>
    <cellStyle name="_FTQ Tri Charts April`05 (2) (2)_II.5. RawMaterials_Free CF" xfId="3502"/>
    <cellStyle name="_FTQ Tri Charts April`05 (2) (2)_II.5. RawMaterials_Guidance" xfId="3503"/>
    <cellStyle name="_FTQ Tri Charts April`05 (2) (2)_II.5. RawMaterials_Guidance 2" xfId="3504"/>
    <cellStyle name="_FTQ Tri Charts April`05 (2) (2)_II.5. RawMaterials_Guidance_BS retrieve" xfId="3505"/>
    <cellStyle name="_FTQ Tri Charts April`05 (2) (2)_II.5. RawMaterials_Guidance_Free CF" xfId="3506"/>
    <cellStyle name="_FTQ Tri Charts April`05 (2) (2)_II.5. RawMaterials_Guidance_P&amp;L Rec Qtr" xfId="3507"/>
    <cellStyle name="_FTQ Tri Charts April`05 (2) (2)_II.5. RawMaterials_Guidance_Sheet1" xfId="3508"/>
    <cellStyle name="_FTQ Tri Charts April`05 (2) (2)_II.5. RawMaterials_Guidance_Sheet2" xfId="3509"/>
    <cellStyle name="_FTQ Tri Charts April`05 (2) (2)_II.5. RawMaterials_Guidance_Sheet3" xfId="3510"/>
    <cellStyle name="_FTQ Tri Charts April`05 (2) (2)_II.5. RawMaterials_Guidance_Sheet4" xfId="3511"/>
    <cellStyle name="_FTQ Tri Charts April`05 (2) (2)_II.5. RawMaterials_P&amp;L Rec Qtr" xfId="3512"/>
    <cellStyle name="_FTQ Tri Charts April`05 (2) (2)_II.5. RawMaterials_Sheet1" xfId="3513"/>
    <cellStyle name="_FTQ Tri Charts April`05 (2) (2)_II.5. RawMaterials_Sheet2" xfId="3514"/>
    <cellStyle name="_FTQ Tri Charts April`05 (2) (2)_II.5. RawMaterials_Sheet3" xfId="3515"/>
    <cellStyle name="_FTQ Tri Charts April`05 (2) (2)_II.5. RawMaterials_Sheet4" xfId="3516"/>
    <cellStyle name="_FTQ Tri Charts April`05 (2) (2)_II.5. RM Volume Sensitivities" xfId="3517"/>
    <cellStyle name="_FTQ Tri Charts April`05 (2) (2)_II.5. RM Volume Sensitivities 2" xfId="3518"/>
    <cellStyle name="_FTQ Tri Charts April`05 (2) (2)_II.5. RM Volume Sensitivities_BS retrieve" xfId="3519"/>
    <cellStyle name="_FTQ Tri Charts April`05 (2) (2)_II.5. RM Volume Sensitivities_Free CF" xfId="3520"/>
    <cellStyle name="_FTQ Tri Charts April`05 (2) (2)_II.5. RM Volume Sensitivities_P&amp;L Rec Qtr" xfId="3521"/>
    <cellStyle name="_FTQ Tri Charts April`05 (2) (2)_II.5. RM Volume Sensitivities_Sheet1" xfId="3522"/>
    <cellStyle name="_FTQ Tri Charts April`05 (2) (2)_II.5. RM Volume Sensitivities_Sheet2" xfId="3523"/>
    <cellStyle name="_FTQ Tri Charts April`05 (2) (2)_II.5. RM Volume Sensitivities_Sheet3" xfId="3524"/>
    <cellStyle name="_FTQ Tri Charts April`05 (2) (2)_II.5. RM Volume Sensitivities_Sheet4" xfId="3525"/>
    <cellStyle name="_FTQ Tri Charts April`05 (2) (2)_II.8. Sep&amp;Discrete" xfId="3526"/>
    <cellStyle name="_FTQ Tri Charts April`05 (2) (2)_II.8. Sep&amp;Discrete_Guidance" xfId="3527"/>
    <cellStyle name="_FTQ Tri Charts April`05 (2) (2)_II.8. Sep&amp;Discrete_Guidance 2" xfId="3528"/>
    <cellStyle name="_FTQ Tri Charts April`05 (2) (2)_II.8. Sep&amp;Discrete_Guidance_BS retrieve" xfId="3529"/>
    <cellStyle name="_FTQ Tri Charts April`05 (2) (2)_II.8. Sep&amp;Discrete_Guidance_Free CF" xfId="3530"/>
    <cellStyle name="_FTQ Tri Charts April`05 (2) (2)_II.8. Sep&amp;Discrete_Guidance_P&amp;L Rec Qtr" xfId="3531"/>
    <cellStyle name="_FTQ Tri Charts April`05 (2) (2)_II.8. Sep&amp;Discrete_Guidance_Sheet1" xfId="3532"/>
    <cellStyle name="_FTQ Tri Charts April`05 (2) (2)_II.8. Sep&amp;Discrete_Guidance_Sheet2" xfId="3533"/>
    <cellStyle name="_FTQ Tri Charts April`05 (2) (2)_II.8. Sep&amp;Discrete_Guidance_Sheet3" xfId="3534"/>
    <cellStyle name="_FTQ Tri Charts April`05 (2) (2)_II.8. Sep&amp;Discrete_Guidance_Sheet4" xfId="3535"/>
    <cellStyle name="_FTQ Tri Charts April`05 (2) (2)_Restructuring &amp; Separation" xfId="3536"/>
    <cellStyle name="_FTQ Tri Charts April`05 (2) (2)_Restructuring &amp; Separation_Guidance" xfId="3537"/>
    <cellStyle name="_FTQ Tri Charts April`05 (2) (2)_Restructuring &amp; Separation_Guidance 2" xfId="3538"/>
    <cellStyle name="_FTQ Tri Charts April`05 (2) (2)_Restructuring &amp; Separation_Guidance_BS retrieve" xfId="3539"/>
    <cellStyle name="_FTQ Tri Charts April`05 (2) (2)_Restructuring &amp; Separation_Guidance_Free CF" xfId="3540"/>
    <cellStyle name="_FTQ Tri Charts April`05 (2) (2)_Restructuring &amp; Separation_Guidance_P&amp;L Rec Qtr" xfId="3541"/>
    <cellStyle name="_FTQ Tri Charts April`05 (2) (2)_Restructuring &amp; Separation_Guidance_Sheet1" xfId="3542"/>
    <cellStyle name="_FTQ Tri Charts April`05 (2) (2)_Restructuring &amp; Separation_Guidance_Sheet2" xfId="3543"/>
    <cellStyle name="_FTQ Tri Charts April`05 (2) (2)_Restructuring &amp; Separation_Guidance_Sheet3" xfId="3544"/>
    <cellStyle name="_FTQ Tri Charts April`05 (2) (2)_Restructuring &amp; Separation_Guidance_Sheet4" xfId="3545"/>
    <cellStyle name="_FTQ Tri Charts April`05 (2) (2)_Restructuring_Separation_TAX_JuneFC2010 tf" xfId="3546"/>
    <cellStyle name="_FTQ Tri Charts April`05 (2) (2)_Restructuring_Separation_TAX_JuneFC2010 tf_BS_Separation_TaxResIndem_Q12412 tf" xfId="3547"/>
    <cellStyle name="_FTQ Tri Charts April`05 (2) (2)_Restructuring_Separation_TAX_JuneFC2010 tf_BS_Separation_TaxResIndem_Q12412 tf_Guidance" xfId="3548"/>
    <cellStyle name="_FTQ Tri Charts April`05 (2) (2)_Restructuring_Separation_TAX_JuneFC2010 tf_BS_Separation_TaxResIndem_Q12412 tf_Guidance 2" xfId="3549"/>
    <cellStyle name="_FTQ Tri Charts April`05 (2) (2)_Restructuring_Separation_TAX_JuneFC2010 tf_BS_Separation_TaxResIndem_Q12412 tf_Guidance_BS retrieve" xfId="3550"/>
    <cellStyle name="_FTQ Tri Charts April`05 (2) (2)_Restructuring_Separation_TAX_JuneFC2010 tf_BS_Separation_TaxResIndem_Q12412 tf_Guidance_Free CF" xfId="3551"/>
    <cellStyle name="_FTQ Tri Charts April`05 (2) (2)_Restructuring_Separation_TAX_JuneFC2010 tf_BS_Separation_TaxResIndem_Q12412 tf_Guidance_P&amp;L Rec Qtr" xfId="3552"/>
    <cellStyle name="_FTQ Tri Charts April`05 (2) (2)_Restructuring_Separation_TAX_JuneFC2010 tf_BS_Separation_TaxResIndem_Q12412 tf_Guidance_Sheet1" xfId="3553"/>
    <cellStyle name="_FTQ Tri Charts April`05 (2) (2)_Restructuring_Separation_TAX_JuneFC2010 tf_BS_Separation_TaxResIndem_Q12412 tf_Guidance_Sheet2" xfId="3554"/>
    <cellStyle name="_FTQ Tri Charts April`05 (2) (2)_Restructuring_Separation_TAX_JuneFC2010 tf_BS_Separation_TaxResIndem_Q12412 tf_Guidance_Sheet3" xfId="3555"/>
    <cellStyle name="_FTQ Tri Charts April`05 (2) (2)_Restructuring_Separation_TAX_JuneFC2010 tf_BS_Separation_TaxResIndem_Q12412 tf_Guidance_Sheet4" xfId="3556"/>
    <cellStyle name="_FTQ Tri Charts April`05 (2) (2)_Restructuring_Separation_TAX_JuneFC2010 tf_BS_Separation_TaxResIndem_Q12412 tf_Restructuring &amp; Separation" xfId="3557"/>
    <cellStyle name="_FTQ Tri Charts April`05 (2) (2)_Restructuring_Separation_TAX_JuneFC2010 tf_BS_Separation_TaxResIndem_Q12412 tf_Restructuring &amp; Separation_Guidance" xfId="3558"/>
    <cellStyle name="_FTQ Tri Charts April`05 (2) (2)_Restructuring_Separation_TAX_JuneFC2010 tf_BS_Separation_TaxResIndem_Q12412 tf_Restructuring &amp; Separation_Guidance 2" xfId="3559"/>
    <cellStyle name="_FTQ Tri Charts April`05 (2) (2)_Restructuring_Separation_TAX_JuneFC2010 tf_BS_Separation_TaxResIndem_Q12412 tf_Restructuring &amp; Separation_Guidance_BS retrieve" xfId="3560"/>
    <cellStyle name="_FTQ Tri Charts April`05 (2) (2)_Restructuring_Separation_TAX_JuneFC2010 tf_BS_Separation_TaxResIndem_Q12412 tf_Restructuring &amp; Separation_Guidance_Free CF" xfId="3561"/>
    <cellStyle name="_FTQ Tri Charts April`05 (2) (2)_Restructuring_Separation_TAX_JuneFC2010 tf_BS_Separation_TaxResIndem_Q12412 tf_Restructuring &amp; Separation_Guidance_P&amp;L Rec Qtr" xfId="3562"/>
    <cellStyle name="_FTQ Tri Charts April`05 (2) (2)_Restructuring_Separation_TAX_JuneFC2010 tf_BS_Separation_TaxResIndem_Q12412 tf_Restructuring &amp; Separation_Guidance_Sheet1" xfId="3563"/>
    <cellStyle name="_FTQ Tri Charts April`05 (2) (2)_Restructuring_Separation_TAX_JuneFC2010 tf_BS_Separation_TaxResIndem_Q12412 tf_Restructuring &amp; Separation_Guidance_Sheet2" xfId="3564"/>
    <cellStyle name="_FTQ Tri Charts April`05 (2) (2)_Restructuring_Separation_TAX_JuneFC2010 tf_BS_Separation_TaxResIndem_Q12412 tf_Restructuring &amp; Separation_Guidance_Sheet3" xfId="3565"/>
    <cellStyle name="_FTQ Tri Charts April`05 (2) (2)_Restructuring_Separation_TAX_JuneFC2010 tf_BS_Separation_TaxResIndem_Q12412 tf_Restructuring &amp; Separation_Guidance_Sheet4" xfId="3566"/>
    <cellStyle name="_FTQ Tri Charts April`05 (2) (2)_Restructuring_Separation_TAX_JuneFC2010 tf_Guidance" xfId="3567"/>
    <cellStyle name="_FTQ Tri Charts April`05 (2) (2)_Restructuring_Separation_TAX_JuneFC2010 tf_Guidance 2" xfId="3568"/>
    <cellStyle name="_FTQ Tri Charts April`05 (2) (2)_Restructuring_Separation_TAX_JuneFC2010 tf_Guidance_BS retrieve" xfId="3569"/>
    <cellStyle name="_FTQ Tri Charts April`05 (2) (2)_Restructuring_Separation_TAX_JuneFC2010 tf_Guidance_Free CF" xfId="3570"/>
    <cellStyle name="_FTQ Tri Charts April`05 (2) (2)_Restructuring_Separation_TAX_JuneFC2010 tf_Guidance_P&amp;L Rec Qtr" xfId="3571"/>
    <cellStyle name="_FTQ Tri Charts April`05 (2) (2)_Restructuring_Separation_TAX_JuneFC2010 tf_Guidance_Sheet1" xfId="3572"/>
    <cellStyle name="_FTQ Tri Charts April`05 (2) (2)_Restructuring_Separation_TAX_JuneFC2010 tf_Guidance_Sheet2" xfId="3573"/>
    <cellStyle name="_FTQ Tri Charts April`05 (2) (2)_Restructuring_Separation_TAX_JuneFC2010 tf_Guidance_Sheet3" xfId="3574"/>
    <cellStyle name="_FTQ Tri Charts April`05 (2) (2)_Restructuring_Separation_TAX_JuneFC2010 tf_Guidance_Sheet4" xfId="3575"/>
    <cellStyle name="_FTQ Tri Charts April`05 (2) (2)_Restructuring_Separation_TAX_JuneFC2010 tf_II.8. Sep&amp;Discrete" xfId="3576"/>
    <cellStyle name="_FTQ Tri Charts April`05 (2) (2)_Restructuring_Separation_TAX_JuneFC2010 tf_II.8. Sep&amp;Discrete_Guidance" xfId="3577"/>
    <cellStyle name="_FTQ Tri Charts April`05 (2) (2)_Restructuring_Separation_TAX_JuneFC2010 tf_II.8. Sep&amp;Discrete_Guidance 2" xfId="3578"/>
    <cellStyle name="_FTQ Tri Charts April`05 (2) (2)_Restructuring_Separation_TAX_JuneFC2010 tf_II.8. Sep&amp;Discrete_Guidance_BS retrieve" xfId="3579"/>
    <cellStyle name="_FTQ Tri Charts April`05 (2) (2)_Restructuring_Separation_TAX_JuneFC2010 tf_II.8. Sep&amp;Discrete_Guidance_Free CF" xfId="3580"/>
    <cellStyle name="_FTQ Tri Charts April`05 (2) (2)_Restructuring_Separation_TAX_JuneFC2010 tf_II.8. Sep&amp;Discrete_Guidance_P&amp;L Rec Qtr" xfId="3581"/>
    <cellStyle name="_FTQ Tri Charts April`05 (2) (2)_Restructuring_Separation_TAX_JuneFC2010 tf_II.8. Sep&amp;Discrete_Guidance_Sheet1" xfId="3582"/>
    <cellStyle name="_FTQ Tri Charts April`05 (2) (2)_Restructuring_Separation_TAX_JuneFC2010 tf_II.8. Sep&amp;Discrete_Guidance_Sheet2" xfId="3583"/>
    <cellStyle name="_FTQ Tri Charts April`05 (2) (2)_Restructuring_Separation_TAX_JuneFC2010 tf_II.8. Sep&amp;Discrete_Guidance_Sheet3" xfId="3584"/>
    <cellStyle name="_FTQ Tri Charts April`05 (2) (2)_Restructuring_Separation_TAX_JuneFC2010 tf_II.8. Sep&amp;Discrete_Guidance_Sheet4" xfId="3585"/>
    <cellStyle name="_FTQ Tri Charts April`05 (2) (2)_Restructuring_Separation_TAX_JuneFC2010 tf_Restructuring &amp; Separation" xfId="3586"/>
    <cellStyle name="_FTQ Tri Charts April`05 (2) (2)_Restructuring_Separation_TAX_JuneFC2010 tf_Restructuring &amp; Separation_Guidance" xfId="3587"/>
    <cellStyle name="_FTQ Tri Charts April`05 (2) (2)_Restructuring_Separation_TAX_JuneFC2010 tf_Restructuring &amp; Separation_Guidance 2" xfId="3588"/>
    <cellStyle name="_FTQ Tri Charts April`05 (2) (2)_Restructuring_Separation_TAX_JuneFC2010 tf_Restructuring &amp; Separation_Guidance_BS retrieve" xfId="3589"/>
    <cellStyle name="_FTQ Tri Charts April`05 (2) (2)_Restructuring_Separation_TAX_JuneFC2010 tf_Restructuring &amp; Separation_Guidance_Free CF" xfId="3590"/>
    <cellStyle name="_FTQ Tri Charts April`05 (2) (2)_Restructuring_Separation_TAX_JuneFC2010 tf_Restructuring &amp; Separation_Guidance_P&amp;L Rec Qtr" xfId="3591"/>
    <cellStyle name="_FTQ Tri Charts April`05 (2) (2)_Restructuring_Separation_TAX_JuneFC2010 tf_Restructuring &amp; Separation_Guidance_Sheet1" xfId="3592"/>
    <cellStyle name="_FTQ Tri Charts April`05 (2) (2)_Restructuring_Separation_TAX_JuneFC2010 tf_Restructuring &amp; Separation_Guidance_Sheet2" xfId="3593"/>
    <cellStyle name="_FTQ Tri Charts April`05 (2) (2)_Restructuring_Separation_TAX_JuneFC2010 tf_Restructuring &amp; Separation_Guidance_Sheet3" xfId="3594"/>
    <cellStyle name="_FTQ Tri Charts April`05 (2) (2)_Restructuring_Separation_TAX_JuneFC2010 tf_Restructuring &amp; Separation_Guidance_Sheet4" xfId="3595"/>
    <cellStyle name="_FTQ Tri Charts Feb'05" xfId="3596"/>
    <cellStyle name="_FTQ Tri Charts Feb'05_BS_Separation_TaxResIndem_Q12412 tf" xfId="3597"/>
    <cellStyle name="_FTQ Tri Charts Feb'05_BS_Separation_TaxResIndem_Q12412 tf_Guidance" xfId="3598"/>
    <cellStyle name="_FTQ Tri Charts Feb'05_BS_Separation_TaxResIndem_Q12412 tf_Guidance 2" xfId="3599"/>
    <cellStyle name="_FTQ Tri Charts Feb'05_BS_Separation_TaxResIndem_Q12412 tf_Guidance_BS retrieve" xfId="3600"/>
    <cellStyle name="_FTQ Tri Charts Feb'05_BS_Separation_TaxResIndem_Q12412 tf_Guidance_Free CF" xfId="3601"/>
    <cellStyle name="_FTQ Tri Charts Feb'05_BS_Separation_TaxResIndem_Q12412 tf_Guidance_P&amp;L Rec Qtr" xfId="3602"/>
    <cellStyle name="_FTQ Tri Charts Feb'05_BS_Separation_TaxResIndem_Q12412 tf_Guidance_Sheet1" xfId="3603"/>
    <cellStyle name="_FTQ Tri Charts Feb'05_BS_Separation_TaxResIndem_Q12412 tf_Guidance_Sheet2" xfId="3604"/>
    <cellStyle name="_FTQ Tri Charts Feb'05_BS_Separation_TaxResIndem_Q12412 tf_Guidance_Sheet3" xfId="3605"/>
    <cellStyle name="_FTQ Tri Charts Feb'05_BS_Separation_TaxResIndem_Q12412 tf_Guidance_Sheet4" xfId="3606"/>
    <cellStyle name="_FTQ Tri Charts Feb'05_BS_Separation_TaxResIndem_Q12412 tf_Restructuring &amp; Separation" xfId="3607"/>
    <cellStyle name="_FTQ Tri Charts Feb'05_BS_Separation_TaxResIndem_Q12412 tf_Restructuring &amp; Separation_Guidance" xfId="3608"/>
    <cellStyle name="_FTQ Tri Charts Feb'05_BS_Separation_TaxResIndem_Q12412 tf_Restructuring &amp; Separation_Guidance 2" xfId="3609"/>
    <cellStyle name="_FTQ Tri Charts Feb'05_BS_Separation_TaxResIndem_Q12412 tf_Restructuring &amp; Separation_Guidance_BS retrieve" xfId="3610"/>
    <cellStyle name="_FTQ Tri Charts Feb'05_BS_Separation_TaxResIndem_Q12412 tf_Restructuring &amp; Separation_Guidance_Free CF" xfId="3611"/>
    <cellStyle name="_FTQ Tri Charts Feb'05_BS_Separation_TaxResIndem_Q12412 tf_Restructuring &amp; Separation_Guidance_P&amp;L Rec Qtr" xfId="3612"/>
    <cellStyle name="_FTQ Tri Charts Feb'05_BS_Separation_TaxResIndem_Q12412 tf_Restructuring &amp; Separation_Guidance_Sheet1" xfId="3613"/>
    <cellStyle name="_FTQ Tri Charts Feb'05_BS_Separation_TaxResIndem_Q12412 tf_Restructuring &amp; Separation_Guidance_Sheet2" xfId="3614"/>
    <cellStyle name="_FTQ Tri Charts Feb'05_BS_Separation_TaxResIndem_Q12412 tf_Restructuring &amp; Separation_Guidance_Sheet3" xfId="3615"/>
    <cellStyle name="_FTQ Tri Charts Feb'05_BS_Separation_TaxResIndem_Q12412 tf_Restructuring &amp; Separation_Guidance_Sheet4" xfId="3616"/>
    <cellStyle name="_FTQ Tri Charts Feb'05_By Country Detail 1Q10 041410pm FIN 18 revised per disc w Mary" xfId="3617"/>
    <cellStyle name="_FTQ Tri Charts Feb'05_By Country Detail 1Q10 041410pm FIN 18 revised per disc w Mary_BS_Separation_TaxResIndem_Q12412 tf" xfId="3618"/>
    <cellStyle name="_FTQ Tri Charts Feb'05_By Country Detail 1Q10 041410pm FIN 18 revised per disc w Mary_BS_Separation_TaxResIndem_Q12412 tf_Guidance" xfId="3619"/>
    <cellStyle name="_FTQ Tri Charts Feb'05_By Country Detail 1Q10 041410pm FIN 18 revised per disc w Mary_BS_Separation_TaxResIndem_Q12412 tf_Guidance 2" xfId="3620"/>
    <cellStyle name="_FTQ Tri Charts Feb'05_By Country Detail 1Q10 041410pm FIN 18 revised per disc w Mary_BS_Separation_TaxResIndem_Q12412 tf_Guidance_BS retrieve" xfId="3621"/>
    <cellStyle name="_FTQ Tri Charts Feb'05_By Country Detail 1Q10 041410pm FIN 18 revised per disc w Mary_BS_Separation_TaxResIndem_Q12412 tf_Guidance_Free CF" xfId="3622"/>
    <cellStyle name="_FTQ Tri Charts Feb'05_By Country Detail 1Q10 041410pm FIN 18 revised per disc w Mary_BS_Separation_TaxResIndem_Q12412 tf_Guidance_P&amp;L Rec Qtr" xfId="3623"/>
    <cellStyle name="_FTQ Tri Charts Feb'05_By Country Detail 1Q10 041410pm FIN 18 revised per disc w Mary_BS_Separation_TaxResIndem_Q12412 tf_Guidance_Sheet1" xfId="3624"/>
    <cellStyle name="_FTQ Tri Charts Feb'05_By Country Detail 1Q10 041410pm FIN 18 revised per disc w Mary_BS_Separation_TaxResIndem_Q12412 tf_Guidance_Sheet2" xfId="3625"/>
    <cellStyle name="_FTQ Tri Charts Feb'05_By Country Detail 1Q10 041410pm FIN 18 revised per disc w Mary_BS_Separation_TaxResIndem_Q12412 tf_Guidance_Sheet3" xfId="3626"/>
    <cellStyle name="_FTQ Tri Charts Feb'05_By Country Detail 1Q10 041410pm FIN 18 revised per disc w Mary_BS_Separation_TaxResIndem_Q12412 tf_Guidance_Sheet4" xfId="3627"/>
    <cellStyle name="_FTQ Tri Charts Feb'05_By Country Detail 1Q10 041410pm FIN 18 revised per disc w Mary_BS_Separation_TaxResIndem_Q12412 tf_Restructuring &amp; Separation" xfId="3628"/>
    <cellStyle name="_FTQ Tri Charts Feb'05_By Country Detail 1Q10 041410pm FIN 18 revised per disc w Mary_BS_Separation_TaxResIndem_Q12412 tf_Restructuring &amp; Separation_Guidance" xfId="3629"/>
    <cellStyle name="_FTQ Tri Charts Feb'05_By Country Detail 1Q10 041410pm FIN 18 revised per disc w Mary_BS_Separation_TaxResIndem_Q12412 tf_Restructuring &amp; Separation_Guidance 2" xfId="3630"/>
    <cellStyle name="_FTQ Tri Charts Feb'05_By Country Detail 1Q10 041410pm FIN 18 revised per disc w Mary_BS_Separation_TaxResIndem_Q12412 tf_Restructuring &amp; Separation_Guidance_BS retrieve" xfId="3631"/>
    <cellStyle name="_FTQ Tri Charts Feb'05_By Country Detail 1Q10 041410pm FIN 18 revised per disc w Mary_BS_Separation_TaxResIndem_Q12412 tf_Restructuring &amp; Separation_Guidance_Free CF" xfId="3632"/>
    <cellStyle name="_FTQ Tri Charts Feb'05_By Country Detail 1Q10 041410pm FIN 18 revised per disc w Mary_BS_Separation_TaxResIndem_Q12412 tf_Restructuring &amp; Separation_Guidance_P&amp;L Rec Qtr" xfId="3633"/>
    <cellStyle name="_FTQ Tri Charts Feb'05_By Country Detail 1Q10 041410pm FIN 18 revised per disc w Mary_BS_Separation_TaxResIndem_Q12412 tf_Restructuring &amp; Separation_Guidance_Sheet1" xfId="3634"/>
    <cellStyle name="_FTQ Tri Charts Feb'05_By Country Detail 1Q10 041410pm FIN 18 revised per disc w Mary_BS_Separation_TaxResIndem_Q12412 tf_Restructuring &amp; Separation_Guidance_Sheet2" xfId="3635"/>
    <cellStyle name="_FTQ Tri Charts Feb'05_By Country Detail 1Q10 041410pm FIN 18 revised per disc w Mary_BS_Separation_TaxResIndem_Q12412 tf_Restructuring &amp; Separation_Guidance_Sheet3" xfId="3636"/>
    <cellStyle name="_FTQ Tri Charts Feb'05_By Country Detail 1Q10 041410pm FIN 18 revised per disc w Mary_BS_Separation_TaxResIndem_Q12412 tf_Restructuring &amp; Separation_Guidance_Sheet4" xfId="3637"/>
    <cellStyle name="_FTQ Tri Charts Feb'05_By Country Detail 1Q10 041410pm FIN 18 revised per disc w Mary_Guidance" xfId="3638"/>
    <cellStyle name="_FTQ Tri Charts Feb'05_By Country Detail 1Q10 041410pm FIN 18 revised per disc w Mary_Guidance 2" xfId="3639"/>
    <cellStyle name="_FTQ Tri Charts Feb'05_By Country Detail 1Q10 041410pm FIN 18 revised per disc w Mary_Guidance_BS retrieve" xfId="3640"/>
    <cellStyle name="_FTQ Tri Charts Feb'05_By Country Detail 1Q10 041410pm FIN 18 revised per disc w Mary_Guidance_Free CF" xfId="3641"/>
    <cellStyle name="_FTQ Tri Charts Feb'05_By Country Detail 1Q10 041410pm FIN 18 revised per disc w Mary_Guidance_P&amp;L Rec Qtr" xfId="3642"/>
    <cellStyle name="_FTQ Tri Charts Feb'05_By Country Detail 1Q10 041410pm FIN 18 revised per disc w Mary_Guidance_Sheet1" xfId="3643"/>
    <cellStyle name="_FTQ Tri Charts Feb'05_By Country Detail 1Q10 041410pm FIN 18 revised per disc w Mary_Guidance_Sheet2" xfId="3644"/>
    <cellStyle name="_FTQ Tri Charts Feb'05_By Country Detail 1Q10 041410pm FIN 18 revised per disc w Mary_Guidance_Sheet3" xfId="3645"/>
    <cellStyle name="_FTQ Tri Charts Feb'05_By Country Detail 1Q10 041410pm FIN 18 revised per disc w Mary_Guidance_Sheet4" xfId="3646"/>
    <cellStyle name="_FTQ Tri Charts Feb'05_By Country Detail 1Q10 041410pm FIN 18 revised per disc w Mary_II.8. Sep&amp;Discrete" xfId="3647"/>
    <cellStyle name="_FTQ Tri Charts Feb'05_By Country Detail 1Q10 041410pm FIN 18 revised per disc w Mary_II.8. Sep&amp;Discrete_Guidance" xfId="3648"/>
    <cellStyle name="_FTQ Tri Charts Feb'05_By Country Detail 1Q10 041410pm FIN 18 revised per disc w Mary_II.8. Sep&amp;Discrete_Guidance 2" xfId="3649"/>
    <cellStyle name="_FTQ Tri Charts Feb'05_By Country Detail 1Q10 041410pm FIN 18 revised per disc w Mary_II.8. Sep&amp;Discrete_Guidance_BS retrieve" xfId="3650"/>
    <cellStyle name="_FTQ Tri Charts Feb'05_By Country Detail 1Q10 041410pm FIN 18 revised per disc w Mary_II.8. Sep&amp;Discrete_Guidance_Free CF" xfId="3651"/>
    <cellStyle name="_FTQ Tri Charts Feb'05_By Country Detail 1Q10 041410pm FIN 18 revised per disc w Mary_II.8. Sep&amp;Discrete_Guidance_P&amp;L Rec Qtr" xfId="3652"/>
    <cellStyle name="_FTQ Tri Charts Feb'05_By Country Detail 1Q10 041410pm FIN 18 revised per disc w Mary_II.8. Sep&amp;Discrete_Guidance_Sheet1" xfId="3653"/>
    <cellStyle name="_FTQ Tri Charts Feb'05_By Country Detail 1Q10 041410pm FIN 18 revised per disc w Mary_II.8. Sep&amp;Discrete_Guidance_Sheet2" xfId="3654"/>
    <cellStyle name="_FTQ Tri Charts Feb'05_By Country Detail 1Q10 041410pm FIN 18 revised per disc w Mary_II.8. Sep&amp;Discrete_Guidance_Sheet3" xfId="3655"/>
    <cellStyle name="_FTQ Tri Charts Feb'05_By Country Detail 1Q10 041410pm FIN 18 revised per disc w Mary_II.8. Sep&amp;Discrete_Guidance_Sheet4" xfId="3656"/>
    <cellStyle name="_FTQ Tri Charts Feb'05_By Country Detail 1Q10 041410pm FIN 18 revised per disc w Mary_Restructuring &amp; Separation" xfId="3657"/>
    <cellStyle name="_FTQ Tri Charts Feb'05_By Country Detail 1Q10 041410pm FIN 18 revised per disc w Mary_Restructuring &amp; Separation_Guidance" xfId="3658"/>
    <cellStyle name="_FTQ Tri Charts Feb'05_By Country Detail 1Q10 041410pm FIN 18 revised per disc w Mary_Restructuring &amp; Separation_Guidance 2" xfId="3659"/>
    <cellStyle name="_FTQ Tri Charts Feb'05_By Country Detail 1Q10 041410pm FIN 18 revised per disc w Mary_Restructuring &amp; Separation_Guidance_BS retrieve" xfId="3660"/>
    <cellStyle name="_FTQ Tri Charts Feb'05_By Country Detail 1Q10 041410pm FIN 18 revised per disc w Mary_Restructuring &amp; Separation_Guidance_Free CF" xfId="3661"/>
    <cellStyle name="_FTQ Tri Charts Feb'05_By Country Detail 1Q10 041410pm FIN 18 revised per disc w Mary_Restructuring &amp; Separation_Guidance_P&amp;L Rec Qtr" xfId="3662"/>
    <cellStyle name="_FTQ Tri Charts Feb'05_By Country Detail 1Q10 041410pm FIN 18 revised per disc w Mary_Restructuring &amp; Separation_Guidance_Sheet1" xfId="3663"/>
    <cellStyle name="_FTQ Tri Charts Feb'05_By Country Detail 1Q10 041410pm FIN 18 revised per disc w Mary_Restructuring &amp; Separation_Guidance_Sheet2" xfId="3664"/>
    <cellStyle name="_FTQ Tri Charts Feb'05_By Country Detail 1Q10 041410pm FIN 18 revised per disc w Mary_Restructuring &amp; Separation_Guidance_Sheet3" xfId="3665"/>
    <cellStyle name="_FTQ Tri Charts Feb'05_By Country Detail 1Q10 041410pm FIN 18 revised per disc w Mary_Restructuring &amp; Separation_Guidance_Sheet4" xfId="3666"/>
    <cellStyle name="_FTQ Tri Charts Feb'05_Guidance" xfId="3667"/>
    <cellStyle name="_FTQ Tri Charts Feb'05_Guidance 2" xfId="3668"/>
    <cellStyle name="_FTQ Tri Charts Feb'05_Guidance_BS retrieve" xfId="3669"/>
    <cellStyle name="_FTQ Tri Charts Feb'05_Guidance_Free CF" xfId="3670"/>
    <cellStyle name="_FTQ Tri Charts Feb'05_Guidance_P&amp;L Rec Qtr" xfId="3671"/>
    <cellStyle name="_FTQ Tri Charts Feb'05_Guidance_Sheet1" xfId="3672"/>
    <cellStyle name="_FTQ Tri Charts Feb'05_Guidance_Sheet2" xfId="3673"/>
    <cellStyle name="_FTQ Tri Charts Feb'05_Guidance_Sheet3" xfId="3674"/>
    <cellStyle name="_FTQ Tri Charts Feb'05_Guidance_Sheet4" xfId="3675"/>
    <cellStyle name="_FTQ Tri Charts Feb'05_II.4. RawMaterials" xfId="3676"/>
    <cellStyle name="_FTQ Tri Charts Feb'05_II.4. RawMaterials 2" xfId="3677"/>
    <cellStyle name="_FTQ Tri Charts Feb'05_II.4. RawMaterials_BS retrieve" xfId="3678"/>
    <cellStyle name="_FTQ Tri Charts Feb'05_II.4. RawMaterials_Free CF" xfId="3679"/>
    <cellStyle name="_FTQ Tri Charts Feb'05_II.4. RawMaterials_P&amp;L Rec Qtr" xfId="3680"/>
    <cellStyle name="_FTQ Tri Charts Feb'05_II.4. RawMaterials_Sheet1" xfId="3681"/>
    <cellStyle name="_FTQ Tri Charts Feb'05_II.4. RawMaterials_Sheet2" xfId="3682"/>
    <cellStyle name="_FTQ Tri Charts Feb'05_II.4. RawMaterials_Sheet3" xfId="3683"/>
    <cellStyle name="_FTQ Tri Charts Feb'05_II.4. RawMaterials_Sheet4" xfId="3684"/>
    <cellStyle name="_FTQ Tri Charts Feb'05_II.5. RawMaterials" xfId="3685"/>
    <cellStyle name="_FTQ Tri Charts Feb'05_II.5. RawMaterials 2" xfId="3686"/>
    <cellStyle name="_FTQ Tri Charts Feb'05_II.5. RawMaterials_BS retrieve" xfId="3687"/>
    <cellStyle name="_FTQ Tri Charts Feb'05_II.5. RawMaterials_Free CF" xfId="3688"/>
    <cellStyle name="_FTQ Tri Charts Feb'05_II.5. RawMaterials_Guidance" xfId="3689"/>
    <cellStyle name="_FTQ Tri Charts Feb'05_II.5. RawMaterials_Guidance 2" xfId="3690"/>
    <cellStyle name="_FTQ Tri Charts Feb'05_II.5. RawMaterials_Guidance_BS retrieve" xfId="3691"/>
    <cellStyle name="_FTQ Tri Charts Feb'05_II.5. RawMaterials_Guidance_Free CF" xfId="3692"/>
    <cellStyle name="_FTQ Tri Charts Feb'05_II.5. RawMaterials_Guidance_P&amp;L Rec Qtr" xfId="3693"/>
    <cellStyle name="_FTQ Tri Charts Feb'05_II.5. RawMaterials_Guidance_Sheet1" xfId="3694"/>
    <cellStyle name="_FTQ Tri Charts Feb'05_II.5. RawMaterials_Guidance_Sheet2" xfId="3695"/>
    <cellStyle name="_FTQ Tri Charts Feb'05_II.5. RawMaterials_Guidance_Sheet3" xfId="3696"/>
    <cellStyle name="_FTQ Tri Charts Feb'05_II.5. RawMaterials_Guidance_Sheet4" xfId="3697"/>
    <cellStyle name="_FTQ Tri Charts Feb'05_II.5. RawMaterials_P&amp;L Rec Qtr" xfId="3698"/>
    <cellStyle name="_FTQ Tri Charts Feb'05_II.5. RawMaterials_Sheet1" xfId="3699"/>
    <cellStyle name="_FTQ Tri Charts Feb'05_II.5. RawMaterials_Sheet2" xfId="3700"/>
    <cellStyle name="_FTQ Tri Charts Feb'05_II.5. RawMaterials_Sheet3" xfId="3701"/>
    <cellStyle name="_FTQ Tri Charts Feb'05_II.5. RawMaterials_Sheet4" xfId="3702"/>
    <cellStyle name="_FTQ Tri Charts Feb'05_II.5. RM Volume Sensitivities" xfId="3703"/>
    <cellStyle name="_FTQ Tri Charts Feb'05_II.5. RM Volume Sensitivities 2" xfId="3704"/>
    <cellStyle name="_FTQ Tri Charts Feb'05_II.5. RM Volume Sensitivities_BS retrieve" xfId="3705"/>
    <cellStyle name="_FTQ Tri Charts Feb'05_II.5. RM Volume Sensitivities_Free CF" xfId="3706"/>
    <cellStyle name="_FTQ Tri Charts Feb'05_II.5. RM Volume Sensitivities_P&amp;L Rec Qtr" xfId="3707"/>
    <cellStyle name="_FTQ Tri Charts Feb'05_II.5. RM Volume Sensitivities_Sheet1" xfId="3708"/>
    <cellStyle name="_FTQ Tri Charts Feb'05_II.5. RM Volume Sensitivities_Sheet2" xfId="3709"/>
    <cellStyle name="_FTQ Tri Charts Feb'05_II.5. RM Volume Sensitivities_Sheet3" xfId="3710"/>
    <cellStyle name="_FTQ Tri Charts Feb'05_II.5. RM Volume Sensitivities_Sheet4" xfId="3711"/>
    <cellStyle name="_FTQ Tri Charts Feb'05_II.8. Sep&amp;Discrete" xfId="3712"/>
    <cellStyle name="_FTQ Tri Charts Feb'05_II.8. Sep&amp;Discrete_Guidance" xfId="3713"/>
    <cellStyle name="_FTQ Tri Charts Feb'05_II.8. Sep&amp;Discrete_Guidance 2" xfId="3714"/>
    <cellStyle name="_FTQ Tri Charts Feb'05_II.8. Sep&amp;Discrete_Guidance_BS retrieve" xfId="3715"/>
    <cellStyle name="_FTQ Tri Charts Feb'05_II.8. Sep&amp;Discrete_Guidance_Free CF" xfId="3716"/>
    <cellStyle name="_FTQ Tri Charts Feb'05_II.8. Sep&amp;Discrete_Guidance_P&amp;L Rec Qtr" xfId="3717"/>
    <cellStyle name="_FTQ Tri Charts Feb'05_II.8. Sep&amp;Discrete_Guidance_Sheet1" xfId="3718"/>
    <cellStyle name="_FTQ Tri Charts Feb'05_II.8. Sep&amp;Discrete_Guidance_Sheet2" xfId="3719"/>
    <cellStyle name="_FTQ Tri Charts Feb'05_II.8. Sep&amp;Discrete_Guidance_Sheet3" xfId="3720"/>
    <cellStyle name="_FTQ Tri Charts Feb'05_II.8. Sep&amp;Discrete_Guidance_Sheet4" xfId="3721"/>
    <cellStyle name="_FTQ Tri Charts Feb'05_Restructuring &amp; Separation" xfId="3722"/>
    <cellStyle name="_FTQ Tri Charts Feb'05_Restructuring &amp; Separation_Guidance" xfId="3723"/>
    <cellStyle name="_FTQ Tri Charts Feb'05_Restructuring &amp; Separation_Guidance 2" xfId="3724"/>
    <cellStyle name="_FTQ Tri Charts Feb'05_Restructuring &amp; Separation_Guidance_BS retrieve" xfId="3725"/>
    <cellStyle name="_FTQ Tri Charts Feb'05_Restructuring &amp; Separation_Guidance_Free CF" xfId="3726"/>
    <cellStyle name="_FTQ Tri Charts Feb'05_Restructuring &amp; Separation_Guidance_P&amp;L Rec Qtr" xfId="3727"/>
    <cellStyle name="_FTQ Tri Charts Feb'05_Restructuring &amp; Separation_Guidance_Sheet1" xfId="3728"/>
    <cellStyle name="_FTQ Tri Charts Feb'05_Restructuring &amp; Separation_Guidance_Sheet2" xfId="3729"/>
    <cellStyle name="_FTQ Tri Charts Feb'05_Restructuring &amp; Separation_Guidance_Sheet3" xfId="3730"/>
    <cellStyle name="_FTQ Tri Charts Feb'05_Restructuring &amp; Separation_Guidance_Sheet4" xfId="3731"/>
    <cellStyle name="_FTQ Tri Charts Feb'05_Restructuring_Separation_TAX_JuneFC2010 tf" xfId="3732"/>
    <cellStyle name="_FTQ Tri Charts Feb'05_Restructuring_Separation_TAX_JuneFC2010 tf_BS_Separation_TaxResIndem_Q12412 tf" xfId="3733"/>
    <cellStyle name="_FTQ Tri Charts Feb'05_Restructuring_Separation_TAX_JuneFC2010 tf_BS_Separation_TaxResIndem_Q12412 tf_Guidance" xfId="3734"/>
    <cellStyle name="_FTQ Tri Charts Feb'05_Restructuring_Separation_TAX_JuneFC2010 tf_BS_Separation_TaxResIndem_Q12412 tf_Guidance 2" xfId="3735"/>
    <cellStyle name="_FTQ Tri Charts Feb'05_Restructuring_Separation_TAX_JuneFC2010 tf_BS_Separation_TaxResIndem_Q12412 tf_Guidance_BS retrieve" xfId="3736"/>
    <cellStyle name="_FTQ Tri Charts Feb'05_Restructuring_Separation_TAX_JuneFC2010 tf_BS_Separation_TaxResIndem_Q12412 tf_Guidance_Free CF" xfId="3737"/>
    <cellStyle name="_FTQ Tri Charts Feb'05_Restructuring_Separation_TAX_JuneFC2010 tf_BS_Separation_TaxResIndem_Q12412 tf_Guidance_P&amp;L Rec Qtr" xfId="3738"/>
    <cellStyle name="_FTQ Tri Charts Feb'05_Restructuring_Separation_TAX_JuneFC2010 tf_BS_Separation_TaxResIndem_Q12412 tf_Guidance_Sheet1" xfId="3739"/>
    <cellStyle name="_FTQ Tri Charts Feb'05_Restructuring_Separation_TAX_JuneFC2010 tf_BS_Separation_TaxResIndem_Q12412 tf_Guidance_Sheet2" xfId="3740"/>
    <cellStyle name="_FTQ Tri Charts Feb'05_Restructuring_Separation_TAX_JuneFC2010 tf_BS_Separation_TaxResIndem_Q12412 tf_Guidance_Sheet3" xfId="3741"/>
    <cellStyle name="_FTQ Tri Charts Feb'05_Restructuring_Separation_TAX_JuneFC2010 tf_BS_Separation_TaxResIndem_Q12412 tf_Guidance_Sheet4" xfId="3742"/>
    <cellStyle name="_FTQ Tri Charts Feb'05_Restructuring_Separation_TAX_JuneFC2010 tf_BS_Separation_TaxResIndem_Q12412 tf_Restructuring &amp; Separation" xfId="3743"/>
    <cellStyle name="_FTQ Tri Charts Feb'05_Restructuring_Separation_TAX_JuneFC2010 tf_BS_Separation_TaxResIndem_Q12412 tf_Restructuring &amp; Separation_Guidance" xfId="3744"/>
    <cellStyle name="_FTQ Tri Charts Feb'05_Restructuring_Separation_TAX_JuneFC2010 tf_BS_Separation_TaxResIndem_Q12412 tf_Restructuring &amp; Separation_Guidance 2" xfId="3745"/>
    <cellStyle name="_FTQ Tri Charts Feb'05_Restructuring_Separation_TAX_JuneFC2010 tf_BS_Separation_TaxResIndem_Q12412 tf_Restructuring &amp; Separation_Guidance_BS retrieve" xfId="3746"/>
    <cellStyle name="_FTQ Tri Charts Feb'05_Restructuring_Separation_TAX_JuneFC2010 tf_BS_Separation_TaxResIndem_Q12412 tf_Restructuring &amp; Separation_Guidance_Free CF" xfId="3747"/>
    <cellStyle name="_FTQ Tri Charts Feb'05_Restructuring_Separation_TAX_JuneFC2010 tf_BS_Separation_TaxResIndem_Q12412 tf_Restructuring &amp; Separation_Guidance_P&amp;L Rec Qtr" xfId="3748"/>
    <cellStyle name="_FTQ Tri Charts Feb'05_Restructuring_Separation_TAX_JuneFC2010 tf_BS_Separation_TaxResIndem_Q12412 tf_Restructuring &amp; Separation_Guidance_Sheet1" xfId="3749"/>
    <cellStyle name="_FTQ Tri Charts Feb'05_Restructuring_Separation_TAX_JuneFC2010 tf_BS_Separation_TaxResIndem_Q12412 tf_Restructuring &amp; Separation_Guidance_Sheet2" xfId="3750"/>
    <cellStyle name="_FTQ Tri Charts Feb'05_Restructuring_Separation_TAX_JuneFC2010 tf_BS_Separation_TaxResIndem_Q12412 tf_Restructuring &amp; Separation_Guidance_Sheet3" xfId="3751"/>
    <cellStyle name="_FTQ Tri Charts Feb'05_Restructuring_Separation_TAX_JuneFC2010 tf_BS_Separation_TaxResIndem_Q12412 tf_Restructuring &amp; Separation_Guidance_Sheet4" xfId="3752"/>
    <cellStyle name="_FTQ Tri Charts Feb'05_Restructuring_Separation_TAX_JuneFC2010 tf_Guidance" xfId="3753"/>
    <cellStyle name="_FTQ Tri Charts Feb'05_Restructuring_Separation_TAX_JuneFC2010 tf_Guidance 2" xfId="3754"/>
    <cellStyle name="_FTQ Tri Charts Feb'05_Restructuring_Separation_TAX_JuneFC2010 tf_Guidance_BS retrieve" xfId="3755"/>
    <cellStyle name="_FTQ Tri Charts Feb'05_Restructuring_Separation_TAX_JuneFC2010 tf_Guidance_Free CF" xfId="3756"/>
    <cellStyle name="_FTQ Tri Charts Feb'05_Restructuring_Separation_TAX_JuneFC2010 tf_Guidance_P&amp;L Rec Qtr" xfId="3757"/>
    <cellStyle name="_FTQ Tri Charts Feb'05_Restructuring_Separation_TAX_JuneFC2010 tf_Guidance_Sheet1" xfId="3758"/>
    <cellStyle name="_FTQ Tri Charts Feb'05_Restructuring_Separation_TAX_JuneFC2010 tf_Guidance_Sheet2" xfId="3759"/>
    <cellStyle name="_FTQ Tri Charts Feb'05_Restructuring_Separation_TAX_JuneFC2010 tf_Guidance_Sheet3" xfId="3760"/>
    <cellStyle name="_FTQ Tri Charts Feb'05_Restructuring_Separation_TAX_JuneFC2010 tf_Guidance_Sheet4" xfId="3761"/>
    <cellStyle name="_FTQ Tri Charts Feb'05_Restructuring_Separation_TAX_JuneFC2010 tf_II.8. Sep&amp;Discrete" xfId="3762"/>
    <cellStyle name="_FTQ Tri Charts Feb'05_Restructuring_Separation_TAX_JuneFC2010 tf_II.8. Sep&amp;Discrete_Guidance" xfId="3763"/>
    <cellStyle name="_FTQ Tri Charts Feb'05_Restructuring_Separation_TAX_JuneFC2010 tf_II.8. Sep&amp;Discrete_Guidance 2" xfId="3764"/>
    <cellStyle name="_FTQ Tri Charts Feb'05_Restructuring_Separation_TAX_JuneFC2010 tf_II.8. Sep&amp;Discrete_Guidance_BS retrieve" xfId="3765"/>
    <cellStyle name="_FTQ Tri Charts Feb'05_Restructuring_Separation_TAX_JuneFC2010 tf_II.8. Sep&amp;Discrete_Guidance_Free CF" xfId="3766"/>
    <cellStyle name="_FTQ Tri Charts Feb'05_Restructuring_Separation_TAX_JuneFC2010 tf_II.8. Sep&amp;Discrete_Guidance_P&amp;L Rec Qtr" xfId="3767"/>
    <cellStyle name="_FTQ Tri Charts Feb'05_Restructuring_Separation_TAX_JuneFC2010 tf_II.8. Sep&amp;Discrete_Guidance_Sheet1" xfId="3768"/>
    <cellStyle name="_FTQ Tri Charts Feb'05_Restructuring_Separation_TAX_JuneFC2010 tf_II.8. Sep&amp;Discrete_Guidance_Sheet2" xfId="3769"/>
    <cellStyle name="_FTQ Tri Charts Feb'05_Restructuring_Separation_TAX_JuneFC2010 tf_II.8. Sep&amp;Discrete_Guidance_Sheet3" xfId="3770"/>
    <cellStyle name="_FTQ Tri Charts Feb'05_Restructuring_Separation_TAX_JuneFC2010 tf_II.8. Sep&amp;Discrete_Guidance_Sheet4" xfId="3771"/>
    <cellStyle name="_FTQ Tri Charts Feb'05_Restructuring_Separation_TAX_JuneFC2010 tf_Restructuring &amp; Separation" xfId="3772"/>
    <cellStyle name="_FTQ Tri Charts Feb'05_Restructuring_Separation_TAX_JuneFC2010 tf_Restructuring &amp; Separation_Guidance" xfId="3773"/>
    <cellStyle name="_FTQ Tri Charts Feb'05_Restructuring_Separation_TAX_JuneFC2010 tf_Restructuring &amp; Separation_Guidance 2" xfId="3774"/>
    <cellStyle name="_FTQ Tri Charts Feb'05_Restructuring_Separation_TAX_JuneFC2010 tf_Restructuring &amp; Separation_Guidance_BS retrieve" xfId="3775"/>
    <cellStyle name="_FTQ Tri Charts Feb'05_Restructuring_Separation_TAX_JuneFC2010 tf_Restructuring &amp; Separation_Guidance_Free CF" xfId="3776"/>
    <cellStyle name="_FTQ Tri Charts Feb'05_Restructuring_Separation_TAX_JuneFC2010 tf_Restructuring &amp; Separation_Guidance_P&amp;L Rec Qtr" xfId="3777"/>
    <cellStyle name="_FTQ Tri Charts Feb'05_Restructuring_Separation_TAX_JuneFC2010 tf_Restructuring &amp; Separation_Guidance_Sheet1" xfId="3778"/>
    <cellStyle name="_FTQ Tri Charts Feb'05_Restructuring_Separation_TAX_JuneFC2010 tf_Restructuring &amp; Separation_Guidance_Sheet2" xfId="3779"/>
    <cellStyle name="_FTQ Tri Charts Feb'05_Restructuring_Separation_TAX_JuneFC2010 tf_Restructuring &amp; Separation_Guidance_Sheet3" xfId="3780"/>
    <cellStyle name="_FTQ Tri Charts Feb'05_Restructuring_Separation_TAX_JuneFC2010 tf_Restructuring &amp; Separation_Guidance_Sheet4" xfId="3781"/>
    <cellStyle name="_FTQ Tri Charts Jan'05" xfId="3782"/>
    <cellStyle name="_FTQ Tri Charts Jan'05_BS_Separation_TaxResIndem_Q12412 tf" xfId="3783"/>
    <cellStyle name="_FTQ Tri Charts Jan'05_BS_Separation_TaxResIndem_Q12412 tf_Guidance" xfId="3784"/>
    <cellStyle name="_FTQ Tri Charts Jan'05_BS_Separation_TaxResIndem_Q12412 tf_Guidance 2" xfId="3785"/>
    <cellStyle name="_FTQ Tri Charts Jan'05_BS_Separation_TaxResIndem_Q12412 tf_Guidance_BS retrieve" xfId="3786"/>
    <cellStyle name="_FTQ Tri Charts Jan'05_BS_Separation_TaxResIndem_Q12412 tf_Guidance_Free CF" xfId="3787"/>
    <cellStyle name="_FTQ Tri Charts Jan'05_BS_Separation_TaxResIndem_Q12412 tf_Guidance_P&amp;L Rec Qtr" xfId="3788"/>
    <cellStyle name="_FTQ Tri Charts Jan'05_BS_Separation_TaxResIndem_Q12412 tf_Guidance_Sheet1" xfId="3789"/>
    <cellStyle name="_FTQ Tri Charts Jan'05_BS_Separation_TaxResIndem_Q12412 tf_Guidance_Sheet2" xfId="3790"/>
    <cellStyle name="_FTQ Tri Charts Jan'05_BS_Separation_TaxResIndem_Q12412 tf_Guidance_Sheet3" xfId="3791"/>
    <cellStyle name="_FTQ Tri Charts Jan'05_BS_Separation_TaxResIndem_Q12412 tf_Guidance_Sheet4" xfId="3792"/>
    <cellStyle name="_FTQ Tri Charts Jan'05_BS_Separation_TaxResIndem_Q12412 tf_Restructuring &amp; Separation" xfId="3793"/>
    <cellStyle name="_FTQ Tri Charts Jan'05_BS_Separation_TaxResIndem_Q12412 tf_Restructuring &amp; Separation_Guidance" xfId="3794"/>
    <cellStyle name="_FTQ Tri Charts Jan'05_BS_Separation_TaxResIndem_Q12412 tf_Restructuring &amp; Separation_Guidance 2" xfId="3795"/>
    <cellStyle name="_FTQ Tri Charts Jan'05_BS_Separation_TaxResIndem_Q12412 tf_Restructuring &amp; Separation_Guidance_BS retrieve" xfId="3796"/>
    <cellStyle name="_FTQ Tri Charts Jan'05_BS_Separation_TaxResIndem_Q12412 tf_Restructuring &amp; Separation_Guidance_Free CF" xfId="3797"/>
    <cellStyle name="_FTQ Tri Charts Jan'05_BS_Separation_TaxResIndem_Q12412 tf_Restructuring &amp; Separation_Guidance_P&amp;L Rec Qtr" xfId="3798"/>
    <cellStyle name="_FTQ Tri Charts Jan'05_BS_Separation_TaxResIndem_Q12412 tf_Restructuring &amp; Separation_Guidance_Sheet1" xfId="3799"/>
    <cellStyle name="_FTQ Tri Charts Jan'05_BS_Separation_TaxResIndem_Q12412 tf_Restructuring &amp; Separation_Guidance_Sheet2" xfId="3800"/>
    <cellStyle name="_FTQ Tri Charts Jan'05_BS_Separation_TaxResIndem_Q12412 tf_Restructuring &amp; Separation_Guidance_Sheet3" xfId="3801"/>
    <cellStyle name="_FTQ Tri Charts Jan'05_BS_Separation_TaxResIndem_Q12412 tf_Restructuring &amp; Separation_Guidance_Sheet4" xfId="3802"/>
    <cellStyle name="_FTQ Tri Charts Jan'05_By Country Detail 1Q10 041410pm FIN 18 revised per disc w Mary" xfId="3803"/>
    <cellStyle name="_FTQ Tri Charts Jan'05_By Country Detail 1Q10 041410pm FIN 18 revised per disc w Mary_BS_Separation_TaxResIndem_Q12412 tf" xfId="3804"/>
    <cellStyle name="_FTQ Tri Charts Jan'05_By Country Detail 1Q10 041410pm FIN 18 revised per disc w Mary_BS_Separation_TaxResIndem_Q12412 tf_Guidance" xfId="3805"/>
    <cellStyle name="_FTQ Tri Charts Jan'05_By Country Detail 1Q10 041410pm FIN 18 revised per disc w Mary_BS_Separation_TaxResIndem_Q12412 tf_Guidance 2" xfId="3806"/>
    <cellStyle name="_FTQ Tri Charts Jan'05_By Country Detail 1Q10 041410pm FIN 18 revised per disc w Mary_BS_Separation_TaxResIndem_Q12412 tf_Guidance_BS retrieve" xfId="3807"/>
    <cellStyle name="_FTQ Tri Charts Jan'05_By Country Detail 1Q10 041410pm FIN 18 revised per disc w Mary_BS_Separation_TaxResIndem_Q12412 tf_Guidance_Free CF" xfId="3808"/>
    <cellStyle name="_FTQ Tri Charts Jan'05_By Country Detail 1Q10 041410pm FIN 18 revised per disc w Mary_BS_Separation_TaxResIndem_Q12412 tf_Guidance_P&amp;L Rec Qtr" xfId="3809"/>
    <cellStyle name="_FTQ Tri Charts Jan'05_By Country Detail 1Q10 041410pm FIN 18 revised per disc w Mary_BS_Separation_TaxResIndem_Q12412 tf_Guidance_Sheet1" xfId="3810"/>
    <cellStyle name="_FTQ Tri Charts Jan'05_By Country Detail 1Q10 041410pm FIN 18 revised per disc w Mary_BS_Separation_TaxResIndem_Q12412 tf_Guidance_Sheet2" xfId="3811"/>
    <cellStyle name="_FTQ Tri Charts Jan'05_By Country Detail 1Q10 041410pm FIN 18 revised per disc w Mary_BS_Separation_TaxResIndem_Q12412 tf_Guidance_Sheet3" xfId="3812"/>
    <cellStyle name="_FTQ Tri Charts Jan'05_By Country Detail 1Q10 041410pm FIN 18 revised per disc w Mary_BS_Separation_TaxResIndem_Q12412 tf_Guidance_Sheet4" xfId="3813"/>
    <cellStyle name="_FTQ Tri Charts Jan'05_By Country Detail 1Q10 041410pm FIN 18 revised per disc w Mary_BS_Separation_TaxResIndem_Q12412 tf_Restructuring &amp; Separation" xfId="3814"/>
    <cellStyle name="_FTQ Tri Charts Jan'05_By Country Detail 1Q10 041410pm FIN 18 revised per disc w Mary_BS_Separation_TaxResIndem_Q12412 tf_Restructuring &amp; Separation_Guidance" xfId="3815"/>
    <cellStyle name="_FTQ Tri Charts Jan'05_By Country Detail 1Q10 041410pm FIN 18 revised per disc w Mary_BS_Separation_TaxResIndem_Q12412 tf_Restructuring &amp; Separation_Guidance 2" xfId="3816"/>
    <cellStyle name="_FTQ Tri Charts Jan'05_By Country Detail 1Q10 041410pm FIN 18 revised per disc w Mary_BS_Separation_TaxResIndem_Q12412 tf_Restructuring &amp; Separation_Guidance_BS retrieve" xfId="3817"/>
    <cellStyle name="_FTQ Tri Charts Jan'05_By Country Detail 1Q10 041410pm FIN 18 revised per disc w Mary_BS_Separation_TaxResIndem_Q12412 tf_Restructuring &amp; Separation_Guidance_Free CF" xfId="3818"/>
    <cellStyle name="_FTQ Tri Charts Jan'05_By Country Detail 1Q10 041410pm FIN 18 revised per disc w Mary_BS_Separation_TaxResIndem_Q12412 tf_Restructuring &amp; Separation_Guidance_P&amp;L Rec Qtr" xfId="3819"/>
    <cellStyle name="_FTQ Tri Charts Jan'05_By Country Detail 1Q10 041410pm FIN 18 revised per disc w Mary_BS_Separation_TaxResIndem_Q12412 tf_Restructuring &amp; Separation_Guidance_Sheet1" xfId="3820"/>
    <cellStyle name="_FTQ Tri Charts Jan'05_By Country Detail 1Q10 041410pm FIN 18 revised per disc w Mary_BS_Separation_TaxResIndem_Q12412 tf_Restructuring &amp; Separation_Guidance_Sheet2" xfId="3821"/>
    <cellStyle name="_FTQ Tri Charts Jan'05_By Country Detail 1Q10 041410pm FIN 18 revised per disc w Mary_BS_Separation_TaxResIndem_Q12412 tf_Restructuring &amp; Separation_Guidance_Sheet3" xfId="3822"/>
    <cellStyle name="_FTQ Tri Charts Jan'05_By Country Detail 1Q10 041410pm FIN 18 revised per disc w Mary_BS_Separation_TaxResIndem_Q12412 tf_Restructuring &amp; Separation_Guidance_Sheet4" xfId="3823"/>
    <cellStyle name="_FTQ Tri Charts Jan'05_By Country Detail 1Q10 041410pm FIN 18 revised per disc w Mary_Guidance" xfId="3824"/>
    <cellStyle name="_FTQ Tri Charts Jan'05_By Country Detail 1Q10 041410pm FIN 18 revised per disc w Mary_Guidance 2" xfId="3825"/>
    <cellStyle name="_FTQ Tri Charts Jan'05_By Country Detail 1Q10 041410pm FIN 18 revised per disc w Mary_Guidance_BS retrieve" xfId="3826"/>
    <cellStyle name="_FTQ Tri Charts Jan'05_By Country Detail 1Q10 041410pm FIN 18 revised per disc w Mary_Guidance_Free CF" xfId="3827"/>
    <cellStyle name="_FTQ Tri Charts Jan'05_By Country Detail 1Q10 041410pm FIN 18 revised per disc w Mary_Guidance_P&amp;L Rec Qtr" xfId="3828"/>
    <cellStyle name="_FTQ Tri Charts Jan'05_By Country Detail 1Q10 041410pm FIN 18 revised per disc w Mary_Guidance_Sheet1" xfId="3829"/>
    <cellStyle name="_FTQ Tri Charts Jan'05_By Country Detail 1Q10 041410pm FIN 18 revised per disc w Mary_Guidance_Sheet2" xfId="3830"/>
    <cellStyle name="_FTQ Tri Charts Jan'05_By Country Detail 1Q10 041410pm FIN 18 revised per disc w Mary_Guidance_Sheet3" xfId="3831"/>
    <cellStyle name="_FTQ Tri Charts Jan'05_By Country Detail 1Q10 041410pm FIN 18 revised per disc w Mary_Guidance_Sheet4" xfId="3832"/>
    <cellStyle name="_FTQ Tri Charts Jan'05_By Country Detail 1Q10 041410pm FIN 18 revised per disc w Mary_II.8. Sep&amp;Discrete" xfId="3833"/>
    <cellStyle name="_FTQ Tri Charts Jan'05_By Country Detail 1Q10 041410pm FIN 18 revised per disc w Mary_II.8. Sep&amp;Discrete_Guidance" xfId="3834"/>
    <cellStyle name="_FTQ Tri Charts Jan'05_By Country Detail 1Q10 041410pm FIN 18 revised per disc w Mary_II.8. Sep&amp;Discrete_Guidance 2" xfId="3835"/>
    <cellStyle name="_FTQ Tri Charts Jan'05_By Country Detail 1Q10 041410pm FIN 18 revised per disc w Mary_II.8. Sep&amp;Discrete_Guidance_BS retrieve" xfId="3836"/>
    <cellStyle name="_FTQ Tri Charts Jan'05_By Country Detail 1Q10 041410pm FIN 18 revised per disc w Mary_II.8. Sep&amp;Discrete_Guidance_Free CF" xfId="3837"/>
    <cellStyle name="_FTQ Tri Charts Jan'05_By Country Detail 1Q10 041410pm FIN 18 revised per disc w Mary_II.8. Sep&amp;Discrete_Guidance_P&amp;L Rec Qtr" xfId="3838"/>
    <cellStyle name="_FTQ Tri Charts Jan'05_By Country Detail 1Q10 041410pm FIN 18 revised per disc w Mary_II.8. Sep&amp;Discrete_Guidance_Sheet1" xfId="3839"/>
    <cellStyle name="_FTQ Tri Charts Jan'05_By Country Detail 1Q10 041410pm FIN 18 revised per disc w Mary_II.8. Sep&amp;Discrete_Guidance_Sheet2" xfId="3840"/>
    <cellStyle name="_FTQ Tri Charts Jan'05_By Country Detail 1Q10 041410pm FIN 18 revised per disc w Mary_II.8. Sep&amp;Discrete_Guidance_Sheet3" xfId="3841"/>
    <cellStyle name="_FTQ Tri Charts Jan'05_By Country Detail 1Q10 041410pm FIN 18 revised per disc w Mary_II.8. Sep&amp;Discrete_Guidance_Sheet4" xfId="3842"/>
    <cellStyle name="_FTQ Tri Charts Jan'05_By Country Detail 1Q10 041410pm FIN 18 revised per disc w Mary_Restructuring &amp; Separation" xfId="3843"/>
    <cellStyle name="_FTQ Tri Charts Jan'05_By Country Detail 1Q10 041410pm FIN 18 revised per disc w Mary_Restructuring &amp; Separation_Guidance" xfId="3844"/>
    <cellStyle name="_FTQ Tri Charts Jan'05_By Country Detail 1Q10 041410pm FIN 18 revised per disc w Mary_Restructuring &amp; Separation_Guidance 2" xfId="3845"/>
    <cellStyle name="_FTQ Tri Charts Jan'05_By Country Detail 1Q10 041410pm FIN 18 revised per disc w Mary_Restructuring &amp; Separation_Guidance_BS retrieve" xfId="3846"/>
    <cellStyle name="_FTQ Tri Charts Jan'05_By Country Detail 1Q10 041410pm FIN 18 revised per disc w Mary_Restructuring &amp; Separation_Guidance_Free CF" xfId="3847"/>
    <cellStyle name="_FTQ Tri Charts Jan'05_By Country Detail 1Q10 041410pm FIN 18 revised per disc w Mary_Restructuring &amp; Separation_Guidance_P&amp;L Rec Qtr" xfId="3848"/>
    <cellStyle name="_FTQ Tri Charts Jan'05_By Country Detail 1Q10 041410pm FIN 18 revised per disc w Mary_Restructuring &amp; Separation_Guidance_Sheet1" xfId="3849"/>
    <cellStyle name="_FTQ Tri Charts Jan'05_By Country Detail 1Q10 041410pm FIN 18 revised per disc w Mary_Restructuring &amp; Separation_Guidance_Sheet2" xfId="3850"/>
    <cellStyle name="_FTQ Tri Charts Jan'05_By Country Detail 1Q10 041410pm FIN 18 revised per disc w Mary_Restructuring &amp; Separation_Guidance_Sheet3" xfId="3851"/>
    <cellStyle name="_FTQ Tri Charts Jan'05_By Country Detail 1Q10 041410pm FIN 18 revised per disc w Mary_Restructuring &amp; Separation_Guidance_Sheet4" xfId="3852"/>
    <cellStyle name="_FTQ Tri Charts Jan'05_Guidance" xfId="3853"/>
    <cellStyle name="_FTQ Tri Charts Jan'05_Guidance 2" xfId="3854"/>
    <cellStyle name="_FTQ Tri Charts Jan'05_Guidance_BS retrieve" xfId="3855"/>
    <cellStyle name="_FTQ Tri Charts Jan'05_Guidance_Free CF" xfId="3856"/>
    <cellStyle name="_FTQ Tri Charts Jan'05_Guidance_P&amp;L Rec Qtr" xfId="3857"/>
    <cellStyle name="_FTQ Tri Charts Jan'05_Guidance_Sheet1" xfId="3858"/>
    <cellStyle name="_FTQ Tri Charts Jan'05_Guidance_Sheet2" xfId="3859"/>
    <cellStyle name="_FTQ Tri Charts Jan'05_Guidance_Sheet3" xfId="3860"/>
    <cellStyle name="_FTQ Tri Charts Jan'05_Guidance_Sheet4" xfId="3861"/>
    <cellStyle name="_FTQ Tri Charts Jan'05_II.4. RawMaterials" xfId="3862"/>
    <cellStyle name="_FTQ Tri Charts Jan'05_II.4. RawMaterials 2" xfId="3863"/>
    <cellStyle name="_FTQ Tri Charts Jan'05_II.4. RawMaterials_BS retrieve" xfId="3864"/>
    <cellStyle name="_FTQ Tri Charts Jan'05_II.4. RawMaterials_Free CF" xfId="3865"/>
    <cellStyle name="_FTQ Tri Charts Jan'05_II.4. RawMaterials_P&amp;L Rec Qtr" xfId="3866"/>
    <cellStyle name="_FTQ Tri Charts Jan'05_II.4. RawMaterials_Sheet1" xfId="3867"/>
    <cellStyle name="_FTQ Tri Charts Jan'05_II.4. RawMaterials_Sheet2" xfId="3868"/>
    <cellStyle name="_FTQ Tri Charts Jan'05_II.4. RawMaterials_Sheet3" xfId="3869"/>
    <cellStyle name="_FTQ Tri Charts Jan'05_II.4. RawMaterials_Sheet4" xfId="3870"/>
    <cellStyle name="_FTQ Tri Charts Jan'05_II.5. RawMaterials" xfId="3871"/>
    <cellStyle name="_FTQ Tri Charts Jan'05_II.5. RawMaterials 2" xfId="3872"/>
    <cellStyle name="_FTQ Tri Charts Jan'05_II.5. RawMaterials_BS retrieve" xfId="3873"/>
    <cellStyle name="_FTQ Tri Charts Jan'05_II.5. RawMaterials_Free CF" xfId="3874"/>
    <cellStyle name="_FTQ Tri Charts Jan'05_II.5. RawMaterials_Guidance" xfId="3875"/>
    <cellStyle name="_FTQ Tri Charts Jan'05_II.5. RawMaterials_Guidance 2" xfId="3876"/>
    <cellStyle name="_FTQ Tri Charts Jan'05_II.5. RawMaterials_Guidance_BS retrieve" xfId="3877"/>
    <cellStyle name="_FTQ Tri Charts Jan'05_II.5. RawMaterials_Guidance_Free CF" xfId="3878"/>
    <cellStyle name="_FTQ Tri Charts Jan'05_II.5. RawMaterials_Guidance_P&amp;L Rec Qtr" xfId="3879"/>
    <cellStyle name="_FTQ Tri Charts Jan'05_II.5. RawMaterials_Guidance_Sheet1" xfId="3880"/>
    <cellStyle name="_FTQ Tri Charts Jan'05_II.5. RawMaterials_Guidance_Sheet2" xfId="3881"/>
    <cellStyle name="_FTQ Tri Charts Jan'05_II.5. RawMaterials_Guidance_Sheet3" xfId="3882"/>
    <cellStyle name="_FTQ Tri Charts Jan'05_II.5. RawMaterials_Guidance_Sheet4" xfId="3883"/>
    <cellStyle name="_FTQ Tri Charts Jan'05_II.5. RawMaterials_P&amp;L Rec Qtr" xfId="3884"/>
    <cellStyle name="_FTQ Tri Charts Jan'05_II.5. RawMaterials_Sheet1" xfId="3885"/>
    <cellStyle name="_FTQ Tri Charts Jan'05_II.5. RawMaterials_Sheet2" xfId="3886"/>
    <cellStyle name="_FTQ Tri Charts Jan'05_II.5. RawMaterials_Sheet3" xfId="3887"/>
    <cellStyle name="_FTQ Tri Charts Jan'05_II.5. RawMaterials_Sheet4" xfId="3888"/>
    <cellStyle name="_FTQ Tri Charts Jan'05_II.5. RM Volume Sensitivities" xfId="3889"/>
    <cellStyle name="_FTQ Tri Charts Jan'05_II.5. RM Volume Sensitivities 2" xfId="3890"/>
    <cellStyle name="_FTQ Tri Charts Jan'05_II.5. RM Volume Sensitivities_BS retrieve" xfId="3891"/>
    <cellStyle name="_FTQ Tri Charts Jan'05_II.5. RM Volume Sensitivities_Free CF" xfId="3892"/>
    <cellStyle name="_FTQ Tri Charts Jan'05_II.5. RM Volume Sensitivities_P&amp;L Rec Qtr" xfId="3893"/>
    <cellStyle name="_FTQ Tri Charts Jan'05_II.5. RM Volume Sensitivities_Sheet1" xfId="3894"/>
    <cellStyle name="_FTQ Tri Charts Jan'05_II.5. RM Volume Sensitivities_Sheet2" xfId="3895"/>
    <cellStyle name="_FTQ Tri Charts Jan'05_II.5. RM Volume Sensitivities_Sheet3" xfId="3896"/>
    <cellStyle name="_FTQ Tri Charts Jan'05_II.5. RM Volume Sensitivities_Sheet4" xfId="3897"/>
    <cellStyle name="_FTQ Tri Charts Jan'05_II.8. Sep&amp;Discrete" xfId="3898"/>
    <cellStyle name="_FTQ Tri Charts Jan'05_II.8. Sep&amp;Discrete_Guidance" xfId="3899"/>
    <cellStyle name="_FTQ Tri Charts Jan'05_II.8. Sep&amp;Discrete_Guidance 2" xfId="3900"/>
    <cellStyle name="_FTQ Tri Charts Jan'05_II.8. Sep&amp;Discrete_Guidance_BS retrieve" xfId="3901"/>
    <cellStyle name="_FTQ Tri Charts Jan'05_II.8. Sep&amp;Discrete_Guidance_Free CF" xfId="3902"/>
    <cellStyle name="_FTQ Tri Charts Jan'05_II.8. Sep&amp;Discrete_Guidance_P&amp;L Rec Qtr" xfId="3903"/>
    <cellStyle name="_FTQ Tri Charts Jan'05_II.8. Sep&amp;Discrete_Guidance_Sheet1" xfId="3904"/>
    <cellStyle name="_FTQ Tri Charts Jan'05_II.8. Sep&amp;Discrete_Guidance_Sheet2" xfId="3905"/>
    <cellStyle name="_FTQ Tri Charts Jan'05_II.8. Sep&amp;Discrete_Guidance_Sheet3" xfId="3906"/>
    <cellStyle name="_FTQ Tri Charts Jan'05_II.8. Sep&amp;Discrete_Guidance_Sheet4" xfId="3907"/>
    <cellStyle name="_FTQ Tri Charts Jan'05_Restructuring &amp; Separation" xfId="3908"/>
    <cellStyle name="_FTQ Tri Charts Jan'05_Restructuring &amp; Separation_Guidance" xfId="3909"/>
    <cellStyle name="_FTQ Tri Charts Jan'05_Restructuring &amp; Separation_Guidance 2" xfId="3910"/>
    <cellStyle name="_FTQ Tri Charts Jan'05_Restructuring &amp; Separation_Guidance_BS retrieve" xfId="3911"/>
    <cellStyle name="_FTQ Tri Charts Jan'05_Restructuring &amp; Separation_Guidance_Free CF" xfId="3912"/>
    <cellStyle name="_FTQ Tri Charts Jan'05_Restructuring &amp; Separation_Guidance_P&amp;L Rec Qtr" xfId="3913"/>
    <cellStyle name="_FTQ Tri Charts Jan'05_Restructuring &amp; Separation_Guidance_Sheet1" xfId="3914"/>
    <cellStyle name="_FTQ Tri Charts Jan'05_Restructuring &amp; Separation_Guidance_Sheet2" xfId="3915"/>
    <cellStyle name="_FTQ Tri Charts Jan'05_Restructuring &amp; Separation_Guidance_Sheet3" xfId="3916"/>
    <cellStyle name="_FTQ Tri Charts Jan'05_Restructuring &amp; Separation_Guidance_Sheet4" xfId="3917"/>
    <cellStyle name="_FTQ Tri Charts Jan'05_Restructuring_Separation_TAX_JuneFC2010 tf" xfId="3918"/>
    <cellStyle name="_FTQ Tri Charts Jan'05_Restructuring_Separation_TAX_JuneFC2010 tf_BS_Separation_TaxResIndem_Q12412 tf" xfId="3919"/>
    <cellStyle name="_FTQ Tri Charts Jan'05_Restructuring_Separation_TAX_JuneFC2010 tf_BS_Separation_TaxResIndem_Q12412 tf_Guidance" xfId="3920"/>
    <cellStyle name="_FTQ Tri Charts Jan'05_Restructuring_Separation_TAX_JuneFC2010 tf_BS_Separation_TaxResIndem_Q12412 tf_Guidance 2" xfId="3921"/>
    <cellStyle name="_FTQ Tri Charts Jan'05_Restructuring_Separation_TAX_JuneFC2010 tf_BS_Separation_TaxResIndem_Q12412 tf_Guidance_BS retrieve" xfId="3922"/>
    <cellStyle name="_FTQ Tri Charts Jan'05_Restructuring_Separation_TAX_JuneFC2010 tf_BS_Separation_TaxResIndem_Q12412 tf_Guidance_Free CF" xfId="3923"/>
    <cellStyle name="_FTQ Tri Charts Jan'05_Restructuring_Separation_TAX_JuneFC2010 tf_BS_Separation_TaxResIndem_Q12412 tf_Guidance_P&amp;L Rec Qtr" xfId="3924"/>
    <cellStyle name="_FTQ Tri Charts Jan'05_Restructuring_Separation_TAX_JuneFC2010 tf_BS_Separation_TaxResIndem_Q12412 tf_Guidance_Sheet1" xfId="3925"/>
    <cellStyle name="_FTQ Tri Charts Jan'05_Restructuring_Separation_TAX_JuneFC2010 tf_BS_Separation_TaxResIndem_Q12412 tf_Guidance_Sheet2" xfId="3926"/>
    <cellStyle name="_FTQ Tri Charts Jan'05_Restructuring_Separation_TAX_JuneFC2010 tf_BS_Separation_TaxResIndem_Q12412 tf_Guidance_Sheet3" xfId="3927"/>
    <cellStyle name="_FTQ Tri Charts Jan'05_Restructuring_Separation_TAX_JuneFC2010 tf_BS_Separation_TaxResIndem_Q12412 tf_Guidance_Sheet4" xfId="3928"/>
    <cellStyle name="_FTQ Tri Charts Jan'05_Restructuring_Separation_TAX_JuneFC2010 tf_BS_Separation_TaxResIndem_Q12412 tf_Restructuring &amp; Separation" xfId="3929"/>
    <cellStyle name="_FTQ Tri Charts Jan'05_Restructuring_Separation_TAX_JuneFC2010 tf_BS_Separation_TaxResIndem_Q12412 tf_Restructuring &amp; Separation_Guidance" xfId="3930"/>
    <cellStyle name="_FTQ Tri Charts Jan'05_Restructuring_Separation_TAX_JuneFC2010 tf_BS_Separation_TaxResIndem_Q12412 tf_Restructuring &amp; Separation_Guidance 2" xfId="3931"/>
    <cellStyle name="_FTQ Tri Charts Jan'05_Restructuring_Separation_TAX_JuneFC2010 tf_BS_Separation_TaxResIndem_Q12412 tf_Restructuring &amp; Separation_Guidance_BS retrieve" xfId="3932"/>
    <cellStyle name="_FTQ Tri Charts Jan'05_Restructuring_Separation_TAX_JuneFC2010 tf_BS_Separation_TaxResIndem_Q12412 tf_Restructuring &amp; Separation_Guidance_Free CF" xfId="3933"/>
    <cellStyle name="_FTQ Tri Charts Jan'05_Restructuring_Separation_TAX_JuneFC2010 tf_BS_Separation_TaxResIndem_Q12412 tf_Restructuring &amp; Separation_Guidance_P&amp;L Rec Qtr" xfId="3934"/>
    <cellStyle name="_FTQ Tri Charts Jan'05_Restructuring_Separation_TAX_JuneFC2010 tf_BS_Separation_TaxResIndem_Q12412 tf_Restructuring &amp; Separation_Guidance_Sheet1" xfId="3935"/>
    <cellStyle name="_FTQ Tri Charts Jan'05_Restructuring_Separation_TAX_JuneFC2010 tf_BS_Separation_TaxResIndem_Q12412 tf_Restructuring &amp; Separation_Guidance_Sheet2" xfId="3936"/>
    <cellStyle name="_FTQ Tri Charts Jan'05_Restructuring_Separation_TAX_JuneFC2010 tf_BS_Separation_TaxResIndem_Q12412 tf_Restructuring &amp; Separation_Guidance_Sheet3" xfId="3937"/>
    <cellStyle name="_FTQ Tri Charts Jan'05_Restructuring_Separation_TAX_JuneFC2010 tf_BS_Separation_TaxResIndem_Q12412 tf_Restructuring &amp; Separation_Guidance_Sheet4" xfId="3938"/>
    <cellStyle name="_FTQ Tri Charts Jan'05_Restructuring_Separation_TAX_JuneFC2010 tf_Guidance" xfId="3939"/>
    <cellStyle name="_FTQ Tri Charts Jan'05_Restructuring_Separation_TAX_JuneFC2010 tf_Guidance 2" xfId="3940"/>
    <cellStyle name="_FTQ Tri Charts Jan'05_Restructuring_Separation_TAX_JuneFC2010 tf_Guidance_BS retrieve" xfId="3941"/>
    <cellStyle name="_FTQ Tri Charts Jan'05_Restructuring_Separation_TAX_JuneFC2010 tf_Guidance_Free CF" xfId="3942"/>
    <cellStyle name="_FTQ Tri Charts Jan'05_Restructuring_Separation_TAX_JuneFC2010 tf_Guidance_P&amp;L Rec Qtr" xfId="3943"/>
    <cellStyle name="_FTQ Tri Charts Jan'05_Restructuring_Separation_TAX_JuneFC2010 tf_Guidance_Sheet1" xfId="3944"/>
    <cellStyle name="_FTQ Tri Charts Jan'05_Restructuring_Separation_TAX_JuneFC2010 tf_Guidance_Sheet2" xfId="3945"/>
    <cellStyle name="_FTQ Tri Charts Jan'05_Restructuring_Separation_TAX_JuneFC2010 tf_Guidance_Sheet3" xfId="3946"/>
    <cellStyle name="_FTQ Tri Charts Jan'05_Restructuring_Separation_TAX_JuneFC2010 tf_Guidance_Sheet4" xfId="3947"/>
    <cellStyle name="_FTQ Tri Charts Jan'05_Restructuring_Separation_TAX_JuneFC2010 tf_II.8. Sep&amp;Discrete" xfId="3948"/>
    <cellStyle name="_FTQ Tri Charts Jan'05_Restructuring_Separation_TAX_JuneFC2010 tf_II.8. Sep&amp;Discrete_Guidance" xfId="3949"/>
    <cellStyle name="_FTQ Tri Charts Jan'05_Restructuring_Separation_TAX_JuneFC2010 tf_II.8. Sep&amp;Discrete_Guidance 2" xfId="3950"/>
    <cellStyle name="_FTQ Tri Charts Jan'05_Restructuring_Separation_TAX_JuneFC2010 tf_II.8. Sep&amp;Discrete_Guidance_BS retrieve" xfId="3951"/>
    <cellStyle name="_FTQ Tri Charts Jan'05_Restructuring_Separation_TAX_JuneFC2010 tf_II.8. Sep&amp;Discrete_Guidance_Free CF" xfId="3952"/>
    <cellStyle name="_FTQ Tri Charts Jan'05_Restructuring_Separation_TAX_JuneFC2010 tf_II.8. Sep&amp;Discrete_Guidance_P&amp;L Rec Qtr" xfId="3953"/>
    <cellStyle name="_FTQ Tri Charts Jan'05_Restructuring_Separation_TAX_JuneFC2010 tf_II.8. Sep&amp;Discrete_Guidance_Sheet1" xfId="3954"/>
    <cellStyle name="_FTQ Tri Charts Jan'05_Restructuring_Separation_TAX_JuneFC2010 tf_II.8. Sep&amp;Discrete_Guidance_Sheet2" xfId="3955"/>
    <cellStyle name="_FTQ Tri Charts Jan'05_Restructuring_Separation_TAX_JuneFC2010 tf_II.8. Sep&amp;Discrete_Guidance_Sheet3" xfId="3956"/>
    <cellStyle name="_FTQ Tri Charts Jan'05_Restructuring_Separation_TAX_JuneFC2010 tf_II.8. Sep&amp;Discrete_Guidance_Sheet4" xfId="3957"/>
    <cellStyle name="_FTQ Tri Charts Jan'05_Restructuring_Separation_TAX_JuneFC2010 tf_Restructuring &amp; Separation" xfId="3958"/>
    <cellStyle name="_FTQ Tri Charts Jan'05_Restructuring_Separation_TAX_JuneFC2010 tf_Restructuring &amp; Separation_Guidance" xfId="3959"/>
    <cellStyle name="_FTQ Tri Charts Jan'05_Restructuring_Separation_TAX_JuneFC2010 tf_Restructuring &amp; Separation_Guidance 2" xfId="3960"/>
    <cellStyle name="_FTQ Tri Charts Jan'05_Restructuring_Separation_TAX_JuneFC2010 tf_Restructuring &amp; Separation_Guidance_BS retrieve" xfId="3961"/>
    <cellStyle name="_FTQ Tri Charts Jan'05_Restructuring_Separation_TAX_JuneFC2010 tf_Restructuring &amp; Separation_Guidance_Free CF" xfId="3962"/>
    <cellStyle name="_FTQ Tri Charts Jan'05_Restructuring_Separation_TAX_JuneFC2010 tf_Restructuring &amp; Separation_Guidance_P&amp;L Rec Qtr" xfId="3963"/>
    <cellStyle name="_FTQ Tri Charts Jan'05_Restructuring_Separation_TAX_JuneFC2010 tf_Restructuring &amp; Separation_Guidance_Sheet1" xfId="3964"/>
    <cellStyle name="_FTQ Tri Charts Jan'05_Restructuring_Separation_TAX_JuneFC2010 tf_Restructuring &amp; Separation_Guidance_Sheet2" xfId="3965"/>
    <cellStyle name="_FTQ Tri Charts Jan'05_Restructuring_Separation_TAX_JuneFC2010 tf_Restructuring &amp; Separation_Guidance_Sheet3" xfId="3966"/>
    <cellStyle name="_FTQ Tri Charts Jan'05_Restructuring_Separation_TAX_JuneFC2010 tf_Restructuring &amp; Separation_Guidance_Sheet4" xfId="3967"/>
    <cellStyle name="_FTQ Tri Charts March`05" xfId="3968"/>
    <cellStyle name="_FTQ Tri Charts March`05_BS_Separation_TaxResIndem_Q12412 tf" xfId="3969"/>
    <cellStyle name="_FTQ Tri Charts March`05_BS_Separation_TaxResIndem_Q12412 tf_Guidance" xfId="3970"/>
    <cellStyle name="_FTQ Tri Charts March`05_BS_Separation_TaxResIndem_Q12412 tf_Guidance 2" xfId="3971"/>
    <cellStyle name="_FTQ Tri Charts March`05_BS_Separation_TaxResIndem_Q12412 tf_Guidance_BS retrieve" xfId="3972"/>
    <cellStyle name="_FTQ Tri Charts March`05_BS_Separation_TaxResIndem_Q12412 tf_Guidance_Free CF" xfId="3973"/>
    <cellStyle name="_FTQ Tri Charts March`05_BS_Separation_TaxResIndem_Q12412 tf_Guidance_P&amp;L Rec Qtr" xfId="3974"/>
    <cellStyle name="_FTQ Tri Charts March`05_BS_Separation_TaxResIndem_Q12412 tf_Guidance_Sheet1" xfId="3975"/>
    <cellStyle name="_FTQ Tri Charts March`05_BS_Separation_TaxResIndem_Q12412 tf_Guidance_Sheet2" xfId="3976"/>
    <cellStyle name="_FTQ Tri Charts March`05_BS_Separation_TaxResIndem_Q12412 tf_Guidance_Sheet3" xfId="3977"/>
    <cellStyle name="_FTQ Tri Charts March`05_BS_Separation_TaxResIndem_Q12412 tf_Guidance_Sheet4" xfId="3978"/>
    <cellStyle name="_FTQ Tri Charts March`05_BS_Separation_TaxResIndem_Q12412 tf_Restructuring &amp; Separation" xfId="3979"/>
    <cellStyle name="_FTQ Tri Charts March`05_BS_Separation_TaxResIndem_Q12412 tf_Restructuring &amp; Separation_Guidance" xfId="3980"/>
    <cellStyle name="_FTQ Tri Charts March`05_BS_Separation_TaxResIndem_Q12412 tf_Restructuring &amp; Separation_Guidance 2" xfId="3981"/>
    <cellStyle name="_FTQ Tri Charts March`05_BS_Separation_TaxResIndem_Q12412 tf_Restructuring &amp; Separation_Guidance_BS retrieve" xfId="3982"/>
    <cellStyle name="_FTQ Tri Charts March`05_BS_Separation_TaxResIndem_Q12412 tf_Restructuring &amp; Separation_Guidance_Free CF" xfId="3983"/>
    <cellStyle name="_FTQ Tri Charts March`05_BS_Separation_TaxResIndem_Q12412 tf_Restructuring &amp; Separation_Guidance_P&amp;L Rec Qtr" xfId="3984"/>
    <cellStyle name="_FTQ Tri Charts March`05_BS_Separation_TaxResIndem_Q12412 tf_Restructuring &amp; Separation_Guidance_Sheet1" xfId="3985"/>
    <cellStyle name="_FTQ Tri Charts March`05_BS_Separation_TaxResIndem_Q12412 tf_Restructuring &amp; Separation_Guidance_Sheet2" xfId="3986"/>
    <cellStyle name="_FTQ Tri Charts March`05_BS_Separation_TaxResIndem_Q12412 tf_Restructuring &amp; Separation_Guidance_Sheet3" xfId="3987"/>
    <cellStyle name="_FTQ Tri Charts March`05_BS_Separation_TaxResIndem_Q12412 tf_Restructuring &amp; Separation_Guidance_Sheet4" xfId="3988"/>
    <cellStyle name="_FTQ Tri Charts March`05_By Country Detail 1Q10 041410pm FIN 18 revised per disc w Mary" xfId="3989"/>
    <cellStyle name="_FTQ Tri Charts March`05_By Country Detail 1Q10 041410pm FIN 18 revised per disc w Mary_BS_Separation_TaxResIndem_Q12412 tf" xfId="3990"/>
    <cellStyle name="_FTQ Tri Charts March`05_By Country Detail 1Q10 041410pm FIN 18 revised per disc w Mary_BS_Separation_TaxResIndem_Q12412 tf_Guidance" xfId="3991"/>
    <cellStyle name="_FTQ Tri Charts March`05_By Country Detail 1Q10 041410pm FIN 18 revised per disc w Mary_BS_Separation_TaxResIndem_Q12412 tf_Guidance 2" xfId="3992"/>
    <cellStyle name="_FTQ Tri Charts March`05_By Country Detail 1Q10 041410pm FIN 18 revised per disc w Mary_BS_Separation_TaxResIndem_Q12412 tf_Guidance_BS retrieve" xfId="3993"/>
    <cellStyle name="_FTQ Tri Charts March`05_By Country Detail 1Q10 041410pm FIN 18 revised per disc w Mary_BS_Separation_TaxResIndem_Q12412 tf_Guidance_Free CF" xfId="3994"/>
    <cellStyle name="_FTQ Tri Charts March`05_By Country Detail 1Q10 041410pm FIN 18 revised per disc w Mary_BS_Separation_TaxResIndem_Q12412 tf_Guidance_P&amp;L Rec Qtr" xfId="3995"/>
    <cellStyle name="_FTQ Tri Charts March`05_By Country Detail 1Q10 041410pm FIN 18 revised per disc w Mary_BS_Separation_TaxResIndem_Q12412 tf_Guidance_Sheet1" xfId="3996"/>
    <cellStyle name="_FTQ Tri Charts March`05_By Country Detail 1Q10 041410pm FIN 18 revised per disc w Mary_BS_Separation_TaxResIndem_Q12412 tf_Guidance_Sheet2" xfId="3997"/>
    <cellStyle name="_FTQ Tri Charts March`05_By Country Detail 1Q10 041410pm FIN 18 revised per disc w Mary_BS_Separation_TaxResIndem_Q12412 tf_Guidance_Sheet3" xfId="3998"/>
    <cellStyle name="_FTQ Tri Charts March`05_By Country Detail 1Q10 041410pm FIN 18 revised per disc w Mary_BS_Separation_TaxResIndem_Q12412 tf_Guidance_Sheet4" xfId="3999"/>
    <cellStyle name="_FTQ Tri Charts March`05_By Country Detail 1Q10 041410pm FIN 18 revised per disc w Mary_BS_Separation_TaxResIndem_Q12412 tf_Restructuring &amp; Separation" xfId="4000"/>
    <cellStyle name="_FTQ Tri Charts March`05_By Country Detail 1Q10 041410pm FIN 18 revised per disc w Mary_BS_Separation_TaxResIndem_Q12412 tf_Restructuring &amp; Separation_Guidance" xfId="4001"/>
    <cellStyle name="_FTQ Tri Charts March`05_By Country Detail 1Q10 041410pm FIN 18 revised per disc w Mary_BS_Separation_TaxResIndem_Q12412 tf_Restructuring &amp; Separation_Guidance 2" xfId="4002"/>
    <cellStyle name="_FTQ Tri Charts March`05_By Country Detail 1Q10 041410pm FIN 18 revised per disc w Mary_BS_Separation_TaxResIndem_Q12412 tf_Restructuring &amp; Separation_Guidance_BS retrieve" xfId="4003"/>
    <cellStyle name="_FTQ Tri Charts March`05_By Country Detail 1Q10 041410pm FIN 18 revised per disc w Mary_BS_Separation_TaxResIndem_Q12412 tf_Restructuring &amp; Separation_Guidance_Free CF" xfId="4004"/>
    <cellStyle name="_FTQ Tri Charts March`05_By Country Detail 1Q10 041410pm FIN 18 revised per disc w Mary_BS_Separation_TaxResIndem_Q12412 tf_Restructuring &amp; Separation_Guidance_P&amp;L Rec Qtr" xfId="4005"/>
    <cellStyle name="_FTQ Tri Charts March`05_By Country Detail 1Q10 041410pm FIN 18 revised per disc w Mary_BS_Separation_TaxResIndem_Q12412 tf_Restructuring &amp; Separation_Guidance_Sheet1" xfId="4006"/>
    <cellStyle name="_FTQ Tri Charts March`05_By Country Detail 1Q10 041410pm FIN 18 revised per disc w Mary_BS_Separation_TaxResIndem_Q12412 tf_Restructuring &amp; Separation_Guidance_Sheet2" xfId="4007"/>
    <cellStyle name="_FTQ Tri Charts March`05_By Country Detail 1Q10 041410pm FIN 18 revised per disc w Mary_BS_Separation_TaxResIndem_Q12412 tf_Restructuring &amp; Separation_Guidance_Sheet3" xfId="4008"/>
    <cellStyle name="_FTQ Tri Charts March`05_By Country Detail 1Q10 041410pm FIN 18 revised per disc w Mary_BS_Separation_TaxResIndem_Q12412 tf_Restructuring &amp; Separation_Guidance_Sheet4" xfId="4009"/>
    <cellStyle name="_FTQ Tri Charts March`05_By Country Detail 1Q10 041410pm FIN 18 revised per disc w Mary_Guidance" xfId="4010"/>
    <cellStyle name="_FTQ Tri Charts March`05_By Country Detail 1Q10 041410pm FIN 18 revised per disc w Mary_Guidance 2" xfId="4011"/>
    <cellStyle name="_FTQ Tri Charts March`05_By Country Detail 1Q10 041410pm FIN 18 revised per disc w Mary_Guidance_BS retrieve" xfId="4012"/>
    <cellStyle name="_FTQ Tri Charts March`05_By Country Detail 1Q10 041410pm FIN 18 revised per disc w Mary_Guidance_Free CF" xfId="4013"/>
    <cellStyle name="_FTQ Tri Charts March`05_By Country Detail 1Q10 041410pm FIN 18 revised per disc w Mary_Guidance_P&amp;L Rec Qtr" xfId="4014"/>
    <cellStyle name="_FTQ Tri Charts March`05_By Country Detail 1Q10 041410pm FIN 18 revised per disc w Mary_Guidance_Sheet1" xfId="4015"/>
    <cellStyle name="_FTQ Tri Charts March`05_By Country Detail 1Q10 041410pm FIN 18 revised per disc w Mary_Guidance_Sheet2" xfId="4016"/>
    <cellStyle name="_FTQ Tri Charts March`05_By Country Detail 1Q10 041410pm FIN 18 revised per disc w Mary_Guidance_Sheet3" xfId="4017"/>
    <cellStyle name="_FTQ Tri Charts March`05_By Country Detail 1Q10 041410pm FIN 18 revised per disc w Mary_Guidance_Sheet4" xfId="4018"/>
    <cellStyle name="_FTQ Tri Charts March`05_By Country Detail 1Q10 041410pm FIN 18 revised per disc w Mary_II.8. Sep&amp;Discrete" xfId="4019"/>
    <cellStyle name="_FTQ Tri Charts March`05_By Country Detail 1Q10 041410pm FIN 18 revised per disc w Mary_II.8. Sep&amp;Discrete_Guidance" xfId="4020"/>
    <cellStyle name="_FTQ Tri Charts March`05_By Country Detail 1Q10 041410pm FIN 18 revised per disc w Mary_II.8. Sep&amp;Discrete_Guidance 2" xfId="4021"/>
    <cellStyle name="_FTQ Tri Charts March`05_By Country Detail 1Q10 041410pm FIN 18 revised per disc w Mary_II.8. Sep&amp;Discrete_Guidance_BS retrieve" xfId="4022"/>
    <cellStyle name="_FTQ Tri Charts March`05_By Country Detail 1Q10 041410pm FIN 18 revised per disc w Mary_II.8. Sep&amp;Discrete_Guidance_Free CF" xfId="4023"/>
    <cellStyle name="_FTQ Tri Charts March`05_By Country Detail 1Q10 041410pm FIN 18 revised per disc w Mary_II.8. Sep&amp;Discrete_Guidance_P&amp;L Rec Qtr" xfId="4024"/>
    <cellStyle name="_FTQ Tri Charts March`05_By Country Detail 1Q10 041410pm FIN 18 revised per disc w Mary_II.8. Sep&amp;Discrete_Guidance_Sheet1" xfId="4025"/>
    <cellStyle name="_FTQ Tri Charts March`05_By Country Detail 1Q10 041410pm FIN 18 revised per disc w Mary_II.8. Sep&amp;Discrete_Guidance_Sheet2" xfId="4026"/>
    <cellStyle name="_FTQ Tri Charts March`05_By Country Detail 1Q10 041410pm FIN 18 revised per disc w Mary_II.8. Sep&amp;Discrete_Guidance_Sheet3" xfId="4027"/>
    <cellStyle name="_FTQ Tri Charts March`05_By Country Detail 1Q10 041410pm FIN 18 revised per disc w Mary_II.8. Sep&amp;Discrete_Guidance_Sheet4" xfId="4028"/>
    <cellStyle name="_FTQ Tri Charts March`05_By Country Detail 1Q10 041410pm FIN 18 revised per disc w Mary_Restructuring &amp; Separation" xfId="4029"/>
    <cellStyle name="_FTQ Tri Charts March`05_By Country Detail 1Q10 041410pm FIN 18 revised per disc w Mary_Restructuring &amp; Separation_Guidance" xfId="4030"/>
    <cellStyle name="_FTQ Tri Charts March`05_By Country Detail 1Q10 041410pm FIN 18 revised per disc w Mary_Restructuring &amp; Separation_Guidance 2" xfId="4031"/>
    <cellStyle name="_FTQ Tri Charts March`05_By Country Detail 1Q10 041410pm FIN 18 revised per disc w Mary_Restructuring &amp; Separation_Guidance_BS retrieve" xfId="4032"/>
    <cellStyle name="_FTQ Tri Charts March`05_By Country Detail 1Q10 041410pm FIN 18 revised per disc w Mary_Restructuring &amp; Separation_Guidance_Free CF" xfId="4033"/>
    <cellStyle name="_FTQ Tri Charts March`05_By Country Detail 1Q10 041410pm FIN 18 revised per disc w Mary_Restructuring &amp; Separation_Guidance_P&amp;L Rec Qtr" xfId="4034"/>
    <cellStyle name="_FTQ Tri Charts March`05_By Country Detail 1Q10 041410pm FIN 18 revised per disc w Mary_Restructuring &amp; Separation_Guidance_Sheet1" xfId="4035"/>
    <cellStyle name="_FTQ Tri Charts March`05_By Country Detail 1Q10 041410pm FIN 18 revised per disc w Mary_Restructuring &amp; Separation_Guidance_Sheet2" xfId="4036"/>
    <cellStyle name="_FTQ Tri Charts March`05_By Country Detail 1Q10 041410pm FIN 18 revised per disc w Mary_Restructuring &amp; Separation_Guidance_Sheet3" xfId="4037"/>
    <cellStyle name="_FTQ Tri Charts March`05_By Country Detail 1Q10 041410pm FIN 18 revised per disc w Mary_Restructuring &amp; Separation_Guidance_Sheet4" xfId="4038"/>
    <cellStyle name="_FTQ Tri Charts March`05_Guidance" xfId="4039"/>
    <cellStyle name="_FTQ Tri Charts March`05_Guidance 2" xfId="4040"/>
    <cellStyle name="_FTQ Tri Charts March`05_Guidance_BS retrieve" xfId="4041"/>
    <cellStyle name="_FTQ Tri Charts March`05_Guidance_Free CF" xfId="4042"/>
    <cellStyle name="_FTQ Tri Charts March`05_Guidance_P&amp;L Rec Qtr" xfId="4043"/>
    <cellStyle name="_FTQ Tri Charts March`05_Guidance_Sheet1" xfId="4044"/>
    <cellStyle name="_FTQ Tri Charts March`05_Guidance_Sheet2" xfId="4045"/>
    <cellStyle name="_FTQ Tri Charts March`05_Guidance_Sheet3" xfId="4046"/>
    <cellStyle name="_FTQ Tri Charts March`05_Guidance_Sheet4" xfId="4047"/>
    <cellStyle name="_FTQ Tri Charts March`05_II.4. RawMaterials" xfId="4048"/>
    <cellStyle name="_FTQ Tri Charts March`05_II.4. RawMaterials 2" xfId="4049"/>
    <cellStyle name="_FTQ Tri Charts March`05_II.4. RawMaterials_BS retrieve" xfId="4050"/>
    <cellStyle name="_FTQ Tri Charts March`05_II.4. RawMaterials_Free CF" xfId="4051"/>
    <cellStyle name="_FTQ Tri Charts March`05_II.4. RawMaterials_P&amp;L Rec Qtr" xfId="4052"/>
    <cellStyle name="_FTQ Tri Charts March`05_II.4. RawMaterials_Sheet1" xfId="4053"/>
    <cellStyle name="_FTQ Tri Charts March`05_II.4. RawMaterials_Sheet2" xfId="4054"/>
    <cellStyle name="_FTQ Tri Charts March`05_II.4. RawMaterials_Sheet3" xfId="4055"/>
    <cellStyle name="_FTQ Tri Charts March`05_II.4. RawMaterials_Sheet4" xfId="4056"/>
    <cellStyle name="_FTQ Tri Charts March`05_II.5. RawMaterials" xfId="4057"/>
    <cellStyle name="_FTQ Tri Charts March`05_II.5. RawMaterials 2" xfId="4058"/>
    <cellStyle name="_FTQ Tri Charts March`05_II.5. RawMaterials_BS retrieve" xfId="4059"/>
    <cellStyle name="_FTQ Tri Charts March`05_II.5. RawMaterials_Free CF" xfId="4060"/>
    <cellStyle name="_FTQ Tri Charts March`05_II.5. RawMaterials_Guidance" xfId="4061"/>
    <cellStyle name="_FTQ Tri Charts March`05_II.5. RawMaterials_Guidance 2" xfId="4062"/>
    <cellStyle name="_FTQ Tri Charts March`05_II.5. RawMaterials_Guidance_BS retrieve" xfId="4063"/>
    <cellStyle name="_FTQ Tri Charts March`05_II.5. RawMaterials_Guidance_Free CF" xfId="4064"/>
    <cellStyle name="_FTQ Tri Charts March`05_II.5. RawMaterials_Guidance_P&amp;L Rec Qtr" xfId="4065"/>
    <cellStyle name="_FTQ Tri Charts March`05_II.5. RawMaterials_Guidance_Sheet1" xfId="4066"/>
    <cellStyle name="_FTQ Tri Charts March`05_II.5. RawMaterials_Guidance_Sheet2" xfId="4067"/>
    <cellStyle name="_FTQ Tri Charts March`05_II.5. RawMaterials_Guidance_Sheet3" xfId="4068"/>
    <cellStyle name="_FTQ Tri Charts March`05_II.5. RawMaterials_Guidance_Sheet4" xfId="4069"/>
    <cellStyle name="_FTQ Tri Charts March`05_II.5. RawMaterials_P&amp;L Rec Qtr" xfId="4070"/>
    <cellStyle name="_FTQ Tri Charts March`05_II.5. RawMaterials_Sheet1" xfId="4071"/>
    <cellStyle name="_FTQ Tri Charts March`05_II.5. RawMaterials_Sheet2" xfId="4072"/>
    <cellStyle name="_FTQ Tri Charts March`05_II.5. RawMaterials_Sheet3" xfId="4073"/>
    <cellStyle name="_FTQ Tri Charts March`05_II.5. RawMaterials_Sheet4" xfId="4074"/>
    <cellStyle name="_FTQ Tri Charts March`05_II.5. RM Volume Sensitivities" xfId="4075"/>
    <cellStyle name="_FTQ Tri Charts March`05_II.5. RM Volume Sensitivities 2" xfId="4076"/>
    <cellStyle name="_FTQ Tri Charts March`05_II.5. RM Volume Sensitivities_BS retrieve" xfId="4077"/>
    <cellStyle name="_FTQ Tri Charts March`05_II.5. RM Volume Sensitivities_Free CF" xfId="4078"/>
    <cellStyle name="_FTQ Tri Charts March`05_II.5. RM Volume Sensitivities_P&amp;L Rec Qtr" xfId="4079"/>
    <cellStyle name="_FTQ Tri Charts March`05_II.5. RM Volume Sensitivities_Sheet1" xfId="4080"/>
    <cellStyle name="_FTQ Tri Charts March`05_II.5. RM Volume Sensitivities_Sheet2" xfId="4081"/>
    <cellStyle name="_FTQ Tri Charts March`05_II.5. RM Volume Sensitivities_Sheet3" xfId="4082"/>
    <cellStyle name="_FTQ Tri Charts March`05_II.5. RM Volume Sensitivities_Sheet4" xfId="4083"/>
    <cellStyle name="_FTQ Tri Charts March`05_II.8. Sep&amp;Discrete" xfId="4084"/>
    <cellStyle name="_FTQ Tri Charts March`05_II.8. Sep&amp;Discrete_Guidance" xfId="4085"/>
    <cellStyle name="_FTQ Tri Charts March`05_II.8. Sep&amp;Discrete_Guidance 2" xfId="4086"/>
    <cellStyle name="_FTQ Tri Charts March`05_II.8. Sep&amp;Discrete_Guidance_BS retrieve" xfId="4087"/>
    <cellStyle name="_FTQ Tri Charts March`05_II.8. Sep&amp;Discrete_Guidance_Free CF" xfId="4088"/>
    <cellStyle name="_FTQ Tri Charts March`05_II.8. Sep&amp;Discrete_Guidance_P&amp;L Rec Qtr" xfId="4089"/>
    <cellStyle name="_FTQ Tri Charts March`05_II.8. Sep&amp;Discrete_Guidance_Sheet1" xfId="4090"/>
    <cellStyle name="_FTQ Tri Charts March`05_II.8. Sep&amp;Discrete_Guidance_Sheet2" xfId="4091"/>
    <cellStyle name="_FTQ Tri Charts March`05_II.8. Sep&amp;Discrete_Guidance_Sheet3" xfId="4092"/>
    <cellStyle name="_FTQ Tri Charts March`05_II.8. Sep&amp;Discrete_Guidance_Sheet4" xfId="4093"/>
    <cellStyle name="_FTQ Tri Charts March`05_Restructuring &amp; Separation" xfId="4094"/>
    <cellStyle name="_FTQ Tri Charts March`05_Restructuring &amp; Separation_Guidance" xfId="4095"/>
    <cellStyle name="_FTQ Tri Charts March`05_Restructuring &amp; Separation_Guidance 2" xfId="4096"/>
    <cellStyle name="_FTQ Tri Charts March`05_Restructuring &amp; Separation_Guidance_BS retrieve" xfId="4097"/>
    <cellStyle name="_FTQ Tri Charts March`05_Restructuring &amp; Separation_Guidance_Free CF" xfId="4098"/>
    <cellStyle name="_FTQ Tri Charts March`05_Restructuring &amp; Separation_Guidance_P&amp;L Rec Qtr" xfId="4099"/>
    <cellStyle name="_FTQ Tri Charts March`05_Restructuring &amp; Separation_Guidance_Sheet1" xfId="4100"/>
    <cellStyle name="_FTQ Tri Charts March`05_Restructuring &amp; Separation_Guidance_Sheet2" xfId="4101"/>
    <cellStyle name="_FTQ Tri Charts March`05_Restructuring &amp; Separation_Guidance_Sheet3" xfId="4102"/>
    <cellStyle name="_FTQ Tri Charts March`05_Restructuring &amp; Separation_Guidance_Sheet4" xfId="4103"/>
    <cellStyle name="_FTQ Tri Charts March`05_Restructuring_Separation_TAX_JuneFC2010 tf" xfId="4104"/>
    <cellStyle name="_FTQ Tri Charts March`05_Restructuring_Separation_TAX_JuneFC2010 tf_BS_Separation_TaxResIndem_Q12412 tf" xfId="4105"/>
    <cellStyle name="_FTQ Tri Charts March`05_Restructuring_Separation_TAX_JuneFC2010 tf_BS_Separation_TaxResIndem_Q12412 tf_Guidance" xfId="4106"/>
    <cellStyle name="_FTQ Tri Charts March`05_Restructuring_Separation_TAX_JuneFC2010 tf_BS_Separation_TaxResIndem_Q12412 tf_Guidance 2" xfId="4107"/>
    <cellStyle name="_FTQ Tri Charts March`05_Restructuring_Separation_TAX_JuneFC2010 tf_BS_Separation_TaxResIndem_Q12412 tf_Guidance_BS retrieve" xfId="4108"/>
    <cellStyle name="_FTQ Tri Charts March`05_Restructuring_Separation_TAX_JuneFC2010 tf_BS_Separation_TaxResIndem_Q12412 tf_Guidance_Free CF" xfId="4109"/>
    <cellStyle name="_FTQ Tri Charts March`05_Restructuring_Separation_TAX_JuneFC2010 tf_BS_Separation_TaxResIndem_Q12412 tf_Guidance_P&amp;L Rec Qtr" xfId="4110"/>
    <cellStyle name="_FTQ Tri Charts March`05_Restructuring_Separation_TAX_JuneFC2010 tf_BS_Separation_TaxResIndem_Q12412 tf_Guidance_Sheet1" xfId="4111"/>
    <cellStyle name="_FTQ Tri Charts March`05_Restructuring_Separation_TAX_JuneFC2010 tf_BS_Separation_TaxResIndem_Q12412 tf_Guidance_Sheet2" xfId="4112"/>
    <cellStyle name="_FTQ Tri Charts March`05_Restructuring_Separation_TAX_JuneFC2010 tf_BS_Separation_TaxResIndem_Q12412 tf_Guidance_Sheet3" xfId="4113"/>
    <cellStyle name="_FTQ Tri Charts March`05_Restructuring_Separation_TAX_JuneFC2010 tf_BS_Separation_TaxResIndem_Q12412 tf_Guidance_Sheet4" xfId="4114"/>
    <cellStyle name="_FTQ Tri Charts March`05_Restructuring_Separation_TAX_JuneFC2010 tf_BS_Separation_TaxResIndem_Q12412 tf_Restructuring &amp; Separation" xfId="4115"/>
    <cellStyle name="_FTQ Tri Charts March`05_Restructuring_Separation_TAX_JuneFC2010 tf_BS_Separation_TaxResIndem_Q12412 tf_Restructuring &amp; Separation_Guidance" xfId="4116"/>
    <cellStyle name="_FTQ Tri Charts March`05_Restructuring_Separation_TAX_JuneFC2010 tf_BS_Separation_TaxResIndem_Q12412 tf_Restructuring &amp; Separation_Guidance 2" xfId="4117"/>
    <cellStyle name="_FTQ Tri Charts March`05_Restructuring_Separation_TAX_JuneFC2010 tf_BS_Separation_TaxResIndem_Q12412 tf_Restructuring &amp; Separation_Guidance_BS retrieve" xfId="4118"/>
    <cellStyle name="_FTQ Tri Charts March`05_Restructuring_Separation_TAX_JuneFC2010 tf_BS_Separation_TaxResIndem_Q12412 tf_Restructuring &amp; Separation_Guidance_Free CF" xfId="4119"/>
    <cellStyle name="_FTQ Tri Charts March`05_Restructuring_Separation_TAX_JuneFC2010 tf_BS_Separation_TaxResIndem_Q12412 tf_Restructuring &amp; Separation_Guidance_P&amp;L Rec Qtr" xfId="4120"/>
    <cellStyle name="_FTQ Tri Charts March`05_Restructuring_Separation_TAX_JuneFC2010 tf_BS_Separation_TaxResIndem_Q12412 tf_Restructuring &amp; Separation_Guidance_Sheet1" xfId="4121"/>
    <cellStyle name="_FTQ Tri Charts March`05_Restructuring_Separation_TAX_JuneFC2010 tf_BS_Separation_TaxResIndem_Q12412 tf_Restructuring &amp; Separation_Guidance_Sheet2" xfId="4122"/>
    <cellStyle name="_FTQ Tri Charts March`05_Restructuring_Separation_TAX_JuneFC2010 tf_BS_Separation_TaxResIndem_Q12412 tf_Restructuring &amp; Separation_Guidance_Sheet3" xfId="4123"/>
    <cellStyle name="_FTQ Tri Charts March`05_Restructuring_Separation_TAX_JuneFC2010 tf_BS_Separation_TaxResIndem_Q12412 tf_Restructuring &amp; Separation_Guidance_Sheet4" xfId="4124"/>
    <cellStyle name="_FTQ Tri Charts March`05_Restructuring_Separation_TAX_JuneFC2010 tf_Guidance" xfId="4125"/>
    <cellStyle name="_FTQ Tri Charts March`05_Restructuring_Separation_TAX_JuneFC2010 tf_Guidance 2" xfId="4126"/>
    <cellStyle name="_FTQ Tri Charts March`05_Restructuring_Separation_TAX_JuneFC2010 tf_Guidance_BS retrieve" xfId="4127"/>
    <cellStyle name="_FTQ Tri Charts March`05_Restructuring_Separation_TAX_JuneFC2010 tf_Guidance_Free CF" xfId="4128"/>
    <cellStyle name="_FTQ Tri Charts March`05_Restructuring_Separation_TAX_JuneFC2010 tf_Guidance_P&amp;L Rec Qtr" xfId="4129"/>
    <cellStyle name="_FTQ Tri Charts March`05_Restructuring_Separation_TAX_JuneFC2010 tf_Guidance_Sheet1" xfId="4130"/>
    <cellStyle name="_FTQ Tri Charts March`05_Restructuring_Separation_TAX_JuneFC2010 tf_Guidance_Sheet2" xfId="4131"/>
    <cellStyle name="_FTQ Tri Charts March`05_Restructuring_Separation_TAX_JuneFC2010 tf_Guidance_Sheet3" xfId="4132"/>
    <cellStyle name="_FTQ Tri Charts March`05_Restructuring_Separation_TAX_JuneFC2010 tf_Guidance_Sheet4" xfId="4133"/>
    <cellStyle name="_FTQ Tri Charts March`05_Restructuring_Separation_TAX_JuneFC2010 tf_II.8. Sep&amp;Discrete" xfId="4134"/>
    <cellStyle name="_FTQ Tri Charts March`05_Restructuring_Separation_TAX_JuneFC2010 tf_II.8. Sep&amp;Discrete_Guidance" xfId="4135"/>
    <cellStyle name="_FTQ Tri Charts March`05_Restructuring_Separation_TAX_JuneFC2010 tf_II.8. Sep&amp;Discrete_Guidance 2" xfId="4136"/>
    <cellStyle name="_FTQ Tri Charts March`05_Restructuring_Separation_TAX_JuneFC2010 tf_II.8. Sep&amp;Discrete_Guidance_BS retrieve" xfId="4137"/>
    <cellStyle name="_FTQ Tri Charts March`05_Restructuring_Separation_TAX_JuneFC2010 tf_II.8. Sep&amp;Discrete_Guidance_Free CF" xfId="4138"/>
    <cellStyle name="_FTQ Tri Charts March`05_Restructuring_Separation_TAX_JuneFC2010 tf_II.8. Sep&amp;Discrete_Guidance_P&amp;L Rec Qtr" xfId="4139"/>
    <cellStyle name="_FTQ Tri Charts March`05_Restructuring_Separation_TAX_JuneFC2010 tf_II.8. Sep&amp;Discrete_Guidance_Sheet1" xfId="4140"/>
    <cellStyle name="_FTQ Tri Charts March`05_Restructuring_Separation_TAX_JuneFC2010 tf_II.8. Sep&amp;Discrete_Guidance_Sheet2" xfId="4141"/>
    <cellStyle name="_FTQ Tri Charts March`05_Restructuring_Separation_TAX_JuneFC2010 tf_II.8. Sep&amp;Discrete_Guidance_Sheet3" xfId="4142"/>
    <cellStyle name="_FTQ Tri Charts March`05_Restructuring_Separation_TAX_JuneFC2010 tf_II.8. Sep&amp;Discrete_Guidance_Sheet4" xfId="4143"/>
    <cellStyle name="_FTQ Tri Charts March`05_Restructuring_Separation_TAX_JuneFC2010 tf_Restructuring &amp; Separation" xfId="4144"/>
    <cellStyle name="_FTQ Tri Charts March`05_Restructuring_Separation_TAX_JuneFC2010 tf_Restructuring &amp; Separation_Guidance" xfId="4145"/>
    <cellStyle name="_FTQ Tri Charts March`05_Restructuring_Separation_TAX_JuneFC2010 tf_Restructuring &amp; Separation_Guidance 2" xfId="4146"/>
    <cellStyle name="_FTQ Tri Charts March`05_Restructuring_Separation_TAX_JuneFC2010 tf_Restructuring &amp; Separation_Guidance_BS retrieve" xfId="4147"/>
    <cellStyle name="_FTQ Tri Charts March`05_Restructuring_Separation_TAX_JuneFC2010 tf_Restructuring &amp; Separation_Guidance_Free CF" xfId="4148"/>
    <cellStyle name="_FTQ Tri Charts March`05_Restructuring_Separation_TAX_JuneFC2010 tf_Restructuring &amp; Separation_Guidance_P&amp;L Rec Qtr" xfId="4149"/>
    <cellStyle name="_FTQ Tri Charts March`05_Restructuring_Separation_TAX_JuneFC2010 tf_Restructuring &amp; Separation_Guidance_Sheet1" xfId="4150"/>
    <cellStyle name="_FTQ Tri Charts March`05_Restructuring_Separation_TAX_JuneFC2010 tf_Restructuring &amp; Separation_Guidance_Sheet2" xfId="4151"/>
    <cellStyle name="_FTQ Tri Charts March`05_Restructuring_Separation_TAX_JuneFC2010 tf_Restructuring &amp; Separation_Guidance_Sheet3" xfId="4152"/>
    <cellStyle name="_FTQ Tri Charts March`05_Restructuring_Separation_TAX_JuneFC2010 tf_Restructuring &amp; Separation_Guidance_Sheet4" xfId="4153"/>
    <cellStyle name="_II.2. Qtly Fin-Bridge" xfId="4154"/>
    <cellStyle name="_II.2. Qtly Fin-Bridge 2" xfId="4155"/>
    <cellStyle name="_II.2. Qtly Fin-Bridge_BS retrieve" xfId="4156"/>
    <cellStyle name="_II.2. Qtly Fin-Bridge_Free CF" xfId="4157"/>
    <cellStyle name="_II.2. Qtly Fin-Bridge_II.8. Sep&amp;Discrete" xfId="4158"/>
    <cellStyle name="_II.2. Qtly Fin-Bridge_II.8. Sep&amp;Discrete_Guidance" xfId="4159"/>
    <cellStyle name="_II.2. Qtly Fin-Bridge_II.8. Sep&amp;Discrete_Guidance 2" xfId="4160"/>
    <cellStyle name="_II.2. Qtly Fin-Bridge_II.8. Sep&amp;Discrete_Guidance_BS retrieve" xfId="4161"/>
    <cellStyle name="_II.2. Qtly Fin-Bridge_II.8. Sep&amp;Discrete_Guidance_Free CF" xfId="4162"/>
    <cellStyle name="_II.2. Qtly Fin-Bridge_II.8. Sep&amp;Discrete_Guidance_P&amp;L Rec Qtr" xfId="4163"/>
    <cellStyle name="_II.2. Qtly Fin-Bridge_II.8. Sep&amp;Discrete_Guidance_Sheet1" xfId="4164"/>
    <cellStyle name="_II.2. Qtly Fin-Bridge_II.8. Sep&amp;Discrete_Guidance_Sheet2" xfId="4165"/>
    <cellStyle name="_II.2. Qtly Fin-Bridge_II.8. Sep&amp;Discrete_Guidance_Sheet3" xfId="4166"/>
    <cellStyle name="_II.2. Qtly Fin-Bridge_II.8. Sep&amp;Discrete_Guidance_Sheet4" xfId="4167"/>
    <cellStyle name="_II.2. Qtly Fin-Bridge_P&amp;L Rec Qtr" xfId="4168"/>
    <cellStyle name="_II.2. Qtly Fin-Bridge_Restructuring &amp; Separation" xfId="4169"/>
    <cellStyle name="_II.2. Qtly Fin-Bridge_Restructuring &amp; Separation_Guidance" xfId="4170"/>
    <cellStyle name="_II.2. Qtly Fin-Bridge_Restructuring &amp; Separation_Guidance 2" xfId="4171"/>
    <cellStyle name="_II.2. Qtly Fin-Bridge_Restructuring &amp; Separation_Guidance_BS retrieve" xfId="4172"/>
    <cellStyle name="_II.2. Qtly Fin-Bridge_Restructuring &amp; Separation_Guidance_Free CF" xfId="4173"/>
    <cellStyle name="_II.2. Qtly Fin-Bridge_Restructuring &amp; Separation_Guidance_P&amp;L Rec Qtr" xfId="4174"/>
    <cellStyle name="_II.2. Qtly Fin-Bridge_Restructuring &amp; Separation_Guidance_Sheet1" xfId="4175"/>
    <cellStyle name="_II.2. Qtly Fin-Bridge_Restructuring &amp; Separation_Guidance_Sheet2" xfId="4176"/>
    <cellStyle name="_II.2. Qtly Fin-Bridge_Restructuring &amp; Separation_Guidance_Sheet3" xfId="4177"/>
    <cellStyle name="_II.2. Qtly Fin-Bridge_Restructuring &amp; Separation_Guidance_Sheet4" xfId="4178"/>
    <cellStyle name="_II.2. Qtly Fin-Bridge_Sheet1" xfId="4179"/>
    <cellStyle name="_II.2. Qtly Fin-Bridge_Sheet2" xfId="4180"/>
    <cellStyle name="_II.2. Qtly Fin-Bridge_Sheet3" xfId="4181"/>
    <cellStyle name="_II.2. Qtly Fin-Bridge_Sheet4" xfId="4182"/>
    <cellStyle name="_II.5. RawMaterials" xfId="4183"/>
    <cellStyle name="_II.5. RawMaterials 2" xfId="4184"/>
    <cellStyle name="_II.5. RawMaterials_BS retrieve" xfId="4185"/>
    <cellStyle name="_II.5. RawMaterials_Free CF" xfId="4186"/>
    <cellStyle name="_II.5. RawMaterials_P&amp;L Rec Qtr" xfId="4187"/>
    <cellStyle name="_II.5. RawMaterials_Sheet1" xfId="4188"/>
    <cellStyle name="_II.5. RawMaterials_Sheet2" xfId="4189"/>
    <cellStyle name="_II.5. RawMaterials_Sheet3" xfId="4190"/>
    <cellStyle name="_II.5. RawMaterials_Sheet4" xfId="4191"/>
    <cellStyle name="_II.6. RawMaterials" xfId="4192"/>
    <cellStyle name="_II.6. RawMaterials 2" xfId="4193"/>
    <cellStyle name="_II.6. RawMaterials_BS retrieve" xfId="4194"/>
    <cellStyle name="_II.6. RawMaterials_Free CF" xfId="4195"/>
    <cellStyle name="_II.6. RawMaterials_P&amp;L Rec Qtr" xfId="4196"/>
    <cellStyle name="_II.6. RawMaterials_Sheet1" xfId="4197"/>
    <cellStyle name="_II.6. RawMaterials_Sheet2" xfId="4198"/>
    <cellStyle name="_II.6. RawMaterials_Sheet3" xfId="4199"/>
    <cellStyle name="_II.6. RawMaterials_Sheet4" xfId="4200"/>
    <cellStyle name="_II.7. RM Volume Sensitivities" xfId="4201"/>
    <cellStyle name="_II.7. RM Volume Sensitivities 2" xfId="4202"/>
    <cellStyle name="_II.7. RM Volume Sensitivities_BS retrieve" xfId="4203"/>
    <cellStyle name="_II.7. RM Volume Sensitivities_Free CF" xfId="4204"/>
    <cellStyle name="_II.7. RM Volume Sensitivities_P&amp;L Rec Qtr" xfId="4205"/>
    <cellStyle name="_II.7. RM Volume Sensitivities_Sheet1" xfId="4206"/>
    <cellStyle name="_II.7. RM Volume Sensitivities_Sheet2" xfId="4207"/>
    <cellStyle name="_II.7. RM Volume Sensitivities_Sheet3" xfId="4208"/>
    <cellStyle name="_II.7. RM Volume Sensitivities_Sheet4" xfId="4209"/>
    <cellStyle name="_IncStatement (monthly)" xfId="4210"/>
    <cellStyle name="_Labor" xfId="4211"/>
    <cellStyle name="_Labor_BS_Separation_TaxResIndem_Q12412 tf" xfId="4212"/>
    <cellStyle name="_Labor_BS_Separation_TaxResIndem_Q12412 tf_Guidance" xfId="4213"/>
    <cellStyle name="_Labor_BS_Separation_TaxResIndem_Q12412 tf_Guidance 2" xfId="4214"/>
    <cellStyle name="_Labor_BS_Separation_TaxResIndem_Q12412 tf_Guidance_BS retrieve" xfId="4215"/>
    <cellStyle name="_Labor_BS_Separation_TaxResIndem_Q12412 tf_Guidance_Free CF" xfId="4216"/>
    <cellStyle name="_Labor_BS_Separation_TaxResIndem_Q12412 tf_Guidance_P&amp;L Rec Qtr" xfId="4217"/>
    <cellStyle name="_Labor_BS_Separation_TaxResIndem_Q12412 tf_Guidance_Sheet1" xfId="4218"/>
    <cellStyle name="_Labor_BS_Separation_TaxResIndem_Q12412 tf_Guidance_Sheet2" xfId="4219"/>
    <cellStyle name="_Labor_BS_Separation_TaxResIndem_Q12412 tf_Guidance_Sheet3" xfId="4220"/>
    <cellStyle name="_Labor_BS_Separation_TaxResIndem_Q12412 tf_Guidance_Sheet4" xfId="4221"/>
    <cellStyle name="_Labor_BS_Separation_TaxResIndem_Q12412 tf_Restructuring &amp; Separation" xfId="4222"/>
    <cellStyle name="_Labor_BS_Separation_TaxResIndem_Q12412 tf_Restructuring &amp; Separation_Guidance" xfId="4223"/>
    <cellStyle name="_Labor_BS_Separation_TaxResIndem_Q12412 tf_Restructuring &amp; Separation_Guidance 2" xfId="4224"/>
    <cellStyle name="_Labor_BS_Separation_TaxResIndem_Q12412 tf_Restructuring &amp; Separation_Guidance_BS retrieve" xfId="4225"/>
    <cellStyle name="_Labor_BS_Separation_TaxResIndem_Q12412 tf_Restructuring &amp; Separation_Guidance_Free CF" xfId="4226"/>
    <cellStyle name="_Labor_BS_Separation_TaxResIndem_Q12412 tf_Restructuring &amp; Separation_Guidance_P&amp;L Rec Qtr" xfId="4227"/>
    <cellStyle name="_Labor_BS_Separation_TaxResIndem_Q12412 tf_Restructuring &amp; Separation_Guidance_Sheet1" xfId="4228"/>
    <cellStyle name="_Labor_BS_Separation_TaxResIndem_Q12412 tf_Restructuring &amp; Separation_Guidance_Sheet2" xfId="4229"/>
    <cellStyle name="_Labor_BS_Separation_TaxResIndem_Q12412 tf_Restructuring &amp; Separation_Guidance_Sheet3" xfId="4230"/>
    <cellStyle name="_Labor_BS_Separation_TaxResIndem_Q12412 tf_Restructuring &amp; Separation_Guidance_Sheet4" xfId="4231"/>
    <cellStyle name="_Labor_Guidance" xfId="4232"/>
    <cellStyle name="_Labor_Guidance 2" xfId="4233"/>
    <cellStyle name="_Labor_Guidance_BS retrieve" xfId="4234"/>
    <cellStyle name="_Labor_Guidance_Free CF" xfId="4235"/>
    <cellStyle name="_Labor_Guidance_P&amp;L Rec Qtr" xfId="4236"/>
    <cellStyle name="_Labor_Guidance_Sheet1" xfId="4237"/>
    <cellStyle name="_Labor_Guidance_Sheet2" xfId="4238"/>
    <cellStyle name="_Labor_Guidance_Sheet3" xfId="4239"/>
    <cellStyle name="_Labor_Guidance_Sheet4" xfId="4240"/>
    <cellStyle name="_Labor_II.8. Sep&amp;Discrete" xfId="4241"/>
    <cellStyle name="_Labor_II.8. Sep&amp;Discrete_Guidance" xfId="4242"/>
    <cellStyle name="_Labor_II.8. Sep&amp;Discrete_Guidance 2" xfId="4243"/>
    <cellStyle name="_Labor_II.8. Sep&amp;Discrete_Guidance_BS retrieve" xfId="4244"/>
    <cellStyle name="_Labor_II.8. Sep&amp;Discrete_Guidance_Free CF" xfId="4245"/>
    <cellStyle name="_Labor_II.8. Sep&amp;Discrete_Guidance_P&amp;L Rec Qtr" xfId="4246"/>
    <cellStyle name="_Labor_II.8. Sep&amp;Discrete_Guidance_Sheet1" xfId="4247"/>
    <cellStyle name="_Labor_II.8. Sep&amp;Discrete_Guidance_Sheet2" xfId="4248"/>
    <cellStyle name="_Labor_II.8. Sep&amp;Discrete_Guidance_Sheet3" xfId="4249"/>
    <cellStyle name="_Labor_II.8. Sep&amp;Discrete_Guidance_Sheet4" xfId="4250"/>
    <cellStyle name="_Labor_Restructuring &amp; Separation" xfId="4251"/>
    <cellStyle name="_Labor_Restructuring &amp; Separation_Guidance" xfId="4252"/>
    <cellStyle name="_Labor_Restructuring &amp; Separation_Guidance 2" xfId="4253"/>
    <cellStyle name="_Labor_Restructuring &amp; Separation_Guidance_BS retrieve" xfId="4254"/>
    <cellStyle name="_Labor_Restructuring &amp; Separation_Guidance_Free CF" xfId="4255"/>
    <cellStyle name="_Labor_Restructuring &amp; Separation_Guidance_P&amp;L Rec Qtr" xfId="4256"/>
    <cellStyle name="_Labor_Restructuring &amp; Separation_Guidance_Sheet1" xfId="4257"/>
    <cellStyle name="_Labor_Restructuring &amp; Separation_Guidance_Sheet2" xfId="4258"/>
    <cellStyle name="_Labor_Restructuring &amp; Separation_Guidance_Sheet3" xfId="4259"/>
    <cellStyle name="_Labor_Restructuring &amp; Separation_Guidance_Sheet4" xfId="4260"/>
    <cellStyle name="_Labor_Sheet1" xfId="4261"/>
    <cellStyle name="_Labor_Sheet1_1" xfId="4262"/>
    <cellStyle name="_Labor_Sheet1_1_Guidance" xfId="4263"/>
    <cellStyle name="_Labor_Sheet1_1_Guidance 2" xfId="4264"/>
    <cellStyle name="_Labor_Sheet1_1_Guidance_BS retrieve" xfId="4265"/>
    <cellStyle name="_Labor_Sheet1_1_Guidance_Free CF" xfId="4266"/>
    <cellStyle name="_Labor_Sheet1_1_Guidance_P&amp;L Rec Qtr" xfId="4267"/>
    <cellStyle name="_Labor_Sheet1_1_Guidance_Sheet1" xfId="4268"/>
    <cellStyle name="_Labor_Sheet1_1_Guidance_Sheet2" xfId="4269"/>
    <cellStyle name="_Labor_Sheet1_1_Guidance_Sheet3" xfId="4270"/>
    <cellStyle name="_Labor_Sheet1_1_Guidance_Sheet4" xfId="4271"/>
    <cellStyle name="_Labor_Sheet1_1_Restructuring &amp; Separation" xfId="4272"/>
    <cellStyle name="_Labor_Sheet1_1_Restructuring &amp; Separation_Guidance" xfId="4273"/>
    <cellStyle name="_Labor_Sheet1_1_Restructuring &amp; Separation_Guidance 2" xfId="4274"/>
    <cellStyle name="_Labor_Sheet1_1_Restructuring &amp; Separation_Guidance_BS retrieve" xfId="4275"/>
    <cellStyle name="_Labor_Sheet1_1_Restructuring &amp; Separation_Guidance_Free CF" xfId="4276"/>
    <cellStyle name="_Labor_Sheet1_1_Restructuring &amp; Separation_Guidance_P&amp;L Rec Qtr" xfId="4277"/>
    <cellStyle name="_Labor_Sheet1_1_Restructuring &amp; Separation_Guidance_Sheet1" xfId="4278"/>
    <cellStyle name="_Labor_Sheet1_1_Restructuring &amp; Separation_Guidance_Sheet2" xfId="4279"/>
    <cellStyle name="_Labor_Sheet1_1_Restructuring &amp; Separation_Guidance_Sheet3" xfId="4280"/>
    <cellStyle name="_Labor_Sheet1_1_Restructuring &amp; Separation_Guidance_Sheet4" xfId="4281"/>
    <cellStyle name="_Labor_Sheet1_BS_Separation_TaxResIndem_Q12412 tf" xfId="4282"/>
    <cellStyle name="_Labor_Sheet1_BS_Separation_TaxResIndem_Q12412 tf_Guidance" xfId="4283"/>
    <cellStyle name="_Labor_Sheet1_BS_Separation_TaxResIndem_Q12412 tf_Guidance 2" xfId="4284"/>
    <cellStyle name="_Labor_Sheet1_BS_Separation_TaxResIndem_Q12412 tf_Guidance_BS retrieve" xfId="4285"/>
    <cellStyle name="_Labor_Sheet1_BS_Separation_TaxResIndem_Q12412 tf_Guidance_Free CF" xfId="4286"/>
    <cellStyle name="_Labor_Sheet1_BS_Separation_TaxResIndem_Q12412 tf_Guidance_P&amp;L Rec Qtr" xfId="4287"/>
    <cellStyle name="_Labor_Sheet1_BS_Separation_TaxResIndem_Q12412 tf_Guidance_Sheet1" xfId="4288"/>
    <cellStyle name="_Labor_Sheet1_BS_Separation_TaxResIndem_Q12412 tf_Guidance_Sheet2" xfId="4289"/>
    <cellStyle name="_Labor_Sheet1_BS_Separation_TaxResIndem_Q12412 tf_Guidance_Sheet3" xfId="4290"/>
    <cellStyle name="_Labor_Sheet1_BS_Separation_TaxResIndem_Q12412 tf_Guidance_Sheet4" xfId="4291"/>
    <cellStyle name="_Labor_Sheet1_BS_Separation_TaxResIndem_Q12412 tf_Restructuring &amp; Separation" xfId="4292"/>
    <cellStyle name="_Labor_Sheet1_BS_Separation_TaxResIndem_Q12412 tf_Restructuring &amp; Separation_Guidance" xfId="4293"/>
    <cellStyle name="_Labor_Sheet1_BS_Separation_TaxResIndem_Q12412 tf_Restructuring &amp; Separation_Guidance 2" xfId="4294"/>
    <cellStyle name="_Labor_Sheet1_BS_Separation_TaxResIndem_Q12412 tf_Restructuring &amp; Separation_Guidance_BS retrieve" xfId="4295"/>
    <cellStyle name="_Labor_Sheet1_BS_Separation_TaxResIndem_Q12412 tf_Restructuring &amp; Separation_Guidance_Free CF" xfId="4296"/>
    <cellStyle name="_Labor_Sheet1_BS_Separation_TaxResIndem_Q12412 tf_Restructuring &amp; Separation_Guidance_P&amp;L Rec Qtr" xfId="4297"/>
    <cellStyle name="_Labor_Sheet1_BS_Separation_TaxResIndem_Q12412 tf_Restructuring &amp; Separation_Guidance_Sheet1" xfId="4298"/>
    <cellStyle name="_Labor_Sheet1_BS_Separation_TaxResIndem_Q12412 tf_Restructuring &amp; Separation_Guidance_Sheet2" xfId="4299"/>
    <cellStyle name="_Labor_Sheet1_BS_Separation_TaxResIndem_Q12412 tf_Restructuring &amp; Separation_Guidance_Sheet3" xfId="4300"/>
    <cellStyle name="_Labor_Sheet1_BS_Separation_TaxResIndem_Q12412 tf_Restructuring &amp; Separation_Guidance_Sheet4" xfId="4301"/>
    <cellStyle name="_Labor_Sheet1_Guidance" xfId="4302"/>
    <cellStyle name="_Labor_Sheet1_Guidance 2" xfId="4303"/>
    <cellStyle name="_Labor_Sheet1_Guidance_BS retrieve" xfId="4304"/>
    <cellStyle name="_Labor_Sheet1_Guidance_Free CF" xfId="4305"/>
    <cellStyle name="_Labor_Sheet1_Guidance_P&amp;L Rec Qtr" xfId="4306"/>
    <cellStyle name="_Labor_Sheet1_Guidance_Sheet1" xfId="4307"/>
    <cellStyle name="_Labor_Sheet1_Guidance_Sheet2" xfId="4308"/>
    <cellStyle name="_Labor_Sheet1_Guidance_Sheet3" xfId="4309"/>
    <cellStyle name="_Labor_Sheet1_Guidance_Sheet4" xfId="4310"/>
    <cellStyle name="_Labor_Sheet1_II.8. Sep&amp;Discrete" xfId="4311"/>
    <cellStyle name="_Labor_Sheet1_II.8. Sep&amp;Discrete_Guidance" xfId="4312"/>
    <cellStyle name="_Labor_Sheet1_II.8. Sep&amp;Discrete_Guidance 2" xfId="4313"/>
    <cellStyle name="_Labor_Sheet1_II.8. Sep&amp;Discrete_Guidance_BS retrieve" xfId="4314"/>
    <cellStyle name="_Labor_Sheet1_II.8. Sep&amp;Discrete_Guidance_Free CF" xfId="4315"/>
    <cellStyle name="_Labor_Sheet1_II.8. Sep&amp;Discrete_Guidance_P&amp;L Rec Qtr" xfId="4316"/>
    <cellStyle name="_Labor_Sheet1_II.8. Sep&amp;Discrete_Guidance_Sheet1" xfId="4317"/>
    <cellStyle name="_Labor_Sheet1_II.8. Sep&amp;Discrete_Guidance_Sheet2" xfId="4318"/>
    <cellStyle name="_Labor_Sheet1_II.8. Sep&amp;Discrete_Guidance_Sheet3" xfId="4319"/>
    <cellStyle name="_Labor_Sheet1_II.8. Sep&amp;Discrete_Guidance_Sheet4" xfId="4320"/>
    <cellStyle name="_Labor_Sheet1_Restructuring &amp; Separation" xfId="4321"/>
    <cellStyle name="_Labor_Sheet1_Restructuring &amp; Separation_Guidance" xfId="4322"/>
    <cellStyle name="_Labor_Sheet1_Restructuring &amp; Separation_Guidance 2" xfId="4323"/>
    <cellStyle name="_Labor_Sheet1_Restructuring &amp; Separation_Guidance_BS retrieve" xfId="4324"/>
    <cellStyle name="_Labor_Sheet1_Restructuring &amp; Separation_Guidance_Free CF" xfId="4325"/>
    <cellStyle name="_Labor_Sheet1_Restructuring &amp; Separation_Guidance_P&amp;L Rec Qtr" xfId="4326"/>
    <cellStyle name="_Labor_Sheet1_Restructuring &amp; Separation_Guidance_Sheet1" xfId="4327"/>
    <cellStyle name="_Labor_Sheet1_Restructuring &amp; Separation_Guidance_Sheet2" xfId="4328"/>
    <cellStyle name="_Labor_Sheet1_Restructuring &amp; Separation_Guidance_Sheet3" xfId="4329"/>
    <cellStyle name="_Labor_Sheet1_Restructuring &amp; Separation_Guidance_Sheet4" xfId="4330"/>
    <cellStyle name="_MOR - Australia -  EC - 1+11" xfId="4331"/>
    <cellStyle name="_MOR - Australia -  EC - 1+11_BS_Separation_TaxResIndem_Q12412 tf" xfId="4332"/>
    <cellStyle name="_MOR - Australia -  EC - 1+11_BS_Separation_TaxResIndem_Q12412 tf_Guidance" xfId="4333"/>
    <cellStyle name="_MOR - Australia -  EC - 1+11_BS_Separation_TaxResIndem_Q12412 tf_Guidance 2" xfId="4334"/>
    <cellStyle name="_MOR - Australia -  EC - 1+11_BS_Separation_TaxResIndem_Q12412 tf_Guidance_BS retrieve" xfId="4335"/>
    <cellStyle name="_MOR - Australia -  EC - 1+11_BS_Separation_TaxResIndem_Q12412 tf_Guidance_Free CF" xfId="4336"/>
    <cellStyle name="_MOR - Australia -  EC - 1+11_BS_Separation_TaxResIndem_Q12412 tf_Guidance_P&amp;L Rec Qtr" xfId="4337"/>
    <cellStyle name="_MOR - Australia -  EC - 1+11_BS_Separation_TaxResIndem_Q12412 tf_Guidance_Sheet1" xfId="4338"/>
    <cellStyle name="_MOR - Australia -  EC - 1+11_BS_Separation_TaxResIndem_Q12412 tf_Guidance_Sheet2" xfId="4339"/>
    <cellStyle name="_MOR - Australia -  EC - 1+11_BS_Separation_TaxResIndem_Q12412 tf_Guidance_Sheet3" xfId="4340"/>
    <cellStyle name="_MOR - Australia -  EC - 1+11_BS_Separation_TaxResIndem_Q12412 tf_Guidance_Sheet4" xfId="4341"/>
    <cellStyle name="_MOR - Australia -  EC - 1+11_BS_Separation_TaxResIndem_Q12412 tf_Restructuring &amp; Separation" xfId="4342"/>
    <cellStyle name="_MOR - Australia -  EC - 1+11_BS_Separation_TaxResIndem_Q12412 tf_Restructuring &amp; Separation_Guidance" xfId="4343"/>
    <cellStyle name="_MOR - Australia -  EC - 1+11_BS_Separation_TaxResIndem_Q12412 tf_Restructuring &amp; Separation_Guidance 2" xfId="4344"/>
    <cellStyle name="_MOR - Australia -  EC - 1+11_BS_Separation_TaxResIndem_Q12412 tf_Restructuring &amp; Separation_Guidance_BS retrieve" xfId="4345"/>
    <cellStyle name="_MOR - Australia -  EC - 1+11_BS_Separation_TaxResIndem_Q12412 tf_Restructuring &amp; Separation_Guidance_Free CF" xfId="4346"/>
    <cellStyle name="_MOR - Australia -  EC - 1+11_BS_Separation_TaxResIndem_Q12412 tf_Restructuring &amp; Separation_Guidance_P&amp;L Rec Qtr" xfId="4347"/>
    <cellStyle name="_MOR - Australia -  EC - 1+11_BS_Separation_TaxResIndem_Q12412 tf_Restructuring &amp; Separation_Guidance_Sheet1" xfId="4348"/>
    <cellStyle name="_MOR - Australia -  EC - 1+11_BS_Separation_TaxResIndem_Q12412 tf_Restructuring &amp; Separation_Guidance_Sheet2" xfId="4349"/>
    <cellStyle name="_MOR - Australia -  EC - 1+11_BS_Separation_TaxResIndem_Q12412 tf_Restructuring &amp; Separation_Guidance_Sheet3" xfId="4350"/>
    <cellStyle name="_MOR - Australia -  EC - 1+11_BS_Separation_TaxResIndem_Q12412 tf_Restructuring &amp; Separation_Guidance_Sheet4" xfId="4351"/>
    <cellStyle name="_MOR - Australia -  EC - 1+11_By Country Detail 1Q10 041410pm FIN 18 revised per disc w Mary" xfId="4352"/>
    <cellStyle name="_MOR - Australia -  EC - 1+11_By Country Detail 1Q10 041410pm FIN 18 revised per disc w Mary_BS_Separation_TaxResIndem_Q12412 tf" xfId="4353"/>
    <cellStyle name="_MOR - Australia -  EC - 1+11_By Country Detail 1Q10 041410pm FIN 18 revised per disc w Mary_BS_Separation_TaxResIndem_Q12412 tf_Guidance" xfId="4354"/>
    <cellStyle name="_MOR - Australia -  EC - 1+11_By Country Detail 1Q10 041410pm FIN 18 revised per disc w Mary_BS_Separation_TaxResIndem_Q12412 tf_Guidance 2" xfId="4355"/>
    <cellStyle name="_MOR - Australia -  EC - 1+11_By Country Detail 1Q10 041410pm FIN 18 revised per disc w Mary_BS_Separation_TaxResIndem_Q12412 tf_Guidance_BS retrieve" xfId="4356"/>
    <cellStyle name="_MOR - Australia -  EC - 1+11_By Country Detail 1Q10 041410pm FIN 18 revised per disc w Mary_BS_Separation_TaxResIndem_Q12412 tf_Guidance_Free CF" xfId="4357"/>
    <cellStyle name="_MOR - Australia -  EC - 1+11_By Country Detail 1Q10 041410pm FIN 18 revised per disc w Mary_BS_Separation_TaxResIndem_Q12412 tf_Guidance_P&amp;L Rec Qtr" xfId="4358"/>
    <cellStyle name="_MOR - Australia -  EC - 1+11_By Country Detail 1Q10 041410pm FIN 18 revised per disc w Mary_BS_Separation_TaxResIndem_Q12412 tf_Guidance_Sheet1" xfId="4359"/>
    <cellStyle name="_MOR - Australia -  EC - 1+11_By Country Detail 1Q10 041410pm FIN 18 revised per disc w Mary_BS_Separation_TaxResIndem_Q12412 tf_Guidance_Sheet2" xfId="4360"/>
    <cellStyle name="_MOR - Australia -  EC - 1+11_By Country Detail 1Q10 041410pm FIN 18 revised per disc w Mary_BS_Separation_TaxResIndem_Q12412 tf_Guidance_Sheet3" xfId="4361"/>
    <cellStyle name="_MOR - Australia -  EC - 1+11_By Country Detail 1Q10 041410pm FIN 18 revised per disc w Mary_BS_Separation_TaxResIndem_Q12412 tf_Guidance_Sheet4" xfId="4362"/>
    <cellStyle name="_MOR - Australia -  EC - 1+11_By Country Detail 1Q10 041410pm FIN 18 revised per disc w Mary_BS_Separation_TaxResIndem_Q12412 tf_Restructuring &amp; Separation" xfId="4363"/>
    <cellStyle name="_MOR - Australia -  EC - 1+11_By Country Detail 1Q10 041410pm FIN 18 revised per disc w Mary_BS_Separation_TaxResIndem_Q12412 tf_Restructuring &amp; Separation_Guidance" xfId="4364"/>
    <cellStyle name="_MOR - Australia -  EC - 1+11_By Country Detail 1Q10 041410pm FIN 18 revised per disc w Mary_BS_Separation_TaxResIndem_Q12412 tf_Restructuring &amp; Separation_Guidance 2" xfId="4365"/>
    <cellStyle name="_MOR - Australia -  EC - 1+11_By Country Detail 1Q10 041410pm FIN 18 revised per disc w Mary_BS_Separation_TaxResIndem_Q12412 tf_Restructuring &amp; Separation_Guidance_BS retrieve" xfId="4366"/>
    <cellStyle name="_MOR - Australia -  EC - 1+11_By Country Detail 1Q10 041410pm FIN 18 revised per disc w Mary_BS_Separation_TaxResIndem_Q12412 tf_Restructuring &amp; Separation_Guidance_Free CF" xfId="4367"/>
    <cellStyle name="_MOR - Australia -  EC - 1+11_By Country Detail 1Q10 041410pm FIN 18 revised per disc w Mary_BS_Separation_TaxResIndem_Q12412 tf_Restructuring &amp; Separation_Guidance_P&amp;L Rec Qtr" xfId="4368"/>
    <cellStyle name="_MOR - Australia -  EC - 1+11_By Country Detail 1Q10 041410pm FIN 18 revised per disc w Mary_BS_Separation_TaxResIndem_Q12412 tf_Restructuring &amp; Separation_Guidance_Sheet1" xfId="4369"/>
    <cellStyle name="_MOR - Australia -  EC - 1+11_By Country Detail 1Q10 041410pm FIN 18 revised per disc w Mary_BS_Separation_TaxResIndem_Q12412 tf_Restructuring &amp; Separation_Guidance_Sheet2" xfId="4370"/>
    <cellStyle name="_MOR - Australia -  EC - 1+11_By Country Detail 1Q10 041410pm FIN 18 revised per disc w Mary_BS_Separation_TaxResIndem_Q12412 tf_Restructuring &amp; Separation_Guidance_Sheet3" xfId="4371"/>
    <cellStyle name="_MOR - Australia -  EC - 1+11_By Country Detail 1Q10 041410pm FIN 18 revised per disc w Mary_BS_Separation_TaxResIndem_Q12412 tf_Restructuring &amp; Separation_Guidance_Sheet4" xfId="4372"/>
    <cellStyle name="_MOR - Australia -  EC - 1+11_By Country Detail 1Q10 041410pm FIN 18 revised per disc w Mary_Guidance" xfId="4373"/>
    <cellStyle name="_MOR - Australia -  EC - 1+11_By Country Detail 1Q10 041410pm FIN 18 revised per disc w Mary_Guidance 2" xfId="4374"/>
    <cellStyle name="_MOR - Australia -  EC - 1+11_By Country Detail 1Q10 041410pm FIN 18 revised per disc w Mary_Guidance_BS retrieve" xfId="4375"/>
    <cellStyle name="_MOR - Australia -  EC - 1+11_By Country Detail 1Q10 041410pm FIN 18 revised per disc w Mary_Guidance_Free CF" xfId="4376"/>
    <cellStyle name="_MOR - Australia -  EC - 1+11_By Country Detail 1Q10 041410pm FIN 18 revised per disc w Mary_Guidance_P&amp;L Rec Qtr" xfId="4377"/>
    <cellStyle name="_MOR - Australia -  EC - 1+11_By Country Detail 1Q10 041410pm FIN 18 revised per disc w Mary_Guidance_Sheet1" xfId="4378"/>
    <cellStyle name="_MOR - Australia -  EC - 1+11_By Country Detail 1Q10 041410pm FIN 18 revised per disc w Mary_Guidance_Sheet2" xfId="4379"/>
    <cellStyle name="_MOR - Australia -  EC - 1+11_By Country Detail 1Q10 041410pm FIN 18 revised per disc w Mary_Guidance_Sheet3" xfId="4380"/>
    <cellStyle name="_MOR - Australia -  EC - 1+11_By Country Detail 1Q10 041410pm FIN 18 revised per disc w Mary_Guidance_Sheet4" xfId="4381"/>
    <cellStyle name="_MOR - Australia -  EC - 1+11_By Country Detail 1Q10 041410pm FIN 18 revised per disc w Mary_II.8. Sep&amp;Discrete" xfId="4382"/>
    <cellStyle name="_MOR - Australia -  EC - 1+11_By Country Detail 1Q10 041410pm FIN 18 revised per disc w Mary_II.8. Sep&amp;Discrete_Guidance" xfId="4383"/>
    <cellStyle name="_MOR - Australia -  EC - 1+11_By Country Detail 1Q10 041410pm FIN 18 revised per disc w Mary_II.8. Sep&amp;Discrete_Guidance 2" xfId="4384"/>
    <cellStyle name="_MOR - Australia -  EC - 1+11_By Country Detail 1Q10 041410pm FIN 18 revised per disc w Mary_II.8. Sep&amp;Discrete_Guidance_BS retrieve" xfId="4385"/>
    <cellStyle name="_MOR - Australia -  EC - 1+11_By Country Detail 1Q10 041410pm FIN 18 revised per disc w Mary_II.8. Sep&amp;Discrete_Guidance_Free CF" xfId="4386"/>
    <cellStyle name="_MOR - Australia -  EC - 1+11_By Country Detail 1Q10 041410pm FIN 18 revised per disc w Mary_II.8. Sep&amp;Discrete_Guidance_P&amp;L Rec Qtr" xfId="4387"/>
    <cellStyle name="_MOR - Australia -  EC - 1+11_By Country Detail 1Q10 041410pm FIN 18 revised per disc w Mary_II.8. Sep&amp;Discrete_Guidance_Sheet1" xfId="4388"/>
    <cellStyle name="_MOR - Australia -  EC - 1+11_By Country Detail 1Q10 041410pm FIN 18 revised per disc w Mary_II.8. Sep&amp;Discrete_Guidance_Sheet2" xfId="4389"/>
    <cellStyle name="_MOR - Australia -  EC - 1+11_By Country Detail 1Q10 041410pm FIN 18 revised per disc w Mary_II.8. Sep&amp;Discrete_Guidance_Sheet3" xfId="4390"/>
    <cellStyle name="_MOR - Australia -  EC - 1+11_By Country Detail 1Q10 041410pm FIN 18 revised per disc w Mary_II.8. Sep&amp;Discrete_Guidance_Sheet4" xfId="4391"/>
    <cellStyle name="_MOR - Australia -  EC - 1+11_By Country Detail 1Q10 041410pm FIN 18 revised per disc w Mary_Restructuring &amp; Separation" xfId="4392"/>
    <cellStyle name="_MOR - Australia -  EC - 1+11_By Country Detail 1Q10 041410pm FIN 18 revised per disc w Mary_Restructuring &amp; Separation_Guidance" xfId="4393"/>
    <cellStyle name="_MOR - Australia -  EC - 1+11_By Country Detail 1Q10 041410pm FIN 18 revised per disc w Mary_Restructuring &amp; Separation_Guidance 2" xfId="4394"/>
    <cellStyle name="_MOR - Australia -  EC - 1+11_By Country Detail 1Q10 041410pm FIN 18 revised per disc w Mary_Restructuring &amp; Separation_Guidance_BS retrieve" xfId="4395"/>
    <cellStyle name="_MOR - Australia -  EC - 1+11_By Country Detail 1Q10 041410pm FIN 18 revised per disc w Mary_Restructuring &amp; Separation_Guidance_Free CF" xfId="4396"/>
    <cellStyle name="_MOR - Australia -  EC - 1+11_By Country Detail 1Q10 041410pm FIN 18 revised per disc w Mary_Restructuring &amp; Separation_Guidance_P&amp;L Rec Qtr" xfId="4397"/>
    <cellStyle name="_MOR - Australia -  EC - 1+11_By Country Detail 1Q10 041410pm FIN 18 revised per disc w Mary_Restructuring &amp; Separation_Guidance_Sheet1" xfId="4398"/>
    <cellStyle name="_MOR - Australia -  EC - 1+11_By Country Detail 1Q10 041410pm FIN 18 revised per disc w Mary_Restructuring &amp; Separation_Guidance_Sheet2" xfId="4399"/>
    <cellStyle name="_MOR - Australia -  EC - 1+11_By Country Detail 1Q10 041410pm FIN 18 revised per disc w Mary_Restructuring &amp; Separation_Guidance_Sheet3" xfId="4400"/>
    <cellStyle name="_MOR - Australia -  EC - 1+11_By Country Detail 1Q10 041410pm FIN 18 revised per disc w Mary_Restructuring &amp; Separation_Guidance_Sheet4" xfId="4401"/>
    <cellStyle name="_MOR - Australia -  EC - 1+11_Guidance" xfId="4402"/>
    <cellStyle name="_MOR - Australia -  EC - 1+11_Guidance 2" xfId="4403"/>
    <cellStyle name="_MOR - Australia -  EC - 1+11_Guidance_BS retrieve" xfId="4404"/>
    <cellStyle name="_MOR - Australia -  EC - 1+11_Guidance_Free CF" xfId="4405"/>
    <cellStyle name="_MOR - Australia -  EC - 1+11_Guidance_P&amp;L Rec Qtr" xfId="4406"/>
    <cellStyle name="_MOR - Australia -  EC - 1+11_Guidance_Sheet1" xfId="4407"/>
    <cellStyle name="_MOR - Australia -  EC - 1+11_Guidance_Sheet2" xfId="4408"/>
    <cellStyle name="_MOR - Australia -  EC - 1+11_Guidance_Sheet3" xfId="4409"/>
    <cellStyle name="_MOR - Australia -  EC - 1+11_Guidance_Sheet4" xfId="4410"/>
    <cellStyle name="_MOR - Australia -  EC - 1+11_II.4. RawMaterials" xfId="4411"/>
    <cellStyle name="_MOR - Australia -  EC - 1+11_II.4. RawMaterials 2" xfId="4412"/>
    <cellStyle name="_MOR - Australia -  EC - 1+11_II.4. RawMaterials_BS retrieve" xfId="4413"/>
    <cellStyle name="_MOR - Australia -  EC - 1+11_II.4. RawMaterials_Free CF" xfId="4414"/>
    <cellStyle name="_MOR - Australia -  EC - 1+11_II.4. RawMaterials_P&amp;L Rec Qtr" xfId="4415"/>
    <cellStyle name="_MOR - Australia -  EC - 1+11_II.4. RawMaterials_Sheet1" xfId="4416"/>
    <cellStyle name="_MOR - Australia -  EC - 1+11_II.4. RawMaterials_Sheet2" xfId="4417"/>
    <cellStyle name="_MOR - Australia -  EC - 1+11_II.4. RawMaterials_Sheet3" xfId="4418"/>
    <cellStyle name="_MOR - Australia -  EC - 1+11_II.4. RawMaterials_Sheet4" xfId="4419"/>
    <cellStyle name="_MOR - Australia -  EC - 1+11_II.5. RawMaterials" xfId="4420"/>
    <cellStyle name="_MOR - Australia -  EC - 1+11_II.5. RawMaterials 2" xfId="4421"/>
    <cellStyle name="_MOR - Australia -  EC - 1+11_II.5. RawMaterials_BS retrieve" xfId="4422"/>
    <cellStyle name="_MOR - Australia -  EC - 1+11_II.5. RawMaterials_Free CF" xfId="4423"/>
    <cellStyle name="_MOR - Australia -  EC - 1+11_II.5. RawMaterials_Guidance" xfId="4424"/>
    <cellStyle name="_MOR - Australia -  EC - 1+11_II.5. RawMaterials_Guidance 2" xfId="4425"/>
    <cellStyle name="_MOR - Australia -  EC - 1+11_II.5. RawMaterials_Guidance_BS retrieve" xfId="4426"/>
    <cellStyle name="_MOR - Australia -  EC - 1+11_II.5. RawMaterials_Guidance_Free CF" xfId="4427"/>
    <cellStyle name="_MOR - Australia -  EC - 1+11_II.5. RawMaterials_Guidance_P&amp;L Rec Qtr" xfId="4428"/>
    <cellStyle name="_MOR - Australia -  EC - 1+11_II.5. RawMaterials_Guidance_Sheet1" xfId="4429"/>
    <cellStyle name="_MOR - Australia -  EC - 1+11_II.5. RawMaterials_Guidance_Sheet2" xfId="4430"/>
    <cellStyle name="_MOR - Australia -  EC - 1+11_II.5. RawMaterials_Guidance_Sheet3" xfId="4431"/>
    <cellStyle name="_MOR - Australia -  EC - 1+11_II.5. RawMaterials_Guidance_Sheet4" xfId="4432"/>
    <cellStyle name="_MOR - Australia -  EC - 1+11_II.5. RawMaterials_P&amp;L Rec Qtr" xfId="4433"/>
    <cellStyle name="_MOR - Australia -  EC - 1+11_II.5. RawMaterials_Sheet1" xfId="4434"/>
    <cellStyle name="_MOR - Australia -  EC - 1+11_II.5. RawMaterials_Sheet2" xfId="4435"/>
    <cellStyle name="_MOR - Australia -  EC - 1+11_II.5. RawMaterials_Sheet3" xfId="4436"/>
    <cellStyle name="_MOR - Australia -  EC - 1+11_II.5. RawMaterials_Sheet4" xfId="4437"/>
    <cellStyle name="_MOR - Australia -  EC - 1+11_II.5. RM Volume Sensitivities" xfId="4438"/>
    <cellStyle name="_MOR - Australia -  EC - 1+11_II.5. RM Volume Sensitivities 2" xfId="4439"/>
    <cellStyle name="_MOR - Australia -  EC - 1+11_II.5. RM Volume Sensitivities_BS retrieve" xfId="4440"/>
    <cellStyle name="_MOR - Australia -  EC - 1+11_II.5. RM Volume Sensitivities_Free CF" xfId="4441"/>
    <cellStyle name="_MOR - Australia -  EC - 1+11_II.5. RM Volume Sensitivities_P&amp;L Rec Qtr" xfId="4442"/>
    <cellStyle name="_MOR - Australia -  EC - 1+11_II.5. RM Volume Sensitivities_Sheet1" xfId="4443"/>
    <cellStyle name="_MOR - Australia -  EC - 1+11_II.5. RM Volume Sensitivities_Sheet2" xfId="4444"/>
    <cellStyle name="_MOR - Australia -  EC - 1+11_II.5. RM Volume Sensitivities_Sheet3" xfId="4445"/>
    <cellStyle name="_MOR - Australia -  EC - 1+11_II.5. RM Volume Sensitivities_Sheet4" xfId="4446"/>
    <cellStyle name="_MOR - Australia -  EC - 1+11_II.8. Sep&amp;Discrete" xfId="4447"/>
    <cellStyle name="_MOR - Australia -  EC - 1+11_II.8. Sep&amp;Discrete_Guidance" xfId="4448"/>
    <cellStyle name="_MOR - Australia -  EC - 1+11_II.8. Sep&amp;Discrete_Guidance 2" xfId="4449"/>
    <cellStyle name="_MOR - Australia -  EC - 1+11_II.8. Sep&amp;Discrete_Guidance_BS retrieve" xfId="4450"/>
    <cellStyle name="_MOR - Australia -  EC - 1+11_II.8. Sep&amp;Discrete_Guidance_Free CF" xfId="4451"/>
    <cellStyle name="_MOR - Australia -  EC - 1+11_II.8. Sep&amp;Discrete_Guidance_P&amp;L Rec Qtr" xfId="4452"/>
    <cellStyle name="_MOR - Australia -  EC - 1+11_II.8. Sep&amp;Discrete_Guidance_Sheet1" xfId="4453"/>
    <cellStyle name="_MOR - Australia -  EC - 1+11_II.8. Sep&amp;Discrete_Guidance_Sheet2" xfId="4454"/>
    <cellStyle name="_MOR - Australia -  EC - 1+11_II.8. Sep&amp;Discrete_Guidance_Sheet3" xfId="4455"/>
    <cellStyle name="_MOR - Australia -  EC - 1+11_II.8. Sep&amp;Discrete_Guidance_Sheet4" xfId="4456"/>
    <cellStyle name="_MOR - Australia -  EC - 1+11_Restructuring &amp; Separation" xfId="4457"/>
    <cellStyle name="_MOR - Australia -  EC - 1+11_Restructuring &amp; Separation_Guidance" xfId="4458"/>
    <cellStyle name="_MOR - Australia -  EC - 1+11_Restructuring &amp; Separation_Guidance 2" xfId="4459"/>
    <cellStyle name="_MOR - Australia -  EC - 1+11_Restructuring &amp; Separation_Guidance_BS retrieve" xfId="4460"/>
    <cellStyle name="_MOR - Australia -  EC - 1+11_Restructuring &amp; Separation_Guidance_Free CF" xfId="4461"/>
    <cellStyle name="_MOR - Australia -  EC - 1+11_Restructuring &amp; Separation_Guidance_P&amp;L Rec Qtr" xfId="4462"/>
    <cellStyle name="_MOR - Australia -  EC - 1+11_Restructuring &amp; Separation_Guidance_Sheet1" xfId="4463"/>
    <cellStyle name="_MOR - Australia -  EC - 1+11_Restructuring &amp; Separation_Guidance_Sheet2" xfId="4464"/>
    <cellStyle name="_MOR - Australia -  EC - 1+11_Restructuring &amp; Separation_Guidance_Sheet3" xfId="4465"/>
    <cellStyle name="_MOR - Australia -  EC - 1+11_Restructuring &amp; Separation_Guidance_Sheet4" xfId="4466"/>
    <cellStyle name="_MOR - Australia -  EC - 1+11_Restructuring_Separation_TAX_JuneFC2010 tf" xfId="4467"/>
    <cellStyle name="_MOR - Australia -  EC - 1+11_Restructuring_Separation_TAX_JuneFC2010 tf_BS_Separation_TaxResIndem_Q12412 tf" xfId="4468"/>
    <cellStyle name="_MOR - Australia -  EC - 1+11_Restructuring_Separation_TAX_JuneFC2010 tf_BS_Separation_TaxResIndem_Q12412 tf_Guidance" xfId="4469"/>
    <cellStyle name="_MOR - Australia -  EC - 1+11_Restructuring_Separation_TAX_JuneFC2010 tf_BS_Separation_TaxResIndem_Q12412 tf_Guidance 2" xfId="4470"/>
    <cellStyle name="_MOR - Australia -  EC - 1+11_Restructuring_Separation_TAX_JuneFC2010 tf_BS_Separation_TaxResIndem_Q12412 tf_Guidance_BS retrieve" xfId="4471"/>
    <cellStyle name="_MOR - Australia -  EC - 1+11_Restructuring_Separation_TAX_JuneFC2010 tf_BS_Separation_TaxResIndem_Q12412 tf_Guidance_Free CF" xfId="4472"/>
    <cellStyle name="_MOR - Australia -  EC - 1+11_Restructuring_Separation_TAX_JuneFC2010 tf_BS_Separation_TaxResIndem_Q12412 tf_Guidance_P&amp;L Rec Qtr" xfId="4473"/>
    <cellStyle name="_MOR - Australia -  EC - 1+11_Restructuring_Separation_TAX_JuneFC2010 tf_BS_Separation_TaxResIndem_Q12412 tf_Guidance_Sheet1" xfId="4474"/>
    <cellStyle name="_MOR - Australia -  EC - 1+11_Restructuring_Separation_TAX_JuneFC2010 tf_BS_Separation_TaxResIndem_Q12412 tf_Guidance_Sheet2" xfId="4475"/>
    <cellStyle name="_MOR - Australia -  EC - 1+11_Restructuring_Separation_TAX_JuneFC2010 tf_BS_Separation_TaxResIndem_Q12412 tf_Guidance_Sheet3" xfId="4476"/>
    <cellStyle name="_MOR - Australia -  EC - 1+11_Restructuring_Separation_TAX_JuneFC2010 tf_BS_Separation_TaxResIndem_Q12412 tf_Guidance_Sheet4" xfId="4477"/>
    <cellStyle name="_MOR - Australia -  EC - 1+11_Restructuring_Separation_TAX_JuneFC2010 tf_BS_Separation_TaxResIndem_Q12412 tf_Restructuring &amp; Separation" xfId="4478"/>
    <cellStyle name="_MOR - Australia -  EC - 1+11_Restructuring_Separation_TAX_JuneFC2010 tf_BS_Separation_TaxResIndem_Q12412 tf_Restructuring &amp; Separation_Guidance" xfId="4479"/>
    <cellStyle name="_MOR - Australia -  EC - 1+11_Restructuring_Separation_TAX_JuneFC2010 tf_BS_Separation_TaxResIndem_Q12412 tf_Restructuring &amp; Separation_Guidance 2" xfId="4480"/>
    <cellStyle name="_MOR - Australia -  EC - 1+11_Restructuring_Separation_TAX_JuneFC2010 tf_BS_Separation_TaxResIndem_Q12412 tf_Restructuring &amp; Separation_Guidance_BS retrieve" xfId="4481"/>
    <cellStyle name="_MOR - Australia -  EC - 1+11_Restructuring_Separation_TAX_JuneFC2010 tf_BS_Separation_TaxResIndem_Q12412 tf_Restructuring &amp; Separation_Guidance_Free CF" xfId="4482"/>
    <cellStyle name="_MOR - Australia -  EC - 1+11_Restructuring_Separation_TAX_JuneFC2010 tf_BS_Separation_TaxResIndem_Q12412 tf_Restructuring &amp; Separation_Guidance_P&amp;L Rec Qtr" xfId="4483"/>
    <cellStyle name="_MOR - Australia -  EC - 1+11_Restructuring_Separation_TAX_JuneFC2010 tf_BS_Separation_TaxResIndem_Q12412 tf_Restructuring &amp; Separation_Guidance_Sheet1" xfId="4484"/>
    <cellStyle name="_MOR - Australia -  EC - 1+11_Restructuring_Separation_TAX_JuneFC2010 tf_BS_Separation_TaxResIndem_Q12412 tf_Restructuring &amp; Separation_Guidance_Sheet2" xfId="4485"/>
    <cellStyle name="_MOR - Australia -  EC - 1+11_Restructuring_Separation_TAX_JuneFC2010 tf_BS_Separation_TaxResIndem_Q12412 tf_Restructuring &amp; Separation_Guidance_Sheet3" xfId="4486"/>
    <cellStyle name="_MOR - Australia -  EC - 1+11_Restructuring_Separation_TAX_JuneFC2010 tf_BS_Separation_TaxResIndem_Q12412 tf_Restructuring &amp; Separation_Guidance_Sheet4" xfId="4487"/>
    <cellStyle name="_MOR - Australia -  EC - 1+11_Restructuring_Separation_TAX_JuneFC2010 tf_Guidance" xfId="4488"/>
    <cellStyle name="_MOR - Australia -  EC - 1+11_Restructuring_Separation_TAX_JuneFC2010 tf_Guidance 2" xfId="4489"/>
    <cellStyle name="_MOR - Australia -  EC - 1+11_Restructuring_Separation_TAX_JuneFC2010 tf_Guidance_BS retrieve" xfId="4490"/>
    <cellStyle name="_MOR - Australia -  EC - 1+11_Restructuring_Separation_TAX_JuneFC2010 tf_Guidance_Free CF" xfId="4491"/>
    <cellStyle name="_MOR - Australia -  EC - 1+11_Restructuring_Separation_TAX_JuneFC2010 tf_Guidance_P&amp;L Rec Qtr" xfId="4492"/>
    <cellStyle name="_MOR - Australia -  EC - 1+11_Restructuring_Separation_TAX_JuneFC2010 tf_Guidance_Sheet1" xfId="4493"/>
    <cellStyle name="_MOR - Australia -  EC - 1+11_Restructuring_Separation_TAX_JuneFC2010 tf_Guidance_Sheet2" xfId="4494"/>
    <cellStyle name="_MOR - Australia -  EC - 1+11_Restructuring_Separation_TAX_JuneFC2010 tf_Guidance_Sheet3" xfId="4495"/>
    <cellStyle name="_MOR - Australia -  EC - 1+11_Restructuring_Separation_TAX_JuneFC2010 tf_Guidance_Sheet4" xfId="4496"/>
    <cellStyle name="_MOR - Australia -  EC - 1+11_Restructuring_Separation_TAX_JuneFC2010 tf_II.8. Sep&amp;Discrete" xfId="4497"/>
    <cellStyle name="_MOR - Australia -  EC - 1+11_Restructuring_Separation_TAX_JuneFC2010 tf_II.8. Sep&amp;Discrete_Guidance" xfId="4498"/>
    <cellStyle name="_MOR - Australia -  EC - 1+11_Restructuring_Separation_TAX_JuneFC2010 tf_II.8. Sep&amp;Discrete_Guidance 2" xfId="4499"/>
    <cellStyle name="_MOR - Australia -  EC - 1+11_Restructuring_Separation_TAX_JuneFC2010 tf_II.8. Sep&amp;Discrete_Guidance_BS retrieve" xfId="4500"/>
    <cellStyle name="_MOR - Australia -  EC - 1+11_Restructuring_Separation_TAX_JuneFC2010 tf_II.8. Sep&amp;Discrete_Guidance_Free CF" xfId="4501"/>
    <cellStyle name="_MOR - Australia -  EC - 1+11_Restructuring_Separation_TAX_JuneFC2010 tf_II.8. Sep&amp;Discrete_Guidance_P&amp;L Rec Qtr" xfId="4502"/>
    <cellStyle name="_MOR - Australia -  EC - 1+11_Restructuring_Separation_TAX_JuneFC2010 tf_II.8. Sep&amp;Discrete_Guidance_Sheet1" xfId="4503"/>
    <cellStyle name="_MOR - Australia -  EC - 1+11_Restructuring_Separation_TAX_JuneFC2010 tf_II.8. Sep&amp;Discrete_Guidance_Sheet2" xfId="4504"/>
    <cellStyle name="_MOR - Australia -  EC - 1+11_Restructuring_Separation_TAX_JuneFC2010 tf_II.8. Sep&amp;Discrete_Guidance_Sheet3" xfId="4505"/>
    <cellStyle name="_MOR - Australia -  EC - 1+11_Restructuring_Separation_TAX_JuneFC2010 tf_II.8. Sep&amp;Discrete_Guidance_Sheet4" xfId="4506"/>
    <cellStyle name="_MOR - Australia -  EC - 1+11_Restructuring_Separation_TAX_JuneFC2010 tf_Restructuring &amp; Separation" xfId="4507"/>
    <cellStyle name="_MOR - Australia -  EC - 1+11_Restructuring_Separation_TAX_JuneFC2010 tf_Restructuring &amp; Separation_Guidance" xfId="4508"/>
    <cellStyle name="_MOR - Australia -  EC - 1+11_Restructuring_Separation_TAX_JuneFC2010 tf_Restructuring &amp; Separation_Guidance 2" xfId="4509"/>
    <cellStyle name="_MOR - Australia -  EC - 1+11_Restructuring_Separation_TAX_JuneFC2010 tf_Restructuring &amp; Separation_Guidance_BS retrieve" xfId="4510"/>
    <cellStyle name="_MOR - Australia -  EC - 1+11_Restructuring_Separation_TAX_JuneFC2010 tf_Restructuring &amp; Separation_Guidance_Free CF" xfId="4511"/>
    <cellStyle name="_MOR - Australia -  EC - 1+11_Restructuring_Separation_TAX_JuneFC2010 tf_Restructuring &amp; Separation_Guidance_P&amp;L Rec Qtr" xfId="4512"/>
    <cellStyle name="_MOR - Australia -  EC - 1+11_Restructuring_Separation_TAX_JuneFC2010 tf_Restructuring &amp; Separation_Guidance_Sheet1" xfId="4513"/>
    <cellStyle name="_MOR - Australia -  EC - 1+11_Restructuring_Separation_TAX_JuneFC2010 tf_Restructuring &amp; Separation_Guidance_Sheet2" xfId="4514"/>
    <cellStyle name="_MOR - Australia -  EC - 1+11_Restructuring_Separation_TAX_JuneFC2010 tf_Restructuring &amp; Separation_Guidance_Sheet3" xfId="4515"/>
    <cellStyle name="_MOR - Australia -  EC - 1+11_Restructuring_Separation_TAX_JuneFC2010 tf_Restructuring &amp; Separation_Guidance_Sheet4" xfId="4516"/>
    <cellStyle name="_MOR - Australia -  EC - 2+10" xfId="4517"/>
    <cellStyle name="_MOR - Australia -  EC - 2+10_BS_Separation_TaxResIndem_Q12412 tf" xfId="4518"/>
    <cellStyle name="_MOR - Australia -  EC - 2+10_BS_Separation_TaxResIndem_Q12412 tf_Guidance" xfId="4519"/>
    <cellStyle name="_MOR - Australia -  EC - 2+10_BS_Separation_TaxResIndem_Q12412 tf_Guidance 2" xfId="4520"/>
    <cellStyle name="_MOR - Australia -  EC - 2+10_BS_Separation_TaxResIndem_Q12412 tf_Guidance_BS retrieve" xfId="4521"/>
    <cellStyle name="_MOR - Australia -  EC - 2+10_BS_Separation_TaxResIndem_Q12412 tf_Guidance_Free CF" xfId="4522"/>
    <cellStyle name="_MOR - Australia -  EC - 2+10_BS_Separation_TaxResIndem_Q12412 tf_Guidance_P&amp;L Rec Qtr" xfId="4523"/>
    <cellStyle name="_MOR - Australia -  EC - 2+10_BS_Separation_TaxResIndem_Q12412 tf_Guidance_Sheet1" xfId="4524"/>
    <cellStyle name="_MOR - Australia -  EC - 2+10_BS_Separation_TaxResIndem_Q12412 tf_Guidance_Sheet2" xfId="4525"/>
    <cellStyle name="_MOR - Australia -  EC - 2+10_BS_Separation_TaxResIndem_Q12412 tf_Guidance_Sheet3" xfId="4526"/>
    <cellStyle name="_MOR - Australia -  EC - 2+10_BS_Separation_TaxResIndem_Q12412 tf_Guidance_Sheet4" xfId="4527"/>
    <cellStyle name="_MOR - Australia -  EC - 2+10_BS_Separation_TaxResIndem_Q12412 tf_Restructuring &amp; Separation" xfId="4528"/>
    <cellStyle name="_MOR - Australia -  EC - 2+10_BS_Separation_TaxResIndem_Q12412 tf_Restructuring &amp; Separation_Guidance" xfId="4529"/>
    <cellStyle name="_MOR - Australia -  EC - 2+10_BS_Separation_TaxResIndem_Q12412 tf_Restructuring &amp; Separation_Guidance 2" xfId="4530"/>
    <cellStyle name="_MOR - Australia -  EC - 2+10_BS_Separation_TaxResIndem_Q12412 tf_Restructuring &amp; Separation_Guidance_BS retrieve" xfId="4531"/>
    <cellStyle name="_MOR - Australia -  EC - 2+10_BS_Separation_TaxResIndem_Q12412 tf_Restructuring &amp; Separation_Guidance_Free CF" xfId="4532"/>
    <cellStyle name="_MOR - Australia -  EC - 2+10_BS_Separation_TaxResIndem_Q12412 tf_Restructuring &amp; Separation_Guidance_P&amp;L Rec Qtr" xfId="4533"/>
    <cellStyle name="_MOR - Australia -  EC - 2+10_BS_Separation_TaxResIndem_Q12412 tf_Restructuring &amp; Separation_Guidance_Sheet1" xfId="4534"/>
    <cellStyle name="_MOR - Australia -  EC - 2+10_BS_Separation_TaxResIndem_Q12412 tf_Restructuring &amp; Separation_Guidance_Sheet2" xfId="4535"/>
    <cellStyle name="_MOR - Australia -  EC - 2+10_BS_Separation_TaxResIndem_Q12412 tf_Restructuring &amp; Separation_Guidance_Sheet3" xfId="4536"/>
    <cellStyle name="_MOR - Australia -  EC - 2+10_BS_Separation_TaxResIndem_Q12412 tf_Restructuring &amp; Separation_Guidance_Sheet4" xfId="4537"/>
    <cellStyle name="_MOR - Australia -  EC - 2+10_By Country Detail 1Q10 041410pm FIN 18 revised per disc w Mary" xfId="4538"/>
    <cellStyle name="_MOR - Australia -  EC - 2+10_By Country Detail 1Q10 041410pm FIN 18 revised per disc w Mary_BS_Separation_TaxResIndem_Q12412 tf" xfId="4539"/>
    <cellStyle name="_MOR - Australia -  EC - 2+10_By Country Detail 1Q10 041410pm FIN 18 revised per disc w Mary_BS_Separation_TaxResIndem_Q12412 tf_Guidance" xfId="4540"/>
    <cellStyle name="_MOR - Australia -  EC - 2+10_By Country Detail 1Q10 041410pm FIN 18 revised per disc w Mary_BS_Separation_TaxResIndem_Q12412 tf_Guidance 2" xfId="4541"/>
    <cellStyle name="_MOR - Australia -  EC - 2+10_By Country Detail 1Q10 041410pm FIN 18 revised per disc w Mary_BS_Separation_TaxResIndem_Q12412 tf_Guidance_BS retrieve" xfId="4542"/>
    <cellStyle name="_MOR - Australia -  EC - 2+10_By Country Detail 1Q10 041410pm FIN 18 revised per disc w Mary_BS_Separation_TaxResIndem_Q12412 tf_Guidance_Free CF" xfId="4543"/>
    <cellStyle name="_MOR - Australia -  EC - 2+10_By Country Detail 1Q10 041410pm FIN 18 revised per disc w Mary_BS_Separation_TaxResIndem_Q12412 tf_Guidance_P&amp;L Rec Qtr" xfId="4544"/>
    <cellStyle name="_MOR - Australia -  EC - 2+10_By Country Detail 1Q10 041410pm FIN 18 revised per disc w Mary_BS_Separation_TaxResIndem_Q12412 tf_Guidance_Sheet1" xfId="4545"/>
    <cellStyle name="_MOR - Australia -  EC - 2+10_By Country Detail 1Q10 041410pm FIN 18 revised per disc w Mary_BS_Separation_TaxResIndem_Q12412 tf_Guidance_Sheet2" xfId="4546"/>
    <cellStyle name="_MOR - Australia -  EC - 2+10_By Country Detail 1Q10 041410pm FIN 18 revised per disc w Mary_BS_Separation_TaxResIndem_Q12412 tf_Guidance_Sheet3" xfId="4547"/>
    <cellStyle name="_MOR - Australia -  EC - 2+10_By Country Detail 1Q10 041410pm FIN 18 revised per disc w Mary_BS_Separation_TaxResIndem_Q12412 tf_Guidance_Sheet4" xfId="4548"/>
    <cellStyle name="_MOR - Australia -  EC - 2+10_By Country Detail 1Q10 041410pm FIN 18 revised per disc w Mary_BS_Separation_TaxResIndem_Q12412 tf_Restructuring &amp; Separation" xfId="4549"/>
    <cellStyle name="_MOR - Australia -  EC - 2+10_By Country Detail 1Q10 041410pm FIN 18 revised per disc w Mary_BS_Separation_TaxResIndem_Q12412 tf_Restructuring &amp; Separation_Guidance" xfId="4550"/>
    <cellStyle name="_MOR - Australia -  EC - 2+10_By Country Detail 1Q10 041410pm FIN 18 revised per disc w Mary_BS_Separation_TaxResIndem_Q12412 tf_Restructuring &amp; Separation_Guidance 2" xfId="4551"/>
    <cellStyle name="_MOR - Australia -  EC - 2+10_By Country Detail 1Q10 041410pm FIN 18 revised per disc w Mary_BS_Separation_TaxResIndem_Q12412 tf_Restructuring &amp; Separation_Guidance_BS retrieve" xfId="4552"/>
    <cellStyle name="_MOR - Australia -  EC - 2+10_By Country Detail 1Q10 041410pm FIN 18 revised per disc w Mary_BS_Separation_TaxResIndem_Q12412 tf_Restructuring &amp; Separation_Guidance_Free CF" xfId="4553"/>
    <cellStyle name="_MOR - Australia -  EC - 2+10_By Country Detail 1Q10 041410pm FIN 18 revised per disc w Mary_BS_Separation_TaxResIndem_Q12412 tf_Restructuring &amp; Separation_Guidance_P&amp;L Rec Qtr" xfId="4554"/>
    <cellStyle name="_MOR - Australia -  EC - 2+10_By Country Detail 1Q10 041410pm FIN 18 revised per disc w Mary_BS_Separation_TaxResIndem_Q12412 tf_Restructuring &amp; Separation_Guidance_Sheet1" xfId="4555"/>
    <cellStyle name="_MOR - Australia -  EC - 2+10_By Country Detail 1Q10 041410pm FIN 18 revised per disc w Mary_BS_Separation_TaxResIndem_Q12412 tf_Restructuring &amp; Separation_Guidance_Sheet2" xfId="4556"/>
    <cellStyle name="_MOR - Australia -  EC - 2+10_By Country Detail 1Q10 041410pm FIN 18 revised per disc w Mary_BS_Separation_TaxResIndem_Q12412 tf_Restructuring &amp; Separation_Guidance_Sheet3" xfId="4557"/>
    <cellStyle name="_MOR - Australia -  EC - 2+10_By Country Detail 1Q10 041410pm FIN 18 revised per disc w Mary_BS_Separation_TaxResIndem_Q12412 tf_Restructuring &amp; Separation_Guidance_Sheet4" xfId="4558"/>
    <cellStyle name="_MOR - Australia -  EC - 2+10_By Country Detail 1Q10 041410pm FIN 18 revised per disc w Mary_Guidance" xfId="4559"/>
    <cellStyle name="_MOR - Australia -  EC - 2+10_By Country Detail 1Q10 041410pm FIN 18 revised per disc w Mary_Guidance 2" xfId="4560"/>
    <cellStyle name="_MOR - Australia -  EC - 2+10_By Country Detail 1Q10 041410pm FIN 18 revised per disc w Mary_Guidance_BS retrieve" xfId="4561"/>
    <cellStyle name="_MOR - Australia -  EC - 2+10_By Country Detail 1Q10 041410pm FIN 18 revised per disc w Mary_Guidance_Free CF" xfId="4562"/>
    <cellStyle name="_MOR - Australia -  EC - 2+10_By Country Detail 1Q10 041410pm FIN 18 revised per disc w Mary_Guidance_P&amp;L Rec Qtr" xfId="4563"/>
    <cellStyle name="_MOR - Australia -  EC - 2+10_By Country Detail 1Q10 041410pm FIN 18 revised per disc w Mary_Guidance_Sheet1" xfId="4564"/>
    <cellStyle name="_MOR - Australia -  EC - 2+10_By Country Detail 1Q10 041410pm FIN 18 revised per disc w Mary_Guidance_Sheet2" xfId="4565"/>
    <cellStyle name="_MOR - Australia -  EC - 2+10_By Country Detail 1Q10 041410pm FIN 18 revised per disc w Mary_Guidance_Sheet3" xfId="4566"/>
    <cellStyle name="_MOR - Australia -  EC - 2+10_By Country Detail 1Q10 041410pm FIN 18 revised per disc w Mary_Guidance_Sheet4" xfId="4567"/>
    <cellStyle name="_MOR - Australia -  EC - 2+10_By Country Detail 1Q10 041410pm FIN 18 revised per disc w Mary_II.8. Sep&amp;Discrete" xfId="4568"/>
    <cellStyle name="_MOR - Australia -  EC - 2+10_By Country Detail 1Q10 041410pm FIN 18 revised per disc w Mary_II.8. Sep&amp;Discrete_Guidance" xfId="4569"/>
    <cellStyle name="_MOR - Australia -  EC - 2+10_By Country Detail 1Q10 041410pm FIN 18 revised per disc w Mary_II.8. Sep&amp;Discrete_Guidance 2" xfId="4570"/>
    <cellStyle name="_MOR - Australia -  EC - 2+10_By Country Detail 1Q10 041410pm FIN 18 revised per disc w Mary_II.8. Sep&amp;Discrete_Guidance_BS retrieve" xfId="4571"/>
    <cellStyle name="_MOR - Australia -  EC - 2+10_By Country Detail 1Q10 041410pm FIN 18 revised per disc w Mary_II.8. Sep&amp;Discrete_Guidance_Free CF" xfId="4572"/>
    <cellStyle name="_MOR - Australia -  EC - 2+10_By Country Detail 1Q10 041410pm FIN 18 revised per disc w Mary_II.8. Sep&amp;Discrete_Guidance_P&amp;L Rec Qtr" xfId="4573"/>
    <cellStyle name="_MOR - Australia -  EC - 2+10_By Country Detail 1Q10 041410pm FIN 18 revised per disc w Mary_II.8. Sep&amp;Discrete_Guidance_Sheet1" xfId="4574"/>
    <cellStyle name="_MOR - Australia -  EC - 2+10_By Country Detail 1Q10 041410pm FIN 18 revised per disc w Mary_II.8. Sep&amp;Discrete_Guidance_Sheet2" xfId="4575"/>
    <cellStyle name="_MOR - Australia -  EC - 2+10_By Country Detail 1Q10 041410pm FIN 18 revised per disc w Mary_II.8. Sep&amp;Discrete_Guidance_Sheet3" xfId="4576"/>
    <cellStyle name="_MOR - Australia -  EC - 2+10_By Country Detail 1Q10 041410pm FIN 18 revised per disc w Mary_II.8. Sep&amp;Discrete_Guidance_Sheet4" xfId="4577"/>
    <cellStyle name="_MOR - Australia -  EC - 2+10_By Country Detail 1Q10 041410pm FIN 18 revised per disc w Mary_Restructuring &amp; Separation" xfId="4578"/>
    <cellStyle name="_MOR - Australia -  EC - 2+10_By Country Detail 1Q10 041410pm FIN 18 revised per disc w Mary_Restructuring &amp; Separation_Guidance" xfId="4579"/>
    <cellStyle name="_MOR - Australia -  EC - 2+10_By Country Detail 1Q10 041410pm FIN 18 revised per disc w Mary_Restructuring &amp; Separation_Guidance 2" xfId="4580"/>
    <cellStyle name="_MOR - Australia -  EC - 2+10_By Country Detail 1Q10 041410pm FIN 18 revised per disc w Mary_Restructuring &amp; Separation_Guidance_BS retrieve" xfId="4581"/>
    <cellStyle name="_MOR - Australia -  EC - 2+10_By Country Detail 1Q10 041410pm FIN 18 revised per disc w Mary_Restructuring &amp; Separation_Guidance_Free CF" xfId="4582"/>
    <cellStyle name="_MOR - Australia -  EC - 2+10_By Country Detail 1Q10 041410pm FIN 18 revised per disc w Mary_Restructuring &amp; Separation_Guidance_P&amp;L Rec Qtr" xfId="4583"/>
    <cellStyle name="_MOR - Australia -  EC - 2+10_By Country Detail 1Q10 041410pm FIN 18 revised per disc w Mary_Restructuring &amp; Separation_Guidance_Sheet1" xfId="4584"/>
    <cellStyle name="_MOR - Australia -  EC - 2+10_By Country Detail 1Q10 041410pm FIN 18 revised per disc w Mary_Restructuring &amp; Separation_Guidance_Sheet2" xfId="4585"/>
    <cellStyle name="_MOR - Australia -  EC - 2+10_By Country Detail 1Q10 041410pm FIN 18 revised per disc w Mary_Restructuring &amp; Separation_Guidance_Sheet3" xfId="4586"/>
    <cellStyle name="_MOR - Australia -  EC - 2+10_By Country Detail 1Q10 041410pm FIN 18 revised per disc w Mary_Restructuring &amp; Separation_Guidance_Sheet4" xfId="4587"/>
    <cellStyle name="_MOR - Australia -  EC - 2+10_Guidance" xfId="4588"/>
    <cellStyle name="_MOR - Australia -  EC - 2+10_Guidance 2" xfId="4589"/>
    <cellStyle name="_MOR - Australia -  EC - 2+10_Guidance_BS retrieve" xfId="4590"/>
    <cellStyle name="_MOR - Australia -  EC - 2+10_Guidance_Free CF" xfId="4591"/>
    <cellStyle name="_MOR - Australia -  EC - 2+10_Guidance_P&amp;L Rec Qtr" xfId="4592"/>
    <cellStyle name="_MOR - Australia -  EC - 2+10_Guidance_Sheet1" xfId="4593"/>
    <cellStyle name="_MOR - Australia -  EC - 2+10_Guidance_Sheet2" xfId="4594"/>
    <cellStyle name="_MOR - Australia -  EC - 2+10_Guidance_Sheet3" xfId="4595"/>
    <cellStyle name="_MOR - Australia -  EC - 2+10_Guidance_Sheet4" xfId="4596"/>
    <cellStyle name="_MOR - Australia -  EC - 2+10_II.4. RawMaterials" xfId="4597"/>
    <cellStyle name="_MOR - Australia -  EC - 2+10_II.4. RawMaterials 2" xfId="4598"/>
    <cellStyle name="_MOR - Australia -  EC - 2+10_II.4. RawMaterials_BS retrieve" xfId="4599"/>
    <cellStyle name="_MOR - Australia -  EC - 2+10_II.4. RawMaterials_Free CF" xfId="4600"/>
    <cellStyle name="_MOR - Australia -  EC - 2+10_II.4. RawMaterials_P&amp;L Rec Qtr" xfId="4601"/>
    <cellStyle name="_MOR - Australia -  EC - 2+10_II.4. RawMaterials_Sheet1" xfId="4602"/>
    <cellStyle name="_MOR - Australia -  EC - 2+10_II.4. RawMaterials_Sheet2" xfId="4603"/>
    <cellStyle name="_MOR - Australia -  EC - 2+10_II.4. RawMaterials_Sheet3" xfId="4604"/>
    <cellStyle name="_MOR - Australia -  EC - 2+10_II.4. RawMaterials_Sheet4" xfId="4605"/>
    <cellStyle name="_MOR - Australia -  EC - 2+10_II.5. RawMaterials" xfId="4606"/>
    <cellStyle name="_MOR - Australia -  EC - 2+10_II.5. RawMaterials 2" xfId="4607"/>
    <cellStyle name="_MOR - Australia -  EC - 2+10_II.5. RawMaterials_BS retrieve" xfId="4608"/>
    <cellStyle name="_MOR - Australia -  EC - 2+10_II.5. RawMaterials_Free CF" xfId="4609"/>
    <cellStyle name="_MOR - Australia -  EC - 2+10_II.5. RawMaterials_Guidance" xfId="4610"/>
    <cellStyle name="_MOR - Australia -  EC - 2+10_II.5. RawMaterials_Guidance 2" xfId="4611"/>
    <cellStyle name="_MOR - Australia -  EC - 2+10_II.5. RawMaterials_Guidance_BS retrieve" xfId="4612"/>
    <cellStyle name="_MOR - Australia -  EC - 2+10_II.5. RawMaterials_Guidance_Free CF" xfId="4613"/>
    <cellStyle name="_MOR - Australia -  EC - 2+10_II.5. RawMaterials_Guidance_P&amp;L Rec Qtr" xfId="4614"/>
    <cellStyle name="_MOR - Australia -  EC - 2+10_II.5. RawMaterials_Guidance_Sheet1" xfId="4615"/>
    <cellStyle name="_MOR - Australia -  EC - 2+10_II.5. RawMaterials_Guidance_Sheet2" xfId="4616"/>
    <cellStyle name="_MOR - Australia -  EC - 2+10_II.5. RawMaterials_Guidance_Sheet3" xfId="4617"/>
    <cellStyle name="_MOR - Australia -  EC - 2+10_II.5. RawMaterials_Guidance_Sheet4" xfId="4618"/>
    <cellStyle name="_MOR - Australia -  EC - 2+10_II.5. RawMaterials_P&amp;L Rec Qtr" xfId="4619"/>
    <cellStyle name="_MOR - Australia -  EC - 2+10_II.5. RawMaterials_Sheet1" xfId="4620"/>
    <cellStyle name="_MOR - Australia -  EC - 2+10_II.5. RawMaterials_Sheet2" xfId="4621"/>
    <cellStyle name="_MOR - Australia -  EC - 2+10_II.5. RawMaterials_Sheet3" xfId="4622"/>
    <cellStyle name="_MOR - Australia -  EC - 2+10_II.5. RawMaterials_Sheet4" xfId="4623"/>
    <cellStyle name="_MOR - Australia -  EC - 2+10_II.5. RM Volume Sensitivities" xfId="4624"/>
    <cellStyle name="_MOR - Australia -  EC - 2+10_II.5. RM Volume Sensitivities 2" xfId="4625"/>
    <cellStyle name="_MOR - Australia -  EC - 2+10_II.5. RM Volume Sensitivities_BS retrieve" xfId="4626"/>
    <cellStyle name="_MOR - Australia -  EC - 2+10_II.5. RM Volume Sensitivities_Free CF" xfId="4627"/>
    <cellStyle name="_MOR - Australia -  EC - 2+10_II.5. RM Volume Sensitivities_P&amp;L Rec Qtr" xfId="4628"/>
    <cellStyle name="_MOR - Australia -  EC - 2+10_II.5. RM Volume Sensitivities_Sheet1" xfId="4629"/>
    <cellStyle name="_MOR - Australia -  EC - 2+10_II.5. RM Volume Sensitivities_Sheet2" xfId="4630"/>
    <cellStyle name="_MOR - Australia -  EC - 2+10_II.5. RM Volume Sensitivities_Sheet3" xfId="4631"/>
    <cellStyle name="_MOR - Australia -  EC - 2+10_II.5. RM Volume Sensitivities_Sheet4" xfId="4632"/>
    <cellStyle name="_MOR - Australia -  EC - 2+10_II.8. Sep&amp;Discrete" xfId="4633"/>
    <cellStyle name="_MOR - Australia -  EC - 2+10_II.8. Sep&amp;Discrete_Guidance" xfId="4634"/>
    <cellStyle name="_MOR - Australia -  EC - 2+10_II.8. Sep&amp;Discrete_Guidance 2" xfId="4635"/>
    <cellStyle name="_MOR - Australia -  EC - 2+10_II.8. Sep&amp;Discrete_Guidance_BS retrieve" xfId="4636"/>
    <cellStyle name="_MOR - Australia -  EC - 2+10_II.8. Sep&amp;Discrete_Guidance_Free CF" xfId="4637"/>
    <cellStyle name="_MOR - Australia -  EC - 2+10_II.8. Sep&amp;Discrete_Guidance_P&amp;L Rec Qtr" xfId="4638"/>
    <cellStyle name="_MOR - Australia -  EC - 2+10_II.8. Sep&amp;Discrete_Guidance_Sheet1" xfId="4639"/>
    <cellStyle name="_MOR - Australia -  EC - 2+10_II.8. Sep&amp;Discrete_Guidance_Sheet2" xfId="4640"/>
    <cellStyle name="_MOR - Australia -  EC - 2+10_II.8. Sep&amp;Discrete_Guidance_Sheet3" xfId="4641"/>
    <cellStyle name="_MOR - Australia -  EC - 2+10_II.8. Sep&amp;Discrete_Guidance_Sheet4" xfId="4642"/>
    <cellStyle name="_MOR - Australia -  EC - 2+10_Restructuring &amp; Separation" xfId="4643"/>
    <cellStyle name="_MOR - Australia -  EC - 2+10_Restructuring &amp; Separation_Guidance" xfId="4644"/>
    <cellStyle name="_MOR - Australia -  EC - 2+10_Restructuring &amp; Separation_Guidance 2" xfId="4645"/>
    <cellStyle name="_MOR - Australia -  EC - 2+10_Restructuring &amp; Separation_Guidance_BS retrieve" xfId="4646"/>
    <cellStyle name="_MOR - Australia -  EC - 2+10_Restructuring &amp; Separation_Guidance_Free CF" xfId="4647"/>
    <cellStyle name="_MOR - Australia -  EC - 2+10_Restructuring &amp; Separation_Guidance_P&amp;L Rec Qtr" xfId="4648"/>
    <cellStyle name="_MOR - Australia -  EC - 2+10_Restructuring &amp; Separation_Guidance_Sheet1" xfId="4649"/>
    <cellStyle name="_MOR - Australia -  EC - 2+10_Restructuring &amp; Separation_Guidance_Sheet2" xfId="4650"/>
    <cellStyle name="_MOR - Australia -  EC - 2+10_Restructuring &amp; Separation_Guidance_Sheet3" xfId="4651"/>
    <cellStyle name="_MOR - Australia -  EC - 2+10_Restructuring &amp; Separation_Guidance_Sheet4" xfId="4652"/>
    <cellStyle name="_MOR - Australia -  EC - 2+10_Restructuring_Separation_TAX_JuneFC2010 tf" xfId="4653"/>
    <cellStyle name="_MOR - Australia -  EC - 2+10_Restructuring_Separation_TAX_JuneFC2010 tf_BS_Separation_TaxResIndem_Q12412 tf" xfId="4654"/>
    <cellStyle name="_MOR - Australia -  EC - 2+10_Restructuring_Separation_TAX_JuneFC2010 tf_BS_Separation_TaxResIndem_Q12412 tf_Guidance" xfId="4655"/>
    <cellStyle name="_MOR - Australia -  EC - 2+10_Restructuring_Separation_TAX_JuneFC2010 tf_BS_Separation_TaxResIndem_Q12412 tf_Guidance 2" xfId="4656"/>
    <cellStyle name="_MOR - Australia -  EC - 2+10_Restructuring_Separation_TAX_JuneFC2010 tf_BS_Separation_TaxResIndem_Q12412 tf_Guidance_BS retrieve" xfId="4657"/>
    <cellStyle name="_MOR - Australia -  EC - 2+10_Restructuring_Separation_TAX_JuneFC2010 tf_BS_Separation_TaxResIndem_Q12412 tf_Guidance_Free CF" xfId="4658"/>
    <cellStyle name="_MOR - Australia -  EC - 2+10_Restructuring_Separation_TAX_JuneFC2010 tf_BS_Separation_TaxResIndem_Q12412 tf_Guidance_P&amp;L Rec Qtr" xfId="4659"/>
    <cellStyle name="_MOR - Australia -  EC - 2+10_Restructuring_Separation_TAX_JuneFC2010 tf_BS_Separation_TaxResIndem_Q12412 tf_Guidance_Sheet1" xfId="4660"/>
    <cellStyle name="_MOR - Australia -  EC - 2+10_Restructuring_Separation_TAX_JuneFC2010 tf_BS_Separation_TaxResIndem_Q12412 tf_Guidance_Sheet2" xfId="4661"/>
    <cellStyle name="_MOR - Australia -  EC - 2+10_Restructuring_Separation_TAX_JuneFC2010 tf_BS_Separation_TaxResIndem_Q12412 tf_Guidance_Sheet3" xfId="4662"/>
    <cellStyle name="_MOR - Australia -  EC - 2+10_Restructuring_Separation_TAX_JuneFC2010 tf_BS_Separation_TaxResIndem_Q12412 tf_Guidance_Sheet4" xfId="4663"/>
    <cellStyle name="_MOR - Australia -  EC - 2+10_Restructuring_Separation_TAX_JuneFC2010 tf_BS_Separation_TaxResIndem_Q12412 tf_Restructuring &amp; Separation" xfId="4664"/>
    <cellStyle name="_MOR - Australia -  EC - 2+10_Restructuring_Separation_TAX_JuneFC2010 tf_BS_Separation_TaxResIndem_Q12412 tf_Restructuring &amp; Separation_Guidance" xfId="4665"/>
    <cellStyle name="_MOR - Australia -  EC - 2+10_Restructuring_Separation_TAX_JuneFC2010 tf_BS_Separation_TaxResIndem_Q12412 tf_Restructuring &amp; Separation_Guidance 2" xfId="4666"/>
    <cellStyle name="_MOR - Australia -  EC - 2+10_Restructuring_Separation_TAX_JuneFC2010 tf_BS_Separation_TaxResIndem_Q12412 tf_Restructuring &amp; Separation_Guidance_BS retrieve" xfId="4667"/>
    <cellStyle name="_MOR - Australia -  EC - 2+10_Restructuring_Separation_TAX_JuneFC2010 tf_BS_Separation_TaxResIndem_Q12412 tf_Restructuring &amp; Separation_Guidance_Free CF" xfId="4668"/>
    <cellStyle name="_MOR - Australia -  EC - 2+10_Restructuring_Separation_TAX_JuneFC2010 tf_BS_Separation_TaxResIndem_Q12412 tf_Restructuring &amp; Separation_Guidance_P&amp;L Rec Qtr" xfId="4669"/>
    <cellStyle name="_MOR - Australia -  EC - 2+10_Restructuring_Separation_TAX_JuneFC2010 tf_BS_Separation_TaxResIndem_Q12412 tf_Restructuring &amp; Separation_Guidance_Sheet1" xfId="4670"/>
    <cellStyle name="_MOR - Australia -  EC - 2+10_Restructuring_Separation_TAX_JuneFC2010 tf_BS_Separation_TaxResIndem_Q12412 tf_Restructuring &amp; Separation_Guidance_Sheet2" xfId="4671"/>
    <cellStyle name="_MOR - Australia -  EC - 2+10_Restructuring_Separation_TAX_JuneFC2010 tf_BS_Separation_TaxResIndem_Q12412 tf_Restructuring &amp; Separation_Guidance_Sheet3" xfId="4672"/>
    <cellStyle name="_MOR - Australia -  EC - 2+10_Restructuring_Separation_TAX_JuneFC2010 tf_BS_Separation_TaxResIndem_Q12412 tf_Restructuring &amp; Separation_Guidance_Sheet4" xfId="4673"/>
    <cellStyle name="_MOR - Australia -  EC - 2+10_Restructuring_Separation_TAX_JuneFC2010 tf_Guidance" xfId="4674"/>
    <cellStyle name="_MOR - Australia -  EC - 2+10_Restructuring_Separation_TAX_JuneFC2010 tf_Guidance 2" xfId="4675"/>
    <cellStyle name="_MOR - Australia -  EC - 2+10_Restructuring_Separation_TAX_JuneFC2010 tf_Guidance_BS retrieve" xfId="4676"/>
    <cellStyle name="_MOR - Australia -  EC - 2+10_Restructuring_Separation_TAX_JuneFC2010 tf_Guidance_Free CF" xfId="4677"/>
    <cellStyle name="_MOR - Australia -  EC - 2+10_Restructuring_Separation_TAX_JuneFC2010 tf_Guidance_P&amp;L Rec Qtr" xfId="4678"/>
    <cellStyle name="_MOR - Australia -  EC - 2+10_Restructuring_Separation_TAX_JuneFC2010 tf_Guidance_Sheet1" xfId="4679"/>
    <cellStyle name="_MOR - Australia -  EC - 2+10_Restructuring_Separation_TAX_JuneFC2010 tf_Guidance_Sheet2" xfId="4680"/>
    <cellStyle name="_MOR - Australia -  EC - 2+10_Restructuring_Separation_TAX_JuneFC2010 tf_Guidance_Sheet3" xfId="4681"/>
    <cellStyle name="_MOR - Australia -  EC - 2+10_Restructuring_Separation_TAX_JuneFC2010 tf_Guidance_Sheet4" xfId="4682"/>
    <cellStyle name="_MOR - Australia -  EC - 2+10_Restructuring_Separation_TAX_JuneFC2010 tf_II.8. Sep&amp;Discrete" xfId="4683"/>
    <cellStyle name="_MOR - Australia -  EC - 2+10_Restructuring_Separation_TAX_JuneFC2010 tf_II.8. Sep&amp;Discrete_Guidance" xfId="4684"/>
    <cellStyle name="_MOR - Australia -  EC - 2+10_Restructuring_Separation_TAX_JuneFC2010 tf_II.8. Sep&amp;Discrete_Guidance 2" xfId="4685"/>
    <cellStyle name="_MOR - Australia -  EC - 2+10_Restructuring_Separation_TAX_JuneFC2010 tf_II.8. Sep&amp;Discrete_Guidance_BS retrieve" xfId="4686"/>
    <cellStyle name="_MOR - Australia -  EC - 2+10_Restructuring_Separation_TAX_JuneFC2010 tf_II.8. Sep&amp;Discrete_Guidance_Free CF" xfId="4687"/>
    <cellStyle name="_MOR - Australia -  EC - 2+10_Restructuring_Separation_TAX_JuneFC2010 tf_II.8. Sep&amp;Discrete_Guidance_P&amp;L Rec Qtr" xfId="4688"/>
    <cellStyle name="_MOR - Australia -  EC - 2+10_Restructuring_Separation_TAX_JuneFC2010 tf_II.8. Sep&amp;Discrete_Guidance_Sheet1" xfId="4689"/>
    <cellStyle name="_MOR - Australia -  EC - 2+10_Restructuring_Separation_TAX_JuneFC2010 tf_II.8. Sep&amp;Discrete_Guidance_Sheet2" xfId="4690"/>
    <cellStyle name="_MOR - Australia -  EC - 2+10_Restructuring_Separation_TAX_JuneFC2010 tf_II.8. Sep&amp;Discrete_Guidance_Sheet3" xfId="4691"/>
    <cellStyle name="_MOR - Australia -  EC - 2+10_Restructuring_Separation_TAX_JuneFC2010 tf_II.8. Sep&amp;Discrete_Guidance_Sheet4" xfId="4692"/>
    <cellStyle name="_MOR - Australia -  EC - 2+10_Restructuring_Separation_TAX_JuneFC2010 tf_Restructuring &amp; Separation" xfId="4693"/>
    <cellStyle name="_MOR - Australia -  EC - 2+10_Restructuring_Separation_TAX_JuneFC2010 tf_Restructuring &amp; Separation_Guidance" xfId="4694"/>
    <cellStyle name="_MOR - Australia -  EC - 2+10_Restructuring_Separation_TAX_JuneFC2010 tf_Restructuring &amp; Separation_Guidance 2" xfId="4695"/>
    <cellStyle name="_MOR - Australia -  EC - 2+10_Restructuring_Separation_TAX_JuneFC2010 tf_Restructuring &amp; Separation_Guidance_BS retrieve" xfId="4696"/>
    <cellStyle name="_MOR - Australia -  EC - 2+10_Restructuring_Separation_TAX_JuneFC2010 tf_Restructuring &amp; Separation_Guidance_Free CF" xfId="4697"/>
    <cellStyle name="_MOR - Australia -  EC - 2+10_Restructuring_Separation_TAX_JuneFC2010 tf_Restructuring &amp; Separation_Guidance_P&amp;L Rec Qtr" xfId="4698"/>
    <cellStyle name="_MOR - Australia -  EC - 2+10_Restructuring_Separation_TAX_JuneFC2010 tf_Restructuring &amp; Separation_Guidance_Sheet1" xfId="4699"/>
    <cellStyle name="_MOR - Australia -  EC - 2+10_Restructuring_Separation_TAX_JuneFC2010 tf_Restructuring &amp; Separation_Guidance_Sheet2" xfId="4700"/>
    <cellStyle name="_MOR - Australia -  EC - 2+10_Restructuring_Separation_TAX_JuneFC2010 tf_Restructuring &amp; Separation_Guidance_Sheet3" xfId="4701"/>
    <cellStyle name="_MOR - Australia -  EC - 2+10_Restructuring_Separation_TAX_JuneFC2010 tf_Restructuring &amp; Separation_Guidance_Sheet4" xfId="4702"/>
    <cellStyle name="_MOR - Australia -  EC - 3+9" xfId="4703"/>
    <cellStyle name="_MOR - Australia -  EC - 3+9_BS_Separation_TaxResIndem_Q12412 tf" xfId="4704"/>
    <cellStyle name="_MOR - Australia -  EC - 3+9_BS_Separation_TaxResIndem_Q12412 tf_Guidance" xfId="4705"/>
    <cellStyle name="_MOR - Australia -  EC - 3+9_BS_Separation_TaxResIndem_Q12412 tf_Guidance 2" xfId="4706"/>
    <cellStyle name="_MOR - Australia -  EC - 3+9_BS_Separation_TaxResIndem_Q12412 tf_Guidance_BS retrieve" xfId="4707"/>
    <cellStyle name="_MOR - Australia -  EC - 3+9_BS_Separation_TaxResIndem_Q12412 tf_Guidance_Free CF" xfId="4708"/>
    <cellStyle name="_MOR - Australia -  EC - 3+9_BS_Separation_TaxResIndem_Q12412 tf_Guidance_P&amp;L Rec Qtr" xfId="4709"/>
    <cellStyle name="_MOR - Australia -  EC - 3+9_BS_Separation_TaxResIndem_Q12412 tf_Guidance_Sheet1" xfId="4710"/>
    <cellStyle name="_MOR - Australia -  EC - 3+9_BS_Separation_TaxResIndem_Q12412 tf_Guidance_Sheet2" xfId="4711"/>
    <cellStyle name="_MOR - Australia -  EC - 3+9_BS_Separation_TaxResIndem_Q12412 tf_Guidance_Sheet3" xfId="4712"/>
    <cellStyle name="_MOR - Australia -  EC - 3+9_BS_Separation_TaxResIndem_Q12412 tf_Guidance_Sheet4" xfId="4713"/>
    <cellStyle name="_MOR - Australia -  EC - 3+9_BS_Separation_TaxResIndem_Q12412 tf_Restructuring &amp; Separation" xfId="4714"/>
    <cellStyle name="_MOR - Australia -  EC - 3+9_BS_Separation_TaxResIndem_Q12412 tf_Restructuring &amp; Separation_Guidance" xfId="4715"/>
    <cellStyle name="_MOR - Australia -  EC - 3+9_BS_Separation_TaxResIndem_Q12412 tf_Restructuring &amp; Separation_Guidance 2" xfId="4716"/>
    <cellStyle name="_MOR - Australia -  EC - 3+9_BS_Separation_TaxResIndem_Q12412 tf_Restructuring &amp; Separation_Guidance_BS retrieve" xfId="4717"/>
    <cellStyle name="_MOR - Australia -  EC - 3+9_BS_Separation_TaxResIndem_Q12412 tf_Restructuring &amp; Separation_Guidance_Free CF" xfId="4718"/>
    <cellStyle name="_MOR - Australia -  EC - 3+9_BS_Separation_TaxResIndem_Q12412 tf_Restructuring &amp; Separation_Guidance_P&amp;L Rec Qtr" xfId="4719"/>
    <cellStyle name="_MOR - Australia -  EC - 3+9_BS_Separation_TaxResIndem_Q12412 tf_Restructuring &amp; Separation_Guidance_Sheet1" xfId="4720"/>
    <cellStyle name="_MOR - Australia -  EC - 3+9_BS_Separation_TaxResIndem_Q12412 tf_Restructuring &amp; Separation_Guidance_Sheet2" xfId="4721"/>
    <cellStyle name="_MOR - Australia -  EC - 3+9_BS_Separation_TaxResIndem_Q12412 tf_Restructuring &amp; Separation_Guidance_Sheet3" xfId="4722"/>
    <cellStyle name="_MOR - Australia -  EC - 3+9_BS_Separation_TaxResIndem_Q12412 tf_Restructuring &amp; Separation_Guidance_Sheet4" xfId="4723"/>
    <cellStyle name="_MOR - Australia -  EC - 3+9_By Country Detail 1Q10 041410pm FIN 18 revised per disc w Mary" xfId="4724"/>
    <cellStyle name="_MOR - Australia -  EC - 3+9_By Country Detail 1Q10 041410pm FIN 18 revised per disc w Mary_BS_Separation_TaxResIndem_Q12412 tf" xfId="4725"/>
    <cellStyle name="_MOR - Australia -  EC - 3+9_By Country Detail 1Q10 041410pm FIN 18 revised per disc w Mary_BS_Separation_TaxResIndem_Q12412 tf_Guidance" xfId="4726"/>
    <cellStyle name="_MOR - Australia -  EC - 3+9_By Country Detail 1Q10 041410pm FIN 18 revised per disc w Mary_BS_Separation_TaxResIndem_Q12412 tf_Guidance 2" xfId="4727"/>
    <cellStyle name="_MOR - Australia -  EC - 3+9_By Country Detail 1Q10 041410pm FIN 18 revised per disc w Mary_BS_Separation_TaxResIndem_Q12412 tf_Guidance_BS retrieve" xfId="4728"/>
    <cellStyle name="_MOR - Australia -  EC - 3+9_By Country Detail 1Q10 041410pm FIN 18 revised per disc w Mary_BS_Separation_TaxResIndem_Q12412 tf_Guidance_Free CF" xfId="4729"/>
    <cellStyle name="_MOR - Australia -  EC - 3+9_By Country Detail 1Q10 041410pm FIN 18 revised per disc w Mary_BS_Separation_TaxResIndem_Q12412 tf_Guidance_P&amp;L Rec Qtr" xfId="4730"/>
    <cellStyle name="_MOR - Australia -  EC - 3+9_By Country Detail 1Q10 041410pm FIN 18 revised per disc w Mary_BS_Separation_TaxResIndem_Q12412 tf_Guidance_Sheet1" xfId="4731"/>
    <cellStyle name="_MOR - Australia -  EC - 3+9_By Country Detail 1Q10 041410pm FIN 18 revised per disc w Mary_BS_Separation_TaxResIndem_Q12412 tf_Guidance_Sheet2" xfId="4732"/>
    <cellStyle name="_MOR - Australia -  EC - 3+9_By Country Detail 1Q10 041410pm FIN 18 revised per disc w Mary_BS_Separation_TaxResIndem_Q12412 tf_Guidance_Sheet3" xfId="4733"/>
    <cellStyle name="_MOR - Australia -  EC - 3+9_By Country Detail 1Q10 041410pm FIN 18 revised per disc w Mary_BS_Separation_TaxResIndem_Q12412 tf_Guidance_Sheet4" xfId="4734"/>
    <cellStyle name="_MOR - Australia -  EC - 3+9_By Country Detail 1Q10 041410pm FIN 18 revised per disc w Mary_BS_Separation_TaxResIndem_Q12412 tf_Restructuring &amp; Separation" xfId="4735"/>
    <cellStyle name="_MOR - Australia -  EC - 3+9_By Country Detail 1Q10 041410pm FIN 18 revised per disc w Mary_BS_Separation_TaxResIndem_Q12412 tf_Restructuring &amp; Separation_Guidance" xfId="4736"/>
    <cellStyle name="_MOR - Australia -  EC - 3+9_By Country Detail 1Q10 041410pm FIN 18 revised per disc w Mary_BS_Separation_TaxResIndem_Q12412 tf_Restructuring &amp; Separation_Guidance 2" xfId="4737"/>
    <cellStyle name="_MOR - Australia -  EC - 3+9_By Country Detail 1Q10 041410pm FIN 18 revised per disc w Mary_BS_Separation_TaxResIndem_Q12412 tf_Restructuring &amp; Separation_Guidance_BS retrieve" xfId="4738"/>
    <cellStyle name="_MOR - Australia -  EC - 3+9_By Country Detail 1Q10 041410pm FIN 18 revised per disc w Mary_BS_Separation_TaxResIndem_Q12412 tf_Restructuring &amp; Separation_Guidance_Free CF" xfId="4739"/>
    <cellStyle name="_MOR - Australia -  EC - 3+9_By Country Detail 1Q10 041410pm FIN 18 revised per disc w Mary_BS_Separation_TaxResIndem_Q12412 tf_Restructuring &amp; Separation_Guidance_P&amp;L Rec Qtr" xfId="4740"/>
    <cellStyle name="_MOR - Australia -  EC - 3+9_By Country Detail 1Q10 041410pm FIN 18 revised per disc w Mary_BS_Separation_TaxResIndem_Q12412 tf_Restructuring &amp; Separation_Guidance_Sheet1" xfId="4741"/>
    <cellStyle name="_MOR - Australia -  EC - 3+9_By Country Detail 1Q10 041410pm FIN 18 revised per disc w Mary_BS_Separation_TaxResIndem_Q12412 tf_Restructuring &amp; Separation_Guidance_Sheet2" xfId="4742"/>
    <cellStyle name="_MOR - Australia -  EC - 3+9_By Country Detail 1Q10 041410pm FIN 18 revised per disc w Mary_BS_Separation_TaxResIndem_Q12412 tf_Restructuring &amp; Separation_Guidance_Sheet3" xfId="4743"/>
    <cellStyle name="_MOR - Australia -  EC - 3+9_By Country Detail 1Q10 041410pm FIN 18 revised per disc w Mary_BS_Separation_TaxResIndem_Q12412 tf_Restructuring &amp; Separation_Guidance_Sheet4" xfId="4744"/>
    <cellStyle name="_MOR - Australia -  EC - 3+9_By Country Detail 1Q10 041410pm FIN 18 revised per disc w Mary_Guidance" xfId="4745"/>
    <cellStyle name="_MOR - Australia -  EC - 3+9_By Country Detail 1Q10 041410pm FIN 18 revised per disc w Mary_Guidance 2" xfId="4746"/>
    <cellStyle name="_MOR - Australia -  EC - 3+9_By Country Detail 1Q10 041410pm FIN 18 revised per disc w Mary_Guidance_BS retrieve" xfId="4747"/>
    <cellStyle name="_MOR - Australia -  EC - 3+9_By Country Detail 1Q10 041410pm FIN 18 revised per disc w Mary_Guidance_Free CF" xfId="4748"/>
    <cellStyle name="_MOR - Australia -  EC - 3+9_By Country Detail 1Q10 041410pm FIN 18 revised per disc w Mary_Guidance_P&amp;L Rec Qtr" xfId="4749"/>
    <cellStyle name="_MOR - Australia -  EC - 3+9_By Country Detail 1Q10 041410pm FIN 18 revised per disc w Mary_Guidance_Sheet1" xfId="4750"/>
    <cellStyle name="_MOR - Australia -  EC - 3+9_By Country Detail 1Q10 041410pm FIN 18 revised per disc w Mary_Guidance_Sheet2" xfId="4751"/>
    <cellStyle name="_MOR - Australia -  EC - 3+9_By Country Detail 1Q10 041410pm FIN 18 revised per disc w Mary_Guidance_Sheet3" xfId="4752"/>
    <cellStyle name="_MOR - Australia -  EC - 3+9_By Country Detail 1Q10 041410pm FIN 18 revised per disc w Mary_Guidance_Sheet4" xfId="4753"/>
    <cellStyle name="_MOR - Australia -  EC - 3+9_By Country Detail 1Q10 041410pm FIN 18 revised per disc w Mary_II.8. Sep&amp;Discrete" xfId="4754"/>
    <cellStyle name="_MOR - Australia -  EC - 3+9_By Country Detail 1Q10 041410pm FIN 18 revised per disc w Mary_II.8. Sep&amp;Discrete_Guidance" xfId="4755"/>
    <cellStyle name="_MOR - Australia -  EC - 3+9_By Country Detail 1Q10 041410pm FIN 18 revised per disc w Mary_II.8. Sep&amp;Discrete_Guidance 2" xfId="4756"/>
    <cellStyle name="_MOR - Australia -  EC - 3+9_By Country Detail 1Q10 041410pm FIN 18 revised per disc w Mary_II.8. Sep&amp;Discrete_Guidance_BS retrieve" xfId="4757"/>
    <cellStyle name="_MOR - Australia -  EC - 3+9_By Country Detail 1Q10 041410pm FIN 18 revised per disc w Mary_II.8. Sep&amp;Discrete_Guidance_Free CF" xfId="4758"/>
    <cellStyle name="_MOR - Australia -  EC - 3+9_By Country Detail 1Q10 041410pm FIN 18 revised per disc w Mary_II.8. Sep&amp;Discrete_Guidance_P&amp;L Rec Qtr" xfId="4759"/>
    <cellStyle name="_MOR - Australia -  EC - 3+9_By Country Detail 1Q10 041410pm FIN 18 revised per disc w Mary_II.8. Sep&amp;Discrete_Guidance_Sheet1" xfId="4760"/>
    <cellStyle name="_MOR - Australia -  EC - 3+9_By Country Detail 1Q10 041410pm FIN 18 revised per disc w Mary_II.8. Sep&amp;Discrete_Guidance_Sheet2" xfId="4761"/>
    <cellStyle name="_MOR - Australia -  EC - 3+9_By Country Detail 1Q10 041410pm FIN 18 revised per disc w Mary_II.8. Sep&amp;Discrete_Guidance_Sheet3" xfId="4762"/>
    <cellStyle name="_MOR - Australia -  EC - 3+9_By Country Detail 1Q10 041410pm FIN 18 revised per disc w Mary_II.8. Sep&amp;Discrete_Guidance_Sheet4" xfId="4763"/>
    <cellStyle name="_MOR - Australia -  EC - 3+9_By Country Detail 1Q10 041410pm FIN 18 revised per disc w Mary_Restructuring &amp; Separation" xfId="4764"/>
    <cellStyle name="_MOR - Australia -  EC - 3+9_By Country Detail 1Q10 041410pm FIN 18 revised per disc w Mary_Restructuring &amp; Separation_Guidance" xfId="4765"/>
    <cellStyle name="_MOR - Australia -  EC - 3+9_By Country Detail 1Q10 041410pm FIN 18 revised per disc w Mary_Restructuring &amp; Separation_Guidance 2" xfId="4766"/>
    <cellStyle name="_MOR - Australia -  EC - 3+9_By Country Detail 1Q10 041410pm FIN 18 revised per disc w Mary_Restructuring &amp; Separation_Guidance_BS retrieve" xfId="4767"/>
    <cellStyle name="_MOR - Australia -  EC - 3+9_By Country Detail 1Q10 041410pm FIN 18 revised per disc w Mary_Restructuring &amp; Separation_Guidance_Free CF" xfId="4768"/>
    <cellStyle name="_MOR - Australia -  EC - 3+9_By Country Detail 1Q10 041410pm FIN 18 revised per disc w Mary_Restructuring &amp; Separation_Guidance_P&amp;L Rec Qtr" xfId="4769"/>
    <cellStyle name="_MOR - Australia -  EC - 3+9_By Country Detail 1Q10 041410pm FIN 18 revised per disc w Mary_Restructuring &amp; Separation_Guidance_Sheet1" xfId="4770"/>
    <cellStyle name="_MOR - Australia -  EC - 3+9_By Country Detail 1Q10 041410pm FIN 18 revised per disc w Mary_Restructuring &amp; Separation_Guidance_Sheet2" xfId="4771"/>
    <cellStyle name="_MOR - Australia -  EC - 3+9_By Country Detail 1Q10 041410pm FIN 18 revised per disc w Mary_Restructuring &amp; Separation_Guidance_Sheet3" xfId="4772"/>
    <cellStyle name="_MOR - Australia -  EC - 3+9_By Country Detail 1Q10 041410pm FIN 18 revised per disc w Mary_Restructuring &amp; Separation_Guidance_Sheet4" xfId="4773"/>
    <cellStyle name="_MOR - Australia -  EC - 3+9_Guidance" xfId="4774"/>
    <cellStyle name="_MOR - Australia -  EC - 3+9_Guidance 2" xfId="4775"/>
    <cellStyle name="_MOR - Australia -  EC - 3+9_Guidance_BS retrieve" xfId="4776"/>
    <cellStyle name="_MOR - Australia -  EC - 3+9_Guidance_Free CF" xfId="4777"/>
    <cellStyle name="_MOR - Australia -  EC - 3+9_Guidance_P&amp;L Rec Qtr" xfId="4778"/>
    <cellStyle name="_MOR - Australia -  EC - 3+9_Guidance_Sheet1" xfId="4779"/>
    <cellStyle name="_MOR - Australia -  EC - 3+9_Guidance_Sheet2" xfId="4780"/>
    <cellStyle name="_MOR - Australia -  EC - 3+9_Guidance_Sheet3" xfId="4781"/>
    <cellStyle name="_MOR - Australia -  EC - 3+9_Guidance_Sheet4" xfId="4782"/>
    <cellStyle name="_MOR - Australia -  EC - 3+9_II.4. RawMaterials" xfId="4783"/>
    <cellStyle name="_MOR - Australia -  EC - 3+9_II.4. RawMaterials 2" xfId="4784"/>
    <cellStyle name="_MOR - Australia -  EC - 3+9_II.4. RawMaterials_BS retrieve" xfId="4785"/>
    <cellStyle name="_MOR - Australia -  EC - 3+9_II.4. RawMaterials_Free CF" xfId="4786"/>
    <cellStyle name="_MOR - Australia -  EC - 3+9_II.4. RawMaterials_P&amp;L Rec Qtr" xfId="4787"/>
    <cellStyle name="_MOR - Australia -  EC - 3+9_II.4. RawMaterials_Sheet1" xfId="4788"/>
    <cellStyle name="_MOR - Australia -  EC - 3+9_II.4. RawMaterials_Sheet2" xfId="4789"/>
    <cellStyle name="_MOR - Australia -  EC - 3+9_II.4. RawMaterials_Sheet3" xfId="4790"/>
    <cellStyle name="_MOR - Australia -  EC - 3+9_II.4. RawMaterials_Sheet4" xfId="4791"/>
    <cellStyle name="_MOR - Australia -  EC - 3+9_II.5. RawMaterials" xfId="4792"/>
    <cellStyle name="_MOR - Australia -  EC - 3+9_II.5. RawMaterials 2" xfId="4793"/>
    <cellStyle name="_MOR - Australia -  EC - 3+9_II.5. RawMaterials_BS retrieve" xfId="4794"/>
    <cellStyle name="_MOR - Australia -  EC - 3+9_II.5. RawMaterials_Free CF" xfId="4795"/>
    <cellStyle name="_MOR - Australia -  EC - 3+9_II.5. RawMaterials_Guidance" xfId="4796"/>
    <cellStyle name="_MOR - Australia -  EC - 3+9_II.5. RawMaterials_Guidance 2" xfId="4797"/>
    <cellStyle name="_MOR - Australia -  EC - 3+9_II.5. RawMaterials_Guidance_BS retrieve" xfId="4798"/>
    <cellStyle name="_MOR - Australia -  EC - 3+9_II.5. RawMaterials_Guidance_Free CF" xfId="4799"/>
    <cellStyle name="_MOR - Australia -  EC - 3+9_II.5. RawMaterials_Guidance_P&amp;L Rec Qtr" xfId="4800"/>
    <cellStyle name="_MOR - Australia -  EC - 3+9_II.5. RawMaterials_Guidance_Sheet1" xfId="4801"/>
    <cellStyle name="_MOR - Australia -  EC - 3+9_II.5. RawMaterials_Guidance_Sheet2" xfId="4802"/>
    <cellStyle name="_MOR - Australia -  EC - 3+9_II.5. RawMaterials_Guidance_Sheet3" xfId="4803"/>
    <cellStyle name="_MOR - Australia -  EC - 3+9_II.5. RawMaterials_Guidance_Sheet4" xfId="4804"/>
    <cellStyle name="_MOR - Australia -  EC - 3+9_II.5. RawMaterials_P&amp;L Rec Qtr" xfId="4805"/>
    <cellStyle name="_MOR - Australia -  EC - 3+9_II.5. RawMaterials_Sheet1" xfId="4806"/>
    <cellStyle name="_MOR - Australia -  EC - 3+9_II.5. RawMaterials_Sheet2" xfId="4807"/>
    <cellStyle name="_MOR - Australia -  EC - 3+9_II.5. RawMaterials_Sheet3" xfId="4808"/>
    <cellStyle name="_MOR - Australia -  EC - 3+9_II.5. RawMaterials_Sheet4" xfId="4809"/>
    <cellStyle name="_MOR - Australia -  EC - 3+9_II.5. RM Volume Sensitivities" xfId="4810"/>
    <cellStyle name="_MOR - Australia -  EC - 3+9_II.5. RM Volume Sensitivities 2" xfId="4811"/>
    <cellStyle name="_MOR - Australia -  EC - 3+9_II.5. RM Volume Sensitivities_BS retrieve" xfId="4812"/>
    <cellStyle name="_MOR - Australia -  EC - 3+9_II.5. RM Volume Sensitivities_Free CF" xfId="4813"/>
    <cellStyle name="_MOR - Australia -  EC - 3+9_II.5. RM Volume Sensitivities_P&amp;L Rec Qtr" xfId="4814"/>
    <cellStyle name="_MOR - Australia -  EC - 3+9_II.5. RM Volume Sensitivities_Sheet1" xfId="4815"/>
    <cellStyle name="_MOR - Australia -  EC - 3+9_II.5. RM Volume Sensitivities_Sheet2" xfId="4816"/>
    <cellStyle name="_MOR - Australia -  EC - 3+9_II.5. RM Volume Sensitivities_Sheet3" xfId="4817"/>
    <cellStyle name="_MOR - Australia -  EC - 3+9_II.5. RM Volume Sensitivities_Sheet4" xfId="4818"/>
    <cellStyle name="_MOR - Australia -  EC - 3+9_II.8. Sep&amp;Discrete" xfId="4819"/>
    <cellStyle name="_MOR - Australia -  EC - 3+9_II.8. Sep&amp;Discrete_Guidance" xfId="4820"/>
    <cellStyle name="_MOR - Australia -  EC - 3+9_II.8. Sep&amp;Discrete_Guidance 2" xfId="4821"/>
    <cellStyle name="_MOR - Australia -  EC - 3+9_II.8. Sep&amp;Discrete_Guidance_BS retrieve" xfId="4822"/>
    <cellStyle name="_MOR - Australia -  EC - 3+9_II.8. Sep&amp;Discrete_Guidance_Free CF" xfId="4823"/>
    <cellStyle name="_MOR - Australia -  EC - 3+9_II.8. Sep&amp;Discrete_Guidance_P&amp;L Rec Qtr" xfId="4824"/>
    <cellStyle name="_MOR - Australia -  EC - 3+9_II.8. Sep&amp;Discrete_Guidance_Sheet1" xfId="4825"/>
    <cellStyle name="_MOR - Australia -  EC - 3+9_II.8. Sep&amp;Discrete_Guidance_Sheet2" xfId="4826"/>
    <cellStyle name="_MOR - Australia -  EC - 3+9_II.8. Sep&amp;Discrete_Guidance_Sheet3" xfId="4827"/>
    <cellStyle name="_MOR - Australia -  EC - 3+9_II.8. Sep&amp;Discrete_Guidance_Sheet4" xfId="4828"/>
    <cellStyle name="_MOR - Australia -  EC - 3+9_Restructuring &amp; Separation" xfId="4829"/>
    <cellStyle name="_MOR - Australia -  EC - 3+9_Restructuring &amp; Separation_Guidance" xfId="4830"/>
    <cellStyle name="_MOR - Australia -  EC - 3+9_Restructuring &amp; Separation_Guidance 2" xfId="4831"/>
    <cellStyle name="_MOR - Australia -  EC - 3+9_Restructuring &amp; Separation_Guidance_BS retrieve" xfId="4832"/>
    <cellStyle name="_MOR - Australia -  EC - 3+9_Restructuring &amp; Separation_Guidance_Free CF" xfId="4833"/>
    <cellStyle name="_MOR - Australia -  EC - 3+9_Restructuring &amp; Separation_Guidance_P&amp;L Rec Qtr" xfId="4834"/>
    <cellStyle name="_MOR - Australia -  EC - 3+9_Restructuring &amp; Separation_Guidance_Sheet1" xfId="4835"/>
    <cellStyle name="_MOR - Australia -  EC - 3+9_Restructuring &amp; Separation_Guidance_Sheet2" xfId="4836"/>
    <cellStyle name="_MOR - Australia -  EC - 3+9_Restructuring &amp; Separation_Guidance_Sheet3" xfId="4837"/>
    <cellStyle name="_MOR - Australia -  EC - 3+9_Restructuring &amp; Separation_Guidance_Sheet4" xfId="4838"/>
    <cellStyle name="_MOR - Australia -  EC - 3+9_Restructuring_Separation_TAX_JuneFC2010 tf" xfId="4839"/>
    <cellStyle name="_MOR - Australia -  EC - 3+9_Restructuring_Separation_TAX_JuneFC2010 tf_BS_Separation_TaxResIndem_Q12412 tf" xfId="4840"/>
    <cellStyle name="_MOR - Australia -  EC - 3+9_Restructuring_Separation_TAX_JuneFC2010 tf_BS_Separation_TaxResIndem_Q12412 tf_Guidance" xfId="4841"/>
    <cellStyle name="_MOR - Australia -  EC - 3+9_Restructuring_Separation_TAX_JuneFC2010 tf_BS_Separation_TaxResIndem_Q12412 tf_Guidance 2" xfId="4842"/>
    <cellStyle name="_MOR - Australia -  EC - 3+9_Restructuring_Separation_TAX_JuneFC2010 tf_BS_Separation_TaxResIndem_Q12412 tf_Guidance_BS retrieve" xfId="4843"/>
    <cellStyle name="_MOR - Australia -  EC - 3+9_Restructuring_Separation_TAX_JuneFC2010 tf_BS_Separation_TaxResIndem_Q12412 tf_Guidance_Free CF" xfId="4844"/>
    <cellStyle name="_MOR - Australia -  EC - 3+9_Restructuring_Separation_TAX_JuneFC2010 tf_BS_Separation_TaxResIndem_Q12412 tf_Guidance_P&amp;L Rec Qtr" xfId="4845"/>
    <cellStyle name="_MOR - Australia -  EC - 3+9_Restructuring_Separation_TAX_JuneFC2010 tf_BS_Separation_TaxResIndem_Q12412 tf_Guidance_Sheet1" xfId="4846"/>
    <cellStyle name="_MOR - Australia -  EC - 3+9_Restructuring_Separation_TAX_JuneFC2010 tf_BS_Separation_TaxResIndem_Q12412 tf_Guidance_Sheet2" xfId="4847"/>
    <cellStyle name="_MOR - Australia -  EC - 3+9_Restructuring_Separation_TAX_JuneFC2010 tf_BS_Separation_TaxResIndem_Q12412 tf_Guidance_Sheet3" xfId="4848"/>
    <cellStyle name="_MOR - Australia -  EC - 3+9_Restructuring_Separation_TAX_JuneFC2010 tf_BS_Separation_TaxResIndem_Q12412 tf_Guidance_Sheet4" xfId="4849"/>
    <cellStyle name="_MOR - Australia -  EC - 3+9_Restructuring_Separation_TAX_JuneFC2010 tf_BS_Separation_TaxResIndem_Q12412 tf_Restructuring &amp; Separation" xfId="4850"/>
    <cellStyle name="_MOR - Australia -  EC - 3+9_Restructuring_Separation_TAX_JuneFC2010 tf_BS_Separation_TaxResIndem_Q12412 tf_Restructuring &amp; Separation_Guidance" xfId="4851"/>
    <cellStyle name="_MOR - Australia -  EC - 3+9_Restructuring_Separation_TAX_JuneFC2010 tf_BS_Separation_TaxResIndem_Q12412 tf_Restructuring &amp; Separation_Guidance 2" xfId="4852"/>
    <cellStyle name="_MOR - Australia -  EC - 3+9_Restructuring_Separation_TAX_JuneFC2010 tf_BS_Separation_TaxResIndem_Q12412 tf_Restructuring &amp; Separation_Guidance_BS retrieve" xfId="4853"/>
    <cellStyle name="_MOR - Australia -  EC - 3+9_Restructuring_Separation_TAX_JuneFC2010 tf_BS_Separation_TaxResIndem_Q12412 tf_Restructuring &amp; Separation_Guidance_Free CF" xfId="4854"/>
    <cellStyle name="_MOR - Australia -  EC - 3+9_Restructuring_Separation_TAX_JuneFC2010 tf_BS_Separation_TaxResIndem_Q12412 tf_Restructuring &amp; Separation_Guidance_P&amp;L Rec Qtr" xfId="4855"/>
    <cellStyle name="_MOR - Australia -  EC - 3+9_Restructuring_Separation_TAX_JuneFC2010 tf_BS_Separation_TaxResIndem_Q12412 tf_Restructuring &amp; Separation_Guidance_Sheet1" xfId="4856"/>
    <cellStyle name="_MOR - Australia -  EC - 3+9_Restructuring_Separation_TAX_JuneFC2010 tf_BS_Separation_TaxResIndem_Q12412 tf_Restructuring &amp; Separation_Guidance_Sheet2" xfId="4857"/>
    <cellStyle name="_MOR - Australia -  EC - 3+9_Restructuring_Separation_TAX_JuneFC2010 tf_BS_Separation_TaxResIndem_Q12412 tf_Restructuring &amp; Separation_Guidance_Sheet3" xfId="4858"/>
    <cellStyle name="_MOR - Australia -  EC - 3+9_Restructuring_Separation_TAX_JuneFC2010 tf_BS_Separation_TaxResIndem_Q12412 tf_Restructuring &amp; Separation_Guidance_Sheet4" xfId="4859"/>
    <cellStyle name="_MOR - Australia -  EC - 3+9_Restructuring_Separation_TAX_JuneFC2010 tf_Guidance" xfId="4860"/>
    <cellStyle name="_MOR - Australia -  EC - 3+9_Restructuring_Separation_TAX_JuneFC2010 tf_Guidance 2" xfId="4861"/>
    <cellStyle name="_MOR - Australia -  EC - 3+9_Restructuring_Separation_TAX_JuneFC2010 tf_Guidance_BS retrieve" xfId="4862"/>
    <cellStyle name="_MOR - Australia -  EC - 3+9_Restructuring_Separation_TAX_JuneFC2010 tf_Guidance_Free CF" xfId="4863"/>
    <cellStyle name="_MOR - Australia -  EC - 3+9_Restructuring_Separation_TAX_JuneFC2010 tf_Guidance_P&amp;L Rec Qtr" xfId="4864"/>
    <cellStyle name="_MOR - Australia -  EC - 3+9_Restructuring_Separation_TAX_JuneFC2010 tf_Guidance_Sheet1" xfId="4865"/>
    <cellStyle name="_MOR - Australia -  EC - 3+9_Restructuring_Separation_TAX_JuneFC2010 tf_Guidance_Sheet2" xfId="4866"/>
    <cellStyle name="_MOR - Australia -  EC - 3+9_Restructuring_Separation_TAX_JuneFC2010 tf_Guidance_Sheet3" xfId="4867"/>
    <cellStyle name="_MOR - Australia -  EC - 3+9_Restructuring_Separation_TAX_JuneFC2010 tf_Guidance_Sheet4" xfId="4868"/>
    <cellStyle name="_MOR - Australia -  EC - 3+9_Restructuring_Separation_TAX_JuneFC2010 tf_II.8. Sep&amp;Discrete" xfId="4869"/>
    <cellStyle name="_MOR - Australia -  EC - 3+9_Restructuring_Separation_TAX_JuneFC2010 tf_II.8. Sep&amp;Discrete_Guidance" xfId="4870"/>
    <cellStyle name="_MOR - Australia -  EC - 3+9_Restructuring_Separation_TAX_JuneFC2010 tf_II.8. Sep&amp;Discrete_Guidance 2" xfId="4871"/>
    <cellStyle name="_MOR - Australia -  EC - 3+9_Restructuring_Separation_TAX_JuneFC2010 tf_II.8. Sep&amp;Discrete_Guidance_BS retrieve" xfId="4872"/>
    <cellStyle name="_MOR - Australia -  EC - 3+9_Restructuring_Separation_TAX_JuneFC2010 tf_II.8. Sep&amp;Discrete_Guidance_Free CF" xfId="4873"/>
    <cellStyle name="_MOR - Australia -  EC - 3+9_Restructuring_Separation_TAX_JuneFC2010 tf_II.8. Sep&amp;Discrete_Guidance_P&amp;L Rec Qtr" xfId="4874"/>
    <cellStyle name="_MOR - Australia -  EC - 3+9_Restructuring_Separation_TAX_JuneFC2010 tf_II.8. Sep&amp;Discrete_Guidance_Sheet1" xfId="4875"/>
    <cellStyle name="_MOR - Australia -  EC - 3+9_Restructuring_Separation_TAX_JuneFC2010 tf_II.8. Sep&amp;Discrete_Guidance_Sheet2" xfId="4876"/>
    <cellStyle name="_MOR - Australia -  EC - 3+9_Restructuring_Separation_TAX_JuneFC2010 tf_II.8. Sep&amp;Discrete_Guidance_Sheet3" xfId="4877"/>
    <cellStyle name="_MOR - Australia -  EC - 3+9_Restructuring_Separation_TAX_JuneFC2010 tf_II.8. Sep&amp;Discrete_Guidance_Sheet4" xfId="4878"/>
    <cellStyle name="_MOR - Australia -  EC - 3+9_Restructuring_Separation_TAX_JuneFC2010 tf_Restructuring &amp; Separation" xfId="4879"/>
    <cellStyle name="_MOR - Australia -  EC - 3+9_Restructuring_Separation_TAX_JuneFC2010 tf_Restructuring &amp; Separation_Guidance" xfId="4880"/>
    <cellStyle name="_MOR - Australia -  EC - 3+9_Restructuring_Separation_TAX_JuneFC2010 tf_Restructuring &amp; Separation_Guidance 2" xfId="4881"/>
    <cellStyle name="_MOR - Australia -  EC - 3+9_Restructuring_Separation_TAX_JuneFC2010 tf_Restructuring &amp; Separation_Guidance_BS retrieve" xfId="4882"/>
    <cellStyle name="_MOR - Australia -  EC - 3+9_Restructuring_Separation_TAX_JuneFC2010 tf_Restructuring &amp; Separation_Guidance_Free CF" xfId="4883"/>
    <cellStyle name="_MOR - Australia -  EC - 3+9_Restructuring_Separation_TAX_JuneFC2010 tf_Restructuring &amp; Separation_Guidance_P&amp;L Rec Qtr" xfId="4884"/>
    <cellStyle name="_MOR - Australia -  EC - 3+9_Restructuring_Separation_TAX_JuneFC2010 tf_Restructuring &amp; Separation_Guidance_Sheet1" xfId="4885"/>
    <cellStyle name="_MOR - Australia -  EC - 3+9_Restructuring_Separation_TAX_JuneFC2010 tf_Restructuring &amp; Separation_Guidance_Sheet2" xfId="4886"/>
    <cellStyle name="_MOR - Australia -  EC - 3+9_Restructuring_Separation_TAX_JuneFC2010 tf_Restructuring &amp; Separation_Guidance_Sheet3" xfId="4887"/>
    <cellStyle name="_MOR - Australia -  EC - 3+9_Restructuring_Separation_TAX_JuneFC2010 tf_Restructuring &amp; Separation_Guidance_Sheet4" xfId="4888"/>
    <cellStyle name="_MOR - Australia -  EC - 4+8" xfId="4889"/>
    <cellStyle name="_MOR - Australia -  EC - 4+8_BS_Separation_TaxResIndem_Q12412 tf" xfId="4890"/>
    <cellStyle name="_MOR - Australia -  EC - 4+8_BS_Separation_TaxResIndem_Q12412 tf_Guidance" xfId="4891"/>
    <cellStyle name="_MOR - Australia -  EC - 4+8_BS_Separation_TaxResIndem_Q12412 tf_Guidance 2" xfId="4892"/>
    <cellStyle name="_MOR - Australia -  EC - 4+8_BS_Separation_TaxResIndem_Q12412 tf_Guidance_BS retrieve" xfId="4893"/>
    <cellStyle name="_MOR - Australia -  EC - 4+8_BS_Separation_TaxResIndem_Q12412 tf_Guidance_Free CF" xfId="4894"/>
    <cellStyle name="_MOR - Australia -  EC - 4+8_BS_Separation_TaxResIndem_Q12412 tf_Guidance_P&amp;L Rec Qtr" xfId="4895"/>
    <cellStyle name="_MOR - Australia -  EC - 4+8_BS_Separation_TaxResIndem_Q12412 tf_Guidance_Sheet1" xfId="4896"/>
    <cellStyle name="_MOR - Australia -  EC - 4+8_BS_Separation_TaxResIndem_Q12412 tf_Guidance_Sheet2" xfId="4897"/>
    <cellStyle name="_MOR - Australia -  EC - 4+8_BS_Separation_TaxResIndem_Q12412 tf_Guidance_Sheet3" xfId="4898"/>
    <cellStyle name="_MOR - Australia -  EC - 4+8_BS_Separation_TaxResIndem_Q12412 tf_Guidance_Sheet4" xfId="4899"/>
    <cellStyle name="_MOR - Australia -  EC - 4+8_BS_Separation_TaxResIndem_Q12412 tf_Restructuring &amp; Separation" xfId="4900"/>
    <cellStyle name="_MOR - Australia -  EC - 4+8_BS_Separation_TaxResIndem_Q12412 tf_Restructuring &amp; Separation_Guidance" xfId="4901"/>
    <cellStyle name="_MOR - Australia -  EC - 4+8_BS_Separation_TaxResIndem_Q12412 tf_Restructuring &amp; Separation_Guidance 2" xfId="4902"/>
    <cellStyle name="_MOR - Australia -  EC - 4+8_BS_Separation_TaxResIndem_Q12412 tf_Restructuring &amp; Separation_Guidance_BS retrieve" xfId="4903"/>
    <cellStyle name="_MOR - Australia -  EC - 4+8_BS_Separation_TaxResIndem_Q12412 tf_Restructuring &amp; Separation_Guidance_Free CF" xfId="4904"/>
    <cellStyle name="_MOR - Australia -  EC - 4+8_BS_Separation_TaxResIndem_Q12412 tf_Restructuring &amp; Separation_Guidance_P&amp;L Rec Qtr" xfId="4905"/>
    <cellStyle name="_MOR - Australia -  EC - 4+8_BS_Separation_TaxResIndem_Q12412 tf_Restructuring &amp; Separation_Guidance_Sheet1" xfId="4906"/>
    <cellStyle name="_MOR - Australia -  EC - 4+8_BS_Separation_TaxResIndem_Q12412 tf_Restructuring &amp; Separation_Guidance_Sheet2" xfId="4907"/>
    <cellStyle name="_MOR - Australia -  EC - 4+8_BS_Separation_TaxResIndem_Q12412 tf_Restructuring &amp; Separation_Guidance_Sheet3" xfId="4908"/>
    <cellStyle name="_MOR - Australia -  EC - 4+8_BS_Separation_TaxResIndem_Q12412 tf_Restructuring &amp; Separation_Guidance_Sheet4" xfId="4909"/>
    <cellStyle name="_MOR - Australia -  EC - 4+8_By Country Detail 1Q10 041410pm FIN 18 revised per disc w Mary" xfId="4910"/>
    <cellStyle name="_MOR - Australia -  EC - 4+8_By Country Detail 1Q10 041410pm FIN 18 revised per disc w Mary_BS_Separation_TaxResIndem_Q12412 tf" xfId="4911"/>
    <cellStyle name="_MOR - Australia -  EC - 4+8_By Country Detail 1Q10 041410pm FIN 18 revised per disc w Mary_BS_Separation_TaxResIndem_Q12412 tf_Guidance" xfId="4912"/>
    <cellStyle name="_MOR - Australia -  EC - 4+8_By Country Detail 1Q10 041410pm FIN 18 revised per disc w Mary_BS_Separation_TaxResIndem_Q12412 tf_Guidance 2" xfId="4913"/>
    <cellStyle name="_MOR - Australia -  EC - 4+8_By Country Detail 1Q10 041410pm FIN 18 revised per disc w Mary_BS_Separation_TaxResIndem_Q12412 tf_Guidance_BS retrieve" xfId="4914"/>
    <cellStyle name="_MOR - Australia -  EC - 4+8_By Country Detail 1Q10 041410pm FIN 18 revised per disc w Mary_BS_Separation_TaxResIndem_Q12412 tf_Guidance_Free CF" xfId="4915"/>
    <cellStyle name="_MOR - Australia -  EC - 4+8_By Country Detail 1Q10 041410pm FIN 18 revised per disc w Mary_BS_Separation_TaxResIndem_Q12412 tf_Guidance_P&amp;L Rec Qtr" xfId="4916"/>
    <cellStyle name="_MOR - Australia -  EC - 4+8_By Country Detail 1Q10 041410pm FIN 18 revised per disc w Mary_BS_Separation_TaxResIndem_Q12412 tf_Guidance_Sheet1" xfId="4917"/>
    <cellStyle name="_MOR - Australia -  EC - 4+8_By Country Detail 1Q10 041410pm FIN 18 revised per disc w Mary_BS_Separation_TaxResIndem_Q12412 tf_Guidance_Sheet2" xfId="4918"/>
    <cellStyle name="_MOR - Australia -  EC - 4+8_By Country Detail 1Q10 041410pm FIN 18 revised per disc w Mary_BS_Separation_TaxResIndem_Q12412 tf_Guidance_Sheet3" xfId="4919"/>
    <cellStyle name="_MOR - Australia -  EC - 4+8_By Country Detail 1Q10 041410pm FIN 18 revised per disc w Mary_BS_Separation_TaxResIndem_Q12412 tf_Guidance_Sheet4" xfId="4920"/>
    <cellStyle name="_MOR - Australia -  EC - 4+8_By Country Detail 1Q10 041410pm FIN 18 revised per disc w Mary_BS_Separation_TaxResIndem_Q12412 tf_Restructuring &amp; Separation" xfId="4921"/>
    <cellStyle name="_MOR - Australia -  EC - 4+8_By Country Detail 1Q10 041410pm FIN 18 revised per disc w Mary_BS_Separation_TaxResIndem_Q12412 tf_Restructuring &amp; Separation_Guidance" xfId="4922"/>
    <cellStyle name="_MOR - Australia -  EC - 4+8_By Country Detail 1Q10 041410pm FIN 18 revised per disc w Mary_BS_Separation_TaxResIndem_Q12412 tf_Restructuring &amp; Separation_Guidance 2" xfId="4923"/>
    <cellStyle name="_MOR - Australia -  EC - 4+8_By Country Detail 1Q10 041410pm FIN 18 revised per disc w Mary_BS_Separation_TaxResIndem_Q12412 tf_Restructuring &amp; Separation_Guidance_BS retrieve" xfId="4924"/>
    <cellStyle name="_MOR - Australia -  EC - 4+8_By Country Detail 1Q10 041410pm FIN 18 revised per disc w Mary_BS_Separation_TaxResIndem_Q12412 tf_Restructuring &amp; Separation_Guidance_Free CF" xfId="4925"/>
    <cellStyle name="_MOR - Australia -  EC - 4+8_By Country Detail 1Q10 041410pm FIN 18 revised per disc w Mary_BS_Separation_TaxResIndem_Q12412 tf_Restructuring &amp; Separation_Guidance_P&amp;L Rec Qtr" xfId="4926"/>
    <cellStyle name="_MOR - Australia -  EC - 4+8_By Country Detail 1Q10 041410pm FIN 18 revised per disc w Mary_BS_Separation_TaxResIndem_Q12412 tf_Restructuring &amp; Separation_Guidance_Sheet1" xfId="4927"/>
    <cellStyle name="_MOR - Australia -  EC - 4+8_By Country Detail 1Q10 041410pm FIN 18 revised per disc w Mary_BS_Separation_TaxResIndem_Q12412 tf_Restructuring &amp; Separation_Guidance_Sheet2" xfId="4928"/>
    <cellStyle name="_MOR - Australia -  EC - 4+8_By Country Detail 1Q10 041410pm FIN 18 revised per disc w Mary_BS_Separation_TaxResIndem_Q12412 tf_Restructuring &amp; Separation_Guidance_Sheet3" xfId="4929"/>
    <cellStyle name="_MOR - Australia -  EC - 4+8_By Country Detail 1Q10 041410pm FIN 18 revised per disc w Mary_BS_Separation_TaxResIndem_Q12412 tf_Restructuring &amp; Separation_Guidance_Sheet4" xfId="4930"/>
    <cellStyle name="_MOR - Australia -  EC - 4+8_By Country Detail 1Q10 041410pm FIN 18 revised per disc w Mary_Guidance" xfId="4931"/>
    <cellStyle name="_MOR - Australia -  EC - 4+8_By Country Detail 1Q10 041410pm FIN 18 revised per disc w Mary_Guidance 2" xfId="4932"/>
    <cellStyle name="_MOR - Australia -  EC - 4+8_By Country Detail 1Q10 041410pm FIN 18 revised per disc w Mary_Guidance_BS retrieve" xfId="4933"/>
    <cellStyle name="_MOR - Australia -  EC - 4+8_By Country Detail 1Q10 041410pm FIN 18 revised per disc w Mary_Guidance_Free CF" xfId="4934"/>
    <cellStyle name="_MOR - Australia -  EC - 4+8_By Country Detail 1Q10 041410pm FIN 18 revised per disc w Mary_Guidance_P&amp;L Rec Qtr" xfId="4935"/>
    <cellStyle name="_MOR - Australia -  EC - 4+8_By Country Detail 1Q10 041410pm FIN 18 revised per disc w Mary_Guidance_Sheet1" xfId="4936"/>
    <cellStyle name="_MOR - Australia -  EC - 4+8_By Country Detail 1Q10 041410pm FIN 18 revised per disc w Mary_Guidance_Sheet2" xfId="4937"/>
    <cellStyle name="_MOR - Australia -  EC - 4+8_By Country Detail 1Q10 041410pm FIN 18 revised per disc w Mary_Guidance_Sheet3" xfId="4938"/>
    <cellStyle name="_MOR - Australia -  EC - 4+8_By Country Detail 1Q10 041410pm FIN 18 revised per disc w Mary_Guidance_Sheet4" xfId="4939"/>
    <cellStyle name="_MOR - Australia -  EC - 4+8_By Country Detail 1Q10 041410pm FIN 18 revised per disc w Mary_II.8. Sep&amp;Discrete" xfId="4940"/>
    <cellStyle name="_MOR - Australia -  EC - 4+8_By Country Detail 1Q10 041410pm FIN 18 revised per disc w Mary_II.8. Sep&amp;Discrete_Guidance" xfId="4941"/>
    <cellStyle name="_MOR - Australia -  EC - 4+8_By Country Detail 1Q10 041410pm FIN 18 revised per disc w Mary_II.8. Sep&amp;Discrete_Guidance 2" xfId="4942"/>
    <cellStyle name="_MOR - Australia -  EC - 4+8_By Country Detail 1Q10 041410pm FIN 18 revised per disc w Mary_II.8. Sep&amp;Discrete_Guidance_BS retrieve" xfId="4943"/>
    <cellStyle name="_MOR - Australia -  EC - 4+8_By Country Detail 1Q10 041410pm FIN 18 revised per disc w Mary_II.8. Sep&amp;Discrete_Guidance_Free CF" xfId="4944"/>
    <cellStyle name="_MOR - Australia -  EC - 4+8_By Country Detail 1Q10 041410pm FIN 18 revised per disc w Mary_II.8. Sep&amp;Discrete_Guidance_P&amp;L Rec Qtr" xfId="4945"/>
    <cellStyle name="_MOR - Australia -  EC - 4+8_By Country Detail 1Q10 041410pm FIN 18 revised per disc w Mary_II.8. Sep&amp;Discrete_Guidance_Sheet1" xfId="4946"/>
    <cellStyle name="_MOR - Australia -  EC - 4+8_By Country Detail 1Q10 041410pm FIN 18 revised per disc w Mary_II.8. Sep&amp;Discrete_Guidance_Sheet2" xfId="4947"/>
    <cellStyle name="_MOR - Australia -  EC - 4+8_By Country Detail 1Q10 041410pm FIN 18 revised per disc w Mary_II.8. Sep&amp;Discrete_Guidance_Sheet3" xfId="4948"/>
    <cellStyle name="_MOR - Australia -  EC - 4+8_By Country Detail 1Q10 041410pm FIN 18 revised per disc w Mary_II.8. Sep&amp;Discrete_Guidance_Sheet4" xfId="4949"/>
    <cellStyle name="_MOR - Australia -  EC - 4+8_By Country Detail 1Q10 041410pm FIN 18 revised per disc w Mary_Restructuring &amp; Separation" xfId="4950"/>
    <cellStyle name="_MOR - Australia -  EC - 4+8_By Country Detail 1Q10 041410pm FIN 18 revised per disc w Mary_Restructuring &amp; Separation_Guidance" xfId="4951"/>
    <cellStyle name="_MOR - Australia -  EC - 4+8_By Country Detail 1Q10 041410pm FIN 18 revised per disc w Mary_Restructuring &amp; Separation_Guidance 2" xfId="4952"/>
    <cellStyle name="_MOR - Australia -  EC - 4+8_By Country Detail 1Q10 041410pm FIN 18 revised per disc w Mary_Restructuring &amp; Separation_Guidance_BS retrieve" xfId="4953"/>
    <cellStyle name="_MOR - Australia -  EC - 4+8_By Country Detail 1Q10 041410pm FIN 18 revised per disc w Mary_Restructuring &amp; Separation_Guidance_Free CF" xfId="4954"/>
    <cellStyle name="_MOR - Australia -  EC - 4+8_By Country Detail 1Q10 041410pm FIN 18 revised per disc w Mary_Restructuring &amp; Separation_Guidance_P&amp;L Rec Qtr" xfId="4955"/>
    <cellStyle name="_MOR - Australia -  EC - 4+8_By Country Detail 1Q10 041410pm FIN 18 revised per disc w Mary_Restructuring &amp; Separation_Guidance_Sheet1" xfId="4956"/>
    <cellStyle name="_MOR - Australia -  EC - 4+8_By Country Detail 1Q10 041410pm FIN 18 revised per disc w Mary_Restructuring &amp; Separation_Guidance_Sheet2" xfId="4957"/>
    <cellStyle name="_MOR - Australia -  EC - 4+8_By Country Detail 1Q10 041410pm FIN 18 revised per disc w Mary_Restructuring &amp; Separation_Guidance_Sheet3" xfId="4958"/>
    <cellStyle name="_MOR - Australia -  EC - 4+8_By Country Detail 1Q10 041410pm FIN 18 revised per disc w Mary_Restructuring &amp; Separation_Guidance_Sheet4" xfId="4959"/>
    <cellStyle name="_MOR - Australia -  EC - 4+8_Guidance" xfId="4960"/>
    <cellStyle name="_MOR - Australia -  EC - 4+8_Guidance 2" xfId="4961"/>
    <cellStyle name="_MOR - Australia -  EC - 4+8_Guidance_BS retrieve" xfId="4962"/>
    <cellStyle name="_MOR - Australia -  EC - 4+8_Guidance_Free CF" xfId="4963"/>
    <cellStyle name="_MOR - Australia -  EC - 4+8_Guidance_P&amp;L Rec Qtr" xfId="4964"/>
    <cellStyle name="_MOR - Australia -  EC - 4+8_Guidance_Sheet1" xfId="4965"/>
    <cellStyle name="_MOR - Australia -  EC - 4+8_Guidance_Sheet2" xfId="4966"/>
    <cellStyle name="_MOR - Australia -  EC - 4+8_Guidance_Sheet3" xfId="4967"/>
    <cellStyle name="_MOR - Australia -  EC - 4+8_Guidance_Sheet4" xfId="4968"/>
    <cellStyle name="_MOR - Australia -  EC - 4+8_II.4. RawMaterials" xfId="4969"/>
    <cellStyle name="_MOR - Australia -  EC - 4+8_II.4. RawMaterials 2" xfId="4970"/>
    <cellStyle name="_MOR - Australia -  EC - 4+8_II.4. RawMaterials_BS retrieve" xfId="4971"/>
    <cellStyle name="_MOR - Australia -  EC - 4+8_II.4. RawMaterials_Free CF" xfId="4972"/>
    <cellStyle name="_MOR - Australia -  EC - 4+8_II.4. RawMaterials_P&amp;L Rec Qtr" xfId="4973"/>
    <cellStyle name="_MOR - Australia -  EC - 4+8_II.4. RawMaterials_Sheet1" xfId="4974"/>
    <cellStyle name="_MOR - Australia -  EC - 4+8_II.4. RawMaterials_Sheet2" xfId="4975"/>
    <cellStyle name="_MOR - Australia -  EC - 4+8_II.4. RawMaterials_Sheet3" xfId="4976"/>
    <cellStyle name="_MOR - Australia -  EC - 4+8_II.4. RawMaterials_Sheet4" xfId="4977"/>
    <cellStyle name="_MOR - Australia -  EC - 4+8_II.5. RawMaterials" xfId="4978"/>
    <cellStyle name="_MOR - Australia -  EC - 4+8_II.5. RawMaterials 2" xfId="4979"/>
    <cellStyle name="_MOR - Australia -  EC - 4+8_II.5. RawMaterials_BS retrieve" xfId="4980"/>
    <cellStyle name="_MOR - Australia -  EC - 4+8_II.5. RawMaterials_Free CF" xfId="4981"/>
    <cellStyle name="_MOR - Australia -  EC - 4+8_II.5. RawMaterials_Guidance" xfId="4982"/>
    <cellStyle name="_MOR - Australia -  EC - 4+8_II.5. RawMaterials_Guidance 2" xfId="4983"/>
    <cellStyle name="_MOR - Australia -  EC - 4+8_II.5. RawMaterials_Guidance_BS retrieve" xfId="4984"/>
    <cellStyle name="_MOR - Australia -  EC - 4+8_II.5. RawMaterials_Guidance_Free CF" xfId="4985"/>
    <cellStyle name="_MOR - Australia -  EC - 4+8_II.5. RawMaterials_Guidance_P&amp;L Rec Qtr" xfId="4986"/>
    <cellStyle name="_MOR - Australia -  EC - 4+8_II.5. RawMaterials_Guidance_Sheet1" xfId="4987"/>
    <cellStyle name="_MOR - Australia -  EC - 4+8_II.5. RawMaterials_Guidance_Sheet2" xfId="4988"/>
    <cellStyle name="_MOR - Australia -  EC - 4+8_II.5. RawMaterials_Guidance_Sheet3" xfId="4989"/>
    <cellStyle name="_MOR - Australia -  EC - 4+8_II.5. RawMaterials_Guidance_Sheet4" xfId="4990"/>
    <cellStyle name="_MOR - Australia -  EC - 4+8_II.5. RawMaterials_P&amp;L Rec Qtr" xfId="4991"/>
    <cellStyle name="_MOR - Australia -  EC - 4+8_II.5. RawMaterials_Sheet1" xfId="4992"/>
    <cellStyle name="_MOR - Australia -  EC - 4+8_II.5. RawMaterials_Sheet2" xfId="4993"/>
    <cellStyle name="_MOR - Australia -  EC - 4+8_II.5. RawMaterials_Sheet3" xfId="4994"/>
    <cellStyle name="_MOR - Australia -  EC - 4+8_II.5. RawMaterials_Sheet4" xfId="4995"/>
    <cellStyle name="_MOR - Australia -  EC - 4+8_II.5. RM Volume Sensitivities" xfId="4996"/>
    <cellStyle name="_MOR - Australia -  EC - 4+8_II.5. RM Volume Sensitivities 2" xfId="4997"/>
    <cellStyle name="_MOR - Australia -  EC - 4+8_II.5. RM Volume Sensitivities_BS retrieve" xfId="4998"/>
    <cellStyle name="_MOR - Australia -  EC - 4+8_II.5. RM Volume Sensitivities_Free CF" xfId="4999"/>
    <cellStyle name="_MOR - Australia -  EC - 4+8_II.5. RM Volume Sensitivities_P&amp;L Rec Qtr" xfId="5000"/>
    <cellStyle name="_MOR - Australia -  EC - 4+8_II.5. RM Volume Sensitivities_Sheet1" xfId="5001"/>
    <cellStyle name="_MOR - Australia -  EC - 4+8_II.5. RM Volume Sensitivities_Sheet2" xfId="5002"/>
    <cellStyle name="_MOR - Australia -  EC - 4+8_II.5. RM Volume Sensitivities_Sheet3" xfId="5003"/>
    <cellStyle name="_MOR - Australia -  EC - 4+8_II.5. RM Volume Sensitivities_Sheet4" xfId="5004"/>
    <cellStyle name="_MOR - Australia -  EC - 4+8_II.8. Sep&amp;Discrete" xfId="5005"/>
    <cellStyle name="_MOR - Australia -  EC - 4+8_II.8. Sep&amp;Discrete_Guidance" xfId="5006"/>
    <cellStyle name="_MOR - Australia -  EC - 4+8_II.8. Sep&amp;Discrete_Guidance 2" xfId="5007"/>
    <cellStyle name="_MOR - Australia -  EC - 4+8_II.8. Sep&amp;Discrete_Guidance_BS retrieve" xfId="5008"/>
    <cellStyle name="_MOR - Australia -  EC - 4+8_II.8. Sep&amp;Discrete_Guidance_Free CF" xfId="5009"/>
    <cellStyle name="_MOR - Australia -  EC - 4+8_II.8. Sep&amp;Discrete_Guidance_P&amp;L Rec Qtr" xfId="5010"/>
    <cellStyle name="_MOR - Australia -  EC - 4+8_II.8. Sep&amp;Discrete_Guidance_Sheet1" xfId="5011"/>
    <cellStyle name="_MOR - Australia -  EC - 4+8_II.8. Sep&amp;Discrete_Guidance_Sheet2" xfId="5012"/>
    <cellStyle name="_MOR - Australia -  EC - 4+8_II.8. Sep&amp;Discrete_Guidance_Sheet3" xfId="5013"/>
    <cellStyle name="_MOR - Australia -  EC - 4+8_II.8. Sep&amp;Discrete_Guidance_Sheet4" xfId="5014"/>
    <cellStyle name="_MOR - Australia -  EC - 4+8_Restructuring &amp; Separation" xfId="5015"/>
    <cellStyle name="_MOR - Australia -  EC - 4+8_Restructuring &amp; Separation_Guidance" xfId="5016"/>
    <cellStyle name="_MOR - Australia -  EC - 4+8_Restructuring &amp; Separation_Guidance 2" xfId="5017"/>
    <cellStyle name="_MOR - Australia -  EC - 4+8_Restructuring &amp; Separation_Guidance_BS retrieve" xfId="5018"/>
    <cellStyle name="_MOR - Australia -  EC - 4+8_Restructuring &amp; Separation_Guidance_Free CF" xfId="5019"/>
    <cellStyle name="_MOR - Australia -  EC - 4+8_Restructuring &amp; Separation_Guidance_P&amp;L Rec Qtr" xfId="5020"/>
    <cellStyle name="_MOR - Australia -  EC - 4+8_Restructuring &amp; Separation_Guidance_Sheet1" xfId="5021"/>
    <cellStyle name="_MOR - Australia -  EC - 4+8_Restructuring &amp; Separation_Guidance_Sheet2" xfId="5022"/>
    <cellStyle name="_MOR - Australia -  EC - 4+8_Restructuring &amp; Separation_Guidance_Sheet3" xfId="5023"/>
    <cellStyle name="_MOR - Australia -  EC - 4+8_Restructuring &amp; Separation_Guidance_Sheet4" xfId="5024"/>
    <cellStyle name="_MOR - Australia -  EC - 4+8_Restructuring_Separation_TAX_JuneFC2010 tf" xfId="5025"/>
    <cellStyle name="_MOR - Australia -  EC - 4+8_Restructuring_Separation_TAX_JuneFC2010 tf_BS_Separation_TaxResIndem_Q12412 tf" xfId="5026"/>
    <cellStyle name="_MOR - Australia -  EC - 4+8_Restructuring_Separation_TAX_JuneFC2010 tf_BS_Separation_TaxResIndem_Q12412 tf_Guidance" xfId="5027"/>
    <cellStyle name="_MOR - Australia -  EC - 4+8_Restructuring_Separation_TAX_JuneFC2010 tf_BS_Separation_TaxResIndem_Q12412 tf_Guidance 2" xfId="5028"/>
    <cellStyle name="_MOR - Australia -  EC - 4+8_Restructuring_Separation_TAX_JuneFC2010 tf_BS_Separation_TaxResIndem_Q12412 tf_Guidance_BS retrieve" xfId="5029"/>
    <cellStyle name="_MOR - Australia -  EC - 4+8_Restructuring_Separation_TAX_JuneFC2010 tf_BS_Separation_TaxResIndem_Q12412 tf_Guidance_Free CF" xfId="5030"/>
    <cellStyle name="_MOR - Australia -  EC - 4+8_Restructuring_Separation_TAX_JuneFC2010 tf_BS_Separation_TaxResIndem_Q12412 tf_Guidance_P&amp;L Rec Qtr" xfId="5031"/>
    <cellStyle name="_MOR - Australia -  EC - 4+8_Restructuring_Separation_TAX_JuneFC2010 tf_BS_Separation_TaxResIndem_Q12412 tf_Guidance_Sheet1" xfId="5032"/>
    <cellStyle name="_MOR - Australia -  EC - 4+8_Restructuring_Separation_TAX_JuneFC2010 tf_BS_Separation_TaxResIndem_Q12412 tf_Guidance_Sheet2" xfId="5033"/>
    <cellStyle name="_MOR - Australia -  EC - 4+8_Restructuring_Separation_TAX_JuneFC2010 tf_BS_Separation_TaxResIndem_Q12412 tf_Guidance_Sheet3" xfId="5034"/>
    <cellStyle name="_MOR - Australia -  EC - 4+8_Restructuring_Separation_TAX_JuneFC2010 tf_BS_Separation_TaxResIndem_Q12412 tf_Guidance_Sheet4" xfId="5035"/>
    <cellStyle name="_MOR - Australia -  EC - 4+8_Restructuring_Separation_TAX_JuneFC2010 tf_BS_Separation_TaxResIndem_Q12412 tf_Restructuring &amp; Separation" xfId="5036"/>
    <cellStyle name="_MOR - Australia -  EC - 4+8_Restructuring_Separation_TAX_JuneFC2010 tf_BS_Separation_TaxResIndem_Q12412 tf_Restructuring &amp; Separation_Guidance" xfId="5037"/>
    <cellStyle name="_MOR - Australia -  EC - 4+8_Restructuring_Separation_TAX_JuneFC2010 tf_BS_Separation_TaxResIndem_Q12412 tf_Restructuring &amp; Separation_Guidance 2" xfId="5038"/>
    <cellStyle name="_MOR - Australia -  EC - 4+8_Restructuring_Separation_TAX_JuneFC2010 tf_BS_Separation_TaxResIndem_Q12412 tf_Restructuring &amp; Separation_Guidance_BS retrieve" xfId="5039"/>
    <cellStyle name="_MOR - Australia -  EC - 4+8_Restructuring_Separation_TAX_JuneFC2010 tf_BS_Separation_TaxResIndem_Q12412 tf_Restructuring &amp; Separation_Guidance_Free CF" xfId="5040"/>
    <cellStyle name="_MOR - Australia -  EC - 4+8_Restructuring_Separation_TAX_JuneFC2010 tf_BS_Separation_TaxResIndem_Q12412 tf_Restructuring &amp; Separation_Guidance_P&amp;L Rec Qtr" xfId="5041"/>
    <cellStyle name="_MOR - Australia -  EC - 4+8_Restructuring_Separation_TAX_JuneFC2010 tf_BS_Separation_TaxResIndem_Q12412 tf_Restructuring &amp; Separation_Guidance_Sheet1" xfId="5042"/>
    <cellStyle name="_MOR - Australia -  EC - 4+8_Restructuring_Separation_TAX_JuneFC2010 tf_BS_Separation_TaxResIndem_Q12412 tf_Restructuring &amp; Separation_Guidance_Sheet2" xfId="5043"/>
    <cellStyle name="_MOR - Australia -  EC - 4+8_Restructuring_Separation_TAX_JuneFC2010 tf_BS_Separation_TaxResIndem_Q12412 tf_Restructuring &amp; Separation_Guidance_Sheet3" xfId="5044"/>
    <cellStyle name="_MOR - Australia -  EC - 4+8_Restructuring_Separation_TAX_JuneFC2010 tf_BS_Separation_TaxResIndem_Q12412 tf_Restructuring &amp; Separation_Guidance_Sheet4" xfId="5045"/>
    <cellStyle name="_MOR - Australia -  EC - 4+8_Restructuring_Separation_TAX_JuneFC2010 tf_Guidance" xfId="5046"/>
    <cellStyle name="_MOR - Australia -  EC - 4+8_Restructuring_Separation_TAX_JuneFC2010 tf_Guidance 2" xfId="5047"/>
    <cellStyle name="_MOR - Australia -  EC - 4+8_Restructuring_Separation_TAX_JuneFC2010 tf_Guidance_BS retrieve" xfId="5048"/>
    <cellStyle name="_MOR - Australia -  EC - 4+8_Restructuring_Separation_TAX_JuneFC2010 tf_Guidance_Free CF" xfId="5049"/>
    <cellStyle name="_MOR - Australia -  EC - 4+8_Restructuring_Separation_TAX_JuneFC2010 tf_Guidance_P&amp;L Rec Qtr" xfId="5050"/>
    <cellStyle name="_MOR - Australia -  EC - 4+8_Restructuring_Separation_TAX_JuneFC2010 tf_Guidance_Sheet1" xfId="5051"/>
    <cellStyle name="_MOR - Australia -  EC - 4+8_Restructuring_Separation_TAX_JuneFC2010 tf_Guidance_Sheet2" xfId="5052"/>
    <cellStyle name="_MOR - Australia -  EC - 4+8_Restructuring_Separation_TAX_JuneFC2010 tf_Guidance_Sheet3" xfId="5053"/>
    <cellStyle name="_MOR - Australia -  EC - 4+8_Restructuring_Separation_TAX_JuneFC2010 tf_Guidance_Sheet4" xfId="5054"/>
    <cellStyle name="_MOR - Australia -  EC - 4+8_Restructuring_Separation_TAX_JuneFC2010 tf_II.8. Sep&amp;Discrete" xfId="5055"/>
    <cellStyle name="_MOR - Australia -  EC - 4+8_Restructuring_Separation_TAX_JuneFC2010 tf_II.8. Sep&amp;Discrete_Guidance" xfId="5056"/>
    <cellStyle name="_MOR - Australia -  EC - 4+8_Restructuring_Separation_TAX_JuneFC2010 tf_II.8. Sep&amp;Discrete_Guidance 2" xfId="5057"/>
    <cellStyle name="_MOR - Australia -  EC - 4+8_Restructuring_Separation_TAX_JuneFC2010 tf_II.8. Sep&amp;Discrete_Guidance_BS retrieve" xfId="5058"/>
    <cellStyle name="_MOR - Australia -  EC - 4+8_Restructuring_Separation_TAX_JuneFC2010 tf_II.8. Sep&amp;Discrete_Guidance_Free CF" xfId="5059"/>
    <cellStyle name="_MOR - Australia -  EC - 4+8_Restructuring_Separation_TAX_JuneFC2010 tf_II.8. Sep&amp;Discrete_Guidance_P&amp;L Rec Qtr" xfId="5060"/>
    <cellStyle name="_MOR - Australia -  EC - 4+8_Restructuring_Separation_TAX_JuneFC2010 tf_II.8. Sep&amp;Discrete_Guidance_Sheet1" xfId="5061"/>
    <cellStyle name="_MOR - Australia -  EC - 4+8_Restructuring_Separation_TAX_JuneFC2010 tf_II.8. Sep&amp;Discrete_Guidance_Sheet2" xfId="5062"/>
    <cellStyle name="_MOR - Australia -  EC - 4+8_Restructuring_Separation_TAX_JuneFC2010 tf_II.8. Sep&amp;Discrete_Guidance_Sheet3" xfId="5063"/>
    <cellStyle name="_MOR - Australia -  EC - 4+8_Restructuring_Separation_TAX_JuneFC2010 tf_II.8. Sep&amp;Discrete_Guidance_Sheet4" xfId="5064"/>
    <cellStyle name="_MOR - Australia -  EC - 4+8_Restructuring_Separation_TAX_JuneFC2010 tf_Restructuring &amp; Separation" xfId="5065"/>
    <cellStyle name="_MOR - Australia -  EC - 4+8_Restructuring_Separation_TAX_JuneFC2010 tf_Restructuring &amp; Separation_Guidance" xfId="5066"/>
    <cellStyle name="_MOR - Australia -  EC - 4+8_Restructuring_Separation_TAX_JuneFC2010 tf_Restructuring &amp; Separation_Guidance 2" xfId="5067"/>
    <cellStyle name="_MOR - Australia -  EC - 4+8_Restructuring_Separation_TAX_JuneFC2010 tf_Restructuring &amp; Separation_Guidance_BS retrieve" xfId="5068"/>
    <cellStyle name="_MOR - Australia -  EC - 4+8_Restructuring_Separation_TAX_JuneFC2010 tf_Restructuring &amp; Separation_Guidance_Free CF" xfId="5069"/>
    <cellStyle name="_MOR - Australia -  EC - 4+8_Restructuring_Separation_TAX_JuneFC2010 tf_Restructuring &amp; Separation_Guidance_P&amp;L Rec Qtr" xfId="5070"/>
    <cellStyle name="_MOR - Australia -  EC - 4+8_Restructuring_Separation_TAX_JuneFC2010 tf_Restructuring &amp; Separation_Guidance_Sheet1" xfId="5071"/>
    <cellStyle name="_MOR - Australia -  EC - 4+8_Restructuring_Separation_TAX_JuneFC2010 tf_Restructuring &amp; Separation_Guidance_Sheet2" xfId="5072"/>
    <cellStyle name="_MOR - Australia -  EC - 4+8_Restructuring_Separation_TAX_JuneFC2010 tf_Restructuring &amp; Separation_Guidance_Sheet3" xfId="5073"/>
    <cellStyle name="_MOR - Australia -  EC - 4+8_Restructuring_Separation_TAX_JuneFC2010 tf_Restructuring &amp; Separation_Guidance_Sheet4" xfId="5074"/>
    <cellStyle name="_MOR - Australia - EC - 12+0" xfId="5075"/>
    <cellStyle name="_MOR - Australia - EC - 12+0_BS_Separation_TaxResIndem_Q12412 tf" xfId="5076"/>
    <cellStyle name="_MOR - Australia - EC - 12+0_BS_Separation_TaxResIndem_Q12412 tf_Guidance" xfId="5077"/>
    <cellStyle name="_MOR - Australia - EC - 12+0_BS_Separation_TaxResIndem_Q12412 tf_Guidance 2" xfId="5078"/>
    <cellStyle name="_MOR - Australia - EC - 12+0_BS_Separation_TaxResIndem_Q12412 tf_Guidance_BS retrieve" xfId="5079"/>
    <cellStyle name="_MOR - Australia - EC - 12+0_BS_Separation_TaxResIndem_Q12412 tf_Guidance_Free CF" xfId="5080"/>
    <cellStyle name="_MOR - Australia - EC - 12+0_BS_Separation_TaxResIndem_Q12412 tf_Guidance_P&amp;L Rec Qtr" xfId="5081"/>
    <cellStyle name="_MOR - Australia - EC - 12+0_BS_Separation_TaxResIndem_Q12412 tf_Guidance_Sheet1" xfId="5082"/>
    <cellStyle name="_MOR - Australia - EC - 12+0_BS_Separation_TaxResIndem_Q12412 tf_Guidance_Sheet2" xfId="5083"/>
    <cellStyle name="_MOR - Australia - EC - 12+0_BS_Separation_TaxResIndem_Q12412 tf_Guidance_Sheet3" xfId="5084"/>
    <cellStyle name="_MOR - Australia - EC - 12+0_BS_Separation_TaxResIndem_Q12412 tf_Guidance_Sheet4" xfId="5085"/>
    <cellStyle name="_MOR - Australia - EC - 12+0_BS_Separation_TaxResIndem_Q12412 tf_Restructuring &amp; Separation" xfId="5086"/>
    <cellStyle name="_MOR - Australia - EC - 12+0_BS_Separation_TaxResIndem_Q12412 tf_Restructuring &amp; Separation_Guidance" xfId="5087"/>
    <cellStyle name="_MOR - Australia - EC - 12+0_BS_Separation_TaxResIndem_Q12412 tf_Restructuring &amp; Separation_Guidance 2" xfId="5088"/>
    <cellStyle name="_MOR - Australia - EC - 12+0_BS_Separation_TaxResIndem_Q12412 tf_Restructuring &amp; Separation_Guidance_BS retrieve" xfId="5089"/>
    <cellStyle name="_MOR - Australia - EC - 12+0_BS_Separation_TaxResIndem_Q12412 tf_Restructuring &amp; Separation_Guidance_Free CF" xfId="5090"/>
    <cellStyle name="_MOR - Australia - EC - 12+0_BS_Separation_TaxResIndem_Q12412 tf_Restructuring &amp; Separation_Guidance_P&amp;L Rec Qtr" xfId="5091"/>
    <cellStyle name="_MOR - Australia - EC - 12+0_BS_Separation_TaxResIndem_Q12412 tf_Restructuring &amp; Separation_Guidance_Sheet1" xfId="5092"/>
    <cellStyle name="_MOR - Australia - EC - 12+0_BS_Separation_TaxResIndem_Q12412 tf_Restructuring &amp; Separation_Guidance_Sheet2" xfId="5093"/>
    <cellStyle name="_MOR - Australia - EC - 12+0_BS_Separation_TaxResIndem_Q12412 tf_Restructuring &amp; Separation_Guidance_Sheet3" xfId="5094"/>
    <cellStyle name="_MOR - Australia - EC - 12+0_BS_Separation_TaxResIndem_Q12412 tf_Restructuring &amp; Separation_Guidance_Sheet4" xfId="5095"/>
    <cellStyle name="_MOR - Australia - EC - 12+0_By Country Detail 1Q10 041410pm FIN 18 revised per disc w Mary" xfId="5096"/>
    <cellStyle name="_MOR - Australia - EC - 12+0_By Country Detail 1Q10 041410pm FIN 18 revised per disc w Mary_BS_Separation_TaxResIndem_Q12412 tf" xfId="5097"/>
    <cellStyle name="_MOR - Australia - EC - 12+0_By Country Detail 1Q10 041410pm FIN 18 revised per disc w Mary_BS_Separation_TaxResIndem_Q12412 tf_Guidance" xfId="5098"/>
    <cellStyle name="_MOR - Australia - EC - 12+0_By Country Detail 1Q10 041410pm FIN 18 revised per disc w Mary_BS_Separation_TaxResIndem_Q12412 tf_Guidance 2" xfId="5099"/>
    <cellStyle name="_MOR - Australia - EC - 12+0_By Country Detail 1Q10 041410pm FIN 18 revised per disc w Mary_BS_Separation_TaxResIndem_Q12412 tf_Guidance_BS retrieve" xfId="5100"/>
    <cellStyle name="_MOR - Australia - EC - 12+0_By Country Detail 1Q10 041410pm FIN 18 revised per disc w Mary_BS_Separation_TaxResIndem_Q12412 tf_Guidance_Free CF" xfId="5101"/>
    <cellStyle name="_MOR - Australia - EC - 12+0_By Country Detail 1Q10 041410pm FIN 18 revised per disc w Mary_BS_Separation_TaxResIndem_Q12412 tf_Guidance_P&amp;L Rec Qtr" xfId="5102"/>
    <cellStyle name="_MOR - Australia - EC - 12+0_By Country Detail 1Q10 041410pm FIN 18 revised per disc w Mary_BS_Separation_TaxResIndem_Q12412 tf_Guidance_Sheet1" xfId="5103"/>
    <cellStyle name="_MOR - Australia - EC - 12+0_By Country Detail 1Q10 041410pm FIN 18 revised per disc w Mary_BS_Separation_TaxResIndem_Q12412 tf_Guidance_Sheet2" xfId="5104"/>
    <cellStyle name="_MOR - Australia - EC - 12+0_By Country Detail 1Q10 041410pm FIN 18 revised per disc w Mary_BS_Separation_TaxResIndem_Q12412 tf_Guidance_Sheet3" xfId="5105"/>
    <cellStyle name="_MOR - Australia - EC - 12+0_By Country Detail 1Q10 041410pm FIN 18 revised per disc w Mary_BS_Separation_TaxResIndem_Q12412 tf_Guidance_Sheet4" xfId="5106"/>
    <cellStyle name="_MOR - Australia - EC - 12+0_By Country Detail 1Q10 041410pm FIN 18 revised per disc w Mary_BS_Separation_TaxResIndem_Q12412 tf_Restructuring &amp; Separation" xfId="5107"/>
    <cellStyle name="_MOR - Australia - EC - 12+0_By Country Detail 1Q10 041410pm FIN 18 revised per disc w Mary_BS_Separation_TaxResIndem_Q12412 tf_Restructuring &amp; Separation_Guidance" xfId="5108"/>
    <cellStyle name="_MOR - Australia - EC - 12+0_By Country Detail 1Q10 041410pm FIN 18 revised per disc w Mary_BS_Separation_TaxResIndem_Q12412 tf_Restructuring &amp; Separation_Guidance 2" xfId="5109"/>
    <cellStyle name="_MOR - Australia - EC - 12+0_By Country Detail 1Q10 041410pm FIN 18 revised per disc w Mary_BS_Separation_TaxResIndem_Q12412 tf_Restructuring &amp; Separation_Guidance_BS retrieve" xfId="5110"/>
    <cellStyle name="_MOR - Australia - EC - 12+0_By Country Detail 1Q10 041410pm FIN 18 revised per disc w Mary_BS_Separation_TaxResIndem_Q12412 tf_Restructuring &amp; Separation_Guidance_Free CF" xfId="5111"/>
    <cellStyle name="_MOR - Australia - EC - 12+0_By Country Detail 1Q10 041410pm FIN 18 revised per disc w Mary_BS_Separation_TaxResIndem_Q12412 tf_Restructuring &amp; Separation_Guidance_P&amp;L Rec Qtr" xfId="5112"/>
    <cellStyle name="_MOR - Australia - EC - 12+0_By Country Detail 1Q10 041410pm FIN 18 revised per disc w Mary_BS_Separation_TaxResIndem_Q12412 tf_Restructuring &amp; Separation_Guidance_Sheet1" xfId="5113"/>
    <cellStyle name="_MOR - Australia - EC - 12+0_By Country Detail 1Q10 041410pm FIN 18 revised per disc w Mary_BS_Separation_TaxResIndem_Q12412 tf_Restructuring &amp; Separation_Guidance_Sheet2" xfId="5114"/>
    <cellStyle name="_MOR - Australia - EC - 12+0_By Country Detail 1Q10 041410pm FIN 18 revised per disc w Mary_BS_Separation_TaxResIndem_Q12412 tf_Restructuring &amp; Separation_Guidance_Sheet3" xfId="5115"/>
    <cellStyle name="_MOR - Australia - EC - 12+0_By Country Detail 1Q10 041410pm FIN 18 revised per disc w Mary_BS_Separation_TaxResIndem_Q12412 tf_Restructuring &amp; Separation_Guidance_Sheet4" xfId="5116"/>
    <cellStyle name="_MOR - Australia - EC - 12+0_By Country Detail 1Q10 041410pm FIN 18 revised per disc w Mary_Guidance" xfId="5117"/>
    <cellStyle name="_MOR - Australia - EC - 12+0_By Country Detail 1Q10 041410pm FIN 18 revised per disc w Mary_Guidance 2" xfId="5118"/>
    <cellStyle name="_MOR - Australia - EC - 12+0_By Country Detail 1Q10 041410pm FIN 18 revised per disc w Mary_Guidance_BS retrieve" xfId="5119"/>
    <cellStyle name="_MOR - Australia - EC - 12+0_By Country Detail 1Q10 041410pm FIN 18 revised per disc w Mary_Guidance_Free CF" xfId="5120"/>
    <cellStyle name="_MOR - Australia - EC - 12+0_By Country Detail 1Q10 041410pm FIN 18 revised per disc w Mary_Guidance_P&amp;L Rec Qtr" xfId="5121"/>
    <cellStyle name="_MOR - Australia - EC - 12+0_By Country Detail 1Q10 041410pm FIN 18 revised per disc w Mary_Guidance_Sheet1" xfId="5122"/>
    <cellStyle name="_MOR - Australia - EC - 12+0_By Country Detail 1Q10 041410pm FIN 18 revised per disc w Mary_Guidance_Sheet2" xfId="5123"/>
    <cellStyle name="_MOR - Australia - EC - 12+0_By Country Detail 1Q10 041410pm FIN 18 revised per disc w Mary_Guidance_Sheet3" xfId="5124"/>
    <cellStyle name="_MOR - Australia - EC - 12+0_By Country Detail 1Q10 041410pm FIN 18 revised per disc w Mary_Guidance_Sheet4" xfId="5125"/>
    <cellStyle name="_MOR - Australia - EC - 12+0_By Country Detail 1Q10 041410pm FIN 18 revised per disc w Mary_II.8. Sep&amp;Discrete" xfId="5126"/>
    <cellStyle name="_MOR - Australia - EC - 12+0_By Country Detail 1Q10 041410pm FIN 18 revised per disc w Mary_II.8. Sep&amp;Discrete_Guidance" xfId="5127"/>
    <cellStyle name="_MOR - Australia - EC - 12+0_By Country Detail 1Q10 041410pm FIN 18 revised per disc w Mary_II.8. Sep&amp;Discrete_Guidance 2" xfId="5128"/>
    <cellStyle name="_MOR - Australia - EC - 12+0_By Country Detail 1Q10 041410pm FIN 18 revised per disc w Mary_II.8. Sep&amp;Discrete_Guidance_BS retrieve" xfId="5129"/>
    <cellStyle name="_MOR - Australia - EC - 12+0_By Country Detail 1Q10 041410pm FIN 18 revised per disc w Mary_II.8. Sep&amp;Discrete_Guidance_Free CF" xfId="5130"/>
    <cellStyle name="_MOR - Australia - EC - 12+0_By Country Detail 1Q10 041410pm FIN 18 revised per disc w Mary_II.8. Sep&amp;Discrete_Guidance_P&amp;L Rec Qtr" xfId="5131"/>
    <cellStyle name="_MOR - Australia - EC - 12+0_By Country Detail 1Q10 041410pm FIN 18 revised per disc w Mary_II.8. Sep&amp;Discrete_Guidance_Sheet1" xfId="5132"/>
    <cellStyle name="_MOR - Australia - EC - 12+0_By Country Detail 1Q10 041410pm FIN 18 revised per disc w Mary_II.8. Sep&amp;Discrete_Guidance_Sheet2" xfId="5133"/>
    <cellStyle name="_MOR - Australia - EC - 12+0_By Country Detail 1Q10 041410pm FIN 18 revised per disc w Mary_II.8. Sep&amp;Discrete_Guidance_Sheet3" xfId="5134"/>
    <cellStyle name="_MOR - Australia - EC - 12+0_By Country Detail 1Q10 041410pm FIN 18 revised per disc w Mary_II.8. Sep&amp;Discrete_Guidance_Sheet4" xfId="5135"/>
    <cellStyle name="_MOR - Australia - EC - 12+0_By Country Detail 1Q10 041410pm FIN 18 revised per disc w Mary_Restructuring &amp; Separation" xfId="5136"/>
    <cellStyle name="_MOR - Australia - EC - 12+0_By Country Detail 1Q10 041410pm FIN 18 revised per disc w Mary_Restructuring &amp; Separation_Guidance" xfId="5137"/>
    <cellStyle name="_MOR - Australia - EC - 12+0_By Country Detail 1Q10 041410pm FIN 18 revised per disc w Mary_Restructuring &amp; Separation_Guidance 2" xfId="5138"/>
    <cellStyle name="_MOR - Australia - EC - 12+0_By Country Detail 1Q10 041410pm FIN 18 revised per disc w Mary_Restructuring &amp; Separation_Guidance_BS retrieve" xfId="5139"/>
    <cellStyle name="_MOR - Australia - EC - 12+0_By Country Detail 1Q10 041410pm FIN 18 revised per disc w Mary_Restructuring &amp; Separation_Guidance_Free CF" xfId="5140"/>
    <cellStyle name="_MOR - Australia - EC - 12+0_By Country Detail 1Q10 041410pm FIN 18 revised per disc w Mary_Restructuring &amp; Separation_Guidance_P&amp;L Rec Qtr" xfId="5141"/>
    <cellStyle name="_MOR - Australia - EC - 12+0_By Country Detail 1Q10 041410pm FIN 18 revised per disc w Mary_Restructuring &amp; Separation_Guidance_Sheet1" xfId="5142"/>
    <cellStyle name="_MOR - Australia - EC - 12+0_By Country Detail 1Q10 041410pm FIN 18 revised per disc w Mary_Restructuring &amp; Separation_Guidance_Sheet2" xfId="5143"/>
    <cellStyle name="_MOR - Australia - EC - 12+0_By Country Detail 1Q10 041410pm FIN 18 revised per disc w Mary_Restructuring &amp; Separation_Guidance_Sheet3" xfId="5144"/>
    <cellStyle name="_MOR - Australia - EC - 12+0_By Country Detail 1Q10 041410pm FIN 18 revised per disc w Mary_Restructuring &amp; Separation_Guidance_Sheet4" xfId="5145"/>
    <cellStyle name="_MOR - Australia - EC - 12+0_Guidance" xfId="5146"/>
    <cellStyle name="_MOR - Australia - EC - 12+0_Guidance 2" xfId="5147"/>
    <cellStyle name="_MOR - Australia - EC - 12+0_Guidance_BS retrieve" xfId="5148"/>
    <cellStyle name="_MOR - Australia - EC - 12+0_Guidance_Free CF" xfId="5149"/>
    <cellStyle name="_MOR - Australia - EC - 12+0_Guidance_P&amp;L Rec Qtr" xfId="5150"/>
    <cellStyle name="_MOR - Australia - EC - 12+0_Guidance_Sheet1" xfId="5151"/>
    <cellStyle name="_MOR - Australia - EC - 12+0_Guidance_Sheet2" xfId="5152"/>
    <cellStyle name="_MOR - Australia - EC - 12+0_Guidance_Sheet3" xfId="5153"/>
    <cellStyle name="_MOR - Australia - EC - 12+0_Guidance_Sheet4" xfId="5154"/>
    <cellStyle name="_MOR - Australia - EC - 12+0_II.4. RawMaterials" xfId="5155"/>
    <cellStyle name="_MOR - Australia - EC - 12+0_II.4. RawMaterials 2" xfId="5156"/>
    <cellStyle name="_MOR - Australia - EC - 12+0_II.4. RawMaterials_BS retrieve" xfId="5157"/>
    <cellStyle name="_MOR - Australia - EC - 12+0_II.4. RawMaterials_Free CF" xfId="5158"/>
    <cellStyle name="_MOR - Australia - EC - 12+0_II.4. RawMaterials_P&amp;L Rec Qtr" xfId="5159"/>
    <cellStyle name="_MOR - Australia - EC - 12+0_II.4. RawMaterials_Sheet1" xfId="5160"/>
    <cellStyle name="_MOR - Australia - EC - 12+0_II.4. RawMaterials_Sheet2" xfId="5161"/>
    <cellStyle name="_MOR - Australia - EC - 12+0_II.4. RawMaterials_Sheet3" xfId="5162"/>
    <cellStyle name="_MOR - Australia - EC - 12+0_II.4. RawMaterials_Sheet4" xfId="5163"/>
    <cellStyle name="_MOR - Australia - EC - 12+0_II.5. RawMaterials" xfId="5164"/>
    <cellStyle name="_MOR - Australia - EC - 12+0_II.5. RawMaterials 2" xfId="5165"/>
    <cellStyle name="_MOR - Australia - EC - 12+0_II.5. RawMaterials_BS retrieve" xfId="5166"/>
    <cellStyle name="_MOR - Australia - EC - 12+0_II.5. RawMaterials_Free CF" xfId="5167"/>
    <cellStyle name="_MOR - Australia - EC - 12+0_II.5. RawMaterials_Guidance" xfId="5168"/>
    <cellStyle name="_MOR - Australia - EC - 12+0_II.5. RawMaterials_Guidance 2" xfId="5169"/>
    <cellStyle name="_MOR - Australia - EC - 12+0_II.5. RawMaterials_Guidance_BS retrieve" xfId="5170"/>
    <cellStyle name="_MOR - Australia - EC - 12+0_II.5. RawMaterials_Guidance_Free CF" xfId="5171"/>
    <cellStyle name="_MOR - Australia - EC - 12+0_II.5. RawMaterials_Guidance_P&amp;L Rec Qtr" xfId="5172"/>
    <cellStyle name="_MOR - Australia - EC - 12+0_II.5. RawMaterials_Guidance_Sheet1" xfId="5173"/>
    <cellStyle name="_MOR - Australia - EC - 12+0_II.5. RawMaterials_Guidance_Sheet2" xfId="5174"/>
    <cellStyle name="_MOR - Australia - EC - 12+0_II.5. RawMaterials_Guidance_Sheet3" xfId="5175"/>
    <cellStyle name="_MOR - Australia - EC - 12+0_II.5. RawMaterials_Guidance_Sheet4" xfId="5176"/>
    <cellStyle name="_MOR - Australia - EC - 12+0_II.5. RawMaterials_P&amp;L Rec Qtr" xfId="5177"/>
    <cellStyle name="_MOR - Australia - EC - 12+0_II.5. RawMaterials_Sheet1" xfId="5178"/>
    <cellStyle name="_MOR - Australia - EC - 12+0_II.5. RawMaterials_Sheet2" xfId="5179"/>
    <cellStyle name="_MOR - Australia - EC - 12+0_II.5. RawMaterials_Sheet3" xfId="5180"/>
    <cellStyle name="_MOR - Australia - EC - 12+0_II.5. RawMaterials_Sheet4" xfId="5181"/>
    <cellStyle name="_MOR - Australia - EC - 12+0_II.5. RM Volume Sensitivities" xfId="5182"/>
    <cellStyle name="_MOR - Australia - EC - 12+0_II.5. RM Volume Sensitivities 2" xfId="5183"/>
    <cellStyle name="_MOR - Australia - EC - 12+0_II.5. RM Volume Sensitivities_BS retrieve" xfId="5184"/>
    <cellStyle name="_MOR - Australia - EC - 12+0_II.5. RM Volume Sensitivities_Free CF" xfId="5185"/>
    <cellStyle name="_MOR - Australia - EC - 12+0_II.5. RM Volume Sensitivities_P&amp;L Rec Qtr" xfId="5186"/>
    <cellStyle name="_MOR - Australia - EC - 12+0_II.5. RM Volume Sensitivities_Sheet1" xfId="5187"/>
    <cellStyle name="_MOR - Australia - EC - 12+0_II.5. RM Volume Sensitivities_Sheet2" xfId="5188"/>
    <cellStyle name="_MOR - Australia - EC - 12+0_II.5. RM Volume Sensitivities_Sheet3" xfId="5189"/>
    <cellStyle name="_MOR - Australia - EC - 12+0_II.5. RM Volume Sensitivities_Sheet4" xfId="5190"/>
    <cellStyle name="_MOR - Australia - EC - 12+0_II.8. Sep&amp;Discrete" xfId="5191"/>
    <cellStyle name="_MOR - Australia - EC - 12+0_II.8. Sep&amp;Discrete_Guidance" xfId="5192"/>
    <cellStyle name="_MOR - Australia - EC - 12+0_II.8. Sep&amp;Discrete_Guidance 2" xfId="5193"/>
    <cellStyle name="_MOR - Australia - EC - 12+0_II.8. Sep&amp;Discrete_Guidance_BS retrieve" xfId="5194"/>
    <cellStyle name="_MOR - Australia - EC - 12+0_II.8. Sep&amp;Discrete_Guidance_Free CF" xfId="5195"/>
    <cellStyle name="_MOR - Australia - EC - 12+0_II.8. Sep&amp;Discrete_Guidance_P&amp;L Rec Qtr" xfId="5196"/>
    <cellStyle name="_MOR - Australia - EC - 12+0_II.8. Sep&amp;Discrete_Guidance_Sheet1" xfId="5197"/>
    <cellStyle name="_MOR - Australia - EC - 12+0_II.8. Sep&amp;Discrete_Guidance_Sheet2" xfId="5198"/>
    <cellStyle name="_MOR - Australia - EC - 12+0_II.8. Sep&amp;Discrete_Guidance_Sheet3" xfId="5199"/>
    <cellStyle name="_MOR - Australia - EC - 12+0_II.8. Sep&amp;Discrete_Guidance_Sheet4" xfId="5200"/>
    <cellStyle name="_MOR - Australia - EC - 12+0_Restructuring &amp; Separation" xfId="5201"/>
    <cellStyle name="_MOR - Australia - EC - 12+0_Restructuring &amp; Separation_Guidance" xfId="5202"/>
    <cellStyle name="_MOR - Australia - EC - 12+0_Restructuring &amp; Separation_Guidance 2" xfId="5203"/>
    <cellStyle name="_MOR - Australia - EC - 12+0_Restructuring &amp; Separation_Guidance_BS retrieve" xfId="5204"/>
    <cellStyle name="_MOR - Australia - EC - 12+0_Restructuring &amp; Separation_Guidance_Free CF" xfId="5205"/>
    <cellStyle name="_MOR - Australia - EC - 12+0_Restructuring &amp; Separation_Guidance_P&amp;L Rec Qtr" xfId="5206"/>
    <cellStyle name="_MOR - Australia - EC - 12+0_Restructuring &amp; Separation_Guidance_Sheet1" xfId="5207"/>
    <cellStyle name="_MOR - Australia - EC - 12+0_Restructuring &amp; Separation_Guidance_Sheet2" xfId="5208"/>
    <cellStyle name="_MOR - Australia - EC - 12+0_Restructuring &amp; Separation_Guidance_Sheet3" xfId="5209"/>
    <cellStyle name="_MOR - Australia - EC - 12+0_Restructuring &amp; Separation_Guidance_Sheet4" xfId="5210"/>
    <cellStyle name="_MOR - Australia - EC - 12+0_Restructuring_Separation_TAX_JuneFC2010 tf" xfId="5211"/>
    <cellStyle name="_MOR - Australia - EC - 12+0_Restructuring_Separation_TAX_JuneFC2010 tf_BS_Separation_TaxResIndem_Q12412 tf" xfId="5212"/>
    <cellStyle name="_MOR - Australia - EC - 12+0_Restructuring_Separation_TAX_JuneFC2010 tf_BS_Separation_TaxResIndem_Q12412 tf_Guidance" xfId="5213"/>
    <cellStyle name="_MOR - Australia - EC - 12+0_Restructuring_Separation_TAX_JuneFC2010 tf_BS_Separation_TaxResIndem_Q12412 tf_Guidance 2" xfId="5214"/>
    <cellStyle name="_MOR - Australia - EC - 12+0_Restructuring_Separation_TAX_JuneFC2010 tf_BS_Separation_TaxResIndem_Q12412 tf_Guidance_BS retrieve" xfId="5215"/>
    <cellStyle name="_MOR - Australia - EC - 12+0_Restructuring_Separation_TAX_JuneFC2010 tf_BS_Separation_TaxResIndem_Q12412 tf_Guidance_Free CF" xfId="5216"/>
    <cellStyle name="_MOR - Australia - EC - 12+0_Restructuring_Separation_TAX_JuneFC2010 tf_BS_Separation_TaxResIndem_Q12412 tf_Guidance_P&amp;L Rec Qtr" xfId="5217"/>
    <cellStyle name="_MOR - Australia - EC - 12+0_Restructuring_Separation_TAX_JuneFC2010 tf_BS_Separation_TaxResIndem_Q12412 tf_Guidance_Sheet1" xfId="5218"/>
    <cellStyle name="_MOR - Australia - EC - 12+0_Restructuring_Separation_TAX_JuneFC2010 tf_BS_Separation_TaxResIndem_Q12412 tf_Guidance_Sheet2" xfId="5219"/>
    <cellStyle name="_MOR - Australia - EC - 12+0_Restructuring_Separation_TAX_JuneFC2010 tf_BS_Separation_TaxResIndem_Q12412 tf_Guidance_Sheet3" xfId="5220"/>
    <cellStyle name="_MOR - Australia - EC - 12+0_Restructuring_Separation_TAX_JuneFC2010 tf_BS_Separation_TaxResIndem_Q12412 tf_Guidance_Sheet4" xfId="5221"/>
    <cellStyle name="_MOR - Australia - EC - 12+0_Restructuring_Separation_TAX_JuneFC2010 tf_BS_Separation_TaxResIndem_Q12412 tf_Restructuring &amp; Separation" xfId="5222"/>
    <cellStyle name="_MOR - Australia - EC - 12+0_Restructuring_Separation_TAX_JuneFC2010 tf_BS_Separation_TaxResIndem_Q12412 tf_Restructuring &amp; Separation_Guidance" xfId="5223"/>
    <cellStyle name="_MOR - Australia - EC - 12+0_Restructuring_Separation_TAX_JuneFC2010 tf_BS_Separation_TaxResIndem_Q12412 tf_Restructuring &amp; Separation_Guidance 2" xfId="5224"/>
    <cellStyle name="_MOR - Australia - EC - 12+0_Restructuring_Separation_TAX_JuneFC2010 tf_BS_Separation_TaxResIndem_Q12412 tf_Restructuring &amp; Separation_Guidance_BS retrieve" xfId="5225"/>
    <cellStyle name="_MOR - Australia - EC - 12+0_Restructuring_Separation_TAX_JuneFC2010 tf_BS_Separation_TaxResIndem_Q12412 tf_Restructuring &amp; Separation_Guidance_Free CF" xfId="5226"/>
    <cellStyle name="_MOR - Australia - EC - 12+0_Restructuring_Separation_TAX_JuneFC2010 tf_BS_Separation_TaxResIndem_Q12412 tf_Restructuring &amp; Separation_Guidance_P&amp;L Rec Qtr" xfId="5227"/>
    <cellStyle name="_MOR - Australia - EC - 12+0_Restructuring_Separation_TAX_JuneFC2010 tf_BS_Separation_TaxResIndem_Q12412 tf_Restructuring &amp; Separation_Guidance_Sheet1" xfId="5228"/>
    <cellStyle name="_MOR - Australia - EC - 12+0_Restructuring_Separation_TAX_JuneFC2010 tf_BS_Separation_TaxResIndem_Q12412 tf_Restructuring &amp; Separation_Guidance_Sheet2" xfId="5229"/>
    <cellStyle name="_MOR - Australia - EC - 12+0_Restructuring_Separation_TAX_JuneFC2010 tf_BS_Separation_TaxResIndem_Q12412 tf_Restructuring &amp; Separation_Guidance_Sheet3" xfId="5230"/>
    <cellStyle name="_MOR - Australia - EC - 12+0_Restructuring_Separation_TAX_JuneFC2010 tf_BS_Separation_TaxResIndem_Q12412 tf_Restructuring &amp; Separation_Guidance_Sheet4" xfId="5231"/>
    <cellStyle name="_MOR - Australia - EC - 12+0_Restructuring_Separation_TAX_JuneFC2010 tf_Guidance" xfId="5232"/>
    <cellStyle name="_MOR - Australia - EC - 12+0_Restructuring_Separation_TAX_JuneFC2010 tf_Guidance 2" xfId="5233"/>
    <cellStyle name="_MOR - Australia - EC - 12+0_Restructuring_Separation_TAX_JuneFC2010 tf_Guidance_BS retrieve" xfId="5234"/>
    <cellStyle name="_MOR - Australia - EC - 12+0_Restructuring_Separation_TAX_JuneFC2010 tf_Guidance_Free CF" xfId="5235"/>
    <cellStyle name="_MOR - Australia - EC - 12+0_Restructuring_Separation_TAX_JuneFC2010 tf_Guidance_P&amp;L Rec Qtr" xfId="5236"/>
    <cellStyle name="_MOR - Australia - EC - 12+0_Restructuring_Separation_TAX_JuneFC2010 tf_Guidance_Sheet1" xfId="5237"/>
    <cellStyle name="_MOR - Australia - EC - 12+0_Restructuring_Separation_TAX_JuneFC2010 tf_Guidance_Sheet2" xfId="5238"/>
    <cellStyle name="_MOR - Australia - EC - 12+0_Restructuring_Separation_TAX_JuneFC2010 tf_Guidance_Sheet3" xfId="5239"/>
    <cellStyle name="_MOR - Australia - EC - 12+0_Restructuring_Separation_TAX_JuneFC2010 tf_Guidance_Sheet4" xfId="5240"/>
    <cellStyle name="_MOR - Australia - EC - 12+0_Restructuring_Separation_TAX_JuneFC2010 tf_II.8. Sep&amp;Discrete" xfId="5241"/>
    <cellStyle name="_MOR - Australia - EC - 12+0_Restructuring_Separation_TAX_JuneFC2010 tf_II.8. Sep&amp;Discrete_Guidance" xfId="5242"/>
    <cellStyle name="_MOR - Australia - EC - 12+0_Restructuring_Separation_TAX_JuneFC2010 tf_II.8. Sep&amp;Discrete_Guidance 2" xfId="5243"/>
    <cellStyle name="_MOR - Australia - EC - 12+0_Restructuring_Separation_TAX_JuneFC2010 tf_II.8. Sep&amp;Discrete_Guidance_BS retrieve" xfId="5244"/>
    <cellStyle name="_MOR - Australia - EC - 12+0_Restructuring_Separation_TAX_JuneFC2010 tf_II.8. Sep&amp;Discrete_Guidance_Free CF" xfId="5245"/>
    <cellStyle name="_MOR - Australia - EC - 12+0_Restructuring_Separation_TAX_JuneFC2010 tf_II.8. Sep&amp;Discrete_Guidance_P&amp;L Rec Qtr" xfId="5246"/>
    <cellStyle name="_MOR - Australia - EC - 12+0_Restructuring_Separation_TAX_JuneFC2010 tf_II.8. Sep&amp;Discrete_Guidance_Sheet1" xfId="5247"/>
    <cellStyle name="_MOR - Australia - EC - 12+0_Restructuring_Separation_TAX_JuneFC2010 tf_II.8. Sep&amp;Discrete_Guidance_Sheet2" xfId="5248"/>
    <cellStyle name="_MOR - Australia - EC - 12+0_Restructuring_Separation_TAX_JuneFC2010 tf_II.8. Sep&amp;Discrete_Guidance_Sheet3" xfId="5249"/>
    <cellStyle name="_MOR - Australia - EC - 12+0_Restructuring_Separation_TAX_JuneFC2010 tf_II.8. Sep&amp;Discrete_Guidance_Sheet4" xfId="5250"/>
    <cellStyle name="_MOR - Australia - EC - 12+0_Restructuring_Separation_TAX_JuneFC2010 tf_Restructuring &amp; Separation" xfId="5251"/>
    <cellStyle name="_MOR - Australia - EC - 12+0_Restructuring_Separation_TAX_JuneFC2010 tf_Restructuring &amp; Separation_Guidance" xfId="5252"/>
    <cellStyle name="_MOR - Australia - EC - 12+0_Restructuring_Separation_TAX_JuneFC2010 tf_Restructuring &amp; Separation_Guidance 2" xfId="5253"/>
    <cellStyle name="_MOR - Australia - EC - 12+0_Restructuring_Separation_TAX_JuneFC2010 tf_Restructuring &amp; Separation_Guidance_BS retrieve" xfId="5254"/>
    <cellStyle name="_MOR - Australia - EC - 12+0_Restructuring_Separation_TAX_JuneFC2010 tf_Restructuring &amp; Separation_Guidance_Free CF" xfId="5255"/>
    <cellStyle name="_MOR - Australia - EC - 12+0_Restructuring_Separation_TAX_JuneFC2010 tf_Restructuring &amp; Separation_Guidance_P&amp;L Rec Qtr" xfId="5256"/>
    <cellStyle name="_MOR - Australia - EC - 12+0_Restructuring_Separation_TAX_JuneFC2010 tf_Restructuring &amp; Separation_Guidance_Sheet1" xfId="5257"/>
    <cellStyle name="_MOR - Australia - EC - 12+0_Restructuring_Separation_TAX_JuneFC2010 tf_Restructuring &amp; Separation_Guidance_Sheet2" xfId="5258"/>
    <cellStyle name="_MOR - Australia - EC - 12+0_Restructuring_Separation_TAX_JuneFC2010 tf_Restructuring &amp; Separation_Guidance_Sheet3" xfId="5259"/>
    <cellStyle name="_MOR - Australia - EC - 12+0_Restructuring_Separation_TAX_JuneFC2010 tf_Restructuring &amp; Separation_Guidance_Sheet4" xfId="5260"/>
    <cellStyle name="_MOR - BDWY - 1+11" xfId="5261"/>
    <cellStyle name="_MOR - BDWY - 1+11_~0039877" xfId="5262"/>
    <cellStyle name="_MOR - BDWY - 1+11_~0039877_BS_Separation_TaxResIndem_Q12412 tf" xfId="5263"/>
    <cellStyle name="_MOR - BDWY - 1+11_~0039877_BS_Separation_TaxResIndem_Q12412 tf_Guidance" xfId="5264"/>
    <cellStyle name="_MOR - BDWY - 1+11_~0039877_BS_Separation_TaxResIndem_Q12412 tf_Guidance 2" xfId="5265"/>
    <cellStyle name="_MOR - BDWY - 1+11_~0039877_BS_Separation_TaxResIndem_Q12412 tf_Guidance_BS retrieve" xfId="5266"/>
    <cellStyle name="_MOR - BDWY - 1+11_~0039877_BS_Separation_TaxResIndem_Q12412 tf_Guidance_Free CF" xfId="5267"/>
    <cellStyle name="_MOR - BDWY - 1+11_~0039877_BS_Separation_TaxResIndem_Q12412 tf_Guidance_P&amp;L Rec Qtr" xfId="5268"/>
    <cellStyle name="_MOR - BDWY - 1+11_~0039877_BS_Separation_TaxResIndem_Q12412 tf_Guidance_Sheet1" xfId="5269"/>
    <cellStyle name="_MOR - BDWY - 1+11_~0039877_BS_Separation_TaxResIndem_Q12412 tf_Guidance_Sheet2" xfId="5270"/>
    <cellStyle name="_MOR - BDWY - 1+11_~0039877_BS_Separation_TaxResIndem_Q12412 tf_Guidance_Sheet3" xfId="5271"/>
    <cellStyle name="_MOR - BDWY - 1+11_~0039877_BS_Separation_TaxResIndem_Q12412 tf_Guidance_Sheet4" xfId="5272"/>
    <cellStyle name="_MOR - BDWY - 1+11_~0039877_BS_Separation_TaxResIndem_Q12412 tf_Restructuring &amp; Separation" xfId="5273"/>
    <cellStyle name="_MOR - BDWY - 1+11_~0039877_BS_Separation_TaxResIndem_Q12412 tf_Restructuring &amp; Separation_Guidance" xfId="5274"/>
    <cellStyle name="_MOR - BDWY - 1+11_~0039877_BS_Separation_TaxResIndem_Q12412 tf_Restructuring &amp; Separation_Guidance 2" xfId="5275"/>
    <cellStyle name="_MOR - BDWY - 1+11_~0039877_BS_Separation_TaxResIndem_Q12412 tf_Restructuring &amp; Separation_Guidance_BS retrieve" xfId="5276"/>
    <cellStyle name="_MOR - BDWY - 1+11_~0039877_BS_Separation_TaxResIndem_Q12412 tf_Restructuring &amp; Separation_Guidance_Free CF" xfId="5277"/>
    <cellStyle name="_MOR - BDWY - 1+11_~0039877_BS_Separation_TaxResIndem_Q12412 tf_Restructuring &amp; Separation_Guidance_P&amp;L Rec Qtr" xfId="5278"/>
    <cellStyle name="_MOR - BDWY - 1+11_~0039877_BS_Separation_TaxResIndem_Q12412 tf_Restructuring &amp; Separation_Guidance_Sheet1" xfId="5279"/>
    <cellStyle name="_MOR - BDWY - 1+11_~0039877_BS_Separation_TaxResIndem_Q12412 tf_Restructuring &amp; Separation_Guidance_Sheet2" xfId="5280"/>
    <cellStyle name="_MOR - BDWY - 1+11_~0039877_BS_Separation_TaxResIndem_Q12412 tf_Restructuring &amp; Separation_Guidance_Sheet3" xfId="5281"/>
    <cellStyle name="_MOR - BDWY - 1+11_~0039877_BS_Separation_TaxResIndem_Q12412 tf_Restructuring &amp; Separation_Guidance_Sheet4" xfId="5282"/>
    <cellStyle name="_MOR - BDWY - 1+11_~0039877_By Country Detail 1Q10 041410pm FIN 18 revised per disc w Mary" xfId="5283"/>
    <cellStyle name="_MOR - BDWY - 1+11_~0039877_By Country Detail 1Q10 041410pm FIN 18 revised per disc w Mary_BS_Separation_TaxResIndem_Q12412 tf" xfId="5284"/>
    <cellStyle name="_MOR - BDWY - 1+11_~0039877_By Country Detail 1Q10 041410pm FIN 18 revised per disc w Mary_BS_Separation_TaxResIndem_Q12412 tf_Guidance" xfId="5285"/>
    <cellStyle name="_MOR - BDWY - 1+11_~0039877_By Country Detail 1Q10 041410pm FIN 18 revised per disc w Mary_BS_Separation_TaxResIndem_Q12412 tf_Guidance 2" xfId="5286"/>
    <cellStyle name="_MOR - BDWY - 1+11_~0039877_By Country Detail 1Q10 041410pm FIN 18 revised per disc w Mary_BS_Separation_TaxResIndem_Q12412 tf_Guidance_BS retrieve" xfId="5287"/>
    <cellStyle name="_MOR - BDWY - 1+11_~0039877_By Country Detail 1Q10 041410pm FIN 18 revised per disc w Mary_BS_Separation_TaxResIndem_Q12412 tf_Guidance_Free CF" xfId="5288"/>
    <cellStyle name="_MOR - BDWY - 1+11_~0039877_By Country Detail 1Q10 041410pm FIN 18 revised per disc w Mary_BS_Separation_TaxResIndem_Q12412 tf_Guidance_P&amp;L Rec Qtr" xfId="5289"/>
    <cellStyle name="_MOR - BDWY - 1+11_~0039877_By Country Detail 1Q10 041410pm FIN 18 revised per disc w Mary_BS_Separation_TaxResIndem_Q12412 tf_Guidance_Sheet1" xfId="5290"/>
    <cellStyle name="_MOR - BDWY - 1+11_~0039877_By Country Detail 1Q10 041410pm FIN 18 revised per disc w Mary_BS_Separation_TaxResIndem_Q12412 tf_Guidance_Sheet2" xfId="5291"/>
    <cellStyle name="_MOR - BDWY - 1+11_~0039877_By Country Detail 1Q10 041410pm FIN 18 revised per disc w Mary_BS_Separation_TaxResIndem_Q12412 tf_Guidance_Sheet3" xfId="5292"/>
    <cellStyle name="_MOR - BDWY - 1+11_~0039877_By Country Detail 1Q10 041410pm FIN 18 revised per disc w Mary_BS_Separation_TaxResIndem_Q12412 tf_Guidance_Sheet4" xfId="5293"/>
    <cellStyle name="_MOR - BDWY - 1+11_~0039877_By Country Detail 1Q10 041410pm FIN 18 revised per disc w Mary_BS_Separation_TaxResIndem_Q12412 tf_Restructuring &amp; Separation" xfId="5294"/>
    <cellStyle name="_MOR - BDWY - 1+11_~0039877_By Country Detail 1Q10 041410pm FIN 18 revised per disc w Mary_BS_Separation_TaxResIndem_Q12412 tf_Restructuring &amp; Separation_Guidance" xfId="5295"/>
    <cellStyle name="_MOR - BDWY - 1+11_~0039877_By Country Detail 1Q10 041410pm FIN 18 revised per disc w Mary_BS_Separation_TaxResIndem_Q12412 tf_Restructuring &amp; Separation_Guidance 2" xfId="5296"/>
    <cellStyle name="_MOR - BDWY - 1+11_~0039877_By Country Detail 1Q10 041410pm FIN 18 revised per disc w Mary_BS_Separation_TaxResIndem_Q12412 tf_Restructuring &amp; Separation_Guidance_BS retrieve" xfId="5297"/>
    <cellStyle name="_MOR - BDWY - 1+11_~0039877_By Country Detail 1Q10 041410pm FIN 18 revised per disc w Mary_BS_Separation_TaxResIndem_Q12412 tf_Restructuring &amp; Separation_Guidance_Free CF" xfId="5298"/>
    <cellStyle name="_MOR - BDWY - 1+11_~0039877_By Country Detail 1Q10 041410pm FIN 18 revised per disc w Mary_BS_Separation_TaxResIndem_Q12412 tf_Restructuring &amp; Separation_Guidance_P&amp;L Rec Qtr" xfId="5299"/>
    <cellStyle name="_MOR - BDWY - 1+11_~0039877_By Country Detail 1Q10 041410pm FIN 18 revised per disc w Mary_BS_Separation_TaxResIndem_Q12412 tf_Restructuring &amp; Separation_Guidance_Sheet1" xfId="5300"/>
    <cellStyle name="_MOR - BDWY - 1+11_~0039877_By Country Detail 1Q10 041410pm FIN 18 revised per disc w Mary_BS_Separation_TaxResIndem_Q12412 tf_Restructuring &amp; Separation_Guidance_Sheet2" xfId="5301"/>
    <cellStyle name="_MOR - BDWY - 1+11_~0039877_By Country Detail 1Q10 041410pm FIN 18 revised per disc w Mary_BS_Separation_TaxResIndem_Q12412 tf_Restructuring &amp; Separation_Guidance_Sheet3" xfId="5302"/>
    <cellStyle name="_MOR - BDWY - 1+11_~0039877_By Country Detail 1Q10 041410pm FIN 18 revised per disc w Mary_BS_Separation_TaxResIndem_Q12412 tf_Restructuring &amp; Separation_Guidance_Sheet4" xfId="5303"/>
    <cellStyle name="_MOR - BDWY - 1+11_~0039877_By Country Detail 1Q10 041410pm FIN 18 revised per disc w Mary_Guidance" xfId="5304"/>
    <cellStyle name="_MOR - BDWY - 1+11_~0039877_By Country Detail 1Q10 041410pm FIN 18 revised per disc w Mary_Guidance 2" xfId="5305"/>
    <cellStyle name="_MOR - BDWY - 1+11_~0039877_By Country Detail 1Q10 041410pm FIN 18 revised per disc w Mary_Guidance_BS retrieve" xfId="5306"/>
    <cellStyle name="_MOR - BDWY - 1+11_~0039877_By Country Detail 1Q10 041410pm FIN 18 revised per disc w Mary_Guidance_Free CF" xfId="5307"/>
    <cellStyle name="_MOR - BDWY - 1+11_~0039877_By Country Detail 1Q10 041410pm FIN 18 revised per disc w Mary_Guidance_P&amp;L Rec Qtr" xfId="5308"/>
    <cellStyle name="_MOR - BDWY - 1+11_~0039877_By Country Detail 1Q10 041410pm FIN 18 revised per disc w Mary_Guidance_Sheet1" xfId="5309"/>
    <cellStyle name="_MOR - BDWY - 1+11_~0039877_By Country Detail 1Q10 041410pm FIN 18 revised per disc w Mary_Guidance_Sheet2" xfId="5310"/>
    <cellStyle name="_MOR - BDWY - 1+11_~0039877_By Country Detail 1Q10 041410pm FIN 18 revised per disc w Mary_Guidance_Sheet3" xfId="5311"/>
    <cellStyle name="_MOR - BDWY - 1+11_~0039877_By Country Detail 1Q10 041410pm FIN 18 revised per disc w Mary_Guidance_Sheet4" xfId="5312"/>
    <cellStyle name="_MOR - BDWY - 1+11_~0039877_By Country Detail 1Q10 041410pm FIN 18 revised per disc w Mary_II.8. Sep&amp;Discrete" xfId="5313"/>
    <cellStyle name="_MOR - BDWY - 1+11_~0039877_By Country Detail 1Q10 041410pm FIN 18 revised per disc w Mary_II.8. Sep&amp;Discrete_Guidance" xfId="5314"/>
    <cellStyle name="_MOR - BDWY - 1+11_~0039877_By Country Detail 1Q10 041410pm FIN 18 revised per disc w Mary_II.8. Sep&amp;Discrete_Guidance 2" xfId="5315"/>
    <cellStyle name="_MOR - BDWY - 1+11_~0039877_By Country Detail 1Q10 041410pm FIN 18 revised per disc w Mary_II.8. Sep&amp;Discrete_Guidance_BS retrieve" xfId="5316"/>
    <cellStyle name="_MOR - BDWY - 1+11_~0039877_By Country Detail 1Q10 041410pm FIN 18 revised per disc w Mary_II.8. Sep&amp;Discrete_Guidance_Free CF" xfId="5317"/>
    <cellStyle name="_MOR - BDWY - 1+11_~0039877_By Country Detail 1Q10 041410pm FIN 18 revised per disc w Mary_II.8. Sep&amp;Discrete_Guidance_P&amp;L Rec Qtr" xfId="5318"/>
    <cellStyle name="_MOR - BDWY - 1+11_~0039877_By Country Detail 1Q10 041410pm FIN 18 revised per disc w Mary_II.8. Sep&amp;Discrete_Guidance_Sheet1" xfId="5319"/>
    <cellStyle name="_MOR - BDWY - 1+11_~0039877_By Country Detail 1Q10 041410pm FIN 18 revised per disc w Mary_II.8. Sep&amp;Discrete_Guidance_Sheet2" xfId="5320"/>
    <cellStyle name="_MOR - BDWY - 1+11_~0039877_By Country Detail 1Q10 041410pm FIN 18 revised per disc w Mary_II.8. Sep&amp;Discrete_Guidance_Sheet3" xfId="5321"/>
    <cellStyle name="_MOR - BDWY - 1+11_~0039877_By Country Detail 1Q10 041410pm FIN 18 revised per disc w Mary_II.8. Sep&amp;Discrete_Guidance_Sheet4" xfId="5322"/>
    <cellStyle name="_MOR - BDWY - 1+11_~0039877_By Country Detail 1Q10 041410pm FIN 18 revised per disc w Mary_Restructuring &amp; Separation" xfId="5323"/>
    <cellStyle name="_MOR - BDWY - 1+11_~0039877_By Country Detail 1Q10 041410pm FIN 18 revised per disc w Mary_Restructuring &amp; Separation_Guidance" xfId="5324"/>
    <cellStyle name="_MOR - BDWY - 1+11_~0039877_By Country Detail 1Q10 041410pm FIN 18 revised per disc w Mary_Restructuring &amp; Separation_Guidance 2" xfId="5325"/>
    <cellStyle name="_MOR - BDWY - 1+11_~0039877_By Country Detail 1Q10 041410pm FIN 18 revised per disc w Mary_Restructuring &amp; Separation_Guidance_BS retrieve" xfId="5326"/>
    <cellStyle name="_MOR - BDWY - 1+11_~0039877_By Country Detail 1Q10 041410pm FIN 18 revised per disc w Mary_Restructuring &amp; Separation_Guidance_Free CF" xfId="5327"/>
    <cellStyle name="_MOR - BDWY - 1+11_~0039877_By Country Detail 1Q10 041410pm FIN 18 revised per disc w Mary_Restructuring &amp; Separation_Guidance_P&amp;L Rec Qtr" xfId="5328"/>
    <cellStyle name="_MOR - BDWY - 1+11_~0039877_By Country Detail 1Q10 041410pm FIN 18 revised per disc w Mary_Restructuring &amp; Separation_Guidance_Sheet1" xfId="5329"/>
    <cellStyle name="_MOR - BDWY - 1+11_~0039877_By Country Detail 1Q10 041410pm FIN 18 revised per disc w Mary_Restructuring &amp; Separation_Guidance_Sheet2" xfId="5330"/>
    <cellStyle name="_MOR - BDWY - 1+11_~0039877_By Country Detail 1Q10 041410pm FIN 18 revised per disc w Mary_Restructuring &amp; Separation_Guidance_Sheet3" xfId="5331"/>
    <cellStyle name="_MOR - BDWY - 1+11_~0039877_By Country Detail 1Q10 041410pm FIN 18 revised per disc w Mary_Restructuring &amp; Separation_Guidance_Sheet4" xfId="5332"/>
    <cellStyle name="_MOR - BDWY - 1+11_~0039877_Guidance" xfId="5333"/>
    <cellStyle name="_MOR - BDWY - 1+11_~0039877_Guidance 2" xfId="5334"/>
    <cellStyle name="_MOR - BDWY - 1+11_~0039877_Guidance_BS retrieve" xfId="5335"/>
    <cellStyle name="_MOR - BDWY - 1+11_~0039877_Guidance_Free CF" xfId="5336"/>
    <cellStyle name="_MOR - BDWY - 1+11_~0039877_Guidance_P&amp;L Rec Qtr" xfId="5337"/>
    <cellStyle name="_MOR - BDWY - 1+11_~0039877_Guidance_Sheet1" xfId="5338"/>
    <cellStyle name="_MOR - BDWY - 1+11_~0039877_Guidance_Sheet2" xfId="5339"/>
    <cellStyle name="_MOR - BDWY - 1+11_~0039877_Guidance_Sheet3" xfId="5340"/>
    <cellStyle name="_MOR - BDWY - 1+11_~0039877_Guidance_Sheet4" xfId="5341"/>
    <cellStyle name="_MOR - BDWY - 1+11_~0039877_II.4. RawMaterials" xfId="5342"/>
    <cellStyle name="_MOR - BDWY - 1+11_~0039877_II.4. RawMaterials 2" xfId="5343"/>
    <cellStyle name="_MOR - BDWY - 1+11_~0039877_II.4. RawMaterials_BS retrieve" xfId="5344"/>
    <cellStyle name="_MOR - BDWY - 1+11_~0039877_II.4. RawMaterials_Free CF" xfId="5345"/>
    <cellStyle name="_MOR - BDWY - 1+11_~0039877_II.4. RawMaterials_P&amp;L Rec Qtr" xfId="5346"/>
    <cellStyle name="_MOR - BDWY - 1+11_~0039877_II.4. RawMaterials_Sheet1" xfId="5347"/>
    <cellStyle name="_MOR - BDWY - 1+11_~0039877_II.4. RawMaterials_Sheet2" xfId="5348"/>
    <cellStyle name="_MOR - BDWY - 1+11_~0039877_II.4. RawMaterials_Sheet3" xfId="5349"/>
    <cellStyle name="_MOR - BDWY - 1+11_~0039877_II.4. RawMaterials_Sheet4" xfId="5350"/>
    <cellStyle name="_MOR - BDWY - 1+11_~0039877_II.5. RawMaterials" xfId="5351"/>
    <cellStyle name="_MOR - BDWY - 1+11_~0039877_II.5. RawMaterials 2" xfId="5352"/>
    <cellStyle name="_MOR - BDWY - 1+11_~0039877_II.5. RawMaterials_BS retrieve" xfId="5353"/>
    <cellStyle name="_MOR - BDWY - 1+11_~0039877_II.5. RawMaterials_Free CF" xfId="5354"/>
    <cellStyle name="_MOR - BDWY - 1+11_~0039877_II.5. RawMaterials_Guidance" xfId="5355"/>
    <cellStyle name="_MOR - BDWY - 1+11_~0039877_II.5. RawMaterials_Guidance 2" xfId="5356"/>
    <cellStyle name="_MOR - BDWY - 1+11_~0039877_II.5. RawMaterials_Guidance_BS retrieve" xfId="5357"/>
    <cellStyle name="_MOR - BDWY - 1+11_~0039877_II.5. RawMaterials_Guidance_Free CF" xfId="5358"/>
    <cellStyle name="_MOR - BDWY - 1+11_~0039877_II.5. RawMaterials_Guidance_P&amp;L Rec Qtr" xfId="5359"/>
    <cellStyle name="_MOR - BDWY - 1+11_~0039877_II.5. RawMaterials_Guidance_Sheet1" xfId="5360"/>
    <cellStyle name="_MOR - BDWY - 1+11_~0039877_II.5. RawMaterials_Guidance_Sheet2" xfId="5361"/>
    <cellStyle name="_MOR - BDWY - 1+11_~0039877_II.5. RawMaterials_Guidance_Sheet3" xfId="5362"/>
    <cellStyle name="_MOR - BDWY - 1+11_~0039877_II.5. RawMaterials_Guidance_Sheet4" xfId="5363"/>
    <cellStyle name="_MOR - BDWY - 1+11_~0039877_II.5. RawMaterials_P&amp;L Rec Qtr" xfId="5364"/>
    <cellStyle name="_MOR - BDWY - 1+11_~0039877_II.5. RawMaterials_Sheet1" xfId="5365"/>
    <cellStyle name="_MOR - BDWY - 1+11_~0039877_II.5. RawMaterials_Sheet2" xfId="5366"/>
    <cellStyle name="_MOR - BDWY - 1+11_~0039877_II.5. RawMaterials_Sheet3" xfId="5367"/>
    <cellStyle name="_MOR - BDWY - 1+11_~0039877_II.5. RawMaterials_Sheet4" xfId="5368"/>
    <cellStyle name="_MOR - BDWY - 1+11_~0039877_II.5. RM Volume Sensitivities" xfId="5369"/>
    <cellStyle name="_MOR - BDWY - 1+11_~0039877_II.5. RM Volume Sensitivities 2" xfId="5370"/>
    <cellStyle name="_MOR - BDWY - 1+11_~0039877_II.5. RM Volume Sensitivities_BS retrieve" xfId="5371"/>
    <cellStyle name="_MOR - BDWY - 1+11_~0039877_II.5. RM Volume Sensitivities_Free CF" xfId="5372"/>
    <cellStyle name="_MOR - BDWY - 1+11_~0039877_II.5. RM Volume Sensitivities_P&amp;L Rec Qtr" xfId="5373"/>
    <cellStyle name="_MOR - BDWY - 1+11_~0039877_II.5. RM Volume Sensitivities_Sheet1" xfId="5374"/>
    <cellStyle name="_MOR - BDWY - 1+11_~0039877_II.5. RM Volume Sensitivities_Sheet2" xfId="5375"/>
    <cellStyle name="_MOR - BDWY - 1+11_~0039877_II.5. RM Volume Sensitivities_Sheet3" xfId="5376"/>
    <cellStyle name="_MOR - BDWY - 1+11_~0039877_II.5. RM Volume Sensitivities_Sheet4" xfId="5377"/>
    <cellStyle name="_MOR - BDWY - 1+11_~0039877_II.8. Sep&amp;Discrete" xfId="5378"/>
    <cellStyle name="_MOR - BDWY - 1+11_~0039877_II.8. Sep&amp;Discrete_Guidance" xfId="5379"/>
    <cellStyle name="_MOR - BDWY - 1+11_~0039877_II.8. Sep&amp;Discrete_Guidance 2" xfId="5380"/>
    <cellStyle name="_MOR - BDWY - 1+11_~0039877_II.8. Sep&amp;Discrete_Guidance_BS retrieve" xfId="5381"/>
    <cellStyle name="_MOR - BDWY - 1+11_~0039877_II.8. Sep&amp;Discrete_Guidance_Free CF" xfId="5382"/>
    <cellStyle name="_MOR - BDWY - 1+11_~0039877_II.8. Sep&amp;Discrete_Guidance_P&amp;L Rec Qtr" xfId="5383"/>
    <cellStyle name="_MOR - BDWY - 1+11_~0039877_II.8. Sep&amp;Discrete_Guidance_Sheet1" xfId="5384"/>
    <cellStyle name="_MOR - BDWY - 1+11_~0039877_II.8. Sep&amp;Discrete_Guidance_Sheet2" xfId="5385"/>
    <cellStyle name="_MOR - BDWY - 1+11_~0039877_II.8. Sep&amp;Discrete_Guidance_Sheet3" xfId="5386"/>
    <cellStyle name="_MOR - BDWY - 1+11_~0039877_II.8. Sep&amp;Discrete_Guidance_Sheet4" xfId="5387"/>
    <cellStyle name="_MOR - BDWY - 1+11_~0039877_Restructuring &amp; Separation" xfId="5388"/>
    <cellStyle name="_MOR - BDWY - 1+11_~0039877_Restructuring &amp; Separation_Guidance" xfId="5389"/>
    <cellStyle name="_MOR - BDWY - 1+11_~0039877_Restructuring &amp; Separation_Guidance 2" xfId="5390"/>
    <cellStyle name="_MOR - BDWY - 1+11_~0039877_Restructuring &amp; Separation_Guidance_BS retrieve" xfId="5391"/>
    <cellStyle name="_MOR - BDWY - 1+11_~0039877_Restructuring &amp; Separation_Guidance_Free CF" xfId="5392"/>
    <cellStyle name="_MOR - BDWY - 1+11_~0039877_Restructuring &amp; Separation_Guidance_P&amp;L Rec Qtr" xfId="5393"/>
    <cellStyle name="_MOR - BDWY - 1+11_~0039877_Restructuring &amp; Separation_Guidance_Sheet1" xfId="5394"/>
    <cellStyle name="_MOR - BDWY - 1+11_~0039877_Restructuring &amp; Separation_Guidance_Sheet2" xfId="5395"/>
    <cellStyle name="_MOR - BDWY - 1+11_~0039877_Restructuring &amp; Separation_Guidance_Sheet3" xfId="5396"/>
    <cellStyle name="_MOR - BDWY - 1+11_~0039877_Restructuring &amp; Separation_Guidance_Sheet4" xfId="5397"/>
    <cellStyle name="_MOR - BDWY - 1+11_~0039877_Restructuring_Separation_TAX_JuneFC2010 tf" xfId="5398"/>
    <cellStyle name="_MOR - BDWY - 1+11_~0039877_Restructuring_Separation_TAX_JuneFC2010 tf_BS_Separation_TaxResIndem_Q12412 tf" xfId="5399"/>
    <cellStyle name="_MOR - BDWY - 1+11_~0039877_Restructuring_Separation_TAX_JuneFC2010 tf_BS_Separation_TaxResIndem_Q12412 tf_Guidance" xfId="5400"/>
    <cellStyle name="_MOR - BDWY - 1+11_~0039877_Restructuring_Separation_TAX_JuneFC2010 tf_BS_Separation_TaxResIndem_Q12412 tf_Guidance 2" xfId="5401"/>
    <cellStyle name="_MOR - BDWY - 1+11_~0039877_Restructuring_Separation_TAX_JuneFC2010 tf_BS_Separation_TaxResIndem_Q12412 tf_Guidance_BS retrieve" xfId="5402"/>
    <cellStyle name="_MOR - BDWY - 1+11_~0039877_Restructuring_Separation_TAX_JuneFC2010 tf_BS_Separation_TaxResIndem_Q12412 tf_Guidance_Free CF" xfId="5403"/>
    <cellStyle name="_MOR - BDWY - 1+11_~0039877_Restructuring_Separation_TAX_JuneFC2010 tf_BS_Separation_TaxResIndem_Q12412 tf_Guidance_P&amp;L Rec Qtr" xfId="5404"/>
    <cellStyle name="_MOR - BDWY - 1+11_~0039877_Restructuring_Separation_TAX_JuneFC2010 tf_BS_Separation_TaxResIndem_Q12412 tf_Guidance_Sheet1" xfId="5405"/>
    <cellStyle name="_MOR - BDWY - 1+11_~0039877_Restructuring_Separation_TAX_JuneFC2010 tf_BS_Separation_TaxResIndem_Q12412 tf_Guidance_Sheet2" xfId="5406"/>
    <cellStyle name="_MOR - BDWY - 1+11_~0039877_Restructuring_Separation_TAX_JuneFC2010 tf_BS_Separation_TaxResIndem_Q12412 tf_Guidance_Sheet3" xfId="5407"/>
    <cellStyle name="_MOR - BDWY - 1+11_~0039877_Restructuring_Separation_TAX_JuneFC2010 tf_BS_Separation_TaxResIndem_Q12412 tf_Guidance_Sheet4" xfId="5408"/>
    <cellStyle name="_MOR - BDWY - 1+11_~0039877_Restructuring_Separation_TAX_JuneFC2010 tf_BS_Separation_TaxResIndem_Q12412 tf_Restructuring &amp; Separation" xfId="5409"/>
    <cellStyle name="_MOR - BDWY - 1+11_~0039877_Restructuring_Separation_TAX_JuneFC2010 tf_BS_Separation_TaxResIndem_Q12412 tf_Restructuring &amp; Separation_Guidance" xfId="5410"/>
    <cellStyle name="_MOR - BDWY - 1+11_~0039877_Restructuring_Separation_TAX_JuneFC2010 tf_BS_Separation_TaxResIndem_Q12412 tf_Restructuring &amp; Separation_Guidance 2" xfId="5411"/>
    <cellStyle name="_MOR - BDWY - 1+11_~0039877_Restructuring_Separation_TAX_JuneFC2010 tf_BS_Separation_TaxResIndem_Q12412 tf_Restructuring &amp; Separation_Guidance_BS retrieve" xfId="5412"/>
    <cellStyle name="_MOR - BDWY - 1+11_~0039877_Restructuring_Separation_TAX_JuneFC2010 tf_BS_Separation_TaxResIndem_Q12412 tf_Restructuring &amp; Separation_Guidance_Free CF" xfId="5413"/>
    <cellStyle name="_MOR - BDWY - 1+11_~0039877_Restructuring_Separation_TAX_JuneFC2010 tf_BS_Separation_TaxResIndem_Q12412 tf_Restructuring &amp; Separation_Guidance_P&amp;L Rec Qtr" xfId="5414"/>
    <cellStyle name="_MOR - BDWY - 1+11_~0039877_Restructuring_Separation_TAX_JuneFC2010 tf_BS_Separation_TaxResIndem_Q12412 tf_Restructuring &amp; Separation_Guidance_Sheet1" xfId="5415"/>
    <cellStyle name="_MOR - BDWY - 1+11_~0039877_Restructuring_Separation_TAX_JuneFC2010 tf_BS_Separation_TaxResIndem_Q12412 tf_Restructuring &amp; Separation_Guidance_Sheet2" xfId="5416"/>
    <cellStyle name="_MOR - BDWY - 1+11_~0039877_Restructuring_Separation_TAX_JuneFC2010 tf_BS_Separation_TaxResIndem_Q12412 tf_Restructuring &amp; Separation_Guidance_Sheet3" xfId="5417"/>
    <cellStyle name="_MOR - BDWY - 1+11_~0039877_Restructuring_Separation_TAX_JuneFC2010 tf_BS_Separation_TaxResIndem_Q12412 tf_Restructuring &amp; Separation_Guidance_Sheet4" xfId="5418"/>
    <cellStyle name="_MOR - BDWY - 1+11_~0039877_Restructuring_Separation_TAX_JuneFC2010 tf_Guidance" xfId="5419"/>
    <cellStyle name="_MOR - BDWY - 1+11_~0039877_Restructuring_Separation_TAX_JuneFC2010 tf_Guidance 2" xfId="5420"/>
    <cellStyle name="_MOR - BDWY - 1+11_~0039877_Restructuring_Separation_TAX_JuneFC2010 tf_Guidance_BS retrieve" xfId="5421"/>
    <cellStyle name="_MOR - BDWY - 1+11_~0039877_Restructuring_Separation_TAX_JuneFC2010 tf_Guidance_Free CF" xfId="5422"/>
    <cellStyle name="_MOR - BDWY - 1+11_~0039877_Restructuring_Separation_TAX_JuneFC2010 tf_Guidance_P&amp;L Rec Qtr" xfId="5423"/>
    <cellStyle name="_MOR - BDWY - 1+11_~0039877_Restructuring_Separation_TAX_JuneFC2010 tf_Guidance_Sheet1" xfId="5424"/>
    <cellStyle name="_MOR - BDWY - 1+11_~0039877_Restructuring_Separation_TAX_JuneFC2010 tf_Guidance_Sheet2" xfId="5425"/>
    <cellStyle name="_MOR - BDWY - 1+11_~0039877_Restructuring_Separation_TAX_JuneFC2010 tf_Guidance_Sheet3" xfId="5426"/>
    <cellStyle name="_MOR - BDWY - 1+11_~0039877_Restructuring_Separation_TAX_JuneFC2010 tf_Guidance_Sheet4" xfId="5427"/>
    <cellStyle name="_MOR - BDWY - 1+11_~0039877_Restructuring_Separation_TAX_JuneFC2010 tf_II.8. Sep&amp;Discrete" xfId="5428"/>
    <cellStyle name="_MOR - BDWY - 1+11_~0039877_Restructuring_Separation_TAX_JuneFC2010 tf_II.8. Sep&amp;Discrete_Guidance" xfId="5429"/>
    <cellStyle name="_MOR - BDWY - 1+11_~0039877_Restructuring_Separation_TAX_JuneFC2010 tf_II.8. Sep&amp;Discrete_Guidance 2" xfId="5430"/>
    <cellStyle name="_MOR - BDWY - 1+11_~0039877_Restructuring_Separation_TAX_JuneFC2010 tf_II.8. Sep&amp;Discrete_Guidance_BS retrieve" xfId="5431"/>
    <cellStyle name="_MOR - BDWY - 1+11_~0039877_Restructuring_Separation_TAX_JuneFC2010 tf_II.8. Sep&amp;Discrete_Guidance_Free CF" xfId="5432"/>
    <cellStyle name="_MOR - BDWY - 1+11_~0039877_Restructuring_Separation_TAX_JuneFC2010 tf_II.8. Sep&amp;Discrete_Guidance_P&amp;L Rec Qtr" xfId="5433"/>
    <cellStyle name="_MOR - BDWY - 1+11_~0039877_Restructuring_Separation_TAX_JuneFC2010 tf_II.8. Sep&amp;Discrete_Guidance_Sheet1" xfId="5434"/>
    <cellStyle name="_MOR - BDWY - 1+11_~0039877_Restructuring_Separation_TAX_JuneFC2010 tf_II.8. Sep&amp;Discrete_Guidance_Sheet2" xfId="5435"/>
    <cellStyle name="_MOR - BDWY - 1+11_~0039877_Restructuring_Separation_TAX_JuneFC2010 tf_II.8. Sep&amp;Discrete_Guidance_Sheet3" xfId="5436"/>
    <cellStyle name="_MOR - BDWY - 1+11_~0039877_Restructuring_Separation_TAX_JuneFC2010 tf_II.8. Sep&amp;Discrete_Guidance_Sheet4" xfId="5437"/>
    <cellStyle name="_MOR - BDWY - 1+11_~0039877_Restructuring_Separation_TAX_JuneFC2010 tf_Restructuring &amp; Separation" xfId="5438"/>
    <cellStyle name="_MOR - BDWY - 1+11_~0039877_Restructuring_Separation_TAX_JuneFC2010 tf_Restructuring &amp; Separation_Guidance" xfId="5439"/>
    <cellStyle name="_MOR - BDWY - 1+11_~0039877_Restructuring_Separation_TAX_JuneFC2010 tf_Restructuring &amp; Separation_Guidance 2" xfId="5440"/>
    <cellStyle name="_MOR - BDWY - 1+11_~0039877_Restructuring_Separation_TAX_JuneFC2010 tf_Restructuring &amp; Separation_Guidance_BS retrieve" xfId="5441"/>
    <cellStyle name="_MOR - BDWY - 1+11_~0039877_Restructuring_Separation_TAX_JuneFC2010 tf_Restructuring &amp; Separation_Guidance_Free CF" xfId="5442"/>
    <cellStyle name="_MOR - BDWY - 1+11_~0039877_Restructuring_Separation_TAX_JuneFC2010 tf_Restructuring &amp; Separation_Guidance_P&amp;L Rec Qtr" xfId="5443"/>
    <cellStyle name="_MOR - BDWY - 1+11_~0039877_Restructuring_Separation_TAX_JuneFC2010 tf_Restructuring &amp; Separation_Guidance_Sheet1" xfId="5444"/>
    <cellStyle name="_MOR - BDWY - 1+11_~0039877_Restructuring_Separation_TAX_JuneFC2010 tf_Restructuring &amp; Separation_Guidance_Sheet2" xfId="5445"/>
    <cellStyle name="_MOR - BDWY - 1+11_~0039877_Restructuring_Separation_TAX_JuneFC2010 tf_Restructuring &amp; Separation_Guidance_Sheet3" xfId="5446"/>
    <cellStyle name="_MOR - BDWY - 1+11_~0039877_Restructuring_Separation_TAX_JuneFC2010 tf_Restructuring &amp; Separation_Guidance_Sheet4" xfId="5447"/>
    <cellStyle name="_MOR - BDWY - 1+11_BS_Separation_TaxResIndem_Q12412 tf" xfId="5448"/>
    <cellStyle name="_MOR - BDWY - 1+11_BS_Separation_TaxResIndem_Q12412 tf_Guidance" xfId="5449"/>
    <cellStyle name="_MOR - BDWY - 1+11_BS_Separation_TaxResIndem_Q12412 tf_Guidance 2" xfId="5450"/>
    <cellStyle name="_MOR - BDWY - 1+11_BS_Separation_TaxResIndem_Q12412 tf_Guidance_BS retrieve" xfId="5451"/>
    <cellStyle name="_MOR - BDWY - 1+11_BS_Separation_TaxResIndem_Q12412 tf_Guidance_Free CF" xfId="5452"/>
    <cellStyle name="_MOR - BDWY - 1+11_BS_Separation_TaxResIndem_Q12412 tf_Guidance_P&amp;L Rec Qtr" xfId="5453"/>
    <cellStyle name="_MOR - BDWY - 1+11_BS_Separation_TaxResIndem_Q12412 tf_Guidance_Sheet1" xfId="5454"/>
    <cellStyle name="_MOR - BDWY - 1+11_BS_Separation_TaxResIndem_Q12412 tf_Guidance_Sheet2" xfId="5455"/>
    <cellStyle name="_MOR - BDWY - 1+11_BS_Separation_TaxResIndem_Q12412 tf_Guidance_Sheet3" xfId="5456"/>
    <cellStyle name="_MOR - BDWY - 1+11_BS_Separation_TaxResIndem_Q12412 tf_Guidance_Sheet4" xfId="5457"/>
    <cellStyle name="_MOR - BDWY - 1+11_BS_Separation_TaxResIndem_Q12412 tf_Restructuring &amp; Separation" xfId="5458"/>
    <cellStyle name="_MOR - BDWY - 1+11_BS_Separation_TaxResIndem_Q12412 tf_Restructuring &amp; Separation_Guidance" xfId="5459"/>
    <cellStyle name="_MOR - BDWY - 1+11_BS_Separation_TaxResIndem_Q12412 tf_Restructuring &amp; Separation_Guidance 2" xfId="5460"/>
    <cellStyle name="_MOR - BDWY - 1+11_BS_Separation_TaxResIndem_Q12412 tf_Restructuring &amp; Separation_Guidance_BS retrieve" xfId="5461"/>
    <cellStyle name="_MOR - BDWY - 1+11_BS_Separation_TaxResIndem_Q12412 tf_Restructuring &amp; Separation_Guidance_Free CF" xfId="5462"/>
    <cellStyle name="_MOR - BDWY - 1+11_BS_Separation_TaxResIndem_Q12412 tf_Restructuring &amp; Separation_Guidance_P&amp;L Rec Qtr" xfId="5463"/>
    <cellStyle name="_MOR - BDWY - 1+11_BS_Separation_TaxResIndem_Q12412 tf_Restructuring &amp; Separation_Guidance_Sheet1" xfId="5464"/>
    <cellStyle name="_MOR - BDWY - 1+11_BS_Separation_TaxResIndem_Q12412 tf_Restructuring &amp; Separation_Guidance_Sheet2" xfId="5465"/>
    <cellStyle name="_MOR - BDWY - 1+11_BS_Separation_TaxResIndem_Q12412 tf_Restructuring &amp; Separation_Guidance_Sheet3" xfId="5466"/>
    <cellStyle name="_MOR - BDWY - 1+11_BS_Separation_TaxResIndem_Q12412 tf_Restructuring &amp; Separation_Guidance_Sheet4" xfId="5467"/>
    <cellStyle name="_MOR - BDWY - 1+11_By Country Detail 1Q10 041410pm FIN 18 revised per disc w Mary" xfId="5468"/>
    <cellStyle name="_MOR - BDWY - 1+11_By Country Detail 1Q10 041410pm FIN 18 revised per disc w Mary_BS_Separation_TaxResIndem_Q12412 tf" xfId="5469"/>
    <cellStyle name="_MOR - BDWY - 1+11_By Country Detail 1Q10 041410pm FIN 18 revised per disc w Mary_BS_Separation_TaxResIndem_Q12412 tf_Guidance" xfId="5470"/>
    <cellStyle name="_MOR - BDWY - 1+11_By Country Detail 1Q10 041410pm FIN 18 revised per disc w Mary_BS_Separation_TaxResIndem_Q12412 tf_Guidance 2" xfId="5471"/>
    <cellStyle name="_MOR - BDWY - 1+11_By Country Detail 1Q10 041410pm FIN 18 revised per disc w Mary_BS_Separation_TaxResIndem_Q12412 tf_Guidance_BS retrieve" xfId="5472"/>
    <cellStyle name="_MOR - BDWY - 1+11_By Country Detail 1Q10 041410pm FIN 18 revised per disc w Mary_BS_Separation_TaxResIndem_Q12412 tf_Guidance_Free CF" xfId="5473"/>
    <cellStyle name="_MOR - BDWY - 1+11_By Country Detail 1Q10 041410pm FIN 18 revised per disc w Mary_BS_Separation_TaxResIndem_Q12412 tf_Guidance_P&amp;L Rec Qtr" xfId="5474"/>
    <cellStyle name="_MOR - BDWY - 1+11_By Country Detail 1Q10 041410pm FIN 18 revised per disc w Mary_BS_Separation_TaxResIndem_Q12412 tf_Guidance_Sheet1" xfId="5475"/>
    <cellStyle name="_MOR - BDWY - 1+11_By Country Detail 1Q10 041410pm FIN 18 revised per disc w Mary_BS_Separation_TaxResIndem_Q12412 tf_Guidance_Sheet2" xfId="5476"/>
    <cellStyle name="_MOR - BDWY - 1+11_By Country Detail 1Q10 041410pm FIN 18 revised per disc w Mary_BS_Separation_TaxResIndem_Q12412 tf_Guidance_Sheet3" xfId="5477"/>
    <cellStyle name="_MOR - BDWY - 1+11_By Country Detail 1Q10 041410pm FIN 18 revised per disc w Mary_BS_Separation_TaxResIndem_Q12412 tf_Guidance_Sheet4" xfId="5478"/>
    <cellStyle name="_MOR - BDWY - 1+11_By Country Detail 1Q10 041410pm FIN 18 revised per disc w Mary_BS_Separation_TaxResIndem_Q12412 tf_Restructuring &amp; Separation" xfId="5479"/>
    <cellStyle name="_MOR - BDWY - 1+11_By Country Detail 1Q10 041410pm FIN 18 revised per disc w Mary_BS_Separation_TaxResIndem_Q12412 tf_Restructuring &amp; Separation_Guidance" xfId="5480"/>
    <cellStyle name="_MOR - BDWY - 1+11_By Country Detail 1Q10 041410pm FIN 18 revised per disc w Mary_BS_Separation_TaxResIndem_Q12412 tf_Restructuring &amp; Separation_Guidance 2" xfId="5481"/>
    <cellStyle name="_MOR - BDWY - 1+11_By Country Detail 1Q10 041410pm FIN 18 revised per disc w Mary_BS_Separation_TaxResIndem_Q12412 tf_Restructuring &amp; Separation_Guidance_BS retrieve" xfId="5482"/>
    <cellStyle name="_MOR - BDWY - 1+11_By Country Detail 1Q10 041410pm FIN 18 revised per disc w Mary_BS_Separation_TaxResIndem_Q12412 tf_Restructuring &amp; Separation_Guidance_Free CF" xfId="5483"/>
    <cellStyle name="_MOR - BDWY - 1+11_By Country Detail 1Q10 041410pm FIN 18 revised per disc w Mary_BS_Separation_TaxResIndem_Q12412 tf_Restructuring &amp; Separation_Guidance_P&amp;L Rec Qtr" xfId="5484"/>
    <cellStyle name="_MOR - BDWY - 1+11_By Country Detail 1Q10 041410pm FIN 18 revised per disc w Mary_BS_Separation_TaxResIndem_Q12412 tf_Restructuring &amp; Separation_Guidance_Sheet1" xfId="5485"/>
    <cellStyle name="_MOR - BDWY - 1+11_By Country Detail 1Q10 041410pm FIN 18 revised per disc w Mary_BS_Separation_TaxResIndem_Q12412 tf_Restructuring &amp; Separation_Guidance_Sheet2" xfId="5486"/>
    <cellStyle name="_MOR - BDWY - 1+11_By Country Detail 1Q10 041410pm FIN 18 revised per disc w Mary_BS_Separation_TaxResIndem_Q12412 tf_Restructuring &amp; Separation_Guidance_Sheet3" xfId="5487"/>
    <cellStyle name="_MOR - BDWY - 1+11_By Country Detail 1Q10 041410pm FIN 18 revised per disc w Mary_BS_Separation_TaxResIndem_Q12412 tf_Restructuring &amp; Separation_Guidance_Sheet4" xfId="5488"/>
    <cellStyle name="_MOR - BDWY - 1+11_By Country Detail 1Q10 041410pm FIN 18 revised per disc w Mary_Guidance" xfId="5489"/>
    <cellStyle name="_MOR - BDWY - 1+11_By Country Detail 1Q10 041410pm FIN 18 revised per disc w Mary_Guidance 2" xfId="5490"/>
    <cellStyle name="_MOR - BDWY - 1+11_By Country Detail 1Q10 041410pm FIN 18 revised per disc w Mary_Guidance_BS retrieve" xfId="5491"/>
    <cellStyle name="_MOR - BDWY - 1+11_By Country Detail 1Q10 041410pm FIN 18 revised per disc w Mary_Guidance_Free CF" xfId="5492"/>
    <cellStyle name="_MOR - BDWY - 1+11_By Country Detail 1Q10 041410pm FIN 18 revised per disc w Mary_Guidance_P&amp;L Rec Qtr" xfId="5493"/>
    <cellStyle name="_MOR - BDWY - 1+11_By Country Detail 1Q10 041410pm FIN 18 revised per disc w Mary_Guidance_Sheet1" xfId="5494"/>
    <cellStyle name="_MOR - BDWY - 1+11_By Country Detail 1Q10 041410pm FIN 18 revised per disc w Mary_Guidance_Sheet2" xfId="5495"/>
    <cellStyle name="_MOR - BDWY - 1+11_By Country Detail 1Q10 041410pm FIN 18 revised per disc w Mary_Guidance_Sheet3" xfId="5496"/>
    <cellStyle name="_MOR - BDWY - 1+11_By Country Detail 1Q10 041410pm FIN 18 revised per disc w Mary_Guidance_Sheet4" xfId="5497"/>
    <cellStyle name="_MOR - BDWY - 1+11_By Country Detail 1Q10 041410pm FIN 18 revised per disc w Mary_II.8. Sep&amp;Discrete" xfId="5498"/>
    <cellStyle name="_MOR - BDWY - 1+11_By Country Detail 1Q10 041410pm FIN 18 revised per disc w Mary_II.8. Sep&amp;Discrete_Guidance" xfId="5499"/>
    <cellStyle name="_MOR - BDWY - 1+11_By Country Detail 1Q10 041410pm FIN 18 revised per disc w Mary_II.8. Sep&amp;Discrete_Guidance 2" xfId="5500"/>
    <cellStyle name="_MOR - BDWY - 1+11_By Country Detail 1Q10 041410pm FIN 18 revised per disc w Mary_II.8. Sep&amp;Discrete_Guidance_BS retrieve" xfId="5501"/>
    <cellStyle name="_MOR - BDWY - 1+11_By Country Detail 1Q10 041410pm FIN 18 revised per disc w Mary_II.8. Sep&amp;Discrete_Guidance_Free CF" xfId="5502"/>
    <cellStyle name="_MOR - BDWY - 1+11_By Country Detail 1Q10 041410pm FIN 18 revised per disc w Mary_II.8. Sep&amp;Discrete_Guidance_P&amp;L Rec Qtr" xfId="5503"/>
    <cellStyle name="_MOR - BDWY - 1+11_By Country Detail 1Q10 041410pm FIN 18 revised per disc w Mary_II.8. Sep&amp;Discrete_Guidance_Sheet1" xfId="5504"/>
    <cellStyle name="_MOR - BDWY - 1+11_By Country Detail 1Q10 041410pm FIN 18 revised per disc w Mary_II.8. Sep&amp;Discrete_Guidance_Sheet2" xfId="5505"/>
    <cellStyle name="_MOR - BDWY - 1+11_By Country Detail 1Q10 041410pm FIN 18 revised per disc w Mary_II.8. Sep&amp;Discrete_Guidance_Sheet3" xfId="5506"/>
    <cellStyle name="_MOR - BDWY - 1+11_By Country Detail 1Q10 041410pm FIN 18 revised per disc w Mary_II.8. Sep&amp;Discrete_Guidance_Sheet4" xfId="5507"/>
    <cellStyle name="_MOR - BDWY - 1+11_By Country Detail 1Q10 041410pm FIN 18 revised per disc w Mary_Restructuring &amp; Separation" xfId="5508"/>
    <cellStyle name="_MOR - BDWY - 1+11_By Country Detail 1Q10 041410pm FIN 18 revised per disc w Mary_Restructuring &amp; Separation_Guidance" xfId="5509"/>
    <cellStyle name="_MOR - BDWY - 1+11_By Country Detail 1Q10 041410pm FIN 18 revised per disc w Mary_Restructuring &amp; Separation_Guidance 2" xfId="5510"/>
    <cellStyle name="_MOR - BDWY - 1+11_By Country Detail 1Q10 041410pm FIN 18 revised per disc w Mary_Restructuring &amp; Separation_Guidance_BS retrieve" xfId="5511"/>
    <cellStyle name="_MOR - BDWY - 1+11_By Country Detail 1Q10 041410pm FIN 18 revised per disc w Mary_Restructuring &amp; Separation_Guidance_Free CF" xfId="5512"/>
    <cellStyle name="_MOR - BDWY - 1+11_By Country Detail 1Q10 041410pm FIN 18 revised per disc w Mary_Restructuring &amp; Separation_Guidance_P&amp;L Rec Qtr" xfId="5513"/>
    <cellStyle name="_MOR - BDWY - 1+11_By Country Detail 1Q10 041410pm FIN 18 revised per disc w Mary_Restructuring &amp; Separation_Guidance_Sheet1" xfId="5514"/>
    <cellStyle name="_MOR - BDWY - 1+11_By Country Detail 1Q10 041410pm FIN 18 revised per disc w Mary_Restructuring &amp; Separation_Guidance_Sheet2" xfId="5515"/>
    <cellStyle name="_MOR - BDWY - 1+11_By Country Detail 1Q10 041410pm FIN 18 revised per disc w Mary_Restructuring &amp; Separation_Guidance_Sheet3" xfId="5516"/>
    <cellStyle name="_MOR - BDWY - 1+11_By Country Detail 1Q10 041410pm FIN 18 revised per disc w Mary_Restructuring &amp; Separation_Guidance_Sheet4" xfId="5517"/>
    <cellStyle name="_MOR - BDWY - 1+11_Guidance" xfId="5518"/>
    <cellStyle name="_MOR - BDWY - 1+11_Guidance 2" xfId="5519"/>
    <cellStyle name="_MOR - BDWY - 1+11_Guidance_BS retrieve" xfId="5520"/>
    <cellStyle name="_MOR - BDWY - 1+11_Guidance_Free CF" xfId="5521"/>
    <cellStyle name="_MOR - BDWY - 1+11_Guidance_P&amp;L Rec Qtr" xfId="5522"/>
    <cellStyle name="_MOR - BDWY - 1+11_Guidance_Sheet1" xfId="5523"/>
    <cellStyle name="_MOR - BDWY - 1+11_Guidance_Sheet2" xfId="5524"/>
    <cellStyle name="_MOR - BDWY - 1+11_Guidance_Sheet3" xfId="5525"/>
    <cellStyle name="_MOR - BDWY - 1+11_Guidance_Sheet4" xfId="5526"/>
    <cellStyle name="_MOR - BDWY - 1+11_II.4. RawMaterials" xfId="5527"/>
    <cellStyle name="_MOR - BDWY - 1+11_II.4. RawMaterials 2" xfId="5528"/>
    <cellStyle name="_MOR - BDWY - 1+11_II.4. RawMaterials_BS retrieve" xfId="5529"/>
    <cellStyle name="_MOR - BDWY - 1+11_II.4. RawMaterials_Free CF" xfId="5530"/>
    <cellStyle name="_MOR - BDWY - 1+11_II.4. RawMaterials_P&amp;L Rec Qtr" xfId="5531"/>
    <cellStyle name="_MOR - BDWY - 1+11_II.4. RawMaterials_Sheet1" xfId="5532"/>
    <cellStyle name="_MOR - BDWY - 1+11_II.4. RawMaterials_Sheet2" xfId="5533"/>
    <cellStyle name="_MOR - BDWY - 1+11_II.4. RawMaterials_Sheet3" xfId="5534"/>
    <cellStyle name="_MOR - BDWY - 1+11_II.4. RawMaterials_Sheet4" xfId="5535"/>
    <cellStyle name="_MOR - BDWY - 1+11_II.5. RawMaterials" xfId="5536"/>
    <cellStyle name="_MOR - BDWY - 1+11_II.5. RawMaterials 2" xfId="5537"/>
    <cellStyle name="_MOR - BDWY - 1+11_II.5. RawMaterials_BS retrieve" xfId="5538"/>
    <cellStyle name="_MOR - BDWY - 1+11_II.5. RawMaterials_Free CF" xfId="5539"/>
    <cellStyle name="_MOR - BDWY - 1+11_II.5. RawMaterials_Guidance" xfId="5540"/>
    <cellStyle name="_MOR - BDWY - 1+11_II.5. RawMaterials_Guidance 2" xfId="5541"/>
    <cellStyle name="_MOR - BDWY - 1+11_II.5. RawMaterials_Guidance_BS retrieve" xfId="5542"/>
    <cellStyle name="_MOR - BDWY - 1+11_II.5. RawMaterials_Guidance_Free CF" xfId="5543"/>
    <cellStyle name="_MOR - BDWY - 1+11_II.5. RawMaterials_Guidance_P&amp;L Rec Qtr" xfId="5544"/>
    <cellStyle name="_MOR - BDWY - 1+11_II.5. RawMaterials_Guidance_Sheet1" xfId="5545"/>
    <cellStyle name="_MOR - BDWY - 1+11_II.5. RawMaterials_Guidance_Sheet2" xfId="5546"/>
    <cellStyle name="_MOR - BDWY - 1+11_II.5. RawMaterials_Guidance_Sheet3" xfId="5547"/>
    <cellStyle name="_MOR - BDWY - 1+11_II.5. RawMaterials_Guidance_Sheet4" xfId="5548"/>
    <cellStyle name="_MOR - BDWY - 1+11_II.5. RawMaterials_P&amp;L Rec Qtr" xfId="5549"/>
    <cellStyle name="_MOR - BDWY - 1+11_II.5. RawMaterials_Sheet1" xfId="5550"/>
    <cellStyle name="_MOR - BDWY - 1+11_II.5. RawMaterials_Sheet2" xfId="5551"/>
    <cellStyle name="_MOR - BDWY - 1+11_II.5. RawMaterials_Sheet3" xfId="5552"/>
    <cellStyle name="_MOR - BDWY - 1+11_II.5. RawMaterials_Sheet4" xfId="5553"/>
    <cellStyle name="_MOR - BDWY - 1+11_II.5. RM Volume Sensitivities" xfId="5554"/>
    <cellStyle name="_MOR - BDWY - 1+11_II.5. RM Volume Sensitivities 2" xfId="5555"/>
    <cellStyle name="_MOR - BDWY - 1+11_II.5. RM Volume Sensitivities_BS retrieve" xfId="5556"/>
    <cellStyle name="_MOR - BDWY - 1+11_II.5. RM Volume Sensitivities_Free CF" xfId="5557"/>
    <cellStyle name="_MOR - BDWY - 1+11_II.5. RM Volume Sensitivities_P&amp;L Rec Qtr" xfId="5558"/>
    <cellStyle name="_MOR - BDWY - 1+11_II.5. RM Volume Sensitivities_Sheet1" xfId="5559"/>
    <cellStyle name="_MOR - BDWY - 1+11_II.5. RM Volume Sensitivities_Sheet2" xfId="5560"/>
    <cellStyle name="_MOR - BDWY - 1+11_II.5. RM Volume Sensitivities_Sheet3" xfId="5561"/>
    <cellStyle name="_MOR - BDWY - 1+11_II.5. RM Volume Sensitivities_Sheet4" xfId="5562"/>
    <cellStyle name="_MOR - BDWY - 1+11_II.8. Sep&amp;Discrete" xfId="5563"/>
    <cellStyle name="_MOR - BDWY - 1+11_II.8. Sep&amp;Discrete_Guidance" xfId="5564"/>
    <cellStyle name="_MOR - BDWY - 1+11_II.8. Sep&amp;Discrete_Guidance 2" xfId="5565"/>
    <cellStyle name="_MOR - BDWY - 1+11_II.8. Sep&amp;Discrete_Guidance_BS retrieve" xfId="5566"/>
    <cellStyle name="_MOR - BDWY - 1+11_II.8. Sep&amp;Discrete_Guidance_Free CF" xfId="5567"/>
    <cellStyle name="_MOR - BDWY - 1+11_II.8. Sep&amp;Discrete_Guidance_P&amp;L Rec Qtr" xfId="5568"/>
    <cellStyle name="_MOR - BDWY - 1+11_II.8. Sep&amp;Discrete_Guidance_Sheet1" xfId="5569"/>
    <cellStyle name="_MOR - BDWY - 1+11_II.8. Sep&amp;Discrete_Guidance_Sheet2" xfId="5570"/>
    <cellStyle name="_MOR - BDWY - 1+11_II.8. Sep&amp;Discrete_Guidance_Sheet3" xfId="5571"/>
    <cellStyle name="_MOR - BDWY - 1+11_II.8. Sep&amp;Discrete_Guidance_Sheet4" xfId="5572"/>
    <cellStyle name="_MOR - BDWY - 1+11_MOR - Australia -  EC - 1+11" xfId="5573"/>
    <cellStyle name="_MOR - BDWY - 1+11_MOR - Australia -  EC - 1+11_BS_Separation_TaxResIndem_Q12412 tf" xfId="5574"/>
    <cellStyle name="_MOR - BDWY - 1+11_MOR - Australia -  EC - 1+11_BS_Separation_TaxResIndem_Q12412 tf_Guidance" xfId="5575"/>
    <cellStyle name="_MOR - BDWY - 1+11_MOR - Australia -  EC - 1+11_BS_Separation_TaxResIndem_Q12412 tf_Guidance 2" xfId="5576"/>
    <cellStyle name="_MOR - BDWY - 1+11_MOR - Australia -  EC - 1+11_BS_Separation_TaxResIndem_Q12412 tf_Guidance_BS retrieve" xfId="5577"/>
    <cellStyle name="_MOR - BDWY - 1+11_MOR - Australia -  EC - 1+11_BS_Separation_TaxResIndem_Q12412 tf_Guidance_Free CF" xfId="5578"/>
    <cellStyle name="_MOR - BDWY - 1+11_MOR - Australia -  EC - 1+11_BS_Separation_TaxResIndem_Q12412 tf_Guidance_P&amp;L Rec Qtr" xfId="5579"/>
    <cellStyle name="_MOR - BDWY - 1+11_MOR - Australia -  EC - 1+11_BS_Separation_TaxResIndem_Q12412 tf_Guidance_Sheet1" xfId="5580"/>
    <cellStyle name="_MOR - BDWY - 1+11_MOR - Australia -  EC - 1+11_BS_Separation_TaxResIndem_Q12412 tf_Guidance_Sheet2" xfId="5581"/>
    <cellStyle name="_MOR - BDWY - 1+11_MOR - Australia -  EC - 1+11_BS_Separation_TaxResIndem_Q12412 tf_Guidance_Sheet3" xfId="5582"/>
    <cellStyle name="_MOR - BDWY - 1+11_MOR - Australia -  EC - 1+11_BS_Separation_TaxResIndem_Q12412 tf_Guidance_Sheet4" xfId="5583"/>
    <cellStyle name="_MOR - BDWY - 1+11_MOR - Australia -  EC - 1+11_BS_Separation_TaxResIndem_Q12412 tf_Restructuring &amp; Separation" xfId="5584"/>
    <cellStyle name="_MOR - BDWY - 1+11_MOR - Australia -  EC - 1+11_BS_Separation_TaxResIndem_Q12412 tf_Restructuring &amp; Separation_Guidance" xfId="5585"/>
    <cellStyle name="_MOR - BDWY - 1+11_MOR - Australia -  EC - 1+11_BS_Separation_TaxResIndem_Q12412 tf_Restructuring &amp; Separation_Guidance 2" xfId="5586"/>
    <cellStyle name="_MOR - BDWY - 1+11_MOR - Australia -  EC - 1+11_BS_Separation_TaxResIndem_Q12412 tf_Restructuring &amp; Separation_Guidance_BS retrieve" xfId="5587"/>
    <cellStyle name="_MOR - BDWY - 1+11_MOR - Australia -  EC - 1+11_BS_Separation_TaxResIndem_Q12412 tf_Restructuring &amp; Separation_Guidance_Free CF" xfId="5588"/>
    <cellStyle name="_MOR - BDWY - 1+11_MOR - Australia -  EC - 1+11_BS_Separation_TaxResIndem_Q12412 tf_Restructuring &amp; Separation_Guidance_P&amp;L Rec Qtr" xfId="5589"/>
    <cellStyle name="_MOR - BDWY - 1+11_MOR - Australia -  EC - 1+11_BS_Separation_TaxResIndem_Q12412 tf_Restructuring &amp; Separation_Guidance_Sheet1" xfId="5590"/>
    <cellStyle name="_MOR - BDWY - 1+11_MOR - Australia -  EC - 1+11_BS_Separation_TaxResIndem_Q12412 tf_Restructuring &amp; Separation_Guidance_Sheet2" xfId="5591"/>
    <cellStyle name="_MOR - BDWY - 1+11_MOR - Australia -  EC - 1+11_BS_Separation_TaxResIndem_Q12412 tf_Restructuring &amp; Separation_Guidance_Sheet3" xfId="5592"/>
    <cellStyle name="_MOR - BDWY - 1+11_MOR - Australia -  EC - 1+11_BS_Separation_TaxResIndem_Q12412 tf_Restructuring &amp; Separation_Guidance_Sheet4" xfId="5593"/>
    <cellStyle name="_MOR - BDWY - 1+11_MOR - Australia -  EC - 1+11_By Country Detail 1Q10 041410pm FIN 18 revised per disc w Mary" xfId="5594"/>
    <cellStyle name="_MOR - BDWY - 1+11_MOR - Australia -  EC - 1+11_By Country Detail 1Q10 041410pm FIN 18 revised per disc w Mary_BS_Separation_TaxResIndem_Q12412 tf" xfId="5595"/>
    <cellStyle name="_MOR - BDWY - 1+11_MOR - Australia -  EC - 1+11_By Country Detail 1Q10 041410pm FIN 18 revised per disc w Mary_BS_Separation_TaxResIndem_Q12412 tf_Guidance" xfId="5596"/>
    <cellStyle name="_MOR - BDWY - 1+11_MOR - Australia -  EC - 1+11_By Country Detail 1Q10 041410pm FIN 18 revised per disc w Mary_BS_Separation_TaxResIndem_Q12412 tf_Guidance 2" xfId="5597"/>
    <cellStyle name="_MOR - BDWY - 1+11_MOR - Australia -  EC - 1+11_By Country Detail 1Q10 041410pm FIN 18 revised per disc w Mary_BS_Separation_TaxResIndem_Q12412 tf_Guidance_BS retrieve" xfId="5598"/>
    <cellStyle name="_MOR - BDWY - 1+11_MOR - Australia -  EC - 1+11_By Country Detail 1Q10 041410pm FIN 18 revised per disc w Mary_BS_Separation_TaxResIndem_Q12412 tf_Guidance_Free CF" xfId="5599"/>
    <cellStyle name="_MOR - BDWY - 1+11_MOR - Australia -  EC - 1+11_By Country Detail 1Q10 041410pm FIN 18 revised per disc w Mary_BS_Separation_TaxResIndem_Q12412 tf_Guidance_P&amp;L Rec Qtr" xfId="5600"/>
    <cellStyle name="_MOR - BDWY - 1+11_MOR - Australia -  EC - 1+11_By Country Detail 1Q10 041410pm FIN 18 revised per disc w Mary_BS_Separation_TaxResIndem_Q12412 tf_Guidance_Sheet1" xfId="5601"/>
    <cellStyle name="_MOR - BDWY - 1+11_MOR - Australia -  EC - 1+11_By Country Detail 1Q10 041410pm FIN 18 revised per disc w Mary_BS_Separation_TaxResIndem_Q12412 tf_Guidance_Sheet2" xfId="5602"/>
    <cellStyle name="_MOR - BDWY - 1+11_MOR - Australia -  EC - 1+11_By Country Detail 1Q10 041410pm FIN 18 revised per disc w Mary_BS_Separation_TaxResIndem_Q12412 tf_Guidance_Sheet3" xfId="5603"/>
    <cellStyle name="_MOR - BDWY - 1+11_MOR - Australia -  EC - 1+11_By Country Detail 1Q10 041410pm FIN 18 revised per disc w Mary_BS_Separation_TaxResIndem_Q12412 tf_Guidance_Sheet4" xfId="5604"/>
    <cellStyle name="_MOR - BDWY - 1+11_MOR - Australia -  EC - 1+11_By Country Detail 1Q10 041410pm FIN 18 revised per disc w Mary_BS_Separation_TaxResIndem_Q12412 tf_Restructuring &amp; Separation" xfId="5605"/>
    <cellStyle name="_MOR - BDWY - 1+11_MOR - Australia -  EC - 1+11_By Country Detail 1Q10 041410pm FIN 18 revised per disc w Mary_BS_Separation_TaxResIndem_Q12412 tf_Restructuring &amp; Separation_Guidance" xfId="5606"/>
    <cellStyle name="_MOR - BDWY - 1+11_MOR - Australia -  EC - 1+11_By Country Detail 1Q10 041410pm FIN 18 revised per disc w Mary_BS_Separation_TaxResIndem_Q12412 tf_Restructuring &amp; Separation_Guidance 2" xfId="5607"/>
    <cellStyle name="_MOR - BDWY - 1+11_MOR - Australia -  EC - 1+11_By Country Detail 1Q10 041410pm FIN 18 revised per disc w Mary_BS_Separation_TaxResIndem_Q12412 tf_Restructuring &amp; Separation_Guidance_BS retrieve" xfId="5608"/>
    <cellStyle name="_MOR - BDWY - 1+11_MOR - Australia -  EC - 1+11_By Country Detail 1Q10 041410pm FIN 18 revised per disc w Mary_BS_Separation_TaxResIndem_Q12412 tf_Restructuring &amp; Separation_Guidance_Free CF" xfId="5609"/>
    <cellStyle name="_MOR - BDWY - 1+11_MOR - Australia -  EC - 1+11_By Country Detail 1Q10 041410pm FIN 18 revised per disc w Mary_BS_Separation_TaxResIndem_Q12412 tf_Restructuring &amp; Separation_Guidance_P&amp;L Rec Qtr" xfId="5610"/>
    <cellStyle name="_MOR - BDWY - 1+11_MOR - Australia -  EC - 1+11_By Country Detail 1Q10 041410pm FIN 18 revised per disc w Mary_BS_Separation_TaxResIndem_Q12412 tf_Restructuring &amp; Separation_Guidance_Sheet1" xfId="5611"/>
    <cellStyle name="_MOR - BDWY - 1+11_MOR - Australia -  EC - 1+11_By Country Detail 1Q10 041410pm FIN 18 revised per disc w Mary_BS_Separation_TaxResIndem_Q12412 tf_Restructuring &amp; Separation_Guidance_Sheet2" xfId="5612"/>
    <cellStyle name="_MOR - BDWY - 1+11_MOR - Australia -  EC - 1+11_By Country Detail 1Q10 041410pm FIN 18 revised per disc w Mary_BS_Separation_TaxResIndem_Q12412 tf_Restructuring &amp; Separation_Guidance_Sheet3" xfId="5613"/>
    <cellStyle name="_MOR - BDWY - 1+11_MOR - Australia -  EC - 1+11_By Country Detail 1Q10 041410pm FIN 18 revised per disc w Mary_BS_Separation_TaxResIndem_Q12412 tf_Restructuring &amp; Separation_Guidance_Sheet4" xfId="5614"/>
    <cellStyle name="_MOR - BDWY - 1+11_MOR - Australia -  EC - 1+11_By Country Detail 1Q10 041410pm FIN 18 revised per disc w Mary_Guidance" xfId="5615"/>
    <cellStyle name="_MOR - BDWY - 1+11_MOR - Australia -  EC - 1+11_By Country Detail 1Q10 041410pm FIN 18 revised per disc w Mary_Guidance 2" xfId="5616"/>
    <cellStyle name="_MOR - BDWY - 1+11_MOR - Australia -  EC - 1+11_By Country Detail 1Q10 041410pm FIN 18 revised per disc w Mary_Guidance_BS retrieve" xfId="5617"/>
    <cellStyle name="_MOR - BDWY - 1+11_MOR - Australia -  EC - 1+11_By Country Detail 1Q10 041410pm FIN 18 revised per disc w Mary_Guidance_Free CF" xfId="5618"/>
    <cellStyle name="_MOR - BDWY - 1+11_MOR - Australia -  EC - 1+11_By Country Detail 1Q10 041410pm FIN 18 revised per disc w Mary_Guidance_P&amp;L Rec Qtr" xfId="5619"/>
    <cellStyle name="_MOR - BDWY - 1+11_MOR - Australia -  EC - 1+11_By Country Detail 1Q10 041410pm FIN 18 revised per disc w Mary_Guidance_Sheet1" xfId="5620"/>
    <cellStyle name="_MOR - BDWY - 1+11_MOR - Australia -  EC - 1+11_By Country Detail 1Q10 041410pm FIN 18 revised per disc w Mary_Guidance_Sheet2" xfId="5621"/>
    <cellStyle name="_MOR - BDWY - 1+11_MOR - Australia -  EC - 1+11_By Country Detail 1Q10 041410pm FIN 18 revised per disc w Mary_Guidance_Sheet3" xfId="5622"/>
    <cellStyle name="_MOR - BDWY - 1+11_MOR - Australia -  EC - 1+11_By Country Detail 1Q10 041410pm FIN 18 revised per disc w Mary_Guidance_Sheet4" xfId="5623"/>
    <cellStyle name="_MOR - BDWY - 1+11_MOR - Australia -  EC - 1+11_By Country Detail 1Q10 041410pm FIN 18 revised per disc w Mary_II.8. Sep&amp;Discrete" xfId="5624"/>
    <cellStyle name="_MOR - BDWY - 1+11_MOR - Australia -  EC - 1+11_By Country Detail 1Q10 041410pm FIN 18 revised per disc w Mary_II.8. Sep&amp;Discrete_Guidance" xfId="5625"/>
    <cellStyle name="_MOR - BDWY - 1+11_MOR - Australia -  EC - 1+11_By Country Detail 1Q10 041410pm FIN 18 revised per disc w Mary_II.8. Sep&amp;Discrete_Guidance 2" xfId="5626"/>
    <cellStyle name="_MOR - BDWY - 1+11_MOR - Australia -  EC - 1+11_By Country Detail 1Q10 041410pm FIN 18 revised per disc w Mary_II.8. Sep&amp;Discrete_Guidance_BS retrieve" xfId="5627"/>
    <cellStyle name="_MOR - BDWY - 1+11_MOR - Australia -  EC - 1+11_By Country Detail 1Q10 041410pm FIN 18 revised per disc w Mary_II.8. Sep&amp;Discrete_Guidance_Free CF" xfId="5628"/>
    <cellStyle name="_MOR - BDWY - 1+11_MOR - Australia -  EC - 1+11_By Country Detail 1Q10 041410pm FIN 18 revised per disc w Mary_II.8. Sep&amp;Discrete_Guidance_P&amp;L Rec Qtr" xfId="5629"/>
    <cellStyle name="_MOR - BDWY - 1+11_MOR - Australia -  EC - 1+11_By Country Detail 1Q10 041410pm FIN 18 revised per disc w Mary_II.8. Sep&amp;Discrete_Guidance_Sheet1" xfId="5630"/>
    <cellStyle name="_MOR - BDWY - 1+11_MOR - Australia -  EC - 1+11_By Country Detail 1Q10 041410pm FIN 18 revised per disc w Mary_II.8. Sep&amp;Discrete_Guidance_Sheet2" xfId="5631"/>
    <cellStyle name="_MOR - BDWY - 1+11_MOR - Australia -  EC - 1+11_By Country Detail 1Q10 041410pm FIN 18 revised per disc w Mary_II.8. Sep&amp;Discrete_Guidance_Sheet3" xfId="5632"/>
    <cellStyle name="_MOR - BDWY - 1+11_MOR - Australia -  EC - 1+11_By Country Detail 1Q10 041410pm FIN 18 revised per disc w Mary_II.8. Sep&amp;Discrete_Guidance_Sheet4" xfId="5633"/>
    <cellStyle name="_MOR - BDWY - 1+11_MOR - Australia -  EC - 1+11_By Country Detail 1Q10 041410pm FIN 18 revised per disc w Mary_Restructuring &amp; Separation" xfId="5634"/>
    <cellStyle name="_MOR - BDWY - 1+11_MOR - Australia -  EC - 1+11_By Country Detail 1Q10 041410pm FIN 18 revised per disc w Mary_Restructuring &amp; Separation_Guidance" xfId="5635"/>
    <cellStyle name="_MOR - BDWY - 1+11_MOR - Australia -  EC - 1+11_By Country Detail 1Q10 041410pm FIN 18 revised per disc w Mary_Restructuring &amp; Separation_Guidance 2" xfId="5636"/>
    <cellStyle name="_MOR - BDWY - 1+11_MOR - Australia -  EC - 1+11_By Country Detail 1Q10 041410pm FIN 18 revised per disc w Mary_Restructuring &amp; Separation_Guidance_BS retrieve" xfId="5637"/>
    <cellStyle name="_MOR - BDWY - 1+11_MOR - Australia -  EC - 1+11_By Country Detail 1Q10 041410pm FIN 18 revised per disc w Mary_Restructuring &amp; Separation_Guidance_Free CF" xfId="5638"/>
    <cellStyle name="_MOR - BDWY - 1+11_MOR - Australia -  EC - 1+11_By Country Detail 1Q10 041410pm FIN 18 revised per disc w Mary_Restructuring &amp; Separation_Guidance_P&amp;L Rec Qtr" xfId="5639"/>
    <cellStyle name="_MOR - BDWY - 1+11_MOR - Australia -  EC - 1+11_By Country Detail 1Q10 041410pm FIN 18 revised per disc w Mary_Restructuring &amp; Separation_Guidance_Sheet1" xfId="5640"/>
    <cellStyle name="_MOR - BDWY - 1+11_MOR - Australia -  EC - 1+11_By Country Detail 1Q10 041410pm FIN 18 revised per disc w Mary_Restructuring &amp; Separation_Guidance_Sheet2" xfId="5641"/>
    <cellStyle name="_MOR - BDWY - 1+11_MOR - Australia -  EC - 1+11_By Country Detail 1Q10 041410pm FIN 18 revised per disc w Mary_Restructuring &amp; Separation_Guidance_Sheet3" xfId="5642"/>
    <cellStyle name="_MOR - BDWY - 1+11_MOR - Australia -  EC - 1+11_By Country Detail 1Q10 041410pm FIN 18 revised per disc w Mary_Restructuring &amp; Separation_Guidance_Sheet4" xfId="5643"/>
    <cellStyle name="_MOR - BDWY - 1+11_MOR - Australia -  EC - 1+11_Guidance" xfId="5644"/>
    <cellStyle name="_MOR - BDWY - 1+11_MOR - Australia -  EC - 1+11_Guidance 2" xfId="5645"/>
    <cellStyle name="_MOR - BDWY - 1+11_MOR - Australia -  EC - 1+11_Guidance_BS retrieve" xfId="5646"/>
    <cellStyle name="_MOR - BDWY - 1+11_MOR - Australia -  EC - 1+11_Guidance_Free CF" xfId="5647"/>
    <cellStyle name="_MOR - BDWY - 1+11_MOR - Australia -  EC - 1+11_Guidance_P&amp;L Rec Qtr" xfId="5648"/>
    <cellStyle name="_MOR - BDWY - 1+11_MOR - Australia -  EC - 1+11_Guidance_Sheet1" xfId="5649"/>
    <cellStyle name="_MOR - BDWY - 1+11_MOR - Australia -  EC - 1+11_Guidance_Sheet2" xfId="5650"/>
    <cellStyle name="_MOR - BDWY - 1+11_MOR - Australia -  EC - 1+11_Guidance_Sheet3" xfId="5651"/>
    <cellStyle name="_MOR - BDWY - 1+11_MOR - Australia -  EC - 1+11_Guidance_Sheet4" xfId="5652"/>
    <cellStyle name="_MOR - BDWY - 1+11_MOR - Australia -  EC - 1+11_II.4. RawMaterials" xfId="5653"/>
    <cellStyle name="_MOR - BDWY - 1+11_MOR - Australia -  EC - 1+11_II.4. RawMaterials 2" xfId="5654"/>
    <cellStyle name="_MOR - BDWY - 1+11_MOR - Australia -  EC - 1+11_II.4. RawMaterials_BS retrieve" xfId="5655"/>
    <cellStyle name="_MOR - BDWY - 1+11_MOR - Australia -  EC - 1+11_II.4. RawMaterials_Free CF" xfId="5656"/>
    <cellStyle name="_MOR - BDWY - 1+11_MOR - Australia -  EC - 1+11_II.4. RawMaterials_P&amp;L Rec Qtr" xfId="5657"/>
    <cellStyle name="_MOR - BDWY - 1+11_MOR - Australia -  EC - 1+11_II.4. RawMaterials_Sheet1" xfId="5658"/>
    <cellStyle name="_MOR - BDWY - 1+11_MOR - Australia -  EC - 1+11_II.4. RawMaterials_Sheet2" xfId="5659"/>
    <cellStyle name="_MOR - BDWY - 1+11_MOR - Australia -  EC - 1+11_II.4. RawMaterials_Sheet3" xfId="5660"/>
    <cellStyle name="_MOR - BDWY - 1+11_MOR - Australia -  EC - 1+11_II.4. RawMaterials_Sheet4" xfId="5661"/>
    <cellStyle name="_MOR - BDWY - 1+11_MOR - Australia -  EC - 1+11_II.5. RawMaterials" xfId="5662"/>
    <cellStyle name="_MOR - BDWY - 1+11_MOR - Australia -  EC - 1+11_II.5. RawMaterials 2" xfId="5663"/>
    <cellStyle name="_MOR - BDWY - 1+11_MOR - Australia -  EC - 1+11_II.5. RawMaterials_BS retrieve" xfId="5664"/>
    <cellStyle name="_MOR - BDWY - 1+11_MOR - Australia -  EC - 1+11_II.5. RawMaterials_Free CF" xfId="5665"/>
    <cellStyle name="_MOR - BDWY - 1+11_MOR - Australia -  EC - 1+11_II.5. RawMaterials_Guidance" xfId="5666"/>
    <cellStyle name="_MOR - BDWY - 1+11_MOR - Australia -  EC - 1+11_II.5. RawMaterials_Guidance 2" xfId="5667"/>
    <cellStyle name="_MOR - BDWY - 1+11_MOR - Australia -  EC - 1+11_II.5. RawMaterials_Guidance_BS retrieve" xfId="5668"/>
    <cellStyle name="_MOR - BDWY - 1+11_MOR - Australia -  EC - 1+11_II.5. RawMaterials_Guidance_Free CF" xfId="5669"/>
    <cellStyle name="_MOR - BDWY - 1+11_MOR - Australia -  EC - 1+11_II.5. RawMaterials_Guidance_P&amp;L Rec Qtr" xfId="5670"/>
    <cellStyle name="_MOR - BDWY - 1+11_MOR - Australia -  EC - 1+11_II.5. RawMaterials_Guidance_Sheet1" xfId="5671"/>
    <cellStyle name="_MOR - BDWY - 1+11_MOR - Australia -  EC - 1+11_II.5. RawMaterials_Guidance_Sheet2" xfId="5672"/>
    <cellStyle name="_MOR - BDWY - 1+11_MOR - Australia -  EC - 1+11_II.5. RawMaterials_Guidance_Sheet3" xfId="5673"/>
    <cellStyle name="_MOR - BDWY - 1+11_MOR - Australia -  EC - 1+11_II.5. RawMaterials_Guidance_Sheet4" xfId="5674"/>
    <cellStyle name="_MOR - BDWY - 1+11_MOR - Australia -  EC - 1+11_II.5. RawMaterials_P&amp;L Rec Qtr" xfId="5675"/>
    <cellStyle name="_MOR - BDWY - 1+11_MOR - Australia -  EC - 1+11_II.5. RawMaterials_Sheet1" xfId="5676"/>
    <cellStyle name="_MOR - BDWY - 1+11_MOR - Australia -  EC - 1+11_II.5. RawMaterials_Sheet2" xfId="5677"/>
    <cellStyle name="_MOR - BDWY - 1+11_MOR - Australia -  EC - 1+11_II.5. RawMaterials_Sheet3" xfId="5678"/>
    <cellStyle name="_MOR - BDWY - 1+11_MOR - Australia -  EC - 1+11_II.5. RawMaterials_Sheet4" xfId="5679"/>
    <cellStyle name="_MOR - BDWY - 1+11_MOR - Australia -  EC - 1+11_II.5. RM Volume Sensitivities" xfId="5680"/>
    <cellStyle name="_MOR - BDWY - 1+11_MOR - Australia -  EC - 1+11_II.5. RM Volume Sensitivities 2" xfId="5681"/>
    <cellStyle name="_MOR - BDWY - 1+11_MOR - Australia -  EC - 1+11_II.5. RM Volume Sensitivities_BS retrieve" xfId="5682"/>
    <cellStyle name="_MOR - BDWY - 1+11_MOR - Australia -  EC - 1+11_II.5. RM Volume Sensitivities_Free CF" xfId="5683"/>
    <cellStyle name="_MOR - BDWY - 1+11_MOR - Australia -  EC - 1+11_II.5. RM Volume Sensitivities_P&amp;L Rec Qtr" xfId="5684"/>
    <cellStyle name="_MOR - BDWY - 1+11_MOR - Australia -  EC - 1+11_II.5. RM Volume Sensitivities_Sheet1" xfId="5685"/>
    <cellStyle name="_MOR - BDWY - 1+11_MOR - Australia -  EC - 1+11_II.5. RM Volume Sensitivities_Sheet2" xfId="5686"/>
    <cellStyle name="_MOR - BDWY - 1+11_MOR - Australia -  EC - 1+11_II.5. RM Volume Sensitivities_Sheet3" xfId="5687"/>
    <cellStyle name="_MOR - BDWY - 1+11_MOR - Australia -  EC - 1+11_II.5. RM Volume Sensitivities_Sheet4" xfId="5688"/>
    <cellStyle name="_MOR - BDWY - 1+11_MOR - Australia -  EC - 1+11_II.8. Sep&amp;Discrete" xfId="5689"/>
    <cellStyle name="_MOR - BDWY - 1+11_MOR - Australia -  EC - 1+11_II.8. Sep&amp;Discrete_Guidance" xfId="5690"/>
    <cellStyle name="_MOR - BDWY - 1+11_MOR - Australia -  EC - 1+11_II.8. Sep&amp;Discrete_Guidance 2" xfId="5691"/>
    <cellStyle name="_MOR - BDWY - 1+11_MOR - Australia -  EC - 1+11_II.8. Sep&amp;Discrete_Guidance_BS retrieve" xfId="5692"/>
    <cellStyle name="_MOR - BDWY - 1+11_MOR - Australia -  EC - 1+11_II.8. Sep&amp;Discrete_Guidance_Free CF" xfId="5693"/>
    <cellStyle name="_MOR - BDWY - 1+11_MOR - Australia -  EC - 1+11_II.8. Sep&amp;Discrete_Guidance_P&amp;L Rec Qtr" xfId="5694"/>
    <cellStyle name="_MOR - BDWY - 1+11_MOR - Australia -  EC - 1+11_II.8. Sep&amp;Discrete_Guidance_Sheet1" xfId="5695"/>
    <cellStyle name="_MOR - BDWY - 1+11_MOR - Australia -  EC - 1+11_II.8. Sep&amp;Discrete_Guidance_Sheet2" xfId="5696"/>
    <cellStyle name="_MOR - BDWY - 1+11_MOR - Australia -  EC - 1+11_II.8. Sep&amp;Discrete_Guidance_Sheet3" xfId="5697"/>
    <cellStyle name="_MOR - BDWY - 1+11_MOR - Australia -  EC - 1+11_II.8. Sep&amp;Discrete_Guidance_Sheet4" xfId="5698"/>
    <cellStyle name="_MOR - BDWY - 1+11_MOR - Australia -  EC - 1+11_Restructuring &amp; Separation" xfId="5699"/>
    <cellStyle name="_MOR - BDWY - 1+11_MOR - Australia -  EC - 1+11_Restructuring &amp; Separation_Guidance" xfId="5700"/>
    <cellStyle name="_MOR - BDWY - 1+11_MOR - Australia -  EC - 1+11_Restructuring &amp; Separation_Guidance 2" xfId="5701"/>
    <cellStyle name="_MOR - BDWY - 1+11_MOR - Australia -  EC - 1+11_Restructuring &amp; Separation_Guidance_BS retrieve" xfId="5702"/>
    <cellStyle name="_MOR - BDWY - 1+11_MOR - Australia -  EC - 1+11_Restructuring &amp; Separation_Guidance_Free CF" xfId="5703"/>
    <cellStyle name="_MOR - BDWY - 1+11_MOR - Australia -  EC - 1+11_Restructuring &amp; Separation_Guidance_P&amp;L Rec Qtr" xfId="5704"/>
    <cellStyle name="_MOR - BDWY - 1+11_MOR - Australia -  EC - 1+11_Restructuring &amp; Separation_Guidance_Sheet1" xfId="5705"/>
    <cellStyle name="_MOR - BDWY - 1+11_MOR - Australia -  EC - 1+11_Restructuring &amp; Separation_Guidance_Sheet2" xfId="5706"/>
    <cellStyle name="_MOR - BDWY - 1+11_MOR - Australia -  EC - 1+11_Restructuring &amp; Separation_Guidance_Sheet3" xfId="5707"/>
    <cellStyle name="_MOR - BDWY - 1+11_MOR - Australia -  EC - 1+11_Restructuring &amp; Separation_Guidance_Sheet4" xfId="5708"/>
    <cellStyle name="_MOR - BDWY - 1+11_MOR - Australia -  EC - 1+11_Restructuring_Separation_TAX_JuneFC2010 tf" xfId="5709"/>
    <cellStyle name="_MOR - BDWY - 1+11_MOR - Australia -  EC - 1+11_Restructuring_Separation_TAX_JuneFC2010 tf_BS_Separation_TaxResIndem_Q12412 tf" xfId="5710"/>
    <cellStyle name="_MOR - BDWY - 1+11_MOR - Australia -  EC - 1+11_Restructuring_Separation_TAX_JuneFC2010 tf_BS_Separation_TaxResIndem_Q12412 tf_Guidance" xfId="5711"/>
    <cellStyle name="_MOR - BDWY - 1+11_MOR - Australia -  EC - 1+11_Restructuring_Separation_TAX_JuneFC2010 tf_BS_Separation_TaxResIndem_Q12412 tf_Guidance 2" xfId="5712"/>
    <cellStyle name="_MOR - BDWY - 1+11_MOR - Australia -  EC - 1+11_Restructuring_Separation_TAX_JuneFC2010 tf_BS_Separation_TaxResIndem_Q12412 tf_Guidance_BS retrieve" xfId="5713"/>
    <cellStyle name="_MOR - BDWY - 1+11_MOR - Australia -  EC - 1+11_Restructuring_Separation_TAX_JuneFC2010 tf_BS_Separation_TaxResIndem_Q12412 tf_Guidance_Free CF" xfId="5714"/>
    <cellStyle name="_MOR - BDWY - 1+11_MOR - Australia -  EC - 1+11_Restructuring_Separation_TAX_JuneFC2010 tf_BS_Separation_TaxResIndem_Q12412 tf_Guidance_P&amp;L Rec Qtr" xfId="5715"/>
    <cellStyle name="_MOR - BDWY - 1+11_MOR - Australia -  EC - 1+11_Restructuring_Separation_TAX_JuneFC2010 tf_BS_Separation_TaxResIndem_Q12412 tf_Guidance_Sheet1" xfId="5716"/>
    <cellStyle name="_MOR - BDWY - 1+11_MOR - Australia -  EC - 1+11_Restructuring_Separation_TAX_JuneFC2010 tf_BS_Separation_TaxResIndem_Q12412 tf_Guidance_Sheet2" xfId="5717"/>
    <cellStyle name="_MOR - BDWY - 1+11_MOR - Australia -  EC - 1+11_Restructuring_Separation_TAX_JuneFC2010 tf_BS_Separation_TaxResIndem_Q12412 tf_Guidance_Sheet3" xfId="5718"/>
    <cellStyle name="_MOR - BDWY - 1+11_MOR - Australia -  EC - 1+11_Restructuring_Separation_TAX_JuneFC2010 tf_BS_Separation_TaxResIndem_Q12412 tf_Guidance_Sheet4" xfId="5719"/>
    <cellStyle name="_MOR - BDWY - 1+11_MOR - Australia -  EC - 1+11_Restructuring_Separation_TAX_JuneFC2010 tf_BS_Separation_TaxResIndem_Q12412 tf_Restructuring &amp; Separation" xfId="5720"/>
    <cellStyle name="_MOR - BDWY - 1+11_MOR - Australia -  EC - 1+11_Restructuring_Separation_TAX_JuneFC2010 tf_BS_Separation_TaxResIndem_Q12412 tf_Restructuring &amp; Separation_Guidance" xfId="5721"/>
    <cellStyle name="_MOR - BDWY - 1+11_MOR - Australia -  EC - 1+11_Restructuring_Separation_TAX_JuneFC2010 tf_BS_Separation_TaxResIndem_Q12412 tf_Restructuring &amp; Separation_Guidance 2" xfId="5722"/>
    <cellStyle name="_MOR - BDWY - 1+11_MOR - Australia -  EC - 1+11_Restructuring_Separation_TAX_JuneFC2010 tf_BS_Separation_TaxResIndem_Q12412 tf_Restructuring &amp; Separation_Guidance_BS retrieve" xfId="5723"/>
    <cellStyle name="_MOR - BDWY - 1+11_MOR - Australia -  EC - 1+11_Restructuring_Separation_TAX_JuneFC2010 tf_BS_Separation_TaxResIndem_Q12412 tf_Restructuring &amp; Separation_Guidance_Free CF" xfId="5724"/>
    <cellStyle name="_MOR - BDWY - 1+11_MOR - Australia -  EC - 1+11_Restructuring_Separation_TAX_JuneFC2010 tf_BS_Separation_TaxResIndem_Q12412 tf_Restructuring &amp; Separation_Guidance_P&amp;L Rec Qtr" xfId="5725"/>
    <cellStyle name="_MOR - BDWY - 1+11_MOR - Australia -  EC - 1+11_Restructuring_Separation_TAX_JuneFC2010 tf_BS_Separation_TaxResIndem_Q12412 tf_Restructuring &amp; Separation_Guidance_Sheet1" xfId="5726"/>
    <cellStyle name="_MOR - BDWY - 1+11_MOR - Australia -  EC - 1+11_Restructuring_Separation_TAX_JuneFC2010 tf_BS_Separation_TaxResIndem_Q12412 tf_Restructuring &amp; Separation_Guidance_Sheet2" xfId="5727"/>
    <cellStyle name="_MOR - BDWY - 1+11_MOR - Australia -  EC - 1+11_Restructuring_Separation_TAX_JuneFC2010 tf_BS_Separation_TaxResIndem_Q12412 tf_Restructuring &amp; Separation_Guidance_Sheet3" xfId="5728"/>
    <cellStyle name="_MOR - BDWY - 1+11_MOR - Australia -  EC - 1+11_Restructuring_Separation_TAX_JuneFC2010 tf_BS_Separation_TaxResIndem_Q12412 tf_Restructuring &amp; Separation_Guidance_Sheet4" xfId="5729"/>
    <cellStyle name="_MOR - BDWY - 1+11_MOR - Australia -  EC - 1+11_Restructuring_Separation_TAX_JuneFC2010 tf_Guidance" xfId="5730"/>
    <cellStyle name="_MOR - BDWY - 1+11_MOR - Australia -  EC - 1+11_Restructuring_Separation_TAX_JuneFC2010 tf_Guidance 2" xfId="5731"/>
    <cellStyle name="_MOR - BDWY - 1+11_MOR - Australia -  EC - 1+11_Restructuring_Separation_TAX_JuneFC2010 tf_Guidance_BS retrieve" xfId="5732"/>
    <cellStyle name="_MOR - BDWY - 1+11_MOR - Australia -  EC - 1+11_Restructuring_Separation_TAX_JuneFC2010 tf_Guidance_Free CF" xfId="5733"/>
    <cellStyle name="_MOR - BDWY - 1+11_MOR - Australia -  EC - 1+11_Restructuring_Separation_TAX_JuneFC2010 tf_Guidance_P&amp;L Rec Qtr" xfId="5734"/>
    <cellStyle name="_MOR - BDWY - 1+11_MOR - Australia -  EC - 1+11_Restructuring_Separation_TAX_JuneFC2010 tf_Guidance_Sheet1" xfId="5735"/>
    <cellStyle name="_MOR - BDWY - 1+11_MOR - Australia -  EC - 1+11_Restructuring_Separation_TAX_JuneFC2010 tf_Guidance_Sheet2" xfId="5736"/>
    <cellStyle name="_MOR - BDWY - 1+11_MOR - Australia -  EC - 1+11_Restructuring_Separation_TAX_JuneFC2010 tf_Guidance_Sheet3" xfId="5737"/>
    <cellStyle name="_MOR - BDWY - 1+11_MOR - Australia -  EC - 1+11_Restructuring_Separation_TAX_JuneFC2010 tf_Guidance_Sheet4" xfId="5738"/>
    <cellStyle name="_MOR - BDWY - 1+11_MOR - Australia -  EC - 1+11_Restructuring_Separation_TAX_JuneFC2010 tf_II.8. Sep&amp;Discrete" xfId="5739"/>
    <cellStyle name="_MOR - BDWY - 1+11_MOR - Australia -  EC - 1+11_Restructuring_Separation_TAX_JuneFC2010 tf_II.8. Sep&amp;Discrete_Guidance" xfId="5740"/>
    <cellStyle name="_MOR - BDWY - 1+11_MOR - Australia -  EC - 1+11_Restructuring_Separation_TAX_JuneFC2010 tf_II.8. Sep&amp;Discrete_Guidance 2" xfId="5741"/>
    <cellStyle name="_MOR - BDWY - 1+11_MOR - Australia -  EC - 1+11_Restructuring_Separation_TAX_JuneFC2010 tf_II.8. Sep&amp;Discrete_Guidance_BS retrieve" xfId="5742"/>
    <cellStyle name="_MOR - BDWY - 1+11_MOR - Australia -  EC - 1+11_Restructuring_Separation_TAX_JuneFC2010 tf_II.8. Sep&amp;Discrete_Guidance_Free CF" xfId="5743"/>
    <cellStyle name="_MOR - BDWY - 1+11_MOR - Australia -  EC - 1+11_Restructuring_Separation_TAX_JuneFC2010 tf_II.8. Sep&amp;Discrete_Guidance_P&amp;L Rec Qtr" xfId="5744"/>
    <cellStyle name="_MOR - BDWY - 1+11_MOR - Australia -  EC - 1+11_Restructuring_Separation_TAX_JuneFC2010 tf_II.8. Sep&amp;Discrete_Guidance_Sheet1" xfId="5745"/>
    <cellStyle name="_MOR - BDWY - 1+11_MOR - Australia -  EC - 1+11_Restructuring_Separation_TAX_JuneFC2010 tf_II.8. Sep&amp;Discrete_Guidance_Sheet2" xfId="5746"/>
    <cellStyle name="_MOR - BDWY - 1+11_MOR - Australia -  EC - 1+11_Restructuring_Separation_TAX_JuneFC2010 tf_II.8. Sep&amp;Discrete_Guidance_Sheet3" xfId="5747"/>
    <cellStyle name="_MOR - BDWY - 1+11_MOR - Australia -  EC - 1+11_Restructuring_Separation_TAX_JuneFC2010 tf_II.8. Sep&amp;Discrete_Guidance_Sheet4" xfId="5748"/>
    <cellStyle name="_MOR - BDWY - 1+11_MOR - Australia -  EC - 1+11_Restructuring_Separation_TAX_JuneFC2010 tf_Restructuring &amp; Separation" xfId="5749"/>
    <cellStyle name="_MOR - BDWY - 1+11_MOR - Australia -  EC - 1+11_Restructuring_Separation_TAX_JuneFC2010 tf_Restructuring &amp; Separation_Guidance" xfId="5750"/>
    <cellStyle name="_MOR - BDWY - 1+11_MOR - Australia -  EC - 1+11_Restructuring_Separation_TAX_JuneFC2010 tf_Restructuring &amp; Separation_Guidance 2" xfId="5751"/>
    <cellStyle name="_MOR - BDWY - 1+11_MOR - Australia -  EC - 1+11_Restructuring_Separation_TAX_JuneFC2010 tf_Restructuring &amp; Separation_Guidance_BS retrieve" xfId="5752"/>
    <cellStyle name="_MOR - BDWY - 1+11_MOR - Australia -  EC - 1+11_Restructuring_Separation_TAX_JuneFC2010 tf_Restructuring &amp; Separation_Guidance_Free CF" xfId="5753"/>
    <cellStyle name="_MOR - BDWY - 1+11_MOR - Australia -  EC - 1+11_Restructuring_Separation_TAX_JuneFC2010 tf_Restructuring &amp; Separation_Guidance_P&amp;L Rec Qtr" xfId="5754"/>
    <cellStyle name="_MOR - BDWY - 1+11_MOR - Australia -  EC - 1+11_Restructuring_Separation_TAX_JuneFC2010 tf_Restructuring &amp; Separation_Guidance_Sheet1" xfId="5755"/>
    <cellStyle name="_MOR - BDWY - 1+11_MOR - Australia -  EC - 1+11_Restructuring_Separation_TAX_JuneFC2010 tf_Restructuring &amp; Separation_Guidance_Sheet2" xfId="5756"/>
    <cellStyle name="_MOR - BDWY - 1+11_MOR - Australia -  EC - 1+11_Restructuring_Separation_TAX_JuneFC2010 tf_Restructuring &amp; Separation_Guidance_Sheet3" xfId="5757"/>
    <cellStyle name="_MOR - BDWY - 1+11_MOR - Australia -  EC - 1+11_Restructuring_Separation_TAX_JuneFC2010 tf_Restructuring &amp; Separation_Guidance_Sheet4" xfId="5758"/>
    <cellStyle name="_MOR - BDWY - 1+11_MOR - Australia -  EC - 2+10" xfId="5759"/>
    <cellStyle name="_MOR - BDWY - 1+11_MOR - Australia -  EC - 2+10_BS_Separation_TaxResIndem_Q12412 tf" xfId="5760"/>
    <cellStyle name="_MOR - BDWY - 1+11_MOR - Australia -  EC - 2+10_BS_Separation_TaxResIndem_Q12412 tf_Guidance" xfId="5761"/>
    <cellStyle name="_MOR - BDWY - 1+11_MOR - Australia -  EC - 2+10_BS_Separation_TaxResIndem_Q12412 tf_Guidance 2" xfId="5762"/>
    <cellStyle name="_MOR - BDWY - 1+11_MOR - Australia -  EC - 2+10_BS_Separation_TaxResIndem_Q12412 tf_Guidance_BS retrieve" xfId="5763"/>
    <cellStyle name="_MOR - BDWY - 1+11_MOR - Australia -  EC - 2+10_BS_Separation_TaxResIndem_Q12412 tf_Guidance_Free CF" xfId="5764"/>
    <cellStyle name="_MOR - BDWY - 1+11_MOR - Australia -  EC - 2+10_BS_Separation_TaxResIndem_Q12412 tf_Guidance_P&amp;L Rec Qtr" xfId="5765"/>
    <cellStyle name="_MOR - BDWY - 1+11_MOR - Australia -  EC - 2+10_BS_Separation_TaxResIndem_Q12412 tf_Guidance_Sheet1" xfId="5766"/>
    <cellStyle name="_MOR - BDWY - 1+11_MOR - Australia -  EC - 2+10_BS_Separation_TaxResIndem_Q12412 tf_Guidance_Sheet2" xfId="5767"/>
    <cellStyle name="_MOR - BDWY - 1+11_MOR - Australia -  EC - 2+10_BS_Separation_TaxResIndem_Q12412 tf_Guidance_Sheet3" xfId="5768"/>
    <cellStyle name="_MOR - BDWY - 1+11_MOR - Australia -  EC - 2+10_BS_Separation_TaxResIndem_Q12412 tf_Guidance_Sheet4" xfId="5769"/>
    <cellStyle name="_MOR - BDWY - 1+11_MOR - Australia -  EC - 2+10_BS_Separation_TaxResIndem_Q12412 tf_Restructuring &amp; Separation" xfId="5770"/>
    <cellStyle name="_MOR - BDWY - 1+11_MOR - Australia -  EC - 2+10_BS_Separation_TaxResIndem_Q12412 tf_Restructuring &amp; Separation_Guidance" xfId="5771"/>
    <cellStyle name="_MOR - BDWY - 1+11_MOR - Australia -  EC - 2+10_BS_Separation_TaxResIndem_Q12412 tf_Restructuring &amp; Separation_Guidance 2" xfId="5772"/>
    <cellStyle name="_MOR - BDWY - 1+11_MOR - Australia -  EC - 2+10_BS_Separation_TaxResIndem_Q12412 tf_Restructuring &amp; Separation_Guidance_BS retrieve" xfId="5773"/>
    <cellStyle name="_MOR - BDWY - 1+11_MOR - Australia -  EC - 2+10_BS_Separation_TaxResIndem_Q12412 tf_Restructuring &amp; Separation_Guidance_Free CF" xfId="5774"/>
    <cellStyle name="_MOR - BDWY - 1+11_MOR - Australia -  EC - 2+10_BS_Separation_TaxResIndem_Q12412 tf_Restructuring &amp; Separation_Guidance_P&amp;L Rec Qtr" xfId="5775"/>
    <cellStyle name="_MOR - BDWY - 1+11_MOR - Australia -  EC - 2+10_BS_Separation_TaxResIndem_Q12412 tf_Restructuring &amp; Separation_Guidance_Sheet1" xfId="5776"/>
    <cellStyle name="_MOR - BDWY - 1+11_MOR - Australia -  EC - 2+10_BS_Separation_TaxResIndem_Q12412 tf_Restructuring &amp; Separation_Guidance_Sheet2" xfId="5777"/>
    <cellStyle name="_MOR - BDWY - 1+11_MOR - Australia -  EC - 2+10_BS_Separation_TaxResIndem_Q12412 tf_Restructuring &amp; Separation_Guidance_Sheet3" xfId="5778"/>
    <cellStyle name="_MOR - BDWY - 1+11_MOR - Australia -  EC - 2+10_BS_Separation_TaxResIndem_Q12412 tf_Restructuring &amp; Separation_Guidance_Sheet4" xfId="5779"/>
    <cellStyle name="_MOR - BDWY - 1+11_MOR - Australia -  EC - 2+10_By Country Detail 1Q10 041410pm FIN 18 revised per disc w Mary" xfId="5780"/>
    <cellStyle name="_MOR - BDWY - 1+11_MOR - Australia -  EC - 2+10_By Country Detail 1Q10 041410pm FIN 18 revised per disc w Mary_BS_Separation_TaxResIndem_Q12412 tf" xfId="5781"/>
    <cellStyle name="_MOR - BDWY - 1+11_MOR - Australia -  EC - 2+10_By Country Detail 1Q10 041410pm FIN 18 revised per disc w Mary_BS_Separation_TaxResIndem_Q12412 tf_Guidance" xfId="5782"/>
    <cellStyle name="_MOR - BDWY - 1+11_MOR - Australia -  EC - 2+10_By Country Detail 1Q10 041410pm FIN 18 revised per disc w Mary_BS_Separation_TaxResIndem_Q12412 tf_Guidance 2" xfId="5783"/>
    <cellStyle name="_MOR - BDWY - 1+11_MOR - Australia -  EC - 2+10_By Country Detail 1Q10 041410pm FIN 18 revised per disc w Mary_BS_Separation_TaxResIndem_Q12412 tf_Guidance_BS retrieve" xfId="5784"/>
    <cellStyle name="_MOR - BDWY - 1+11_MOR - Australia -  EC - 2+10_By Country Detail 1Q10 041410pm FIN 18 revised per disc w Mary_BS_Separation_TaxResIndem_Q12412 tf_Guidance_Free CF" xfId="5785"/>
    <cellStyle name="_MOR - BDWY - 1+11_MOR - Australia -  EC - 2+10_By Country Detail 1Q10 041410pm FIN 18 revised per disc w Mary_BS_Separation_TaxResIndem_Q12412 tf_Guidance_P&amp;L Rec Qtr" xfId="5786"/>
    <cellStyle name="_MOR - BDWY - 1+11_MOR - Australia -  EC - 2+10_By Country Detail 1Q10 041410pm FIN 18 revised per disc w Mary_BS_Separation_TaxResIndem_Q12412 tf_Guidance_Sheet1" xfId="5787"/>
    <cellStyle name="_MOR - BDWY - 1+11_MOR - Australia -  EC - 2+10_By Country Detail 1Q10 041410pm FIN 18 revised per disc w Mary_BS_Separation_TaxResIndem_Q12412 tf_Guidance_Sheet2" xfId="5788"/>
    <cellStyle name="_MOR - BDWY - 1+11_MOR - Australia -  EC - 2+10_By Country Detail 1Q10 041410pm FIN 18 revised per disc w Mary_BS_Separation_TaxResIndem_Q12412 tf_Guidance_Sheet3" xfId="5789"/>
    <cellStyle name="_MOR - BDWY - 1+11_MOR - Australia -  EC - 2+10_By Country Detail 1Q10 041410pm FIN 18 revised per disc w Mary_BS_Separation_TaxResIndem_Q12412 tf_Guidance_Sheet4" xfId="5790"/>
    <cellStyle name="_MOR - BDWY - 1+11_MOR - Australia -  EC - 2+10_By Country Detail 1Q10 041410pm FIN 18 revised per disc w Mary_BS_Separation_TaxResIndem_Q12412 tf_Restructuring &amp; Separation" xfId="5791"/>
    <cellStyle name="_MOR - BDWY - 1+11_MOR - Australia -  EC - 2+10_By Country Detail 1Q10 041410pm FIN 18 revised per disc w Mary_BS_Separation_TaxResIndem_Q12412 tf_Restructuring &amp; Separation_Guidance" xfId="5792"/>
    <cellStyle name="_MOR - BDWY - 1+11_MOR - Australia -  EC - 2+10_By Country Detail 1Q10 041410pm FIN 18 revised per disc w Mary_BS_Separation_TaxResIndem_Q12412 tf_Restructuring &amp; Separation_Guidance 2" xfId="5793"/>
    <cellStyle name="_MOR - BDWY - 1+11_MOR - Australia -  EC - 2+10_By Country Detail 1Q10 041410pm FIN 18 revised per disc w Mary_BS_Separation_TaxResIndem_Q12412 tf_Restructuring &amp; Separation_Guidance_BS retrieve" xfId="5794"/>
    <cellStyle name="_MOR - BDWY - 1+11_MOR - Australia -  EC - 2+10_By Country Detail 1Q10 041410pm FIN 18 revised per disc w Mary_BS_Separation_TaxResIndem_Q12412 tf_Restructuring &amp; Separation_Guidance_Free CF" xfId="5795"/>
    <cellStyle name="_MOR - BDWY - 1+11_MOR - Australia -  EC - 2+10_By Country Detail 1Q10 041410pm FIN 18 revised per disc w Mary_BS_Separation_TaxResIndem_Q12412 tf_Restructuring &amp; Separation_Guidance_P&amp;L Rec Qtr" xfId="5796"/>
    <cellStyle name="_MOR - BDWY - 1+11_MOR - Australia -  EC - 2+10_By Country Detail 1Q10 041410pm FIN 18 revised per disc w Mary_BS_Separation_TaxResIndem_Q12412 tf_Restructuring &amp; Separation_Guidance_Sheet1" xfId="5797"/>
    <cellStyle name="_MOR - BDWY - 1+11_MOR - Australia -  EC - 2+10_By Country Detail 1Q10 041410pm FIN 18 revised per disc w Mary_BS_Separation_TaxResIndem_Q12412 tf_Restructuring &amp; Separation_Guidance_Sheet2" xfId="5798"/>
    <cellStyle name="_MOR - BDWY - 1+11_MOR - Australia -  EC - 2+10_By Country Detail 1Q10 041410pm FIN 18 revised per disc w Mary_BS_Separation_TaxResIndem_Q12412 tf_Restructuring &amp; Separation_Guidance_Sheet3" xfId="5799"/>
    <cellStyle name="_MOR - BDWY - 1+11_MOR - Australia -  EC - 2+10_By Country Detail 1Q10 041410pm FIN 18 revised per disc w Mary_BS_Separation_TaxResIndem_Q12412 tf_Restructuring &amp; Separation_Guidance_Sheet4" xfId="5800"/>
    <cellStyle name="_MOR - BDWY - 1+11_MOR - Australia -  EC - 2+10_By Country Detail 1Q10 041410pm FIN 18 revised per disc w Mary_Guidance" xfId="5801"/>
    <cellStyle name="_MOR - BDWY - 1+11_MOR - Australia -  EC - 2+10_By Country Detail 1Q10 041410pm FIN 18 revised per disc w Mary_Guidance 2" xfId="5802"/>
    <cellStyle name="_MOR - BDWY - 1+11_MOR - Australia -  EC - 2+10_By Country Detail 1Q10 041410pm FIN 18 revised per disc w Mary_Guidance_BS retrieve" xfId="5803"/>
    <cellStyle name="_MOR - BDWY - 1+11_MOR - Australia -  EC - 2+10_By Country Detail 1Q10 041410pm FIN 18 revised per disc w Mary_Guidance_Free CF" xfId="5804"/>
    <cellStyle name="_MOR - BDWY - 1+11_MOR - Australia -  EC - 2+10_By Country Detail 1Q10 041410pm FIN 18 revised per disc w Mary_Guidance_P&amp;L Rec Qtr" xfId="5805"/>
    <cellStyle name="_MOR - BDWY - 1+11_MOR - Australia -  EC - 2+10_By Country Detail 1Q10 041410pm FIN 18 revised per disc w Mary_Guidance_Sheet1" xfId="5806"/>
    <cellStyle name="_MOR - BDWY - 1+11_MOR - Australia -  EC - 2+10_By Country Detail 1Q10 041410pm FIN 18 revised per disc w Mary_Guidance_Sheet2" xfId="5807"/>
    <cellStyle name="_MOR - BDWY - 1+11_MOR - Australia -  EC - 2+10_By Country Detail 1Q10 041410pm FIN 18 revised per disc w Mary_Guidance_Sheet3" xfId="5808"/>
    <cellStyle name="_MOR - BDWY - 1+11_MOR - Australia -  EC - 2+10_By Country Detail 1Q10 041410pm FIN 18 revised per disc w Mary_Guidance_Sheet4" xfId="5809"/>
    <cellStyle name="_MOR - BDWY - 1+11_MOR - Australia -  EC - 2+10_By Country Detail 1Q10 041410pm FIN 18 revised per disc w Mary_II.8. Sep&amp;Discrete" xfId="5810"/>
    <cellStyle name="_MOR - BDWY - 1+11_MOR - Australia -  EC - 2+10_By Country Detail 1Q10 041410pm FIN 18 revised per disc w Mary_II.8. Sep&amp;Discrete_Guidance" xfId="5811"/>
    <cellStyle name="_MOR - BDWY - 1+11_MOR - Australia -  EC - 2+10_By Country Detail 1Q10 041410pm FIN 18 revised per disc w Mary_II.8. Sep&amp;Discrete_Guidance 2" xfId="5812"/>
    <cellStyle name="_MOR - BDWY - 1+11_MOR - Australia -  EC - 2+10_By Country Detail 1Q10 041410pm FIN 18 revised per disc w Mary_II.8. Sep&amp;Discrete_Guidance_BS retrieve" xfId="5813"/>
    <cellStyle name="_MOR - BDWY - 1+11_MOR - Australia -  EC - 2+10_By Country Detail 1Q10 041410pm FIN 18 revised per disc w Mary_II.8. Sep&amp;Discrete_Guidance_Free CF" xfId="5814"/>
    <cellStyle name="_MOR - BDWY - 1+11_MOR - Australia -  EC - 2+10_By Country Detail 1Q10 041410pm FIN 18 revised per disc w Mary_II.8. Sep&amp;Discrete_Guidance_P&amp;L Rec Qtr" xfId="5815"/>
    <cellStyle name="_MOR - BDWY - 1+11_MOR - Australia -  EC - 2+10_By Country Detail 1Q10 041410pm FIN 18 revised per disc w Mary_II.8. Sep&amp;Discrete_Guidance_Sheet1" xfId="5816"/>
    <cellStyle name="_MOR - BDWY - 1+11_MOR - Australia -  EC - 2+10_By Country Detail 1Q10 041410pm FIN 18 revised per disc w Mary_II.8. Sep&amp;Discrete_Guidance_Sheet2" xfId="5817"/>
    <cellStyle name="_MOR - BDWY - 1+11_MOR - Australia -  EC - 2+10_By Country Detail 1Q10 041410pm FIN 18 revised per disc w Mary_II.8. Sep&amp;Discrete_Guidance_Sheet3" xfId="5818"/>
    <cellStyle name="_MOR - BDWY - 1+11_MOR - Australia -  EC - 2+10_By Country Detail 1Q10 041410pm FIN 18 revised per disc w Mary_II.8. Sep&amp;Discrete_Guidance_Sheet4" xfId="5819"/>
    <cellStyle name="_MOR - BDWY - 1+11_MOR - Australia -  EC - 2+10_By Country Detail 1Q10 041410pm FIN 18 revised per disc w Mary_Restructuring &amp; Separation" xfId="5820"/>
    <cellStyle name="_MOR - BDWY - 1+11_MOR - Australia -  EC - 2+10_By Country Detail 1Q10 041410pm FIN 18 revised per disc w Mary_Restructuring &amp; Separation_Guidance" xfId="5821"/>
    <cellStyle name="_MOR - BDWY - 1+11_MOR - Australia -  EC - 2+10_By Country Detail 1Q10 041410pm FIN 18 revised per disc w Mary_Restructuring &amp; Separation_Guidance 2" xfId="5822"/>
    <cellStyle name="_MOR - BDWY - 1+11_MOR - Australia -  EC - 2+10_By Country Detail 1Q10 041410pm FIN 18 revised per disc w Mary_Restructuring &amp; Separation_Guidance_BS retrieve" xfId="5823"/>
    <cellStyle name="_MOR - BDWY - 1+11_MOR - Australia -  EC - 2+10_By Country Detail 1Q10 041410pm FIN 18 revised per disc w Mary_Restructuring &amp; Separation_Guidance_Free CF" xfId="5824"/>
    <cellStyle name="_MOR - BDWY - 1+11_MOR - Australia -  EC - 2+10_By Country Detail 1Q10 041410pm FIN 18 revised per disc w Mary_Restructuring &amp; Separation_Guidance_P&amp;L Rec Qtr" xfId="5825"/>
    <cellStyle name="_MOR - BDWY - 1+11_MOR - Australia -  EC - 2+10_By Country Detail 1Q10 041410pm FIN 18 revised per disc w Mary_Restructuring &amp; Separation_Guidance_Sheet1" xfId="5826"/>
    <cellStyle name="_MOR - BDWY - 1+11_MOR - Australia -  EC - 2+10_By Country Detail 1Q10 041410pm FIN 18 revised per disc w Mary_Restructuring &amp; Separation_Guidance_Sheet2" xfId="5827"/>
    <cellStyle name="_MOR - BDWY - 1+11_MOR - Australia -  EC - 2+10_By Country Detail 1Q10 041410pm FIN 18 revised per disc w Mary_Restructuring &amp; Separation_Guidance_Sheet3" xfId="5828"/>
    <cellStyle name="_MOR - BDWY - 1+11_MOR - Australia -  EC - 2+10_By Country Detail 1Q10 041410pm FIN 18 revised per disc w Mary_Restructuring &amp; Separation_Guidance_Sheet4" xfId="5829"/>
    <cellStyle name="_MOR - BDWY - 1+11_MOR - Australia -  EC - 2+10_Guidance" xfId="5830"/>
    <cellStyle name="_MOR - BDWY - 1+11_MOR - Australia -  EC - 2+10_Guidance 2" xfId="5831"/>
    <cellStyle name="_MOR - BDWY - 1+11_MOR - Australia -  EC - 2+10_Guidance_BS retrieve" xfId="5832"/>
    <cellStyle name="_MOR - BDWY - 1+11_MOR - Australia -  EC - 2+10_Guidance_Free CF" xfId="5833"/>
    <cellStyle name="_MOR - BDWY - 1+11_MOR - Australia -  EC - 2+10_Guidance_P&amp;L Rec Qtr" xfId="5834"/>
    <cellStyle name="_MOR - BDWY - 1+11_MOR - Australia -  EC - 2+10_Guidance_Sheet1" xfId="5835"/>
    <cellStyle name="_MOR - BDWY - 1+11_MOR - Australia -  EC - 2+10_Guidance_Sheet2" xfId="5836"/>
    <cellStyle name="_MOR - BDWY - 1+11_MOR - Australia -  EC - 2+10_Guidance_Sheet3" xfId="5837"/>
    <cellStyle name="_MOR - BDWY - 1+11_MOR - Australia -  EC - 2+10_Guidance_Sheet4" xfId="5838"/>
    <cellStyle name="_MOR - BDWY - 1+11_MOR - Australia -  EC - 2+10_II.4. RawMaterials" xfId="5839"/>
    <cellStyle name="_MOR - BDWY - 1+11_MOR - Australia -  EC - 2+10_II.4. RawMaterials 2" xfId="5840"/>
    <cellStyle name="_MOR - BDWY - 1+11_MOR - Australia -  EC - 2+10_II.4. RawMaterials_BS retrieve" xfId="5841"/>
    <cellStyle name="_MOR - BDWY - 1+11_MOR - Australia -  EC - 2+10_II.4. RawMaterials_Free CF" xfId="5842"/>
    <cellStyle name="_MOR - BDWY - 1+11_MOR - Australia -  EC - 2+10_II.4. RawMaterials_P&amp;L Rec Qtr" xfId="5843"/>
    <cellStyle name="_MOR - BDWY - 1+11_MOR - Australia -  EC - 2+10_II.4. RawMaterials_Sheet1" xfId="5844"/>
    <cellStyle name="_MOR - BDWY - 1+11_MOR - Australia -  EC - 2+10_II.4. RawMaterials_Sheet2" xfId="5845"/>
    <cellStyle name="_MOR - BDWY - 1+11_MOR - Australia -  EC - 2+10_II.4. RawMaterials_Sheet3" xfId="5846"/>
    <cellStyle name="_MOR - BDWY - 1+11_MOR - Australia -  EC - 2+10_II.4. RawMaterials_Sheet4" xfId="5847"/>
    <cellStyle name="_MOR - BDWY - 1+11_MOR - Australia -  EC - 2+10_II.5. RawMaterials" xfId="5848"/>
    <cellStyle name="_MOR - BDWY - 1+11_MOR - Australia -  EC - 2+10_II.5. RawMaterials 2" xfId="5849"/>
    <cellStyle name="_MOR - BDWY - 1+11_MOR - Australia -  EC - 2+10_II.5. RawMaterials_BS retrieve" xfId="5850"/>
    <cellStyle name="_MOR - BDWY - 1+11_MOR - Australia -  EC - 2+10_II.5. RawMaterials_Free CF" xfId="5851"/>
    <cellStyle name="_MOR - BDWY - 1+11_MOR - Australia -  EC - 2+10_II.5. RawMaterials_Guidance" xfId="5852"/>
    <cellStyle name="_MOR - BDWY - 1+11_MOR - Australia -  EC - 2+10_II.5. RawMaterials_Guidance 2" xfId="5853"/>
    <cellStyle name="_MOR - BDWY - 1+11_MOR - Australia -  EC - 2+10_II.5. RawMaterials_Guidance_BS retrieve" xfId="5854"/>
    <cellStyle name="_MOR - BDWY - 1+11_MOR - Australia -  EC - 2+10_II.5. RawMaterials_Guidance_Free CF" xfId="5855"/>
    <cellStyle name="_MOR - BDWY - 1+11_MOR - Australia -  EC - 2+10_II.5. RawMaterials_Guidance_P&amp;L Rec Qtr" xfId="5856"/>
    <cellStyle name="_MOR - BDWY - 1+11_MOR - Australia -  EC - 2+10_II.5. RawMaterials_Guidance_Sheet1" xfId="5857"/>
    <cellStyle name="_MOR - BDWY - 1+11_MOR - Australia -  EC - 2+10_II.5. RawMaterials_Guidance_Sheet2" xfId="5858"/>
    <cellStyle name="_MOR - BDWY - 1+11_MOR - Australia -  EC - 2+10_II.5. RawMaterials_Guidance_Sheet3" xfId="5859"/>
    <cellStyle name="_MOR - BDWY - 1+11_MOR - Australia -  EC - 2+10_II.5. RawMaterials_Guidance_Sheet4" xfId="5860"/>
    <cellStyle name="_MOR - BDWY - 1+11_MOR - Australia -  EC - 2+10_II.5. RawMaterials_P&amp;L Rec Qtr" xfId="5861"/>
    <cellStyle name="_MOR - BDWY - 1+11_MOR - Australia -  EC - 2+10_II.5. RawMaterials_Sheet1" xfId="5862"/>
    <cellStyle name="_MOR - BDWY - 1+11_MOR - Australia -  EC - 2+10_II.5. RawMaterials_Sheet2" xfId="5863"/>
    <cellStyle name="_MOR - BDWY - 1+11_MOR - Australia -  EC - 2+10_II.5. RawMaterials_Sheet3" xfId="5864"/>
    <cellStyle name="_MOR - BDWY - 1+11_MOR - Australia -  EC - 2+10_II.5. RawMaterials_Sheet4" xfId="5865"/>
    <cellStyle name="_MOR - BDWY - 1+11_MOR - Australia -  EC - 2+10_II.5. RM Volume Sensitivities" xfId="5866"/>
    <cellStyle name="_MOR - BDWY - 1+11_MOR - Australia -  EC - 2+10_II.5. RM Volume Sensitivities 2" xfId="5867"/>
    <cellStyle name="_MOR - BDWY - 1+11_MOR - Australia -  EC - 2+10_II.5. RM Volume Sensitivities_BS retrieve" xfId="5868"/>
    <cellStyle name="_MOR - BDWY - 1+11_MOR - Australia -  EC - 2+10_II.5. RM Volume Sensitivities_Free CF" xfId="5869"/>
    <cellStyle name="_MOR - BDWY - 1+11_MOR - Australia -  EC - 2+10_II.5. RM Volume Sensitivities_P&amp;L Rec Qtr" xfId="5870"/>
    <cellStyle name="_MOR - BDWY - 1+11_MOR - Australia -  EC - 2+10_II.5. RM Volume Sensitivities_Sheet1" xfId="5871"/>
    <cellStyle name="_MOR - BDWY - 1+11_MOR - Australia -  EC - 2+10_II.5. RM Volume Sensitivities_Sheet2" xfId="5872"/>
    <cellStyle name="_MOR - BDWY - 1+11_MOR - Australia -  EC - 2+10_II.5. RM Volume Sensitivities_Sheet3" xfId="5873"/>
    <cellStyle name="_MOR - BDWY - 1+11_MOR - Australia -  EC - 2+10_II.5. RM Volume Sensitivities_Sheet4" xfId="5874"/>
    <cellStyle name="_MOR - BDWY - 1+11_MOR - Australia -  EC - 2+10_II.8. Sep&amp;Discrete" xfId="5875"/>
    <cellStyle name="_MOR - BDWY - 1+11_MOR - Australia -  EC - 2+10_II.8. Sep&amp;Discrete_Guidance" xfId="5876"/>
    <cellStyle name="_MOR - BDWY - 1+11_MOR - Australia -  EC - 2+10_II.8. Sep&amp;Discrete_Guidance 2" xfId="5877"/>
    <cellStyle name="_MOR - BDWY - 1+11_MOR - Australia -  EC - 2+10_II.8. Sep&amp;Discrete_Guidance_BS retrieve" xfId="5878"/>
    <cellStyle name="_MOR - BDWY - 1+11_MOR - Australia -  EC - 2+10_II.8. Sep&amp;Discrete_Guidance_Free CF" xfId="5879"/>
    <cellStyle name="_MOR - BDWY - 1+11_MOR - Australia -  EC - 2+10_II.8. Sep&amp;Discrete_Guidance_P&amp;L Rec Qtr" xfId="5880"/>
    <cellStyle name="_MOR - BDWY - 1+11_MOR - Australia -  EC - 2+10_II.8. Sep&amp;Discrete_Guidance_Sheet1" xfId="5881"/>
    <cellStyle name="_MOR - BDWY - 1+11_MOR - Australia -  EC - 2+10_II.8. Sep&amp;Discrete_Guidance_Sheet2" xfId="5882"/>
    <cellStyle name="_MOR - BDWY - 1+11_MOR - Australia -  EC - 2+10_II.8. Sep&amp;Discrete_Guidance_Sheet3" xfId="5883"/>
    <cellStyle name="_MOR - BDWY - 1+11_MOR - Australia -  EC - 2+10_II.8. Sep&amp;Discrete_Guidance_Sheet4" xfId="5884"/>
    <cellStyle name="_MOR - BDWY - 1+11_MOR - Australia -  EC - 2+10_Restructuring &amp; Separation" xfId="5885"/>
    <cellStyle name="_MOR - BDWY - 1+11_MOR - Australia -  EC - 2+10_Restructuring &amp; Separation_Guidance" xfId="5886"/>
    <cellStyle name="_MOR - BDWY - 1+11_MOR - Australia -  EC - 2+10_Restructuring &amp; Separation_Guidance 2" xfId="5887"/>
    <cellStyle name="_MOR - BDWY - 1+11_MOR - Australia -  EC - 2+10_Restructuring &amp; Separation_Guidance_BS retrieve" xfId="5888"/>
    <cellStyle name="_MOR - BDWY - 1+11_MOR - Australia -  EC - 2+10_Restructuring &amp; Separation_Guidance_Free CF" xfId="5889"/>
    <cellStyle name="_MOR - BDWY - 1+11_MOR - Australia -  EC - 2+10_Restructuring &amp; Separation_Guidance_P&amp;L Rec Qtr" xfId="5890"/>
    <cellStyle name="_MOR - BDWY - 1+11_MOR - Australia -  EC - 2+10_Restructuring &amp; Separation_Guidance_Sheet1" xfId="5891"/>
    <cellStyle name="_MOR - BDWY - 1+11_MOR - Australia -  EC - 2+10_Restructuring &amp; Separation_Guidance_Sheet2" xfId="5892"/>
    <cellStyle name="_MOR - BDWY - 1+11_MOR - Australia -  EC - 2+10_Restructuring &amp; Separation_Guidance_Sheet3" xfId="5893"/>
    <cellStyle name="_MOR - BDWY - 1+11_MOR - Australia -  EC - 2+10_Restructuring &amp; Separation_Guidance_Sheet4" xfId="5894"/>
    <cellStyle name="_MOR - BDWY - 1+11_MOR - Australia -  EC - 2+10_Restructuring_Separation_TAX_JuneFC2010 tf" xfId="5895"/>
    <cellStyle name="_MOR - BDWY - 1+11_MOR - Australia -  EC - 2+10_Restructuring_Separation_TAX_JuneFC2010 tf_BS_Separation_TaxResIndem_Q12412 tf" xfId="5896"/>
    <cellStyle name="_MOR - BDWY - 1+11_MOR - Australia -  EC - 2+10_Restructuring_Separation_TAX_JuneFC2010 tf_BS_Separation_TaxResIndem_Q12412 tf_Guidance" xfId="5897"/>
    <cellStyle name="_MOR - BDWY - 1+11_MOR - Australia -  EC - 2+10_Restructuring_Separation_TAX_JuneFC2010 tf_BS_Separation_TaxResIndem_Q12412 tf_Guidance 2" xfId="5898"/>
    <cellStyle name="_MOR - BDWY - 1+11_MOR - Australia -  EC - 2+10_Restructuring_Separation_TAX_JuneFC2010 tf_BS_Separation_TaxResIndem_Q12412 tf_Guidance_BS retrieve" xfId="5899"/>
    <cellStyle name="_MOR - BDWY - 1+11_MOR - Australia -  EC - 2+10_Restructuring_Separation_TAX_JuneFC2010 tf_BS_Separation_TaxResIndem_Q12412 tf_Guidance_Free CF" xfId="5900"/>
    <cellStyle name="_MOR - BDWY - 1+11_MOR - Australia -  EC - 2+10_Restructuring_Separation_TAX_JuneFC2010 tf_BS_Separation_TaxResIndem_Q12412 tf_Guidance_P&amp;L Rec Qtr" xfId="5901"/>
    <cellStyle name="_MOR - BDWY - 1+11_MOR - Australia -  EC - 2+10_Restructuring_Separation_TAX_JuneFC2010 tf_BS_Separation_TaxResIndem_Q12412 tf_Guidance_Sheet1" xfId="5902"/>
    <cellStyle name="_MOR - BDWY - 1+11_MOR - Australia -  EC - 2+10_Restructuring_Separation_TAX_JuneFC2010 tf_BS_Separation_TaxResIndem_Q12412 tf_Guidance_Sheet2" xfId="5903"/>
    <cellStyle name="_MOR - BDWY - 1+11_MOR - Australia -  EC - 2+10_Restructuring_Separation_TAX_JuneFC2010 tf_BS_Separation_TaxResIndem_Q12412 tf_Guidance_Sheet3" xfId="5904"/>
    <cellStyle name="_MOR - BDWY - 1+11_MOR - Australia -  EC - 2+10_Restructuring_Separation_TAX_JuneFC2010 tf_BS_Separation_TaxResIndem_Q12412 tf_Guidance_Sheet4" xfId="5905"/>
    <cellStyle name="_MOR - BDWY - 1+11_MOR - Australia -  EC - 2+10_Restructuring_Separation_TAX_JuneFC2010 tf_BS_Separation_TaxResIndem_Q12412 tf_Restructuring &amp; Separation" xfId="5906"/>
    <cellStyle name="_MOR - BDWY - 1+11_MOR - Australia -  EC - 2+10_Restructuring_Separation_TAX_JuneFC2010 tf_BS_Separation_TaxResIndem_Q12412 tf_Restructuring &amp; Separation_Guidance" xfId="5907"/>
    <cellStyle name="_MOR - BDWY - 1+11_MOR - Australia -  EC - 2+10_Restructuring_Separation_TAX_JuneFC2010 tf_BS_Separation_TaxResIndem_Q12412 tf_Restructuring &amp; Separation_Guidance 2" xfId="5908"/>
    <cellStyle name="_MOR - BDWY - 1+11_MOR - Australia -  EC - 2+10_Restructuring_Separation_TAX_JuneFC2010 tf_BS_Separation_TaxResIndem_Q12412 tf_Restructuring &amp; Separation_Guidance_BS retrieve" xfId="5909"/>
    <cellStyle name="_MOR - BDWY - 1+11_MOR - Australia -  EC - 2+10_Restructuring_Separation_TAX_JuneFC2010 tf_BS_Separation_TaxResIndem_Q12412 tf_Restructuring &amp; Separation_Guidance_Free CF" xfId="5910"/>
    <cellStyle name="_MOR - BDWY - 1+11_MOR - Australia -  EC - 2+10_Restructuring_Separation_TAX_JuneFC2010 tf_BS_Separation_TaxResIndem_Q12412 tf_Restructuring &amp; Separation_Guidance_P&amp;L Rec Qtr" xfId="5911"/>
    <cellStyle name="_MOR - BDWY - 1+11_MOR - Australia -  EC - 2+10_Restructuring_Separation_TAX_JuneFC2010 tf_BS_Separation_TaxResIndem_Q12412 tf_Restructuring &amp; Separation_Guidance_Sheet1" xfId="5912"/>
    <cellStyle name="_MOR - BDWY - 1+11_MOR - Australia -  EC - 2+10_Restructuring_Separation_TAX_JuneFC2010 tf_BS_Separation_TaxResIndem_Q12412 tf_Restructuring &amp; Separation_Guidance_Sheet2" xfId="5913"/>
    <cellStyle name="_MOR - BDWY - 1+11_MOR - Australia -  EC - 2+10_Restructuring_Separation_TAX_JuneFC2010 tf_BS_Separation_TaxResIndem_Q12412 tf_Restructuring &amp; Separation_Guidance_Sheet3" xfId="5914"/>
    <cellStyle name="_MOR - BDWY - 1+11_MOR - Australia -  EC - 2+10_Restructuring_Separation_TAX_JuneFC2010 tf_BS_Separation_TaxResIndem_Q12412 tf_Restructuring &amp; Separation_Guidance_Sheet4" xfId="5915"/>
    <cellStyle name="_MOR - BDWY - 1+11_MOR - Australia -  EC - 2+10_Restructuring_Separation_TAX_JuneFC2010 tf_Guidance" xfId="5916"/>
    <cellStyle name="_MOR - BDWY - 1+11_MOR - Australia -  EC - 2+10_Restructuring_Separation_TAX_JuneFC2010 tf_Guidance 2" xfId="5917"/>
    <cellStyle name="_MOR - BDWY - 1+11_MOR - Australia -  EC - 2+10_Restructuring_Separation_TAX_JuneFC2010 tf_Guidance_BS retrieve" xfId="5918"/>
    <cellStyle name="_MOR - BDWY - 1+11_MOR - Australia -  EC - 2+10_Restructuring_Separation_TAX_JuneFC2010 tf_Guidance_Free CF" xfId="5919"/>
    <cellStyle name="_MOR - BDWY - 1+11_MOR - Australia -  EC - 2+10_Restructuring_Separation_TAX_JuneFC2010 tf_Guidance_P&amp;L Rec Qtr" xfId="5920"/>
    <cellStyle name="_MOR - BDWY - 1+11_MOR - Australia -  EC - 2+10_Restructuring_Separation_TAX_JuneFC2010 tf_Guidance_Sheet1" xfId="5921"/>
    <cellStyle name="_MOR - BDWY - 1+11_MOR - Australia -  EC - 2+10_Restructuring_Separation_TAX_JuneFC2010 tf_Guidance_Sheet2" xfId="5922"/>
    <cellStyle name="_MOR - BDWY - 1+11_MOR - Australia -  EC - 2+10_Restructuring_Separation_TAX_JuneFC2010 tf_Guidance_Sheet3" xfId="5923"/>
    <cellStyle name="_MOR - BDWY - 1+11_MOR - Australia -  EC - 2+10_Restructuring_Separation_TAX_JuneFC2010 tf_Guidance_Sheet4" xfId="5924"/>
    <cellStyle name="_MOR - BDWY - 1+11_MOR - Australia -  EC - 2+10_Restructuring_Separation_TAX_JuneFC2010 tf_II.8. Sep&amp;Discrete" xfId="5925"/>
    <cellStyle name="_MOR - BDWY - 1+11_MOR - Australia -  EC - 2+10_Restructuring_Separation_TAX_JuneFC2010 tf_II.8. Sep&amp;Discrete_Guidance" xfId="5926"/>
    <cellStyle name="_MOR - BDWY - 1+11_MOR - Australia -  EC - 2+10_Restructuring_Separation_TAX_JuneFC2010 tf_II.8. Sep&amp;Discrete_Guidance 2" xfId="5927"/>
    <cellStyle name="_MOR - BDWY - 1+11_MOR - Australia -  EC - 2+10_Restructuring_Separation_TAX_JuneFC2010 tf_II.8. Sep&amp;Discrete_Guidance_BS retrieve" xfId="5928"/>
    <cellStyle name="_MOR - BDWY - 1+11_MOR - Australia -  EC - 2+10_Restructuring_Separation_TAX_JuneFC2010 tf_II.8. Sep&amp;Discrete_Guidance_Free CF" xfId="5929"/>
    <cellStyle name="_MOR - BDWY - 1+11_MOR - Australia -  EC - 2+10_Restructuring_Separation_TAX_JuneFC2010 tf_II.8. Sep&amp;Discrete_Guidance_P&amp;L Rec Qtr" xfId="5930"/>
    <cellStyle name="_MOR - BDWY - 1+11_MOR - Australia -  EC - 2+10_Restructuring_Separation_TAX_JuneFC2010 tf_II.8. Sep&amp;Discrete_Guidance_Sheet1" xfId="5931"/>
    <cellStyle name="_MOR - BDWY - 1+11_MOR - Australia -  EC - 2+10_Restructuring_Separation_TAX_JuneFC2010 tf_II.8. Sep&amp;Discrete_Guidance_Sheet2" xfId="5932"/>
    <cellStyle name="_MOR - BDWY - 1+11_MOR - Australia -  EC - 2+10_Restructuring_Separation_TAX_JuneFC2010 tf_II.8. Sep&amp;Discrete_Guidance_Sheet3" xfId="5933"/>
    <cellStyle name="_MOR - BDWY - 1+11_MOR - Australia -  EC - 2+10_Restructuring_Separation_TAX_JuneFC2010 tf_II.8. Sep&amp;Discrete_Guidance_Sheet4" xfId="5934"/>
    <cellStyle name="_MOR - BDWY - 1+11_MOR - Australia -  EC - 2+10_Restructuring_Separation_TAX_JuneFC2010 tf_Restructuring &amp; Separation" xfId="5935"/>
    <cellStyle name="_MOR - BDWY - 1+11_MOR - Australia -  EC - 2+10_Restructuring_Separation_TAX_JuneFC2010 tf_Restructuring &amp; Separation_Guidance" xfId="5936"/>
    <cellStyle name="_MOR - BDWY - 1+11_MOR - Australia -  EC - 2+10_Restructuring_Separation_TAX_JuneFC2010 tf_Restructuring &amp; Separation_Guidance 2" xfId="5937"/>
    <cellStyle name="_MOR - BDWY - 1+11_MOR - Australia -  EC - 2+10_Restructuring_Separation_TAX_JuneFC2010 tf_Restructuring &amp; Separation_Guidance_BS retrieve" xfId="5938"/>
    <cellStyle name="_MOR - BDWY - 1+11_MOR - Australia -  EC - 2+10_Restructuring_Separation_TAX_JuneFC2010 tf_Restructuring &amp; Separation_Guidance_Free CF" xfId="5939"/>
    <cellStyle name="_MOR - BDWY - 1+11_MOR - Australia -  EC - 2+10_Restructuring_Separation_TAX_JuneFC2010 tf_Restructuring &amp; Separation_Guidance_P&amp;L Rec Qtr" xfId="5940"/>
    <cellStyle name="_MOR - BDWY - 1+11_MOR - Australia -  EC - 2+10_Restructuring_Separation_TAX_JuneFC2010 tf_Restructuring &amp; Separation_Guidance_Sheet1" xfId="5941"/>
    <cellStyle name="_MOR - BDWY - 1+11_MOR - Australia -  EC - 2+10_Restructuring_Separation_TAX_JuneFC2010 tf_Restructuring &amp; Separation_Guidance_Sheet2" xfId="5942"/>
    <cellStyle name="_MOR - BDWY - 1+11_MOR - Australia -  EC - 2+10_Restructuring_Separation_TAX_JuneFC2010 tf_Restructuring &amp; Separation_Guidance_Sheet3" xfId="5943"/>
    <cellStyle name="_MOR - BDWY - 1+11_MOR - Australia -  EC - 2+10_Restructuring_Separation_TAX_JuneFC2010 tf_Restructuring &amp; Separation_Guidance_Sheet4" xfId="5944"/>
    <cellStyle name="_MOR - BDWY - 1+11_MOR - Australia -  EC - 3+9" xfId="5945"/>
    <cellStyle name="_MOR - BDWY - 1+11_MOR - Australia -  EC - 3+9_BS_Separation_TaxResIndem_Q12412 tf" xfId="5946"/>
    <cellStyle name="_MOR - BDWY - 1+11_MOR - Australia -  EC - 3+9_BS_Separation_TaxResIndem_Q12412 tf_Guidance" xfId="5947"/>
    <cellStyle name="_MOR - BDWY - 1+11_MOR - Australia -  EC - 3+9_BS_Separation_TaxResIndem_Q12412 tf_Guidance 2" xfId="5948"/>
    <cellStyle name="_MOR - BDWY - 1+11_MOR - Australia -  EC - 3+9_BS_Separation_TaxResIndem_Q12412 tf_Guidance_BS retrieve" xfId="5949"/>
    <cellStyle name="_MOR - BDWY - 1+11_MOR - Australia -  EC - 3+9_BS_Separation_TaxResIndem_Q12412 tf_Guidance_Free CF" xfId="5950"/>
    <cellStyle name="_MOR - BDWY - 1+11_MOR - Australia -  EC - 3+9_BS_Separation_TaxResIndem_Q12412 tf_Guidance_P&amp;L Rec Qtr" xfId="5951"/>
    <cellStyle name="_MOR - BDWY - 1+11_MOR - Australia -  EC - 3+9_BS_Separation_TaxResIndem_Q12412 tf_Guidance_Sheet1" xfId="5952"/>
    <cellStyle name="_MOR - BDWY - 1+11_MOR - Australia -  EC - 3+9_BS_Separation_TaxResIndem_Q12412 tf_Guidance_Sheet2" xfId="5953"/>
    <cellStyle name="_MOR - BDWY - 1+11_MOR - Australia -  EC - 3+9_BS_Separation_TaxResIndem_Q12412 tf_Guidance_Sheet3" xfId="5954"/>
    <cellStyle name="_MOR - BDWY - 1+11_MOR - Australia -  EC - 3+9_BS_Separation_TaxResIndem_Q12412 tf_Guidance_Sheet4" xfId="5955"/>
    <cellStyle name="_MOR - BDWY - 1+11_MOR - Australia -  EC - 3+9_BS_Separation_TaxResIndem_Q12412 tf_Restructuring &amp; Separation" xfId="5956"/>
    <cellStyle name="_MOR - BDWY - 1+11_MOR - Australia -  EC - 3+9_BS_Separation_TaxResIndem_Q12412 tf_Restructuring &amp; Separation_Guidance" xfId="5957"/>
    <cellStyle name="_MOR - BDWY - 1+11_MOR - Australia -  EC - 3+9_BS_Separation_TaxResIndem_Q12412 tf_Restructuring &amp; Separation_Guidance 2" xfId="5958"/>
    <cellStyle name="_MOR - BDWY - 1+11_MOR - Australia -  EC - 3+9_BS_Separation_TaxResIndem_Q12412 tf_Restructuring &amp; Separation_Guidance_BS retrieve" xfId="5959"/>
    <cellStyle name="_MOR - BDWY - 1+11_MOR - Australia -  EC - 3+9_BS_Separation_TaxResIndem_Q12412 tf_Restructuring &amp; Separation_Guidance_Free CF" xfId="5960"/>
    <cellStyle name="_MOR - BDWY - 1+11_MOR - Australia -  EC - 3+9_BS_Separation_TaxResIndem_Q12412 tf_Restructuring &amp; Separation_Guidance_P&amp;L Rec Qtr" xfId="5961"/>
    <cellStyle name="_MOR - BDWY - 1+11_MOR - Australia -  EC - 3+9_BS_Separation_TaxResIndem_Q12412 tf_Restructuring &amp; Separation_Guidance_Sheet1" xfId="5962"/>
    <cellStyle name="_MOR - BDWY - 1+11_MOR - Australia -  EC - 3+9_BS_Separation_TaxResIndem_Q12412 tf_Restructuring &amp; Separation_Guidance_Sheet2" xfId="5963"/>
    <cellStyle name="_MOR - BDWY - 1+11_MOR - Australia -  EC - 3+9_BS_Separation_TaxResIndem_Q12412 tf_Restructuring &amp; Separation_Guidance_Sheet3" xfId="5964"/>
    <cellStyle name="_MOR - BDWY - 1+11_MOR - Australia -  EC - 3+9_BS_Separation_TaxResIndem_Q12412 tf_Restructuring &amp; Separation_Guidance_Sheet4" xfId="5965"/>
    <cellStyle name="_MOR - BDWY - 1+11_MOR - Australia -  EC - 3+9_By Country Detail 1Q10 041410pm FIN 18 revised per disc w Mary" xfId="5966"/>
    <cellStyle name="_MOR - BDWY - 1+11_MOR - Australia -  EC - 3+9_By Country Detail 1Q10 041410pm FIN 18 revised per disc w Mary_BS_Separation_TaxResIndem_Q12412 tf" xfId="5967"/>
    <cellStyle name="_MOR - BDWY - 1+11_MOR - Australia -  EC - 3+9_By Country Detail 1Q10 041410pm FIN 18 revised per disc w Mary_BS_Separation_TaxResIndem_Q12412 tf_Guidance" xfId="5968"/>
    <cellStyle name="_MOR - BDWY - 1+11_MOR - Australia -  EC - 3+9_By Country Detail 1Q10 041410pm FIN 18 revised per disc w Mary_BS_Separation_TaxResIndem_Q12412 tf_Guidance 2" xfId="5969"/>
    <cellStyle name="_MOR - BDWY - 1+11_MOR - Australia -  EC - 3+9_By Country Detail 1Q10 041410pm FIN 18 revised per disc w Mary_BS_Separation_TaxResIndem_Q12412 tf_Guidance_BS retrieve" xfId="5970"/>
    <cellStyle name="_MOR - BDWY - 1+11_MOR - Australia -  EC - 3+9_By Country Detail 1Q10 041410pm FIN 18 revised per disc w Mary_BS_Separation_TaxResIndem_Q12412 tf_Guidance_Free CF" xfId="5971"/>
    <cellStyle name="_MOR - BDWY - 1+11_MOR - Australia -  EC - 3+9_By Country Detail 1Q10 041410pm FIN 18 revised per disc w Mary_BS_Separation_TaxResIndem_Q12412 tf_Guidance_P&amp;L Rec Qtr" xfId="5972"/>
    <cellStyle name="_MOR - BDWY - 1+11_MOR - Australia -  EC - 3+9_By Country Detail 1Q10 041410pm FIN 18 revised per disc w Mary_BS_Separation_TaxResIndem_Q12412 tf_Guidance_Sheet1" xfId="5973"/>
    <cellStyle name="_MOR - BDWY - 1+11_MOR - Australia -  EC - 3+9_By Country Detail 1Q10 041410pm FIN 18 revised per disc w Mary_BS_Separation_TaxResIndem_Q12412 tf_Guidance_Sheet2" xfId="5974"/>
    <cellStyle name="_MOR - BDWY - 1+11_MOR - Australia -  EC - 3+9_By Country Detail 1Q10 041410pm FIN 18 revised per disc w Mary_BS_Separation_TaxResIndem_Q12412 tf_Guidance_Sheet3" xfId="5975"/>
    <cellStyle name="_MOR - BDWY - 1+11_MOR - Australia -  EC - 3+9_By Country Detail 1Q10 041410pm FIN 18 revised per disc w Mary_BS_Separation_TaxResIndem_Q12412 tf_Guidance_Sheet4" xfId="5976"/>
    <cellStyle name="_MOR - BDWY - 1+11_MOR - Australia -  EC - 3+9_By Country Detail 1Q10 041410pm FIN 18 revised per disc w Mary_BS_Separation_TaxResIndem_Q12412 tf_Restructuring &amp; Separation" xfId="5977"/>
    <cellStyle name="_MOR - BDWY - 1+11_MOR - Australia -  EC - 3+9_By Country Detail 1Q10 041410pm FIN 18 revised per disc w Mary_BS_Separation_TaxResIndem_Q12412 tf_Restructuring &amp; Separation_Guidance" xfId="5978"/>
    <cellStyle name="_MOR - BDWY - 1+11_MOR - Australia -  EC - 3+9_By Country Detail 1Q10 041410pm FIN 18 revised per disc w Mary_BS_Separation_TaxResIndem_Q12412 tf_Restructuring &amp; Separation_Guidance 2" xfId="5979"/>
    <cellStyle name="_MOR - BDWY - 1+11_MOR - Australia -  EC - 3+9_By Country Detail 1Q10 041410pm FIN 18 revised per disc w Mary_BS_Separation_TaxResIndem_Q12412 tf_Restructuring &amp; Separation_Guidance_BS retrieve" xfId="5980"/>
    <cellStyle name="_MOR - BDWY - 1+11_MOR - Australia -  EC - 3+9_By Country Detail 1Q10 041410pm FIN 18 revised per disc w Mary_BS_Separation_TaxResIndem_Q12412 tf_Restructuring &amp; Separation_Guidance_Free CF" xfId="5981"/>
    <cellStyle name="_MOR - BDWY - 1+11_MOR - Australia -  EC - 3+9_By Country Detail 1Q10 041410pm FIN 18 revised per disc w Mary_BS_Separation_TaxResIndem_Q12412 tf_Restructuring &amp; Separation_Guidance_P&amp;L Rec Qtr" xfId="5982"/>
    <cellStyle name="_MOR - BDWY - 1+11_MOR - Australia -  EC - 3+9_By Country Detail 1Q10 041410pm FIN 18 revised per disc w Mary_BS_Separation_TaxResIndem_Q12412 tf_Restructuring &amp; Separation_Guidance_Sheet1" xfId="5983"/>
    <cellStyle name="_MOR - BDWY - 1+11_MOR - Australia -  EC - 3+9_By Country Detail 1Q10 041410pm FIN 18 revised per disc w Mary_BS_Separation_TaxResIndem_Q12412 tf_Restructuring &amp; Separation_Guidance_Sheet2" xfId="5984"/>
    <cellStyle name="_MOR - BDWY - 1+11_MOR - Australia -  EC - 3+9_By Country Detail 1Q10 041410pm FIN 18 revised per disc w Mary_BS_Separation_TaxResIndem_Q12412 tf_Restructuring &amp; Separation_Guidance_Sheet3" xfId="5985"/>
    <cellStyle name="_MOR - BDWY - 1+11_MOR - Australia -  EC - 3+9_By Country Detail 1Q10 041410pm FIN 18 revised per disc w Mary_BS_Separation_TaxResIndem_Q12412 tf_Restructuring &amp; Separation_Guidance_Sheet4" xfId="5986"/>
    <cellStyle name="_MOR - BDWY - 1+11_MOR - Australia -  EC - 3+9_By Country Detail 1Q10 041410pm FIN 18 revised per disc w Mary_Guidance" xfId="5987"/>
    <cellStyle name="_MOR - BDWY - 1+11_MOR - Australia -  EC - 3+9_By Country Detail 1Q10 041410pm FIN 18 revised per disc w Mary_Guidance 2" xfId="5988"/>
    <cellStyle name="_MOR - BDWY - 1+11_MOR - Australia -  EC - 3+9_By Country Detail 1Q10 041410pm FIN 18 revised per disc w Mary_Guidance_BS retrieve" xfId="5989"/>
    <cellStyle name="_MOR - BDWY - 1+11_MOR - Australia -  EC - 3+9_By Country Detail 1Q10 041410pm FIN 18 revised per disc w Mary_Guidance_Free CF" xfId="5990"/>
    <cellStyle name="_MOR - BDWY - 1+11_MOR - Australia -  EC - 3+9_By Country Detail 1Q10 041410pm FIN 18 revised per disc w Mary_Guidance_P&amp;L Rec Qtr" xfId="5991"/>
    <cellStyle name="_MOR - BDWY - 1+11_MOR - Australia -  EC - 3+9_By Country Detail 1Q10 041410pm FIN 18 revised per disc w Mary_Guidance_Sheet1" xfId="5992"/>
    <cellStyle name="_MOR - BDWY - 1+11_MOR - Australia -  EC - 3+9_By Country Detail 1Q10 041410pm FIN 18 revised per disc w Mary_Guidance_Sheet2" xfId="5993"/>
    <cellStyle name="_MOR - BDWY - 1+11_MOR - Australia -  EC - 3+9_By Country Detail 1Q10 041410pm FIN 18 revised per disc w Mary_Guidance_Sheet3" xfId="5994"/>
    <cellStyle name="_MOR - BDWY - 1+11_MOR - Australia -  EC - 3+9_By Country Detail 1Q10 041410pm FIN 18 revised per disc w Mary_Guidance_Sheet4" xfId="5995"/>
    <cellStyle name="_MOR - BDWY - 1+11_MOR - Australia -  EC - 3+9_By Country Detail 1Q10 041410pm FIN 18 revised per disc w Mary_II.8. Sep&amp;Discrete" xfId="5996"/>
    <cellStyle name="_MOR - BDWY - 1+11_MOR - Australia -  EC - 3+9_By Country Detail 1Q10 041410pm FIN 18 revised per disc w Mary_II.8. Sep&amp;Discrete_Guidance" xfId="5997"/>
    <cellStyle name="_MOR - BDWY - 1+11_MOR - Australia -  EC - 3+9_By Country Detail 1Q10 041410pm FIN 18 revised per disc w Mary_II.8. Sep&amp;Discrete_Guidance 2" xfId="5998"/>
    <cellStyle name="_MOR - BDWY - 1+11_MOR - Australia -  EC - 3+9_By Country Detail 1Q10 041410pm FIN 18 revised per disc w Mary_II.8. Sep&amp;Discrete_Guidance_BS retrieve" xfId="5999"/>
    <cellStyle name="_MOR - BDWY - 1+11_MOR - Australia -  EC - 3+9_By Country Detail 1Q10 041410pm FIN 18 revised per disc w Mary_II.8. Sep&amp;Discrete_Guidance_Free CF" xfId="6000"/>
    <cellStyle name="_MOR - BDWY - 1+11_MOR - Australia -  EC - 3+9_By Country Detail 1Q10 041410pm FIN 18 revised per disc w Mary_II.8. Sep&amp;Discrete_Guidance_P&amp;L Rec Qtr" xfId="6001"/>
    <cellStyle name="_MOR - BDWY - 1+11_MOR - Australia -  EC - 3+9_By Country Detail 1Q10 041410pm FIN 18 revised per disc w Mary_II.8. Sep&amp;Discrete_Guidance_Sheet1" xfId="6002"/>
    <cellStyle name="_MOR - BDWY - 1+11_MOR - Australia -  EC - 3+9_By Country Detail 1Q10 041410pm FIN 18 revised per disc w Mary_II.8. Sep&amp;Discrete_Guidance_Sheet2" xfId="6003"/>
    <cellStyle name="_MOR - BDWY - 1+11_MOR - Australia -  EC - 3+9_By Country Detail 1Q10 041410pm FIN 18 revised per disc w Mary_II.8. Sep&amp;Discrete_Guidance_Sheet3" xfId="6004"/>
    <cellStyle name="_MOR - BDWY - 1+11_MOR - Australia -  EC - 3+9_By Country Detail 1Q10 041410pm FIN 18 revised per disc w Mary_II.8. Sep&amp;Discrete_Guidance_Sheet4" xfId="6005"/>
    <cellStyle name="_MOR - BDWY - 1+11_MOR - Australia -  EC - 3+9_By Country Detail 1Q10 041410pm FIN 18 revised per disc w Mary_Restructuring &amp; Separation" xfId="6006"/>
    <cellStyle name="_MOR - BDWY - 1+11_MOR - Australia -  EC - 3+9_By Country Detail 1Q10 041410pm FIN 18 revised per disc w Mary_Restructuring &amp; Separation_Guidance" xfId="6007"/>
    <cellStyle name="_MOR - BDWY - 1+11_MOR - Australia -  EC - 3+9_By Country Detail 1Q10 041410pm FIN 18 revised per disc w Mary_Restructuring &amp; Separation_Guidance 2" xfId="6008"/>
    <cellStyle name="_MOR - BDWY - 1+11_MOR - Australia -  EC - 3+9_By Country Detail 1Q10 041410pm FIN 18 revised per disc w Mary_Restructuring &amp; Separation_Guidance_BS retrieve" xfId="6009"/>
    <cellStyle name="_MOR - BDWY - 1+11_MOR - Australia -  EC - 3+9_By Country Detail 1Q10 041410pm FIN 18 revised per disc w Mary_Restructuring &amp; Separation_Guidance_Free CF" xfId="6010"/>
    <cellStyle name="_MOR - BDWY - 1+11_MOR - Australia -  EC - 3+9_By Country Detail 1Q10 041410pm FIN 18 revised per disc w Mary_Restructuring &amp; Separation_Guidance_P&amp;L Rec Qtr" xfId="6011"/>
    <cellStyle name="_MOR - BDWY - 1+11_MOR - Australia -  EC - 3+9_By Country Detail 1Q10 041410pm FIN 18 revised per disc w Mary_Restructuring &amp; Separation_Guidance_Sheet1" xfId="6012"/>
    <cellStyle name="_MOR - BDWY - 1+11_MOR - Australia -  EC - 3+9_By Country Detail 1Q10 041410pm FIN 18 revised per disc w Mary_Restructuring &amp; Separation_Guidance_Sheet2" xfId="6013"/>
    <cellStyle name="_MOR - BDWY - 1+11_MOR - Australia -  EC - 3+9_By Country Detail 1Q10 041410pm FIN 18 revised per disc w Mary_Restructuring &amp; Separation_Guidance_Sheet3" xfId="6014"/>
    <cellStyle name="_MOR - BDWY - 1+11_MOR - Australia -  EC - 3+9_By Country Detail 1Q10 041410pm FIN 18 revised per disc w Mary_Restructuring &amp; Separation_Guidance_Sheet4" xfId="6015"/>
    <cellStyle name="_MOR - BDWY - 1+11_MOR - Australia -  EC - 3+9_Guidance" xfId="6016"/>
    <cellStyle name="_MOR - BDWY - 1+11_MOR - Australia -  EC - 3+9_Guidance 2" xfId="6017"/>
    <cellStyle name="_MOR - BDWY - 1+11_MOR - Australia -  EC - 3+9_Guidance_BS retrieve" xfId="6018"/>
    <cellStyle name="_MOR - BDWY - 1+11_MOR - Australia -  EC - 3+9_Guidance_Free CF" xfId="6019"/>
    <cellStyle name="_MOR - BDWY - 1+11_MOR - Australia -  EC - 3+9_Guidance_P&amp;L Rec Qtr" xfId="6020"/>
    <cellStyle name="_MOR - BDWY - 1+11_MOR - Australia -  EC - 3+9_Guidance_Sheet1" xfId="6021"/>
    <cellStyle name="_MOR - BDWY - 1+11_MOR - Australia -  EC - 3+9_Guidance_Sheet2" xfId="6022"/>
    <cellStyle name="_MOR - BDWY - 1+11_MOR - Australia -  EC - 3+9_Guidance_Sheet3" xfId="6023"/>
    <cellStyle name="_MOR - BDWY - 1+11_MOR - Australia -  EC - 3+9_Guidance_Sheet4" xfId="6024"/>
    <cellStyle name="_MOR - BDWY - 1+11_MOR - Australia -  EC - 3+9_II.4. RawMaterials" xfId="6025"/>
    <cellStyle name="_MOR - BDWY - 1+11_MOR - Australia -  EC - 3+9_II.4. RawMaterials 2" xfId="6026"/>
    <cellStyle name="_MOR - BDWY - 1+11_MOR - Australia -  EC - 3+9_II.4. RawMaterials_BS retrieve" xfId="6027"/>
    <cellStyle name="_MOR - BDWY - 1+11_MOR - Australia -  EC - 3+9_II.4. RawMaterials_Free CF" xfId="6028"/>
    <cellStyle name="_MOR - BDWY - 1+11_MOR - Australia -  EC - 3+9_II.4. RawMaterials_P&amp;L Rec Qtr" xfId="6029"/>
    <cellStyle name="_MOR - BDWY - 1+11_MOR - Australia -  EC - 3+9_II.4. RawMaterials_Sheet1" xfId="6030"/>
    <cellStyle name="_MOR - BDWY - 1+11_MOR - Australia -  EC - 3+9_II.4. RawMaterials_Sheet2" xfId="6031"/>
    <cellStyle name="_MOR - BDWY - 1+11_MOR - Australia -  EC - 3+9_II.4. RawMaterials_Sheet3" xfId="6032"/>
    <cellStyle name="_MOR - BDWY - 1+11_MOR - Australia -  EC - 3+9_II.4. RawMaterials_Sheet4" xfId="6033"/>
    <cellStyle name="_MOR - BDWY - 1+11_MOR - Australia -  EC - 3+9_II.5. RawMaterials" xfId="6034"/>
    <cellStyle name="_MOR - BDWY - 1+11_MOR - Australia -  EC - 3+9_II.5. RawMaterials 2" xfId="6035"/>
    <cellStyle name="_MOR - BDWY - 1+11_MOR - Australia -  EC - 3+9_II.5. RawMaterials_BS retrieve" xfId="6036"/>
    <cellStyle name="_MOR - BDWY - 1+11_MOR - Australia -  EC - 3+9_II.5. RawMaterials_Free CF" xfId="6037"/>
    <cellStyle name="_MOR - BDWY - 1+11_MOR - Australia -  EC - 3+9_II.5. RawMaterials_Guidance" xfId="6038"/>
    <cellStyle name="_MOR - BDWY - 1+11_MOR - Australia -  EC - 3+9_II.5. RawMaterials_Guidance 2" xfId="6039"/>
    <cellStyle name="_MOR - BDWY - 1+11_MOR - Australia -  EC - 3+9_II.5. RawMaterials_Guidance_BS retrieve" xfId="6040"/>
    <cellStyle name="_MOR - BDWY - 1+11_MOR - Australia -  EC - 3+9_II.5. RawMaterials_Guidance_Free CF" xfId="6041"/>
    <cellStyle name="_MOR - BDWY - 1+11_MOR - Australia -  EC - 3+9_II.5. RawMaterials_Guidance_P&amp;L Rec Qtr" xfId="6042"/>
    <cellStyle name="_MOR - BDWY - 1+11_MOR - Australia -  EC - 3+9_II.5. RawMaterials_Guidance_Sheet1" xfId="6043"/>
    <cellStyle name="_MOR - BDWY - 1+11_MOR - Australia -  EC - 3+9_II.5. RawMaterials_Guidance_Sheet2" xfId="6044"/>
    <cellStyle name="_MOR - BDWY - 1+11_MOR - Australia -  EC - 3+9_II.5. RawMaterials_Guidance_Sheet3" xfId="6045"/>
    <cellStyle name="_MOR - BDWY - 1+11_MOR - Australia -  EC - 3+9_II.5. RawMaterials_Guidance_Sheet4" xfId="6046"/>
    <cellStyle name="_MOR - BDWY - 1+11_MOR - Australia -  EC - 3+9_II.5. RawMaterials_P&amp;L Rec Qtr" xfId="6047"/>
    <cellStyle name="_MOR - BDWY - 1+11_MOR - Australia -  EC - 3+9_II.5. RawMaterials_Sheet1" xfId="6048"/>
    <cellStyle name="_MOR - BDWY - 1+11_MOR - Australia -  EC - 3+9_II.5. RawMaterials_Sheet2" xfId="6049"/>
    <cellStyle name="_MOR - BDWY - 1+11_MOR - Australia -  EC - 3+9_II.5. RawMaterials_Sheet3" xfId="6050"/>
    <cellStyle name="_MOR - BDWY - 1+11_MOR - Australia -  EC - 3+9_II.5. RawMaterials_Sheet4" xfId="6051"/>
    <cellStyle name="_MOR - BDWY - 1+11_MOR - Australia -  EC - 3+9_II.5. RM Volume Sensitivities" xfId="6052"/>
    <cellStyle name="_MOR - BDWY - 1+11_MOR - Australia -  EC - 3+9_II.5. RM Volume Sensitivities 2" xfId="6053"/>
    <cellStyle name="_MOR - BDWY - 1+11_MOR - Australia -  EC - 3+9_II.5. RM Volume Sensitivities_BS retrieve" xfId="6054"/>
    <cellStyle name="_MOR - BDWY - 1+11_MOR - Australia -  EC - 3+9_II.5. RM Volume Sensitivities_Free CF" xfId="6055"/>
    <cellStyle name="_MOR - BDWY - 1+11_MOR - Australia -  EC - 3+9_II.5. RM Volume Sensitivities_P&amp;L Rec Qtr" xfId="6056"/>
    <cellStyle name="_MOR - BDWY - 1+11_MOR - Australia -  EC - 3+9_II.5. RM Volume Sensitivities_Sheet1" xfId="6057"/>
    <cellStyle name="_MOR - BDWY - 1+11_MOR - Australia -  EC - 3+9_II.5. RM Volume Sensitivities_Sheet2" xfId="6058"/>
    <cellStyle name="_MOR - BDWY - 1+11_MOR - Australia -  EC - 3+9_II.5. RM Volume Sensitivities_Sheet3" xfId="6059"/>
    <cellStyle name="_MOR - BDWY - 1+11_MOR - Australia -  EC - 3+9_II.5. RM Volume Sensitivities_Sheet4" xfId="6060"/>
    <cellStyle name="_MOR - BDWY - 1+11_MOR - Australia -  EC - 3+9_II.8. Sep&amp;Discrete" xfId="6061"/>
    <cellStyle name="_MOR - BDWY - 1+11_MOR - Australia -  EC - 3+9_II.8. Sep&amp;Discrete_Guidance" xfId="6062"/>
    <cellStyle name="_MOR - BDWY - 1+11_MOR - Australia -  EC - 3+9_II.8. Sep&amp;Discrete_Guidance 2" xfId="6063"/>
    <cellStyle name="_MOR - BDWY - 1+11_MOR - Australia -  EC - 3+9_II.8. Sep&amp;Discrete_Guidance_BS retrieve" xfId="6064"/>
    <cellStyle name="_MOR - BDWY - 1+11_MOR - Australia -  EC - 3+9_II.8. Sep&amp;Discrete_Guidance_Free CF" xfId="6065"/>
    <cellStyle name="_MOR - BDWY - 1+11_MOR - Australia -  EC - 3+9_II.8. Sep&amp;Discrete_Guidance_P&amp;L Rec Qtr" xfId="6066"/>
    <cellStyle name="_MOR - BDWY - 1+11_MOR - Australia -  EC - 3+9_II.8. Sep&amp;Discrete_Guidance_Sheet1" xfId="6067"/>
    <cellStyle name="_MOR - BDWY - 1+11_MOR - Australia -  EC - 3+9_II.8. Sep&amp;Discrete_Guidance_Sheet2" xfId="6068"/>
    <cellStyle name="_MOR - BDWY - 1+11_MOR - Australia -  EC - 3+9_II.8. Sep&amp;Discrete_Guidance_Sheet3" xfId="6069"/>
    <cellStyle name="_MOR - BDWY - 1+11_MOR - Australia -  EC - 3+9_II.8. Sep&amp;Discrete_Guidance_Sheet4" xfId="6070"/>
    <cellStyle name="_MOR - BDWY - 1+11_MOR - Australia -  EC - 3+9_Restructuring &amp; Separation" xfId="6071"/>
    <cellStyle name="_MOR - BDWY - 1+11_MOR - Australia -  EC - 3+9_Restructuring &amp; Separation_Guidance" xfId="6072"/>
    <cellStyle name="_MOR - BDWY - 1+11_MOR - Australia -  EC - 3+9_Restructuring &amp; Separation_Guidance 2" xfId="6073"/>
    <cellStyle name="_MOR - BDWY - 1+11_MOR - Australia -  EC - 3+9_Restructuring &amp; Separation_Guidance_BS retrieve" xfId="6074"/>
    <cellStyle name="_MOR - BDWY - 1+11_MOR - Australia -  EC - 3+9_Restructuring &amp; Separation_Guidance_Free CF" xfId="6075"/>
    <cellStyle name="_MOR - BDWY - 1+11_MOR - Australia -  EC - 3+9_Restructuring &amp; Separation_Guidance_P&amp;L Rec Qtr" xfId="6076"/>
    <cellStyle name="_MOR - BDWY - 1+11_MOR - Australia -  EC - 3+9_Restructuring &amp; Separation_Guidance_Sheet1" xfId="6077"/>
    <cellStyle name="_MOR - BDWY - 1+11_MOR - Australia -  EC - 3+9_Restructuring &amp; Separation_Guidance_Sheet2" xfId="6078"/>
    <cellStyle name="_MOR - BDWY - 1+11_MOR - Australia -  EC - 3+9_Restructuring &amp; Separation_Guidance_Sheet3" xfId="6079"/>
    <cellStyle name="_MOR - BDWY - 1+11_MOR - Australia -  EC - 3+9_Restructuring &amp; Separation_Guidance_Sheet4" xfId="6080"/>
    <cellStyle name="_MOR - BDWY - 1+11_MOR - Australia -  EC - 3+9_Restructuring_Separation_TAX_JuneFC2010 tf" xfId="6081"/>
    <cellStyle name="_MOR - BDWY - 1+11_MOR - Australia -  EC - 3+9_Restructuring_Separation_TAX_JuneFC2010 tf_BS_Separation_TaxResIndem_Q12412 tf" xfId="6082"/>
    <cellStyle name="_MOR - BDWY - 1+11_MOR - Australia -  EC - 3+9_Restructuring_Separation_TAX_JuneFC2010 tf_BS_Separation_TaxResIndem_Q12412 tf_Guidance" xfId="6083"/>
    <cellStyle name="_MOR - BDWY - 1+11_MOR - Australia -  EC - 3+9_Restructuring_Separation_TAX_JuneFC2010 tf_BS_Separation_TaxResIndem_Q12412 tf_Guidance 2" xfId="6084"/>
    <cellStyle name="_MOR - BDWY - 1+11_MOR - Australia -  EC - 3+9_Restructuring_Separation_TAX_JuneFC2010 tf_BS_Separation_TaxResIndem_Q12412 tf_Guidance_BS retrieve" xfId="6085"/>
    <cellStyle name="_MOR - BDWY - 1+11_MOR - Australia -  EC - 3+9_Restructuring_Separation_TAX_JuneFC2010 tf_BS_Separation_TaxResIndem_Q12412 tf_Guidance_Free CF" xfId="6086"/>
    <cellStyle name="_MOR - BDWY - 1+11_MOR - Australia -  EC - 3+9_Restructuring_Separation_TAX_JuneFC2010 tf_BS_Separation_TaxResIndem_Q12412 tf_Guidance_P&amp;L Rec Qtr" xfId="6087"/>
    <cellStyle name="_MOR - BDWY - 1+11_MOR - Australia -  EC - 3+9_Restructuring_Separation_TAX_JuneFC2010 tf_BS_Separation_TaxResIndem_Q12412 tf_Guidance_Sheet1" xfId="6088"/>
    <cellStyle name="_MOR - BDWY - 1+11_MOR - Australia -  EC - 3+9_Restructuring_Separation_TAX_JuneFC2010 tf_BS_Separation_TaxResIndem_Q12412 tf_Guidance_Sheet2" xfId="6089"/>
    <cellStyle name="_MOR - BDWY - 1+11_MOR - Australia -  EC - 3+9_Restructuring_Separation_TAX_JuneFC2010 tf_BS_Separation_TaxResIndem_Q12412 tf_Guidance_Sheet3" xfId="6090"/>
    <cellStyle name="_MOR - BDWY - 1+11_MOR - Australia -  EC - 3+9_Restructuring_Separation_TAX_JuneFC2010 tf_BS_Separation_TaxResIndem_Q12412 tf_Guidance_Sheet4" xfId="6091"/>
    <cellStyle name="_MOR - BDWY - 1+11_MOR - Australia -  EC - 3+9_Restructuring_Separation_TAX_JuneFC2010 tf_BS_Separation_TaxResIndem_Q12412 tf_Restructuring &amp; Separation" xfId="6092"/>
    <cellStyle name="_MOR - BDWY - 1+11_MOR - Australia -  EC - 3+9_Restructuring_Separation_TAX_JuneFC2010 tf_BS_Separation_TaxResIndem_Q12412 tf_Restructuring &amp; Separation_Guidance" xfId="6093"/>
    <cellStyle name="_MOR - BDWY - 1+11_MOR - Australia -  EC - 3+9_Restructuring_Separation_TAX_JuneFC2010 tf_BS_Separation_TaxResIndem_Q12412 tf_Restructuring &amp; Separation_Guidance 2" xfId="6094"/>
    <cellStyle name="_MOR - BDWY - 1+11_MOR - Australia -  EC - 3+9_Restructuring_Separation_TAX_JuneFC2010 tf_BS_Separation_TaxResIndem_Q12412 tf_Restructuring &amp; Separation_Guidance_BS retrieve" xfId="6095"/>
    <cellStyle name="_MOR - BDWY - 1+11_MOR - Australia -  EC - 3+9_Restructuring_Separation_TAX_JuneFC2010 tf_BS_Separation_TaxResIndem_Q12412 tf_Restructuring &amp; Separation_Guidance_Free CF" xfId="6096"/>
    <cellStyle name="_MOR - BDWY - 1+11_MOR - Australia -  EC - 3+9_Restructuring_Separation_TAX_JuneFC2010 tf_BS_Separation_TaxResIndem_Q12412 tf_Restructuring &amp; Separation_Guidance_P&amp;L Rec Qtr" xfId="6097"/>
    <cellStyle name="_MOR - BDWY - 1+11_MOR - Australia -  EC - 3+9_Restructuring_Separation_TAX_JuneFC2010 tf_BS_Separation_TaxResIndem_Q12412 tf_Restructuring &amp; Separation_Guidance_Sheet1" xfId="6098"/>
    <cellStyle name="_MOR - BDWY - 1+11_MOR - Australia -  EC - 3+9_Restructuring_Separation_TAX_JuneFC2010 tf_BS_Separation_TaxResIndem_Q12412 tf_Restructuring &amp; Separation_Guidance_Sheet2" xfId="6099"/>
    <cellStyle name="_MOR - BDWY - 1+11_MOR - Australia -  EC - 3+9_Restructuring_Separation_TAX_JuneFC2010 tf_BS_Separation_TaxResIndem_Q12412 tf_Restructuring &amp; Separation_Guidance_Sheet3" xfId="6100"/>
    <cellStyle name="_MOR - BDWY - 1+11_MOR - Australia -  EC - 3+9_Restructuring_Separation_TAX_JuneFC2010 tf_BS_Separation_TaxResIndem_Q12412 tf_Restructuring &amp; Separation_Guidance_Sheet4" xfId="6101"/>
    <cellStyle name="_MOR - BDWY - 1+11_MOR - Australia -  EC - 3+9_Restructuring_Separation_TAX_JuneFC2010 tf_Guidance" xfId="6102"/>
    <cellStyle name="_MOR - BDWY - 1+11_MOR - Australia -  EC - 3+9_Restructuring_Separation_TAX_JuneFC2010 tf_Guidance 2" xfId="6103"/>
    <cellStyle name="_MOR - BDWY - 1+11_MOR - Australia -  EC - 3+9_Restructuring_Separation_TAX_JuneFC2010 tf_Guidance_BS retrieve" xfId="6104"/>
    <cellStyle name="_MOR - BDWY - 1+11_MOR - Australia -  EC - 3+9_Restructuring_Separation_TAX_JuneFC2010 tf_Guidance_Free CF" xfId="6105"/>
    <cellStyle name="_MOR - BDWY - 1+11_MOR - Australia -  EC - 3+9_Restructuring_Separation_TAX_JuneFC2010 tf_Guidance_P&amp;L Rec Qtr" xfId="6106"/>
    <cellStyle name="_MOR - BDWY - 1+11_MOR - Australia -  EC - 3+9_Restructuring_Separation_TAX_JuneFC2010 tf_Guidance_Sheet1" xfId="6107"/>
    <cellStyle name="_MOR - BDWY - 1+11_MOR - Australia -  EC - 3+9_Restructuring_Separation_TAX_JuneFC2010 tf_Guidance_Sheet2" xfId="6108"/>
    <cellStyle name="_MOR - BDWY - 1+11_MOR - Australia -  EC - 3+9_Restructuring_Separation_TAX_JuneFC2010 tf_Guidance_Sheet3" xfId="6109"/>
    <cellStyle name="_MOR - BDWY - 1+11_MOR - Australia -  EC - 3+9_Restructuring_Separation_TAX_JuneFC2010 tf_Guidance_Sheet4" xfId="6110"/>
    <cellStyle name="_MOR - BDWY - 1+11_MOR - Australia -  EC - 3+9_Restructuring_Separation_TAX_JuneFC2010 tf_II.8. Sep&amp;Discrete" xfId="6111"/>
    <cellStyle name="_MOR - BDWY - 1+11_MOR - Australia -  EC - 3+9_Restructuring_Separation_TAX_JuneFC2010 tf_II.8. Sep&amp;Discrete_Guidance" xfId="6112"/>
    <cellStyle name="_MOR - BDWY - 1+11_MOR - Australia -  EC - 3+9_Restructuring_Separation_TAX_JuneFC2010 tf_II.8. Sep&amp;Discrete_Guidance 2" xfId="6113"/>
    <cellStyle name="_MOR - BDWY - 1+11_MOR - Australia -  EC - 3+9_Restructuring_Separation_TAX_JuneFC2010 tf_II.8. Sep&amp;Discrete_Guidance_BS retrieve" xfId="6114"/>
    <cellStyle name="_MOR - BDWY - 1+11_MOR - Australia -  EC - 3+9_Restructuring_Separation_TAX_JuneFC2010 tf_II.8. Sep&amp;Discrete_Guidance_Free CF" xfId="6115"/>
    <cellStyle name="_MOR - BDWY - 1+11_MOR - Australia -  EC - 3+9_Restructuring_Separation_TAX_JuneFC2010 tf_II.8. Sep&amp;Discrete_Guidance_P&amp;L Rec Qtr" xfId="6116"/>
    <cellStyle name="_MOR - BDWY - 1+11_MOR - Australia -  EC - 3+9_Restructuring_Separation_TAX_JuneFC2010 tf_II.8. Sep&amp;Discrete_Guidance_Sheet1" xfId="6117"/>
    <cellStyle name="_MOR - BDWY - 1+11_MOR - Australia -  EC - 3+9_Restructuring_Separation_TAX_JuneFC2010 tf_II.8. Sep&amp;Discrete_Guidance_Sheet2" xfId="6118"/>
    <cellStyle name="_MOR - BDWY - 1+11_MOR - Australia -  EC - 3+9_Restructuring_Separation_TAX_JuneFC2010 tf_II.8. Sep&amp;Discrete_Guidance_Sheet3" xfId="6119"/>
    <cellStyle name="_MOR - BDWY - 1+11_MOR - Australia -  EC - 3+9_Restructuring_Separation_TAX_JuneFC2010 tf_II.8. Sep&amp;Discrete_Guidance_Sheet4" xfId="6120"/>
    <cellStyle name="_MOR - BDWY - 1+11_MOR - Australia -  EC - 3+9_Restructuring_Separation_TAX_JuneFC2010 tf_Restructuring &amp; Separation" xfId="6121"/>
    <cellStyle name="_MOR - BDWY - 1+11_MOR - Australia -  EC - 3+9_Restructuring_Separation_TAX_JuneFC2010 tf_Restructuring &amp; Separation_Guidance" xfId="6122"/>
    <cellStyle name="_MOR - BDWY - 1+11_MOR - Australia -  EC - 3+9_Restructuring_Separation_TAX_JuneFC2010 tf_Restructuring &amp; Separation_Guidance 2" xfId="6123"/>
    <cellStyle name="_MOR - BDWY - 1+11_MOR - Australia -  EC - 3+9_Restructuring_Separation_TAX_JuneFC2010 tf_Restructuring &amp; Separation_Guidance_BS retrieve" xfId="6124"/>
    <cellStyle name="_MOR - BDWY - 1+11_MOR - Australia -  EC - 3+9_Restructuring_Separation_TAX_JuneFC2010 tf_Restructuring &amp; Separation_Guidance_Free CF" xfId="6125"/>
    <cellStyle name="_MOR - BDWY - 1+11_MOR - Australia -  EC - 3+9_Restructuring_Separation_TAX_JuneFC2010 tf_Restructuring &amp; Separation_Guidance_P&amp;L Rec Qtr" xfId="6126"/>
    <cellStyle name="_MOR - BDWY - 1+11_MOR - Australia -  EC - 3+9_Restructuring_Separation_TAX_JuneFC2010 tf_Restructuring &amp; Separation_Guidance_Sheet1" xfId="6127"/>
    <cellStyle name="_MOR - BDWY - 1+11_MOR - Australia -  EC - 3+9_Restructuring_Separation_TAX_JuneFC2010 tf_Restructuring &amp; Separation_Guidance_Sheet2" xfId="6128"/>
    <cellStyle name="_MOR - BDWY - 1+11_MOR - Australia -  EC - 3+9_Restructuring_Separation_TAX_JuneFC2010 tf_Restructuring &amp; Separation_Guidance_Sheet3" xfId="6129"/>
    <cellStyle name="_MOR - BDWY - 1+11_MOR - Australia -  EC - 3+9_Restructuring_Separation_TAX_JuneFC2010 tf_Restructuring &amp; Separation_Guidance_Sheet4" xfId="6130"/>
    <cellStyle name="_MOR - BDWY - 1+11_MOR - Australia -  EC - 4+8" xfId="6131"/>
    <cellStyle name="_MOR - BDWY - 1+11_MOR - Australia -  EC - 4+8_BS_Separation_TaxResIndem_Q12412 tf" xfId="6132"/>
    <cellStyle name="_MOR - BDWY - 1+11_MOR - Australia -  EC - 4+8_BS_Separation_TaxResIndem_Q12412 tf_Guidance" xfId="6133"/>
    <cellStyle name="_MOR - BDWY - 1+11_MOR - Australia -  EC - 4+8_BS_Separation_TaxResIndem_Q12412 tf_Guidance 2" xfId="6134"/>
    <cellStyle name="_MOR - BDWY - 1+11_MOR - Australia -  EC - 4+8_BS_Separation_TaxResIndem_Q12412 tf_Guidance_BS retrieve" xfId="6135"/>
    <cellStyle name="_MOR - BDWY - 1+11_MOR - Australia -  EC - 4+8_BS_Separation_TaxResIndem_Q12412 tf_Guidance_Free CF" xfId="6136"/>
    <cellStyle name="_MOR - BDWY - 1+11_MOR - Australia -  EC - 4+8_BS_Separation_TaxResIndem_Q12412 tf_Guidance_P&amp;L Rec Qtr" xfId="6137"/>
    <cellStyle name="_MOR - BDWY - 1+11_MOR - Australia -  EC - 4+8_BS_Separation_TaxResIndem_Q12412 tf_Guidance_Sheet1" xfId="6138"/>
    <cellStyle name="_MOR - BDWY - 1+11_MOR - Australia -  EC - 4+8_BS_Separation_TaxResIndem_Q12412 tf_Guidance_Sheet2" xfId="6139"/>
    <cellStyle name="_MOR - BDWY - 1+11_MOR - Australia -  EC - 4+8_BS_Separation_TaxResIndem_Q12412 tf_Guidance_Sheet3" xfId="6140"/>
    <cellStyle name="_MOR - BDWY - 1+11_MOR - Australia -  EC - 4+8_BS_Separation_TaxResIndem_Q12412 tf_Guidance_Sheet4" xfId="6141"/>
    <cellStyle name="_MOR - BDWY - 1+11_MOR - Australia -  EC - 4+8_BS_Separation_TaxResIndem_Q12412 tf_Restructuring &amp; Separation" xfId="6142"/>
    <cellStyle name="_MOR - BDWY - 1+11_MOR - Australia -  EC - 4+8_BS_Separation_TaxResIndem_Q12412 tf_Restructuring &amp; Separation_Guidance" xfId="6143"/>
    <cellStyle name="_MOR - BDWY - 1+11_MOR - Australia -  EC - 4+8_BS_Separation_TaxResIndem_Q12412 tf_Restructuring &amp; Separation_Guidance 2" xfId="6144"/>
    <cellStyle name="_MOR - BDWY - 1+11_MOR - Australia -  EC - 4+8_BS_Separation_TaxResIndem_Q12412 tf_Restructuring &amp; Separation_Guidance_BS retrieve" xfId="6145"/>
    <cellStyle name="_MOR - BDWY - 1+11_MOR - Australia -  EC - 4+8_BS_Separation_TaxResIndem_Q12412 tf_Restructuring &amp; Separation_Guidance_Free CF" xfId="6146"/>
    <cellStyle name="_MOR - BDWY - 1+11_MOR - Australia -  EC - 4+8_BS_Separation_TaxResIndem_Q12412 tf_Restructuring &amp; Separation_Guidance_P&amp;L Rec Qtr" xfId="6147"/>
    <cellStyle name="_MOR - BDWY - 1+11_MOR - Australia -  EC - 4+8_BS_Separation_TaxResIndem_Q12412 tf_Restructuring &amp; Separation_Guidance_Sheet1" xfId="6148"/>
    <cellStyle name="_MOR - BDWY - 1+11_MOR - Australia -  EC - 4+8_BS_Separation_TaxResIndem_Q12412 tf_Restructuring &amp; Separation_Guidance_Sheet2" xfId="6149"/>
    <cellStyle name="_MOR - BDWY - 1+11_MOR - Australia -  EC - 4+8_BS_Separation_TaxResIndem_Q12412 tf_Restructuring &amp; Separation_Guidance_Sheet3" xfId="6150"/>
    <cellStyle name="_MOR - BDWY - 1+11_MOR - Australia -  EC - 4+8_BS_Separation_TaxResIndem_Q12412 tf_Restructuring &amp; Separation_Guidance_Sheet4" xfId="6151"/>
    <cellStyle name="_MOR - BDWY - 1+11_MOR - Australia -  EC - 4+8_By Country Detail 1Q10 041410pm FIN 18 revised per disc w Mary" xfId="6152"/>
    <cellStyle name="_MOR - BDWY - 1+11_MOR - Australia -  EC - 4+8_By Country Detail 1Q10 041410pm FIN 18 revised per disc w Mary_BS_Separation_TaxResIndem_Q12412 tf" xfId="6153"/>
    <cellStyle name="_MOR - BDWY - 1+11_MOR - Australia -  EC - 4+8_By Country Detail 1Q10 041410pm FIN 18 revised per disc w Mary_BS_Separation_TaxResIndem_Q12412 tf_Guidance" xfId="6154"/>
    <cellStyle name="_MOR - BDWY - 1+11_MOR - Australia -  EC - 4+8_By Country Detail 1Q10 041410pm FIN 18 revised per disc w Mary_BS_Separation_TaxResIndem_Q12412 tf_Guidance 2" xfId="6155"/>
    <cellStyle name="_MOR - BDWY - 1+11_MOR - Australia -  EC - 4+8_By Country Detail 1Q10 041410pm FIN 18 revised per disc w Mary_BS_Separation_TaxResIndem_Q12412 tf_Guidance_BS retrieve" xfId="6156"/>
    <cellStyle name="_MOR - BDWY - 1+11_MOR - Australia -  EC - 4+8_By Country Detail 1Q10 041410pm FIN 18 revised per disc w Mary_BS_Separation_TaxResIndem_Q12412 tf_Guidance_Free CF" xfId="6157"/>
    <cellStyle name="_MOR - BDWY - 1+11_MOR - Australia -  EC - 4+8_By Country Detail 1Q10 041410pm FIN 18 revised per disc w Mary_BS_Separation_TaxResIndem_Q12412 tf_Guidance_P&amp;L Rec Qtr" xfId="6158"/>
    <cellStyle name="_MOR - BDWY - 1+11_MOR - Australia -  EC - 4+8_By Country Detail 1Q10 041410pm FIN 18 revised per disc w Mary_BS_Separation_TaxResIndem_Q12412 tf_Guidance_Sheet1" xfId="6159"/>
    <cellStyle name="_MOR - BDWY - 1+11_MOR - Australia -  EC - 4+8_By Country Detail 1Q10 041410pm FIN 18 revised per disc w Mary_BS_Separation_TaxResIndem_Q12412 tf_Guidance_Sheet2" xfId="6160"/>
    <cellStyle name="_MOR - BDWY - 1+11_MOR - Australia -  EC - 4+8_By Country Detail 1Q10 041410pm FIN 18 revised per disc w Mary_BS_Separation_TaxResIndem_Q12412 tf_Guidance_Sheet3" xfId="6161"/>
    <cellStyle name="_MOR - BDWY - 1+11_MOR - Australia -  EC - 4+8_By Country Detail 1Q10 041410pm FIN 18 revised per disc w Mary_BS_Separation_TaxResIndem_Q12412 tf_Guidance_Sheet4" xfId="6162"/>
    <cellStyle name="_MOR - BDWY - 1+11_MOR - Australia -  EC - 4+8_By Country Detail 1Q10 041410pm FIN 18 revised per disc w Mary_BS_Separation_TaxResIndem_Q12412 tf_Restructuring &amp; Separation" xfId="6163"/>
    <cellStyle name="_MOR - BDWY - 1+11_MOR - Australia -  EC - 4+8_By Country Detail 1Q10 041410pm FIN 18 revised per disc w Mary_BS_Separation_TaxResIndem_Q12412 tf_Restructuring &amp; Separation_Guidance" xfId="6164"/>
    <cellStyle name="_MOR - BDWY - 1+11_MOR - Australia -  EC - 4+8_By Country Detail 1Q10 041410pm FIN 18 revised per disc w Mary_BS_Separation_TaxResIndem_Q12412 tf_Restructuring &amp; Separation_Guidance 2" xfId="6165"/>
    <cellStyle name="_MOR - BDWY - 1+11_MOR - Australia -  EC - 4+8_By Country Detail 1Q10 041410pm FIN 18 revised per disc w Mary_BS_Separation_TaxResIndem_Q12412 tf_Restructuring &amp; Separation_Guidance_BS retrieve" xfId="6166"/>
    <cellStyle name="_MOR - BDWY - 1+11_MOR - Australia -  EC - 4+8_By Country Detail 1Q10 041410pm FIN 18 revised per disc w Mary_BS_Separation_TaxResIndem_Q12412 tf_Restructuring &amp; Separation_Guidance_Free CF" xfId="6167"/>
    <cellStyle name="_MOR - BDWY - 1+11_MOR - Australia -  EC - 4+8_By Country Detail 1Q10 041410pm FIN 18 revised per disc w Mary_BS_Separation_TaxResIndem_Q12412 tf_Restructuring &amp; Separation_Guidance_P&amp;L Rec Qtr" xfId="6168"/>
    <cellStyle name="_MOR - BDWY - 1+11_MOR - Australia -  EC - 4+8_By Country Detail 1Q10 041410pm FIN 18 revised per disc w Mary_BS_Separation_TaxResIndem_Q12412 tf_Restructuring &amp; Separation_Guidance_Sheet1" xfId="6169"/>
    <cellStyle name="_MOR - BDWY - 1+11_MOR - Australia -  EC - 4+8_By Country Detail 1Q10 041410pm FIN 18 revised per disc w Mary_BS_Separation_TaxResIndem_Q12412 tf_Restructuring &amp; Separation_Guidance_Sheet2" xfId="6170"/>
    <cellStyle name="_MOR - BDWY - 1+11_MOR - Australia -  EC - 4+8_By Country Detail 1Q10 041410pm FIN 18 revised per disc w Mary_BS_Separation_TaxResIndem_Q12412 tf_Restructuring &amp; Separation_Guidance_Sheet3" xfId="6171"/>
    <cellStyle name="_MOR - BDWY - 1+11_MOR - Australia -  EC - 4+8_By Country Detail 1Q10 041410pm FIN 18 revised per disc w Mary_BS_Separation_TaxResIndem_Q12412 tf_Restructuring &amp; Separation_Guidance_Sheet4" xfId="6172"/>
    <cellStyle name="_MOR - BDWY - 1+11_MOR - Australia -  EC - 4+8_By Country Detail 1Q10 041410pm FIN 18 revised per disc w Mary_Guidance" xfId="6173"/>
    <cellStyle name="_MOR - BDWY - 1+11_MOR - Australia -  EC - 4+8_By Country Detail 1Q10 041410pm FIN 18 revised per disc w Mary_Guidance 2" xfId="6174"/>
    <cellStyle name="_MOR - BDWY - 1+11_MOR - Australia -  EC - 4+8_By Country Detail 1Q10 041410pm FIN 18 revised per disc w Mary_Guidance_BS retrieve" xfId="6175"/>
    <cellStyle name="_MOR - BDWY - 1+11_MOR - Australia -  EC - 4+8_By Country Detail 1Q10 041410pm FIN 18 revised per disc w Mary_Guidance_Free CF" xfId="6176"/>
    <cellStyle name="_MOR - BDWY - 1+11_MOR - Australia -  EC - 4+8_By Country Detail 1Q10 041410pm FIN 18 revised per disc w Mary_Guidance_P&amp;L Rec Qtr" xfId="6177"/>
    <cellStyle name="_MOR - BDWY - 1+11_MOR - Australia -  EC - 4+8_By Country Detail 1Q10 041410pm FIN 18 revised per disc w Mary_Guidance_Sheet1" xfId="6178"/>
    <cellStyle name="_MOR - BDWY - 1+11_MOR - Australia -  EC - 4+8_By Country Detail 1Q10 041410pm FIN 18 revised per disc w Mary_Guidance_Sheet2" xfId="6179"/>
    <cellStyle name="_MOR - BDWY - 1+11_MOR - Australia -  EC - 4+8_By Country Detail 1Q10 041410pm FIN 18 revised per disc w Mary_Guidance_Sheet3" xfId="6180"/>
    <cellStyle name="_MOR - BDWY - 1+11_MOR - Australia -  EC - 4+8_By Country Detail 1Q10 041410pm FIN 18 revised per disc w Mary_Guidance_Sheet4" xfId="6181"/>
    <cellStyle name="_MOR - BDWY - 1+11_MOR - Australia -  EC - 4+8_By Country Detail 1Q10 041410pm FIN 18 revised per disc w Mary_II.8. Sep&amp;Discrete" xfId="6182"/>
    <cellStyle name="_MOR - BDWY - 1+11_MOR - Australia -  EC - 4+8_By Country Detail 1Q10 041410pm FIN 18 revised per disc w Mary_II.8. Sep&amp;Discrete_Guidance" xfId="6183"/>
    <cellStyle name="_MOR - BDWY - 1+11_MOR - Australia -  EC - 4+8_By Country Detail 1Q10 041410pm FIN 18 revised per disc w Mary_II.8. Sep&amp;Discrete_Guidance 2" xfId="6184"/>
    <cellStyle name="_MOR - BDWY - 1+11_MOR - Australia -  EC - 4+8_By Country Detail 1Q10 041410pm FIN 18 revised per disc w Mary_II.8. Sep&amp;Discrete_Guidance_BS retrieve" xfId="6185"/>
    <cellStyle name="_MOR - BDWY - 1+11_MOR - Australia -  EC - 4+8_By Country Detail 1Q10 041410pm FIN 18 revised per disc w Mary_II.8. Sep&amp;Discrete_Guidance_Free CF" xfId="6186"/>
    <cellStyle name="_MOR - BDWY - 1+11_MOR - Australia -  EC - 4+8_By Country Detail 1Q10 041410pm FIN 18 revised per disc w Mary_II.8. Sep&amp;Discrete_Guidance_P&amp;L Rec Qtr" xfId="6187"/>
    <cellStyle name="_MOR - BDWY - 1+11_MOR - Australia -  EC - 4+8_By Country Detail 1Q10 041410pm FIN 18 revised per disc w Mary_II.8. Sep&amp;Discrete_Guidance_Sheet1" xfId="6188"/>
    <cellStyle name="_MOR - BDWY - 1+11_MOR - Australia -  EC - 4+8_By Country Detail 1Q10 041410pm FIN 18 revised per disc w Mary_II.8. Sep&amp;Discrete_Guidance_Sheet2" xfId="6189"/>
    <cellStyle name="_MOR - BDWY - 1+11_MOR - Australia -  EC - 4+8_By Country Detail 1Q10 041410pm FIN 18 revised per disc w Mary_II.8. Sep&amp;Discrete_Guidance_Sheet3" xfId="6190"/>
    <cellStyle name="_MOR - BDWY - 1+11_MOR - Australia -  EC - 4+8_By Country Detail 1Q10 041410pm FIN 18 revised per disc w Mary_II.8. Sep&amp;Discrete_Guidance_Sheet4" xfId="6191"/>
    <cellStyle name="_MOR - BDWY - 1+11_MOR - Australia -  EC - 4+8_By Country Detail 1Q10 041410pm FIN 18 revised per disc w Mary_Restructuring &amp; Separation" xfId="6192"/>
    <cellStyle name="_MOR - BDWY - 1+11_MOR - Australia -  EC - 4+8_By Country Detail 1Q10 041410pm FIN 18 revised per disc w Mary_Restructuring &amp; Separation_Guidance" xfId="6193"/>
    <cellStyle name="_MOR - BDWY - 1+11_MOR - Australia -  EC - 4+8_By Country Detail 1Q10 041410pm FIN 18 revised per disc w Mary_Restructuring &amp; Separation_Guidance 2" xfId="6194"/>
    <cellStyle name="_MOR - BDWY - 1+11_MOR - Australia -  EC - 4+8_By Country Detail 1Q10 041410pm FIN 18 revised per disc w Mary_Restructuring &amp; Separation_Guidance_BS retrieve" xfId="6195"/>
    <cellStyle name="_MOR - BDWY - 1+11_MOR - Australia -  EC - 4+8_By Country Detail 1Q10 041410pm FIN 18 revised per disc w Mary_Restructuring &amp; Separation_Guidance_Free CF" xfId="6196"/>
    <cellStyle name="_MOR - BDWY - 1+11_MOR - Australia -  EC - 4+8_By Country Detail 1Q10 041410pm FIN 18 revised per disc w Mary_Restructuring &amp; Separation_Guidance_P&amp;L Rec Qtr" xfId="6197"/>
    <cellStyle name="_MOR - BDWY - 1+11_MOR - Australia -  EC - 4+8_By Country Detail 1Q10 041410pm FIN 18 revised per disc w Mary_Restructuring &amp; Separation_Guidance_Sheet1" xfId="6198"/>
    <cellStyle name="_MOR - BDWY - 1+11_MOR - Australia -  EC - 4+8_By Country Detail 1Q10 041410pm FIN 18 revised per disc w Mary_Restructuring &amp; Separation_Guidance_Sheet2" xfId="6199"/>
    <cellStyle name="_MOR - BDWY - 1+11_MOR - Australia -  EC - 4+8_By Country Detail 1Q10 041410pm FIN 18 revised per disc w Mary_Restructuring &amp; Separation_Guidance_Sheet3" xfId="6200"/>
    <cellStyle name="_MOR - BDWY - 1+11_MOR - Australia -  EC - 4+8_By Country Detail 1Q10 041410pm FIN 18 revised per disc w Mary_Restructuring &amp; Separation_Guidance_Sheet4" xfId="6201"/>
    <cellStyle name="_MOR - BDWY - 1+11_MOR - Australia -  EC - 4+8_Guidance" xfId="6202"/>
    <cellStyle name="_MOR - BDWY - 1+11_MOR - Australia -  EC - 4+8_Guidance 2" xfId="6203"/>
    <cellStyle name="_MOR - BDWY - 1+11_MOR - Australia -  EC - 4+8_Guidance_BS retrieve" xfId="6204"/>
    <cellStyle name="_MOR - BDWY - 1+11_MOR - Australia -  EC - 4+8_Guidance_Free CF" xfId="6205"/>
    <cellStyle name="_MOR - BDWY - 1+11_MOR - Australia -  EC - 4+8_Guidance_P&amp;L Rec Qtr" xfId="6206"/>
    <cellStyle name="_MOR - BDWY - 1+11_MOR - Australia -  EC - 4+8_Guidance_Sheet1" xfId="6207"/>
    <cellStyle name="_MOR - BDWY - 1+11_MOR - Australia -  EC - 4+8_Guidance_Sheet2" xfId="6208"/>
    <cellStyle name="_MOR - BDWY - 1+11_MOR - Australia -  EC - 4+8_Guidance_Sheet3" xfId="6209"/>
    <cellStyle name="_MOR - BDWY - 1+11_MOR - Australia -  EC - 4+8_Guidance_Sheet4" xfId="6210"/>
    <cellStyle name="_MOR - BDWY - 1+11_MOR - Australia -  EC - 4+8_II.4. RawMaterials" xfId="6211"/>
    <cellStyle name="_MOR - BDWY - 1+11_MOR - Australia -  EC - 4+8_II.4. RawMaterials 2" xfId="6212"/>
    <cellStyle name="_MOR - BDWY - 1+11_MOR - Australia -  EC - 4+8_II.4. RawMaterials_BS retrieve" xfId="6213"/>
    <cellStyle name="_MOR - BDWY - 1+11_MOR - Australia -  EC - 4+8_II.4. RawMaterials_Free CF" xfId="6214"/>
    <cellStyle name="_MOR - BDWY - 1+11_MOR - Australia -  EC - 4+8_II.4. RawMaterials_P&amp;L Rec Qtr" xfId="6215"/>
    <cellStyle name="_MOR - BDWY - 1+11_MOR - Australia -  EC - 4+8_II.4. RawMaterials_Sheet1" xfId="6216"/>
    <cellStyle name="_MOR - BDWY - 1+11_MOR - Australia -  EC - 4+8_II.4. RawMaterials_Sheet2" xfId="6217"/>
    <cellStyle name="_MOR - BDWY - 1+11_MOR - Australia -  EC - 4+8_II.4. RawMaterials_Sheet3" xfId="6218"/>
    <cellStyle name="_MOR - BDWY - 1+11_MOR - Australia -  EC - 4+8_II.4. RawMaterials_Sheet4" xfId="6219"/>
    <cellStyle name="_MOR - BDWY - 1+11_MOR - Australia -  EC - 4+8_II.5. RawMaterials" xfId="6220"/>
    <cellStyle name="_MOR - BDWY - 1+11_MOR - Australia -  EC - 4+8_II.5. RawMaterials 2" xfId="6221"/>
    <cellStyle name="_MOR - BDWY - 1+11_MOR - Australia -  EC - 4+8_II.5. RawMaterials_BS retrieve" xfId="6222"/>
    <cellStyle name="_MOR - BDWY - 1+11_MOR - Australia -  EC - 4+8_II.5. RawMaterials_Free CF" xfId="6223"/>
    <cellStyle name="_MOR - BDWY - 1+11_MOR - Australia -  EC - 4+8_II.5. RawMaterials_Guidance" xfId="6224"/>
    <cellStyle name="_MOR - BDWY - 1+11_MOR - Australia -  EC - 4+8_II.5. RawMaterials_Guidance 2" xfId="6225"/>
    <cellStyle name="_MOR - BDWY - 1+11_MOR - Australia -  EC - 4+8_II.5. RawMaterials_Guidance_BS retrieve" xfId="6226"/>
    <cellStyle name="_MOR - BDWY - 1+11_MOR - Australia -  EC - 4+8_II.5. RawMaterials_Guidance_Free CF" xfId="6227"/>
    <cellStyle name="_MOR - BDWY - 1+11_MOR - Australia -  EC - 4+8_II.5. RawMaterials_Guidance_P&amp;L Rec Qtr" xfId="6228"/>
    <cellStyle name="_MOR - BDWY - 1+11_MOR - Australia -  EC - 4+8_II.5. RawMaterials_Guidance_Sheet1" xfId="6229"/>
    <cellStyle name="_MOR - BDWY - 1+11_MOR - Australia -  EC - 4+8_II.5. RawMaterials_Guidance_Sheet2" xfId="6230"/>
    <cellStyle name="_MOR - BDWY - 1+11_MOR - Australia -  EC - 4+8_II.5. RawMaterials_Guidance_Sheet3" xfId="6231"/>
    <cellStyle name="_MOR - BDWY - 1+11_MOR - Australia -  EC - 4+8_II.5. RawMaterials_Guidance_Sheet4" xfId="6232"/>
    <cellStyle name="_MOR - BDWY - 1+11_MOR - Australia -  EC - 4+8_II.5. RawMaterials_P&amp;L Rec Qtr" xfId="6233"/>
    <cellStyle name="_MOR - BDWY - 1+11_MOR - Australia -  EC - 4+8_II.5. RawMaterials_Sheet1" xfId="6234"/>
    <cellStyle name="_MOR - BDWY - 1+11_MOR - Australia -  EC - 4+8_II.5. RawMaterials_Sheet2" xfId="6235"/>
    <cellStyle name="_MOR - BDWY - 1+11_MOR - Australia -  EC - 4+8_II.5. RawMaterials_Sheet3" xfId="6236"/>
    <cellStyle name="_MOR - BDWY - 1+11_MOR - Australia -  EC - 4+8_II.5. RawMaterials_Sheet4" xfId="6237"/>
    <cellStyle name="_MOR - BDWY - 1+11_MOR - Australia -  EC - 4+8_II.5. RM Volume Sensitivities" xfId="6238"/>
    <cellStyle name="_MOR - BDWY - 1+11_MOR - Australia -  EC - 4+8_II.5. RM Volume Sensitivities 2" xfId="6239"/>
    <cellStyle name="_MOR - BDWY - 1+11_MOR - Australia -  EC - 4+8_II.5. RM Volume Sensitivities_BS retrieve" xfId="6240"/>
    <cellStyle name="_MOR - BDWY - 1+11_MOR - Australia -  EC - 4+8_II.5. RM Volume Sensitivities_Free CF" xfId="6241"/>
    <cellStyle name="_MOR - BDWY - 1+11_MOR - Australia -  EC - 4+8_II.5. RM Volume Sensitivities_P&amp;L Rec Qtr" xfId="6242"/>
    <cellStyle name="_MOR - BDWY - 1+11_MOR - Australia -  EC - 4+8_II.5. RM Volume Sensitivities_Sheet1" xfId="6243"/>
    <cellStyle name="_MOR - BDWY - 1+11_MOR - Australia -  EC - 4+8_II.5. RM Volume Sensitivities_Sheet2" xfId="6244"/>
    <cellStyle name="_MOR - BDWY - 1+11_MOR - Australia -  EC - 4+8_II.5. RM Volume Sensitivities_Sheet3" xfId="6245"/>
    <cellStyle name="_MOR - BDWY - 1+11_MOR - Australia -  EC - 4+8_II.5. RM Volume Sensitivities_Sheet4" xfId="6246"/>
    <cellStyle name="_MOR - BDWY - 1+11_MOR - Australia -  EC - 4+8_II.8. Sep&amp;Discrete" xfId="6247"/>
    <cellStyle name="_MOR - BDWY - 1+11_MOR - Australia -  EC - 4+8_II.8. Sep&amp;Discrete_Guidance" xfId="6248"/>
    <cellStyle name="_MOR - BDWY - 1+11_MOR - Australia -  EC - 4+8_II.8. Sep&amp;Discrete_Guidance 2" xfId="6249"/>
    <cellStyle name="_MOR - BDWY - 1+11_MOR - Australia -  EC - 4+8_II.8. Sep&amp;Discrete_Guidance_BS retrieve" xfId="6250"/>
    <cellStyle name="_MOR - BDWY - 1+11_MOR - Australia -  EC - 4+8_II.8. Sep&amp;Discrete_Guidance_Free CF" xfId="6251"/>
    <cellStyle name="_MOR - BDWY - 1+11_MOR - Australia -  EC - 4+8_II.8. Sep&amp;Discrete_Guidance_P&amp;L Rec Qtr" xfId="6252"/>
    <cellStyle name="_MOR - BDWY - 1+11_MOR - Australia -  EC - 4+8_II.8. Sep&amp;Discrete_Guidance_Sheet1" xfId="6253"/>
    <cellStyle name="_MOR - BDWY - 1+11_MOR - Australia -  EC - 4+8_II.8. Sep&amp;Discrete_Guidance_Sheet2" xfId="6254"/>
    <cellStyle name="_MOR - BDWY - 1+11_MOR - Australia -  EC - 4+8_II.8. Sep&amp;Discrete_Guidance_Sheet3" xfId="6255"/>
    <cellStyle name="_MOR - BDWY - 1+11_MOR - Australia -  EC - 4+8_II.8. Sep&amp;Discrete_Guidance_Sheet4" xfId="6256"/>
    <cellStyle name="_MOR - BDWY - 1+11_MOR - Australia -  EC - 4+8_Restructuring &amp; Separation" xfId="6257"/>
    <cellStyle name="_MOR - BDWY - 1+11_MOR - Australia -  EC - 4+8_Restructuring &amp; Separation_Guidance" xfId="6258"/>
    <cellStyle name="_MOR - BDWY - 1+11_MOR - Australia -  EC - 4+8_Restructuring &amp; Separation_Guidance 2" xfId="6259"/>
    <cellStyle name="_MOR - BDWY - 1+11_MOR - Australia -  EC - 4+8_Restructuring &amp; Separation_Guidance_BS retrieve" xfId="6260"/>
    <cellStyle name="_MOR - BDWY - 1+11_MOR - Australia -  EC - 4+8_Restructuring &amp; Separation_Guidance_Free CF" xfId="6261"/>
    <cellStyle name="_MOR - BDWY - 1+11_MOR - Australia -  EC - 4+8_Restructuring &amp; Separation_Guidance_P&amp;L Rec Qtr" xfId="6262"/>
    <cellStyle name="_MOR - BDWY - 1+11_MOR - Australia -  EC - 4+8_Restructuring &amp; Separation_Guidance_Sheet1" xfId="6263"/>
    <cellStyle name="_MOR - BDWY - 1+11_MOR - Australia -  EC - 4+8_Restructuring &amp; Separation_Guidance_Sheet2" xfId="6264"/>
    <cellStyle name="_MOR - BDWY - 1+11_MOR - Australia -  EC - 4+8_Restructuring &amp; Separation_Guidance_Sheet3" xfId="6265"/>
    <cellStyle name="_MOR - BDWY - 1+11_MOR - Australia -  EC - 4+8_Restructuring &amp; Separation_Guidance_Sheet4" xfId="6266"/>
    <cellStyle name="_MOR - BDWY - 1+11_MOR - Australia -  EC - 4+8_Restructuring_Separation_TAX_JuneFC2010 tf" xfId="6267"/>
    <cellStyle name="_MOR - BDWY - 1+11_MOR - Australia -  EC - 4+8_Restructuring_Separation_TAX_JuneFC2010 tf_BS_Separation_TaxResIndem_Q12412 tf" xfId="6268"/>
    <cellStyle name="_MOR - BDWY - 1+11_MOR - Australia -  EC - 4+8_Restructuring_Separation_TAX_JuneFC2010 tf_BS_Separation_TaxResIndem_Q12412 tf_Guidance" xfId="6269"/>
    <cellStyle name="_MOR - BDWY - 1+11_MOR - Australia -  EC - 4+8_Restructuring_Separation_TAX_JuneFC2010 tf_BS_Separation_TaxResIndem_Q12412 tf_Guidance 2" xfId="6270"/>
    <cellStyle name="_MOR - BDWY - 1+11_MOR - Australia -  EC - 4+8_Restructuring_Separation_TAX_JuneFC2010 tf_BS_Separation_TaxResIndem_Q12412 tf_Guidance_BS retrieve" xfId="6271"/>
    <cellStyle name="_MOR - BDWY - 1+11_MOR - Australia -  EC - 4+8_Restructuring_Separation_TAX_JuneFC2010 tf_BS_Separation_TaxResIndem_Q12412 tf_Guidance_Free CF" xfId="6272"/>
    <cellStyle name="_MOR - BDWY - 1+11_MOR - Australia -  EC - 4+8_Restructuring_Separation_TAX_JuneFC2010 tf_BS_Separation_TaxResIndem_Q12412 tf_Guidance_P&amp;L Rec Qtr" xfId="6273"/>
    <cellStyle name="_MOR - BDWY - 1+11_MOR - Australia -  EC - 4+8_Restructuring_Separation_TAX_JuneFC2010 tf_BS_Separation_TaxResIndem_Q12412 tf_Guidance_Sheet1" xfId="6274"/>
    <cellStyle name="_MOR - BDWY - 1+11_MOR - Australia -  EC - 4+8_Restructuring_Separation_TAX_JuneFC2010 tf_BS_Separation_TaxResIndem_Q12412 tf_Guidance_Sheet2" xfId="6275"/>
    <cellStyle name="_MOR - BDWY - 1+11_MOR - Australia -  EC - 4+8_Restructuring_Separation_TAX_JuneFC2010 tf_BS_Separation_TaxResIndem_Q12412 tf_Guidance_Sheet3" xfId="6276"/>
    <cellStyle name="_MOR - BDWY - 1+11_MOR - Australia -  EC - 4+8_Restructuring_Separation_TAX_JuneFC2010 tf_BS_Separation_TaxResIndem_Q12412 tf_Guidance_Sheet4" xfId="6277"/>
    <cellStyle name="_MOR - BDWY - 1+11_MOR - Australia -  EC - 4+8_Restructuring_Separation_TAX_JuneFC2010 tf_BS_Separation_TaxResIndem_Q12412 tf_Restructuring &amp; Separation" xfId="6278"/>
    <cellStyle name="_MOR - BDWY - 1+11_MOR - Australia -  EC - 4+8_Restructuring_Separation_TAX_JuneFC2010 tf_BS_Separation_TaxResIndem_Q12412 tf_Restructuring &amp; Separation_Guidance" xfId="6279"/>
    <cellStyle name="_MOR - BDWY - 1+11_MOR - Australia -  EC - 4+8_Restructuring_Separation_TAX_JuneFC2010 tf_BS_Separation_TaxResIndem_Q12412 tf_Restructuring &amp; Separation_Guidance 2" xfId="6280"/>
    <cellStyle name="_MOR - BDWY - 1+11_MOR - Australia -  EC - 4+8_Restructuring_Separation_TAX_JuneFC2010 tf_BS_Separation_TaxResIndem_Q12412 tf_Restructuring &amp; Separation_Guidance_BS retrieve" xfId="6281"/>
    <cellStyle name="_MOR - BDWY - 1+11_MOR - Australia -  EC - 4+8_Restructuring_Separation_TAX_JuneFC2010 tf_BS_Separation_TaxResIndem_Q12412 tf_Restructuring &amp; Separation_Guidance_Free CF" xfId="6282"/>
    <cellStyle name="_MOR - BDWY - 1+11_MOR - Australia -  EC - 4+8_Restructuring_Separation_TAX_JuneFC2010 tf_BS_Separation_TaxResIndem_Q12412 tf_Restructuring &amp; Separation_Guidance_P&amp;L Rec Qtr" xfId="6283"/>
    <cellStyle name="_MOR - BDWY - 1+11_MOR - Australia -  EC - 4+8_Restructuring_Separation_TAX_JuneFC2010 tf_BS_Separation_TaxResIndem_Q12412 tf_Restructuring &amp; Separation_Guidance_Sheet1" xfId="6284"/>
    <cellStyle name="_MOR - BDWY - 1+11_MOR - Australia -  EC - 4+8_Restructuring_Separation_TAX_JuneFC2010 tf_BS_Separation_TaxResIndem_Q12412 tf_Restructuring &amp; Separation_Guidance_Sheet2" xfId="6285"/>
    <cellStyle name="_MOR - BDWY - 1+11_MOR - Australia -  EC - 4+8_Restructuring_Separation_TAX_JuneFC2010 tf_BS_Separation_TaxResIndem_Q12412 tf_Restructuring &amp; Separation_Guidance_Sheet3" xfId="6286"/>
    <cellStyle name="_MOR - BDWY - 1+11_MOR - Australia -  EC - 4+8_Restructuring_Separation_TAX_JuneFC2010 tf_BS_Separation_TaxResIndem_Q12412 tf_Restructuring &amp; Separation_Guidance_Sheet4" xfId="6287"/>
    <cellStyle name="_MOR - BDWY - 1+11_MOR - Australia -  EC - 4+8_Restructuring_Separation_TAX_JuneFC2010 tf_Guidance" xfId="6288"/>
    <cellStyle name="_MOR - BDWY - 1+11_MOR - Australia -  EC - 4+8_Restructuring_Separation_TAX_JuneFC2010 tf_Guidance 2" xfId="6289"/>
    <cellStyle name="_MOR - BDWY - 1+11_MOR - Australia -  EC - 4+8_Restructuring_Separation_TAX_JuneFC2010 tf_Guidance_BS retrieve" xfId="6290"/>
    <cellStyle name="_MOR - BDWY - 1+11_MOR - Australia -  EC - 4+8_Restructuring_Separation_TAX_JuneFC2010 tf_Guidance_Free CF" xfId="6291"/>
    <cellStyle name="_MOR - BDWY - 1+11_MOR - Australia -  EC - 4+8_Restructuring_Separation_TAX_JuneFC2010 tf_Guidance_P&amp;L Rec Qtr" xfId="6292"/>
    <cellStyle name="_MOR - BDWY - 1+11_MOR - Australia -  EC - 4+8_Restructuring_Separation_TAX_JuneFC2010 tf_Guidance_Sheet1" xfId="6293"/>
    <cellStyle name="_MOR - BDWY - 1+11_MOR - Australia -  EC - 4+8_Restructuring_Separation_TAX_JuneFC2010 tf_Guidance_Sheet2" xfId="6294"/>
    <cellStyle name="_MOR - BDWY - 1+11_MOR - Australia -  EC - 4+8_Restructuring_Separation_TAX_JuneFC2010 tf_Guidance_Sheet3" xfId="6295"/>
    <cellStyle name="_MOR - BDWY - 1+11_MOR - Australia -  EC - 4+8_Restructuring_Separation_TAX_JuneFC2010 tf_Guidance_Sheet4" xfId="6296"/>
    <cellStyle name="_MOR - BDWY - 1+11_MOR - Australia -  EC - 4+8_Restructuring_Separation_TAX_JuneFC2010 tf_II.8. Sep&amp;Discrete" xfId="6297"/>
    <cellStyle name="_MOR - BDWY - 1+11_MOR - Australia -  EC - 4+8_Restructuring_Separation_TAX_JuneFC2010 tf_II.8. Sep&amp;Discrete_Guidance" xfId="6298"/>
    <cellStyle name="_MOR - BDWY - 1+11_MOR - Australia -  EC - 4+8_Restructuring_Separation_TAX_JuneFC2010 tf_II.8. Sep&amp;Discrete_Guidance 2" xfId="6299"/>
    <cellStyle name="_MOR - BDWY - 1+11_MOR - Australia -  EC - 4+8_Restructuring_Separation_TAX_JuneFC2010 tf_II.8. Sep&amp;Discrete_Guidance_BS retrieve" xfId="6300"/>
    <cellStyle name="_MOR - BDWY - 1+11_MOR - Australia -  EC - 4+8_Restructuring_Separation_TAX_JuneFC2010 tf_II.8. Sep&amp;Discrete_Guidance_Free CF" xfId="6301"/>
    <cellStyle name="_MOR - BDWY - 1+11_MOR - Australia -  EC - 4+8_Restructuring_Separation_TAX_JuneFC2010 tf_II.8. Sep&amp;Discrete_Guidance_P&amp;L Rec Qtr" xfId="6302"/>
    <cellStyle name="_MOR - BDWY - 1+11_MOR - Australia -  EC - 4+8_Restructuring_Separation_TAX_JuneFC2010 tf_II.8. Sep&amp;Discrete_Guidance_Sheet1" xfId="6303"/>
    <cellStyle name="_MOR - BDWY - 1+11_MOR - Australia -  EC - 4+8_Restructuring_Separation_TAX_JuneFC2010 tf_II.8. Sep&amp;Discrete_Guidance_Sheet2" xfId="6304"/>
    <cellStyle name="_MOR - BDWY - 1+11_MOR - Australia -  EC - 4+8_Restructuring_Separation_TAX_JuneFC2010 tf_II.8. Sep&amp;Discrete_Guidance_Sheet3" xfId="6305"/>
    <cellStyle name="_MOR - BDWY - 1+11_MOR - Australia -  EC - 4+8_Restructuring_Separation_TAX_JuneFC2010 tf_II.8. Sep&amp;Discrete_Guidance_Sheet4" xfId="6306"/>
    <cellStyle name="_MOR - BDWY - 1+11_MOR - Australia -  EC - 4+8_Restructuring_Separation_TAX_JuneFC2010 tf_Restructuring &amp; Separation" xfId="6307"/>
    <cellStyle name="_MOR - BDWY - 1+11_MOR - Australia -  EC - 4+8_Restructuring_Separation_TAX_JuneFC2010 tf_Restructuring &amp; Separation_Guidance" xfId="6308"/>
    <cellStyle name="_MOR - BDWY - 1+11_MOR - Australia -  EC - 4+8_Restructuring_Separation_TAX_JuneFC2010 tf_Restructuring &amp; Separation_Guidance 2" xfId="6309"/>
    <cellStyle name="_MOR - BDWY - 1+11_MOR - Australia -  EC - 4+8_Restructuring_Separation_TAX_JuneFC2010 tf_Restructuring &amp; Separation_Guidance_BS retrieve" xfId="6310"/>
    <cellStyle name="_MOR - BDWY - 1+11_MOR - Australia -  EC - 4+8_Restructuring_Separation_TAX_JuneFC2010 tf_Restructuring &amp; Separation_Guidance_Free CF" xfId="6311"/>
    <cellStyle name="_MOR - BDWY - 1+11_MOR - Australia -  EC - 4+8_Restructuring_Separation_TAX_JuneFC2010 tf_Restructuring &amp; Separation_Guidance_P&amp;L Rec Qtr" xfId="6312"/>
    <cellStyle name="_MOR - BDWY - 1+11_MOR - Australia -  EC - 4+8_Restructuring_Separation_TAX_JuneFC2010 tf_Restructuring &amp; Separation_Guidance_Sheet1" xfId="6313"/>
    <cellStyle name="_MOR - BDWY - 1+11_MOR - Australia -  EC - 4+8_Restructuring_Separation_TAX_JuneFC2010 tf_Restructuring &amp; Separation_Guidance_Sheet2" xfId="6314"/>
    <cellStyle name="_MOR - BDWY - 1+11_MOR - Australia -  EC - 4+8_Restructuring_Separation_TAX_JuneFC2010 tf_Restructuring &amp; Separation_Guidance_Sheet3" xfId="6315"/>
    <cellStyle name="_MOR - BDWY - 1+11_MOR - Australia -  EC - 4+8_Restructuring_Separation_TAX_JuneFC2010 tf_Restructuring &amp; Separation_Guidance_Sheet4" xfId="6316"/>
    <cellStyle name="_MOR - BDWY - 1+11_MOR - Gurgaon - 3+9(R)" xfId="6317"/>
    <cellStyle name="_MOR - BDWY - 1+11_MOR - Gurgaon - 3+9(R)_BS_Separation_TaxResIndem_Q12412 tf" xfId="6318"/>
    <cellStyle name="_MOR - BDWY - 1+11_MOR - Gurgaon - 3+9(R)_BS_Separation_TaxResIndem_Q12412 tf_Guidance" xfId="6319"/>
    <cellStyle name="_MOR - BDWY - 1+11_MOR - Gurgaon - 3+9(R)_BS_Separation_TaxResIndem_Q12412 tf_Guidance 2" xfId="6320"/>
    <cellStyle name="_MOR - BDWY - 1+11_MOR - Gurgaon - 3+9(R)_BS_Separation_TaxResIndem_Q12412 tf_Guidance_BS retrieve" xfId="6321"/>
    <cellStyle name="_MOR - BDWY - 1+11_MOR - Gurgaon - 3+9(R)_BS_Separation_TaxResIndem_Q12412 tf_Guidance_Free CF" xfId="6322"/>
    <cellStyle name="_MOR - BDWY - 1+11_MOR - Gurgaon - 3+9(R)_BS_Separation_TaxResIndem_Q12412 tf_Guidance_P&amp;L Rec Qtr" xfId="6323"/>
    <cellStyle name="_MOR - BDWY - 1+11_MOR - Gurgaon - 3+9(R)_BS_Separation_TaxResIndem_Q12412 tf_Guidance_Sheet1" xfId="6324"/>
    <cellStyle name="_MOR - BDWY - 1+11_MOR - Gurgaon - 3+9(R)_BS_Separation_TaxResIndem_Q12412 tf_Guidance_Sheet2" xfId="6325"/>
    <cellStyle name="_MOR - BDWY - 1+11_MOR - Gurgaon - 3+9(R)_BS_Separation_TaxResIndem_Q12412 tf_Guidance_Sheet3" xfId="6326"/>
    <cellStyle name="_MOR - BDWY - 1+11_MOR - Gurgaon - 3+9(R)_BS_Separation_TaxResIndem_Q12412 tf_Guidance_Sheet4" xfId="6327"/>
    <cellStyle name="_MOR - BDWY - 1+11_MOR - Gurgaon - 3+9(R)_BS_Separation_TaxResIndem_Q12412 tf_Restructuring &amp; Separation" xfId="6328"/>
    <cellStyle name="_MOR - BDWY - 1+11_MOR - Gurgaon - 3+9(R)_BS_Separation_TaxResIndem_Q12412 tf_Restructuring &amp; Separation_Guidance" xfId="6329"/>
    <cellStyle name="_MOR - BDWY - 1+11_MOR - Gurgaon - 3+9(R)_BS_Separation_TaxResIndem_Q12412 tf_Restructuring &amp; Separation_Guidance 2" xfId="6330"/>
    <cellStyle name="_MOR - BDWY - 1+11_MOR - Gurgaon - 3+9(R)_BS_Separation_TaxResIndem_Q12412 tf_Restructuring &amp; Separation_Guidance_BS retrieve" xfId="6331"/>
    <cellStyle name="_MOR - BDWY - 1+11_MOR - Gurgaon - 3+9(R)_BS_Separation_TaxResIndem_Q12412 tf_Restructuring &amp; Separation_Guidance_Free CF" xfId="6332"/>
    <cellStyle name="_MOR - BDWY - 1+11_MOR - Gurgaon - 3+9(R)_BS_Separation_TaxResIndem_Q12412 tf_Restructuring &amp; Separation_Guidance_P&amp;L Rec Qtr" xfId="6333"/>
    <cellStyle name="_MOR - BDWY - 1+11_MOR - Gurgaon - 3+9(R)_BS_Separation_TaxResIndem_Q12412 tf_Restructuring &amp; Separation_Guidance_Sheet1" xfId="6334"/>
    <cellStyle name="_MOR - BDWY - 1+11_MOR - Gurgaon - 3+9(R)_BS_Separation_TaxResIndem_Q12412 tf_Restructuring &amp; Separation_Guidance_Sheet2" xfId="6335"/>
    <cellStyle name="_MOR - BDWY - 1+11_MOR - Gurgaon - 3+9(R)_BS_Separation_TaxResIndem_Q12412 tf_Restructuring &amp; Separation_Guidance_Sheet3" xfId="6336"/>
    <cellStyle name="_MOR - BDWY - 1+11_MOR - Gurgaon - 3+9(R)_BS_Separation_TaxResIndem_Q12412 tf_Restructuring &amp; Separation_Guidance_Sheet4" xfId="6337"/>
    <cellStyle name="_MOR - BDWY - 1+11_MOR - Gurgaon - 3+9(R)_By Country Detail 1Q10 041410pm FIN 18 revised per disc w Mary" xfId="6338"/>
    <cellStyle name="_MOR - BDWY - 1+11_MOR - Gurgaon - 3+9(R)_By Country Detail 1Q10 041410pm FIN 18 revised per disc w Mary_BS_Separation_TaxResIndem_Q12412 tf" xfId="6339"/>
    <cellStyle name="_MOR - BDWY - 1+11_MOR - Gurgaon - 3+9(R)_By Country Detail 1Q10 041410pm FIN 18 revised per disc w Mary_BS_Separation_TaxResIndem_Q12412 tf_Guidance" xfId="6340"/>
    <cellStyle name="_MOR - BDWY - 1+11_MOR - Gurgaon - 3+9(R)_By Country Detail 1Q10 041410pm FIN 18 revised per disc w Mary_BS_Separation_TaxResIndem_Q12412 tf_Guidance 2" xfId="6341"/>
    <cellStyle name="_MOR - BDWY - 1+11_MOR - Gurgaon - 3+9(R)_By Country Detail 1Q10 041410pm FIN 18 revised per disc w Mary_BS_Separation_TaxResIndem_Q12412 tf_Guidance_BS retrieve" xfId="6342"/>
    <cellStyle name="_MOR - BDWY - 1+11_MOR - Gurgaon - 3+9(R)_By Country Detail 1Q10 041410pm FIN 18 revised per disc w Mary_BS_Separation_TaxResIndem_Q12412 tf_Guidance_Free CF" xfId="6343"/>
    <cellStyle name="_MOR - BDWY - 1+11_MOR - Gurgaon - 3+9(R)_By Country Detail 1Q10 041410pm FIN 18 revised per disc w Mary_BS_Separation_TaxResIndem_Q12412 tf_Guidance_P&amp;L Rec Qtr" xfId="6344"/>
    <cellStyle name="_MOR - BDWY - 1+11_MOR - Gurgaon - 3+9(R)_By Country Detail 1Q10 041410pm FIN 18 revised per disc w Mary_BS_Separation_TaxResIndem_Q12412 tf_Guidance_Sheet1" xfId="6345"/>
    <cellStyle name="_MOR - BDWY - 1+11_MOR - Gurgaon - 3+9(R)_By Country Detail 1Q10 041410pm FIN 18 revised per disc w Mary_BS_Separation_TaxResIndem_Q12412 tf_Guidance_Sheet2" xfId="6346"/>
    <cellStyle name="_MOR - BDWY - 1+11_MOR - Gurgaon - 3+9(R)_By Country Detail 1Q10 041410pm FIN 18 revised per disc w Mary_BS_Separation_TaxResIndem_Q12412 tf_Guidance_Sheet3" xfId="6347"/>
    <cellStyle name="_MOR - BDWY - 1+11_MOR - Gurgaon - 3+9(R)_By Country Detail 1Q10 041410pm FIN 18 revised per disc w Mary_BS_Separation_TaxResIndem_Q12412 tf_Guidance_Sheet4" xfId="6348"/>
    <cellStyle name="_MOR - BDWY - 1+11_MOR - Gurgaon - 3+9(R)_By Country Detail 1Q10 041410pm FIN 18 revised per disc w Mary_BS_Separation_TaxResIndem_Q12412 tf_Restructuring &amp; Separation" xfId="6349"/>
    <cellStyle name="_MOR - BDWY - 1+11_MOR - Gurgaon - 3+9(R)_By Country Detail 1Q10 041410pm FIN 18 revised per disc w Mary_BS_Separation_TaxResIndem_Q12412 tf_Restructuring &amp; Separation_Guidance" xfId="6350"/>
    <cellStyle name="_MOR - BDWY - 1+11_MOR - Gurgaon - 3+9(R)_By Country Detail 1Q10 041410pm FIN 18 revised per disc w Mary_BS_Separation_TaxResIndem_Q12412 tf_Restructuring &amp; Separation_Guidance 2" xfId="6351"/>
    <cellStyle name="_MOR - BDWY - 1+11_MOR - Gurgaon - 3+9(R)_By Country Detail 1Q10 041410pm FIN 18 revised per disc w Mary_BS_Separation_TaxResIndem_Q12412 tf_Restructuring &amp; Separation_Guidance_BS retrieve" xfId="6352"/>
    <cellStyle name="_MOR - BDWY - 1+11_MOR - Gurgaon - 3+9(R)_By Country Detail 1Q10 041410pm FIN 18 revised per disc w Mary_BS_Separation_TaxResIndem_Q12412 tf_Restructuring &amp; Separation_Guidance_Free CF" xfId="6353"/>
    <cellStyle name="_MOR - BDWY - 1+11_MOR - Gurgaon - 3+9(R)_By Country Detail 1Q10 041410pm FIN 18 revised per disc w Mary_BS_Separation_TaxResIndem_Q12412 tf_Restructuring &amp; Separation_Guidance_P&amp;L Rec Qtr" xfId="6354"/>
    <cellStyle name="_MOR - BDWY - 1+11_MOR - Gurgaon - 3+9(R)_By Country Detail 1Q10 041410pm FIN 18 revised per disc w Mary_BS_Separation_TaxResIndem_Q12412 tf_Restructuring &amp; Separation_Guidance_Sheet1" xfId="6355"/>
    <cellStyle name="_MOR - BDWY - 1+11_MOR - Gurgaon - 3+9(R)_By Country Detail 1Q10 041410pm FIN 18 revised per disc w Mary_BS_Separation_TaxResIndem_Q12412 tf_Restructuring &amp; Separation_Guidance_Sheet2" xfId="6356"/>
    <cellStyle name="_MOR - BDWY - 1+11_MOR - Gurgaon - 3+9(R)_By Country Detail 1Q10 041410pm FIN 18 revised per disc w Mary_BS_Separation_TaxResIndem_Q12412 tf_Restructuring &amp; Separation_Guidance_Sheet3" xfId="6357"/>
    <cellStyle name="_MOR - BDWY - 1+11_MOR - Gurgaon - 3+9(R)_By Country Detail 1Q10 041410pm FIN 18 revised per disc w Mary_BS_Separation_TaxResIndem_Q12412 tf_Restructuring &amp; Separation_Guidance_Sheet4" xfId="6358"/>
    <cellStyle name="_MOR - BDWY - 1+11_MOR - Gurgaon - 3+9(R)_By Country Detail 1Q10 041410pm FIN 18 revised per disc w Mary_Guidance" xfId="6359"/>
    <cellStyle name="_MOR - BDWY - 1+11_MOR - Gurgaon - 3+9(R)_By Country Detail 1Q10 041410pm FIN 18 revised per disc w Mary_Guidance 2" xfId="6360"/>
    <cellStyle name="_MOR - BDWY - 1+11_MOR - Gurgaon - 3+9(R)_By Country Detail 1Q10 041410pm FIN 18 revised per disc w Mary_Guidance_BS retrieve" xfId="6361"/>
    <cellStyle name="_MOR - BDWY - 1+11_MOR - Gurgaon - 3+9(R)_By Country Detail 1Q10 041410pm FIN 18 revised per disc w Mary_Guidance_Free CF" xfId="6362"/>
    <cellStyle name="_MOR - BDWY - 1+11_MOR - Gurgaon - 3+9(R)_By Country Detail 1Q10 041410pm FIN 18 revised per disc w Mary_Guidance_P&amp;L Rec Qtr" xfId="6363"/>
    <cellStyle name="_MOR - BDWY - 1+11_MOR - Gurgaon - 3+9(R)_By Country Detail 1Q10 041410pm FIN 18 revised per disc w Mary_Guidance_Sheet1" xfId="6364"/>
    <cellStyle name="_MOR - BDWY - 1+11_MOR - Gurgaon - 3+9(R)_By Country Detail 1Q10 041410pm FIN 18 revised per disc w Mary_Guidance_Sheet2" xfId="6365"/>
    <cellStyle name="_MOR - BDWY - 1+11_MOR - Gurgaon - 3+9(R)_By Country Detail 1Q10 041410pm FIN 18 revised per disc w Mary_Guidance_Sheet3" xfId="6366"/>
    <cellStyle name="_MOR - BDWY - 1+11_MOR - Gurgaon - 3+9(R)_By Country Detail 1Q10 041410pm FIN 18 revised per disc w Mary_Guidance_Sheet4" xfId="6367"/>
    <cellStyle name="_MOR - BDWY - 1+11_MOR - Gurgaon - 3+9(R)_By Country Detail 1Q10 041410pm FIN 18 revised per disc w Mary_II.8. Sep&amp;Discrete" xfId="6368"/>
    <cellStyle name="_MOR - BDWY - 1+11_MOR - Gurgaon - 3+9(R)_By Country Detail 1Q10 041410pm FIN 18 revised per disc w Mary_II.8. Sep&amp;Discrete_Guidance" xfId="6369"/>
    <cellStyle name="_MOR - BDWY - 1+11_MOR - Gurgaon - 3+9(R)_By Country Detail 1Q10 041410pm FIN 18 revised per disc w Mary_II.8. Sep&amp;Discrete_Guidance 2" xfId="6370"/>
    <cellStyle name="_MOR - BDWY - 1+11_MOR - Gurgaon - 3+9(R)_By Country Detail 1Q10 041410pm FIN 18 revised per disc w Mary_II.8. Sep&amp;Discrete_Guidance_BS retrieve" xfId="6371"/>
    <cellStyle name="_MOR - BDWY - 1+11_MOR - Gurgaon - 3+9(R)_By Country Detail 1Q10 041410pm FIN 18 revised per disc w Mary_II.8. Sep&amp;Discrete_Guidance_Free CF" xfId="6372"/>
    <cellStyle name="_MOR - BDWY - 1+11_MOR - Gurgaon - 3+9(R)_By Country Detail 1Q10 041410pm FIN 18 revised per disc w Mary_II.8. Sep&amp;Discrete_Guidance_P&amp;L Rec Qtr" xfId="6373"/>
    <cellStyle name="_MOR - BDWY - 1+11_MOR - Gurgaon - 3+9(R)_By Country Detail 1Q10 041410pm FIN 18 revised per disc w Mary_II.8. Sep&amp;Discrete_Guidance_Sheet1" xfId="6374"/>
    <cellStyle name="_MOR - BDWY - 1+11_MOR - Gurgaon - 3+9(R)_By Country Detail 1Q10 041410pm FIN 18 revised per disc w Mary_II.8. Sep&amp;Discrete_Guidance_Sheet2" xfId="6375"/>
    <cellStyle name="_MOR - BDWY - 1+11_MOR - Gurgaon - 3+9(R)_By Country Detail 1Q10 041410pm FIN 18 revised per disc w Mary_II.8. Sep&amp;Discrete_Guidance_Sheet3" xfId="6376"/>
    <cellStyle name="_MOR - BDWY - 1+11_MOR - Gurgaon - 3+9(R)_By Country Detail 1Q10 041410pm FIN 18 revised per disc w Mary_II.8. Sep&amp;Discrete_Guidance_Sheet4" xfId="6377"/>
    <cellStyle name="_MOR - BDWY - 1+11_MOR - Gurgaon - 3+9(R)_By Country Detail 1Q10 041410pm FIN 18 revised per disc w Mary_Restructuring &amp; Separation" xfId="6378"/>
    <cellStyle name="_MOR - BDWY - 1+11_MOR - Gurgaon - 3+9(R)_By Country Detail 1Q10 041410pm FIN 18 revised per disc w Mary_Restructuring &amp; Separation_Guidance" xfId="6379"/>
    <cellStyle name="_MOR - BDWY - 1+11_MOR - Gurgaon - 3+9(R)_By Country Detail 1Q10 041410pm FIN 18 revised per disc w Mary_Restructuring &amp; Separation_Guidance 2" xfId="6380"/>
    <cellStyle name="_MOR - BDWY - 1+11_MOR - Gurgaon - 3+9(R)_By Country Detail 1Q10 041410pm FIN 18 revised per disc w Mary_Restructuring &amp; Separation_Guidance_BS retrieve" xfId="6381"/>
    <cellStyle name="_MOR - BDWY - 1+11_MOR - Gurgaon - 3+9(R)_By Country Detail 1Q10 041410pm FIN 18 revised per disc w Mary_Restructuring &amp; Separation_Guidance_Free CF" xfId="6382"/>
    <cellStyle name="_MOR - BDWY - 1+11_MOR - Gurgaon - 3+9(R)_By Country Detail 1Q10 041410pm FIN 18 revised per disc w Mary_Restructuring &amp; Separation_Guidance_P&amp;L Rec Qtr" xfId="6383"/>
    <cellStyle name="_MOR - BDWY - 1+11_MOR - Gurgaon - 3+9(R)_By Country Detail 1Q10 041410pm FIN 18 revised per disc w Mary_Restructuring &amp; Separation_Guidance_Sheet1" xfId="6384"/>
    <cellStyle name="_MOR - BDWY - 1+11_MOR - Gurgaon - 3+9(R)_By Country Detail 1Q10 041410pm FIN 18 revised per disc w Mary_Restructuring &amp; Separation_Guidance_Sheet2" xfId="6385"/>
    <cellStyle name="_MOR - BDWY - 1+11_MOR - Gurgaon - 3+9(R)_By Country Detail 1Q10 041410pm FIN 18 revised per disc w Mary_Restructuring &amp; Separation_Guidance_Sheet3" xfId="6386"/>
    <cellStyle name="_MOR - BDWY - 1+11_MOR - Gurgaon - 3+9(R)_By Country Detail 1Q10 041410pm FIN 18 revised per disc w Mary_Restructuring &amp; Separation_Guidance_Sheet4" xfId="6387"/>
    <cellStyle name="_MOR - BDWY - 1+11_MOR - Gurgaon - 3+9(R)_Guidance" xfId="6388"/>
    <cellStyle name="_MOR - BDWY - 1+11_MOR - Gurgaon - 3+9(R)_Guidance 2" xfId="6389"/>
    <cellStyle name="_MOR - BDWY - 1+11_MOR - Gurgaon - 3+9(R)_Guidance_BS retrieve" xfId="6390"/>
    <cellStyle name="_MOR - BDWY - 1+11_MOR - Gurgaon - 3+9(R)_Guidance_Free CF" xfId="6391"/>
    <cellStyle name="_MOR - BDWY - 1+11_MOR - Gurgaon - 3+9(R)_Guidance_P&amp;L Rec Qtr" xfId="6392"/>
    <cellStyle name="_MOR - BDWY - 1+11_MOR - Gurgaon - 3+9(R)_Guidance_Sheet1" xfId="6393"/>
    <cellStyle name="_MOR - BDWY - 1+11_MOR - Gurgaon - 3+9(R)_Guidance_Sheet2" xfId="6394"/>
    <cellStyle name="_MOR - BDWY - 1+11_MOR - Gurgaon - 3+9(R)_Guidance_Sheet3" xfId="6395"/>
    <cellStyle name="_MOR - BDWY - 1+11_MOR - Gurgaon - 3+9(R)_Guidance_Sheet4" xfId="6396"/>
    <cellStyle name="_MOR - BDWY - 1+11_MOR - Gurgaon - 3+9(R)_II.4. RawMaterials" xfId="6397"/>
    <cellStyle name="_MOR - BDWY - 1+11_MOR - Gurgaon - 3+9(R)_II.4. RawMaterials 2" xfId="6398"/>
    <cellStyle name="_MOR - BDWY - 1+11_MOR - Gurgaon - 3+9(R)_II.4. RawMaterials_BS retrieve" xfId="6399"/>
    <cellStyle name="_MOR - BDWY - 1+11_MOR - Gurgaon - 3+9(R)_II.4. RawMaterials_Free CF" xfId="6400"/>
    <cellStyle name="_MOR - BDWY - 1+11_MOR - Gurgaon - 3+9(R)_II.4. RawMaterials_P&amp;L Rec Qtr" xfId="6401"/>
    <cellStyle name="_MOR - BDWY - 1+11_MOR - Gurgaon - 3+9(R)_II.4. RawMaterials_Sheet1" xfId="6402"/>
    <cellStyle name="_MOR - BDWY - 1+11_MOR - Gurgaon - 3+9(R)_II.4. RawMaterials_Sheet2" xfId="6403"/>
    <cellStyle name="_MOR - BDWY - 1+11_MOR - Gurgaon - 3+9(R)_II.4. RawMaterials_Sheet3" xfId="6404"/>
    <cellStyle name="_MOR - BDWY - 1+11_MOR - Gurgaon - 3+9(R)_II.4. RawMaterials_Sheet4" xfId="6405"/>
    <cellStyle name="_MOR - BDWY - 1+11_MOR - Gurgaon - 3+9(R)_II.5. RawMaterials" xfId="6406"/>
    <cellStyle name="_MOR - BDWY - 1+11_MOR - Gurgaon - 3+9(R)_II.5. RawMaterials 2" xfId="6407"/>
    <cellStyle name="_MOR - BDWY - 1+11_MOR - Gurgaon - 3+9(R)_II.5. RawMaterials_BS retrieve" xfId="6408"/>
    <cellStyle name="_MOR - BDWY - 1+11_MOR - Gurgaon - 3+9(R)_II.5. RawMaterials_Free CF" xfId="6409"/>
    <cellStyle name="_MOR - BDWY - 1+11_MOR - Gurgaon - 3+9(R)_II.5. RawMaterials_Guidance" xfId="6410"/>
    <cellStyle name="_MOR - BDWY - 1+11_MOR - Gurgaon - 3+9(R)_II.5. RawMaterials_Guidance 2" xfId="6411"/>
    <cellStyle name="_MOR - BDWY - 1+11_MOR - Gurgaon - 3+9(R)_II.5. RawMaterials_Guidance_BS retrieve" xfId="6412"/>
    <cellStyle name="_MOR - BDWY - 1+11_MOR - Gurgaon - 3+9(R)_II.5. RawMaterials_Guidance_Free CF" xfId="6413"/>
    <cellStyle name="_MOR - BDWY - 1+11_MOR - Gurgaon - 3+9(R)_II.5. RawMaterials_Guidance_P&amp;L Rec Qtr" xfId="6414"/>
    <cellStyle name="_MOR - BDWY - 1+11_MOR - Gurgaon - 3+9(R)_II.5. RawMaterials_Guidance_Sheet1" xfId="6415"/>
    <cellStyle name="_MOR - BDWY - 1+11_MOR - Gurgaon - 3+9(R)_II.5. RawMaterials_Guidance_Sheet2" xfId="6416"/>
    <cellStyle name="_MOR - BDWY - 1+11_MOR - Gurgaon - 3+9(R)_II.5. RawMaterials_Guidance_Sheet3" xfId="6417"/>
    <cellStyle name="_MOR - BDWY - 1+11_MOR - Gurgaon - 3+9(R)_II.5. RawMaterials_Guidance_Sheet4" xfId="6418"/>
    <cellStyle name="_MOR - BDWY - 1+11_MOR - Gurgaon - 3+9(R)_II.5. RawMaterials_P&amp;L Rec Qtr" xfId="6419"/>
    <cellStyle name="_MOR - BDWY - 1+11_MOR - Gurgaon - 3+9(R)_II.5. RawMaterials_Sheet1" xfId="6420"/>
    <cellStyle name="_MOR - BDWY - 1+11_MOR - Gurgaon - 3+9(R)_II.5. RawMaterials_Sheet2" xfId="6421"/>
    <cellStyle name="_MOR - BDWY - 1+11_MOR - Gurgaon - 3+9(R)_II.5. RawMaterials_Sheet3" xfId="6422"/>
    <cellStyle name="_MOR - BDWY - 1+11_MOR - Gurgaon - 3+9(R)_II.5. RawMaterials_Sheet4" xfId="6423"/>
    <cellStyle name="_MOR - BDWY - 1+11_MOR - Gurgaon - 3+9(R)_II.5. RM Volume Sensitivities" xfId="6424"/>
    <cellStyle name="_MOR - BDWY - 1+11_MOR - Gurgaon - 3+9(R)_II.5. RM Volume Sensitivities 2" xfId="6425"/>
    <cellStyle name="_MOR - BDWY - 1+11_MOR - Gurgaon - 3+9(R)_II.5. RM Volume Sensitivities_BS retrieve" xfId="6426"/>
    <cellStyle name="_MOR - BDWY - 1+11_MOR - Gurgaon - 3+9(R)_II.5. RM Volume Sensitivities_Free CF" xfId="6427"/>
    <cellStyle name="_MOR - BDWY - 1+11_MOR - Gurgaon - 3+9(R)_II.5. RM Volume Sensitivities_P&amp;L Rec Qtr" xfId="6428"/>
    <cellStyle name="_MOR - BDWY - 1+11_MOR - Gurgaon - 3+9(R)_II.5. RM Volume Sensitivities_Sheet1" xfId="6429"/>
    <cellStyle name="_MOR - BDWY - 1+11_MOR - Gurgaon - 3+9(R)_II.5. RM Volume Sensitivities_Sheet2" xfId="6430"/>
    <cellStyle name="_MOR - BDWY - 1+11_MOR - Gurgaon - 3+9(R)_II.5. RM Volume Sensitivities_Sheet3" xfId="6431"/>
    <cellStyle name="_MOR - BDWY - 1+11_MOR - Gurgaon - 3+9(R)_II.5. RM Volume Sensitivities_Sheet4" xfId="6432"/>
    <cellStyle name="_MOR - BDWY - 1+11_MOR - Gurgaon - 3+9(R)_II.8. Sep&amp;Discrete" xfId="6433"/>
    <cellStyle name="_MOR - BDWY - 1+11_MOR - Gurgaon - 3+9(R)_II.8. Sep&amp;Discrete_Guidance" xfId="6434"/>
    <cellStyle name="_MOR - BDWY - 1+11_MOR - Gurgaon - 3+9(R)_II.8. Sep&amp;Discrete_Guidance 2" xfId="6435"/>
    <cellStyle name="_MOR - BDWY - 1+11_MOR - Gurgaon - 3+9(R)_II.8. Sep&amp;Discrete_Guidance_BS retrieve" xfId="6436"/>
    <cellStyle name="_MOR - BDWY - 1+11_MOR - Gurgaon - 3+9(R)_II.8. Sep&amp;Discrete_Guidance_Free CF" xfId="6437"/>
    <cellStyle name="_MOR - BDWY - 1+11_MOR - Gurgaon - 3+9(R)_II.8. Sep&amp;Discrete_Guidance_P&amp;L Rec Qtr" xfId="6438"/>
    <cellStyle name="_MOR - BDWY - 1+11_MOR - Gurgaon - 3+9(R)_II.8. Sep&amp;Discrete_Guidance_Sheet1" xfId="6439"/>
    <cellStyle name="_MOR - BDWY - 1+11_MOR - Gurgaon - 3+9(R)_II.8. Sep&amp;Discrete_Guidance_Sheet2" xfId="6440"/>
    <cellStyle name="_MOR - BDWY - 1+11_MOR - Gurgaon - 3+9(R)_II.8. Sep&amp;Discrete_Guidance_Sheet3" xfId="6441"/>
    <cellStyle name="_MOR - BDWY - 1+11_MOR - Gurgaon - 3+9(R)_II.8. Sep&amp;Discrete_Guidance_Sheet4" xfId="6442"/>
    <cellStyle name="_MOR - BDWY - 1+11_MOR - Gurgaon - 3+9(R)_MOR - Revised Package" xfId="6443"/>
    <cellStyle name="_MOR - BDWY - 1+11_MOR - Gurgaon - 3+9(R)_MOR - Revised Package_~0039877" xfId="6444"/>
    <cellStyle name="_MOR - BDWY - 1+11_MOR - Gurgaon - 3+9(R)_MOR - Revised Package_~0039877_BS_Separation_TaxResIndem_Q12412 tf" xfId="6445"/>
    <cellStyle name="_MOR - BDWY - 1+11_MOR - Gurgaon - 3+9(R)_MOR - Revised Package_~0039877_BS_Separation_TaxResIndem_Q12412 tf_Guidance" xfId="6446"/>
    <cellStyle name="_MOR - BDWY - 1+11_MOR - Gurgaon - 3+9(R)_MOR - Revised Package_~0039877_BS_Separation_TaxResIndem_Q12412 tf_Guidance 2" xfId="6447"/>
    <cellStyle name="_MOR - BDWY - 1+11_MOR - Gurgaon - 3+9(R)_MOR - Revised Package_~0039877_BS_Separation_TaxResIndem_Q12412 tf_Guidance_BS retrieve" xfId="6448"/>
    <cellStyle name="_MOR - BDWY - 1+11_MOR - Gurgaon - 3+9(R)_MOR - Revised Package_~0039877_BS_Separation_TaxResIndem_Q12412 tf_Guidance_Free CF" xfId="6449"/>
    <cellStyle name="_MOR - BDWY - 1+11_MOR - Gurgaon - 3+9(R)_MOR - Revised Package_~0039877_BS_Separation_TaxResIndem_Q12412 tf_Guidance_P&amp;L Rec Qtr" xfId="6450"/>
    <cellStyle name="_MOR - BDWY - 1+11_MOR - Gurgaon - 3+9(R)_MOR - Revised Package_~0039877_BS_Separation_TaxResIndem_Q12412 tf_Guidance_Sheet1" xfId="6451"/>
    <cellStyle name="_MOR - BDWY - 1+11_MOR - Gurgaon - 3+9(R)_MOR - Revised Package_~0039877_BS_Separation_TaxResIndem_Q12412 tf_Guidance_Sheet2" xfId="6452"/>
    <cellStyle name="_MOR - BDWY - 1+11_MOR - Gurgaon - 3+9(R)_MOR - Revised Package_~0039877_BS_Separation_TaxResIndem_Q12412 tf_Guidance_Sheet3" xfId="6453"/>
    <cellStyle name="_MOR - BDWY - 1+11_MOR - Gurgaon - 3+9(R)_MOR - Revised Package_~0039877_BS_Separation_TaxResIndem_Q12412 tf_Guidance_Sheet4" xfId="6454"/>
    <cellStyle name="_MOR - BDWY - 1+11_MOR - Gurgaon - 3+9(R)_MOR - Revised Package_~0039877_BS_Separation_TaxResIndem_Q12412 tf_Restructuring &amp; Separation" xfId="6455"/>
    <cellStyle name="_MOR - BDWY - 1+11_MOR - Gurgaon - 3+9(R)_MOR - Revised Package_~0039877_BS_Separation_TaxResIndem_Q12412 tf_Restructuring &amp; Separation_Guidance" xfId="6456"/>
    <cellStyle name="_MOR - BDWY - 1+11_MOR - Gurgaon - 3+9(R)_MOR - Revised Package_~0039877_BS_Separation_TaxResIndem_Q12412 tf_Restructuring &amp; Separation_Guidance 2" xfId="6457"/>
    <cellStyle name="_MOR - BDWY - 1+11_MOR - Gurgaon - 3+9(R)_MOR - Revised Package_~0039877_BS_Separation_TaxResIndem_Q12412 tf_Restructuring &amp; Separation_Guidance_BS retrieve" xfId="6458"/>
    <cellStyle name="_MOR - BDWY - 1+11_MOR - Gurgaon - 3+9(R)_MOR - Revised Package_~0039877_BS_Separation_TaxResIndem_Q12412 tf_Restructuring &amp; Separation_Guidance_Free CF" xfId="6459"/>
    <cellStyle name="_MOR - BDWY - 1+11_MOR - Gurgaon - 3+9(R)_MOR - Revised Package_~0039877_BS_Separation_TaxResIndem_Q12412 tf_Restructuring &amp; Separation_Guidance_P&amp;L Rec Qtr" xfId="6460"/>
    <cellStyle name="_MOR - BDWY - 1+11_MOR - Gurgaon - 3+9(R)_MOR - Revised Package_~0039877_BS_Separation_TaxResIndem_Q12412 tf_Restructuring &amp; Separation_Guidance_Sheet1" xfId="6461"/>
    <cellStyle name="_MOR - BDWY - 1+11_MOR - Gurgaon - 3+9(R)_MOR - Revised Package_~0039877_BS_Separation_TaxResIndem_Q12412 tf_Restructuring &amp; Separation_Guidance_Sheet2" xfId="6462"/>
    <cellStyle name="_MOR - BDWY - 1+11_MOR - Gurgaon - 3+9(R)_MOR - Revised Package_~0039877_BS_Separation_TaxResIndem_Q12412 tf_Restructuring &amp; Separation_Guidance_Sheet3" xfId="6463"/>
    <cellStyle name="_MOR - BDWY - 1+11_MOR - Gurgaon - 3+9(R)_MOR - Revised Package_~0039877_BS_Separation_TaxResIndem_Q12412 tf_Restructuring &amp; Separation_Guidance_Sheet4" xfId="6464"/>
    <cellStyle name="_MOR - BDWY - 1+11_MOR - Gurgaon - 3+9(R)_MOR - Revised Package_~0039877_By Country Detail 1Q10 041410pm FIN 18 revised per disc w Mary" xfId="6465"/>
    <cellStyle name="_MOR - BDWY - 1+11_MOR - Gurgaon - 3+9(R)_MOR - Revised Package_~0039877_By Country Detail 1Q10 041410pm FIN 18 revised per disc w Mary_BS_Separation_TaxResIndem_Q12412 tf" xfId="6466"/>
    <cellStyle name="_MOR - BDWY - 1+11_MOR - Gurgaon - 3+9(R)_MOR - Revised Package_~0039877_By Country Detail 1Q10 041410pm FIN 18 revised per disc w Mary_BS_Separation_TaxResIndem_Q12412 tf_Guidance" xfId="6467"/>
    <cellStyle name="_MOR - BDWY - 1+11_MOR - Gurgaon - 3+9(R)_MOR - Revised Package_~0039877_By Country Detail 1Q10 041410pm FIN 18 revised per disc w Mary_BS_Separation_TaxResIndem_Q12412 tf_Guidance 2" xfId="6468"/>
    <cellStyle name="_MOR - BDWY - 1+11_MOR - Gurgaon - 3+9(R)_MOR - Revised Package_~0039877_By Country Detail 1Q10 041410pm FIN 18 revised per disc w Mary_BS_Separation_TaxResIndem_Q12412 tf_Guidance_BS retrieve" xfId="6469"/>
    <cellStyle name="_MOR - BDWY - 1+11_MOR - Gurgaon - 3+9(R)_MOR - Revised Package_~0039877_By Country Detail 1Q10 041410pm FIN 18 revised per disc w Mary_BS_Separation_TaxResIndem_Q12412 tf_Guidance_Free CF" xfId="6470"/>
    <cellStyle name="_MOR - BDWY - 1+11_MOR - Gurgaon - 3+9(R)_MOR - Revised Package_~0039877_By Country Detail 1Q10 041410pm FIN 18 revised per disc w Mary_BS_Separation_TaxResIndem_Q12412 tf_Guidance_P&amp;L Rec Qtr" xfId="6471"/>
    <cellStyle name="_MOR - BDWY - 1+11_MOR - Gurgaon - 3+9(R)_MOR - Revised Package_~0039877_By Country Detail 1Q10 041410pm FIN 18 revised per disc w Mary_BS_Separation_TaxResIndem_Q12412 tf_Guidance_Sheet1" xfId="6472"/>
    <cellStyle name="_MOR - BDWY - 1+11_MOR - Gurgaon - 3+9(R)_MOR - Revised Package_~0039877_By Country Detail 1Q10 041410pm FIN 18 revised per disc w Mary_BS_Separation_TaxResIndem_Q12412 tf_Guidance_Sheet2" xfId="6473"/>
    <cellStyle name="_MOR - BDWY - 1+11_MOR - Gurgaon - 3+9(R)_MOR - Revised Package_~0039877_By Country Detail 1Q10 041410pm FIN 18 revised per disc w Mary_BS_Separation_TaxResIndem_Q12412 tf_Guidance_Sheet3" xfId="6474"/>
    <cellStyle name="_MOR - BDWY - 1+11_MOR - Gurgaon - 3+9(R)_MOR - Revised Package_~0039877_By Country Detail 1Q10 041410pm FIN 18 revised per disc w Mary_BS_Separation_TaxResIndem_Q12412 tf_Guidance_Sheet4" xfId="6475"/>
    <cellStyle name="_MOR - BDWY - 1+11_MOR - Gurgaon - 3+9(R)_MOR - Revised Package_~0039877_By Country Detail 1Q10 041410pm FIN 18 revised per disc w Mary_BS_Separation_TaxResIndem_Q12412 tf_Restructuring &amp; Separation" xfId="6476"/>
    <cellStyle name="_MOR - BDWY - 1+11_MOR - Gurgaon - 3+9(R)_MOR - Revised Package_~0039877_By Country Detail 1Q10 041410pm FIN 18 revised per disc w Mary_BS_Separation_TaxResIndem_Q12412 tf_Restructuring &amp; Separation_Guidance" xfId="6477"/>
    <cellStyle name="_MOR - BDWY - 1+11_MOR - Gurgaon - 3+9(R)_MOR - Revised Package_~0039877_By Country Detail 1Q10 041410pm FIN 18 revised per disc w Mary_BS_Separation_TaxResIndem_Q12412 tf_Restructuring &amp; Separation_Guidance 2" xfId="6478"/>
    <cellStyle name="_MOR - BDWY - 1+11_MOR - Gurgaon - 3+9(R)_MOR - Revised Package_~0039877_By Country Detail 1Q10 041410pm FIN 18 revised per disc w Mary_BS_Separation_TaxResIndem_Q12412 tf_Restructuring &amp; Separation_Guidance_BS retrieve" xfId="6479"/>
    <cellStyle name="_MOR - BDWY - 1+11_MOR - Gurgaon - 3+9(R)_MOR - Revised Package_~0039877_By Country Detail 1Q10 041410pm FIN 18 revised per disc w Mary_BS_Separation_TaxResIndem_Q12412 tf_Restructuring &amp; Separation_Guidance_Free CF" xfId="6480"/>
    <cellStyle name="_MOR - BDWY - 1+11_MOR - Gurgaon - 3+9(R)_MOR - Revised Package_~0039877_By Country Detail 1Q10 041410pm FIN 18 revised per disc w Mary_BS_Separation_TaxResIndem_Q12412 tf_Restructuring &amp; Separation_Guidance_P&amp;L Rec Qtr" xfId="6481"/>
    <cellStyle name="_MOR - BDWY - 1+11_MOR - Gurgaon - 3+9(R)_MOR - Revised Package_~0039877_By Country Detail 1Q10 041410pm FIN 18 revised per disc w Mary_BS_Separation_TaxResIndem_Q12412 tf_Restructuring &amp; Separation_Guidance_Sheet1" xfId="6482"/>
    <cellStyle name="_MOR - BDWY - 1+11_MOR - Gurgaon - 3+9(R)_MOR - Revised Package_~0039877_By Country Detail 1Q10 041410pm FIN 18 revised per disc w Mary_BS_Separation_TaxResIndem_Q12412 tf_Restructuring &amp; Separation_Guidance_Sheet2" xfId="6483"/>
    <cellStyle name="_MOR - BDWY - 1+11_MOR - Gurgaon - 3+9(R)_MOR - Revised Package_~0039877_By Country Detail 1Q10 041410pm FIN 18 revised per disc w Mary_BS_Separation_TaxResIndem_Q12412 tf_Restructuring &amp; Separation_Guidance_Sheet3" xfId="6484"/>
    <cellStyle name="_MOR - BDWY - 1+11_MOR - Gurgaon - 3+9(R)_MOR - Revised Package_~0039877_By Country Detail 1Q10 041410pm FIN 18 revised per disc w Mary_BS_Separation_TaxResIndem_Q12412 tf_Restructuring &amp; Separation_Guidance_Sheet4" xfId="6485"/>
    <cellStyle name="_MOR - BDWY - 1+11_MOR - Gurgaon - 3+9(R)_MOR - Revised Package_~0039877_By Country Detail 1Q10 041410pm FIN 18 revised per disc w Mary_Guidance" xfId="6486"/>
    <cellStyle name="_MOR - BDWY - 1+11_MOR - Gurgaon - 3+9(R)_MOR - Revised Package_~0039877_By Country Detail 1Q10 041410pm FIN 18 revised per disc w Mary_Guidance 2" xfId="6487"/>
    <cellStyle name="_MOR - BDWY - 1+11_MOR - Gurgaon - 3+9(R)_MOR - Revised Package_~0039877_By Country Detail 1Q10 041410pm FIN 18 revised per disc w Mary_Guidance_BS retrieve" xfId="6488"/>
    <cellStyle name="_MOR - BDWY - 1+11_MOR - Gurgaon - 3+9(R)_MOR - Revised Package_~0039877_By Country Detail 1Q10 041410pm FIN 18 revised per disc w Mary_Guidance_Free CF" xfId="6489"/>
    <cellStyle name="_MOR - BDWY - 1+11_MOR - Gurgaon - 3+9(R)_MOR - Revised Package_~0039877_By Country Detail 1Q10 041410pm FIN 18 revised per disc w Mary_Guidance_P&amp;L Rec Qtr" xfId="6490"/>
    <cellStyle name="_MOR - BDWY - 1+11_MOR - Gurgaon - 3+9(R)_MOR - Revised Package_~0039877_By Country Detail 1Q10 041410pm FIN 18 revised per disc w Mary_Guidance_Sheet1" xfId="6491"/>
    <cellStyle name="_MOR - BDWY - 1+11_MOR - Gurgaon - 3+9(R)_MOR - Revised Package_~0039877_By Country Detail 1Q10 041410pm FIN 18 revised per disc w Mary_Guidance_Sheet2" xfId="6492"/>
    <cellStyle name="_MOR - BDWY - 1+11_MOR - Gurgaon - 3+9(R)_MOR - Revised Package_~0039877_By Country Detail 1Q10 041410pm FIN 18 revised per disc w Mary_Guidance_Sheet3" xfId="6493"/>
    <cellStyle name="_MOR - BDWY - 1+11_MOR - Gurgaon - 3+9(R)_MOR - Revised Package_~0039877_By Country Detail 1Q10 041410pm FIN 18 revised per disc w Mary_Guidance_Sheet4" xfId="6494"/>
    <cellStyle name="_MOR - BDWY - 1+11_MOR - Gurgaon - 3+9(R)_MOR - Revised Package_~0039877_By Country Detail 1Q10 041410pm FIN 18 revised per disc w Mary_II.8. Sep&amp;Discrete" xfId="6495"/>
    <cellStyle name="_MOR - BDWY - 1+11_MOR - Gurgaon - 3+9(R)_MOR - Revised Package_~0039877_By Country Detail 1Q10 041410pm FIN 18 revised per disc w Mary_II.8. Sep&amp;Discrete_Guidance" xfId="6496"/>
    <cellStyle name="_MOR - BDWY - 1+11_MOR - Gurgaon - 3+9(R)_MOR - Revised Package_~0039877_By Country Detail 1Q10 041410pm FIN 18 revised per disc w Mary_II.8. Sep&amp;Discrete_Guidance 2" xfId="6497"/>
    <cellStyle name="_MOR - BDWY - 1+11_MOR - Gurgaon - 3+9(R)_MOR - Revised Package_~0039877_By Country Detail 1Q10 041410pm FIN 18 revised per disc w Mary_II.8. Sep&amp;Discrete_Guidance_BS retrieve" xfId="6498"/>
    <cellStyle name="_MOR - BDWY - 1+11_MOR - Gurgaon - 3+9(R)_MOR - Revised Package_~0039877_By Country Detail 1Q10 041410pm FIN 18 revised per disc w Mary_II.8. Sep&amp;Discrete_Guidance_Free CF" xfId="6499"/>
    <cellStyle name="_MOR - BDWY - 1+11_MOR - Gurgaon - 3+9(R)_MOR - Revised Package_~0039877_By Country Detail 1Q10 041410pm FIN 18 revised per disc w Mary_II.8. Sep&amp;Discrete_Guidance_P&amp;L Rec Qtr" xfId="6500"/>
    <cellStyle name="_MOR - BDWY - 1+11_MOR - Gurgaon - 3+9(R)_MOR - Revised Package_~0039877_By Country Detail 1Q10 041410pm FIN 18 revised per disc w Mary_II.8. Sep&amp;Discrete_Guidance_Sheet1" xfId="6501"/>
    <cellStyle name="_MOR - BDWY - 1+11_MOR - Gurgaon - 3+9(R)_MOR - Revised Package_~0039877_By Country Detail 1Q10 041410pm FIN 18 revised per disc w Mary_II.8. Sep&amp;Discrete_Guidance_Sheet2" xfId="6502"/>
    <cellStyle name="_MOR - BDWY - 1+11_MOR - Gurgaon - 3+9(R)_MOR - Revised Package_~0039877_By Country Detail 1Q10 041410pm FIN 18 revised per disc w Mary_II.8. Sep&amp;Discrete_Guidance_Sheet3" xfId="6503"/>
    <cellStyle name="_MOR - BDWY - 1+11_MOR - Gurgaon - 3+9(R)_MOR - Revised Package_~0039877_By Country Detail 1Q10 041410pm FIN 18 revised per disc w Mary_II.8. Sep&amp;Discrete_Guidance_Sheet4" xfId="6504"/>
    <cellStyle name="_MOR - BDWY - 1+11_MOR - Gurgaon - 3+9(R)_MOR - Revised Package_~0039877_By Country Detail 1Q10 041410pm FIN 18 revised per disc w Mary_Restructuring &amp; Separation" xfId="6505"/>
    <cellStyle name="_MOR - BDWY - 1+11_MOR - Gurgaon - 3+9(R)_MOR - Revised Package_~0039877_By Country Detail 1Q10 041410pm FIN 18 revised per disc w Mary_Restructuring &amp; Separation_Guidance" xfId="6506"/>
    <cellStyle name="_MOR - BDWY - 1+11_MOR - Gurgaon - 3+9(R)_MOR - Revised Package_~0039877_By Country Detail 1Q10 041410pm FIN 18 revised per disc w Mary_Restructuring &amp; Separation_Guidance 2" xfId="6507"/>
    <cellStyle name="_MOR - BDWY - 1+11_MOR - Gurgaon - 3+9(R)_MOR - Revised Package_~0039877_By Country Detail 1Q10 041410pm FIN 18 revised per disc w Mary_Restructuring &amp; Separation_Guidance_BS retrieve" xfId="6508"/>
    <cellStyle name="_MOR - BDWY - 1+11_MOR - Gurgaon - 3+9(R)_MOR - Revised Package_~0039877_By Country Detail 1Q10 041410pm FIN 18 revised per disc w Mary_Restructuring &amp; Separation_Guidance_Free CF" xfId="6509"/>
    <cellStyle name="_MOR - BDWY - 1+11_MOR - Gurgaon - 3+9(R)_MOR - Revised Package_~0039877_By Country Detail 1Q10 041410pm FIN 18 revised per disc w Mary_Restructuring &amp; Separation_Guidance_P&amp;L Rec Qtr" xfId="6510"/>
    <cellStyle name="_MOR - BDWY - 1+11_MOR - Gurgaon - 3+9(R)_MOR - Revised Package_~0039877_By Country Detail 1Q10 041410pm FIN 18 revised per disc w Mary_Restructuring &amp; Separation_Guidance_Sheet1" xfId="6511"/>
    <cellStyle name="_MOR - BDWY - 1+11_MOR - Gurgaon - 3+9(R)_MOR - Revised Package_~0039877_By Country Detail 1Q10 041410pm FIN 18 revised per disc w Mary_Restructuring &amp; Separation_Guidance_Sheet2" xfId="6512"/>
    <cellStyle name="_MOR - BDWY - 1+11_MOR - Gurgaon - 3+9(R)_MOR - Revised Package_~0039877_By Country Detail 1Q10 041410pm FIN 18 revised per disc w Mary_Restructuring &amp; Separation_Guidance_Sheet3" xfId="6513"/>
    <cellStyle name="_MOR - BDWY - 1+11_MOR - Gurgaon - 3+9(R)_MOR - Revised Package_~0039877_By Country Detail 1Q10 041410pm FIN 18 revised per disc w Mary_Restructuring &amp; Separation_Guidance_Sheet4" xfId="6514"/>
    <cellStyle name="_MOR - BDWY - 1+11_MOR - Gurgaon - 3+9(R)_MOR - Revised Package_~0039877_Guidance" xfId="6515"/>
    <cellStyle name="_MOR - BDWY - 1+11_MOR - Gurgaon - 3+9(R)_MOR - Revised Package_~0039877_Guidance 2" xfId="6516"/>
    <cellStyle name="_MOR - BDWY - 1+11_MOR - Gurgaon - 3+9(R)_MOR - Revised Package_~0039877_Guidance_BS retrieve" xfId="6517"/>
    <cellStyle name="_MOR - BDWY - 1+11_MOR - Gurgaon - 3+9(R)_MOR - Revised Package_~0039877_Guidance_Free CF" xfId="6518"/>
    <cellStyle name="_MOR - BDWY - 1+11_MOR - Gurgaon - 3+9(R)_MOR - Revised Package_~0039877_Guidance_P&amp;L Rec Qtr" xfId="6519"/>
    <cellStyle name="_MOR - BDWY - 1+11_MOR - Gurgaon - 3+9(R)_MOR - Revised Package_~0039877_Guidance_Sheet1" xfId="6520"/>
    <cellStyle name="_MOR - BDWY - 1+11_MOR - Gurgaon - 3+9(R)_MOR - Revised Package_~0039877_Guidance_Sheet2" xfId="6521"/>
    <cellStyle name="_MOR - BDWY - 1+11_MOR - Gurgaon - 3+9(R)_MOR - Revised Package_~0039877_Guidance_Sheet3" xfId="6522"/>
    <cellStyle name="_MOR - BDWY - 1+11_MOR - Gurgaon - 3+9(R)_MOR - Revised Package_~0039877_Guidance_Sheet4" xfId="6523"/>
    <cellStyle name="_MOR - BDWY - 1+11_MOR - Gurgaon - 3+9(R)_MOR - Revised Package_~0039877_II.4. RawMaterials" xfId="6524"/>
    <cellStyle name="_MOR - BDWY - 1+11_MOR - Gurgaon - 3+9(R)_MOR - Revised Package_~0039877_II.4. RawMaterials 2" xfId="6525"/>
    <cellStyle name="_MOR - BDWY - 1+11_MOR - Gurgaon - 3+9(R)_MOR - Revised Package_~0039877_II.4. RawMaterials_BS retrieve" xfId="6526"/>
    <cellStyle name="_MOR - BDWY - 1+11_MOR - Gurgaon - 3+9(R)_MOR - Revised Package_~0039877_II.4. RawMaterials_Free CF" xfId="6527"/>
    <cellStyle name="_MOR - BDWY - 1+11_MOR - Gurgaon - 3+9(R)_MOR - Revised Package_~0039877_II.4. RawMaterials_P&amp;L Rec Qtr" xfId="6528"/>
    <cellStyle name="_MOR - BDWY - 1+11_MOR - Gurgaon - 3+9(R)_MOR - Revised Package_~0039877_II.4. RawMaterials_Sheet1" xfId="6529"/>
    <cellStyle name="_MOR - BDWY - 1+11_MOR - Gurgaon - 3+9(R)_MOR - Revised Package_~0039877_II.4. RawMaterials_Sheet2" xfId="6530"/>
    <cellStyle name="_MOR - BDWY - 1+11_MOR - Gurgaon - 3+9(R)_MOR - Revised Package_~0039877_II.4. RawMaterials_Sheet3" xfId="6531"/>
    <cellStyle name="_MOR - BDWY - 1+11_MOR - Gurgaon - 3+9(R)_MOR - Revised Package_~0039877_II.4. RawMaterials_Sheet4" xfId="6532"/>
    <cellStyle name="_MOR - BDWY - 1+11_MOR - Gurgaon - 3+9(R)_MOR - Revised Package_~0039877_II.5. RawMaterials" xfId="6533"/>
    <cellStyle name="_MOR - BDWY - 1+11_MOR - Gurgaon - 3+9(R)_MOR - Revised Package_~0039877_II.5. RawMaterials 2" xfId="6534"/>
    <cellStyle name="_MOR - BDWY - 1+11_MOR - Gurgaon - 3+9(R)_MOR - Revised Package_~0039877_II.5. RawMaterials_BS retrieve" xfId="6535"/>
    <cellStyle name="_MOR - BDWY - 1+11_MOR - Gurgaon - 3+9(R)_MOR - Revised Package_~0039877_II.5. RawMaterials_Free CF" xfId="6536"/>
    <cellStyle name="_MOR - BDWY - 1+11_MOR - Gurgaon - 3+9(R)_MOR - Revised Package_~0039877_II.5. RawMaterials_Guidance" xfId="6537"/>
    <cellStyle name="_MOR - BDWY - 1+11_MOR - Gurgaon - 3+9(R)_MOR - Revised Package_~0039877_II.5. RawMaterials_Guidance 2" xfId="6538"/>
    <cellStyle name="_MOR - BDWY - 1+11_MOR - Gurgaon - 3+9(R)_MOR - Revised Package_~0039877_II.5. RawMaterials_Guidance_BS retrieve" xfId="6539"/>
    <cellStyle name="_MOR - BDWY - 1+11_MOR - Gurgaon - 3+9(R)_MOR - Revised Package_~0039877_II.5. RawMaterials_Guidance_Free CF" xfId="6540"/>
    <cellStyle name="_MOR - BDWY - 1+11_MOR - Gurgaon - 3+9(R)_MOR - Revised Package_~0039877_II.5. RawMaterials_Guidance_P&amp;L Rec Qtr" xfId="6541"/>
    <cellStyle name="_MOR - BDWY - 1+11_MOR - Gurgaon - 3+9(R)_MOR - Revised Package_~0039877_II.5. RawMaterials_Guidance_Sheet1" xfId="6542"/>
    <cellStyle name="_MOR - BDWY - 1+11_MOR - Gurgaon - 3+9(R)_MOR - Revised Package_~0039877_II.5. RawMaterials_Guidance_Sheet2" xfId="6543"/>
    <cellStyle name="_MOR - BDWY - 1+11_MOR - Gurgaon - 3+9(R)_MOR - Revised Package_~0039877_II.5. RawMaterials_Guidance_Sheet3" xfId="6544"/>
    <cellStyle name="_MOR - BDWY - 1+11_MOR - Gurgaon - 3+9(R)_MOR - Revised Package_~0039877_II.5. RawMaterials_Guidance_Sheet4" xfId="6545"/>
    <cellStyle name="_MOR - BDWY - 1+11_MOR - Gurgaon - 3+9(R)_MOR - Revised Package_~0039877_II.5. RawMaterials_P&amp;L Rec Qtr" xfId="6546"/>
    <cellStyle name="_MOR - BDWY - 1+11_MOR - Gurgaon - 3+9(R)_MOR - Revised Package_~0039877_II.5. RawMaterials_Sheet1" xfId="6547"/>
    <cellStyle name="_MOR - BDWY - 1+11_MOR - Gurgaon - 3+9(R)_MOR - Revised Package_~0039877_II.5. RawMaterials_Sheet2" xfId="6548"/>
    <cellStyle name="_MOR - BDWY - 1+11_MOR - Gurgaon - 3+9(R)_MOR - Revised Package_~0039877_II.5. RawMaterials_Sheet3" xfId="6549"/>
    <cellStyle name="_MOR - BDWY - 1+11_MOR - Gurgaon - 3+9(R)_MOR - Revised Package_~0039877_II.5. RawMaterials_Sheet4" xfId="6550"/>
    <cellStyle name="_MOR - BDWY - 1+11_MOR - Gurgaon - 3+9(R)_MOR - Revised Package_~0039877_II.5. RM Volume Sensitivities" xfId="6551"/>
    <cellStyle name="_MOR - BDWY - 1+11_MOR - Gurgaon - 3+9(R)_MOR - Revised Package_~0039877_II.5. RM Volume Sensitivities 2" xfId="6552"/>
    <cellStyle name="_MOR - BDWY - 1+11_MOR - Gurgaon - 3+9(R)_MOR - Revised Package_~0039877_II.5. RM Volume Sensitivities_BS retrieve" xfId="6553"/>
    <cellStyle name="_MOR - BDWY - 1+11_MOR - Gurgaon - 3+9(R)_MOR - Revised Package_~0039877_II.5. RM Volume Sensitivities_Free CF" xfId="6554"/>
    <cellStyle name="_MOR - BDWY - 1+11_MOR - Gurgaon - 3+9(R)_MOR - Revised Package_~0039877_II.5. RM Volume Sensitivities_P&amp;L Rec Qtr" xfId="6555"/>
    <cellStyle name="_MOR - BDWY - 1+11_MOR - Gurgaon - 3+9(R)_MOR - Revised Package_~0039877_II.5. RM Volume Sensitivities_Sheet1" xfId="6556"/>
    <cellStyle name="_MOR - BDWY - 1+11_MOR - Gurgaon - 3+9(R)_MOR - Revised Package_~0039877_II.5. RM Volume Sensitivities_Sheet2" xfId="6557"/>
    <cellStyle name="_MOR - BDWY - 1+11_MOR - Gurgaon - 3+9(R)_MOR - Revised Package_~0039877_II.5. RM Volume Sensitivities_Sheet3" xfId="6558"/>
    <cellStyle name="_MOR - BDWY - 1+11_MOR - Gurgaon - 3+9(R)_MOR - Revised Package_~0039877_II.5. RM Volume Sensitivities_Sheet4" xfId="6559"/>
    <cellStyle name="_MOR - BDWY - 1+11_MOR - Gurgaon - 3+9(R)_MOR - Revised Package_~0039877_II.8. Sep&amp;Discrete" xfId="6560"/>
    <cellStyle name="_MOR - BDWY - 1+11_MOR - Gurgaon - 3+9(R)_MOR - Revised Package_~0039877_II.8. Sep&amp;Discrete_Guidance" xfId="6561"/>
    <cellStyle name="_MOR - BDWY - 1+11_MOR - Gurgaon - 3+9(R)_MOR - Revised Package_~0039877_II.8. Sep&amp;Discrete_Guidance 2" xfId="6562"/>
    <cellStyle name="_MOR - BDWY - 1+11_MOR - Gurgaon - 3+9(R)_MOR - Revised Package_~0039877_II.8. Sep&amp;Discrete_Guidance_BS retrieve" xfId="6563"/>
    <cellStyle name="_MOR - BDWY - 1+11_MOR - Gurgaon - 3+9(R)_MOR - Revised Package_~0039877_II.8. Sep&amp;Discrete_Guidance_Free CF" xfId="6564"/>
    <cellStyle name="_MOR - BDWY - 1+11_MOR - Gurgaon - 3+9(R)_MOR - Revised Package_~0039877_II.8. Sep&amp;Discrete_Guidance_P&amp;L Rec Qtr" xfId="6565"/>
    <cellStyle name="_MOR - BDWY - 1+11_MOR - Gurgaon - 3+9(R)_MOR - Revised Package_~0039877_II.8. Sep&amp;Discrete_Guidance_Sheet1" xfId="6566"/>
    <cellStyle name="_MOR - BDWY - 1+11_MOR - Gurgaon - 3+9(R)_MOR - Revised Package_~0039877_II.8. Sep&amp;Discrete_Guidance_Sheet2" xfId="6567"/>
    <cellStyle name="_MOR - BDWY - 1+11_MOR - Gurgaon - 3+9(R)_MOR - Revised Package_~0039877_II.8. Sep&amp;Discrete_Guidance_Sheet3" xfId="6568"/>
    <cellStyle name="_MOR - BDWY - 1+11_MOR - Gurgaon - 3+9(R)_MOR - Revised Package_~0039877_II.8. Sep&amp;Discrete_Guidance_Sheet4" xfId="6569"/>
    <cellStyle name="_MOR - BDWY - 1+11_MOR - Gurgaon - 3+9(R)_MOR - Revised Package_~0039877_Restructuring &amp; Separation" xfId="6570"/>
    <cellStyle name="_MOR - BDWY - 1+11_MOR - Gurgaon - 3+9(R)_MOR - Revised Package_~0039877_Restructuring &amp; Separation_Guidance" xfId="6571"/>
    <cellStyle name="_MOR - BDWY - 1+11_MOR - Gurgaon - 3+9(R)_MOR - Revised Package_~0039877_Restructuring &amp; Separation_Guidance 2" xfId="6572"/>
    <cellStyle name="_MOR - BDWY - 1+11_MOR - Gurgaon - 3+9(R)_MOR - Revised Package_~0039877_Restructuring &amp; Separation_Guidance_BS retrieve" xfId="6573"/>
    <cellStyle name="_MOR - BDWY - 1+11_MOR - Gurgaon - 3+9(R)_MOR - Revised Package_~0039877_Restructuring &amp; Separation_Guidance_Free CF" xfId="6574"/>
    <cellStyle name="_MOR - BDWY - 1+11_MOR - Gurgaon - 3+9(R)_MOR - Revised Package_~0039877_Restructuring &amp; Separation_Guidance_P&amp;L Rec Qtr" xfId="6575"/>
    <cellStyle name="_MOR - BDWY - 1+11_MOR - Gurgaon - 3+9(R)_MOR - Revised Package_~0039877_Restructuring &amp; Separation_Guidance_Sheet1" xfId="6576"/>
    <cellStyle name="_MOR - BDWY - 1+11_MOR - Gurgaon - 3+9(R)_MOR - Revised Package_~0039877_Restructuring &amp; Separation_Guidance_Sheet2" xfId="6577"/>
    <cellStyle name="_MOR - BDWY - 1+11_MOR - Gurgaon - 3+9(R)_MOR - Revised Package_~0039877_Restructuring &amp; Separation_Guidance_Sheet3" xfId="6578"/>
    <cellStyle name="_MOR - BDWY - 1+11_MOR - Gurgaon - 3+9(R)_MOR - Revised Package_~0039877_Restructuring &amp; Separation_Guidance_Sheet4" xfId="6579"/>
    <cellStyle name="_MOR - BDWY - 1+11_MOR - Gurgaon - 3+9(R)_MOR - Revised Package_~0039877_Restructuring_Separation_TAX_JuneFC2010 tf" xfId="6580"/>
    <cellStyle name="_MOR - BDWY - 1+11_MOR - Gurgaon - 3+9(R)_MOR - Revised Package_~0039877_Restructuring_Separation_TAX_JuneFC2010 tf_BS_Separation_TaxResIndem_Q12412 tf" xfId="6581"/>
    <cellStyle name="_MOR - BDWY - 1+11_MOR - Gurgaon - 3+9(R)_MOR - Revised Package_~0039877_Restructuring_Separation_TAX_JuneFC2010 tf_BS_Separation_TaxResIndem_Q12412 tf_Guidance" xfId="6582"/>
    <cellStyle name="_MOR - BDWY - 1+11_MOR - Gurgaon - 3+9(R)_MOR - Revised Package_~0039877_Restructuring_Separation_TAX_JuneFC2010 tf_BS_Separation_TaxResIndem_Q12412 tf_Guidance 2" xfId="6583"/>
    <cellStyle name="_MOR - BDWY - 1+11_MOR - Gurgaon - 3+9(R)_MOR - Revised Package_~0039877_Restructuring_Separation_TAX_JuneFC2010 tf_BS_Separation_TaxResIndem_Q12412 tf_Guidance_BS retrieve" xfId="6584"/>
    <cellStyle name="_MOR - BDWY - 1+11_MOR - Gurgaon - 3+9(R)_MOR - Revised Package_~0039877_Restructuring_Separation_TAX_JuneFC2010 tf_BS_Separation_TaxResIndem_Q12412 tf_Guidance_Free CF" xfId="6585"/>
    <cellStyle name="_MOR - BDWY - 1+11_MOR - Gurgaon - 3+9(R)_MOR - Revised Package_~0039877_Restructuring_Separation_TAX_JuneFC2010 tf_BS_Separation_TaxResIndem_Q12412 tf_Guidance_P&amp;L Rec Qtr" xfId="6586"/>
    <cellStyle name="_MOR - BDWY - 1+11_MOR - Gurgaon - 3+9(R)_MOR - Revised Package_~0039877_Restructuring_Separation_TAX_JuneFC2010 tf_BS_Separation_TaxResIndem_Q12412 tf_Guidance_Sheet1" xfId="6587"/>
    <cellStyle name="_MOR - BDWY - 1+11_MOR - Gurgaon - 3+9(R)_MOR - Revised Package_~0039877_Restructuring_Separation_TAX_JuneFC2010 tf_BS_Separation_TaxResIndem_Q12412 tf_Guidance_Sheet2" xfId="6588"/>
    <cellStyle name="_MOR - BDWY - 1+11_MOR - Gurgaon - 3+9(R)_MOR - Revised Package_~0039877_Restructuring_Separation_TAX_JuneFC2010 tf_BS_Separation_TaxResIndem_Q12412 tf_Guidance_Sheet3" xfId="6589"/>
    <cellStyle name="_MOR - BDWY - 1+11_MOR - Gurgaon - 3+9(R)_MOR - Revised Package_~0039877_Restructuring_Separation_TAX_JuneFC2010 tf_BS_Separation_TaxResIndem_Q12412 tf_Guidance_Sheet4" xfId="6590"/>
    <cellStyle name="_MOR - BDWY - 1+11_MOR - Gurgaon - 3+9(R)_MOR - Revised Package_~0039877_Restructuring_Separation_TAX_JuneFC2010 tf_BS_Separation_TaxResIndem_Q12412 tf_Restructuring &amp; Separation" xfId="6591"/>
    <cellStyle name="_MOR - BDWY - 1+11_MOR - Gurgaon - 3+9(R)_MOR - Revised Package_~0039877_Restructuring_Separation_TAX_JuneFC2010 tf_BS_Separation_TaxResIndem_Q12412 tf_Restructuring &amp; Separation_Guidance" xfId="6592"/>
    <cellStyle name="_MOR - BDWY - 1+11_MOR - Gurgaon - 3+9(R)_MOR - Revised Package_~0039877_Restructuring_Separation_TAX_JuneFC2010 tf_BS_Separation_TaxResIndem_Q12412 tf_Restructuring &amp; Separation_Guidance 2" xfId="6593"/>
    <cellStyle name="_MOR - BDWY - 1+11_MOR - Gurgaon - 3+9(R)_MOR - Revised Package_~0039877_Restructuring_Separation_TAX_JuneFC2010 tf_BS_Separation_TaxResIndem_Q12412 tf_Restructuring &amp; Separation_Guidance_BS retrieve" xfId="6594"/>
    <cellStyle name="_MOR - BDWY - 1+11_MOR - Gurgaon - 3+9(R)_MOR - Revised Package_~0039877_Restructuring_Separation_TAX_JuneFC2010 tf_BS_Separation_TaxResIndem_Q12412 tf_Restructuring &amp; Separation_Guidance_Free CF" xfId="6595"/>
    <cellStyle name="_MOR - BDWY - 1+11_MOR - Gurgaon - 3+9(R)_MOR - Revised Package_~0039877_Restructuring_Separation_TAX_JuneFC2010 tf_BS_Separation_TaxResIndem_Q12412 tf_Restructuring &amp; Separation_Guidance_P&amp;L Rec Qtr" xfId="6596"/>
    <cellStyle name="_MOR - BDWY - 1+11_MOR - Gurgaon - 3+9(R)_MOR - Revised Package_~0039877_Restructuring_Separation_TAX_JuneFC2010 tf_BS_Separation_TaxResIndem_Q12412 tf_Restructuring &amp; Separation_Guidance_Sheet1" xfId="6597"/>
    <cellStyle name="_MOR - BDWY - 1+11_MOR - Gurgaon - 3+9(R)_MOR - Revised Package_~0039877_Restructuring_Separation_TAX_JuneFC2010 tf_BS_Separation_TaxResIndem_Q12412 tf_Restructuring &amp; Separation_Guidance_Sheet2" xfId="6598"/>
    <cellStyle name="_MOR - BDWY - 1+11_MOR - Gurgaon - 3+9(R)_MOR - Revised Package_~0039877_Restructuring_Separation_TAX_JuneFC2010 tf_BS_Separation_TaxResIndem_Q12412 tf_Restructuring &amp; Separation_Guidance_Sheet3" xfId="6599"/>
    <cellStyle name="_MOR - BDWY - 1+11_MOR - Gurgaon - 3+9(R)_MOR - Revised Package_~0039877_Restructuring_Separation_TAX_JuneFC2010 tf_BS_Separation_TaxResIndem_Q12412 tf_Restructuring &amp; Separation_Guidance_Sheet4" xfId="6600"/>
    <cellStyle name="_MOR - BDWY - 1+11_MOR - Gurgaon - 3+9(R)_MOR - Revised Package_~0039877_Restructuring_Separation_TAX_JuneFC2010 tf_Guidance" xfId="6601"/>
    <cellStyle name="_MOR - BDWY - 1+11_MOR - Gurgaon - 3+9(R)_MOR - Revised Package_~0039877_Restructuring_Separation_TAX_JuneFC2010 tf_Guidance 2" xfId="6602"/>
    <cellStyle name="_MOR - BDWY - 1+11_MOR - Gurgaon - 3+9(R)_MOR - Revised Package_~0039877_Restructuring_Separation_TAX_JuneFC2010 tf_Guidance_BS retrieve" xfId="6603"/>
    <cellStyle name="_MOR - BDWY - 1+11_MOR - Gurgaon - 3+9(R)_MOR - Revised Package_~0039877_Restructuring_Separation_TAX_JuneFC2010 tf_Guidance_Free CF" xfId="6604"/>
    <cellStyle name="_MOR - BDWY - 1+11_MOR - Gurgaon - 3+9(R)_MOR - Revised Package_~0039877_Restructuring_Separation_TAX_JuneFC2010 tf_Guidance_P&amp;L Rec Qtr" xfId="6605"/>
    <cellStyle name="_MOR - BDWY - 1+11_MOR - Gurgaon - 3+9(R)_MOR - Revised Package_~0039877_Restructuring_Separation_TAX_JuneFC2010 tf_Guidance_Sheet1" xfId="6606"/>
    <cellStyle name="_MOR - BDWY - 1+11_MOR - Gurgaon - 3+9(R)_MOR - Revised Package_~0039877_Restructuring_Separation_TAX_JuneFC2010 tf_Guidance_Sheet2" xfId="6607"/>
    <cellStyle name="_MOR - BDWY - 1+11_MOR - Gurgaon - 3+9(R)_MOR - Revised Package_~0039877_Restructuring_Separation_TAX_JuneFC2010 tf_Guidance_Sheet3" xfId="6608"/>
    <cellStyle name="_MOR - BDWY - 1+11_MOR - Gurgaon - 3+9(R)_MOR - Revised Package_~0039877_Restructuring_Separation_TAX_JuneFC2010 tf_Guidance_Sheet4" xfId="6609"/>
    <cellStyle name="_MOR - BDWY - 1+11_MOR - Gurgaon - 3+9(R)_MOR - Revised Package_~0039877_Restructuring_Separation_TAX_JuneFC2010 tf_II.8. Sep&amp;Discrete" xfId="6610"/>
    <cellStyle name="_MOR - BDWY - 1+11_MOR - Gurgaon - 3+9(R)_MOR - Revised Package_~0039877_Restructuring_Separation_TAX_JuneFC2010 tf_II.8. Sep&amp;Discrete_Guidance" xfId="6611"/>
    <cellStyle name="_MOR - BDWY - 1+11_MOR - Gurgaon - 3+9(R)_MOR - Revised Package_~0039877_Restructuring_Separation_TAX_JuneFC2010 tf_II.8. Sep&amp;Discrete_Guidance 2" xfId="6612"/>
    <cellStyle name="_MOR - BDWY - 1+11_MOR - Gurgaon - 3+9(R)_MOR - Revised Package_~0039877_Restructuring_Separation_TAX_JuneFC2010 tf_II.8. Sep&amp;Discrete_Guidance_BS retrieve" xfId="6613"/>
    <cellStyle name="_MOR - BDWY - 1+11_MOR - Gurgaon - 3+9(R)_MOR - Revised Package_~0039877_Restructuring_Separation_TAX_JuneFC2010 tf_II.8. Sep&amp;Discrete_Guidance_Free CF" xfId="6614"/>
    <cellStyle name="_MOR - BDWY - 1+11_MOR - Gurgaon - 3+9(R)_MOR - Revised Package_~0039877_Restructuring_Separation_TAX_JuneFC2010 tf_II.8. Sep&amp;Discrete_Guidance_P&amp;L Rec Qtr" xfId="6615"/>
    <cellStyle name="_MOR - BDWY - 1+11_MOR - Gurgaon - 3+9(R)_MOR - Revised Package_~0039877_Restructuring_Separation_TAX_JuneFC2010 tf_II.8. Sep&amp;Discrete_Guidance_Sheet1" xfId="6616"/>
    <cellStyle name="_MOR - BDWY - 1+11_MOR - Gurgaon - 3+9(R)_MOR - Revised Package_~0039877_Restructuring_Separation_TAX_JuneFC2010 tf_II.8. Sep&amp;Discrete_Guidance_Sheet2" xfId="6617"/>
    <cellStyle name="_MOR - BDWY - 1+11_MOR - Gurgaon - 3+9(R)_MOR - Revised Package_~0039877_Restructuring_Separation_TAX_JuneFC2010 tf_II.8. Sep&amp;Discrete_Guidance_Sheet3" xfId="6618"/>
    <cellStyle name="_MOR - BDWY - 1+11_MOR - Gurgaon - 3+9(R)_MOR - Revised Package_~0039877_Restructuring_Separation_TAX_JuneFC2010 tf_II.8. Sep&amp;Discrete_Guidance_Sheet4" xfId="6619"/>
    <cellStyle name="_MOR - BDWY - 1+11_MOR - Gurgaon - 3+9(R)_MOR - Revised Package_~0039877_Restructuring_Separation_TAX_JuneFC2010 tf_Restructuring &amp; Separation" xfId="6620"/>
    <cellStyle name="_MOR - BDWY - 1+11_MOR - Gurgaon - 3+9(R)_MOR - Revised Package_~0039877_Restructuring_Separation_TAX_JuneFC2010 tf_Restructuring &amp; Separation_Guidance" xfId="6621"/>
    <cellStyle name="_MOR - BDWY - 1+11_MOR - Gurgaon - 3+9(R)_MOR - Revised Package_~0039877_Restructuring_Separation_TAX_JuneFC2010 tf_Restructuring &amp; Separation_Guidance 2" xfId="6622"/>
    <cellStyle name="_MOR - BDWY - 1+11_MOR - Gurgaon - 3+9(R)_MOR - Revised Package_~0039877_Restructuring_Separation_TAX_JuneFC2010 tf_Restructuring &amp; Separation_Guidance_BS retrieve" xfId="6623"/>
    <cellStyle name="_MOR - BDWY - 1+11_MOR - Gurgaon - 3+9(R)_MOR - Revised Package_~0039877_Restructuring_Separation_TAX_JuneFC2010 tf_Restructuring &amp; Separation_Guidance_Free CF" xfId="6624"/>
    <cellStyle name="_MOR - BDWY - 1+11_MOR - Gurgaon - 3+9(R)_MOR - Revised Package_~0039877_Restructuring_Separation_TAX_JuneFC2010 tf_Restructuring &amp; Separation_Guidance_P&amp;L Rec Qtr" xfId="6625"/>
    <cellStyle name="_MOR - BDWY - 1+11_MOR - Gurgaon - 3+9(R)_MOR - Revised Package_~0039877_Restructuring_Separation_TAX_JuneFC2010 tf_Restructuring &amp; Separation_Guidance_Sheet1" xfId="6626"/>
    <cellStyle name="_MOR - BDWY - 1+11_MOR - Gurgaon - 3+9(R)_MOR - Revised Package_~0039877_Restructuring_Separation_TAX_JuneFC2010 tf_Restructuring &amp; Separation_Guidance_Sheet2" xfId="6627"/>
    <cellStyle name="_MOR - BDWY - 1+11_MOR - Gurgaon - 3+9(R)_MOR - Revised Package_~0039877_Restructuring_Separation_TAX_JuneFC2010 tf_Restructuring &amp; Separation_Guidance_Sheet3" xfId="6628"/>
    <cellStyle name="_MOR - BDWY - 1+11_MOR - Gurgaon - 3+9(R)_MOR - Revised Package_~0039877_Restructuring_Separation_TAX_JuneFC2010 tf_Restructuring &amp; Separation_Guidance_Sheet4" xfId="6629"/>
    <cellStyle name="_MOR - BDWY - 1+11_MOR - Gurgaon - 3+9(R)_MOR - Revised Package_BS_Separation_TaxResIndem_Q12412 tf" xfId="6630"/>
    <cellStyle name="_MOR - BDWY - 1+11_MOR - Gurgaon - 3+9(R)_MOR - Revised Package_BS_Separation_TaxResIndem_Q12412 tf_Guidance" xfId="6631"/>
    <cellStyle name="_MOR - BDWY - 1+11_MOR - Gurgaon - 3+9(R)_MOR - Revised Package_BS_Separation_TaxResIndem_Q12412 tf_Guidance 2" xfId="6632"/>
    <cellStyle name="_MOR - BDWY - 1+11_MOR - Gurgaon - 3+9(R)_MOR - Revised Package_BS_Separation_TaxResIndem_Q12412 tf_Guidance_BS retrieve" xfId="6633"/>
    <cellStyle name="_MOR - BDWY - 1+11_MOR - Gurgaon - 3+9(R)_MOR - Revised Package_BS_Separation_TaxResIndem_Q12412 tf_Guidance_Free CF" xfId="6634"/>
    <cellStyle name="_MOR - BDWY - 1+11_MOR - Gurgaon - 3+9(R)_MOR - Revised Package_BS_Separation_TaxResIndem_Q12412 tf_Guidance_P&amp;L Rec Qtr" xfId="6635"/>
    <cellStyle name="_MOR - BDWY - 1+11_MOR - Gurgaon - 3+9(R)_MOR - Revised Package_BS_Separation_TaxResIndem_Q12412 tf_Guidance_Sheet1" xfId="6636"/>
    <cellStyle name="_MOR - BDWY - 1+11_MOR - Gurgaon - 3+9(R)_MOR - Revised Package_BS_Separation_TaxResIndem_Q12412 tf_Guidance_Sheet2" xfId="6637"/>
    <cellStyle name="_MOR - BDWY - 1+11_MOR - Gurgaon - 3+9(R)_MOR - Revised Package_BS_Separation_TaxResIndem_Q12412 tf_Guidance_Sheet3" xfId="6638"/>
    <cellStyle name="_MOR - BDWY - 1+11_MOR - Gurgaon - 3+9(R)_MOR - Revised Package_BS_Separation_TaxResIndem_Q12412 tf_Guidance_Sheet4" xfId="6639"/>
    <cellStyle name="_MOR - BDWY - 1+11_MOR - Gurgaon - 3+9(R)_MOR - Revised Package_BS_Separation_TaxResIndem_Q12412 tf_Restructuring &amp; Separation" xfId="6640"/>
    <cellStyle name="_MOR - BDWY - 1+11_MOR - Gurgaon - 3+9(R)_MOR - Revised Package_BS_Separation_TaxResIndem_Q12412 tf_Restructuring &amp; Separation_Guidance" xfId="6641"/>
    <cellStyle name="_MOR - BDWY - 1+11_MOR - Gurgaon - 3+9(R)_MOR - Revised Package_BS_Separation_TaxResIndem_Q12412 tf_Restructuring &amp; Separation_Guidance 2" xfId="6642"/>
    <cellStyle name="_MOR - BDWY - 1+11_MOR - Gurgaon - 3+9(R)_MOR - Revised Package_BS_Separation_TaxResIndem_Q12412 tf_Restructuring &amp; Separation_Guidance_BS retrieve" xfId="6643"/>
    <cellStyle name="_MOR - BDWY - 1+11_MOR - Gurgaon - 3+9(R)_MOR - Revised Package_BS_Separation_TaxResIndem_Q12412 tf_Restructuring &amp; Separation_Guidance_Free CF" xfId="6644"/>
    <cellStyle name="_MOR - BDWY - 1+11_MOR - Gurgaon - 3+9(R)_MOR - Revised Package_BS_Separation_TaxResIndem_Q12412 tf_Restructuring &amp; Separation_Guidance_P&amp;L Rec Qtr" xfId="6645"/>
    <cellStyle name="_MOR - BDWY - 1+11_MOR - Gurgaon - 3+9(R)_MOR - Revised Package_BS_Separation_TaxResIndem_Q12412 tf_Restructuring &amp; Separation_Guidance_Sheet1" xfId="6646"/>
    <cellStyle name="_MOR - BDWY - 1+11_MOR - Gurgaon - 3+9(R)_MOR - Revised Package_BS_Separation_TaxResIndem_Q12412 tf_Restructuring &amp; Separation_Guidance_Sheet2" xfId="6647"/>
    <cellStyle name="_MOR - BDWY - 1+11_MOR - Gurgaon - 3+9(R)_MOR - Revised Package_BS_Separation_TaxResIndem_Q12412 tf_Restructuring &amp; Separation_Guidance_Sheet3" xfId="6648"/>
    <cellStyle name="_MOR - BDWY - 1+11_MOR - Gurgaon - 3+9(R)_MOR - Revised Package_BS_Separation_TaxResIndem_Q12412 tf_Restructuring &amp; Separation_Guidance_Sheet4" xfId="6649"/>
    <cellStyle name="_MOR - BDWY - 1+11_MOR - Gurgaon - 3+9(R)_MOR - Revised Package_By Country Detail 1Q10 041410pm FIN 18 revised per disc w Mary" xfId="6650"/>
    <cellStyle name="_MOR - BDWY - 1+11_MOR - Gurgaon - 3+9(R)_MOR - Revised Package_By Country Detail 1Q10 041410pm FIN 18 revised per disc w Mary_BS_Separation_TaxResIndem_Q12412 tf" xfId="6651"/>
    <cellStyle name="_MOR - BDWY - 1+11_MOR - Gurgaon - 3+9(R)_MOR - Revised Package_By Country Detail 1Q10 041410pm FIN 18 revised per disc w Mary_BS_Separation_TaxResIndem_Q12412 tf_Guidance" xfId="6652"/>
    <cellStyle name="_MOR - BDWY - 1+11_MOR - Gurgaon - 3+9(R)_MOR - Revised Package_By Country Detail 1Q10 041410pm FIN 18 revised per disc w Mary_BS_Separation_TaxResIndem_Q12412 tf_Guidance 2" xfId="6653"/>
    <cellStyle name="_MOR - BDWY - 1+11_MOR - Gurgaon - 3+9(R)_MOR - Revised Package_By Country Detail 1Q10 041410pm FIN 18 revised per disc w Mary_BS_Separation_TaxResIndem_Q12412 tf_Guidance_BS retrieve" xfId="6654"/>
    <cellStyle name="_MOR - BDWY - 1+11_MOR - Gurgaon - 3+9(R)_MOR - Revised Package_By Country Detail 1Q10 041410pm FIN 18 revised per disc w Mary_BS_Separation_TaxResIndem_Q12412 tf_Guidance_Free CF" xfId="6655"/>
    <cellStyle name="_MOR - BDWY - 1+11_MOR - Gurgaon - 3+9(R)_MOR - Revised Package_By Country Detail 1Q10 041410pm FIN 18 revised per disc w Mary_BS_Separation_TaxResIndem_Q12412 tf_Guidance_P&amp;L Rec Qtr" xfId="6656"/>
    <cellStyle name="_MOR - BDWY - 1+11_MOR - Gurgaon - 3+9(R)_MOR - Revised Package_By Country Detail 1Q10 041410pm FIN 18 revised per disc w Mary_BS_Separation_TaxResIndem_Q12412 tf_Guidance_Sheet1" xfId="6657"/>
    <cellStyle name="_MOR - BDWY - 1+11_MOR - Gurgaon - 3+9(R)_MOR - Revised Package_By Country Detail 1Q10 041410pm FIN 18 revised per disc w Mary_BS_Separation_TaxResIndem_Q12412 tf_Guidance_Sheet2" xfId="6658"/>
    <cellStyle name="_MOR - BDWY - 1+11_MOR - Gurgaon - 3+9(R)_MOR - Revised Package_By Country Detail 1Q10 041410pm FIN 18 revised per disc w Mary_BS_Separation_TaxResIndem_Q12412 tf_Guidance_Sheet3" xfId="6659"/>
    <cellStyle name="_MOR - BDWY - 1+11_MOR - Gurgaon - 3+9(R)_MOR - Revised Package_By Country Detail 1Q10 041410pm FIN 18 revised per disc w Mary_BS_Separation_TaxResIndem_Q12412 tf_Guidance_Sheet4" xfId="6660"/>
    <cellStyle name="_MOR - BDWY - 1+11_MOR - Gurgaon - 3+9(R)_MOR - Revised Package_By Country Detail 1Q10 041410pm FIN 18 revised per disc w Mary_BS_Separation_TaxResIndem_Q12412 tf_Restructuring &amp; Separation" xfId="6661"/>
    <cellStyle name="_MOR - BDWY - 1+11_MOR - Gurgaon - 3+9(R)_MOR - Revised Package_By Country Detail 1Q10 041410pm FIN 18 revised per disc w Mary_BS_Separation_TaxResIndem_Q12412 tf_Restructuring &amp; Separation_Guidance" xfId="6662"/>
    <cellStyle name="_MOR - BDWY - 1+11_MOR - Gurgaon - 3+9(R)_MOR - Revised Package_By Country Detail 1Q10 041410pm FIN 18 revised per disc w Mary_BS_Separation_TaxResIndem_Q12412 tf_Restructuring &amp; Separation_Guidance 2" xfId="6663"/>
    <cellStyle name="_MOR - BDWY - 1+11_MOR - Gurgaon - 3+9(R)_MOR - Revised Package_By Country Detail 1Q10 041410pm FIN 18 revised per disc w Mary_BS_Separation_TaxResIndem_Q12412 tf_Restructuring &amp; Separation_Guidance_BS retrieve" xfId="6664"/>
    <cellStyle name="_MOR - BDWY - 1+11_MOR - Gurgaon - 3+9(R)_MOR - Revised Package_By Country Detail 1Q10 041410pm FIN 18 revised per disc w Mary_BS_Separation_TaxResIndem_Q12412 tf_Restructuring &amp; Separation_Guidance_Free CF" xfId="6665"/>
    <cellStyle name="_MOR - BDWY - 1+11_MOR - Gurgaon - 3+9(R)_MOR - Revised Package_By Country Detail 1Q10 041410pm FIN 18 revised per disc w Mary_BS_Separation_TaxResIndem_Q12412 tf_Restructuring &amp; Separation_Guidance_P&amp;L Rec Qtr" xfId="6666"/>
    <cellStyle name="_MOR - BDWY - 1+11_MOR - Gurgaon - 3+9(R)_MOR - Revised Package_By Country Detail 1Q10 041410pm FIN 18 revised per disc w Mary_BS_Separation_TaxResIndem_Q12412 tf_Restructuring &amp; Separation_Guidance_Sheet1" xfId="6667"/>
    <cellStyle name="_MOR - BDWY - 1+11_MOR - Gurgaon - 3+9(R)_MOR - Revised Package_By Country Detail 1Q10 041410pm FIN 18 revised per disc w Mary_BS_Separation_TaxResIndem_Q12412 tf_Restructuring &amp; Separation_Guidance_Sheet2" xfId="6668"/>
    <cellStyle name="_MOR - BDWY - 1+11_MOR - Gurgaon - 3+9(R)_MOR - Revised Package_By Country Detail 1Q10 041410pm FIN 18 revised per disc w Mary_BS_Separation_TaxResIndem_Q12412 tf_Restructuring &amp; Separation_Guidance_Sheet3" xfId="6669"/>
    <cellStyle name="_MOR - BDWY - 1+11_MOR - Gurgaon - 3+9(R)_MOR - Revised Package_By Country Detail 1Q10 041410pm FIN 18 revised per disc w Mary_BS_Separation_TaxResIndem_Q12412 tf_Restructuring &amp; Separation_Guidance_Sheet4" xfId="6670"/>
    <cellStyle name="_MOR - BDWY - 1+11_MOR - Gurgaon - 3+9(R)_MOR - Revised Package_By Country Detail 1Q10 041410pm FIN 18 revised per disc w Mary_Guidance" xfId="6671"/>
    <cellStyle name="_MOR - BDWY - 1+11_MOR - Gurgaon - 3+9(R)_MOR - Revised Package_By Country Detail 1Q10 041410pm FIN 18 revised per disc w Mary_Guidance 2" xfId="6672"/>
    <cellStyle name="_MOR - BDWY - 1+11_MOR - Gurgaon - 3+9(R)_MOR - Revised Package_By Country Detail 1Q10 041410pm FIN 18 revised per disc w Mary_Guidance_BS retrieve" xfId="6673"/>
    <cellStyle name="_MOR - BDWY - 1+11_MOR - Gurgaon - 3+9(R)_MOR - Revised Package_By Country Detail 1Q10 041410pm FIN 18 revised per disc w Mary_Guidance_Free CF" xfId="6674"/>
    <cellStyle name="_MOR - BDWY - 1+11_MOR - Gurgaon - 3+9(R)_MOR - Revised Package_By Country Detail 1Q10 041410pm FIN 18 revised per disc w Mary_Guidance_P&amp;L Rec Qtr" xfId="6675"/>
    <cellStyle name="_MOR - BDWY - 1+11_MOR - Gurgaon - 3+9(R)_MOR - Revised Package_By Country Detail 1Q10 041410pm FIN 18 revised per disc w Mary_Guidance_Sheet1" xfId="6676"/>
    <cellStyle name="_MOR - BDWY - 1+11_MOR - Gurgaon - 3+9(R)_MOR - Revised Package_By Country Detail 1Q10 041410pm FIN 18 revised per disc w Mary_Guidance_Sheet2" xfId="6677"/>
    <cellStyle name="_MOR - BDWY - 1+11_MOR - Gurgaon - 3+9(R)_MOR - Revised Package_By Country Detail 1Q10 041410pm FIN 18 revised per disc w Mary_Guidance_Sheet3" xfId="6678"/>
    <cellStyle name="_MOR - BDWY - 1+11_MOR - Gurgaon - 3+9(R)_MOR - Revised Package_By Country Detail 1Q10 041410pm FIN 18 revised per disc w Mary_Guidance_Sheet4" xfId="6679"/>
    <cellStyle name="_MOR - BDWY - 1+11_MOR - Gurgaon - 3+9(R)_MOR - Revised Package_By Country Detail 1Q10 041410pm FIN 18 revised per disc w Mary_II.8. Sep&amp;Discrete" xfId="6680"/>
    <cellStyle name="_MOR - BDWY - 1+11_MOR - Gurgaon - 3+9(R)_MOR - Revised Package_By Country Detail 1Q10 041410pm FIN 18 revised per disc w Mary_II.8. Sep&amp;Discrete_Guidance" xfId="6681"/>
    <cellStyle name="_MOR - BDWY - 1+11_MOR - Gurgaon - 3+9(R)_MOR - Revised Package_By Country Detail 1Q10 041410pm FIN 18 revised per disc w Mary_II.8. Sep&amp;Discrete_Guidance 2" xfId="6682"/>
    <cellStyle name="_MOR - BDWY - 1+11_MOR - Gurgaon - 3+9(R)_MOR - Revised Package_By Country Detail 1Q10 041410pm FIN 18 revised per disc w Mary_II.8. Sep&amp;Discrete_Guidance_BS retrieve" xfId="6683"/>
    <cellStyle name="_MOR - BDWY - 1+11_MOR - Gurgaon - 3+9(R)_MOR - Revised Package_By Country Detail 1Q10 041410pm FIN 18 revised per disc w Mary_II.8. Sep&amp;Discrete_Guidance_Free CF" xfId="6684"/>
    <cellStyle name="_MOR - BDWY - 1+11_MOR - Gurgaon - 3+9(R)_MOR - Revised Package_By Country Detail 1Q10 041410pm FIN 18 revised per disc w Mary_II.8. Sep&amp;Discrete_Guidance_P&amp;L Rec Qtr" xfId="6685"/>
    <cellStyle name="_MOR - BDWY - 1+11_MOR - Gurgaon - 3+9(R)_MOR - Revised Package_By Country Detail 1Q10 041410pm FIN 18 revised per disc w Mary_II.8. Sep&amp;Discrete_Guidance_Sheet1" xfId="6686"/>
    <cellStyle name="_MOR - BDWY - 1+11_MOR - Gurgaon - 3+9(R)_MOR - Revised Package_By Country Detail 1Q10 041410pm FIN 18 revised per disc w Mary_II.8. Sep&amp;Discrete_Guidance_Sheet2" xfId="6687"/>
    <cellStyle name="_MOR - BDWY - 1+11_MOR - Gurgaon - 3+9(R)_MOR - Revised Package_By Country Detail 1Q10 041410pm FIN 18 revised per disc w Mary_II.8. Sep&amp;Discrete_Guidance_Sheet3" xfId="6688"/>
    <cellStyle name="_MOR - BDWY - 1+11_MOR - Gurgaon - 3+9(R)_MOR - Revised Package_By Country Detail 1Q10 041410pm FIN 18 revised per disc w Mary_II.8. Sep&amp;Discrete_Guidance_Sheet4" xfId="6689"/>
    <cellStyle name="_MOR - BDWY - 1+11_MOR - Gurgaon - 3+9(R)_MOR - Revised Package_By Country Detail 1Q10 041410pm FIN 18 revised per disc w Mary_Restructuring &amp; Separation" xfId="6690"/>
    <cellStyle name="_MOR - BDWY - 1+11_MOR - Gurgaon - 3+9(R)_MOR - Revised Package_By Country Detail 1Q10 041410pm FIN 18 revised per disc w Mary_Restructuring &amp; Separation_Guidance" xfId="6691"/>
    <cellStyle name="_MOR - BDWY - 1+11_MOR - Gurgaon - 3+9(R)_MOR - Revised Package_By Country Detail 1Q10 041410pm FIN 18 revised per disc w Mary_Restructuring &amp; Separation_Guidance 2" xfId="6692"/>
    <cellStyle name="_MOR - BDWY - 1+11_MOR - Gurgaon - 3+9(R)_MOR - Revised Package_By Country Detail 1Q10 041410pm FIN 18 revised per disc w Mary_Restructuring &amp; Separation_Guidance_BS retrieve" xfId="6693"/>
    <cellStyle name="_MOR - BDWY - 1+11_MOR - Gurgaon - 3+9(R)_MOR - Revised Package_By Country Detail 1Q10 041410pm FIN 18 revised per disc w Mary_Restructuring &amp; Separation_Guidance_Free CF" xfId="6694"/>
    <cellStyle name="_MOR - BDWY - 1+11_MOR - Gurgaon - 3+9(R)_MOR - Revised Package_By Country Detail 1Q10 041410pm FIN 18 revised per disc w Mary_Restructuring &amp; Separation_Guidance_P&amp;L Rec Qtr" xfId="6695"/>
    <cellStyle name="_MOR - BDWY - 1+11_MOR - Gurgaon - 3+9(R)_MOR - Revised Package_By Country Detail 1Q10 041410pm FIN 18 revised per disc w Mary_Restructuring &amp; Separation_Guidance_Sheet1" xfId="6696"/>
    <cellStyle name="_MOR - BDWY - 1+11_MOR - Gurgaon - 3+9(R)_MOR - Revised Package_By Country Detail 1Q10 041410pm FIN 18 revised per disc w Mary_Restructuring &amp; Separation_Guidance_Sheet2" xfId="6697"/>
    <cellStyle name="_MOR - BDWY - 1+11_MOR - Gurgaon - 3+9(R)_MOR - Revised Package_By Country Detail 1Q10 041410pm FIN 18 revised per disc w Mary_Restructuring &amp; Separation_Guidance_Sheet3" xfId="6698"/>
    <cellStyle name="_MOR - BDWY - 1+11_MOR - Gurgaon - 3+9(R)_MOR - Revised Package_By Country Detail 1Q10 041410pm FIN 18 revised per disc w Mary_Restructuring &amp; Separation_Guidance_Sheet4" xfId="6699"/>
    <cellStyle name="_MOR - BDWY - 1+11_MOR - Gurgaon - 3+9(R)_MOR - Revised Package_Guidance" xfId="6700"/>
    <cellStyle name="_MOR - BDWY - 1+11_MOR - Gurgaon - 3+9(R)_MOR - Revised Package_Guidance 2" xfId="6701"/>
    <cellStyle name="_MOR - BDWY - 1+11_MOR - Gurgaon - 3+9(R)_MOR - Revised Package_Guidance_BS retrieve" xfId="6702"/>
    <cellStyle name="_MOR - BDWY - 1+11_MOR - Gurgaon - 3+9(R)_MOR - Revised Package_Guidance_Free CF" xfId="6703"/>
    <cellStyle name="_MOR - BDWY - 1+11_MOR - Gurgaon - 3+9(R)_MOR - Revised Package_Guidance_P&amp;L Rec Qtr" xfId="6704"/>
    <cellStyle name="_MOR - BDWY - 1+11_MOR - Gurgaon - 3+9(R)_MOR - Revised Package_Guidance_Sheet1" xfId="6705"/>
    <cellStyle name="_MOR - BDWY - 1+11_MOR - Gurgaon - 3+9(R)_MOR - Revised Package_Guidance_Sheet2" xfId="6706"/>
    <cellStyle name="_MOR - BDWY - 1+11_MOR - Gurgaon - 3+9(R)_MOR - Revised Package_Guidance_Sheet3" xfId="6707"/>
    <cellStyle name="_MOR - BDWY - 1+11_MOR - Gurgaon - 3+9(R)_MOR - Revised Package_Guidance_Sheet4" xfId="6708"/>
    <cellStyle name="_MOR - BDWY - 1+11_MOR - Gurgaon - 3+9(R)_MOR - Revised Package_II.4. RawMaterials" xfId="6709"/>
    <cellStyle name="_MOR - BDWY - 1+11_MOR - Gurgaon - 3+9(R)_MOR - Revised Package_II.4. RawMaterials 2" xfId="6710"/>
    <cellStyle name="_MOR - BDWY - 1+11_MOR - Gurgaon - 3+9(R)_MOR - Revised Package_II.4. RawMaterials_BS retrieve" xfId="6711"/>
    <cellStyle name="_MOR - BDWY - 1+11_MOR - Gurgaon - 3+9(R)_MOR - Revised Package_II.4. RawMaterials_Free CF" xfId="6712"/>
    <cellStyle name="_MOR - BDWY - 1+11_MOR - Gurgaon - 3+9(R)_MOR - Revised Package_II.4. RawMaterials_P&amp;L Rec Qtr" xfId="6713"/>
    <cellStyle name="_MOR - BDWY - 1+11_MOR - Gurgaon - 3+9(R)_MOR - Revised Package_II.4. RawMaterials_Sheet1" xfId="6714"/>
    <cellStyle name="_MOR - BDWY - 1+11_MOR - Gurgaon - 3+9(R)_MOR - Revised Package_II.4. RawMaterials_Sheet2" xfId="6715"/>
    <cellStyle name="_MOR - BDWY - 1+11_MOR - Gurgaon - 3+9(R)_MOR - Revised Package_II.4. RawMaterials_Sheet3" xfId="6716"/>
    <cellStyle name="_MOR - BDWY - 1+11_MOR - Gurgaon - 3+9(R)_MOR - Revised Package_II.4. RawMaterials_Sheet4" xfId="6717"/>
    <cellStyle name="_MOR - BDWY - 1+11_MOR - Gurgaon - 3+9(R)_MOR - Revised Package_II.5. RawMaterials" xfId="6718"/>
    <cellStyle name="_MOR - BDWY - 1+11_MOR - Gurgaon - 3+9(R)_MOR - Revised Package_II.5. RawMaterials 2" xfId="6719"/>
    <cellStyle name="_MOR - BDWY - 1+11_MOR - Gurgaon - 3+9(R)_MOR - Revised Package_II.5. RawMaterials_BS retrieve" xfId="6720"/>
    <cellStyle name="_MOR - BDWY - 1+11_MOR - Gurgaon - 3+9(R)_MOR - Revised Package_II.5. RawMaterials_Free CF" xfId="6721"/>
    <cellStyle name="_MOR - BDWY - 1+11_MOR - Gurgaon - 3+9(R)_MOR - Revised Package_II.5. RawMaterials_Guidance" xfId="6722"/>
    <cellStyle name="_MOR - BDWY - 1+11_MOR - Gurgaon - 3+9(R)_MOR - Revised Package_II.5. RawMaterials_Guidance 2" xfId="6723"/>
    <cellStyle name="_MOR - BDWY - 1+11_MOR - Gurgaon - 3+9(R)_MOR - Revised Package_II.5. RawMaterials_Guidance_BS retrieve" xfId="6724"/>
    <cellStyle name="_MOR - BDWY - 1+11_MOR - Gurgaon - 3+9(R)_MOR - Revised Package_II.5. RawMaterials_Guidance_Free CF" xfId="6725"/>
    <cellStyle name="_MOR - BDWY - 1+11_MOR - Gurgaon - 3+9(R)_MOR - Revised Package_II.5. RawMaterials_Guidance_P&amp;L Rec Qtr" xfId="6726"/>
    <cellStyle name="_MOR - BDWY - 1+11_MOR - Gurgaon - 3+9(R)_MOR - Revised Package_II.5. RawMaterials_Guidance_Sheet1" xfId="6727"/>
    <cellStyle name="_MOR - BDWY - 1+11_MOR - Gurgaon - 3+9(R)_MOR - Revised Package_II.5. RawMaterials_Guidance_Sheet2" xfId="6728"/>
    <cellStyle name="_MOR - BDWY - 1+11_MOR - Gurgaon - 3+9(R)_MOR - Revised Package_II.5. RawMaterials_Guidance_Sheet3" xfId="6729"/>
    <cellStyle name="_MOR - BDWY - 1+11_MOR - Gurgaon - 3+9(R)_MOR - Revised Package_II.5. RawMaterials_Guidance_Sheet4" xfId="6730"/>
    <cellStyle name="_MOR - BDWY - 1+11_MOR - Gurgaon - 3+9(R)_MOR - Revised Package_II.5. RawMaterials_P&amp;L Rec Qtr" xfId="6731"/>
    <cellStyle name="_MOR - BDWY - 1+11_MOR - Gurgaon - 3+9(R)_MOR - Revised Package_II.5. RawMaterials_Sheet1" xfId="6732"/>
    <cellStyle name="_MOR - BDWY - 1+11_MOR - Gurgaon - 3+9(R)_MOR - Revised Package_II.5. RawMaterials_Sheet2" xfId="6733"/>
    <cellStyle name="_MOR - BDWY - 1+11_MOR - Gurgaon - 3+9(R)_MOR - Revised Package_II.5. RawMaterials_Sheet3" xfId="6734"/>
    <cellStyle name="_MOR - BDWY - 1+11_MOR - Gurgaon - 3+9(R)_MOR - Revised Package_II.5. RawMaterials_Sheet4" xfId="6735"/>
    <cellStyle name="_MOR - BDWY - 1+11_MOR - Gurgaon - 3+9(R)_MOR - Revised Package_II.5. RM Volume Sensitivities" xfId="6736"/>
    <cellStyle name="_MOR - BDWY - 1+11_MOR - Gurgaon - 3+9(R)_MOR - Revised Package_II.5. RM Volume Sensitivities 2" xfId="6737"/>
    <cellStyle name="_MOR - BDWY - 1+11_MOR - Gurgaon - 3+9(R)_MOR - Revised Package_II.5. RM Volume Sensitivities_BS retrieve" xfId="6738"/>
    <cellStyle name="_MOR - BDWY - 1+11_MOR - Gurgaon - 3+9(R)_MOR - Revised Package_II.5. RM Volume Sensitivities_Free CF" xfId="6739"/>
    <cellStyle name="_MOR - BDWY - 1+11_MOR - Gurgaon - 3+9(R)_MOR - Revised Package_II.5. RM Volume Sensitivities_P&amp;L Rec Qtr" xfId="6740"/>
    <cellStyle name="_MOR - BDWY - 1+11_MOR - Gurgaon - 3+9(R)_MOR - Revised Package_II.5. RM Volume Sensitivities_Sheet1" xfId="6741"/>
    <cellStyle name="_MOR - BDWY - 1+11_MOR - Gurgaon - 3+9(R)_MOR - Revised Package_II.5. RM Volume Sensitivities_Sheet2" xfId="6742"/>
    <cellStyle name="_MOR - BDWY - 1+11_MOR - Gurgaon - 3+9(R)_MOR - Revised Package_II.5. RM Volume Sensitivities_Sheet3" xfId="6743"/>
    <cellStyle name="_MOR - BDWY - 1+11_MOR - Gurgaon - 3+9(R)_MOR - Revised Package_II.5. RM Volume Sensitivities_Sheet4" xfId="6744"/>
    <cellStyle name="_MOR - BDWY - 1+11_MOR - Gurgaon - 3+9(R)_MOR - Revised Package_II.8. Sep&amp;Discrete" xfId="6745"/>
    <cellStyle name="_MOR - BDWY - 1+11_MOR - Gurgaon - 3+9(R)_MOR - Revised Package_II.8. Sep&amp;Discrete_Guidance" xfId="6746"/>
    <cellStyle name="_MOR - BDWY - 1+11_MOR - Gurgaon - 3+9(R)_MOR - Revised Package_II.8. Sep&amp;Discrete_Guidance 2" xfId="6747"/>
    <cellStyle name="_MOR - BDWY - 1+11_MOR - Gurgaon - 3+9(R)_MOR - Revised Package_II.8. Sep&amp;Discrete_Guidance_BS retrieve" xfId="6748"/>
    <cellStyle name="_MOR - BDWY - 1+11_MOR - Gurgaon - 3+9(R)_MOR - Revised Package_II.8. Sep&amp;Discrete_Guidance_Free CF" xfId="6749"/>
    <cellStyle name="_MOR - BDWY - 1+11_MOR - Gurgaon - 3+9(R)_MOR - Revised Package_II.8. Sep&amp;Discrete_Guidance_P&amp;L Rec Qtr" xfId="6750"/>
    <cellStyle name="_MOR - BDWY - 1+11_MOR - Gurgaon - 3+9(R)_MOR - Revised Package_II.8. Sep&amp;Discrete_Guidance_Sheet1" xfId="6751"/>
    <cellStyle name="_MOR - BDWY - 1+11_MOR - Gurgaon - 3+9(R)_MOR - Revised Package_II.8. Sep&amp;Discrete_Guidance_Sheet2" xfId="6752"/>
    <cellStyle name="_MOR - BDWY - 1+11_MOR - Gurgaon - 3+9(R)_MOR - Revised Package_II.8. Sep&amp;Discrete_Guidance_Sheet3" xfId="6753"/>
    <cellStyle name="_MOR - BDWY - 1+11_MOR - Gurgaon - 3+9(R)_MOR - Revised Package_II.8. Sep&amp;Discrete_Guidance_Sheet4" xfId="6754"/>
    <cellStyle name="_MOR - BDWY - 1+11_MOR - Gurgaon - 3+9(R)_MOR - Revised Package_Restructuring &amp; Separation" xfId="6755"/>
    <cellStyle name="_MOR - BDWY - 1+11_MOR - Gurgaon - 3+9(R)_MOR - Revised Package_Restructuring &amp; Separation_Guidance" xfId="6756"/>
    <cellStyle name="_MOR - BDWY - 1+11_MOR - Gurgaon - 3+9(R)_MOR - Revised Package_Restructuring &amp; Separation_Guidance 2" xfId="6757"/>
    <cellStyle name="_MOR - BDWY - 1+11_MOR - Gurgaon - 3+9(R)_MOR - Revised Package_Restructuring &amp; Separation_Guidance_BS retrieve" xfId="6758"/>
    <cellStyle name="_MOR - BDWY - 1+11_MOR - Gurgaon - 3+9(R)_MOR - Revised Package_Restructuring &amp; Separation_Guidance_Free CF" xfId="6759"/>
    <cellStyle name="_MOR - BDWY - 1+11_MOR - Gurgaon - 3+9(R)_MOR - Revised Package_Restructuring &amp; Separation_Guidance_P&amp;L Rec Qtr" xfId="6760"/>
    <cellStyle name="_MOR - BDWY - 1+11_MOR - Gurgaon - 3+9(R)_MOR - Revised Package_Restructuring &amp; Separation_Guidance_Sheet1" xfId="6761"/>
    <cellStyle name="_MOR - BDWY - 1+11_MOR - Gurgaon - 3+9(R)_MOR - Revised Package_Restructuring &amp; Separation_Guidance_Sheet2" xfId="6762"/>
    <cellStyle name="_MOR - BDWY - 1+11_MOR - Gurgaon - 3+9(R)_MOR - Revised Package_Restructuring &amp; Separation_Guidance_Sheet3" xfId="6763"/>
    <cellStyle name="_MOR - BDWY - 1+11_MOR - Gurgaon - 3+9(R)_MOR - Revised Package_Restructuring &amp; Separation_Guidance_Sheet4" xfId="6764"/>
    <cellStyle name="_MOR - BDWY - 1+11_MOR - Gurgaon - 3+9(R)_MOR - Revised Package_Restructuring_Separation_TAX_JuneFC2010 tf" xfId="6765"/>
    <cellStyle name="_MOR - BDWY - 1+11_MOR - Gurgaon - 3+9(R)_MOR - Revised Package_Restructuring_Separation_TAX_JuneFC2010 tf_BS_Separation_TaxResIndem_Q12412 tf" xfId="6766"/>
    <cellStyle name="_MOR - BDWY - 1+11_MOR - Gurgaon - 3+9(R)_MOR - Revised Package_Restructuring_Separation_TAX_JuneFC2010 tf_BS_Separation_TaxResIndem_Q12412 tf_Guidance" xfId="6767"/>
    <cellStyle name="_MOR - BDWY - 1+11_MOR - Gurgaon - 3+9(R)_MOR - Revised Package_Restructuring_Separation_TAX_JuneFC2010 tf_BS_Separation_TaxResIndem_Q12412 tf_Guidance 2" xfId="6768"/>
    <cellStyle name="_MOR - BDWY - 1+11_MOR - Gurgaon - 3+9(R)_MOR - Revised Package_Restructuring_Separation_TAX_JuneFC2010 tf_BS_Separation_TaxResIndem_Q12412 tf_Guidance_BS retrieve" xfId="6769"/>
    <cellStyle name="_MOR - BDWY - 1+11_MOR - Gurgaon - 3+9(R)_MOR - Revised Package_Restructuring_Separation_TAX_JuneFC2010 tf_BS_Separation_TaxResIndem_Q12412 tf_Guidance_Free CF" xfId="6770"/>
    <cellStyle name="_MOR - BDWY - 1+11_MOR - Gurgaon - 3+9(R)_MOR - Revised Package_Restructuring_Separation_TAX_JuneFC2010 tf_BS_Separation_TaxResIndem_Q12412 tf_Guidance_P&amp;L Rec Qtr" xfId="6771"/>
    <cellStyle name="_MOR - BDWY - 1+11_MOR - Gurgaon - 3+9(R)_MOR - Revised Package_Restructuring_Separation_TAX_JuneFC2010 tf_BS_Separation_TaxResIndem_Q12412 tf_Guidance_Sheet1" xfId="6772"/>
    <cellStyle name="_MOR - BDWY - 1+11_MOR - Gurgaon - 3+9(R)_MOR - Revised Package_Restructuring_Separation_TAX_JuneFC2010 tf_BS_Separation_TaxResIndem_Q12412 tf_Guidance_Sheet2" xfId="6773"/>
    <cellStyle name="_MOR - BDWY - 1+11_MOR - Gurgaon - 3+9(R)_MOR - Revised Package_Restructuring_Separation_TAX_JuneFC2010 tf_BS_Separation_TaxResIndem_Q12412 tf_Guidance_Sheet3" xfId="6774"/>
    <cellStyle name="_MOR - BDWY - 1+11_MOR - Gurgaon - 3+9(R)_MOR - Revised Package_Restructuring_Separation_TAX_JuneFC2010 tf_BS_Separation_TaxResIndem_Q12412 tf_Guidance_Sheet4" xfId="6775"/>
    <cellStyle name="_MOR - BDWY - 1+11_MOR - Gurgaon - 3+9(R)_MOR - Revised Package_Restructuring_Separation_TAX_JuneFC2010 tf_BS_Separation_TaxResIndem_Q12412 tf_Restructuring &amp; Separation" xfId="6776"/>
    <cellStyle name="_MOR - BDWY - 1+11_MOR - Gurgaon - 3+9(R)_MOR - Revised Package_Restructuring_Separation_TAX_JuneFC2010 tf_BS_Separation_TaxResIndem_Q12412 tf_Restructuring &amp; Separation_Guidance" xfId="6777"/>
    <cellStyle name="_MOR - BDWY - 1+11_MOR - Gurgaon - 3+9(R)_MOR - Revised Package_Restructuring_Separation_TAX_JuneFC2010 tf_BS_Separation_TaxResIndem_Q12412 tf_Restructuring &amp; Separation_Guidance 2" xfId="6778"/>
    <cellStyle name="_MOR - BDWY - 1+11_MOR - Gurgaon - 3+9(R)_MOR - Revised Package_Restructuring_Separation_TAX_JuneFC2010 tf_BS_Separation_TaxResIndem_Q12412 tf_Restructuring &amp; Separation_Guidance_BS retrieve" xfId="6779"/>
    <cellStyle name="_MOR - BDWY - 1+11_MOR - Gurgaon - 3+9(R)_MOR - Revised Package_Restructuring_Separation_TAX_JuneFC2010 tf_BS_Separation_TaxResIndem_Q12412 tf_Restructuring &amp; Separation_Guidance_Free CF" xfId="6780"/>
    <cellStyle name="_MOR - BDWY - 1+11_MOR - Gurgaon - 3+9(R)_MOR - Revised Package_Restructuring_Separation_TAX_JuneFC2010 tf_BS_Separation_TaxResIndem_Q12412 tf_Restructuring &amp; Separation_Guidance_P&amp;L Rec Qtr" xfId="6781"/>
    <cellStyle name="_MOR - BDWY - 1+11_MOR - Gurgaon - 3+9(R)_MOR - Revised Package_Restructuring_Separation_TAX_JuneFC2010 tf_BS_Separation_TaxResIndem_Q12412 tf_Restructuring &amp; Separation_Guidance_Sheet1" xfId="6782"/>
    <cellStyle name="_MOR - BDWY - 1+11_MOR - Gurgaon - 3+9(R)_MOR - Revised Package_Restructuring_Separation_TAX_JuneFC2010 tf_BS_Separation_TaxResIndem_Q12412 tf_Restructuring &amp; Separation_Guidance_Sheet2" xfId="6783"/>
    <cellStyle name="_MOR - BDWY - 1+11_MOR - Gurgaon - 3+9(R)_MOR - Revised Package_Restructuring_Separation_TAX_JuneFC2010 tf_BS_Separation_TaxResIndem_Q12412 tf_Restructuring &amp; Separation_Guidance_Sheet3" xfId="6784"/>
    <cellStyle name="_MOR - BDWY - 1+11_MOR - Gurgaon - 3+9(R)_MOR - Revised Package_Restructuring_Separation_TAX_JuneFC2010 tf_BS_Separation_TaxResIndem_Q12412 tf_Restructuring &amp; Separation_Guidance_Sheet4" xfId="6785"/>
    <cellStyle name="_MOR - BDWY - 1+11_MOR - Gurgaon - 3+9(R)_MOR - Revised Package_Restructuring_Separation_TAX_JuneFC2010 tf_Guidance" xfId="6786"/>
    <cellStyle name="_MOR - BDWY - 1+11_MOR - Gurgaon - 3+9(R)_MOR - Revised Package_Restructuring_Separation_TAX_JuneFC2010 tf_Guidance 2" xfId="6787"/>
    <cellStyle name="_MOR - BDWY - 1+11_MOR - Gurgaon - 3+9(R)_MOR - Revised Package_Restructuring_Separation_TAX_JuneFC2010 tf_Guidance_BS retrieve" xfId="6788"/>
    <cellStyle name="_MOR - BDWY - 1+11_MOR - Gurgaon - 3+9(R)_MOR - Revised Package_Restructuring_Separation_TAX_JuneFC2010 tf_Guidance_Free CF" xfId="6789"/>
    <cellStyle name="_MOR - BDWY - 1+11_MOR - Gurgaon - 3+9(R)_MOR - Revised Package_Restructuring_Separation_TAX_JuneFC2010 tf_Guidance_P&amp;L Rec Qtr" xfId="6790"/>
    <cellStyle name="_MOR - BDWY - 1+11_MOR - Gurgaon - 3+9(R)_MOR - Revised Package_Restructuring_Separation_TAX_JuneFC2010 tf_Guidance_Sheet1" xfId="6791"/>
    <cellStyle name="_MOR - BDWY - 1+11_MOR - Gurgaon - 3+9(R)_MOR - Revised Package_Restructuring_Separation_TAX_JuneFC2010 tf_Guidance_Sheet2" xfId="6792"/>
    <cellStyle name="_MOR - BDWY - 1+11_MOR - Gurgaon - 3+9(R)_MOR - Revised Package_Restructuring_Separation_TAX_JuneFC2010 tf_Guidance_Sheet3" xfId="6793"/>
    <cellStyle name="_MOR - BDWY - 1+11_MOR - Gurgaon - 3+9(R)_MOR - Revised Package_Restructuring_Separation_TAX_JuneFC2010 tf_Guidance_Sheet4" xfId="6794"/>
    <cellStyle name="_MOR - BDWY - 1+11_MOR - Gurgaon - 3+9(R)_MOR - Revised Package_Restructuring_Separation_TAX_JuneFC2010 tf_II.8. Sep&amp;Discrete" xfId="6795"/>
    <cellStyle name="_MOR - BDWY - 1+11_MOR - Gurgaon - 3+9(R)_MOR - Revised Package_Restructuring_Separation_TAX_JuneFC2010 tf_II.8. Sep&amp;Discrete_Guidance" xfId="6796"/>
    <cellStyle name="_MOR - BDWY - 1+11_MOR - Gurgaon - 3+9(R)_MOR - Revised Package_Restructuring_Separation_TAX_JuneFC2010 tf_II.8. Sep&amp;Discrete_Guidance 2" xfId="6797"/>
    <cellStyle name="_MOR - BDWY - 1+11_MOR - Gurgaon - 3+9(R)_MOR - Revised Package_Restructuring_Separation_TAX_JuneFC2010 tf_II.8. Sep&amp;Discrete_Guidance_BS retrieve" xfId="6798"/>
    <cellStyle name="_MOR - BDWY - 1+11_MOR - Gurgaon - 3+9(R)_MOR - Revised Package_Restructuring_Separation_TAX_JuneFC2010 tf_II.8. Sep&amp;Discrete_Guidance_Free CF" xfId="6799"/>
    <cellStyle name="_MOR - BDWY - 1+11_MOR - Gurgaon - 3+9(R)_MOR - Revised Package_Restructuring_Separation_TAX_JuneFC2010 tf_II.8. Sep&amp;Discrete_Guidance_P&amp;L Rec Qtr" xfId="6800"/>
    <cellStyle name="_MOR - BDWY - 1+11_MOR - Gurgaon - 3+9(R)_MOR - Revised Package_Restructuring_Separation_TAX_JuneFC2010 tf_II.8. Sep&amp;Discrete_Guidance_Sheet1" xfId="6801"/>
    <cellStyle name="_MOR - BDWY - 1+11_MOR - Gurgaon - 3+9(R)_MOR - Revised Package_Restructuring_Separation_TAX_JuneFC2010 tf_II.8. Sep&amp;Discrete_Guidance_Sheet2" xfId="6802"/>
    <cellStyle name="_MOR - BDWY - 1+11_MOR - Gurgaon - 3+9(R)_MOR - Revised Package_Restructuring_Separation_TAX_JuneFC2010 tf_II.8. Sep&amp;Discrete_Guidance_Sheet3" xfId="6803"/>
    <cellStyle name="_MOR - BDWY - 1+11_MOR - Gurgaon - 3+9(R)_MOR - Revised Package_Restructuring_Separation_TAX_JuneFC2010 tf_II.8. Sep&amp;Discrete_Guidance_Sheet4" xfId="6804"/>
    <cellStyle name="_MOR - BDWY - 1+11_MOR - Gurgaon - 3+9(R)_MOR - Revised Package_Restructuring_Separation_TAX_JuneFC2010 tf_Restructuring &amp; Separation" xfId="6805"/>
    <cellStyle name="_MOR - BDWY - 1+11_MOR - Gurgaon - 3+9(R)_MOR - Revised Package_Restructuring_Separation_TAX_JuneFC2010 tf_Restructuring &amp; Separation_Guidance" xfId="6806"/>
    <cellStyle name="_MOR - BDWY - 1+11_MOR - Gurgaon - 3+9(R)_MOR - Revised Package_Restructuring_Separation_TAX_JuneFC2010 tf_Restructuring &amp; Separation_Guidance 2" xfId="6807"/>
    <cellStyle name="_MOR - BDWY - 1+11_MOR - Gurgaon - 3+9(R)_MOR - Revised Package_Restructuring_Separation_TAX_JuneFC2010 tf_Restructuring &amp; Separation_Guidance_BS retrieve" xfId="6808"/>
    <cellStyle name="_MOR - BDWY - 1+11_MOR - Gurgaon - 3+9(R)_MOR - Revised Package_Restructuring_Separation_TAX_JuneFC2010 tf_Restructuring &amp; Separation_Guidance_Free CF" xfId="6809"/>
    <cellStyle name="_MOR - BDWY - 1+11_MOR - Gurgaon - 3+9(R)_MOR - Revised Package_Restructuring_Separation_TAX_JuneFC2010 tf_Restructuring &amp; Separation_Guidance_P&amp;L Rec Qtr" xfId="6810"/>
    <cellStyle name="_MOR - BDWY - 1+11_MOR - Gurgaon - 3+9(R)_MOR - Revised Package_Restructuring_Separation_TAX_JuneFC2010 tf_Restructuring &amp; Separation_Guidance_Sheet1" xfId="6811"/>
    <cellStyle name="_MOR - BDWY - 1+11_MOR - Gurgaon - 3+9(R)_MOR - Revised Package_Restructuring_Separation_TAX_JuneFC2010 tf_Restructuring &amp; Separation_Guidance_Sheet2" xfId="6812"/>
    <cellStyle name="_MOR - BDWY - 1+11_MOR - Gurgaon - 3+9(R)_MOR - Revised Package_Restructuring_Separation_TAX_JuneFC2010 tf_Restructuring &amp; Separation_Guidance_Sheet3" xfId="6813"/>
    <cellStyle name="_MOR - BDWY - 1+11_MOR - Gurgaon - 3+9(R)_MOR - Revised Package_Restructuring_Separation_TAX_JuneFC2010 tf_Restructuring &amp; Separation_Guidance_Sheet4" xfId="6814"/>
    <cellStyle name="_MOR - BDWY - 1+11_MOR - Gurgaon - 3+9(R)_MOR - Revised Package_Revised MOR Package - Latest" xfId="6815"/>
    <cellStyle name="_MOR - BDWY - 1+11_MOR - Gurgaon - 3+9(R)_MOR - Revised Package_Revised MOR Package - Latest_BS_Separation_TaxResIndem_Q12412 tf" xfId="6816"/>
    <cellStyle name="_MOR - BDWY - 1+11_MOR - Gurgaon - 3+9(R)_MOR - Revised Package_Revised MOR Package - Latest_BS_Separation_TaxResIndem_Q12412 tf_Guidance" xfId="6817"/>
    <cellStyle name="_MOR - BDWY - 1+11_MOR - Gurgaon - 3+9(R)_MOR - Revised Package_Revised MOR Package - Latest_BS_Separation_TaxResIndem_Q12412 tf_Guidance 2" xfId="6818"/>
    <cellStyle name="_MOR - BDWY - 1+11_MOR - Gurgaon - 3+9(R)_MOR - Revised Package_Revised MOR Package - Latest_BS_Separation_TaxResIndem_Q12412 tf_Guidance_BS retrieve" xfId="6819"/>
    <cellStyle name="_MOR - BDWY - 1+11_MOR - Gurgaon - 3+9(R)_MOR - Revised Package_Revised MOR Package - Latest_BS_Separation_TaxResIndem_Q12412 tf_Guidance_Free CF" xfId="6820"/>
    <cellStyle name="_MOR - BDWY - 1+11_MOR - Gurgaon - 3+9(R)_MOR - Revised Package_Revised MOR Package - Latest_BS_Separation_TaxResIndem_Q12412 tf_Guidance_P&amp;L Rec Qtr" xfId="6821"/>
    <cellStyle name="_MOR - BDWY - 1+11_MOR - Gurgaon - 3+9(R)_MOR - Revised Package_Revised MOR Package - Latest_BS_Separation_TaxResIndem_Q12412 tf_Guidance_Sheet1" xfId="6822"/>
    <cellStyle name="_MOR - BDWY - 1+11_MOR - Gurgaon - 3+9(R)_MOR - Revised Package_Revised MOR Package - Latest_BS_Separation_TaxResIndem_Q12412 tf_Guidance_Sheet2" xfId="6823"/>
    <cellStyle name="_MOR - BDWY - 1+11_MOR - Gurgaon - 3+9(R)_MOR - Revised Package_Revised MOR Package - Latest_BS_Separation_TaxResIndem_Q12412 tf_Guidance_Sheet3" xfId="6824"/>
    <cellStyle name="_MOR - BDWY - 1+11_MOR - Gurgaon - 3+9(R)_MOR - Revised Package_Revised MOR Package - Latest_BS_Separation_TaxResIndem_Q12412 tf_Guidance_Sheet4" xfId="6825"/>
    <cellStyle name="_MOR - BDWY - 1+11_MOR - Gurgaon - 3+9(R)_MOR - Revised Package_Revised MOR Package - Latest_BS_Separation_TaxResIndem_Q12412 tf_Restructuring &amp; Separation" xfId="6826"/>
    <cellStyle name="_MOR - BDWY - 1+11_MOR - Gurgaon - 3+9(R)_MOR - Revised Package_Revised MOR Package - Latest_BS_Separation_TaxResIndem_Q12412 tf_Restructuring &amp; Separation_Guidance" xfId="6827"/>
    <cellStyle name="_MOR - BDWY - 1+11_MOR - Gurgaon - 3+9(R)_MOR - Revised Package_Revised MOR Package - Latest_BS_Separation_TaxResIndem_Q12412 tf_Restructuring &amp; Separation_Guidance 2" xfId="6828"/>
    <cellStyle name="_MOR - BDWY - 1+11_MOR - Gurgaon - 3+9(R)_MOR - Revised Package_Revised MOR Package - Latest_BS_Separation_TaxResIndem_Q12412 tf_Restructuring &amp; Separation_Guidance_BS retrieve" xfId="6829"/>
    <cellStyle name="_MOR - BDWY - 1+11_MOR - Gurgaon - 3+9(R)_MOR - Revised Package_Revised MOR Package - Latest_BS_Separation_TaxResIndem_Q12412 tf_Restructuring &amp; Separation_Guidance_Free CF" xfId="6830"/>
    <cellStyle name="_MOR - BDWY - 1+11_MOR - Gurgaon - 3+9(R)_MOR - Revised Package_Revised MOR Package - Latest_BS_Separation_TaxResIndem_Q12412 tf_Restructuring &amp; Separation_Guidance_P&amp;L Rec Qtr" xfId="6831"/>
    <cellStyle name="_MOR - BDWY - 1+11_MOR - Gurgaon - 3+9(R)_MOR - Revised Package_Revised MOR Package - Latest_BS_Separation_TaxResIndem_Q12412 tf_Restructuring &amp; Separation_Guidance_Sheet1" xfId="6832"/>
    <cellStyle name="_MOR - BDWY - 1+11_MOR - Gurgaon - 3+9(R)_MOR - Revised Package_Revised MOR Package - Latest_BS_Separation_TaxResIndem_Q12412 tf_Restructuring &amp; Separation_Guidance_Sheet2" xfId="6833"/>
    <cellStyle name="_MOR - BDWY - 1+11_MOR - Gurgaon - 3+9(R)_MOR - Revised Package_Revised MOR Package - Latest_BS_Separation_TaxResIndem_Q12412 tf_Restructuring &amp; Separation_Guidance_Sheet3" xfId="6834"/>
    <cellStyle name="_MOR - BDWY - 1+11_MOR - Gurgaon - 3+9(R)_MOR - Revised Package_Revised MOR Package - Latest_BS_Separation_TaxResIndem_Q12412 tf_Restructuring &amp; Separation_Guidance_Sheet4" xfId="6835"/>
    <cellStyle name="_MOR - BDWY - 1+11_MOR - Gurgaon - 3+9(R)_MOR - Revised Package_Revised MOR Package - Latest_By Country Detail 1Q10 041410pm FIN 18 revised per disc w Mary" xfId="6836"/>
    <cellStyle name="_MOR - BDWY - 1+11_MOR - Gurgaon - 3+9(R)_MOR - Revised Package_Revised MOR Package - Latest_By Country Detail 1Q10 041410pm FIN 18 revised per disc w Mary_BS_Separation_TaxResIndem_Q12412 tf" xfId="6837"/>
    <cellStyle name="_MOR - BDWY - 1+11_MOR - Gurgaon - 3+9(R)_MOR - Revised Package_Revised MOR Package - Latest_By Country Detail 1Q10 041410pm FIN 18 revised per disc w Mary_BS_Separation_TaxResIndem_Q12412 tf_Guidance" xfId="6838"/>
    <cellStyle name="_MOR - BDWY - 1+11_MOR - Gurgaon - 3+9(R)_MOR - Revised Package_Revised MOR Package - Latest_By Country Detail 1Q10 041410pm FIN 18 revised per disc w Mary_BS_Separation_TaxResIndem_Q12412 tf_Guidance 2" xfId="6839"/>
    <cellStyle name="_MOR - BDWY - 1+11_MOR - Gurgaon - 3+9(R)_MOR - Revised Package_Revised MOR Package - Latest_By Country Detail 1Q10 041410pm FIN 18 revised per disc w Mary_BS_Separation_TaxResIndem_Q12412 tf_Guidance_BS retrieve" xfId="6840"/>
    <cellStyle name="_MOR - BDWY - 1+11_MOR - Gurgaon - 3+9(R)_MOR - Revised Package_Revised MOR Package - Latest_By Country Detail 1Q10 041410pm FIN 18 revised per disc w Mary_BS_Separation_TaxResIndem_Q12412 tf_Guidance_Free CF" xfId="6841"/>
    <cellStyle name="_MOR - BDWY - 1+11_MOR - Gurgaon - 3+9(R)_MOR - Revised Package_Revised MOR Package - Latest_By Country Detail 1Q10 041410pm FIN 18 revised per disc w Mary_BS_Separation_TaxResIndem_Q12412 tf_Guidance_P&amp;L Rec Qtr" xfId="6842"/>
    <cellStyle name="_MOR - BDWY - 1+11_MOR - Gurgaon - 3+9(R)_MOR - Revised Package_Revised MOR Package - Latest_By Country Detail 1Q10 041410pm FIN 18 revised per disc w Mary_BS_Separation_TaxResIndem_Q12412 tf_Guidance_Sheet1" xfId="6843"/>
    <cellStyle name="_MOR - BDWY - 1+11_MOR - Gurgaon - 3+9(R)_MOR - Revised Package_Revised MOR Package - Latest_By Country Detail 1Q10 041410pm FIN 18 revised per disc w Mary_BS_Separation_TaxResIndem_Q12412 tf_Guidance_Sheet2" xfId="6844"/>
    <cellStyle name="_MOR - BDWY - 1+11_MOR - Gurgaon - 3+9(R)_MOR - Revised Package_Revised MOR Package - Latest_By Country Detail 1Q10 041410pm FIN 18 revised per disc w Mary_BS_Separation_TaxResIndem_Q12412 tf_Guidance_Sheet3" xfId="6845"/>
    <cellStyle name="_MOR - BDWY - 1+11_MOR - Gurgaon - 3+9(R)_MOR - Revised Package_Revised MOR Package - Latest_By Country Detail 1Q10 041410pm FIN 18 revised per disc w Mary_BS_Separation_TaxResIndem_Q12412 tf_Guidance_Sheet4" xfId="6846"/>
    <cellStyle name="_MOR - BDWY - 1+11_MOR - Gurgaon - 3+9(R)_MOR - Revised Package_Revised MOR Package - Latest_By Country Detail 1Q10 041410pm FIN 18 revised per disc w Mary_BS_Separation_TaxResIndem_Q12412 tf_Restructuring &amp; Separation" xfId="6847"/>
    <cellStyle name="_MOR - BDWY - 1+11_MOR - Gurgaon - 3+9(R)_MOR - Revised Package_Revised MOR Package - Latest_By Country Detail 1Q10 041410pm FIN 18 revised per disc w Mary_BS_Separation_TaxResIndem_Q12412 tf_Restructuring &amp; Separation_Guidance" xfId="6848"/>
    <cellStyle name="_MOR - BDWY - 1+11_MOR - Gurgaon - 3+9(R)_MOR - Revised Package_Revised MOR Package - Latest_By Country Detail 1Q10 041410pm FIN 18 revised per disc w Mary_BS_Separation_TaxResIndem_Q12412 tf_Restructuring &amp; Separation_Guidance 2" xfId="6849"/>
    <cellStyle name="_MOR - BDWY - 1+11_MOR - Gurgaon - 3+9(R)_MOR - Revised Package_Revised MOR Package - Latest_By Country Detail 1Q10 041410pm FIN 18 revised per disc w Mary_BS_Separation_TaxResIndem_Q12412 tf_Restructuring &amp; Separation_Guidance_BS retrieve" xfId="6850"/>
    <cellStyle name="_MOR - BDWY - 1+11_MOR - Gurgaon - 3+9(R)_MOR - Revised Package_Revised MOR Package - Latest_By Country Detail 1Q10 041410pm FIN 18 revised per disc w Mary_BS_Separation_TaxResIndem_Q12412 tf_Restructuring &amp; Separation_Guidance_Free CF" xfId="6851"/>
    <cellStyle name="_MOR - BDWY - 1+11_MOR - Gurgaon - 3+9(R)_MOR - Revised Package_Revised MOR Package - Latest_By Country Detail 1Q10 041410pm FIN 18 revised per disc w Mary_BS_Separation_TaxResIndem_Q12412 tf_Restructuring &amp; Separation_Guidance_P&amp;L Rec Qtr" xfId="6852"/>
    <cellStyle name="_MOR - BDWY - 1+11_MOR - Gurgaon - 3+9(R)_MOR - Revised Package_Revised MOR Package - Latest_By Country Detail 1Q10 041410pm FIN 18 revised per disc w Mary_BS_Separation_TaxResIndem_Q12412 tf_Restructuring &amp; Separation_Guidance_Sheet1" xfId="6853"/>
    <cellStyle name="_MOR - BDWY - 1+11_MOR - Gurgaon - 3+9(R)_MOR - Revised Package_Revised MOR Package - Latest_By Country Detail 1Q10 041410pm FIN 18 revised per disc w Mary_BS_Separation_TaxResIndem_Q12412 tf_Restructuring &amp; Separation_Guidance_Sheet2" xfId="6854"/>
    <cellStyle name="_MOR - BDWY - 1+11_MOR - Gurgaon - 3+9(R)_MOR - Revised Package_Revised MOR Package - Latest_By Country Detail 1Q10 041410pm FIN 18 revised per disc w Mary_BS_Separation_TaxResIndem_Q12412 tf_Restructuring &amp; Separation_Guidance_Sheet3" xfId="6855"/>
    <cellStyle name="_MOR - BDWY - 1+11_MOR - Gurgaon - 3+9(R)_MOR - Revised Package_Revised MOR Package - Latest_By Country Detail 1Q10 041410pm FIN 18 revised per disc w Mary_BS_Separation_TaxResIndem_Q12412 tf_Restructuring &amp; Separation_Guidance_Sheet4" xfId="6856"/>
    <cellStyle name="_MOR - BDWY - 1+11_MOR - Gurgaon - 3+9(R)_MOR - Revised Package_Revised MOR Package - Latest_By Country Detail 1Q10 041410pm FIN 18 revised per disc w Mary_Guidance" xfId="6857"/>
    <cellStyle name="_MOR - BDWY - 1+11_MOR - Gurgaon - 3+9(R)_MOR - Revised Package_Revised MOR Package - Latest_By Country Detail 1Q10 041410pm FIN 18 revised per disc w Mary_Guidance 2" xfId="6858"/>
    <cellStyle name="_MOR - BDWY - 1+11_MOR - Gurgaon - 3+9(R)_MOR - Revised Package_Revised MOR Package - Latest_By Country Detail 1Q10 041410pm FIN 18 revised per disc w Mary_Guidance_BS retrieve" xfId="6859"/>
    <cellStyle name="_MOR - BDWY - 1+11_MOR - Gurgaon - 3+9(R)_MOR - Revised Package_Revised MOR Package - Latest_By Country Detail 1Q10 041410pm FIN 18 revised per disc w Mary_Guidance_Free CF" xfId="6860"/>
    <cellStyle name="_MOR - BDWY - 1+11_MOR - Gurgaon - 3+9(R)_MOR - Revised Package_Revised MOR Package - Latest_By Country Detail 1Q10 041410pm FIN 18 revised per disc w Mary_Guidance_P&amp;L Rec Qtr" xfId="6861"/>
    <cellStyle name="_MOR - BDWY - 1+11_MOR - Gurgaon - 3+9(R)_MOR - Revised Package_Revised MOR Package - Latest_By Country Detail 1Q10 041410pm FIN 18 revised per disc w Mary_Guidance_Sheet1" xfId="6862"/>
    <cellStyle name="_MOR - BDWY - 1+11_MOR - Gurgaon - 3+9(R)_MOR - Revised Package_Revised MOR Package - Latest_By Country Detail 1Q10 041410pm FIN 18 revised per disc w Mary_Guidance_Sheet2" xfId="6863"/>
    <cellStyle name="_MOR - BDWY - 1+11_MOR - Gurgaon - 3+9(R)_MOR - Revised Package_Revised MOR Package - Latest_By Country Detail 1Q10 041410pm FIN 18 revised per disc w Mary_Guidance_Sheet3" xfId="6864"/>
    <cellStyle name="_MOR - BDWY - 1+11_MOR - Gurgaon - 3+9(R)_MOR - Revised Package_Revised MOR Package - Latest_By Country Detail 1Q10 041410pm FIN 18 revised per disc w Mary_Guidance_Sheet4" xfId="6865"/>
    <cellStyle name="_MOR - BDWY - 1+11_MOR - Gurgaon - 3+9(R)_MOR - Revised Package_Revised MOR Package - Latest_By Country Detail 1Q10 041410pm FIN 18 revised per disc w Mary_II.8. Sep&amp;Discrete" xfId="6866"/>
    <cellStyle name="_MOR - BDWY - 1+11_MOR - Gurgaon - 3+9(R)_MOR - Revised Package_Revised MOR Package - Latest_By Country Detail 1Q10 041410pm FIN 18 revised per disc w Mary_II.8. Sep&amp;Discrete_Guidance" xfId="6867"/>
    <cellStyle name="_MOR - BDWY - 1+11_MOR - Gurgaon - 3+9(R)_MOR - Revised Package_Revised MOR Package - Latest_By Country Detail 1Q10 041410pm FIN 18 revised per disc w Mary_II.8. Sep&amp;Discrete_Guidance 2" xfId="6868"/>
    <cellStyle name="_MOR - BDWY - 1+11_MOR - Gurgaon - 3+9(R)_MOR - Revised Package_Revised MOR Package - Latest_By Country Detail 1Q10 041410pm FIN 18 revised per disc w Mary_II.8. Sep&amp;Discrete_Guidance_BS retrieve" xfId="6869"/>
    <cellStyle name="_MOR - BDWY - 1+11_MOR - Gurgaon - 3+9(R)_MOR - Revised Package_Revised MOR Package - Latest_By Country Detail 1Q10 041410pm FIN 18 revised per disc w Mary_II.8. Sep&amp;Discrete_Guidance_Free CF" xfId="6870"/>
    <cellStyle name="_MOR - BDWY - 1+11_MOR - Gurgaon - 3+9(R)_MOR - Revised Package_Revised MOR Package - Latest_By Country Detail 1Q10 041410pm FIN 18 revised per disc w Mary_II.8. Sep&amp;Discrete_Guidance_P&amp;L Rec Qtr" xfId="6871"/>
    <cellStyle name="_MOR - BDWY - 1+11_MOR - Gurgaon - 3+9(R)_MOR - Revised Package_Revised MOR Package - Latest_By Country Detail 1Q10 041410pm FIN 18 revised per disc w Mary_II.8. Sep&amp;Discrete_Guidance_Sheet1" xfId="6872"/>
    <cellStyle name="_MOR - BDWY - 1+11_MOR - Gurgaon - 3+9(R)_MOR - Revised Package_Revised MOR Package - Latest_By Country Detail 1Q10 041410pm FIN 18 revised per disc w Mary_II.8. Sep&amp;Discrete_Guidance_Sheet2" xfId="6873"/>
    <cellStyle name="_MOR - BDWY - 1+11_MOR - Gurgaon - 3+9(R)_MOR - Revised Package_Revised MOR Package - Latest_By Country Detail 1Q10 041410pm FIN 18 revised per disc w Mary_II.8. Sep&amp;Discrete_Guidance_Sheet3" xfId="6874"/>
    <cellStyle name="_MOR - BDWY - 1+11_MOR - Gurgaon - 3+9(R)_MOR - Revised Package_Revised MOR Package - Latest_By Country Detail 1Q10 041410pm FIN 18 revised per disc w Mary_II.8. Sep&amp;Discrete_Guidance_Sheet4" xfId="6875"/>
    <cellStyle name="_MOR - BDWY - 1+11_MOR - Gurgaon - 3+9(R)_MOR - Revised Package_Revised MOR Package - Latest_By Country Detail 1Q10 041410pm FIN 18 revised per disc w Mary_Restructuring &amp; Separation" xfId="6876"/>
    <cellStyle name="_MOR - BDWY - 1+11_MOR - Gurgaon - 3+9(R)_MOR - Revised Package_Revised MOR Package - Latest_By Country Detail 1Q10 041410pm FIN 18 revised per disc w Mary_Restructuring &amp; Separation_Guidance" xfId="6877"/>
    <cellStyle name="_MOR - BDWY - 1+11_MOR - Gurgaon - 3+9(R)_MOR - Revised Package_Revised MOR Package - Latest_By Country Detail 1Q10 041410pm FIN 18 revised per disc w Mary_Restructuring &amp; Separation_Guidance 2" xfId="6878"/>
    <cellStyle name="_MOR - BDWY - 1+11_MOR - Gurgaon - 3+9(R)_MOR - Revised Package_Revised MOR Package - Latest_By Country Detail 1Q10 041410pm FIN 18 revised per disc w Mary_Restructuring &amp; Separation_Guidance_BS retrieve" xfId="6879"/>
    <cellStyle name="_MOR - BDWY - 1+11_MOR - Gurgaon - 3+9(R)_MOR - Revised Package_Revised MOR Package - Latest_By Country Detail 1Q10 041410pm FIN 18 revised per disc w Mary_Restructuring &amp; Separation_Guidance_Free CF" xfId="6880"/>
    <cellStyle name="_MOR - BDWY - 1+11_MOR - Gurgaon - 3+9(R)_MOR - Revised Package_Revised MOR Package - Latest_By Country Detail 1Q10 041410pm FIN 18 revised per disc w Mary_Restructuring &amp; Separation_Guidance_P&amp;L Rec Qtr" xfId="6881"/>
    <cellStyle name="_MOR - BDWY - 1+11_MOR - Gurgaon - 3+9(R)_MOR - Revised Package_Revised MOR Package - Latest_By Country Detail 1Q10 041410pm FIN 18 revised per disc w Mary_Restructuring &amp; Separation_Guidance_Sheet1" xfId="6882"/>
    <cellStyle name="_MOR - BDWY - 1+11_MOR - Gurgaon - 3+9(R)_MOR - Revised Package_Revised MOR Package - Latest_By Country Detail 1Q10 041410pm FIN 18 revised per disc w Mary_Restructuring &amp; Separation_Guidance_Sheet2" xfId="6883"/>
    <cellStyle name="_MOR - BDWY - 1+11_MOR - Gurgaon - 3+9(R)_MOR - Revised Package_Revised MOR Package - Latest_By Country Detail 1Q10 041410pm FIN 18 revised per disc w Mary_Restructuring &amp; Separation_Guidance_Sheet3" xfId="6884"/>
    <cellStyle name="_MOR - BDWY - 1+11_MOR - Gurgaon - 3+9(R)_MOR - Revised Package_Revised MOR Package - Latest_By Country Detail 1Q10 041410pm FIN 18 revised per disc w Mary_Restructuring &amp; Separation_Guidance_Sheet4" xfId="6885"/>
    <cellStyle name="_MOR - BDWY - 1+11_MOR - Gurgaon - 3+9(R)_MOR - Revised Package_Revised MOR Package - Latest_Guidance" xfId="6886"/>
    <cellStyle name="_MOR - BDWY - 1+11_MOR - Gurgaon - 3+9(R)_MOR - Revised Package_Revised MOR Package - Latest_Guidance 2" xfId="6887"/>
    <cellStyle name="_MOR - BDWY - 1+11_MOR - Gurgaon - 3+9(R)_MOR - Revised Package_Revised MOR Package - Latest_Guidance_BS retrieve" xfId="6888"/>
    <cellStyle name="_MOR - BDWY - 1+11_MOR - Gurgaon - 3+9(R)_MOR - Revised Package_Revised MOR Package - Latest_Guidance_Free CF" xfId="6889"/>
    <cellStyle name="_MOR - BDWY - 1+11_MOR - Gurgaon - 3+9(R)_MOR - Revised Package_Revised MOR Package - Latest_Guidance_P&amp;L Rec Qtr" xfId="6890"/>
    <cellStyle name="_MOR - BDWY - 1+11_MOR - Gurgaon - 3+9(R)_MOR - Revised Package_Revised MOR Package - Latest_Guidance_Sheet1" xfId="6891"/>
    <cellStyle name="_MOR - BDWY - 1+11_MOR - Gurgaon - 3+9(R)_MOR - Revised Package_Revised MOR Package - Latest_Guidance_Sheet2" xfId="6892"/>
    <cellStyle name="_MOR - BDWY - 1+11_MOR - Gurgaon - 3+9(R)_MOR - Revised Package_Revised MOR Package - Latest_Guidance_Sheet3" xfId="6893"/>
    <cellStyle name="_MOR - BDWY - 1+11_MOR - Gurgaon - 3+9(R)_MOR - Revised Package_Revised MOR Package - Latest_Guidance_Sheet4" xfId="6894"/>
    <cellStyle name="_MOR - BDWY - 1+11_MOR - Gurgaon - 3+9(R)_MOR - Revised Package_Revised MOR Package - Latest_II.4. RawMaterials" xfId="6895"/>
    <cellStyle name="_MOR - BDWY - 1+11_MOR - Gurgaon - 3+9(R)_MOR - Revised Package_Revised MOR Package - Latest_II.4. RawMaterials 2" xfId="6896"/>
    <cellStyle name="_MOR - BDWY - 1+11_MOR - Gurgaon - 3+9(R)_MOR - Revised Package_Revised MOR Package - Latest_II.4. RawMaterials_BS retrieve" xfId="6897"/>
    <cellStyle name="_MOR - BDWY - 1+11_MOR - Gurgaon - 3+9(R)_MOR - Revised Package_Revised MOR Package - Latest_II.4. RawMaterials_Free CF" xfId="6898"/>
    <cellStyle name="_MOR - BDWY - 1+11_MOR - Gurgaon - 3+9(R)_MOR - Revised Package_Revised MOR Package - Latest_II.4. RawMaterials_P&amp;L Rec Qtr" xfId="6899"/>
    <cellStyle name="_MOR - BDWY - 1+11_MOR - Gurgaon - 3+9(R)_MOR - Revised Package_Revised MOR Package - Latest_II.4. RawMaterials_Sheet1" xfId="6900"/>
    <cellStyle name="_MOR - BDWY - 1+11_MOR - Gurgaon - 3+9(R)_MOR - Revised Package_Revised MOR Package - Latest_II.4. RawMaterials_Sheet2" xfId="6901"/>
    <cellStyle name="_MOR - BDWY - 1+11_MOR - Gurgaon - 3+9(R)_MOR - Revised Package_Revised MOR Package - Latest_II.4. RawMaterials_Sheet3" xfId="6902"/>
    <cellStyle name="_MOR - BDWY - 1+11_MOR - Gurgaon - 3+9(R)_MOR - Revised Package_Revised MOR Package - Latest_II.4. RawMaterials_Sheet4" xfId="6903"/>
    <cellStyle name="_MOR - BDWY - 1+11_MOR - Gurgaon - 3+9(R)_MOR - Revised Package_Revised MOR Package - Latest_II.5. RawMaterials" xfId="6904"/>
    <cellStyle name="_MOR - BDWY - 1+11_MOR - Gurgaon - 3+9(R)_MOR - Revised Package_Revised MOR Package - Latest_II.5. RawMaterials 2" xfId="6905"/>
    <cellStyle name="_MOR - BDWY - 1+11_MOR - Gurgaon - 3+9(R)_MOR - Revised Package_Revised MOR Package - Latest_II.5. RawMaterials_BS retrieve" xfId="6906"/>
    <cellStyle name="_MOR - BDWY - 1+11_MOR - Gurgaon - 3+9(R)_MOR - Revised Package_Revised MOR Package - Latest_II.5. RawMaterials_Free CF" xfId="6907"/>
    <cellStyle name="_MOR - BDWY - 1+11_MOR - Gurgaon - 3+9(R)_MOR - Revised Package_Revised MOR Package - Latest_II.5. RawMaterials_Guidance" xfId="6908"/>
    <cellStyle name="_MOR - BDWY - 1+11_MOR - Gurgaon - 3+9(R)_MOR - Revised Package_Revised MOR Package - Latest_II.5. RawMaterials_Guidance 2" xfId="6909"/>
    <cellStyle name="_MOR - BDWY - 1+11_MOR - Gurgaon - 3+9(R)_MOR - Revised Package_Revised MOR Package - Latest_II.5. RawMaterials_Guidance_BS retrieve" xfId="6910"/>
    <cellStyle name="_MOR - BDWY - 1+11_MOR - Gurgaon - 3+9(R)_MOR - Revised Package_Revised MOR Package - Latest_II.5. RawMaterials_Guidance_Free CF" xfId="6911"/>
    <cellStyle name="_MOR - BDWY - 1+11_MOR - Gurgaon - 3+9(R)_MOR - Revised Package_Revised MOR Package - Latest_II.5. RawMaterials_Guidance_P&amp;L Rec Qtr" xfId="6912"/>
    <cellStyle name="_MOR - BDWY - 1+11_MOR - Gurgaon - 3+9(R)_MOR - Revised Package_Revised MOR Package - Latest_II.5. RawMaterials_Guidance_Sheet1" xfId="6913"/>
    <cellStyle name="_MOR - BDWY - 1+11_MOR - Gurgaon - 3+9(R)_MOR - Revised Package_Revised MOR Package - Latest_II.5. RawMaterials_Guidance_Sheet2" xfId="6914"/>
    <cellStyle name="_MOR - BDWY - 1+11_MOR - Gurgaon - 3+9(R)_MOR - Revised Package_Revised MOR Package - Latest_II.5. RawMaterials_Guidance_Sheet3" xfId="6915"/>
    <cellStyle name="_MOR - BDWY - 1+11_MOR - Gurgaon - 3+9(R)_MOR - Revised Package_Revised MOR Package - Latest_II.5. RawMaterials_Guidance_Sheet4" xfId="6916"/>
    <cellStyle name="_MOR - BDWY - 1+11_MOR - Gurgaon - 3+9(R)_MOR - Revised Package_Revised MOR Package - Latest_II.5. RawMaterials_P&amp;L Rec Qtr" xfId="6917"/>
    <cellStyle name="_MOR - BDWY - 1+11_MOR - Gurgaon - 3+9(R)_MOR - Revised Package_Revised MOR Package - Latest_II.5. RawMaterials_Sheet1" xfId="6918"/>
    <cellStyle name="_MOR - BDWY - 1+11_MOR - Gurgaon - 3+9(R)_MOR - Revised Package_Revised MOR Package - Latest_II.5. RawMaterials_Sheet2" xfId="6919"/>
    <cellStyle name="_MOR - BDWY - 1+11_MOR - Gurgaon - 3+9(R)_MOR - Revised Package_Revised MOR Package - Latest_II.5. RawMaterials_Sheet3" xfId="6920"/>
    <cellStyle name="_MOR - BDWY - 1+11_MOR - Gurgaon - 3+9(R)_MOR - Revised Package_Revised MOR Package - Latest_II.5. RawMaterials_Sheet4" xfId="6921"/>
    <cellStyle name="_MOR - BDWY - 1+11_MOR - Gurgaon - 3+9(R)_MOR - Revised Package_Revised MOR Package - Latest_II.5. RM Volume Sensitivities" xfId="6922"/>
    <cellStyle name="_MOR - BDWY - 1+11_MOR - Gurgaon - 3+9(R)_MOR - Revised Package_Revised MOR Package - Latest_II.5. RM Volume Sensitivities 2" xfId="6923"/>
    <cellStyle name="_MOR - BDWY - 1+11_MOR - Gurgaon - 3+9(R)_MOR - Revised Package_Revised MOR Package - Latest_II.5. RM Volume Sensitivities_BS retrieve" xfId="6924"/>
    <cellStyle name="_MOR - BDWY - 1+11_MOR - Gurgaon - 3+9(R)_MOR - Revised Package_Revised MOR Package - Latest_II.5. RM Volume Sensitivities_Free CF" xfId="6925"/>
    <cellStyle name="_MOR - BDWY - 1+11_MOR - Gurgaon - 3+9(R)_MOR - Revised Package_Revised MOR Package - Latest_II.5. RM Volume Sensitivities_P&amp;L Rec Qtr" xfId="6926"/>
    <cellStyle name="_MOR - BDWY - 1+11_MOR - Gurgaon - 3+9(R)_MOR - Revised Package_Revised MOR Package - Latest_II.5. RM Volume Sensitivities_Sheet1" xfId="6927"/>
    <cellStyle name="_MOR - BDWY - 1+11_MOR - Gurgaon - 3+9(R)_MOR - Revised Package_Revised MOR Package - Latest_II.5. RM Volume Sensitivities_Sheet2" xfId="6928"/>
    <cellStyle name="_MOR - BDWY - 1+11_MOR - Gurgaon - 3+9(R)_MOR - Revised Package_Revised MOR Package - Latest_II.5. RM Volume Sensitivities_Sheet3" xfId="6929"/>
    <cellStyle name="_MOR - BDWY - 1+11_MOR - Gurgaon - 3+9(R)_MOR - Revised Package_Revised MOR Package - Latest_II.5. RM Volume Sensitivities_Sheet4" xfId="6930"/>
    <cellStyle name="_MOR - BDWY - 1+11_MOR - Gurgaon - 3+9(R)_MOR - Revised Package_Revised MOR Package - Latest_II.8. Sep&amp;Discrete" xfId="6931"/>
    <cellStyle name="_MOR - BDWY - 1+11_MOR - Gurgaon - 3+9(R)_MOR - Revised Package_Revised MOR Package - Latest_II.8. Sep&amp;Discrete_Guidance" xfId="6932"/>
    <cellStyle name="_MOR - BDWY - 1+11_MOR - Gurgaon - 3+9(R)_MOR - Revised Package_Revised MOR Package - Latest_II.8. Sep&amp;Discrete_Guidance 2" xfId="6933"/>
    <cellStyle name="_MOR - BDWY - 1+11_MOR - Gurgaon - 3+9(R)_MOR - Revised Package_Revised MOR Package - Latest_II.8. Sep&amp;Discrete_Guidance_BS retrieve" xfId="6934"/>
    <cellStyle name="_MOR - BDWY - 1+11_MOR - Gurgaon - 3+9(R)_MOR - Revised Package_Revised MOR Package - Latest_II.8. Sep&amp;Discrete_Guidance_Free CF" xfId="6935"/>
    <cellStyle name="_MOR - BDWY - 1+11_MOR - Gurgaon - 3+9(R)_MOR - Revised Package_Revised MOR Package - Latest_II.8. Sep&amp;Discrete_Guidance_P&amp;L Rec Qtr" xfId="6936"/>
    <cellStyle name="_MOR - BDWY - 1+11_MOR - Gurgaon - 3+9(R)_MOR - Revised Package_Revised MOR Package - Latest_II.8. Sep&amp;Discrete_Guidance_Sheet1" xfId="6937"/>
    <cellStyle name="_MOR - BDWY - 1+11_MOR - Gurgaon - 3+9(R)_MOR - Revised Package_Revised MOR Package - Latest_II.8. Sep&amp;Discrete_Guidance_Sheet2" xfId="6938"/>
    <cellStyle name="_MOR - BDWY - 1+11_MOR - Gurgaon - 3+9(R)_MOR - Revised Package_Revised MOR Package - Latest_II.8. Sep&amp;Discrete_Guidance_Sheet3" xfId="6939"/>
    <cellStyle name="_MOR - BDWY - 1+11_MOR - Gurgaon - 3+9(R)_MOR - Revised Package_Revised MOR Package - Latest_II.8. Sep&amp;Discrete_Guidance_Sheet4" xfId="6940"/>
    <cellStyle name="_MOR - BDWY - 1+11_MOR - Gurgaon - 3+9(R)_MOR - Revised Package_Revised MOR Package - Latest_Restructuring &amp; Separation" xfId="6941"/>
    <cellStyle name="_MOR - BDWY - 1+11_MOR - Gurgaon - 3+9(R)_MOR - Revised Package_Revised MOR Package - Latest_Restructuring &amp; Separation_Guidance" xfId="6942"/>
    <cellStyle name="_MOR - BDWY - 1+11_MOR - Gurgaon - 3+9(R)_MOR - Revised Package_Revised MOR Package - Latest_Restructuring &amp; Separation_Guidance 2" xfId="6943"/>
    <cellStyle name="_MOR - BDWY - 1+11_MOR - Gurgaon - 3+9(R)_MOR - Revised Package_Revised MOR Package - Latest_Restructuring &amp; Separation_Guidance_BS retrieve" xfId="6944"/>
    <cellStyle name="_MOR - BDWY - 1+11_MOR - Gurgaon - 3+9(R)_MOR - Revised Package_Revised MOR Package - Latest_Restructuring &amp; Separation_Guidance_Free CF" xfId="6945"/>
    <cellStyle name="_MOR - BDWY - 1+11_MOR - Gurgaon - 3+9(R)_MOR - Revised Package_Revised MOR Package - Latest_Restructuring &amp; Separation_Guidance_P&amp;L Rec Qtr" xfId="6946"/>
    <cellStyle name="_MOR - BDWY - 1+11_MOR - Gurgaon - 3+9(R)_MOR - Revised Package_Revised MOR Package - Latest_Restructuring &amp; Separation_Guidance_Sheet1" xfId="6947"/>
    <cellStyle name="_MOR - BDWY - 1+11_MOR - Gurgaon - 3+9(R)_MOR - Revised Package_Revised MOR Package - Latest_Restructuring &amp; Separation_Guidance_Sheet2" xfId="6948"/>
    <cellStyle name="_MOR - BDWY - 1+11_MOR - Gurgaon - 3+9(R)_MOR - Revised Package_Revised MOR Package - Latest_Restructuring &amp; Separation_Guidance_Sheet3" xfId="6949"/>
    <cellStyle name="_MOR - BDWY - 1+11_MOR - Gurgaon - 3+9(R)_MOR - Revised Package_Revised MOR Package - Latest_Restructuring &amp; Separation_Guidance_Sheet4" xfId="6950"/>
    <cellStyle name="_MOR - BDWY - 1+11_MOR - Gurgaon - 3+9(R)_MOR - Revised Package_Revised MOR Package - Latest_Restructuring_Separation_TAX_JuneFC2010 tf" xfId="6951"/>
    <cellStyle name="_MOR - BDWY - 1+11_MOR - Gurgaon - 3+9(R)_MOR - Revised Package_Revised MOR Package - Latest_Restructuring_Separation_TAX_JuneFC2010 tf_BS_Separation_TaxResIndem_Q12412 tf" xfId="6952"/>
    <cellStyle name="_MOR - BDWY - 1+11_MOR - Gurgaon - 3+9(R)_MOR - Revised Package_Revised MOR Package - Latest_Restructuring_Separation_TAX_JuneFC2010 tf_BS_Separation_TaxResIndem_Q12412 tf_Guidance" xfId="6953"/>
    <cellStyle name="_MOR - BDWY - 1+11_MOR - Gurgaon - 3+9(R)_MOR - Revised Package_Revised MOR Package - Latest_Restructuring_Separation_TAX_JuneFC2010 tf_BS_Separation_TaxResIndem_Q12412 tf_Guidance 2" xfId="6954"/>
    <cellStyle name="_MOR - BDWY - 1+11_MOR - Gurgaon - 3+9(R)_MOR - Revised Package_Revised MOR Package - Latest_Restructuring_Separation_TAX_JuneFC2010 tf_BS_Separation_TaxResIndem_Q12412 tf_Guidance_BS retrieve" xfId="6955"/>
    <cellStyle name="_MOR - BDWY - 1+11_MOR - Gurgaon - 3+9(R)_MOR - Revised Package_Revised MOR Package - Latest_Restructuring_Separation_TAX_JuneFC2010 tf_BS_Separation_TaxResIndem_Q12412 tf_Guidance_Free CF" xfId="6956"/>
    <cellStyle name="_MOR - BDWY - 1+11_MOR - Gurgaon - 3+9(R)_MOR - Revised Package_Revised MOR Package - Latest_Restructuring_Separation_TAX_JuneFC2010 tf_BS_Separation_TaxResIndem_Q12412 tf_Guidance_P&amp;L Rec Qtr" xfId="6957"/>
    <cellStyle name="_MOR - BDWY - 1+11_MOR - Gurgaon - 3+9(R)_MOR - Revised Package_Revised MOR Package - Latest_Restructuring_Separation_TAX_JuneFC2010 tf_BS_Separation_TaxResIndem_Q12412 tf_Guidance_Sheet1" xfId="6958"/>
    <cellStyle name="_MOR - BDWY - 1+11_MOR - Gurgaon - 3+9(R)_MOR - Revised Package_Revised MOR Package - Latest_Restructuring_Separation_TAX_JuneFC2010 tf_BS_Separation_TaxResIndem_Q12412 tf_Guidance_Sheet2" xfId="6959"/>
    <cellStyle name="_MOR - BDWY - 1+11_MOR - Gurgaon - 3+9(R)_MOR - Revised Package_Revised MOR Package - Latest_Restructuring_Separation_TAX_JuneFC2010 tf_BS_Separation_TaxResIndem_Q12412 tf_Guidance_Sheet3" xfId="6960"/>
    <cellStyle name="_MOR - BDWY - 1+11_MOR - Gurgaon - 3+9(R)_MOR - Revised Package_Revised MOR Package - Latest_Restructuring_Separation_TAX_JuneFC2010 tf_BS_Separation_TaxResIndem_Q12412 tf_Guidance_Sheet4" xfId="6961"/>
    <cellStyle name="_MOR - BDWY - 1+11_MOR - Gurgaon - 3+9(R)_MOR - Revised Package_Revised MOR Package - Latest_Restructuring_Separation_TAX_JuneFC2010 tf_BS_Separation_TaxResIndem_Q12412 tf_Restructuring &amp; Separation" xfId="6962"/>
    <cellStyle name="_MOR - BDWY - 1+11_MOR - Gurgaon - 3+9(R)_MOR - Revised Package_Revised MOR Package - Latest_Restructuring_Separation_TAX_JuneFC2010 tf_BS_Separation_TaxResIndem_Q12412 tf_Restructuring &amp; Separation_Guidance" xfId="6963"/>
    <cellStyle name="_MOR - BDWY - 1+11_MOR - Gurgaon - 3+9(R)_MOR - Revised Package_Revised MOR Package - Latest_Restructuring_Separation_TAX_JuneFC2010 tf_BS_Separation_TaxResIndem_Q12412 tf_Restructuring &amp; Separation_Guidance 2" xfId="6964"/>
    <cellStyle name="_MOR - BDWY - 1+11_MOR - Gurgaon - 3+9(R)_MOR - Revised Package_Revised MOR Package - Latest_Restructuring_Separation_TAX_JuneFC2010 tf_BS_Separation_TaxResIndem_Q12412 tf_Restructuring &amp; Separation_Guidance_BS retrieve" xfId="6965"/>
    <cellStyle name="_MOR - BDWY - 1+11_MOR - Gurgaon - 3+9(R)_MOR - Revised Package_Revised MOR Package - Latest_Restructuring_Separation_TAX_JuneFC2010 tf_BS_Separation_TaxResIndem_Q12412 tf_Restructuring &amp; Separation_Guidance_Free CF" xfId="6966"/>
    <cellStyle name="_MOR - BDWY - 1+11_MOR - Gurgaon - 3+9(R)_MOR - Revised Package_Revised MOR Package - Latest_Restructuring_Separation_TAX_JuneFC2010 tf_BS_Separation_TaxResIndem_Q12412 tf_Restructuring &amp; Separation_Guidance_P&amp;L Rec Qtr" xfId="6967"/>
    <cellStyle name="_MOR - BDWY - 1+11_MOR - Gurgaon - 3+9(R)_MOR - Revised Package_Revised MOR Package - Latest_Restructuring_Separation_TAX_JuneFC2010 tf_BS_Separation_TaxResIndem_Q12412 tf_Restructuring &amp; Separation_Guidance_Sheet1" xfId="6968"/>
    <cellStyle name="_MOR - BDWY - 1+11_MOR - Gurgaon - 3+9(R)_MOR - Revised Package_Revised MOR Package - Latest_Restructuring_Separation_TAX_JuneFC2010 tf_BS_Separation_TaxResIndem_Q12412 tf_Restructuring &amp; Separation_Guidance_Sheet2" xfId="6969"/>
    <cellStyle name="_MOR - BDWY - 1+11_MOR - Gurgaon - 3+9(R)_MOR - Revised Package_Revised MOR Package - Latest_Restructuring_Separation_TAX_JuneFC2010 tf_BS_Separation_TaxResIndem_Q12412 tf_Restructuring &amp; Separation_Guidance_Sheet3" xfId="6970"/>
    <cellStyle name="_MOR - BDWY - 1+11_MOR - Gurgaon - 3+9(R)_MOR - Revised Package_Revised MOR Package - Latest_Restructuring_Separation_TAX_JuneFC2010 tf_BS_Separation_TaxResIndem_Q12412 tf_Restructuring &amp; Separation_Guidance_Sheet4" xfId="6971"/>
    <cellStyle name="_MOR - BDWY - 1+11_MOR - Gurgaon - 3+9(R)_MOR - Revised Package_Revised MOR Package - Latest_Restructuring_Separation_TAX_JuneFC2010 tf_Guidance" xfId="6972"/>
    <cellStyle name="_MOR - BDWY - 1+11_MOR - Gurgaon - 3+9(R)_MOR - Revised Package_Revised MOR Package - Latest_Restructuring_Separation_TAX_JuneFC2010 tf_Guidance 2" xfId="6973"/>
    <cellStyle name="_MOR - BDWY - 1+11_MOR - Gurgaon - 3+9(R)_MOR - Revised Package_Revised MOR Package - Latest_Restructuring_Separation_TAX_JuneFC2010 tf_Guidance_BS retrieve" xfId="6974"/>
    <cellStyle name="_MOR - BDWY - 1+11_MOR - Gurgaon - 3+9(R)_MOR - Revised Package_Revised MOR Package - Latest_Restructuring_Separation_TAX_JuneFC2010 tf_Guidance_Free CF" xfId="6975"/>
    <cellStyle name="_MOR - BDWY - 1+11_MOR - Gurgaon - 3+9(R)_MOR - Revised Package_Revised MOR Package - Latest_Restructuring_Separation_TAX_JuneFC2010 tf_Guidance_P&amp;L Rec Qtr" xfId="6976"/>
    <cellStyle name="_MOR - BDWY - 1+11_MOR - Gurgaon - 3+9(R)_MOR - Revised Package_Revised MOR Package - Latest_Restructuring_Separation_TAX_JuneFC2010 tf_Guidance_Sheet1" xfId="6977"/>
    <cellStyle name="_MOR - BDWY - 1+11_MOR - Gurgaon - 3+9(R)_MOR - Revised Package_Revised MOR Package - Latest_Restructuring_Separation_TAX_JuneFC2010 tf_Guidance_Sheet2" xfId="6978"/>
    <cellStyle name="_MOR - BDWY - 1+11_MOR - Gurgaon - 3+9(R)_MOR - Revised Package_Revised MOR Package - Latest_Restructuring_Separation_TAX_JuneFC2010 tf_Guidance_Sheet3" xfId="6979"/>
    <cellStyle name="_MOR - BDWY - 1+11_MOR - Gurgaon - 3+9(R)_MOR - Revised Package_Revised MOR Package - Latest_Restructuring_Separation_TAX_JuneFC2010 tf_Guidance_Sheet4" xfId="6980"/>
    <cellStyle name="_MOR - BDWY - 1+11_MOR - Gurgaon - 3+9(R)_MOR - Revised Package_Revised MOR Package - Latest_Restructuring_Separation_TAX_JuneFC2010 tf_II.8. Sep&amp;Discrete" xfId="6981"/>
    <cellStyle name="_MOR - BDWY - 1+11_MOR - Gurgaon - 3+9(R)_MOR - Revised Package_Revised MOR Package - Latest_Restructuring_Separation_TAX_JuneFC2010 tf_II.8. Sep&amp;Discrete_Guidance" xfId="6982"/>
    <cellStyle name="_MOR - BDWY - 1+11_MOR - Gurgaon - 3+9(R)_MOR - Revised Package_Revised MOR Package - Latest_Restructuring_Separation_TAX_JuneFC2010 tf_II.8. Sep&amp;Discrete_Guidance 2" xfId="6983"/>
    <cellStyle name="_MOR - BDWY - 1+11_MOR - Gurgaon - 3+9(R)_MOR - Revised Package_Revised MOR Package - Latest_Restructuring_Separation_TAX_JuneFC2010 tf_II.8. Sep&amp;Discrete_Guidance_BS retrieve" xfId="6984"/>
    <cellStyle name="_MOR - BDWY - 1+11_MOR - Gurgaon - 3+9(R)_MOR - Revised Package_Revised MOR Package - Latest_Restructuring_Separation_TAX_JuneFC2010 tf_II.8. Sep&amp;Discrete_Guidance_Free CF" xfId="6985"/>
    <cellStyle name="_MOR - BDWY - 1+11_MOR - Gurgaon - 3+9(R)_MOR - Revised Package_Revised MOR Package - Latest_Restructuring_Separation_TAX_JuneFC2010 tf_II.8. Sep&amp;Discrete_Guidance_P&amp;L Rec Qtr" xfId="6986"/>
    <cellStyle name="_MOR - BDWY - 1+11_MOR - Gurgaon - 3+9(R)_MOR - Revised Package_Revised MOR Package - Latest_Restructuring_Separation_TAX_JuneFC2010 tf_II.8. Sep&amp;Discrete_Guidance_Sheet1" xfId="6987"/>
    <cellStyle name="_MOR - BDWY - 1+11_MOR - Gurgaon - 3+9(R)_MOR - Revised Package_Revised MOR Package - Latest_Restructuring_Separation_TAX_JuneFC2010 tf_II.8. Sep&amp;Discrete_Guidance_Sheet2" xfId="6988"/>
    <cellStyle name="_MOR - BDWY - 1+11_MOR - Gurgaon - 3+9(R)_MOR - Revised Package_Revised MOR Package - Latest_Restructuring_Separation_TAX_JuneFC2010 tf_II.8. Sep&amp;Discrete_Guidance_Sheet3" xfId="6989"/>
    <cellStyle name="_MOR - BDWY - 1+11_MOR - Gurgaon - 3+9(R)_MOR - Revised Package_Revised MOR Package - Latest_Restructuring_Separation_TAX_JuneFC2010 tf_II.8. Sep&amp;Discrete_Guidance_Sheet4" xfId="6990"/>
    <cellStyle name="_MOR - BDWY - 1+11_MOR - Gurgaon - 3+9(R)_MOR - Revised Package_Revised MOR Package - Latest_Restructuring_Separation_TAX_JuneFC2010 tf_Restructuring &amp; Separation" xfId="6991"/>
    <cellStyle name="_MOR - BDWY - 1+11_MOR - Gurgaon - 3+9(R)_MOR - Revised Package_Revised MOR Package - Latest_Restructuring_Separation_TAX_JuneFC2010 tf_Restructuring &amp; Separation_Guidance" xfId="6992"/>
    <cellStyle name="_MOR - BDWY - 1+11_MOR - Gurgaon - 3+9(R)_MOR - Revised Package_Revised MOR Package - Latest_Restructuring_Separation_TAX_JuneFC2010 tf_Restructuring &amp; Separation_Guidance 2" xfId="6993"/>
    <cellStyle name="_MOR - BDWY - 1+11_MOR - Gurgaon - 3+9(R)_MOR - Revised Package_Revised MOR Package - Latest_Restructuring_Separation_TAX_JuneFC2010 tf_Restructuring &amp; Separation_Guidance_BS retrieve" xfId="6994"/>
    <cellStyle name="_MOR - BDWY - 1+11_MOR - Gurgaon - 3+9(R)_MOR - Revised Package_Revised MOR Package - Latest_Restructuring_Separation_TAX_JuneFC2010 tf_Restructuring &amp; Separation_Guidance_Free CF" xfId="6995"/>
    <cellStyle name="_MOR - BDWY - 1+11_MOR - Gurgaon - 3+9(R)_MOR - Revised Package_Revised MOR Package - Latest_Restructuring_Separation_TAX_JuneFC2010 tf_Restructuring &amp; Separation_Guidance_P&amp;L Rec Qtr" xfId="6996"/>
    <cellStyle name="_MOR - BDWY - 1+11_MOR - Gurgaon - 3+9(R)_MOR - Revised Package_Revised MOR Package - Latest_Restructuring_Separation_TAX_JuneFC2010 tf_Restructuring &amp; Separation_Guidance_Sheet1" xfId="6997"/>
    <cellStyle name="_MOR - BDWY - 1+11_MOR - Gurgaon - 3+9(R)_MOR - Revised Package_Revised MOR Package - Latest_Restructuring_Separation_TAX_JuneFC2010 tf_Restructuring &amp; Separation_Guidance_Sheet2" xfId="6998"/>
    <cellStyle name="_MOR - BDWY - 1+11_MOR - Gurgaon - 3+9(R)_MOR - Revised Package_Revised MOR Package - Latest_Restructuring_Separation_TAX_JuneFC2010 tf_Restructuring &amp; Separation_Guidance_Sheet3" xfId="6999"/>
    <cellStyle name="_MOR - BDWY - 1+11_MOR - Gurgaon - 3+9(R)_MOR - Revised Package_Revised MOR Package - Latest_Restructuring_Separation_TAX_JuneFC2010 tf_Restructuring &amp; Separation_Guidance_Sheet4" xfId="7000"/>
    <cellStyle name="_MOR - BDWY - 1+11_MOR - Gurgaon - 3+9(R)_Restructuring &amp; Separation" xfId="7001"/>
    <cellStyle name="_MOR - BDWY - 1+11_MOR - Gurgaon - 3+9(R)_Restructuring &amp; Separation_Guidance" xfId="7002"/>
    <cellStyle name="_MOR - BDWY - 1+11_MOR - Gurgaon - 3+9(R)_Restructuring &amp; Separation_Guidance 2" xfId="7003"/>
    <cellStyle name="_MOR - BDWY - 1+11_MOR - Gurgaon - 3+9(R)_Restructuring &amp; Separation_Guidance_BS retrieve" xfId="7004"/>
    <cellStyle name="_MOR - BDWY - 1+11_MOR - Gurgaon - 3+9(R)_Restructuring &amp; Separation_Guidance_Free CF" xfId="7005"/>
    <cellStyle name="_MOR - BDWY - 1+11_MOR - Gurgaon - 3+9(R)_Restructuring &amp; Separation_Guidance_P&amp;L Rec Qtr" xfId="7006"/>
    <cellStyle name="_MOR - BDWY - 1+11_MOR - Gurgaon - 3+9(R)_Restructuring &amp; Separation_Guidance_Sheet1" xfId="7007"/>
    <cellStyle name="_MOR - BDWY - 1+11_MOR - Gurgaon - 3+9(R)_Restructuring &amp; Separation_Guidance_Sheet2" xfId="7008"/>
    <cellStyle name="_MOR - BDWY - 1+11_MOR - Gurgaon - 3+9(R)_Restructuring &amp; Separation_Guidance_Sheet3" xfId="7009"/>
    <cellStyle name="_MOR - BDWY - 1+11_MOR - Gurgaon - 3+9(R)_Restructuring &amp; Separation_Guidance_Sheet4" xfId="7010"/>
    <cellStyle name="_MOR - BDWY - 1+11_MOR - Gurgaon - 3+9(R)_Restructuring_Separation_TAX_JuneFC2010 tf" xfId="7011"/>
    <cellStyle name="_MOR - BDWY - 1+11_MOR - Gurgaon - 3+9(R)_Restructuring_Separation_TAX_JuneFC2010 tf_BS_Separation_TaxResIndem_Q12412 tf" xfId="7012"/>
    <cellStyle name="_MOR - BDWY - 1+11_MOR - Gurgaon - 3+9(R)_Restructuring_Separation_TAX_JuneFC2010 tf_BS_Separation_TaxResIndem_Q12412 tf_Guidance" xfId="7013"/>
    <cellStyle name="_MOR - BDWY - 1+11_MOR - Gurgaon - 3+9(R)_Restructuring_Separation_TAX_JuneFC2010 tf_BS_Separation_TaxResIndem_Q12412 tf_Guidance 2" xfId="7014"/>
    <cellStyle name="_MOR - BDWY - 1+11_MOR - Gurgaon - 3+9(R)_Restructuring_Separation_TAX_JuneFC2010 tf_BS_Separation_TaxResIndem_Q12412 tf_Guidance_BS retrieve" xfId="7015"/>
    <cellStyle name="_MOR - BDWY - 1+11_MOR - Gurgaon - 3+9(R)_Restructuring_Separation_TAX_JuneFC2010 tf_BS_Separation_TaxResIndem_Q12412 tf_Guidance_Free CF" xfId="7016"/>
    <cellStyle name="_MOR - BDWY - 1+11_MOR - Gurgaon - 3+9(R)_Restructuring_Separation_TAX_JuneFC2010 tf_BS_Separation_TaxResIndem_Q12412 tf_Guidance_P&amp;L Rec Qtr" xfId="7017"/>
    <cellStyle name="_MOR - BDWY - 1+11_MOR - Gurgaon - 3+9(R)_Restructuring_Separation_TAX_JuneFC2010 tf_BS_Separation_TaxResIndem_Q12412 tf_Guidance_Sheet1" xfId="7018"/>
    <cellStyle name="_MOR - BDWY - 1+11_MOR - Gurgaon - 3+9(R)_Restructuring_Separation_TAX_JuneFC2010 tf_BS_Separation_TaxResIndem_Q12412 tf_Guidance_Sheet2" xfId="7019"/>
    <cellStyle name="_MOR - BDWY - 1+11_MOR - Gurgaon - 3+9(R)_Restructuring_Separation_TAX_JuneFC2010 tf_BS_Separation_TaxResIndem_Q12412 tf_Guidance_Sheet3" xfId="7020"/>
    <cellStyle name="_MOR - BDWY - 1+11_MOR - Gurgaon - 3+9(R)_Restructuring_Separation_TAX_JuneFC2010 tf_BS_Separation_TaxResIndem_Q12412 tf_Guidance_Sheet4" xfId="7021"/>
    <cellStyle name="_MOR - BDWY - 1+11_MOR - Gurgaon - 3+9(R)_Restructuring_Separation_TAX_JuneFC2010 tf_BS_Separation_TaxResIndem_Q12412 tf_Restructuring &amp; Separation" xfId="7022"/>
    <cellStyle name="_MOR - BDWY - 1+11_MOR - Gurgaon - 3+9(R)_Restructuring_Separation_TAX_JuneFC2010 tf_BS_Separation_TaxResIndem_Q12412 tf_Restructuring &amp; Separation_Guidance" xfId="7023"/>
    <cellStyle name="_MOR - BDWY - 1+11_MOR - Gurgaon - 3+9(R)_Restructuring_Separation_TAX_JuneFC2010 tf_BS_Separation_TaxResIndem_Q12412 tf_Restructuring &amp; Separation_Guidance 2" xfId="7024"/>
    <cellStyle name="_MOR - BDWY - 1+11_MOR - Gurgaon - 3+9(R)_Restructuring_Separation_TAX_JuneFC2010 tf_BS_Separation_TaxResIndem_Q12412 tf_Restructuring &amp; Separation_Guidance_BS retrieve" xfId="7025"/>
    <cellStyle name="_MOR - BDWY - 1+11_MOR - Gurgaon - 3+9(R)_Restructuring_Separation_TAX_JuneFC2010 tf_BS_Separation_TaxResIndem_Q12412 tf_Restructuring &amp; Separation_Guidance_Free CF" xfId="7026"/>
    <cellStyle name="_MOR - BDWY - 1+11_MOR - Gurgaon - 3+9(R)_Restructuring_Separation_TAX_JuneFC2010 tf_BS_Separation_TaxResIndem_Q12412 tf_Restructuring &amp; Separation_Guidance_P&amp;L Rec Qtr" xfId="7027"/>
    <cellStyle name="_MOR - BDWY - 1+11_MOR - Gurgaon - 3+9(R)_Restructuring_Separation_TAX_JuneFC2010 tf_BS_Separation_TaxResIndem_Q12412 tf_Restructuring &amp; Separation_Guidance_Sheet1" xfId="7028"/>
    <cellStyle name="_MOR - BDWY - 1+11_MOR - Gurgaon - 3+9(R)_Restructuring_Separation_TAX_JuneFC2010 tf_BS_Separation_TaxResIndem_Q12412 tf_Restructuring &amp; Separation_Guidance_Sheet2" xfId="7029"/>
    <cellStyle name="_MOR - BDWY - 1+11_MOR - Gurgaon - 3+9(R)_Restructuring_Separation_TAX_JuneFC2010 tf_BS_Separation_TaxResIndem_Q12412 tf_Restructuring &amp; Separation_Guidance_Sheet3" xfId="7030"/>
    <cellStyle name="_MOR - BDWY - 1+11_MOR - Gurgaon - 3+9(R)_Restructuring_Separation_TAX_JuneFC2010 tf_BS_Separation_TaxResIndem_Q12412 tf_Restructuring &amp; Separation_Guidance_Sheet4" xfId="7031"/>
    <cellStyle name="_MOR - BDWY - 1+11_MOR - Gurgaon - 3+9(R)_Restructuring_Separation_TAX_JuneFC2010 tf_Guidance" xfId="7032"/>
    <cellStyle name="_MOR - BDWY - 1+11_MOR - Gurgaon - 3+9(R)_Restructuring_Separation_TAX_JuneFC2010 tf_Guidance 2" xfId="7033"/>
    <cellStyle name="_MOR - BDWY - 1+11_MOR - Gurgaon - 3+9(R)_Restructuring_Separation_TAX_JuneFC2010 tf_Guidance_BS retrieve" xfId="7034"/>
    <cellStyle name="_MOR - BDWY - 1+11_MOR - Gurgaon - 3+9(R)_Restructuring_Separation_TAX_JuneFC2010 tf_Guidance_Free CF" xfId="7035"/>
    <cellStyle name="_MOR - BDWY - 1+11_MOR - Gurgaon - 3+9(R)_Restructuring_Separation_TAX_JuneFC2010 tf_Guidance_P&amp;L Rec Qtr" xfId="7036"/>
    <cellStyle name="_MOR - BDWY - 1+11_MOR - Gurgaon - 3+9(R)_Restructuring_Separation_TAX_JuneFC2010 tf_Guidance_Sheet1" xfId="7037"/>
    <cellStyle name="_MOR - BDWY - 1+11_MOR - Gurgaon - 3+9(R)_Restructuring_Separation_TAX_JuneFC2010 tf_Guidance_Sheet2" xfId="7038"/>
    <cellStyle name="_MOR - BDWY - 1+11_MOR - Gurgaon - 3+9(R)_Restructuring_Separation_TAX_JuneFC2010 tf_Guidance_Sheet3" xfId="7039"/>
    <cellStyle name="_MOR - BDWY - 1+11_MOR - Gurgaon - 3+9(R)_Restructuring_Separation_TAX_JuneFC2010 tf_Guidance_Sheet4" xfId="7040"/>
    <cellStyle name="_MOR - BDWY - 1+11_MOR - Gurgaon - 3+9(R)_Restructuring_Separation_TAX_JuneFC2010 tf_II.8. Sep&amp;Discrete" xfId="7041"/>
    <cellStyle name="_MOR - BDWY - 1+11_MOR - Gurgaon - 3+9(R)_Restructuring_Separation_TAX_JuneFC2010 tf_II.8. Sep&amp;Discrete_Guidance" xfId="7042"/>
    <cellStyle name="_MOR - BDWY - 1+11_MOR - Gurgaon - 3+9(R)_Restructuring_Separation_TAX_JuneFC2010 tf_II.8. Sep&amp;Discrete_Guidance 2" xfId="7043"/>
    <cellStyle name="_MOR - BDWY - 1+11_MOR - Gurgaon - 3+9(R)_Restructuring_Separation_TAX_JuneFC2010 tf_II.8. Sep&amp;Discrete_Guidance_BS retrieve" xfId="7044"/>
    <cellStyle name="_MOR - BDWY - 1+11_MOR - Gurgaon - 3+9(R)_Restructuring_Separation_TAX_JuneFC2010 tf_II.8. Sep&amp;Discrete_Guidance_Free CF" xfId="7045"/>
    <cellStyle name="_MOR - BDWY - 1+11_MOR - Gurgaon - 3+9(R)_Restructuring_Separation_TAX_JuneFC2010 tf_II.8. Sep&amp;Discrete_Guidance_P&amp;L Rec Qtr" xfId="7046"/>
    <cellStyle name="_MOR - BDWY - 1+11_MOR - Gurgaon - 3+9(R)_Restructuring_Separation_TAX_JuneFC2010 tf_II.8. Sep&amp;Discrete_Guidance_Sheet1" xfId="7047"/>
    <cellStyle name="_MOR - BDWY - 1+11_MOR - Gurgaon - 3+9(R)_Restructuring_Separation_TAX_JuneFC2010 tf_II.8. Sep&amp;Discrete_Guidance_Sheet2" xfId="7048"/>
    <cellStyle name="_MOR - BDWY - 1+11_MOR - Gurgaon - 3+9(R)_Restructuring_Separation_TAX_JuneFC2010 tf_II.8. Sep&amp;Discrete_Guidance_Sheet3" xfId="7049"/>
    <cellStyle name="_MOR - BDWY - 1+11_MOR - Gurgaon - 3+9(R)_Restructuring_Separation_TAX_JuneFC2010 tf_II.8. Sep&amp;Discrete_Guidance_Sheet4" xfId="7050"/>
    <cellStyle name="_MOR - BDWY - 1+11_MOR - Gurgaon - 3+9(R)_Restructuring_Separation_TAX_JuneFC2010 tf_Restructuring &amp; Separation" xfId="7051"/>
    <cellStyle name="_MOR - BDWY - 1+11_MOR - Gurgaon - 3+9(R)_Restructuring_Separation_TAX_JuneFC2010 tf_Restructuring &amp; Separation_Guidance" xfId="7052"/>
    <cellStyle name="_MOR - BDWY - 1+11_MOR - Gurgaon - 3+9(R)_Restructuring_Separation_TAX_JuneFC2010 tf_Restructuring &amp; Separation_Guidance 2" xfId="7053"/>
    <cellStyle name="_MOR - BDWY - 1+11_MOR - Gurgaon - 3+9(R)_Restructuring_Separation_TAX_JuneFC2010 tf_Restructuring &amp; Separation_Guidance_BS retrieve" xfId="7054"/>
    <cellStyle name="_MOR - BDWY - 1+11_MOR - Gurgaon - 3+9(R)_Restructuring_Separation_TAX_JuneFC2010 tf_Restructuring &amp; Separation_Guidance_Free CF" xfId="7055"/>
    <cellStyle name="_MOR - BDWY - 1+11_MOR - Gurgaon - 3+9(R)_Restructuring_Separation_TAX_JuneFC2010 tf_Restructuring &amp; Separation_Guidance_P&amp;L Rec Qtr" xfId="7056"/>
    <cellStyle name="_MOR - BDWY - 1+11_MOR - Gurgaon - 3+9(R)_Restructuring_Separation_TAX_JuneFC2010 tf_Restructuring &amp; Separation_Guidance_Sheet1" xfId="7057"/>
    <cellStyle name="_MOR - BDWY - 1+11_MOR - Gurgaon - 3+9(R)_Restructuring_Separation_TAX_JuneFC2010 tf_Restructuring &amp; Separation_Guidance_Sheet2" xfId="7058"/>
    <cellStyle name="_MOR - BDWY - 1+11_MOR - Gurgaon - 3+9(R)_Restructuring_Separation_TAX_JuneFC2010 tf_Restructuring &amp; Separation_Guidance_Sheet3" xfId="7059"/>
    <cellStyle name="_MOR - BDWY - 1+11_MOR - Gurgaon - 3+9(R)_Restructuring_Separation_TAX_JuneFC2010 tf_Restructuring &amp; Separation_Guidance_Sheet4" xfId="7060"/>
    <cellStyle name="_MOR - BDWY - 1+11_MOR - Gurgaon - 3+9(R)_Revised MOR Package" xfId="7061"/>
    <cellStyle name="_MOR - BDWY - 1+11_MOR - Gurgaon - 3+9(R)_Revised MOR Package_~0039877" xfId="7062"/>
    <cellStyle name="_MOR - BDWY - 1+11_MOR - Gurgaon - 3+9(R)_Revised MOR Package_~0039877_BS_Separation_TaxResIndem_Q12412 tf" xfId="7063"/>
    <cellStyle name="_MOR - BDWY - 1+11_MOR - Gurgaon - 3+9(R)_Revised MOR Package_~0039877_BS_Separation_TaxResIndem_Q12412 tf_Guidance" xfId="7064"/>
    <cellStyle name="_MOR - BDWY - 1+11_MOR - Gurgaon - 3+9(R)_Revised MOR Package_~0039877_BS_Separation_TaxResIndem_Q12412 tf_Guidance 2" xfId="7065"/>
    <cellStyle name="_MOR - BDWY - 1+11_MOR - Gurgaon - 3+9(R)_Revised MOR Package_~0039877_BS_Separation_TaxResIndem_Q12412 tf_Guidance_BS retrieve" xfId="7066"/>
    <cellStyle name="_MOR - BDWY - 1+11_MOR - Gurgaon - 3+9(R)_Revised MOR Package_~0039877_BS_Separation_TaxResIndem_Q12412 tf_Guidance_Free CF" xfId="7067"/>
    <cellStyle name="_MOR - BDWY - 1+11_MOR - Gurgaon - 3+9(R)_Revised MOR Package_~0039877_BS_Separation_TaxResIndem_Q12412 tf_Guidance_P&amp;L Rec Qtr" xfId="7068"/>
    <cellStyle name="_MOR - BDWY - 1+11_MOR - Gurgaon - 3+9(R)_Revised MOR Package_~0039877_BS_Separation_TaxResIndem_Q12412 tf_Guidance_Sheet1" xfId="7069"/>
    <cellStyle name="_MOR - BDWY - 1+11_MOR - Gurgaon - 3+9(R)_Revised MOR Package_~0039877_BS_Separation_TaxResIndem_Q12412 tf_Guidance_Sheet2" xfId="7070"/>
    <cellStyle name="_MOR - BDWY - 1+11_MOR - Gurgaon - 3+9(R)_Revised MOR Package_~0039877_BS_Separation_TaxResIndem_Q12412 tf_Guidance_Sheet3" xfId="7071"/>
    <cellStyle name="_MOR - BDWY - 1+11_MOR - Gurgaon - 3+9(R)_Revised MOR Package_~0039877_BS_Separation_TaxResIndem_Q12412 tf_Guidance_Sheet4" xfId="7072"/>
    <cellStyle name="_MOR - BDWY - 1+11_MOR - Gurgaon - 3+9(R)_Revised MOR Package_~0039877_BS_Separation_TaxResIndem_Q12412 tf_Restructuring &amp; Separation" xfId="7073"/>
    <cellStyle name="_MOR - BDWY - 1+11_MOR - Gurgaon - 3+9(R)_Revised MOR Package_~0039877_BS_Separation_TaxResIndem_Q12412 tf_Restructuring &amp; Separation_Guidance" xfId="7074"/>
    <cellStyle name="_MOR - BDWY - 1+11_MOR - Gurgaon - 3+9(R)_Revised MOR Package_~0039877_BS_Separation_TaxResIndem_Q12412 tf_Restructuring &amp; Separation_Guidance 2" xfId="7075"/>
    <cellStyle name="_MOR - BDWY - 1+11_MOR - Gurgaon - 3+9(R)_Revised MOR Package_~0039877_BS_Separation_TaxResIndem_Q12412 tf_Restructuring &amp; Separation_Guidance_BS retrieve" xfId="7076"/>
    <cellStyle name="_MOR - BDWY - 1+11_MOR - Gurgaon - 3+9(R)_Revised MOR Package_~0039877_BS_Separation_TaxResIndem_Q12412 tf_Restructuring &amp; Separation_Guidance_Free CF" xfId="7077"/>
    <cellStyle name="_MOR - BDWY - 1+11_MOR - Gurgaon - 3+9(R)_Revised MOR Package_~0039877_BS_Separation_TaxResIndem_Q12412 tf_Restructuring &amp; Separation_Guidance_P&amp;L Rec Qtr" xfId="7078"/>
    <cellStyle name="_MOR - BDWY - 1+11_MOR - Gurgaon - 3+9(R)_Revised MOR Package_~0039877_BS_Separation_TaxResIndem_Q12412 tf_Restructuring &amp; Separation_Guidance_Sheet1" xfId="7079"/>
    <cellStyle name="_MOR - BDWY - 1+11_MOR - Gurgaon - 3+9(R)_Revised MOR Package_~0039877_BS_Separation_TaxResIndem_Q12412 tf_Restructuring &amp; Separation_Guidance_Sheet2" xfId="7080"/>
    <cellStyle name="_MOR - BDWY - 1+11_MOR - Gurgaon - 3+9(R)_Revised MOR Package_~0039877_BS_Separation_TaxResIndem_Q12412 tf_Restructuring &amp; Separation_Guidance_Sheet3" xfId="7081"/>
    <cellStyle name="_MOR - BDWY - 1+11_MOR - Gurgaon - 3+9(R)_Revised MOR Package_~0039877_BS_Separation_TaxResIndem_Q12412 tf_Restructuring &amp; Separation_Guidance_Sheet4" xfId="7082"/>
    <cellStyle name="_MOR - BDWY - 1+11_MOR - Gurgaon - 3+9(R)_Revised MOR Package_~0039877_By Country Detail 1Q10 041410pm FIN 18 revised per disc w Mary" xfId="7083"/>
    <cellStyle name="_MOR - BDWY - 1+11_MOR - Gurgaon - 3+9(R)_Revised MOR Package_~0039877_By Country Detail 1Q10 041410pm FIN 18 revised per disc w Mary_BS_Separation_TaxResIndem_Q12412 tf" xfId="7084"/>
    <cellStyle name="_MOR - BDWY - 1+11_MOR - Gurgaon - 3+9(R)_Revised MOR Package_~0039877_By Country Detail 1Q10 041410pm FIN 18 revised per disc w Mary_BS_Separation_TaxResIndem_Q12412 tf_Guidance" xfId="7085"/>
    <cellStyle name="_MOR - BDWY - 1+11_MOR - Gurgaon - 3+9(R)_Revised MOR Package_~0039877_By Country Detail 1Q10 041410pm FIN 18 revised per disc w Mary_BS_Separation_TaxResIndem_Q12412 tf_Guidance 2" xfId="7086"/>
    <cellStyle name="_MOR - BDWY - 1+11_MOR - Gurgaon - 3+9(R)_Revised MOR Package_~0039877_By Country Detail 1Q10 041410pm FIN 18 revised per disc w Mary_BS_Separation_TaxResIndem_Q12412 tf_Guidance_BS retrieve" xfId="7087"/>
    <cellStyle name="_MOR - BDWY - 1+11_MOR - Gurgaon - 3+9(R)_Revised MOR Package_~0039877_By Country Detail 1Q10 041410pm FIN 18 revised per disc w Mary_BS_Separation_TaxResIndem_Q12412 tf_Guidance_Free CF" xfId="7088"/>
    <cellStyle name="_MOR - BDWY - 1+11_MOR - Gurgaon - 3+9(R)_Revised MOR Package_~0039877_By Country Detail 1Q10 041410pm FIN 18 revised per disc w Mary_BS_Separation_TaxResIndem_Q12412 tf_Guidance_P&amp;L Rec Qtr" xfId="7089"/>
    <cellStyle name="_MOR - BDWY - 1+11_MOR - Gurgaon - 3+9(R)_Revised MOR Package_~0039877_By Country Detail 1Q10 041410pm FIN 18 revised per disc w Mary_BS_Separation_TaxResIndem_Q12412 tf_Guidance_Sheet1" xfId="7090"/>
    <cellStyle name="_MOR - BDWY - 1+11_MOR - Gurgaon - 3+9(R)_Revised MOR Package_~0039877_By Country Detail 1Q10 041410pm FIN 18 revised per disc w Mary_BS_Separation_TaxResIndem_Q12412 tf_Guidance_Sheet2" xfId="7091"/>
    <cellStyle name="_MOR - BDWY - 1+11_MOR - Gurgaon - 3+9(R)_Revised MOR Package_~0039877_By Country Detail 1Q10 041410pm FIN 18 revised per disc w Mary_BS_Separation_TaxResIndem_Q12412 tf_Guidance_Sheet3" xfId="7092"/>
    <cellStyle name="_MOR - BDWY - 1+11_MOR - Gurgaon - 3+9(R)_Revised MOR Package_~0039877_By Country Detail 1Q10 041410pm FIN 18 revised per disc w Mary_BS_Separation_TaxResIndem_Q12412 tf_Guidance_Sheet4" xfId="7093"/>
    <cellStyle name="_MOR - BDWY - 1+11_MOR - Gurgaon - 3+9(R)_Revised MOR Package_~0039877_By Country Detail 1Q10 041410pm FIN 18 revised per disc w Mary_BS_Separation_TaxResIndem_Q12412 tf_Restructuring &amp; Separation" xfId="7094"/>
    <cellStyle name="_MOR - BDWY - 1+11_MOR - Gurgaon - 3+9(R)_Revised MOR Package_~0039877_By Country Detail 1Q10 041410pm FIN 18 revised per disc w Mary_BS_Separation_TaxResIndem_Q12412 tf_Restructuring &amp; Separation_Guidance" xfId="7095"/>
    <cellStyle name="_MOR - BDWY - 1+11_MOR - Gurgaon - 3+9(R)_Revised MOR Package_~0039877_By Country Detail 1Q10 041410pm FIN 18 revised per disc w Mary_BS_Separation_TaxResIndem_Q12412 tf_Restructuring &amp; Separation_Guidance 2" xfId="7096"/>
    <cellStyle name="_MOR - BDWY - 1+11_MOR - Gurgaon - 3+9(R)_Revised MOR Package_~0039877_By Country Detail 1Q10 041410pm FIN 18 revised per disc w Mary_BS_Separation_TaxResIndem_Q12412 tf_Restructuring &amp; Separation_Guidance_BS retrieve" xfId="7097"/>
    <cellStyle name="_MOR - BDWY - 1+11_MOR - Gurgaon - 3+9(R)_Revised MOR Package_~0039877_By Country Detail 1Q10 041410pm FIN 18 revised per disc w Mary_BS_Separation_TaxResIndem_Q12412 tf_Restructuring &amp; Separation_Guidance_Free CF" xfId="7098"/>
    <cellStyle name="_MOR - BDWY - 1+11_MOR - Gurgaon - 3+9(R)_Revised MOR Package_~0039877_By Country Detail 1Q10 041410pm FIN 18 revised per disc w Mary_BS_Separation_TaxResIndem_Q12412 tf_Restructuring &amp; Separation_Guidance_P&amp;L Rec Qtr" xfId="7099"/>
    <cellStyle name="_MOR - BDWY - 1+11_MOR - Gurgaon - 3+9(R)_Revised MOR Package_~0039877_By Country Detail 1Q10 041410pm FIN 18 revised per disc w Mary_BS_Separation_TaxResIndem_Q12412 tf_Restructuring &amp; Separation_Guidance_Sheet1" xfId="7100"/>
    <cellStyle name="_MOR - BDWY - 1+11_MOR - Gurgaon - 3+9(R)_Revised MOR Package_~0039877_By Country Detail 1Q10 041410pm FIN 18 revised per disc w Mary_BS_Separation_TaxResIndem_Q12412 tf_Restructuring &amp; Separation_Guidance_Sheet2" xfId="7101"/>
    <cellStyle name="_MOR - BDWY - 1+11_MOR - Gurgaon - 3+9(R)_Revised MOR Package_~0039877_By Country Detail 1Q10 041410pm FIN 18 revised per disc w Mary_BS_Separation_TaxResIndem_Q12412 tf_Restructuring &amp; Separation_Guidance_Sheet3" xfId="7102"/>
    <cellStyle name="_MOR - BDWY - 1+11_MOR - Gurgaon - 3+9(R)_Revised MOR Package_~0039877_By Country Detail 1Q10 041410pm FIN 18 revised per disc w Mary_BS_Separation_TaxResIndem_Q12412 tf_Restructuring &amp; Separation_Guidance_Sheet4" xfId="7103"/>
    <cellStyle name="_MOR - BDWY - 1+11_MOR - Gurgaon - 3+9(R)_Revised MOR Package_~0039877_By Country Detail 1Q10 041410pm FIN 18 revised per disc w Mary_Guidance" xfId="7104"/>
    <cellStyle name="_MOR - BDWY - 1+11_MOR - Gurgaon - 3+9(R)_Revised MOR Package_~0039877_By Country Detail 1Q10 041410pm FIN 18 revised per disc w Mary_Guidance 2" xfId="7105"/>
    <cellStyle name="_MOR - BDWY - 1+11_MOR - Gurgaon - 3+9(R)_Revised MOR Package_~0039877_By Country Detail 1Q10 041410pm FIN 18 revised per disc w Mary_Guidance_BS retrieve" xfId="7106"/>
    <cellStyle name="_MOR - BDWY - 1+11_MOR - Gurgaon - 3+9(R)_Revised MOR Package_~0039877_By Country Detail 1Q10 041410pm FIN 18 revised per disc w Mary_Guidance_Free CF" xfId="7107"/>
    <cellStyle name="_MOR - BDWY - 1+11_MOR - Gurgaon - 3+9(R)_Revised MOR Package_~0039877_By Country Detail 1Q10 041410pm FIN 18 revised per disc w Mary_Guidance_P&amp;L Rec Qtr" xfId="7108"/>
    <cellStyle name="_MOR - BDWY - 1+11_MOR - Gurgaon - 3+9(R)_Revised MOR Package_~0039877_By Country Detail 1Q10 041410pm FIN 18 revised per disc w Mary_Guidance_Sheet1" xfId="7109"/>
    <cellStyle name="_MOR - BDWY - 1+11_MOR - Gurgaon - 3+9(R)_Revised MOR Package_~0039877_By Country Detail 1Q10 041410pm FIN 18 revised per disc w Mary_Guidance_Sheet2" xfId="7110"/>
    <cellStyle name="_MOR - BDWY - 1+11_MOR - Gurgaon - 3+9(R)_Revised MOR Package_~0039877_By Country Detail 1Q10 041410pm FIN 18 revised per disc w Mary_Guidance_Sheet3" xfId="7111"/>
    <cellStyle name="_MOR - BDWY - 1+11_MOR - Gurgaon - 3+9(R)_Revised MOR Package_~0039877_By Country Detail 1Q10 041410pm FIN 18 revised per disc w Mary_Guidance_Sheet4" xfId="7112"/>
    <cellStyle name="_MOR - BDWY - 1+11_MOR - Gurgaon - 3+9(R)_Revised MOR Package_~0039877_By Country Detail 1Q10 041410pm FIN 18 revised per disc w Mary_II.8. Sep&amp;Discrete" xfId="7113"/>
    <cellStyle name="_MOR - BDWY - 1+11_MOR - Gurgaon - 3+9(R)_Revised MOR Package_~0039877_By Country Detail 1Q10 041410pm FIN 18 revised per disc w Mary_II.8. Sep&amp;Discrete_Guidance" xfId="7114"/>
    <cellStyle name="_MOR - BDWY - 1+11_MOR - Gurgaon - 3+9(R)_Revised MOR Package_~0039877_By Country Detail 1Q10 041410pm FIN 18 revised per disc w Mary_II.8. Sep&amp;Discrete_Guidance 2" xfId="7115"/>
    <cellStyle name="_MOR - BDWY - 1+11_MOR - Gurgaon - 3+9(R)_Revised MOR Package_~0039877_By Country Detail 1Q10 041410pm FIN 18 revised per disc w Mary_II.8. Sep&amp;Discrete_Guidance_BS retrieve" xfId="7116"/>
    <cellStyle name="_MOR - BDWY - 1+11_MOR - Gurgaon - 3+9(R)_Revised MOR Package_~0039877_By Country Detail 1Q10 041410pm FIN 18 revised per disc w Mary_II.8. Sep&amp;Discrete_Guidance_Free CF" xfId="7117"/>
    <cellStyle name="_MOR - BDWY - 1+11_MOR - Gurgaon - 3+9(R)_Revised MOR Package_~0039877_By Country Detail 1Q10 041410pm FIN 18 revised per disc w Mary_II.8. Sep&amp;Discrete_Guidance_P&amp;L Rec Qtr" xfId="7118"/>
    <cellStyle name="_MOR - BDWY - 1+11_MOR - Gurgaon - 3+9(R)_Revised MOR Package_~0039877_By Country Detail 1Q10 041410pm FIN 18 revised per disc w Mary_II.8. Sep&amp;Discrete_Guidance_Sheet1" xfId="7119"/>
    <cellStyle name="_MOR - BDWY - 1+11_MOR - Gurgaon - 3+9(R)_Revised MOR Package_~0039877_By Country Detail 1Q10 041410pm FIN 18 revised per disc w Mary_II.8. Sep&amp;Discrete_Guidance_Sheet2" xfId="7120"/>
    <cellStyle name="_MOR - BDWY - 1+11_MOR - Gurgaon - 3+9(R)_Revised MOR Package_~0039877_By Country Detail 1Q10 041410pm FIN 18 revised per disc w Mary_II.8. Sep&amp;Discrete_Guidance_Sheet3" xfId="7121"/>
    <cellStyle name="_MOR - BDWY - 1+11_MOR - Gurgaon - 3+9(R)_Revised MOR Package_~0039877_By Country Detail 1Q10 041410pm FIN 18 revised per disc w Mary_II.8. Sep&amp;Discrete_Guidance_Sheet4" xfId="7122"/>
    <cellStyle name="_MOR - BDWY - 1+11_MOR - Gurgaon - 3+9(R)_Revised MOR Package_~0039877_By Country Detail 1Q10 041410pm FIN 18 revised per disc w Mary_Restructuring &amp; Separation" xfId="7123"/>
    <cellStyle name="_MOR - BDWY - 1+11_MOR - Gurgaon - 3+9(R)_Revised MOR Package_~0039877_By Country Detail 1Q10 041410pm FIN 18 revised per disc w Mary_Restructuring &amp; Separation_Guidance" xfId="7124"/>
    <cellStyle name="_MOR - BDWY - 1+11_MOR - Gurgaon - 3+9(R)_Revised MOR Package_~0039877_By Country Detail 1Q10 041410pm FIN 18 revised per disc w Mary_Restructuring &amp; Separation_Guidance 2" xfId="7125"/>
    <cellStyle name="_MOR - BDWY - 1+11_MOR - Gurgaon - 3+9(R)_Revised MOR Package_~0039877_By Country Detail 1Q10 041410pm FIN 18 revised per disc w Mary_Restructuring &amp; Separation_Guidance_BS retrieve" xfId="7126"/>
    <cellStyle name="_MOR - BDWY - 1+11_MOR - Gurgaon - 3+9(R)_Revised MOR Package_~0039877_By Country Detail 1Q10 041410pm FIN 18 revised per disc w Mary_Restructuring &amp; Separation_Guidance_Free CF" xfId="7127"/>
    <cellStyle name="_MOR - BDWY - 1+11_MOR - Gurgaon - 3+9(R)_Revised MOR Package_~0039877_By Country Detail 1Q10 041410pm FIN 18 revised per disc w Mary_Restructuring &amp; Separation_Guidance_P&amp;L Rec Qtr" xfId="7128"/>
    <cellStyle name="_MOR - BDWY - 1+11_MOR - Gurgaon - 3+9(R)_Revised MOR Package_~0039877_By Country Detail 1Q10 041410pm FIN 18 revised per disc w Mary_Restructuring &amp; Separation_Guidance_Sheet1" xfId="7129"/>
    <cellStyle name="_MOR - BDWY - 1+11_MOR - Gurgaon - 3+9(R)_Revised MOR Package_~0039877_By Country Detail 1Q10 041410pm FIN 18 revised per disc w Mary_Restructuring &amp; Separation_Guidance_Sheet2" xfId="7130"/>
    <cellStyle name="_MOR - BDWY - 1+11_MOR - Gurgaon - 3+9(R)_Revised MOR Package_~0039877_By Country Detail 1Q10 041410pm FIN 18 revised per disc w Mary_Restructuring &amp; Separation_Guidance_Sheet3" xfId="7131"/>
    <cellStyle name="_MOR - BDWY - 1+11_MOR - Gurgaon - 3+9(R)_Revised MOR Package_~0039877_By Country Detail 1Q10 041410pm FIN 18 revised per disc w Mary_Restructuring &amp; Separation_Guidance_Sheet4" xfId="7132"/>
    <cellStyle name="_MOR - BDWY - 1+11_MOR - Gurgaon - 3+9(R)_Revised MOR Package_~0039877_Guidance" xfId="7133"/>
    <cellStyle name="_MOR - BDWY - 1+11_MOR - Gurgaon - 3+9(R)_Revised MOR Package_~0039877_Guidance 2" xfId="7134"/>
    <cellStyle name="_MOR - BDWY - 1+11_MOR - Gurgaon - 3+9(R)_Revised MOR Package_~0039877_Guidance_BS retrieve" xfId="7135"/>
    <cellStyle name="_MOR - BDWY - 1+11_MOR - Gurgaon - 3+9(R)_Revised MOR Package_~0039877_Guidance_Free CF" xfId="7136"/>
    <cellStyle name="_MOR - BDWY - 1+11_MOR - Gurgaon - 3+9(R)_Revised MOR Package_~0039877_Guidance_P&amp;L Rec Qtr" xfId="7137"/>
    <cellStyle name="_MOR - BDWY - 1+11_MOR - Gurgaon - 3+9(R)_Revised MOR Package_~0039877_Guidance_Sheet1" xfId="7138"/>
    <cellStyle name="_MOR - BDWY - 1+11_MOR - Gurgaon - 3+9(R)_Revised MOR Package_~0039877_Guidance_Sheet2" xfId="7139"/>
    <cellStyle name="_MOR - BDWY - 1+11_MOR - Gurgaon - 3+9(R)_Revised MOR Package_~0039877_Guidance_Sheet3" xfId="7140"/>
    <cellStyle name="_MOR - BDWY - 1+11_MOR - Gurgaon - 3+9(R)_Revised MOR Package_~0039877_Guidance_Sheet4" xfId="7141"/>
    <cellStyle name="_MOR - BDWY - 1+11_MOR - Gurgaon - 3+9(R)_Revised MOR Package_~0039877_II.4. RawMaterials" xfId="7142"/>
    <cellStyle name="_MOR - BDWY - 1+11_MOR - Gurgaon - 3+9(R)_Revised MOR Package_~0039877_II.4. RawMaterials 2" xfId="7143"/>
    <cellStyle name="_MOR - BDWY - 1+11_MOR - Gurgaon - 3+9(R)_Revised MOR Package_~0039877_II.4. RawMaterials_BS retrieve" xfId="7144"/>
    <cellStyle name="_MOR - BDWY - 1+11_MOR - Gurgaon - 3+9(R)_Revised MOR Package_~0039877_II.4. RawMaterials_Free CF" xfId="7145"/>
    <cellStyle name="_MOR - BDWY - 1+11_MOR - Gurgaon - 3+9(R)_Revised MOR Package_~0039877_II.4. RawMaterials_P&amp;L Rec Qtr" xfId="7146"/>
    <cellStyle name="_MOR - BDWY - 1+11_MOR - Gurgaon - 3+9(R)_Revised MOR Package_~0039877_II.4. RawMaterials_Sheet1" xfId="7147"/>
    <cellStyle name="_MOR - BDWY - 1+11_MOR - Gurgaon - 3+9(R)_Revised MOR Package_~0039877_II.4. RawMaterials_Sheet2" xfId="7148"/>
    <cellStyle name="_MOR - BDWY - 1+11_MOR - Gurgaon - 3+9(R)_Revised MOR Package_~0039877_II.4. RawMaterials_Sheet3" xfId="7149"/>
    <cellStyle name="_MOR - BDWY - 1+11_MOR - Gurgaon - 3+9(R)_Revised MOR Package_~0039877_II.4. RawMaterials_Sheet4" xfId="7150"/>
    <cellStyle name="_MOR - BDWY - 1+11_MOR - Gurgaon - 3+9(R)_Revised MOR Package_~0039877_II.5. RawMaterials" xfId="7151"/>
    <cellStyle name="_MOR - BDWY - 1+11_MOR - Gurgaon - 3+9(R)_Revised MOR Package_~0039877_II.5. RawMaterials 2" xfId="7152"/>
    <cellStyle name="_MOR - BDWY - 1+11_MOR - Gurgaon - 3+9(R)_Revised MOR Package_~0039877_II.5. RawMaterials_BS retrieve" xfId="7153"/>
    <cellStyle name="_MOR - BDWY - 1+11_MOR - Gurgaon - 3+9(R)_Revised MOR Package_~0039877_II.5. RawMaterials_Free CF" xfId="7154"/>
    <cellStyle name="_MOR - BDWY - 1+11_MOR - Gurgaon - 3+9(R)_Revised MOR Package_~0039877_II.5. RawMaterials_Guidance" xfId="7155"/>
    <cellStyle name="_MOR - BDWY - 1+11_MOR - Gurgaon - 3+9(R)_Revised MOR Package_~0039877_II.5. RawMaterials_Guidance 2" xfId="7156"/>
    <cellStyle name="_MOR - BDWY - 1+11_MOR - Gurgaon - 3+9(R)_Revised MOR Package_~0039877_II.5. RawMaterials_Guidance_BS retrieve" xfId="7157"/>
    <cellStyle name="_MOR - BDWY - 1+11_MOR - Gurgaon - 3+9(R)_Revised MOR Package_~0039877_II.5. RawMaterials_Guidance_Free CF" xfId="7158"/>
    <cellStyle name="_MOR - BDWY - 1+11_MOR - Gurgaon - 3+9(R)_Revised MOR Package_~0039877_II.5. RawMaterials_Guidance_P&amp;L Rec Qtr" xfId="7159"/>
    <cellStyle name="_MOR - BDWY - 1+11_MOR - Gurgaon - 3+9(R)_Revised MOR Package_~0039877_II.5. RawMaterials_Guidance_Sheet1" xfId="7160"/>
    <cellStyle name="_MOR - BDWY - 1+11_MOR - Gurgaon - 3+9(R)_Revised MOR Package_~0039877_II.5. RawMaterials_Guidance_Sheet2" xfId="7161"/>
    <cellStyle name="_MOR - BDWY - 1+11_MOR - Gurgaon - 3+9(R)_Revised MOR Package_~0039877_II.5. RawMaterials_Guidance_Sheet3" xfId="7162"/>
    <cellStyle name="_MOR - BDWY - 1+11_MOR - Gurgaon - 3+9(R)_Revised MOR Package_~0039877_II.5. RawMaterials_Guidance_Sheet4" xfId="7163"/>
    <cellStyle name="_MOR - BDWY - 1+11_MOR - Gurgaon - 3+9(R)_Revised MOR Package_~0039877_II.5. RawMaterials_P&amp;L Rec Qtr" xfId="7164"/>
    <cellStyle name="_MOR - BDWY - 1+11_MOR - Gurgaon - 3+9(R)_Revised MOR Package_~0039877_II.5. RawMaterials_Sheet1" xfId="7165"/>
    <cellStyle name="_MOR - BDWY - 1+11_MOR - Gurgaon - 3+9(R)_Revised MOR Package_~0039877_II.5. RawMaterials_Sheet2" xfId="7166"/>
    <cellStyle name="_MOR - BDWY - 1+11_MOR - Gurgaon - 3+9(R)_Revised MOR Package_~0039877_II.5. RawMaterials_Sheet3" xfId="7167"/>
    <cellStyle name="_MOR - BDWY - 1+11_MOR - Gurgaon - 3+9(R)_Revised MOR Package_~0039877_II.5. RawMaterials_Sheet4" xfId="7168"/>
    <cellStyle name="_MOR - BDWY - 1+11_MOR - Gurgaon - 3+9(R)_Revised MOR Package_~0039877_II.5. RM Volume Sensitivities" xfId="7169"/>
    <cellStyle name="_MOR - BDWY - 1+11_MOR - Gurgaon - 3+9(R)_Revised MOR Package_~0039877_II.5. RM Volume Sensitivities 2" xfId="7170"/>
    <cellStyle name="_MOR - BDWY - 1+11_MOR - Gurgaon - 3+9(R)_Revised MOR Package_~0039877_II.5. RM Volume Sensitivities_BS retrieve" xfId="7171"/>
    <cellStyle name="_MOR - BDWY - 1+11_MOR - Gurgaon - 3+9(R)_Revised MOR Package_~0039877_II.5. RM Volume Sensitivities_Free CF" xfId="7172"/>
    <cellStyle name="_MOR - BDWY - 1+11_MOR - Gurgaon - 3+9(R)_Revised MOR Package_~0039877_II.5. RM Volume Sensitivities_P&amp;L Rec Qtr" xfId="7173"/>
    <cellStyle name="_MOR - BDWY - 1+11_MOR - Gurgaon - 3+9(R)_Revised MOR Package_~0039877_II.5. RM Volume Sensitivities_Sheet1" xfId="7174"/>
    <cellStyle name="_MOR - BDWY - 1+11_MOR - Gurgaon - 3+9(R)_Revised MOR Package_~0039877_II.5. RM Volume Sensitivities_Sheet2" xfId="7175"/>
    <cellStyle name="_MOR - BDWY - 1+11_MOR - Gurgaon - 3+9(R)_Revised MOR Package_~0039877_II.5. RM Volume Sensitivities_Sheet3" xfId="7176"/>
    <cellStyle name="_MOR - BDWY - 1+11_MOR - Gurgaon - 3+9(R)_Revised MOR Package_~0039877_II.5. RM Volume Sensitivities_Sheet4" xfId="7177"/>
    <cellStyle name="_MOR - BDWY - 1+11_MOR - Gurgaon - 3+9(R)_Revised MOR Package_~0039877_II.8. Sep&amp;Discrete" xfId="7178"/>
    <cellStyle name="_MOR - BDWY - 1+11_MOR - Gurgaon - 3+9(R)_Revised MOR Package_~0039877_II.8. Sep&amp;Discrete_Guidance" xfId="7179"/>
    <cellStyle name="_MOR - BDWY - 1+11_MOR - Gurgaon - 3+9(R)_Revised MOR Package_~0039877_II.8. Sep&amp;Discrete_Guidance 2" xfId="7180"/>
    <cellStyle name="_MOR - BDWY - 1+11_MOR - Gurgaon - 3+9(R)_Revised MOR Package_~0039877_II.8. Sep&amp;Discrete_Guidance_BS retrieve" xfId="7181"/>
    <cellStyle name="_MOR - BDWY - 1+11_MOR - Gurgaon - 3+9(R)_Revised MOR Package_~0039877_II.8. Sep&amp;Discrete_Guidance_Free CF" xfId="7182"/>
    <cellStyle name="_MOR - BDWY - 1+11_MOR - Gurgaon - 3+9(R)_Revised MOR Package_~0039877_II.8. Sep&amp;Discrete_Guidance_P&amp;L Rec Qtr" xfId="7183"/>
    <cellStyle name="_MOR - BDWY - 1+11_MOR - Gurgaon - 3+9(R)_Revised MOR Package_~0039877_II.8. Sep&amp;Discrete_Guidance_Sheet1" xfId="7184"/>
    <cellStyle name="_MOR - BDWY - 1+11_MOR - Gurgaon - 3+9(R)_Revised MOR Package_~0039877_II.8. Sep&amp;Discrete_Guidance_Sheet2" xfId="7185"/>
    <cellStyle name="_MOR - BDWY - 1+11_MOR - Gurgaon - 3+9(R)_Revised MOR Package_~0039877_II.8. Sep&amp;Discrete_Guidance_Sheet3" xfId="7186"/>
    <cellStyle name="_MOR - BDWY - 1+11_MOR - Gurgaon - 3+9(R)_Revised MOR Package_~0039877_II.8. Sep&amp;Discrete_Guidance_Sheet4" xfId="7187"/>
    <cellStyle name="_MOR - BDWY - 1+11_MOR - Gurgaon - 3+9(R)_Revised MOR Package_~0039877_Restructuring &amp; Separation" xfId="7188"/>
    <cellStyle name="_MOR - BDWY - 1+11_MOR - Gurgaon - 3+9(R)_Revised MOR Package_~0039877_Restructuring &amp; Separation_Guidance" xfId="7189"/>
    <cellStyle name="_MOR - BDWY - 1+11_MOR - Gurgaon - 3+9(R)_Revised MOR Package_~0039877_Restructuring &amp; Separation_Guidance 2" xfId="7190"/>
    <cellStyle name="_MOR - BDWY - 1+11_MOR - Gurgaon - 3+9(R)_Revised MOR Package_~0039877_Restructuring &amp; Separation_Guidance_BS retrieve" xfId="7191"/>
    <cellStyle name="_MOR - BDWY - 1+11_MOR - Gurgaon - 3+9(R)_Revised MOR Package_~0039877_Restructuring &amp; Separation_Guidance_Free CF" xfId="7192"/>
    <cellStyle name="_MOR - BDWY - 1+11_MOR - Gurgaon - 3+9(R)_Revised MOR Package_~0039877_Restructuring &amp; Separation_Guidance_P&amp;L Rec Qtr" xfId="7193"/>
    <cellStyle name="_MOR - BDWY - 1+11_MOR - Gurgaon - 3+9(R)_Revised MOR Package_~0039877_Restructuring &amp; Separation_Guidance_Sheet1" xfId="7194"/>
    <cellStyle name="_MOR - BDWY - 1+11_MOR - Gurgaon - 3+9(R)_Revised MOR Package_~0039877_Restructuring &amp; Separation_Guidance_Sheet2" xfId="7195"/>
    <cellStyle name="_MOR - BDWY - 1+11_MOR - Gurgaon - 3+9(R)_Revised MOR Package_~0039877_Restructuring &amp; Separation_Guidance_Sheet3" xfId="7196"/>
    <cellStyle name="_MOR - BDWY - 1+11_MOR - Gurgaon - 3+9(R)_Revised MOR Package_~0039877_Restructuring &amp; Separation_Guidance_Sheet4" xfId="7197"/>
    <cellStyle name="_MOR - BDWY - 1+11_MOR - Gurgaon - 3+9(R)_Revised MOR Package_~0039877_Restructuring_Separation_TAX_JuneFC2010 tf" xfId="7198"/>
    <cellStyle name="_MOR - BDWY - 1+11_MOR - Gurgaon - 3+9(R)_Revised MOR Package_~0039877_Restructuring_Separation_TAX_JuneFC2010 tf_BS_Separation_TaxResIndem_Q12412 tf" xfId="7199"/>
    <cellStyle name="_MOR - BDWY - 1+11_MOR - Gurgaon - 3+9(R)_Revised MOR Package_~0039877_Restructuring_Separation_TAX_JuneFC2010 tf_BS_Separation_TaxResIndem_Q12412 tf_Guidance" xfId="7200"/>
    <cellStyle name="_MOR - BDWY - 1+11_MOR - Gurgaon - 3+9(R)_Revised MOR Package_~0039877_Restructuring_Separation_TAX_JuneFC2010 tf_BS_Separation_TaxResIndem_Q12412 tf_Guidance 2" xfId="7201"/>
    <cellStyle name="_MOR - BDWY - 1+11_MOR - Gurgaon - 3+9(R)_Revised MOR Package_~0039877_Restructuring_Separation_TAX_JuneFC2010 tf_BS_Separation_TaxResIndem_Q12412 tf_Guidance_BS retrieve" xfId="7202"/>
    <cellStyle name="_MOR - BDWY - 1+11_MOR - Gurgaon - 3+9(R)_Revised MOR Package_~0039877_Restructuring_Separation_TAX_JuneFC2010 tf_BS_Separation_TaxResIndem_Q12412 tf_Guidance_Free CF" xfId="7203"/>
    <cellStyle name="_MOR - BDWY - 1+11_MOR - Gurgaon - 3+9(R)_Revised MOR Package_~0039877_Restructuring_Separation_TAX_JuneFC2010 tf_BS_Separation_TaxResIndem_Q12412 tf_Guidance_P&amp;L Rec Qtr" xfId="7204"/>
    <cellStyle name="_MOR - BDWY - 1+11_MOR - Gurgaon - 3+9(R)_Revised MOR Package_~0039877_Restructuring_Separation_TAX_JuneFC2010 tf_BS_Separation_TaxResIndem_Q12412 tf_Guidance_Sheet1" xfId="7205"/>
    <cellStyle name="_MOR - BDWY - 1+11_MOR - Gurgaon - 3+9(R)_Revised MOR Package_~0039877_Restructuring_Separation_TAX_JuneFC2010 tf_BS_Separation_TaxResIndem_Q12412 tf_Guidance_Sheet2" xfId="7206"/>
    <cellStyle name="_MOR - BDWY - 1+11_MOR - Gurgaon - 3+9(R)_Revised MOR Package_~0039877_Restructuring_Separation_TAX_JuneFC2010 tf_BS_Separation_TaxResIndem_Q12412 tf_Guidance_Sheet3" xfId="7207"/>
    <cellStyle name="_MOR - BDWY - 1+11_MOR - Gurgaon - 3+9(R)_Revised MOR Package_~0039877_Restructuring_Separation_TAX_JuneFC2010 tf_BS_Separation_TaxResIndem_Q12412 tf_Guidance_Sheet4" xfId="7208"/>
    <cellStyle name="_MOR - BDWY - 1+11_MOR - Gurgaon - 3+9(R)_Revised MOR Package_~0039877_Restructuring_Separation_TAX_JuneFC2010 tf_BS_Separation_TaxResIndem_Q12412 tf_Restructuring &amp; Separation" xfId="7209"/>
    <cellStyle name="_MOR - BDWY - 1+11_MOR - Gurgaon - 3+9(R)_Revised MOR Package_~0039877_Restructuring_Separation_TAX_JuneFC2010 tf_BS_Separation_TaxResIndem_Q12412 tf_Restructuring &amp; Separation_Guidance" xfId="7210"/>
    <cellStyle name="_MOR - BDWY - 1+11_MOR - Gurgaon - 3+9(R)_Revised MOR Package_~0039877_Restructuring_Separation_TAX_JuneFC2010 tf_BS_Separation_TaxResIndem_Q12412 tf_Restructuring &amp; Separation_Guidance 2" xfId="7211"/>
    <cellStyle name="_MOR - BDWY - 1+11_MOR - Gurgaon - 3+9(R)_Revised MOR Package_~0039877_Restructuring_Separation_TAX_JuneFC2010 tf_BS_Separation_TaxResIndem_Q12412 tf_Restructuring &amp; Separation_Guidance_BS retrieve" xfId="7212"/>
    <cellStyle name="_MOR - BDWY - 1+11_MOR - Gurgaon - 3+9(R)_Revised MOR Package_~0039877_Restructuring_Separation_TAX_JuneFC2010 tf_BS_Separation_TaxResIndem_Q12412 tf_Restructuring &amp; Separation_Guidance_Free CF" xfId="7213"/>
    <cellStyle name="_MOR - BDWY - 1+11_MOR - Gurgaon - 3+9(R)_Revised MOR Package_~0039877_Restructuring_Separation_TAX_JuneFC2010 tf_BS_Separation_TaxResIndem_Q12412 tf_Restructuring &amp; Separation_Guidance_P&amp;L Rec Qtr" xfId="7214"/>
    <cellStyle name="_MOR - BDWY - 1+11_MOR - Gurgaon - 3+9(R)_Revised MOR Package_~0039877_Restructuring_Separation_TAX_JuneFC2010 tf_BS_Separation_TaxResIndem_Q12412 tf_Restructuring &amp; Separation_Guidance_Sheet1" xfId="7215"/>
    <cellStyle name="_MOR - BDWY - 1+11_MOR - Gurgaon - 3+9(R)_Revised MOR Package_~0039877_Restructuring_Separation_TAX_JuneFC2010 tf_BS_Separation_TaxResIndem_Q12412 tf_Restructuring &amp; Separation_Guidance_Sheet2" xfId="7216"/>
    <cellStyle name="_MOR - BDWY - 1+11_MOR - Gurgaon - 3+9(R)_Revised MOR Package_~0039877_Restructuring_Separation_TAX_JuneFC2010 tf_BS_Separation_TaxResIndem_Q12412 tf_Restructuring &amp; Separation_Guidance_Sheet3" xfId="7217"/>
    <cellStyle name="_MOR - BDWY - 1+11_MOR - Gurgaon - 3+9(R)_Revised MOR Package_~0039877_Restructuring_Separation_TAX_JuneFC2010 tf_BS_Separation_TaxResIndem_Q12412 tf_Restructuring &amp; Separation_Guidance_Sheet4" xfId="7218"/>
    <cellStyle name="_MOR - BDWY - 1+11_MOR - Gurgaon - 3+9(R)_Revised MOR Package_~0039877_Restructuring_Separation_TAX_JuneFC2010 tf_Guidance" xfId="7219"/>
    <cellStyle name="_MOR - BDWY - 1+11_MOR - Gurgaon - 3+9(R)_Revised MOR Package_~0039877_Restructuring_Separation_TAX_JuneFC2010 tf_Guidance 2" xfId="7220"/>
    <cellStyle name="_MOR - BDWY - 1+11_MOR - Gurgaon - 3+9(R)_Revised MOR Package_~0039877_Restructuring_Separation_TAX_JuneFC2010 tf_Guidance_BS retrieve" xfId="7221"/>
    <cellStyle name="_MOR - BDWY - 1+11_MOR - Gurgaon - 3+9(R)_Revised MOR Package_~0039877_Restructuring_Separation_TAX_JuneFC2010 tf_Guidance_Free CF" xfId="7222"/>
    <cellStyle name="_MOR - BDWY - 1+11_MOR - Gurgaon - 3+9(R)_Revised MOR Package_~0039877_Restructuring_Separation_TAX_JuneFC2010 tf_Guidance_P&amp;L Rec Qtr" xfId="7223"/>
    <cellStyle name="_MOR - BDWY - 1+11_MOR - Gurgaon - 3+9(R)_Revised MOR Package_~0039877_Restructuring_Separation_TAX_JuneFC2010 tf_Guidance_Sheet1" xfId="7224"/>
    <cellStyle name="_MOR - BDWY - 1+11_MOR - Gurgaon - 3+9(R)_Revised MOR Package_~0039877_Restructuring_Separation_TAX_JuneFC2010 tf_Guidance_Sheet2" xfId="7225"/>
    <cellStyle name="_MOR - BDWY - 1+11_MOR - Gurgaon - 3+9(R)_Revised MOR Package_~0039877_Restructuring_Separation_TAX_JuneFC2010 tf_Guidance_Sheet3" xfId="7226"/>
    <cellStyle name="_MOR - BDWY - 1+11_MOR - Gurgaon - 3+9(R)_Revised MOR Package_~0039877_Restructuring_Separation_TAX_JuneFC2010 tf_Guidance_Sheet4" xfId="7227"/>
    <cellStyle name="_MOR - BDWY - 1+11_MOR - Gurgaon - 3+9(R)_Revised MOR Package_~0039877_Restructuring_Separation_TAX_JuneFC2010 tf_II.8. Sep&amp;Discrete" xfId="7228"/>
    <cellStyle name="_MOR - BDWY - 1+11_MOR - Gurgaon - 3+9(R)_Revised MOR Package_~0039877_Restructuring_Separation_TAX_JuneFC2010 tf_II.8. Sep&amp;Discrete_Guidance" xfId="7229"/>
    <cellStyle name="_MOR - BDWY - 1+11_MOR - Gurgaon - 3+9(R)_Revised MOR Package_~0039877_Restructuring_Separation_TAX_JuneFC2010 tf_II.8. Sep&amp;Discrete_Guidance 2" xfId="7230"/>
    <cellStyle name="_MOR - BDWY - 1+11_MOR - Gurgaon - 3+9(R)_Revised MOR Package_~0039877_Restructuring_Separation_TAX_JuneFC2010 tf_II.8. Sep&amp;Discrete_Guidance_BS retrieve" xfId="7231"/>
    <cellStyle name="_MOR - BDWY - 1+11_MOR - Gurgaon - 3+9(R)_Revised MOR Package_~0039877_Restructuring_Separation_TAX_JuneFC2010 tf_II.8. Sep&amp;Discrete_Guidance_Free CF" xfId="7232"/>
    <cellStyle name="_MOR - BDWY - 1+11_MOR - Gurgaon - 3+9(R)_Revised MOR Package_~0039877_Restructuring_Separation_TAX_JuneFC2010 tf_II.8. Sep&amp;Discrete_Guidance_P&amp;L Rec Qtr" xfId="7233"/>
    <cellStyle name="_MOR - BDWY - 1+11_MOR - Gurgaon - 3+9(R)_Revised MOR Package_~0039877_Restructuring_Separation_TAX_JuneFC2010 tf_II.8. Sep&amp;Discrete_Guidance_Sheet1" xfId="7234"/>
    <cellStyle name="_MOR - BDWY - 1+11_MOR - Gurgaon - 3+9(R)_Revised MOR Package_~0039877_Restructuring_Separation_TAX_JuneFC2010 tf_II.8. Sep&amp;Discrete_Guidance_Sheet2" xfId="7235"/>
    <cellStyle name="_MOR - BDWY - 1+11_MOR - Gurgaon - 3+9(R)_Revised MOR Package_~0039877_Restructuring_Separation_TAX_JuneFC2010 tf_II.8. Sep&amp;Discrete_Guidance_Sheet3" xfId="7236"/>
    <cellStyle name="_MOR - BDWY - 1+11_MOR - Gurgaon - 3+9(R)_Revised MOR Package_~0039877_Restructuring_Separation_TAX_JuneFC2010 tf_II.8. Sep&amp;Discrete_Guidance_Sheet4" xfId="7237"/>
    <cellStyle name="_MOR - BDWY - 1+11_MOR - Gurgaon - 3+9(R)_Revised MOR Package_~0039877_Restructuring_Separation_TAX_JuneFC2010 tf_Restructuring &amp; Separation" xfId="7238"/>
    <cellStyle name="_MOR - BDWY - 1+11_MOR - Gurgaon - 3+9(R)_Revised MOR Package_~0039877_Restructuring_Separation_TAX_JuneFC2010 tf_Restructuring &amp; Separation_Guidance" xfId="7239"/>
    <cellStyle name="_MOR - BDWY - 1+11_MOR - Gurgaon - 3+9(R)_Revised MOR Package_~0039877_Restructuring_Separation_TAX_JuneFC2010 tf_Restructuring &amp; Separation_Guidance 2" xfId="7240"/>
    <cellStyle name="_MOR - BDWY - 1+11_MOR - Gurgaon - 3+9(R)_Revised MOR Package_~0039877_Restructuring_Separation_TAX_JuneFC2010 tf_Restructuring &amp; Separation_Guidance_BS retrieve" xfId="7241"/>
    <cellStyle name="_MOR - BDWY - 1+11_MOR - Gurgaon - 3+9(R)_Revised MOR Package_~0039877_Restructuring_Separation_TAX_JuneFC2010 tf_Restructuring &amp; Separation_Guidance_Free CF" xfId="7242"/>
    <cellStyle name="_MOR - BDWY - 1+11_MOR - Gurgaon - 3+9(R)_Revised MOR Package_~0039877_Restructuring_Separation_TAX_JuneFC2010 tf_Restructuring &amp; Separation_Guidance_P&amp;L Rec Qtr" xfId="7243"/>
    <cellStyle name="_MOR - BDWY - 1+11_MOR - Gurgaon - 3+9(R)_Revised MOR Package_~0039877_Restructuring_Separation_TAX_JuneFC2010 tf_Restructuring &amp; Separation_Guidance_Sheet1" xfId="7244"/>
    <cellStyle name="_MOR - BDWY - 1+11_MOR - Gurgaon - 3+9(R)_Revised MOR Package_~0039877_Restructuring_Separation_TAX_JuneFC2010 tf_Restructuring &amp; Separation_Guidance_Sheet2" xfId="7245"/>
    <cellStyle name="_MOR - BDWY - 1+11_MOR - Gurgaon - 3+9(R)_Revised MOR Package_~0039877_Restructuring_Separation_TAX_JuneFC2010 tf_Restructuring &amp; Separation_Guidance_Sheet3" xfId="7246"/>
    <cellStyle name="_MOR - BDWY - 1+11_MOR - Gurgaon - 3+9(R)_Revised MOR Package_~0039877_Restructuring_Separation_TAX_JuneFC2010 tf_Restructuring &amp; Separation_Guidance_Sheet4" xfId="7247"/>
    <cellStyle name="_MOR - BDWY - 1+11_MOR - Gurgaon - 3+9(R)_Revised MOR Package_BS_Separation_TaxResIndem_Q12412 tf" xfId="7248"/>
    <cellStyle name="_MOR - BDWY - 1+11_MOR - Gurgaon - 3+9(R)_Revised MOR Package_BS_Separation_TaxResIndem_Q12412 tf_Guidance" xfId="7249"/>
    <cellStyle name="_MOR - BDWY - 1+11_MOR - Gurgaon - 3+9(R)_Revised MOR Package_BS_Separation_TaxResIndem_Q12412 tf_Guidance 2" xfId="7250"/>
    <cellStyle name="_MOR - BDWY - 1+11_MOR - Gurgaon - 3+9(R)_Revised MOR Package_BS_Separation_TaxResIndem_Q12412 tf_Guidance_BS retrieve" xfId="7251"/>
    <cellStyle name="_MOR - BDWY - 1+11_MOR - Gurgaon - 3+9(R)_Revised MOR Package_BS_Separation_TaxResIndem_Q12412 tf_Guidance_Free CF" xfId="7252"/>
    <cellStyle name="_MOR - BDWY - 1+11_MOR - Gurgaon - 3+9(R)_Revised MOR Package_BS_Separation_TaxResIndem_Q12412 tf_Guidance_P&amp;L Rec Qtr" xfId="7253"/>
    <cellStyle name="_MOR - BDWY - 1+11_MOR - Gurgaon - 3+9(R)_Revised MOR Package_BS_Separation_TaxResIndem_Q12412 tf_Guidance_Sheet1" xfId="7254"/>
    <cellStyle name="_MOR - BDWY - 1+11_MOR - Gurgaon - 3+9(R)_Revised MOR Package_BS_Separation_TaxResIndem_Q12412 tf_Guidance_Sheet2" xfId="7255"/>
    <cellStyle name="_MOR - BDWY - 1+11_MOR - Gurgaon - 3+9(R)_Revised MOR Package_BS_Separation_TaxResIndem_Q12412 tf_Guidance_Sheet3" xfId="7256"/>
    <cellStyle name="_MOR - BDWY - 1+11_MOR - Gurgaon - 3+9(R)_Revised MOR Package_BS_Separation_TaxResIndem_Q12412 tf_Guidance_Sheet4" xfId="7257"/>
    <cellStyle name="_MOR - BDWY - 1+11_MOR - Gurgaon - 3+9(R)_Revised MOR Package_BS_Separation_TaxResIndem_Q12412 tf_Restructuring &amp; Separation" xfId="7258"/>
    <cellStyle name="_MOR - BDWY - 1+11_MOR - Gurgaon - 3+9(R)_Revised MOR Package_BS_Separation_TaxResIndem_Q12412 tf_Restructuring &amp; Separation_Guidance" xfId="7259"/>
    <cellStyle name="_MOR - BDWY - 1+11_MOR - Gurgaon - 3+9(R)_Revised MOR Package_BS_Separation_TaxResIndem_Q12412 tf_Restructuring &amp; Separation_Guidance 2" xfId="7260"/>
    <cellStyle name="_MOR - BDWY - 1+11_MOR - Gurgaon - 3+9(R)_Revised MOR Package_BS_Separation_TaxResIndem_Q12412 tf_Restructuring &amp; Separation_Guidance_BS retrieve" xfId="7261"/>
    <cellStyle name="_MOR - BDWY - 1+11_MOR - Gurgaon - 3+9(R)_Revised MOR Package_BS_Separation_TaxResIndem_Q12412 tf_Restructuring &amp; Separation_Guidance_Free CF" xfId="7262"/>
    <cellStyle name="_MOR - BDWY - 1+11_MOR - Gurgaon - 3+9(R)_Revised MOR Package_BS_Separation_TaxResIndem_Q12412 tf_Restructuring &amp; Separation_Guidance_P&amp;L Rec Qtr" xfId="7263"/>
    <cellStyle name="_MOR - BDWY - 1+11_MOR - Gurgaon - 3+9(R)_Revised MOR Package_BS_Separation_TaxResIndem_Q12412 tf_Restructuring &amp; Separation_Guidance_Sheet1" xfId="7264"/>
    <cellStyle name="_MOR - BDWY - 1+11_MOR - Gurgaon - 3+9(R)_Revised MOR Package_BS_Separation_TaxResIndem_Q12412 tf_Restructuring &amp; Separation_Guidance_Sheet2" xfId="7265"/>
    <cellStyle name="_MOR - BDWY - 1+11_MOR - Gurgaon - 3+9(R)_Revised MOR Package_BS_Separation_TaxResIndem_Q12412 tf_Restructuring &amp; Separation_Guidance_Sheet3" xfId="7266"/>
    <cellStyle name="_MOR - BDWY - 1+11_MOR - Gurgaon - 3+9(R)_Revised MOR Package_BS_Separation_TaxResIndem_Q12412 tf_Restructuring &amp; Separation_Guidance_Sheet4" xfId="7267"/>
    <cellStyle name="_MOR - BDWY - 1+11_MOR - Gurgaon - 3+9(R)_Revised MOR Package_By Country Detail 1Q10 041410pm FIN 18 revised per disc w Mary" xfId="7268"/>
    <cellStyle name="_MOR - BDWY - 1+11_MOR - Gurgaon - 3+9(R)_Revised MOR Package_By Country Detail 1Q10 041410pm FIN 18 revised per disc w Mary_BS_Separation_TaxResIndem_Q12412 tf" xfId="7269"/>
    <cellStyle name="_MOR - BDWY - 1+11_MOR - Gurgaon - 3+9(R)_Revised MOR Package_By Country Detail 1Q10 041410pm FIN 18 revised per disc w Mary_BS_Separation_TaxResIndem_Q12412 tf_Guidance" xfId="7270"/>
    <cellStyle name="_MOR - BDWY - 1+11_MOR - Gurgaon - 3+9(R)_Revised MOR Package_By Country Detail 1Q10 041410pm FIN 18 revised per disc w Mary_BS_Separation_TaxResIndem_Q12412 tf_Guidance 2" xfId="7271"/>
    <cellStyle name="_MOR - BDWY - 1+11_MOR - Gurgaon - 3+9(R)_Revised MOR Package_By Country Detail 1Q10 041410pm FIN 18 revised per disc w Mary_BS_Separation_TaxResIndem_Q12412 tf_Guidance_BS retrieve" xfId="7272"/>
    <cellStyle name="_MOR - BDWY - 1+11_MOR - Gurgaon - 3+9(R)_Revised MOR Package_By Country Detail 1Q10 041410pm FIN 18 revised per disc w Mary_BS_Separation_TaxResIndem_Q12412 tf_Guidance_Free CF" xfId="7273"/>
    <cellStyle name="_MOR - BDWY - 1+11_MOR - Gurgaon - 3+9(R)_Revised MOR Package_By Country Detail 1Q10 041410pm FIN 18 revised per disc w Mary_BS_Separation_TaxResIndem_Q12412 tf_Guidance_P&amp;L Rec Qtr" xfId="7274"/>
    <cellStyle name="_MOR - BDWY - 1+11_MOR - Gurgaon - 3+9(R)_Revised MOR Package_By Country Detail 1Q10 041410pm FIN 18 revised per disc w Mary_BS_Separation_TaxResIndem_Q12412 tf_Guidance_Sheet1" xfId="7275"/>
    <cellStyle name="_MOR - BDWY - 1+11_MOR - Gurgaon - 3+9(R)_Revised MOR Package_By Country Detail 1Q10 041410pm FIN 18 revised per disc w Mary_BS_Separation_TaxResIndem_Q12412 tf_Guidance_Sheet2" xfId="7276"/>
    <cellStyle name="_MOR - BDWY - 1+11_MOR - Gurgaon - 3+9(R)_Revised MOR Package_By Country Detail 1Q10 041410pm FIN 18 revised per disc w Mary_BS_Separation_TaxResIndem_Q12412 tf_Guidance_Sheet3" xfId="7277"/>
    <cellStyle name="_MOR - BDWY - 1+11_MOR - Gurgaon - 3+9(R)_Revised MOR Package_By Country Detail 1Q10 041410pm FIN 18 revised per disc w Mary_BS_Separation_TaxResIndem_Q12412 tf_Guidance_Sheet4" xfId="7278"/>
    <cellStyle name="_MOR - BDWY - 1+11_MOR - Gurgaon - 3+9(R)_Revised MOR Package_By Country Detail 1Q10 041410pm FIN 18 revised per disc w Mary_BS_Separation_TaxResIndem_Q12412 tf_Restructuring &amp; Separation" xfId="7279"/>
    <cellStyle name="_MOR - BDWY - 1+11_MOR - Gurgaon - 3+9(R)_Revised MOR Package_By Country Detail 1Q10 041410pm FIN 18 revised per disc w Mary_BS_Separation_TaxResIndem_Q12412 tf_Restructuring &amp; Separation_Guidance" xfId="7280"/>
    <cellStyle name="_MOR - BDWY - 1+11_MOR - Gurgaon - 3+9(R)_Revised MOR Package_By Country Detail 1Q10 041410pm FIN 18 revised per disc w Mary_BS_Separation_TaxResIndem_Q12412 tf_Restructuring &amp; Separation_Guidance 2" xfId="7281"/>
    <cellStyle name="_MOR - BDWY - 1+11_MOR - Gurgaon - 3+9(R)_Revised MOR Package_By Country Detail 1Q10 041410pm FIN 18 revised per disc w Mary_BS_Separation_TaxResIndem_Q12412 tf_Restructuring &amp; Separation_Guidance_BS retrieve" xfId="7282"/>
    <cellStyle name="_MOR - BDWY - 1+11_MOR - Gurgaon - 3+9(R)_Revised MOR Package_By Country Detail 1Q10 041410pm FIN 18 revised per disc w Mary_BS_Separation_TaxResIndem_Q12412 tf_Restructuring &amp; Separation_Guidance_Free CF" xfId="7283"/>
    <cellStyle name="_MOR - BDWY - 1+11_MOR - Gurgaon - 3+9(R)_Revised MOR Package_By Country Detail 1Q10 041410pm FIN 18 revised per disc w Mary_BS_Separation_TaxResIndem_Q12412 tf_Restructuring &amp; Separation_Guidance_P&amp;L Rec Qtr" xfId="7284"/>
    <cellStyle name="_MOR - BDWY - 1+11_MOR - Gurgaon - 3+9(R)_Revised MOR Package_By Country Detail 1Q10 041410pm FIN 18 revised per disc w Mary_BS_Separation_TaxResIndem_Q12412 tf_Restructuring &amp; Separation_Guidance_Sheet1" xfId="7285"/>
    <cellStyle name="_MOR - BDWY - 1+11_MOR - Gurgaon - 3+9(R)_Revised MOR Package_By Country Detail 1Q10 041410pm FIN 18 revised per disc w Mary_BS_Separation_TaxResIndem_Q12412 tf_Restructuring &amp; Separation_Guidance_Sheet2" xfId="7286"/>
    <cellStyle name="_MOR - BDWY - 1+11_MOR - Gurgaon - 3+9(R)_Revised MOR Package_By Country Detail 1Q10 041410pm FIN 18 revised per disc w Mary_BS_Separation_TaxResIndem_Q12412 tf_Restructuring &amp; Separation_Guidance_Sheet3" xfId="7287"/>
    <cellStyle name="_MOR - BDWY - 1+11_MOR - Gurgaon - 3+9(R)_Revised MOR Package_By Country Detail 1Q10 041410pm FIN 18 revised per disc w Mary_BS_Separation_TaxResIndem_Q12412 tf_Restructuring &amp; Separation_Guidance_Sheet4" xfId="7288"/>
    <cellStyle name="_MOR - BDWY - 1+11_MOR - Gurgaon - 3+9(R)_Revised MOR Package_By Country Detail 1Q10 041410pm FIN 18 revised per disc w Mary_Guidance" xfId="7289"/>
    <cellStyle name="_MOR - BDWY - 1+11_MOR - Gurgaon - 3+9(R)_Revised MOR Package_By Country Detail 1Q10 041410pm FIN 18 revised per disc w Mary_Guidance 2" xfId="7290"/>
    <cellStyle name="_MOR - BDWY - 1+11_MOR - Gurgaon - 3+9(R)_Revised MOR Package_By Country Detail 1Q10 041410pm FIN 18 revised per disc w Mary_Guidance_BS retrieve" xfId="7291"/>
    <cellStyle name="_MOR - BDWY - 1+11_MOR - Gurgaon - 3+9(R)_Revised MOR Package_By Country Detail 1Q10 041410pm FIN 18 revised per disc w Mary_Guidance_Free CF" xfId="7292"/>
    <cellStyle name="_MOR - BDWY - 1+11_MOR - Gurgaon - 3+9(R)_Revised MOR Package_By Country Detail 1Q10 041410pm FIN 18 revised per disc w Mary_Guidance_P&amp;L Rec Qtr" xfId="7293"/>
    <cellStyle name="_MOR - BDWY - 1+11_MOR - Gurgaon - 3+9(R)_Revised MOR Package_By Country Detail 1Q10 041410pm FIN 18 revised per disc w Mary_Guidance_Sheet1" xfId="7294"/>
    <cellStyle name="_MOR - BDWY - 1+11_MOR - Gurgaon - 3+9(R)_Revised MOR Package_By Country Detail 1Q10 041410pm FIN 18 revised per disc w Mary_Guidance_Sheet2" xfId="7295"/>
    <cellStyle name="_MOR - BDWY - 1+11_MOR - Gurgaon - 3+9(R)_Revised MOR Package_By Country Detail 1Q10 041410pm FIN 18 revised per disc w Mary_Guidance_Sheet3" xfId="7296"/>
    <cellStyle name="_MOR - BDWY - 1+11_MOR - Gurgaon - 3+9(R)_Revised MOR Package_By Country Detail 1Q10 041410pm FIN 18 revised per disc w Mary_Guidance_Sheet4" xfId="7297"/>
    <cellStyle name="_MOR - BDWY - 1+11_MOR - Gurgaon - 3+9(R)_Revised MOR Package_By Country Detail 1Q10 041410pm FIN 18 revised per disc w Mary_II.8. Sep&amp;Discrete" xfId="7298"/>
    <cellStyle name="_MOR - BDWY - 1+11_MOR - Gurgaon - 3+9(R)_Revised MOR Package_By Country Detail 1Q10 041410pm FIN 18 revised per disc w Mary_II.8. Sep&amp;Discrete_Guidance" xfId="7299"/>
    <cellStyle name="_MOR - BDWY - 1+11_MOR - Gurgaon - 3+9(R)_Revised MOR Package_By Country Detail 1Q10 041410pm FIN 18 revised per disc w Mary_II.8. Sep&amp;Discrete_Guidance 2" xfId="7300"/>
    <cellStyle name="_MOR - BDWY - 1+11_MOR - Gurgaon - 3+9(R)_Revised MOR Package_By Country Detail 1Q10 041410pm FIN 18 revised per disc w Mary_II.8. Sep&amp;Discrete_Guidance_BS retrieve" xfId="7301"/>
    <cellStyle name="_MOR - BDWY - 1+11_MOR - Gurgaon - 3+9(R)_Revised MOR Package_By Country Detail 1Q10 041410pm FIN 18 revised per disc w Mary_II.8. Sep&amp;Discrete_Guidance_Free CF" xfId="7302"/>
    <cellStyle name="_MOR - BDWY - 1+11_MOR - Gurgaon - 3+9(R)_Revised MOR Package_By Country Detail 1Q10 041410pm FIN 18 revised per disc w Mary_II.8. Sep&amp;Discrete_Guidance_P&amp;L Rec Qtr" xfId="7303"/>
    <cellStyle name="_MOR - BDWY - 1+11_MOR - Gurgaon - 3+9(R)_Revised MOR Package_By Country Detail 1Q10 041410pm FIN 18 revised per disc w Mary_II.8. Sep&amp;Discrete_Guidance_Sheet1" xfId="7304"/>
    <cellStyle name="_MOR - BDWY - 1+11_MOR - Gurgaon - 3+9(R)_Revised MOR Package_By Country Detail 1Q10 041410pm FIN 18 revised per disc w Mary_II.8. Sep&amp;Discrete_Guidance_Sheet2" xfId="7305"/>
    <cellStyle name="_MOR - BDWY - 1+11_MOR - Gurgaon - 3+9(R)_Revised MOR Package_By Country Detail 1Q10 041410pm FIN 18 revised per disc w Mary_II.8. Sep&amp;Discrete_Guidance_Sheet3" xfId="7306"/>
    <cellStyle name="_MOR - BDWY - 1+11_MOR - Gurgaon - 3+9(R)_Revised MOR Package_By Country Detail 1Q10 041410pm FIN 18 revised per disc w Mary_II.8. Sep&amp;Discrete_Guidance_Sheet4" xfId="7307"/>
    <cellStyle name="_MOR - BDWY - 1+11_MOR - Gurgaon - 3+9(R)_Revised MOR Package_By Country Detail 1Q10 041410pm FIN 18 revised per disc w Mary_Restructuring &amp; Separation" xfId="7308"/>
    <cellStyle name="_MOR - BDWY - 1+11_MOR - Gurgaon - 3+9(R)_Revised MOR Package_By Country Detail 1Q10 041410pm FIN 18 revised per disc w Mary_Restructuring &amp; Separation_Guidance" xfId="7309"/>
    <cellStyle name="_MOR - BDWY - 1+11_MOR - Gurgaon - 3+9(R)_Revised MOR Package_By Country Detail 1Q10 041410pm FIN 18 revised per disc w Mary_Restructuring &amp; Separation_Guidance 2" xfId="7310"/>
    <cellStyle name="_MOR - BDWY - 1+11_MOR - Gurgaon - 3+9(R)_Revised MOR Package_By Country Detail 1Q10 041410pm FIN 18 revised per disc w Mary_Restructuring &amp; Separation_Guidance_BS retrieve" xfId="7311"/>
    <cellStyle name="_MOR - BDWY - 1+11_MOR - Gurgaon - 3+9(R)_Revised MOR Package_By Country Detail 1Q10 041410pm FIN 18 revised per disc w Mary_Restructuring &amp; Separation_Guidance_Free CF" xfId="7312"/>
    <cellStyle name="_MOR - BDWY - 1+11_MOR - Gurgaon - 3+9(R)_Revised MOR Package_By Country Detail 1Q10 041410pm FIN 18 revised per disc w Mary_Restructuring &amp; Separation_Guidance_P&amp;L Rec Qtr" xfId="7313"/>
    <cellStyle name="_MOR - BDWY - 1+11_MOR - Gurgaon - 3+9(R)_Revised MOR Package_By Country Detail 1Q10 041410pm FIN 18 revised per disc w Mary_Restructuring &amp; Separation_Guidance_Sheet1" xfId="7314"/>
    <cellStyle name="_MOR - BDWY - 1+11_MOR - Gurgaon - 3+9(R)_Revised MOR Package_By Country Detail 1Q10 041410pm FIN 18 revised per disc w Mary_Restructuring &amp; Separation_Guidance_Sheet2" xfId="7315"/>
    <cellStyle name="_MOR - BDWY - 1+11_MOR - Gurgaon - 3+9(R)_Revised MOR Package_By Country Detail 1Q10 041410pm FIN 18 revised per disc w Mary_Restructuring &amp; Separation_Guidance_Sheet3" xfId="7316"/>
    <cellStyle name="_MOR - BDWY - 1+11_MOR - Gurgaon - 3+9(R)_Revised MOR Package_By Country Detail 1Q10 041410pm FIN 18 revised per disc w Mary_Restructuring &amp; Separation_Guidance_Sheet4" xfId="7317"/>
    <cellStyle name="_MOR - BDWY - 1+11_MOR - Gurgaon - 3+9(R)_Revised MOR Package_Guidance" xfId="7318"/>
    <cellStyle name="_MOR - BDWY - 1+11_MOR - Gurgaon - 3+9(R)_Revised MOR Package_Guidance 2" xfId="7319"/>
    <cellStyle name="_MOR - BDWY - 1+11_MOR - Gurgaon - 3+9(R)_Revised MOR Package_Guidance_BS retrieve" xfId="7320"/>
    <cellStyle name="_MOR - BDWY - 1+11_MOR - Gurgaon - 3+9(R)_Revised MOR Package_Guidance_Free CF" xfId="7321"/>
    <cellStyle name="_MOR - BDWY - 1+11_MOR - Gurgaon - 3+9(R)_Revised MOR Package_Guidance_P&amp;L Rec Qtr" xfId="7322"/>
    <cellStyle name="_MOR - BDWY - 1+11_MOR - Gurgaon - 3+9(R)_Revised MOR Package_Guidance_Sheet1" xfId="7323"/>
    <cellStyle name="_MOR - BDWY - 1+11_MOR - Gurgaon - 3+9(R)_Revised MOR Package_Guidance_Sheet2" xfId="7324"/>
    <cellStyle name="_MOR - BDWY - 1+11_MOR - Gurgaon - 3+9(R)_Revised MOR Package_Guidance_Sheet3" xfId="7325"/>
    <cellStyle name="_MOR - BDWY - 1+11_MOR - Gurgaon - 3+9(R)_Revised MOR Package_Guidance_Sheet4" xfId="7326"/>
    <cellStyle name="_MOR - BDWY - 1+11_MOR - Gurgaon - 3+9(R)_Revised MOR Package_II.4. RawMaterials" xfId="7327"/>
    <cellStyle name="_MOR - BDWY - 1+11_MOR - Gurgaon - 3+9(R)_Revised MOR Package_II.4. RawMaterials 2" xfId="7328"/>
    <cellStyle name="_MOR - BDWY - 1+11_MOR - Gurgaon - 3+9(R)_Revised MOR Package_II.4. RawMaterials_BS retrieve" xfId="7329"/>
    <cellStyle name="_MOR - BDWY - 1+11_MOR - Gurgaon - 3+9(R)_Revised MOR Package_II.4. RawMaterials_Free CF" xfId="7330"/>
    <cellStyle name="_MOR - BDWY - 1+11_MOR - Gurgaon - 3+9(R)_Revised MOR Package_II.4. RawMaterials_P&amp;L Rec Qtr" xfId="7331"/>
    <cellStyle name="_MOR - BDWY - 1+11_MOR - Gurgaon - 3+9(R)_Revised MOR Package_II.4. RawMaterials_Sheet1" xfId="7332"/>
    <cellStyle name="_MOR - BDWY - 1+11_MOR - Gurgaon - 3+9(R)_Revised MOR Package_II.4. RawMaterials_Sheet2" xfId="7333"/>
    <cellStyle name="_MOR - BDWY - 1+11_MOR - Gurgaon - 3+9(R)_Revised MOR Package_II.4. RawMaterials_Sheet3" xfId="7334"/>
    <cellStyle name="_MOR - BDWY - 1+11_MOR - Gurgaon - 3+9(R)_Revised MOR Package_II.4. RawMaterials_Sheet4" xfId="7335"/>
    <cellStyle name="_MOR - BDWY - 1+11_MOR - Gurgaon - 3+9(R)_Revised MOR Package_II.5. RawMaterials" xfId="7336"/>
    <cellStyle name="_MOR - BDWY - 1+11_MOR - Gurgaon - 3+9(R)_Revised MOR Package_II.5. RawMaterials 2" xfId="7337"/>
    <cellStyle name="_MOR - BDWY - 1+11_MOR - Gurgaon - 3+9(R)_Revised MOR Package_II.5. RawMaterials_BS retrieve" xfId="7338"/>
    <cellStyle name="_MOR - BDWY - 1+11_MOR - Gurgaon - 3+9(R)_Revised MOR Package_II.5. RawMaterials_Free CF" xfId="7339"/>
    <cellStyle name="_MOR - BDWY - 1+11_MOR - Gurgaon - 3+9(R)_Revised MOR Package_II.5. RawMaterials_Guidance" xfId="7340"/>
    <cellStyle name="_MOR - BDWY - 1+11_MOR - Gurgaon - 3+9(R)_Revised MOR Package_II.5. RawMaterials_Guidance 2" xfId="7341"/>
    <cellStyle name="_MOR - BDWY - 1+11_MOR - Gurgaon - 3+9(R)_Revised MOR Package_II.5. RawMaterials_Guidance_BS retrieve" xfId="7342"/>
    <cellStyle name="_MOR - BDWY - 1+11_MOR - Gurgaon - 3+9(R)_Revised MOR Package_II.5. RawMaterials_Guidance_Free CF" xfId="7343"/>
    <cellStyle name="_MOR - BDWY - 1+11_MOR - Gurgaon - 3+9(R)_Revised MOR Package_II.5. RawMaterials_Guidance_P&amp;L Rec Qtr" xfId="7344"/>
    <cellStyle name="_MOR - BDWY - 1+11_MOR - Gurgaon - 3+9(R)_Revised MOR Package_II.5. RawMaterials_Guidance_Sheet1" xfId="7345"/>
    <cellStyle name="_MOR - BDWY - 1+11_MOR - Gurgaon - 3+9(R)_Revised MOR Package_II.5. RawMaterials_Guidance_Sheet2" xfId="7346"/>
    <cellStyle name="_MOR - BDWY - 1+11_MOR - Gurgaon - 3+9(R)_Revised MOR Package_II.5. RawMaterials_Guidance_Sheet3" xfId="7347"/>
    <cellStyle name="_MOR - BDWY - 1+11_MOR - Gurgaon - 3+9(R)_Revised MOR Package_II.5. RawMaterials_Guidance_Sheet4" xfId="7348"/>
    <cellStyle name="_MOR - BDWY - 1+11_MOR - Gurgaon - 3+9(R)_Revised MOR Package_II.5. RawMaterials_P&amp;L Rec Qtr" xfId="7349"/>
    <cellStyle name="_MOR - BDWY - 1+11_MOR - Gurgaon - 3+9(R)_Revised MOR Package_II.5. RawMaterials_Sheet1" xfId="7350"/>
    <cellStyle name="_MOR - BDWY - 1+11_MOR - Gurgaon - 3+9(R)_Revised MOR Package_II.5. RawMaterials_Sheet2" xfId="7351"/>
    <cellStyle name="_MOR - BDWY - 1+11_MOR - Gurgaon - 3+9(R)_Revised MOR Package_II.5. RawMaterials_Sheet3" xfId="7352"/>
    <cellStyle name="_MOR - BDWY - 1+11_MOR - Gurgaon - 3+9(R)_Revised MOR Package_II.5. RawMaterials_Sheet4" xfId="7353"/>
    <cellStyle name="_MOR - BDWY - 1+11_MOR - Gurgaon - 3+9(R)_Revised MOR Package_II.5. RM Volume Sensitivities" xfId="7354"/>
    <cellStyle name="_MOR - BDWY - 1+11_MOR - Gurgaon - 3+9(R)_Revised MOR Package_II.5. RM Volume Sensitivities 2" xfId="7355"/>
    <cellStyle name="_MOR - BDWY - 1+11_MOR - Gurgaon - 3+9(R)_Revised MOR Package_II.5. RM Volume Sensitivities_BS retrieve" xfId="7356"/>
    <cellStyle name="_MOR - BDWY - 1+11_MOR - Gurgaon - 3+9(R)_Revised MOR Package_II.5. RM Volume Sensitivities_Free CF" xfId="7357"/>
    <cellStyle name="_MOR - BDWY - 1+11_MOR - Gurgaon - 3+9(R)_Revised MOR Package_II.5. RM Volume Sensitivities_P&amp;L Rec Qtr" xfId="7358"/>
    <cellStyle name="_MOR - BDWY - 1+11_MOR - Gurgaon - 3+9(R)_Revised MOR Package_II.5. RM Volume Sensitivities_Sheet1" xfId="7359"/>
    <cellStyle name="_MOR - BDWY - 1+11_MOR - Gurgaon - 3+9(R)_Revised MOR Package_II.5. RM Volume Sensitivities_Sheet2" xfId="7360"/>
    <cellStyle name="_MOR - BDWY - 1+11_MOR - Gurgaon - 3+9(R)_Revised MOR Package_II.5. RM Volume Sensitivities_Sheet3" xfId="7361"/>
    <cellStyle name="_MOR - BDWY - 1+11_MOR - Gurgaon - 3+9(R)_Revised MOR Package_II.5. RM Volume Sensitivities_Sheet4" xfId="7362"/>
    <cellStyle name="_MOR - BDWY - 1+11_MOR - Gurgaon - 3+9(R)_Revised MOR Package_II.8. Sep&amp;Discrete" xfId="7363"/>
    <cellStyle name="_MOR - BDWY - 1+11_MOR - Gurgaon - 3+9(R)_Revised MOR Package_II.8. Sep&amp;Discrete_Guidance" xfId="7364"/>
    <cellStyle name="_MOR - BDWY - 1+11_MOR - Gurgaon - 3+9(R)_Revised MOR Package_II.8. Sep&amp;Discrete_Guidance 2" xfId="7365"/>
    <cellStyle name="_MOR - BDWY - 1+11_MOR - Gurgaon - 3+9(R)_Revised MOR Package_II.8. Sep&amp;Discrete_Guidance_BS retrieve" xfId="7366"/>
    <cellStyle name="_MOR - BDWY - 1+11_MOR - Gurgaon - 3+9(R)_Revised MOR Package_II.8. Sep&amp;Discrete_Guidance_Free CF" xfId="7367"/>
    <cellStyle name="_MOR - BDWY - 1+11_MOR - Gurgaon - 3+9(R)_Revised MOR Package_II.8. Sep&amp;Discrete_Guidance_P&amp;L Rec Qtr" xfId="7368"/>
    <cellStyle name="_MOR - BDWY - 1+11_MOR - Gurgaon - 3+9(R)_Revised MOR Package_II.8. Sep&amp;Discrete_Guidance_Sheet1" xfId="7369"/>
    <cellStyle name="_MOR - BDWY - 1+11_MOR - Gurgaon - 3+9(R)_Revised MOR Package_II.8. Sep&amp;Discrete_Guidance_Sheet2" xfId="7370"/>
    <cellStyle name="_MOR - BDWY - 1+11_MOR - Gurgaon - 3+9(R)_Revised MOR Package_II.8. Sep&amp;Discrete_Guidance_Sheet3" xfId="7371"/>
    <cellStyle name="_MOR - BDWY - 1+11_MOR - Gurgaon - 3+9(R)_Revised MOR Package_II.8. Sep&amp;Discrete_Guidance_Sheet4" xfId="7372"/>
    <cellStyle name="_MOR - BDWY - 1+11_MOR - Gurgaon - 3+9(R)_Revised MOR Package_Restructuring &amp; Separation" xfId="7373"/>
    <cellStyle name="_MOR - BDWY - 1+11_MOR - Gurgaon - 3+9(R)_Revised MOR Package_Restructuring &amp; Separation_Guidance" xfId="7374"/>
    <cellStyle name="_MOR - BDWY - 1+11_MOR - Gurgaon - 3+9(R)_Revised MOR Package_Restructuring &amp; Separation_Guidance 2" xfId="7375"/>
    <cellStyle name="_MOR - BDWY - 1+11_MOR - Gurgaon - 3+9(R)_Revised MOR Package_Restructuring &amp; Separation_Guidance_BS retrieve" xfId="7376"/>
    <cellStyle name="_MOR - BDWY - 1+11_MOR - Gurgaon - 3+9(R)_Revised MOR Package_Restructuring &amp; Separation_Guidance_Free CF" xfId="7377"/>
    <cellStyle name="_MOR - BDWY - 1+11_MOR - Gurgaon - 3+9(R)_Revised MOR Package_Restructuring &amp; Separation_Guidance_P&amp;L Rec Qtr" xfId="7378"/>
    <cellStyle name="_MOR - BDWY - 1+11_MOR - Gurgaon - 3+9(R)_Revised MOR Package_Restructuring &amp; Separation_Guidance_Sheet1" xfId="7379"/>
    <cellStyle name="_MOR - BDWY - 1+11_MOR - Gurgaon - 3+9(R)_Revised MOR Package_Restructuring &amp; Separation_Guidance_Sheet2" xfId="7380"/>
    <cellStyle name="_MOR - BDWY - 1+11_MOR - Gurgaon - 3+9(R)_Revised MOR Package_Restructuring &amp; Separation_Guidance_Sheet3" xfId="7381"/>
    <cellStyle name="_MOR - BDWY - 1+11_MOR - Gurgaon - 3+9(R)_Revised MOR Package_Restructuring &amp; Separation_Guidance_Sheet4" xfId="7382"/>
    <cellStyle name="_MOR - BDWY - 1+11_MOR - Gurgaon - 3+9(R)_Revised MOR Package_Restructuring_Separation_TAX_JuneFC2010 tf" xfId="7383"/>
    <cellStyle name="_MOR - BDWY - 1+11_MOR - Gurgaon - 3+9(R)_Revised MOR Package_Restructuring_Separation_TAX_JuneFC2010 tf_BS_Separation_TaxResIndem_Q12412 tf" xfId="7384"/>
    <cellStyle name="_MOR - BDWY - 1+11_MOR - Gurgaon - 3+9(R)_Revised MOR Package_Restructuring_Separation_TAX_JuneFC2010 tf_BS_Separation_TaxResIndem_Q12412 tf_Guidance" xfId="7385"/>
    <cellStyle name="_MOR - BDWY - 1+11_MOR - Gurgaon - 3+9(R)_Revised MOR Package_Restructuring_Separation_TAX_JuneFC2010 tf_BS_Separation_TaxResIndem_Q12412 tf_Guidance 2" xfId="7386"/>
    <cellStyle name="_MOR - BDWY - 1+11_MOR - Gurgaon - 3+9(R)_Revised MOR Package_Restructuring_Separation_TAX_JuneFC2010 tf_BS_Separation_TaxResIndem_Q12412 tf_Guidance_BS retrieve" xfId="7387"/>
    <cellStyle name="_MOR - BDWY - 1+11_MOR - Gurgaon - 3+9(R)_Revised MOR Package_Restructuring_Separation_TAX_JuneFC2010 tf_BS_Separation_TaxResIndem_Q12412 tf_Guidance_Free CF" xfId="7388"/>
    <cellStyle name="_MOR - BDWY - 1+11_MOR - Gurgaon - 3+9(R)_Revised MOR Package_Restructuring_Separation_TAX_JuneFC2010 tf_BS_Separation_TaxResIndem_Q12412 tf_Guidance_P&amp;L Rec Qtr" xfId="7389"/>
    <cellStyle name="_MOR - BDWY - 1+11_MOR - Gurgaon - 3+9(R)_Revised MOR Package_Restructuring_Separation_TAX_JuneFC2010 tf_BS_Separation_TaxResIndem_Q12412 tf_Guidance_Sheet1" xfId="7390"/>
    <cellStyle name="_MOR - BDWY - 1+11_MOR - Gurgaon - 3+9(R)_Revised MOR Package_Restructuring_Separation_TAX_JuneFC2010 tf_BS_Separation_TaxResIndem_Q12412 tf_Guidance_Sheet2" xfId="7391"/>
    <cellStyle name="_MOR - BDWY - 1+11_MOR - Gurgaon - 3+9(R)_Revised MOR Package_Restructuring_Separation_TAX_JuneFC2010 tf_BS_Separation_TaxResIndem_Q12412 tf_Guidance_Sheet3" xfId="7392"/>
    <cellStyle name="_MOR - BDWY - 1+11_MOR - Gurgaon - 3+9(R)_Revised MOR Package_Restructuring_Separation_TAX_JuneFC2010 tf_BS_Separation_TaxResIndem_Q12412 tf_Guidance_Sheet4" xfId="7393"/>
    <cellStyle name="_MOR - BDWY - 1+11_MOR - Gurgaon - 3+9(R)_Revised MOR Package_Restructuring_Separation_TAX_JuneFC2010 tf_BS_Separation_TaxResIndem_Q12412 tf_Restructuring &amp; Separation" xfId="7394"/>
    <cellStyle name="_MOR - BDWY - 1+11_MOR - Gurgaon - 3+9(R)_Revised MOR Package_Restructuring_Separation_TAX_JuneFC2010 tf_BS_Separation_TaxResIndem_Q12412 tf_Restructuring &amp; Separation_Guidance" xfId="7395"/>
    <cellStyle name="_MOR - BDWY - 1+11_MOR - Gurgaon - 3+9(R)_Revised MOR Package_Restructuring_Separation_TAX_JuneFC2010 tf_BS_Separation_TaxResIndem_Q12412 tf_Restructuring &amp; Separation_Guidance 2" xfId="7396"/>
    <cellStyle name="_MOR - BDWY - 1+11_MOR - Gurgaon - 3+9(R)_Revised MOR Package_Restructuring_Separation_TAX_JuneFC2010 tf_BS_Separation_TaxResIndem_Q12412 tf_Restructuring &amp; Separation_Guidance_BS retrieve" xfId="7397"/>
    <cellStyle name="_MOR - BDWY - 1+11_MOR - Gurgaon - 3+9(R)_Revised MOR Package_Restructuring_Separation_TAX_JuneFC2010 tf_BS_Separation_TaxResIndem_Q12412 tf_Restructuring &amp; Separation_Guidance_Free CF" xfId="7398"/>
    <cellStyle name="_MOR - BDWY - 1+11_MOR - Gurgaon - 3+9(R)_Revised MOR Package_Restructuring_Separation_TAX_JuneFC2010 tf_BS_Separation_TaxResIndem_Q12412 tf_Restructuring &amp; Separation_Guidance_P&amp;L Rec Qtr" xfId="7399"/>
    <cellStyle name="_MOR - BDWY - 1+11_MOR - Gurgaon - 3+9(R)_Revised MOR Package_Restructuring_Separation_TAX_JuneFC2010 tf_BS_Separation_TaxResIndem_Q12412 tf_Restructuring &amp; Separation_Guidance_Sheet1" xfId="7400"/>
    <cellStyle name="_MOR - BDWY - 1+11_MOR - Gurgaon - 3+9(R)_Revised MOR Package_Restructuring_Separation_TAX_JuneFC2010 tf_BS_Separation_TaxResIndem_Q12412 tf_Restructuring &amp; Separation_Guidance_Sheet2" xfId="7401"/>
    <cellStyle name="_MOR - BDWY - 1+11_MOR - Gurgaon - 3+9(R)_Revised MOR Package_Restructuring_Separation_TAX_JuneFC2010 tf_BS_Separation_TaxResIndem_Q12412 tf_Restructuring &amp; Separation_Guidance_Sheet3" xfId="7402"/>
    <cellStyle name="_MOR - BDWY - 1+11_MOR - Gurgaon - 3+9(R)_Revised MOR Package_Restructuring_Separation_TAX_JuneFC2010 tf_BS_Separation_TaxResIndem_Q12412 tf_Restructuring &amp; Separation_Guidance_Sheet4" xfId="7403"/>
    <cellStyle name="_MOR - BDWY - 1+11_MOR - Gurgaon - 3+9(R)_Revised MOR Package_Restructuring_Separation_TAX_JuneFC2010 tf_Guidance" xfId="7404"/>
    <cellStyle name="_MOR - BDWY - 1+11_MOR - Gurgaon - 3+9(R)_Revised MOR Package_Restructuring_Separation_TAX_JuneFC2010 tf_Guidance 2" xfId="7405"/>
    <cellStyle name="_MOR - BDWY - 1+11_MOR - Gurgaon - 3+9(R)_Revised MOR Package_Restructuring_Separation_TAX_JuneFC2010 tf_Guidance_BS retrieve" xfId="7406"/>
    <cellStyle name="_MOR - BDWY - 1+11_MOR - Gurgaon - 3+9(R)_Revised MOR Package_Restructuring_Separation_TAX_JuneFC2010 tf_Guidance_Free CF" xfId="7407"/>
    <cellStyle name="_MOR - BDWY - 1+11_MOR - Gurgaon - 3+9(R)_Revised MOR Package_Restructuring_Separation_TAX_JuneFC2010 tf_Guidance_P&amp;L Rec Qtr" xfId="7408"/>
    <cellStyle name="_MOR - BDWY - 1+11_MOR - Gurgaon - 3+9(R)_Revised MOR Package_Restructuring_Separation_TAX_JuneFC2010 tf_Guidance_Sheet1" xfId="7409"/>
    <cellStyle name="_MOR - BDWY - 1+11_MOR - Gurgaon - 3+9(R)_Revised MOR Package_Restructuring_Separation_TAX_JuneFC2010 tf_Guidance_Sheet2" xfId="7410"/>
    <cellStyle name="_MOR - BDWY - 1+11_MOR - Gurgaon - 3+9(R)_Revised MOR Package_Restructuring_Separation_TAX_JuneFC2010 tf_Guidance_Sheet3" xfId="7411"/>
    <cellStyle name="_MOR - BDWY - 1+11_MOR - Gurgaon - 3+9(R)_Revised MOR Package_Restructuring_Separation_TAX_JuneFC2010 tf_Guidance_Sheet4" xfId="7412"/>
    <cellStyle name="_MOR - BDWY - 1+11_MOR - Gurgaon - 3+9(R)_Revised MOR Package_Restructuring_Separation_TAX_JuneFC2010 tf_II.8. Sep&amp;Discrete" xfId="7413"/>
    <cellStyle name="_MOR - BDWY - 1+11_MOR - Gurgaon - 3+9(R)_Revised MOR Package_Restructuring_Separation_TAX_JuneFC2010 tf_II.8. Sep&amp;Discrete_Guidance" xfId="7414"/>
    <cellStyle name="_MOR - BDWY - 1+11_MOR - Gurgaon - 3+9(R)_Revised MOR Package_Restructuring_Separation_TAX_JuneFC2010 tf_II.8. Sep&amp;Discrete_Guidance 2" xfId="7415"/>
    <cellStyle name="_MOR - BDWY - 1+11_MOR - Gurgaon - 3+9(R)_Revised MOR Package_Restructuring_Separation_TAX_JuneFC2010 tf_II.8. Sep&amp;Discrete_Guidance_BS retrieve" xfId="7416"/>
    <cellStyle name="_MOR - BDWY - 1+11_MOR - Gurgaon - 3+9(R)_Revised MOR Package_Restructuring_Separation_TAX_JuneFC2010 tf_II.8. Sep&amp;Discrete_Guidance_Free CF" xfId="7417"/>
    <cellStyle name="_MOR - BDWY - 1+11_MOR - Gurgaon - 3+9(R)_Revised MOR Package_Restructuring_Separation_TAX_JuneFC2010 tf_II.8. Sep&amp;Discrete_Guidance_P&amp;L Rec Qtr" xfId="7418"/>
    <cellStyle name="_MOR - BDWY - 1+11_MOR - Gurgaon - 3+9(R)_Revised MOR Package_Restructuring_Separation_TAX_JuneFC2010 tf_II.8. Sep&amp;Discrete_Guidance_Sheet1" xfId="7419"/>
    <cellStyle name="_MOR - BDWY - 1+11_MOR - Gurgaon - 3+9(R)_Revised MOR Package_Restructuring_Separation_TAX_JuneFC2010 tf_II.8. Sep&amp;Discrete_Guidance_Sheet2" xfId="7420"/>
    <cellStyle name="_MOR - BDWY - 1+11_MOR - Gurgaon - 3+9(R)_Revised MOR Package_Restructuring_Separation_TAX_JuneFC2010 tf_II.8. Sep&amp;Discrete_Guidance_Sheet3" xfId="7421"/>
    <cellStyle name="_MOR - BDWY - 1+11_MOR - Gurgaon - 3+9(R)_Revised MOR Package_Restructuring_Separation_TAX_JuneFC2010 tf_II.8. Sep&amp;Discrete_Guidance_Sheet4" xfId="7422"/>
    <cellStyle name="_MOR - BDWY - 1+11_MOR - Gurgaon - 3+9(R)_Revised MOR Package_Restructuring_Separation_TAX_JuneFC2010 tf_Restructuring &amp; Separation" xfId="7423"/>
    <cellStyle name="_MOR - BDWY - 1+11_MOR - Gurgaon - 3+9(R)_Revised MOR Package_Restructuring_Separation_TAX_JuneFC2010 tf_Restructuring &amp; Separation_Guidance" xfId="7424"/>
    <cellStyle name="_MOR - BDWY - 1+11_MOR - Gurgaon - 3+9(R)_Revised MOR Package_Restructuring_Separation_TAX_JuneFC2010 tf_Restructuring &amp; Separation_Guidance 2" xfId="7425"/>
    <cellStyle name="_MOR - BDWY - 1+11_MOR - Gurgaon - 3+9(R)_Revised MOR Package_Restructuring_Separation_TAX_JuneFC2010 tf_Restructuring &amp; Separation_Guidance_BS retrieve" xfId="7426"/>
    <cellStyle name="_MOR - BDWY - 1+11_MOR - Gurgaon - 3+9(R)_Revised MOR Package_Restructuring_Separation_TAX_JuneFC2010 tf_Restructuring &amp; Separation_Guidance_Free CF" xfId="7427"/>
    <cellStyle name="_MOR - BDWY - 1+11_MOR - Gurgaon - 3+9(R)_Revised MOR Package_Restructuring_Separation_TAX_JuneFC2010 tf_Restructuring &amp; Separation_Guidance_P&amp;L Rec Qtr" xfId="7428"/>
    <cellStyle name="_MOR - BDWY - 1+11_MOR - Gurgaon - 3+9(R)_Revised MOR Package_Restructuring_Separation_TAX_JuneFC2010 tf_Restructuring &amp; Separation_Guidance_Sheet1" xfId="7429"/>
    <cellStyle name="_MOR - BDWY - 1+11_MOR - Gurgaon - 3+9(R)_Revised MOR Package_Restructuring_Separation_TAX_JuneFC2010 tf_Restructuring &amp; Separation_Guidance_Sheet2" xfId="7430"/>
    <cellStyle name="_MOR - BDWY - 1+11_MOR - Gurgaon - 3+9(R)_Revised MOR Package_Restructuring_Separation_TAX_JuneFC2010 tf_Restructuring &amp; Separation_Guidance_Sheet3" xfId="7431"/>
    <cellStyle name="_MOR - BDWY - 1+11_MOR - Gurgaon - 3+9(R)_Revised MOR Package_Restructuring_Separation_TAX_JuneFC2010 tf_Restructuring &amp; Separation_Guidance_Sheet4" xfId="7432"/>
    <cellStyle name="_MOR - BDWY - 1+11_MOR - Gurgaon - 3+9(R)_Revised MOR Package_Revised MOR Package - Latest" xfId="7433"/>
    <cellStyle name="_MOR - BDWY - 1+11_MOR - Gurgaon - 3+9(R)_Revised MOR Package_Revised MOR Package - Latest_BS_Separation_TaxResIndem_Q12412 tf" xfId="7434"/>
    <cellStyle name="_MOR - BDWY - 1+11_MOR - Gurgaon - 3+9(R)_Revised MOR Package_Revised MOR Package - Latest_BS_Separation_TaxResIndem_Q12412 tf_Guidance" xfId="7435"/>
    <cellStyle name="_MOR - BDWY - 1+11_MOR - Gurgaon - 3+9(R)_Revised MOR Package_Revised MOR Package - Latest_BS_Separation_TaxResIndem_Q12412 tf_Guidance 2" xfId="7436"/>
    <cellStyle name="_MOR - BDWY - 1+11_MOR - Gurgaon - 3+9(R)_Revised MOR Package_Revised MOR Package - Latest_BS_Separation_TaxResIndem_Q12412 tf_Guidance_BS retrieve" xfId="7437"/>
    <cellStyle name="_MOR - BDWY - 1+11_MOR - Gurgaon - 3+9(R)_Revised MOR Package_Revised MOR Package - Latest_BS_Separation_TaxResIndem_Q12412 tf_Guidance_Free CF" xfId="7438"/>
    <cellStyle name="_MOR - BDWY - 1+11_MOR - Gurgaon - 3+9(R)_Revised MOR Package_Revised MOR Package - Latest_BS_Separation_TaxResIndem_Q12412 tf_Guidance_P&amp;L Rec Qtr" xfId="7439"/>
    <cellStyle name="_MOR - BDWY - 1+11_MOR - Gurgaon - 3+9(R)_Revised MOR Package_Revised MOR Package - Latest_BS_Separation_TaxResIndem_Q12412 tf_Guidance_Sheet1" xfId="7440"/>
    <cellStyle name="_MOR - BDWY - 1+11_MOR - Gurgaon - 3+9(R)_Revised MOR Package_Revised MOR Package - Latest_BS_Separation_TaxResIndem_Q12412 tf_Guidance_Sheet2" xfId="7441"/>
    <cellStyle name="_MOR - BDWY - 1+11_MOR - Gurgaon - 3+9(R)_Revised MOR Package_Revised MOR Package - Latest_BS_Separation_TaxResIndem_Q12412 tf_Guidance_Sheet3" xfId="7442"/>
    <cellStyle name="_MOR - BDWY - 1+11_MOR - Gurgaon - 3+9(R)_Revised MOR Package_Revised MOR Package - Latest_BS_Separation_TaxResIndem_Q12412 tf_Guidance_Sheet4" xfId="7443"/>
    <cellStyle name="_MOR - BDWY - 1+11_MOR - Gurgaon - 3+9(R)_Revised MOR Package_Revised MOR Package - Latest_BS_Separation_TaxResIndem_Q12412 tf_Restructuring &amp; Separation" xfId="7444"/>
    <cellStyle name="_MOR - BDWY - 1+11_MOR - Gurgaon - 3+9(R)_Revised MOR Package_Revised MOR Package - Latest_BS_Separation_TaxResIndem_Q12412 tf_Restructuring &amp; Separation_Guidance" xfId="7445"/>
    <cellStyle name="_MOR - BDWY - 1+11_MOR - Gurgaon - 3+9(R)_Revised MOR Package_Revised MOR Package - Latest_BS_Separation_TaxResIndem_Q12412 tf_Restructuring &amp; Separation_Guidance 2" xfId="7446"/>
    <cellStyle name="_MOR - BDWY - 1+11_MOR - Gurgaon - 3+9(R)_Revised MOR Package_Revised MOR Package - Latest_BS_Separation_TaxResIndem_Q12412 tf_Restructuring &amp; Separation_Guidance_BS retrieve" xfId="7447"/>
    <cellStyle name="_MOR - BDWY - 1+11_MOR - Gurgaon - 3+9(R)_Revised MOR Package_Revised MOR Package - Latest_BS_Separation_TaxResIndem_Q12412 tf_Restructuring &amp; Separation_Guidance_Free CF" xfId="7448"/>
    <cellStyle name="_MOR - BDWY - 1+11_MOR - Gurgaon - 3+9(R)_Revised MOR Package_Revised MOR Package - Latest_BS_Separation_TaxResIndem_Q12412 tf_Restructuring &amp; Separation_Guidance_P&amp;L Rec Qtr" xfId="7449"/>
    <cellStyle name="_MOR - BDWY - 1+11_MOR - Gurgaon - 3+9(R)_Revised MOR Package_Revised MOR Package - Latest_BS_Separation_TaxResIndem_Q12412 tf_Restructuring &amp; Separation_Guidance_Sheet1" xfId="7450"/>
    <cellStyle name="_MOR - BDWY - 1+11_MOR - Gurgaon - 3+9(R)_Revised MOR Package_Revised MOR Package - Latest_BS_Separation_TaxResIndem_Q12412 tf_Restructuring &amp; Separation_Guidance_Sheet2" xfId="7451"/>
    <cellStyle name="_MOR - BDWY - 1+11_MOR - Gurgaon - 3+9(R)_Revised MOR Package_Revised MOR Package - Latest_BS_Separation_TaxResIndem_Q12412 tf_Restructuring &amp; Separation_Guidance_Sheet3" xfId="7452"/>
    <cellStyle name="_MOR - BDWY - 1+11_MOR - Gurgaon - 3+9(R)_Revised MOR Package_Revised MOR Package - Latest_BS_Separation_TaxResIndem_Q12412 tf_Restructuring &amp; Separation_Guidance_Sheet4" xfId="7453"/>
    <cellStyle name="_MOR - BDWY - 1+11_MOR - Gurgaon - 3+9(R)_Revised MOR Package_Revised MOR Package - Latest_By Country Detail 1Q10 041410pm FIN 18 revised per disc w Mary" xfId="7454"/>
    <cellStyle name="_MOR - BDWY - 1+11_MOR - Gurgaon - 3+9(R)_Revised MOR Package_Revised MOR Package - Latest_By Country Detail 1Q10 041410pm FIN 18 revised per disc w Mary_BS_Separation_TaxResIndem_Q12412 tf" xfId="7455"/>
    <cellStyle name="_MOR - BDWY - 1+11_MOR - Gurgaon - 3+9(R)_Revised MOR Package_Revised MOR Package - Latest_By Country Detail 1Q10 041410pm FIN 18 revised per disc w Mary_BS_Separation_TaxResIndem_Q12412 tf_Guidance" xfId="7456"/>
    <cellStyle name="_MOR - BDWY - 1+11_MOR - Gurgaon - 3+9(R)_Revised MOR Package_Revised MOR Package - Latest_By Country Detail 1Q10 041410pm FIN 18 revised per disc w Mary_BS_Separation_TaxResIndem_Q12412 tf_Guidance 2" xfId="7457"/>
    <cellStyle name="_MOR - BDWY - 1+11_MOR - Gurgaon - 3+9(R)_Revised MOR Package_Revised MOR Package - Latest_By Country Detail 1Q10 041410pm FIN 18 revised per disc w Mary_BS_Separation_TaxResIndem_Q12412 tf_Guidance_BS retrieve" xfId="7458"/>
    <cellStyle name="_MOR - BDWY - 1+11_MOR - Gurgaon - 3+9(R)_Revised MOR Package_Revised MOR Package - Latest_By Country Detail 1Q10 041410pm FIN 18 revised per disc w Mary_BS_Separation_TaxResIndem_Q12412 tf_Guidance_Free CF" xfId="7459"/>
    <cellStyle name="_MOR - BDWY - 1+11_MOR - Gurgaon - 3+9(R)_Revised MOR Package_Revised MOR Package - Latest_By Country Detail 1Q10 041410pm FIN 18 revised per disc w Mary_BS_Separation_TaxResIndem_Q12412 tf_Guidance_P&amp;L Rec Qtr" xfId="7460"/>
    <cellStyle name="_MOR - BDWY - 1+11_MOR - Gurgaon - 3+9(R)_Revised MOR Package_Revised MOR Package - Latest_By Country Detail 1Q10 041410pm FIN 18 revised per disc w Mary_BS_Separation_TaxResIndem_Q12412 tf_Guidance_Sheet1" xfId="7461"/>
    <cellStyle name="_MOR - BDWY - 1+11_MOR - Gurgaon - 3+9(R)_Revised MOR Package_Revised MOR Package - Latest_By Country Detail 1Q10 041410pm FIN 18 revised per disc w Mary_BS_Separation_TaxResIndem_Q12412 tf_Guidance_Sheet2" xfId="7462"/>
    <cellStyle name="_MOR - BDWY - 1+11_MOR - Gurgaon - 3+9(R)_Revised MOR Package_Revised MOR Package - Latest_By Country Detail 1Q10 041410pm FIN 18 revised per disc w Mary_BS_Separation_TaxResIndem_Q12412 tf_Guidance_Sheet3" xfId="7463"/>
    <cellStyle name="_MOR - BDWY - 1+11_MOR - Gurgaon - 3+9(R)_Revised MOR Package_Revised MOR Package - Latest_By Country Detail 1Q10 041410pm FIN 18 revised per disc w Mary_BS_Separation_TaxResIndem_Q12412 tf_Guidance_Sheet4" xfId="7464"/>
    <cellStyle name="_MOR - BDWY - 1+11_MOR - Gurgaon - 3+9(R)_Revised MOR Package_Revised MOR Package - Latest_By Country Detail 1Q10 041410pm FIN 18 revised per disc w Mary_BS_Separation_TaxResIndem_Q12412 tf_Restructuring &amp; Separation" xfId="7465"/>
    <cellStyle name="_MOR - BDWY - 1+11_MOR - Gurgaon - 3+9(R)_Revised MOR Package_Revised MOR Package - Latest_By Country Detail 1Q10 041410pm FIN 18 revised per disc w Mary_BS_Separation_TaxResIndem_Q12412 tf_Restructuring &amp; Separation_Guidance" xfId="7466"/>
    <cellStyle name="_MOR - BDWY - 1+11_MOR - Gurgaon - 3+9(R)_Revised MOR Package_Revised MOR Package - Latest_By Country Detail 1Q10 041410pm FIN 18 revised per disc w Mary_BS_Separation_TaxResIndem_Q12412 tf_Restructuring &amp; Separation_Guidance 2" xfId="7467"/>
    <cellStyle name="_MOR - BDWY - 1+11_MOR - Gurgaon - 3+9(R)_Revised MOR Package_Revised MOR Package - Latest_By Country Detail 1Q10 041410pm FIN 18 revised per disc w Mary_BS_Separation_TaxResIndem_Q12412 tf_Restructuring &amp; Separation_Guidance_BS retrieve" xfId="7468"/>
    <cellStyle name="_MOR - BDWY - 1+11_MOR - Gurgaon - 3+9(R)_Revised MOR Package_Revised MOR Package - Latest_By Country Detail 1Q10 041410pm FIN 18 revised per disc w Mary_BS_Separation_TaxResIndem_Q12412 tf_Restructuring &amp; Separation_Guidance_Free CF" xfId="7469"/>
    <cellStyle name="_MOR - BDWY - 1+11_MOR - Gurgaon - 3+9(R)_Revised MOR Package_Revised MOR Package - Latest_By Country Detail 1Q10 041410pm FIN 18 revised per disc w Mary_BS_Separation_TaxResIndem_Q12412 tf_Restructuring &amp; Separation_Guidance_P&amp;L Rec Qtr" xfId="7470"/>
    <cellStyle name="_MOR - BDWY - 1+11_MOR - Gurgaon - 3+9(R)_Revised MOR Package_Revised MOR Package - Latest_By Country Detail 1Q10 041410pm FIN 18 revised per disc w Mary_BS_Separation_TaxResIndem_Q12412 tf_Restructuring &amp; Separation_Guidance_Sheet1" xfId="7471"/>
    <cellStyle name="_MOR - BDWY - 1+11_MOR - Gurgaon - 3+9(R)_Revised MOR Package_Revised MOR Package - Latest_By Country Detail 1Q10 041410pm FIN 18 revised per disc w Mary_BS_Separation_TaxResIndem_Q12412 tf_Restructuring &amp; Separation_Guidance_Sheet2" xfId="7472"/>
    <cellStyle name="_MOR - BDWY - 1+11_MOR - Gurgaon - 3+9(R)_Revised MOR Package_Revised MOR Package - Latest_By Country Detail 1Q10 041410pm FIN 18 revised per disc w Mary_BS_Separation_TaxResIndem_Q12412 tf_Restructuring &amp; Separation_Guidance_Sheet3" xfId="7473"/>
    <cellStyle name="_MOR - BDWY - 1+11_MOR - Gurgaon - 3+9(R)_Revised MOR Package_Revised MOR Package - Latest_By Country Detail 1Q10 041410pm FIN 18 revised per disc w Mary_BS_Separation_TaxResIndem_Q12412 tf_Restructuring &amp; Separation_Guidance_Sheet4" xfId="7474"/>
    <cellStyle name="_MOR - BDWY - 1+11_MOR - Gurgaon - 3+9(R)_Revised MOR Package_Revised MOR Package - Latest_By Country Detail 1Q10 041410pm FIN 18 revised per disc w Mary_Guidance" xfId="7475"/>
    <cellStyle name="_MOR - BDWY - 1+11_MOR - Gurgaon - 3+9(R)_Revised MOR Package_Revised MOR Package - Latest_By Country Detail 1Q10 041410pm FIN 18 revised per disc w Mary_Guidance 2" xfId="7476"/>
    <cellStyle name="_MOR - BDWY - 1+11_MOR - Gurgaon - 3+9(R)_Revised MOR Package_Revised MOR Package - Latest_By Country Detail 1Q10 041410pm FIN 18 revised per disc w Mary_Guidance_BS retrieve" xfId="7477"/>
    <cellStyle name="_MOR - BDWY - 1+11_MOR - Gurgaon - 3+9(R)_Revised MOR Package_Revised MOR Package - Latest_By Country Detail 1Q10 041410pm FIN 18 revised per disc w Mary_Guidance_Free CF" xfId="7478"/>
    <cellStyle name="_MOR - BDWY - 1+11_MOR - Gurgaon - 3+9(R)_Revised MOR Package_Revised MOR Package - Latest_By Country Detail 1Q10 041410pm FIN 18 revised per disc w Mary_Guidance_P&amp;L Rec Qtr" xfId="7479"/>
    <cellStyle name="_MOR - BDWY - 1+11_MOR - Gurgaon - 3+9(R)_Revised MOR Package_Revised MOR Package - Latest_By Country Detail 1Q10 041410pm FIN 18 revised per disc w Mary_Guidance_Sheet1" xfId="7480"/>
    <cellStyle name="_MOR - BDWY - 1+11_MOR - Gurgaon - 3+9(R)_Revised MOR Package_Revised MOR Package - Latest_By Country Detail 1Q10 041410pm FIN 18 revised per disc w Mary_Guidance_Sheet2" xfId="7481"/>
    <cellStyle name="_MOR - BDWY - 1+11_MOR - Gurgaon - 3+9(R)_Revised MOR Package_Revised MOR Package - Latest_By Country Detail 1Q10 041410pm FIN 18 revised per disc w Mary_Guidance_Sheet3" xfId="7482"/>
    <cellStyle name="_MOR - BDWY - 1+11_MOR - Gurgaon - 3+9(R)_Revised MOR Package_Revised MOR Package - Latest_By Country Detail 1Q10 041410pm FIN 18 revised per disc w Mary_Guidance_Sheet4" xfId="7483"/>
    <cellStyle name="_MOR - BDWY - 1+11_MOR - Gurgaon - 3+9(R)_Revised MOR Package_Revised MOR Package - Latest_By Country Detail 1Q10 041410pm FIN 18 revised per disc w Mary_II.8. Sep&amp;Discrete" xfId="7484"/>
    <cellStyle name="_MOR - BDWY - 1+11_MOR - Gurgaon - 3+9(R)_Revised MOR Package_Revised MOR Package - Latest_By Country Detail 1Q10 041410pm FIN 18 revised per disc w Mary_II.8. Sep&amp;Discrete_Guidance" xfId="7485"/>
    <cellStyle name="_MOR - BDWY - 1+11_MOR - Gurgaon - 3+9(R)_Revised MOR Package_Revised MOR Package - Latest_By Country Detail 1Q10 041410pm FIN 18 revised per disc w Mary_II.8. Sep&amp;Discrete_Guidance 2" xfId="7486"/>
    <cellStyle name="_MOR - BDWY - 1+11_MOR - Gurgaon - 3+9(R)_Revised MOR Package_Revised MOR Package - Latest_By Country Detail 1Q10 041410pm FIN 18 revised per disc w Mary_II.8. Sep&amp;Discrete_Guidance_BS retrieve" xfId="7487"/>
    <cellStyle name="_MOR - BDWY - 1+11_MOR - Gurgaon - 3+9(R)_Revised MOR Package_Revised MOR Package - Latest_By Country Detail 1Q10 041410pm FIN 18 revised per disc w Mary_II.8. Sep&amp;Discrete_Guidance_Free CF" xfId="7488"/>
    <cellStyle name="_MOR - BDWY - 1+11_MOR - Gurgaon - 3+9(R)_Revised MOR Package_Revised MOR Package - Latest_By Country Detail 1Q10 041410pm FIN 18 revised per disc w Mary_II.8. Sep&amp;Discrete_Guidance_P&amp;L Rec Qtr" xfId="7489"/>
    <cellStyle name="_MOR - BDWY - 1+11_MOR - Gurgaon - 3+9(R)_Revised MOR Package_Revised MOR Package - Latest_By Country Detail 1Q10 041410pm FIN 18 revised per disc w Mary_II.8. Sep&amp;Discrete_Guidance_Sheet1" xfId="7490"/>
    <cellStyle name="_MOR - BDWY - 1+11_MOR - Gurgaon - 3+9(R)_Revised MOR Package_Revised MOR Package - Latest_By Country Detail 1Q10 041410pm FIN 18 revised per disc w Mary_II.8. Sep&amp;Discrete_Guidance_Sheet2" xfId="7491"/>
    <cellStyle name="_MOR - BDWY - 1+11_MOR - Gurgaon - 3+9(R)_Revised MOR Package_Revised MOR Package - Latest_By Country Detail 1Q10 041410pm FIN 18 revised per disc w Mary_II.8. Sep&amp;Discrete_Guidance_Sheet3" xfId="7492"/>
    <cellStyle name="_MOR - BDWY - 1+11_MOR - Gurgaon - 3+9(R)_Revised MOR Package_Revised MOR Package - Latest_By Country Detail 1Q10 041410pm FIN 18 revised per disc w Mary_II.8. Sep&amp;Discrete_Guidance_Sheet4" xfId="7493"/>
    <cellStyle name="_MOR - BDWY - 1+11_MOR - Gurgaon - 3+9(R)_Revised MOR Package_Revised MOR Package - Latest_By Country Detail 1Q10 041410pm FIN 18 revised per disc w Mary_Restructuring &amp; Separation" xfId="7494"/>
    <cellStyle name="_MOR - BDWY - 1+11_MOR - Gurgaon - 3+9(R)_Revised MOR Package_Revised MOR Package - Latest_By Country Detail 1Q10 041410pm FIN 18 revised per disc w Mary_Restructuring &amp; Separation_Guidance" xfId="7495"/>
    <cellStyle name="_MOR - BDWY - 1+11_MOR - Gurgaon - 3+9(R)_Revised MOR Package_Revised MOR Package - Latest_By Country Detail 1Q10 041410pm FIN 18 revised per disc w Mary_Restructuring &amp; Separation_Guidance 2" xfId="7496"/>
    <cellStyle name="_MOR - BDWY - 1+11_MOR - Gurgaon - 3+9(R)_Revised MOR Package_Revised MOR Package - Latest_By Country Detail 1Q10 041410pm FIN 18 revised per disc w Mary_Restructuring &amp; Separation_Guidance_BS retrieve" xfId="7497"/>
    <cellStyle name="_MOR - BDWY - 1+11_MOR - Gurgaon - 3+9(R)_Revised MOR Package_Revised MOR Package - Latest_By Country Detail 1Q10 041410pm FIN 18 revised per disc w Mary_Restructuring &amp; Separation_Guidance_Free CF" xfId="7498"/>
    <cellStyle name="_MOR - BDWY - 1+11_MOR - Gurgaon - 3+9(R)_Revised MOR Package_Revised MOR Package - Latest_By Country Detail 1Q10 041410pm FIN 18 revised per disc w Mary_Restructuring &amp; Separation_Guidance_P&amp;L Rec Qtr" xfId="7499"/>
    <cellStyle name="_MOR - BDWY - 1+11_MOR - Gurgaon - 3+9(R)_Revised MOR Package_Revised MOR Package - Latest_By Country Detail 1Q10 041410pm FIN 18 revised per disc w Mary_Restructuring &amp; Separation_Guidance_Sheet1" xfId="7500"/>
    <cellStyle name="_MOR - BDWY - 1+11_MOR - Gurgaon - 3+9(R)_Revised MOR Package_Revised MOR Package - Latest_By Country Detail 1Q10 041410pm FIN 18 revised per disc w Mary_Restructuring &amp; Separation_Guidance_Sheet2" xfId="7501"/>
    <cellStyle name="_MOR - BDWY - 1+11_MOR - Gurgaon - 3+9(R)_Revised MOR Package_Revised MOR Package - Latest_By Country Detail 1Q10 041410pm FIN 18 revised per disc w Mary_Restructuring &amp; Separation_Guidance_Sheet3" xfId="7502"/>
    <cellStyle name="_MOR - BDWY - 1+11_MOR - Gurgaon - 3+9(R)_Revised MOR Package_Revised MOR Package - Latest_By Country Detail 1Q10 041410pm FIN 18 revised per disc w Mary_Restructuring &amp; Separation_Guidance_Sheet4" xfId="7503"/>
    <cellStyle name="_MOR - BDWY - 1+11_MOR - Gurgaon - 3+9(R)_Revised MOR Package_Revised MOR Package - Latest_Guidance" xfId="7504"/>
    <cellStyle name="_MOR - BDWY - 1+11_MOR - Gurgaon - 3+9(R)_Revised MOR Package_Revised MOR Package - Latest_Guidance 2" xfId="7505"/>
    <cellStyle name="_MOR - BDWY - 1+11_MOR - Gurgaon - 3+9(R)_Revised MOR Package_Revised MOR Package - Latest_Guidance_BS retrieve" xfId="7506"/>
    <cellStyle name="_MOR - BDWY - 1+11_MOR - Gurgaon - 3+9(R)_Revised MOR Package_Revised MOR Package - Latest_Guidance_Free CF" xfId="7507"/>
    <cellStyle name="_MOR - BDWY - 1+11_MOR - Gurgaon - 3+9(R)_Revised MOR Package_Revised MOR Package - Latest_Guidance_P&amp;L Rec Qtr" xfId="7508"/>
    <cellStyle name="_MOR - BDWY - 1+11_MOR - Gurgaon - 3+9(R)_Revised MOR Package_Revised MOR Package - Latest_Guidance_Sheet1" xfId="7509"/>
    <cellStyle name="_MOR - BDWY - 1+11_MOR - Gurgaon - 3+9(R)_Revised MOR Package_Revised MOR Package - Latest_Guidance_Sheet2" xfId="7510"/>
    <cellStyle name="_MOR - BDWY - 1+11_MOR - Gurgaon - 3+9(R)_Revised MOR Package_Revised MOR Package - Latest_Guidance_Sheet3" xfId="7511"/>
    <cellStyle name="_MOR - BDWY - 1+11_MOR - Gurgaon - 3+9(R)_Revised MOR Package_Revised MOR Package - Latest_Guidance_Sheet4" xfId="7512"/>
    <cellStyle name="_MOR - BDWY - 1+11_MOR - Gurgaon - 3+9(R)_Revised MOR Package_Revised MOR Package - Latest_II.4. RawMaterials" xfId="7513"/>
    <cellStyle name="_MOR - BDWY - 1+11_MOR - Gurgaon - 3+9(R)_Revised MOR Package_Revised MOR Package - Latest_II.4. RawMaterials 2" xfId="7514"/>
    <cellStyle name="_MOR - BDWY - 1+11_MOR - Gurgaon - 3+9(R)_Revised MOR Package_Revised MOR Package - Latest_II.4. RawMaterials_BS retrieve" xfId="7515"/>
    <cellStyle name="_MOR - BDWY - 1+11_MOR - Gurgaon - 3+9(R)_Revised MOR Package_Revised MOR Package - Latest_II.4. RawMaterials_Free CF" xfId="7516"/>
    <cellStyle name="_MOR - BDWY - 1+11_MOR - Gurgaon - 3+9(R)_Revised MOR Package_Revised MOR Package - Latest_II.4. RawMaterials_P&amp;L Rec Qtr" xfId="7517"/>
    <cellStyle name="_MOR - BDWY - 1+11_MOR - Gurgaon - 3+9(R)_Revised MOR Package_Revised MOR Package - Latest_II.4. RawMaterials_Sheet1" xfId="7518"/>
    <cellStyle name="_MOR - BDWY - 1+11_MOR - Gurgaon - 3+9(R)_Revised MOR Package_Revised MOR Package - Latest_II.4. RawMaterials_Sheet2" xfId="7519"/>
    <cellStyle name="_MOR - BDWY - 1+11_MOR - Gurgaon - 3+9(R)_Revised MOR Package_Revised MOR Package - Latest_II.4. RawMaterials_Sheet3" xfId="7520"/>
    <cellStyle name="_MOR - BDWY - 1+11_MOR - Gurgaon - 3+9(R)_Revised MOR Package_Revised MOR Package - Latest_II.4. RawMaterials_Sheet4" xfId="7521"/>
    <cellStyle name="_MOR - BDWY - 1+11_MOR - Gurgaon - 3+9(R)_Revised MOR Package_Revised MOR Package - Latest_II.5. RawMaterials" xfId="7522"/>
    <cellStyle name="_MOR - BDWY - 1+11_MOR - Gurgaon - 3+9(R)_Revised MOR Package_Revised MOR Package - Latest_II.5. RawMaterials 2" xfId="7523"/>
    <cellStyle name="_MOR - BDWY - 1+11_MOR - Gurgaon - 3+9(R)_Revised MOR Package_Revised MOR Package - Latest_II.5. RawMaterials_BS retrieve" xfId="7524"/>
    <cellStyle name="_MOR - BDWY - 1+11_MOR - Gurgaon - 3+9(R)_Revised MOR Package_Revised MOR Package - Latest_II.5. RawMaterials_Free CF" xfId="7525"/>
    <cellStyle name="_MOR - BDWY - 1+11_MOR - Gurgaon - 3+9(R)_Revised MOR Package_Revised MOR Package - Latest_II.5. RawMaterials_Guidance" xfId="7526"/>
    <cellStyle name="_MOR - BDWY - 1+11_MOR - Gurgaon - 3+9(R)_Revised MOR Package_Revised MOR Package - Latest_II.5. RawMaterials_Guidance 2" xfId="7527"/>
    <cellStyle name="_MOR - BDWY - 1+11_MOR - Gurgaon - 3+9(R)_Revised MOR Package_Revised MOR Package - Latest_II.5. RawMaterials_Guidance_BS retrieve" xfId="7528"/>
    <cellStyle name="_MOR - BDWY - 1+11_MOR - Gurgaon - 3+9(R)_Revised MOR Package_Revised MOR Package - Latest_II.5. RawMaterials_Guidance_Free CF" xfId="7529"/>
    <cellStyle name="_MOR - BDWY - 1+11_MOR - Gurgaon - 3+9(R)_Revised MOR Package_Revised MOR Package - Latest_II.5. RawMaterials_Guidance_P&amp;L Rec Qtr" xfId="7530"/>
    <cellStyle name="_MOR - BDWY - 1+11_MOR - Gurgaon - 3+9(R)_Revised MOR Package_Revised MOR Package - Latest_II.5. RawMaterials_Guidance_Sheet1" xfId="7531"/>
    <cellStyle name="_MOR - BDWY - 1+11_MOR - Gurgaon - 3+9(R)_Revised MOR Package_Revised MOR Package - Latest_II.5. RawMaterials_Guidance_Sheet2" xfId="7532"/>
    <cellStyle name="_MOR - BDWY - 1+11_MOR - Gurgaon - 3+9(R)_Revised MOR Package_Revised MOR Package - Latest_II.5. RawMaterials_Guidance_Sheet3" xfId="7533"/>
    <cellStyle name="_MOR - BDWY - 1+11_MOR - Gurgaon - 3+9(R)_Revised MOR Package_Revised MOR Package - Latest_II.5. RawMaterials_Guidance_Sheet4" xfId="7534"/>
    <cellStyle name="_MOR - BDWY - 1+11_MOR - Gurgaon - 3+9(R)_Revised MOR Package_Revised MOR Package - Latest_II.5. RawMaterials_P&amp;L Rec Qtr" xfId="7535"/>
    <cellStyle name="_MOR - BDWY - 1+11_MOR - Gurgaon - 3+9(R)_Revised MOR Package_Revised MOR Package - Latest_II.5. RawMaterials_Sheet1" xfId="7536"/>
    <cellStyle name="_MOR - BDWY - 1+11_MOR - Gurgaon - 3+9(R)_Revised MOR Package_Revised MOR Package - Latest_II.5. RawMaterials_Sheet2" xfId="7537"/>
    <cellStyle name="_MOR - BDWY - 1+11_MOR - Gurgaon - 3+9(R)_Revised MOR Package_Revised MOR Package - Latest_II.5. RawMaterials_Sheet3" xfId="7538"/>
    <cellStyle name="_MOR - BDWY - 1+11_MOR - Gurgaon - 3+9(R)_Revised MOR Package_Revised MOR Package - Latest_II.5. RawMaterials_Sheet4" xfId="7539"/>
    <cellStyle name="_MOR - BDWY - 1+11_MOR - Gurgaon - 3+9(R)_Revised MOR Package_Revised MOR Package - Latest_II.5. RM Volume Sensitivities" xfId="7540"/>
    <cellStyle name="_MOR - BDWY - 1+11_MOR - Gurgaon - 3+9(R)_Revised MOR Package_Revised MOR Package - Latest_II.5. RM Volume Sensitivities 2" xfId="7541"/>
    <cellStyle name="_MOR - BDWY - 1+11_MOR - Gurgaon - 3+9(R)_Revised MOR Package_Revised MOR Package - Latest_II.5. RM Volume Sensitivities_BS retrieve" xfId="7542"/>
    <cellStyle name="_MOR - BDWY - 1+11_MOR - Gurgaon - 3+9(R)_Revised MOR Package_Revised MOR Package - Latest_II.5. RM Volume Sensitivities_Free CF" xfId="7543"/>
    <cellStyle name="_MOR - BDWY - 1+11_MOR - Gurgaon - 3+9(R)_Revised MOR Package_Revised MOR Package - Latest_II.5. RM Volume Sensitivities_P&amp;L Rec Qtr" xfId="7544"/>
    <cellStyle name="_MOR - BDWY - 1+11_MOR - Gurgaon - 3+9(R)_Revised MOR Package_Revised MOR Package - Latest_II.5. RM Volume Sensitivities_Sheet1" xfId="7545"/>
    <cellStyle name="_MOR - BDWY - 1+11_MOR - Gurgaon - 3+9(R)_Revised MOR Package_Revised MOR Package - Latest_II.5. RM Volume Sensitivities_Sheet2" xfId="7546"/>
    <cellStyle name="_MOR - BDWY - 1+11_MOR - Gurgaon - 3+9(R)_Revised MOR Package_Revised MOR Package - Latest_II.5. RM Volume Sensitivities_Sheet3" xfId="7547"/>
    <cellStyle name="_MOR - BDWY - 1+11_MOR - Gurgaon - 3+9(R)_Revised MOR Package_Revised MOR Package - Latest_II.5. RM Volume Sensitivities_Sheet4" xfId="7548"/>
    <cellStyle name="_MOR - BDWY - 1+11_MOR - Gurgaon - 3+9(R)_Revised MOR Package_Revised MOR Package - Latest_II.8. Sep&amp;Discrete" xfId="7549"/>
    <cellStyle name="_MOR - BDWY - 1+11_MOR - Gurgaon - 3+9(R)_Revised MOR Package_Revised MOR Package - Latest_II.8. Sep&amp;Discrete_Guidance" xfId="7550"/>
    <cellStyle name="_MOR - BDWY - 1+11_MOR - Gurgaon - 3+9(R)_Revised MOR Package_Revised MOR Package - Latest_II.8. Sep&amp;Discrete_Guidance 2" xfId="7551"/>
    <cellStyle name="_MOR - BDWY - 1+11_MOR - Gurgaon - 3+9(R)_Revised MOR Package_Revised MOR Package - Latest_II.8. Sep&amp;Discrete_Guidance_BS retrieve" xfId="7552"/>
    <cellStyle name="_MOR - BDWY - 1+11_MOR - Gurgaon - 3+9(R)_Revised MOR Package_Revised MOR Package - Latest_II.8. Sep&amp;Discrete_Guidance_Free CF" xfId="7553"/>
    <cellStyle name="_MOR - BDWY - 1+11_MOR - Gurgaon - 3+9(R)_Revised MOR Package_Revised MOR Package - Latest_II.8. Sep&amp;Discrete_Guidance_P&amp;L Rec Qtr" xfId="7554"/>
    <cellStyle name="_MOR - BDWY - 1+11_MOR - Gurgaon - 3+9(R)_Revised MOR Package_Revised MOR Package - Latest_II.8. Sep&amp;Discrete_Guidance_Sheet1" xfId="7555"/>
    <cellStyle name="_MOR - BDWY - 1+11_MOR - Gurgaon - 3+9(R)_Revised MOR Package_Revised MOR Package - Latest_II.8. Sep&amp;Discrete_Guidance_Sheet2" xfId="7556"/>
    <cellStyle name="_MOR - BDWY - 1+11_MOR - Gurgaon - 3+9(R)_Revised MOR Package_Revised MOR Package - Latest_II.8. Sep&amp;Discrete_Guidance_Sheet3" xfId="7557"/>
    <cellStyle name="_MOR - BDWY - 1+11_MOR - Gurgaon - 3+9(R)_Revised MOR Package_Revised MOR Package - Latest_II.8. Sep&amp;Discrete_Guidance_Sheet4" xfId="7558"/>
    <cellStyle name="_MOR - BDWY - 1+11_MOR - Gurgaon - 3+9(R)_Revised MOR Package_Revised MOR Package - Latest_Restructuring &amp; Separation" xfId="7559"/>
    <cellStyle name="_MOR - BDWY - 1+11_MOR - Gurgaon - 3+9(R)_Revised MOR Package_Revised MOR Package - Latest_Restructuring &amp; Separation_Guidance" xfId="7560"/>
    <cellStyle name="_MOR - BDWY - 1+11_MOR - Gurgaon - 3+9(R)_Revised MOR Package_Revised MOR Package - Latest_Restructuring &amp; Separation_Guidance 2" xfId="7561"/>
    <cellStyle name="_MOR - BDWY - 1+11_MOR - Gurgaon - 3+9(R)_Revised MOR Package_Revised MOR Package - Latest_Restructuring &amp; Separation_Guidance_BS retrieve" xfId="7562"/>
    <cellStyle name="_MOR - BDWY - 1+11_MOR - Gurgaon - 3+9(R)_Revised MOR Package_Revised MOR Package - Latest_Restructuring &amp; Separation_Guidance_Free CF" xfId="7563"/>
    <cellStyle name="_MOR - BDWY - 1+11_MOR - Gurgaon - 3+9(R)_Revised MOR Package_Revised MOR Package - Latest_Restructuring &amp; Separation_Guidance_P&amp;L Rec Qtr" xfId="7564"/>
    <cellStyle name="_MOR - BDWY - 1+11_MOR - Gurgaon - 3+9(R)_Revised MOR Package_Revised MOR Package - Latest_Restructuring &amp; Separation_Guidance_Sheet1" xfId="7565"/>
    <cellStyle name="_MOR - BDWY - 1+11_MOR - Gurgaon - 3+9(R)_Revised MOR Package_Revised MOR Package - Latest_Restructuring &amp; Separation_Guidance_Sheet2" xfId="7566"/>
    <cellStyle name="_MOR - BDWY - 1+11_MOR - Gurgaon - 3+9(R)_Revised MOR Package_Revised MOR Package - Latest_Restructuring &amp; Separation_Guidance_Sheet3" xfId="7567"/>
    <cellStyle name="_MOR - BDWY - 1+11_MOR - Gurgaon - 3+9(R)_Revised MOR Package_Revised MOR Package - Latest_Restructuring &amp; Separation_Guidance_Sheet4" xfId="7568"/>
    <cellStyle name="_MOR - BDWY - 1+11_MOR - Gurgaon - 3+9(R)_Revised MOR Package_Revised MOR Package - Latest_Restructuring_Separation_TAX_JuneFC2010 tf" xfId="7569"/>
    <cellStyle name="_MOR - BDWY - 1+11_MOR - Gurgaon - 3+9(R)_Revised MOR Package_Revised MOR Package - Latest_Restructuring_Separation_TAX_JuneFC2010 tf_BS_Separation_TaxResIndem_Q12412 tf" xfId="7570"/>
    <cellStyle name="_MOR - BDWY - 1+11_MOR - Gurgaon - 3+9(R)_Revised MOR Package_Revised MOR Package - Latest_Restructuring_Separation_TAX_JuneFC2010 tf_BS_Separation_TaxResIndem_Q12412 tf_Guidance" xfId="7571"/>
    <cellStyle name="_MOR - BDWY - 1+11_MOR - Gurgaon - 3+9(R)_Revised MOR Package_Revised MOR Package - Latest_Restructuring_Separation_TAX_JuneFC2010 tf_BS_Separation_TaxResIndem_Q12412 tf_Guidance 2" xfId="7572"/>
    <cellStyle name="_MOR - BDWY - 1+11_MOR - Gurgaon - 3+9(R)_Revised MOR Package_Revised MOR Package - Latest_Restructuring_Separation_TAX_JuneFC2010 tf_BS_Separation_TaxResIndem_Q12412 tf_Guidance_BS retrieve" xfId="7573"/>
    <cellStyle name="_MOR - BDWY - 1+11_MOR - Gurgaon - 3+9(R)_Revised MOR Package_Revised MOR Package - Latest_Restructuring_Separation_TAX_JuneFC2010 tf_BS_Separation_TaxResIndem_Q12412 tf_Guidance_Free CF" xfId="7574"/>
    <cellStyle name="_MOR - BDWY - 1+11_MOR - Gurgaon - 3+9(R)_Revised MOR Package_Revised MOR Package - Latest_Restructuring_Separation_TAX_JuneFC2010 tf_BS_Separation_TaxResIndem_Q12412 tf_Guidance_P&amp;L Rec Qtr" xfId="7575"/>
    <cellStyle name="_MOR - BDWY - 1+11_MOR - Gurgaon - 3+9(R)_Revised MOR Package_Revised MOR Package - Latest_Restructuring_Separation_TAX_JuneFC2010 tf_BS_Separation_TaxResIndem_Q12412 tf_Guidance_Sheet1" xfId="7576"/>
    <cellStyle name="_MOR - BDWY - 1+11_MOR - Gurgaon - 3+9(R)_Revised MOR Package_Revised MOR Package - Latest_Restructuring_Separation_TAX_JuneFC2010 tf_BS_Separation_TaxResIndem_Q12412 tf_Guidance_Sheet2" xfId="7577"/>
    <cellStyle name="_MOR - BDWY - 1+11_MOR - Gurgaon - 3+9(R)_Revised MOR Package_Revised MOR Package - Latest_Restructuring_Separation_TAX_JuneFC2010 tf_BS_Separation_TaxResIndem_Q12412 tf_Guidance_Sheet3" xfId="7578"/>
    <cellStyle name="_MOR - BDWY - 1+11_MOR - Gurgaon - 3+9(R)_Revised MOR Package_Revised MOR Package - Latest_Restructuring_Separation_TAX_JuneFC2010 tf_BS_Separation_TaxResIndem_Q12412 tf_Guidance_Sheet4" xfId="7579"/>
    <cellStyle name="_MOR - BDWY - 1+11_MOR - Gurgaon - 3+9(R)_Revised MOR Package_Revised MOR Package - Latest_Restructuring_Separation_TAX_JuneFC2010 tf_BS_Separation_TaxResIndem_Q12412 tf_Restructuring &amp; Separation" xfId="7580"/>
    <cellStyle name="_MOR - BDWY - 1+11_MOR - Gurgaon - 3+9(R)_Revised MOR Package_Revised MOR Package - Latest_Restructuring_Separation_TAX_JuneFC2010 tf_BS_Separation_TaxResIndem_Q12412 tf_Restructuring &amp; Separation_Guidance" xfId="7581"/>
    <cellStyle name="_MOR - BDWY - 1+11_MOR - Gurgaon - 3+9(R)_Revised MOR Package_Revised MOR Package - Latest_Restructuring_Separation_TAX_JuneFC2010 tf_BS_Separation_TaxResIndem_Q12412 tf_Restructuring &amp; Separation_Guidance 2" xfId="7582"/>
    <cellStyle name="_MOR - BDWY - 1+11_MOR - Gurgaon - 3+9(R)_Revised MOR Package_Revised MOR Package - Latest_Restructuring_Separation_TAX_JuneFC2010 tf_BS_Separation_TaxResIndem_Q12412 tf_Restructuring &amp; Separation_Guidance_BS retrieve" xfId="7583"/>
    <cellStyle name="_MOR - BDWY - 1+11_MOR - Gurgaon - 3+9(R)_Revised MOR Package_Revised MOR Package - Latest_Restructuring_Separation_TAX_JuneFC2010 tf_BS_Separation_TaxResIndem_Q12412 tf_Restructuring &amp; Separation_Guidance_Free CF" xfId="7584"/>
    <cellStyle name="_MOR - BDWY - 1+11_MOR - Gurgaon - 3+9(R)_Revised MOR Package_Revised MOR Package - Latest_Restructuring_Separation_TAX_JuneFC2010 tf_BS_Separation_TaxResIndem_Q12412 tf_Restructuring &amp; Separation_Guidance_P&amp;L Rec Qtr" xfId="7585"/>
    <cellStyle name="_MOR - BDWY - 1+11_MOR - Gurgaon - 3+9(R)_Revised MOR Package_Revised MOR Package - Latest_Restructuring_Separation_TAX_JuneFC2010 tf_BS_Separation_TaxResIndem_Q12412 tf_Restructuring &amp; Separation_Guidance_Sheet1" xfId="7586"/>
    <cellStyle name="_MOR - BDWY - 1+11_MOR - Gurgaon - 3+9(R)_Revised MOR Package_Revised MOR Package - Latest_Restructuring_Separation_TAX_JuneFC2010 tf_BS_Separation_TaxResIndem_Q12412 tf_Restructuring &amp; Separation_Guidance_Sheet2" xfId="7587"/>
    <cellStyle name="_MOR - BDWY - 1+11_MOR - Gurgaon - 3+9(R)_Revised MOR Package_Revised MOR Package - Latest_Restructuring_Separation_TAX_JuneFC2010 tf_BS_Separation_TaxResIndem_Q12412 tf_Restructuring &amp; Separation_Guidance_Sheet3" xfId="7588"/>
    <cellStyle name="_MOR - BDWY - 1+11_MOR - Gurgaon - 3+9(R)_Revised MOR Package_Revised MOR Package - Latest_Restructuring_Separation_TAX_JuneFC2010 tf_BS_Separation_TaxResIndem_Q12412 tf_Restructuring &amp; Separation_Guidance_Sheet4" xfId="7589"/>
    <cellStyle name="_MOR - BDWY - 1+11_MOR - Gurgaon - 3+9(R)_Revised MOR Package_Revised MOR Package - Latest_Restructuring_Separation_TAX_JuneFC2010 tf_Guidance" xfId="7590"/>
    <cellStyle name="_MOR - BDWY - 1+11_MOR - Gurgaon - 3+9(R)_Revised MOR Package_Revised MOR Package - Latest_Restructuring_Separation_TAX_JuneFC2010 tf_Guidance 2" xfId="7591"/>
    <cellStyle name="_MOR - BDWY - 1+11_MOR - Gurgaon - 3+9(R)_Revised MOR Package_Revised MOR Package - Latest_Restructuring_Separation_TAX_JuneFC2010 tf_Guidance_BS retrieve" xfId="7592"/>
    <cellStyle name="_MOR - BDWY - 1+11_MOR - Gurgaon - 3+9(R)_Revised MOR Package_Revised MOR Package - Latest_Restructuring_Separation_TAX_JuneFC2010 tf_Guidance_Free CF" xfId="7593"/>
    <cellStyle name="_MOR - BDWY - 1+11_MOR - Gurgaon - 3+9(R)_Revised MOR Package_Revised MOR Package - Latest_Restructuring_Separation_TAX_JuneFC2010 tf_Guidance_P&amp;L Rec Qtr" xfId="7594"/>
    <cellStyle name="_MOR - BDWY - 1+11_MOR - Gurgaon - 3+9(R)_Revised MOR Package_Revised MOR Package - Latest_Restructuring_Separation_TAX_JuneFC2010 tf_Guidance_Sheet1" xfId="7595"/>
    <cellStyle name="_MOR - BDWY - 1+11_MOR - Gurgaon - 3+9(R)_Revised MOR Package_Revised MOR Package - Latest_Restructuring_Separation_TAX_JuneFC2010 tf_Guidance_Sheet2" xfId="7596"/>
    <cellStyle name="_MOR - BDWY - 1+11_MOR - Gurgaon - 3+9(R)_Revised MOR Package_Revised MOR Package - Latest_Restructuring_Separation_TAX_JuneFC2010 tf_Guidance_Sheet3" xfId="7597"/>
    <cellStyle name="_MOR - BDWY - 1+11_MOR - Gurgaon - 3+9(R)_Revised MOR Package_Revised MOR Package - Latest_Restructuring_Separation_TAX_JuneFC2010 tf_Guidance_Sheet4" xfId="7598"/>
    <cellStyle name="_MOR - BDWY - 1+11_MOR - Gurgaon - 3+9(R)_Revised MOR Package_Revised MOR Package - Latest_Restructuring_Separation_TAX_JuneFC2010 tf_II.8. Sep&amp;Discrete" xfId="7599"/>
    <cellStyle name="_MOR - BDWY - 1+11_MOR - Gurgaon - 3+9(R)_Revised MOR Package_Revised MOR Package - Latest_Restructuring_Separation_TAX_JuneFC2010 tf_II.8. Sep&amp;Discrete_Guidance" xfId="7600"/>
    <cellStyle name="_MOR - BDWY - 1+11_MOR - Gurgaon - 3+9(R)_Revised MOR Package_Revised MOR Package - Latest_Restructuring_Separation_TAX_JuneFC2010 tf_II.8. Sep&amp;Discrete_Guidance 2" xfId="7601"/>
    <cellStyle name="_MOR - BDWY - 1+11_MOR - Gurgaon - 3+9(R)_Revised MOR Package_Revised MOR Package - Latest_Restructuring_Separation_TAX_JuneFC2010 tf_II.8. Sep&amp;Discrete_Guidance_BS retrieve" xfId="7602"/>
    <cellStyle name="_MOR - BDWY - 1+11_MOR - Gurgaon - 3+9(R)_Revised MOR Package_Revised MOR Package - Latest_Restructuring_Separation_TAX_JuneFC2010 tf_II.8. Sep&amp;Discrete_Guidance_Free CF" xfId="7603"/>
    <cellStyle name="_MOR - BDWY - 1+11_MOR - Gurgaon - 3+9(R)_Revised MOR Package_Revised MOR Package - Latest_Restructuring_Separation_TAX_JuneFC2010 tf_II.8. Sep&amp;Discrete_Guidance_P&amp;L Rec Qtr" xfId="7604"/>
    <cellStyle name="_MOR - BDWY - 1+11_MOR - Gurgaon - 3+9(R)_Revised MOR Package_Revised MOR Package - Latest_Restructuring_Separation_TAX_JuneFC2010 tf_II.8. Sep&amp;Discrete_Guidance_Sheet1" xfId="7605"/>
    <cellStyle name="_MOR - BDWY - 1+11_MOR - Gurgaon - 3+9(R)_Revised MOR Package_Revised MOR Package - Latest_Restructuring_Separation_TAX_JuneFC2010 tf_II.8. Sep&amp;Discrete_Guidance_Sheet2" xfId="7606"/>
    <cellStyle name="_MOR - BDWY - 1+11_MOR - Gurgaon - 3+9(R)_Revised MOR Package_Revised MOR Package - Latest_Restructuring_Separation_TAX_JuneFC2010 tf_II.8. Sep&amp;Discrete_Guidance_Sheet3" xfId="7607"/>
    <cellStyle name="_MOR - BDWY - 1+11_MOR - Gurgaon - 3+9(R)_Revised MOR Package_Revised MOR Package - Latest_Restructuring_Separation_TAX_JuneFC2010 tf_II.8. Sep&amp;Discrete_Guidance_Sheet4" xfId="7608"/>
    <cellStyle name="_MOR - BDWY - 1+11_MOR - Gurgaon - 3+9(R)_Revised MOR Package_Revised MOR Package - Latest_Restructuring_Separation_TAX_JuneFC2010 tf_Restructuring &amp; Separation" xfId="7609"/>
    <cellStyle name="_MOR - BDWY - 1+11_MOR - Gurgaon - 3+9(R)_Revised MOR Package_Revised MOR Package - Latest_Restructuring_Separation_TAX_JuneFC2010 tf_Restructuring &amp; Separation_Guidance" xfId="7610"/>
    <cellStyle name="_MOR - BDWY - 1+11_MOR - Gurgaon - 3+9(R)_Revised MOR Package_Revised MOR Package - Latest_Restructuring_Separation_TAX_JuneFC2010 tf_Restructuring &amp; Separation_Guidance 2" xfId="7611"/>
    <cellStyle name="_MOR - BDWY - 1+11_MOR - Gurgaon - 3+9(R)_Revised MOR Package_Revised MOR Package - Latest_Restructuring_Separation_TAX_JuneFC2010 tf_Restructuring &amp; Separation_Guidance_BS retrieve" xfId="7612"/>
    <cellStyle name="_MOR - BDWY - 1+11_MOR - Gurgaon - 3+9(R)_Revised MOR Package_Revised MOR Package - Latest_Restructuring_Separation_TAX_JuneFC2010 tf_Restructuring &amp; Separation_Guidance_Free CF" xfId="7613"/>
    <cellStyle name="_MOR - BDWY - 1+11_MOR - Gurgaon - 3+9(R)_Revised MOR Package_Revised MOR Package - Latest_Restructuring_Separation_TAX_JuneFC2010 tf_Restructuring &amp; Separation_Guidance_P&amp;L Rec Qtr" xfId="7614"/>
    <cellStyle name="_MOR - BDWY - 1+11_MOR - Gurgaon - 3+9(R)_Revised MOR Package_Revised MOR Package - Latest_Restructuring_Separation_TAX_JuneFC2010 tf_Restructuring &amp; Separation_Guidance_Sheet1" xfId="7615"/>
    <cellStyle name="_MOR - BDWY - 1+11_MOR - Gurgaon - 3+9(R)_Revised MOR Package_Revised MOR Package - Latest_Restructuring_Separation_TAX_JuneFC2010 tf_Restructuring &amp; Separation_Guidance_Sheet2" xfId="7616"/>
    <cellStyle name="_MOR - BDWY - 1+11_MOR - Gurgaon - 3+9(R)_Revised MOR Package_Revised MOR Package - Latest_Restructuring_Separation_TAX_JuneFC2010 tf_Restructuring &amp; Separation_Guidance_Sheet3" xfId="7617"/>
    <cellStyle name="_MOR - BDWY - 1+11_MOR - Gurgaon - 3+9(R)_Revised MOR Package_Revised MOR Package - Latest_Restructuring_Separation_TAX_JuneFC2010 tf_Restructuring &amp; Separation_Guidance_Sheet4" xfId="7618"/>
    <cellStyle name="_MOR - BDWY - 1+11_MOR - Gurgaon - 3+9(R)-1" xfId="7619"/>
    <cellStyle name="_MOR - BDWY - 1+11_MOR - Gurgaon - 3+9(R)-1_BS_Separation_TaxResIndem_Q12412 tf" xfId="7620"/>
    <cellStyle name="_MOR - BDWY - 1+11_MOR - Gurgaon - 3+9(R)-1_BS_Separation_TaxResIndem_Q12412 tf_Guidance" xfId="7621"/>
    <cellStyle name="_MOR - BDWY - 1+11_MOR - Gurgaon - 3+9(R)-1_BS_Separation_TaxResIndem_Q12412 tf_Guidance 2" xfId="7622"/>
    <cellStyle name="_MOR - BDWY - 1+11_MOR - Gurgaon - 3+9(R)-1_BS_Separation_TaxResIndem_Q12412 tf_Guidance_BS retrieve" xfId="7623"/>
    <cellStyle name="_MOR - BDWY - 1+11_MOR - Gurgaon - 3+9(R)-1_BS_Separation_TaxResIndem_Q12412 tf_Guidance_Free CF" xfId="7624"/>
    <cellStyle name="_MOR - BDWY - 1+11_MOR - Gurgaon - 3+9(R)-1_BS_Separation_TaxResIndem_Q12412 tf_Guidance_P&amp;L Rec Qtr" xfId="7625"/>
    <cellStyle name="_MOR - BDWY - 1+11_MOR - Gurgaon - 3+9(R)-1_BS_Separation_TaxResIndem_Q12412 tf_Guidance_Sheet1" xfId="7626"/>
    <cellStyle name="_MOR - BDWY - 1+11_MOR - Gurgaon - 3+9(R)-1_BS_Separation_TaxResIndem_Q12412 tf_Guidance_Sheet2" xfId="7627"/>
    <cellStyle name="_MOR - BDWY - 1+11_MOR - Gurgaon - 3+9(R)-1_BS_Separation_TaxResIndem_Q12412 tf_Guidance_Sheet3" xfId="7628"/>
    <cellStyle name="_MOR - BDWY - 1+11_MOR - Gurgaon - 3+9(R)-1_BS_Separation_TaxResIndem_Q12412 tf_Guidance_Sheet4" xfId="7629"/>
    <cellStyle name="_MOR - BDWY - 1+11_MOR - Gurgaon - 3+9(R)-1_BS_Separation_TaxResIndem_Q12412 tf_Restructuring &amp; Separation" xfId="7630"/>
    <cellStyle name="_MOR - BDWY - 1+11_MOR - Gurgaon - 3+9(R)-1_BS_Separation_TaxResIndem_Q12412 tf_Restructuring &amp; Separation_Guidance" xfId="7631"/>
    <cellStyle name="_MOR - BDWY - 1+11_MOR - Gurgaon - 3+9(R)-1_BS_Separation_TaxResIndem_Q12412 tf_Restructuring &amp; Separation_Guidance 2" xfId="7632"/>
    <cellStyle name="_MOR - BDWY - 1+11_MOR - Gurgaon - 3+9(R)-1_BS_Separation_TaxResIndem_Q12412 tf_Restructuring &amp; Separation_Guidance_BS retrieve" xfId="7633"/>
    <cellStyle name="_MOR - BDWY - 1+11_MOR - Gurgaon - 3+9(R)-1_BS_Separation_TaxResIndem_Q12412 tf_Restructuring &amp; Separation_Guidance_Free CF" xfId="7634"/>
    <cellStyle name="_MOR - BDWY - 1+11_MOR - Gurgaon - 3+9(R)-1_BS_Separation_TaxResIndem_Q12412 tf_Restructuring &amp; Separation_Guidance_P&amp;L Rec Qtr" xfId="7635"/>
    <cellStyle name="_MOR - BDWY - 1+11_MOR - Gurgaon - 3+9(R)-1_BS_Separation_TaxResIndem_Q12412 tf_Restructuring &amp; Separation_Guidance_Sheet1" xfId="7636"/>
    <cellStyle name="_MOR - BDWY - 1+11_MOR - Gurgaon - 3+9(R)-1_BS_Separation_TaxResIndem_Q12412 tf_Restructuring &amp; Separation_Guidance_Sheet2" xfId="7637"/>
    <cellStyle name="_MOR - BDWY - 1+11_MOR - Gurgaon - 3+9(R)-1_BS_Separation_TaxResIndem_Q12412 tf_Restructuring &amp; Separation_Guidance_Sheet3" xfId="7638"/>
    <cellStyle name="_MOR - BDWY - 1+11_MOR - Gurgaon - 3+9(R)-1_BS_Separation_TaxResIndem_Q12412 tf_Restructuring &amp; Separation_Guidance_Sheet4" xfId="7639"/>
    <cellStyle name="_MOR - BDWY - 1+11_MOR - Gurgaon - 3+9(R)-1_By Country Detail 1Q10 041410pm FIN 18 revised per disc w Mary" xfId="7640"/>
    <cellStyle name="_MOR - BDWY - 1+11_MOR - Gurgaon - 3+9(R)-1_By Country Detail 1Q10 041410pm FIN 18 revised per disc w Mary_BS_Separation_TaxResIndem_Q12412 tf" xfId="7641"/>
    <cellStyle name="_MOR - BDWY - 1+11_MOR - Gurgaon - 3+9(R)-1_By Country Detail 1Q10 041410pm FIN 18 revised per disc w Mary_BS_Separation_TaxResIndem_Q12412 tf_Guidance" xfId="7642"/>
    <cellStyle name="_MOR - BDWY - 1+11_MOR - Gurgaon - 3+9(R)-1_By Country Detail 1Q10 041410pm FIN 18 revised per disc w Mary_BS_Separation_TaxResIndem_Q12412 tf_Guidance 2" xfId="7643"/>
    <cellStyle name="_MOR - BDWY - 1+11_MOR - Gurgaon - 3+9(R)-1_By Country Detail 1Q10 041410pm FIN 18 revised per disc w Mary_BS_Separation_TaxResIndem_Q12412 tf_Guidance_BS retrieve" xfId="7644"/>
    <cellStyle name="_MOR - BDWY - 1+11_MOR - Gurgaon - 3+9(R)-1_By Country Detail 1Q10 041410pm FIN 18 revised per disc w Mary_BS_Separation_TaxResIndem_Q12412 tf_Guidance_Free CF" xfId="7645"/>
    <cellStyle name="_MOR - BDWY - 1+11_MOR - Gurgaon - 3+9(R)-1_By Country Detail 1Q10 041410pm FIN 18 revised per disc w Mary_BS_Separation_TaxResIndem_Q12412 tf_Guidance_P&amp;L Rec Qtr" xfId="7646"/>
    <cellStyle name="_MOR - BDWY - 1+11_MOR - Gurgaon - 3+9(R)-1_By Country Detail 1Q10 041410pm FIN 18 revised per disc w Mary_BS_Separation_TaxResIndem_Q12412 tf_Guidance_Sheet1" xfId="7647"/>
    <cellStyle name="_MOR - BDWY - 1+11_MOR - Gurgaon - 3+9(R)-1_By Country Detail 1Q10 041410pm FIN 18 revised per disc w Mary_BS_Separation_TaxResIndem_Q12412 tf_Guidance_Sheet2" xfId="7648"/>
    <cellStyle name="_MOR - BDWY - 1+11_MOR - Gurgaon - 3+9(R)-1_By Country Detail 1Q10 041410pm FIN 18 revised per disc w Mary_BS_Separation_TaxResIndem_Q12412 tf_Guidance_Sheet3" xfId="7649"/>
    <cellStyle name="_MOR - BDWY - 1+11_MOR - Gurgaon - 3+9(R)-1_By Country Detail 1Q10 041410pm FIN 18 revised per disc w Mary_BS_Separation_TaxResIndem_Q12412 tf_Guidance_Sheet4" xfId="7650"/>
    <cellStyle name="_MOR - BDWY - 1+11_MOR - Gurgaon - 3+9(R)-1_By Country Detail 1Q10 041410pm FIN 18 revised per disc w Mary_BS_Separation_TaxResIndem_Q12412 tf_Restructuring &amp; Separation" xfId="7651"/>
    <cellStyle name="_MOR - BDWY - 1+11_MOR - Gurgaon - 3+9(R)-1_By Country Detail 1Q10 041410pm FIN 18 revised per disc w Mary_BS_Separation_TaxResIndem_Q12412 tf_Restructuring &amp; Separation_Guidance" xfId="7652"/>
    <cellStyle name="_MOR - BDWY - 1+11_MOR - Gurgaon - 3+9(R)-1_By Country Detail 1Q10 041410pm FIN 18 revised per disc w Mary_BS_Separation_TaxResIndem_Q12412 tf_Restructuring &amp; Separation_Guidance 2" xfId="7653"/>
    <cellStyle name="_MOR - BDWY - 1+11_MOR - Gurgaon - 3+9(R)-1_By Country Detail 1Q10 041410pm FIN 18 revised per disc w Mary_BS_Separation_TaxResIndem_Q12412 tf_Restructuring &amp; Separation_Guidance_BS retrieve" xfId="7654"/>
    <cellStyle name="_MOR - BDWY - 1+11_MOR - Gurgaon - 3+9(R)-1_By Country Detail 1Q10 041410pm FIN 18 revised per disc w Mary_BS_Separation_TaxResIndem_Q12412 tf_Restructuring &amp; Separation_Guidance_Free CF" xfId="7655"/>
    <cellStyle name="_MOR - BDWY - 1+11_MOR - Gurgaon - 3+9(R)-1_By Country Detail 1Q10 041410pm FIN 18 revised per disc w Mary_BS_Separation_TaxResIndem_Q12412 tf_Restructuring &amp; Separation_Guidance_P&amp;L Rec Qtr" xfId="7656"/>
    <cellStyle name="_MOR - BDWY - 1+11_MOR - Gurgaon - 3+9(R)-1_By Country Detail 1Q10 041410pm FIN 18 revised per disc w Mary_BS_Separation_TaxResIndem_Q12412 tf_Restructuring &amp; Separation_Guidance_Sheet1" xfId="7657"/>
    <cellStyle name="_MOR - BDWY - 1+11_MOR - Gurgaon - 3+9(R)-1_By Country Detail 1Q10 041410pm FIN 18 revised per disc w Mary_BS_Separation_TaxResIndem_Q12412 tf_Restructuring &amp; Separation_Guidance_Sheet2" xfId="7658"/>
    <cellStyle name="_MOR - BDWY - 1+11_MOR - Gurgaon - 3+9(R)-1_By Country Detail 1Q10 041410pm FIN 18 revised per disc w Mary_BS_Separation_TaxResIndem_Q12412 tf_Restructuring &amp; Separation_Guidance_Sheet3" xfId="7659"/>
    <cellStyle name="_MOR - BDWY - 1+11_MOR - Gurgaon - 3+9(R)-1_By Country Detail 1Q10 041410pm FIN 18 revised per disc w Mary_BS_Separation_TaxResIndem_Q12412 tf_Restructuring &amp; Separation_Guidance_Sheet4" xfId="7660"/>
    <cellStyle name="_MOR - BDWY - 1+11_MOR - Gurgaon - 3+9(R)-1_By Country Detail 1Q10 041410pm FIN 18 revised per disc w Mary_Guidance" xfId="7661"/>
    <cellStyle name="_MOR - BDWY - 1+11_MOR - Gurgaon - 3+9(R)-1_By Country Detail 1Q10 041410pm FIN 18 revised per disc w Mary_Guidance 2" xfId="7662"/>
    <cellStyle name="_MOR - BDWY - 1+11_MOR - Gurgaon - 3+9(R)-1_By Country Detail 1Q10 041410pm FIN 18 revised per disc w Mary_Guidance_BS retrieve" xfId="7663"/>
    <cellStyle name="_MOR - BDWY - 1+11_MOR - Gurgaon - 3+9(R)-1_By Country Detail 1Q10 041410pm FIN 18 revised per disc w Mary_Guidance_Free CF" xfId="7664"/>
    <cellStyle name="_MOR - BDWY - 1+11_MOR - Gurgaon - 3+9(R)-1_By Country Detail 1Q10 041410pm FIN 18 revised per disc w Mary_Guidance_P&amp;L Rec Qtr" xfId="7665"/>
    <cellStyle name="_MOR - BDWY - 1+11_MOR - Gurgaon - 3+9(R)-1_By Country Detail 1Q10 041410pm FIN 18 revised per disc w Mary_Guidance_Sheet1" xfId="7666"/>
    <cellStyle name="_MOR - BDWY - 1+11_MOR - Gurgaon - 3+9(R)-1_By Country Detail 1Q10 041410pm FIN 18 revised per disc w Mary_Guidance_Sheet2" xfId="7667"/>
    <cellStyle name="_MOR - BDWY - 1+11_MOR - Gurgaon - 3+9(R)-1_By Country Detail 1Q10 041410pm FIN 18 revised per disc w Mary_Guidance_Sheet3" xfId="7668"/>
    <cellStyle name="_MOR - BDWY - 1+11_MOR - Gurgaon - 3+9(R)-1_By Country Detail 1Q10 041410pm FIN 18 revised per disc w Mary_Guidance_Sheet4" xfId="7669"/>
    <cellStyle name="_MOR - BDWY - 1+11_MOR - Gurgaon - 3+9(R)-1_By Country Detail 1Q10 041410pm FIN 18 revised per disc w Mary_II.8. Sep&amp;Discrete" xfId="7670"/>
    <cellStyle name="_MOR - BDWY - 1+11_MOR - Gurgaon - 3+9(R)-1_By Country Detail 1Q10 041410pm FIN 18 revised per disc w Mary_II.8. Sep&amp;Discrete_Guidance" xfId="7671"/>
    <cellStyle name="_MOR - BDWY - 1+11_MOR - Gurgaon - 3+9(R)-1_By Country Detail 1Q10 041410pm FIN 18 revised per disc w Mary_II.8. Sep&amp;Discrete_Guidance 2" xfId="7672"/>
    <cellStyle name="_MOR - BDWY - 1+11_MOR - Gurgaon - 3+9(R)-1_By Country Detail 1Q10 041410pm FIN 18 revised per disc w Mary_II.8. Sep&amp;Discrete_Guidance_BS retrieve" xfId="7673"/>
    <cellStyle name="_MOR - BDWY - 1+11_MOR - Gurgaon - 3+9(R)-1_By Country Detail 1Q10 041410pm FIN 18 revised per disc w Mary_II.8. Sep&amp;Discrete_Guidance_Free CF" xfId="7674"/>
    <cellStyle name="_MOR - BDWY - 1+11_MOR - Gurgaon - 3+9(R)-1_By Country Detail 1Q10 041410pm FIN 18 revised per disc w Mary_II.8. Sep&amp;Discrete_Guidance_P&amp;L Rec Qtr" xfId="7675"/>
    <cellStyle name="_MOR - BDWY - 1+11_MOR - Gurgaon - 3+9(R)-1_By Country Detail 1Q10 041410pm FIN 18 revised per disc w Mary_II.8. Sep&amp;Discrete_Guidance_Sheet1" xfId="7676"/>
    <cellStyle name="_MOR - BDWY - 1+11_MOR - Gurgaon - 3+9(R)-1_By Country Detail 1Q10 041410pm FIN 18 revised per disc w Mary_II.8. Sep&amp;Discrete_Guidance_Sheet2" xfId="7677"/>
    <cellStyle name="_MOR - BDWY - 1+11_MOR - Gurgaon - 3+9(R)-1_By Country Detail 1Q10 041410pm FIN 18 revised per disc w Mary_II.8. Sep&amp;Discrete_Guidance_Sheet3" xfId="7678"/>
    <cellStyle name="_MOR - BDWY - 1+11_MOR - Gurgaon - 3+9(R)-1_By Country Detail 1Q10 041410pm FIN 18 revised per disc w Mary_II.8. Sep&amp;Discrete_Guidance_Sheet4" xfId="7679"/>
    <cellStyle name="_MOR - BDWY - 1+11_MOR - Gurgaon - 3+9(R)-1_By Country Detail 1Q10 041410pm FIN 18 revised per disc w Mary_Restructuring &amp; Separation" xfId="7680"/>
    <cellStyle name="_MOR - BDWY - 1+11_MOR - Gurgaon - 3+9(R)-1_By Country Detail 1Q10 041410pm FIN 18 revised per disc w Mary_Restructuring &amp; Separation_Guidance" xfId="7681"/>
    <cellStyle name="_MOR - BDWY - 1+11_MOR - Gurgaon - 3+9(R)-1_By Country Detail 1Q10 041410pm FIN 18 revised per disc w Mary_Restructuring &amp; Separation_Guidance 2" xfId="7682"/>
    <cellStyle name="_MOR - BDWY - 1+11_MOR - Gurgaon - 3+9(R)-1_By Country Detail 1Q10 041410pm FIN 18 revised per disc w Mary_Restructuring &amp; Separation_Guidance_BS retrieve" xfId="7683"/>
    <cellStyle name="_MOR - BDWY - 1+11_MOR - Gurgaon - 3+9(R)-1_By Country Detail 1Q10 041410pm FIN 18 revised per disc w Mary_Restructuring &amp; Separation_Guidance_Free CF" xfId="7684"/>
    <cellStyle name="_MOR - BDWY - 1+11_MOR - Gurgaon - 3+9(R)-1_By Country Detail 1Q10 041410pm FIN 18 revised per disc w Mary_Restructuring &amp; Separation_Guidance_P&amp;L Rec Qtr" xfId="7685"/>
    <cellStyle name="_MOR - BDWY - 1+11_MOR - Gurgaon - 3+9(R)-1_By Country Detail 1Q10 041410pm FIN 18 revised per disc w Mary_Restructuring &amp; Separation_Guidance_Sheet1" xfId="7686"/>
    <cellStyle name="_MOR - BDWY - 1+11_MOR - Gurgaon - 3+9(R)-1_By Country Detail 1Q10 041410pm FIN 18 revised per disc w Mary_Restructuring &amp; Separation_Guidance_Sheet2" xfId="7687"/>
    <cellStyle name="_MOR - BDWY - 1+11_MOR - Gurgaon - 3+9(R)-1_By Country Detail 1Q10 041410pm FIN 18 revised per disc w Mary_Restructuring &amp; Separation_Guidance_Sheet3" xfId="7688"/>
    <cellStyle name="_MOR - BDWY - 1+11_MOR - Gurgaon - 3+9(R)-1_By Country Detail 1Q10 041410pm FIN 18 revised per disc w Mary_Restructuring &amp; Separation_Guidance_Sheet4" xfId="7689"/>
    <cellStyle name="_MOR - BDWY - 1+11_MOR - Gurgaon - 3+9(R)-1_Guidance" xfId="7690"/>
    <cellStyle name="_MOR - BDWY - 1+11_MOR - Gurgaon - 3+9(R)-1_Guidance 2" xfId="7691"/>
    <cellStyle name="_MOR - BDWY - 1+11_MOR - Gurgaon - 3+9(R)-1_Guidance_BS retrieve" xfId="7692"/>
    <cellStyle name="_MOR - BDWY - 1+11_MOR - Gurgaon - 3+9(R)-1_Guidance_Free CF" xfId="7693"/>
    <cellStyle name="_MOR - BDWY - 1+11_MOR - Gurgaon - 3+9(R)-1_Guidance_P&amp;L Rec Qtr" xfId="7694"/>
    <cellStyle name="_MOR - BDWY - 1+11_MOR - Gurgaon - 3+9(R)-1_Guidance_Sheet1" xfId="7695"/>
    <cellStyle name="_MOR - BDWY - 1+11_MOR - Gurgaon - 3+9(R)-1_Guidance_Sheet2" xfId="7696"/>
    <cellStyle name="_MOR - BDWY - 1+11_MOR - Gurgaon - 3+9(R)-1_Guidance_Sheet3" xfId="7697"/>
    <cellStyle name="_MOR - BDWY - 1+11_MOR - Gurgaon - 3+9(R)-1_Guidance_Sheet4" xfId="7698"/>
    <cellStyle name="_MOR - BDWY - 1+11_MOR - Gurgaon - 3+9(R)-1_II.4. RawMaterials" xfId="7699"/>
    <cellStyle name="_MOR - BDWY - 1+11_MOR - Gurgaon - 3+9(R)-1_II.4. RawMaterials 2" xfId="7700"/>
    <cellStyle name="_MOR - BDWY - 1+11_MOR - Gurgaon - 3+9(R)-1_II.4. RawMaterials_BS retrieve" xfId="7701"/>
    <cellStyle name="_MOR - BDWY - 1+11_MOR - Gurgaon - 3+9(R)-1_II.4. RawMaterials_Free CF" xfId="7702"/>
    <cellStyle name="_MOR - BDWY - 1+11_MOR - Gurgaon - 3+9(R)-1_II.4. RawMaterials_P&amp;L Rec Qtr" xfId="7703"/>
    <cellStyle name="_MOR - BDWY - 1+11_MOR - Gurgaon - 3+9(R)-1_II.4. RawMaterials_Sheet1" xfId="7704"/>
    <cellStyle name="_MOR - BDWY - 1+11_MOR - Gurgaon - 3+9(R)-1_II.4. RawMaterials_Sheet2" xfId="7705"/>
    <cellStyle name="_MOR - BDWY - 1+11_MOR - Gurgaon - 3+9(R)-1_II.4. RawMaterials_Sheet3" xfId="7706"/>
    <cellStyle name="_MOR - BDWY - 1+11_MOR - Gurgaon - 3+9(R)-1_II.4. RawMaterials_Sheet4" xfId="7707"/>
    <cellStyle name="_MOR - BDWY - 1+11_MOR - Gurgaon - 3+9(R)-1_II.5. RawMaterials" xfId="7708"/>
    <cellStyle name="_MOR - BDWY - 1+11_MOR - Gurgaon - 3+9(R)-1_II.5. RawMaterials 2" xfId="7709"/>
    <cellStyle name="_MOR - BDWY - 1+11_MOR - Gurgaon - 3+9(R)-1_II.5. RawMaterials_BS retrieve" xfId="7710"/>
    <cellStyle name="_MOR - BDWY - 1+11_MOR - Gurgaon - 3+9(R)-1_II.5. RawMaterials_Free CF" xfId="7711"/>
    <cellStyle name="_MOR - BDWY - 1+11_MOR - Gurgaon - 3+9(R)-1_II.5. RawMaterials_Guidance" xfId="7712"/>
    <cellStyle name="_MOR - BDWY - 1+11_MOR - Gurgaon - 3+9(R)-1_II.5. RawMaterials_Guidance 2" xfId="7713"/>
    <cellStyle name="_MOR - BDWY - 1+11_MOR - Gurgaon - 3+9(R)-1_II.5. RawMaterials_Guidance_BS retrieve" xfId="7714"/>
    <cellStyle name="_MOR - BDWY - 1+11_MOR - Gurgaon - 3+9(R)-1_II.5. RawMaterials_Guidance_Free CF" xfId="7715"/>
    <cellStyle name="_MOR - BDWY - 1+11_MOR - Gurgaon - 3+9(R)-1_II.5. RawMaterials_Guidance_P&amp;L Rec Qtr" xfId="7716"/>
    <cellStyle name="_MOR - BDWY - 1+11_MOR - Gurgaon - 3+9(R)-1_II.5. RawMaterials_Guidance_Sheet1" xfId="7717"/>
    <cellStyle name="_MOR - BDWY - 1+11_MOR - Gurgaon - 3+9(R)-1_II.5. RawMaterials_Guidance_Sheet2" xfId="7718"/>
    <cellStyle name="_MOR - BDWY - 1+11_MOR - Gurgaon - 3+9(R)-1_II.5. RawMaterials_Guidance_Sheet3" xfId="7719"/>
    <cellStyle name="_MOR - BDWY - 1+11_MOR - Gurgaon - 3+9(R)-1_II.5. RawMaterials_Guidance_Sheet4" xfId="7720"/>
    <cellStyle name="_MOR - BDWY - 1+11_MOR - Gurgaon - 3+9(R)-1_II.5. RawMaterials_P&amp;L Rec Qtr" xfId="7721"/>
    <cellStyle name="_MOR - BDWY - 1+11_MOR - Gurgaon - 3+9(R)-1_II.5. RawMaterials_Sheet1" xfId="7722"/>
    <cellStyle name="_MOR - BDWY - 1+11_MOR - Gurgaon - 3+9(R)-1_II.5. RawMaterials_Sheet2" xfId="7723"/>
    <cellStyle name="_MOR - BDWY - 1+11_MOR - Gurgaon - 3+9(R)-1_II.5. RawMaterials_Sheet3" xfId="7724"/>
    <cellStyle name="_MOR - BDWY - 1+11_MOR - Gurgaon - 3+9(R)-1_II.5. RawMaterials_Sheet4" xfId="7725"/>
    <cellStyle name="_MOR - BDWY - 1+11_MOR - Gurgaon - 3+9(R)-1_II.5. RM Volume Sensitivities" xfId="7726"/>
    <cellStyle name="_MOR - BDWY - 1+11_MOR - Gurgaon - 3+9(R)-1_II.5. RM Volume Sensitivities 2" xfId="7727"/>
    <cellStyle name="_MOR - BDWY - 1+11_MOR - Gurgaon - 3+9(R)-1_II.5. RM Volume Sensitivities_BS retrieve" xfId="7728"/>
    <cellStyle name="_MOR - BDWY - 1+11_MOR - Gurgaon - 3+9(R)-1_II.5. RM Volume Sensitivities_Free CF" xfId="7729"/>
    <cellStyle name="_MOR - BDWY - 1+11_MOR - Gurgaon - 3+9(R)-1_II.5. RM Volume Sensitivities_P&amp;L Rec Qtr" xfId="7730"/>
    <cellStyle name="_MOR - BDWY - 1+11_MOR - Gurgaon - 3+9(R)-1_II.5. RM Volume Sensitivities_Sheet1" xfId="7731"/>
    <cellStyle name="_MOR - BDWY - 1+11_MOR - Gurgaon - 3+9(R)-1_II.5. RM Volume Sensitivities_Sheet2" xfId="7732"/>
    <cellStyle name="_MOR - BDWY - 1+11_MOR - Gurgaon - 3+9(R)-1_II.5. RM Volume Sensitivities_Sheet3" xfId="7733"/>
    <cellStyle name="_MOR - BDWY - 1+11_MOR - Gurgaon - 3+9(R)-1_II.5. RM Volume Sensitivities_Sheet4" xfId="7734"/>
    <cellStyle name="_MOR - BDWY - 1+11_MOR - Gurgaon - 3+9(R)-1_II.8. Sep&amp;Discrete" xfId="7735"/>
    <cellStyle name="_MOR - BDWY - 1+11_MOR - Gurgaon - 3+9(R)-1_II.8. Sep&amp;Discrete_Guidance" xfId="7736"/>
    <cellStyle name="_MOR - BDWY - 1+11_MOR - Gurgaon - 3+9(R)-1_II.8. Sep&amp;Discrete_Guidance 2" xfId="7737"/>
    <cellStyle name="_MOR - BDWY - 1+11_MOR - Gurgaon - 3+9(R)-1_II.8. Sep&amp;Discrete_Guidance_BS retrieve" xfId="7738"/>
    <cellStyle name="_MOR - BDWY - 1+11_MOR - Gurgaon - 3+9(R)-1_II.8. Sep&amp;Discrete_Guidance_Free CF" xfId="7739"/>
    <cellStyle name="_MOR - BDWY - 1+11_MOR - Gurgaon - 3+9(R)-1_II.8. Sep&amp;Discrete_Guidance_P&amp;L Rec Qtr" xfId="7740"/>
    <cellStyle name="_MOR - BDWY - 1+11_MOR - Gurgaon - 3+9(R)-1_II.8. Sep&amp;Discrete_Guidance_Sheet1" xfId="7741"/>
    <cellStyle name="_MOR - BDWY - 1+11_MOR - Gurgaon - 3+9(R)-1_II.8. Sep&amp;Discrete_Guidance_Sheet2" xfId="7742"/>
    <cellStyle name="_MOR - BDWY - 1+11_MOR - Gurgaon - 3+9(R)-1_II.8. Sep&amp;Discrete_Guidance_Sheet3" xfId="7743"/>
    <cellStyle name="_MOR - BDWY - 1+11_MOR - Gurgaon - 3+9(R)-1_II.8. Sep&amp;Discrete_Guidance_Sheet4" xfId="7744"/>
    <cellStyle name="_MOR - BDWY - 1+11_MOR - Gurgaon - 3+9(R)-1_Restructuring &amp; Separation" xfId="7745"/>
    <cellStyle name="_MOR - BDWY - 1+11_MOR - Gurgaon - 3+9(R)-1_Restructuring &amp; Separation_Guidance" xfId="7746"/>
    <cellStyle name="_MOR - BDWY - 1+11_MOR - Gurgaon - 3+9(R)-1_Restructuring &amp; Separation_Guidance 2" xfId="7747"/>
    <cellStyle name="_MOR - BDWY - 1+11_MOR - Gurgaon - 3+9(R)-1_Restructuring &amp; Separation_Guidance_BS retrieve" xfId="7748"/>
    <cellStyle name="_MOR - BDWY - 1+11_MOR - Gurgaon - 3+9(R)-1_Restructuring &amp; Separation_Guidance_Free CF" xfId="7749"/>
    <cellStyle name="_MOR - BDWY - 1+11_MOR - Gurgaon - 3+9(R)-1_Restructuring &amp; Separation_Guidance_P&amp;L Rec Qtr" xfId="7750"/>
    <cellStyle name="_MOR - BDWY - 1+11_MOR - Gurgaon - 3+9(R)-1_Restructuring &amp; Separation_Guidance_Sheet1" xfId="7751"/>
    <cellStyle name="_MOR - BDWY - 1+11_MOR - Gurgaon - 3+9(R)-1_Restructuring &amp; Separation_Guidance_Sheet2" xfId="7752"/>
    <cellStyle name="_MOR - BDWY - 1+11_MOR - Gurgaon - 3+9(R)-1_Restructuring &amp; Separation_Guidance_Sheet3" xfId="7753"/>
    <cellStyle name="_MOR - BDWY - 1+11_MOR - Gurgaon - 3+9(R)-1_Restructuring &amp; Separation_Guidance_Sheet4" xfId="7754"/>
    <cellStyle name="_MOR - BDWY - 1+11_MOR - Gurgaon - 3+9(R)-1_Restructuring_Separation_TAX_JuneFC2010 tf" xfId="7755"/>
    <cellStyle name="_MOR - BDWY - 1+11_MOR - Gurgaon - 3+9(R)-1_Restructuring_Separation_TAX_JuneFC2010 tf_BS_Separation_TaxResIndem_Q12412 tf" xfId="7756"/>
    <cellStyle name="_MOR - BDWY - 1+11_MOR - Gurgaon - 3+9(R)-1_Restructuring_Separation_TAX_JuneFC2010 tf_BS_Separation_TaxResIndem_Q12412 tf_Guidance" xfId="7757"/>
    <cellStyle name="_MOR - BDWY - 1+11_MOR - Gurgaon - 3+9(R)-1_Restructuring_Separation_TAX_JuneFC2010 tf_BS_Separation_TaxResIndem_Q12412 tf_Guidance 2" xfId="7758"/>
    <cellStyle name="_MOR - BDWY - 1+11_MOR - Gurgaon - 3+9(R)-1_Restructuring_Separation_TAX_JuneFC2010 tf_BS_Separation_TaxResIndem_Q12412 tf_Guidance_BS retrieve" xfId="7759"/>
    <cellStyle name="_MOR - BDWY - 1+11_MOR - Gurgaon - 3+9(R)-1_Restructuring_Separation_TAX_JuneFC2010 tf_BS_Separation_TaxResIndem_Q12412 tf_Guidance_Free CF" xfId="7760"/>
    <cellStyle name="_MOR - BDWY - 1+11_MOR - Gurgaon - 3+9(R)-1_Restructuring_Separation_TAX_JuneFC2010 tf_BS_Separation_TaxResIndem_Q12412 tf_Guidance_P&amp;L Rec Qtr" xfId="7761"/>
    <cellStyle name="_MOR - BDWY - 1+11_MOR - Gurgaon - 3+9(R)-1_Restructuring_Separation_TAX_JuneFC2010 tf_BS_Separation_TaxResIndem_Q12412 tf_Guidance_Sheet1" xfId="7762"/>
    <cellStyle name="_MOR - BDWY - 1+11_MOR - Gurgaon - 3+9(R)-1_Restructuring_Separation_TAX_JuneFC2010 tf_BS_Separation_TaxResIndem_Q12412 tf_Guidance_Sheet2" xfId="7763"/>
    <cellStyle name="_MOR - BDWY - 1+11_MOR - Gurgaon - 3+9(R)-1_Restructuring_Separation_TAX_JuneFC2010 tf_BS_Separation_TaxResIndem_Q12412 tf_Guidance_Sheet3" xfId="7764"/>
    <cellStyle name="_MOR - BDWY - 1+11_MOR - Gurgaon - 3+9(R)-1_Restructuring_Separation_TAX_JuneFC2010 tf_BS_Separation_TaxResIndem_Q12412 tf_Guidance_Sheet4" xfId="7765"/>
    <cellStyle name="_MOR - BDWY - 1+11_MOR - Gurgaon - 3+9(R)-1_Restructuring_Separation_TAX_JuneFC2010 tf_BS_Separation_TaxResIndem_Q12412 tf_Restructuring &amp; Separation" xfId="7766"/>
    <cellStyle name="_MOR - BDWY - 1+11_MOR - Gurgaon - 3+9(R)-1_Restructuring_Separation_TAX_JuneFC2010 tf_BS_Separation_TaxResIndem_Q12412 tf_Restructuring &amp; Separation_Guidance" xfId="7767"/>
    <cellStyle name="_MOR - BDWY - 1+11_MOR - Gurgaon - 3+9(R)-1_Restructuring_Separation_TAX_JuneFC2010 tf_BS_Separation_TaxResIndem_Q12412 tf_Restructuring &amp; Separation_Guidance 2" xfId="7768"/>
    <cellStyle name="_MOR - BDWY - 1+11_MOR - Gurgaon - 3+9(R)-1_Restructuring_Separation_TAX_JuneFC2010 tf_BS_Separation_TaxResIndem_Q12412 tf_Restructuring &amp; Separation_Guidance_BS retrieve" xfId="7769"/>
    <cellStyle name="_MOR - BDWY - 1+11_MOR - Gurgaon - 3+9(R)-1_Restructuring_Separation_TAX_JuneFC2010 tf_BS_Separation_TaxResIndem_Q12412 tf_Restructuring &amp; Separation_Guidance_Free CF" xfId="7770"/>
    <cellStyle name="_MOR - BDWY - 1+11_MOR - Gurgaon - 3+9(R)-1_Restructuring_Separation_TAX_JuneFC2010 tf_BS_Separation_TaxResIndem_Q12412 tf_Restructuring &amp; Separation_Guidance_P&amp;L Rec Qtr" xfId="7771"/>
    <cellStyle name="_MOR - BDWY - 1+11_MOR - Gurgaon - 3+9(R)-1_Restructuring_Separation_TAX_JuneFC2010 tf_BS_Separation_TaxResIndem_Q12412 tf_Restructuring &amp; Separation_Guidance_Sheet1" xfId="7772"/>
    <cellStyle name="_MOR - BDWY - 1+11_MOR - Gurgaon - 3+9(R)-1_Restructuring_Separation_TAX_JuneFC2010 tf_BS_Separation_TaxResIndem_Q12412 tf_Restructuring &amp; Separation_Guidance_Sheet2" xfId="7773"/>
    <cellStyle name="_MOR - BDWY - 1+11_MOR - Gurgaon - 3+9(R)-1_Restructuring_Separation_TAX_JuneFC2010 tf_BS_Separation_TaxResIndem_Q12412 tf_Restructuring &amp; Separation_Guidance_Sheet3" xfId="7774"/>
    <cellStyle name="_MOR - BDWY - 1+11_MOR - Gurgaon - 3+9(R)-1_Restructuring_Separation_TAX_JuneFC2010 tf_BS_Separation_TaxResIndem_Q12412 tf_Restructuring &amp; Separation_Guidance_Sheet4" xfId="7775"/>
    <cellStyle name="_MOR - BDWY - 1+11_MOR - Gurgaon - 3+9(R)-1_Restructuring_Separation_TAX_JuneFC2010 tf_Guidance" xfId="7776"/>
    <cellStyle name="_MOR - BDWY - 1+11_MOR - Gurgaon - 3+9(R)-1_Restructuring_Separation_TAX_JuneFC2010 tf_Guidance 2" xfId="7777"/>
    <cellStyle name="_MOR - BDWY - 1+11_MOR - Gurgaon - 3+9(R)-1_Restructuring_Separation_TAX_JuneFC2010 tf_Guidance_BS retrieve" xfId="7778"/>
    <cellStyle name="_MOR - BDWY - 1+11_MOR - Gurgaon - 3+9(R)-1_Restructuring_Separation_TAX_JuneFC2010 tf_Guidance_Free CF" xfId="7779"/>
    <cellStyle name="_MOR - BDWY - 1+11_MOR - Gurgaon - 3+9(R)-1_Restructuring_Separation_TAX_JuneFC2010 tf_Guidance_P&amp;L Rec Qtr" xfId="7780"/>
    <cellStyle name="_MOR - BDWY - 1+11_MOR - Gurgaon - 3+9(R)-1_Restructuring_Separation_TAX_JuneFC2010 tf_Guidance_Sheet1" xfId="7781"/>
    <cellStyle name="_MOR - BDWY - 1+11_MOR - Gurgaon - 3+9(R)-1_Restructuring_Separation_TAX_JuneFC2010 tf_Guidance_Sheet2" xfId="7782"/>
    <cellStyle name="_MOR - BDWY - 1+11_MOR - Gurgaon - 3+9(R)-1_Restructuring_Separation_TAX_JuneFC2010 tf_Guidance_Sheet3" xfId="7783"/>
    <cellStyle name="_MOR - BDWY - 1+11_MOR - Gurgaon - 3+9(R)-1_Restructuring_Separation_TAX_JuneFC2010 tf_Guidance_Sheet4" xfId="7784"/>
    <cellStyle name="_MOR - BDWY - 1+11_MOR - Gurgaon - 3+9(R)-1_Restructuring_Separation_TAX_JuneFC2010 tf_II.8. Sep&amp;Discrete" xfId="7785"/>
    <cellStyle name="_MOR - BDWY - 1+11_MOR - Gurgaon - 3+9(R)-1_Restructuring_Separation_TAX_JuneFC2010 tf_II.8. Sep&amp;Discrete_Guidance" xfId="7786"/>
    <cellStyle name="_MOR - BDWY - 1+11_MOR - Gurgaon - 3+9(R)-1_Restructuring_Separation_TAX_JuneFC2010 tf_II.8. Sep&amp;Discrete_Guidance 2" xfId="7787"/>
    <cellStyle name="_MOR - BDWY - 1+11_MOR - Gurgaon - 3+9(R)-1_Restructuring_Separation_TAX_JuneFC2010 tf_II.8. Sep&amp;Discrete_Guidance_BS retrieve" xfId="7788"/>
    <cellStyle name="_MOR - BDWY - 1+11_MOR - Gurgaon - 3+9(R)-1_Restructuring_Separation_TAX_JuneFC2010 tf_II.8. Sep&amp;Discrete_Guidance_Free CF" xfId="7789"/>
    <cellStyle name="_MOR - BDWY - 1+11_MOR - Gurgaon - 3+9(R)-1_Restructuring_Separation_TAX_JuneFC2010 tf_II.8. Sep&amp;Discrete_Guidance_P&amp;L Rec Qtr" xfId="7790"/>
    <cellStyle name="_MOR - BDWY - 1+11_MOR - Gurgaon - 3+9(R)-1_Restructuring_Separation_TAX_JuneFC2010 tf_II.8. Sep&amp;Discrete_Guidance_Sheet1" xfId="7791"/>
    <cellStyle name="_MOR - BDWY - 1+11_MOR - Gurgaon - 3+9(R)-1_Restructuring_Separation_TAX_JuneFC2010 tf_II.8. Sep&amp;Discrete_Guidance_Sheet2" xfId="7792"/>
    <cellStyle name="_MOR - BDWY - 1+11_MOR - Gurgaon - 3+9(R)-1_Restructuring_Separation_TAX_JuneFC2010 tf_II.8. Sep&amp;Discrete_Guidance_Sheet3" xfId="7793"/>
    <cellStyle name="_MOR - BDWY - 1+11_MOR - Gurgaon - 3+9(R)-1_Restructuring_Separation_TAX_JuneFC2010 tf_II.8. Sep&amp;Discrete_Guidance_Sheet4" xfId="7794"/>
    <cellStyle name="_MOR - BDWY - 1+11_MOR - Gurgaon - 3+9(R)-1_Restructuring_Separation_TAX_JuneFC2010 tf_Restructuring &amp; Separation" xfId="7795"/>
    <cellStyle name="_MOR - BDWY - 1+11_MOR - Gurgaon - 3+9(R)-1_Restructuring_Separation_TAX_JuneFC2010 tf_Restructuring &amp; Separation_Guidance" xfId="7796"/>
    <cellStyle name="_MOR - BDWY - 1+11_MOR - Gurgaon - 3+9(R)-1_Restructuring_Separation_TAX_JuneFC2010 tf_Restructuring &amp; Separation_Guidance 2" xfId="7797"/>
    <cellStyle name="_MOR - BDWY - 1+11_MOR - Gurgaon - 3+9(R)-1_Restructuring_Separation_TAX_JuneFC2010 tf_Restructuring &amp; Separation_Guidance_BS retrieve" xfId="7798"/>
    <cellStyle name="_MOR - BDWY - 1+11_MOR - Gurgaon - 3+9(R)-1_Restructuring_Separation_TAX_JuneFC2010 tf_Restructuring &amp; Separation_Guidance_Free CF" xfId="7799"/>
    <cellStyle name="_MOR - BDWY - 1+11_MOR - Gurgaon - 3+9(R)-1_Restructuring_Separation_TAX_JuneFC2010 tf_Restructuring &amp; Separation_Guidance_P&amp;L Rec Qtr" xfId="7800"/>
    <cellStyle name="_MOR - BDWY - 1+11_MOR - Gurgaon - 3+9(R)-1_Restructuring_Separation_TAX_JuneFC2010 tf_Restructuring &amp; Separation_Guidance_Sheet1" xfId="7801"/>
    <cellStyle name="_MOR - BDWY - 1+11_MOR - Gurgaon - 3+9(R)-1_Restructuring_Separation_TAX_JuneFC2010 tf_Restructuring &amp; Separation_Guidance_Sheet2" xfId="7802"/>
    <cellStyle name="_MOR - BDWY - 1+11_MOR - Gurgaon - 3+9(R)-1_Restructuring_Separation_TAX_JuneFC2010 tf_Restructuring &amp; Separation_Guidance_Sheet3" xfId="7803"/>
    <cellStyle name="_MOR - BDWY - 1+11_MOR - Gurgaon - 3+9(R)-1_Restructuring_Separation_TAX_JuneFC2010 tf_Restructuring &amp; Separation_Guidance_Sheet4" xfId="7804"/>
    <cellStyle name="_MOR - BDWY - 1+11_MOR - Gurgaon - 3+9(R)-1_Revised MOR Package" xfId="7805"/>
    <cellStyle name="_MOR - BDWY - 1+11_MOR - Gurgaon - 3+9(R)-1_Revised MOR Package_~0039877" xfId="7806"/>
    <cellStyle name="_MOR - BDWY - 1+11_MOR - Gurgaon - 3+9(R)-1_Revised MOR Package_~0039877_BS_Separation_TaxResIndem_Q12412 tf" xfId="7807"/>
    <cellStyle name="_MOR - BDWY - 1+11_MOR - Gurgaon - 3+9(R)-1_Revised MOR Package_~0039877_BS_Separation_TaxResIndem_Q12412 tf_Guidance" xfId="7808"/>
    <cellStyle name="_MOR - BDWY - 1+11_MOR - Gurgaon - 3+9(R)-1_Revised MOR Package_~0039877_BS_Separation_TaxResIndem_Q12412 tf_Guidance 2" xfId="7809"/>
    <cellStyle name="_MOR - BDWY - 1+11_MOR - Gurgaon - 3+9(R)-1_Revised MOR Package_~0039877_BS_Separation_TaxResIndem_Q12412 tf_Guidance_BS retrieve" xfId="7810"/>
    <cellStyle name="_MOR - BDWY - 1+11_MOR - Gurgaon - 3+9(R)-1_Revised MOR Package_~0039877_BS_Separation_TaxResIndem_Q12412 tf_Guidance_Free CF" xfId="7811"/>
    <cellStyle name="_MOR - BDWY - 1+11_MOR - Gurgaon - 3+9(R)-1_Revised MOR Package_~0039877_BS_Separation_TaxResIndem_Q12412 tf_Guidance_P&amp;L Rec Qtr" xfId="7812"/>
    <cellStyle name="_MOR - BDWY - 1+11_MOR - Gurgaon - 3+9(R)-1_Revised MOR Package_~0039877_BS_Separation_TaxResIndem_Q12412 tf_Guidance_Sheet1" xfId="7813"/>
    <cellStyle name="_MOR - BDWY - 1+11_MOR - Gurgaon - 3+9(R)-1_Revised MOR Package_~0039877_BS_Separation_TaxResIndem_Q12412 tf_Guidance_Sheet2" xfId="7814"/>
    <cellStyle name="_MOR - BDWY - 1+11_MOR - Gurgaon - 3+9(R)-1_Revised MOR Package_~0039877_BS_Separation_TaxResIndem_Q12412 tf_Guidance_Sheet3" xfId="7815"/>
    <cellStyle name="_MOR - BDWY - 1+11_MOR - Gurgaon - 3+9(R)-1_Revised MOR Package_~0039877_BS_Separation_TaxResIndem_Q12412 tf_Guidance_Sheet4" xfId="7816"/>
    <cellStyle name="_MOR - BDWY - 1+11_MOR - Gurgaon - 3+9(R)-1_Revised MOR Package_~0039877_BS_Separation_TaxResIndem_Q12412 tf_Restructuring &amp; Separation" xfId="7817"/>
    <cellStyle name="_MOR - BDWY - 1+11_MOR - Gurgaon - 3+9(R)-1_Revised MOR Package_~0039877_BS_Separation_TaxResIndem_Q12412 tf_Restructuring &amp; Separation_Guidance" xfId="7818"/>
    <cellStyle name="_MOR - BDWY - 1+11_MOR - Gurgaon - 3+9(R)-1_Revised MOR Package_~0039877_BS_Separation_TaxResIndem_Q12412 tf_Restructuring &amp; Separation_Guidance 2" xfId="7819"/>
    <cellStyle name="_MOR - BDWY - 1+11_MOR - Gurgaon - 3+9(R)-1_Revised MOR Package_~0039877_BS_Separation_TaxResIndem_Q12412 tf_Restructuring &amp; Separation_Guidance_BS retrieve" xfId="7820"/>
    <cellStyle name="_MOR - BDWY - 1+11_MOR - Gurgaon - 3+9(R)-1_Revised MOR Package_~0039877_BS_Separation_TaxResIndem_Q12412 tf_Restructuring &amp; Separation_Guidance_Free CF" xfId="7821"/>
    <cellStyle name="_MOR - BDWY - 1+11_MOR - Gurgaon - 3+9(R)-1_Revised MOR Package_~0039877_BS_Separation_TaxResIndem_Q12412 tf_Restructuring &amp; Separation_Guidance_P&amp;L Rec Qtr" xfId="7822"/>
    <cellStyle name="_MOR - BDWY - 1+11_MOR - Gurgaon - 3+9(R)-1_Revised MOR Package_~0039877_BS_Separation_TaxResIndem_Q12412 tf_Restructuring &amp; Separation_Guidance_Sheet1" xfId="7823"/>
    <cellStyle name="_MOR - BDWY - 1+11_MOR - Gurgaon - 3+9(R)-1_Revised MOR Package_~0039877_BS_Separation_TaxResIndem_Q12412 tf_Restructuring &amp; Separation_Guidance_Sheet2" xfId="7824"/>
    <cellStyle name="_MOR - BDWY - 1+11_MOR - Gurgaon - 3+9(R)-1_Revised MOR Package_~0039877_BS_Separation_TaxResIndem_Q12412 tf_Restructuring &amp; Separation_Guidance_Sheet3" xfId="7825"/>
    <cellStyle name="_MOR - BDWY - 1+11_MOR - Gurgaon - 3+9(R)-1_Revised MOR Package_~0039877_BS_Separation_TaxResIndem_Q12412 tf_Restructuring &amp; Separation_Guidance_Sheet4" xfId="7826"/>
    <cellStyle name="_MOR - BDWY - 1+11_MOR - Gurgaon - 3+9(R)-1_Revised MOR Package_~0039877_By Country Detail 1Q10 041410pm FIN 18 revised per disc w Mary" xfId="7827"/>
    <cellStyle name="_MOR - BDWY - 1+11_MOR - Gurgaon - 3+9(R)-1_Revised MOR Package_~0039877_By Country Detail 1Q10 041410pm FIN 18 revised per disc w Mary_BS_Separation_TaxResIndem_Q12412 tf" xfId="7828"/>
    <cellStyle name="_MOR - BDWY - 1+11_MOR - Gurgaon - 3+9(R)-1_Revised MOR Package_~0039877_By Country Detail 1Q10 041410pm FIN 18 revised per disc w Mary_BS_Separation_TaxResIndem_Q12412 tf_Guidance" xfId="7829"/>
    <cellStyle name="_MOR - BDWY - 1+11_MOR - Gurgaon - 3+9(R)-1_Revised MOR Package_~0039877_By Country Detail 1Q10 041410pm FIN 18 revised per disc w Mary_BS_Separation_TaxResIndem_Q12412 tf_Guidance 2" xfId="7830"/>
    <cellStyle name="_MOR - BDWY - 1+11_MOR - Gurgaon - 3+9(R)-1_Revised MOR Package_~0039877_By Country Detail 1Q10 041410pm FIN 18 revised per disc w Mary_BS_Separation_TaxResIndem_Q12412 tf_Guidance_BS retrieve" xfId="7831"/>
    <cellStyle name="_MOR - BDWY - 1+11_MOR - Gurgaon - 3+9(R)-1_Revised MOR Package_~0039877_By Country Detail 1Q10 041410pm FIN 18 revised per disc w Mary_BS_Separation_TaxResIndem_Q12412 tf_Guidance_Free CF" xfId="7832"/>
    <cellStyle name="_MOR - BDWY - 1+11_MOR - Gurgaon - 3+9(R)-1_Revised MOR Package_~0039877_By Country Detail 1Q10 041410pm FIN 18 revised per disc w Mary_BS_Separation_TaxResIndem_Q12412 tf_Guidance_P&amp;L Rec Qtr" xfId="7833"/>
    <cellStyle name="_MOR - BDWY - 1+11_MOR - Gurgaon - 3+9(R)-1_Revised MOR Package_~0039877_By Country Detail 1Q10 041410pm FIN 18 revised per disc w Mary_BS_Separation_TaxResIndem_Q12412 tf_Guidance_Sheet1" xfId="7834"/>
    <cellStyle name="_MOR - BDWY - 1+11_MOR - Gurgaon - 3+9(R)-1_Revised MOR Package_~0039877_By Country Detail 1Q10 041410pm FIN 18 revised per disc w Mary_BS_Separation_TaxResIndem_Q12412 tf_Guidance_Sheet2" xfId="7835"/>
    <cellStyle name="_MOR - BDWY - 1+11_MOR - Gurgaon - 3+9(R)-1_Revised MOR Package_~0039877_By Country Detail 1Q10 041410pm FIN 18 revised per disc w Mary_BS_Separation_TaxResIndem_Q12412 tf_Guidance_Sheet3" xfId="7836"/>
    <cellStyle name="_MOR - BDWY - 1+11_MOR - Gurgaon - 3+9(R)-1_Revised MOR Package_~0039877_By Country Detail 1Q10 041410pm FIN 18 revised per disc w Mary_BS_Separation_TaxResIndem_Q12412 tf_Guidance_Sheet4" xfId="7837"/>
    <cellStyle name="_MOR - BDWY - 1+11_MOR - Gurgaon - 3+9(R)-1_Revised MOR Package_~0039877_By Country Detail 1Q10 041410pm FIN 18 revised per disc w Mary_BS_Separation_TaxResIndem_Q12412 tf_Restructuring &amp; Separation" xfId="7838"/>
    <cellStyle name="_MOR - BDWY - 1+11_MOR - Gurgaon - 3+9(R)-1_Revised MOR Package_~0039877_By Country Detail 1Q10 041410pm FIN 18 revised per disc w Mary_Guidance" xfId="7839"/>
    <cellStyle name="_MOR - BDWY - 1+11_MOR - Gurgaon - 3+9(R)-1_Revised MOR Package_~0039877_By Country Detail 1Q10 041410pm FIN 18 revised per disc w Mary_Guidance 2" xfId="7840"/>
    <cellStyle name="_MOR - BDWY - 1+11_MOR - Gurgaon - 3+9(R)-1_Revised MOR Package_~0039877_By Country Detail 1Q10 041410pm FIN 18 revised per disc w Mary_Guidance_BS retrieve" xfId="7841"/>
    <cellStyle name="_MOR - BDWY - 1+11_MOR - Gurgaon - 3+9(R)-1_Revised MOR Package_~0039877_By Country Detail 1Q10 041410pm FIN 18 revised per disc w Mary_Guidance_Free CF" xfId="7842"/>
    <cellStyle name="_MOR - BDWY - 1+11_MOR - Gurgaon - 3+9(R)-1_Revised MOR Package_~0039877_By Country Detail 1Q10 041410pm FIN 18 revised per disc w Mary_Guidance_P&amp;L Rec Qtr" xfId="7843"/>
    <cellStyle name="_MOR - BDWY - 1+11_MOR - Gurgaon - 3+9(R)-1_Revised MOR Package_~0039877_By Country Detail 1Q10 041410pm FIN 18 revised per disc w Mary_Guidance_Sheet1" xfId="7844"/>
    <cellStyle name="_MOR - BDWY - 1+11_MOR - Gurgaon - 3+9(R)-1_Revised MOR Package_~0039877_By Country Detail 1Q10 041410pm FIN 18 revised per disc w Mary_Guidance_Sheet2" xfId="7845"/>
    <cellStyle name="_MOR - BDWY - 1+11_MOR - Gurgaon - 3+9(R)-1_Revised MOR Package_~0039877_By Country Detail 1Q10 041410pm FIN 18 revised per disc w Mary_Guidance_Sheet3" xfId="7846"/>
    <cellStyle name="_MOR - BDWY - 1+11_MOR - Gurgaon - 3+9(R)-1_Revised MOR Package_~0039877_By Country Detail 1Q10 041410pm FIN 18 revised per disc w Mary_Guidance_Sheet4" xfId="7847"/>
    <cellStyle name="_MOR - BDWY - 1+11_MOR - Gurgaon - 3+9(R)-1_Revised MOR Package_~0039877_By Country Detail 1Q10 041410pm FIN 18 revised per disc w Mary_II.8. Sep&amp;Discrete" xfId="7848"/>
    <cellStyle name="_MOR - BDWY - 1+11_MOR - Gurgaon - 3+9(R)-1_Revised MOR Package_~0039877_By Country Detail 1Q10 041410pm FIN 18 revised per disc w Mary_Restructuring &amp; Separation" xfId="7849"/>
    <cellStyle name="_MOR - BDWY - 1+11_MOR - Gurgaon - 3+9(R)-1_Revised MOR Package_~0039877_Guidance" xfId="7850"/>
    <cellStyle name="_MOR - BDWY - 1+11_MOR - Gurgaon - 3+9(R)-1_Revised MOR Package_~0039877_Guidance 2" xfId="7851"/>
    <cellStyle name="_MOR - BDWY - 1+11_MOR - Gurgaon - 3+9(R)-1_Revised MOR Package_~0039877_Guidance_BS retrieve" xfId="7852"/>
    <cellStyle name="_MOR - BDWY - 1+11_MOR - Gurgaon - 3+9(R)-1_Revised MOR Package_~0039877_Guidance_Free CF" xfId="7853"/>
    <cellStyle name="_MOR - BDWY - 1+11_MOR - Gurgaon - 3+9(R)-1_Revised MOR Package_~0039877_Guidance_P&amp;L Rec Qtr" xfId="7854"/>
    <cellStyle name="_MOR - BDWY - 1+11_MOR - Gurgaon - 3+9(R)-1_Revised MOR Package_~0039877_Guidance_Sheet1" xfId="7855"/>
    <cellStyle name="_MOR - BDWY - 1+11_MOR - Gurgaon - 3+9(R)-1_Revised MOR Package_~0039877_Guidance_Sheet2" xfId="7856"/>
    <cellStyle name="_MOR - BDWY - 1+11_MOR - Gurgaon - 3+9(R)-1_Revised MOR Package_~0039877_Guidance_Sheet3" xfId="7857"/>
    <cellStyle name="_MOR - BDWY - 1+11_MOR - Gurgaon - 3+9(R)-1_Revised MOR Package_~0039877_Guidance_Sheet4" xfId="7858"/>
    <cellStyle name="_MOR - BDWY - 1+11_MOR - Gurgaon - 3+9(R)-1_Revised MOR Package_~0039877_II.4. RawMaterials" xfId="7859"/>
    <cellStyle name="_MOR - BDWY - 1+11_MOR - Gurgaon - 3+9(R)-1_Revised MOR Package_~0039877_II.4. RawMaterials 2" xfId="7860"/>
    <cellStyle name="_MOR - BDWY - 1+11_MOR - Gurgaon - 3+9(R)-1_Revised MOR Package_~0039877_II.4. RawMaterials_BS retrieve" xfId="7861"/>
    <cellStyle name="_MOR - BDWY - 1+11_MOR - Gurgaon - 3+9(R)-1_Revised MOR Package_~0039877_II.4. RawMaterials_Free CF" xfId="7862"/>
    <cellStyle name="_MOR - BDWY - 1+11_MOR - Gurgaon - 3+9(R)-1_Revised MOR Package_~0039877_II.4. RawMaterials_P&amp;L Rec Qtr" xfId="7863"/>
    <cellStyle name="_MOR - BDWY - 1+11_MOR - Gurgaon - 3+9(R)-1_Revised MOR Package_~0039877_II.4. RawMaterials_Sheet1" xfId="7864"/>
    <cellStyle name="_MOR - BDWY - 1+11_MOR - Gurgaon - 3+9(R)-1_Revised MOR Package_~0039877_II.4. RawMaterials_Sheet2" xfId="7865"/>
    <cellStyle name="_MOR - BDWY - 1+11_MOR - Gurgaon - 3+9(R)-1_Revised MOR Package_~0039877_II.4. RawMaterials_Sheet3" xfId="7866"/>
    <cellStyle name="_MOR - BDWY - 1+11_MOR - Gurgaon - 3+9(R)-1_Revised MOR Package_~0039877_II.4. RawMaterials_Sheet4" xfId="7867"/>
    <cellStyle name="_MOR - BDWY - 1+11_MOR - Gurgaon - 3+9(R)-1_Revised MOR Package_~0039877_II.5. RawMaterials" xfId="7868"/>
    <cellStyle name="_MOR - BDWY - 1+11_MOR - Gurgaon - 3+9(R)-1_Revised MOR Package_~0039877_II.5. RawMaterials 2" xfId="7869"/>
    <cellStyle name="_MOR - BDWY - 1+11_MOR - Gurgaon - 3+9(R)-1_Revised MOR Package_~0039877_II.5. RawMaterials_BS retrieve" xfId="7870"/>
    <cellStyle name="_MOR - BDWY - 1+11_MOR - Gurgaon - 3+9(R)-1_Revised MOR Package_~0039877_II.5. RawMaterials_Free CF" xfId="7871"/>
    <cellStyle name="_MOR - BDWY - 1+11_MOR - Gurgaon - 3+9(R)-1_Revised MOR Package_~0039877_II.5. RawMaterials_P&amp;L Rec Qtr" xfId="7872"/>
    <cellStyle name="_MOR - BDWY - 1+11_MOR - Gurgaon - 3+9(R)-1_Revised MOR Package_~0039877_II.5. RawMaterials_Sheet1" xfId="7873"/>
    <cellStyle name="_MOR - BDWY - 1+11_MOR - Gurgaon - 3+9(R)-1_Revised MOR Package_~0039877_II.5. RawMaterials_Sheet2" xfId="7874"/>
    <cellStyle name="_MOR - BDWY - 1+11_MOR - Gurgaon - 3+9(R)-1_Revised MOR Package_~0039877_II.5. RawMaterials_Sheet3" xfId="7875"/>
    <cellStyle name="_MOR - BDWY - 1+11_MOR - Gurgaon - 3+9(R)-1_Revised MOR Package_~0039877_II.5. RawMaterials_Sheet4" xfId="7876"/>
    <cellStyle name="_MOR - BDWY - 1+11_MOR - Gurgaon - 3+9(R)-1_Revised MOR Package_~0039877_II.5. RM Volume Sensitivities" xfId="7877"/>
    <cellStyle name="_MOR - BDWY - 1+11_MOR - Gurgaon - 3+9(R)-1_Revised MOR Package_~0039877_II.5. RM Volume Sensitivities 2" xfId="7878"/>
    <cellStyle name="_MOR - BDWY - 1+11_MOR - Gurgaon - 3+9(R)-1_Revised MOR Package_~0039877_II.5. RM Volume Sensitivities_BS retrieve" xfId="7879"/>
    <cellStyle name="_MOR - BDWY - 1+11_MOR - Gurgaon - 3+9(R)-1_Revised MOR Package_~0039877_II.5. RM Volume Sensitivities_Free CF" xfId="7880"/>
    <cellStyle name="_MOR - BDWY - 1+11_MOR - Gurgaon - 3+9(R)-1_Revised MOR Package_~0039877_II.5. RM Volume Sensitivities_P&amp;L Rec Qtr" xfId="7881"/>
    <cellStyle name="_MOR - BDWY - 1+11_MOR - Gurgaon - 3+9(R)-1_Revised MOR Package_~0039877_II.5. RM Volume Sensitivities_Sheet1" xfId="7882"/>
    <cellStyle name="_MOR - BDWY - 1+11_MOR - Gurgaon - 3+9(R)-1_Revised MOR Package_~0039877_II.5. RM Volume Sensitivities_Sheet2" xfId="7883"/>
    <cellStyle name="_MOR - BDWY - 1+11_MOR - Gurgaon - 3+9(R)-1_Revised MOR Package_~0039877_II.5. RM Volume Sensitivities_Sheet3" xfId="7884"/>
    <cellStyle name="_MOR - BDWY - 1+11_MOR - Gurgaon - 3+9(R)-1_Revised MOR Package_~0039877_II.5. RM Volume Sensitivities_Sheet4" xfId="7885"/>
    <cellStyle name="_MOR - BDWY - 1+11_MOR - Gurgaon - 3+9(R)-1_Revised MOR Package_~0039877_II.8. Sep&amp;Discrete" xfId="7886"/>
    <cellStyle name="_MOR - BDWY - 1+11_MOR - Gurgaon - 3+9(R)-1_Revised MOR Package_~0039877_Restructuring &amp; Separation" xfId="7887"/>
    <cellStyle name="_MOR - BDWY - 1+11_MOR - Gurgaon - 3+9(R)-1_Revised MOR Package_~0039877_Restructuring_Separation_TAX_JuneFC2010 tf" xfId="7888"/>
    <cellStyle name="_MOR - BDWY - 1+11_MOR - Gurgaon - 3+9(R)-1_Revised MOR Package_~0039877_Restructuring_Separation_TAX_JuneFC2010 tf_BS_Separation_TaxResIndem_Q12412 tf" xfId="7889"/>
    <cellStyle name="_MOR - BDWY - 1+11_MOR - Gurgaon - 3+9(R)-1_Revised MOR Package_~0039877_Restructuring_Separation_TAX_JuneFC2010 tf_BS_Separation_TaxResIndem_Q12412 tf_Restructuring &amp; Separation" xfId="7890"/>
    <cellStyle name="_MOR - BDWY - 1+11_MOR - Gurgaon - 3+9(R)-1_Revised MOR Package_~0039877_Restructuring_Separation_TAX_JuneFC2010 tf_II.8. Sep&amp;Discrete" xfId="7891"/>
    <cellStyle name="_MOR - BDWY - 1+11_MOR - Gurgaon - 3+9(R)-1_Revised MOR Package_~0039877_Restructuring_Separation_TAX_JuneFC2010 tf_Restructuring &amp; Separation" xfId="7892"/>
    <cellStyle name="_MOR - BDWY - 1+11_MOR - Gurgaon - 3+9(R)-1_Revised MOR Package_BS_Separation_TaxResIndem_Q12412 tf" xfId="7893"/>
    <cellStyle name="_MOR - BDWY - 1+11_MOR - Gurgaon - 3+9(R)-1_Revised MOR Package_BS_Separation_TaxResIndem_Q12412 tf_Restructuring &amp; Separation" xfId="7894"/>
    <cellStyle name="_MOR - BDWY - 1+11_MOR - Gurgaon - 3+9(R)-1_Revised MOR Package_By Country Detail 1Q10 041410pm FIN 18 revised per disc w Mary" xfId="7895"/>
    <cellStyle name="_MOR - BDWY - 1+11_MOR - Gurgaon - 3+9(R)-1_Revised MOR Package_By Country Detail 1Q10 041410pm FIN 18 revised per disc w Mary_BS_Separation_TaxResIndem_Q12412 tf" xfId="7896"/>
    <cellStyle name="_MOR - BDWY - 1+11_MOR - Gurgaon - 3+9(R)-1_Revised MOR Package_By Country Detail 1Q10 041410pm FIN 18 revised per disc w Mary_BS_Separation_TaxResIndem_Q12412 tf_Restructuring &amp; Separation" xfId="7897"/>
    <cellStyle name="_MOR - BDWY - 1+11_MOR - Gurgaon - 3+9(R)-1_Revised MOR Package_By Country Detail 1Q10 041410pm FIN 18 revised per disc w Mary_II.8. Sep&amp;Discrete" xfId="7898"/>
    <cellStyle name="_MOR - BDWY - 1+11_MOR - Gurgaon - 3+9(R)-1_Revised MOR Package_By Country Detail 1Q10 041410pm FIN 18 revised per disc w Mary_Restructuring &amp; Separation" xfId="7899"/>
    <cellStyle name="_MOR - BDWY - 1+11_MOR - Gurgaon - 3+9(R)-1_Revised MOR Package_Guidance" xfId="7900"/>
    <cellStyle name="_MOR - BDWY - 1+11_MOR - Gurgaon - 3+9(R)-1_Revised MOR Package_Guidance 2" xfId="7901"/>
    <cellStyle name="_MOR - BDWY - 1+11_MOR - Gurgaon - 3+9(R)-1_Revised MOR Package_Guidance_BS retrieve" xfId="7902"/>
    <cellStyle name="_MOR - BDWY - 1+11_MOR - Gurgaon - 3+9(R)-1_Revised MOR Package_Guidance_Free CF" xfId="7903"/>
    <cellStyle name="_MOR - BDWY - 1+11_MOR - Gurgaon - 3+9(R)-1_Revised MOR Package_Guidance_P&amp;L Rec Qtr" xfId="7904"/>
    <cellStyle name="_MOR - BDWY - 1+11_MOR - Gurgaon - 3+9(R)-1_Revised MOR Package_Guidance_Sheet1" xfId="7905"/>
    <cellStyle name="_MOR - BDWY - 1+11_MOR - Gurgaon - 3+9(R)-1_Revised MOR Package_Guidance_Sheet2" xfId="7906"/>
    <cellStyle name="_MOR - BDWY - 1+11_MOR - Gurgaon - 3+9(R)-1_Revised MOR Package_Guidance_Sheet3" xfId="7907"/>
    <cellStyle name="_MOR - BDWY - 1+11_MOR - Gurgaon - 3+9(R)-1_Revised MOR Package_Guidance_Sheet4" xfId="7908"/>
    <cellStyle name="_MOR - BDWY - 1+11_MOR - Gurgaon - 3+9(R)-1_Revised MOR Package_II.4. RawMaterials" xfId="7909"/>
    <cellStyle name="_MOR - BDWY - 1+11_MOR - Gurgaon - 3+9(R)-1_Revised MOR Package_II.4. RawMaterials 2" xfId="7910"/>
    <cellStyle name="_MOR - BDWY - 1+11_MOR - Gurgaon - 3+9(R)-1_Revised MOR Package_II.4. RawMaterials_BS retrieve" xfId="7911"/>
    <cellStyle name="_MOR - BDWY - 1+11_MOR - Gurgaon - 3+9(R)-1_Revised MOR Package_II.4. RawMaterials_Free CF" xfId="7912"/>
    <cellStyle name="_MOR - BDWY - 1+11_MOR - Gurgaon - 3+9(R)-1_Revised MOR Package_II.4. RawMaterials_P&amp;L Rec Qtr" xfId="7913"/>
    <cellStyle name="_MOR - BDWY - 1+11_MOR - Gurgaon - 3+9(R)-1_Revised MOR Package_II.4. RawMaterials_Sheet1" xfId="7914"/>
    <cellStyle name="_MOR - BDWY - 1+11_MOR - Gurgaon - 3+9(R)-1_Revised MOR Package_II.4. RawMaterials_Sheet2" xfId="7915"/>
    <cellStyle name="_MOR - BDWY - 1+11_MOR - Gurgaon - 3+9(R)-1_Revised MOR Package_II.4. RawMaterials_Sheet3" xfId="7916"/>
    <cellStyle name="_MOR - BDWY - 1+11_MOR - Gurgaon - 3+9(R)-1_Revised MOR Package_II.4. RawMaterials_Sheet4" xfId="7917"/>
    <cellStyle name="_MOR - BDWY - 1+11_MOR - Gurgaon - 3+9(R)-1_Revised MOR Package_II.5. RawMaterials" xfId="7918"/>
    <cellStyle name="_MOR - BDWY - 1+11_MOR - Gurgaon - 3+9(R)-1_Revised MOR Package_II.5. RawMaterials 2" xfId="7919"/>
    <cellStyle name="_MOR - BDWY - 1+11_MOR - Gurgaon - 3+9(R)-1_Revised MOR Package_II.5. RawMaterials_BS retrieve" xfId="7920"/>
    <cellStyle name="_MOR - BDWY - 1+11_MOR - Gurgaon - 3+9(R)-1_Revised MOR Package_II.5. RawMaterials_Free CF" xfId="7921"/>
    <cellStyle name="_MOR - BDWY - 1+11_MOR - Gurgaon - 3+9(R)-1_Revised MOR Package_II.5. RawMaterials_P&amp;L Rec Qtr" xfId="7922"/>
    <cellStyle name="_MOR - BDWY - 1+11_MOR - Gurgaon - 3+9(R)-1_Revised MOR Package_II.5. RawMaterials_Sheet1" xfId="7923"/>
    <cellStyle name="_MOR - BDWY - 1+11_MOR - Gurgaon - 3+9(R)-1_Revised MOR Package_II.5. RawMaterials_Sheet2" xfId="7924"/>
    <cellStyle name="_MOR - BDWY - 1+11_MOR - Gurgaon - 3+9(R)-1_Revised MOR Package_II.5. RawMaterials_Sheet3" xfId="7925"/>
    <cellStyle name="_MOR - BDWY - 1+11_MOR - Gurgaon - 3+9(R)-1_Revised MOR Package_II.5. RawMaterials_Sheet4" xfId="7926"/>
    <cellStyle name="_MOR - BDWY - 1+11_MOR - Gurgaon - 3+9(R)-1_Revised MOR Package_II.5. RM Volume Sensitivities" xfId="7927"/>
    <cellStyle name="_MOR - BDWY - 1+11_MOR - Gurgaon - 3+9(R)-1_Revised MOR Package_II.5. RM Volume Sensitivities 2" xfId="7928"/>
    <cellStyle name="_MOR - BDWY - 1+11_MOR - Gurgaon - 3+9(R)-1_Revised MOR Package_II.5. RM Volume Sensitivities_BS retrieve" xfId="7929"/>
    <cellStyle name="_MOR - BDWY - 1+11_MOR - Gurgaon - 3+9(R)-1_Revised MOR Package_II.5. RM Volume Sensitivities_Free CF" xfId="7930"/>
    <cellStyle name="_MOR - BDWY - 1+11_MOR - Gurgaon - 3+9(R)-1_Revised MOR Package_II.5. RM Volume Sensitivities_P&amp;L Rec Qtr" xfId="7931"/>
    <cellStyle name="_MOR - BDWY - 1+11_MOR - Gurgaon - 3+9(R)-1_Revised MOR Package_II.5. RM Volume Sensitivities_Sheet1" xfId="7932"/>
    <cellStyle name="_MOR - BDWY - 1+11_MOR - Gurgaon - 3+9(R)-1_Revised MOR Package_II.5. RM Volume Sensitivities_Sheet2" xfId="7933"/>
    <cellStyle name="_MOR - BDWY - 1+11_MOR - Gurgaon - 3+9(R)-1_Revised MOR Package_II.5. RM Volume Sensitivities_Sheet3" xfId="7934"/>
    <cellStyle name="_MOR - BDWY - 1+11_MOR - Gurgaon - 3+9(R)-1_Revised MOR Package_II.5. RM Volume Sensitivities_Sheet4" xfId="7935"/>
    <cellStyle name="_MOR - BDWY - 1+11_MOR - Gurgaon - 3+9(R)-1_Revised MOR Package_II.8. Sep&amp;Discrete" xfId="7936"/>
    <cellStyle name="_MOR - BDWY - 1+11_MOR - Gurgaon - 3+9(R)-1_Revised MOR Package_Restructuring &amp; Separation" xfId="7937"/>
    <cellStyle name="_MOR - BDWY - 1+11_MOR - Gurgaon - 3+9(R)-1_Revised MOR Package_Restructuring_Separation_TAX_JuneFC2010 tf" xfId="7938"/>
    <cellStyle name="_MOR - BDWY - 1+11_MOR - Gurgaon - 3+9(R)-1_Revised MOR Package_Restructuring_Separation_TAX_JuneFC2010 tf_BS_Separation_TaxResIndem_Q12412 tf" xfId="7939"/>
    <cellStyle name="_MOR - BDWY - 1+11_MOR - Gurgaon - 3+9(R)-1_Revised MOR Package_Restructuring_Separation_TAX_JuneFC2010 tf_BS_Separation_TaxResIndem_Q12412 tf_Restructuring &amp; Separation" xfId="7940"/>
    <cellStyle name="_MOR - BDWY - 1+11_MOR - Gurgaon - 3+9(R)-1_Revised MOR Package_Restructuring_Separation_TAX_JuneFC2010 tf_II.8. Sep&amp;Discrete" xfId="7941"/>
    <cellStyle name="_MOR - BDWY - 1+11_MOR - Gurgaon - 3+9(R)-1_Revised MOR Package_Restructuring_Separation_TAX_JuneFC2010 tf_Restructuring &amp; Separation" xfId="7942"/>
    <cellStyle name="_MOR - BDWY - 1+11_MOR - Gurgaon - 3+9(R)-1_Revised MOR Package_Revised MOR Package - Latest" xfId="7943"/>
    <cellStyle name="_MOR - BDWY - 1+11_MOR - Gurgaon - 3+9(R)-1_Revised MOR Package_Revised MOR Package - Latest_BS_Separation_TaxResIndem_Q12412 tf" xfId="7944"/>
    <cellStyle name="_MOR - BDWY - 1+11_MOR - Gurgaon - 3+9(R)-1_Revised MOR Package_Revised MOR Package - Latest_BS_Separation_TaxResIndem_Q12412 tf_Restructuring &amp; Separation" xfId="7945"/>
    <cellStyle name="_MOR - BDWY - 1+11_MOR - Gurgaon - 3+9(R)-1_Revised MOR Package_Revised MOR Package - Latest_By Country Detail 1Q10 041410pm FIN 18 revised per disc w Mary" xfId="7946"/>
    <cellStyle name="_MOR - BDWY - 1+11_MOR - Gurgaon - 3+9(R)-1_Revised MOR Package_Revised MOR Package - Latest_By Country Detail 1Q10 041410pm FIN 18 revised per disc w Mary_BS_Separation_TaxResIndem_Q12412 tf" xfId="7947"/>
    <cellStyle name="_MOR - BDWY - 1+11_MOR - Gurgaon - 3+9(R)-1_Revised MOR Package_Revised MOR Package - Latest_By Country Detail 1Q10 041410pm FIN 18 revised per disc w Mary_BS_Separation_TaxResIndem_Q12412 tf_Restructuring &amp; Separation" xfId="7948"/>
    <cellStyle name="_MOR - BDWY - 1+11_MOR - Gurgaon - 3+9(R)-1_Revised MOR Package_Revised MOR Package - Latest_By Country Detail 1Q10 041410pm FIN 18 revised per disc w Mary_II.8. Sep&amp;Discrete" xfId="7949"/>
    <cellStyle name="_MOR - BDWY - 1+11_MOR - Gurgaon - 3+9(R)-1_Revised MOR Package_Revised MOR Package - Latest_By Country Detail 1Q10 041410pm FIN 18 revised per disc w Mary_Restructuring &amp; Separation" xfId="7950"/>
    <cellStyle name="_MOR - BDWY - 1+11_MOR - Gurgaon - 3+9(R)-1_Revised MOR Package_Revised MOR Package - Latest_II.4. RawMaterials" xfId="7951"/>
    <cellStyle name="_MOR - BDWY - 1+11_MOR - Gurgaon - 3+9(R)-1_Revised MOR Package_Revised MOR Package - Latest_II.4. RawMaterials 2" xfId="7952"/>
    <cellStyle name="_MOR - BDWY - 1+11_MOR - Gurgaon - 3+9(R)-1_Revised MOR Package_Revised MOR Package - Latest_II.4. RawMaterials_BS retrieve" xfId="7953"/>
    <cellStyle name="_MOR - BDWY - 1+11_MOR - Gurgaon - 3+9(R)-1_Revised MOR Package_Revised MOR Package - Latest_II.4. RawMaterials_Free CF" xfId="7954"/>
    <cellStyle name="_MOR - BDWY - 1+11_MOR - Gurgaon - 3+9(R)-1_Revised MOR Package_Revised MOR Package - Latest_II.4. RawMaterials_P&amp;L Rec Qtr" xfId="7955"/>
    <cellStyle name="_MOR - BDWY - 1+11_MOR - Gurgaon - 3+9(R)-1_Revised MOR Package_Revised MOR Package - Latest_II.4. RawMaterials_Sheet1" xfId="7956"/>
    <cellStyle name="_MOR - BDWY - 1+11_MOR - Gurgaon - 3+9(R)-1_Revised MOR Package_Revised MOR Package - Latest_II.4. RawMaterials_Sheet2" xfId="7957"/>
    <cellStyle name="_MOR - BDWY - 1+11_MOR - Gurgaon - 3+9(R)-1_Revised MOR Package_Revised MOR Package - Latest_II.4. RawMaterials_Sheet3" xfId="7958"/>
    <cellStyle name="_MOR - BDWY - 1+11_MOR - Gurgaon - 3+9(R)-1_Revised MOR Package_Revised MOR Package - Latest_II.4. RawMaterials_Sheet4" xfId="7959"/>
    <cellStyle name="_MOR - BDWY - 1+11_MOR - Gurgaon - 3+9(R)-1_Revised MOR Package_Revised MOR Package - Latest_II.5. RawMaterials" xfId="7960"/>
    <cellStyle name="_MOR - BDWY - 1+11_MOR - Gurgaon - 3+9(R)-1_Revised MOR Package_Revised MOR Package - Latest_II.5. RawMaterials 2" xfId="7961"/>
    <cellStyle name="_MOR - BDWY - 1+11_MOR - Gurgaon - 3+9(R)-1_Revised MOR Package_Revised MOR Package - Latest_II.5. RawMaterials_BS retrieve" xfId="7962"/>
    <cellStyle name="_MOR - BDWY - 1+11_MOR - Gurgaon - 3+9(R)-1_Revised MOR Package_Revised MOR Package - Latest_II.5. RawMaterials_Free CF" xfId="7963"/>
    <cellStyle name="_MOR - BDWY - 1+11_MOR - Gurgaon - 3+9(R)-1_Revised MOR Package_Revised MOR Package - Latest_II.5. RawMaterials_P&amp;L Rec Qtr" xfId="7964"/>
    <cellStyle name="_MOR - BDWY - 1+11_MOR - Gurgaon - 3+9(R)-1_Revised MOR Package_Revised MOR Package - Latest_II.5. RawMaterials_Sheet1" xfId="7965"/>
    <cellStyle name="_MOR - BDWY - 1+11_MOR - Gurgaon - 3+9(R)-1_Revised MOR Package_Revised MOR Package - Latest_II.5. RawMaterials_Sheet2" xfId="7966"/>
    <cellStyle name="_MOR - BDWY - 1+11_MOR - Gurgaon - 3+9(R)-1_Revised MOR Package_Revised MOR Package - Latest_II.5. RawMaterials_Sheet3" xfId="7967"/>
    <cellStyle name="_MOR - BDWY - 1+11_MOR - Gurgaon - 3+9(R)-1_Revised MOR Package_Revised MOR Package - Latest_II.5. RawMaterials_Sheet4" xfId="7968"/>
    <cellStyle name="_MOR - BDWY - 1+11_MOR - Gurgaon - 3+9(R)-1_Revised MOR Package_Revised MOR Package - Latest_II.5. RM Volume Sensitivities" xfId="7969"/>
    <cellStyle name="_MOR - BDWY - 1+11_MOR - Gurgaon - 3+9(R)-1_Revised MOR Package_Revised MOR Package - Latest_II.5. RM Volume Sensitivities 2" xfId="7970"/>
    <cellStyle name="_MOR - BDWY - 1+11_MOR - Gurgaon - 3+9(R)-1_Revised MOR Package_Revised MOR Package - Latest_II.5. RM Volume Sensitivities_BS retrieve" xfId="7971"/>
    <cellStyle name="_MOR - BDWY - 1+11_MOR - Gurgaon - 3+9(R)-1_Revised MOR Package_Revised MOR Package - Latest_II.5. RM Volume Sensitivities_Free CF" xfId="7972"/>
    <cellStyle name="_MOR - BDWY - 1+11_MOR - Gurgaon - 3+9(R)-1_Revised MOR Package_Revised MOR Package - Latest_II.5. RM Volume Sensitivities_P&amp;L Rec Qtr" xfId="7973"/>
    <cellStyle name="_MOR - BDWY - 1+11_MOR - Gurgaon - 3+9(R)-1_Revised MOR Package_Revised MOR Package - Latest_II.5. RM Volume Sensitivities_Sheet1" xfId="7974"/>
    <cellStyle name="_MOR - BDWY - 1+11_MOR - Gurgaon - 3+9(R)-1_Revised MOR Package_Revised MOR Package - Latest_II.5. RM Volume Sensitivities_Sheet2" xfId="7975"/>
    <cellStyle name="_MOR - BDWY - 1+11_MOR - Gurgaon - 3+9(R)-1_Revised MOR Package_Revised MOR Package - Latest_II.5. RM Volume Sensitivities_Sheet3" xfId="7976"/>
    <cellStyle name="_MOR - BDWY - 1+11_MOR - Gurgaon - 3+9(R)-1_Revised MOR Package_Revised MOR Package - Latest_II.5. RM Volume Sensitivities_Sheet4" xfId="7977"/>
    <cellStyle name="_MOR - BDWY - 1+11_MOR - Gurgaon - 3+9(R)-1_Revised MOR Package_Revised MOR Package - Latest_II.8. Sep&amp;Discrete" xfId="7978"/>
    <cellStyle name="_MOR - BDWY - 1+11_MOR - Gurgaon - 3+9(R)-1_Revised MOR Package_Revised MOR Package - Latest_Restructuring &amp; Separation" xfId="7979"/>
    <cellStyle name="_MOR - BDWY - 1+11_MOR - Gurgaon - 3+9(R)-1_Revised MOR Package_Revised MOR Package - Latest_Restructuring_Separation_TAX_JuneFC2010 tf" xfId="7980"/>
    <cellStyle name="_MOR - BDWY - 1+11_MOR - Gurgaon - 3+9(R)-1_Revised MOR Package_Revised MOR Package - Latest_Restructuring_Separation_TAX_JuneFC2010 tf_BS_Separation_TaxResIndem_Q12412 tf" xfId="7981"/>
    <cellStyle name="_MOR - BDWY - 1+11_MOR - Gurgaon - 3+9(R)-1_Revised MOR Package_Revised MOR Package - Latest_Restructuring_Separation_TAX_JuneFC2010 tf_BS_Separation_TaxResIndem_Q12412 tf_Restructuring &amp; Separation" xfId="7982"/>
    <cellStyle name="_MOR - BDWY - 1+11_MOR - Gurgaon - 3+9(R)-1_Revised MOR Package_Revised MOR Package - Latest_Restructuring_Separation_TAX_JuneFC2010 tf_II.8. Sep&amp;Discrete" xfId="7983"/>
    <cellStyle name="_MOR - BDWY - 1+11_MOR - Gurgaon - 3+9(R)-1_Revised MOR Package_Revised MOR Package - Latest_Restructuring_Separation_TAX_JuneFC2010 tf_Restructuring &amp; Separation" xfId="7984"/>
    <cellStyle name="_MOR - BDWY - 1+11_Restructuring &amp; Separation" xfId="7985"/>
    <cellStyle name="_MOR - BDWY - 1+11_Restructuring_Separation_TAX_JuneFC2010 tf" xfId="7986"/>
    <cellStyle name="_MOR - BDWY - 1+11_Restructuring_Separation_TAX_JuneFC2010 tf_BS_Separation_TaxResIndem_Q12412 tf" xfId="7987"/>
    <cellStyle name="_MOR - BDWY - 1+11_Restructuring_Separation_TAX_JuneFC2010 tf_BS_Separation_TaxResIndem_Q12412 tf_Restructuring &amp; Separation" xfId="7988"/>
    <cellStyle name="_MOR - BDWY - 1+11_Restructuring_Separation_TAX_JuneFC2010 tf_II.8. Sep&amp;Discrete" xfId="7989"/>
    <cellStyle name="_MOR - BDWY - 1+11_Restructuring_Separation_TAX_JuneFC2010 tf_Restructuring &amp; Separation" xfId="7990"/>
    <cellStyle name="_MOR - BDWY - 1+11_Revised MOR - Australia -  EC - 4+8" xfId="7991"/>
    <cellStyle name="_MOR - BDWY - 1+11_Revised MOR - Australia -  EC - 4+8_BS_Separation_TaxResIndem_Q12412 tf" xfId="7992"/>
    <cellStyle name="_MOR - BDWY - 1+11_Revised MOR - Australia -  EC - 4+8_BS_Separation_TaxResIndem_Q12412 tf_Restructuring &amp; Separation" xfId="7993"/>
    <cellStyle name="_MOR - BDWY - 1+11_Revised MOR - Australia -  EC - 4+8_By Country Detail 1Q10 041410pm FIN 18 revised per disc w Mary" xfId="7994"/>
    <cellStyle name="_MOR - BDWY - 1+11_Revised MOR - Australia -  EC - 4+8_By Country Detail 1Q10 041410pm FIN 18 revised per disc w Mary_BS_Separation_TaxResIndem_Q12412 tf" xfId="7995"/>
    <cellStyle name="_MOR - BDWY - 1+11_Revised MOR - Australia -  EC - 4+8_By Country Detail 1Q10 041410pm FIN 18 revised per disc w Mary_BS_Separation_TaxResIndem_Q12412 tf_Restructuring &amp; Separation" xfId="7996"/>
    <cellStyle name="_MOR - BDWY - 1+11_Revised MOR - Australia -  EC - 4+8_By Country Detail 1Q10 041410pm FIN 18 revised per disc w Mary_II.8. Sep&amp;Discrete" xfId="7997"/>
    <cellStyle name="_MOR - BDWY - 1+11_Revised MOR - Australia -  EC - 4+8_By Country Detail 1Q10 041410pm FIN 18 revised per disc w Mary_Restructuring &amp; Separation" xfId="7998"/>
    <cellStyle name="_MOR - BDWY - 1+11_Revised MOR - Australia -  EC - 4+8_II.4. RawMaterials" xfId="7999"/>
    <cellStyle name="_MOR - BDWY - 1+11_Revised MOR - Australia -  EC - 4+8_II.4. RawMaterials 2" xfId="8000"/>
    <cellStyle name="_MOR - BDWY - 1+11_Revised MOR - Australia -  EC - 4+8_II.4. RawMaterials_BS retrieve" xfId="8001"/>
    <cellStyle name="_MOR - BDWY - 1+11_Revised MOR - Australia -  EC - 4+8_II.4. RawMaterials_Free CF" xfId="8002"/>
    <cellStyle name="_MOR - BDWY - 1+11_Revised MOR - Australia -  EC - 4+8_II.4. RawMaterials_P&amp;L Rec Qtr" xfId="8003"/>
    <cellStyle name="_MOR - BDWY - 1+11_Revised MOR - Australia -  EC - 4+8_II.4. RawMaterials_Sheet1" xfId="8004"/>
    <cellStyle name="_MOR - BDWY - 1+11_Revised MOR - Australia -  EC - 4+8_II.4. RawMaterials_Sheet2" xfId="8005"/>
    <cellStyle name="_MOR - BDWY - 1+11_Revised MOR - Australia -  EC - 4+8_II.4. RawMaterials_Sheet3" xfId="8006"/>
    <cellStyle name="_MOR - BDWY - 1+11_Revised MOR - Australia -  EC - 4+8_II.4. RawMaterials_Sheet4" xfId="8007"/>
    <cellStyle name="_MOR - BDWY - 1+11_Revised MOR - Australia -  EC - 4+8_II.5. RawMaterials" xfId="8008"/>
    <cellStyle name="_MOR - BDWY - 1+11_Revised MOR - Australia -  EC - 4+8_II.5. RawMaterials 2" xfId="8009"/>
    <cellStyle name="_MOR - BDWY - 1+11_Revised MOR - Australia -  EC - 4+8_II.5. RawMaterials_BS retrieve" xfId="8010"/>
    <cellStyle name="_MOR - BDWY - 1+11_Revised MOR - Australia -  EC - 4+8_II.5. RawMaterials_Free CF" xfId="8011"/>
    <cellStyle name="_MOR - BDWY - 1+11_Revised MOR - Australia -  EC - 4+8_II.5. RawMaterials_P&amp;L Rec Qtr" xfId="8012"/>
    <cellStyle name="_MOR - BDWY - 1+11_Revised MOR - Australia -  EC - 4+8_II.5. RawMaterials_Sheet1" xfId="8013"/>
    <cellStyle name="_MOR - BDWY - 1+11_Revised MOR - Australia -  EC - 4+8_II.5. RawMaterials_Sheet2" xfId="8014"/>
    <cellStyle name="_MOR - BDWY - 1+11_Revised MOR - Australia -  EC - 4+8_II.5. RawMaterials_Sheet3" xfId="8015"/>
    <cellStyle name="_MOR - BDWY - 1+11_Revised MOR - Australia -  EC - 4+8_II.5. RawMaterials_Sheet4" xfId="8016"/>
    <cellStyle name="_MOR - BDWY - 1+11_Revised MOR - Australia -  EC - 4+8_II.5. RM Volume Sensitivities" xfId="8017"/>
    <cellStyle name="_MOR - BDWY - 1+11_Revised MOR - Australia -  EC - 4+8_II.5. RM Volume Sensitivities 2" xfId="8018"/>
    <cellStyle name="_MOR - BDWY - 1+11_Revised MOR - Australia -  EC - 4+8_II.5. RM Volume Sensitivities_BS retrieve" xfId="8019"/>
    <cellStyle name="_MOR - BDWY - 1+11_Revised MOR - Australia -  EC - 4+8_II.5. RM Volume Sensitivities_Free CF" xfId="8020"/>
    <cellStyle name="_MOR - BDWY - 1+11_Revised MOR - Australia -  EC - 4+8_II.5. RM Volume Sensitivities_P&amp;L Rec Qtr" xfId="8021"/>
    <cellStyle name="_MOR - BDWY - 1+11_Revised MOR - Australia -  EC - 4+8_II.5. RM Volume Sensitivities_Sheet1" xfId="8022"/>
    <cellStyle name="_MOR - BDWY - 1+11_Revised MOR - Australia -  EC - 4+8_II.5. RM Volume Sensitivities_Sheet2" xfId="8023"/>
    <cellStyle name="_MOR - BDWY - 1+11_Revised MOR - Australia -  EC - 4+8_II.5. RM Volume Sensitivities_Sheet3" xfId="8024"/>
    <cellStyle name="_MOR - BDWY - 1+11_Revised MOR - Australia -  EC - 4+8_II.5. RM Volume Sensitivities_Sheet4" xfId="8025"/>
    <cellStyle name="_MOR - BDWY - 1+11_Revised MOR - Australia -  EC - 4+8_II.8. Sep&amp;Discrete" xfId="8026"/>
    <cellStyle name="_MOR - BDWY - 1+11_Revised MOR - Australia -  EC - 4+8_Restructuring &amp; Separation" xfId="8027"/>
    <cellStyle name="_MOR - BDWY - 1+11_Revised MOR - Australia -  EC - 4+8_Restructuring_Separation_TAX_JuneFC2010 tf" xfId="8028"/>
    <cellStyle name="_MOR - BDWY - 1+11_Revised MOR - Australia -  EC - 4+8_Restructuring_Separation_TAX_JuneFC2010 tf_BS_Separation_TaxResIndem_Q12412 tf" xfId="8029"/>
    <cellStyle name="_MOR - BDWY - 1+11_Revised MOR - Australia -  EC - 4+8_Restructuring_Separation_TAX_JuneFC2010 tf_BS_Separation_TaxResIndem_Q12412 tf_Restructuring &amp; Separation" xfId="8030"/>
    <cellStyle name="_MOR - BDWY - 1+11_Revised MOR - Australia -  EC - 4+8_Restructuring_Separation_TAX_JuneFC2010 tf_II.8. Sep&amp;Discrete" xfId="8031"/>
    <cellStyle name="_MOR - BDWY - 1+11_Revised MOR - Australia -  EC - 4+8_Restructuring_Separation_TAX_JuneFC2010 tf_Restructuring &amp; Separation" xfId="8032"/>
    <cellStyle name="_MOR - BDWY - 1+11_Revised MOR Package - Latest" xfId="8033"/>
    <cellStyle name="_MOR - BDWY - 1+11_Revised MOR Package - Latest_BS_Separation_TaxResIndem_Q12412 tf" xfId="8034"/>
    <cellStyle name="_MOR - BDWY - 1+11_Revised MOR Package - Latest_BS_Separation_TaxResIndem_Q12412 tf_Restructuring &amp; Separation" xfId="8035"/>
    <cellStyle name="_MOR - BDWY - 1+11_Revised MOR Package - Latest_By Country Detail 1Q10 041410pm FIN 18 revised per disc w Mary" xfId="8036"/>
    <cellStyle name="_MOR - BDWY - 1+11_Revised MOR Package - Latest_By Country Detail 1Q10 041410pm FIN 18 revised per disc w Mary_BS_Separation_TaxResIndem_Q12412 tf" xfId="8037"/>
    <cellStyle name="_MOR - BDWY - 1+11_Revised MOR Package - Latest_By Country Detail 1Q10 041410pm FIN 18 revised per disc w Mary_BS_Separation_TaxResIndem_Q12412 tf_Restructuring &amp; Separation" xfId="8038"/>
    <cellStyle name="_MOR - BDWY - 1+11_Revised MOR Package - Latest_By Country Detail 1Q10 041410pm FIN 18 revised per disc w Mary_II.8. Sep&amp;Discrete" xfId="8039"/>
    <cellStyle name="_MOR - BDWY - 1+11_Revised MOR Package - Latest_By Country Detail 1Q10 041410pm FIN 18 revised per disc w Mary_Restructuring &amp; Separation" xfId="8040"/>
    <cellStyle name="_MOR - BDWY - 1+11_Revised MOR Package - Latest_II.4. RawMaterials" xfId="8041"/>
    <cellStyle name="_MOR - BDWY - 1+11_Revised MOR Package - Latest_II.4. RawMaterials 2" xfId="8042"/>
    <cellStyle name="_MOR - BDWY - 1+11_Revised MOR Package - Latest_II.4. RawMaterials_BS retrieve" xfId="8043"/>
    <cellStyle name="_MOR - BDWY - 1+11_Revised MOR Package - Latest_II.4. RawMaterials_Free CF" xfId="8044"/>
    <cellStyle name="_MOR - BDWY - 1+11_Revised MOR Package - Latest_II.4. RawMaterials_P&amp;L Rec Qtr" xfId="8045"/>
    <cellStyle name="_MOR - BDWY - 1+11_Revised MOR Package - Latest_II.4. RawMaterials_Sheet1" xfId="8046"/>
    <cellStyle name="_MOR - BDWY - 1+11_Revised MOR Package - Latest_II.4. RawMaterials_Sheet2" xfId="8047"/>
    <cellStyle name="_MOR - BDWY - 1+11_Revised MOR Package - Latest_II.4. RawMaterials_Sheet3" xfId="8048"/>
    <cellStyle name="_MOR - BDWY - 1+11_Revised MOR Package - Latest_II.4. RawMaterials_Sheet4" xfId="8049"/>
    <cellStyle name="_MOR - BDWY - 1+11_Revised MOR Package - Latest_II.5. RawMaterials" xfId="8050"/>
    <cellStyle name="_MOR - BDWY - 1+11_Revised MOR Package - Latest_II.5. RawMaterials 2" xfId="8051"/>
    <cellStyle name="_MOR - BDWY - 1+11_Revised MOR Package - Latest_II.5. RawMaterials_BS retrieve" xfId="8052"/>
    <cellStyle name="_MOR - BDWY - 1+11_Revised MOR Package - Latest_II.5. RawMaterials_Free CF" xfId="8053"/>
    <cellStyle name="_MOR - BDWY - 1+11_Revised MOR Package - Latest_II.5. RawMaterials_P&amp;L Rec Qtr" xfId="8054"/>
    <cellStyle name="_MOR - BDWY - 1+11_Revised MOR Package - Latest_II.5. RawMaterials_Sheet1" xfId="8055"/>
    <cellStyle name="_MOR - BDWY - 1+11_Revised MOR Package - Latest_II.5. RawMaterials_Sheet2" xfId="8056"/>
    <cellStyle name="_MOR - BDWY - 1+11_Revised MOR Package - Latest_II.5. RawMaterials_Sheet3" xfId="8057"/>
    <cellStyle name="_MOR - BDWY - 1+11_Revised MOR Package - Latest_II.5. RawMaterials_Sheet4" xfId="8058"/>
    <cellStyle name="_MOR - BDWY - 1+11_Revised MOR Package - Latest_II.5. RM Volume Sensitivities" xfId="8059"/>
    <cellStyle name="_MOR - BDWY - 1+11_Revised MOR Package - Latest_II.5. RM Volume Sensitivities 2" xfId="8060"/>
    <cellStyle name="_MOR - BDWY - 1+11_Revised MOR Package - Latest_II.5. RM Volume Sensitivities_BS retrieve" xfId="8061"/>
    <cellStyle name="_MOR - BDWY - 1+11_Revised MOR Package - Latest_II.5. RM Volume Sensitivities_Free CF" xfId="8062"/>
    <cellStyle name="_MOR - BDWY - 1+11_Revised MOR Package - Latest_II.5. RM Volume Sensitivities_P&amp;L Rec Qtr" xfId="8063"/>
    <cellStyle name="_MOR - BDWY - 1+11_Revised MOR Package - Latest_II.5. RM Volume Sensitivities_Sheet1" xfId="8064"/>
    <cellStyle name="_MOR - BDWY - 1+11_Revised MOR Package - Latest_II.5. RM Volume Sensitivities_Sheet2" xfId="8065"/>
    <cellStyle name="_MOR - BDWY - 1+11_Revised MOR Package - Latest_II.5. RM Volume Sensitivities_Sheet3" xfId="8066"/>
    <cellStyle name="_MOR - BDWY - 1+11_Revised MOR Package - Latest_II.5. RM Volume Sensitivities_Sheet4" xfId="8067"/>
    <cellStyle name="_MOR - BDWY - 1+11_Revised MOR Package - Latest_II.8. Sep&amp;Discrete" xfId="8068"/>
    <cellStyle name="_MOR - BDWY - 1+11_Revised MOR Package - Latest_Restructuring &amp; Separation" xfId="8069"/>
    <cellStyle name="_MOR - BDWY - 1+11_Revised MOR Package - Latest_Restructuring_Separation_TAX_JuneFC2010 tf" xfId="8070"/>
    <cellStyle name="_MOR - BDWY - 1+11_Revised MOR Package - Latest_Restructuring_Separation_TAX_JuneFC2010 tf_BS_Separation_TaxResIndem_Q12412 tf" xfId="8071"/>
    <cellStyle name="_MOR - BDWY - 1+11_Revised MOR Package - Latest_Restructuring_Separation_TAX_JuneFC2010 tf_BS_Separation_TaxResIndem_Q12412 tf_Restructuring &amp; Separation" xfId="8072"/>
    <cellStyle name="_MOR - BDWY - 1+11_Revised MOR Package - Latest_Restructuring_Separation_TAX_JuneFC2010 tf_II.8. Sep&amp;Discrete" xfId="8073"/>
    <cellStyle name="_MOR - BDWY - 1+11_Revised MOR Package - Latest_Restructuring_Separation_TAX_JuneFC2010 tf_Restructuring &amp; Separation" xfId="8074"/>
    <cellStyle name="_MOR - Gurgaon - 3+9(R)" xfId="8075"/>
    <cellStyle name="_MOR - Gurgaon - 3+9(R)_BS_Separation_TaxResIndem_Q12412 tf" xfId="8076"/>
    <cellStyle name="_MOR - Gurgaon - 3+9(R)_BS_Separation_TaxResIndem_Q12412 tf_Restructuring &amp; Separation" xfId="8077"/>
    <cellStyle name="_MOR - Gurgaon - 3+9(R)_By Country Detail 1Q10 041410pm FIN 18 revised per disc w Mary" xfId="8078"/>
    <cellStyle name="_MOR - Gurgaon - 3+9(R)_By Country Detail 1Q10 041410pm FIN 18 revised per disc w Mary_BS_Separation_TaxResIndem_Q12412 tf" xfId="8079"/>
    <cellStyle name="_MOR - Gurgaon - 3+9(R)_By Country Detail 1Q10 041410pm FIN 18 revised per disc w Mary_BS_Separation_TaxResIndem_Q12412 tf_Restructuring &amp; Separation" xfId="8080"/>
    <cellStyle name="_MOR - Gurgaon - 3+9(R)_By Country Detail 1Q10 041410pm FIN 18 revised per disc w Mary_II.8. Sep&amp;Discrete" xfId="8081"/>
    <cellStyle name="_MOR - Gurgaon - 3+9(R)_By Country Detail 1Q10 041410pm FIN 18 revised per disc w Mary_Restructuring &amp; Separation" xfId="8082"/>
    <cellStyle name="_MOR - Gurgaon - 3+9(R)_II.4. RawMaterials" xfId="8083"/>
    <cellStyle name="_MOR - Gurgaon - 3+9(R)_II.4. RawMaterials 2" xfId="8084"/>
    <cellStyle name="_MOR - Gurgaon - 3+9(R)_II.4. RawMaterials_BS retrieve" xfId="8085"/>
    <cellStyle name="_MOR - Gurgaon - 3+9(R)_II.4. RawMaterials_Free CF" xfId="8086"/>
    <cellStyle name="_MOR - Gurgaon - 3+9(R)_II.4. RawMaterials_P&amp;L Rec Qtr" xfId="8087"/>
    <cellStyle name="_MOR - Gurgaon - 3+9(R)_II.4. RawMaterials_Sheet1" xfId="8088"/>
    <cellStyle name="_MOR - Gurgaon - 3+9(R)_II.4. RawMaterials_Sheet2" xfId="8089"/>
    <cellStyle name="_MOR - Gurgaon - 3+9(R)_II.4. RawMaterials_Sheet3" xfId="8090"/>
    <cellStyle name="_MOR - Gurgaon - 3+9(R)_II.4. RawMaterials_Sheet4" xfId="8091"/>
    <cellStyle name="_MOR - Gurgaon - 3+9(R)_II.5. RawMaterials" xfId="8092"/>
    <cellStyle name="_MOR - Gurgaon - 3+9(R)_II.5. RawMaterials 2" xfId="8093"/>
    <cellStyle name="_MOR - Gurgaon - 3+9(R)_II.5. RawMaterials_BS retrieve" xfId="8094"/>
    <cellStyle name="_MOR - Gurgaon - 3+9(R)_II.5. RawMaterials_Free CF" xfId="8095"/>
    <cellStyle name="_MOR - Gurgaon - 3+9(R)_II.5. RawMaterials_P&amp;L Rec Qtr" xfId="8096"/>
    <cellStyle name="_MOR - Gurgaon - 3+9(R)_II.5. RawMaterials_Sheet1" xfId="8097"/>
    <cellStyle name="_MOR - Gurgaon - 3+9(R)_II.5. RawMaterials_Sheet2" xfId="8098"/>
    <cellStyle name="_MOR - Gurgaon - 3+9(R)_II.5. RawMaterials_Sheet3" xfId="8099"/>
    <cellStyle name="_MOR - Gurgaon - 3+9(R)_II.5. RawMaterials_Sheet4" xfId="8100"/>
    <cellStyle name="_MOR - Gurgaon - 3+9(R)_II.5. RM Volume Sensitivities" xfId="8101"/>
    <cellStyle name="_MOR - Gurgaon - 3+9(R)_II.5. RM Volume Sensitivities 2" xfId="8102"/>
    <cellStyle name="_MOR - Gurgaon - 3+9(R)_II.5. RM Volume Sensitivities_BS retrieve" xfId="8103"/>
    <cellStyle name="_MOR - Gurgaon - 3+9(R)_II.5. RM Volume Sensitivities_Free CF" xfId="8104"/>
    <cellStyle name="_MOR - Gurgaon - 3+9(R)_II.5. RM Volume Sensitivities_P&amp;L Rec Qtr" xfId="8105"/>
    <cellStyle name="_MOR - Gurgaon - 3+9(R)_II.5. RM Volume Sensitivities_Sheet1" xfId="8106"/>
    <cellStyle name="_MOR - Gurgaon - 3+9(R)_II.5. RM Volume Sensitivities_Sheet2" xfId="8107"/>
    <cellStyle name="_MOR - Gurgaon - 3+9(R)_II.5. RM Volume Sensitivities_Sheet3" xfId="8108"/>
    <cellStyle name="_MOR - Gurgaon - 3+9(R)_II.5. RM Volume Sensitivities_Sheet4" xfId="8109"/>
    <cellStyle name="_MOR - Gurgaon - 3+9(R)_II.8. Sep&amp;Discrete" xfId="8110"/>
    <cellStyle name="_MOR - Gurgaon - 3+9(R)_MOR - Revised Package" xfId="8111"/>
    <cellStyle name="_MOR - Gurgaon - 3+9(R)_MOR - Revised Package_~0039877" xfId="8112"/>
    <cellStyle name="_MOR - Gurgaon - 3+9(R)_MOR - Revised Package_~0039877_BS_Separation_TaxResIndem_Q12412 tf" xfId="8113"/>
    <cellStyle name="_MOR - Gurgaon - 3+9(R)_MOR - Revised Package_~0039877_BS_Separation_TaxResIndem_Q12412 tf_Restructuring &amp; Separation" xfId="8114"/>
    <cellStyle name="_MOR - Gurgaon - 3+9(R)_MOR - Revised Package_~0039877_By Country Detail 1Q10 041410pm FIN 18 revised per disc w Mary" xfId="8115"/>
    <cellStyle name="_MOR - Gurgaon - 3+9(R)_MOR - Revised Package_~0039877_By Country Detail 1Q10 041410pm FIN 18 revised per disc w Mary_BS_Separation_TaxResIndem_Q12412 tf" xfId="8116"/>
    <cellStyle name="_MOR - Gurgaon - 3+9(R)_MOR - Revised Package_~0039877_By Country Detail 1Q10 041410pm FIN 18 revised per disc w Mary_BS_Separation_TaxResIndem_Q12412 tf_Restructuring &amp; Separation" xfId="8117"/>
    <cellStyle name="_MOR - Gurgaon - 3+9(R)_MOR - Revised Package_~0039877_By Country Detail 1Q10 041410pm FIN 18 revised per disc w Mary_II.8. Sep&amp;Discrete" xfId="8118"/>
    <cellStyle name="_MOR - Gurgaon - 3+9(R)_MOR - Revised Package_~0039877_By Country Detail 1Q10 041410pm FIN 18 revised per disc w Mary_Restructuring &amp; Separation" xfId="8119"/>
    <cellStyle name="_MOR - Gurgaon - 3+9(R)_MOR - Revised Package_~0039877_II.4. RawMaterials" xfId="8120"/>
    <cellStyle name="_MOR - Gurgaon - 3+9(R)_MOR - Revised Package_~0039877_II.4. RawMaterials 2" xfId="8121"/>
    <cellStyle name="_MOR - Gurgaon - 3+9(R)_MOR - Revised Package_~0039877_II.4. RawMaterials_BS retrieve" xfId="8122"/>
    <cellStyle name="_MOR - Gurgaon - 3+9(R)_MOR - Revised Package_~0039877_II.4. RawMaterials_Free CF" xfId="8123"/>
    <cellStyle name="_MOR - Gurgaon - 3+9(R)_MOR - Revised Package_~0039877_II.4. RawMaterials_P&amp;L Rec Qtr" xfId="8124"/>
    <cellStyle name="_MOR - Gurgaon - 3+9(R)_MOR - Revised Package_~0039877_II.4. RawMaterials_Sheet1" xfId="8125"/>
    <cellStyle name="_MOR - Gurgaon - 3+9(R)_MOR - Revised Package_~0039877_II.4. RawMaterials_Sheet2" xfId="8126"/>
    <cellStyle name="_MOR - Gurgaon - 3+9(R)_MOR - Revised Package_~0039877_II.4. RawMaterials_Sheet3" xfId="8127"/>
    <cellStyle name="_MOR - Gurgaon - 3+9(R)_MOR - Revised Package_~0039877_II.4. RawMaterials_Sheet4" xfId="8128"/>
    <cellStyle name="_MOR - Gurgaon - 3+9(R)_MOR - Revised Package_~0039877_II.5. RawMaterials" xfId="8129"/>
    <cellStyle name="_MOR - Gurgaon - 3+9(R)_MOR - Revised Package_~0039877_II.5. RawMaterials 2" xfId="8130"/>
    <cellStyle name="_MOR - Gurgaon - 3+9(R)_MOR - Revised Package_~0039877_II.5. RawMaterials_BS retrieve" xfId="8131"/>
    <cellStyle name="_MOR - Gurgaon - 3+9(R)_MOR - Revised Package_~0039877_II.5. RawMaterials_Free CF" xfId="8132"/>
    <cellStyle name="_MOR - Gurgaon - 3+9(R)_MOR - Revised Package_~0039877_II.5. RawMaterials_P&amp;L Rec Qtr" xfId="8133"/>
    <cellStyle name="_MOR - Gurgaon - 3+9(R)_MOR - Revised Package_~0039877_II.5. RawMaterials_Sheet1" xfId="8134"/>
    <cellStyle name="_MOR - Gurgaon - 3+9(R)_MOR - Revised Package_~0039877_II.5. RawMaterials_Sheet2" xfId="8135"/>
    <cellStyle name="_MOR - Gurgaon - 3+9(R)_MOR - Revised Package_~0039877_II.5. RawMaterials_Sheet3" xfId="8136"/>
    <cellStyle name="_MOR - Gurgaon - 3+9(R)_MOR - Revised Package_~0039877_II.5. RawMaterials_Sheet4" xfId="8137"/>
    <cellStyle name="_MOR - Gurgaon - 3+9(R)_MOR - Revised Package_~0039877_II.5. RM Volume Sensitivities" xfId="8138"/>
    <cellStyle name="_MOR - Gurgaon - 3+9(R)_MOR - Revised Package_~0039877_II.5. RM Volume Sensitivities 2" xfId="8139"/>
    <cellStyle name="_MOR - Gurgaon - 3+9(R)_MOR - Revised Package_~0039877_II.5. RM Volume Sensitivities_BS retrieve" xfId="8140"/>
    <cellStyle name="_MOR - Gurgaon - 3+9(R)_MOR - Revised Package_~0039877_II.5. RM Volume Sensitivities_Free CF" xfId="8141"/>
    <cellStyle name="_MOR - Gurgaon - 3+9(R)_MOR - Revised Package_~0039877_II.5. RM Volume Sensitivities_P&amp;L Rec Qtr" xfId="8142"/>
    <cellStyle name="_MOR - Gurgaon - 3+9(R)_MOR - Revised Package_~0039877_II.5. RM Volume Sensitivities_Sheet1" xfId="8143"/>
    <cellStyle name="_MOR - Gurgaon - 3+9(R)_MOR - Revised Package_~0039877_II.5. RM Volume Sensitivities_Sheet2" xfId="8144"/>
    <cellStyle name="_MOR - Gurgaon - 3+9(R)_MOR - Revised Package_~0039877_II.5. RM Volume Sensitivities_Sheet3" xfId="8145"/>
    <cellStyle name="_MOR - Gurgaon - 3+9(R)_MOR - Revised Package_~0039877_II.5. RM Volume Sensitivities_Sheet4" xfId="8146"/>
    <cellStyle name="_MOR - Gurgaon - 3+9(R)_MOR - Revised Package_~0039877_II.8. Sep&amp;Discrete" xfId="8147"/>
    <cellStyle name="_MOR - Gurgaon - 3+9(R)_MOR - Revised Package_~0039877_Restructuring &amp; Separation" xfId="8148"/>
    <cellStyle name="_MOR - Gurgaon - 3+9(R)_MOR - Revised Package_~0039877_Restructuring_Separation_TAX_JuneFC2010 tf" xfId="8149"/>
    <cellStyle name="_MOR - Gurgaon - 3+9(R)_MOR - Revised Package_~0039877_Restructuring_Separation_TAX_JuneFC2010 tf_BS_Separation_TaxResIndem_Q12412 tf" xfId="8150"/>
    <cellStyle name="_MOR - Gurgaon - 3+9(R)_MOR - Revised Package_~0039877_Restructuring_Separation_TAX_JuneFC2010 tf_BS_Separation_TaxResIndem_Q12412 tf_Restructuring &amp; Separation" xfId="8151"/>
    <cellStyle name="_MOR - Gurgaon - 3+9(R)_MOR - Revised Package_~0039877_Restructuring_Separation_TAX_JuneFC2010 tf_II.8. Sep&amp;Discrete" xfId="8152"/>
    <cellStyle name="_MOR - Gurgaon - 3+9(R)_MOR - Revised Package_~0039877_Restructuring_Separation_TAX_JuneFC2010 tf_Restructuring &amp; Separation" xfId="8153"/>
    <cellStyle name="_MOR - Gurgaon - 3+9(R)_MOR - Revised Package_BS_Separation_TaxResIndem_Q12412 tf" xfId="8154"/>
    <cellStyle name="_MOR - Gurgaon - 3+9(R)_MOR - Revised Package_BS_Separation_TaxResIndem_Q12412 tf_Restructuring &amp; Separation" xfId="8155"/>
    <cellStyle name="_MOR - Gurgaon - 3+9(R)_MOR - Revised Package_By Country Detail 1Q10 041410pm FIN 18 revised per disc w Mary" xfId="8156"/>
    <cellStyle name="_MOR - Gurgaon - 3+9(R)_MOR - Revised Package_By Country Detail 1Q10 041410pm FIN 18 revised per disc w Mary_BS_Separation_TaxResIndem_Q12412 tf" xfId="8157"/>
    <cellStyle name="_MOR - Gurgaon - 3+9(R)_MOR - Revised Package_By Country Detail 1Q10 041410pm FIN 18 revised per disc w Mary_BS_Separation_TaxResIndem_Q12412 tf_Restructuring &amp; Separation" xfId="8158"/>
    <cellStyle name="_MOR - Gurgaon - 3+9(R)_MOR - Revised Package_By Country Detail 1Q10 041410pm FIN 18 revised per disc w Mary_II.8. Sep&amp;Discrete" xfId="8159"/>
    <cellStyle name="_MOR - Gurgaon - 3+9(R)_MOR - Revised Package_By Country Detail 1Q10 041410pm FIN 18 revised per disc w Mary_Restructuring &amp; Separation" xfId="8160"/>
    <cellStyle name="_MOR - Gurgaon - 3+9(R)_MOR - Revised Package_II.4. RawMaterials" xfId="8161"/>
    <cellStyle name="_MOR - Gurgaon - 3+9(R)_MOR - Revised Package_II.4. RawMaterials 2" xfId="8162"/>
    <cellStyle name="_MOR - Gurgaon - 3+9(R)_MOR - Revised Package_II.4. RawMaterials_BS retrieve" xfId="8163"/>
    <cellStyle name="_MOR - Gurgaon - 3+9(R)_MOR - Revised Package_II.4. RawMaterials_Free CF" xfId="8164"/>
    <cellStyle name="_MOR - Gurgaon - 3+9(R)_MOR - Revised Package_II.4. RawMaterials_P&amp;L Rec Qtr" xfId="8165"/>
    <cellStyle name="_MOR - Gurgaon - 3+9(R)_MOR - Revised Package_II.4. RawMaterials_Sheet1" xfId="8166"/>
    <cellStyle name="_MOR - Gurgaon - 3+9(R)_MOR - Revised Package_II.4. RawMaterials_Sheet2" xfId="8167"/>
    <cellStyle name="_MOR - Gurgaon - 3+9(R)_MOR - Revised Package_II.4. RawMaterials_Sheet3" xfId="8168"/>
    <cellStyle name="_MOR - Gurgaon - 3+9(R)_MOR - Revised Package_II.4. RawMaterials_Sheet4" xfId="8169"/>
    <cellStyle name="_MOR - Gurgaon - 3+9(R)_MOR - Revised Package_II.5. RawMaterials" xfId="8170"/>
    <cellStyle name="_MOR - Gurgaon - 3+9(R)_MOR - Revised Package_II.5. RawMaterials 2" xfId="8171"/>
    <cellStyle name="_MOR - Gurgaon - 3+9(R)_MOR - Revised Package_II.5. RawMaterials_BS retrieve" xfId="8172"/>
    <cellStyle name="_MOR - Gurgaon - 3+9(R)_MOR - Revised Package_II.5. RawMaterials_Free CF" xfId="8173"/>
    <cellStyle name="_MOR - Gurgaon - 3+9(R)_MOR - Revised Package_II.5. RawMaterials_P&amp;L Rec Qtr" xfId="8174"/>
    <cellStyle name="_MOR - Gurgaon - 3+9(R)_MOR - Revised Package_II.5. RawMaterials_Sheet1" xfId="8175"/>
    <cellStyle name="_MOR - Gurgaon - 3+9(R)_MOR - Revised Package_II.5. RawMaterials_Sheet2" xfId="8176"/>
    <cellStyle name="_MOR - Gurgaon - 3+9(R)_MOR - Revised Package_II.5. RawMaterials_Sheet3" xfId="8177"/>
    <cellStyle name="_MOR - Gurgaon - 3+9(R)_MOR - Revised Package_II.5. RawMaterials_Sheet4" xfId="8178"/>
    <cellStyle name="_MOR - Gurgaon - 3+9(R)_MOR - Revised Package_II.5. RM Volume Sensitivities" xfId="8179"/>
    <cellStyle name="_MOR - Gurgaon - 3+9(R)_MOR - Revised Package_II.5. RM Volume Sensitivities 2" xfId="8180"/>
    <cellStyle name="_MOR - Gurgaon - 3+9(R)_MOR - Revised Package_II.5. RM Volume Sensitivities_BS retrieve" xfId="8181"/>
    <cellStyle name="_MOR - Gurgaon - 3+9(R)_MOR - Revised Package_II.5. RM Volume Sensitivities_Free CF" xfId="8182"/>
    <cellStyle name="_MOR - Gurgaon - 3+9(R)_MOR - Revised Package_II.5. RM Volume Sensitivities_P&amp;L Rec Qtr" xfId="8183"/>
    <cellStyle name="_MOR - Gurgaon - 3+9(R)_MOR - Revised Package_II.5. RM Volume Sensitivities_Sheet1" xfId="8184"/>
    <cellStyle name="_MOR - Gurgaon - 3+9(R)_MOR - Revised Package_II.5. RM Volume Sensitivities_Sheet2" xfId="8185"/>
    <cellStyle name="_MOR - Gurgaon - 3+9(R)_MOR - Revised Package_II.5. RM Volume Sensitivities_Sheet3" xfId="8186"/>
    <cellStyle name="_MOR - Gurgaon - 3+9(R)_MOR - Revised Package_II.5. RM Volume Sensitivities_Sheet4" xfId="8187"/>
    <cellStyle name="_MOR - Gurgaon - 3+9(R)_MOR - Revised Package_II.8. Sep&amp;Discrete" xfId="8188"/>
    <cellStyle name="_MOR - Gurgaon - 3+9(R)_MOR - Revised Package_Restructuring &amp; Separation" xfId="8189"/>
    <cellStyle name="_MOR - Gurgaon - 3+9(R)_MOR - Revised Package_Restructuring_Separation_TAX_JuneFC2010 tf" xfId="8190"/>
    <cellStyle name="_MOR - Gurgaon - 3+9(R)_MOR - Revised Package_Restructuring_Separation_TAX_JuneFC2010 tf_BS_Separation_TaxResIndem_Q12412 tf" xfId="8191"/>
    <cellStyle name="_MOR - Gurgaon - 3+9(R)_MOR - Revised Package_Restructuring_Separation_TAX_JuneFC2010 tf_BS_Separation_TaxResIndem_Q12412 tf_Restructuring &amp; Separation" xfId="8192"/>
    <cellStyle name="_MOR - Gurgaon - 3+9(R)_MOR - Revised Package_Restructuring_Separation_TAX_JuneFC2010 tf_II.8. Sep&amp;Discrete" xfId="8193"/>
    <cellStyle name="_MOR - Gurgaon - 3+9(R)_MOR - Revised Package_Restructuring_Separation_TAX_JuneFC2010 tf_Restructuring &amp; Separation" xfId="8194"/>
    <cellStyle name="_MOR - Gurgaon - 3+9(R)_MOR - Revised Package_Revised MOR Package - Latest" xfId="8195"/>
    <cellStyle name="_MOR - Gurgaon - 3+9(R)_MOR - Revised Package_Revised MOR Package - Latest_BS_Separation_TaxResIndem_Q12412 tf" xfId="8196"/>
    <cellStyle name="_MOR - Gurgaon - 3+9(R)_MOR - Revised Package_Revised MOR Package - Latest_BS_Separation_TaxResIndem_Q12412 tf_Restructuring &amp; Separation" xfId="8197"/>
    <cellStyle name="_MOR - Gurgaon - 3+9(R)_MOR - Revised Package_Revised MOR Package - Latest_By Country Detail 1Q10 041410pm FIN 18 revised per disc w Mary" xfId="8198"/>
    <cellStyle name="_MOR - Gurgaon - 3+9(R)_MOR - Revised Package_Revised MOR Package - Latest_By Country Detail 1Q10 041410pm FIN 18 revised per disc w Mary_BS_Separation_TaxResIndem_Q12412 tf" xfId="8199"/>
    <cellStyle name="_MOR - Gurgaon - 3+9(R)_MOR - Revised Package_Revised MOR Package - Latest_By Country Detail 1Q10 041410pm FIN 18 revised per disc w Mary_BS_Separation_TaxResIndem_Q12412 tf_Restructuring &amp; Separation" xfId="8200"/>
    <cellStyle name="_MOR - Gurgaon - 3+9(R)_MOR - Revised Package_Revised MOR Package - Latest_By Country Detail 1Q10 041410pm FIN 18 revised per disc w Mary_II.8. Sep&amp;Discrete" xfId="8201"/>
    <cellStyle name="_MOR - Gurgaon - 3+9(R)_MOR - Revised Package_Revised MOR Package - Latest_By Country Detail 1Q10 041410pm FIN 18 revised per disc w Mary_Restructuring &amp; Separation" xfId="8202"/>
    <cellStyle name="_MOR - Gurgaon - 3+9(R)_MOR - Revised Package_Revised MOR Package - Latest_II.4. RawMaterials" xfId="8203"/>
    <cellStyle name="_MOR - Gurgaon - 3+9(R)_MOR - Revised Package_Revised MOR Package - Latest_II.4. RawMaterials 2" xfId="8204"/>
    <cellStyle name="_MOR - Gurgaon - 3+9(R)_MOR - Revised Package_Revised MOR Package - Latest_II.4. RawMaterials_BS retrieve" xfId="8205"/>
    <cellStyle name="_MOR - Gurgaon - 3+9(R)_MOR - Revised Package_Revised MOR Package - Latest_II.4. RawMaterials_Free CF" xfId="8206"/>
    <cellStyle name="_MOR - Gurgaon - 3+9(R)_MOR - Revised Package_Revised MOR Package - Latest_II.4. RawMaterials_P&amp;L Rec Qtr" xfId="8207"/>
    <cellStyle name="_MOR - Gurgaon - 3+9(R)_MOR - Revised Package_Revised MOR Package - Latest_II.4. RawMaterials_Sheet1" xfId="8208"/>
    <cellStyle name="_MOR - Gurgaon - 3+9(R)_MOR - Revised Package_Revised MOR Package - Latest_II.4. RawMaterials_Sheet2" xfId="8209"/>
    <cellStyle name="_MOR - Gurgaon - 3+9(R)_MOR - Revised Package_Revised MOR Package - Latest_II.4. RawMaterials_Sheet3" xfId="8210"/>
    <cellStyle name="_MOR - Gurgaon - 3+9(R)_MOR - Revised Package_Revised MOR Package - Latest_II.4. RawMaterials_Sheet4" xfId="8211"/>
    <cellStyle name="_MOR - Gurgaon - 3+9(R)_MOR - Revised Package_Revised MOR Package - Latest_II.5. RawMaterials" xfId="8212"/>
    <cellStyle name="_MOR - Gurgaon - 3+9(R)_MOR - Revised Package_Revised MOR Package - Latest_II.5. RawMaterials 2" xfId="8213"/>
    <cellStyle name="_MOR - Gurgaon - 3+9(R)_MOR - Revised Package_Revised MOR Package - Latest_II.5. RawMaterials_BS retrieve" xfId="8214"/>
    <cellStyle name="_MOR - Gurgaon - 3+9(R)_MOR - Revised Package_Revised MOR Package - Latest_II.5. RawMaterials_Free CF" xfId="8215"/>
    <cellStyle name="_MOR - Gurgaon - 3+9(R)_MOR - Revised Package_Revised MOR Package - Latest_II.5. RawMaterials_P&amp;L Rec Qtr" xfId="8216"/>
    <cellStyle name="_MOR - Gurgaon - 3+9(R)_MOR - Revised Package_Revised MOR Package - Latest_II.5. RawMaterials_Sheet1" xfId="8217"/>
    <cellStyle name="_MOR - Gurgaon - 3+9(R)_MOR - Revised Package_Revised MOR Package - Latest_II.5. RawMaterials_Sheet2" xfId="8218"/>
    <cellStyle name="_MOR - Gurgaon - 3+9(R)_MOR - Revised Package_Revised MOR Package - Latest_II.5. RawMaterials_Sheet3" xfId="8219"/>
    <cellStyle name="_MOR - Gurgaon - 3+9(R)_MOR - Revised Package_Revised MOR Package - Latest_II.5. RawMaterials_Sheet4" xfId="8220"/>
    <cellStyle name="_MOR - Gurgaon - 3+9(R)_MOR - Revised Package_Revised MOR Package - Latest_II.5. RM Volume Sensitivities" xfId="8221"/>
    <cellStyle name="_MOR - Gurgaon - 3+9(R)_MOR - Revised Package_Revised MOR Package - Latest_II.5. RM Volume Sensitivities 2" xfId="8222"/>
    <cellStyle name="_MOR - Gurgaon - 3+9(R)_MOR - Revised Package_Revised MOR Package - Latest_II.5. RM Volume Sensitivities_BS retrieve" xfId="8223"/>
    <cellStyle name="_MOR - Gurgaon - 3+9(R)_MOR - Revised Package_Revised MOR Package - Latest_II.5. RM Volume Sensitivities_Free CF" xfId="8224"/>
    <cellStyle name="_MOR - Gurgaon - 3+9(R)_MOR - Revised Package_Revised MOR Package - Latest_II.5. RM Volume Sensitivities_P&amp;L Rec Qtr" xfId="8225"/>
    <cellStyle name="_MOR - Gurgaon - 3+9(R)_MOR - Revised Package_Revised MOR Package - Latest_II.5. RM Volume Sensitivities_Sheet1" xfId="8226"/>
    <cellStyle name="_MOR - Gurgaon - 3+9(R)_MOR - Revised Package_Revised MOR Package - Latest_II.5. RM Volume Sensitivities_Sheet2" xfId="8227"/>
    <cellStyle name="_MOR - Gurgaon - 3+9(R)_MOR - Revised Package_Revised MOR Package - Latest_II.5. RM Volume Sensitivities_Sheet3" xfId="8228"/>
    <cellStyle name="_MOR - Gurgaon - 3+9(R)_MOR - Revised Package_Revised MOR Package - Latest_II.5. RM Volume Sensitivities_Sheet4" xfId="8229"/>
    <cellStyle name="_MOR - Gurgaon - 3+9(R)_MOR - Revised Package_Revised MOR Package - Latest_II.8. Sep&amp;Discrete" xfId="8230"/>
    <cellStyle name="_MOR - Gurgaon - 3+9(R)_MOR - Revised Package_Revised MOR Package - Latest_Restructuring &amp; Separation" xfId="8231"/>
    <cellStyle name="_MOR - Gurgaon - 3+9(R)_MOR - Revised Package_Revised MOR Package - Latest_Restructuring_Separation_TAX_JuneFC2010 tf" xfId="8232"/>
    <cellStyle name="_MOR - Gurgaon - 3+9(R)_MOR - Revised Package_Revised MOR Package - Latest_Restructuring_Separation_TAX_JuneFC2010 tf_BS_Separation_TaxResIndem_Q12412 tf" xfId="8233"/>
    <cellStyle name="_MOR - Gurgaon - 3+9(R)_MOR - Revised Package_Revised MOR Package - Latest_Restructuring_Separation_TAX_JuneFC2010 tf_BS_Separation_TaxResIndem_Q12412 tf_Restructuring &amp; Separation" xfId="8234"/>
    <cellStyle name="_MOR - Gurgaon - 3+9(R)_MOR - Revised Package_Revised MOR Package - Latest_Restructuring_Separation_TAX_JuneFC2010 tf_II.8. Sep&amp;Discrete" xfId="8235"/>
    <cellStyle name="_MOR - Gurgaon - 3+9(R)_MOR - Revised Package_Revised MOR Package - Latest_Restructuring_Separation_TAX_JuneFC2010 tf_Restructuring &amp; Separation" xfId="8236"/>
    <cellStyle name="_MOR - Gurgaon - 3+9(R)_Restructuring &amp; Separation" xfId="8237"/>
    <cellStyle name="_MOR - Gurgaon - 3+9(R)_Restructuring_Separation_TAX_JuneFC2010 tf" xfId="8238"/>
    <cellStyle name="_MOR - Gurgaon - 3+9(R)_Restructuring_Separation_TAX_JuneFC2010 tf_BS_Separation_TaxResIndem_Q12412 tf" xfId="8239"/>
    <cellStyle name="_MOR - Gurgaon - 3+9(R)_Restructuring_Separation_TAX_JuneFC2010 tf_BS_Separation_TaxResIndem_Q12412 tf_Restructuring &amp; Separation" xfId="8240"/>
    <cellStyle name="_MOR - Gurgaon - 3+9(R)_Restructuring_Separation_TAX_JuneFC2010 tf_II.8. Sep&amp;Discrete" xfId="8241"/>
    <cellStyle name="_MOR - Gurgaon - 3+9(R)_Restructuring_Separation_TAX_JuneFC2010 tf_Restructuring &amp; Separation" xfId="8242"/>
    <cellStyle name="_MOR - Gurgaon - 3+9(R)_Revised MOR Package" xfId="8243"/>
    <cellStyle name="_MOR - Gurgaon - 3+9(R)_Revised MOR Package_~0039877" xfId="8244"/>
    <cellStyle name="_MOR - Gurgaon - 3+9(R)_Revised MOR Package_~0039877_BS_Separation_TaxResIndem_Q12412 tf" xfId="8245"/>
    <cellStyle name="_MOR - Gurgaon - 3+9(R)_Revised MOR Package_~0039877_BS_Separation_TaxResIndem_Q12412 tf_Restructuring &amp; Separation" xfId="8246"/>
    <cellStyle name="_MOR - Gurgaon - 3+9(R)_Revised MOR Package_~0039877_By Country Detail 1Q10 041410pm FIN 18 revised per disc w Mary" xfId="8247"/>
    <cellStyle name="_MOR - Gurgaon - 3+9(R)_Revised MOR Package_~0039877_By Country Detail 1Q10 041410pm FIN 18 revised per disc w Mary_BS_Separation_TaxResIndem_Q12412 tf" xfId="8248"/>
    <cellStyle name="_MOR - Gurgaon - 3+9(R)_Revised MOR Package_~0039877_By Country Detail 1Q10 041410pm FIN 18 revised per disc w Mary_BS_Separation_TaxResIndem_Q12412 tf_Restructuring &amp; Separation" xfId="8249"/>
    <cellStyle name="_MOR - Gurgaon - 3+9(R)_Revised MOR Package_~0039877_By Country Detail 1Q10 041410pm FIN 18 revised per disc w Mary_II.8. Sep&amp;Discrete" xfId="8250"/>
    <cellStyle name="_MOR - Gurgaon - 3+9(R)_Revised MOR Package_~0039877_By Country Detail 1Q10 041410pm FIN 18 revised per disc w Mary_Restructuring &amp; Separation" xfId="8251"/>
    <cellStyle name="_MOR - Gurgaon - 3+9(R)_Revised MOR Package_~0039877_II.4. RawMaterials" xfId="8252"/>
    <cellStyle name="_MOR - Gurgaon - 3+9(R)_Revised MOR Package_~0039877_II.4. RawMaterials 2" xfId="8253"/>
    <cellStyle name="_MOR - Gurgaon - 3+9(R)_Revised MOR Package_~0039877_II.4. RawMaterials_BS retrieve" xfId="8254"/>
    <cellStyle name="_MOR - Gurgaon - 3+9(R)_Revised MOR Package_~0039877_II.4. RawMaterials_Free CF" xfId="8255"/>
    <cellStyle name="_MOR - Gurgaon - 3+9(R)_Revised MOR Package_~0039877_II.4. RawMaterials_P&amp;L Rec Qtr" xfId="8256"/>
    <cellStyle name="_MOR - Gurgaon - 3+9(R)_Revised MOR Package_~0039877_II.4. RawMaterials_Sheet1" xfId="8257"/>
    <cellStyle name="_MOR - Gurgaon - 3+9(R)_Revised MOR Package_~0039877_II.4. RawMaterials_Sheet2" xfId="8258"/>
    <cellStyle name="_MOR - Gurgaon - 3+9(R)_Revised MOR Package_~0039877_II.4. RawMaterials_Sheet3" xfId="8259"/>
    <cellStyle name="_MOR - Gurgaon - 3+9(R)_Revised MOR Package_~0039877_II.4. RawMaterials_Sheet4" xfId="8260"/>
    <cellStyle name="_MOR - Gurgaon - 3+9(R)_Revised MOR Package_~0039877_II.5. RawMaterials" xfId="8261"/>
    <cellStyle name="_MOR - Gurgaon - 3+9(R)_Revised MOR Package_~0039877_II.5. RawMaterials 2" xfId="8262"/>
    <cellStyle name="_MOR - Gurgaon - 3+9(R)_Revised MOR Package_~0039877_II.5. RawMaterials_BS retrieve" xfId="8263"/>
    <cellStyle name="_MOR - Gurgaon - 3+9(R)_Revised MOR Package_~0039877_II.5. RawMaterials_Free CF" xfId="8264"/>
    <cellStyle name="_MOR - Gurgaon - 3+9(R)_Revised MOR Package_~0039877_II.5. RawMaterials_P&amp;L Rec Qtr" xfId="8265"/>
    <cellStyle name="_MOR - Gurgaon - 3+9(R)_Revised MOR Package_~0039877_II.5. RawMaterials_Sheet1" xfId="8266"/>
    <cellStyle name="_MOR - Gurgaon - 3+9(R)_Revised MOR Package_~0039877_II.5. RawMaterials_Sheet2" xfId="8267"/>
    <cellStyle name="_MOR - Gurgaon - 3+9(R)_Revised MOR Package_~0039877_II.5. RawMaterials_Sheet3" xfId="8268"/>
    <cellStyle name="_MOR - Gurgaon - 3+9(R)_Revised MOR Package_~0039877_II.5. RawMaterials_Sheet4" xfId="8269"/>
    <cellStyle name="_MOR - Gurgaon - 3+9(R)_Revised MOR Package_~0039877_II.5. RM Volume Sensitivities" xfId="8270"/>
    <cellStyle name="_MOR - Gurgaon - 3+9(R)_Revised MOR Package_~0039877_II.5. RM Volume Sensitivities 2" xfId="8271"/>
    <cellStyle name="_MOR - Gurgaon - 3+9(R)_Revised MOR Package_~0039877_II.5. RM Volume Sensitivities_BS retrieve" xfId="8272"/>
    <cellStyle name="_MOR - Gurgaon - 3+9(R)_Revised MOR Package_~0039877_II.5. RM Volume Sensitivities_Free CF" xfId="8273"/>
    <cellStyle name="_MOR - Gurgaon - 3+9(R)_Revised MOR Package_~0039877_II.5. RM Volume Sensitivities_P&amp;L Rec Qtr" xfId="8274"/>
    <cellStyle name="_MOR - Gurgaon - 3+9(R)_Revised MOR Package_~0039877_II.5. RM Volume Sensitivities_Sheet1" xfId="8275"/>
    <cellStyle name="_MOR - Gurgaon - 3+9(R)_Revised MOR Package_~0039877_II.5. RM Volume Sensitivities_Sheet2" xfId="8276"/>
    <cellStyle name="_MOR - Gurgaon - 3+9(R)_Revised MOR Package_~0039877_II.5. RM Volume Sensitivities_Sheet3" xfId="8277"/>
    <cellStyle name="_MOR - Gurgaon - 3+9(R)_Revised MOR Package_~0039877_II.5. RM Volume Sensitivities_Sheet4" xfId="8278"/>
    <cellStyle name="_MOR - Gurgaon - 3+9(R)_Revised MOR Package_~0039877_II.8. Sep&amp;Discrete" xfId="8279"/>
    <cellStyle name="_MOR - Gurgaon - 3+9(R)_Revised MOR Package_~0039877_Restructuring &amp; Separation" xfId="8280"/>
    <cellStyle name="_MOR - Gurgaon - 3+9(R)_Revised MOR Package_~0039877_Restructuring_Separation_TAX_JuneFC2010 tf" xfId="8281"/>
    <cellStyle name="_MOR - Gurgaon - 3+9(R)_Revised MOR Package_~0039877_Restructuring_Separation_TAX_JuneFC2010 tf_BS_Separation_TaxResIndem_Q12412 tf" xfId="8282"/>
    <cellStyle name="_MOR - Gurgaon - 3+9(R)_Revised MOR Package_~0039877_Restructuring_Separation_TAX_JuneFC2010 tf_BS_Separation_TaxResIndem_Q12412 tf_Restructuring &amp; Separation" xfId="8283"/>
    <cellStyle name="_MOR - Gurgaon - 3+9(R)_Revised MOR Package_~0039877_Restructuring_Separation_TAX_JuneFC2010 tf_II.8. Sep&amp;Discrete" xfId="8284"/>
    <cellStyle name="_MOR - Gurgaon - 3+9(R)_Revised MOR Package_~0039877_Restructuring_Separation_TAX_JuneFC2010 tf_Restructuring &amp; Separation" xfId="8285"/>
    <cellStyle name="_MOR - Gurgaon - 3+9(R)_Revised MOR Package_BS_Separation_TaxResIndem_Q12412 tf" xfId="8286"/>
    <cellStyle name="_MOR - Gurgaon - 3+9(R)_Revised MOR Package_BS_Separation_TaxResIndem_Q12412 tf_Restructuring &amp; Separation" xfId="8287"/>
    <cellStyle name="_MOR - Gurgaon - 3+9(R)_Revised MOR Package_By Country Detail 1Q10 041410pm FIN 18 revised per disc w Mary" xfId="8288"/>
    <cellStyle name="_MOR - Gurgaon - 3+9(R)_Revised MOR Package_By Country Detail 1Q10 041410pm FIN 18 revised per disc w Mary_BS_Separation_TaxResIndem_Q12412 tf" xfId="8289"/>
    <cellStyle name="_MOR - Gurgaon - 3+9(R)_Revised MOR Package_By Country Detail 1Q10 041410pm FIN 18 revised per disc w Mary_BS_Separation_TaxResIndem_Q12412 tf_Restructuring &amp; Separation" xfId="8290"/>
    <cellStyle name="_MOR - Gurgaon - 3+9(R)_Revised MOR Package_By Country Detail 1Q10 041410pm FIN 18 revised per disc w Mary_II.8. Sep&amp;Discrete" xfId="8291"/>
    <cellStyle name="_MOR - Gurgaon - 3+9(R)_Revised MOR Package_By Country Detail 1Q10 041410pm FIN 18 revised per disc w Mary_Restructuring &amp; Separation" xfId="8292"/>
    <cellStyle name="_MOR - Gurgaon - 3+9(R)_Revised MOR Package_II.4. RawMaterials" xfId="8293"/>
    <cellStyle name="_MOR - Gurgaon - 3+9(R)_Revised MOR Package_II.4. RawMaterials 2" xfId="8294"/>
    <cellStyle name="_MOR - Gurgaon - 3+9(R)_Revised MOR Package_II.4. RawMaterials_BS retrieve" xfId="8295"/>
    <cellStyle name="_MOR - Gurgaon - 3+9(R)_Revised MOR Package_II.4. RawMaterials_Free CF" xfId="8296"/>
    <cellStyle name="_MOR - Gurgaon - 3+9(R)_Revised MOR Package_II.4. RawMaterials_P&amp;L Rec Qtr" xfId="8297"/>
    <cellStyle name="_MOR - Gurgaon - 3+9(R)_Revised MOR Package_II.4. RawMaterials_Sheet1" xfId="8298"/>
    <cellStyle name="_MOR - Gurgaon - 3+9(R)_Revised MOR Package_II.4. RawMaterials_Sheet2" xfId="8299"/>
    <cellStyle name="_MOR - Gurgaon - 3+9(R)_Revised MOR Package_II.4. RawMaterials_Sheet3" xfId="8300"/>
    <cellStyle name="_MOR - Gurgaon - 3+9(R)_Revised MOR Package_II.4. RawMaterials_Sheet4" xfId="8301"/>
    <cellStyle name="_MOR - Gurgaon - 3+9(R)_Revised MOR Package_II.5. RawMaterials" xfId="8302"/>
    <cellStyle name="_MOR - Gurgaon - 3+9(R)_Revised MOR Package_II.5. RawMaterials 2" xfId="8303"/>
    <cellStyle name="_MOR - Gurgaon - 3+9(R)_Revised MOR Package_II.5. RawMaterials_BS retrieve" xfId="8304"/>
    <cellStyle name="_MOR - Gurgaon - 3+9(R)_Revised MOR Package_II.5. RawMaterials_Free CF" xfId="8305"/>
    <cellStyle name="_MOR - Gurgaon - 3+9(R)_Revised MOR Package_II.5. RawMaterials_P&amp;L Rec Qtr" xfId="8306"/>
    <cellStyle name="_MOR - Gurgaon - 3+9(R)_Revised MOR Package_II.5. RawMaterials_Sheet1" xfId="8307"/>
    <cellStyle name="_MOR - Gurgaon - 3+9(R)_Revised MOR Package_II.5. RawMaterials_Sheet2" xfId="8308"/>
    <cellStyle name="_MOR - Gurgaon - 3+9(R)_Revised MOR Package_II.5. RawMaterials_Sheet3" xfId="8309"/>
    <cellStyle name="_MOR - Gurgaon - 3+9(R)_Revised MOR Package_II.5. RawMaterials_Sheet4" xfId="8310"/>
    <cellStyle name="_MOR - Gurgaon - 3+9(R)_Revised MOR Package_II.5. RM Volume Sensitivities" xfId="8311"/>
    <cellStyle name="_MOR - Gurgaon - 3+9(R)_Revised MOR Package_II.5. RM Volume Sensitivities 2" xfId="8312"/>
    <cellStyle name="_MOR - Gurgaon - 3+9(R)_Revised MOR Package_II.5. RM Volume Sensitivities_BS retrieve" xfId="8313"/>
    <cellStyle name="_MOR - Gurgaon - 3+9(R)_Revised MOR Package_II.5. RM Volume Sensitivities_Free CF" xfId="8314"/>
    <cellStyle name="_MOR - Gurgaon - 3+9(R)_Revised MOR Package_II.5. RM Volume Sensitivities_P&amp;L Rec Qtr" xfId="8315"/>
    <cellStyle name="_MOR - Gurgaon - 3+9(R)_Revised MOR Package_II.5. RM Volume Sensitivities_Sheet1" xfId="8316"/>
    <cellStyle name="_MOR - Gurgaon - 3+9(R)_Revised MOR Package_II.5. RM Volume Sensitivities_Sheet2" xfId="8317"/>
    <cellStyle name="_MOR - Gurgaon - 3+9(R)_Revised MOR Package_II.5. RM Volume Sensitivities_Sheet3" xfId="8318"/>
    <cellStyle name="_MOR - Gurgaon - 3+9(R)_Revised MOR Package_II.5. RM Volume Sensitivities_Sheet4" xfId="8319"/>
    <cellStyle name="_MOR - Gurgaon - 3+9(R)_Revised MOR Package_II.8. Sep&amp;Discrete" xfId="8320"/>
    <cellStyle name="_MOR - Gurgaon - 3+9(R)_Revised MOR Package_Restructuring &amp; Separation" xfId="8321"/>
    <cellStyle name="_MOR - Gurgaon - 3+9(R)_Revised MOR Package_Restructuring_Separation_TAX_JuneFC2010 tf" xfId="8322"/>
    <cellStyle name="_MOR - Gurgaon - 3+9(R)_Revised MOR Package_Restructuring_Separation_TAX_JuneFC2010 tf_BS_Separation_TaxResIndem_Q12412 tf" xfId="8323"/>
    <cellStyle name="_MOR - Gurgaon - 3+9(R)_Revised MOR Package_Restructuring_Separation_TAX_JuneFC2010 tf_BS_Separation_TaxResIndem_Q12412 tf_Restructuring &amp; Separation" xfId="8324"/>
    <cellStyle name="_MOR - Gurgaon - 3+9(R)_Revised MOR Package_Restructuring_Separation_TAX_JuneFC2010 tf_II.8. Sep&amp;Discrete" xfId="8325"/>
    <cellStyle name="_MOR - Gurgaon - 3+9(R)_Revised MOR Package_Restructuring_Separation_TAX_JuneFC2010 tf_Restructuring &amp; Separation" xfId="8326"/>
    <cellStyle name="_MOR - Gurgaon - 3+9(R)_Revised MOR Package_Revised MOR Package - Latest" xfId="8327"/>
    <cellStyle name="_MOR - Gurgaon - 3+9(R)_Revised MOR Package_Revised MOR Package - Latest_BS_Separation_TaxResIndem_Q12412 tf" xfId="8328"/>
    <cellStyle name="_MOR - Gurgaon - 3+9(R)_Revised MOR Package_Revised MOR Package - Latest_BS_Separation_TaxResIndem_Q12412 tf_Restructuring &amp; Separation" xfId="8329"/>
    <cellStyle name="_MOR - Gurgaon - 3+9(R)_Revised MOR Package_Revised MOR Package - Latest_By Country Detail 1Q10 041410pm FIN 18 revised per disc w Mary" xfId="8330"/>
    <cellStyle name="_MOR - Gurgaon - 3+9(R)_Revised MOR Package_Revised MOR Package - Latest_By Country Detail 1Q10 041410pm FIN 18 revised per disc w Mary_BS_Separation_TaxResIndem_Q12412 tf" xfId="8331"/>
    <cellStyle name="_MOR - Gurgaon - 3+9(R)_Revised MOR Package_Revised MOR Package - Latest_By Country Detail 1Q10 041410pm FIN 18 revised per disc w Mary_BS_Separation_TaxResIndem_Q12412 tf_Restructuring &amp; Separation" xfId="8332"/>
    <cellStyle name="_MOR - Gurgaon - 3+9(R)_Revised MOR Package_Revised MOR Package - Latest_By Country Detail 1Q10 041410pm FIN 18 revised per disc w Mary_II.8. Sep&amp;Discrete" xfId="8333"/>
    <cellStyle name="_MOR - Gurgaon - 3+9(R)_Revised MOR Package_Revised MOR Package - Latest_By Country Detail 1Q10 041410pm FIN 18 revised per disc w Mary_Restructuring &amp; Separation" xfId="8334"/>
    <cellStyle name="_MOR - Gurgaon - 3+9(R)_Revised MOR Package_Revised MOR Package - Latest_II.4. RawMaterials" xfId="8335"/>
    <cellStyle name="_MOR - Gurgaon - 3+9(R)_Revised MOR Package_Revised MOR Package - Latest_II.4. RawMaterials 2" xfId="8336"/>
    <cellStyle name="_MOR - Gurgaon - 3+9(R)_Revised MOR Package_Revised MOR Package - Latest_II.4. RawMaterials_BS retrieve" xfId="8337"/>
    <cellStyle name="_MOR - Gurgaon - 3+9(R)_Revised MOR Package_Revised MOR Package - Latest_II.4. RawMaterials_Free CF" xfId="8338"/>
    <cellStyle name="_MOR - Gurgaon - 3+9(R)_Revised MOR Package_Revised MOR Package - Latest_II.4. RawMaterials_P&amp;L Rec Qtr" xfId="8339"/>
    <cellStyle name="_MOR - Gurgaon - 3+9(R)_Revised MOR Package_Revised MOR Package - Latest_II.4. RawMaterials_Sheet1" xfId="8340"/>
    <cellStyle name="_MOR - Gurgaon - 3+9(R)_Revised MOR Package_Revised MOR Package - Latest_II.4. RawMaterials_Sheet2" xfId="8341"/>
    <cellStyle name="_MOR - Gurgaon - 3+9(R)_Revised MOR Package_Revised MOR Package - Latest_II.4. RawMaterials_Sheet3" xfId="8342"/>
    <cellStyle name="_MOR - Gurgaon - 3+9(R)_Revised MOR Package_Revised MOR Package - Latest_II.4. RawMaterials_Sheet4" xfId="8343"/>
    <cellStyle name="_MOR - Gurgaon - 3+9(R)_Revised MOR Package_Revised MOR Package - Latest_II.5. RawMaterials" xfId="8344"/>
    <cellStyle name="_MOR - Gurgaon - 3+9(R)_Revised MOR Package_Revised MOR Package - Latest_II.5. RawMaterials 2" xfId="8345"/>
    <cellStyle name="_MOR - Gurgaon - 3+9(R)_Revised MOR Package_Revised MOR Package - Latest_II.5. RawMaterials_BS retrieve" xfId="8346"/>
    <cellStyle name="_MOR - Gurgaon - 3+9(R)_Revised MOR Package_Revised MOR Package - Latest_II.5. RawMaterials_Free CF" xfId="8347"/>
    <cellStyle name="_MOR - Gurgaon - 3+9(R)_Revised MOR Package_Revised MOR Package - Latest_II.5. RawMaterials_P&amp;L Rec Qtr" xfId="8348"/>
    <cellStyle name="_MOR - Gurgaon - 3+9(R)_Revised MOR Package_Revised MOR Package - Latest_II.5. RawMaterials_Sheet1" xfId="8349"/>
    <cellStyle name="_MOR - Gurgaon - 3+9(R)_Revised MOR Package_Revised MOR Package - Latest_II.5. RawMaterials_Sheet2" xfId="8350"/>
    <cellStyle name="_MOR - Gurgaon - 3+9(R)_Revised MOR Package_Revised MOR Package - Latest_II.5. RawMaterials_Sheet3" xfId="8351"/>
    <cellStyle name="_MOR - Gurgaon - 3+9(R)_Revised MOR Package_Revised MOR Package - Latest_II.5. RawMaterials_Sheet4" xfId="8352"/>
    <cellStyle name="_MOR - Gurgaon - 3+9(R)_Revised MOR Package_Revised MOR Package - Latest_II.5. RM Volume Sensitivities" xfId="8353"/>
    <cellStyle name="_MOR - Gurgaon - 3+9(R)_Revised MOR Package_Revised MOR Package - Latest_II.5. RM Volume Sensitivities 2" xfId="8354"/>
    <cellStyle name="_MOR - Gurgaon - 3+9(R)_Revised MOR Package_Revised MOR Package - Latest_II.5. RM Volume Sensitivities_BS retrieve" xfId="8355"/>
    <cellStyle name="_MOR - Gurgaon - 3+9(R)_Revised MOR Package_Revised MOR Package - Latest_II.5. RM Volume Sensitivities_Free CF" xfId="8356"/>
    <cellStyle name="_MOR - Gurgaon - 3+9(R)_Revised MOR Package_Revised MOR Package - Latest_II.5. RM Volume Sensitivities_P&amp;L Rec Qtr" xfId="8357"/>
    <cellStyle name="_MOR - Gurgaon - 3+9(R)_Revised MOR Package_Revised MOR Package - Latest_II.5. RM Volume Sensitivities_Sheet1" xfId="8358"/>
    <cellStyle name="_MOR - Gurgaon - 3+9(R)_Revised MOR Package_Revised MOR Package - Latest_II.5. RM Volume Sensitivities_Sheet2" xfId="8359"/>
    <cellStyle name="_MOR - Gurgaon - 3+9(R)_Revised MOR Package_Revised MOR Package - Latest_II.5. RM Volume Sensitivities_Sheet3" xfId="8360"/>
    <cellStyle name="_MOR - Gurgaon - 3+9(R)_Revised MOR Package_Revised MOR Package - Latest_II.5. RM Volume Sensitivities_Sheet4" xfId="8361"/>
    <cellStyle name="_MOR - Gurgaon - 3+9(R)_Revised MOR Package_Revised MOR Package - Latest_II.8. Sep&amp;Discrete" xfId="8362"/>
    <cellStyle name="_MOR - Gurgaon - 3+9(R)_Revised MOR Package_Revised MOR Package - Latest_Restructuring &amp; Separation" xfId="8363"/>
    <cellStyle name="_MOR - Gurgaon - 3+9(R)_Revised MOR Package_Revised MOR Package - Latest_Restructuring_Separation_TAX_JuneFC2010 tf" xfId="8364"/>
    <cellStyle name="_MOR - Gurgaon - 3+9(R)_Revised MOR Package_Revised MOR Package - Latest_Restructuring_Separation_TAX_JuneFC2010 tf_BS_Separation_TaxResIndem_Q12412 tf" xfId="8365"/>
    <cellStyle name="_MOR - Gurgaon - 3+9(R)_Revised MOR Package_Revised MOR Package - Latest_Restructuring_Separation_TAX_JuneFC2010 tf_BS_Separation_TaxResIndem_Q12412 tf_Restructuring &amp; Separation" xfId="8366"/>
    <cellStyle name="_MOR - Gurgaon - 3+9(R)_Revised MOR Package_Revised MOR Package - Latest_Restructuring_Separation_TAX_JuneFC2010 tf_II.8. Sep&amp;Discrete" xfId="8367"/>
    <cellStyle name="_MOR - Gurgaon - 3+9(R)_Revised MOR Package_Revised MOR Package - Latest_Restructuring_Separation_TAX_JuneFC2010 tf_Restructuring &amp; Separation" xfId="8368"/>
    <cellStyle name="_MOR - Gurgaon - 3+9(R)-1" xfId="8369"/>
    <cellStyle name="_MOR - Gurgaon - 3+9(R)-1_BS_Separation_TaxResIndem_Q12412 tf" xfId="8370"/>
    <cellStyle name="_MOR - Gurgaon - 3+9(R)-1_BS_Separation_TaxResIndem_Q12412 tf_Restructuring &amp; Separation" xfId="8371"/>
    <cellStyle name="_MOR - Gurgaon - 3+9(R)-1_By Country Detail 1Q10 041410pm FIN 18 revised per disc w Mary" xfId="8372"/>
    <cellStyle name="_MOR - Gurgaon - 3+9(R)-1_By Country Detail 1Q10 041410pm FIN 18 revised per disc w Mary_BS_Separation_TaxResIndem_Q12412 tf" xfId="8373"/>
    <cellStyle name="_MOR - Gurgaon - 3+9(R)-1_By Country Detail 1Q10 041410pm FIN 18 revised per disc w Mary_BS_Separation_TaxResIndem_Q12412 tf_Restructuring &amp; Separation" xfId="8374"/>
    <cellStyle name="_MOR - Gurgaon - 3+9(R)-1_By Country Detail 1Q10 041410pm FIN 18 revised per disc w Mary_II.8. Sep&amp;Discrete" xfId="8375"/>
    <cellStyle name="_MOR - Gurgaon - 3+9(R)-1_By Country Detail 1Q10 041410pm FIN 18 revised per disc w Mary_Restructuring &amp; Separation" xfId="8376"/>
    <cellStyle name="_MOR - Gurgaon - 3+9(R)-1_II.4. RawMaterials" xfId="8377"/>
    <cellStyle name="_MOR - Gurgaon - 3+9(R)-1_II.4. RawMaterials 2" xfId="8378"/>
    <cellStyle name="_MOR - Gurgaon - 3+9(R)-1_II.4. RawMaterials_BS retrieve" xfId="8379"/>
    <cellStyle name="_MOR - Gurgaon - 3+9(R)-1_II.4. RawMaterials_Free CF" xfId="8380"/>
    <cellStyle name="_MOR - Gurgaon - 3+9(R)-1_II.4. RawMaterials_P&amp;L Rec Qtr" xfId="8381"/>
    <cellStyle name="_MOR - Gurgaon - 3+9(R)-1_II.4. RawMaterials_Sheet1" xfId="8382"/>
    <cellStyle name="_MOR - Gurgaon - 3+9(R)-1_II.4. RawMaterials_Sheet2" xfId="8383"/>
    <cellStyle name="_MOR - Gurgaon - 3+9(R)-1_II.4. RawMaterials_Sheet3" xfId="8384"/>
    <cellStyle name="_MOR - Gurgaon - 3+9(R)-1_II.4. RawMaterials_Sheet4" xfId="8385"/>
    <cellStyle name="_MOR - Gurgaon - 3+9(R)-1_II.5. RawMaterials" xfId="8386"/>
    <cellStyle name="_MOR - Gurgaon - 3+9(R)-1_II.5. RawMaterials 2" xfId="8387"/>
    <cellStyle name="_MOR - Gurgaon - 3+9(R)-1_II.5. RawMaterials_BS retrieve" xfId="8388"/>
    <cellStyle name="_MOR - Gurgaon - 3+9(R)-1_II.5. RawMaterials_Free CF" xfId="8389"/>
    <cellStyle name="_MOR - Gurgaon - 3+9(R)-1_II.5. RawMaterials_P&amp;L Rec Qtr" xfId="8390"/>
    <cellStyle name="_MOR - Gurgaon - 3+9(R)-1_II.5. RawMaterials_Sheet1" xfId="8391"/>
    <cellStyle name="_MOR - Gurgaon - 3+9(R)-1_II.5. RawMaterials_Sheet2" xfId="8392"/>
    <cellStyle name="_MOR - Gurgaon - 3+9(R)-1_II.5. RawMaterials_Sheet3" xfId="8393"/>
    <cellStyle name="_MOR - Gurgaon - 3+9(R)-1_II.5. RawMaterials_Sheet4" xfId="8394"/>
    <cellStyle name="_MOR - Gurgaon - 3+9(R)-1_II.5. RM Volume Sensitivities" xfId="8395"/>
    <cellStyle name="_MOR - Gurgaon - 3+9(R)-1_II.5. RM Volume Sensitivities 2" xfId="8396"/>
    <cellStyle name="_MOR - Gurgaon - 3+9(R)-1_II.5. RM Volume Sensitivities_BS retrieve" xfId="8397"/>
    <cellStyle name="_MOR - Gurgaon - 3+9(R)-1_II.5. RM Volume Sensitivities_Free CF" xfId="8398"/>
    <cellStyle name="_MOR - Gurgaon - 3+9(R)-1_II.5. RM Volume Sensitivities_P&amp;L Rec Qtr" xfId="8399"/>
    <cellStyle name="_MOR - Gurgaon - 3+9(R)-1_II.5. RM Volume Sensitivities_Sheet1" xfId="8400"/>
    <cellStyle name="_MOR - Gurgaon - 3+9(R)-1_II.5. RM Volume Sensitivities_Sheet2" xfId="8401"/>
    <cellStyle name="_MOR - Gurgaon - 3+9(R)-1_II.5. RM Volume Sensitivities_Sheet3" xfId="8402"/>
    <cellStyle name="_MOR - Gurgaon - 3+9(R)-1_II.5. RM Volume Sensitivities_Sheet4" xfId="8403"/>
    <cellStyle name="_MOR - Gurgaon - 3+9(R)-1_II.8. Sep&amp;Discrete" xfId="8404"/>
    <cellStyle name="_MOR - Gurgaon - 3+9(R)-1_Restructuring &amp; Separation" xfId="8405"/>
    <cellStyle name="_MOR - Gurgaon - 3+9(R)-1_Restructuring_Separation_TAX_JuneFC2010 tf" xfId="8406"/>
    <cellStyle name="_MOR - Gurgaon - 3+9(R)-1_Restructuring_Separation_TAX_JuneFC2010 tf_BS_Separation_TaxResIndem_Q12412 tf" xfId="8407"/>
    <cellStyle name="_MOR - Gurgaon - 3+9(R)-1_Restructuring_Separation_TAX_JuneFC2010 tf_BS_Separation_TaxResIndem_Q12412 tf_Restructuring &amp; Separation" xfId="8408"/>
    <cellStyle name="_MOR - Gurgaon - 3+9(R)-1_Restructuring_Separation_TAX_JuneFC2010 tf_II.8. Sep&amp;Discrete" xfId="8409"/>
    <cellStyle name="_MOR - Gurgaon - 3+9(R)-1_Restructuring_Separation_TAX_JuneFC2010 tf_Restructuring &amp; Separation" xfId="8410"/>
    <cellStyle name="_MOR - Gurgaon - 3+9(R)-1_Revised MOR Package" xfId="8411"/>
    <cellStyle name="_MOR - Gurgaon - 3+9(R)-1_Revised MOR Package_~0039877" xfId="8412"/>
    <cellStyle name="_MOR - Gurgaon - 3+9(R)-1_Revised MOR Package_~0039877_BS_Separation_TaxResIndem_Q12412 tf" xfId="8413"/>
    <cellStyle name="_MOR - Gurgaon - 3+9(R)-1_Revised MOR Package_~0039877_BS_Separation_TaxResIndem_Q12412 tf_Restructuring &amp; Separation" xfId="8414"/>
    <cellStyle name="_MOR - Gurgaon - 3+9(R)-1_Revised MOR Package_~0039877_By Country Detail 1Q10 041410pm FIN 18 revised per disc w Mary" xfId="8415"/>
    <cellStyle name="_MOR - Gurgaon - 3+9(R)-1_Revised MOR Package_~0039877_By Country Detail 1Q10 041410pm FIN 18 revised per disc w Mary_BS_Separation_TaxResIndem_Q12412 tf" xfId="8416"/>
    <cellStyle name="_MOR - Gurgaon - 3+9(R)-1_Revised MOR Package_~0039877_By Country Detail 1Q10 041410pm FIN 18 revised per disc w Mary_BS_Separation_TaxResIndem_Q12412 tf_Restructuring &amp; Separation" xfId="8417"/>
    <cellStyle name="_MOR - Gurgaon - 3+9(R)-1_Revised MOR Package_~0039877_By Country Detail 1Q10 041410pm FIN 18 revised per disc w Mary_II.8. Sep&amp;Discrete" xfId="8418"/>
    <cellStyle name="_MOR - Gurgaon - 3+9(R)-1_Revised MOR Package_~0039877_By Country Detail 1Q10 041410pm FIN 18 revised per disc w Mary_Restructuring &amp; Separation" xfId="8419"/>
    <cellStyle name="_MOR - Gurgaon - 3+9(R)-1_Revised MOR Package_~0039877_II.4. RawMaterials" xfId="8420"/>
    <cellStyle name="_MOR - Gurgaon - 3+9(R)-1_Revised MOR Package_~0039877_II.4. RawMaterials 2" xfId="8421"/>
    <cellStyle name="_MOR - Gurgaon - 3+9(R)-1_Revised MOR Package_~0039877_II.4. RawMaterials_BS retrieve" xfId="8422"/>
    <cellStyle name="_MOR - Gurgaon - 3+9(R)-1_Revised MOR Package_~0039877_II.4. RawMaterials_Free CF" xfId="8423"/>
    <cellStyle name="_MOR - Gurgaon - 3+9(R)-1_Revised MOR Package_~0039877_II.4. RawMaterials_P&amp;L Rec Qtr" xfId="8424"/>
    <cellStyle name="_MOR - Gurgaon - 3+9(R)-1_Revised MOR Package_~0039877_II.4. RawMaterials_Sheet1" xfId="8425"/>
    <cellStyle name="_MOR - Gurgaon - 3+9(R)-1_Revised MOR Package_~0039877_II.4. RawMaterials_Sheet2" xfId="8426"/>
    <cellStyle name="_MOR - Gurgaon - 3+9(R)-1_Revised MOR Package_~0039877_II.4. RawMaterials_Sheet3" xfId="8427"/>
    <cellStyle name="_MOR - Gurgaon - 3+9(R)-1_Revised MOR Package_~0039877_II.4. RawMaterials_Sheet4" xfId="8428"/>
    <cellStyle name="_MOR - Gurgaon - 3+9(R)-1_Revised MOR Package_~0039877_II.5. RawMaterials" xfId="8429"/>
    <cellStyle name="_MOR - Gurgaon - 3+9(R)-1_Revised MOR Package_~0039877_II.5. RawMaterials 2" xfId="8430"/>
    <cellStyle name="_MOR - Gurgaon - 3+9(R)-1_Revised MOR Package_~0039877_II.5. RawMaterials_BS retrieve" xfId="8431"/>
    <cellStyle name="_MOR - Gurgaon - 3+9(R)-1_Revised MOR Package_~0039877_II.5. RawMaterials_Free CF" xfId="8432"/>
    <cellStyle name="_MOR - Gurgaon - 3+9(R)-1_Revised MOR Package_~0039877_II.5. RawMaterials_P&amp;L Rec Qtr" xfId="8433"/>
    <cellStyle name="_MOR - Gurgaon - 3+9(R)-1_Revised MOR Package_~0039877_II.5. RawMaterials_Sheet1" xfId="8434"/>
    <cellStyle name="_MOR - Gurgaon - 3+9(R)-1_Revised MOR Package_~0039877_II.5. RawMaterials_Sheet2" xfId="8435"/>
    <cellStyle name="_MOR - Gurgaon - 3+9(R)-1_Revised MOR Package_~0039877_II.5. RawMaterials_Sheet3" xfId="8436"/>
    <cellStyle name="_MOR - Gurgaon - 3+9(R)-1_Revised MOR Package_~0039877_II.5. RawMaterials_Sheet4" xfId="8437"/>
    <cellStyle name="_MOR - Gurgaon - 3+9(R)-1_Revised MOR Package_~0039877_II.5. RM Volume Sensitivities" xfId="8438"/>
    <cellStyle name="_MOR - Gurgaon - 3+9(R)-1_Revised MOR Package_~0039877_II.5. RM Volume Sensitivities 2" xfId="8439"/>
    <cellStyle name="_MOR - Gurgaon - 3+9(R)-1_Revised MOR Package_~0039877_II.5. RM Volume Sensitivities_BS retrieve" xfId="8440"/>
    <cellStyle name="_MOR - Gurgaon - 3+9(R)-1_Revised MOR Package_~0039877_II.5. RM Volume Sensitivities_Free CF" xfId="8441"/>
    <cellStyle name="_MOR - Gurgaon - 3+9(R)-1_Revised MOR Package_~0039877_II.5. RM Volume Sensitivities_P&amp;L Rec Qtr" xfId="8442"/>
    <cellStyle name="_MOR - Gurgaon - 3+9(R)-1_Revised MOR Package_~0039877_II.5. RM Volume Sensitivities_Sheet1" xfId="8443"/>
    <cellStyle name="_MOR - Gurgaon - 3+9(R)-1_Revised MOR Package_~0039877_II.5. RM Volume Sensitivities_Sheet2" xfId="8444"/>
    <cellStyle name="_MOR - Gurgaon - 3+9(R)-1_Revised MOR Package_~0039877_II.5. RM Volume Sensitivities_Sheet3" xfId="8445"/>
    <cellStyle name="_MOR - Gurgaon - 3+9(R)-1_Revised MOR Package_~0039877_II.5. RM Volume Sensitivities_Sheet4" xfId="8446"/>
    <cellStyle name="_MOR - Gurgaon - 3+9(R)-1_Revised MOR Package_~0039877_II.8. Sep&amp;Discrete" xfId="8447"/>
    <cellStyle name="_MOR - Gurgaon - 3+9(R)-1_Revised MOR Package_~0039877_Restructuring &amp; Separation" xfId="8448"/>
    <cellStyle name="_MOR - Gurgaon - 3+9(R)-1_Revised MOR Package_~0039877_Restructuring_Separation_TAX_JuneFC2010 tf" xfId="8449"/>
    <cellStyle name="_MOR - Gurgaon - 3+9(R)-1_Revised MOR Package_~0039877_Restructuring_Separation_TAX_JuneFC2010 tf_BS_Separation_TaxResIndem_Q12412 tf" xfId="8450"/>
    <cellStyle name="_MOR - Gurgaon - 3+9(R)-1_Revised MOR Package_~0039877_Restructuring_Separation_TAX_JuneFC2010 tf_BS_Separation_TaxResIndem_Q12412 tf_Restructuring &amp; Separation" xfId="8451"/>
    <cellStyle name="_MOR - Gurgaon - 3+9(R)-1_Revised MOR Package_~0039877_Restructuring_Separation_TAX_JuneFC2010 tf_II.8. Sep&amp;Discrete" xfId="8452"/>
    <cellStyle name="_MOR - Gurgaon - 3+9(R)-1_Revised MOR Package_~0039877_Restructuring_Separation_TAX_JuneFC2010 tf_Restructuring &amp; Separation" xfId="8453"/>
    <cellStyle name="_MOR - Gurgaon - 3+9(R)-1_Revised MOR Package_BS_Separation_TaxResIndem_Q12412 tf" xfId="8454"/>
    <cellStyle name="_MOR - Gurgaon - 3+9(R)-1_Revised MOR Package_BS_Separation_TaxResIndem_Q12412 tf_Restructuring &amp; Separation" xfId="8455"/>
    <cellStyle name="_MOR - Gurgaon - 3+9(R)-1_Revised MOR Package_By Country Detail 1Q10 041410pm FIN 18 revised per disc w Mary" xfId="8456"/>
    <cellStyle name="_MOR - Gurgaon - 3+9(R)-1_Revised MOR Package_By Country Detail 1Q10 041410pm FIN 18 revised per disc w Mary_BS_Separation_TaxResIndem_Q12412 tf" xfId="8457"/>
    <cellStyle name="_MOR - Gurgaon - 3+9(R)-1_Revised MOR Package_By Country Detail 1Q10 041410pm FIN 18 revised per disc w Mary_BS_Separation_TaxResIndem_Q12412 tf_Restructuring &amp; Separation" xfId="8458"/>
    <cellStyle name="_MOR - Gurgaon - 3+9(R)-1_Revised MOR Package_By Country Detail 1Q10 041410pm FIN 18 revised per disc w Mary_II.8. Sep&amp;Discrete" xfId="8459"/>
    <cellStyle name="_MOR - Gurgaon - 3+9(R)-1_Revised MOR Package_By Country Detail 1Q10 041410pm FIN 18 revised per disc w Mary_Restructuring &amp; Separation" xfId="8460"/>
    <cellStyle name="_MOR - Gurgaon - 3+9(R)-1_Revised MOR Package_II.4. RawMaterials" xfId="8461"/>
    <cellStyle name="_MOR - Gurgaon - 3+9(R)-1_Revised MOR Package_II.4. RawMaterials 2" xfId="8462"/>
    <cellStyle name="_MOR - Gurgaon - 3+9(R)-1_Revised MOR Package_II.4. RawMaterials_BS retrieve" xfId="8463"/>
    <cellStyle name="_MOR - Gurgaon - 3+9(R)-1_Revised MOR Package_II.4. RawMaterials_Free CF" xfId="8464"/>
    <cellStyle name="_MOR - Gurgaon - 3+9(R)-1_Revised MOR Package_II.4. RawMaterials_P&amp;L Rec Qtr" xfId="8465"/>
    <cellStyle name="_MOR - Gurgaon - 3+9(R)-1_Revised MOR Package_II.4. RawMaterials_Sheet1" xfId="8466"/>
    <cellStyle name="_MOR - Gurgaon - 3+9(R)-1_Revised MOR Package_II.4. RawMaterials_Sheet2" xfId="8467"/>
    <cellStyle name="_MOR - Gurgaon - 3+9(R)-1_Revised MOR Package_II.4. RawMaterials_Sheet3" xfId="8468"/>
    <cellStyle name="_MOR - Gurgaon - 3+9(R)-1_Revised MOR Package_II.4. RawMaterials_Sheet4" xfId="8469"/>
    <cellStyle name="_MOR - Gurgaon - 3+9(R)-1_Revised MOR Package_II.5. RawMaterials" xfId="8470"/>
    <cellStyle name="_MOR - Gurgaon - 3+9(R)-1_Revised MOR Package_II.5. RawMaterials 2" xfId="8471"/>
    <cellStyle name="_MOR - Gurgaon - 3+9(R)-1_Revised MOR Package_II.5. RawMaterials_BS retrieve" xfId="8472"/>
    <cellStyle name="_MOR - Gurgaon - 3+9(R)-1_Revised MOR Package_II.5. RawMaterials_Free CF" xfId="8473"/>
    <cellStyle name="_MOR - Gurgaon - 3+9(R)-1_Revised MOR Package_II.5. RawMaterials_P&amp;L Rec Qtr" xfId="8474"/>
    <cellStyle name="_MOR - Gurgaon - 3+9(R)-1_Revised MOR Package_II.5. RawMaterials_Sheet1" xfId="8475"/>
    <cellStyle name="_MOR - Gurgaon - 3+9(R)-1_Revised MOR Package_II.5. RawMaterials_Sheet2" xfId="8476"/>
    <cellStyle name="_MOR - Gurgaon - 3+9(R)-1_Revised MOR Package_II.5. RawMaterials_Sheet3" xfId="8477"/>
    <cellStyle name="_MOR - Gurgaon - 3+9(R)-1_Revised MOR Package_II.5. RawMaterials_Sheet4" xfId="8478"/>
    <cellStyle name="_MOR - Gurgaon - 3+9(R)-1_Revised MOR Package_II.5. RM Volume Sensitivities" xfId="8479"/>
    <cellStyle name="_MOR - Gurgaon - 3+9(R)-1_Revised MOR Package_II.5. RM Volume Sensitivities 2" xfId="8480"/>
    <cellStyle name="_MOR - Gurgaon - 3+9(R)-1_Revised MOR Package_II.5. RM Volume Sensitivities_BS retrieve" xfId="8481"/>
    <cellStyle name="_MOR - Gurgaon - 3+9(R)-1_Revised MOR Package_II.5. RM Volume Sensitivities_Free CF" xfId="8482"/>
    <cellStyle name="_MOR - Gurgaon - 3+9(R)-1_Revised MOR Package_II.5. RM Volume Sensitivities_P&amp;L Rec Qtr" xfId="8483"/>
    <cellStyle name="_MOR - Gurgaon - 3+9(R)-1_Revised MOR Package_II.5. RM Volume Sensitivities_Sheet1" xfId="8484"/>
    <cellStyle name="_MOR - Gurgaon - 3+9(R)-1_Revised MOR Package_II.5. RM Volume Sensitivities_Sheet2" xfId="8485"/>
    <cellStyle name="_MOR - Gurgaon - 3+9(R)-1_Revised MOR Package_II.5. RM Volume Sensitivities_Sheet3" xfId="8486"/>
    <cellStyle name="_MOR - Gurgaon - 3+9(R)-1_Revised MOR Package_II.5. RM Volume Sensitivities_Sheet4" xfId="8487"/>
    <cellStyle name="_MOR - Gurgaon - 3+9(R)-1_Revised MOR Package_II.8. Sep&amp;Discrete" xfId="8488"/>
    <cellStyle name="_MOR - Gurgaon - 3+9(R)-1_Revised MOR Package_Restructuring &amp; Separation" xfId="8489"/>
    <cellStyle name="_MOR - Gurgaon - 3+9(R)-1_Revised MOR Package_Restructuring_Separation_TAX_JuneFC2010 tf" xfId="8490"/>
    <cellStyle name="_MOR - Gurgaon - 3+9(R)-1_Revised MOR Package_Restructuring_Separation_TAX_JuneFC2010 tf_BS_Separation_TaxResIndem_Q12412 tf" xfId="8491"/>
    <cellStyle name="_MOR - Gurgaon - 3+9(R)-1_Revised MOR Package_Restructuring_Separation_TAX_JuneFC2010 tf_BS_Separation_TaxResIndem_Q12412 tf_Restructuring &amp; Separation" xfId="8492"/>
    <cellStyle name="_MOR - Gurgaon - 3+9(R)-1_Revised MOR Package_Restructuring_Separation_TAX_JuneFC2010 tf_II.8. Sep&amp;Discrete" xfId="8493"/>
    <cellStyle name="_MOR - Gurgaon - 3+9(R)-1_Revised MOR Package_Restructuring_Separation_TAX_JuneFC2010 tf_Restructuring &amp; Separation" xfId="8494"/>
    <cellStyle name="_MOR - Gurgaon - 3+9(R)-1_Revised MOR Package_Revised MOR Package - Latest" xfId="8495"/>
    <cellStyle name="_MOR - Gurgaon - 3+9(R)-1_Revised MOR Package_Revised MOR Package - Latest_BS_Separation_TaxResIndem_Q12412 tf" xfId="8496"/>
    <cellStyle name="_MOR - Gurgaon - 3+9(R)-1_Revised MOR Package_Revised MOR Package - Latest_BS_Separation_TaxResIndem_Q12412 tf_Restructuring &amp; Separation" xfId="8497"/>
    <cellStyle name="_MOR - Gurgaon - 3+9(R)-1_Revised MOR Package_Revised MOR Package - Latest_By Country Detail 1Q10 041410pm FIN 18 revised per disc w Mary" xfId="8498"/>
    <cellStyle name="_MOR - Gurgaon - 3+9(R)-1_Revised MOR Package_Revised MOR Package - Latest_By Country Detail 1Q10 041410pm FIN 18 revised per disc w Mary_BS_Separation_TaxResIndem_Q12412 tf" xfId="8499"/>
    <cellStyle name="_MOR - Gurgaon - 3+9(R)-1_Revised MOR Package_Revised MOR Package - Latest_By Country Detail 1Q10 041410pm FIN 18 revised per disc w Mary_BS_Separation_TaxResIndem_Q12412 tf_Restructuring &amp; Separation" xfId="8500"/>
    <cellStyle name="_MOR - Gurgaon - 3+9(R)-1_Revised MOR Package_Revised MOR Package - Latest_By Country Detail 1Q10 041410pm FIN 18 revised per disc w Mary_II.8. Sep&amp;Discrete" xfId="8501"/>
    <cellStyle name="_MOR - Gurgaon - 3+9(R)-1_Revised MOR Package_Revised MOR Package - Latest_By Country Detail 1Q10 041410pm FIN 18 revised per disc w Mary_Restructuring &amp; Separation" xfId="8502"/>
    <cellStyle name="_MOR - Gurgaon - 3+9(R)-1_Revised MOR Package_Revised MOR Package - Latest_II.4. RawMaterials" xfId="8503"/>
    <cellStyle name="_MOR - Gurgaon - 3+9(R)-1_Revised MOR Package_Revised MOR Package - Latest_II.4. RawMaterials 2" xfId="8504"/>
    <cellStyle name="_MOR - Gurgaon - 3+9(R)-1_Revised MOR Package_Revised MOR Package - Latest_II.4. RawMaterials_BS retrieve" xfId="8505"/>
    <cellStyle name="_MOR - Gurgaon - 3+9(R)-1_Revised MOR Package_Revised MOR Package - Latest_II.4. RawMaterials_Free CF" xfId="8506"/>
    <cellStyle name="_MOR - Gurgaon - 3+9(R)-1_Revised MOR Package_Revised MOR Package - Latest_II.4. RawMaterials_P&amp;L Rec Qtr" xfId="8507"/>
    <cellStyle name="_MOR - Gurgaon - 3+9(R)-1_Revised MOR Package_Revised MOR Package - Latest_II.4. RawMaterials_Sheet1" xfId="8508"/>
    <cellStyle name="_MOR - Gurgaon - 3+9(R)-1_Revised MOR Package_Revised MOR Package - Latest_II.4. RawMaterials_Sheet2" xfId="8509"/>
    <cellStyle name="_MOR - Gurgaon - 3+9(R)-1_Revised MOR Package_Revised MOR Package - Latest_II.4. RawMaterials_Sheet3" xfId="8510"/>
    <cellStyle name="_MOR - Gurgaon - 3+9(R)-1_Revised MOR Package_Revised MOR Package - Latest_II.4. RawMaterials_Sheet4" xfId="8511"/>
    <cellStyle name="_MOR - Gurgaon - 3+9(R)-1_Revised MOR Package_Revised MOR Package - Latest_II.5. RawMaterials" xfId="8512"/>
    <cellStyle name="_MOR - Gurgaon - 3+9(R)-1_Revised MOR Package_Revised MOR Package - Latest_II.5. RawMaterials 2" xfId="8513"/>
    <cellStyle name="_MOR - Gurgaon - 3+9(R)-1_Revised MOR Package_Revised MOR Package - Latest_II.5. RawMaterials_BS retrieve" xfId="8514"/>
    <cellStyle name="_MOR - Gurgaon - 3+9(R)-1_Revised MOR Package_Revised MOR Package - Latest_II.5. RawMaterials_Free CF" xfId="8515"/>
    <cellStyle name="_MOR - Gurgaon - 3+9(R)-1_Revised MOR Package_Revised MOR Package - Latest_II.5. RawMaterials_P&amp;L Rec Qtr" xfId="8516"/>
    <cellStyle name="_MOR - Gurgaon - 3+9(R)-1_Revised MOR Package_Revised MOR Package - Latest_II.5. RawMaterials_Sheet1" xfId="8517"/>
    <cellStyle name="_MOR - Gurgaon - 3+9(R)-1_Revised MOR Package_Revised MOR Package - Latest_II.5. RawMaterials_Sheet2" xfId="8518"/>
    <cellStyle name="_MOR - Gurgaon - 3+9(R)-1_Revised MOR Package_Revised MOR Package - Latest_II.5. RawMaterials_Sheet3" xfId="8519"/>
    <cellStyle name="_MOR - Gurgaon - 3+9(R)-1_Revised MOR Package_Revised MOR Package - Latest_II.5. RawMaterials_Sheet4" xfId="8520"/>
    <cellStyle name="_MOR - Gurgaon - 3+9(R)-1_Revised MOR Package_Revised MOR Package - Latest_II.5. RM Volume Sensitivities" xfId="8521"/>
    <cellStyle name="_MOR - Gurgaon - 3+9(R)-1_Revised MOR Package_Revised MOR Package - Latest_II.5. RM Volume Sensitivities 2" xfId="8522"/>
    <cellStyle name="_MOR - Gurgaon - 3+9(R)-1_Revised MOR Package_Revised MOR Package - Latest_II.5. RM Volume Sensitivities_BS retrieve" xfId="8523"/>
    <cellStyle name="_MOR - Gurgaon - 3+9(R)-1_Revised MOR Package_Revised MOR Package - Latest_II.5. RM Volume Sensitivities_Free CF" xfId="8524"/>
    <cellStyle name="_MOR - Gurgaon - 3+9(R)-1_Revised MOR Package_Revised MOR Package - Latest_II.5. RM Volume Sensitivities_P&amp;L Rec Qtr" xfId="8525"/>
    <cellStyle name="_MOR - Gurgaon - 3+9(R)-1_Revised MOR Package_Revised MOR Package - Latest_II.5. RM Volume Sensitivities_Sheet1" xfId="8526"/>
    <cellStyle name="_MOR - Gurgaon - 3+9(R)-1_Revised MOR Package_Revised MOR Package - Latest_II.5. RM Volume Sensitivities_Sheet2" xfId="8527"/>
    <cellStyle name="_MOR - Gurgaon - 3+9(R)-1_Revised MOR Package_Revised MOR Package - Latest_II.5. RM Volume Sensitivities_Sheet3" xfId="8528"/>
    <cellStyle name="_MOR - Gurgaon - 3+9(R)-1_Revised MOR Package_Revised MOR Package - Latest_II.5. RM Volume Sensitivities_Sheet4" xfId="8529"/>
    <cellStyle name="_MOR - Gurgaon - 3+9(R)-1_Revised MOR Package_Revised MOR Package - Latest_II.8. Sep&amp;Discrete" xfId="8530"/>
    <cellStyle name="_MOR - Gurgaon - 3+9(R)-1_Revised MOR Package_Revised MOR Package - Latest_Restructuring &amp; Separation" xfId="8531"/>
    <cellStyle name="_MOR - Gurgaon - 3+9(R)-1_Revised MOR Package_Revised MOR Package - Latest_Restructuring_Separation_TAX_JuneFC2010 tf" xfId="8532"/>
    <cellStyle name="_MOR - Gurgaon - 3+9(R)-1_Revised MOR Package_Revised MOR Package - Latest_Restructuring_Separation_TAX_JuneFC2010 tf_BS_Separation_TaxResIndem_Q12412 tf" xfId="8533"/>
    <cellStyle name="_MOR - Gurgaon - 3+9(R)-1_Revised MOR Package_Revised MOR Package - Latest_Restructuring_Separation_TAX_JuneFC2010 tf_BS_Separation_TaxResIndem_Q12412 tf_Restructuring &amp; Separation" xfId="8534"/>
    <cellStyle name="_MOR - Gurgaon - 3+9(R)-1_Revised MOR Package_Revised MOR Package - Latest_Restructuring_Separation_TAX_JuneFC2010 tf_II.8. Sep&amp;Discrete" xfId="8535"/>
    <cellStyle name="_MOR - Gurgaon - 3+9(R)-1_Revised MOR Package_Revised MOR Package - Latest_Restructuring_Separation_TAX_JuneFC2010 tf_Restructuring &amp; Separation" xfId="8536"/>
    <cellStyle name="_MOR - Gurgaon - 4+8" xfId="8537"/>
    <cellStyle name="_MOR - Gurgaon - 4+8 (2)" xfId="8538"/>
    <cellStyle name="_MOR - Gurgaon - 4+8 (2)_BS_Separation_TaxResIndem_Q12412 tf" xfId="8539"/>
    <cellStyle name="_MOR - Gurgaon - 4+8 (2)_BS_Separation_TaxResIndem_Q12412 tf_Restructuring &amp; Separation" xfId="8540"/>
    <cellStyle name="_MOR - Gurgaon - 4+8 (2)_By Country Detail 1Q10 041410pm FIN 18 revised per disc w Mary" xfId="8541"/>
    <cellStyle name="_MOR - Gurgaon - 4+8 (2)_By Country Detail 1Q10 041410pm FIN 18 revised per disc w Mary_BS_Separation_TaxResIndem_Q12412 tf" xfId="8542"/>
    <cellStyle name="_MOR - Gurgaon - 4+8 (2)_By Country Detail 1Q10 041410pm FIN 18 revised per disc w Mary_BS_Separation_TaxResIndem_Q12412 tf_Restructuring &amp; Separation" xfId="8543"/>
    <cellStyle name="_MOR - Gurgaon - 4+8 (2)_By Country Detail 1Q10 041410pm FIN 18 revised per disc w Mary_II.8. Sep&amp;Discrete" xfId="8544"/>
    <cellStyle name="_MOR - Gurgaon - 4+8 (2)_By Country Detail 1Q10 041410pm FIN 18 revised per disc w Mary_Restructuring &amp; Separation" xfId="8545"/>
    <cellStyle name="_MOR - Gurgaon - 4+8 (2)_II.4. RawMaterials" xfId="8546"/>
    <cellStyle name="_MOR - Gurgaon - 4+8 (2)_II.4. RawMaterials 2" xfId="8547"/>
    <cellStyle name="_MOR - Gurgaon - 4+8 (2)_II.4. RawMaterials_BS retrieve" xfId="8548"/>
    <cellStyle name="_MOR - Gurgaon - 4+8 (2)_II.4. RawMaterials_Free CF" xfId="8549"/>
    <cellStyle name="_MOR - Gurgaon - 4+8 (2)_II.4. RawMaterials_P&amp;L Rec Qtr" xfId="8550"/>
    <cellStyle name="_MOR - Gurgaon - 4+8 (2)_II.4. RawMaterials_Sheet1" xfId="8551"/>
    <cellStyle name="_MOR - Gurgaon - 4+8 (2)_II.4. RawMaterials_Sheet2" xfId="8552"/>
    <cellStyle name="_MOR - Gurgaon - 4+8 (2)_II.4. RawMaterials_Sheet3" xfId="8553"/>
    <cellStyle name="_MOR - Gurgaon - 4+8 (2)_II.4. RawMaterials_Sheet4" xfId="8554"/>
    <cellStyle name="_MOR - Gurgaon - 4+8 (2)_II.5. RawMaterials" xfId="8555"/>
    <cellStyle name="_MOR - Gurgaon - 4+8 (2)_II.5. RawMaterials 2" xfId="8556"/>
    <cellStyle name="_MOR - Gurgaon - 4+8 (2)_II.5. RawMaterials_BS retrieve" xfId="8557"/>
    <cellStyle name="_MOR - Gurgaon - 4+8 (2)_II.5. RawMaterials_Free CF" xfId="8558"/>
    <cellStyle name="_MOR - Gurgaon - 4+8 (2)_II.5. RawMaterials_P&amp;L Rec Qtr" xfId="8559"/>
    <cellStyle name="_MOR - Gurgaon - 4+8 (2)_II.5. RawMaterials_Sheet1" xfId="8560"/>
    <cellStyle name="_MOR - Gurgaon - 4+8 (2)_II.5. RawMaterials_Sheet2" xfId="8561"/>
    <cellStyle name="_MOR - Gurgaon - 4+8 (2)_II.5. RawMaterials_Sheet3" xfId="8562"/>
    <cellStyle name="_MOR - Gurgaon - 4+8 (2)_II.5. RawMaterials_Sheet4" xfId="8563"/>
    <cellStyle name="_MOR - Gurgaon - 4+8 (2)_II.5. RM Volume Sensitivities" xfId="8564"/>
    <cellStyle name="_MOR - Gurgaon - 4+8 (2)_II.5. RM Volume Sensitivities 2" xfId="8565"/>
    <cellStyle name="_MOR - Gurgaon - 4+8 (2)_II.5. RM Volume Sensitivities_BS retrieve" xfId="8566"/>
    <cellStyle name="_MOR - Gurgaon - 4+8 (2)_II.5. RM Volume Sensitivities_Free CF" xfId="8567"/>
    <cellStyle name="_MOR - Gurgaon - 4+8 (2)_II.5. RM Volume Sensitivities_P&amp;L Rec Qtr" xfId="8568"/>
    <cellStyle name="_MOR - Gurgaon - 4+8 (2)_II.5. RM Volume Sensitivities_Sheet1" xfId="8569"/>
    <cellStyle name="_MOR - Gurgaon - 4+8 (2)_II.5. RM Volume Sensitivities_Sheet2" xfId="8570"/>
    <cellStyle name="_MOR - Gurgaon - 4+8 (2)_II.5. RM Volume Sensitivities_Sheet3" xfId="8571"/>
    <cellStyle name="_MOR - Gurgaon - 4+8 (2)_II.5. RM Volume Sensitivities_Sheet4" xfId="8572"/>
    <cellStyle name="_MOR - Gurgaon - 4+8 (2)_II.8. Sep&amp;Discrete" xfId="8573"/>
    <cellStyle name="_MOR - Gurgaon - 4+8 (2)_Restructuring &amp; Separation" xfId="8574"/>
    <cellStyle name="_MOR - Gurgaon - 4+8 (2)_Restructuring_Separation_TAX_JuneFC2010 tf" xfId="8575"/>
    <cellStyle name="_MOR - Gurgaon - 4+8 (2)_Restructuring_Separation_TAX_JuneFC2010 tf_BS_Separation_TaxResIndem_Q12412 tf" xfId="8576"/>
    <cellStyle name="_MOR - Gurgaon - 4+8 (2)_Restructuring_Separation_TAX_JuneFC2010 tf_BS_Separation_TaxResIndem_Q12412 tf_Restructuring &amp; Separation" xfId="8577"/>
    <cellStyle name="_MOR - Gurgaon - 4+8 (2)_Restructuring_Separation_TAX_JuneFC2010 tf_II.8. Sep&amp;Discrete" xfId="8578"/>
    <cellStyle name="_MOR - Gurgaon - 4+8 (2)_Restructuring_Separation_TAX_JuneFC2010 tf_Restructuring &amp; Separation" xfId="8579"/>
    <cellStyle name="_MOR - Gurgaon - 4+8_BS_Separation_TaxResIndem_Q12412 tf" xfId="8580"/>
    <cellStyle name="_MOR - Gurgaon - 4+8_BS_Separation_TaxResIndem_Q12412 tf_Restructuring &amp; Separation" xfId="8581"/>
    <cellStyle name="_MOR - Gurgaon - 4+8_By Country Detail 1Q10 041410pm FIN 18 revised per disc w Mary" xfId="8582"/>
    <cellStyle name="_MOR - Gurgaon - 4+8_By Country Detail 1Q10 041410pm FIN 18 revised per disc w Mary_BS_Separation_TaxResIndem_Q12412 tf" xfId="8583"/>
    <cellStyle name="_MOR - Gurgaon - 4+8_By Country Detail 1Q10 041410pm FIN 18 revised per disc w Mary_BS_Separation_TaxResIndem_Q12412 tf_Restructuring &amp; Separation" xfId="8584"/>
    <cellStyle name="_MOR - Gurgaon - 4+8_By Country Detail 1Q10 041410pm FIN 18 revised per disc w Mary_II.8. Sep&amp;Discrete" xfId="8585"/>
    <cellStyle name="_MOR - Gurgaon - 4+8_By Country Detail 1Q10 041410pm FIN 18 revised per disc w Mary_Restructuring &amp; Separation" xfId="8586"/>
    <cellStyle name="_MOR - Gurgaon - 4+8_II.4. RawMaterials" xfId="8587"/>
    <cellStyle name="_MOR - Gurgaon - 4+8_II.4. RawMaterials 2" xfId="8588"/>
    <cellStyle name="_MOR - Gurgaon - 4+8_II.4. RawMaterials_BS retrieve" xfId="8589"/>
    <cellStyle name="_MOR - Gurgaon - 4+8_II.4. RawMaterials_Free CF" xfId="8590"/>
    <cellStyle name="_MOR - Gurgaon - 4+8_II.4. RawMaterials_P&amp;L Rec Qtr" xfId="8591"/>
    <cellStyle name="_MOR - Gurgaon - 4+8_II.4. RawMaterials_Sheet1" xfId="8592"/>
    <cellStyle name="_MOR - Gurgaon - 4+8_II.4. RawMaterials_Sheet2" xfId="8593"/>
    <cellStyle name="_MOR - Gurgaon - 4+8_II.4. RawMaterials_Sheet3" xfId="8594"/>
    <cellStyle name="_MOR - Gurgaon - 4+8_II.4. RawMaterials_Sheet4" xfId="8595"/>
    <cellStyle name="_MOR - Gurgaon - 4+8_II.5. RawMaterials" xfId="8596"/>
    <cellStyle name="_MOR - Gurgaon - 4+8_II.5. RawMaterials 2" xfId="8597"/>
    <cellStyle name="_MOR - Gurgaon - 4+8_II.5. RawMaterials_BS retrieve" xfId="8598"/>
    <cellStyle name="_MOR - Gurgaon - 4+8_II.5. RawMaterials_Free CF" xfId="8599"/>
    <cellStyle name="_MOR - Gurgaon - 4+8_II.5. RawMaterials_P&amp;L Rec Qtr" xfId="8600"/>
    <cellStyle name="_MOR - Gurgaon - 4+8_II.5. RawMaterials_Sheet1" xfId="8601"/>
    <cellStyle name="_MOR - Gurgaon - 4+8_II.5. RawMaterials_Sheet2" xfId="8602"/>
    <cellStyle name="_MOR - Gurgaon - 4+8_II.5. RawMaterials_Sheet3" xfId="8603"/>
    <cellStyle name="_MOR - Gurgaon - 4+8_II.5. RawMaterials_Sheet4" xfId="8604"/>
    <cellStyle name="_MOR - Gurgaon - 4+8_II.5. RM Volume Sensitivities" xfId="8605"/>
    <cellStyle name="_MOR - Gurgaon - 4+8_II.5. RM Volume Sensitivities 2" xfId="8606"/>
    <cellStyle name="_MOR - Gurgaon - 4+8_II.5. RM Volume Sensitivities_BS retrieve" xfId="8607"/>
    <cellStyle name="_MOR - Gurgaon - 4+8_II.5. RM Volume Sensitivities_Free CF" xfId="8608"/>
    <cellStyle name="_MOR - Gurgaon - 4+8_II.5. RM Volume Sensitivities_P&amp;L Rec Qtr" xfId="8609"/>
    <cellStyle name="_MOR - Gurgaon - 4+8_II.5. RM Volume Sensitivities_Sheet1" xfId="8610"/>
    <cellStyle name="_MOR - Gurgaon - 4+8_II.5. RM Volume Sensitivities_Sheet2" xfId="8611"/>
    <cellStyle name="_MOR - Gurgaon - 4+8_II.5. RM Volume Sensitivities_Sheet3" xfId="8612"/>
    <cellStyle name="_MOR - Gurgaon - 4+8_II.5. RM Volume Sensitivities_Sheet4" xfId="8613"/>
    <cellStyle name="_MOR - Gurgaon - 4+8_II.8. Sep&amp;Discrete" xfId="8614"/>
    <cellStyle name="_MOR - Gurgaon - 4+8_Restructuring &amp; Separation" xfId="8615"/>
    <cellStyle name="_MOR - Gurgaon - 4+8_Restructuring_Separation_TAX_JuneFC2010 tf" xfId="8616"/>
    <cellStyle name="_MOR - Gurgaon - 4+8_Restructuring_Separation_TAX_JuneFC2010 tf_BS_Separation_TaxResIndem_Q12412 tf" xfId="8617"/>
    <cellStyle name="_MOR - Gurgaon - 4+8_Restructuring_Separation_TAX_JuneFC2010 tf_BS_Separation_TaxResIndem_Q12412 tf_Restructuring &amp; Separation" xfId="8618"/>
    <cellStyle name="_MOR - Gurgaon - 4+8_Restructuring_Separation_TAX_JuneFC2010 tf_II.8. Sep&amp;Discrete" xfId="8619"/>
    <cellStyle name="_MOR - Gurgaon - 4+8_Restructuring_Separation_TAX_JuneFC2010 tf_Restructuring &amp; Separation" xfId="8620"/>
    <cellStyle name="_MOR - Gurgaon -12+0" xfId="8621"/>
    <cellStyle name="_MOR - Gurgaon -12+0_~0039877" xfId="8622"/>
    <cellStyle name="_MOR - Gurgaon -12+0_~0039877_BS_Separation_TaxResIndem_Q12412 tf" xfId="8623"/>
    <cellStyle name="_MOR - Gurgaon -12+0_~0039877_BS_Separation_TaxResIndem_Q12412 tf_Restructuring &amp; Separation" xfId="8624"/>
    <cellStyle name="_MOR - Gurgaon -12+0_~0039877_By Country Detail 1Q10 041410pm FIN 18 revised per disc w Mary" xfId="8625"/>
    <cellStyle name="_MOR - Gurgaon -12+0_~0039877_By Country Detail 1Q10 041410pm FIN 18 revised per disc w Mary_BS_Separation_TaxResIndem_Q12412 tf" xfId="8626"/>
    <cellStyle name="_MOR - Gurgaon -12+0_~0039877_By Country Detail 1Q10 041410pm FIN 18 revised per disc w Mary_BS_Separation_TaxResIndem_Q12412 tf_Restructuring &amp; Separation" xfId="8627"/>
    <cellStyle name="_MOR - Gurgaon -12+0_~0039877_By Country Detail 1Q10 041410pm FIN 18 revised per disc w Mary_II.8. Sep&amp;Discrete" xfId="8628"/>
    <cellStyle name="_MOR - Gurgaon -12+0_~0039877_By Country Detail 1Q10 041410pm FIN 18 revised per disc w Mary_Restructuring &amp; Separation" xfId="8629"/>
    <cellStyle name="_MOR - Gurgaon -12+0_~0039877_II.4. RawMaterials" xfId="8630"/>
    <cellStyle name="_MOR - Gurgaon -12+0_~0039877_II.4. RawMaterials 2" xfId="8631"/>
    <cellStyle name="_MOR - Gurgaon -12+0_~0039877_II.4. RawMaterials_BS retrieve" xfId="8632"/>
    <cellStyle name="_MOR - Gurgaon -12+0_~0039877_II.4. RawMaterials_Free CF" xfId="8633"/>
    <cellStyle name="_MOR - Gurgaon -12+0_~0039877_II.4. RawMaterials_P&amp;L Rec Qtr" xfId="8634"/>
    <cellStyle name="_MOR - Gurgaon -12+0_~0039877_II.4. RawMaterials_Sheet1" xfId="8635"/>
    <cellStyle name="_MOR - Gurgaon -12+0_~0039877_II.4. RawMaterials_Sheet2" xfId="8636"/>
    <cellStyle name="_MOR - Gurgaon -12+0_~0039877_II.4. RawMaterials_Sheet3" xfId="8637"/>
    <cellStyle name="_MOR - Gurgaon -12+0_~0039877_II.4. RawMaterials_Sheet4" xfId="8638"/>
    <cellStyle name="_MOR - Gurgaon -12+0_~0039877_II.5. RawMaterials" xfId="8639"/>
    <cellStyle name="_MOR - Gurgaon -12+0_~0039877_II.5. RawMaterials 2" xfId="8640"/>
    <cellStyle name="_MOR - Gurgaon -12+0_~0039877_II.5. RawMaterials_BS retrieve" xfId="8641"/>
    <cellStyle name="_MOR - Gurgaon -12+0_~0039877_II.5. RawMaterials_Free CF" xfId="8642"/>
    <cellStyle name="_MOR - Gurgaon -12+0_~0039877_II.5. RawMaterials_P&amp;L Rec Qtr" xfId="8643"/>
    <cellStyle name="_MOR - Gurgaon -12+0_~0039877_II.5. RawMaterials_Sheet1" xfId="8644"/>
    <cellStyle name="_MOR - Gurgaon -12+0_~0039877_II.5. RawMaterials_Sheet2" xfId="8645"/>
    <cellStyle name="_MOR - Gurgaon -12+0_~0039877_II.5. RawMaterials_Sheet3" xfId="8646"/>
    <cellStyle name="_MOR - Gurgaon -12+0_~0039877_II.5. RawMaterials_Sheet4" xfId="8647"/>
    <cellStyle name="_MOR - Gurgaon -12+0_~0039877_II.5. RM Volume Sensitivities" xfId="8648"/>
    <cellStyle name="_MOR - Gurgaon -12+0_~0039877_II.5. RM Volume Sensitivities 2" xfId="8649"/>
    <cellStyle name="_MOR - Gurgaon -12+0_~0039877_II.5. RM Volume Sensitivities_BS retrieve" xfId="8650"/>
    <cellStyle name="_MOR - Gurgaon -12+0_~0039877_II.5. RM Volume Sensitivities_Free CF" xfId="8651"/>
    <cellStyle name="_MOR - Gurgaon -12+0_~0039877_II.5. RM Volume Sensitivities_P&amp;L Rec Qtr" xfId="8652"/>
    <cellStyle name="_MOR - Gurgaon -12+0_~0039877_II.5. RM Volume Sensitivities_Sheet1" xfId="8653"/>
    <cellStyle name="_MOR - Gurgaon -12+0_~0039877_II.5. RM Volume Sensitivities_Sheet2" xfId="8654"/>
    <cellStyle name="_MOR - Gurgaon -12+0_~0039877_II.5. RM Volume Sensitivities_Sheet3" xfId="8655"/>
    <cellStyle name="_MOR - Gurgaon -12+0_~0039877_II.5. RM Volume Sensitivities_Sheet4" xfId="8656"/>
    <cellStyle name="_MOR - Gurgaon -12+0_~0039877_II.8. Sep&amp;Discrete" xfId="8657"/>
    <cellStyle name="_MOR - Gurgaon -12+0_~0039877_Restructuring &amp; Separation" xfId="8658"/>
    <cellStyle name="_MOR - Gurgaon -12+0_~0039877_Restructuring_Separation_TAX_JuneFC2010 tf" xfId="8659"/>
    <cellStyle name="_MOR - Gurgaon -12+0_~0039877_Restructuring_Separation_TAX_JuneFC2010 tf_BS_Separation_TaxResIndem_Q12412 tf" xfId="8660"/>
    <cellStyle name="_MOR - Gurgaon -12+0_~0039877_Restructuring_Separation_TAX_JuneFC2010 tf_BS_Separation_TaxResIndem_Q12412 tf_Restructuring &amp; Separation" xfId="8661"/>
    <cellStyle name="_MOR - Gurgaon -12+0_~0039877_Restructuring_Separation_TAX_JuneFC2010 tf_II.8. Sep&amp;Discrete" xfId="8662"/>
    <cellStyle name="_MOR - Gurgaon -12+0_~0039877_Restructuring_Separation_TAX_JuneFC2010 tf_Restructuring &amp; Separation" xfId="8663"/>
    <cellStyle name="_MOR - Gurgaon -12+0_BS_Separation_TaxResIndem_Q12412 tf" xfId="8664"/>
    <cellStyle name="_MOR - Gurgaon -12+0_BS_Separation_TaxResIndem_Q12412 tf_Restructuring &amp; Separation" xfId="8665"/>
    <cellStyle name="_MOR - Gurgaon -12+0_By Country Detail 1Q10 041410pm FIN 18 revised per disc w Mary" xfId="8666"/>
    <cellStyle name="_MOR - Gurgaon -12+0_By Country Detail 1Q10 041410pm FIN 18 revised per disc w Mary_BS_Separation_TaxResIndem_Q12412 tf" xfId="8667"/>
    <cellStyle name="_MOR - Gurgaon -12+0_By Country Detail 1Q10 041410pm FIN 18 revised per disc w Mary_BS_Separation_TaxResIndem_Q12412 tf_Restructuring &amp; Separation" xfId="8668"/>
    <cellStyle name="_MOR - Gurgaon -12+0_By Country Detail 1Q10 041410pm FIN 18 revised per disc w Mary_II.8. Sep&amp;Discrete" xfId="8669"/>
    <cellStyle name="_MOR - Gurgaon -12+0_By Country Detail 1Q10 041410pm FIN 18 revised per disc w Mary_Restructuring &amp; Separation" xfId="8670"/>
    <cellStyle name="_MOR - Gurgaon -12+0_II.4. RawMaterials" xfId="8671"/>
    <cellStyle name="_MOR - Gurgaon -12+0_II.4. RawMaterials 2" xfId="8672"/>
    <cellStyle name="_MOR - Gurgaon -12+0_II.4. RawMaterials_BS retrieve" xfId="8673"/>
    <cellStyle name="_MOR - Gurgaon -12+0_II.4. RawMaterials_Free CF" xfId="8674"/>
    <cellStyle name="_MOR - Gurgaon -12+0_II.4. RawMaterials_P&amp;L Rec Qtr" xfId="8675"/>
    <cellStyle name="_MOR - Gurgaon -12+0_II.4. RawMaterials_Sheet1" xfId="8676"/>
    <cellStyle name="_MOR - Gurgaon -12+0_II.4. RawMaterials_Sheet2" xfId="8677"/>
    <cellStyle name="_MOR - Gurgaon -12+0_II.4. RawMaterials_Sheet3" xfId="8678"/>
    <cellStyle name="_MOR - Gurgaon -12+0_II.4. RawMaterials_Sheet4" xfId="8679"/>
    <cellStyle name="_MOR - Gurgaon -12+0_II.5. RawMaterials" xfId="8680"/>
    <cellStyle name="_MOR - Gurgaon -12+0_II.5. RawMaterials 2" xfId="8681"/>
    <cellStyle name="_MOR - Gurgaon -12+0_II.5. RawMaterials_BS retrieve" xfId="8682"/>
    <cellStyle name="_MOR - Gurgaon -12+0_II.5. RawMaterials_Free CF" xfId="8683"/>
    <cellStyle name="_MOR - Gurgaon -12+0_II.5. RawMaterials_P&amp;L Rec Qtr" xfId="8684"/>
    <cellStyle name="_MOR - Gurgaon -12+0_II.5. RawMaterials_Sheet1" xfId="8685"/>
    <cellStyle name="_MOR - Gurgaon -12+0_II.5. RawMaterials_Sheet2" xfId="8686"/>
    <cellStyle name="_MOR - Gurgaon -12+0_II.5. RawMaterials_Sheet3" xfId="8687"/>
    <cellStyle name="_MOR - Gurgaon -12+0_II.5. RawMaterials_Sheet4" xfId="8688"/>
    <cellStyle name="_MOR - Gurgaon -12+0_II.5. RM Volume Sensitivities" xfId="8689"/>
    <cellStyle name="_MOR - Gurgaon -12+0_II.5. RM Volume Sensitivities 2" xfId="8690"/>
    <cellStyle name="_MOR - Gurgaon -12+0_II.5. RM Volume Sensitivities_BS retrieve" xfId="8691"/>
    <cellStyle name="_MOR - Gurgaon -12+0_II.5. RM Volume Sensitivities_Free CF" xfId="8692"/>
    <cellStyle name="_MOR - Gurgaon -12+0_II.5. RM Volume Sensitivities_P&amp;L Rec Qtr" xfId="8693"/>
    <cellStyle name="_MOR - Gurgaon -12+0_II.5. RM Volume Sensitivities_Sheet1" xfId="8694"/>
    <cellStyle name="_MOR - Gurgaon -12+0_II.5. RM Volume Sensitivities_Sheet2" xfId="8695"/>
    <cellStyle name="_MOR - Gurgaon -12+0_II.5. RM Volume Sensitivities_Sheet3" xfId="8696"/>
    <cellStyle name="_MOR - Gurgaon -12+0_II.5. RM Volume Sensitivities_Sheet4" xfId="8697"/>
    <cellStyle name="_MOR - Gurgaon -12+0_II.8. Sep&amp;Discrete" xfId="8698"/>
    <cellStyle name="_MOR - Gurgaon -12+0_MOR - Gurgaon - 3+9(R)-1" xfId="8699"/>
    <cellStyle name="_MOR - Gurgaon -12+0_MOR - Gurgaon - 3+9(R)-1_~0039877" xfId="8700"/>
    <cellStyle name="_MOR - Gurgaon -12+0_MOR - Gurgaon - 3+9(R)-1_~0039877_BS_Separation_TaxResIndem_Q12412 tf" xfId="8701"/>
    <cellStyle name="_MOR - Gurgaon -12+0_MOR - Gurgaon - 3+9(R)-1_~0039877_BS_Separation_TaxResIndem_Q12412 tf_Restructuring &amp; Separation" xfId="8702"/>
    <cellStyle name="_MOR - Gurgaon -12+0_MOR - Gurgaon - 3+9(R)-1_~0039877_By Country Detail 1Q10 041410pm FIN 18 revised per disc w Mary" xfId="8703"/>
    <cellStyle name="_MOR - Gurgaon -12+0_MOR - Gurgaon - 3+9(R)-1_~0039877_By Country Detail 1Q10 041410pm FIN 18 revised per disc w Mary_BS_Separation_TaxResIndem_Q12412 tf" xfId="8704"/>
    <cellStyle name="_MOR - Gurgaon -12+0_MOR - Gurgaon - 3+9(R)-1_~0039877_By Country Detail 1Q10 041410pm FIN 18 revised per disc w Mary_BS_Separation_TaxResIndem_Q12412 tf_Restructuring &amp; Separation" xfId="8705"/>
    <cellStyle name="_MOR - Gurgaon -12+0_MOR - Gurgaon - 3+9(R)-1_~0039877_By Country Detail 1Q10 041410pm FIN 18 revised per disc w Mary_II.8. Sep&amp;Discrete" xfId="8706"/>
    <cellStyle name="_MOR - Gurgaon -12+0_MOR - Gurgaon - 3+9(R)-1_~0039877_By Country Detail 1Q10 041410pm FIN 18 revised per disc w Mary_Restructuring &amp; Separation" xfId="8707"/>
    <cellStyle name="_MOR - Gurgaon -12+0_MOR - Gurgaon - 3+9(R)-1_~0039877_II.4. RawMaterials" xfId="8708"/>
    <cellStyle name="_MOR - Gurgaon -12+0_MOR - Gurgaon - 3+9(R)-1_~0039877_II.4. RawMaterials 2" xfId="8709"/>
    <cellStyle name="_MOR - Gurgaon -12+0_MOR - Gurgaon - 3+9(R)-1_~0039877_II.4. RawMaterials_BS retrieve" xfId="8710"/>
    <cellStyle name="_MOR - Gurgaon -12+0_MOR - Gurgaon - 3+9(R)-1_~0039877_II.4. RawMaterials_Free CF" xfId="8711"/>
    <cellStyle name="_MOR - Gurgaon -12+0_MOR - Gurgaon - 3+9(R)-1_~0039877_II.4. RawMaterials_P&amp;L Rec Qtr" xfId="8712"/>
    <cellStyle name="_MOR - Gurgaon -12+0_MOR - Gurgaon - 3+9(R)-1_~0039877_II.4. RawMaterials_Sheet1" xfId="8713"/>
    <cellStyle name="_MOR - Gurgaon -12+0_MOR - Gurgaon - 3+9(R)-1_~0039877_II.4. RawMaterials_Sheet2" xfId="8714"/>
    <cellStyle name="_MOR - Gurgaon -12+0_MOR - Gurgaon - 3+9(R)-1_~0039877_II.4. RawMaterials_Sheet3" xfId="8715"/>
    <cellStyle name="_MOR - Gurgaon -12+0_MOR - Gurgaon - 3+9(R)-1_~0039877_II.4. RawMaterials_Sheet4" xfId="8716"/>
    <cellStyle name="_MOR - Gurgaon -12+0_MOR - Gurgaon - 3+9(R)-1_~0039877_II.5. RawMaterials" xfId="8717"/>
    <cellStyle name="_MOR - Gurgaon -12+0_MOR - Gurgaon - 3+9(R)-1_~0039877_II.5. RawMaterials 2" xfId="8718"/>
    <cellStyle name="_MOR - Gurgaon -12+0_MOR - Gurgaon - 3+9(R)-1_~0039877_II.5. RawMaterials_BS retrieve" xfId="8719"/>
    <cellStyle name="_MOR - Gurgaon -12+0_MOR - Gurgaon - 3+9(R)-1_~0039877_II.5. RawMaterials_Free CF" xfId="8720"/>
    <cellStyle name="_MOR - Gurgaon -12+0_MOR - Gurgaon - 3+9(R)-1_~0039877_II.5. RawMaterials_P&amp;L Rec Qtr" xfId="8721"/>
    <cellStyle name="_MOR - Gurgaon -12+0_MOR - Gurgaon - 3+9(R)-1_~0039877_II.5. RawMaterials_Sheet1" xfId="8722"/>
    <cellStyle name="_MOR - Gurgaon -12+0_MOR - Gurgaon - 3+9(R)-1_~0039877_II.5. RawMaterials_Sheet2" xfId="8723"/>
    <cellStyle name="_MOR - Gurgaon -12+0_MOR - Gurgaon - 3+9(R)-1_~0039877_II.5. RawMaterials_Sheet3" xfId="8724"/>
    <cellStyle name="_MOR - Gurgaon -12+0_MOR - Gurgaon - 3+9(R)-1_~0039877_II.5. RawMaterials_Sheet4" xfId="8725"/>
    <cellStyle name="_MOR - Gurgaon -12+0_MOR - Gurgaon - 3+9(R)-1_~0039877_II.5. RM Volume Sensitivities" xfId="8726"/>
    <cellStyle name="_MOR - Gurgaon -12+0_MOR - Gurgaon - 3+9(R)-1_~0039877_II.5. RM Volume Sensitivities 2" xfId="8727"/>
    <cellStyle name="_MOR - Gurgaon -12+0_MOR - Gurgaon - 3+9(R)-1_~0039877_II.5. RM Volume Sensitivities_BS retrieve" xfId="8728"/>
    <cellStyle name="_MOR - Gurgaon -12+0_MOR - Gurgaon - 3+9(R)-1_~0039877_II.5. RM Volume Sensitivities_Free CF" xfId="8729"/>
    <cellStyle name="_MOR - Gurgaon -12+0_MOR - Gurgaon - 3+9(R)-1_~0039877_II.5. RM Volume Sensitivities_P&amp;L Rec Qtr" xfId="8730"/>
    <cellStyle name="_MOR - Gurgaon -12+0_MOR - Gurgaon - 3+9(R)-1_~0039877_II.5. RM Volume Sensitivities_Sheet1" xfId="8731"/>
    <cellStyle name="_MOR - Gurgaon -12+0_MOR - Gurgaon - 3+9(R)-1_~0039877_II.5. RM Volume Sensitivities_Sheet2" xfId="8732"/>
    <cellStyle name="_MOR - Gurgaon -12+0_MOR - Gurgaon - 3+9(R)-1_~0039877_II.5. RM Volume Sensitivities_Sheet3" xfId="8733"/>
    <cellStyle name="_MOR - Gurgaon -12+0_MOR - Gurgaon - 3+9(R)-1_~0039877_II.5. RM Volume Sensitivities_Sheet4" xfId="8734"/>
    <cellStyle name="_MOR - Gurgaon -12+0_MOR - Gurgaon - 3+9(R)-1_~0039877_II.8. Sep&amp;Discrete" xfId="8735"/>
    <cellStyle name="_MOR - Gurgaon -12+0_MOR - Gurgaon - 3+9(R)-1_~0039877_Restructuring &amp; Separation" xfId="8736"/>
    <cellStyle name="_MOR - Gurgaon -12+0_MOR - Gurgaon - 3+9(R)-1_~0039877_Restructuring_Separation_TAX_JuneFC2010 tf" xfId="8737"/>
    <cellStyle name="_MOR - Gurgaon -12+0_MOR - Gurgaon - 3+9(R)-1_~0039877_Restructuring_Separation_TAX_JuneFC2010 tf_BS_Separation_TaxResIndem_Q12412 tf" xfId="8738"/>
    <cellStyle name="_MOR - Gurgaon -12+0_MOR - Gurgaon - 3+9(R)-1_~0039877_Restructuring_Separation_TAX_JuneFC2010 tf_BS_Separation_TaxResIndem_Q12412 tf_Restructuring &amp; Separation" xfId="8739"/>
    <cellStyle name="_MOR - Gurgaon -12+0_MOR - Gurgaon - 3+9(R)-1_~0039877_Restructuring_Separation_TAX_JuneFC2010 tf_II.8. Sep&amp;Discrete" xfId="8740"/>
    <cellStyle name="_MOR - Gurgaon -12+0_MOR - Gurgaon - 3+9(R)-1_~0039877_Restructuring_Separation_TAX_JuneFC2010 tf_Restructuring &amp; Separation" xfId="8741"/>
    <cellStyle name="_MOR - Gurgaon -12+0_MOR - Gurgaon - 3+9(R)-1_BS_Separation_TaxResIndem_Q12412 tf" xfId="8742"/>
    <cellStyle name="_MOR - Gurgaon -12+0_MOR - Gurgaon - 3+9(R)-1_BS_Separation_TaxResIndem_Q12412 tf_Restructuring &amp; Separation" xfId="8743"/>
    <cellStyle name="_MOR - Gurgaon -12+0_MOR - Gurgaon - 3+9(R)-1_By Country Detail 1Q10 041410pm FIN 18 revised per disc w Mary" xfId="8744"/>
    <cellStyle name="_MOR - Gurgaon -12+0_MOR - Gurgaon - 3+9(R)-1_By Country Detail 1Q10 041410pm FIN 18 revised per disc w Mary_BS_Separation_TaxResIndem_Q12412 tf" xfId="8745"/>
    <cellStyle name="_MOR - Gurgaon -12+0_MOR - Gurgaon - 3+9(R)-1_By Country Detail 1Q10 041410pm FIN 18 revised per disc w Mary_BS_Separation_TaxResIndem_Q12412 tf_Restructuring &amp; Separation" xfId="8746"/>
    <cellStyle name="_MOR - Gurgaon -12+0_MOR - Gurgaon - 3+9(R)-1_By Country Detail 1Q10 041410pm FIN 18 revised per disc w Mary_II.8. Sep&amp;Discrete" xfId="8747"/>
    <cellStyle name="_MOR - Gurgaon -12+0_MOR - Gurgaon - 3+9(R)-1_By Country Detail 1Q10 041410pm FIN 18 revised per disc w Mary_Restructuring &amp; Separation" xfId="8748"/>
    <cellStyle name="_MOR - Gurgaon -12+0_MOR - Gurgaon - 3+9(R)-1_II.4. RawMaterials" xfId="8749"/>
    <cellStyle name="_MOR - Gurgaon -12+0_MOR - Gurgaon - 3+9(R)-1_II.4. RawMaterials 2" xfId="8750"/>
    <cellStyle name="_MOR - Gurgaon -12+0_MOR - Gurgaon - 3+9(R)-1_II.4. RawMaterials_BS retrieve" xfId="8751"/>
    <cellStyle name="_MOR - Gurgaon -12+0_MOR - Gurgaon - 3+9(R)-1_II.4. RawMaterials_Free CF" xfId="8752"/>
    <cellStyle name="_MOR - Gurgaon -12+0_MOR - Gurgaon - 3+9(R)-1_II.4. RawMaterials_P&amp;L Rec Qtr" xfId="8753"/>
    <cellStyle name="_MOR - Gurgaon -12+0_MOR - Gurgaon - 3+9(R)-1_II.4. RawMaterials_Sheet1" xfId="8754"/>
    <cellStyle name="_MOR - Gurgaon -12+0_MOR - Gurgaon - 3+9(R)-1_II.4. RawMaterials_Sheet2" xfId="8755"/>
    <cellStyle name="_MOR - Gurgaon -12+0_MOR - Gurgaon - 3+9(R)-1_II.4. RawMaterials_Sheet3" xfId="8756"/>
    <cellStyle name="_MOR - Gurgaon -12+0_MOR - Gurgaon - 3+9(R)-1_II.4. RawMaterials_Sheet4" xfId="8757"/>
    <cellStyle name="_MOR - Gurgaon -12+0_MOR - Gurgaon - 3+9(R)-1_II.5. RawMaterials" xfId="8758"/>
    <cellStyle name="_MOR - Gurgaon -12+0_MOR - Gurgaon - 3+9(R)-1_II.5. RawMaterials 2" xfId="8759"/>
    <cellStyle name="_MOR - Gurgaon -12+0_MOR - Gurgaon - 3+9(R)-1_II.5. RawMaterials_BS retrieve" xfId="8760"/>
    <cellStyle name="_MOR - Gurgaon -12+0_MOR - Gurgaon - 3+9(R)-1_II.5. RawMaterials_Free CF" xfId="8761"/>
    <cellStyle name="_MOR - Gurgaon -12+0_MOR - Gurgaon - 3+9(R)-1_II.5. RawMaterials_P&amp;L Rec Qtr" xfId="8762"/>
    <cellStyle name="_MOR - Gurgaon -12+0_MOR - Gurgaon - 3+9(R)-1_II.5. RawMaterials_Sheet1" xfId="8763"/>
    <cellStyle name="_MOR - Gurgaon -12+0_MOR - Gurgaon - 3+9(R)-1_II.5. RawMaterials_Sheet2" xfId="8764"/>
    <cellStyle name="_MOR - Gurgaon -12+0_MOR - Gurgaon - 3+9(R)-1_II.5. RawMaterials_Sheet3" xfId="8765"/>
    <cellStyle name="_MOR - Gurgaon -12+0_MOR - Gurgaon - 3+9(R)-1_II.5. RawMaterials_Sheet4" xfId="8766"/>
    <cellStyle name="_MOR - Gurgaon -12+0_MOR - Gurgaon - 3+9(R)-1_II.5. RM Volume Sensitivities" xfId="8767"/>
    <cellStyle name="_MOR - Gurgaon -12+0_MOR - Gurgaon - 3+9(R)-1_II.5. RM Volume Sensitivities 2" xfId="8768"/>
    <cellStyle name="_MOR - Gurgaon -12+0_MOR - Gurgaon - 3+9(R)-1_II.5. RM Volume Sensitivities_BS retrieve" xfId="8769"/>
    <cellStyle name="_MOR - Gurgaon -12+0_MOR - Gurgaon - 3+9(R)-1_II.5. RM Volume Sensitivities_Free CF" xfId="8770"/>
    <cellStyle name="_MOR - Gurgaon -12+0_MOR - Gurgaon - 3+9(R)-1_II.5. RM Volume Sensitivities_P&amp;L Rec Qtr" xfId="8771"/>
    <cellStyle name="_MOR - Gurgaon -12+0_MOR - Gurgaon - 3+9(R)-1_II.5. RM Volume Sensitivities_Sheet1" xfId="8772"/>
    <cellStyle name="_MOR - Gurgaon -12+0_MOR - Gurgaon - 3+9(R)-1_II.5. RM Volume Sensitivities_Sheet2" xfId="8773"/>
    <cellStyle name="_MOR - Gurgaon -12+0_MOR - Gurgaon - 3+9(R)-1_II.5. RM Volume Sensitivities_Sheet3" xfId="8774"/>
    <cellStyle name="_MOR - Gurgaon -12+0_MOR - Gurgaon - 3+9(R)-1_II.5. RM Volume Sensitivities_Sheet4" xfId="8775"/>
    <cellStyle name="_MOR - Gurgaon -12+0_MOR - Gurgaon - 3+9(R)-1_II.8. Sep&amp;Discrete" xfId="8776"/>
    <cellStyle name="_MOR - Gurgaon -12+0_MOR - Gurgaon - 3+9(R)-1_Restructuring &amp; Separation" xfId="8777"/>
    <cellStyle name="_MOR - Gurgaon -12+0_MOR - Gurgaon - 3+9(R)-1_Restructuring_Separation_TAX_JuneFC2010 tf" xfId="8778"/>
    <cellStyle name="_MOR - Gurgaon -12+0_MOR - Gurgaon - 3+9(R)-1_Restructuring_Separation_TAX_JuneFC2010 tf_BS_Separation_TaxResIndem_Q12412 tf" xfId="8779"/>
    <cellStyle name="_MOR - Gurgaon -12+0_MOR - Gurgaon - 3+9(R)-1_Restructuring_Separation_TAX_JuneFC2010 tf_BS_Separation_TaxResIndem_Q12412 tf_Restructuring &amp; Separation" xfId="8780"/>
    <cellStyle name="_MOR - Gurgaon -12+0_MOR - Gurgaon - 3+9(R)-1_Restructuring_Separation_TAX_JuneFC2010 tf_II.8. Sep&amp;Discrete" xfId="8781"/>
    <cellStyle name="_MOR - Gurgaon -12+0_MOR - Gurgaon - 3+9(R)-1_Restructuring_Separation_TAX_JuneFC2010 tf_Restructuring &amp; Separation" xfId="8782"/>
    <cellStyle name="_MOR - Gurgaon -12+0_MOR - Gurgaon - 3+9(R)-1_Revised MOR Package - Latest" xfId="8783"/>
    <cellStyle name="_MOR - Gurgaon -12+0_MOR - Gurgaon - 3+9(R)-1_Revised MOR Package - Latest_BS_Separation_TaxResIndem_Q12412 tf" xfId="8784"/>
    <cellStyle name="_MOR - Gurgaon -12+0_MOR - Gurgaon - 3+9(R)-1_Revised MOR Package - Latest_BS_Separation_TaxResIndem_Q12412 tf_Restructuring &amp; Separation" xfId="8785"/>
    <cellStyle name="_MOR - Gurgaon -12+0_MOR - Gurgaon - 3+9(R)-1_Revised MOR Package - Latest_By Country Detail 1Q10 041410pm FIN 18 revised per disc w Mary" xfId="8786"/>
    <cellStyle name="_MOR - Gurgaon -12+0_MOR - Gurgaon - 3+9(R)-1_Revised MOR Package - Latest_By Country Detail 1Q10 041410pm FIN 18 revised per disc w Mary_BS_Separation_TaxResIndem_Q12412 tf" xfId="8787"/>
    <cellStyle name="_MOR - Gurgaon -12+0_MOR - Gurgaon - 3+9(R)-1_Revised MOR Package - Latest_By Country Detail 1Q10 041410pm FIN 18 revised per disc w Mary_BS_Separation_TaxResIndem_Q12412 tf_Restructuring &amp; Separation" xfId="8788"/>
    <cellStyle name="_MOR - Gurgaon -12+0_MOR - Gurgaon - 3+9(R)-1_Revised MOR Package - Latest_By Country Detail 1Q10 041410pm FIN 18 revised per disc w Mary_II.8. Sep&amp;Discrete" xfId="8789"/>
    <cellStyle name="_MOR - Gurgaon -12+0_MOR - Gurgaon - 3+9(R)-1_Revised MOR Package - Latest_By Country Detail 1Q10 041410pm FIN 18 revised per disc w Mary_Restructuring &amp; Separation" xfId="8790"/>
    <cellStyle name="_MOR - Gurgaon -12+0_MOR - Gurgaon - 3+9(R)-1_Revised MOR Package - Latest_II.4. RawMaterials" xfId="8791"/>
    <cellStyle name="_MOR - Gurgaon -12+0_MOR - Gurgaon - 3+9(R)-1_Revised MOR Package - Latest_II.4. RawMaterials 2" xfId="8792"/>
    <cellStyle name="_MOR - Gurgaon -12+0_MOR - Gurgaon - 3+9(R)-1_Revised MOR Package - Latest_II.4. RawMaterials_BS retrieve" xfId="8793"/>
    <cellStyle name="_MOR - Gurgaon -12+0_MOR - Gurgaon - 3+9(R)-1_Revised MOR Package - Latest_II.4. RawMaterials_Free CF" xfId="8794"/>
    <cellStyle name="_MOR - Gurgaon -12+0_MOR - Gurgaon - 3+9(R)-1_Revised MOR Package - Latest_II.4. RawMaterials_P&amp;L Rec Qtr" xfId="8795"/>
    <cellStyle name="_MOR - Gurgaon -12+0_MOR - Gurgaon - 3+9(R)-1_Revised MOR Package - Latest_II.4. RawMaterials_Sheet1" xfId="8796"/>
    <cellStyle name="_MOR - Gurgaon -12+0_MOR - Gurgaon - 3+9(R)-1_Revised MOR Package - Latest_II.4. RawMaterials_Sheet2" xfId="8797"/>
    <cellStyle name="_MOR - Gurgaon -12+0_MOR - Gurgaon - 3+9(R)-1_Revised MOR Package - Latest_II.4. RawMaterials_Sheet3" xfId="8798"/>
    <cellStyle name="_MOR - Gurgaon -12+0_MOR - Gurgaon - 3+9(R)-1_Revised MOR Package - Latest_II.4. RawMaterials_Sheet4" xfId="8799"/>
    <cellStyle name="_MOR - Gurgaon -12+0_MOR - Gurgaon - 3+9(R)-1_Revised MOR Package - Latest_II.5. RawMaterials" xfId="8800"/>
    <cellStyle name="_MOR - Gurgaon -12+0_MOR - Gurgaon - 3+9(R)-1_Revised MOR Package - Latest_II.5. RawMaterials 2" xfId="8801"/>
    <cellStyle name="_MOR - Gurgaon -12+0_MOR - Gurgaon - 3+9(R)-1_Revised MOR Package - Latest_II.5. RawMaterials_BS retrieve" xfId="8802"/>
    <cellStyle name="_MOR - Gurgaon -12+0_MOR - Gurgaon - 3+9(R)-1_Revised MOR Package - Latest_II.5. RawMaterials_Free CF" xfId="8803"/>
    <cellStyle name="_MOR - Gurgaon -12+0_MOR - Gurgaon - 3+9(R)-1_Revised MOR Package - Latest_II.5. RawMaterials_P&amp;L Rec Qtr" xfId="8804"/>
    <cellStyle name="_MOR - Gurgaon -12+0_MOR - Gurgaon - 3+9(R)-1_Revised MOR Package - Latest_II.5. RawMaterials_Sheet1" xfId="8805"/>
    <cellStyle name="_MOR - Gurgaon -12+0_MOR - Gurgaon - 3+9(R)-1_Revised MOR Package - Latest_II.5. RawMaterials_Sheet2" xfId="8806"/>
    <cellStyle name="_MOR - Gurgaon -12+0_MOR - Gurgaon - 3+9(R)-1_Revised MOR Package - Latest_II.5. RawMaterials_Sheet3" xfId="8807"/>
    <cellStyle name="_MOR - Gurgaon -12+0_MOR - Gurgaon - 3+9(R)-1_Revised MOR Package - Latest_II.5. RawMaterials_Sheet4" xfId="8808"/>
    <cellStyle name="_MOR - Gurgaon -12+0_MOR - Gurgaon - 3+9(R)-1_Revised MOR Package - Latest_II.5. RM Volume Sensitivities" xfId="8809"/>
    <cellStyle name="_MOR - Gurgaon -12+0_MOR - Gurgaon - 3+9(R)-1_Revised MOR Package - Latest_II.5. RM Volume Sensitivities 2" xfId="8810"/>
    <cellStyle name="_MOR - Gurgaon -12+0_MOR - Gurgaon - 3+9(R)-1_Revised MOR Package - Latest_II.5. RM Volume Sensitivities_BS retrieve" xfId="8811"/>
    <cellStyle name="_MOR - Gurgaon -12+0_MOR - Gurgaon - 3+9(R)-1_Revised MOR Package - Latest_II.5. RM Volume Sensitivities_Free CF" xfId="8812"/>
    <cellStyle name="_MOR - Gurgaon -12+0_MOR - Gurgaon - 3+9(R)-1_Revised MOR Package - Latest_II.5. RM Volume Sensitivities_P&amp;L Rec Qtr" xfId="8813"/>
    <cellStyle name="_MOR - Gurgaon -12+0_MOR - Gurgaon - 3+9(R)-1_Revised MOR Package - Latest_II.5. RM Volume Sensitivities_Sheet1" xfId="8814"/>
    <cellStyle name="_MOR - Gurgaon -12+0_MOR - Gurgaon - 3+9(R)-1_Revised MOR Package - Latest_II.5. RM Volume Sensitivities_Sheet2" xfId="8815"/>
    <cellStyle name="_MOR - Gurgaon -12+0_MOR - Gurgaon - 3+9(R)-1_Revised MOR Package - Latest_II.5. RM Volume Sensitivities_Sheet3" xfId="8816"/>
    <cellStyle name="_MOR - Gurgaon -12+0_MOR - Gurgaon - 3+9(R)-1_Revised MOR Package - Latest_II.5. RM Volume Sensitivities_Sheet4" xfId="8817"/>
    <cellStyle name="_MOR - Gurgaon -12+0_MOR - Gurgaon - 3+9(R)-1_Revised MOR Package - Latest_II.8. Sep&amp;Discrete" xfId="8818"/>
    <cellStyle name="_MOR - Gurgaon -12+0_MOR - Gurgaon - 3+9(R)-1_Revised MOR Package - Latest_Restructuring &amp; Separation" xfId="8819"/>
    <cellStyle name="_MOR - Gurgaon -12+0_MOR - Gurgaon - 3+9(R)-1_Revised MOR Package - Latest_Restructuring_Separation_TAX_JuneFC2010 tf" xfId="8820"/>
    <cellStyle name="_MOR - Gurgaon -12+0_MOR - Gurgaon - 3+9(R)-1_Revised MOR Package - Latest_Restructuring_Separation_TAX_JuneFC2010 tf_BS_Separation_TaxResIndem_Q12412 tf" xfId="8821"/>
    <cellStyle name="_MOR - Gurgaon -12+0_MOR - Gurgaon - 3+9(R)-1_Revised MOR Package - Latest_Restructuring_Separation_TAX_JuneFC2010 tf_BS_Separation_TaxResIndem_Q12412 tf_Restructuring &amp; Separation" xfId="8822"/>
    <cellStyle name="_MOR - Gurgaon -12+0_MOR - Gurgaon - 3+9(R)-1_Revised MOR Package - Latest_Restructuring_Separation_TAX_JuneFC2010 tf_II.8. Sep&amp;Discrete" xfId="8823"/>
    <cellStyle name="_MOR - Gurgaon -12+0_MOR - Gurgaon - 3+9(R)-1_Revised MOR Package - Latest_Restructuring_Separation_TAX_JuneFC2010 tf_Restructuring &amp; Separation" xfId="8824"/>
    <cellStyle name="_MOR - Gurgaon -12+0_MOR - Revised Package" xfId="8825"/>
    <cellStyle name="_MOR - Gurgaon -12+0_MOR - Revised Package_~0039877" xfId="8826"/>
    <cellStyle name="_MOR - Gurgaon -12+0_MOR - Revised Package_~0039877_BS_Separation_TaxResIndem_Q12412 tf" xfId="8827"/>
    <cellStyle name="_MOR - Gurgaon -12+0_MOR - Revised Package_~0039877_BS_Separation_TaxResIndem_Q12412 tf_Restructuring &amp; Separation" xfId="8828"/>
    <cellStyle name="_MOR - Gurgaon -12+0_MOR - Revised Package_~0039877_By Country Detail 1Q10 041410pm FIN 18 revised per disc w Mary" xfId="8829"/>
    <cellStyle name="_MOR - Gurgaon -12+0_MOR - Revised Package_~0039877_By Country Detail 1Q10 041410pm FIN 18 revised per disc w Mary_BS_Separation_TaxResIndem_Q12412 tf" xfId="8830"/>
    <cellStyle name="_MOR - Gurgaon -12+0_MOR - Revised Package_~0039877_By Country Detail 1Q10 041410pm FIN 18 revised per disc w Mary_BS_Separation_TaxResIndem_Q12412 tf_Restructuring &amp; Separation" xfId="8831"/>
    <cellStyle name="_MOR - Gurgaon -12+0_MOR - Revised Package_~0039877_By Country Detail 1Q10 041410pm FIN 18 revised per disc w Mary_II.8. Sep&amp;Discrete" xfId="8832"/>
    <cellStyle name="_MOR - Gurgaon -12+0_MOR - Revised Package_~0039877_By Country Detail 1Q10 041410pm FIN 18 revised per disc w Mary_Restructuring &amp; Separation" xfId="8833"/>
    <cellStyle name="_MOR - Gurgaon -12+0_MOR - Revised Package_~0039877_II.4. RawMaterials" xfId="8834"/>
    <cellStyle name="_MOR - Gurgaon -12+0_MOR - Revised Package_~0039877_II.4. RawMaterials 2" xfId="8835"/>
    <cellStyle name="_MOR - Gurgaon -12+0_MOR - Revised Package_~0039877_II.4. RawMaterials_BS retrieve" xfId="8836"/>
    <cellStyle name="_MOR - Gurgaon -12+0_MOR - Revised Package_~0039877_II.4. RawMaterials_Free CF" xfId="8837"/>
    <cellStyle name="_MOR - Gurgaon -12+0_MOR - Revised Package_~0039877_II.4. RawMaterials_P&amp;L Rec Qtr" xfId="8838"/>
    <cellStyle name="_MOR - Gurgaon -12+0_MOR - Revised Package_~0039877_II.4. RawMaterials_Sheet1" xfId="8839"/>
    <cellStyle name="_MOR - Gurgaon -12+0_MOR - Revised Package_~0039877_II.4. RawMaterials_Sheet2" xfId="8840"/>
    <cellStyle name="_MOR - Gurgaon -12+0_MOR - Revised Package_~0039877_II.4. RawMaterials_Sheet3" xfId="8841"/>
    <cellStyle name="_MOR - Gurgaon -12+0_MOR - Revised Package_~0039877_II.4. RawMaterials_Sheet4" xfId="8842"/>
    <cellStyle name="_MOR - Gurgaon -12+0_MOR - Revised Package_~0039877_II.5. RawMaterials" xfId="8843"/>
    <cellStyle name="_MOR - Gurgaon -12+0_MOR - Revised Package_~0039877_II.5. RawMaterials 2" xfId="8844"/>
    <cellStyle name="_MOR - Gurgaon -12+0_MOR - Revised Package_~0039877_II.5. RawMaterials_BS retrieve" xfId="8845"/>
    <cellStyle name="_MOR - Gurgaon -12+0_MOR - Revised Package_~0039877_II.5. RawMaterials_Free CF" xfId="8846"/>
    <cellStyle name="_MOR - Gurgaon -12+0_MOR - Revised Package_~0039877_II.5. RawMaterials_P&amp;L Rec Qtr" xfId="8847"/>
    <cellStyle name="_MOR - Gurgaon -12+0_MOR - Revised Package_~0039877_II.5. RawMaterials_Sheet1" xfId="8848"/>
    <cellStyle name="_MOR - Gurgaon -12+0_MOR - Revised Package_~0039877_II.5. RawMaterials_Sheet2" xfId="8849"/>
    <cellStyle name="_MOR - Gurgaon -12+0_MOR - Revised Package_~0039877_II.5. RawMaterials_Sheet3" xfId="8850"/>
    <cellStyle name="_MOR - Gurgaon -12+0_MOR - Revised Package_~0039877_II.5. RawMaterials_Sheet4" xfId="8851"/>
    <cellStyle name="_MOR - Gurgaon -12+0_MOR - Revised Package_~0039877_II.5. RM Volume Sensitivities" xfId="8852"/>
    <cellStyle name="_MOR - Gurgaon -12+0_MOR - Revised Package_~0039877_II.5. RM Volume Sensitivities 2" xfId="8853"/>
    <cellStyle name="_MOR - Gurgaon -12+0_MOR - Revised Package_~0039877_II.5. RM Volume Sensitivities_BS retrieve" xfId="8854"/>
    <cellStyle name="_MOR - Gurgaon -12+0_MOR - Revised Package_~0039877_II.5. RM Volume Sensitivities_Free CF" xfId="8855"/>
    <cellStyle name="_MOR - Gurgaon -12+0_MOR - Revised Package_~0039877_II.5. RM Volume Sensitivities_P&amp;L Rec Qtr" xfId="8856"/>
    <cellStyle name="_MOR - Gurgaon -12+0_MOR - Revised Package_~0039877_II.5. RM Volume Sensitivities_Sheet1" xfId="8857"/>
    <cellStyle name="_MOR - Gurgaon -12+0_MOR - Revised Package_~0039877_II.5. RM Volume Sensitivities_Sheet2" xfId="8858"/>
    <cellStyle name="_MOR - Gurgaon -12+0_MOR - Revised Package_~0039877_II.5. RM Volume Sensitivities_Sheet3" xfId="8859"/>
    <cellStyle name="_MOR - Gurgaon -12+0_MOR - Revised Package_~0039877_II.5. RM Volume Sensitivities_Sheet4" xfId="8860"/>
    <cellStyle name="_MOR - Gurgaon -12+0_MOR - Revised Package_~0039877_II.8. Sep&amp;Discrete" xfId="8861"/>
    <cellStyle name="_MOR - Gurgaon -12+0_MOR - Revised Package_~0039877_Restructuring &amp; Separation" xfId="8862"/>
    <cellStyle name="_MOR - Gurgaon -12+0_MOR - Revised Package_~0039877_Restructuring_Separation_TAX_JuneFC2010 tf" xfId="8863"/>
    <cellStyle name="_MOR - Gurgaon -12+0_MOR - Revised Package_~0039877_Restructuring_Separation_TAX_JuneFC2010 tf_BS_Separation_TaxResIndem_Q12412 tf" xfId="8864"/>
    <cellStyle name="_MOR - Gurgaon -12+0_MOR - Revised Package_~0039877_Restructuring_Separation_TAX_JuneFC2010 tf_BS_Separation_TaxResIndem_Q12412 tf_Restructuring &amp; Separation" xfId="8865"/>
    <cellStyle name="_MOR - Gurgaon -12+0_MOR - Revised Package_~0039877_Restructuring_Separation_TAX_JuneFC2010 tf_II.8. Sep&amp;Discrete" xfId="8866"/>
    <cellStyle name="_MOR - Gurgaon -12+0_MOR - Revised Package_~0039877_Restructuring_Separation_TAX_JuneFC2010 tf_Restructuring &amp; Separation" xfId="8867"/>
    <cellStyle name="_MOR - Gurgaon -12+0_MOR - Revised Package_BS_Separation_TaxResIndem_Q12412 tf" xfId="8868"/>
    <cellStyle name="_MOR - Gurgaon -12+0_MOR - Revised Package_BS_Separation_TaxResIndem_Q12412 tf_Restructuring &amp; Separation" xfId="8869"/>
    <cellStyle name="_MOR - Gurgaon -12+0_MOR - Revised Package_By Country Detail 1Q10 041410pm FIN 18 revised per disc w Mary" xfId="8870"/>
    <cellStyle name="_MOR - Gurgaon -12+0_MOR - Revised Package_By Country Detail 1Q10 041410pm FIN 18 revised per disc w Mary_BS_Separation_TaxResIndem_Q12412 tf" xfId="8871"/>
    <cellStyle name="_MOR - Gurgaon -12+0_MOR - Revised Package_By Country Detail 1Q10 041410pm FIN 18 revised per disc w Mary_BS_Separation_TaxResIndem_Q12412 tf_Restructuring &amp; Separation" xfId="8872"/>
    <cellStyle name="_MOR - Gurgaon -12+0_MOR - Revised Package_By Country Detail 1Q10 041410pm FIN 18 revised per disc w Mary_II.8. Sep&amp;Discrete" xfId="8873"/>
    <cellStyle name="_MOR - Gurgaon -12+0_MOR - Revised Package_By Country Detail 1Q10 041410pm FIN 18 revised per disc w Mary_Restructuring &amp; Separation" xfId="8874"/>
    <cellStyle name="_MOR - Gurgaon -12+0_MOR - Revised Package_II.4. RawMaterials" xfId="8875"/>
    <cellStyle name="_MOR - Gurgaon -12+0_MOR - Revised Package_II.4. RawMaterials 2" xfId="8876"/>
    <cellStyle name="_MOR - Gurgaon -12+0_MOR - Revised Package_II.4. RawMaterials_BS retrieve" xfId="8877"/>
    <cellStyle name="_MOR - Gurgaon -12+0_MOR - Revised Package_II.4. RawMaterials_Free CF" xfId="8878"/>
    <cellStyle name="_MOR - Gurgaon -12+0_MOR - Revised Package_II.4. RawMaterials_P&amp;L Rec Qtr" xfId="8879"/>
    <cellStyle name="_MOR - Gurgaon -12+0_MOR - Revised Package_II.4. RawMaterials_Sheet1" xfId="8880"/>
    <cellStyle name="_MOR - Gurgaon -12+0_MOR - Revised Package_II.4. RawMaterials_Sheet2" xfId="8881"/>
    <cellStyle name="_MOR - Gurgaon -12+0_MOR - Revised Package_II.4. RawMaterials_Sheet3" xfId="8882"/>
    <cellStyle name="_MOR - Gurgaon -12+0_MOR - Revised Package_II.4. RawMaterials_Sheet4" xfId="8883"/>
    <cellStyle name="_MOR - Gurgaon -12+0_MOR - Revised Package_II.5. RawMaterials" xfId="8884"/>
    <cellStyle name="_MOR - Gurgaon -12+0_MOR - Revised Package_II.5. RawMaterials 2" xfId="8885"/>
    <cellStyle name="_MOR - Gurgaon -12+0_MOR - Revised Package_II.5. RawMaterials_BS retrieve" xfId="8886"/>
    <cellStyle name="_MOR - Gurgaon -12+0_MOR - Revised Package_II.5. RawMaterials_Free CF" xfId="8887"/>
    <cellStyle name="_MOR - Gurgaon -12+0_MOR - Revised Package_II.5. RawMaterials_P&amp;L Rec Qtr" xfId="8888"/>
    <cellStyle name="_MOR - Gurgaon -12+0_MOR - Revised Package_II.5. RawMaterials_Sheet1" xfId="8889"/>
    <cellStyle name="_MOR - Gurgaon -12+0_MOR - Revised Package_II.5. RawMaterials_Sheet2" xfId="8890"/>
    <cellStyle name="_MOR - Gurgaon -12+0_MOR - Revised Package_II.5. RawMaterials_Sheet3" xfId="8891"/>
    <cellStyle name="_MOR - Gurgaon -12+0_MOR - Revised Package_II.5. RawMaterials_Sheet4" xfId="8892"/>
    <cellStyle name="_MOR - Gurgaon -12+0_MOR - Revised Package_II.5. RM Volume Sensitivities" xfId="8893"/>
    <cellStyle name="_MOR - Gurgaon -12+0_MOR - Revised Package_II.5. RM Volume Sensitivities 2" xfId="8894"/>
    <cellStyle name="_MOR - Gurgaon -12+0_MOR - Revised Package_II.5. RM Volume Sensitivities_BS retrieve" xfId="8895"/>
    <cellStyle name="_MOR - Gurgaon -12+0_MOR - Revised Package_II.5. RM Volume Sensitivities_Free CF" xfId="8896"/>
    <cellStyle name="_MOR - Gurgaon -12+0_MOR - Revised Package_II.5. RM Volume Sensitivities_P&amp;L Rec Qtr" xfId="8897"/>
    <cellStyle name="_MOR - Gurgaon -12+0_MOR - Revised Package_II.5. RM Volume Sensitivities_Sheet1" xfId="8898"/>
    <cellStyle name="_MOR - Gurgaon -12+0_MOR - Revised Package_II.5. RM Volume Sensitivities_Sheet2" xfId="8899"/>
    <cellStyle name="_MOR - Gurgaon -12+0_MOR - Revised Package_II.5. RM Volume Sensitivities_Sheet3" xfId="8900"/>
    <cellStyle name="_MOR - Gurgaon -12+0_MOR - Revised Package_II.5. RM Volume Sensitivities_Sheet4" xfId="8901"/>
    <cellStyle name="_MOR - Gurgaon -12+0_MOR - Revised Package_II.8. Sep&amp;Discrete" xfId="8902"/>
    <cellStyle name="_MOR - Gurgaon -12+0_MOR - Revised Package_Restructuring &amp; Separation" xfId="8903"/>
    <cellStyle name="_MOR - Gurgaon -12+0_MOR - Revised Package_Restructuring_Separation_TAX_JuneFC2010 tf" xfId="8904"/>
    <cellStyle name="_MOR - Gurgaon -12+0_MOR - Revised Package_Restructuring_Separation_TAX_JuneFC2010 tf_BS_Separation_TaxResIndem_Q12412 tf" xfId="8905"/>
    <cellStyle name="_MOR - Gurgaon -12+0_MOR - Revised Package_Restructuring_Separation_TAX_JuneFC2010 tf_BS_Separation_TaxResIndem_Q12412 tf_Restructuring &amp; Separation" xfId="8906"/>
    <cellStyle name="_MOR - Gurgaon -12+0_MOR - Revised Package_Restructuring_Separation_TAX_JuneFC2010 tf_II.8. Sep&amp;Discrete" xfId="8907"/>
    <cellStyle name="_MOR - Gurgaon -12+0_MOR - Revised Package_Restructuring_Separation_TAX_JuneFC2010 tf_Restructuring &amp; Separation" xfId="8908"/>
    <cellStyle name="_MOR - Gurgaon -12+0_MOR - Revised Package_Revised MOR Package - Latest" xfId="8909"/>
    <cellStyle name="_MOR - Gurgaon -12+0_MOR - Revised Package_Revised MOR Package - Latest_BS_Separation_TaxResIndem_Q12412 tf" xfId="8910"/>
    <cellStyle name="_MOR - Gurgaon -12+0_MOR - Revised Package_Revised MOR Package - Latest_BS_Separation_TaxResIndem_Q12412 tf_Restructuring &amp; Separation" xfId="8911"/>
    <cellStyle name="_MOR - Gurgaon -12+0_MOR - Revised Package_Revised MOR Package - Latest_By Country Detail 1Q10 041410pm FIN 18 revised per disc w Mary" xfId="8912"/>
    <cellStyle name="_MOR - Gurgaon -12+0_MOR - Revised Package_Revised MOR Package - Latest_By Country Detail 1Q10 041410pm FIN 18 revised per disc w Mary_BS_Separation_TaxResIndem_Q12412 tf" xfId="8913"/>
    <cellStyle name="_MOR - Gurgaon -12+0_MOR - Revised Package_Revised MOR Package - Latest_By Country Detail 1Q10 041410pm FIN 18 revised per disc w Mary_BS_Separation_TaxResIndem_Q12412 tf_Restructuring &amp; Separation" xfId="8914"/>
    <cellStyle name="_MOR - Gurgaon -12+0_MOR - Revised Package_Revised MOR Package - Latest_By Country Detail 1Q10 041410pm FIN 18 revised per disc w Mary_II.8. Sep&amp;Discrete" xfId="8915"/>
    <cellStyle name="_MOR - Gurgaon -12+0_MOR - Revised Package_Revised MOR Package - Latest_By Country Detail 1Q10 041410pm FIN 18 revised per disc w Mary_Restructuring &amp; Separation" xfId="8916"/>
    <cellStyle name="_MOR - Gurgaon -12+0_MOR - Revised Package_Revised MOR Package - Latest_II.4. RawMaterials" xfId="8917"/>
    <cellStyle name="_MOR - Gurgaon -12+0_MOR - Revised Package_Revised MOR Package - Latest_II.4. RawMaterials 2" xfId="8918"/>
    <cellStyle name="_MOR - Gurgaon -12+0_MOR - Revised Package_Revised MOR Package - Latest_II.4. RawMaterials_BS retrieve" xfId="8919"/>
    <cellStyle name="_MOR - Gurgaon -12+0_MOR - Revised Package_Revised MOR Package - Latest_II.4. RawMaterials_Free CF" xfId="8920"/>
    <cellStyle name="_MOR - Gurgaon -12+0_MOR - Revised Package_Revised MOR Package - Latest_II.4. RawMaterials_P&amp;L Rec Qtr" xfId="8921"/>
    <cellStyle name="_MOR - Gurgaon -12+0_MOR - Revised Package_Revised MOR Package - Latest_II.4. RawMaterials_Sheet1" xfId="8922"/>
    <cellStyle name="_MOR - Gurgaon -12+0_MOR - Revised Package_Revised MOR Package - Latest_II.4. RawMaterials_Sheet2" xfId="8923"/>
    <cellStyle name="_MOR - Gurgaon -12+0_MOR - Revised Package_Revised MOR Package - Latest_II.4. RawMaterials_Sheet3" xfId="8924"/>
    <cellStyle name="_MOR - Gurgaon -12+0_MOR - Revised Package_Revised MOR Package - Latest_II.4. RawMaterials_Sheet4" xfId="8925"/>
    <cellStyle name="_MOR - Gurgaon -12+0_MOR - Revised Package_Revised MOR Package - Latest_II.5. RawMaterials" xfId="8926"/>
    <cellStyle name="_MOR - Gurgaon -12+0_MOR - Revised Package_Revised MOR Package - Latest_II.5. RawMaterials 2" xfId="8927"/>
    <cellStyle name="_MOR - Gurgaon -12+0_MOR - Revised Package_Revised MOR Package - Latest_II.5. RawMaterials_BS retrieve" xfId="8928"/>
    <cellStyle name="_MOR - Gurgaon -12+0_MOR - Revised Package_Revised MOR Package - Latest_II.5. RawMaterials_Free CF" xfId="8929"/>
    <cellStyle name="_MOR - Gurgaon -12+0_MOR - Revised Package_Revised MOR Package - Latest_II.5. RawMaterials_P&amp;L Rec Qtr" xfId="8930"/>
    <cellStyle name="_MOR - Gurgaon -12+0_MOR - Revised Package_Revised MOR Package - Latest_II.5. RawMaterials_Sheet1" xfId="8931"/>
    <cellStyle name="_MOR - Gurgaon -12+0_MOR - Revised Package_Revised MOR Package - Latest_II.5. RawMaterials_Sheet2" xfId="8932"/>
    <cellStyle name="_MOR - Gurgaon -12+0_MOR - Revised Package_Revised MOR Package - Latest_II.5. RawMaterials_Sheet3" xfId="8933"/>
    <cellStyle name="_MOR - Gurgaon -12+0_MOR - Revised Package_Revised MOR Package - Latest_II.5. RawMaterials_Sheet4" xfId="8934"/>
    <cellStyle name="_MOR - Gurgaon -12+0_MOR - Revised Package_Revised MOR Package - Latest_II.5. RM Volume Sensitivities" xfId="8935"/>
    <cellStyle name="_MOR - Gurgaon -12+0_MOR - Revised Package_Revised MOR Package - Latest_II.5. RM Volume Sensitivities 2" xfId="8936"/>
    <cellStyle name="_MOR - Gurgaon -12+0_MOR - Revised Package_Revised MOR Package - Latest_II.5. RM Volume Sensitivities_BS retrieve" xfId="8937"/>
    <cellStyle name="_MOR - Gurgaon -12+0_MOR - Revised Package_Revised MOR Package - Latest_II.5. RM Volume Sensitivities_Free CF" xfId="8938"/>
    <cellStyle name="_MOR - Gurgaon -12+0_MOR - Revised Package_Revised MOR Package - Latest_II.5. RM Volume Sensitivities_P&amp;L Rec Qtr" xfId="8939"/>
    <cellStyle name="_MOR - Gurgaon -12+0_MOR - Revised Package_Revised MOR Package - Latest_II.5. RM Volume Sensitivities_Sheet1" xfId="8940"/>
    <cellStyle name="_MOR - Gurgaon -12+0_MOR - Revised Package_Revised MOR Package - Latest_II.5. RM Volume Sensitivities_Sheet2" xfId="8941"/>
    <cellStyle name="_MOR - Gurgaon -12+0_MOR - Revised Package_Revised MOR Package - Latest_II.5. RM Volume Sensitivities_Sheet3" xfId="8942"/>
    <cellStyle name="_MOR - Gurgaon -12+0_MOR - Revised Package_Revised MOR Package - Latest_II.5. RM Volume Sensitivities_Sheet4" xfId="8943"/>
    <cellStyle name="_MOR - Gurgaon -12+0_MOR - Revised Package_Revised MOR Package - Latest_II.8. Sep&amp;Discrete" xfId="8944"/>
    <cellStyle name="_MOR - Gurgaon -12+0_MOR - Revised Package_Revised MOR Package - Latest_Restructuring &amp; Separation" xfId="8945"/>
    <cellStyle name="_MOR - Gurgaon -12+0_MOR - Revised Package_Revised MOR Package - Latest_Restructuring_Separation_TAX_JuneFC2010 tf" xfId="8946"/>
    <cellStyle name="_MOR - Gurgaon -12+0_MOR - Revised Package_Revised MOR Package - Latest_Restructuring_Separation_TAX_JuneFC2010 tf_BS_Separation_TaxResIndem_Q12412 tf" xfId="8947"/>
    <cellStyle name="_MOR - Gurgaon -12+0_MOR - Revised Package_Revised MOR Package - Latest_Restructuring_Separation_TAX_JuneFC2010 tf_BS_Separation_TaxResIndem_Q12412 tf_Restructuring &amp; Separation" xfId="8948"/>
    <cellStyle name="_MOR - Gurgaon -12+0_MOR - Revised Package_Revised MOR Package - Latest_Restructuring_Separation_TAX_JuneFC2010 tf_II.8. Sep&amp;Discrete" xfId="8949"/>
    <cellStyle name="_MOR - Gurgaon -12+0_MOR - Revised Package_Revised MOR Package - Latest_Restructuring_Separation_TAX_JuneFC2010 tf_Restructuring &amp; Separation" xfId="8950"/>
    <cellStyle name="_MOR - Gurgaon -12+0_Restructuring &amp; Separation" xfId="8951"/>
    <cellStyle name="_MOR - Gurgaon -12+0_Restructuring_Separation_TAX_JuneFC2010 tf" xfId="8952"/>
    <cellStyle name="_MOR - Gurgaon -12+0_Restructuring_Separation_TAX_JuneFC2010 tf_BS_Separation_TaxResIndem_Q12412 tf" xfId="8953"/>
    <cellStyle name="_MOR - Gurgaon -12+0_Restructuring_Separation_TAX_JuneFC2010 tf_BS_Separation_TaxResIndem_Q12412 tf_Restructuring &amp; Separation" xfId="8954"/>
    <cellStyle name="_MOR - Gurgaon -12+0_Restructuring_Separation_TAX_JuneFC2010 tf_II.8. Sep&amp;Discrete" xfId="8955"/>
    <cellStyle name="_MOR - Gurgaon -12+0_Restructuring_Separation_TAX_JuneFC2010 tf_Restructuring &amp; Separation" xfId="8956"/>
    <cellStyle name="_MOR - Gurgaon -12+0_Revised MOR Package" xfId="8957"/>
    <cellStyle name="_MOR - Gurgaon -12+0_Revised MOR Package - Latest" xfId="8958"/>
    <cellStyle name="_MOR - Gurgaon -12+0_Revised MOR Package - Latest_BS_Separation_TaxResIndem_Q12412 tf" xfId="8959"/>
    <cellStyle name="_MOR - Gurgaon -12+0_Revised MOR Package - Latest_BS_Separation_TaxResIndem_Q12412 tf_Restructuring &amp; Separation" xfId="8960"/>
    <cellStyle name="_MOR - Gurgaon -12+0_Revised MOR Package - Latest_By Country Detail 1Q10 041410pm FIN 18 revised per disc w Mary" xfId="8961"/>
    <cellStyle name="_MOR - Gurgaon -12+0_Revised MOR Package - Latest_By Country Detail 1Q10 041410pm FIN 18 revised per disc w Mary_BS_Separation_TaxResIndem_Q12412 tf" xfId="8962"/>
    <cellStyle name="_MOR - Gurgaon -12+0_Revised MOR Package - Latest_By Country Detail 1Q10 041410pm FIN 18 revised per disc w Mary_BS_Separation_TaxResIndem_Q12412 tf_Restructuring &amp; Separation" xfId="8963"/>
    <cellStyle name="_MOR - Gurgaon -12+0_Revised MOR Package - Latest_By Country Detail 1Q10 041410pm FIN 18 revised per disc w Mary_II.8. Sep&amp;Discrete" xfId="8964"/>
    <cellStyle name="_MOR - Gurgaon -12+0_Revised MOR Package - Latest_By Country Detail 1Q10 041410pm FIN 18 revised per disc w Mary_Restructuring &amp; Separation" xfId="8965"/>
    <cellStyle name="_MOR - Gurgaon -12+0_Revised MOR Package - Latest_II.4. RawMaterials" xfId="8966"/>
    <cellStyle name="_MOR - Gurgaon -12+0_Revised MOR Package - Latest_II.4. RawMaterials 2" xfId="8967"/>
    <cellStyle name="_MOR - Gurgaon -12+0_Revised MOR Package - Latest_II.4. RawMaterials_BS retrieve" xfId="8968"/>
    <cellStyle name="_MOR - Gurgaon -12+0_Revised MOR Package - Latest_II.4. RawMaterials_Free CF" xfId="8969"/>
    <cellStyle name="_MOR - Gurgaon -12+0_Revised MOR Package - Latest_II.4. RawMaterials_P&amp;L Rec Qtr" xfId="8970"/>
    <cellStyle name="_MOR - Gurgaon -12+0_Revised MOR Package - Latest_II.4. RawMaterials_Sheet1" xfId="8971"/>
    <cellStyle name="_MOR - Gurgaon -12+0_Revised MOR Package - Latest_II.4. RawMaterials_Sheet2" xfId="8972"/>
    <cellStyle name="_MOR - Gurgaon -12+0_Revised MOR Package - Latest_II.4. RawMaterials_Sheet3" xfId="8973"/>
    <cellStyle name="_MOR - Gurgaon -12+0_Revised MOR Package - Latest_II.4. RawMaterials_Sheet4" xfId="8974"/>
    <cellStyle name="_MOR - Gurgaon -12+0_Revised MOR Package - Latest_II.5. RawMaterials" xfId="8975"/>
    <cellStyle name="_MOR - Gurgaon -12+0_Revised MOR Package - Latest_II.5. RawMaterials 2" xfId="8976"/>
    <cellStyle name="_MOR - Gurgaon -12+0_Revised MOR Package - Latest_II.5. RawMaterials_BS retrieve" xfId="8977"/>
    <cellStyle name="_MOR - Gurgaon -12+0_Revised MOR Package - Latest_II.5. RawMaterials_Free CF" xfId="8978"/>
    <cellStyle name="_MOR - Gurgaon -12+0_Revised MOR Package - Latest_II.5. RawMaterials_P&amp;L Rec Qtr" xfId="8979"/>
    <cellStyle name="_MOR - Gurgaon -12+0_Revised MOR Package - Latest_II.5. RawMaterials_Sheet1" xfId="8980"/>
    <cellStyle name="_MOR - Gurgaon -12+0_Revised MOR Package - Latest_II.5. RawMaterials_Sheet2" xfId="8981"/>
    <cellStyle name="_MOR - Gurgaon -12+0_Revised MOR Package - Latest_II.5. RawMaterials_Sheet3" xfId="8982"/>
    <cellStyle name="_MOR - Gurgaon -12+0_Revised MOR Package - Latest_II.5. RawMaterials_Sheet4" xfId="8983"/>
    <cellStyle name="_MOR - Gurgaon -12+0_Revised MOR Package - Latest_II.5. RM Volume Sensitivities" xfId="8984"/>
    <cellStyle name="_MOR - Gurgaon -12+0_Revised MOR Package - Latest_II.5. RM Volume Sensitivities 2" xfId="8985"/>
    <cellStyle name="_MOR - Gurgaon -12+0_Revised MOR Package - Latest_II.5. RM Volume Sensitivities_BS retrieve" xfId="8986"/>
    <cellStyle name="_MOR - Gurgaon -12+0_Revised MOR Package - Latest_II.5. RM Volume Sensitivities_Free CF" xfId="8987"/>
    <cellStyle name="_MOR - Gurgaon -12+0_Revised MOR Package - Latest_II.5. RM Volume Sensitivities_P&amp;L Rec Qtr" xfId="8988"/>
    <cellStyle name="_MOR - Gurgaon -12+0_Revised MOR Package - Latest_II.5. RM Volume Sensitivities_Sheet1" xfId="8989"/>
    <cellStyle name="_MOR - Gurgaon -12+0_Revised MOR Package - Latest_II.5. RM Volume Sensitivities_Sheet2" xfId="8990"/>
    <cellStyle name="_MOR - Gurgaon -12+0_Revised MOR Package - Latest_II.5. RM Volume Sensitivities_Sheet3" xfId="8991"/>
    <cellStyle name="_MOR - Gurgaon -12+0_Revised MOR Package - Latest_II.5. RM Volume Sensitivities_Sheet4" xfId="8992"/>
    <cellStyle name="_MOR - Gurgaon -12+0_Revised MOR Package - Latest_II.8. Sep&amp;Discrete" xfId="8993"/>
    <cellStyle name="_MOR - Gurgaon -12+0_Revised MOR Package - Latest_Restructuring &amp; Separation" xfId="8994"/>
    <cellStyle name="_MOR - Gurgaon -12+0_Revised MOR Package - Latest_Restructuring_Separation_TAX_JuneFC2010 tf" xfId="8995"/>
    <cellStyle name="_MOR - Gurgaon -12+0_Revised MOR Package - Latest_Restructuring_Separation_TAX_JuneFC2010 tf_BS_Separation_TaxResIndem_Q12412 tf" xfId="8996"/>
    <cellStyle name="_MOR - Gurgaon -12+0_Revised MOR Package - Latest_Restructuring_Separation_TAX_JuneFC2010 tf_BS_Separation_TaxResIndem_Q12412 tf_Restructuring &amp; Separation" xfId="8997"/>
    <cellStyle name="_MOR - Gurgaon -12+0_Revised MOR Package - Latest_Restructuring_Separation_TAX_JuneFC2010 tf_II.8. Sep&amp;Discrete" xfId="8998"/>
    <cellStyle name="_MOR - Gurgaon -12+0_Revised MOR Package - Latest_Restructuring_Separation_TAX_JuneFC2010 tf_Restructuring &amp; Separation" xfId="8999"/>
    <cellStyle name="_MOR - Gurgaon -12+0_Revised MOR Package_~0039877" xfId="9000"/>
    <cellStyle name="_MOR - Gurgaon -12+0_Revised MOR Package_~0039877_BS_Separation_TaxResIndem_Q12412 tf" xfId="9001"/>
    <cellStyle name="_MOR - Gurgaon -12+0_Revised MOR Package_~0039877_BS_Separation_TaxResIndem_Q12412 tf_Restructuring &amp; Separation" xfId="9002"/>
    <cellStyle name="_MOR - Gurgaon -12+0_Revised MOR Package_~0039877_By Country Detail 1Q10 041410pm FIN 18 revised per disc w Mary" xfId="9003"/>
    <cellStyle name="_MOR - Gurgaon -12+0_Revised MOR Package_~0039877_By Country Detail 1Q10 041410pm FIN 18 revised per disc w Mary_BS_Separation_TaxResIndem_Q12412 tf" xfId="9004"/>
    <cellStyle name="_MOR - Gurgaon -12+0_Revised MOR Package_~0039877_By Country Detail 1Q10 041410pm FIN 18 revised per disc w Mary_BS_Separation_TaxResIndem_Q12412 tf_Restructuring &amp; Separation" xfId="9005"/>
    <cellStyle name="_MOR - Gurgaon -12+0_Revised MOR Package_~0039877_By Country Detail 1Q10 041410pm FIN 18 revised per disc w Mary_II.8. Sep&amp;Discrete" xfId="9006"/>
    <cellStyle name="_MOR - Gurgaon -12+0_Revised MOR Package_~0039877_By Country Detail 1Q10 041410pm FIN 18 revised per disc w Mary_Restructuring &amp; Separation" xfId="9007"/>
    <cellStyle name="_MOR - Gurgaon -12+0_Revised MOR Package_~0039877_II.4. RawMaterials" xfId="9008"/>
    <cellStyle name="_MOR - Gurgaon -12+0_Revised MOR Package_~0039877_II.4. RawMaterials 2" xfId="9009"/>
    <cellStyle name="_MOR - Gurgaon -12+0_Revised MOR Package_~0039877_II.4. RawMaterials_BS retrieve" xfId="9010"/>
    <cellStyle name="_MOR - Gurgaon -12+0_Revised MOR Package_~0039877_II.4. RawMaterials_Free CF" xfId="9011"/>
    <cellStyle name="_MOR - Gurgaon -12+0_Revised MOR Package_~0039877_II.4. RawMaterials_P&amp;L Rec Qtr" xfId="9012"/>
    <cellStyle name="_MOR - Gurgaon -12+0_Revised MOR Package_~0039877_II.4. RawMaterials_Sheet1" xfId="9013"/>
    <cellStyle name="_MOR - Gurgaon -12+0_Revised MOR Package_~0039877_II.4. RawMaterials_Sheet2" xfId="9014"/>
    <cellStyle name="_MOR - Gurgaon -12+0_Revised MOR Package_~0039877_II.4. RawMaterials_Sheet3" xfId="9015"/>
    <cellStyle name="_MOR - Gurgaon -12+0_Revised MOR Package_~0039877_II.4. RawMaterials_Sheet4" xfId="9016"/>
    <cellStyle name="_MOR - Gurgaon -12+0_Revised MOR Package_~0039877_II.5. RawMaterials" xfId="9017"/>
    <cellStyle name="_MOR - Gurgaon -12+0_Revised MOR Package_~0039877_II.5. RawMaterials 2" xfId="9018"/>
    <cellStyle name="_MOR - Gurgaon -12+0_Revised MOR Package_~0039877_II.5. RawMaterials_BS retrieve" xfId="9019"/>
    <cellStyle name="_MOR - Gurgaon -12+0_Revised MOR Package_~0039877_II.5. RawMaterials_Free CF" xfId="9020"/>
    <cellStyle name="_MOR - Gurgaon -12+0_Revised MOR Package_~0039877_II.5. RawMaterials_P&amp;L Rec Qtr" xfId="9021"/>
    <cellStyle name="_MOR - Gurgaon -12+0_Revised MOR Package_~0039877_II.5. RawMaterials_Sheet1" xfId="9022"/>
    <cellStyle name="_MOR - Gurgaon -12+0_Revised MOR Package_~0039877_II.5. RawMaterials_Sheet2" xfId="9023"/>
    <cellStyle name="_MOR - Gurgaon -12+0_Revised MOR Package_~0039877_II.5. RawMaterials_Sheet3" xfId="9024"/>
    <cellStyle name="_MOR - Gurgaon -12+0_Revised MOR Package_~0039877_II.5. RawMaterials_Sheet4" xfId="9025"/>
    <cellStyle name="_MOR - Gurgaon -12+0_Revised MOR Package_~0039877_II.5. RM Volume Sensitivities" xfId="9026"/>
    <cellStyle name="_MOR - Gurgaon -12+0_Revised MOR Package_~0039877_II.5. RM Volume Sensitivities 2" xfId="9027"/>
    <cellStyle name="_MOR - Gurgaon -12+0_Revised MOR Package_~0039877_II.5. RM Volume Sensitivities_BS retrieve" xfId="9028"/>
    <cellStyle name="_MOR - Gurgaon -12+0_Revised MOR Package_~0039877_II.5. RM Volume Sensitivities_Free CF" xfId="9029"/>
    <cellStyle name="_MOR - Gurgaon -12+0_Revised MOR Package_~0039877_II.5. RM Volume Sensitivities_P&amp;L Rec Qtr" xfId="9030"/>
    <cellStyle name="_MOR - Gurgaon -12+0_Revised MOR Package_~0039877_II.5. RM Volume Sensitivities_Sheet1" xfId="9031"/>
    <cellStyle name="_MOR - Gurgaon -12+0_Revised MOR Package_~0039877_II.5. RM Volume Sensitivities_Sheet2" xfId="9032"/>
    <cellStyle name="_MOR - Gurgaon -12+0_Revised MOR Package_~0039877_II.5. RM Volume Sensitivities_Sheet3" xfId="9033"/>
    <cellStyle name="_MOR - Gurgaon -12+0_Revised MOR Package_~0039877_II.5. RM Volume Sensitivities_Sheet4" xfId="9034"/>
    <cellStyle name="_MOR - Gurgaon -12+0_Revised MOR Package_~0039877_II.8. Sep&amp;Discrete" xfId="9035"/>
    <cellStyle name="_MOR - Gurgaon -12+0_Revised MOR Package_~0039877_Restructuring &amp; Separation" xfId="9036"/>
    <cellStyle name="_MOR - Gurgaon -12+0_Revised MOR Package_~0039877_Restructuring_Separation_TAX_JuneFC2010 tf" xfId="9037"/>
    <cellStyle name="_MOR - Gurgaon -12+0_Revised MOR Package_~0039877_Restructuring_Separation_TAX_JuneFC2010 tf_BS_Separation_TaxResIndem_Q12412 tf" xfId="9038"/>
    <cellStyle name="_MOR - Gurgaon -12+0_Revised MOR Package_~0039877_Restructuring_Separation_TAX_JuneFC2010 tf_BS_Separation_TaxResIndem_Q12412 tf_Restructuring &amp; Separation" xfId="9039"/>
    <cellStyle name="_MOR - Gurgaon -12+0_Revised MOR Package_~0039877_Restructuring_Separation_TAX_JuneFC2010 tf_II.8. Sep&amp;Discrete" xfId="9040"/>
    <cellStyle name="_MOR - Gurgaon -12+0_Revised MOR Package_~0039877_Restructuring_Separation_TAX_JuneFC2010 tf_Restructuring &amp; Separation" xfId="9041"/>
    <cellStyle name="_MOR - Gurgaon -12+0_Revised MOR Package_BS_Separation_TaxResIndem_Q12412 tf" xfId="9042"/>
    <cellStyle name="_MOR - Gurgaon -12+0_Revised MOR Package_BS_Separation_TaxResIndem_Q12412 tf_Restructuring &amp; Separation" xfId="9043"/>
    <cellStyle name="_MOR - Gurgaon -12+0_Revised MOR Package_By Country Detail 1Q10 041410pm FIN 18 revised per disc w Mary" xfId="9044"/>
    <cellStyle name="_MOR - Gurgaon -12+0_Revised MOR Package_By Country Detail 1Q10 041410pm FIN 18 revised per disc w Mary_BS_Separation_TaxResIndem_Q12412 tf" xfId="9045"/>
    <cellStyle name="_MOR - Gurgaon -12+0_Revised MOR Package_By Country Detail 1Q10 041410pm FIN 18 revised per disc w Mary_BS_Separation_TaxResIndem_Q12412 tf_Restructuring &amp; Separation" xfId="9046"/>
    <cellStyle name="_MOR - Gurgaon -12+0_Revised MOR Package_By Country Detail 1Q10 041410pm FIN 18 revised per disc w Mary_II.8. Sep&amp;Discrete" xfId="9047"/>
    <cellStyle name="_MOR - Gurgaon -12+0_Revised MOR Package_By Country Detail 1Q10 041410pm FIN 18 revised per disc w Mary_Restructuring &amp; Separation" xfId="9048"/>
    <cellStyle name="_MOR - Gurgaon -12+0_Revised MOR Package_II.4. RawMaterials" xfId="9049"/>
    <cellStyle name="_MOR - Gurgaon -12+0_Revised MOR Package_II.4. RawMaterials 2" xfId="9050"/>
    <cellStyle name="_MOR - Gurgaon -12+0_Revised MOR Package_II.4. RawMaterials_BS retrieve" xfId="9051"/>
    <cellStyle name="_MOR - Gurgaon -12+0_Revised MOR Package_II.4. RawMaterials_Free CF" xfId="9052"/>
    <cellStyle name="_MOR - Gurgaon -12+0_Revised MOR Package_II.4. RawMaterials_P&amp;L Rec Qtr" xfId="9053"/>
    <cellStyle name="_MOR - Gurgaon -12+0_Revised MOR Package_II.4. RawMaterials_Sheet1" xfId="9054"/>
    <cellStyle name="_MOR - Gurgaon -12+0_Revised MOR Package_II.4. RawMaterials_Sheet2" xfId="9055"/>
    <cellStyle name="_MOR - Gurgaon -12+0_Revised MOR Package_II.4. RawMaterials_Sheet3" xfId="9056"/>
    <cellStyle name="_MOR - Gurgaon -12+0_Revised MOR Package_II.4. RawMaterials_Sheet4" xfId="9057"/>
    <cellStyle name="_MOR - Gurgaon -12+0_Revised MOR Package_II.5. RawMaterials" xfId="9058"/>
    <cellStyle name="_MOR - Gurgaon -12+0_Revised MOR Package_II.5. RawMaterials 2" xfId="9059"/>
    <cellStyle name="_MOR - Gurgaon -12+0_Revised MOR Package_II.5. RawMaterials_BS retrieve" xfId="9060"/>
    <cellStyle name="_MOR - Gurgaon -12+0_Revised MOR Package_II.5. RawMaterials_Free CF" xfId="9061"/>
    <cellStyle name="_MOR - Gurgaon -12+0_Revised MOR Package_II.5. RawMaterials_P&amp;L Rec Qtr" xfId="9062"/>
    <cellStyle name="_MOR - Gurgaon -12+0_Revised MOR Package_II.5. RawMaterials_Sheet1" xfId="9063"/>
    <cellStyle name="_MOR - Gurgaon -12+0_Revised MOR Package_II.5. RawMaterials_Sheet2" xfId="9064"/>
    <cellStyle name="_MOR - Gurgaon -12+0_Revised MOR Package_II.5. RawMaterials_Sheet3" xfId="9065"/>
    <cellStyle name="_MOR - Gurgaon -12+0_Revised MOR Package_II.5. RawMaterials_Sheet4" xfId="9066"/>
    <cellStyle name="_MOR - Gurgaon -12+0_Revised MOR Package_II.5. RM Volume Sensitivities" xfId="9067"/>
    <cellStyle name="_MOR - Gurgaon -12+0_Revised MOR Package_II.5. RM Volume Sensitivities 2" xfId="9068"/>
    <cellStyle name="_MOR - Gurgaon -12+0_Revised MOR Package_II.5. RM Volume Sensitivities_BS retrieve" xfId="9069"/>
    <cellStyle name="_MOR - Gurgaon -12+0_Revised MOR Package_II.5. RM Volume Sensitivities_Free CF" xfId="9070"/>
    <cellStyle name="_MOR - Gurgaon -12+0_Revised MOR Package_II.5. RM Volume Sensitivities_P&amp;L Rec Qtr" xfId="9071"/>
    <cellStyle name="_MOR - Gurgaon -12+0_Revised MOR Package_II.5. RM Volume Sensitivities_Sheet1" xfId="9072"/>
    <cellStyle name="_MOR - Gurgaon -12+0_Revised MOR Package_II.5. RM Volume Sensitivities_Sheet2" xfId="9073"/>
    <cellStyle name="_MOR - Gurgaon -12+0_Revised MOR Package_II.5. RM Volume Sensitivities_Sheet3" xfId="9074"/>
    <cellStyle name="_MOR - Gurgaon -12+0_Revised MOR Package_II.5. RM Volume Sensitivities_Sheet4" xfId="9075"/>
    <cellStyle name="_MOR - Gurgaon -12+0_Revised MOR Package_II.8. Sep&amp;Discrete" xfId="9076"/>
    <cellStyle name="_MOR - Gurgaon -12+0_Revised MOR Package_Restructuring &amp; Separation" xfId="9077"/>
    <cellStyle name="_MOR - Gurgaon -12+0_Revised MOR Package_Restructuring_Separation_TAX_JuneFC2010 tf" xfId="9078"/>
    <cellStyle name="_MOR - Gurgaon -12+0_Revised MOR Package_Restructuring_Separation_TAX_JuneFC2010 tf_BS_Separation_TaxResIndem_Q12412 tf" xfId="9079"/>
    <cellStyle name="_MOR - Gurgaon -12+0_Revised MOR Package_Restructuring_Separation_TAX_JuneFC2010 tf_BS_Separation_TaxResIndem_Q12412 tf_Restructuring &amp; Separation" xfId="9080"/>
    <cellStyle name="_MOR - Gurgaon -12+0_Revised MOR Package_Restructuring_Separation_TAX_JuneFC2010 tf_II.8. Sep&amp;Discrete" xfId="9081"/>
    <cellStyle name="_MOR - Gurgaon -12+0_Revised MOR Package_Restructuring_Separation_TAX_JuneFC2010 tf_Restructuring &amp; Separation" xfId="9082"/>
    <cellStyle name="_MOR - Gurgaon -12+0_Revised MOR Package_Revised MOR Package - Latest" xfId="9083"/>
    <cellStyle name="_MOR - Gurgaon -12+0_Revised MOR Package_Revised MOR Package - Latest_BS_Separation_TaxResIndem_Q12412 tf" xfId="9084"/>
    <cellStyle name="_MOR - Gurgaon -12+0_Revised MOR Package_Revised MOR Package - Latest_BS_Separation_TaxResIndem_Q12412 tf_Restructuring &amp; Separation" xfId="9085"/>
    <cellStyle name="_MOR - Gurgaon -12+0_Revised MOR Package_Revised MOR Package - Latest_By Country Detail 1Q10 041410pm FIN 18 revised per disc w Mary" xfId="9086"/>
    <cellStyle name="_MOR - Gurgaon -12+0_Revised MOR Package_Revised MOR Package - Latest_By Country Detail 1Q10 041410pm FIN 18 revised per disc w Mary_BS_Separation_TaxResIndem_Q12412 tf" xfId="9087"/>
    <cellStyle name="_MOR - Gurgaon -12+0_Revised MOR Package_Revised MOR Package - Latest_By Country Detail 1Q10 041410pm FIN 18 revised per disc w Mary_BS_Separation_TaxResIndem_Q12412 tf_Restructuring &amp; Separation" xfId="9088"/>
    <cellStyle name="_MOR - Gurgaon -12+0_Revised MOR Package_Revised MOR Package - Latest_By Country Detail 1Q10 041410pm FIN 18 revised per disc w Mary_II.8. Sep&amp;Discrete" xfId="9089"/>
    <cellStyle name="_MOR - Gurgaon -12+0_Revised MOR Package_Revised MOR Package - Latest_By Country Detail 1Q10 041410pm FIN 18 revised per disc w Mary_Restructuring &amp; Separation" xfId="9090"/>
    <cellStyle name="_MOR - Gurgaon -12+0_Revised MOR Package_Revised MOR Package - Latest_II.4. RawMaterials" xfId="9091"/>
    <cellStyle name="_MOR - Gurgaon -12+0_Revised MOR Package_Revised MOR Package - Latest_II.4. RawMaterials 2" xfId="9092"/>
    <cellStyle name="_MOR - Gurgaon -12+0_Revised MOR Package_Revised MOR Package - Latest_II.4. RawMaterials_BS retrieve" xfId="9093"/>
    <cellStyle name="_MOR - Gurgaon -12+0_Revised MOR Package_Revised MOR Package - Latest_II.4. RawMaterials_Free CF" xfId="9094"/>
    <cellStyle name="_MOR - Gurgaon -12+0_Revised MOR Package_Revised MOR Package - Latest_II.4. RawMaterials_P&amp;L Rec Qtr" xfId="9095"/>
    <cellStyle name="_MOR - Gurgaon -12+0_Revised MOR Package_Revised MOR Package - Latest_II.4. RawMaterials_Sheet1" xfId="9096"/>
    <cellStyle name="_MOR - Gurgaon -12+0_Revised MOR Package_Revised MOR Package - Latest_II.4. RawMaterials_Sheet2" xfId="9097"/>
    <cellStyle name="_MOR - Gurgaon -12+0_Revised MOR Package_Revised MOR Package - Latest_II.4. RawMaterials_Sheet3" xfId="9098"/>
    <cellStyle name="_MOR - Gurgaon -12+0_Revised MOR Package_Revised MOR Package - Latest_II.4. RawMaterials_Sheet4" xfId="9099"/>
    <cellStyle name="_MOR - Gurgaon -12+0_Revised MOR Package_Revised MOR Package - Latest_II.5. RawMaterials" xfId="9100"/>
    <cellStyle name="_MOR - Gurgaon -12+0_Revised MOR Package_Revised MOR Package - Latest_II.5. RawMaterials 2" xfId="9101"/>
    <cellStyle name="_MOR - Gurgaon -12+0_Revised MOR Package_Revised MOR Package - Latest_II.5. RawMaterials_BS retrieve" xfId="9102"/>
    <cellStyle name="_MOR - Gurgaon -12+0_Revised MOR Package_Revised MOR Package - Latest_II.5. RawMaterials_Free CF" xfId="9103"/>
    <cellStyle name="_MOR - Gurgaon -12+0_Revised MOR Package_Revised MOR Package - Latest_II.5. RawMaterials_P&amp;L Rec Qtr" xfId="9104"/>
    <cellStyle name="_MOR - Gurgaon -12+0_Revised MOR Package_Revised MOR Package - Latest_II.5. RawMaterials_Sheet1" xfId="9105"/>
    <cellStyle name="_MOR - Gurgaon -12+0_Revised MOR Package_Revised MOR Package - Latest_II.5. RawMaterials_Sheet2" xfId="9106"/>
    <cellStyle name="_MOR - Gurgaon -12+0_Revised MOR Package_Revised MOR Package - Latest_II.5. RawMaterials_Sheet3" xfId="9107"/>
    <cellStyle name="_MOR - Gurgaon -12+0_Revised MOR Package_Revised MOR Package - Latest_II.5. RawMaterials_Sheet4" xfId="9108"/>
    <cellStyle name="_MOR - Gurgaon -12+0_Revised MOR Package_Revised MOR Package - Latest_II.5. RM Volume Sensitivities" xfId="9109"/>
    <cellStyle name="_MOR - Gurgaon -12+0_Revised MOR Package_Revised MOR Package - Latest_II.5. RM Volume Sensitivities 2" xfId="9110"/>
    <cellStyle name="_MOR - Gurgaon -12+0_Revised MOR Package_Revised MOR Package - Latest_II.5. RM Volume Sensitivities_BS retrieve" xfId="9111"/>
    <cellStyle name="_MOR - Gurgaon -12+0_Revised MOR Package_Revised MOR Package - Latest_II.5. RM Volume Sensitivities_Free CF" xfId="9112"/>
    <cellStyle name="_MOR - Gurgaon -12+0_Revised MOR Package_Revised MOR Package - Latest_II.5. RM Volume Sensitivities_P&amp;L Rec Qtr" xfId="9113"/>
    <cellStyle name="_MOR - Gurgaon -12+0_Revised MOR Package_Revised MOR Package - Latest_II.5. RM Volume Sensitivities_Sheet1" xfId="9114"/>
    <cellStyle name="_MOR - Gurgaon -12+0_Revised MOR Package_Revised MOR Package - Latest_II.5. RM Volume Sensitivities_Sheet2" xfId="9115"/>
    <cellStyle name="_MOR - Gurgaon -12+0_Revised MOR Package_Revised MOR Package - Latest_II.5. RM Volume Sensitivities_Sheet3" xfId="9116"/>
    <cellStyle name="_MOR - Gurgaon -12+0_Revised MOR Package_Revised MOR Package - Latest_II.5. RM Volume Sensitivities_Sheet4" xfId="9117"/>
    <cellStyle name="_MOR - Gurgaon -12+0_Revised MOR Package_Revised MOR Package - Latest_II.8. Sep&amp;Discrete" xfId="9118"/>
    <cellStyle name="_MOR - Gurgaon -12+0_Revised MOR Package_Revised MOR Package - Latest_Restructuring &amp; Separation" xfId="9119"/>
    <cellStyle name="_MOR - Gurgaon -12+0_Revised MOR Package_Revised MOR Package - Latest_Restructuring_Separation_TAX_JuneFC2010 tf" xfId="9120"/>
    <cellStyle name="_MOR - Gurgaon -12+0_Revised MOR Package_Revised MOR Package - Latest_Restructuring_Separation_TAX_JuneFC2010 tf_BS_Separation_TaxResIndem_Q12412 tf" xfId="9121"/>
    <cellStyle name="_MOR - Gurgaon -12+0_Revised MOR Package_Revised MOR Package - Latest_Restructuring_Separation_TAX_JuneFC2010 tf_BS_Separation_TaxResIndem_Q12412 tf_Restructuring &amp; Separation" xfId="9122"/>
    <cellStyle name="_MOR - Gurgaon -12+0_Revised MOR Package_Revised MOR Package - Latest_Restructuring_Separation_TAX_JuneFC2010 tf_II.8. Sep&amp;Discrete" xfId="9123"/>
    <cellStyle name="_MOR - Gurgaon -12+0_Revised MOR Package_Revised MOR Package - Latest_Restructuring_Separation_TAX_JuneFC2010 tf_Restructuring &amp; Separation" xfId="9124"/>
    <cellStyle name="_MOR - Revised Package" xfId="9125"/>
    <cellStyle name="_MOR - Revised Package_~0039877" xfId="9126"/>
    <cellStyle name="_MOR - Revised Package_~0039877_BS_Separation_TaxResIndem_Q12412 tf" xfId="9127"/>
    <cellStyle name="_MOR - Revised Package_~0039877_BS_Separation_TaxResIndem_Q12412 tf_Restructuring &amp; Separation" xfId="9128"/>
    <cellStyle name="_MOR - Revised Package_~0039877_By Country Detail 1Q10 041410pm FIN 18 revised per disc w Mary" xfId="9129"/>
    <cellStyle name="_MOR - Revised Package_~0039877_By Country Detail 1Q10 041410pm FIN 18 revised per disc w Mary_BS_Separation_TaxResIndem_Q12412 tf" xfId="9130"/>
    <cellStyle name="_MOR - Revised Package_~0039877_By Country Detail 1Q10 041410pm FIN 18 revised per disc w Mary_BS_Separation_TaxResIndem_Q12412 tf_Restructuring &amp; Separation" xfId="9131"/>
    <cellStyle name="_MOR - Revised Package_~0039877_By Country Detail 1Q10 041410pm FIN 18 revised per disc w Mary_II.8. Sep&amp;Discrete" xfId="9132"/>
    <cellStyle name="_MOR - Revised Package_~0039877_By Country Detail 1Q10 041410pm FIN 18 revised per disc w Mary_Restructuring &amp; Separation" xfId="9133"/>
    <cellStyle name="_MOR - Revised Package_~0039877_II.4. RawMaterials" xfId="9134"/>
    <cellStyle name="_MOR - Revised Package_~0039877_II.4. RawMaterials 2" xfId="9135"/>
    <cellStyle name="_MOR - Revised Package_~0039877_II.4. RawMaterials_BS retrieve" xfId="9136"/>
    <cellStyle name="_MOR - Revised Package_~0039877_II.4. RawMaterials_Free CF" xfId="9137"/>
    <cellStyle name="_MOR - Revised Package_~0039877_II.4. RawMaterials_P&amp;L Rec Qtr" xfId="9138"/>
    <cellStyle name="_MOR - Revised Package_~0039877_II.4. RawMaterials_Sheet1" xfId="9139"/>
    <cellStyle name="_MOR - Revised Package_~0039877_II.4. RawMaterials_Sheet2" xfId="9140"/>
    <cellStyle name="_MOR - Revised Package_~0039877_II.4. RawMaterials_Sheet3" xfId="9141"/>
    <cellStyle name="_MOR - Revised Package_~0039877_II.4. RawMaterials_Sheet4" xfId="9142"/>
    <cellStyle name="_MOR - Revised Package_~0039877_II.5. RawMaterials" xfId="9143"/>
    <cellStyle name="_MOR - Revised Package_~0039877_II.5. RawMaterials 2" xfId="9144"/>
    <cellStyle name="_MOR - Revised Package_~0039877_II.5. RawMaterials_BS retrieve" xfId="9145"/>
    <cellStyle name="_MOR - Revised Package_~0039877_II.5. RawMaterials_Free CF" xfId="9146"/>
    <cellStyle name="_MOR - Revised Package_~0039877_II.5. RawMaterials_P&amp;L Rec Qtr" xfId="9147"/>
    <cellStyle name="_MOR - Revised Package_~0039877_II.5. RawMaterials_Sheet1" xfId="9148"/>
    <cellStyle name="_MOR - Revised Package_~0039877_II.5. RawMaterials_Sheet2" xfId="9149"/>
    <cellStyle name="_MOR - Revised Package_~0039877_II.5. RawMaterials_Sheet3" xfId="9150"/>
    <cellStyle name="_MOR - Revised Package_~0039877_II.5. RawMaterials_Sheet4" xfId="9151"/>
    <cellStyle name="_MOR - Revised Package_~0039877_II.5. RM Volume Sensitivities" xfId="9152"/>
    <cellStyle name="_MOR - Revised Package_~0039877_II.5. RM Volume Sensitivities 2" xfId="9153"/>
    <cellStyle name="_MOR - Revised Package_~0039877_II.5. RM Volume Sensitivities_BS retrieve" xfId="9154"/>
    <cellStyle name="_MOR - Revised Package_~0039877_II.5. RM Volume Sensitivities_Free CF" xfId="9155"/>
    <cellStyle name="_MOR - Revised Package_~0039877_II.5. RM Volume Sensitivities_P&amp;L Rec Qtr" xfId="9156"/>
    <cellStyle name="_MOR - Revised Package_~0039877_II.5. RM Volume Sensitivities_Sheet1" xfId="9157"/>
    <cellStyle name="_MOR - Revised Package_~0039877_II.5. RM Volume Sensitivities_Sheet2" xfId="9158"/>
    <cellStyle name="_MOR - Revised Package_~0039877_II.5. RM Volume Sensitivities_Sheet3" xfId="9159"/>
    <cellStyle name="_MOR - Revised Package_~0039877_II.5. RM Volume Sensitivities_Sheet4" xfId="9160"/>
    <cellStyle name="_MOR - Revised Package_~0039877_II.8. Sep&amp;Discrete" xfId="9161"/>
    <cellStyle name="_MOR - Revised Package_~0039877_Restructuring &amp; Separation" xfId="9162"/>
    <cellStyle name="_MOR - Revised Package_~0039877_Restructuring_Separation_TAX_JuneFC2010 tf" xfId="9163"/>
    <cellStyle name="_MOR - Revised Package_~0039877_Restructuring_Separation_TAX_JuneFC2010 tf_BS_Separation_TaxResIndem_Q12412 tf" xfId="9164"/>
    <cellStyle name="_MOR - Revised Package_~0039877_Restructuring_Separation_TAX_JuneFC2010 tf_BS_Separation_TaxResIndem_Q12412 tf_Restructuring &amp; Separation" xfId="9165"/>
    <cellStyle name="_MOR - Revised Package_~0039877_Restructuring_Separation_TAX_JuneFC2010 tf_II.8. Sep&amp;Discrete" xfId="9166"/>
    <cellStyle name="_MOR - Revised Package_~0039877_Restructuring_Separation_TAX_JuneFC2010 tf_Restructuring &amp; Separation" xfId="9167"/>
    <cellStyle name="_MOR - Revised Package_BS_Separation_TaxResIndem_Q12412 tf" xfId="9168"/>
    <cellStyle name="_MOR - Revised Package_BS_Separation_TaxResIndem_Q12412 tf_Restructuring &amp; Separation" xfId="9169"/>
    <cellStyle name="_MOR - Revised Package_By Country Detail 1Q10 041410pm FIN 18 revised per disc w Mary" xfId="9170"/>
    <cellStyle name="_MOR - Revised Package_By Country Detail 1Q10 041410pm FIN 18 revised per disc w Mary_BS_Separation_TaxResIndem_Q12412 tf" xfId="9171"/>
    <cellStyle name="_MOR - Revised Package_By Country Detail 1Q10 041410pm FIN 18 revised per disc w Mary_BS_Separation_TaxResIndem_Q12412 tf_Restructuring &amp; Separation" xfId="9172"/>
    <cellStyle name="_MOR - Revised Package_By Country Detail 1Q10 041410pm FIN 18 revised per disc w Mary_II.8. Sep&amp;Discrete" xfId="9173"/>
    <cellStyle name="_MOR - Revised Package_By Country Detail 1Q10 041410pm FIN 18 revised per disc w Mary_Restructuring &amp; Separation" xfId="9174"/>
    <cellStyle name="_MOR - Revised Package_II.4. RawMaterials" xfId="9175"/>
    <cellStyle name="_MOR - Revised Package_II.4. RawMaterials 2" xfId="9176"/>
    <cellStyle name="_MOR - Revised Package_II.4. RawMaterials_BS retrieve" xfId="9177"/>
    <cellStyle name="_MOR - Revised Package_II.4. RawMaterials_Free CF" xfId="9178"/>
    <cellStyle name="_MOR - Revised Package_II.4. RawMaterials_P&amp;L Rec Qtr" xfId="9179"/>
    <cellStyle name="_MOR - Revised Package_II.4. RawMaterials_Sheet1" xfId="9180"/>
    <cellStyle name="_MOR - Revised Package_II.4. RawMaterials_Sheet2" xfId="9181"/>
    <cellStyle name="_MOR - Revised Package_II.4. RawMaterials_Sheet3" xfId="9182"/>
    <cellStyle name="_MOR - Revised Package_II.4. RawMaterials_Sheet4" xfId="9183"/>
    <cellStyle name="_MOR - Revised Package_II.5. RawMaterials" xfId="9184"/>
    <cellStyle name="_MOR - Revised Package_II.5. RawMaterials 2" xfId="9185"/>
    <cellStyle name="_MOR - Revised Package_II.5. RawMaterials_BS retrieve" xfId="9186"/>
    <cellStyle name="_MOR - Revised Package_II.5. RawMaterials_Free CF" xfId="9187"/>
    <cellStyle name="_MOR - Revised Package_II.5. RawMaterials_P&amp;L Rec Qtr" xfId="9188"/>
    <cellStyle name="_MOR - Revised Package_II.5. RawMaterials_Sheet1" xfId="9189"/>
    <cellStyle name="_MOR - Revised Package_II.5. RawMaterials_Sheet2" xfId="9190"/>
    <cellStyle name="_MOR - Revised Package_II.5. RawMaterials_Sheet3" xfId="9191"/>
    <cellStyle name="_MOR - Revised Package_II.5. RawMaterials_Sheet4" xfId="9192"/>
    <cellStyle name="_MOR - Revised Package_II.5. RM Volume Sensitivities" xfId="9193"/>
    <cellStyle name="_MOR - Revised Package_II.5. RM Volume Sensitivities 2" xfId="9194"/>
    <cellStyle name="_MOR - Revised Package_II.5. RM Volume Sensitivities_BS retrieve" xfId="9195"/>
    <cellStyle name="_MOR - Revised Package_II.5. RM Volume Sensitivities_Free CF" xfId="9196"/>
    <cellStyle name="_MOR - Revised Package_II.5. RM Volume Sensitivities_P&amp;L Rec Qtr" xfId="9197"/>
    <cellStyle name="_MOR - Revised Package_II.5. RM Volume Sensitivities_Sheet1" xfId="9198"/>
    <cellStyle name="_MOR - Revised Package_II.5. RM Volume Sensitivities_Sheet2" xfId="9199"/>
    <cellStyle name="_MOR - Revised Package_II.5. RM Volume Sensitivities_Sheet3" xfId="9200"/>
    <cellStyle name="_MOR - Revised Package_II.5. RM Volume Sensitivities_Sheet4" xfId="9201"/>
    <cellStyle name="_MOR - Revised Package_II.8. Sep&amp;Discrete" xfId="9202"/>
    <cellStyle name="_MOR - Revised Package_Restructuring &amp; Separation" xfId="9203"/>
    <cellStyle name="_MOR - Revised Package_Restructuring_Separation_TAX_JuneFC2010 tf" xfId="9204"/>
    <cellStyle name="_MOR - Revised Package_Restructuring_Separation_TAX_JuneFC2010 tf_BS_Separation_TaxResIndem_Q12412 tf" xfId="9205"/>
    <cellStyle name="_MOR - Revised Package_Restructuring_Separation_TAX_JuneFC2010 tf_BS_Separation_TaxResIndem_Q12412 tf_Restructuring &amp; Separation" xfId="9206"/>
    <cellStyle name="_MOR - Revised Package_Restructuring_Separation_TAX_JuneFC2010 tf_II.8. Sep&amp;Discrete" xfId="9207"/>
    <cellStyle name="_MOR - Revised Package_Restructuring_Separation_TAX_JuneFC2010 tf_Restructuring &amp; Separation" xfId="9208"/>
    <cellStyle name="_MOR - Revised Package_Revised MOR Package - Latest" xfId="9209"/>
    <cellStyle name="_MOR - Revised Package_Revised MOR Package - Latest_BS_Separation_TaxResIndem_Q12412 tf" xfId="9210"/>
    <cellStyle name="_MOR - Revised Package_Revised MOR Package - Latest_BS_Separation_TaxResIndem_Q12412 tf_Restructuring &amp; Separation" xfId="9211"/>
    <cellStyle name="_MOR - Revised Package_Revised MOR Package - Latest_By Country Detail 1Q10 041410pm FIN 18 revised per disc w Mary" xfId="9212"/>
    <cellStyle name="_MOR - Revised Package_Revised MOR Package - Latest_By Country Detail 1Q10 041410pm FIN 18 revised per disc w Mary_BS_Separation_TaxResIndem_Q12412 tf" xfId="9213"/>
    <cellStyle name="_MOR - Revised Package_Revised MOR Package - Latest_By Country Detail 1Q10 041410pm FIN 18 revised per disc w Mary_BS_Separation_TaxResIndem_Q12412 tf_Restructuring &amp; Separation" xfId="9214"/>
    <cellStyle name="_MOR - Revised Package_Revised MOR Package - Latest_By Country Detail 1Q10 041410pm FIN 18 revised per disc w Mary_II.8. Sep&amp;Discrete" xfId="9215"/>
    <cellStyle name="_MOR - Revised Package_Revised MOR Package - Latest_By Country Detail 1Q10 041410pm FIN 18 revised per disc w Mary_Restructuring &amp; Separation" xfId="9216"/>
    <cellStyle name="_MOR - Revised Package_Revised MOR Package - Latest_II.4. RawMaterials" xfId="9217"/>
    <cellStyle name="_MOR - Revised Package_Revised MOR Package - Latest_II.4. RawMaterials 2" xfId="9218"/>
    <cellStyle name="_MOR - Revised Package_Revised MOR Package - Latest_II.4. RawMaterials_BS retrieve" xfId="9219"/>
    <cellStyle name="_MOR - Revised Package_Revised MOR Package - Latest_II.4. RawMaterials_Free CF" xfId="9220"/>
    <cellStyle name="_MOR - Revised Package_Revised MOR Package - Latest_II.4. RawMaterials_P&amp;L Rec Qtr" xfId="9221"/>
    <cellStyle name="_MOR - Revised Package_Revised MOR Package - Latest_II.4. RawMaterials_Sheet1" xfId="9222"/>
    <cellStyle name="_MOR - Revised Package_Revised MOR Package - Latest_II.4. RawMaterials_Sheet2" xfId="9223"/>
    <cellStyle name="_MOR - Revised Package_Revised MOR Package - Latest_II.4. RawMaterials_Sheet3" xfId="9224"/>
    <cellStyle name="_MOR - Revised Package_Revised MOR Package - Latest_II.4. RawMaterials_Sheet4" xfId="9225"/>
    <cellStyle name="_MOR - Revised Package_Revised MOR Package - Latest_II.5. RawMaterials" xfId="9226"/>
    <cellStyle name="_MOR - Revised Package_Revised MOR Package - Latest_II.5. RawMaterials 2" xfId="9227"/>
    <cellStyle name="_MOR - Revised Package_Revised MOR Package - Latest_II.5. RawMaterials_BS retrieve" xfId="9228"/>
    <cellStyle name="_MOR - Revised Package_Revised MOR Package - Latest_II.5. RawMaterials_Free CF" xfId="9229"/>
    <cellStyle name="_MOR - Revised Package_Revised MOR Package - Latest_II.5. RawMaterials_P&amp;L Rec Qtr" xfId="9230"/>
    <cellStyle name="_MOR - Revised Package_Revised MOR Package - Latest_II.5. RawMaterials_Sheet1" xfId="9231"/>
    <cellStyle name="_MOR - Revised Package_Revised MOR Package - Latest_II.5. RawMaterials_Sheet2" xfId="9232"/>
    <cellStyle name="_MOR - Revised Package_Revised MOR Package - Latest_II.5. RawMaterials_Sheet3" xfId="9233"/>
    <cellStyle name="_MOR - Revised Package_Revised MOR Package - Latest_II.5. RawMaterials_Sheet4" xfId="9234"/>
    <cellStyle name="_MOR - Revised Package_Revised MOR Package - Latest_II.5. RM Volume Sensitivities" xfId="9235"/>
    <cellStyle name="_MOR - Revised Package_Revised MOR Package - Latest_II.5. RM Volume Sensitivities 2" xfId="9236"/>
    <cellStyle name="_MOR - Revised Package_Revised MOR Package - Latest_II.5. RM Volume Sensitivities_BS retrieve" xfId="9237"/>
    <cellStyle name="_MOR - Revised Package_Revised MOR Package - Latest_II.5. RM Volume Sensitivities_Free CF" xfId="9238"/>
    <cellStyle name="_MOR - Revised Package_Revised MOR Package - Latest_II.5. RM Volume Sensitivities_P&amp;L Rec Qtr" xfId="9239"/>
    <cellStyle name="_MOR - Revised Package_Revised MOR Package - Latest_II.5. RM Volume Sensitivities_Sheet1" xfId="9240"/>
    <cellStyle name="_MOR - Revised Package_Revised MOR Package - Latest_II.5. RM Volume Sensitivities_Sheet2" xfId="9241"/>
    <cellStyle name="_MOR - Revised Package_Revised MOR Package - Latest_II.5. RM Volume Sensitivities_Sheet3" xfId="9242"/>
    <cellStyle name="_MOR - Revised Package_Revised MOR Package - Latest_II.5. RM Volume Sensitivities_Sheet4" xfId="9243"/>
    <cellStyle name="_MOR - Revised Package_Revised MOR Package - Latest_II.8. Sep&amp;Discrete" xfId="9244"/>
    <cellStyle name="_MOR - Revised Package_Revised MOR Package - Latest_Restructuring &amp; Separation" xfId="9245"/>
    <cellStyle name="_MOR - Revised Package_Revised MOR Package - Latest_Restructuring_Separation_TAX_JuneFC2010 tf" xfId="9246"/>
    <cellStyle name="_MOR - Revised Package_Revised MOR Package - Latest_Restructuring_Separation_TAX_JuneFC2010 tf_BS_Separation_TaxResIndem_Q12412 tf" xfId="9247"/>
    <cellStyle name="_MOR - Revised Package_Revised MOR Package - Latest_Restructuring_Separation_TAX_JuneFC2010 tf_BS_Separation_TaxResIndem_Q12412 tf_Restructuring &amp; Separation" xfId="9248"/>
    <cellStyle name="_MOR - Revised Package_Revised MOR Package - Latest_Restructuring_Separation_TAX_JuneFC2010 tf_II.8. Sep&amp;Discrete" xfId="9249"/>
    <cellStyle name="_MOR - Revised Package_Revised MOR Package - Latest_Restructuring_Separation_TAX_JuneFC2010 tf_Restructuring &amp; Separation" xfId="9250"/>
    <cellStyle name="_MOR-BDW" xfId="9251"/>
    <cellStyle name="_MOR-BDW_BS_Separation_TaxResIndem_Q12412 tf" xfId="9252"/>
    <cellStyle name="_MOR-BDW_BS_Separation_TaxResIndem_Q12412 tf_Restructuring &amp; Separation" xfId="9253"/>
    <cellStyle name="_MOR-BDW_By Country Detail 1Q10 041410pm FIN 18 revised per disc w Mary" xfId="9254"/>
    <cellStyle name="_MOR-BDW_By Country Detail 1Q10 041410pm FIN 18 revised per disc w Mary_BS_Separation_TaxResIndem_Q12412 tf" xfId="9255"/>
    <cellStyle name="_MOR-BDW_By Country Detail 1Q10 041410pm FIN 18 revised per disc w Mary_BS_Separation_TaxResIndem_Q12412 tf_Restructuring &amp; Separation" xfId="9256"/>
    <cellStyle name="_MOR-BDW_By Country Detail 1Q10 041410pm FIN 18 revised per disc w Mary_II.8. Sep&amp;Discrete" xfId="9257"/>
    <cellStyle name="_MOR-BDW_By Country Detail 1Q10 041410pm FIN 18 revised per disc w Mary_Restructuring &amp; Separation" xfId="9258"/>
    <cellStyle name="_MOR-BDW_II.4. RawMaterials" xfId="9259"/>
    <cellStyle name="_MOR-BDW_II.4. RawMaterials 2" xfId="9260"/>
    <cellStyle name="_MOR-BDW_II.4. RawMaterials_BS retrieve" xfId="9261"/>
    <cellStyle name="_MOR-BDW_II.4. RawMaterials_Free CF" xfId="9262"/>
    <cellStyle name="_MOR-BDW_II.4. RawMaterials_P&amp;L Rec Qtr" xfId="9263"/>
    <cellStyle name="_MOR-BDW_II.4. RawMaterials_Sheet1" xfId="9264"/>
    <cellStyle name="_MOR-BDW_II.4. RawMaterials_Sheet2" xfId="9265"/>
    <cellStyle name="_MOR-BDW_II.4. RawMaterials_Sheet3" xfId="9266"/>
    <cellStyle name="_MOR-BDW_II.4. RawMaterials_Sheet4" xfId="9267"/>
    <cellStyle name="_MOR-BDW_II.5. RawMaterials" xfId="9268"/>
    <cellStyle name="_MOR-BDW_II.5. RawMaterials 2" xfId="9269"/>
    <cellStyle name="_MOR-BDW_II.5. RawMaterials_BS retrieve" xfId="9270"/>
    <cellStyle name="_MOR-BDW_II.5. RawMaterials_Free CF" xfId="9271"/>
    <cellStyle name="_MOR-BDW_II.5. RawMaterials_P&amp;L Rec Qtr" xfId="9272"/>
    <cellStyle name="_MOR-BDW_II.5. RawMaterials_Sheet1" xfId="9273"/>
    <cellStyle name="_MOR-BDW_II.5. RawMaterials_Sheet2" xfId="9274"/>
    <cellStyle name="_MOR-BDW_II.5. RawMaterials_Sheet3" xfId="9275"/>
    <cellStyle name="_MOR-BDW_II.5. RawMaterials_Sheet4" xfId="9276"/>
    <cellStyle name="_MOR-BDW_II.5. RM Volume Sensitivities" xfId="9277"/>
    <cellStyle name="_MOR-BDW_II.5. RM Volume Sensitivities 2" xfId="9278"/>
    <cellStyle name="_MOR-BDW_II.5. RM Volume Sensitivities_BS retrieve" xfId="9279"/>
    <cellStyle name="_MOR-BDW_II.5. RM Volume Sensitivities_Free CF" xfId="9280"/>
    <cellStyle name="_MOR-BDW_II.5. RM Volume Sensitivities_P&amp;L Rec Qtr" xfId="9281"/>
    <cellStyle name="_MOR-BDW_II.5. RM Volume Sensitivities_Sheet1" xfId="9282"/>
    <cellStyle name="_MOR-BDW_II.5. RM Volume Sensitivities_Sheet2" xfId="9283"/>
    <cellStyle name="_MOR-BDW_II.5. RM Volume Sensitivities_Sheet3" xfId="9284"/>
    <cellStyle name="_MOR-BDW_II.5. RM Volume Sensitivities_Sheet4" xfId="9285"/>
    <cellStyle name="_MOR-BDW_II.8. Sep&amp;Discrete" xfId="9286"/>
    <cellStyle name="_MOR-BDW_MOR - BDWY - 1+11" xfId="9287"/>
    <cellStyle name="_MOR-BDW_MOR - BDWY - 1+11_~0039877" xfId="9288"/>
    <cellStyle name="_MOR-BDW_MOR - BDWY - 1+11_~0039877_BS_Separation_TaxResIndem_Q12412 tf" xfId="9289"/>
    <cellStyle name="_MOR-BDW_MOR - BDWY - 1+11_~0039877_BS_Separation_TaxResIndem_Q12412 tf_Restructuring &amp; Separation" xfId="9290"/>
    <cellStyle name="_MOR-BDW_MOR - BDWY - 1+11_~0039877_By Country Detail 1Q10 041410pm FIN 18 revised per disc w Mary" xfId="9291"/>
    <cellStyle name="_MOR-BDW_MOR - BDWY - 1+11_~0039877_By Country Detail 1Q10 041410pm FIN 18 revised per disc w Mary_BS_Separation_TaxResIndem_Q12412 tf" xfId="9292"/>
    <cellStyle name="_MOR-BDW_MOR - BDWY - 1+11_~0039877_By Country Detail 1Q10 041410pm FIN 18 revised per disc w Mary_BS_Separation_TaxResIndem_Q12412 tf_Restructuring &amp; Separation" xfId="9293"/>
    <cellStyle name="_MOR-BDW_MOR - BDWY - 1+11_~0039877_By Country Detail 1Q10 041410pm FIN 18 revised per disc w Mary_II.8. Sep&amp;Discrete" xfId="9294"/>
    <cellStyle name="_MOR-BDW_MOR - BDWY - 1+11_~0039877_By Country Detail 1Q10 041410pm FIN 18 revised per disc w Mary_Restructuring &amp; Separation" xfId="9295"/>
    <cellStyle name="_MOR-BDW_MOR - BDWY - 1+11_~0039877_II.4. RawMaterials" xfId="9296"/>
    <cellStyle name="_MOR-BDW_MOR - BDWY - 1+11_~0039877_II.4. RawMaterials 2" xfId="9297"/>
    <cellStyle name="_MOR-BDW_MOR - BDWY - 1+11_~0039877_II.4. RawMaterials_BS retrieve" xfId="9298"/>
    <cellStyle name="_MOR-BDW_MOR - BDWY - 1+11_~0039877_II.4. RawMaterials_Free CF" xfId="9299"/>
    <cellStyle name="_MOR-BDW_MOR - BDWY - 1+11_~0039877_II.4. RawMaterials_P&amp;L Rec Qtr" xfId="9300"/>
    <cellStyle name="_MOR-BDW_MOR - BDWY - 1+11_~0039877_II.4. RawMaterials_Sheet1" xfId="9301"/>
    <cellStyle name="_MOR-BDW_MOR - BDWY - 1+11_~0039877_II.4. RawMaterials_Sheet2" xfId="9302"/>
    <cellStyle name="_MOR-BDW_MOR - BDWY - 1+11_~0039877_II.4. RawMaterials_Sheet3" xfId="9303"/>
    <cellStyle name="_MOR-BDW_MOR - BDWY - 1+11_~0039877_II.4. RawMaterials_Sheet4" xfId="9304"/>
    <cellStyle name="_MOR-BDW_MOR - BDWY - 1+11_~0039877_II.5. RawMaterials" xfId="9305"/>
    <cellStyle name="_MOR-BDW_MOR - BDWY - 1+11_~0039877_II.5. RawMaterials 2" xfId="9306"/>
    <cellStyle name="_MOR-BDW_MOR - BDWY - 1+11_~0039877_II.5. RawMaterials_BS retrieve" xfId="9307"/>
    <cellStyle name="_MOR-BDW_MOR - BDWY - 1+11_~0039877_II.5. RawMaterials_Free CF" xfId="9308"/>
    <cellStyle name="_MOR-BDW_MOR - BDWY - 1+11_~0039877_II.5. RawMaterials_P&amp;L Rec Qtr" xfId="9309"/>
    <cellStyle name="_MOR-BDW_MOR - BDWY - 1+11_~0039877_II.5. RawMaterials_Sheet1" xfId="9310"/>
    <cellStyle name="_MOR-BDW_MOR - BDWY - 1+11_~0039877_II.5. RawMaterials_Sheet2" xfId="9311"/>
    <cellStyle name="_MOR-BDW_MOR - BDWY - 1+11_~0039877_II.5. RawMaterials_Sheet3" xfId="9312"/>
    <cellStyle name="_MOR-BDW_MOR - BDWY - 1+11_~0039877_II.5. RawMaterials_Sheet4" xfId="9313"/>
    <cellStyle name="_MOR-BDW_MOR - BDWY - 1+11_~0039877_II.5. RM Volume Sensitivities" xfId="9314"/>
    <cellStyle name="_MOR-BDW_MOR - BDWY - 1+11_~0039877_II.5. RM Volume Sensitivities 2" xfId="9315"/>
    <cellStyle name="_MOR-BDW_MOR - BDWY - 1+11_~0039877_II.5. RM Volume Sensitivities_BS retrieve" xfId="9316"/>
    <cellStyle name="_MOR-BDW_MOR - BDWY - 1+11_~0039877_II.5. RM Volume Sensitivities_Free CF" xfId="9317"/>
    <cellStyle name="_MOR-BDW_MOR - BDWY - 1+11_~0039877_II.5. RM Volume Sensitivities_P&amp;L Rec Qtr" xfId="9318"/>
    <cellStyle name="_MOR-BDW_MOR - BDWY - 1+11_~0039877_II.5. RM Volume Sensitivities_Sheet1" xfId="9319"/>
    <cellStyle name="_MOR-BDW_MOR - BDWY - 1+11_~0039877_II.5. RM Volume Sensitivities_Sheet2" xfId="9320"/>
    <cellStyle name="_MOR-BDW_MOR - BDWY - 1+11_~0039877_II.5. RM Volume Sensitivities_Sheet3" xfId="9321"/>
    <cellStyle name="_MOR-BDW_MOR - BDWY - 1+11_~0039877_II.5. RM Volume Sensitivities_Sheet4" xfId="9322"/>
    <cellStyle name="_MOR-BDW_MOR - BDWY - 1+11_~0039877_II.8. Sep&amp;Discrete" xfId="9323"/>
    <cellStyle name="_MOR-BDW_MOR - BDWY - 1+11_~0039877_Restructuring &amp; Separation" xfId="9324"/>
    <cellStyle name="_MOR-BDW_MOR - BDWY - 1+11_~0039877_Restructuring_Separation_TAX_JuneFC2010 tf" xfId="9325"/>
    <cellStyle name="_MOR-BDW_MOR - BDWY - 1+11_~0039877_Restructuring_Separation_TAX_JuneFC2010 tf_BS_Separation_TaxResIndem_Q12412 tf" xfId="9326"/>
    <cellStyle name="_MOR-BDW_MOR - BDWY - 1+11_~0039877_Restructuring_Separation_TAX_JuneFC2010 tf_BS_Separation_TaxResIndem_Q12412 tf_Restructuring &amp; Separation" xfId="9327"/>
    <cellStyle name="_MOR-BDW_MOR - BDWY - 1+11_~0039877_Restructuring_Separation_TAX_JuneFC2010 tf_II.8. Sep&amp;Discrete" xfId="9328"/>
    <cellStyle name="_MOR-BDW_MOR - BDWY - 1+11_~0039877_Restructuring_Separation_TAX_JuneFC2010 tf_Restructuring &amp; Separation" xfId="9329"/>
    <cellStyle name="_MOR-BDW_MOR - BDWY - 1+11_BS_Separation_TaxResIndem_Q12412 tf" xfId="9330"/>
    <cellStyle name="_MOR-BDW_MOR - BDWY - 1+11_BS_Separation_TaxResIndem_Q12412 tf_Restructuring &amp; Separation" xfId="9331"/>
    <cellStyle name="_MOR-BDW_MOR - BDWY - 1+11_By Country Detail 1Q10 041410pm FIN 18 revised per disc w Mary" xfId="9332"/>
    <cellStyle name="_MOR-BDW_MOR - BDWY - 1+11_By Country Detail 1Q10 041410pm FIN 18 revised per disc w Mary_BS_Separation_TaxResIndem_Q12412 tf" xfId="9333"/>
    <cellStyle name="_MOR-BDW_MOR - BDWY - 1+11_By Country Detail 1Q10 041410pm FIN 18 revised per disc w Mary_BS_Separation_TaxResIndem_Q12412 tf_Restructuring &amp; Separation" xfId="9334"/>
    <cellStyle name="_MOR-BDW_MOR - BDWY - 1+11_By Country Detail 1Q10 041410pm FIN 18 revised per disc w Mary_II.8. Sep&amp;Discrete" xfId="9335"/>
    <cellStyle name="_MOR-BDW_MOR - BDWY - 1+11_By Country Detail 1Q10 041410pm FIN 18 revised per disc w Mary_Restructuring &amp; Separation" xfId="9336"/>
    <cellStyle name="_MOR-BDW_MOR - BDWY - 1+11_II.4. RawMaterials" xfId="9337"/>
    <cellStyle name="_MOR-BDW_MOR - BDWY - 1+11_II.4. RawMaterials 2" xfId="9338"/>
    <cellStyle name="_MOR-BDW_MOR - BDWY - 1+11_II.4. RawMaterials_BS retrieve" xfId="9339"/>
    <cellStyle name="_MOR-BDW_MOR - BDWY - 1+11_II.4. RawMaterials_Free CF" xfId="9340"/>
    <cellStyle name="_MOR-BDW_MOR - BDWY - 1+11_II.4. RawMaterials_P&amp;L Rec Qtr" xfId="9341"/>
    <cellStyle name="_MOR-BDW_MOR - BDWY - 1+11_II.4. RawMaterials_Sheet1" xfId="9342"/>
    <cellStyle name="_MOR-BDW_MOR - BDWY - 1+11_II.4. RawMaterials_Sheet2" xfId="9343"/>
    <cellStyle name="_MOR-BDW_MOR - BDWY - 1+11_II.4. RawMaterials_Sheet3" xfId="9344"/>
    <cellStyle name="_MOR-BDW_MOR - BDWY - 1+11_II.4. RawMaterials_Sheet4" xfId="9345"/>
    <cellStyle name="_MOR-BDW_MOR - BDWY - 1+11_II.5. RawMaterials" xfId="9346"/>
    <cellStyle name="_MOR-BDW_MOR - BDWY - 1+11_II.5. RawMaterials 2" xfId="9347"/>
    <cellStyle name="_MOR-BDW_MOR - BDWY - 1+11_II.5. RawMaterials_BS retrieve" xfId="9348"/>
    <cellStyle name="_MOR-BDW_MOR - BDWY - 1+11_II.5. RawMaterials_Free CF" xfId="9349"/>
    <cellStyle name="_MOR-BDW_MOR - BDWY - 1+11_II.5. RawMaterials_P&amp;L Rec Qtr" xfId="9350"/>
    <cellStyle name="_MOR-BDW_MOR - BDWY - 1+11_II.5. RawMaterials_Sheet1" xfId="9351"/>
    <cellStyle name="_MOR-BDW_MOR - BDWY - 1+11_II.5. RawMaterials_Sheet2" xfId="9352"/>
    <cellStyle name="_MOR-BDW_MOR - BDWY - 1+11_II.5. RawMaterials_Sheet3" xfId="9353"/>
    <cellStyle name="_MOR-BDW_MOR - BDWY - 1+11_II.5. RawMaterials_Sheet4" xfId="9354"/>
    <cellStyle name="_MOR-BDW_MOR - BDWY - 1+11_II.5. RM Volume Sensitivities" xfId="9355"/>
    <cellStyle name="_MOR-BDW_MOR - BDWY - 1+11_II.5. RM Volume Sensitivities 2" xfId="9356"/>
    <cellStyle name="_MOR-BDW_MOR - BDWY - 1+11_II.5. RM Volume Sensitivities_BS retrieve" xfId="9357"/>
    <cellStyle name="_MOR-BDW_MOR - BDWY - 1+11_II.5. RM Volume Sensitivities_Free CF" xfId="9358"/>
    <cellStyle name="_MOR-BDW_MOR - BDWY - 1+11_II.5. RM Volume Sensitivities_P&amp;L Rec Qtr" xfId="9359"/>
    <cellStyle name="_MOR-BDW_MOR - BDWY - 1+11_II.5. RM Volume Sensitivities_Sheet1" xfId="9360"/>
    <cellStyle name="_MOR-BDW_MOR - BDWY - 1+11_II.5. RM Volume Sensitivities_Sheet2" xfId="9361"/>
    <cellStyle name="_MOR-BDW_MOR - BDWY - 1+11_II.5. RM Volume Sensitivities_Sheet3" xfId="9362"/>
    <cellStyle name="_MOR-BDW_MOR - BDWY - 1+11_II.5. RM Volume Sensitivities_Sheet4" xfId="9363"/>
    <cellStyle name="_MOR-BDW_MOR - BDWY - 1+11_II.8. Sep&amp;Discrete" xfId="9364"/>
    <cellStyle name="_MOR-BDW_MOR - BDWY - 1+11_MOR - Australia -  EC - 1+11" xfId="9365"/>
    <cellStyle name="_MOR-BDW_MOR - BDWY - 1+11_MOR - Australia -  EC - 1+11_BS_Separation_TaxResIndem_Q12412 tf" xfId="9366"/>
    <cellStyle name="_MOR-BDW_MOR - BDWY - 1+11_MOR - Australia -  EC - 1+11_BS_Separation_TaxResIndem_Q12412 tf_Restructuring &amp; Separation" xfId="9367"/>
    <cellStyle name="_MOR-BDW_MOR - BDWY - 1+11_MOR - Australia -  EC - 1+11_By Country Detail 1Q10 041410pm FIN 18 revised per disc w Mary" xfId="9368"/>
    <cellStyle name="_MOR-BDW_MOR - BDWY - 1+11_MOR - Australia -  EC - 1+11_By Country Detail 1Q10 041410pm FIN 18 revised per disc w Mary_BS_Separation_TaxResIndem_Q12412 tf" xfId="9369"/>
    <cellStyle name="_MOR-BDW_MOR - BDWY - 1+11_MOR - Australia -  EC - 1+11_By Country Detail 1Q10 041410pm FIN 18 revised per disc w Mary_BS_Separation_TaxResIndem_Q12412 tf_Restructuring &amp; Separation" xfId="9370"/>
    <cellStyle name="_MOR-BDW_MOR - BDWY - 1+11_MOR - Australia -  EC - 1+11_By Country Detail 1Q10 041410pm FIN 18 revised per disc w Mary_II.8. Sep&amp;Discrete" xfId="9371"/>
    <cellStyle name="_MOR-BDW_MOR - BDWY - 1+11_MOR - Australia -  EC - 1+11_By Country Detail 1Q10 041410pm FIN 18 revised per disc w Mary_Restructuring &amp; Separation" xfId="9372"/>
    <cellStyle name="_MOR-BDW_MOR - BDWY - 1+11_MOR - Australia -  EC - 1+11_II.4. RawMaterials" xfId="9373"/>
    <cellStyle name="_MOR-BDW_MOR - BDWY - 1+11_MOR - Australia -  EC - 1+11_II.4. RawMaterials 2" xfId="9374"/>
    <cellStyle name="_MOR-BDW_MOR - BDWY - 1+11_MOR - Australia -  EC - 1+11_II.4. RawMaterials_BS retrieve" xfId="9375"/>
    <cellStyle name="_MOR-BDW_MOR - BDWY - 1+11_MOR - Australia -  EC - 1+11_II.4. RawMaterials_Free CF" xfId="9376"/>
    <cellStyle name="_MOR-BDW_MOR - BDWY - 1+11_MOR - Australia -  EC - 1+11_II.4. RawMaterials_P&amp;L Rec Qtr" xfId="9377"/>
    <cellStyle name="_MOR-BDW_MOR - BDWY - 1+11_MOR - Australia -  EC - 1+11_II.4. RawMaterials_Sheet1" xfId="9378"/>
    <cellStyle name="_MOR-BDW_MOR - BDWY - 1+11_MOR - Australia -  EC - 1+11_II.4. RawMaterials_Sheet2" xfId="9379"/>
    <cellStyle name="_MOR-BDW_MOR - BDWY - 1+11_MOR - Australia -  EC - 1+11_II.4. RawMaterials_Sheet3" xfId="9380"/>
    <cellStyle name="_MOR-BDW_MOR - BDWY - 1+11_MOR - Australia -  EC - 1+11_II.4. RawMaterials_Sheet4" xfId="9381"/>
    <cellStyle name="_MOR-BDW_MOR - BDWY - 1+11_MOR - Australia -  EC - 1+11_II.5. RawMaterials" xfId="9382"/>
    <cellStyle name="_MOR-BDW_MOR - BDWY - 1+11_MOR - Australia -  EC - 1+11_II.5. RawMaterials 2" xfId="9383"/>
    <cellStyle name="_MOR-BDW_MOR - BDWY - 1+11_MOR - Australia -  EC - 1+11_II.5. RawMaterials_BS retrieve" xfId="9384"/>
    <cellStyle name="_MOR-BDW_MOR - BDWY - 1+11_MOR - Australia -  EC - 1+11_II.5. RawMaterials_Free CF" xfId="9385"/>
    <cellStyle name="_MOR-BDW_MOR - BDWY - 1+11_MOR - Australia -  EC - 1+11_II.5. RawMaterials_P&amp;L Rec Qtr" xfId="9386"/>
    <cellStyle name="_MOR-BDW_MOR - BDWY - 1+11_MOR - Australia -  EC - 1+11_II.5. RawMaterials_Sheet1" xfId="9387"/>
    <cellStyle name="_MOR-BDW_MOR - BDWY - 1+11_MOR - Australia -  EC - 1+11_II.5. RawMaterials_Sheet2" xfId="9388"/>
    <cellStyle name="_MOR-BDW_MOR - BDWY - 1+11_MOR - Australia -  EC - 1+11_II.5. RawMaterials_Sheet3" xfId="9389"/>
    <cellStyle name="_MOR-BDW_MOR - BDWY - 1+11_MOR - Australia -  EC - 1+11_II.5. RawMaterials_Sheet4" xfId="9390"/>
    <cellStyle name="_MOR-BDW_MOR - BDWY - 1+11_MOR - Australia -  EC - 1+11_II.5. RM Volume Sensitivities" xfId="9391"/>
    <cellStyle name="_MOR-BDW_MOR - BDWY - 1+11_MOR - Australia -  EC - 1+11_II.5. RM Volume Sensitivities 2" xfId="9392"/>
    <cellStyle name="_MOR-BDW_MOR - BDWY - 1+11_MOR - Australia -  EC - 1+11_II.5. RM Volume Sensitivities_BS retrieve" xfId="9393"/>
    <cellStyle name="_MOR-BDW_MOR - BDWY - 1+11_MOR - Australia -  EC - 1+11_II.5. RM Volume Sensitivities_Free CF" xfId="9394"/>
    <cellStyle name="_MOR-BDW_MOR - BDWY - 1+11_MOR - Australia -  EC - 1+11_II.5. RM Volume Sensitivities_P&amp;L Rec Qtr" xfId="9395"/>
    <cellStyle name="_MOR-BDW_MOR - BDWY - 1+11_MOR - Australia -  EC - 1+11_II.5. RM Volume Sensitivities_Sheet1" xfId="9396"/>
    <cellStyle name="_MOR-BDW_MOR - BDWY - 1+11_MOR - Australia -  EC - 1+11_II.5. RM Volume Sensitivities_Sheet2" xfId="9397"/>
    <cellStyle name="_MOR-BDW_MOR - BDWY - 1+11_MOR - Australia -  EC - 1+11_II.5. RM Volume Sensitivities_Sheet3" xfId="9398"/>
    <cellStyle name="_MOR-BDW_MOR - BDWY - 1+11_MOR - Australia -  EC - 1+11_II.5. RM Volume Sensitivities_Sheet4" xfId="9399"/>
    <cellStyle name="_MOR-BDW_MOR - BDWY - 1+11_MOR - Australia -  EC - 1+11_II.8. Sep&amp;Discrete" xfId="9400"/>
    <cellStyle name="_MOR-BDW_MOR - BDWY - 1+11_MOR - Australia -  EC - 1+11_Restructuring &amp; Separation" xfId="9401"/>
    <cellStyle name="_MOR-BDW_MOR - BDWY - 1+11_MOR - Australia -  EC - 1+11_Restructuring_Separation_TAX_JuneFC2010 tf" xfId="9402"/>
    <cellStyle name="_MOR-BDW_MOR - BDWY - 1+11_MOR - Australia -  EC - 1+11_Restructuring_Separation_TAX_JuneFC2010 tf_BS_Separation_TaxResIndem_Q12412 tf" xfId="9403"/>
    <cellStyle name="_MOR-BDW_MOR - BDWY - 1+11_MOR - Australia -  EC - 1+11_Restructuring_Separation_TAX_JuneFC2010 tf_BS_Separation_TaxResIndem_Q12412 tf_Restructuring &amp; Separation" xfId="9404"/>
    <cellStyle name="_MOR-BDW_MOR - BDWY - 1+11_MOR - Australia -  EC - 1+11_Restructuring_Separation_TAX_JuneFC2010 tf_II.8. Sep&amp;Discrete" xfId="9405"/>
    <cellStyle name="_MOR-BDW_MOR - BDWY - 1+11_MOR - Australia -  EC - 1+11_Restructuring_Separation_TAX_JuneFC2010 tf_Restructuring &amp; Separation" xfId="9406"/>
    <cellStyle name="_MOR-BDW_MOR - BDWY - 1+11_MOR - Australia -  EC - 2+10" xfId="9407"/>
    <cellStyle name="_MOR-BDW_MOR - BDWY - 1+11_MOR - Australia -  EC - 2+10_BS_Separation_TaxResIndem_Q12412 tf" xfId="9408"/>
    <cellStyle name="_MOR-BDW_MOR - BDWY - 1+11_MOR - Australia -  EC - 2+10_BS_Separation_TaxResIndem_Q12412 tf_Restructuring &amp; Separation" xfId="9409"/>
    <cellStyle name="_MOR-BDW_MOR - BDWY - 1+11_MOR - Australia -  EC - 2+10_By Country Detail 1Q10 041410pm FIN 18 revised per disc w Mary" xfId="9410"/>
    <cellStyle name="_MOR-BDW_MOR - BDWY - 1+11_MOR - Australia -  EC - 2+10_By Country Detail 1Q10 041410pm FIN 18 revised per disc w Mary_BS_Separation_TaxResIndem_Q12412 tf" xfId="9411"/>
    <cellStyle name="_MOR-BDW_MOR - BDWY - 1+11_MOR - Australia -  EC - 2+10_By Country Detail 1Q10 041410pm FIN 18 revised per disc w Mary_BS_Separation_TaxResIndem_Q12412 tf_Restructuring &amp; Separation" xfId="9412"/>
    <cellStyle name="_MOR-BDW_MOR - BDWY - 1+11_MOR - Australia -  EC - 2+10_By Country Detail 1Q10 041410pm FIN 18 revised per disc w Mary_II.8. Sep&amp;Discrete" xfId="9413"/>
    <cellStyle name="_MOR-BDW_MOR - BDWY - 1+11_MOR - Australia -  EC - 2+10_By Country Detail 1Q10 041410pm FIN 18 revised per disc w Mary_Restructuring &amp; Separation" xfId="9414"/>
    <cellStyle name="_MOR-BDW_MOR - BDWY - 1+11_MOR - Australia -  EC - 2+10_II.4. RawMaterials" xfId="9415"/>
    <cellStyle name="_MOR-BDW_MOR - BDWY - 1+11_MOR - Australia -  EC - 2+10_II.4. RawMaterials 2" xfId="9416"/>
    <cellStyle name="_MOR-BDW_MOR - BDWY - 1+11_MOR - Australia -  EC - 2+10_II.4. RawMaterials_BS retrieve" xfId="9417"/>
    <cellStyle name="_MOR-BDW_MOR - BDWY - 1+11_MOR - Australia -  EC - 2+10_II.4. RawMaterials_Free CF" xfId="9418"/>
    <cellStyle name="_MOR-BDW_MOR - BDWY - 1+11_MOR - Australia -  EC - 2+10_II.4. RawMaterials_P&amp;L Rec Qtr" xfId="9419"/>
    <cellStyle name="_MOR-BDW_MOR - BDWY - 1+11_MOR - Australia -  EC - 2+10_II.4. RawMaterials_Sheet1" xfId="9420"/>
    <cellStyle name="_MOR-BDW_MOR - BDWY - 1+11_MOR - Australia -  EC - 2+10_II.4. RawMaterials_Sheet2" xfId="9421"/>
    <cellStyle name="_MOR-BDW_MOR - BDWY - 1+11_MOR - Australia -  EC - 2+10_II.4. RawMaterials_Sheet3" xfId="9422"/>
    <cellStyle name="_MOR-BDW_MOR - BDWY - 1+11_MOR - Australia -  EC - 2+10_II.4. RawMaterials_Sheet4" xfId="9423"/>
    <cellStyle name="_MOR-BDW_MOR - BDWY - 1+11_MOR - Australia -  EC - 2+10_II.5. RawMaterials" xfId="9424"/>
    <cellStyle name="_MOR-BDW_MOR - BDWY - 1+11_MOR - Australia -  EC - 2+10_II.5. RawMaterials 2" xfId="9425"/>
    <cellStyle name="_MOR-BDW_MOR - BDWY - 1+11_MOR - Australia -  EC - 2+10_II.5. RawMaterials_BS retrieve" xfId="9426"/>
    <cellStyle name="_MOR-BDW_MOR - BDWY - 1+11_MOR - Australia -  EC - 2+10_II.5. RawMaterials_Free CF" xfId="9427"/>
    <cellStyle name="_MOR-BDW_MOR - BDWY - 1+11_MOR - Australia -  EC - 2+10_II.5. RawMaterials_P&amp;L Rec Qtr" xfId="9428"/>
    <cellStyle name="_MOR-BDW_MOR - BDWY - 1+11_MOR - Australia -  EC - 2+10_II.5. RawMaterials_Sheet1" xfId="9429"/>
    <cellStyle name="_MOR-BDW_MOR - BDWY - 1+11_MOR - Australia -  EC - 2+10_II.5. RawMaterials_Sheet2" xfId="9430"/>
    <cellStyle name="_MOR-BDW_MOR - BDWY - 1+11_MOR - Australia -  EC - 2+10_II.5. RawMaterials_Sheet3" xfId="9431"/>
    <cellStyle name="_MOR-BDW_MOR - BDWY - 1+11_MOR - Australia -  EC - 2+10_II.5. RawMaterials_Sheet4" xfId="9432"/>
    <cellStyle name="_MOR-BDW_MOR - BDWY - 1+11_MOR - Australia -  EC - 2+10_II.5. RM Volume Sensitivities" xfId="9433"/>
    <cellStyle name="_MOR-BDW_MOR - BDWY - 1+11_MOR - Australia -  EC - 2+10_II.5. RM Volume Sensitivities 2" xfId="9434"/>
    <cellStyle name="_MOR-BDW_MOR - BDWY - 1+11_MOR - Australia -  EC - 2+10_II.5. RM Volume Sensitivities_BS retrieve" xfId="9435"/>
    <cellStyle name="_MOR-BDW_MOR - BDWY - 1+11_MOR - Australia -  EC - 2+10_II.5. RM Volume Sensitivities_Free CF" xfId="9436"/>
    <cellStyle name="_MOR-BDW_MOR - BDWY - 1+11_MOR - Australia -  EC - 2+10_II.5. RM Volume Sensitivities_P&amp;L Rec Qtr" xfId="9437"/>
    <cellStyle name="_MOR-BDW_MOR - BDWY - 1+11_MOR - Australia -  EC - 2+10_II.5. RM Volume Sensitivities_Sheet1" xfId="9438"/>
    <cellStyle name="_MOR-BDW_MOR - BDWY - 1+11_MOR - Australia -  EC - 2+10_II.5. RM Volume Sensitivities_Sheet2" xfId="9439"/>
    <cellStyle name="_MOR-BDW_MOR - BDWY - 1+11_MOR - Australia -  EC - 2+10_II.5. RM Volume Sensitivities_Sheet3" xfId="9440"/>
    <cellStyle name="_MOR-BDW_MOR - BDWY - 1+11_MOR - Australia -  EC - 2+10_II.5. RM Volume Sensitivities_Sheet4" xfId="9441"/>
    <cellStyle name="_MOR-BDW_MOR - BDWY - 1+11_MOR - Australia -  EC - 2+10_II.8. Sep&amp;Discrete" xfId="9442"/>
    <cellStyle name="_MOR-BDW_MOR - BDWY - 1+11_MOR - Australia -  EC - 2+10_Restructuring &amp; Separation" xfId="9443"/>
    <cellStyle name="_MOR-BDW_MOR - BDWY - 1+11_MOR - Australia -  EC - 2+10_Restructuring_Separation_TAX_JuneFC2010 tf" xfId="9444"/>
    <cellStyle name="_MOR-BDW_MOR - BDWY - 1+11_MOR - Australia -  EC - 2+10_Restructuring_Separation_TAX_JuneFC2010 tf_BS_Separation_TaxResIndem_Q12412 tf" xfId="9445"/>
    <cellStyle name="_MOR-BDW_MOR - BDWY - 1+11_MOR - Australia -  EC - 2+10_Restructuring_Separation_TAX_JuneFC2010 tf_BS_Separation_TaxResIndem_Q12412 tf_Restructuring &amp; Separation" xfId="9446"/>
    <cellStyle name="_MOR-BDW_MOR - BDWY - 1+11_MOR - Australia -  EC - 2+10_Restructuring_Separation_TAX_JuneFC2010 tf_II.8. Sep&amp;Discrete" xfId="9447"/>
    <cellStyle name="_MOR-BDW_MOR - BDWY - 1+11_MOR - Australia -  EC - 2+10_Restructuring_Separation_TAX_JuneFC2010 tf_Restructuring &amp; Separation" xfId="9448"/>
    <cellStyle name="_MOR-BDW_MOR - BDWY - 1+11_MOR - Australia -  EC - 3+9" xfId="9449"/>
    <cellStyle name="_MOR-BDW_MOR - BDWY - 1+11_MOR - Australia -  EC - 3+9_BS_Separation_TaxResIndem_Q12412 tf" xfId="9450"/>
    <cellStyle name="_MOR-BDW_MOR - BDWY - 1+11_MOR - Australia -  EC - 3+9_BS_Separation_TaxResIndem_Q12412 tf_Restructuring &amp; Separation" xfId="9451"/>
    <cellStyle name="_MOR-BDW_MOR - BDWY - 1+11_MOR - Australia -  EC - 3+9_By Country Detail 1Q10 041410pm FIN 18 revised per disc w Mary" xfId="9452"/>
    <cellStyle name="_MOR-BDW_MOR - BDWY - 1+11_MOR - Australia -  EC - 3+9_By Country Detail 1Q10 041410pm FIN 18 revised per disc w Mary_BS_Separation_TaxResIndem_Q12412 tf" xfId="9453"/>
    <cellStyle name="_MOR-BDW_MOR - BDWY - 1+11_MOR - Australia -  EC - 3+9_By Country Detail 1Q10 041410pm FIN 18 revised per disc w Mary_BS_Separation_TaxResIndem_Q12412 tf_Restructuring &amp; Separation" xfId="9454"/>
    <cellStyle name="_MOR-BDW_MOR - BDWY - 1+11_MOR - Australia -  EC - 3+9_By Country Detail 1Q10 041410pm FIN 18 revised per disc w Mary_II.8. Sep&amp;Discrete" xfId="9455"/>
    <cellStyle name="_MOR-BDW_MOR - BDWY - 1+11_MOR - Australia -  EC - 3+9_By Country Detail 1Q10 041410pm FIN 18 revised per disc w Mary_Restructuring &amp; Separation" xfId="9456"/>
    <cellStyle name="_MOR-BDW_MOR - BDWY - 1+11_MOR - Australia -  EC - 3+9_II.4. RawMaterials" xfId="9457"/>
    <cellStyle name="_MOR-BDW_MOR - BDWY - 1+11_MOR - Australia -  EC - 3+9_II.4. RawMaterials 2" xfId="9458"/>
    <cellStyle name="_MOR-BDW_MOR - BDWY - 1+11_MOR - Australia -  EC - 3+9_II.4. RawMaterials_BS retrieve" xfId="9459"/>
    <cellStyle name="_MOR-BDW_MOR - BDWY - 1+11_MOR - Australia -  EC - 3+9_II.4. RawMaterials_Free CF" xfId="9460"/>
    <cellStyle name="_MOR-BDW_MOR - BDWY - 1+11_MOR - Australia -  EC - 3+9_II.4. RawMaterials_P&amp;L Rec Qtr" xfId="9461"/>
    <cellStyle name="_MOR-BDW_MOR - BDWY - 1+11_MOR - Australia -  EC - 3+9_II.4. RawMaterials_Sheet1" xfId="9462"/>
    <cellStyle name="_MOR-BDW_MOR - BDWY - 1+11_MOR - Australia -  EC - 3+9_II.4. RawMaterials_Sheet2" xfId="9463"/>
    <cellStyle name="_MOR-BDW_MOR - BDWY - 1+11_MOR - Australia -  EC - 3+9_II.4. RawMaterials_Sheet3" xfId="9464"/>
    <cellStyle name="_MOR-BDW_MOR - BDWY - 1+11_MOR - Australia -  EC - 3+9_II.4. RawMaterials_Sheet4" xfId="9465"/>
    <cellStyle name="_MOR-BDW_MOR - BDWY - 1+11_MOR - Australia -  EC - 3+9_II.5. RawMaterials" xfId="9466"/>
    <cellStyle name="_MOR-BDW_MOR - BDWY - 1+11_MOR - Australia -  EC - 3+9_II.5. RawMaterials 2" xfId="9467"/>
    <cellStyle name="_MOR-BDW_MOR - BDWY - 1+11_MOR - Australia -  EC - 3+9_II.5. RawMaterials_BS retrieve" xfId="9468"/>
    <cellStyle name="_MOR-BDW_MOR - BDWY - 1+11_MOR - Australia -  EC - 3+9_II.5. RawMaterials_Free CF" xfId="9469"/>
    <cellStyle name="_MOR-BDW_MOR - BDWY - 1+11_MOR - Australia -  EC - 3+9_II.5. RawMaterials_P&amp;L Rec Qtr" xfId="9470"/>
    <cellStyle name="_MOR-BDW_MOR - BDWY - 1+11_MOR - Australia -  EC - 3+9_II.5. RawMaterials_Sheet1" xfId="9471"/>
    <cellStyle name="_MOR-BDW_MOR - BDWY - 1+11_MOR - Australia -  EC - 3+9_II.5. RawMaterials_Sheet2" xfId="9472"/>
    <cellStyle name="_MOR-BDW_MOR - BDWY - 1+11_MOR - Australia -  EC - 3+9_II.5. RawMaterials_Sheet3" xfId="9473"/>
    <cellStyle name="_MOR-BDW_MOR - BDWY - 1+11_MOR - Australia -  EC - 3+9_II.5. RawMaterials_Sheet4" xfId="9474"/>
    <cellStyle name="_MOR-BDW_MOR - BDWY - 1+11_MOR - Australia -  EC - 3+9_II.5. RM Volume Sensitivities" xfId="9475"/>
    <cellStyle name="_MOR-BDW_MOR - BDWY - 1+11_MOR - Australia -  EC - 3+9_II.5. RM Volume Sensitivities 2" xfId="9476"/>
    <cellStyle name="_MOR-BDW_MOR - BDWY - 1+11_MOR - Australia -  EC - 3+9_II.5. RM Volume Sensitivities_BS retrieve" xfId="9477"/>
    <cellStyle name="_MOR-BDW_MOR - BDWY - 1+11_MOR - Australia -  EC - 3+9_II.5. RM Volume Sensitivities_Free CF" xfId="9478"/>
    <cellStyle name="_MOR-BDW_MOR - BDWY - 1+11_MOR - Australia -  EC - 3+9_II.5. RM Volume Sensitivities_P&amp;L Rec Qtr" xfId="9479"/>
    <cellStyle name="_MOR-BDW_MOR - BDWY - 1+11_MOR - Australia -  EC - 3+9_II.5. RM Volume Sensitivities_Sheet1" xfId="9480"/>
    <cellStyle name="_MOR-BDW_MOR - BDWY - 1+11_MOR - Australia -  EC - 3+9_II.5. RM Volume Sensitivities_Sheet2" xfId="9481"/>
    <cellStyle name="_MOR-BDW_MOR - BDWY - 1+11_MOR - Australia -  EC - 3+9_II.5. RM Volume Sensitivities_Sheet3" xfId="9482"/>
    <cellStyle name="_MOR-BDW_MOR - BDWY - 1+11_MOR - Australia -  EC - 3+9_II.5. RM Volume Sensitivities_Sheet4" xfId="9483"/>
    <cellStyle name="_MOR-BDW_MOR - BDWY - 1+11_MOR - Australia -  EC - 3+9_II.8. Sep&amp;Discrete" xfId="9484"/>
    <cellStyle name="_MOR-BDW_MOR - BDWY - 1+11_MOR - Australia -  EC - 3+9_Restructuring &amp; Separation" xfId="9485"/>
    <cellStyle name="_MOR-BDW_MOR - BDWY - 1+11_MOR - Australia -  EC - 3+9_Restructuring_Separation_TAX_JuneFC2010 tf" xfId="9486"/>
    <cellStyle name="_MOR-BDW_MOR - BDWY - 1+11_MOR - Australia -  EC - 3+9_Restructuring_Separation_TAX_JuneFC2010 tf_BS_Separation_TaxResIndem_Q12412 tf" xfId="9487"/>
    <cellStyle name="_MOR-BDW_MOR - BDWY - 1+11_MOR - Australia -  EC - 3+9_Restructuring_Separation_TAX_JuneFC2010 tf_BS_Separation_TaxResIndem_Q12412 tf_Restructuring &amp; Separation" xfId="9488"/>
    <cellStyle name="_MOR-BDW_MOR - BDWY - 1+11_MOR - Australia -  EC - 3+9_Restructuring_Separation_TAX_JuneFC2010 tf_II.8. Sep&amp;Discrete" xfId="9489"/>
    <cellStyle name="_MOR-BDW_MOR - BDWY - 1+11_MOR - Australia -  EC - 3+9_Restructuring_Separation_TAX_JuneFC2010 tf_Restructuring &amp; Separation" xfId="9490"/>
    <cellStyle name="_MOR-BDW_MOR - BDWY - 1+11_MOR - Australia -  EC - 4+8" xfId="9491"/>
    <cellStyle name="_MOR-BDW_MOR - BDWY - 1+11_MOR - Australia -  EC - 4+8_BS_Separation_TaxResIndem_Q12412 tf" xfId="9492"/>
    <cellStyle name="_MOR-BDW_MOR - BDWY - 1+11_MOR - Australia -  EC - 4+8_BS_Separation_TaxResIndem_Q12412 tf_Restructuring &amp; Separation" xfId="9493"/>
    <cellStyle name="_MOR-BDW_MOR - BDWY - 1+11_MOR - Australia -  EC - 4+8_By Country Detail 1Q10 041410pm FIN 18 revised per disc w Mary" xfId="9494"/>
    <cellStyle name="_MOR-BDW_MOR - BDWY - 1+11_MOR - Australia -  EC - 4+8_By Country Detail 1Q10 041410pm FIN 18 revised per disc w Mary_BS_Separation_TaxResIndem_Q12412 tf" xfId="9495"/>
    <cellStyle name="_MOR-BDW_MOR - BDWY - 1+11_MOR - Australia -  EC - 4+8_By Country Detail 1Q10 041410pm FIN 18 revised per disc w Mary_BS_Separation_TaxResIndem_Q12412 tf_Restructuring &amp; Separation" xfId="9496"/>
    <cellStyle name="_MOR-BDW_MOR - BDWY - 1+11_MOR - Australia -  EC - 4+8_By Country Detail 1Q10 041410pm FIN 18 revised per disc w Mary_II.8. Sep&amp;Discrete" xfId="9497"/>
    <cellStyle name="_MOR-BDW_MOR - BDWY - 1+11_MOR - Australia -  EC - 4+8_By Country Detail 1Q10 041410pm FIN 18 revised per disc w Mary_Restructuring &amp; Separation" xfId="9498"/>
    <cellStyle name="_MOR-BDW_MOR - BDWY - 1+11_MOR - Australia -  EC - 4+8_II.4. RawMaterials" xfId="9499"/>
    <cellStyle name="_MOR-BDW_MOR - BDWY - 1+11_MOR - Australia -  EC - 4+8_II.4. RawMaterials 2" xfId="9500"/>
    <cellStyle name="_MOR-BDW_MOR - BDWY - 1+11_MOR - Australia -  EC - 4+8_II.4. RawMaterials_BS retrieve" xfId="9501"/>
    <cellStyle name="_MOR-BDW_MOR - BDWY - 1+11_MOR - Australia -  EC - 4+8_II.4. RawMaterials_Free CF" xfId="9502"/>
    <cellStyle name="_MOR-BDW_MOR - BDWY - 1+11_MOR - Australia -  EC - 4+8_II.4. RawMaterials_P&amp;L Rec Qtr" xfId="9503"/>
    <cellStyle name="_MOR-BDW_MOR - BDWY - 1+11_MOR - Australia -  EC - 4+8_II.4. RawMaterials_Sheet1" xfId="9504"/>
    <cellStyle name="_MOR-BDW_MOR - BDWY - 1+11_MOR - Australia -  EC - 4+8_II.4. RawMaterials_Sheet2" xfId="9505"/>
    <cellStyle name="_MOR-BDW_MOR - BDWY - 1+11_MOR - Australia -  EC - 4+8_II.4. RawMaterials_Sheet3" xfId="9506"/>
    <cellStyle name="_MOR-BDW_MOR - BDWY - 1+11_MOR - Australia -  EC - 4+8_II.4. RawMaterials_Sheet4" xfId="9507"/>
    <cellStyle name="_MOR-BDW_MOR - BDWY - 1+11_MOR - Australia -  EC - 4+8_II.5. RawMaterials" xfId="9508"/>
    <cellStyle name="_MOR-BDW_MOR - BDWY - 1+11_MOR - Australia -  EC - 4+8_II.5. RawMaterials 2" xfId="9509"/>
    <cellStyle name="_MOR-BDW_MOR - BDWY - 1+11_MOR - Australia -  EC - 4+8_II.5. RawMaterials_BS retrieve" xfId="9510"/>
    <cellStyle name="_MOR-BDW_MOR - BDWY - 1+11_MOR - Australia -  EC - 4+8_II.5. RawMaterials_Free CF" xfId="9511"/>
    <cellStyle name="_MOR-BDW_MOR - BDWY - 1+11_MOR - Australia -  EC - 4+8_II.5. RawMaterials_P&amp;L Rec Qtr" xfId="9512"/>
    <cellStyle name="_MOR-BDW_MOR - BDWY - 1+11_MOR - Australia -  EC - 4+8_II.5. RawMaterials_Sheet1" xfId="9513"/>
    <cellStyle name="_MOR-BDW_MOR - BDWY - 1+11_MOR - Australia -  EC - 4+8_II.5. RawMaterials_Sheet2" xfId="9514"/>
    <cellStyle name="_MOR-BDW_MOR - BDWY - 1+11_MOR - Australia -  EC - 4+8_II.5. RawMaterials_Sheet3" xfId="9515"/>
    <cellStyle name="_MOR-BDW_MOR - BDWY - 1+11_MOR - Australia -  EC - 4+8_II.5. RawMaterials_Sheet4" xfId="9516"/>
    <cellStyle name="_MOR-BDW_MOR - BDWY - 1+11_MOR - Australia -  EC - 4+8_II.5. RM Volume Sensitivities" xfId="9517"/>
    <cellStyle name="_MOR-BDW_MOR - BDWY - 1+11_MOR - Australia -  EC - 4+8_II.5. RM Volume Sensitivities 2" xfId="9518"/>
    <cellStyle name="_MOR-BDW_MOR - BDWY - 1+11_MOR - Australia -  EC - 4+8_II.5. RM Volume Sensitivities_BS retrieve" xfId="9519"/>
    <cellStyle name="_MOR-BDW_MOR - BDWY - 1+11_MOR - Australia -  EC - 4+8_II.5. RM Volume Sensitivities_Free CF" xfId="9520"/>
    <cellStyle name="_MOR-BDW_MOR - BDWY - 1+11_MOR - Australia -  EC - 4+8_II.5. RM Volume Sensitivities_P&amp;L Rec Qtr" xfId="9521"/>
    <cellStyle name="_MOR-BDW_MOR - BDWY - 1+11_MOR - Australia -  EC - 4+8_II.5. RM Volume Sensitivities_Sheet1" xfId="9522"/>
    <cellStyle name="_MOR-BDW_MOR - BDWY - 1+11_MOR - Australia -  EC - 4+8_II.5. RM Volume Sensitivities_Sheet2" xfId="9523"/>
    <cellStyle name="_MOR-BDW_MOR - BDWY - 1+11_MOR - Australia -  EC - 4+8_II.5. RM Volume Sensitivities_Sheet3" xfId="9524"/>
    <cellStyle name="_MOR-BDW_MOR - BDWY - 1+11_MOR - Australia -  EC - 4+8_II.5. RM Volume Sensitivities_Sheet4" xfId="9525"/>
    <cellStyle name="_MOR-BDW_MOR - BDWY - 1+11_MOR - Australia -  EC - 4+8_II.8. Sep&amp;Discrete" xfId="9526"/>
    <cellStyle name="_MOR-BDW_MOR - BDWY - 1+11_MOR - Australia -  EC - 4+8_Restructuring &amp; Separation" xfId="9527"/>
    <cellStyle name="_MOR-BDW_MOR - BDWY - 1+11_MOR - Australia -  EC - 4+8_Restructuring_Separation_TAX_JuneFC2010 tf" xfId="9528"/>
    <cellStyle name="_MOR-BDW_MOR - BDWY - 1+11_MOR - Australia -  EC - 4+8_Restructuring_Separation_TAX_JuneFC2010 tf_BS_Separation_TaxResIndem_Q12412 tf" xfId="9529"/>
    <cellStyle name="_MOR-BDW_MOR - BDWY - 1+11_MOR - Australia -  EC - 4+8_Restructuring_Separation_TAX_JuneFC2010 tf_BS_Separation_TaxResIndem_Q12412 tf_Restructuring &amp; Separation" xfId="9530"/>
    <cellStyle name="_MOR-BDW_MOR - BDWY - 1+11_MOR - Australia -  EC - 4+8_Restructuring_Separation_TAX_JuneFC2010 tf_II.8. Sep&amp;Discrete" xfId="9531"/>
    <cellStyle name="_MOR-BDW_MOR - BDWY - 1+11_MOR - Australia -  EC - 4+8_Restructuring_Separation_TAX_JuneFC2010 tf_Restructuring &amp; Separation" xfId="9532"/>
    <cellStyle name="_MOR-BDW_MOR - BDWY - 1+11_MOR - Gurgaon - 3+9(R)" xfId="9533"/>
    <cellStyle name="_MOR-BDW_MOR - BDWY - 1+11_MOR - Gurgaon - 3+9(R)_BS_Separation_TaxResIndem_Q12412 tf" xfId="9534"/>
    <cellStyle name="_MOR-BDW_MOR - BDWY - 1+11_MOR - Gurgaon - 3+9(R)_BS_Separation_TaxResIndem_Q12412 tf_Restructuring &amp; Separation" xfId="9535"/>
    <cellStyle name="_MOR-BDW_MOR - BDWY - 1+11_MOR - Gurgaon - 3+9(R)_By Country Detail 1Q10 041410pm FIN 18 revised per disc w Mary" xfId="9536"/>
    <cellStyle name="_MOR-BDW_MOR - BDWY - 1+11_MOR - Gurgaon - 3+9(R)_By Country Detail 1Q10 041410pm FIN 18 revised per disc w Mary_BS_Separation_TaxResIndem_Q12412 tf" xfId="9537"/>
    <cellStyle name="_MOR-BDW_MOR - BDWY - 1+11_MOR - Gurgaon - 3+9(R)_By Country Detail 1Q10 041410pm FIN 18 revised per disc w Mary_BS_Separation_TaxResIndem_Q12412 tf_Restructuring &amp; Separation" xfId="9538"/>
    <cellStyle name="_MOR-BDW_MOR - BDWY - 1+11_MOR - Gurgaon - 3+9(R)_By Country Detail 1Q10 041410pm FIN 18 revised per disc w Mary_II.8. Sep&amp;Discrete" xfId="9539"/>
    <cellStyle name="_MOR-BDW_MOR - BDWY - 1+11_MOR - Gurgaon - 3+9(R)_By Country Detail 1Q10 041410pm FIN 18 revised per disc w Mary_Restructuring &amp; Separation" xfId="9540"/>
    <cellStyle name="_MOR-BDW_MOR - BDWY - 1+11_MOR - Gurgaon - 3+9(R)_II.4. RawMaterials" xfId="9541"/>
    <cellStyle name="_MOR-BDW_MOR - BDWY - 1+11_MOR - Gurgaon - 3+9(R)_II.4. RawMaterials 2" xfId="9542"/>
    <cellStyle name="_MOR-BDW_MOR - BDWY - 1+11_MOR - Gurgaon - 3+9(R)_II.4. RawMaterials_BS retrieve" xfId="9543"/>
    <cellStyle name="_MOR-BDW_MOR - BDWY - 1+11_MOR - Gurgaon - 3+9(R)_II.4. RawMaterials_Free CF" xfId="9544"/>
    <cellStyle name="_MOR-BDW_MOR - BDWY - 1+11_MOR - Gurgaon - 3+9(R)_II.4. RawMaterials_P&amp;L Rec Qtr" xfId="9545"/>
    <cellStyle name="_MOR-BDW_MOR - BDWY - 1+11_MOR - Gurgaon - 3+9(R)_II.4. RawMaterials_Sheet1" xfId="9546"/>
    <cellStyle name="_MOR-BDW_MOR - BDWY - 1+11_MOR - Gurgaon - 3+9(R)_II.4. RawMaterials_Sheet2" xfId="9547"/>
    <cellStyle name="_MOR-BDW_MOR - BDWY - 1+11_MOR - Gurgaon - 3+9(R)_II.4. RawMaterials_Sheet3" xfId="9548"/>
    <cellStyle name="_MOR-BDW_MOR - BDWY - 1+11_MOR - Gurgaon - 3+9(R)_II.4. RawMaterials_Sheet4" xfId="9549"/>
    <cellStyle name="_MOR-BDW_MOR - BDWY - 1+11_MOR - Gurgaon - 3+9(R)_II.5. RawMaterials" xfId="9550"/>
    <cellStyle name="_MOR-BDW_MOR - BDWY - 1+11_MOR - Gurgaon - 3+9(R)_II.5. RawMaterials 2" xfId="9551"/>
    <cellStyle name="_MOR-BDW_MOR - BDWY - 1+11_MOR - Gurgaon - 3+9(R)_II.5. RawMaterials_BS retrieve" xfId="9552"/>
    <cellStyle name="_MOR-BDW_MOR - BDWY - 1+11_MOR - Gurgaon - 3+9(R)_II.5. RawMaterials_Free CF" xfId="9553"/>
    <cellStyle name="_MOR-BDW_MOR - BDWY - 1+11_MOR - Gurgaon - 3+9(R)_II.5. RawMaterials_P&amp;L Rec Qtr" xfId="9554"/>
    <cellStyle name="_MOR-BDW_MOR - BDWY - 1+11_MOR - Gurgaon - 3+9(R)_II.5. RawMaterials_Sheet1" xfId="9555"/>
    <cellStyle name="_MOR-BDW_MOR - BDWY - 1+11_MOR - Gurgaon - 3+9(R)_II.5. RawMaterials_Sheet2" xfId="9556"/>
    <cellStyle name="_MOR-BDW_MOR - BDWY - 1+11_MOR - Gurgaon - 3+9(R)_II.5. RawMaterials_Sheet3" xfId="9557"/>
    <cellStyle name="_MOR-BDW_MOR - BDWY - 1+11_MOR - Gurgaon - 3+9(R)_II.5. RawMaterials_Sheet4" xfId="9558"/>
    <cellStyle name="_MOR-BDW_MOR - BDWY - 1+11_MOR - Gurgaon - 3+9(R)_II.5. RM Volume Sensitivities" xfId="9559"/>
    <cellStyle name="_MOR-BDW_MOR - BDWY - 1+11_MOR - Gurgaon - 3+9(R)_II.5. RM Volume Sensitivities 2" xfId="9560"/>
    <cellStyle name="_MOR-BDW_MOR - BDWY - 1+11_MOR - Gurgaon - 3+9(R)_II.5. RM Volume Sensitivities_BS retrieve" xfId="9561"/>
    <cellStyle name="_MOR-BDW_MOR - BDWY - 1+11_MOR - Gurgaon - 3+9(R)_II.5. RM Volume Sensitivities_Free CF" xfId="9562"/>
    <cellStyle name="_MOR-BDW_MOR - BDWY - 1+11_MOR - Gurgaon - 3+9(R)_II.5. RM Volume Sensitivities_P&amp;L Rec Qtr" xfId="9563"/>
    <cellStyle name="_MOR-BDW_MOR - BDWY - 1+11_MOR - Gurgaon - 3+9(R)_II.5. RM Volume Sensitivities_Sheet1" xfId="9564"/>
    <cellStyle name="_MOR-BDW_MOR - BDWY - 1+11_MOR - Gurgaon - 3+9(R)_II.5. RM Volume Sensitivities_Sheet2" xfId="9565"/>
    <cellStyle name="_MOR-BDW_MOR - BDWY - 1+11_MOR - Gurgaon - 3+9(R)_II.5. RM Volume Sensitivities_Sheet3" xfId="9566"/>
    <cellStyle name="_MOR-BDW_MOR - BDWY - 1+11_MOR - Gurgaon - 3+9(R)_II.5. RM Volume Sensitivities_Sheet4" xfId="9567"/>
    <cellStyle name="_MOR-BDW_MOR - BDWY - 1+11_MOR - Gurgaon - 3+9(R)_II.8. Sep&amp;Discrete" xfId="9568"/>
    <cellStyle name="_MOR-BDW_MOR - BDWY - 1+11_MOR - Gurgaon - 3+9(R)_MOR - Revised Package" xfId="9569"/>
    <cellStyle name="_MOR-BDW_MOR - BDWY - 1+11_MOR - Gurgaon - 3+9(R)_MOR - Revised Package_~0039877" xfId="9570"/>
    <cellStyle name="_MOR-BDW_MOR - BDWY - 1+11_MOR - Gurgaon - 3+9(R)_MOR - Revised Package_~0039877_BS_Separation_TaxResIndem_Q12412 tf" xfId="9571"/>
    <cellStyle name="_MOR-BDW_MOR - BDWY - 1+11_MOR - Gurgaon - 3+9(R)_MOR - Revised Package_~0039877_BS_Separation_TaxResIndem_Q12412 tf_Restructuring &amp; Separation" xfId="9572"/>
    <cellStyle name="_MOR-BDW_MOR - BDWY - 1+11_MOR - Gurgaon - 3+9(R)_MOR - Revised Package_~0039877_By Country Detail 1Q10 041410pm FIN 18 revised per disc w Mary" xfId="9573"/>
    <cellStyle name="_MOR-BDW_MOR - BDWY - 1+11_MOR - Gurgaon - 3+9(R)_MOR - Revised Package_~0039877_By Country Detail 1Q10 041410pm FIN 18 revised per disc w Mary_BS_Separation_TaxResIndem_Q12412 tf" xfId="9574"/>
    <cellStyle name="_MOR-BDW_MOR - BDWY - 1+11_MOR - Gurgaon - 3+9(R)_MOR - Revised Package_~0039877_By Country Detail 1Q10 041410pm FIN 18 revised per disc w Mary_BS_Separation_TaxResIndem_Q12412 tf_Restructuring &amp; Separation" xfId="9575"/>
    <cellStyle name="_MOR-BDW_MOR - BDWY - 1+11_MOR - Gurgaon - 3+9(R)_MOR - Revised Package_~0039877_By Country Detail 1Q10 041410pm FIN 18 revised per disc w Mary_II.8. Sep&amp;Discrete" xfId="9576"/>
    <cellStyle name="_MOR-BDW_MOR - BDWY - 1+11_MOR - Gurgaon - 3+9(R)_MOR - Revised Package_~0039877_By Country Detail 1Q10 041410pm FIN 18 revised per disc w Mary_Restructuring &amp; Separation" xfId="9577"/>
    <cellStyle name="_MOR-BDW_MOR - BDWY - 1+11_MOR - Gurgaon - 3+9(R)_MOR - Revised Package_~0039877_II.4. RawMaterials" xfId="9578"/>
    <cellStyle name="_MOR-BDW_MOR - BDWY - 1+11_MOR - Gurgaon - 3+9(R)_MOR - Revised Package_~0039877_II.4. RawMaterials 2" xfId="9579"/>
    <cellStyle name="_MOR-BDW_MOR - BDWY - 1+11_MOR - Gurgaon - 3+9(R)_MOR - Revised Package_~0039877_II.4. RawMaterials_BS retrieve" xfId="9580"/>
    <cellStyle name="_MOR-BDW_MOR - BDWY - 1+11_MOR - Gurgaon - 3+9(R)_MOR - Revised Package_~0039877_II.4. RawMaterials_Free CF" xfId="9581"/>
    <cellStyle name="_MOR-BDW_MOR - BDWY - 1+11_MOR - Gurgaon - 3+9(R)_MOR - Revised Package_~0039877_II.4. RawMaterials_P&amp;L Rec Qtr" xfId="9582"/>
    <cellStyle name="_MOR-BDW_MOR - BDWY - 1+11_MOR - Gurgaon - 3+9(R)_MOR - Revised Package_~0039877_II.4. RawMaterials_Sheet1" xfId="9583"/>
    <cellStyle name="_MOR-BDW_MOR - BDWY - 1+11_MOR - Gurgaon - 3+9(R)_MOR - Revised Package_~0039877_II.4. RawMaterials_Sheet2" xfId="9584"/>
    <cellStyle name="_MOR-BDW_MOR - BDWY - 1+11_MOR - Gurgaon - 3+9(R)_MOR - Revised Package_~0039877_II.4. RawMaterials_Sheet3" xfId="9585"/>
    <cellStyle name="_MOR-BDW_MOR - BDWY - 1+11_MOR - Gurgaon - 3+9(R)_MOR - Revised Package_~0039877_II.4. RawMaterials_Sheet4" xfId="9586"/>
    <cellStyle name="_MOR-BDW_MOR - BDWY - 1+11_MOR - Gurgaon - 3+9(R)_MOR - Revised Package_~0039877_II.5. RawMaterials" xfId="9587"/>
    <cellStyle name="_MOR-BDW_MOR - BDWY - 1+11_MOR - Gurgaon - 3+9(R)_MOR - Revised Package_~0039877_II.5. RawMaterials 2" xfId="9588"/>
    <cellStyle name="_MOR-BDW_MOR - BDWY - 1+11_MOR - Gurgaon - 3+9(R)_MOR - Revised Package_~0039877_II.5. RawMaterials_BS retrieve" xfId="9589"/>
    <cellStyle name="_MOR-BDW_MOR - BDWY - 1+11_MOR - Gurgaon - 3+9(R)_MOR - Revised Package_~0039877_II.5. RawMaterials_Free CF" xfId="9590"/>
    <cellStyle name="_MOR-BDW_MOR - BDWY - 1+11_MOR - Gurgaon - 3+9(R)_MOR - Revised Package_~0039877_II.5. RawMaterials_P&amp;L Rec Qtr" xfId="9591"/>
    <cellStyle name="_MOR-BDW_MOR - BDWY - 1+11_MOR - Gurgaon - 3+9(R)_MOR - Revised Package_~0039877_II.5. RawMaterials_Sheet1" xfId="9592"/>
    <cellStyle name="_MOR-BDW_MOR - BDWY - 1+11_MOR - Gurgaon - 3+9(R)_MOR - Revised Package_~0039877_II.5. RawMaterials_Sheet2" xfId="9593"/>
    <cellStyle name="_MOR-BDW_MOR - BDWY - 1+11_MOR - Gurgaon - 3+9(R)_MOR - Revised Package_~0039877_II.5. RawMaterials_Sheet3" xfId="9594"/>
    <cellStyle name="_MOR-BDW_MOR - BDWY - 1+11_MOR - Gurgaon - 3+9(R)_MOR - Revised Package_~0039877_II.5. RawMaterials_Sheet4" xfId="9595"/>
    <cellStyle name="_MOR-BDW_MOR - BDWY - 1+11_MOR - Gurgaon - 3+9(R)_MOR - Revised Package_~0039877_II.5. RM Volume Sensitivities" xfId="9596"/>
    <cellStyle name="_MOR-BDW_MOR - BDWY - 1+11_MOR - Gurgaon - 3+9(R)_MOR - Revised Package_~0039877_II.5. RM Volume Sensitivities 2" xfId="9597"/>
    <cellStyle name="_MOR-BDW_MOR - BDWY - 1+11_MOR - Gurgaon - 3+9(R)_MOR - Revised Package_~0039877_II.5. RM Volume Sensitivities_BS retrieve" xfId="9598"/>
    <cellStyle name="_MOR-BDW_MOR - BDWY - 1+11_MOR - Gurgaon - 3+9(R)_MOR - Revised Package_~0039877_II.5. RM Volume Sensitivities_Free CF" xfId="9599"/>
    <cellStyle name="_MOR-BDW_MOR - BDWY - 1+11_MOR - Gurgaon - 3+9(R)_MOR - Revised Package_~0039877_II.5. RM Volume Sensitivities_P&amp;L Rec Qtr" xfId="9600"/>
    <cellStyle name="_MOR-BDW_MOR - BDWY - 1+11_MOR - Gurgaon - 3+9(R)_MOR - Revised Package_~0039877_II.5. RM Volume Sensitivities_Sheet1" xfId="9601"/>
    <cellStyle name="_MOR-BDW_MOR - BDWY - 1+11_MOR - Gurgaon - 3+9(R)_MOR - Revised Package_~0039877_II.5. RM Volume Sensitivities_Sheet2" xfId="9602"/>
    <cellStyle name="_MOR-BDW_MOR - BDWY - 1+11_MOR - Gurgaon - 3+9(R)_MOR - Revised Package_~0039877_II.5. RM Volume Sensitivities_Sheet3" xfId="9603"/>
    <cellStyle name="_MOR-BDW_MOR - BDWY - 1+11_MOR - Gurgaon - 3+9(R)_MOR - Revised Package_~0039877_II.5. RM Volume Sensitivities_Sheet4" xfId="9604"/>
    <cellStyle name="_MOR-BDW_MOR - BDWY - 1+11_MOR - Gurgaon - 3+9(R)_MOR - Revised Package_~0039877_II.8. Sep&amp;Discrete" xfId="9605"/>
    <cellStyle name="_MOR-BDW_MOR - BDWY - 1+11_MOR - Gurgaon - 3+9(R)_MOR - Revised Package_~0039877_Restructuring &amp; Separation" xfId="9606"/>
    <cellStyle name="_MOR-BDW_MOR - BDWY - 1+11_MOR - Gurgaon - 3+9(R)_MOR - Revised Package_~0039877_Restructuring_Separation_TAX_JuneFC2010 tf" xfId="9607"/>
    <cellStyle name="_MOR-BDW_MOR - BDWY - 1+11_MOR - Gurgaon - 3+9(R)_MOR - Revised Package_~0039877_Restructuring_Separation_TAX_JuneFC2010 tf_BS_Separation_TaxResIndem_Q12412 tf" xfId="9608"/>
    <cellStyle name="_MOR-BDW_MOR - BDWY - 1+11_MOR - Gurgaon - 3+9(R)_MOR - Revised Package_~0039877_Restructuring_Separation_TAX_JuneFC2010 tf_BS_Separation_TaxResIndem_Q12412 tf_Restructuring &amp; Separation" xfId="9609"/>
    <cellStyle name="_MOR-BDW_MOR - BDWY - 1+11_MOR - Gurgaon - 3+9(R)_MOR - Revised Package_~0039877_Restructuring_Separation_TAX_JuneFC2010 tf_II.8. Sep&amp;Discrete" xfId="9610"/>
    <cellStyle name="_MOR-BDW_MOR - BDWY - 1+11_MOR - Gurgaon - 3+9(R)_MOR - Revised Package_~0039877_Restructuring_Separation_TAX_JuneFC2010 tf_Restructuring &amp; Separation" xfId="9611"/>
    <cellStyle name="_MOR-BDW_MOR - BDWY - 1+11_MOR - Gurgaon - 3+9(R)_MOR - Revised Package_BS_Separation_TaxResIndem_Q12412 tf" xfId="9612"/>
    <cellStyle name="_MOR-BDW_MOR - BDWY - 1+11_MOR - Gurgaon - 3+9(R)_MOR - Revised Package_BS_Separation_TaxResIndem_Q12412 tf_Restructuring &amp; Separation" xfId="9613"/>
    <cellStyle name="_MOR-BDW_MOR - BDWY - 1+11_MOR - Gurgaon - 3+9(R)_MOR - Revised Package_By Country Detail 1Q10 041410pm FIN 18 revised per disc w Mary" xfId="9614"/>
    <cellStyle name="_MOR-BDW_MOR - BDWY - 1+11_MOR - Gurgaon - 3+9(R)_MOR - Revised Package_By Country Detail 1Q10 041410pm FIN 18 revised per disc w Mary_BS_Separation_TaxResIndem_Q12412 tf" xfId="9615"/>
    <cellStyle name="_MOR-BDW_MOR - BDWY - 1+11_MOR - Gurgaon - 3+9(R)_MOR - Revised Package_By Country Detail 1Q10 041410pm FIN 18 revised per disc w Mary_BS_Separation_TaxResIndem_Q12412 tf_Restructuring &amp; Separation" xfId="9616"/>
    <cellStyle name="_MOR-BDW_MOR - BDWY - 1+11_MOR - Gurgaon - 3+9(R)_MOR - Revised Package_By Country Detail 1Q10 041410pm FIN 18 revised per disc w Mary_II.8. Sep&amp;Discrete" xfId="9617"/>
    <cellStyle name="_MOR-BDW_MOR - BDWY - 1+11_MOR - Gurgaon - 3+9(R)_MOR - Revised Package_By Country Detail 1Q10 041410pm FIN 18 revised per disc w Mary_Restructuring &amp; Separation" xfId="9618"/>
    <cellStyle name="_MOR-BDW_MOR - BDWY - 1+11_MOR - Gurgaon - 3+9(R)_MOR - Revised Package_II.4. RawMaterials" xfId="9619"/>
    <cellStyle name="_MOR-BDW_MOR - BDWY - 1+11_MOR - Gurgaon - 3+9(R)_MOR - Revised Package_II.4. RawMaterials 2" xfId="9620"/>
    <cellStyle name="_MOR-BDW_MOR - BDWY - 1+11_MOR - Gurgaon - 3+9(R)_MOR - Revised Package_II.4. RawMaterials_BS retrieve" xfId="9621"/>
    <cellStyle name="_MOR-BDW_MOR - BDWY - 1+11_MOR - Gurgaon - 3+9(R)_MOR - Revised Package_II.4. RawMaterials_Free CF" xfId="9622"/>
    <cellStyle name="_MOR-BDW_MOR - BDWY - 1+11_MOR - Gurgaon - 3+9(R)_MOR - Revised Package_II.4. RawMaterials_P&amp;L Rec Qtr" xfId="9623"/>
    <cellStyle name="_MOR-BDW_MOR - BDWY - 1+11_MOR - Gurgaon - 3+9(R)_MOR - Revised Package_II.4. RawMaterials_Sheet1" xfId="9624"/>
    <cellStyle name="_MOR-BDW_MOR - BDWY - 1+11_MOR - Gurgaon - 3+9(R)_MOR - Revised Package_II.4. RawMaterials_Sheet2" xfId="9625"/>
    <cellStyle name="_MOR-BDW_MOR - BDWY - 1+11_MOR - Gurgaon - 3+9(R)_MOR - Revised Package_II.4. RawMaterials_Sheet3" xfId="9626"/>
    <cellStyle name="_MOR-BDW_MOR - BDWY - 1+11_MOR - Gurgaon - 3+9(R)_MOR - Revised Package_II.4. RawMaterials_Sheet4" xfId="9627"/>
    <cellStyle name="_MOR-BDW_MOR - BDWY - 1+11_MOR - Gurgaon - 3+9(R)_MOR - Revised Package_II.5. RawMaterials" xfId="9628"/>
    <cellStyle name="_MOR-BDW_MOR - BDWY - 1+11_MOR - Gurgaon - 3+9(R)_MOR - Revised Package_II.5. RawMaterials 2" xfId="9629"/>
    <cellStyle name="_MOR-BDW_MOR - BDWY - 1+11_MOR - Gurgaon - 3+9(R)_MOR - Revised Package_II.5. RawMaterials_BS retrieve" xfId="9630"/>
    <cellStyle name="_MOR-BDW_MOR - BDWY - 1+11_MOR - Gurgaon - 3+9(R)_MOR - Revised Package_II.5. RawMaterials_Free CF" xfId="9631"/>
    <cellStyle name="_MOR-BDW_MOR - BDWY - 1+11_MOR - Gurgaon - 3+9(R)_MOR - Revised Package_II.5. RawMaterials_P&amp;L Rec Qtr" xfId="9632"/>
    <cellStyle name="_MOR-BDW_MOR - BDWY - 1+11_MOR - Gurgaon - 3+9(R)_MOR - Revised Package_II.5. RawMaterials_Sheet1" xfId="9633"/>
    <cellStyle name="_MOR-BDW_MOR - BDWY - 1+11_MOR - Gurgaon - 3+9(R)_MOR - Revised Package_II.5. RawMaterials_Sheet2" xfId="9634"/>
    <cellStyle name="_MOR-BDW_MOR - BDWY - 1+11_MOR - Gurgaon - 3+9(R)_MOR - Revised Package_II.5. RawMaterials_Sheet3" xfId="9635"/>
    <cellStyle name="_MOR-BDW_MOR - BDWY - 1+11_MOR - Gurgaon - 3+9(R)_MOR - Revised Package_II.5. RawMaterials_Sheet4" xfId="9636"/>
    <cellStyle name="_MOR-BDW_MOR - BDWY - 1+11_MOR - Gurgaon - 3+9(R)_MOR - Revised Package_II.5. RM Volume Sensitivities" xfId="9637"/>
    <cellStyle name="_MOR-BDW_MOR - BDWY - 1+11_MOR - Gurgaon - 3+9(R)_MOR - Revised Package_II.5. RM Volume Sensitivities 2" xfId="9638"/>
    <cellStyle name="_MOR-BDW_MOR - BDWY - 1+11_MOR - Gurgaon - 3+9(R)_MOR - Revised Package_II.5. RM Volume Sensitivities_BS retrieve" xfId="9639"/>
    <cellStyle name="_MOR-BDW_MOR - BDWY - 1+11_MOR - Gurgaon - 3+9(R)_MOR - Revised Package_II.5. RM Volume Sensitivities_Free CF" xfId="9640"/>
    <cellStyle name="_MOR-BDW_MOR - BDWY - 1+11_MOR - Gurgaon - 3+9(R)_MOR - Revised Package_II.5. RM Volume Sensitivities_P&amp;L Rec Qtr" xfId="9641"/>
    <cellStyle name="_MOR-BDW_MOR - BDWY - 1+11_MOR - Gurgaon - 3+9(R)_MOR - Revised Package_II.5. RM Volume Sensitivities_Sheet1" xfId="9642"/>
    <cellStyle name="_MOR-BDW_MOR - BDWY - 1+11_MOR - Gurgaon - 3+9(R)_MOR - Revised Package_II.5. RM Volume Sensitivities_Sheet2" xfId="9643"/>
    <cellStyle name="_MOR-BDW_MOR - BDWY - 1+11_MOR - Gurgaon - 3+9(R)_MOR - Revised Package_II.5. RM Volume Sensitivities_Sheet3" xfId="9644"/>
    <cellStyle name="_MOR-BDW_MOR - BDWY - 1+11_MOR - Gurgaon - 3+9(R)_MOR - Revised Package_II.5. RM Volume Sensitivities_Sheet4" xfId="9645"/>
    <cellStyle name="_MOR-BDW_MOR - BDWY - 1+11_MOR - Gurgaon - 3+9(R)_MOR - Revised Package_II.8. Sep&amp;Discrete" xfId="9646"/>
    <cellStyle name="_MOR-BDW_MOR - BDWY - 1+11_MOR - Gurgaon - 3+9(R)_MOR - Revised Package_Restructuring &amp; Separation" xfId="9647"/>
    <cellStyle name="_MOR-BDW_MOR - BDWY - 1+11_MOR - Gurgaon - 3+9(R)_MOR - Revised Package_Restructuring_Separation_TAX_JuneFC2010 tf" xfId="9648"/>
    <cellStyle name="_MOR-BDW_MOR - BDWY - 1+11_MOR - Gurgaon - 3+9(R)_MOR - Revised Package_Restructuring_Separation_TAX_JuneFC2010 tf_BS_Separation_TaxResIndem_Q12412 tf" xfId="9649"/>
    <cellStyle name="_MOR-BDW_MOR - BDWY - 1+11_MOR - Gurgaon - 3+9(R)_MOR - Revised Package_Restructuring_Separation_TAX_JuneFC2010 tf_BS_Separation_TaxResIndem_Q12412 tf_Restructuring &amp; Separation" xfId="9650"/>
    <cellStyle name="_MOR-BDW_MOR - BDWY - 1+11_MOR - Gurgaon - 3+9(R)_MOR - Revised Package_Restructuring_Separation_TAX_JuneFC2010 tf_II.8. Sep&amp;Discrete" xfId="9651"/>
    <cellStyle name="_MOR-BDW_MOR - BDWY - 1+11_MOR - Gurgaon - 3+9(R)_MOR - Revised Package_Restructuring_Separation_TAX_JuneFC2010 tf_Restructuring &amp; Separation" xfId="9652"/>
    <cellStyle name="_MOR-BDW_MOR - BDWY - 1+11_MOR - Gurgaon - 3+9(R)_MOR - Revised Package_Revised MOR Package - Latest" xfId="9653"/>
    <cellStyle name="_MOR-BDW_MOR - BDWY - 1+11_MOR - Gurgaon - 3+9(R)_MOR - Revised Package_Revised MOR Package - Latest_BS_Separation_TaxResIndem_Q12412 tf" xfId="9654"/>
    <cellStyle name="_MOR-BDW_MOR - BDWY - 1+11_MOR - Gurgaon - 3+9(R)_MOR - Revised Package_Revised MOR Package - Latest_BS_Separation_TaxResIndem_Q12412 tf_Restructuring &amp; Separation" xfId="9655"/>
    <cellStyle name="_MOR-BDW_MOR - BDWY - 1+11_MOR - Gurgaon - 3+9(R)_MOR - Revised Package_Revised MOR Package - Latest_By Country Detail 1Q10 041410pm FIN 18 revised per disc w Mary" xfId="9656"/>
    <cellStyle name="_MOR-BDW_MOR - BDWY - 1+11_MOR - Gurgaon - 3+9(R)_MOR - Revised Package_Revised MOR Package - Latest_By Country Detail 1Q10 041410pm FIN 18 revised per disc w Mary_BS_Separation_TaxResIndem_Q12412 tf" xfId="9657"/>
    <cellStyle name="_MOR-BDW_MOR - BDWY - 1+11_MOR - Gurgaon - 3+9(R)_MOR - Revised Package_Revised MOR Package - Latest_By Country Detail 1Q10 041410pm FIN 18 revised per disc w Mary_BS_Separation_TaxResIndem_Q12412 tf_Restructuring &amp; Separation" xfId="9658"/>
    <cellStyle name="_MOR-BDW_MOR - BDWY - 1+11_MOR - Gurgaon - 3+9(R)_MOR - Revised Package_Revised MOR Package - Latest_By Country Detail 1Q10 041410pm FIN 18 revised per disc w Mary_II.8. Sep&amp;Discrete" xfId="9659"/>
    <cellStyle name="_MOR-BDW_MOR - BDWY - 1+11_MOR - Gurgaon - 3+9(R)_MOR - Revised Package_Revised MOR Package - Latest_By Country Detail 1Q10 041410pm FIN 18 revised per disc w Mary_Restructuring &amp; Separation" xfId="9660"/>
    <cellStyle name="_MOR-BDW_MOR - BDWY - 1+11_MOR - Gurgaon - 3+9(R)_MOR - Revised Package_Revised MOR Package - Latest_II.4. RawMaterials" xfId="9661"/>
    <cellStyle name="_MOR-BDW_MOR - BDWY - 1+11_MOR - Gurgaon - 3+9(R)_MOR - Revised Package_Revised MOR Package - Latest_II.4. RawMaterials 2" xfId="9662"/>
    <cellStyle name="_MOR-BDW_MOR - BDWY - 1+11_MOR - Gurgaon - 3+9(R)_MOR - Revised Package_Revised MOR Package - Latest_II.4. RawMaterials_BS retrieve" xfId="9663"/>
    <cellStyle name="_MOR-BDW_MOR - BDWY - 1+11_MOR - Gurgaon - 3+9(R)_MOR - Revised Package_Revised MOR Package - Latest_II.4. RawMaterials_Free CF" xfId="9664"/>
    <cellStyle name="_MOR-BDW_MOR - BDWY - 1+11_MOR - Gurgaon - 3+9(R)_MOR - Revised Package_Revised MOR Package - Latest_II.4. RawMaterials_P&amp;L Rec Qtr" xfId="9665"/>
    <cellStyle name="_MOR-BDW_MOR - BDWY - 1+11_MOR - Gurgaon - 3+9(R)_MOR - Revised Package_Revised MOR Package - Latest_II.4. RawMaterials_Sheet1" xfId="9666"/>
    <cellStyle name="_MOR-BDW_MOR - BDWY - 1+11_MOR - Gurgaon - 3+9(R)_MOR - Revised Package_Revised MOR Package - Latest_II.4. RawMaterials_Sheet2" xfId="9667"/>
    <cellStyle name="_MOR-BDW_MOR - BDWY - 1+11_MOR - Gurgaon - 3+9(R)_MOR - Revised Package_Revised MOR Package - Latest_II.4. RawMaterials_Sheet3" xfId="9668"/>
    <cellStyle name="_MOR-BDW_MOR - BDWY - 1+11_MOR - Gurgaon - 3+9(R)_MOR - Revised Package_Revised MOR Package - Latest_II.4. RawMaterials_Sheet4" xfId="9669"/>
    <cellStyle name="_MOR-BDW_MOR - BDWY - 1+11_MOR - Gurgaon - 3+9(R)_MOR - Revised Package_Revised MOR Package - Latest_II.5. RawMaterials" xfId="9670"/>
    <cellStyle name="_MOR-BDW_MOR - BDWY - 1+11_MOR - Gurgaon - 3+9(R)_MOR - Revised Package_Revised MOR Package - Latest_II.5. RawMaterials 2" xfId="9671"/>
    <cellStyle name="_MOR-BDW_MOR - BDWY - 1+11_MOR - Gurgaon - 3+9(R)_MOR - Revised Package_Revised MOR Package - Latest_II.5. RawMaterials_BS retrieve" xfId="9672"/>
    <cellStyle name="_MOR-BDW_MOR - BDWY - 1+11_MOR - Gurgaon - 3+9(R)_MOR - Revised Package_Revised MOR Package - Latest_II.5. RawMaterials_Free CF" xfId="9673"/>
    <cellStyle name="_MOR-BDW_MOR - BDWY - 1+11_MOR - Gurgaon - 3+9(R)_MOR - Revised Package_Revised MOR Package - Latest_II.5. RawMaterials_P&amp;L Rec Qtr" xfId="9674"/>
    <cellStyle name="_MOR-BDW_MOR - BDWY - 1+11_MOR - Gurgaon - 3+9(R)_MOR - Revised Package_Revised MOR Package - Latest_II.5. RawMaterials_Sheet1" xfId="9675"/>
    <cellStyle name="_MOR-BDW_MOR - BDWY - 1+11_MOR - Gurgaon - 3+9(R)_MOR - Revised Package_Revised MOR Package - Latest_II.5. RawMaterials_Sheet2" xfId="9676"/>
    <cellStyle name="_MOR-BDW_MOR - BDWY - 1+11_MOR - Gurgaon - 3+9(R)_MOR - Revised Package_Revised MOR Package - Latest_II.5. RawMaterials_Sheet3" xfId="9677"/>
    <cellStyle name="_MOR-BDW_MOR - BDWY - 1+11_MOR - Gurgaon - 3+9(R)_MOR - Revised Package_Revised MOR Package - Latest_II.5. RawMaterials_Sheet4" xfId="9678"/>
    <cellStyle name="_MOR-BDW_MOR - BDWY - 1+11_MOR - Gurgaon - 3+9(R)_MOR - Revised Package_Revised MOR Package - Latest_II.5. RM Volume Sensitivities" xfId="9679"/>
    <cellStyle name="_MOR-BDW_MOR - BDWY - 1+11_MOR - Gurgaon - 3+9(R)_MOR - Revised Package_Revised MOR Package - Latest_II.5. RM Volume Sensitivities 2" xfId="9680"/>
    <cellStyle name="_MOR-BDW_MOR - BDWY - 1+11_MOR - Gurgaon - 3+9(R)_MOR - Revised Package_Revised MOR Package - Latest_II.5. RM Volume Sensitivities_BS retrieve" xfId="9681"/>
    <cellStyle name="_MOR-BDW_MOR - BDWY - 1+11_MOR - Gurgaon - 3+9(R)_MOR - Revised Package_Revised MOR Package - Latest_II.5. RM Volume Sensitivities_Free CF" xfId="9682"/>
    <cellStyle name="_MOR-BDW_MOR - BDWY - 1+11_MOR - Gurgaon - 3+9(R)_MOR - Revised Package_Revised MOR Package - Latest_II.5. RM Volume Sensitivities_P&amp;L Rec Qtr" xfId="9683"/>
    <cellStyle name="_MOR-BDW_MOR - BDWY - 1+11_MOR - Gurgaon - 3+9(R)_MOR - Revised Package_Revised MOR Package - Latest_II.5. RM Volume Sensitivities_Sheet1" xfId="9684"/>
    <cellStyle name="_MOR-BDW_MOR - BDWY - 1+11_MOR - Gurgaon - 3+9(R)_MOR - Revised Package_Revised MOR Package - Latest_II.5. RM Volume Sensitivities_Sheet2" xfId="9685"/>
    <cellStyle name="_MOR-BDW_MOR - BDWY - 1+11_MOR - Gurgaon - 3+9(R)_MOR - Revised Package_Revised MOR Package - Latest_II.5. RM Volume Sensitivities_Sheet3" xfId="9686"/>
    <cellStyle name="_MOR-BDW_MOR - BDWY - 1+11_MOR - Gurgaon - 3+9(R)_MOR - Revised Package_Revised MOR Package - Latest_II.5. RM Volume Sensitivities_Sheet4" xfId="9687"/>
    <cellStyle name="_MOR-BDW_MOR - BDWY - 1+11_MOR - Gurgaon - 3+9(R)_MOR - Revised Package_Revised MOR Package - Latest_II.8. Sep&amp;Discrete" xfId="9688"/>
    <cellStyle name="_MOR-BDW_MOR - BDWY - 1+11_MOR - Gurgaon - 3+9(R)_MOR - Revised Package_Revised MOR Package - Latest_Restructuring &amp; Separation" xfId="9689"/>
    <cellStyle name="_MOR-BDW_MOR - BDWY - 1+11_MOR - Gurgaon - 3+9(R)_MOR - Revised Package_Revised MOR Package - Latest_Restructuring_Separation_TAX_JuneFC2010 tf" xfId="9690"/>
    <cellStyle name="_MOR-BDW_MOR - BDWY - 1+11_MOR - Gurgaon - 3+9(R)_MOR - Revised Package_Revised MOR Package - Latest_Restructuring_Separation_TAX_JuneFC2010 tf_BS_Separation_TaxResIndem_Q12412 tf" xfId="9691"/>
    <cellStyle name="_MOR-BDW_MOR - BDWY - 1+11_MOR - Gurgaon - 3+9(R)_MOR - Revised Package_Revised MOR Package - Latest_Restructuring_Separation_TAX_JuneFC2010 tf_BS_Separation_TaxResIndem_Q12412 tf_Restructuring &amp; Separation" xfId="9692"/>
    <cellStyle name="_MOR-BDW_MOR - BDWY - 1+11_MOR - Gurgaon - 3+9(R)_MOR - Revised Package_Revised MOR Package - Latest_Restructuring_Separation_TAX_JuneFC2010 tf_II.8. Sep&amp;Discrete" xfId="9693"/>
    <cellStyle name="_MOR-BDW_MOR - BDWY - 1+11_MOR - Gurgaon - 3+9(R)_MOR - Revised Package_Revised MOR Package - Latest_Restructuring_Separation_TAX_JuneFC2010 tf_Restructuring &amp; Separation" xfId="9694"/>
    <cellStyle name="_MOR-BDW_MOR - BDWY - 1+11_MOR - Gurgaon - 3+9(R)_Restructuring &amp; Separation" xfId="9695"/>
    <cellStyle name="_MOR-BDW_MOR - BDWY - 1+11_MOR - Gurgaon - 3+9(R)_Restructuring_Separation_TAX_JuneFC2010 tf" xfId="9696"/>
    <cellStyle name="_MOR-BDW_MOR - BDWY - 1+11_MOR - Gurgaon - 3+9(R)_Restructuring_Separation_TAX_JuneFC2010 tf_BS_Separation_TaxResIndem_Q12412 tf" xfId="9697"/>
    <cellStyle name="_MOR-BDW_MOR - BDWY - 1+11_MOR - Gurgaon - 3+9(R)_Restructuring_Separation_TAX_JuneFC2010 tf_BS_Separation_TaxResIndem_Q12412 tf_Restructuring &amp; Separation" xfId="9698"/>
    <cellStyle name="_MOR-BDW_MOR - BDWY - 1+11_MOR - Gurgaon - 3+9(R)_Restructuring_Separation_TAX_JuneFC2010 tf_II.8. Sep&amp;Discrete" xfId="9699"/>
    <cellStyle name="_MOR-BDW_MOR - BDWY - 1+11_MOR - Gurgaon - 3+9(R)_Restructuring_Separation_TAX_JuneFC2010 tf_Restructuring &amp; Separation" xfId="9700"/>
    <cellStyle name="_MOR-BDW_MOR - BDWY - 1+11_MOR - Gurgaon - 3+9(R)_Revised MOR Package" xfId="9701"/>
    <cellStyle name="_MOR-BDW_MOR - BDWY - 1+11_MOR - Gurgaon - 3+9(R)_Revised MOR Package_~0039877" xfId="9702"/>
    <cellStyle name="_MOR-BDW_MOR - BDWY - 1+11_MOR - Gurgaon - 3+9(R)_Revised MOR Package_~0039877_BS_Separation_TaxResIndem_Q12412 tf" xfId="9703"/>
    <cellStyle name="_MOR-BDW_MOR - BDWY - 1+11_MOR - Gurgaon - 3+9(R)_Revised MOR Package_~0039877_BS_Separation_TaxResIndem_Q12412 tf_Restructuring &amp; Separation" xfId="9704"/>
    <cellStyle name="_MOR-BDW_MOR - BDWY - 1+11_MOR - Gurgaon - 3+9(R)_Revised MOR Package_~0039877_By Country Detail 1Q10 041410pm FIN 18 revised per disc w Mary" xfId="9705"/>
    <cellStyle name="_MOR-BDW_MOR - BDWY - 1+11_MOR - Gurgaon - 3+9(R)_Revised MOR Package_~0039877_By Country Detail 1Q10 041410pm FIN 18 revised per disc w Mary_BS_Separation_TaxResIndem_Q12412 tf" xfId="9706"/>
    <cellStyle name="_MOR-BDW_MOR - BDWY - 1+11_MOR - Gurgaon - 3+9(R)_Revised MOR Package_~0039877_By Country Detail 1Q10 041410pm FIN 18 revised per disc w Mary_BS_Separation_TaxResIndem_Q12412 tf_Restructuring &amp; Separation" xfId="9707"/>
    <cellStyle name="_MOR-BDW_MOR - BDWY - 1+11_MOR - Gurgaon - 3+9(R)_Revised MOR Package_~0039877_By Country Detail 1Q10 041410pm FIN 18 revised per disc w Mary_II.8. Sep&amp;Discrete" xfId="9708"/>
    <cellStyle name="_MOR-BDW_MOR - BDWY - 1+11_MOR - Gurgaon - 3+9(R)_Revised MOR Package_~0039877_By Country Detail 1Q10 041410pm FIN 18 revised per disc w Mary_Restructuring &amp; Separation" xfId="9709"/>
    <cellStyle name="_MOR-BDW_MOR - BDWY - 1+11_MOR - Gurgaon - 3+9(R)_Revised MOR Package_~0039877_II.4. RawMaterials" xfId="9710"/>
    <cellStyle name="_MOR-BDW_MOR - BDWY - 1+11_MOR - Gurgaon - 3+9(R)_Revised MOR Package_~0039877_II.4. RawMaterials 2" xfId="9711"/>
    <cellStyle name="_MOR-BDW_MOR - BDWY - 1+11_MOR - Gurgaon - 3+9(R)_Revised MOR Package_~0039877_II.4. RawMaterials_BS retrieve" xfId="9712"/>
    <cellStyle name="_MOR-BDW_MOR - BDWY - 1+11_MOR - Gurgaon - 3+9(R)_Revised MOR Package_~0039877_II.4. RawMaterials_Free CF" xfId="9713"/>
    <cellStyle name="_MOR-BDW_MOR - BDWY - 1+11_MOR - Gurgaon - 3+9(R)_Revised MOR Package_~0039877_II.4. RawMaterials_P&amp;L Rec Qtr" xfId="9714"/>
    <cellStyle name="_MOR-BDW_MOR - BDWY - 1+11_MOR - Gurgaon - 3+9(R)_Revised MOR Package_~0039877_II.4. RawMaterials_Sheet1" xfId="9715"/>
    <cellStyle name="_MOR-BDW_MOR - BDWY - 1+11_MOR - Gurgaon - 3+9(R)_Revised MOR Package_~0039877_II.4. RawMaterials_Sheet2" xfId="9716"/>
    <cellStyle name="_MOR-BDW_MOR - BDWY - 1+11_MOR - Gurgaon - 3+9(R)_Revised MOR Package_~0039877_II.4. RawMaterials_Sheet3" xfId="9717"/>
    <cellStyle name="_MOR-BDW_MOR - BDWY - 1+11_MOR - Gurgaon - 3+9(R)_Revised MOR Package_~0039877_II.4. RawMaterials_Sheet4" xfId="9718"/>
    <cellStyle name="_MOR-BDW_MOR - BDWY - 1+11_MOR - Gurgaon - 3+9(R)_Revised MOR Package_~0039877_II.5. RawMaterials" xfId="9719"/>
    <cellStyle name="_MOR-BDW_MOR - BDWY - 1+11_MOR - Gurgaon - 3+9(R)_Revised MOR Package_~0039877_II.5. RawMaterials 2" xfId="9720"/>
    <cellStyle name="_MOR-BDW_MOR - BDWY - 1+11_MOR - Gurgaon - 3+9(R)_Revised MOR Package_~0039877_II.5. RawMaterials_BS retrieve" xfId="9721"/>
    <cellStyle name="_MOR-BDW_MOR - BDWY - 1+11_MOR - Gurgaon - 3+9(R)_Revised MOR Package_~0039877_II.5. RawMaterials_Free CF" xfId="9722"/>
    <cellStyle name="_MOR-BDW_MOR - BDWY - 1+11_MOR - Gurgaon - 3+9(R)_Revised MOR Package_~0039877_II.5. RawMaterials_P&amp;L Rec Qtr" xfId="9723"/>
    <cellStyle name="_MOR-BDW_MOR - BDWY - 1+11_MOR - Gurgaon - 3+9(R)_Revised MOR Package_~0039877_II.5. RawMaterials_Sheet1" xfId="9724"/>
    <cellStyle name="_MOR-BDW_MOR - BDWY - 1+11_MOR - Gurgaon - 3+9(R)_Revised MOR Package_~0039877_II.5. RawMaterials_Sheet2" xfId="9725"/>
    <cellStyle name="_MOR-BDW_MOR - BDWY - 1+11_MOR - Gurgaon - 3+9(R)_Revised MOR Package_~0039877_II.5. RawMaterials_Sheet3" xfId="9726"/>
    <cellStyle name="_MOR-BDW_MOR - BDWY - 1+11_MOR - Gurgaon - 3+9(R)_Revised MOR Package_~0039877_II.5. RawMaterials_Sheet4" xfId="9727"/>
    <cellStyle name="_MOR-BDW_MOR - BDWY - 1+11_MOR - Gurgaon - 3+9(R)_Revised MOR Package_~0039877_II.5. RM Volume Sensitivities" xfId="9728"/>
    <cellStyle name="_MOR-BDW_MOR - BDWY - 1+11_MOR - Gurgaon - 3+9(R)_Revised MOR Package_~0039877_II.5. RM Volume Sensitivities 2" xfId="9729"/>
    <cellStyle name="_MOR-BDW_MOR - BDWY - 1+11_MOR - Gurgaon - 3+9(R)_Revised MOR Package_~0039877_II.5. RM Volume Sensitivities_BS retrieve" xfId="9730"/>
    <cellStyle name="_MOR-BDW_MOR - BDWY - 1+11_MOR - Gurgaon - 3+9(R)_Revised MOR Package_~0039877_II.5. RM Volume Sensitivities_Free CF" xfId="9731"/>
    <cellStyle name="_MOR-BDW_MOR - BDWY - 1+11_MOR - Gurgaon - 3+9(R)_Revised MOR Package_~0039877_II.5. RM Volume Sensitivities_P&amp;L Rec Qtr" xfId="9732"/>
    <cellStyle name="_MOR-BDW_MOR - BDWY - 1+11_MOR - Gurgaon - 3+9(R)_Revised MOR Package_~0039877_II.5. RM Volume Sensitivities_Sheet1" xfId="9733"/>
    <cellStyle name="_MOR-BDW_MOR - BDWY - 1+11_MOR - Gurgaon - 3+9(R)_Revised MOR Package_~0039877_II.5. RM Volume Sensitivities_Sheet2" xfId="9734"/>
    <cellStyle name="_MOR-BDW_MOR - BDWY - 1+11_MOR - Gurgaon - 3+9(R)_Revised MOR Package_~0039877_II.5. RM Volume Sensitivities_Sheet3" xfId="9735"/>
    <cellStyle name="_MOR-BDW_MOR - BDWY - 1+11_MOR - Gurgaon - 3+9(R)_Revised MOR Package_~0039877_II.5. RM Volume Sensitivities_Sheet4" xfId="9736"/>
    <cellStyle name="_MOR-BDW_MOR - BDWY - 1+11_MOR - Gurgaon - 3+9(R)_Revised MOR Package_~0039877_II.8. Sep&amp;Discrete" xfId="9737"/>
    <cellStyle name="_MOR-BDW_MOR - BDWY - 1+11_MOR - Gurgaon - 3+9(R)_Revised MOR Package_~0039877_Restructuring &amp; Separation" xfId="9738"/>
    <cellStyle name="_MOR-BDW_MOR - BDWY - 1+11_MOR - Gurgaon - 3+9(R)_Revised MOR Package_~0039877_Restructuring_Separation_TAX_JuneFC2010 tf" xfId="9739"/>
    <cellStyle name="_MOR-BDW_MOR - BDWY - 1+11_MOR - Gurgaon - 3+9(R)_Revised MOR Package_~0039877_Restructuring_Separation_TAX_JuneFC2010 tf_BS_Separation_TaxResIndem_Q12412 tf" xfId="9740"/>
    <cellStyle name="_MOR-BDW_MOR - BDWY - 1+11_MOR - Gurgaon - 3+9(R)_Revised MOR Package_~0039877_Restructuring_Separation_TAX_JuneFC2010 tf_BS_Separation_TaxResIndem_Q12412 tf_Restructuring &amp; Separation" xfId="9741"/>
    <cellStyle name="_MOR-BDW_MOR - BDWY - 1+11_MOR - Gurgaon - 3+9(R)_Revised MOR Package_~0039877_Restructuring_Separation_TAX_JuneFC2010 tf_II.8. Sep&amp;Discrete" xfId="9742"/>
    <cellStyle name="_MOR-BDW_MOR - BDWY - 1+11_MOR - Gurgaon - 3+9(R)_Revised MOR Package_~0039877_Restructuring_Separation_TAX_JuneFC2010 tf_Restructuring &amp; Separation" xfId="9743"/>
    <cellStyle name="_MOR-BDW_MOR - BDWY - 1+11_MOR - Gurgaon - 3+9(R)_Revised MOR Package_BS_Separation_TaxResIndem_Q12412 tf" xfId="9744"/>
    <cellStyle name="_MOR-BDW_MOR - BDWY - 1+11_MOR - Gurgaon - 3+9(R)_Revised MOR Package_BS_Separation_TaxResIndem_Q12412 tf_Restructuring &amp; Separation" xfId="9745"/>
    <cellStyle name="_MOR-BDW_MOR - BDWY - 1+11_MOR - Gurgaon - 3+9(R)_Revised MOR Package_By Country Detail 1Q10 041410pm FIN 18 revised per disc w Mary" xfId="9746"/>
    <cellStyle name="_MOR-BDW_MOR - BDWY - 1+11_MOR - Gurgaon - 3+9(R)_Revised MOR Package_By Country Detail 1Q10 041410pm FIN 18 revised per disc w Mary_BS_Separation_TaxResIndem_Q12412 tf" xfId="9747"/>
    <cellStyle name="_MOR-BDW_MOR - BDWY - 1+11_MOR - Gurgaon - 3+9(R)_Revised MOR Package_By Country Detail 1Q10 041410pm FIN 18 revised per disc w Mary_BS_Separation_TaxResIndem_Q12412 tf_Restructuring &amp; Separation" xfId="9748"/>
    <cellStyle name="_MOR-BDW_MOR - BDWY - 1+11_MOR - Gurgaon - 3+9(R)_Revised MOR Package_By Country Detail 1Q10 041410pm FIN 18 revised per disc w Mary_II.8. Sep&amp;Discrete" xfId="9749"/>
    <cellStyle name="_MOR-BDW_MOR - BDWY - 1+11_MOR - Gurgaon - 3+9(R)_Revised MOR Package_By Country Detail 1Q10 041410pm FIN 18 revised per disc w Mary_Restructuring &amp; Separation" xfId="9750"/>
    <cellStyle name="_MOR-BDW_MOR - BDWY - 1+11_MOR - Gurgaon - 3+9(R)_Revised MOR Package_II.4. RawMaterials" xfId="9751"/>
    <cellStyle name="_MOR-BDW_MOR - BDWY - 1+11_MOR - Gurgaon - 3+9(R)_Revised MOR Package_II.4. RawMaterials 2" xfId="9752"/>
    <cellStyle name="_MOR-BDW_MOR - BDWY - 1+11_MOR - Gurgaon - 3+9(R)_Revised MOR Package_II.4. RawMaterials_BS retrieve" xfId="9753"/>
    <cellStyle name="_MOR-BDW_MOR - BDWY - 1+11_MOR - Gurgaon - 3+9(R)_Revised MOR Package_II.4. RawMaterials_Free CF" xfId="9754"/>
    <cellStyle name="_MOR-BDW_MOR - BDWY - 1+11_MOR - Gurgaon - 3+9(R)_Revised MOR Package_II.4. RawMaterials_P&amp;L Rec Qtr" xfId="9755"/>
    <cellStyle name="_MOR-BDW_MOR - BDWY - 1+11_MOR - Gurgaon - 3+9(R)_Revised MOR Package_II.4. RawMaterials_Sheet1" xfId="9756"/>
    <cellStyle name="_MOR-BDW_MOR - BDWY - 1+11_MOR - Gurgaon - 3+9(R)_Revised MOR Package_II.4. RawMaterials_Sheet2" xfId="9757"/>
    <cellStyle name="_MOR-BDW_MOR - BDWY - 1+11_MOR - Gurgaon - 3+9(R)_Revised MOR Package_II.4. RawMaterials_Sheet3" xfId="9758"/>
    <cellStyle name="_MOR-BDW_MOR - BDWY - 1+11_MOR - Gurgaon - 3+9(R)_Revised MOR Package_II.4. RawMaterials_Sheet4" xfId="9759"/>
    <cellStyle name="_MOR-BDW_MOR - BDWY - 1+11_MOR - Gurgaon - 3+9(R)_Revised MOR Package_II.5. RawMaterials" xfId="9760"/>
    <cellStyle name="_MOR-BDW_MOR - BDWY - 1+11_MOR - Gurgaon - 3+9(R)_Revised MOR Package_II.5. RawMaterials 2" xfId="9761"/>
    <cellStyle name="_MOR-BDW_MOR - BDWY - 1+11_MOR - Gurgaon - 3+9(R)_Revised MOR Package_II.5. RawMaterials_BS retrieve" xfId="9762"/>
    <cellStyle name="_MOR-BDW_MOR - BDWY - 1+11_MOR - Gurgaon - 3+9(R)_Revised MOR Package_II.5. RawMaterials_Free CF" xfId="9763"/>
    <cellStyle name="_MOR-BDW_MOR - BDWY - 1+11_MOR - Gurgaon - 3+9(R)_Revised MOR Package_II.5. RawMaterials_P&amp;L Rec Qtr" xfId="9764"/>
    <cellStyle name="_MOR-BDW_MOR - BDWY - 1+11_MOR - Gurgaon - 3+9(R)_Revised MOR Package_II.5. RawMaterials_Sheet1" xfId="9765"/>
    <cellStyle name="_MOR-BDW_MOR - BDWY - 1+11_MOR - Gurgaon - 3+9(R)_Revised MOR Package_II.5. RawMaterials_Sheet2" xfId="9766"/>
    <cellStyle name="_MOR-BDW_MOR - BDWY - 1+11_MOR - Gurgaon - 3+9(R)_Revised MOR Package_II.5. RawMaterials_Sheet3" xfId="9767"/>
    <cellStyle name="_MOR-BDW_MOR - BDWY - 1+11_MOR - Gurgaon - 3+9(R)_Revised MOR Package_II.5. RawMaterials_Sheet4" xfId="9768"/>
    <cellStyle name="_MOR-BDW_MOR - BDWY - 1+11_MOR - Gurgaon - 3+9(R)_Revised MOR Package_II.5. RM Volume Sensitivities" xfId="9769"/>
    <cellStyle name="_MOR-BDW_MOR - BDWY - 1+11_MOR - Gurgaon - 3+9(R)_Revised MOR Package_II.5. RM Volume Sensitivities 2" xfId="9770"/>
    <cellStyle name="_MOR-BDW_MOR - BDWY - 1+11_MOR - Gurgaon - 3+9(R)_Revised MOR Package_II.5. RM Volume Sensitivities_BS retrieve" xfId="9771"/>
    <cellStyle name="_MOR-BDW_MOR - BDWY - 1+11_MOR - Gurgaon - 3+9(R)_Revised MOR Package_II.5. RM Volume Sensitivities_Free CF" xfId="9772"/>
    <cellStyle name="_MOR-BDW_MOR - BDWY - 1+11_MOR - Gurgaon - 3+9(R)_Revised MOR Package_II.5. RM Volume Sensitivities_P&amp;L Rec Qtr" xfId="9773"/>
    <cellStyle name="_MOR-BDW_MOR - BDWY - 1+11_MOR - Gurgaon - 3+9(R)_Revised MOR Package_II.5. RM Volume Sensitivities_Sheet1" xfId="9774"/>
    <cellStyle name="_MOR-BDW_MOR - BDWY - 1+11_MOR - Gurgaon - 3+9(R)_Revised MOR Package_II.5. RM Volume Sensitivities_Sheet2" xfId="9775"/>
    <cellStyle name="_MOR-BDW_MOR - BDWY - 1+11_MOR - Gurgaon - 3+9(R)_Revised MOR Package_II.5. RM Volume Sensitivities_Sheet3" xfId="9776"/>
    <cellStyle name="_MOR-BDW_MOR - BDWY - 1+11_MOR - Gurgaon - 3+9(R)_Revised MOR Package_II.5. RM Volume Sensitivities_Sheet4" xfId="9777"/>
    <cellStyle name="_MOR-BDW_MOR - BDWY - 1+11_MOR - Gurgaon - 3+9(R)_Revised MOR Package_II.8. Sep&amp;Discrete" xfId="9778"/>
    <cellStyle name="_MOR-BDW_MOR - BDWY - 1+11_MOR - Gurgaon - 3+9(R)_Revised MOR Package_Restructuring &amp; Separation" xfId="9779"/>
    <cellStyle name="_MOR-BDW_MOR - BDWY - 1+11_MOR - Gurgaon - 3+9(R)_Revised MOR Package_Restructuring_Separation_TAX_JuneFC2010 tf" xfId="9780"/>
    <cellStyle name="_MOR-BDW_MOR - BDWY - 1+11_MOR - Gurgaon - 3+9(R)_Revised MOR Package_Restructuring_Separation_TAX_JuneFC2010 tf_BS_Separation_TaxResIndem_Q12412 tf" xfId="9781"/>
    <cellStyle name="_MOR-BDW_MOR - BDWY - 1+11_MOR - Gurgaon - 3+9(R)_Revised MOR Package_Restructuring_Separation_TAX_JuneFC2010 tf_BS_Separation_TaxResIndem_Q12412 tf_Restructuring &amp; Separation" xfId="9782"/>
    <cellStyle name="_MOR-BDW_MOR - BDWY - 1+11_MOR - Gurgaon - 3+9(R)_Revised MOR Package_Restructuring_Separation_TAX_JuneFC2010 tf_II.8. Sep&amp;Discrete" xfId="9783"/>
    <cellStyle name="_MOR-BDW_MOR - BDWY - 1+11_MOR - Gurgaon - 3+9(R)_Revised MOR Package_Restructuring_Separation_TAX_JuneFC2010 tf_Restructuring &amp; Separation" xfId="9784"/>
    <cellStyle name="_MOR-BDW_MOR - BDWY - 1+11_MOR - Gurgaon - 3+9(R)_Revised MOR Package_Revised MOR Package - Latest" xfId="9785"/>
    <cellStyle name="_MOR-BDW_MOR - BDWY - 1+11_MOR - Gurgaon - 3+9(R)_Revised MOR Package_Revised MOR Package - Latest_BS_Separation_TaxResIndem_Q12412 tf" xfId="9786"/>
    <cellStyle name="_MOR-BDW_MOR - BDWY - 1+11_MOR - Gurgaon - 3+9(R)_Revised MOR Package_Revised MOR Package - Latest_BS_Separation_TaxResIndem_Q12412 tf_Restructuring &amp; Separation" xfId="9787"/>
    <cellStyle name="_MOR-BDW_MOR - BDWY - 1+11_MOR - Gurgaon - 3+9(R)_Revised MOR Package_Revised MOR Package - Latest_By Country Detail 1Q10 041410pm FIN 18 revised per disc w Mary" xfId="9788"/>
    <cellStyle name="_MOR-BDW_MOR - BDWY - 1+11_MOR - Gurgaon - 3+9(R)_Revised MOR Package_Revised MOR Package - Latest_By Country Detail 1Q10 041410pm FIN 18 revised per disc w Mary_BS_Separation_TaxResIndem_Q12412 tf" xfId="9789"/>
    <cellStyle name="_MOR-BDW_MOR - BDWY - 1+11_MOR - Gurgaon - 3+9(R)_Revised MOR Package_Revised MOR Package - Latest_By Country Detail 1Q10 041410pm FIN 18 revised per disc w Mary_BS_Separation_TaxResIndem_Q12412 tf_Restructuring &amp; Separation" xfId="9790"/>
    <cellStyle name="_MOR-BDW_MOR - BDWY - 1+11_MOR - Gurgaon - 3+9(R)_Revised MOR Package_Revised MOR Package - Latest_By Country Detail 1Q10 041410pm FIN 18 revised per disc w Mary_II.8. Sep&amp;Discrete" xfId="9791"/>
    <cellStyle name="_MOR-BDW_MOR - BDWY - 1+11_MOR - Gurgaon - 3+9(R)_Revised MOR Package_Revised MOR Package - Latest_By Country Detail 1Q10 041410pm FIN 18 revised per disc w Mary_Restructuring &amp; Separation" xfId="9792"/>
    <cellStyle name="_MOR-BDW_MOR - BDWY - 1+11_MOR - Gurgaon - 3+9(R)_Revised MOR Package_Revised MOR Package - Latest_II.4. RawMaterials" xfId="9793"/>
    <cellStyle name="_MOR-BDW_MOR - BDWY - 1+11_MOR - Gurgaon - 3+9(R)_Revised MOR Package_Revised MOR Package - Latest_II.4. RawMaterials 2" xfId="9794"/>
    <cellStyle name="_MOR-BDW_MOR - BDWY - 1+11_MOR - Gurgaon - 3+9(R)_Revised MOR Package_Revised MOR Package - Latest_II.4. RawMaterials_BS retrieve" xfId="9795"/>
    <cellStyle name="_MOR-BDW_MOR - BDWY - 1+11_MOR - Gurgaon - 3+9(R)_Revised MOR Package_Revised MOR Package - Latest_II.4. RawMaterials_Free CF" xfId="9796"/>
    <cellStyle name="_MOR-BDW_MOR - BDWY - 1+11_MOR - Gurgaon - 3+9(R)_Revised MOR Package_Revised MOR Package - Latest_II.4. RawMaterials_P&amp;L Rec Qtr" xfId="9797"/>
    <cellStyle name="_MOR-BDW_MOR - BDWY - 1+11_MOR - Gurgaon - 3+9(R)_Revised MOR Package_Revised MOR Package - Latest_II.4. RawMaterials_Sheet1" xfId="9798"/>
    <cellStyle name="_MOR-BDW_MOR - BDWY - 1+11_MOR - Gurgaon - 3+9(R)_Revised MOR Package_Revised MOR Package - Latest_II.4. RawMaterials_Sheet2" xfId="9799"/>
    <cellStyle name="_MOR-BDW_MOR - BDWY - 1+11_MOR - Gurgaon - 3+9(R)_Revised MOR Package_Revised MOR Package - Latest_II.4. RawMaterials_Sheet3" xfId="9800"/>
    <cellStyle name="_MOR-BDW_MOR - BDWY - 1+11_MOR - Gurgaon - 3+9(R)_Revised MOR Package_Revised MOR Package - Latest_II.4. RawMaterials_Sheet4" xfId="9801"/>
    <cellStyle name="_MOR-BDW_MOR - BDWY - 1+11_MOR - Gurgaon - 3+9(R)_Revised MOR Package_Revised MOR Package - Latest_II.5. RawMaterials" xfId="9802"/>
    <cellStyle name="_MOR-BDW_MOR - BDWY - 1+11_MOR - Gurgaon - 3+9(R)_Revised MOR Package_Revised MOR Package - Latest_II.5. RawMaterials 2" xfId="9803"/>
    <cellStyle name="_MOR-BDW_MOR - BDWY - 1+11_MOR - Gurgaon - 3+9(R)_Revised MOR Package_Revised MOR Package - Latest_II.5. RawMaterials_BS retrieve" xfId="9804"/>
    <cellStyle name="_MOR-BDW_MOR - BDWY - 1+11_MOR - Gurgaon - 3+9(R)_Revised MOR Package_Revised MOR Package - Latest_II.5. RawMaterials_Free CF" xfId="9805"/>
    <cellStyle name="_MOR-BDW_MOR - BDWY - 1+11_MOR - Gurgaon - 3+9(R)_Revised MOR Package_Revised MOR Package - Latest_II.5. RawMaterials_P&amp;L Rec Qtr" xfId="9806"/>
    <cellStyle name="_MOR-BDW_MOR - BDWY - 1+11_MOR - Gurgaon - 3+9(R)_Revised MOR Package_Revised MOR Package - Latest_II.5. RawMaterials_Sheet1" xfId="9807"/>
    <cellStyle name="_MOR-BDW_MOR - BDWY - 1+11_MOR - Gurgaon - 3+9(R)_Revised MOR Package_Revised MOR Package - Latest_II.5. RawMaterials_Sheet2" xfId="9808"/>
    <cellStyle name="_MOR-BDW_MOR - BDWY - 1+11_MOR - Gurgaon - 3+9(R)_Revised MOR Package_Revised MOR Package - Latest_II.5. RawMaterials_Sheet3" xfId="9809"/>
    <cellStyle name="_MOR-BDW_MOR - BDWY - 1+11_MOR - Gurgaon - 3+9(R)_Revised MOR Package_Revised MOR Package - Latest_II.5. RawMaterials_Sheet4" xfId="9810"/>
    <cellStyle name="_MOR-BDW_MOR - BDWY - 1+11_MOR - Gurgaon - 3+9(R)_Revised MOR Package_Revised MOR Package - Latest_II.5. RM Volume Sensitivities" xfId="9811"/>
    <cellStyle name="_MOR-BDW_MOR - BDWY - 1+11_MOR - Gurgaon - 3+9(R)_Revised MOR Package_Revised MOR Package - Latest_II.5. RM Volume Sensitivities 2" xfId="9812"/>
    <cellStyle name="_MOR-BDW_MOR - BDWY - 1+11_MOR - Gurgaon - 3+9(R)_Revised MOR Package_Revised MOR Package - Latest_II.5. RM Volume Sensitivities_BS retrieve" xfId="9813"/>
    <cellStyle name="_MOR-BDW_MOR - BDWY - 1+11_MOR - Gurgaon - 3+9(R)_Revised MOR Package_Revised MOR Package - Latest_II.5. RM Volume Sensitivities_Free CF" xfId="9814"/>
    <cellStyle name="_MOR-BDW_MOR - BDWY - 1+11_MOR - Gurgaon - 3+9(R)_Revised MOR Package_Revised MOR Package - Latest_II.5. RM Volume Sensitivities_P&amp;L Rec Qtr" xfId="9815"/>
    <cellStyle name="_MOR-BDW_MOR - BDWY - 1+11_MOR - Gurgaon - 3+9(R)_Revised MOR Package_Revised MOR Package - Latest_II.5. RM Volume Sensitivities_Sheet1" xfId="9816"/>
    <cellStyle name="_MOR-BDW_MOR - BDWY - 1+11_MOR - Gurgaon - 3+9(R)_Revised MOR Package_Revised MOR Package - Latest_II.5. RM Volume Sensitivities_Sheet2" xfId="9817"/>
    <cellStyle name="_MOR-BDW_MOR - BDWY - 1+11_MOR - Gurgaon - 3+9(R)_Revised MOR Package_Revised MOR Package - Latest_II.5. RM Volume Sensitivities_Sheet3" xfId="9818"/>
    <cellStyle name="_MOR-BDW_MOR - BDWY - 1+11_MOR - Gurgaon - 3+9(R)_Revised MOR Package_Revised MOR Package - Latest_II.5. RM Volume Sensitivities_Sheet4" xfId="9819"/>
    <cellStyle name="_MOR-BDW_MOR - BDWY - 1+11_MOR - Gurgaon - 3+9(R)_Revised MOR Package_Revised MOR Package - Latest_II.8. Sep&amp;Discrete" xfId="9820"/>
    <cellStyle name="_MOR-BDW_MOR - BDWY - 1+11_MOR - Gurgaon - 3+9(R)_Revised MOR Package_Revised MOR Package - Latest_Restructuring &amp; Separation" xfId="9821"/>
    <cellStyle name="_MOR-BDW_MOR - BDWY - 1+11_MOR - Gurgaon - 3+9(R)_Revised MOR Package_Revised MOR Package - Latest_Restructuring_Separation_TAX_JuneFC2010 tf" xfId="9822"/>
    <cellStyle name="_MOR-BDW_MOR - BDWY - 1+11_MOR - Gurgaon - 3+9(R)_Revised MOR Package_Revised MOR Package - Latest_Restructuring_Separation_TAX_JuneFC2010 tf_BS_Separation_TaxResIndem_Q12412 tf" xfId="9823"/>
    <cellStyle name="_MOR-BDW_MOR - BDWY - 1+11_MOR - Gurgaon - 3+9(R)_Revised MOR Package_Revised MOR Package - Latest_Restructuring_Separation_TAX_JuneFC2010 tf_BS_Separation_TaxResIndem_Q12412 tf_Restructuring &amp; Separation" xfId="9824"/>
    <cellStyle name="_MOR-BDW_MOR - BDWY - 1+11_MOR - Gurgaon - 3+9(R)_Revised MOR Package_Revised MOR Package - Latest_Restructuring_Separation_TAX_JuneFC2010 tf_II.8. Sep&amp;Discrete" xfId="9825"/>
    <cellStyle name="_MOR-BDW_MOR - BDWY - 1+11_MOR - Gurgaon - 3+9(R)_Revised MOR Package_Revised MOR Package - Latest_Restructuring_Separation_TAX_JuneFC2010 tf_Restructuring &amp; Separation" xfId="9826"/>
    <cellStyle name="_MOR-BDW_MOR - BDWY - 1+11_MOR - Gurgaon - 3+9(R)-1" xfId="9827"/>
    <cellStyle name="_MOR-BDW_MOR - BDWY - 1+11_MOR - Gurgaon - 3+9(R)-1_BS_Separation_TaxResIndem_Q12412 tf" xfId="9828"/>
    <cellStyle name="_MOR-BDW_MOR - BDWY - 1+11_MOR - Gurgaon - 3+9(R)-1_BS_Separation_TaxResIndem_Q12412 tf_Restructuring &amp; Separation" xfId="9829"/>
    <cellStyle name="_MOR-BDW_MOR - BDWY - 1+11_MOR - Gurgaon - 3+9(R)-1_By Country Detail 1Q10 041410pm FIN 18 revised per disc w Mary" xfId="9830"/>
    <cellStyle name="_MOR-BDW_MOR - BDWY - 1+11_MOR - Gurgaon - 3+9(R)-1_By Country Detail 1Q10 041410pm FIN 18 revised per disc w Mary_BS_Separation_TaxResIndem_Q12412 tf" xfId="9831"/>
    <cellStyle name="_MOR-BDW_MOR - BDWY - 1+11_MOR - Gurgaon - 3+9(R)-1_By Country Detail 1Q10 041410pm FIN 18 revised per disc w Mary_BS_Separation_TaxResIndem_Q12412 tf_Restructuring &amp; Separation" xfId="9832"/>
    <cellStyle name="_MOR-BDW_MOR - BDWY - 1+11_MOR - Gurgaon - 3+9(R)-1_By Country Detail 1Q10 041410pm FIN 18 revised per disc w Mary_II.8. Sep&amp;Discrete" xfId="9833"/>
    <cellStyle name="_MOR-BDW_MOR - BDWY - 1+11_MOR - Gurgaon - 3+9(R)-1_By Country Detail 1Q10 041410pm FIN 18 revised per disc w Mary_Restructuring &amp; Separation" xfId="9834"/>
    <cellStyle name="_MOR-BDW_MOR - BDWY - 1+11_MOR - Gurgaon - 3+9(R)-1_II.4. RawMaterials" xfId="9835"/>
    <cellStyle name="_MOR-BDW_MOR - BDWY - 1+11_MOR - Gurgaon - 3+9(R)-1_II.4. RawMaterials 2" xfId="9836"/>
    <cellStyle name="_MOR-BDW_MOR - BDWY - 1+11_MOR - Gurgaon - 3+9(R)-1_II.4. RawMaterials_BS retrieve" xfId="9837"/>
    <cellStyle name="_MOR-BDW_MOR - BDWY - 1+11_MOR - Gurgaon - 3+9(R)-1_II.4. RawMaterials_Free CF" xfId="9838"/>
    <cellStyle name="_MOR-BDW_MOR - BDWY - 1+11_MOR - Gurgaon - 3+9(R)-1_II.4. RawMaterials_P&amp;L Rec Qtr" xfId="9839"/>
    <cellStyle name="_MOR-BDW_MOR - BDWY - 1+11_MOR - Gurgaon - 3+9(R)-1_II.4. RawMaterials_Sheet1" xfId="9840"/>
    <cellStyle name="_MOR-BDW_MOR - BDWY - 1+11_MOR - Gurgaon - 3+9(R)-1_II.4. RawMaterials_Sheet2" xfId="9841"/>
    <cellStyle name="_MOR-BDW_MOR - BDWY - 1+11_MOR - Gurgaon - 3+9(R)-1_II.4. RawMaterials_Sheet3" xfId="9842"/>
    <cellStyle name="_MOR-BDW_MOR - BDWY - 1+11_MOR - Gurgaon - 3+9(R)-1_II.4. RawMaterials_Sheet4" xfId="9843"/>
    <cellStyle name="_MOR-BDW_MOR - BDWY - 1+11_MOR - Gurgaon - 3+9(R)-1_II.5. RawMaterials" xfId="9844"/>
    <cellStyle name="_MOR-BDW_MOR - BDWY - 1+11_MOR - Gurgaon - 3+9(R)-1_II.5. RawMaterials 2" xfId="9845"/>
    <cellStyle name="_MOR-BDW_MOR - BDWY - 1+11_MOR - Gurgaon - 3+9(R)-1_II.5. RawMaterials_BS retrieve" xfId="9846"/>
    <cellStyle name="_MOR-BDW_MOR - BDWY - 1+11_MOR - Gurgaon - 3+9(R)-1_II.5. RawMaterials_Free CF" xfId="9847"/>
    <cellStyle name="_MOR-BDW_MOR - BDWY - 1+11_MOR - Gurgaon - 3+9(R)-1_II.5. RawMaterials_P&amp;L Rec Qtr" xfId="9848"/>
    <cellStyle name="_MOR-BDW_MOR - BDWY - 1+11_MOR - Gurgaon - 3+9(R)-1_II.5. RawMaterials_Sheet1" xfId="9849"/>
    <cellStyle name="_MOR-BDW_MOR - BDWY - 1+11_MOR - Gurgaon - 3+9(R)-1_II.5. RawMaterials_Sheet2" xfId="9850"/>
    <cellStyle name="_MOR-BDW_MOR - BDWY - 1+11_MOR - Gurgaon - 3+9(R)-1_II.5. RawMaterials_Sheet3" xfId="9851"/>
    <cellStyle name="_MOR-BDW_MOR - BDWY - 1+11_MOR - Gurgaon - 3+9(R)-1_II.5. RawMaterials_Sheet4" xfId="9852"/>
    <cellStyle name="_MOR-BDW_MOR - BDWY - 1+11_MOR - Gurgaon - 3+9(R)-1_II.5. RM Volume Sensitivities" xfId="9853"/>
    <cellStyle name="_MOR-BDW_MOR - BDWY - 1+11_MOR - Gurgaon - 3+9(R)-1_II.5. RM Volume Sensitivities 2" xfId="9854"/>
    <cellStyle name="_MOR-BDW_MOR - BDWY - 1+11_MOR - Gurgaon - 3+9(R)-1_II.5. RM Volume Sensitivities_BS retrieve" xfId="9855"/>
    <cellStyle name="_MOR-BDW_MOR - BDWY - 1+11_MOR - Gurgaon - 3+9(R)-1_II.5. RM Volume Sensitivities_Free CF" xfId="9856"/>
    <cellStyle name="_MOR-BDW_MOR - BDWY - 1+11_MOR - Gurgaon - 3+9(R)-1_II.5. RM Volume Sensitivities_P&amp;L Rec Qtr" xfId="9857"/>
    <cellStyle name="_MOR-BDW_MOR - BDWY - 1+11_MOR - Gurgaon - 3+9(R)-1_II.5. RM Volume Sensitivities_Sheet1" xfId="9858"/>
    <cellStyle name="_MOR-BDW_MOR - BDWY - 1+11_MOR - Gurgaon - 3+9(R)-1_II.5. RM Volume Sensitivities_Sheet2" xfId="9859"/>
    <cellStyle name="_MOR-BDW_MOR - BDWY - 1+11_MOR - Gurgaon - 3+9(R)-1_II.5. RM Volume Sensitivities_Sheet3" xfId="9860"/>
    <cellStyle name="_MOR-BDW_MOR - BDWY - 1+11_MOR - Gurgaon - 3+9(R)-1_II.5. RM Volume Sensitivities_Sheet4" xfId="9861"/>
    <cellStyle name="_MOR-BDW_MOR - BDWY - 1+11_MOR - Gurgaon - 3+9(R)-1_II.8. Sep&amp;Discrete" xfId="9862"/>
    <cellStyle name="_MOR-BDW_MOR - BDWY - 1+11_MOR - Gurgaon - 3+9(R)-1_Restructuring &amp; Separation" xfId="9863"/>
    <cellStyle name="_MOR-BDW_MOR - BDWY - 1+11_MOR - Gurgaon - 3+9(R)-1_Restructuring_Separation_TAX_JuneFC2010 tf" xfId="9864"/>
    <cellStyle name="_MOR-BDW_MOR - BDWY - 1+11_MOR - Gurgaon - 3+9(R)-1_Restructuring_Separation_TAX_JuneFC2010 tf_BS_Separation_TaxResIndem_Q12412 tf" xfId="9865"/>
    <cellStyle name="_MOR-BDW_MOR - BDWY - 1+11_MOR - Gurgaon - 3+9(R)-1_Restructuring_Separation_TAX_JuneFC2010 tf_BS_Separation_TaxResIndem_Q12412 tf_Restructuring &amp; Separation" xfId="9866"/>
    <cellStyle name="_MOR-BDW_MOR - BDWY - 1+11_MOR - Gurgaon - 3+9(R)-1_Restructuring_Separation_TAX_JuneFC2010 tf_II.8. Sep&amp;Discrete" xfId="9867"/>
    <cellStyle name="_MOR-BDW_MOR - BDWY - 1+11_MOR - Gurgaon - 3+9(R)-1_Restructuring_Separation_TAX_JuneFC2010 tf_Restructuring &amp; Separation" xfId="9868"/>
    <cellStyle name="_MOR-BDW_MOR - BDWY - 1+11_MOR - Gurgaon - 3+9(R)-1_Revised MOR Package" xfId="9869"/>
    <cellStyle name="_MOR-BDW_MOR - BDWY - 1+11_MOR - Gurgaon - 3+9(R)-1_Revised MOR Package_~0039877" xfId="9870"/>
    <cellStyle name="_MOR-BDW_MOR - BDWY - 1+11_MOR - Gurgaon - 3+9(R)-1_Revised MOR Package_~0039877_BS_Separation_TaxResIndem_Q12412 tf" xfId="9871"/>
    <cellStyle name="_MOR-BDW_MOR - BDWY - 1+11_MOR - Gurgaon - 3+9(R)-1_Revised MOR Package_~0039877_BS_Separation_TaxResIndem_Q12412 tf_Restructuring &amp; Separation" xfId="9872"/>
    <cellStyle name="_MOR-BDW_MOR - BDWY - 1+11_MOR - Gurgaon - 3+9(R)-1_Revised MOR Package_~0039877_By Country Detail 1Q10 041410pm FIN 18 revised per disc w Mary" xfId="9873"/>
    <cellStyle name="_MOR-BDW_MOR - BDWY - 1+11_MOR - Gurgaon - 3+9(R)-1_Revised MOR Package_~0039877_By Country Detail 1Q10 041410pm FIN 18 revised per disc w Mary_BS_Separation_TaxResIndem_Q12412 tf" xfId="9874"/>
    <cellStyle name="_MOR-BDW_MOR - BDWY - 1+11_MOR - Gurgaon - 3+9(R)-1_Revised MOR Package_~0039877_By Country Detail 1Q10 041410pm FIN 18 revised per disc w Mary_BS_Separation_TaxResIndem_Q12412 tf_Restructuring &amp; Separation" xfId="9875"/>
    <cellStyle name="_MOR-BDW_MOR - BDWY - 1+11_MOR - Gurgaon - 3+9(R)-1_Revised MOR Package_~0039877_By Country Detail 1Q10 041410pm FIN 18 revised per disc w Mary_II.8. Sep&amp;Discrete" xfId="9876"/>
    <cellStyle name="_MOR-BDW_MOR - BDWY - 1+11_MOR - Gurgaon - 3+9(R)-1_Revised MOR Package_~0039877_By Country Detail 1Q10 041410pm FIN 18 revised per disc w Mary_Restructuring &amp; Separation" xfId="9877"/>
    <cellStyle name="_MOR-BDW_MOR - BDWY - 1+11_MOR - Gurgaon - 3+9(R)-1_Revised MOR Package_~0039877_II.4. RawMaterials" xfId="9878"/>
    <cellStyle name="_MOR-BDW_MOR - BDWY - 1+11_MOR - Gurgaon - 3+9(R)-1_Revised MOR Package_~0039877_II.4. RawMaterials 2" xfId="9879"/>
    <cellStyle name="_MOR-BDW_MOR - BDWY - 1+11_MOR - Gurgaon - 3+9(R)-1_Revised MOR Package_~0039877_II.4. RawMaterials_BS retrieve" xfId="9880"/>
    <cellStyle name="_MOR-BDW_MOR - BDWY - 1+11_MOR - Gurgaon - 3+9(R)-1_Revised MOR Package_~0039877_II.4. RawMaterials_Free CF" xfId="9881"/>
    <cellStyle name="_MOR-BDW_MOR - BDWY - 1+11_MOR - Gurgaon - 3+9(R)-1_Revised MOR Package_~0039877_II.4. RawMaterials_P&amp;L Rec Qtr" xfId="9882"/>
    <cellStyle name="_MOR-BDW_MOR - BDWY - 1+11_MOR - Gurgaon - 3+9(R)-1_Revised MOR Package_~0039877_II.4. RawMaterials_Sheet1" xfId="9883"/>
    <cellStyle name="_MOR-BDW_MOR - BDWY - 1+11_MOR - Gurgaon - 3+9(R)-1_Revised MOR Package_~0039877_II.4. RawMaterials_Sheet2" xfId="9884"/>
    <cellStyle name="_MOR-BDW_MOR - BDWY - 1+11_MOR - Gurgaon - 3+9(R)-1_Revised MOR Package_~0039877_II.4. RawMaterials_Sheet3" xfId="9885"/>
    <cellStyle name="_MOR-BDW_MOR - BDWY - 1+11_MOR - Gurgaon - 3+9(R)-1_Revised MOR Package_~0039877_II.4. RawMaterials_Sheet4" xfId="9886"/>
    <cellStyle name="_MOR-BDW_MOR - BDWY - 1+11_MOR - Gurgaon - 3+9(R)-1_Revised MOR Package_~0039877_II.5. RawMaterials" xfId="9887"/>
    <cellStyle name="_MOR-BDW_MOR - BDWY - 1+11_MOR - Gurgaon - 3+9(R)-1_Revised MOR Package_~0039877_II.5. RawMaterials 2" xfId="9888"/>
    <cellStyle name="_MOR-BDW_MOR - BDWY - 1+11_MOR - Gurgaon - 3+9(R)-1_Revised MOR Package_~0039877_II.5. RawMaterials_BS retrieve" xfId="9889"/>
    <cellStyle name="_MOR-BDW_MOR - BDWY - 1+11_MOR - Gurgaon - 3+9(R)-1_Revised MOR Package_~0039877_II.5. RawMaterials_Free CF" xfId="9890"/>
    <cellStyle name="_MOR-BDW_MOR - BDWY - 1+11_MOR - Gurgaon - 3+9(R)-1_Revised MOR Package_~0039877_II.5. RawMaterials_P&amp;L Rec Qtr" xfId="9891"/>
    <cellStyle name="_MOR-BDW_MOR - BDWY - 1+11_MOR - Gurgaon - 3+9(R)-1_Revised MOR Package_~0039877_II.5. RawMaterials_Sheet1" xfId="9892"/>
    <cellStyle name="_MOR-BDW_MOR - BDWY - 1+11_MOR - Gurgaon - 3+9(R)-1_Revised MOR Package_~0039877_II.5. RawMaterials_Sheet2" xfId="9893"/>
    <cellStyle name="_MOR-BDW_MOR - BDWY - 1+11_MOR - Gurgaon - 3+9(R)-1_Revised MOR Package_~0039877_II.5. RawMaterials_Sheet3" xfId="9894"/>
    <cellStyle name="_MOR-BDW_MOR - BDWY - 1+11_MOR - Gurgaon - 3+9(R)-1_Revised MOR Package_~0039877_II.5. RawMaterials_Sheet4" xfId="9895"/>
    <cellStyle name="_MOR-BDW_MOR - BDWY - 1+11_MOR - Gurgaon - 3+9(R)-1_Revised MOR Package_~0039877_II.5. RM Volume Sensitivities" xfId="9896"/>
    <cellStyle name="_MOR-BDW_MOR - BDWY - 1+11_MOR - Gurgaon - 3+9(R)-1_Revised MOR Package_~0039877_II.5. RM Volume Sensitivities 2" xfId="9897"/>
    <cellStyle name="_MOR-BDW_MOR - BDWY - 1+11_MOR - Gurgaon - 3+9(R)-1_Revised MOR Package_~0039877_II.5. RM Volume Sensitivities_BS retrieve" xfId="9898"/>
    <cellStyle name="_MOR-BDW_MOR - BDWY - 1+11_MOR - Gurgaon - 3+9(R)-1_Revised MOR Package_~0039877_II.5. RM Volume Sensitivities_Free CF" xfId="9899"/>
    <cellStyle name="_MOR-BDW_MOR - BDWY - 1+11_MOR - Gurgaon - 3+9(R)-1_Revised MOR Package_~0039877_II.5. RM Volume Sensitivities_P&amp;L Rec Qtr" xfId="9900"/>
    <cellStyle name="_MOR-BDW_MOR - BDWY - 1+11_MOR - Gurgaon - 3+9(R)-1_Revised MOR Package_~0039877_II.5. RM Volume Sensitivities_Sheet1" xfId="9901"/>
    <cellStyle name="_MOR-BDW_MOR - BDWY - 1+11_MOR - Gurgaon - 3+9(R)-1_Revised MOR Package_~0039877_II.5. RM Volume Sensitivities_Sheet2" xfId="9902"/>
    <cellStyle name="_MOR-BDW_MOR - BDWY - 1+11_MOR - Gurgaon - 3+9(R)-1_Revised MOR Package_~0039877_II.5. RM Volume Sensitivities_Sheet3" xfId="9903"/>
    <cellStyle name="_MOR-BDW_MOR - BDWY - 1+11_MOR - Gurgaon - 3+9(R)-1_Revised MOR Package_~0039877_II.5. RM Volume Sensitivities_Sheet4" xfId="9904"/>
    <cellStyle name="_MOR-BDW_MOR - BDWY - 1+11_MOR - Gurgaon - 3+9(R)-1_Revised MOR Package_~0039877_II.8. Sep&amp;Discrete" xfId="9905"/>
    <cellStyle name="_MOR-BDW_MOR - BDWY - 1+11_MOR - Gurgaon - 3+9(R)-1_Revised MOR Package_~0039877_Restructuring &amp; Separation" xfId="9906"/>
    <cellStyle name="_MOR-BDW_MOR - BDWY - 1+11_MOR - Gurgaon - 3+9(R)-1_Revised MOR Package_~0039877_Restructuring_Separation_TAX_JuneFC2010 tf" xfId="9907"/>
    <cellStyle name="_MOR-BDW_MOR - BDWY - 1+11_MOR - Gurgaon - 3+9(R)-1_Revised MOR Package_~0039877_Restructuring_Separation_TAX_JuneFC2010 tf_BS_Separation_TaxResIndem_Q12412 tf" xfId="9908"/>
    <cellStyle name="_MOR-BDW_MOR - BDWY - 1+11_MOR - Gurgaon - 3+9(R)-1_Revised MOR Package_~0039877_Restructuring_Separation_TAX_JuneFC2010 tf_BS_Separation_TaxResIndem_Q12412 tf_Restructuring &amp; Separation" xfId="9909"/>
    <cellStyle name="_MOR-BDW_MOR - BDWY - 1+11_MOR - Gurgaon - 3+9(R)-1_Revised MOR Package_~0039877_Restructuring_Separation_TAX_JuneFC2010 tf_II.8. Sep&amp;Discrete" xfId="9910"/>
    <cellStyle name="_MOR-BDW_MOR - BDWY - 1+11_MOR - Gurgaon - 3+9(R)-1_Revised MOR Package_~0039877_Restructuring_Separation_TAX_JuneFC2010 tf_Restructuring &amp; Separation" xfId="9911"/>
    <cellStyle name="_MOR-BDW_MOR - BDWY - 1+11_MOR - Gurgaon - 3+9(R)-1_Revised MOR Package_BS_Separation_TaxResIndem_Q12412 tf" xfId="9912"/>
    <cellStyle name="_MOR-BDW_MOR - BDWY - 1+11_MOR - Gurgaon - 3+9(R)-1_Revised MOR Package_BS_Separation_TaxResIndem_Q12412 tf_Restructuring &amp; Separation" xfId="9913"/>
    <cellStyle name="_MOR-BDW_MOR - BDWY - 1+11_MOR - Gurgaon - 3+9(R)-1_Revised MOR Package_By Country Detail 1Q10 041410pm FIN 18 revised per disc w Mary" xfId="9914"/>
    <cellStyle name="_MOR-BDW_MOR - BDWY - 1+11_MOR - Gurgaon - 3+9(R)-1_Revised MOR Package_By Country Detail 1Q10 041410pm FIN 18 revised per disc w Mary_BS_Separation_TaxResIndem_Q12412 tf" xfId="9915"/>
    <cellStyle name="_MOR-BDW_MOR - BDWY - 1+11_MOR - Gurgaon - 3+9(R)-1_Revised MOR Package_By Country Detail 1Q10 041410pm FIN 18 revised per disc w Mary_BS_Separation_TaxResIndem_Q12412 tf_Restructuring &amp; Separation" xfId="9916"/>
    <cellStyle name="_MOR-BDW_MOR - BDWY - 1+11_MOR - Gurgaon - 3+9(R)-1_Revised MOR Package_By Country Detail 1Q10 041410pm FIN 18 revised per disc w Mary_II.8. Sep&amp;Discrete" xfId="9917"/>
    <cellStyle name="_MOR-BDW_MOR - BDWY - 1+11_MOR - Gurgaon - 3+9(R)-1_Revised MOR Package_By Country Detail 1Q10 041410pm FIN 18 revised per disc w Mary_Restructuring &amp; Separation" xfId="9918"/>
    <cellStyle name="_MOR-BDW_MOR - BDWY - 1+11_MOR - Gurgaon - 3+9(R)-1_Revised MOR Package_II.4. RawMaterials" xfId="9919"/>
    <cellStyle name="_MOR-BDW_MOR - BDWY - 1+11_MOR - Gurgaon - 3+9(R)-1_Revised MOR Package_II.4. RawMaterials 2" xfId="9920"/>
    <cellStyle name="_MOR-BDW_MOR - BDWY - 1+11_MOR - Gurgaon - 3+9(R)-1_Revised MOR Package_II.4. RawMaterials_BS retrieve" xfId="9921"/>
    <cellStyle name="_MOR-BDW_MOR - BDWY - 1+11_MOR - Gurgaon - 3+9(R)-1_Revised MOR Package_II.4. RawMaterials_Free CF" xfId="9922"/>
    <cellStyle name="_MOR-BDW_MOR - BDWY - 1+11_MOR - Gurgaon - 3+9(R)-1_Revised MOR Package_II.4. RawMaterials_P&amp;L Rec Qtr" xfId="9923"/>
    <cellStyle name="_MOR-BDW_MOR - BDWY - 1+11_MOR - Gurgaon - 3+9(R)-1_Revised MOR Package_II.4. RawMaterials_Sheet1" xfId="9924"/>
    <cellStyle name="_MOR-BDW_MOR - BDWY - 1+11_MOR - Gurgaon - 3+9(R)-1_Revised MOR Package_II.4. RawMaterials_Sheet2" xfId="9925"/>
    <cellStyle name="_MOR-BDW_MOR - BDWY - 1+11_MOR - Gurgaon - 3+9(R)-1_Revised MOR Package_II.4. RawMaterials_Sheet3" xfId="9926"/>
    <cellStyle name="_MOR-BDW_MOR - BDWY - 1+11_MOR - Gurgaon - 3+9(R)-1_Revised MOR Package_II.4. RawMaterials_Sheet4" xfId="9927"/>
    <cellStyle name="_MOR-BDW_MOR - BDWY - 1+11_MOR - Gurgaon - 3+9(R)-1_Revised MOR Package_II.5. RawMaterials" xfId="9928"/>
    <cellStyle name="_MOR-BDW_MOR - BDWY - 1+11_MOR - Gurgaon - 3+9(R)-1_Revised MOR Package_II.5. RawMaterials 2" xfId="9929"/>
    <cellStyle name="_MOR-BDW_MOR - BDWY - 1+11_MOR - Gurgaon - 3+9(R)-1_Revised MOR Package_II.5. RawMaterials_BS retrieve" xfId="9930"/>
    <cellStyle name="_MOR-BDW_MOR - BDWY - 1+11_MOR - Gurgaon - 3+9(R)-1_Revised MOR Package_II.5. RawMaterials_Free CF" xfId="9931"/>
    <cellStyle name="_MOR-BDW_MOR - BDWY - 1+11_MOR - Gurgaon - 3+9(R)-1_Revised MOR Package_II.5. RawMaterials_P&amp;L Rec Qtr" xfId="9932"/>
    <cellStyle name="_MOR-BDW_MOR - BDWY - 1+11_MOR - Gurgaon - 3+9(R)-1_Revised MOR Package_II.5. RawMaterials_Sheet1" xfId="9933"/>
    <cellStyle name="_MOR-BDW_MOR - BDWY - 1+11_MOR - Gurgaon - 3+9(R)-1_Revised MOR Package_II.5. RawMaterials_Sheet2" xfId="9934"/>
    <cellStyle name="_MOR-BDW_MOR - BDWY - 1+11_MOR - Gurgaon - 3+9(R)-1_Revised MOR Package_II.5. RawMaterials_Sheet3" xfId="9935"/>
    <cellStyle name="_MOR-BDW_MOR - BDWY - 1+11_MOR - Gurgaon - 3+9(R)-1_Revised MOR Package_II.5. RawMaterials_Sheet4" xfId="9936"/>
    <cellStyle name="_MOR-BDW_MOR - BDWY - 1+11_MOR - Gurgaon - 3+9(R)-1_Revised MOR Package_II.5. RM Volume Sensitivities" xfId="9937"/>
    <cellStyle name="_MOR-BDW_MOR - BDWY - 1+11_MOR - Gurgaon - 3+9(R)-1_Revised MOR Package_II.5. RM Volume Sensitivities 2" xfId="9938"/>
    <cellStyle name="_MOR-BDW_MOR - BDWY - 1+11_MOR - Gurgaon - 3+9(R)-1_Revised MOR Package_II.5. RM Volume Sensitivities_BS retrieve" xfId="9939"/>
    <cellStyle name="_MOR-BDW_MOR - BDWY - 1+11_MOR - Gurgaon - 3+9(R)-1_Revised MOR Package_II.5. RM Volume Sensitivities_Free CF" xfId="9940"/>
    <cellStyle name="_MOR-BDW_MOR - BDWY - 1+11_MOR - Gurgaon - 3+9(R)-1_Revised MOR Package_II.5. RM Volume Sensitivities_P&amp;L Rec Qtr" xfId="9941"/>
    <cellStyle name="_MOR-BDW_MOR - BDWY - 1+11_MOR - Gurgaon - 3+9(R)-1_Revised MOR Package_II.5. RM Volume Sensitivities_Sheet1" xfId="9942"/>
    <cellStyle name="_MOR-BDW_MOR - BDWY - 1+11_MOR - Gurgaon - 3+9(R)-1_Revised MOR Package_II.5. RM Volume Sensitivities_Sheet2" xfId="9943"/>
    <cellStyle name="_MOR-BDW_MOR - BDWY - 1+11_MOR - Gurgaon - 3+9(R)-1_Revised MOR Package_II.5. RM Volume Sensitivities_Sheet3" xfId="9944"/>
    <cellStyle name="_MOR-BDW_MOR - BDWY - 1+11_MOR - Gurgaon - 3+9(R)-1_Revised MOR Package_II.5. RM Volume Sensitivities_Sheet4" xfId="9945"/>
    <cellStyle name="_MOR-BDW_MOR - BDWY - 1+11_MOR - Gurgaon - 3+9(R)-1_Revised MOR Package_II.8. Sep&amp;Discrete" xfId="9946"/>
    <cellStyle name="_MOR-BDW_MOR - BDWY - 1+11_MOR - Gurgaon - 3+9(R)-1_Revised MOR Package_Restructuring &amp; Separation" xfId="9947"/>
    <cellStyle name="_MOR-BDW_MOR - BDWY - 1+11_MOR - Gurgaon - 3+9(R)-1_Revised MOR Package_Restructuring_Separation_TAX_JuneFC2010 tf" xfId="9948"/>
    <cellStyle name="_MOR-BDW_MOR - BDWY - 1+11_MOR - Gurgaon - 3+9(R)-1_Revised MOR Package_Restructuring_Separation_TAX_JuneFC2010 tf_BS_Separation_TaxResIndem_Q12412 tf" xfId="9949"/>
    <cellStyle name="_MOR-BDW_MOR - BDWY - 1+11_MOR - Gurgaon - 3+9(R)-1_Revised MOR Package_Restructuring_Separation_TAX_JuneFC2010 tf_BS_Separation_TaxResIndem_Q12412 tf_Restructuring &amp; Separation" xfId="9950"/>
    <cellStyle name="_MOR-BDW_MOR - BDWY - 1+11_MOR - Gurgaon - 3+9(R)-1_Revised MOR Package_Restructuring_Separation_TAX_JuneFC2010 tf_II.8. Sep&amp;Discrete" xfId="9951"/>
    <cellStyle name="_MOR-BDW_MOR - BDWY - 1+11_MOR - Gurgaon - 3+9(R)-1_Revised MOR Package_Restructuring_Separation_TAX_JuneFC2010 tf_Restructuring &amp; Separation" xfId="9952"/>
    <cellStyle name="_MOR-BDW_MOR - BDWY - 1+11_MOR - Gurgaon - 3+9(R)-1_Revised MOR Package_Revised MOR Package - Latest" xfId="9953"/>
    <cellStyle name="_MOR-BDW_MOR - BDWY - 1+11_MOR - Gurgaon - 3+9(R)-1_Revised MOR Package_Revised MOR Package - Latest_BS_Separation_TaxResIndem_Q12412 tf" xfId="9954"/>
    <cellStyle name="_MOR-BDW_MOR - BDWY - 1+11_MOR - Gurgaon - 3+9(R)-1_Revised MOR Package_Revised MOR Package - Latest_BS_Separation_TaxResIndem_Q12412 tf_Restructuring &amp; Separation" xfId="9955"/>
    <cellStyle name="_MOR-BDW_MOR - BDWY - 1+11_MOR - Gurgaon - 3+9(R)-1_Revised MOR Package_Revised MOR Package - Latest_By Country Detail 1Q10 041410pm FIN 18 revised per disc w Mary" xfId="9956"/>
    <cellStyle name="_MOR-BDW_MOR - BDWY - 1+11_MOR - Gurgaon - 3+9(R)-1_Revised MOR Package_Revised MOR Package - Latest_By Country Detail 1Q10 041410pm FIN 18 revised per disc w Mary_BS_Separation_TaxResIndem_Q12412 tf" xfId="9957"/>
    <cellStyle name="_MOR-BDW_MOR - BDWY - 1+11_MOR - Gurgaon - 3+9(R)-1_Revised MOR Package_Revised MOR Package - Latest_By Country Detail 1Q10 041410pm FIN 18 revised per disc w Mary_BS_Separation_TaxResIndem_Q12412 tf_Restructuring &amp; Separation" xfId="9958"/>
    <cellStyle name="_MOR-BDW_MOR - BDWY - 1+11_MOR - Gurgaon - 3+9(R)-1_Revised MOR Package_Revised MOR Package - Latest_By Country Detail 1Q10 041410pm FIN 18 revised per disc w Mary_II.8. Sep&amp;Discrete" xfId="9959"/>
    <cellStyle name="_MOR-BDW_MOR - BDWY - 1+11_MOR - Gurgaon - 3+9(R)-1_Revised MOR Package_Revised MOR Package - Latest_By Country Detail 1Q10 041410pm FIN 18 revised per disc w Mary_Restructuring &amp; Separation" xfId="9960"/>
    <cellStyle name="_MOR-BDW_MOR - BDWY - 1+11_MOR - Gurgaon - 3+9(R)-1_Revised MOR Package_Revised MOR Package - Latest_II.4. RawMaterials" xfId="9961"/>
    <cellStyle name="_MOR-BDW_MOR - BDWY - 1+11_MOR - Gurgaon - 3+9(R)-1_Revised MOR Package_Revised MOR Package - Latest_II.4. RawMaterials 2" xfId="9962"/>
    <cellStyle name="_MOR-BDW_MOR - BDWY - 1+11_MOR - Gurgaon - 3+9(R)-1_Revised MOR Package_Revised MOR Package - Latest_II.4. RawMaterials_BS retrieve" xfId="9963"/>
    <cellStyle name="_MOR-BDW_MOR - BDWY - 1+11_MOR - Gurgaon - 3+9(R)-1_Revised MOR Package_Revised MOR Package - Latest_II.4. RawMaterials_Free CF" xfId="9964"/>
    <cellStyle name="_MOR-BDW_MOR - BDWY - 1+11_MOR - Gurgaon - 3+9(R)-1_Revised MOR Package_Revised MOR Package - Latest_II.4. RawMaterials_P&amp;L Rec Qtr" xfId="9965"/>
    <cellStyle name="_MOR-BDW_MOR - BDWY - 1+11_MOR - Gurgaon - 3+9(R)-1_Revised MOR Package_Revised MOR Package - Latest_II.4. RawMaterials_Sheet1" xfId="9966"/>
    <cellStyle name="_MOR-BDW_MOR - BDWY - 1+11_MOR - Gurgaon - 3+9(R)-1_Revised MOR Package_Revised MOR Package - Latest_II.4. RawMaterials_Sheet2" xfId="9967"/>
    <cellStyle name="_MOR-BDW_MOR - BDWY - 1+11_MOR - Gurgaon - 3+9(R)-1_Revised MOR Package_Revised MOR Package - Latest_II.4. RawMaterials_Sheet3" xfId="9968"/>
    <cellStyle name="_MOR-BDW_MOR - BDWY - 1+11_MOR - Gurgaon - 3+9(R)-1_Revised MOR Package_Revised MOR Package - Latest_II.4. RawMaterials_Sheet4" xfId="9969"/>
    <cellStyle name="_MOR-BDW_MOR - BDWY - 1+11_MOR - Gurgaon - 3+9(R)-1_Revised MOR Package_Revised MOR Package - Latest_II.5. RawMaterials" xfId="9970"/>
    <cellStyle name="_MOR-BDW_MOR - BDWY - 1+11_MOR - Gurgaon - 3+9(R)-1_Revised MOR Package_Revised MOR Package - Latest_II.5. RawMaterials 2" xfId="9971"/>
    <cellStyle name="_MOR-BDW_MOR - BDWY - 1+11_MOR - Gurgaon - 3+9(R)-1_Revised MOR Package_Revised MOR Package - Latest_II.5. RawMaterials_BS retrieve" xfId="9972"/>
    <cellStyle name="_MOR-BDW_MOR - BDWY - 1+11_MOR - Gurgaon - 3+9(R)-1_Revised MOR Package_Revised MOR Package - Latest_II.5. RawMaterials_Free CF" xfId="9973"/>
    <cellStyle name="_MOR-BDW_MOR - BDWY - 1+11_MOR - Gurgaon - 3+9(R)-1_Revised MOR Package_Revised MOR Package - Latest_II.5. RawMaterials_P&amp;L Rec Qtr" xfId="9974"/>
    <cellStyle name="_MOR-BDW_MOR - BDWY - 1+11_MOR - Gurgaon - 3+9(R)-1_Revised MOR Package_Revised MOR Package - Latest_II.5. RawMaterials_Sheet1" xfId="9975"/>
    <cellStyle name="_MOR-BDW_MOR - BDWY - 1+11_MOR - Gurgaon - 3+9(R)-1_Revised MOR Package_Revised MOR Package - Latest_II.5. RawMaterials_Sheet2" xfId="9976"/>
    <cellStyle name="_MOR-BDW_MOR - BDWY - 1+11_MOR - Gurgaon - 3+9(R)-1_Revised MOR Package_Revised MOR Package - Latest_II.5. RawMaterials_Sheet3" xfId="9977"/>
    <cellStyle name="_MOR-BDW_MOR - BDWY - 1+11_MOR - Gurgaon - 3+9(R)-1_Revised MOR Package_Revised MOR Package - Latest_II.5. RawMaterials_Sheet4" xfId="9978"/>
    <cellStyle name="_MOR-BDW_MOR - BDWY - 1+11_MOR - Gurgaon - 3+9(R)-1_Revised MOR Package_Revised MOR Package - Latest_II.5. RM Volume Sensitivities" xfId="9979"/>
    <cellStyle name="_MOR-BDW_MOR - BDWY - 1+11_MOR - Gurgaon - 3+9(R)-1_Revised MOR Package_Revised MOR Package - Latest_II.5. RM Volume Sensitivities 2" xfId="9980"/>
    <cellStyle name="_MOR-BDW_MOR - BDWY - 1+11_MOR - Gurgaon - 3+9(R)-1_Revised MOR Package_Revised MOR Package - Latest_II.5. RM Volume Sensitivities_BS retrieve" xfId="9981"/>
    <cellStyle name="_MOR-BDW_MOR - BDWY - 1+11_MOR - Gurgaon - 3+9(R)-1_Revised MOR Package_Revised MOR Package - Latest_II.5. RM Volume Sensitivities_Free CF" xfId="9982"/>
    <cellStyle name="_MOR-BDW_MOR - BDWY - 1+11_MOR - Gurgaon - 3+9(R)-1_Revised MOR Package_Revised MOR Package - Latest_II.5. RM Volume Sensitivities_P&amp;L Rec Qtr" xfId="9983"/>
    <cellStyle name="_MOR-BDW_MOR - BDWY - 1+11_MOR - Gurgaon - 3+9(R)-1_Revised MOR Package_Revised MOR Package - Latest_II.5. RM Volume Sensitivities_Sheet1" xfId="9984"/>
    <cellStyle name="_MOR-BDW_MOR - BDWY - 1+11_MOR - Gurgaon - 3+9(R)-1_Revised MOR Package_Revised MOR Package - Latest_II.5. RM Volume Sensitivities_Sheet2" xfId="9985"/>
    <cellStyle name="_MOR-BDW_MOR - BDWY - 1+11_MOR - Gurgaon - 3+9(R)-1_Revised MOR Package_Revised MOR Package - Latest_II.5. RM Volume Sensitivities_Sheet3" xfId="9986"/>
    <cellStyle name="_MOR-BDW_MOR - BDWY - 1+11_MOR - Gurgaon - 3+9(R)-1_Revised MOR Package_Revised MOR Package - Latest_II.5. RM Volume Sensitivities_Sheet4" xfId="9987"/>
    <cellStyle name="_MOR-BDW_MOR - BDWY - 1+11_MOR - Gurgaon - 3+9(R)-1_Revised MOR Package_Revised MOR Package - Latest_II.8. Sep&amp;Discrete" xfId="9988"/>
    <cellStyle name="_MOR-BDW_MOR - BDWY - 1+11_MOR - Gurgaon - 3+9(R)-1_Revised MOR Package_Revised MOR Package - Latest_Restructuring &amp; Separation" xfId="9989"/>
    <cellStyle name="_MOR-BDW_MOR - BDWY - 1+11_MOR - Gurgaon - 3+9(R)-1_Revised MOR Package_Revised MOR Package - Latest_Restructuring_Separation_TAX_JuneFC2010 tf" xfId="9990"/>
    <cellStyle name="_MOR-BDW_MOR - BDWY - 1+11_MOR - Gurgaon - 3+9(R)-1_Revised MOR Package_Revised MOR Package - Latest_Restructuring_Separation_TAX_JuneFC2010 tf_BS_Separation_TaxResIndem_Q12412 tf" xfId="9991"/>
    <cellStyle name="_MOR-BDW_MOR - BDWY - 1+11_MOR - Gurgaon - 3+9(R)-1_Revised MOR Package_Revised MOR Package - Latest_Restructuring_Separation_TAX_JuneFC2010 tf_BS_Separation_TaxResIndem_Q12412 tf_Restructuring &amp; Separation" xfId="9992"/>
    <cellStyle name="_MOR-BDW_MOR - BDWY - 1+11_MOR - Gurgaon - 3+9(R)-1_Revised MOR Package_Revised MOR Package - Latest_Restructuring_Separation_TAX_JuneFC2010 tf_II.8. Sep&amp;Discrete" xfId="9993"/>
    <cellStyle name="_MOR-BDW_MOR - BDWY - 1+11_MOR - Gurgaon - 3+9(R)-1_Revised MOR Package_Revised MOR Package - Latest_Restructuring_Separation_TAX_JuneFC2010 tf_Restructuring &amp; Separation" xfId="9994"/>
    <cellStyle name="_MOR-BDW_MOR - BDWY - 1+11_Restructuring &amp; Separation" xfId="9995"/>
    <cellStyle name="_MOR-BDW_MOR - BDWY - 1+11_Restructuring_Separation_TAX_JuneFC2010 tf" xfId="9996"/>
    <cellStyle name="_MOR-BDW_MOR - BDWY - 1+11_Restructuring_Separation_TAX_JuneFC2010 tf_BS_Separation_TaxResIndem_Q12412 tf" xfId="9997"/>
    <cellStyle name="_MOR-BDW_MOR - BDWY - 1+11_Restructuring_Separation_TAX_JuneFC2010 tf_BS_Separation_TaxResIndem_Q12412 tf_Restructuring &amp; Separation" xfId="9998"/>
    <cellStyle name="_MOR-BDW_MOR - BDWY - 1+11_Restructuring_Separation_TAX_JuneFC2010 tf_II.8. Sep&amp;Discrete" xfId="9999"/>
    <cellStyle name="_MOR-BDW_MOR - BDWY - 1+11_Restructuring_Separation_TAX_JuneFC2010 tf_Restructuring &amp; Separation" xfId="10000"/>
    <cellStyle name="_MOR-BDW_MOR - BDWY - 1+11_Revised MOR - Australia -  EC - 4+8" xfId="10001"/>
    <cellStyle name="_MOR-BDW_MOR - BDWY - 1+11_Revised MOR - Australia -  EC - 4+8_BS_Separation_TaxResIndem_Q12412 tf" xfId="10002"/>
    <cellStyle name="_MOR-BDW_MOR - BDWY - 1+11_Revised MOR - Australia -  EC - 4+8_BS_Separation_TaxResIndem_Q12412 tf_Restructuring &amp; Separation" xfId="10003"/>
    <cellStyle name="_MOR-BDW_MOR - BDWY - 1+11_Revised MOR - Australia -  EC - 4+8_By Country Detail 1Q10 041410pm FIN 18 revised per disc w Mary" xfId="10004"/>
    <cellStyle name="_MOR-BDW_MOR - BDWY - 1+11_Revised MOR - Australia -  EC - 4+8_By Country Detail 1Q10 041410pm FIN 18 revised per disc w Mary_BS_Separation_TaxResIndem_Q12412 tf" xfId="10005"/>
    <cellStyle name="_MOR-BDW_MOR - BDWY - 1+11_Revised MOR - Australia -  EC - 4+8_By Country Detail 1Q10 041410pm FIN 18 revised per disc w Mary_BS_Separation_TaxResIndem_Q12412 tf_Restructuring &amp; Separation" xfId="10006"/>
    <cellStyle name="_MOR-BDW_MOR - BDWY - 1+11_Revised MOR - Australia -  EC - 4+8_By Country Detail 1Q10 041410pm FIN 18 revised per disc w Mary_II.8. Sep&amp;Discrete" xfId="10007"/>
    <cellStyle name="_MOR-BDW_MOR - BDWY - 1+11_Revised MOR - Australia -  EC - 4+8_By Country Detail 1Q10 041410pm FIN 18 revised per disc w Mary_Restructuring &amp; Separation" xfId="10008"/>
    <cellStyle name="_MOR-BDW_MOR - BDWY - 1+11_Revised MOR - Australia -  EC - 4+8_II.4. RawMaterials" xfId="10009"/>
    <cellStyle name="_MOR-BDW_MOR - BDWY - 1+11_Revised MOR - Australia -  EC - 4+8_II.4. RawMaterials 2" xfId="10010"/>
    <cellStyle name="_MOR-BDW_MOR - BDWY - 1+11_Revised MOR - Australia -  EC - 4+8_II.4. RawMaterials_BS retrieve" xfId="10011"/>
    <cellStyle name="_MOR-BDW_MOR - BDWY - 1+11_Revised MOR - Australia -  EC - 4+8_II.4. RawMaterials_Free CF" xfId="10012"/>
    <cellStyle name="_MOR-BDW_MOR - BDWY - 1+11_Revised MOR - Australia -  EC - 4+8_II.4. RawMaterials_P&amp;L Rec Qtr" xfId="10013"/>
    <cellStyle name="_MOR-BDW_MOR - BDWY - 1+11_Revised MOR - Australia -  EC - 4+8_II.4. RawMaterials_Sheet1" xfId="10014"/>
    <cellStyle name="_MOR-BDW_MOR - BDWY - 1+11_Revised MOR - Australia -  EC - 4+8_II.4. RawMaterials_Sheet2" xfId="10015"/>
    <cellStyle name="_MOR-BDW_MOR - BDWY - 1+11_Revised MOR - Australia -  EC - 4+8_II.4. RawMaterials_Sheet3" xfId="10016"/>
    <cellStyle name="_MOR-BDW_MOR - BDWY - 1+11_Revised MOR - Australia -  EC - 4+8_II.4. RawMaterials_Sheet4" xfId="10017"/>
    <cellStyle name="_MOR-BDW_MOR - BDWY - 1+11_Revised MOR - Australia -  EC - 4+8_II.5. RawMaterials" xfId="10018"/>
    <cellStyle name="_MOR-BDW_MOR - BDWY - 1+11_Revised MOR - Australia -  EC - 4+8_II.5. RawMaterials 2" xfId="10019"/>
    <cellStyle name="_MOR-BDW_MOR - BDWY - 1+11_Revised MOR - Australia -  EC - 4+8_II.5. RawMaterials_BS retrieve" xfId="10020"/>
    <cellStyle name="_MOR-BDW_MOR - BDWY - 1+11_Revised MOR - Australia -  EC - 4+8_II.5. RawMaterials_Free CF" xfId="10021"/>
    <cellStyle name="_MOR-BDW_MOR - BDWY - 1+11_Revised MOR - Australia -  EC - 4+8_II.5. RawMaterials_P&amp;L Rec Qtr" xfId="10022"/>
    <cellStyle name="_MOR-BDW_MOR - BDWY - 1+11_Revised MOR - Australia -  EC - 4+8_II.5. RawMaterials_Sheet1" xfId="10023"/>
    <cellStyle name="_MOR-BDW_MOR - BDWY - 1+11_Revised MOR - Australia -  EC - 4+8_II.5. RawMaterials_Sheet2" xfId="10024"/>
    <cellStyle name="_MOR-BDW_MOR - BDWY - 1+11_Revised MOR - Australia -  EC - 4+8_II.5. RawMaterials_Sheet3" xfId="10025"/>
    <cellStyle name="_MOR-BDW_MOR - BDWY - 1+11_Revised MOR - Australia -  EC - 4+8_II.5. RawMaterials_Sheet4" xfId="10026"/>
    <cellStyle name="_MOR-BDW_MOR - BDWY - 1+11_Revised MOR - Australia -  EC - 4+8_II.5. RM Volume Sensitivities" xfId="10027"/>
    <cellStyle name="_MOR-BDW_MOR - BDWY - 1+11_Revised MOR - Australia -  EC - 4+8_II.5. RM Volume Sensitivities 2" xfId="10028"/>
    <cellStyle name="_MOR-BDW_MOR - BDWY - 1+11_Revised MOR - Australia -  EC - 4+8_II.5. RM Volume Sensitivities_BS retrieve" xfId="10029"/>
    <cellStyle name="_MOR-BDW_MOR - BDWY - 1+11_Revised MOR - Australia -  EC - 4+8_II.5. RM Volume Sensitivities_Free CF" xfId="10030"/>
    <cellStyle name="_MOR-BDW_MOR - BDWY - 1+11_Revised MOR - Australia -  EC - 4+8_II.5. RM Volume Sensitivities_P&amp;L Rec Qtr" xfId="10031"/>
    <cellStyle name="_MOR-BDW_MOR - BDWY - 1+11_Revised MOR - Australia -  EC - 4+8_II.5. RM Volume Sensitivities_Sheet1" xfId="10032"/>
    <cellStyle name="_MOR-BDW_MOR - BDWY - 1+11_Revised MOR - Australia -  EC - 4+8_II.5. RM Volume Sensitivities_Sheet2" xfId="10033"/>
    <cellStyle name="_MOR-BDW_MOR - BDWY - 1+11_Revised MOR - Australia -  EC - 4+8_II.5. RM Volume Sensitivities_Sheet3" xfId="10034"/>
    <cellStyle name="_MOR-BDW_MOR - BDWY - 1+11_Revised MOR - Australia -  EC - 4+8_II.5. RM Volume Sensitivities_Sheet4" xfId="10035"/>
    <cellStyle name="_MOR-BDW_MOR - BDWY - 1+11_Revised MOR - Australia -  EC - 4+8_II.8. Sep&amp;Discrete" xfId="10036"/>
    <cellStyle name="_MOR-BDW_MOR - BDWY - 1+11_Revised MOR - Australia -  EC - 4+8_Restructuring &amp; Separation" xfId="10037"/>
    <cellStyle name="_MOR-BDW_MOR - BDWY - 1+11_Revised MOR - Australia -  EC - 4+8_Restructuring_Separation_TAX_JuneFC2010 tf" xfId="10038"/>
    <cellStyle name="_MOR-BDW_MOR - BDWY - 1+11_Revised MOR - Australia -  EC - 4+8_Restructuring_Separation_TAX_JuneFC2010 tf_BS_Separation_TaxResIndem_Q12412 tf" xfId="10039"/>
    <cellStyle name="_MOR-BDW_MOR - BDWY - 1+11_Revised MOR - Australia -  EC - 4+8_Restructuring_Separation_TAX_JuneFC2010 tf_BS_Separation_TaxResIndem_Q12412 tf_Restructuring &amp; Separation" xfId="10040"/>
    <cellStyle name="_MOR-BDW_MOR - BDWY - 1+11_Revised MOR - Australia -  EC - 4+8_Restructuring_Separation_TAX_JuneFC2010 tf_II.8. Sep&amp;Discrete" xfId="10041"/>
    <cellStyle name="_MOR-BDW_MOR - BDWY - 1+11_Revised MOR - Australia -  EC - 4+8_Restructuring_Separation_TAX_JuneFC2010 tf_Restructuring &amp; Separation" xfId="10042"/>
    <cellStyle name="_MOR-BDW_MOR - BDWY - 1+11_Revised MOR Package - Latest" xfId="10043"/>
    <cellStyle name="_MOR-BDW_MOR - BDWY - 1+11_Revised MOR Package - Latest_BS_Separation_TaxResIndem_Q12412 tf" xfId="10044"/>
    <cellStyle name="_MOR-BDW_MOR - BDWY - 1+11_Revised MOR Package - Latest_BS_Separation_TaxResIndem_Q12412 tf_Restructuring &amp; Separation" xfId="10045"/>
    <cellStyle name="_MOR-BDW_MOR - BDWY - 1+11_Revised MOR Package - Latest_By Country Detail 1Q10 041410pm FIN 18 revised per disc w Mary" xfId="10046"/>
    <cellStyle name="_MOR-BDW_MOR - BDWY - 1+11_Revised MOR Package - Latest_By Country Detail 1Q10 041410pm FIN 18 revised per disc w Mary_BS_Separation_TaxResIndem_Q12412 tf" xfId="10047"/>
    <cellStyle name="_MOR-BDW_MOR - BDWY - 1+11_Revised MOR Package - Latest_By Country Detail 1Q10 041410pm FIN 18 revised per disc w Mary_BS_Separation_TaxResIndem_Q12412 tf_Restructuring &amp; Separation" xfId="10048"/>
    <cellStyle name="_MOR-BDW_MOR - BDWY - 1+11_Revised MOR Package - Latest_By Country Detail 1Q10 041410pm FIN 18 revised per disc w Mary_II.8. Sep&amp;Discrete" xfId="10049"/>
    <cellStyle name="_MOR-BDW_MOR - BDWY - 1+11_Revised MOR Package - Latest_By Country Detail 1Q10 041410pm FIN 18 revised per disc w Mary_Restructuring &amp; Separation" xfId="10050"/>
    <cellStyle name="_MOR-BDW_MOR - BDWY - 1+11_Revised MOR Package - Latest_II.4. RawMaterials" xfId="10051"/>
    <cellStyle name="_MOR-BDW_MOR - BDWY - 1+11_Revised MOR Package - Latest_II.4. RawMaterials 2" xfId="10052"/>
    <cellStyle name="_MOR-BDW_MOR - BDWY - 1+11_Revised MOR Package - Latest_II.4. RawMaterials_BS retrieve" xfId="10053"/>
    <cellStyle name="_MOR-BDW_MOR - BDWY - 1+11_Revised MOR Package - Latest_II.4. RawMaterials_Free CF" xfId="10054"/>
    <cellStyle name="_MOR-BDW_MOR - BDWY - 1+11_Revised MOR Package - Latest_II.4. RawMaterials_P&amp;L Rec Qtr" xfId="10055"/>
    <cellStyle name="_MOR-BDW_MOR - BDWY - 1+11_Revised MOR Package - Latest_II.4. RawMaterials_Sheet1" xfId="10056"/>
    <cellStyle name="_MOR-BDW_MOR - BDWY - 1+11_Revised MOR Package - Latest_II.4. RawMaterials_Sheet2" xfId="10057"/>
    <cellStyle name="_MOR-BDW_MOR - BDWY - 1+11_Revised MOR Package - Latest_II.4. RawMaterials_Sheet3" xfId="10058"/>
    <cellStyle name="_MOR-BDW_MOR - BDWY - 1+11_Revised MOR Package - Latest_II.4. RawMaterials_Sheet4" xfId="10059"/>
    <cellStyle name="_MOR-BDW_MOR - BDWY - 1+11_Revised MOR Package - Latest_II.5. RawMaterials" xfId="10060"/>
    <cellStyle name="_MOR-BDW_MOR - BDWY - 1+11_Revised MOR Package - Latest_II.5. RawMaterials 2" xfId="10061"/>
    <cellStyle name="_MOR-BDW_MOR - BDWY - 1+11_Revised MOR Package - Latest_II.5. RawMaterials_BS retrieve" xfId="10062"/>
    <cellStyle name="_MOR-BDW_MOR - BDWY - 1+11_Revised MOR Package - Latest_II.5. RawMaterials_Free CF" xfId="10063"/>
    <cellStyle name="_MOR-BDW_MOR - BDWY - 1+11_Revised MOR Package - Latest_II.5. RawMaterials_P&amp;L Rec Qtr" xfId="10064"/>
    <cellStyle name="_MOR-BDW_MOR - BDWY - 1+11_Revised MOR Package - Latest_II.5. RawMaterials_Sheet1" xfId="10065"/>
    <cellStyle name="_MOR-BDW_MOR - BDWY - 1+11_Revised MOR Package - Latest_II.5. RawMaterials_Sheet2" xfId="10066"/>
    <cellStyle name="_MOR-BDW_MOR - BDWY - 1+11_Revised MOR Package - Latest_II.5. RawMaterials_Sheet3" xfId="10067"/>
    <cellStyle name="_MOR-BDW_MOR - BDWY - 1+11_Revised MOR Package - Latest_II.5. RawMaterials_Sheet4" xfId="10068"/>
    <cellStyle name="_MOR-BDW_MOR - BDWY - 1+11_Revised MOR Package - Latest_II.5. RM Volume Sensitivities" xfId="10069"/>
    <cellStyle name="_MOR-BDW_MOR - BDWY - 1+11_Revised MOR Package - Latest_II.5. RM Volume Sensitivities 2" xfId="10070"/>
    <cellStyle name="_MOR-BDW_MOR - BDWY - 1+11_Revised MOR Package - Latest_II.5. RM Volume Sensitivities_BS retrieve" xfId="10071"/>
    <cellStyle name="_MOR-BDW_MOR - BDWY - 1+11_Revised MOR Package - Latest_II.5. RM Volume Sensitivities_Free CF" xfId="10072"/>
    <cellStyle name="_MOR-BDW_MOR - BDWY - 1+11_Revised MOR Package - Latest_II.5. RM Volume Sensitivities_P&amp;L Rec Qtr" xfId="10073"/>
    <cellStyle name="_MOR-BDW_MOR - BDWY - 1+11_Revised MOR Package - Latest_II.5. RM Volume Sensitivities_Sheet1" xfId="10074"/>
    <cellStyle name="_MOR-BDW_MOR - BDWY - 1+11_Revised MOR Package - Latest_II.5. RM Volume Sensitivities_Sheet2" xfId="10075"/>
    <cellStyle name="_MOR-BDW_MOR - BDWY - 1+11_Revised MOR Package - Latest_II.5. RM Volume Sensitivities_Sheet3" xfId="10076"/>
    <cellStyle name="_MOR-BDW_MOR - BDWY - 1+11_Revised MOR Package - Latest_II.5. RM Volume Sensitivities_Sheet4" xfId="10077"/>
    <cellStyle name="_MOR-BDW_MOR - BDWY - 1+11_Revised MOR Package - Latest_II.8. Sep&amp;Discrete" xfId="10078"/>
    <cellStyle name="_MOR-BDW_MOR - BDWY - 1+11_Revised MOR Package - Latest_Restructuring &amp; Separation" xfId="10079"/>
    <cellStyle name="_MOR-BDW_MOR - BDWY - 1+11_Revised MOR Package - Latest_Restructuring_Separation_TAX_JuneFC2010 tf" xfId="10080"/>
    <cellStyle name="_MOR-BDW_MOR - BDWY - 1+11_Revised MOR Package - Latest_Restructuring_Separation_TAX_JuneFC2010 tf_BS_Separation_TaxResIndem_Q12412 tf" xfId="10081"/>
    <cellStyle name="_MOR-BDW_MOR - BDWY - 1+11_Revised MOR Package - Latest_Restructuring_Separation_TAX_JuneFC2010 tf_BS_Separation_TaxResIndem_Q12412 tf_Restructuring &amp; Separation" xfId="10082"/>
    <cellStyle name="_MOR-BDW_MOR - BDWY - 1+11_Revised MOR Package - Latest_Restructuring_Separation_TAX_JuneFC2010 tf_II.8. Sep&amp;Discrete" xfId="10083"/>
    <cellStyle name="_MOR-BDW_MOR - BDWY - 1+11_Revised MOR Package - Latest_Restructuring_Separation_TAX_JuneFC2010 tf_Restructuring &amp; Separation" xfId="10084"/>
    <cellStyle name="_MOR-BDW_MOR - Revised Package" xfId="10085"/>
    <cellStyle name="_MOR-BDW_MOR - Revised Package_~0039877" xfId="10086"/>
    <cellStyle name="_MOR-BDW_MOR - Revised Package_~0039877_BS_Separation_TaxResIndem_Q12412 tf" xfId="10087"/>
    <cellStyle name="_MOR-BDW_MOR - Revised Package_~0039877_BS_Separation_TaxResIndem_Q12412 tf_Restructuring &amp; Separation" xfId="10088"/>
    <cellStyle name="_MOR-BDW_MOR - Revised Package_~0039877_By Country Detail 1Q10 041410pm FIN 18 revised per disc w Mary" xfId="10089"/>
    <cellStyle name="_MOR-BDW_MOR - Revised Package_~0039877_By Country Detail 1Q10 041410pm FIN 18 revised per disc w Mary_BS_Separation_TaxResIndem_Q12412 tf" xfId="10090"/>
    <cellStyle name="_MOR-BDW_MOR - Revised Package_~0039877_By Country Detail 1Q10 041410pm FIN 18 revised per disc w Mary_BS_Separation_TaxResIndem_Q12412 tf_Restructuring &amp; Separation" xfId="10091"/>
    <cellStyle name="_MOR-BDW_MOR - Revised Package_~0039877_By Country Detail 1Q10 041410pm FIN 18 revised per disc w Mary_II.8. Sep&amp;Discrete" xfId="10092"/>
    <cellStyle name="_MOR-BDW_MOR - Revised Package_~0039877_By Country Detail 1Q10 041410pm FIN 18 revised per disc w Mary_Restructuring &amp; Separation" xfId="10093"/>
    <cellStyle name="_MOR-BDW_MOR - Revised Package_~0039877_II.4. RawMaterials" xfId="10094"/>
    <cellStyle name="_MOR-BDW_MOR - Revised Package_~0039877_II.4. RawMaterials 2" xfId="10095"/>
    <cellStyle name="_MOR-BDW_MOR - Revised Package_~0039877_II.4. RawMaterials_BS retrieve" xfId="10096"/>
    <cellStyle name="_MOR-BDW_MOR - Revised Package_~0039877_II.4. RawMaterials_Free CF" xfId="10097"/>
    <cellStyle name="_MOR-BDW_MOR - Revised Package_~0039877_II.4. RawMaterials_P&amp;L Rec Qtr" xfId="10098"/>
    <cellStyle name="_MOR-BDW_MOR - Revised Package_~0039877_II.4. RawMaterials_Sheet1" xfId="10099"/>
    <cellStyle name="_MOR-BDW_MOR - Revised Package_~0039877_II.4. RawMaterials_Sheet2" xfId="10100"/>
    <cellStyle name="_MOR-BDW_MOR - Revised Package_~0039877_II.4. RawMaterials_Sheet3" xfId="10101"/>
    <cellStyle name="_MOR-BDW_MOR - Revised Package_~0039877_II.4. RawMaterials_Sheet4" xfId="10102"/>
    <cellStyle name="_MOR-BDW_MOR - Revised Package_~0039877_II.5. RawMaterials" xfId="10103"/>
    <cellStyle name="_MOR-BDW_MOR - Revised Package_~0039877_II.5. RawMaterials 2" xfId="10104"/>
    <cellStyle name="_MOR-BDW_MOR - Revised Package_~0039877_II.5. RawMaterials_BS retrieve" xfId="10105"/>
    <cellStyle name="_MOR-BDW_MOR - Revised Package_~0039877_II.5. RawMaterials_Free CF" xfId="10106"/>
    <cellStyle name="_MOR-BDW_MOR - Revised Package_~0039877_II.5. RawMaterials_P&amp;L Rec Qtr" xfId="10107"/>
    <cellStyle name="_MOR-BDW_MOR - Revised Package_~0039877_II.5. RawMaterials_Sheet1" xfId="10108"/>
    <cellStyle name="_MOR-BDW_MOR - Revised Package_~0039877_II.5. RawMaterials_Sheet2" xfId="10109"/>
    <cellStyle name="_MOR-BDW_MOR - Revised Package_~0039877_II.5. RawMaterials_Sheet3" xfId="10110"/>
    <cellStyle name="_MOR-BDW_MOR - Revised Package_~0039877_II.5. RawMaterials_Sheet4" xfId="10111"/>
    <cellStyle name="_MOR-BDW_MOR - Revised Package_~0039877_II.5. RM Volume Sensitivities" xfId="10112"/>
    <cellStyle name="_MOR-BDW_MOR - Revised Package_~0039877_II.5. RM Volume Sensitivities 2" xfId="10113"/>
    <cellStyle name="_MOR-BDW_MOR - Revised Package_~0039877_II.5. RM Volume Sensitivities_BS retrieve" xfId="10114"/>
    <cellStyle name="_MOR-BDW_MOR - Revised Package_~0039877_II.5. RM Volume Sensitivities_Free CF" xfId="10115"/>
    <cellStyle name="_MOR-BDW_MOR - Revised Package_~0039877_II.5. RM Volume Sensitivities_P&amp;L Rec Qtr" xfId="10116"/>
    <cellStyle name="_MOR-BDW_MOR - Revised Package_~0039877_II.5. RM Volume Sensitivities_Sheet1" xfId="10117"/>
    <cellStyle name="_MOR-BDW_MOR - Revised Package_~0039877_II.5. RM Volume Sensitivities_Sheet2" xfId="10118"/>
    <cellStyle name="_MOR-BDW_MOR - Revised Package_~0039877_II.5. RM Volume Sensitivities_Sheet3" xfId="10119"/>
    <cellStyle name="_MOR-BDW_MOR - Revised Package_~0039877_II.5. RM Volume Sensitivities_Sheet4" xfId="10120"/>
    <cellStyle name="_MOR-BDW_MOR - Revised Package_~0039877_II.8. Sep&amp;Discrete" xfId="10121"/>
    <cellStyle name="_MOR-BDW_MOR - Revised Package_~0039877_Restructuring &amp; Separation" xfId="10122"/>
    <cellStyle name="_MOR-BDW_MOR - Revised Package_~0039877_Restructuring_Separation_TAX_JuneFC2010 tf" xfId="10123"/>
    <cellStyle name="_MOR-BDW_MOR - Revised Package_~0039877_Restructuring_Separation_TAX_JuneFC2010 tf_BS_Separation_TaxResIndem_Q12412 tf" xfId="10124"/>
    <cellStyle name="_MOR-BDW_MOR - Revised Package_~0039877_Restructuring_Separation_TAX_JuneFC2010 tf_BS_Separation_TaxResIndem_Q12412 tf_Restructuring &amp; Separation" xfId="10125"/>
    <cellStyle name="_MOR-BDW_MOR - Revised Package_~0039877_Restructuring_Separation_TAX_JuneFC2010 tf_II.8. Sep&amp;Discrete" xfId="10126"/>
    <cellStyle name="_MOR-BDW_MOR - Revised Package_~0039877_Restructuring_Separation_TAX_JuneFC2010 tf_Restructuring &amp; Separation" xfId="10127"/>
    <cellStyle name="_MOR-BDW_MOR - Revised Package_BS_Separation_TaxResIndem_Q12412 tf" xfId="10128"/>
    <cellStyle name="_MOR-BDW_MOR - Revised Package_BS_Separation_TaxResIndem_Q12412 tf_Restructuring &amp; Separation" xfId="10129"/>
    <cellStyle name="_MOR-BDW_MOR - Revised Package_By Country Detail 1Q10 041410pm FIN 18 revised per disc w Mary" xfId="10130"/>
    <cellStyle name="_MOR-BDW_MOR - Revised Package_By Country Detail 1Q10 041410pm FIN 18 revised per disc w Mary_BS_Separation_TaxResIndem_Q12412 tf" xfId="10131"/>
    <cellStyle name="_MOR-BDW_MOR - Revised Package_By Country Detail 1Q10 041410pm FIN 18 revised per disc w Mary_BS_Separation_TaxResIndem_Q12412 tf_Restructuring &amp; Separation" xfId="10132"/>
    <cellStyle name="_MOR-BDW_MOR - Revised Package_By Country Detail 1Q10 041410pm FIN 18 revised per disc w Mary_II.8. Sep&amp;Discrete" xfId="10133"/>
    <cellStyle name="_MOR-BDW_MOR - Revised Package_By Country Detail 1Q10 041410pm FIN 18 revised per disc w Mary_Restructuring &amp; Separation" xfId="10134"/>
    <cellStyle name="_MOR-BDW_MOR - Revised Package_II.4. RawMaterials" xfId="10135"/>
    <cellStyle name="_MOR-BDW_MOR - Revised Package_II.4. RawMaterials 2" xfId="10136"/>
    <cellStyle name="_MOR-BDW_MOR - Revised Package_II.4. RawMaterials_BS retrieve" xfId="10137"/>
    <cellStyle name="_MOR-BDW_MOR - Revised Package_II.4. RawMaterials_Free CF" xfId="10138"/>
    <cellStyle name="_MOR-BDW_MOR - Revised Package_II.4. RawMaterials_P&amp;L Rec Qtr" xfId="10139"/>
    <cellStyle name="_MOR-BDW_MOR - Revised Package_II.4. RawMaterials_Sheet1" xfId="10140"/>
    <cellStyle name="_MOR-BDW_MOR - Revised Package_II.4. RawMaterials_Sheet2" xfId="10141"/>
    <cellStyle name="_MOR-BDW_MOR - Revised Package_II.4. RawMaterials_Sheet3" xfId="10142"/>
    <cellStyle name="_MOR-BDW_MOR - Revised Package_II.4. RawMaterials_Sheet4" xfId="10143"/>
    <cellStyle name="_MOR-BDW_MOR - Revised Package_II.5. RawMaterials" xfId="10144"/>
    <cellStyle name="_MOR-BDW_MOR - Revised Package_II.5. RawMaterials 2" xfId="10145"/>
    <cellStyle name="_MOR-BDW_MOR - Revised Package_II.5. RawMaterials_BS retrieve" xfId="10146"/>
    <cellStyle name="_MOR-BDW_MOR - Revised Package_II.5. RawMaterials_Free CF" xfId="10147"/>
    <cellStyle name="_MOR-BDW_MOR - Revised Package_II.5. RawMaterials_P&amp;L Rec Qtr" xfId="10148"/>
    <cellStyle name="_MOR-BDW_MOR - Revised Package_II.5. RawMaterials_Sheet1" xfId="10149"/>
    <cellStyle name="_MOR-BDW_MOR - Revised Package_II.5. RawMaterials_Sheet2" xfId="10150"/>
    <cellStyle name="_MOR-BDW_MOR - Revised Package_II.5. RawMaterials_Sheet3" xfId="10151"/>
    <cellStyle name="_MOR-BDW_MOR - Revised Package_II.5. RawMaterials_Sheet4" xfId="10152"/>
    <cellStyle name="_MOR-BDW_MOR - Revised Package_II.5. RM Volume Sensitivities" xfId="10153"/>
    <cellStyle name="_MOR-BDW_MOR - Revised Package_II.5. RM Volume Sensitivities 2" xfId="10154"/>
    <cellStyle name="_MOR-BDW_MOR - Revised Package_II.5. RM Volume Sensitivities_BS retrieve" xfId="10155"/>
    <cellStyle name="_MOR-BDW_MOR - Revised Package_II.5. RM Volume Sensitivities_Free CF" xfId="10156"/>
    <cellStyle name="_MOR-BDW_MOR - Revised Package_II.5. RM Volume Sensitivities_P&amp;L Rec Qtr" xfId="10157"/>
    <cellStyle name="_MOR-BDW_MOR - Revised Package_II.5. RM Volume Sensitivities_Sheet1" xfId="10158"/>
    <cellStyle name="_MOR-BDW_MOR - Revised Package_II.5. RM Volume Sensitivities_Sheet2" xfId="10159"/>
    <cellStyle name="_MOR-BDW_MOR - Revised Package_II.5. RM Volume Sensitivities_Sheet3" xfId="10160"/>
    <cellStyle name="_MOR-BDW_MOR - Revised Package_II.5. RM Volume Sensitivities_Sheet4" xfId="10161"/>
    <cellStyle name="_MOR-BDW_MOR - Revised Package_II.8. Sep&amp;Discrete" xfId="10162"/>
    <cellStyle name="_MOR-BDW_MOR - Revised Package_Restructuring &amp; Separation" xfId="10163"/>
    <cellStyle name="_MOR-BDW_MOR - Revised Package_Restructuring_Separation_TAX_JuneFC2010 tf" xfId="10164"/>
    <cellStyle name="_MOR-BDW_MOR - Revised Package_Restructuring_Separation_TAX_JuneFC2010 tf_BS_Separation_TaxResIndem_Q12412 tf" xfId="10165"/>
    <cellStyle name="_MOR-BDW_MOR - Revised Package_Restructuring_Separation_TAX_JuneFC2010 tf_BS_Separation_TaxResIndem_Q12412 tf_Restructuring &amp; Separation" xfId="10166"/>
    <cellStyle name="_MOR-BDW_MOR - Revised Package_Restructuring_Separation_TAX_JuneFC2010 tf_II.8. Sep&amp;Discrete" xfId="10167"/>
    <cellStyle name="_MOR-BDW_MOR - Revised Package_Restructuring_Separation_TAX_JuneFC2010 tf_Restructuring &amp; Separation" xfId="10168"/>
    <cellStyle name="_MOR-BDW_MOR - Revised Package_Revised MOR Package - Latest" xfId="10169"/>
    <cellStyle name="_MOR-BDW_MOR - Revised Package_Revised MOR Package - Latest_BS_Separation_TaxResIndem_Q12412 tf" xfId="10170"/>
    <cellStyle name="_MOR-BDW_MOR - Revised Package_Revised MOR Package - Latest_BS_Separation_TaxResIndem_Q12412 tf_Restructuring &amp; Separation" xfId="10171"/>
    <cellStyle name="_MOR-BDW_MOR - Revised Package_Revised MOR Package - Latest_By Country Detail 1Q10 041410pm FIN 18 revised per disc w Mary" xfId="10172"/>
    <cellStyle name="_MOR-BDW_MOR - Revised Package_Revised MOR Package - Latest_By Country Detail 1Q10 041410pm FIN 18 revised per disc w Mary_BS_Separation_TaxResIndem_Q12412 tf" xfId="10173"/>
    <cellStyle name="_MOR-BDW_MOR - Revised Package_Revised MOR Package - Latest_By Country Detail 1Q10 041410pm FIN 18 revised per disc w Mary_BS_Separation_TaxResIndem_Q12412 tf_Restructuring &amp; Separation" xfId="10174"/>
    <cellStyle name="_MOR-BDW_MOR - Revised Package_Revised MOR Package - Latest_By Country Detail 1Q10 041410pm FIN 18 revised per disc w Mary_II.8. Sep&amp;Discrete" xfId="10175"/>
    <cellStyle name="_MOR-BDW_MOR - Revised Package_Revised MOR Package - Latest_By Country Detail 1Q10 041410pm FIN 18 revised per disc w Mary_Restructuring &amp; Separation" xfId="10176"/>
    <cellStyle name="_MOR-BDW_MOR - Revised Package_Revised MOR Package - Latest_II.4. RawMaterials" xfId="10177"/>
    <cellStyle name="_MOR-BDW_MOR - Revised Package_Revised MOR Package - Latest_II.4. RawMaterials 2" xfId="10178"/>
    <cellStyle name="_MOR-BDW_MOR - Revised Package_Revised MOR Package - Latest_II.4. RawMaterials_BS retrieve" xfId="10179"/>
    <cellStyle name="_MOR-BDW_MOR - Revised Package_Revised MOR Package - Latest_II.4. RawMaterials_Free CF" xfId="10180"/>
    <cellStyle name="_MOR-BDW_MOR - Revised Package_Revised MOR Package - Latest_II.4. RawMaterials_P&amp;L Rec Qtr" xfId="10181"/>
    <cellStyle name="_MOR-BDW_MOR - Revised Package_Revised MOR Package - Latest_II.4. RawMaterials_Sheet1" xfId="10182"/>
    <cellStyle name="_MOR-BDW_MOR - Revised Package_Revised MOR Package - Latest_II.4. RawMaterials_Sheet2" xfId="10183"/>
    <cellStyle name="_MOR-BDW_MOR - Revised Package_Revised MOR Package - Latest_II.4. RawMaterials_Sheet3" xfId="10184"/>
    <cellStyle name="_MOR-BDW_MOR - Revised Package_Revised MOR Package - Latest_II.4. RawMaterials_Sheet4" xfId="10185"/>
    <cellStyle name="_MOR-BDW_MOR - Revised Package_Revised MOR Package - Latest_II.5. RawMaterials" xfId="10186"/>
    <cellStyle name="_MOR-BDW_MOR - Revised Package_Revised MOR Package - Latest_II.5. RawMaterials 2" xfId="10187"/>
    <cellStyle name="_MOR-BDW_MOR - Revised Package_Revised MOR Package - Latest_II.5. RawMaterials_BS retrieve" xfId="10188"/>
    <cellStyle name="_MOR-BDW_MOR - Revised Package_Revised MOR Package - Latest_II.5. RawMaterials_Free CF" xfId="10189"/>
    <cellStyle name="_MOR-BDW_MOR - Revised Package_Revised MOR Package - Latest_II.5. RawMaterials_P&amp;L Rec Qtr" xfId="10190"/>
    <cellStyle name="_MOR-BDW_MOR - Revised Package_Revised MOR Package - Latest_II.5. RawMaterials_Sheet1" xfId="10191"/>
    <cellStyle name="_MOR-BDW_MOR - Revised Package_Revised MOR Package - Latest_II.5. RawMaterials_Sheet2" xfId="10192"/>
    <cellStyle name="_MOR-BDW_MOR - Revised Package_Revised MOR Package - Latest_II.5. RawMaterials_Sheet3" xfId="10193"/>
    <cellStyle name="_MOR-BDW_MOR - Revised Package_Revised MOR Package - Latest_II.5. RawMaterials_Sheet4" xfId="10194"/>
    <cellStyle name="_MOR-BDW_MOR - Revised Package_Revised MOR Package - Latest_II.5. RM Volume Sensitivities" xfId="10195"/>
    <cellStyle name="_MOR-BDW_MOR - Revised Package_Revised MOR Package - Latest_II.5. RM Volume Sensitivities 2" xfId="10196"/>
    <cellStyle name="_MOR-BDW_MOR - Revised Package_Revised MOR Package - Latest_II.5. RM Volume Sensitivities_BS retrieve" xfId="10197"/>
    <cellStyle name="_MOR-BDW_MOR - Revised Package_Revised MOR Package - Latest_II.5. RM Volume Sensitivities_Free CF" xfId="10198"/>
    <cellStyle name="_MOR-BDW_MOR - Revised Package_Revised MOR Package - Latest_II.5. RM Volume Sensitivities_P&amp;L Rec Qtr" xfId="10199"/>
    <cellStyle name="_MOR-BDW_MOR - Revised Package_Revised MOR Package - Latest_II.5. RM Volume Sensitivities_Sheet1" xfId="10200"/>
    <cellStyle name="_MOR-BDW_MOR - Revised Package_Revised MOR Package - Latest_II.5. RM Volume Sensitivities_Sheet2" xfId="10201"/>
    <cellStyle name="_MOR-BDW_MOR - Revised Package_Revised MOR Package - Latest_II.5. RM Volume Sensitivities_Sheet3" xfId="10202"/>
    <cellStyle name="_MOR-BDW_MOR - Revised Package_Revised MOR Package - Latest_II.5. RM Volume Sensitivities_Sheet4" xfId="10203"/>
    <cellStyle name="_MOR-BDW_MOR - Revised Package_Revised MOR Package - Latest_II.8. Sep&amp;Discrete" xfId="10204"/>
    <cellStyle name="_MOR-BDW_MOR - Revised Package_Revised MOR Package - Latest_Restructuring &amp; Separation" xfId="10205"/>
    <cellStyle name="_MOR-BDW_MOR - Revised Package_Revised MOR Package - Latest_Restructuring_Separation_TAX_JuneFC2010 tf" xfId="10206"/>
    <cellStyle name="_MOR-BDW_MOR - Revised Package_Revised MOR Package - Latest_Restructuring_Separation_TAX_JuneFC2010 tf_BS_Separation_TaxResIndem_Q12412 tf" xfId="10207"/>
    <cellStyle name="_MOR-BDW_MOR - Revised Package_Revised MOR Package - Latest_Restructuring_Separation_TAX_JuneFC2010 tf_BS_Separation_TaxResIndem_Q12412 tf_Restructuring &amp; Separation" xfId="10208"/>
    <cellStyle name="_MOR-BDW_MOR - Revised Package_Revised MOR Package - Latest_Restructuring_Separation_TAX_JuneFC2010 tf_II.8. Sep&amp;Discrete" xfId="10209"/>
    <cellStyle name="_MOR-BDW_MOR - Revised Package_Revised MOR Package - Latest_Restructuring_Separation_TAX_JuneFC2010 tf_Restructuring &amp; Separation" xfId="10210"/>
    <cellStyle name="_MOR-BDW_Restructuring &amp; Separation" xfId="10211"/>
    <cellStyle name="_MOR-BDW_Restructuring_Separation_TAX_JuneFC2010 tf" xfId="10212"/>
    <cellStyle name="_MOR-BDW_Restructuring_Separation_TAX_JuneFC2010 tf_BS_Separation_TaxResIndem_Q12412 tf" xfId="10213"/>
    <cellStyle name="_MOR-BDW_Restructuring_Separation_TAX_JuneFC2010 tf_BS_Separation_TaxResIndem_Q12412 tf_Restructuring &amp; Separation" xfId="10214"/>
    <cellStyle name="_MOR-BDW_Restructuring_Separation_TAX_JuneFC2010 tf_II.8. Sep&amp;Discrete" xfId="10215"/>
    <cellStyle name="_MOR-BDW_Restructuring_Separation_TAX_JuneFC2010 tf_Restructuring &amp; Separation" xfId="10216"/>
    <cellStyle name="_MOR-BDW_Revised MOR Package" xfId="10217"/>
    <cellStyle name="_MOR-BDW_Revised MOR Package_~0039877" xfId="10218"/>
    <cellStyle name="_MOR-BDW_Revised MOR Package_~0039877_BS_Separation_TaxResIndem_Q12412 tf" xfId="10219"/>
    <cellStyle name="_MOR-BDW_Revised MOR Package_~0039877_BS_Separation_TaxResIndem_Q12412 tf_Restructuring &amp; Separation" xfId="10220"/>
    <cellStyle name="_MOR-BDW_Revised MOR Package_~0039877_By Country Detail 1Q10 041410pm FIN 18 revised per disc w Mary" xfId="10221"/>
    <cellStyle name="_MOR-BDW_Revised MOR Package_~0039877_By Country Detail 1Q10 041410pm FIN 18 revised per disc w Mary_BS_Separation_TaxResIndem_Q12412 tf" xfId="10222"/>
    <cellStyle name="_MOR-BDW_Revised MOR Package_~0039877_By Country Detail 1Q10 041410pm FIN 18 revised per disc w Mary_BS_Separation_TaxResIndem_Q12412 tf_Restructuring &amp; Separation" xfId="10223"/>
    <cellStyle name="_MOR-BDW_Revised MOR Package_~0039877_By Country Detail 1Q10 041410pm FIN 18 revised per disc w Mary_II.8. Sep&amp;Discrete" xfId="10224"/>
    <cellStyle name="_MOR-BDW_Revised MOR Package_~0039877_By Country Detail 1Q10 041410pm FIN 18 revised per disc w Mary_Restructuring &amp; Separation" xfId="10225"/>
    <cellStyle name="_MOR-BDW_Revised MOR Package_~0039877_II.4. RawMaterials" xfId="10226"/>
    <cellStyle name="_MOR-BDW_Revised MOR Package_~0039877_II.4. RawMaterials 2" xfId="10227"/>
    <cellStyle name="_MOR-BDW_Revised MOR Package_~0039877_II.4. RawMaterials_BS retrieve" xfId="10228"/>
    <cellStyle name="_MOR-BDW_Revised MOR Package_~0039877_II.4. RawMaterials_Free CF" xfId="10229"/>
    <cellStyle name="_MOR-BDW_Revised MOR Package_~0039877_II.4. RawMaterials_P&amp;L Rec Qtr" xfId="10230"/>
    <cellStyle name="_MOR-BDW_Revised MOR Package_~0039877_II.4. RawMaterials_Sheet1" xfId="10231"/>
    <cellStyle name="_MOR-BDW_Revised MOR Package_~0039877_II.4. RawMaterials_Sheet2" xfId="10232"/>
    <cellStyle name="_MOR-BDW_Revised MOR Package_~0039877_II.4. RawMaterials_Sheet3" xfId="10233"/>
    <cellStyle name="_MOR-BDW_Revised MOR Package_~0039877_II.4. RawMaterials_Sheet4" xfId="10234"/>
    <cellStyle name="_MOR-BDW_Revised MOR Package_~0039877_II.5. RawMaterials" xfId="10235"/>
    <cellStyle name="_MOR-BDW_Revised MOR Package_~0039877_II.5. RawMaterials 2" xfId="10236"/>
    <cellStyle name="_MOR-BDW_Revised MOR Package_~0039877_II.5. RawMaterials_BS retrieve" xfId="10237"/>
    <cellStyle name="_MOR-BDW_Revised MOR Package_~0039877_II.5. RawMaterials_Free CF" xfId="10238"/>
    <cellStyle name="_MOR-BDW_Revised MOR Package_~0039877_II.5. RawMaterials_P&amp;L Rec Qtr" xfId="10239"/>
    <cellStyle name="_MOR-BDW_Revised MOR Package_~0039877_II.5. RawMaterials_Sheet1" xfId="10240"/>
    <cellStyle name="_MOR-BDW_Revised MOR Package_~0039877_II.5. RawMaterials_Sheet2" xfId="10241"/>
    <cellStyle name="_MOR-BDW_Revised MOR Package_~0039877_II.5. RawMaterials_Sheet3" xfId="10242"/>
    <cellStyle name="_MOR-BDW_Revised MOR Package_~0039877_II.5. RawMaterials_Sheet4" xfId="10243"/>
    <cellStyle name="_MOR-BDW_Revised MOR Package_~0039877_II.5. RM Volume Sensitivities" xfId="10244"/>
    <cellStyle name="_MOR-BDW_Revised MOR Package_~0039877_II.5. RM Volume Sensitivities 2" xfId="10245"/>
    <cellStyle name="_MOR-BDW_Revised MOR Package_~0039877_II.5. RM Volume Sensitivities_BS retrieve" xfId="10246"/>
    <cellStyle name="_MOR-BDW_Revised MOR Package_~0039877_II.5. RM Volume Sensitivities_Free CF" xfId="10247"/>
    <cellStyle name="_MOR-BDW_Revised MOR Package_~0039877_II.5. RM Volume Sensitivities_P&amp;L Rec Qtr" xfId="10248"/>
    <cellStyle name="_MOR-BDW_Revised MOR Package_~0039877_II.5. RM Volume Sensitivities_Sheet1" xfId="10249"/>
    <cellStyle name="_MOR-BDW_Revised MOR Package_~0039877_II.5. RM Volume Sensitivities_Sheet2" xfId="10250"/>
    <cellStyle name="_MOR-BDW_Revised MOR Package_~0039877_II.5. RM Volume Sensitivities_Sheet3" xfId="10251"/>
    <cellStyle name="_MOR-BDW_Revised MOR Package_~0039877_II.5. RM Volume Sensitivities_Sheet4" xfId="10252"/>
    <cellStyle name="_MOR-BDW_Revised MOR Package_~0039877_II.8. Sep&amp;Discrete" xfId="10253"/>
    <cellStyle name="_MOR-BDW_Revised MOR Package_~0039877_Restructuring &amp; Separation" xfId="10254"/>
    <cellStyle name="_MOR-BDW_Revised MOR Package_~0039877_Restructuring_Separation_TAX_JuneFC2010 tf" xfId="10255"/>
    <cellStyle name="_MOR-BDW_Revised MOR Package_~0039877_Restructuring_Separation_TAX_JuneFC2010 tf_BS_Separation_TaxResIndem_Q12412 tf" xfId="10256"/>
    <cellStyle name="_MOR-BDW_Revised MOR Package_~0039877_Restructuring_Separation_TAX_JuneFC2010 tf_BS_Separation_TaxResIndem_Q12412 tf_Restructuring &amp; Separation" xfId="10257"/>
    <cellStyle name="_MOR-BDW_Revised MOR Package_~0039877_Restructuring_Separation_TAX_JuneFC2010 tf_II.8. Sep&amp;Discrete" xfId="10258"/>
    <cellStyle name="_MOR-BDW_Revised MOR Package_~0039877_Restructuring_Separation_TAX_JuneFC2010 tf_Restructuring &amp; Separation" xfId="10259"/>
    <cellStyle name="_MOR-BDW_Revised MOR Package_BS_Separation_TaxResIndem_Q12412 tf" xfId="10260"/>
    <cellStyle name="_MOR-BDW_Revised MOR Package_BS_Separation_TaxResIndem_Q12412 tf_Restructuring &amp; Separation" xfId="10261"/>
    <cellStyle name="_MOR-BDW_Revised MOR Package_By Country Detail 1Q10 041410pm FIN 18 revised per disc w Mary" xfId="10262"/>
    <cellStyle name="_MOR-BDW_Revised MOR Package_By Country Detail 1Q10 041410pm FIN 18 revised per disc w Mary_BS_Separation_TaxResIndem_Q12412 tf" xfId="10263"/>
    <cellStyle name="_MOR-BDW_Revised MOR Package_By Country Detail 1Q10 041410pm FIN 18 revised per disc w Mary_BS_Separation_TaxResIndem_Q12412 tf_Restructuring &amp; Separation" xfId="10264"/>
    <cellStyle name="_MOR-BDW_Revised MOR Package_By Country Detail 1Q10 041410pm FIN 18 revised per disc w Mary_II.8. Sep&amp;Discrete" xfId="10265"/>
    <cellStyle name="_MOR-BDW_Revised MOR Package_By Country Detail 1Q10 041410pm FIN 18 revised per disc w Mary_Restructuring &amp; Separation" xfId="10266"/>
    <cellStyle name="_MOR-BDW_Revised MOR Package_II.4. RawMaterials" xfId="10267"/>
    <cellStyle name="_MOR-BDW_Revised MOR Package_II.4. RawMaterials 2" xfId="10268"/>
    <cellStyle name="_MOR-BDW_Revised MOR Package_II.4. RawMaterials_BS retrieve" xfId="10269"/>
    <cellStyle name="_MOR-BDW_Revised MOR Package_II.4. RawMaterials_Free CF" xfId="10270"/>
    <cellStyle name="_MOR-BDW_Revised MOR Package_II.4. RawMaterials_P&amp;L Rec Qtr" xfId="10271"/>
    <cellStyle name="_MOR-BDW_Revised MOR Package_II.4. RawMaterials_Sheet1" xfId="10272"/>
    <cellStyle name="_MOR-BDW_Revised MOR Package_II.4. RawMaterials_Sheet2" xfId="10273"/>
    <cellStyle name="_MOR-BDW_Revised MOR Package_II.4. RawMaterials_Sheet3" xfId="10274"/>
    <cellStyle name="_MOR-BDW_Revised MOR Package_II.4. RawMaterials_Sheet4" xfId="10275"/>
    <cellStyle name="_MOR-BDW_Revised MOR Package_II.5. RawMaterials" xfId="10276"/>
    <cellStyle name="_MOR-BDW_Revised MOR Package_II.5. RawMaterials 2" xfId="10277"/>
    <cellStyle name="_MOR-BDW_Revised MOR Package_II.5. RawMaterials_BS retrieve" xfId="10278"/>
    <cellStyle name="_MOR-BDW_Revised MOR Package_II.5. RawMaterials_Free CF" xfId="10279"/>
    <cellStyle name="_MOR-BDW_Revised MOR Package_II.5. RawMaterials_P&amp;L Rec Qtr" xfId="10280"/>
    <cellStyle name="_MOR-BDW_Revised MOR Package_II.5. RawMaterials_Sheet1" xfId="10281"/>
    <cellStyle name="_MOR-BDW_Revised MOR Package_II.5. RawMaterials_Sheet2" xfId="10282"/>
    <cellStyle name="_MOR-BDW_Revised MOR Package_II.5. RawMaterials_Sheet3" xfId="10283"/>
    <cellStyle name="_MOR-BDW_Revised MOR Package_II.5. RawMaterials_Sheet4" xfId="10284"/>
    <cellStyle name="_MOR-BDW_Revised MOR Package_II.5. RM Volume Sensitivities" xfId="10285"/>
    <cellStyle name="_MOR-BDW_Revised MOR Package_II.5. RM Volume Sensitivities 2" xfId="10286"/>
    <cellStyle name="_MOR-BDW_Revised MOR Package_II.5. RM Volume Sensitivities_BS retrieve" xfId="10287"/>
    <cellStyle name="_MOR-BDW_Revised MOR Package_II.5. RM Volume Sensitivities_Free CF" xfId="10288"/>
    <cellStyle name="_MOR-BDW_Revised MOR Package_II.5. RM Volume Sensitivities_P&amp;L Rec Qtr" xfId="10289"/>
    <cellStyle name="_MOR-BDW_Revised MOR Package_II.5. RM Volume Sensitivities_Sheet1" xfId="10290"/>
    <cellStyle name="_MOR-BDW_Revised MOR Package_II.5. RM Volume Sensitivities_Sheet2" xfId="10291"/>
    <cellStyle name="_MOR-BDW_Revised MOR Package_II.5. RM Volume Sensitivities_Sheet3" xfId="10292"/>
    <cellStyle name="_MOR-BDW_Revised MOR Package_II.5. RM Volume Sensitivities_Sheet4" xfId="10293"/>
    <cellStyle name="_MOR-BDW_Revised MOR Package_II.8. Sep&amp;Discrete" xfId="10294"/>
    <cellStyle name="_MOR-BDW_Revised MOR Package_Restructuring &amp; Separation" xfId="10295"/>
    <cellStyle name="_MOR-BDW_Revised MOR Package_Restructuring_Separation_TAX_JuneFC2010 tf" xfId="10296"/>
    <cellStyle name="_MOR-BDW_Revised MOR Package_Restructuring_Separation_TAX_JuneFC2010 tf_BS_Separation_TaxResIndem_Q12412 tf" xfId="10297"/>
    <cellStyle name="_MOR-BDW_Revised MOR Package_Restructuring_Separation_TAX_JuneFC2010 tf_BS_Separation_TaxResIndem_Q12412 tf_Restructuring &amp; Separation" xfId="10298"/>
    <cellStyle name="_MOR-BDW_Revised MOR Package_Restructuring_Separation_TAX_JuneFC2010 tf_II.8. Sep&amp;Discrete" xfId="10299"/>
    <cellStyle name="_MOR-BDW_Revised MOR Package_Restructuring_Separation_TAX_JuneFC2010 tf_Restructuring &amp; Separation" xfId="10300"/>
    <cellStyle name="_MOR-BDW_Revised MOR Package_Revised MOR Package - Latest" xfId="10301"/>
    <cellStyle name="_MOR-BDW_Revised MOR Package_Revised MOR Package - Latest_BS_Separation_TaxResIndem_Q12412 tf" xfId="10302"/>
    <cellStyle name="_MOR-BDW_Revised MOR Package_Revised MOR Package - Latest_BS_Separation_TaxResIndem_Q12412 tf_Restructuring &amp; Separation" xfId="10303"/>
    <cellStyle name="_MOR-BDW_Revised MOR Package_Revised MOR Package - Latest_By Country Detail 1Q10 041410pm FIN 18 revised per disc w Mary" xfId="10304"/>
    <cellStyle name="_MOR-BDW_Revised MOR Package_Revised MOR Package - Latest_By Country Detail 1Q10 041410pm FIN 18 revised per disc w Mary_BS_Separation_TaxResIndem_Q12412 tf" xfId="10305"/>
    <cellStyle name="_MOR-BDW_Revised MOR Package_Revised MOR Package - Latest_By Country Detail 1Q10 041410pm FIN 18 revised per disc w Mary_BS_Separation_TaxResIndem_Q12412 tf_Restructuring &amp; Separation" xfId="10306"/>
    <cellStyle name="_MOR-BDW_Revised MOR Package_Revised MOR Package - Latest_By Country Detail 1Q10 041410pm FIN 18 revised per disc w Mary_II.8. Sep&amp;Discrete" xfId="10307"/>
    <cellStyle name="_MOR-BDW_Revised MOR Package_Revised MOR Package - Latest_By Country Detail 1Q10 041410pm FIN 18 revised per disc w Mary_Restructuring &amp; Separation" xfId="10308"/>
    <cellStyle name="_MOR-BDW_Revised MOR Package_Revised MOR Package - Latest_II.4. RawMaterials" xfId="10309"/>
    <cellStyle name="_MOR-BDW_Revised MOR Package_Revised MOR Package - Latest_II.4. RawMaterials 2" xfId="10310"/>
    <cellStyle name="_MOR-BDW_Revised MOR Package_Revised MOR Package - Latest_II.4. RawMaterials_BS retrieve" xfId="10311"/>
    <cellStyle name="_MOR-BDW_Revised MOR Package_Revised MOR Package - Latest_II.4. RawMaterials_Free CF" xfId="10312"/>
    <cellStyle name="_MOR-BDW_Revised MOR Package_Revised MOR Package - Latest_II.4. RawMaterials_P&amp;L Rec Qtr" xfId="10313"/>
    <cellStyle name="_MOR-BDW_Revised MOR Package_Revised MOR Package - Latest_II.4. RawMaterials_Sheet1" xfId="10314"/>
    <cellStyle name="_MOR-BDW_Revised MOR Package_Revised MOR Package - Latest_II.4. RawMaterials_Sheet2" xfId="10315"/>
    <cellStyle name="_MOR-BDW_Revised MOR Package_Revised MOR Package - Latest_II.4. RawMaterials_Sheet3" xfId="10316"/>
    <cellStyle name="_MOR-BDW_Revised MOR Package_Revised MOR Package - Latest_II.4. RawMaterials_Sheet4" xfId="10317"/>
    <cellStyle name="_MOR-BDW_Revised MOR Package_Revised MOR Package - Latest_II.5. RawMaterials" xfId="10318"/>
    <cellStyle name="_MOR-BDW_Revised MOR Package_Revised MOR Package - Latest_II.5. RawMaterials 2" xfId="10319"/>
    <cellStyle name="_MOR-BDW_Revised MOR Package_Revised MOR Package - Latest_II.5. RawMaterials_BS retrieve" xfId="10320"/>
    <cellStyle name="_MOR-BDW_Revised MOR Package_Revised MOR Package - Latest_II.5. RawMaterials_Free CF" xfId="10321"/>
    <cellStyle name="_MOR-BDW_Revised MOR Package_Revised MOR Package - Latest_II.5. RawMaterials_P&amp;L Rec Qtr" xfId="10322"/>
    <cellStyle name="_MOR-BDW_Revised MOR Package_Revised MOR Package - Latest_II.5. RawMaterials_Sheet1" xfId="10323"/>
    <cellStyle name="_MOR-BDW_Revised MOR Package_Revised MOR Package - Latest_II.5. RawMaterials_Sheet2" xfId="10324"/>
    <cellStyle name="_MOR-BDW_Revised MOR Package_Revised MOR Package - Latest_II.5. RawMaterials_Sheet3" xfId="10325"/>
    <cellStyle name="_MOR-BDW_Revised MOR Package_Revised MOR Package - Latest_II.5. RawMaterials_Sheet4" xfId="10326"/>
    <cellStyle name="_MOR-BDW_Revised MOR Package_Revised MOR Package - Latest_II.5. RM Volume Sensitivities" xfId="10327"/>
    <cellStyle name="_MOR-BDW_Revised MOR Package_Revised MOR Package - Latest_II.5. RM Volume Sensitivities 2" xfId="10328"/>
    <cellStyle name="_MOR-BDW_Revised MOR Package_Revised MOR Package - Latest_II.5. RM Volume Sensitivities_BS retrieve" xfId="10329"/>
    <cellStyle name="_MOR-BDW_Revised MOR Package_Revised MOR Package - Latest_II.5. RM Volume Sensitivities_Free CF" xfId="10330"/>
    <cellStyle name="_MOR-BDW_Revised MOR Package_Revised MOR Package - Latest_II.5. RM Volume Sensitivities_P&amp;L Rec Qtr" xfId="10331"/>
    <cellStyle name="_MOR-BDW_Revised MOR Package_Revised MOR Package - Latest_II.5. RM Volume Sensitivities_Sheet1" xfId="10332"/>
    <cellStyle name="_MOR-BDW_Revised MOR Package_Revised MOR Package - Latest_II.5. RM Volume Sensitivities_Sheet2" xfId="10333"/>
    <cellStyle name="_MOR-BDW_Revised MOR Package_Revised MOR Package - Latest_II.5. RM Volume Sensitivities_Sheet3" xfId="10334"/>
    <cellStyle name="_MOR-BDW_Revised MOR Package_Revised MOR Package - Latest_II.5. RM Volume Sensitivities_Sheet4" xfId="10335"/>
    <cellStyle name="_MOR-BDW_Revised MOR Package_Revised MOR Package - Latest_II.8. Sep&amp;Discrete" xfId="10336"/>
    <cellStyle name="_MOR-BDW_Revised MOR Package_Revised MOR Package - Latest_Restructuring &amp; Separation" xfId="10337"/>
    <cellStyle name="_MOR-BDW_Revised MOR Package_Revised MOR Package - Latest_Restructuring_Separation_TAX_JuneFC2010 tf" xfId="10338"/>
    <cellStyle name="_MOR-BDW_Revised MOR Package_Revised MOR Package - Latest_Restructuring_Separation_TAX_JuneFC2010 tf_BS_Separation_TaxResIndem_Q12412 tf" xfId="10339"/>
    <cellStyle name="_MOR-BDW_Revised MOR Package_Revised MOR Package - Latest_Restructuring_Separation_TAX_JuneFC2010 tf_BS_Separation_TaxResIndem_Q12412 tf_Restructuring &amp; Separation" xfId="10340"/>
    <cellStyle name="_MOR-BDW_Revised MOR Package_Revised MOR Package - Latest_Restructuring_Separation_TAX_JuneFC2010 tf_II.8. Sep&amp;Discrete" xfId="10341"/>
    <cellStyle name="_MOR-BDW_Revised MOR Package_Revised MOR Package - Latest_Restructuring_Separation_TAX_JuneFC2010 tf_Restructuring &amp; Separation" xfId="10342"/>
    <cellStyle name="_ODE Transaction Model_India_v2" xfId="10343"/>
    <cellStyle name="_OPEX- PPT Revert" xfId="10344"/>
    <cellStyle name="_OPEX_analyze aft Jun closing (with Q2 Pyplr)" xfId="10345"/>
    <cellStyle name="_OPEX_analyze aft Jun closing (with Q2 Pyplr)_BS_Separation_TaxResIndem_Q12412 tf" xfId="10346"/>
    <cellStyle name="_OPEX_analyze aft Jun closing (with Q2 Pyplr)_BS_Separation_TaxResIndem_Q12412 tf_Restructuring &amp; Separation" xfId="10347"/>
    <cellStyle name="_OPEX_analyze aft Jun closing (with Q2 Pyplr)_By Country Detail 1Q10 041410pm FIN 18 revised per disc w Mary" xfId="10348"/>
    <cellStyle name="_OPEX_analyze aft Jun closing (with Q2 Pyplr)_By Country Detail 1Q10 041410pm FIN 18 revised per disc w Mary_BS_Separation_TaxResIndem_Q12412 tf" xfId="10349"/>
    <cellStyle name="_OPEX_analyze aft Jun closing (with Q2 Pyplr)_By Country Detail 1Q10 041410pm FIN 18 revised per disc w Mary_BS_Separation_TaxResIndem_Q12412 tf_Restructuring &amp; Separation" xfId="10350"/>
    <cellStyle name="_OPEX_analyze aft Jun closing (with Q2 Pyplr)_By Country Detail 1Q10 041410pm FIN 18 revised per disc w Mary_II.8. Sep&amp;Discrete" xfId="10351"/>
    <cellStyle name="_OPEX_analyze aft Jun closing (with Q2 Pyplr)_By Country Detail 1Q10 041410pm FIN 18 revised per disc w Mary_Restructuring &amp; Separation" xfId="10352"/>
    <cellStyle name="_OPEX_analyze aft Jun closing (with Q2 Pyplr)_II.4. RawMaterials" xfId="10353"/>
    <cellStyle name="_OPEX_analyze aft Jun closing (with Q2 Pyplr)_II.4. RawMaterials 2" xfId="10354"/>
    <cellStyle name="_OPEX_analyze aft Jun closing (with Q2 Pyplr)_II.4. RawMaterials_BS retrieve" xfId="10355"/>
    <cellStyle name="_OPEX_analyze aft Jun closing (with Q2 Pyplr)_II.4. RawMaterials_Free CF" xfId="10356"/>
    <cellStyle name="_OPEX_analyze aft Jun closing (with Q2 Pyplr)_II.4. RawMaterials_P&amp;L Rec Qtr" xfId="10357"/>
    <cellStyle name="_OPEX_analyze aft Jun closing (with Q2 Pyplr)_II.4. RawMaterials_Sheet1" xfId="10358"/>
    <cellStyle name="_OPEX_analyze aft Jun closing (with Q2 Pyplr)_II.4. RawMaterials_Sheet2" xfId="10359"/>
    <cellStyle name="_OPEX_analyze aft Jun closing (with Q2 Pyplr)_II.4. RawMaterials_Sheet3" xfId="10360"/>
    <cellStyle name="_OPEX_analyze aft Jun closing (with Q2 Pyplr)_II.4. RawMaterials_Sheet4" xfId="10361"/>
    <cellStyle name="_OPEX_analyze aft Jun closing (with Q2 Pyplr)_II.5. RawMaterials" xfId="10362"/>
    <cellStyle name="_OPEX_analyze aft Jun closing (with Q2 Pyplr)_II.5. RawMaterials 2" xfId="10363"/>
    <cellStyle name="_OPEX_analyze aft Jun closing (with Q2 Pyplr)_II.5. RawMaterials_BS retrieve" xfId="10364"/>
    <cellStyle name="_OPEX_analyze aft Jun closing (with Q2 Pyplr)_II.5. RawMaterials_Free CF" xfId="10365"/>
    <cellStyle name="_OPEX_analyze aft Jun closing (with Q2 Pyplr)_II.5. RawMaterials_P&amp;L Rec Qtr" xfId="10366"/>
    <cellStyle name="_OPEX_analyze aft Jun closing (with Q2 Pyplr)_II.5. RawMaterials_Sheet1" xfId="10367"/>
    <cellStyle name="_OPEX_analyze aft Jun closing (with Q2 Pyplr)_II.5. RawMaterials_Sheet2" xfId="10368"/>
    <cellStyle name="_OPEX_analyze aft Jun closing (with Q2 Pyplr)_II.5. RawMaterials_Sheet3" xfId="10369"/>
    <cellStyle name="_OPEX_analyze aft Jun closing (with Q2 Pyplr)_II.5. RawMaterials_Sheet4" xfId="10370"/>
    <cellStyle name="_OPEX_analyze aft Jun closing (with Q2 Pyplr)_II.5. RM Volume Sensitivities" xfId="10371"/>
    <cellStyle name="_OPEX_analyze aft Jun closing (with Q2 Pyplr)_II.5. RM Volume Sensitivities 2" xfId="10372"/>
    <cellStyle name="_OPEX_analyze aft Jun closing (with Q2 Pyplr)_II.5. RM Volume Sensitivities_BS retrieve" xfId="10373"/>
    <cellStyle name="_OPEX_analyze aft Jun closing (with Q2 Pyplr)_II.5. RM Volume Sensitivities_Free CF" xfId="10374"/>
    <cellStyle name="_OPEX_analyze aft Jun closing (with Q2 Pyplr)_II.5. RM Volume Sensitivities_P&amp;L Rec Qtr" xfId="10375"/>
    <cellStyle name="_OPEX_analyze aft Jun closing (with Q2 Pyplr)_II.5. RM Volume Sensitivities_Sheet1" xfId="10376"/>
    <cellStyle name="_OPEX_analyze aft Jun closing (with Q2 Pyplr)_II.5. RM Volume Sensitivities_Sheet2" xfId="10377"/>
    <cellStyle name="_OPEX_analyze aft Jun closing (with Q2 Pyplr)_II.5. RM Volume Sensitivities_Sheet3" xfId="10378"/>
    <cellStyle name="_OPEX_analyze aft Jun closing (with Q2 Pyplr)_II.5. RM Volume Sensitivities_Sheet4" xfId="10379"/>
    <cellStyle name="_OPEX_analyze aft Jun closing (with Q2 Pyplr)_II.8. Sep&amp;Discrete" xfId="10380"/>
    <cellStyle name="_OPEX_analyze aft Jun closing (with Q2 Pyplr)_Restructuring &amp; Separation" xfId="10381"/>
    <cellStyle name="_OPEX_analyze aft Jun closing (with Q2 Pyplr)_Restructuring_Separation_TAX_JuneFC2010 tf" xfId="10382"/>
    <cellStyle name="_OPEX_analyze aft Jun closing (with Q2 Pyplr)_Restructuring_Separation_TAX_JuneFC2010 tf_BS_Separation_TaxResIndem_Q12412 tf" xfId="10383"/>
    <cellStyle name="_OPEX_analyze aft Jun closing (with Q2 Pyplr)_Restructuring_Separation_TAX_JuneFC2010 tf_BS_Separation_TaxResIndem_Q12412 tf_Restructuring &amp; Separation" xfId="10384"/>
    <cellStyle name="_OPEX_analyze aft Jun closing (with Q2 Pyplr)_Restructuring_Separation_TAX_JuneFC2010 tf_II.8. Sep&amp;Discrete" xfId="10385"/>
    <cellStyle name="_OPEX_analyze aft Jun closing (with Q2 Pyplr)_Restructuring_Separation_TAX_JuneFC2010 tf_Restructuring &amp; Separation" xfId="10386"/>
    <cellStyle name="_OU Sheet (2)" xfId="10387"/>
    <cellStyle name="_raw material graphs (version 1)" xfId="10388"/>
    <cellStyle name="_raw material graphs (version 1) 2" xfId="10389"/>
    <cellStyle name="_raw material graphs (version 1)_BS retrieve" xfId="10390"/>
    <cellStyle name="_raw material graphs (version 1)_Free CF" xfId="10391"/>
    <cellStyle name="_raw material graphs (version 1)_P&amp;L Rec Qtr" xfId="10392"/>
    <cellStyle name="_raw material graphs (version 1)_Sheet1" xfId="10393"/>
    <cellStyle name="_raw material graphs (version 1)_Sheet2" xfId="10394"/>
    <cellStyle name="_raw material graphs (version 1)_Sheet3" xfId="10395"/>
    <cellStyle name="_raw material graphs (version 1)_Sheet4" xfId="10396"/>
    <cellStyle name="_Restructuring &amp; Separation" xfId="10397"/>
    <cellStyle name="_RESTRUCTURING and separation" xfId="10398"/>
    <cellStyle name="_Revised MOR - Australia -  EC - 4+8" xfId="10399"/>
    <cellStyle name="_Revised MOR - Australia -  EC - 4+8_BS_Separation_TaxResIndem_Q12412 tf" xfId="10400"/>
    <cellStyle name="_Revised MOR - Australia -  EC - 4+8_BS_Separation_TaxResIndem_Q12412 tf_Restructuring &amp; Separation" xfId="10401"/>
    <cellStyle name="_Revised MOR - Australia -  EC - 4+8_By Country Detail 1Q10 041410pm FIN 18 revised per disc w Mary" xfId="10402"/>
    <cellStyle name="_Revised MOR - Australia -  EC - 4+8_By Country Detail 1Q10 041410pm FIN 18 revised per disc w Mary_BS_Separation_TaxResIndem_Q12412 tf" xfId="10403"/>
    <cellStyle name="_Revised MOR - Australia -  EC - 4+8_By Country Detail 1Q10 041410pm FIN 18 revised per disc w Mary_BS_Separation_TaxResIndem_Q12412 tf_Restructuring &amp; Separation" xfId="10404"/>
    <cellStyle name="_Revised MOR - Australia -  EC - 4+8_By Country Detail 1Q10 041410pm FIN 18 revised per disc w Mary_II.8. Sep&amp;Discrete" xfId="10405"/>
    <cellStyle name="_Revised MOR - Australia -  EC - 4+8_By Country Detail 1Q10 041410pm FIN 18 revised per disc w Mary_Restructuring &amp; Separation" xfId="10406"/>
    <cellStyle name="_Revised MOR - Australia -  EC - 4+8_II.4. RawMaterials" xfId="10407"/>
    <cellStyle name="_Revised MOR - Australia -  EC - 4+8_II.4. RawMaterials 2" xfId="10408"/>
    <cellStyle name="_Revised MOR - Australia -  EC - 4+8_II.4. RawMaterials_BS retrieve" xfId="10409"/>
    <cellStyle name="_Revised MOR - Australia -  EC - 4+8_II.4. RawMaterials_Free CF" xfId="10410"/>
    <cellStyle name="_Revised MOR - Australia -  EC - 4+8_II.4. RawMaterials_P&amp;L Rec Qtr" xfId="10411"/>
    <cellStyle name="_Revised MOR - Australia -  EC - 4+8_II.4. RawMaterials_Sheet1" xfId="10412"/>
    <cellStyle name="_Revised MOR - Australia -  EC - 4+8_II.4. RawMaterials_Sheet2" xfId="10413"/>
    <cellStyle name="_Revised MOR - Australia -  EC - 4+8_II.4. RawMaterials_Sheet3" xfId="10414"/>
    <cellStyle name="_Revised MOR - Australia -  EC - 4+8_II.4. RawMaterials_Sheet4" xfId="10415"/>
    <cellStyle name="_Revised MOR - Australia -  EC - 4+8_II.5. RawMaterials" xfId="10416"/>
    <cellStyle name="_Revised MOR - Australia -  EC - 4+8_II.5. RawMaterials 2" xfId="10417"/>
    <cellStyle name="_Revised MOR - Australia -  EC - 4+8_II.5. RawMaterials_BS retrieve" xfId="10418"/>
    <cellStyle name="_Revised MOR - Australia -  EC - 4+8_II.5. RawMaterials_Free CF" xfId="10419"/>
    <cellStyle name="_Revised MOR - Australia -  EC - 4+8_II.5. RawMaterials_P&amp;L Rec Qtr" xfId="10420"/>
    <cellStyle name="_Revised MOR - Australia -  EC - 4+8_II.5. RawMaterials_Sheet1" xfId="10421"/>
    <cellStyle name="_Revised MOR - Australia -  EC - 4+8_II.5. RawMaterials_Sheet2" xfId="10422"/>
    <cellStyle name="_Revised MOR - Australia -  EC - 4+8_II.5. RawMaterials_Sheet3" xfId="10423"/>
    <cellStyle name="_Revised MOR - Australia -  EC - 4+8_II.5. RawMaterials_Sheet4" xfId="10424"/>
    <cellStyle name="_Revised MOR - Australia -  EC - 4+8_II.5. RM Volume Sensitivities" xfId="10425"/>
    <cellStyle name="_Revised MOR - Australia -  EC - 4+8_II.5. RM Volume Sensitivities 2" xfId="10426"/>
    <cellStyle name="_Revised MOR - Australia -  EC - 4+8_II.5. RM Volume Sensitivities_BS retrieve" xfId="10427"/>
    <cellStyle name="_Revised MOR - Australia -  EC - 4+8_II.5. RM Volume Sensitivities_Free CF" xfId="10428"/>
    <cellStyle name="_Revised MOR - Australia -  EC - 4+8_II.5. RM Volume Sensitivities_P&amp;L Rec Qtr" xfId="10429"/>
    <cellStyle name="_Revised MOR - Australia -  EC - 4+8_II.5. RM Volume Sensitivities_Sheet1" xfId="10430"/>
    <cellStyle name="_Revised MOR - Australia -  EC - 4+8_II.5. RM Volume Sensitivities_Sheet2" xfId="10431"/>
    <cellStyle name="_Revised MOR - Australia -  EC - 4+8_II.5. RM Volume Sensitivities_Sheet3" xfId="10432"/>
    <cellStyle name="_Revised MOR - Australia -  EC - 4+8_II.5. RM Volume Sensitivities_Sheet4" xfId="10433"/>
    <cellStyle name="_Revised MOR - Australia -  EC - 4+8_II.8. Sep&amp;Discrete" xfId="10434"/>
    <cellStyle name="_Revised MOR - Australia -  EC - 4+8_Restructuring &amp; Separation" xfId="10435"/>
    <cellStyle name="_Revised MOR - Australia -  EC - 4+8_Restructuring_Separation_TAX_JuneFC2010 tf" xfId="10436"/>
    <cellStyle name="_Revised MOR - Australia -  EC - 4+8_Restructuring_Separation_TAX_JuneFC2010 tf_BS_Separation_TaxResIndem_Q12412 tf" xfId="10437"/>
    <cellStyle name="_Revised MOR - Australia -  EC - 4+8_Restructuring_Separation_TAX_JuneFC2010 tf_BS_Separation_TaxResIndem_Q12412 tf_Restructuring &amp; Separation" xfId="10438"/>
    <cellStyle name="_Revised MOR - Australia -  EC - 4+8_Restructuring_Separation_TAX_JuneFC2010 tf_II.8. Sep&amp;Discrete" xfId="10439"/>
    <cellStyle name="_Revised MOR - Australia -  EC - 4+8_Restructuring_Separation_TAX_JuneFC2010 tf_Restructuring &amp; Separation" xfId="10440"/>
    <cellStyle name="_Revised MOR 2004" xfId="10441"/>
    <cellStyle name="_Revised MOR 2004_BS_Separation_TaxResIndem_Q12412 tf" xfId="10442"/>
    <cellStyle name="_Revised MOR 2004_BS_Separation_TaxResIndem_Q12412 tf_Restructuring &amp; Separation" xfId="10443"/>
    <cellStyle name="_Revised MOR 2004_By Country Detail 1Q10 041410pm FIN 18 revised per disc w Mary" xfId="10444"/>
    <cellStyle name="_Revised MOR 2004_By Country Detail 1Q10 041410pm FIN 18 revised per disc w Mary_BS_Separation_TaxResIndem_Q12412 tf" xfId="10445"/>
    <cellStyle name="_Revised MOR 2004_By Country Detail 1Q10 041410pm FIN 18 revised per disc w Mary_BS_Separation_TaxResIndem_Q12412 tf_Restructuring &amp; Separation" xfId="10446"/>
    <cellStyle name="_Revised MOR 2004_By Country Detail 1Q10 041410pm FIN 18 revised per disc w Mary_II.8. Sep&amp;Discrete" xfId="10447"/>
    <cellStyle name="_Revised MOR 2004_By Country Detail 1Q10 041410pm FIN 18 revised per disc w Mary_Restructuring &amp; Separation" xfId="10448"/>
    <cellStyle name="_Revised MOR 2004_II.4. RawMaterials" xfId="10449"/>
    <cellStyle name="_Revised MOR 2004_II.4. RawMaterials 2" xfId="10450"/>
    <cellStyle name="_Revised MOR 2004_II.4. RawMaterials_BS retrieve" xfId="10451"/>
    <cellStyle name="_Revised MOR 2004_II.4. RawMaterials_Free CF" xfId="10452"/>
    <cellStyle name="_Revised MOR 2004_II.4. RawMaterials_P&amp;L Rec Qtr" xfId="10453"/>
    <cellStyle name="_Revised MOR 2004_II.4. RawMaterials_Sheet1" xfId="10454"/>
    <cellStyle name="_Revised MOR 2004_II.4. RawMaterials_Sheet2" xfId="10455"/>
    <cellStyle name="_Revised MOR 2004_II.4. RawMaterials_Sheet3" xfId="10456"/>
    <cellStyle name="_Revised MOR 2004_II.4. RawMaterials_Sheet4" xfId="10457"/>
    <cellStyle name="_Revised MOR 2004_II.5. RawMaterials" xfId="10458"/>
    <cellStyle name="_Revised MOR 2004_II.5. RawMaterials 2" xfId="10459"/>
    <cellStyle name="_Revised MOR 2004_II.5. RawMaterials_BS retrieve" xfId="10460"/>
    <cellStyle name="_Revised MOR 2004_II.5. RawMaterials_Free CF" xfId="10461"/>
    <cellStyle name="_Revised MOR 2004_II.5. RawMaterials_P&amp;L Rec Qtr" xfId="10462"/>
    <cellStyle name="_Revised MOR 2004_II.5. RawMaterials_Sheet1" xfId="10463"/>
    <cellStyle name="_Revised MOR 2004_II.5. RawMaterials_Sheet2" xfId="10464"/>
    <cellStyle name="_Revised MOR 2004_II.5. RawMaterials_Sheet3" xfId="10465"/>
    <cellStyle name="_Revised MOR 2004_II.5. RawMaterials_Sheet4" xfId="10466"/>
    <cellStyle name="_Revised MOR 2004_II.5. RM Volume Sensitivities" xfId="10467"/>
    <cellStyle name="_Revised MOR 2004_II.5. RM Volume Sensitivities 2" xfId="10468"/>
    <cellStyle name="_Revised MOR 2004_II.5. RM Volume Sensitivities_BS retrieve" xfId="10469"/>
    <cellStyle name="_Revised MOR 2004_II.5. RM Volume Sensitivities_Free CF" xfId="10470"/>
    <cellStyle name="_Revised MOR 2004_II.5. RM Volume Sensitivities_P&amp;L Rec Qtr" xfId="10471"/>
    <cellStyle name="_Revised MOR 2004_II.5. RM Volume Sensitivities_Sheet1" xfId="10472"/>
    <cellStyle name="_Revised MOR 2004_II.5. RM Volume Sensitivities_Sheet2" xfId="10473"/>
    <cellStyle name="_Revised MOR 2004_II.5. RM Volume Sensitivities_Sheet3" xfId="10474"/>
    <cellStyle name="_Revised MOR 2004_II.5. RM Volume Sensitivities_Sheet4" xfId="10475"/>
    <cellStyle name="_Revised MOR 2004_II.8. Sep&amp;Discrete" xfId="10476"/>
    <cellStyle name="_Revised MOR 2004_MOR - BDWY - 1+11" xfId="10477"/>
    <cellStyle name="_Revised MOR 2004_MOR - BDWY - 1+11_~0039877" xfId="10478"/>
    <cellStyle name="_Revised MOR 2004_MOR - BDWY - 1+11_~0039877_BS_Separation_TaxResIndem_Q12412 tf" xfId="10479"/>
    <cellStyle name="_Revised MOR 2004_MOR - BDWY - 1+11_~0039877_BS_Separation_TaxResIndem_Q12412 tf_Restructuring &amp; Separation" xfId="10480"/>
    <cellStyle name="_Revised MOR 2004_MOR - BDWY - 1+11_~0039877_By Country Detail 1Q10 041410pm FIN 18 revised per disc w Mary" xfId="10481"/>
    <cellStyle name="_Revised MOR 2004_MOR - BDWY - 1+11_~0039877_By Country Detail 1Q10 041410pm FIN 18 revised per disc w Mary_BS_Separation_TaxResIndem_Q12412 tf" xfId="10482"/>
    <cellStyle name="_Revised MOR 2004_MOR - BDWY - 1+11_~0039877_By Country Detail 1Q10 041410pm FIN 18 revised per disc w Mary_BS_Separation_TaxResIndem_Q12412 tf_Restructuring &amp; Separation" xfId="10483"/>
    <cellStyle name="_Revised MOR 2004_MOR - BDWY - 1+11_~0039877_By Country Detail 1Q10 041410pm FIN 18 revised per disc w Mary_II.8. Sep&amp;Discrete" xfId="10484"/>
    <cellStyle name="_Revised MOR 2004_MOR - BDWY - 1+11_~0039877_By Country Detail 1Q10 041410pm FIN 18 revised per disc w Mary_Restructuring &amp; Separation" xfId="10485"/>
    <cellStyle name="_Revised MOR 2004_MOR - BDWY - 1+11_~0039877_II.4. RawMaterials" xfId="10486"/>
    <cellStyle name="_Revised MOR 2004_MOR - BDWY - 1+11_~0039877_II.4. RawMaterials 2" xfId="10487"/>
    <cellStyle name="_Revised MOR 2004_MOR - BDWY - 1+11_~0039877_II.4. RawMaterials_BS retrieve" xfId="10488"/>
    <cellStyle name="_Revised MOR 2004_MOR - BDWY - 1+11_~0039877_II.4. RawMaterials_Free CF" xfId="10489"/>
    <cellStyle name="_Revised MOR 2004_MOR - BDWY - 1+11_~0039877_II.4. RawMaterials_P&amp;L Rec Qtr" xfId="10490"/>
    <cellStyle name="_Revised MOR 2004_MOR - BDWY - 1+11_~0039877_II.4. RawMaterials_Sheet1" xfId="10491"/>
    <cellStyle name="_Revised MOR 2004_MOR - BDWY - 1+11_~0039877_II.4. RawMaterials_Sheet2" xfId="10492"/>
    <cellStyle name="_Revised MOR 2004_MOR - BDWY - 1+11_~0039877_II.4. RawMaterials_Sheet3" xfId="10493"/>
    <cellStyle name="_Revised MOR 2004_MOR - BDWY - 1+11_~0039877_II.4. RawMaterials_Sheet4" xfId="10494"/>
    <cellStyle name="_Revised MOR 2004_MOR - BDWY - 1+11_~0039877_II.5. RawMaterials" xfId="10495"/>
    <cellStyle name="_Revised MOR 2004_MOR - BDWY - 1+11_~0039877_II.5. RawMaterials 2" xfId="10496"/>
    <cellStyle name="_Revised MOR 2004_MOR - BDWY - 1+11_~0039877_II.5. RawMaterials_BS retrieve" xfId="10497"/>
    <cellStyle name="_Revised MOR 2004_MOR - BDWY - 1+11_~0039877_II.5. RawMaterials_Free CF" xfId="10498"/>
    <cellStyle name="_Revised MOR 2004_MOR - BDWY - 1+11_~0039877_II.5. RawMaterials_P&amp;L Rec Qtr" xfId="10499"/>
    <cellStyle name="_Revised MOR 2004_MOR - BDWY - 1+11_~0039877_II.5. RawMaterials_Sheet1" xfId="10500"/>
    <cellStyle name="_Revised MOR 2004_MOR - BDWY - 1+11_~0039877_II.5. RawMaterials_Sheet2" xfId="10501"/>
    <cellStyle name="_Revised MOR 2004_MOR - BDWY - 1+11_~0039877_II.5. RawMaterials_Sheet3" xfId="10502"/>
    <cellStyle name="_Revised MOR 2004_MOR - BDWY - 1+11_~0039877_II.5. RawMaterials_Sheet4" xfId="10503"/>
    <cellStyle name="_Revised MOR 2004_MOR - BDWY - 1+11_~0039877_II.5. RM Volume Sensitivities" xfId="10504"/>
    <cellStyle name="_Revised MOR 2004_MOR - BDWY - 1+11_~0039877_II.5. RM Volume Sensitivities 2" xfId="10505"/>
    <cellStyle name="_Revised MOR 2004_MOR - BDWY - 1+11_~0039877_II.5. RM Volume Sensitivities_BS retrieve" xfId="10506"/>
    <cellStyle name="_Revised MOR 2004_MOR - BDWY - 1+11_~0039877_II.5. RM Volume Sensitivities_Free CF" xfId="10507"/>
    <cellStyle name="_Revised MOR 2004_MOR - BDWY - 1+11_~0039877_II.5. RM Volume Sensitivities_P&amp;L Rec Qtr" xfId="10508"/>
    <cellStyle name="_Revised MOR 2004_MOR - BDWY - 1+11_~0039877_II.5. RM Volume Sensitivities_Sheet1" xfId="10509"/>
    <cellStyle name="_Revised MOR 2004_MOR - BDWY - 1+11_~0039877_II.5. RM Volume Sensitivities_Sheet2" xfId="10510"/>
    <cellStyle name="_Revised MOR 2004_MOR - BDWY - 1+11_~0039877_II.5. RM Volume Sensitivities_Sheet3" xfId="10511"/>
    <cellStyle name="_Revised MOR 2004_MOR - BDWY - 1+11_~0039877_II.5. RM Volume Sensitivities_Sheet4" xfId="10512"/>
    <cellStyle name="_Revised MOR 2004_MOR - BDWY - 1+11_~0039877_II.8. Sep&amp;Discrete" xfId="10513"/>
    <cellStyle name="_Revised MOR 2004_MOR - BDWY - 1+11_~0039877_Restructuring &amp; Separation" xfId="10514"/>
    <cellStyle name="_Revised MOR 2004_MOR - BDWY - 1+11_~0039877_Restructuring_Separation_TAX_JuneFC2010 tf" xfId="10515"/>
    <cellStyle name="_Revised MOR 2004_MOR - BDWY - 1+11_~0039877_Restructuring_Separation_TAX_JuneFC2010 tf_BS_Separation_TaxResIndem_Q12412 tf" xfId="10516"/>
    <cellStyle name="_Revised MOR 2004_MOR - BDWY - 1+11_~0039877_Restructuring_Separation_TAX_JuneFC2010 tf_BS_Separation_TaxResIndem_Q12412 tf_Restructuring &amp; Separation" xfId="10517"/>
    <cellStyle name="_Revised MOR 2004_MOR - BDWY - 1+11_~0039877_Restructuring_Separation_TAX_JuneFC2010 tf_II.8. Sep&amp;Discrete" xfId="10518"/>
    <cellStyle name="_Revised MOR 2004_MOR - BDWY - 1+11_~0039877_Restructuring_Separation_TAX_JuneFC2010 tf_Restructuring &amp; Separation" xfId="10519"/>
    <cellStyle name="_Revised MOR 2004_MOR - BDWY - 1+11_BS_Separation_TaxResIndem_Q12412 tf" xfId="10520"/>
    <cellStyle name="_Revised MOR 2004_MOR - BDWY - 1+11_BS_Separation_TaxResIndem_Q12412 tf_Restructuring &amp; Separation" xfId="10521"/>
    <cellStyle name="_Revised MOR 2004_MOR - BDWY - 1+11_By Country Detail 1Q10 041410pm FIN 18 revised per disc w Mary" xfId="10522"/>
    <cellStyle name="_Revised MOR 2004_MOR - BDWY - 1+11_By Country Detail 1Q10 041410pm FIN 18 revised per disc w Mary_BS_Separation_TaxResIndem_Q12412 tf" xfId="10523"/>
    <cellStyle name="_Revised MOR 2004_MOR - BDWY - 1+11_By Country Detail 1Q10 041410pm FIN 18 revised per disc w Mary_BS_Separation_TaxResIndem_Q12412 tf_Restructuring &amp; Separation" xfId="10524"/>
    <cellStyle name="_Revised MOR 2004_MOR - BDWY - 1+11_By Country Detail 1Q10 041410pm FIN 18 revised per disc w Mary_II.8. Sep&amp;Discrete" xfId="10525"/>
    <cellStyle name="_Revised MOR 2004_MOR - BDWY - 1+11_By Country Detail 1Q10 041410pm FIN 18 revised per disc w Mary_Restructuring &amp; Separation" xfId="10526"/>
    <cellStyle name="_Revised MOR 2004_MOR - BDWY - 1+11_II.4. RawMaterials" xfId="10527"/>
    <cellStyle name="_Revised MOR 2004_MOR - BDWY - 1+11_II.4. RawMaterials 2" xfId="10528"/>
    <cellStyle name="_Revised MOR 2004_MOR - BDWY - 1+11_II.4. RawMaterials_BS retrieve" xfId="10529"/>
    <cellStyle name="_Revised MOR 2004_MOR - BDWY - 1+11_II.4. RawMaterials_Free CF" xfId="10530"/>
    <cellStyle name="_Revised MOR 2004_MOR - BDWY - 1+11_II.4. RawMaterials_P&amp;L Rec Qtr" xfId="10531"/>
    <cellStyle name="_Revised MOR 2004_MOR - BDWY - 1+11_II.4. RawMaterials_Sheet1" xfId="10532"/>
    <cellStyle name="_Revised MOR 2004_MOR - BDWY - 1+11_II.4. RawMaterials_Sheet2" xfId="10533"/>
    <cellStyle name="_Revised MOR 2004_MOR - BDWY - 1+11_II.4. RawMaterials_Sheet3" xfId="10534"/>
    <cellStyle name="_Revised MOR 2004_MOR - BDWY - 1+11_II.4. RawMaterials_Sheet4" xfId="10535"/>
    <cellStyle name="_Revised MOR 2004_MOR - BDWY - 1+11_II.5. RawMaterials" xfId="10536"/>
    <cellStyle name="_Revised MOR 2004_MOR - BDWY - 1+11_II.5. RawMaterials 2" xfId="10537"/>
    <cellStyle name="_Revised MOR 2004_MOR - BDWY - 1+11_II.5. RawMaterials_BS retrieve" xfId="10538"/>
    <cellStyle name="_Revised MOR 2004_MOR - BDWY - 1+11_II.5. RawMaterials_Free CF" xfId="10539"/>
    <cellStyle name="_Revised MOR 2004_MOR - BDWY - 1+11_II.5. RawMaterials_P&amp;L Rec Qtr" xfId="10540"/>
    <cellStyle name="_Revised MOR 2004_MOR - BDWY - 1+11_II.5. RawMaterials_Sheet1" xfId="10541"/>
    <cellStyle name="_Revised MOR 2004_MOR - BDWY - 1+11_II.5. RawMaterials_Sheet2" xfId="10542"/>
    <cellStyle name="_Revised MOR 2004_MOR - BDWY - 1+11_II.5. RawMaterials_Sheet3" xfId="10543"/>
    <cellStyle name="_Revised MOR 2004_MOR - BDWY - 1+11_II.5. RawMaterials_Sheet4" xfId="10544"/>
    <cellStyle name="_Revised MOR 2004_MOR - BDWY - 1+11_II.5. RM Volume Sensitivities" xfId="10545"/>
    <cellStyle name="_Revised MOR 2004_MOR - BDWY - 1+11_II.5. RM Volume Sensitivities 2" xfId="10546"/>
    <cellStyle name="_Revised MOR 2004_MOR - BDWY - 1+11_II.5. RM Volume Sensitivities_BS retrieve" xfId="10547"/>
    <cellStyle name="_Revised MOR 2004_MOR - BDWY - 1+11_II.5. RM Volume Sensitivities_Free CF" xfId="10548"/>
    <cellStyle name="_Revised MOR 2004_MOR - BDWY - 1+11_II.5. RM Volume Sensitivities_P&amp;L Rec Qtr" xfId="10549"/>
    <cellStyle name="_Revised MOR 2004_MOR - BDWY - 1+11_II.5. RM Volume Sensitivities_Sheet1" xfId="10550"/>
    <cellStyle name="_Revised MOR 2004_MOR - BDWY - 1+11_II.5. RM Volume Sensitivities_Sheet2" xfId="10551"/>
    <cellStyle name="_Revised MOR 2004_MOR - BDWY - 1+11_II.5. RM Volume Sensitivities_Sheet3" xfId="10552"/>
    <cellStyle name="_Revised MOR 2004_MOR - BDWY - 1+11_II.5. RM Volume Sensitivities_Sheet4" xfId="10553"/>
    <cellStyle name="_Revised MOR 2004_MOR - BDWY - 1+11_II.8. Sep&amp;Discrete" xfId="10554"/>
    <cellStyle name="_Revised MOR 2004_MOR - BDWY - 1+11_MOR - Australia -  EC - 1+11" xfId="10555"/>
    <cellStyle name="_Revised MOR 2004_MOR - BDWY - 1+11_MOR - Australia -  EC - 1+11_BS_Separation_TaxResIndem_Q12412 tf" xfId="10556"/>
    <cellStyle name="_Revised MOR 2004_MOR - BDWY - 1+11_MOR - Australia -  EC - 1+11_BS_Separation_TaxResIndem_Q12412 tf_Restructuring &amp; Separation" xfId="10557"/>
    <cellStyle name="_Revised MOR 2004_MOR - BDWY - 1+11_MOR - Australia -  EC - 1+11_By Country Detail 1Q10 041410pm FIN 18 revised per disc w Mary" xfId="10558"/>
    <cellStyle name="_Revised MOR 2004_MOR - BDWY - 1+11_MOR - Australia -  EC - 1+11_By Country Detail 1Q10 041410pm FIN 18 revised per disc w Mary_BS_Separation_TaxResIndem_Q12412 tf" xfId="10559"/>
    <cellStyle name="_Revised MOR 2004_MOR - BDWY - 1+11_MOR - Australia -  EC - 1+11_By Country Detail 1Q10 041410pm FIN 18 revised per disc w Mary_BS_Separation_TaxResIndem_Q12412 tf_Restructuring &amp; Separation" xfId="10560"/>
    <cellStyle name="_Revised MOR 2004_MOR - BDWY - 1+11_MOR - Australia -  EC - 1+11_By Country Detail 1Q10 041410pm FIN 18 revised per disc w Mary_II.8. Sep&amp;Discrete" xfId="10561"/>
    <cellStyle name="_Revised MOR 2004_MOR - BDWY - 1+11_MOR - Australia -  EC - 1+11_By Country Detail 1Q10 041410pm FIN 18 revised per disc w Mary_Restructuring &amp; Separation" xfId="10562"/>
    <cellStyle name="_Revised MOR 2004_MOR - BDWY - 1+11_MOR - Australia -  EC - 1+11_II.4. RawMaterials" xfId="10563"/>
    <cellStyle name="_Revised MOR 2004_MOR - BDWY - 1+11_MOR - Australia -  EC - 1+11_II.4. RawMaterials 2" xfId="10564"/>
    <cellStyle name="_Revised MOR 2004_MOR - BDWY - 1+11_MOR - Australia -  EC - 1+11_II.4. RawMaterials_BS retrieve" xfId="10565"/>
    <cellStyle name="_Revised MOR 2004_MOR - BDWY - 1+11_MOR - Australia -  EC - 1+11_II.4. RawMaterials_Free CF" xfId="10566"/>
    <cellStyle name="_Revised MOR 2004_MOR - BDWY - 1+11_MOR - Australia -  EC - 1+11_II.4. RawMaterials_P&amp;L Rec Qtr" xfId="10567"/>
    <cellStyle name="_Revised MOR 2004_MOR - BDWY - 1+11_MOR - Australia -  EC - 1+11_II.4. RawMaterials_Sheet1" xfId="10568"/>
    <cellStyle name="_Revised MOR 2004_MOR - BDWY - 1+11_MOR - Australia -  EC - 1+11_II.4. RawMaterials_Sheet2" xfId="10569"/>
    <cellStyle name="_Revised MOR 2004_MOR - BDWY - 1+11_MOR - Australia -  EC - 1+11_II.4. RawMaterials_Sheet3" xfId="10570"/>
    <cellStyle name="_Revised MOR 2004_MOR - BDWY - 1+11_MOR - Australia -  EC - 1+11_II.4. RawMaterials_Sheet4" xfId="10571"/>
    <cellStyle name="_Revised MOR 2004_MOR - BDWY - 1+11_MOR - Australia -  EC - 1+11_II.5. RawMaterials" xfId="10572"/>
    <cellStyle name="_Revised MOR 2004_MOR - BDWY - 1+11_MOR - Australia -  EC - 1+11_II.5. RawMaterials 2" xfId="10573"/>
    <cellStyle name="_Revised MOR 2004_MOR - BDWY - 1+11_MOR - Australia -  EC - 1+11_II.5. RawMaterials_BS retrieve" xfId="10574"/>
    <cellStyle name="_Revised MOR 2004_MOR - BDWY - 1+11_MOR - Australia -  EC - 1+11_II.5. RawMaterials_Free CF" xfId="10575"/>
    <cellStyle name="_Revised MOR 2004_MOR - BDWY - 1+11_MOR - Australia -  EC - 1+11_II.5. RawMaterials_P&amp;L Rec Qtr" xfId="10576"/>
    <cellStyle name="_Revised MOR 2004_MOR - BDWY - 1+11_MOR - Australia -  EC - 1+11_II.5. RawMaterials_Sheet1" xfId="10577"/>
    <cellStyle name="_Revised MOR 2004_MOR - BDWY - 1+11_MOR - Australia -  EC - 1+11_II.5. RawMaterials_Sheet2" xfId="10578"/>
    <cellStyle name="_Revised MOR 2004_MOR - BDWY - 1+11_MOR - Australia -  EC - 1+11_II.5. RawMaterials_Sheet3" xfId="10579"/>
    <cellStyle name="_Revised MOR 2004_MOR - BDWY - 1+11_MOR - Australia -  EC - 1+11_II.5. RawMaterials_Sheet4" xfId="10580"/>
    <cellStyle name="_Revised MOR 2004_MOR - BDWY - 1+11_MOR - Australia -  EC - 1+11_II.5. RM Volume Sensitivities" xfId="10581"/>
    <cellStyle name="_Revised MOR 2004_MOR - BDWY - 1+11_MOR - Australia -  EC - 1+11_II.5. RM Volume Sensitivities 2" xfId="10582"/>
    <cellStyle name="_Revised MOR 2004_MOR - BDWY - 1+11_MOR - Australia -  EC - 1+11_II.5. RM Volume Sensitivities_BS retrieve" xfId="10583"/>
    <cellStyle name="_Revised MOR 2004_MOR - BDWY - 1+11_MOR - Australia -  EC - 1+11_II.5. RM Volume Sensitivities_Free CF" xfId="10584"/>
    <cellStyle name="_Revised MOR 2004_MOR - BDWY - 1+11_MOR - Australia -  EC - 1+11_II.5. RM Volume Sensitivities_P&amp;L Rec Qtr" xfId="10585"/>
    <cellStyle name="_Revised MOR 2004_MOR - BDWY - 1+11_MOR - Australia -  EC - 1+11_II.5. RM Volume Sensitivities_Sheet1" xfId="10586"/>
    <cellStyle name="_Revised MOR 2004_MOR - BDWY - 1+11_MOR - Australia -  EC - 1+11_II.5. RM Volume Sensitivities_Sheet2" xfId="10587"/>
    <cellStyle name="_Revised MOR 2004_MOR - BDWY - 1+11_MOR - Australia -  EC - 1+11_II.5. RM Volume Sensitivities_Sheet3" xfId="10588"/>
    <cellStyle name="_Revised MOR 2004_MOR - BDWY - 1+11_MOR - Australia -  EC - 1+11_II.5. RM Volume Sensitivities_Sheet4" xfId="10589"/>
    <cellStyle name="_Revised MOR 2004_MOR - BDWY - 1+11_MOR - Australia -  EC - 1+11_II.8. Sep&amp;Discrete" xfId="10590"/>
    <cellStyle name="_Revised MOR 2004_MOR - BDWY - 1+11_MOR - Australia -  EC - 1+11_Restructuring &amp; Separation" xfId="10591"/>
    <cellStyle name="_Revised MOR 2004_MOR - BDWY - 1+11_MOR - Australia -  EC - 1+11_Restructuring_Separation_TAX_JuneFC2010 tf" xfId="10592"/>
    <cellStyle name="_Revised MOR 2004_MOR - BDWY - 1+11_MOR - Australia -  EC - 1+11_Restructuring_Separation_TAX_JuneFC2010 tf_BS_Separation_TaxResIndem_Q12412 tf" xfId="10593"/>
    <cellStyle name="_Revised MOR 2004_MOR - BDWY - 1+11_MOR - Australia -  EC - 1+11_Restructuring_Separation_TAX_JuneFC2010 tf_BS_Separation_TaxResIndem_Q12412 tf_Restructuring &amp; Separation" xfId="10594"/>
    <cellStyle name="_Revised MOR 2004_MOR - BDWY - 1+11_MOR - Australia -  EC - 1+11_Restructuring_Separation_TAX_JuneFC2010 tf_II.8. Sep&amp;Discrete" xfId="10595"/>
    <cellStyle name="_Revised MOR 2004_MOR - BDWY - 1+11_MOR - Australia -  EC - 1+11_Restructuring_Separation_TAX_JuneFC2010 tf_Restructuring &amp; Separation" xfId="10596"/>
    <cellStyle name="_Revised MOR 2004_MOR - BDWY - 1+11_MOR - Australia -  EC - 2+10" xfId="10597"/>
    <cellStyle name="_Revised MOR 2004_MOR - BDWY - 1+11_MOR - Australia -  EC - 2+10_BS_Separation_TaxResIndem_Q12412 tf" xfId="10598"/>
    <cellStyle name="_Revised MOR 2004_MOR - BDWY - 1+11_MOR - Australia -  EC - 2+10_BS_Separation_TaxResIndem_Q12412 tf_Restructuring &amp; Separation" xfId="10599"/>
    <cellStyle name="_Revised MOR 2004_MOR - BDWY - 1+11_MOR - Australia -  EC - 2+10_By Country Detail 1Q10 041410pm FIN 18 revised per disc w Mary" xfId="10600"/>
    <cellStyle name="_Revised MOR 2004_MOR - BDWY - 1+11_MOR - Australia -  EC - 2+10_By Country Detail 1Q10 041410pm FIN 18 revised per disc w Mary_BS_Separation_TaxResIndem_Q12412 tf" xfId="10601"/>
    <cellStyle name="_Revised MOR 2004_MOR - BDWY - 1+11_MOR - Australia -  EC - 2+10_By Country Detail 1Q10 041410pm FIN 18 revised per disc w Mary_BS_Separation_TaxResIndem_Q12412 tf_Restructuring &amp; Separation" xfId="10602"/>
    <cellStyle name="_Revised MOR 2004_MOR - BDWY - 1+11_MOR - Australia -  EC - 2+10_By Country Detail 1Q10 041410pm FIN 18 revised per disc w Mary_II.8. Sep&amp;Discrete" xfId="10603"/>
    <cellStyle name="_Revised MOR 2004_MOR - BDWY - 1+11_MOR - Australia -  EC - 2+10_By Country Detail 1Q10 041410pm FIN 18 revised per disc w Mary_Restructuring &amp; Separation" xfId="10604"/>
    <cellStyle name="_Revised MOR 2004_MOR - BDWY - 1+11_MOR - Australia -  EC - 2+10_II.4. RawMaterials" xfId="10605"/>
    <cellStyle name="_Revised MOR 2004_MOR - BDWY - 1+11_MOR - Australia -  EC - 2+10_II.4. RawMaterials 2" xfId="10606"/>
    <cellStyle name="_Revised MOR 2004_MOR - BDWY - 1+11_MOR - Australia -  EC - 2+10_II.4. RawMaterials_BS retrieve" xfId="10607"/>
    <cellStyle name="_Revised MOR 2004_MOR - BDWY - 1+11_MOR - Australia -  EC - 2+10_II.4. RawMaterials_Free CF" xfId="10608"/>
    <cellStyle name="_Revised MOR 2004_MOR - BDWY - 1+11_MOR - Australia -  EC - 2+10_II.4. RawMaterials_P&amp;L Rec Qtr" xfId="10609"/>
    <cellStyle name="_Revised MOR 2004_MOR - BDWY - 1+11_MOR - Australia -  EC - 2+10_II.4. RawMaterials_Sheet1" xfId="10610"/>
    <cellStyle name="_Revised MOR 2004_MOR - BDWY - 1+11_MOR - Australia -  EC - 2+10_II.4. RawMaterials_Sheet2" xfId="10611"/>
    <cellStyle name="_Revised MOR 2004_MOR - BDWY - 1+11_MOR - Australia -  EC - 2+10_II.4. RawMaterials_Sheet3" xfId="10612"/>
    <cellStyle name="_Revised MOR 2004_MOR - BDWY - 1+11_MOR - Australia -  EC - 2+10_II.4. RawMaterials_Sheet4" xfId="10613"/>
    <cellStyle name="_Revised MOR 2004_MOR - BDWY - 1+11_MOR - Australia -  EC - 2+10_II.5. RawMaterials" xfId="10614"/>
    <cellStyle name="_Revised MOR 2004_MOR - BDWY - 1+11_MOR - Australia -  EC - 2+10_II.5. RawMaterials 2" xfId="10615"/>
    <cellStyle name="_Revised MOR 2004_MOR - BDWY - 1+11_MOR - Australia -  EC - 2+10_II.5. RawMaterials_BS retrieve" xfId="10616"/>
    <cellStyle name="_Revised MOR 2004_MOR - BDWY - 1+11_MOR - Australia -  EC - 2+10_II.5. RawMaterials_Free CF" xfId="10617"/>
    <cellStyle name="_Revised MOR 2004_MOR - BDWY - 1+11_MOR - Australia -  EC - 2+10_II.5. RawMaterials_P&amp;L Rec Qtr" xfId="10618"/>
    <cellStyle name="_Revised MOR 2004_MOR - BDWY - 1+11_MOR - Australia -  EC - 2+10_II.5. RawMaterials_Sheet1" xfId="10619"/>
    <cellStyle name="_Revised MOR 2004_MOR - BDWY - 1+11_MOR - Australia -  EC - 2+10_II.5. RawMaterials_Sheet2" xfId="10620"/>
    <cellStyle name="_Revised MOR 2004_MOR - BDWY - 1+11_MOR - Australia -  EC - 2+10_II.5. RawMaterials_Sheet3" xfId="10621"/>
    <cellStyle name="_Revised MOR 2004_MOR - BDWY - 1+11_MOR - Australia -  EC - 2+10_II.5. RawMaterials_Sheet4" xfId="10622"/>
    <cellStyle name="_Revised MOR 2004_MOR - BDWY - 1+11_MOR - Australia -  EC - 2+10_II.5. RM Volume Sensitivities" xfId="10623"/>
    <cellStyle name="_Revised MOR 2004_MOR - BDWY - 1+11_MOR - Australia -  EC - 2+10_II.5. RM Volume Sensitivities 2" xfId="10624"/>
    <cellStyle name="_Revised MOR 2004_MOR - BDWY - 1+11_MOR - Australia -  EC - 2+10_II.5. RM Volume Sensitivities_BS retrieve" xfId="10625"/>
    <cellStyle name="_Revised MOR 2004_MOR - BDWY - 1+11_MOR - Australia -  EC - 2+10_II.5. RM Volume Sensitivities_Free CF" xfId="10626"/>
    <cellStyle name="_Revised MOR 2004_MOR - BDWY - 1+11_MOR - Australia -  EC - 2+10_II.5. RM Volume Sensitivities_P&amp;L Rec Qtr" xfId="10627"/>
    <cellStyle name="_Revised MOR 2004_MOR - BDWY - 1+11_MOR - Australia -  EC - 2+10_II.5. RM Volume Sensitivities_Sheet1" xfId="10628"/>
    <cellStyle name="_Revised MOR 2004_MOR - BDWY - 1+11_MOR - Australia -  EC - 2+10_II.5. RM Volume Sensitivities_Sheet2" xfId="10629"/>
    <cellStyle name="_Revised MOR 2004_MOR - BDWY - 1+11_MOR - Australia -  EC - 2+10_II.5. RM Volume Sensitivities_Sheet3" xfId="10630"/>
    <cellStyle name="_Revised MOR 2004_MOR - BDWY - 1+11_MOR - Australia -  EC - 2+10_II.5. RM Volume Sensitivities_Sheet4" xfId="10631"/>
    <cellStyle name="_Revised MOR 2004_MOR - BDWY - 1+11_MOR - Australia -  EC - 2+10_II.8. Sep&amp;Discrete" xfId="10632"/>
    <cellStyle name="_Revised MOR 2004_MOR - BDWY - 1+11_MOR - Australia -  EC - 2+10_Restructuring &amp; Separation" xfId="10633"/>
    <cellStyle name="_Revised MOR 2004_MOR - BDWY - 1+11_MOR - Australia -  EC - 2+10_Restructuring_Separation_TAX_JuneFC2010 tf" xfId="10634"/>
    <cellStyle name="_Revised MOR 2004_MOR - BDWY - 1+11_MOR - Australia -  EC - 2+10_Restructuring_Separation_TAX_JuneFC2010 tf_BS_Separation_TaxResIndem_Q12412 tf" xfId="10635"/>
    <cellStyle name="_Revised MOR 2004_MOR - BDWY - 1+11_MOR - Australia -  EC - 2+10_Restructuring_Separation_TAX_JuneFC2010 tf_BS_Separation_TaxResIndem_Q12412 tf_Restructuring &amp; Separation" xfId="10636"/>
    <cellStyle name="_Revised MOR 2004_MOR - BDWY - 1+11_MOR - Australia -  EC - 2+10_Restructuring_Separation_TAX_JuneFC2010 tf_II.8. Sep&amp;Discrete" xfId="10637"/>
    <cellStyle name="_Revised MOR 2004_MOR - BDWY - 1+11_MOR - Australia -  EC - 2+10_Restructuring_Separation_TAX_JuneFC2010 tf_Restructuring &amp; Separation" xfId="10638"/>
    <cellStyle name="_Revised MOR 2004_MOR - BDWY - 1+11_MOR - Australia -  EC - 3+9" xfId="10639"/>
    <cellStyle name="_Revised MOR 2004_MOR - BDWY - 1+11_MOR - Australia -  EC - 3+9_BS_Separation_TaxResIndem_Q12412 tf" xfId="10640"/>
    <cellStyle name="_Revised MOR 2004_MOR - BDWY - 1+11_MOR - Australia -  EC - 3+9_BS_Separation_TaxResIndem_Q12412 tf_Restructuring &amp; Separation" xfId="10641"/>
    <cellStyle name="_Revised MOR 2004_MOR - BDWY - 1+11_MOR - Australia -  EC - 3+9_By Country Detail 1Q10 041410pm FIN 18 revised per disc w Mary" xfId="10642"/>
    <cellStyle name="_Revised MOR 2004_MOR - BDWY - 1+11_MOR - Australia -  EC - 3+9_By Country Detail 1Q10 041410pm FIN 18 revised per disc w Mary_BS_Separation_TaxResIndem_Q12412 tf" xfId="10643"/>
    <cellStyle name="_Revised MOR 2004_MOR - BDWY - 1+11_MOR - Australia -  EC - 3+9_By Country Detail 1Q10 041410pm FIN 18 revised per disc w Mary_BS_Separation_TaxResIndem_Q12412 tf_Restructuring &amp; Separation" xfId="10644"/>
    <cellStyle name="_Revised MOR 2004_MOR - BDWY - 1+11_MOR - Australia -  EC - 3+9_By Country Detail 1Q10 041410pm FIN 18 revised per disc w Mary_II.8. Sep&amp;Discrete" xfId="10645"/>
    <cellStyle name="_Revised MOR 2004_MOR - BDWY - 1+11_MOR - Australia -  EC - 3+9_By Country Detail 1Q10 041410pm FIN 18 revised per disc w Mary_Restructuring &amp; Separation" xfId="10646"/>
    <cellStyle name="_Revised MOR 2004_MOR - BDWY - 1+11_MOR - Australia -  EC - 3+9_II.4. RawMaterials" xfId="10647"/>
    <cellStyle name="_Revised MOR 2004_MOR - BDWY - 1+11_MOR - Australia -  EC - 3+9_II.4. RawMaterials 2" xfId="10648"/>
    <cellStyle name="_Revised MOR 2004_MOR - BDWY - 1+11_MOR - Australia -  EC - 3+9_II.4. RawMaterials_BS retrieve" xfId="10649"/>
    <cellStyle name="_Revised MOR 2004_MOR - BDWY - 1+11_MOR - Australia -  EC - 3+9_II.4. RawMaterials_Free CF" xfId="10650"/>
    <cellStyle name="_Revised MOR 2004_MOR - BDWY - 1+11_MOR - Australia -  EC - 3+9_II.4. RawMaterials_P&amp;L Rec Qtr" xfId="10651"/>
    <cellStyle name="_Revised MOR 2004_MOR - BDWY - 1+11_MOR - Australia -  EC - 3+9_II.4. RawMaterials_Sheet1" xfId="10652"/>
    <cellStyle name="_Revised MOR 2004_MOR - BDWY - 1+11_MOR - Australia -  EC - 3+9_II.4. RawMaterials_Sheet2" xfId="10653"/>
    <cellStyle name="_Revised MOR 2004_MOR - BDWY - 1+11_MOR - Australia -  EC - 3+9_II.4. RawMaterials_Sheet3" xfId="10654"/>
    <cellStyle name="_Revised MOR 2004_MOR - BDWY - 1+11_MOR - Australia -  EC - 3+9_II.4. RawMaterials_Sheet4" xfId="10655"/>
    <cellStyle name="_Revised MOR 2004_MOR - BDWY - 1+11_MOR - Australia -  EC - 3+9_II.5. RawMaterials" xfId="10656"/>
    <cellStyle name="_Revised MOR 2004_MOR - BDWY - 1+11_MOR - Australia -  EC - 3+9_II.5. RawMaterials 2" xfId="10657"/>
    <cellStyle name="_Revised MOR 2004_MOR - BDWY - 1+11_MOR - Australia -  EC - 3+9_II.5. RawMaterials_BS retrieve" xfId="10658"/>
    <cellStyle name="_Revised MOR 2004_MOR - BDWY - 1+11_MOR - Australia -  EC - 3+9_II.5. RawMaterials_Free CF" xfId="10659"/>
    <cellStyle name="_Revised MOR 2004_MOR - BDWY - 1+11_MOR - Australia -  EC - 3+9_II.5. RawMaterials_P&amp;L Rec Qtr" xfId="10660"/>
    <cellStyle name="_Revised MOR 2004_MOR - BDWY - 1+11_MOR - Australia -  EC - 3+9_II.5. RawMaterials_Sheet1" xfId="10661"/>
    <cellStyle name="_Revised MOR 2004_MOR - BDWY - 1+11_MOR - Australia -  EC - 3+9_II.5. RawMaterials_Sheet2" xfId="10662"/>
    <cellStyle name="_Revised MOR 2004_MOR - BDWY - 1+11_MOR - Australia -  EC - 3+9_II.5. RawMaterials_Sheet3" xfId="10663"/>
    <cellStyle name="_Revised MOR 2004_MOR - BDWY - 1+11_MOR - Australia -  EC - 3+9_II.5. RawMaterials_Sheet4" xfId="10664"/>
    <cellStyle name="_Revised MOR 2004_MOR - BDWY - 1+11_MOR - Australia -  EC - 3+9_II.5. RM Volume Sensitivities" xfId="10665"/>
    <cellStyle name="_Revised MOR 2004_MOR - BDWY - 1+11_MOR - Australia -  EC - 3+9_II.5. RM Volume Sensitivities 2" xfId="10666"/>
    <cellStyle name="_Revised MOR 2004_MOR - BDWY - 1+11_MOR - Australia -  EC - 3+9_II.5. RM Volume Sensitivities_BS retrieve" xfId="10667"/>
    <cellStyle name="_Revised MOR 2004_MOR - BDWY - 1+11_MOR - Australia -  EC - 3+9_II.5. RM Volume Sensitivities_Free CF" xfId="10668"/>
    <cellStyle name="_Revised MOR 2004_MOR - BDWY - 1+11_MOR - Australia -  EC - 3+9_II.5. RM Volume Sensitivities_P&amp;L Rec Qtr" xfId="10669"/>
    <cellStyle name="_Revised MOR 2004_MOR - BDWY - 1+11_MOR - Australia -  EC - 3+9_II.5. RM Volume Sensitivities_Sheet1" xfId="10670"/>
    <cellStyle name="_Revised MOR 2004_MOR - BDWY - 1+11_MOR - Australia -  EC - 3+9_II.5. RM Volume Sensitivities_Sheet2" xfId="10671"/>
    <cellStyle name="_Revised MOR 2004_MOR - BDWY - 1+11_MOR - Australia -  EC - 3+9_II.5. RM Volume Sensitivities_Sheet3" xfId="10672"/>
    <cellStyle name="_Revised MOR 2004_MOR - BDWY - 1+11_MOR - Australia -  EC - 3+9_II.5. RM Volume Sensitivities_Sheet4" xfId="10673"/>
    <cellStyle name="_Revised MOR 2004_MOR - BDWY - 1+11_MOR - Australia -  EC - 3+9_II.8. Sep&amp;Discrete" xfId="10674"/>
    <cellStyle name="_Revised MOR 2004_MOR - BDWY - 1+11_MOR - Australia -  EC - 3+9_Restructuring &amp; Separation" xfId="10675"/>
    <cellStyle name="_Revised MOR 2004_MOR - BDWY - 1+11_MOR - Australia -  EC - 3+9_Restructuring_Separation_TAX_JuneFC2010 tf" xfId="10676"/>
    <cellStyle name="_Revised MOR 2004_MOR - BDWY - 1+11_MOR - Australia -  EC - 3+9_Restructuring_Separation_TAX_JuneFC2010 tf_BS_Separation_TaxResIndem_Q12412 tf" xfId="10677"/>
    <cellStyle name="_Revised MOR 2004_MOR - BDWY - 1+11_MOR - Australia -  EC - 3+9_Restructuring_Separation_TAX_JuneFC2010 tf_BS_Separation_TaxResIndem_Q12412 tf_Restructuring &amp; Separation" xfId="10678"/>
    <cellStyle name="_Revised MOR 2004_MOR - BDWY - 1+11_MOR - Australia -  EC - 3+9_Restructuring_Separation_TAX_JuneFC2010 tf_II.8. Sep&amp;Discrete" xfId="10679"/>
    <cellStyle name="_Revised MOR 2004_MOR - BDWY - 1+11_MOR - Australia -  EC - 3+9_Restructuring_Separation_TAX_JuneFC2010 tf_Restructuring &amp; Separation" xfId="10680"/>
    <cellStyle name="_Revised MOR 2004_MOR - BDWY - 1+11_MOR - Australia -  EC - 4+8" xfId="10681"/>
    <cellStyle name="_Revised MOR 2004_MOR - BDWY - 1+11_MOR - Australia -  EC - 4+8_BS_Separation_TaxResIndem_Q12412 tf" xfId="10682"/>
    <cellStyle name="_Revised MOR 2004_MOR - BDWY - 1+11_MOR - Australia -  EC - 4+8_BS_Separation_TaxResIndem_Q12412 tf_Restructuring &amp; Separation" xfId="10683"/>
    <cellStyle name="_Revised MOR 2004_MOR - BDWY - 1+11_MOR - Australia -  EC - 4+8_By Country Detail 1Q10 041410pm FIN 18 revised per disc w Mary" xfId="10684"/>
    <cellStyle name="_Revised MOR 2004_MOR - BDWY - 1+11_MOR - Australia -  EC - 4+8_By Country Detail 1Q10 041410pm FIN 18 revised per disc w Mary_BS_Separation_TaxResIndem_Q12412 tf" xfId="10685"/>
    <cellStyle name="_Revised MOR 2004_MOR - BDWY - 1+11_MOR - Australia -  EC - 4+8_By Country Detail 1Q10 041410pm FIN 18 revised per disc w Mary_BS_Separation_TaxResIndem_Q12412 tf_Restructuring &amp; Separation" xfId="10686"/>
    <cellStyle name="_Revised MOR 2004_MOR - BDWY - 1+11_MOR - Australia -  EC - 4+8_By Country Detail 1Q10 041410pm FIN 18 revised per disc w Mary_II.8. Sep&amp;Discrete" xfId="10687"/>
    <cellStyle name="_Revised MOR 2004_MOR - BDWY - 1+11_MOR - Australia -  EC - 4+8_By Country Detail 1Q10 041410pm FIN 18 revised per disc w Mary_Restructuring &amp; Separation" xfId="10688"/>
    <cellStyle name="_Revised MOR 2004_MOR - BDWY - 1+11_MOR - Australia -  EC - 4+8_II.4. RawMaterials" xfId="10689"/>
    <cellStyle name="_Revised MOR 2004_MOR - BDWY - 1+11_MOR - Australia -  EC - 4+8_II.4. RawMaterials 2" xfId="10690"/>
    <cellStyle name="_Revised MOR 2004_MOR - BDWY - 1+11_MOR - Australia -  EC - 4+8_II.4. RawMaterials_BS retrieve" xfId="10691"/>
    <cellStyle name="_Revised MOR 2004_MOR - BDWY - 1+11_MOR - Australia -  EC - 4+8_II.4. RawMaterials_Free CF" xfId="10692"/>
    <cellStyle name="_Revised MOR 2004_MOR - BDWY - 1+11_MOR - Australia -  EC - 4+8_II.4. RawMaterials_P&amp;L Rec Qtr" xfId="10693"/>
    <cellStyle name="_Revised MOR 2004_MOR - BDWY - 1+11_MOR - Australia -  EC - 4+8_II.4. RawMaterials_Sheet1" xfId="10694"/>
    <cellStyle name="_Revised MOR 2004_MOR - BDWY - 1+11_MOR - Australia -  EC - 4+8_II.4. RawMaterials_Sheet2" xfId="10695"/>
    <cellStyle name="_Revised MOR 2004_MOR - BDWY - 1+11_MOR - Australia -  EC - 4+8_II.4. RawMaterials_Sheet3" xfId="10696"/>
    <cellStyle name="_Revised MOR 2004_MOR - BDWY - 1+11_MOR - Australia -  EC - 4+8_II.4. RawMaterials_Sheet4" xfId="10697"/>
    <cellStyle name="_Revised MOR 2004_MOR - BDWY - 1+11_MOR - Australia -  EC - 4+8_II.5. RawMaterials" xfId="10698"/>
    <cellStyle name="_Revised MOR 2004_MOR - BDWY - 1+11_MOR - Australia -  EC - 4+8_II.5. RawMaterials 2" xfId="10699"/>
    <cellStyle name="_Revised MOR 2004_MOR - BDWY - 1+11_MOR - Australia -  EC - 4+8_II.5. RawMaterials_BS retrieve" xfId="10700"/>
    <cellStyle name="_Revised MOR 2004_MOR - BDWY - 1+11_MOR - Australia -  EC - 4+8_II.5. RawMaterials_Free CF" xfId="10701"/>
    <cellStyle name="_Revised MOR 2004_MOR - BDWY - 1+11_MOR - Australia -  EC - 4+8_II.5. RawMaterials_P&amp;L Rec Qtr" xfId="10702"/>
    <cellStyle name="_Revised MOR 2004_MOR - BDWY - 1+11_MOR - Australia -  EC - 4+8_II.5. RawMaterials_Sheet1" xfId="10703"/>
    <cellStyle name="_Revised MOR 2004_MOR - BDWY - 1+11_MOR - Australia -  EC - 4+8_II.5. RawMaterials_Sheet2" xfId="10704"/>
    <cellStyle name="_Revised MOR 2004_MOR - BDWY - 1+11_MOR - Australia -  EC - 4+8_II.5. RawMaterials_Sheet3" xfId="10705"/>
    <cellStyle name="_Revised MOR 2004_MOR - BDWY - 1+11_MOR - Australia -  EC - 4+8_II.5. RawMaterials_Sheet4" xfId="10706"/>
    <cellStyle name="_Revised MOR 2004_MOR - BDWY - 1+11_MOR - Australia -  EC - 4+8_II.5. RM Volume Sensitivities" xfId="10707"/>
    <cellStyle name="_Revised MOR 2004_MOR - BDWY - 1+11_MOR - Australia -  EC - 4+8_II.5. RM Volume Sensitivities 2" xfId="10708"/>
    <cellStyle name="_Revised MOR 2004_MOR - BDWY - 1+11_MOR - Australia -  EC - 4+8_II.5. RM Volume Sensitivities_BS retrieve" xfId="10709"/>
    <cellStyle name="_Revised MOR 2004_MOR - BDWY - 1+11_MOR - Australia -  EC - 4+8_II.5. RM Volume Sensitivities_Free CF" xfId="10710"/>
    <cellStyle name="_Revised MOR 2004_MOR - BDWY - 1+11_MOR - Australia -  EC - 4+8_II.5. RM Volume Sensitivities_P&amp;L Rec Qtr" xfId="10711"/>
    <cellStyle name="_Revised MOR 2004_MOR - BDWY - 1+11_MOR - Australia -  EC - 4+8_II.5. RM Volume Sensitivities_Sheet1" xfId="10712"/>
    <cellStyle name="_Revised MOR 2004_MOR - BDWY - 1+11_MOR - Australia -  EC - 4+8_II.5. RM Volume Sensitivities_Sheet2" xfId="10713"/>
    <cellStyle name="_Revised MOR 2004_MOR - BDWY - 1+11_MOR - Australia -  EC - 4+8_II.5. RM Volume Sensitivities_Sheet3" xfId="10714"/>
    <cellStyle name="_Revised MOR 2004_MOR - BDWY - 1+11_MOR - Australia -  EC - 4+8_II.5. RM Volume Sensitivities_Sheet4" xfId="10715"/>
    <cellStyle name="_Revised MOR 2004_MOR - BDWY - 1+11_MOR - Australia -  EC - 4+8_II.8. Sep&amp;Discrete" xfId="10716"/>
    <cellStyle name="_Revised MOR 2004_MOR - BDWY - 1+11_MOR - Australia -  EC - 4+8_Restructuring &amp; Separation" xfId="10717"/>
    <cellStyle name="_Revised MOR 2004_MOR - BDWY - 1+11_MOR - Australia -  EC - 4+8_Restructuring_Separation_TAX_JuneFC2010 tf" xfId="10718"/>
    <cellStyle name="_Revised MOR 2004_MOR - BDWY - 1+11_MOR - Australia -  EC - 4+8_Restructuring_Separation_TAX_JuneFC2010 tf_BS_Separation_TaxResIndem_Q12412 tf" xfId="10719"/>
    <cellStyle name="_Revised MOR 2004_MOR - BDWY - 1+11_MOR - Australia -  EC - 4+8_Restructuring_Separation_TAX_JuneFC2010 tf_BS_Separation_TaxResIndem_Q12412 tf_Restructuring &amp; Separation" xfId="10720"/>
    <cellStyle name="_Revised MOR 2004_MOR - BDWY - 1+11_MOR - Australia -  EC - 4+8_Restructuring_Separation_TAX_JuneFC2010 tf_II.8. Sep&amp;Discrete" xfId="10721"/>
    <cellStyle name="_Revised MOR 2004_MOR - BDWY - 1+11_MOR - Australia -  EC - 4+8_Restructuring_Separation_TAX_JuneFC2010 tf_Restructuring &amp; Separation" xfId="10722"/>
    <cellStyle name="_Revised MOR 2004_MOR - BDWY - 1+11_MOR - Gurgaon - 3+9(R)" xfId="10723"/>
    <cellStyle name="_Revised MOR 2004_MOR - BDWY - 1+11_MOR - Gurgaon - 3+9(R)_BS_Separation_TaxResIndem_Q12412 tf" xfId="10724"/>
    <cellStyle name="_Revised MOR 2004_MOR - BDWY - 1+11_MOR - Gurgaon - 3+9(R)_BS_Separation_TaxResIndem_Q12412 tf_Restructuring &amp; Separation" xfId="10725"/>
    <cellStyle name="_Revised MOR 2004_MOR - BDWY - 1+11_MOR - Gurgaon - 3+9(R)_By Country Detail 1Q10 041410pm FIN 18 revised per disc w Mary" xfId="10726"/>
    <cellStyle name="_Revised MOR 2004_MOR - BDWY - 1+11_MOR - Gurgaon - 3+9(R)_By Country Detail 1Q10 041410pm FIN 18 revised per disc w Mary_BS_Separation_TaxResIndem_Q12412 tf" xfId="10727"/>
    <cellStyle name="_Revised MOR 2004_MOR - BDWY - 1+11_MOR - Gurgaon - 3+9(R)_By Country Detail 1Q10 041410pm FIN 18 revised per disc w Mary_BS_Separation_TaxResIndem_Q12412 tf_Restructuring &amp; Separation" xfId="10728"/>
    <cellStyle name="_Revised MOR 2004_MOR - BDWY - 1+11_MOR - Gurgaon - 3+9(R)_By Country Detail 1Q10 041410pm FIN 18 revised per disc w Mary_II.8. Sep&amp;Discrete" xfId="10729"/>
    <cellStyle name="_Revised MOR 2004_MOR - BDWY - 1+11_MOR - Gurgaon - 3+9(R)_By Country Detail 1Q10 041410pm FIN 18 revised per disc w Mary_Restructuring &amp; Separation" xfId="10730"/>
    <cellStyle name="_Revised MOR 2004_MOR - BDWY - 1+11_MOR - Gurgaon - 3+9(R)_II.4. RawMaterials" xfId="10731"/>
    <cellStyle name="_Revised MOR 2004_MOR - BDWY - 1+11_MOR - Gurgaon - 3+9(R)_II.4. RawMaterials 2" xfId="10732"/>
    <cellStyle name="_Revised MOR 2004_MOR - BDWY - 1+11_MOR - Gurgaon - 3+9(R)_II.4. RawMaterials_BS retrieve" xfId="10733"/>
    <cellStyle name="_Revised MOR 2004_MOR - BDWY - 1+11_MOR - Gurgaon - 3+9(R)_II.4. RawMaterials_Free CF" xfId="10734"/>
    <cellStyle name="_Revised MOR 2004_MOR - BDWY - 1+11_MOR - Gurgaon - 3+9(R)_II.4. RawMaterials_P&amp;L Rec Qtr" xfId="10735"/>
    <cellStyle name="_Revised MOR 2004_MOR - BDWY - 1+11_MOR - Gurgaon - 3+9(R)_II.4. RawMaterials_Sheet1" xfId="10736"/>
    <cellStyle name="_Revised MOR 2004_MOR - BDWY - 1+11_MOR - Gurgaon - 3+9(R)_II.4. RawMaterials_Sheet2" xfId="10737"/>
    <cellStyle name="_Revised MOR 2004_MOR - BDWY - 1+11_MOR - Gurgaon - 3+9(R)_II.4. RawMaterials_Sheet3" xfId="10738"/>
    <cellStyle name="_Revised MOR 2004_MOR - BDWY - 1+11_MOR - Gurgaon - 3+9(R)_II.4. RawMaterials_Sheet4" xfId="10739"/>
    <cellStyle name="_Revised MOR 2004_MOR - BDWY - 1+11_MOR - Gurgaon - 3+9(R)_II.5. RawMaterials" xfId="10740"/>
    <cellStyle name="_Revised MOR 2004_MOR - BDWY - 1+11_MOR - Gurgaon - 3+9(R)_II.5. RawMaterials 2" xfId="10741"/>
    <cellStyle name="_Revised MOR 2004_MOR - BDWY - 1+11_MOR - Gurgaon - 3+9(R)_II.5. RawMaterials_BS retrieve" xfId="10742"/>
    <cellStyle name="_Revised MOR 2004_MOR - BDWY - 1+11_MOR - Gurgaon - 3+9(R)_II.5. RawMaterials_Free CF" xfId="10743"/>
    <cellStyle name="_Revised MOR 2004_MOR - BDWY - 1+11_MOR - Gurgaon - 3+9(R)_II.5. RawMaterials_P&amp;L Rec Qtr" xfId="10744"/>
    <cellStyle name="_Revised MOR 2004_MOR - BDWY - 1+11_MOR - Gurgaon - 3+9(R)_II.5. RawMaterials_Sheet1" xfId="10745"/>
    <cellStyle name="_Revised MOR 2004_MOR - BDWY - 1+11_MOR - Gurgaon - 3+9(R)_II.5. RawMaterials_Sheet2" xfId="10746"/>
    <cellStyle name="_Revised MOR 2004_MOR - BDWY - 1+11_MOR - Gurgaon - 3+9(R)_II.5. RawMaterials_Sheet3" xfId="10747"/>
    <cellStyle name="_Revised MOR 2004_MOR - BDWY - 1+11_MOR - Gurgaon - 3+9(R)_II.5. RawMaterials_Sheet4" xfId="10748"/>
    <cellStyle name="_Revised MOR 2004_MOR - BDWY - 1+11_MOR - Gurgaon - 3+9(R)_II.5. RM Volume Sensitivities" xfId="10749"/>
    <cellStyle name="_Revised MOR 2004_MOR - BDWY - 1+11_MOR - Gurgaon - 3+9(R)_II.5. RM Volume Sensitivities 2" xfId="10750"/>
    <cellStyle name="_Revised MOR 2004_MOR - BDWY - 1+11_MOR - Gurgaon - 3+9(R)_II.5. RM Volume Sensitivities_BS retrieve" xfId="10751"/>
    <cellStyle name="_Revised MOR 2004_MOR - BDWY - 1+11_MOR - Gurgaon - 3+9(R)_II.5. RM Volume Sensitivities_Free CF" xfId="10752"/>
    <cellStyle name="_Revised MOR 2004_MOR - BDWY - 1+11_MOR - Gurgaon - 3+9(R)_II.5. RM Volume Sensitivities_P&amp;L Rec Qtr" xfId="10753"/>
    <cellStyle name="_Revised MOR 2004_MOR - BDWY - 1+11_MOR - Gurgaon - 3+9(R)_II.5. RM Volume Sensitivities_Sheet1" xfId="10754"/>
    <cellStyle name="_Revised MOR 2004_MOR - BDWY - 1+11_MOR - Gurgaon - 3+9(R)_II.5. RM Volume Sensitivities_Sheet2" xfId="10755"/>
    <cellStyle name="_Revised MOR 2004_MOR - BDWY - 1+11_MOR - Gurgaon - 3+9(R)_II.5. RM Volume Sensitivities_Sheet3" xfId="10756"/>
    <cellStyle name="_Revised MOR 2004_MOR - BDWY - 1+11_MOR - Gurgaon - 3+9(R)_II.5. RM Volume Sensitivities_Sheet4" xfId="10757"/>
    <cellStyle name="_Revised MOR 2004_MOR - BDWY - 1+11_MOR - Gurgaon - 3+9(R)_II.8. Sep&amp;Discrete" xfId="10758"/>
    <cellStyle name="_Revised MOR 2004_MOR - BDWY - 1+11_MOR - Gurgaon - 3+9(R)_MOR - Revised Package" xfId="10759"/>
    <cellStyle name="_Revised MOR 2004_MOR - BDWY - 1+11_MOR - Gurgaon - 3+9(R)_MOR - Revised Package_~0039877" xfId="10760"/>
    <cellStyle name="_Revised MOR 2004_MOR - BDWY - 1+11_MOR - Gurgaon - 3+9(R)_MOR - Revised Package_~0039877_BS_Separation_TaxResIndem_Q12412 tf" xfId="10761"/>
    <cellStyle name="_Revised MOR 2004_MOR - BDWY - 1+11_MOR - Gurgaon - 3+9(R)_MOR - Revised Package_~0039877_BS_Separation_TaxResIndem_Q12412 tf_Restructuring &amp; Separation" xfId="10762"/>
    <cellStyle name="_Revised MOR 2004_MOR - BDWY - 1+11_MOR - Gurgaon - 3+9(R)_MOR - Revised Package_~0039877_By Country Detail 1Q10 041410pm FIN 18 revised per disc w Mary" xfId="10763"/>
    <cellStyle name="_Revised MOR 2004_MOR - BDWY - 1+11_MOR - Gurgaon - 3+9(R)_MOR - Revised Package_~0039877_By Country Detail 1Q10 041410pm FIN 18 revised per disc w Mary_BS_Separation_TaxResIndem_Q12412 tf" xfId="10764"/>
    <cellStyle name="_Revised MOR 2004_MOR - BDWY - 1+11_MOR - Gurgaon - 3+9(R)_MOR - Revised Package_~0039877_By Country Detail 1Q10 041410pm FIN 18 revised per disc w Mary_BS_Separation_TaxResIndem_Q12412 tf_Restructuring &amp; Separation" xfId="10765"/>
    <cellStyle name="_Revised MOR 2004_MOR - BDWY - 1+11_MOR - Gurgaon - 3+9(R)_MOR - Revised Package_~0039877_By Country Detail 1Q10 041410pm FIN 18 revised per disc w Mary_II.8. Sep&amp;Discrete" xfId="10766"/>
    <cellStyle name="_Revised MOR 2004_MOR - BDWY - 1+11_MOR - Gurgaon - 3+9(R)_MOR - Revised Package_~0039877_By Country Detail 1Q10 041410pm FIN 18 revised per disc w Mary_Restructuring &amp; Separation" xfId="10767"/>
    <cellStyle name="_Revised MOR 2004_MOR - BDWY - 1+11_MOR - Gurgaon - 3+9(R)_MOR - Revised Package_~0039877_II.4. RawMaterials" xfId="10768"/>
    <cellStyle name="_Revised MOR 2004_MOR - BDWY - 1+11_MOR - Gurgaon - 3+9(R)_MOR - Revised Package_~0039877_II.4. RawMaterials 2" xfId="10769"/>
    <cellStyle name="_Revised MOR 2004_MOR - BDWY - 1+11_MOR - Gurgaon - 3+9(R)_MOR - Revised Package_~0039877_II.4. RawMaterials_BS retrieve" xfId="10770"/>
    <cellStyle name="_Revised MOR 2004_MOR - BDWY - 1+11_MOR - Gurgaon - 3+9(R)_MOR - Revised Package_~0039877_II.4. RawMaterials_Free CF" xfId="10771"/>
    <cellStyle name="_Revised MOR 2004_MOR - BDWY - 1+11_MOR - Gurgaon - 3+9(R)_MOR - Revised Package_~0039877_II.4. RawMaterials_P&amp;L Rec Qtr" xfId="10772"/>
    <cellStyle name="_Revised MOR 2004_MOR - BDWY - 1+11_MOR - Gurgaon - 3+9(R)_MOR - Revised Package_~0039877_II.4. RawMaterials_Sheet1" xfId="10773"/>
    <cellStyle name="_Revised MOR 2004_MOR - BDWY - 1+11_MOR - Gurgaon - 3+9(R)_MOR - Revised Package_~0039877_II.4. RawMaterials_Sheet2" xfId="10774"/>
    <cellStyle name="_Revised MOR 2004_MOR - BDWY - 1+11_MOR - Gurgaon - 3+9(R)_MOR - Revised Package_~0039877_II.4. RawMaterials_Sheet3" xfId="10775"/>
    <cellStyle name="_Revised MOR 2004_MOR - BDWY - 1+11_MOR - Gurgaon - 3+9(R)_MOR - Revised Package_~0039877_II.4. RawMaterials_Sheet4" xfId="10776"/>
    <cellStyle name="_Revised MOR 2004_MOR - BDWY - 1+11_MOR - Gurgaon - 3+9(R)_MOR - Revised Package_~0039877_II.5. RawMaterials" xfId="10777"/>
    <cellStyle name="_Revised MOR 2004_MOR - BDWY - 1+11_MOR - Gurgaon - 3+9(R)_MOR - Revised Package_~0039877_II.5. RawMaterials 2" xfId="10778"/>
    <cellStyle name="_Revised MOR 2004_MOR - BDWY - 1+11_MOR - Gurgaon - 3+9(R)_MOR - Revised Package_~0039877_II.5. RawMaterials_BS retrieve" xfId="10779"/>
    <cellStyle name="_Revised MOR 2004_MOR - BDWY - 1+11_MOR - Gurgaon - 3+9(R)_MOR - Revised Package_~0039877_II.5. RawMaterials_Free CF" xfId="10780"/>
    <cellStyle name="_Revised MOR 2004_MOR - BDWY - 1+11_MOR - Gurgaon - 3+9(R)_MOR - Revised Package_~0039877_II.5. RawMaterials_P&amp;L Rec Qtr" xfId="10781"/>
    <cellStyle name="_Revised MOR 2004_MOR - BDWY - 1+11_MOR - Gurgaon - 3+9(R)_MOR - Revised Package_~0039877_II.5. RawMaterials_Sheet1" xfId="10782"/>
    <cellStyle name="_Revised MOR 2004_MOR - BDWY - 1+11_MOR - Gurgaon - 3+9(R)_MOR - Revised Package_~0039877_II.5. RawMaterials_Sheet2" xfId="10783"/>
    <cellStyle name="_Revised MOR 2004_MOR - BDWY - 1+11_MOR - Gurgaon - 3+9(R)_MOR - Revised Package_~0039877_II.5. RawMaterials_Sheet3" xfId="10784"/>
    <cellStyle name="_Revised MOR 2004_MOR - BDWY - 1+11_MOR - Gurgaon - 3+9(R)_MOR - Revised Package_~0039877_II.5. RawMaterials_Sheet4" xfId="10785"/>
    <cellStyle name="_Revised MOR 2004_MOR - BDWY - 1+11_MOR - Gurgaon - 3+9(R)_MOR - Revised Package_~0039877_II.5. RM Volume Sensitivities" xfId="10786"/>
    <cellStyle name="_Revised MOR 2004_MOR - BDWY - 1+11_MOR - Gurgaon - 3+9(R)_MOR - Revised Package_~0039877_II.5. RM Volume Sensitivities 2" xfId="10787"/>
    <cellStyle name="_Revised MOR 2004_MOR - BDWY - 1+11_MOR - Gurgaon - 3+9(R)_MOR - Revised Package_~0039877_II.5. RM Volume Sensitivities_BS retrieve" xfId="10788"/>
    <cellStyle name="_Revised MOR 2004_MOR - BDWY - 1+11_MOR - Gurgaon - 3+9(R)_MOR - Revised Package_~0039877_II.5. RM Volume Sensitivities_Free CF" xfId="10789"/>
    <cellStyle name="_Revised MOR 2004_MOR - BDWY - 1+11_MOR - Gurgaon - 3+9(R)_MOR - Revised Package_~0039877_II.5. RM Volume Sensitivities_P&amp;L Rec Qtr" xfId="10790"/>
    <cellStyle name="_Revised MOR 2004_MOR - BDWY - 1+11_MOR - Gurgaon - 3+9(R)_MOR - Revised Package_~0039877_II.5. RM Volume Sensitivities_Sheet1" xfId="10791"/>
    <cellStyle name="_Revised MOR 2004_MOR - BDWY - 1+11_MOR - Gurgaon - 3+9(R)_MOR - Revised Package_~0039877_II.5. RM Volume Sensitivities_Sheet2" xfId="10792"/>
    <cellStyle name="_Revised MOR 2004_MOR - BDWY - 1+11_MOR - Gurgaon - 3+9(R)_MOR - Revised Package_~0039877_II.5. RM Volume Sensitivities_Sheet3" xfId="10793"/>
    <cellStyle name="_Revised MOR 2004_MOR - BDWY - 1+11_MOR - Gurgaon - 3+9(R)_MOR - Revised Package_~0039877_II.5. RM Volume Sensitivities_Sheet4" xfId="10794"/>
    <cellStyle name="_Revised MOR 2004_MOR - BDWY - 1+11_MOR - Gurgaon - 3+9(R)_MOR - Revised Package_~0039877_II.8. Sep&amp;Discrete" xfId="10795"/>
    <cellStyle name="_Revised MOR 2004_MOR - BDWY - 1+11_MOR - Gurgaon - 3+9(R)_MOR - Revised Package_~0039877_Restructuring &amp; Separation" xfId="10796"/>
    <cellStyle name="_Revised MOR 2004_MOR - BDWY - 1+11_MOR - Gurgaon - 3+9(R)_MOR - Revised Package_~0039877_Restructuring_Separation_TAX_JuneFC2010 tf" xfId="10797"/>
    <cellStyle name="_Revised MOR 2004_MOR - BDWY - 1+11_MOR - Gurgaon - 3+9(R)_MOR - Revised Package_~0039877_Restructuring_Separation_TAX_JuneFC2010 tf_BS_Separation_TaxResIndem_Q12412 tf" xfId="10798"/>
    <cellStyle name="_Revised MOR 2004_MOR - BDWY - 1+11_MOR - Gurgaon - 3+9(R)_MOR - Revised Package_~0039877_Restructuring_Separation_TAX_JuneFC2010 tf_BS_Separation_TaxResIndem_Q12412 tf_Restructuring &amp; Separation" xfId="10799"/>
    <cellStyle name="_Revised MOR 2004_MOR - BDWY - 1+11_MOR - Gurgaon - 3+9(R)_MOR - Revised Package_~0039877_Restructuring_Separation_TAX_JuneFC2010 tf_II.8. Sep&amp;Discrete" xfId="10800"/>
    <cellStyle name="_Revised MOR 2004_MOR - BDWY - 1+11_MOR - Gurgaon - 3+9(R)_MOR - Revised Package_~0039877_Restructuring_Separation_TAX_JuneFC2010 tf_Restructuring &amp; Separation" xfId="10801"/>
    <cellStyle name="_Revised MOR 2004_MOR - BDWY - 1+11_MOR - Gurgaon - 3+9(R)_MOR - Revised Package_BS_Separation_TaxResIndem_Q12412 tf" xfId="10802"/>
    <cellStyle name="_Revised MOR 2004_MOR - BDWY - 1+11_MOR - Gurgaon - 3+9(R)_MOR - Revised Package_BS_Separation_TaxResIndem_Q12412 tf_Restructuring &amp; Separation" xfId="10803"/>
    <cellStyle name="_Revised MOR 2004_MOR - BDWY - 1+11_MOR - Gurgaon - 3+9(R)_MOR - Revised Package_By Country Detail 1Q10 041410pm FIN 18 revised per disc w Mary" xfId="10804"/>
    <cellStyle name="_Revised MOR 2004_MOR - BDWY - 1+11_MOR - Gurgaon - 3+9(R)_MOR - Revised Package_By Country Detail 1Q10 041410pm FIN 18 revised per disc w Mary_BS_Separation_TaxResIndem_Q12412 tf" xfId="10805"/>
    <cellStyle name="_Revised MOR 2004_MOR - BDWY - 1+11_MOR - Gurgaon - 3+9(R)_MOR - Revised Package_By Country Detail 1Q10 041410pm FIN 18 revised per disc w Mary_BS_Separation_TaxResIndem_Q12412 tf_Restructuring &amp; Separation" xfId="10806"/>
    <cellStyle name="_Revised MOR 2004_MOR - BDWY - 1+11_MOR - Gurgaon - 3+9(R)_MOR - Revised Package_By Country Detail 1Q10 041410pm FIN 18 revised per disc w Mary_II.8. Sep&amp;Discrete" xfId="10807"/>
    <cellStyle name="_Revised MOR 2004_MOR - BDWY - 1+11_MOR - Gurgaon - 3+9(R)_MOR - Revised Package_By Country Detail 1Q10 041410pm FIN 18 revised per disc w Mary_Restructuring &amp; Separation" xfId="10808"/>
    <cellStyle name="_Revised MOR 2004_MOR - BDWY - 1+11_MOR - Gurgaon - 3+9(R)_MOR - Revised Package_II.4. RawMaterials" xfId="10809"/>
    <cellStyle name="_Revised MOR 2004_MOR - BDWY - 1+11_MOR - Gurgaon - 3+9(R)_MOR - Revised Package_II.4. RawMaterials 2" xfId="10810"/>
    <cellStyle name="_Revised MOR 2004_MOR - BDWY - 1+11_MOR - Gurgaon - 3+9(R)_MOR - Revised Package_II.4. RawMaterials_BS retrieve" xfId="10811"/>
    <cellStyle name="_Revised MOR 2004_MOR - BDWY - 1+11_MOR - Gurgaon - 3+9(R)_MOR - Revised Package_II.4. RawMaterials_Free CF" xfId="10812"/>
    <cellStyle name="_Revised MOR 2004_MOR - BDWY - 1+11_MOR - Gurgaon - 3+9(R)_MOR - Revised Package_II.4. RawMaterials_P&amp;L Rec Qtr" xfId="10813"/>
    <cellStyle name="_Revised MOR 2004_MOR - BDWY - 1+11_MOR - Gurgaon - 3+9(R)_MOR - Revised Package_II.4. RawMaterials_Sheet1" xfId="10814"/>
    <cellStyle name="_Revised MOR 2004_MOR - BDWY - 1+11_MOR - Gurgaon - 3+9(R)_MOR - Revised Package_II.4. RawMaterials_Sheet2" xfId="10815"/>
    <cellStyle name="_Revised MOR 2004_MOR - BDWY - 1+11_MOR - Gurgaon - 3+9(R)_MOR - Revised Package_II.4. RawMaterials_Sheet3" xfId="10816"/>
    <cellStyle name="_Revised MOR 2004_MOR - BDWY - 1+11_MOR - Gurgaon - 3+9(R)_MOR - Revised Package_II.4. RawMaterials_Sheet4" xfId="10817"/>
    <cellStyle name="_Revised MOR 2004_MOR - BDWY - 1+11_MOR - Gurgaon - 3+9(R)_MOR - Revised Package_II.5. RawMaterials" xfId="10818"/>
    <cellStyle name="_Revised MOR 2004_MOR - BDWY - 1+11_MOR - Gurgaon - 3+9(R)_MOR - Revised Package_II.5. RawMaterials 2" xfId="10819"/>
    <cellStyle name="_Revised MOR 2004_MOR - BDWY - 1+11_MOR - Gurgaon - 3+9(R)_MOR - Revised Package_II.5. RawMaterials_BS retrieve" xfId="10820"/>
    <cellStyle name="_Revised MOR 2004_MOR - BDWY - 1+11_MOR - Gurgaon - 3+9(R)_MOR - Revised Package_II.5. RawMaterials_Free CF" xfId="10821"/>
    <cellStyle name="_Revised MOR 2004_MOR - BDWY - 1+11_MOR - Gurgaon - 3+9(R)_MOR - Revised Package_II.5. RawMaterials_P&amp;L Rec Qtr" xfId="10822"/>
    <cellStyle name="_Revised MOR 2004_MOR - BDWY - 1+11_MOR - Gurgaon - 3+9(R)_MOR - Revised Package_II.5. RawMaterials_Sheet1" xfId="10823"/>
    <cellStyle name="_Revised MOR 2004_MOR - BDWY - 1+11_MOR - Gurgaon - 3+9(R)_MOR - Revised Package_II.5. RawMaterials_Sheet2" xfId="10824"/>
    <cellStyle name="_Revised MOR 2004_MOR - BDWY - 1+11_MOR - Gurgaon - 3+9(R)_MOR - Revised Package_II.5. RawMaterials_Sheet3" xfId="10825"/>
    <cellStyle name="_Revised MOR 2004_MOR - BDWY - 1+11_MOR - Gurgaon - 3+9(R)_MOR - Revised Package_II.5. RawMaterials_Sheet4" xfId="10826"/>
    <cellStyle name="_Revised MOR 2004_MOR - BDWY - 1+11_MOR - Gurgaon - 3+9(R)_MOR - Revised Package_II.5. RM Volume Sensitivities" xfId="10827"/>
    <cellStyle name="_Revised MOR 2004_MOR - BDWY - 1+11_MOR - Gurgaon - 3+9(R)_MOR - Revised Package_II.5. RM Volume Sensitivities 2" xfId="10828"/>
    <cellStyle name="_Revised MOR 2004_MOR - BDWY - 1+11_MOR - Gurgaon - 3+9(R)_MOR - Revised Package_II.5. RM Volume Sensitivities_BS retrieve" xfId="10829"/>
    <cellStyle name="_Revised MOR 2004_MOR - BDWY - 1+11_MOR - Gurgaon - 3+9(R)_MOR - Revised Package_II.5. RM Volume Sensitivities_Free CF" xfId="10830"/>
    <cellStyle name="_Revised MOR 2004_MOR - BDWY - 1+11_MOR - Gurgaon - 3+9(R)_MOR - Revised Package_II.5. RM Volume Sensitivities_P&amp;L Rec Qtr" xfId="10831"/>
    <cellStyle name="_Revised MOR 2004_MOR - BDWY - 1+11_MOR - Gurgaon - 3+9(R)_MOR - Revised Package_II.5. RM Volume Sensitivities_Sheet1" xfId="10832"/>
    <cellStyle name="_Revised MOR 2004_MOR - BDWY - 1+11_MOR - Gurgaon - 3+9(R)_MOR - Revised Package_II.5. RM Volume Sensitivities_Sheet2" xfId="10833"/>
    <cellStyle name="_Revised MOR 2004_MOR - BDWY - 1+11_MOR - Gurgaon - 3+9(R)_MOR - Revised Package_II.5. RM Volume Sensitivities_Sheet3" xfId="10834"/>
    <cellStyle name="_Revised MOR 2004_MOR - BDWY - 1+11_MOR - Gurgaon - 3+9(R)_MOR - Revised Package_II.5. RM Volume Sensitivities_Sheet4" xfId="10835"/>
    <cellStyle name="_Revised MOR 2004_MOR - BDWY - 1+11_MOR - Gurgaon - 3+9(R)_MOR - Revised Package_II.8. Sep&amp;Discrete" xfId="10836"/>
    <cellStyle name="_Revised MOR 2004_MOR - BDWY - 1+11_MOR - Gurgaon - 3+9(R)_MOR - Revised Package_Restructuring &amp; Separation" xfId="10837"/>
    <cellStyle name="_Revised MOR 2004_MOR - BDWY - 1+11_MOR - Gurgaon - 3+9(R)_MOR - Revised Package_Restructuring_Separation_TAX_JuneFC2010 tf" xfId="10838"/>
    <cellStyle name="_Revised MOR 2004_MOR - BDWY - 1+11_MOR - Gurgaon - 3+9(R)_MOR - Revised Package_Restructuring_Separation_TAX_JuneFC2010 tf_BS_Separation_TaxResIndem_Q12412 tf" xfId="10839"/>
    <cellStyle name="_Revised MOR 2004_MOR - BDWY - 1+11_MOR - Gurgaon - 3+9(R)_MOR - Revised Package_Restructuring_Separation_TAX_JuneFC2010 tf_BS_Separation_TaxResIndem_Q12412 tf_Restructuring &amp; Separation" xfId="10840"/>
    <cellStyle name="_Revised MOR 2004_MOR - BDWY - 1+11_MOR - Gurgaon - 3+9(R)_MOR - Revised Package_Restructuring_Separation_TAX_JuneFC2010 tf_II.8. Sep&amp;Discrete" xfId="10841"/>
    <cellStyle name="_Revised MOR 2004_MOR - BDWY - 1+11_MOR - Gurgaon - 3+9(R)_MOR - Revised Package_Restructuring_Separation_TAX_JuneFC2010 tf_Restructuring &amp; Separation" xfId="10842"/>
    <cellStyle name="_Revised MOR 2004_MOR - BDWY - 1+11_MOR - Gurgaon - 3+9(R)_MOR - Revised Package_Revised MOR Package - Latest" xfId="10843"/>
    <cellStyle name="_Revised MOR 2004_MOR - BDWY - 1+11_MOR - Gurgaon - 3+9(R)_MOR - Revised Package_Revised MOR Package - Latest_BS_Separation_TaxResIndem_Q12412 tf" xfId="10844"/>
    <cellStyle name="_Revised MOR 2004_MOR - BDWY - 1+11_MOR - Gurgaon - 3+9(R)_MOR - Revised Package_Revised MOR Package - Latest_BS_Separation_TaxResIndem_Q12412 tf_Restructuring &amp; Separation" xfId="10845"/>
    <cellStyle name="_Revised MOR 2004_MOR - BDWY - 1+11_MOR - Gurgaon - 3+9(R)_MOR - Revised Package_Revised MOR Package - Latest_By Country Detail 1Q10 041410pm FIN 18 revised per disc w Mary" xfId="10846"/>
    <cellStyle name="_Revised MOR 2004_MOR - BDWY - 1+11_MOR - Gurgaon - 3+9(R)_MOR - Revised Package_Revised MOR Package - Latest_By Country Detail 1Q10 041410pm FIN 18 revised per disc w Mary_BS_Separation_TaxResIndem_Q12412 tf" xfId="10847"/>
    <cellStyle name="_Revised MOR 2004_MOR - BDWY - 1+11_MOR - Gurgaon - 3+9(R)_MOR - Revised Package_Revised MOR Package - Latest_By Country Detail 1Q10 041410pm FIN 18 revised per disc w Mary_BS_Separation_TaxResIndem_Q12412 tf_Restructuring &amp; Separation" xfId="10848"/>
    <cellStyle name="_Revised MOR 2004_MOR - BDWY - 1+11_MOR - Gurgaon - 3+9(R)_MOR - Revised Package_Revised MOR Package - Latest_By Country Detail 1Q10 041410pm FIN 18 revised per disc w Mary_II.8. Sep&amp;Discrete" xfId="10849"/>
    <cellStyle name="_Revised MOR 2004_MOR - BDWY - 1+11_MOR - Gurgaon - 3+9(R)_MOR - Revised Package_Revised MOR Package - Latest_By Country Detail 1Q10 041410pm FIN 18 revised per disc w Mary_Restructuring &amp; Separation" xfId="10850"/>
    <cellStyle name="_Revised MOR 2004_MOR - BDWY - 1+11_MOR - Gurgaon - 3+9(R)_MOR - Revised Package_Revised MOR Package - Latest_II.4. RawMaterials" xfId="10851"/>
    <cellStyle name="_Revised MOR 2004_MOR - BDWY - 1+11_MOR - Gurgaon - 3+9(R)_MOR - Revised Package_Revised MOR Package - Latest_II.4. RawMaterials 2" xfId="10852"/>
    <cellStyle name="_Revised MOR 2004_MOR - BDWY - 1+11_MOR - Gurgaon - 3+9(R)_MOR - Revised Package_Revised MOR Package - Latest_II.4. RawMaterials_BS retrieve" xfId="10853"/>
    <cellStyle name="_Revised MOR 2004_MOR - BDWY - 1+11_MOR - Gurgaon - 3+9(R)_MOR - Revised Package_Revised MOR Package - Latest_II.4. RawMaterials_Free CF" xfId="10854"/>
    <cellStyle name="_Revised MOR 2004_MOR - BDWY - 1+11_MOR - Gurgaon - 3+9(R)_MOR - Revised Package_Revised MOR Package - Latest_II.4. RawMaterials_P&amp;L Rec Qtr" xfId="10855"/>
    <cellStyle name="_Revised MOR 2004_MOR - BDWY - 1+11_MOR - Gurgaon - 3+9(R)_MOR - Revised Package_Revised MOR Package - Latest_II.4. RawMaterials_Sheet1" xfId="10856"/>
    <cellStyle name="_Revised MOR 2004_MOR - BDWY - 1+11_MOR - Gurgaon - 3+9(R)_MOR - Revised Package_Revised MOR Package - Latest_II.4. RawMaterials_Sheet2" xfId="10857"/>
    <cellStyle name="_Revised MOR 2004_MOR - BDWY - 1+11_MOR - Gurgaon - 3+9(R)_MOR - Revised Package_Revised MOR Package - Latest_II.4. RawMaterials_Sheet3" xfId="10858"/>
    <cellStyle name="_Revised MOR 2004_MOR - BDWY - 1+11_MOR - Gurgaon - 3+9(R)_MOR - Revised Package_Revised MOR Package - Latest_II.4. RawMaterials_Sheet4" xfId="10859"/>
    <cellStyle name="_Revised MOR 2004_MOR - BDWY - 1+11_MOR - Gurgaon - 3+9(R)_MOR - Revised Package_Revised MOR Package - Latest_II.5. RawMaterials" xfId="10860"/>
    <cellStyle name="_Revised MOR 2004_MOR - BDWY - 1+11_MOR - Gurgaon - 3+9(R)_MOR - Revised Package_Revised MOR Package - Latest_II.5. RawMaterials 2" xfId="10861"/>
    <cellStyle name="_Revised MOR 2004_MOR - BDWY - 1+11_MOR - Gurgaon - 3+9(R)_MOR - Revised Package_Revised MOR Package - Latest_II.5. RawMaterials_BS retrieve" xfId="10862"/>
    <cellStyle name="_Revised MOR 2004_MOR - BDWY - 1+11_MOR - Gurgaon - 3+9(R)_MOR - Revised Package_Revised MOR Package - Latest_II.5. RawMaterials_Free CF" xfId="10863"/>
    <cellStyle name="_Revised MOR 2004_MOR - BDWY - 1+11_MOR - Gurgaon - 3+9(R)_MOR - Revised Package_Revised MOR Package - Latest_II.5. RawMaterials_P&amp;L Rec Qtr" xfId="10864"/>
    <cellStyle name="_Revised MOR 2004_MOR - BDWY - 1+11_MOR - Gurgaon - 3+9(R)_MOR - Revised Package_Revised MOR Package - Latest_II.5. RawMaterials_Sheet1" xfId="10865"/>
    <cellStyle name="_Revised MOR 2004_MOR - BDWY - 1+11_MOR - Gurgaon - 3+9(R)_MOR - Revised Package_Revised MOR Package - Latest_II.5. RawMaterials_Sheet2" xfId="10866"/>
    <cellStyle name="_Revised MOR 2004_MOR - BDWY - 1+11_MOR - Gurgaon - 3+9(R)_MOR - Revised Package_Revised MOR Package - Latest_II.5. RawMaterials_Sheet3" xfId="10867"/>
    <cellStyle name="_Revised MOR 2004_MOR - BDWY - 1+11_MOR - Gurgaon - 3+9(R)_MOR - Revised Package_Revised MOR Package - Latest_II.5. RawMaterials_Sheet4" xfId="10868"/>
    <cellStyle name="_Revised MOR 2004_MOR - BDWY - 1+11_MOR - Gurgaon - 3+9(R)_MOR - Revised Package_Revised MOR Package - Latest_II.5. RM Volume Sensitivities" xfId="10869"/>
    <cellStyle name="_Revised MOR 2004_MOR - BDWY - 1+11_MOR - Gurgaon - 3+9(R)_MOR - Revised Package_Revised MOR Package - Latest_II.5. RM Volume Sensitivities 2" xfId="10870"/>
    <cellStyle name="_Revised MOR 2004_MOR - BDWY - 1+11_MOR - Gurgaon - 3+9(R)_MOR - Revised Package_Revised MOR Package - Latest_II.5. RM Volume Sensitivities_BS retrieve" xfId="10871"/>
    <cellStyle name="_Revised MOR 2004_MOR - BDWY - 1+11_MOR - Gurgaon - 3+9(R)_MOR - Revised Package_Revised MOR Package - Latest_II.5. RM Volume Sensitivities_Free CF" xfId="10872"/>
    <cellStyle name="_Revised MOR 2004_MOR - BDWY - 1+11_MOR - Gurgaon - 3+9(R)_MOR - Revised Package_Revised MOR Package - Latest_II.5. RM Volume Sensitivities_P&amp;L Rec Qtr" xfId="10873"/>
    <cellStyle name="_Revised MOR 2004_MOR - BDWY - 1+11_MOR - Gurgaon - 3+9(R)_MOR - Revised Package_Revised MOR Package - Latest_II.5. RM Volume Sensitivities_Sheet1" xfId="10874"/>
    <cellStyle name="_Revised MOR 2004_MOR - BDWY - 1+11_MOR - Gurgaon - 3+9(R)_MOR - Revised Package_Revised MOR Package - Latest_II.5. RM Volume Sensitivities_Sheet2" xfId="10875"/>
    <cellStyle name="_Revised MOR 2004_MOR - BDWY - 1+11_MOR - Gurgaon - 3+9(R)_MOR - Revised Package_Revised MOR Package - Latest_II.5. RM Volume Sensitivities_Sheet3" xfId="10876"/>
    <cellStyle name="_Revised MOR 2004_MOR - BDWY - 1+11_MOR - Gurgaon - 3+9(R)_MOR - Revised Package_Revised MOR Package - Latest_II.5. RM Volume Sensitivities_Sheet4" xfId="10877"/>
    <cellStyle name="_Revised MOR 2004_MOR - BDWY - 1+11_MOR - Gurgaon - 3+9(R)_MOR - Revised Package_Revised MOR Package - Latest_II.8. Sep&amp;Discrete" xfId="10878"/>
    <cellStyle name="_Revised MOR 2004_MOR - BDWY - 1+11_MOR - Gurgaon - 3+9(R)_MOR - Revised Package_Revised MOR Package - Latest_Restructuring &amp; Separation" xfId="10879"/>
    <cellStyle name="_Revised MOR 2004_MOR - BDWY - 1+11_MOR - Gurgaon - 3+9(R)_MOR - Revised Package_Revised MOR Package - Latest_Restructuring_Separation_TAX_JuneFC2010 tf" xfId="10880"/>
    <cellStyle name="_Revised MOR 2004_MOR - BDWY - 1+11_MOR - Gurgaon - 3+9(R)_MOR - Revised Package_Revised MOR Package - Latest_Restructuring_Separation_TAX_JuneFC2010 tf_BS_Separation_TaxResIndem_Q12412 tf" xfId="10881"/>
    <cellStyle name="_Revised MOR 2004_MOR - BDWY - 1+11_MOR - Gurgaon - 3+9(R)_MOR - Revised Package_Revised MOR Package - Latest_Restructuring_Separation_TAX_JuneFC2010 tf_BS_Separation_TaxResIndem_Q12412 tf_Restructuring &amp; Separation" xfId="10882"/>
    <cellStyle name="_Revised MOR 2004_MOR - BDWY - 1+11_MOR - Gurgaon - 3+9(R)_MOR - Revised Package_Revised MOR Package - Latest_Restructuring_Separation_TAX_JuneFC2010 tf_II.8. Sep&amp;Discrete" xfId="10883"/>
    <cellStyle name="_Revised MOR 2004_MOR - BDWY - 1+11_MOR - Gurgaon - 3+9(R)_MOR - Revised Package_Revised MOR Package - Latest_Restructuring_Separation_TAX_JuneFC2010 tf_Restructuring &amp; Separation" xfId="10884"/>
    <cellStyle name="_Revised MOR 2004_MOR - BDWY - 1+11_MOR - Gurgaon - 3+9(R)_Restructuring &amp; Separation" xfId="10885"/>
    <cellStyle name="_Revised MOR 2004_MOR - BDWY - 1+11_MOR - Gurgaon - 3+9(R)_Restructuring_Separation_TAX_JuneFC2010 tf" xfId="10886"/>
    <cellStyle name="_Revised MOR 2004_MOR - BDWY - 1+11_MOR - Gurgaon - 3+9(R)_Restructuring_Separation_TAX_JuneFC2010 tf_BS_Separation_TaxResIndem_Q12412 tf" xfId="10887"/>
    <cellStyle name="_Revised MOR 2004_MOR - BDWY - 1+11_MOR - Gurgaon - 3+9(R)_Restructuring_Separation_TAX_JuneFC2010 tf_BS_Separation_TaxResIndem_Q12412 tf_Restructuring &amp; Separation" xfId="10888"/>
    <cellStyle name="_Revised MOR 2004_MOR - BDWY - 1+11_MOR - Gurgaon - 3+9(R)_Restructuring_Separation_TAX_JuneFC2010 tf_II.8. Sep&amp;Discrete" xfId="10889"/>
    <cellStyle name="_Revised MOR 2004_MOR - BDWY - 1+11_MOR - Gurgaon - 3+9(R)_Restructuring_Separation_TAX_JuneFC2010 tf_Restructuring &amp; Separation" xfId="10890"/>
    <cellStyle name="_Revised MOR 2004_MOR - BDWY - 1+11_MOR - Gurgaon - 3+9(R)_Revised MOR Package" xfId="10891"/>
    <cellStyle name="_Revised MOR 2004_MOR - BDWY - 1+11_MOR - Gurgaon - 3+9(R)_Revised MOR Package_~0039877" xfId="10892"/>
    <cellStyle name="_Revised MOR 2004_MOR - BDWY - 1+11_MOR - Gurgaon - 3+9(R)_Revised MOR Package_~0039877_BS_Separation_TaxResIndem_Q12412 tf" xfId="10893"/>
    <cellStyle name="_Revised MOR 2004_MOR - BDWY - 1+11_MOR - Gurgaon - 3+9(R)_Revised MOR Package_~0039877_BS_Separation_TaxResIndem_Q12412 tf_Restructuring &amp; Separation" xfId="10894"/>
    <cellStyle name="_Revised MOR 2004_MOR - BDWY - 1+11_MOR - Gurgaon - 3+9(R)_Revised MOR Package_~0039877_By Country Detail 1Q10 041410pm FIN 18 revised per disc w Mary" xfId="10895"/>
    <cellStyle name="_Revised MOR 2004_MOR - BDWY - 1+11_MOR - Gurgaon - 3+9(R)_Revised MOR Package_~0039877_By Country Detail 1Q10 041410pm FIN 18 revised per disc w Mary_BS_Separation_TaxResIndem_Q12412 tf" xfId="10896"/>
    <cellStyle name="_Revised MOR 2004_MOR - BDWY - 1+11_MOR - Gurgaon - 3+9(R)_Revised MOR Package_~0039877_By Country Detail 1Q10 041410pm FIN 18 revised per disc w Mary_BS_Separation_TaxResIndem_Q12412 tf_Restructuring &amp; Separation" xfId="10897"/>
    <cellStyle name="_Revised MOR 2004_MOR - BDWY - 1+11_MOR - Gurgaon - 3+9(R)_Revised MOR Package_~0039877_By Country Detail 1Q10 041410pm FIN 18 revised per disc w Mary_II.8. Sep&amp;Discrete" xfId="10898"/>
    <cellStyle name="_Revised MOR 2004_MOR - BDWY - 1+11_MOR - Gurgaon - 3+9(R)_Revised MOR Package_~0039877_By Country Detail 1Q10 041410pm FIN 18 revised per disc w Mary_Restructuring &amp; Separation" xfId="10899"/>
    <cellStyle name="_Revised MOR 2004_MOR - BDWY - 1+11_MOR - Gurgaon - 3+9(R)_Revised MOR Package_~0039877_II.4. RawMaterials" xfId="10900"/>
    <cellStyle name="_Revised MOR 2004_MOR - BDWY - 1+11_MOR - Gurgaon - 3+9(R)_Revised MOR Package_~0039877_II.4. RawMaterials 2" xfId="10901"/>
    <cellStyle name="_Revised MOR 2004_MOR - BDWY - 1+11_MOR - Gurgaon - 3+9(R)_Revised MOR Package_~0039877_II.4. RawMaterials_BS retrieve" xfId="10902"/>
    <cellStyle name="_Revised MOR 2004_MOR - BDWY - 1+11_MOR - Gurgaon - 3+9(R)_Revised MOR Package_~0039877_II.4. RawMaterials_Free CF" xfId="10903"/>
    <cellStyle name="_Revised MOR 2004_MOR - BDWY - 1+11_MOR - Gurgaon - 3+9(R)_Revised MOR Package_~0039877_II.4. RawMaterials_P&amp;L Rec Qtr" xfId="10904"/>
    <cellStyle name="_Revised MOR 2004_MOR - BDWY - 1+11_MOR - Gurgaon - 3+9(R)_Revised MOR Package_~0039877_II.4. RawMaterials_Sheet1" xfId="10905"/>
    <cellStyle name="_Revised MOR 2004_MOR - BDWY - 1+11_MOR - Gurgaon - 3+9(R)_Revised MOR Package_~0039877_II.4. RawMaterials_Sheet2" xfId="10906"/>
    <cellStyle name="_Revised MOR 2004_MOR - BDWY - 1+11_MOR - Gurgaon - 3+9(R)_Revised MOR Package_~0039877_II.4. RawMaterials_Sheet3" xfId="10907"/>
    <cellStyle name="_Revised MOR 2004_MOR - BDWY - 1+11_MOR - Gurgaon - 3+9(R)_Revised MOR Package_~0039877_II.4. RawMaterials_Sheet4" xfId="10908"/>
    <cellStyle name="_Revised MOR 2004_MOR - BDWY - 1+11_MOR - Gurgaon - 3+9(R)_Revised MOR Package_~0039877_II.5. RawMaterials" xfId="10909"/>
    <cellStyle name="_Revised MOR 2004_MOR - BDWY - 1+11_MOR - Gurgaon - 3+9(R)_Revised MOR Package_~0039877_II.5. RawMaterials 2" xfId="10910"/>
    <cellStyle name="_Revised MOR 2004_MOR - BDWY - 1+11_MOR - Gurgaon - 3+9(R)_Revised MOR Package_~0039877_II.5. RawMaterials_BS retrieve" xfId="10911"/>
    <cellStyle name="_Revised MOR 2004_MOR - BDWY - 1+11_MOR - Gurgaon - 3+9(R)_Revised MOR Package_~0039877_II.5. RawMaterials_Free CF" xfId="10912"/>
    <cellStyle name="_Revised MOR 2004_MOR - BDWY - 1+11_MOR - Gurgaon - 3+9(R)_Revised MOR Package_~0039877_II.5. RawMaterials_P&amp;L Rec Qtr" xfId="10913"/>
    <cellStyle name="_Revised MOR 2004_MOR - BDWY - 1+11_MOR - Gurgaon - 3+9(R)_Revised MOR Package_~0039877_II.5. RawMaterials_Sheet1" xfId="10914"/>
    <cellStyle name="_Revised MOR 2004_MOR - BDWY - 1+11_MOR - Gurgaon - 3+9(R)_Revised MOR Package_~0039877_II.5. RawMaterials_Sheet2" xfId="10915"/>
    <cellStyle name="_Revised MOR 2004_MOR - BDWY - 1+11_MOR - Gurgaon - 3+9(R)_Revised MOR Package_~0039877_II.5. RawMaterials_Sheet3" xfId="10916"/>
    <cellStyle name="_Revised MOR 2004_MOR - BDWY - 1+11_MOR - Gurgaon - 3+9(R)_Revised MOR Package_~0039877_II.5. RawMaterials_Sheet4" xfId="10917"/>
    <cellStyle name="_Revised MOR 2004_MOR - BDWY - 1+11_MOR - Gurgaon - 3+9(R)_Revised MOR Package_~0039877_II.5. RM Volume Sensitivities" xfId="10918"/>
    <cellStyle name="_Revised MOR 2004_MOR - BDWY - 1+11_MOR - Gurgaon - 3+9(R)_Revised MOR Package_~0039877_II.5. RM Volume Sensitivities 2" xfId="10919"/>
    <cellStyle name="_Revised MOR 2004_MOR - BDWY - 1+11_MOR - Gurgaon - 3+9(R)_Revised MOR Package_~0039877_II.5. RM Volume Sensitivities_BS retrieve" xfId="10920"/>
    <cellStyle name="_Revised MOR 2004_MOR - BDWY - 1+11_MOR - Gurgaon - 3+9(R)_Revised MOR Package_~0039877_II.5. RM Volume Sensitivities_Free CF" xfId="10921"/>
    <cellStyle name="_Revised MOR 2004_MOR - BDWY - 1+11_MOR - Gurgaon - 3+9(R)_Revised MOR Package_~0039877_II.5. RM Volume Sensitivities_P&amp;L Rec Qtr" xfId="10922"/>
    <cellStyle name="_Revised MOR 2004_MOR - BDWY - 1+11_MOR - Gurgaon - 3+9(R)_Revised MOR Package_~0039877_II.5. RM Volume Sensitivities_Sheet1" xfId="10923"/>
    <cellStyle name="_Revised MOR 2004_MOR - BDWY - 1+11_MOR - Gurgaon - 3+9(R)_Revised MOR Package_~0039877_II.5. RM Volume Sensitivities_Sheet2" xfId="10924"/>
    <cellStyle name="_Revised MOR 2004_MOR - BDWY - 1+11_MOR - Gurgaon - 3+9(R)_Revised MOR Package_~0039877_II.5. RM Volume Sensitivities_Sheet3" xfId="10925"/>
    <cellStyle name="_Revised MOR 2004_MOR - BDWY - 1+11_MOR - Gurgaon - 3+9(R)_Revised MOR Package_~0039877_II.5. RM Volume Sensitivities_Sheet4" xfId="10926"/>
    <cellStyle name="_Revised MOR 2004_MOR - BDWY - 1+11_MOR - Gurgaon - 3+9(R)_Revised MOR Package_~0039877_II.8. Sep&amp;Discrete" xfId="10927"/>
    <cellStyle name="_Revised MOR 2004_MOR - BDWY - 1+11_MOR - Gurgaon - 3+9(R)_Revised MOR Package_~0039877_Restructuring &amp; Separation" xfId="10928"/>
    <cellStyle name="_Revised MOR 2004_MOR - BDWY - 1+11_MOR - Gurgaon - 3+9(R)_Revised MOR Package_~0039877_Restructuring_Separation_TAX_JuneFC2010 tf" xfId="10929"/>
    <cellStyle name="_Revised MOR 2004_MOR - BDWY - 1+11_MOR - Gurgaon - 3+9(R)_Revised MOR Package_~0039877_Restructuring_Separation_TAX_JuneFC2010 tf_BS_Separation_TaxResIndem_Q12412 tf" xfId="10930"/>
    <cellStyle name="_Revised MOR 2004_MOR - BDWY - 1+11_MOR - Gurgaon - 3+9(R)_Revised MOR Package_~0039877_Restructuring_Separation_TAX_JuneFC2010 tf_BS_Separation_TaxResIndem_Q12412 tf_Restructuring &amp; Separation" xfId="10931"/>
    <cellStyle name="_Revised MOR 2004_MOR - BDWY - 1+11_MOR - Gurgaon - 3+9(R)_Revised MOR Package_~0039877_Restructuring_Separation_TAX_JuneFC2010 tf_II.8. Sep&amp;Discrete" xfId="10932"/>
    <cellStyle name="_Revised MOR 2004_MOR - BDWY - 1+11_MOR - Gurgaon - 3+9(R)_Revised MOR Package_~0039877_Restructuring_Separation_TAX_JuneFC2010 tf_Restructuring &amp; Separation" xfId="10933"/>
    <cellStyle name="_Revised MOR 2004_MOR - BDWY - 1+11_MOR - Gurgaon - 3+9(R)_Revised MOR Package_BS_Separation_TaxResIndem_Q12412 tf" xfId="10934"/>
    <cellStyle name="_Revised MOR 2004_MOR - BDWY - 1+11_MOR - Gurgaon - 3+9(R)_Revised MOR Package_BS_Separation_TaxResIndem_Q12412 tf_Restructuring &amp; Separation" xfId="10935"/>
    <cellStyle name="_Revised MOR 2004_MOR - BDWY - 1+11_MOR - Gurgaon - 3+9(R)_Revised MOR Package_By Country Detail 1Q10 041410pm FIN 18 revised per disc w Mary" xfId="10936"/>
    <cellStyle name="_Revised MOR 2004_MOR - BDWY - 1+11_MOR - Gurgaon - 3+9(R)_Revised MOR Package_By Country Detail 1Q10 041410pm FIN 18 revised per disc w Mary_BS_Separation_TaxResIndem_Q12412 tf" xfId="10937"/>
    <cellStyle name="_Revised MOR 2004_MOR - BDWY - 1+11_MOR - Gurgaon - 3+9(R)_Revised MOR Package_By Country Detail 1Q10 041410pm FIN 18 revised per disc w Mary_BS_Separation_TaxResIndem_Q12412 tf_Restructuring &amp; Separation" xfId="10938"/>
    <cellStyle name="_Revised MOR 2004_MOR - BDWY - 1+11_MOR - Gurgaon - 3+9(R)_Revised MOR Package_By Country Detail 1Q10 041410pm FIN 18 revised per disc w Mary_II.8. Sep&amp;Discrete" xfId="10939"/>
    <cellStyle name="_Revised MOR 2004_MOR - BDWY - 1+11_MOR - Gurgaon - 3+9(R)_Revised MOR Package_By Country Detail 1Q10 041410pm FIN 18 revised per disc w Mary_Restructuring &amp; Separation" xfId="10940"/>
    <cellStyle name="_Revised MOR 2004_MOR - BDWY - 1+11_MOR - Gurgaon - 3+9(R)_Revised MOR Package_II.4. RawMaterials" xfId="10941"/>
    <cellStyle name="_Revised MOR 2004_MOR - BDWY - 1+11_MOR - Gurgaon - 3+9(R)_Revised MOR Package_II.4. RawMaterials 2" xfId="10942"/>
    <cellStyle name="_Revised MOR 2004_MOR - BDWY - 1+11_MOR - Gurgaon - 3+9(R)_Revised MOR Package_II.4. RawMaterials_BS retrieve" xfId="10943"/>
    <cellStyle name="_Revised MOR 2004_MOR - BDWY - 1+11_MOR - Gurgaon - 3+9(R)_Revised MOR Package_II.4. RawMaterials_Free CF" xfId="10944"/>
    <cellStyle name="_Revised MOR 2004_MOR - BDWY - 1+11_MOR - Gurgaon - 3+9(R)_Revised MOR Package_II.4. RawMaterials_P&amp;L Rec Qtr" xfId="10945"/>
    <cellStyle name="_Revised MOR 2004_MOR - BDWY - 1+11_MOR - Gurgaon - 3+9(R)_Revised MOR Package_II.4. RawMaterials_Sheet1" xfId="10946"/>
    <cellStyle name="_Revised MOR 2004_MOR - BDWY - 1+11_MOR - Gurgaon - 3+9(R)_Revised MOR Package_II.4. RawMaterials_Sheet2" xfId="10947"/>
    <cellStyle name="_Revised MOR 2004_MOR - BDWY - 1+11_MOR - Gurgaon - 3+9(R)_Revised MOR Package_II.4. RawMaterials_Sheet3" xfId="10948"/>
    <cellStyle name="_Revised MOR 2004_MOR - BDWY - 1+11_MOR - Gurgaon - 3+9(R)_Revised MOR Package_II.4. RawMaterials_Sheet4" xfId="10949"/>
    <cellStyle name="_Revised MOR 2004_MOR - BDWY - 1+11_MOR - Gurgaon - 3+9(R)_Revised MOR Package_II.5. RawMaterials" xfId="10950"/>
    <cellStyle name="_Revised MOR 2004_MOR - BDWY - 1+11_MOR - Gurgaon - 3+9(R)_Revised MOR Package_II.5. RawMaterials 2" xfId="10951"/>
    <cellStyle name="_Revised MOR 2004_MOR - BDWY - 1+11_MOR - Gurgaon - 3+9(R)_Revised MOR Package_II.5. RawMaterials_BS retrieve" xfId="10952"/>
    <cellStyle name="_Revised MOR 2004_MOR - BDWY - 1+11_MOR - Gurgaon - 3+9(R)_Revised MOR Package_II.5. RawMaterials_Free CF" xfId="10953"/>
    <cellStyle name="_Revised MOR 2004_MOR - BDWY - 1+11_MOR - Gurgaon - 3+9(R)_Revised MOR Package_II.5. RawMaterials_P&amp;L Rec Qtr" xfId="10954"/>
    <cellStyle name="_Revised MOR 2004_MOR - BDWY - 1+11_MOR - Gurgaon - 3+9(R)_Revised MOR Package_II.5. RawMaterials_Sheet1" xfId="10955"/>
    <cellStyle name="_Revised MOR 2004_MOR - BDWY - 1+11_MOR - Gurgaon - 3+9(R)_Revised MOR Package_II.5. RawMaterials_Sheet2" xfId="10956"/>
    <cellStyle name="_Revised MOR 2004_MOR - BDWY - 1+11_MOR - Gurgaon - 3+9(R)_Revised MOR Package_II.5. RawMaterials_Sheet3" xfId="10957"/>
    <cellStyle name="_Revised MOR 2004_MOR - BDWY - 1+11_MOR - Gurgaon - 3+9(R)_Revised MOR Package_II.5. RawMaterials_Sheet4" xfId="10958"/>
    <cellStyle name="_Revised MOR 2004_MOR - BDWY - 1+11_MOR - Gurgaon - 3+9(R)_Revised MOR Package_II.5. RM Volume Sensitivities" xfId="10959"/>
    <cellStyle name="_Revised MOR 2004_MOR - BDWY - 1+11_MOR - Gurgaon - 3+9(R)_Revised MOR Package_II.5. RM Volume Sensitivities 2" xfId="10960"/>
    <cellStyle name="_Revised MOR 2004_MOR - BDWY - 1+11_MOR - Gurgaon - 3+9(R)_Revised MOR Package_II.5. RM Volume Sensitivities_BS retrieve" xfId="10961"/>
    <cellStyle name="_Revised MOR 2004_MOR - BDWY - 1+11_MOR - Gurgaon - 3+9(R)_Revised MOR Package_II.5. RM Volume Sensitivities_Free CF" xfId="10962"/>
    <cellStyle name="_Revised MOR 2004_MOR - BDWY - 1+11_MOR - Gurgaon - 3+9(R)_Revised MOR Package_II.5. RM Volume Sensitivities_P&amp;L Rec Qtr" xfId="10963"/>
    <cellStyle name="_Revised MOR 2004_MOR - BDWY - 1+11_MOR - Gurgaon - 3+9(R)_Revised MOR Package_II.5. RM Volume Sensitivities_Sheet1" xfId="10964"/>
    <cellStyle name="_Revised MOR 2004_MOR - BDWY - 1+11_MOR - Gurgaon - 3+9(R)_Revised MOR Package_II.5. RM Volume Sensitivities_Sheet2" xfId="10965"/>
    <cellStyle name="_Revised MOR 2004_MOR - BDWY - 1+11_MOR - Gurgaon - 3+9(R)_Revised MOR Package_II.5. RM Volume Sensitivities_Sheet3" xfId="10966"/>
    <cellStyle name="_Revised MOR 2004_MOR - BDWY - 1+11_MOR - Gurgaon - 3+9(R)_Revised MOR Package_II.5. RM Volume Sensitivities_Sheet4" xfId="10967"/>
    <cellStyle name="_Revised MOR 2004_MOR - BDWY - 1+11_MOR - Gurgaon - 3+9(R)_Revised MOR Package_II.8. Sep&amp;Discrete" xfId="10968"/>
    <cellStyle name="_Revised MOR 2004_MOR - BDWY - 1+11_MOR - Gurgaon - 3+9(R)_Revised MOR Package_Restructuring &amp; Separation" xfId="10969"/>
    <cellStyle name="_Revised MOR 2004_MOR - BDWY - 1+11_MOR - Gurgaon - 3+9(R)_Revised MOR Package_Restructuring_Separation_TAX_JuneFC2010 tf" xfId="10970"/>
    <cellStyle name="_Revised MOR 2004_MOR - BDWY - 1+11_MOR - Gurgaon - 3+9(R)_Revised MOR Package_Restructuring_Separation_TAX_JuneFC2010 tf_BS_Separation_TaxResIndem_Q12412 tf" xfId="10971"/>
    <cellStyle name="_Revised MOR 2004_MOR - BDWY - 1+11_MOR - Gurgaon - 3+9(R)_Revised MOR Package_Restructuring_Separation_TAX_JuneFC2010 tf_BS_Separation_TaxResIndem_Q12412 tf_Restructuring &amp; Separation" xfId="10972"/>
    <cellStyle name="_Revised MOR 2004_MOR - BDWY - 1+11_MOR - Gurgaon - 3+9(R)_Revised MOR Package_Restructuring_Separation_TAX_JuneFC2010 tf_II.8. Sep&amp;Discrete" xfId="10973"/>
    <cellStyle name="_Revised MOR 2004_MOR - BDWY - 1+11_MOR - Gurgaon - 3+9(R)_Revised MOR Package_Restructuring_Separation_TAX_JuneFC2010 tf_Restructuring &amp; Separation" xfId="10974"/>
    <cellStyle name="_Revised MOR 2004_MOR - BDWY - 1+11_MOR - Gurgaon - 3+9(R)_Revised MOR Package_Revised MOR Package - Latest" xfId="10975"/>
    <cellStyle name="_Revised MOR 2004_MOR - BDWY - 1+11_MOR - Gurgaon - 3+9(R)_Revised MOR Package_Revised MOR Package - Latest_BS_Separation_TaxResIndem_Q12412 tf" xfId="10976"/>
    <cellStyle name="_Revised MOR 2004_MOR - BDWY - 1+11_MOR - Gurgaon - 3+9(R)_Revised MOR Package_Revised MOR Package - Latest_BS_Separation_TaxResIndem_Q12412 tf_Restructuring &amp; Separation" xfId="10977"/>
    <cellStyle name="_Revised MOR 2004_MOR - BDWY - 1+11_MOR - Gurgaon - 3+9(R)_Revised MOR Package_Revised MOR Package - Latest_By Country Detail 1Q10 041410pm FIN 18 revised per disc w Mary" xfId="10978"/>
    <cellStyle name="_Revised MOR 2004_MOR - BDWY - 1+11_MOR - Gurgaon - 3+9(R)_Revised MOR Package_Revised MOR Package - Latest_By Country Detail 1Q10 041410pm FIN 18 revised per disc w Mary_BS_Separation_TaxResIndem_Q12412 tf" xfId="10979"/>
    <cellStyle name="_Revised MOR 2004_MOR - BDWY - 1+11_MOR - Gurgaon - 3+9(R)_Revised MOR Package_Revised MOR Package - Latest_By Country Detail 1Q10 041410pm FIN 18 revised per disc w Mary_BS_Separation_TaxResIndem_Q12412 tf_Restructuring &amp; Separation" xfId="10980"/>
    <cellStyle name="_Revised MOR 2004_MOR - BDWY - 1+11_MOR - Gurgaon - 3+9(R)_Revised MOR Package_Revised MOR Package - Latest_By Country Detail 1Q10 041410pm FIN 18 revised per disc w Mary_II.8. Sep&amp;Discrete" xfId="10981"/>
    <cellStyle name="_Revised MOR 2004_MOR - BDWY - 1+11_MOR - Gurgaon - 3+9(R)_Revised MOR Package_Revised MOR Package - Latest_By Country Detail 1Q10 041410pm FIN 18 revised per disc w Mary_Restructuring &amp; Separation" xfId="10982"/>
    <cellStyle name="_Revised MOR 2004_MOR - BDWY - 1+11_MOR - Gurgaon - 3+9(R)_Revised MOR Package_Revised MOR Package - Latest_II.4. RawMaterials" xfId="10983"/>
    <cellStyle name="_Revised MOR 2004_MOR - BDWY - 1+11_MOR - Gurgaon - 3+9(R)_Revised MOR Package_Revised MOR Package - Latest_II.4. RawMaterials 2" xfId="10984"/>
    <cellStyle name="_Revised MOR 2004_MOR - BDWY - 1+11_MOR - Gurgaon - 3+9(R)_Revised MOR Package_Revised MOR Package - Latest_II.4. RawMaterials_BS retrieve" xfId="10985"/>
    <cellStyle name="_Revised MOR 2004_MOR - BDWY - 1+11_MOR - Gurgaon - 3+9(R)_Revised MOR Package_Revised MOR Package - Latest_II.4. RawMaterials_Free CF" xfId="10986"/>
    <cellStyle name="_Revised MOR 2004_MOR - BDWY - 1+11_MOR - Gurgaon - 3+9(R)_Revised MOR Package_Revised MOR Package - Latest_II.4. RawMaterials_P&amp;L Rec Qtr" xfId="10987"/>
    <cellStyle name="_Revised MOR 2004_MOR - BDWY - 1+11_MOR - Gurgaon - 3+9(R)_Revised MOR Package_Revised MOR Package - Latest_II.4. RawMaterials_Sheet1" xfId="10988"/>
    <cellStyle name="_Revised MOR 2004_MOR - BDWY - 1+11_MOR - Gurgaon - 3+9(R)_Revised MOR Package_Revised MOR Package - Latest_II.4. RawMaterials_Sheet2" xfId="10989"/>
    <cellStyle name="_Revised MOR 2004_MOR - BDWY - 1+11_MOR - Gurgaon - 3+9(R)_Revised MOR Package_Revised MOR Package - Latest_II.4. RawMaterials_Sheet3" xfId="10990"/>
    <cellStyle name="_Revised MOR 2004_MOR - BDWY - 1+11_MOR - Gurgaon - 3+9(R)_Revised MOR Package_Revised MOR Package - Latest_II.4. RawMaterials_Sheet4" xfId="10991"/>
    <cellStyle name="_Revised MOR 2004_MOR - BDWY - 1+11_MOR - Gurgaon - 3+9(R)_Revised MOR Package_Revised MOR Package - Latest_II.5. RawMaterials" xfId="10992"/>
    <cellStyle name="_Revised MOR 2004_MOR - BDWY - 1+11_MOR - Gurgaon - 3+9(R)_Revised MOR Package_Revised MOR Package - Latest_II.5. RawMaterials 2" xfId="10993"/>
    <cellStyle name="_Revised MOR 2004_MOR - BDWY - 1+11_MOR - Gurgaon - 3+9(R)_Revised MOR Package_Revised MOR Package - Latest_II.5. RawMaterials_BS retrieve" xfId="10994"/>
    <cellStyle name="_Revised MOR 2004_MOR - BDWY - 1+11_MOR - Gurgaon - 3+9(R)_Revised MOR Package_Revised MOR Package - Latest_II.5. RawMaterials_Free CF" xfId="10995"/>
    <cellStyle name="_Revised MOR 2004_MOR - BDWY - 1+11_MOR - Gurgaon - 3+9(R)_Revised MOR Package_Revised MOR Package - Latest_II.5. RawMaterials_P&amp;L Rec Qtr" xfId="10996"/>
    <cellStyle name="_Revised MOR 2004_MOR - BDWY - 1+11_MOR - Gurgaon - 3+9(R)_Revised MOR Package_Revised MOR Package - Latest_II.5. RawMaterials_Sheet1" xfId="10997"/>
    <cellStyle name="_Revised MOR 2004_MOR - BDWY - 1+11_MOR - Gurgaon - 3+9(R)_Revised MOR Package_Revised MOR Package - Latest_II.5. RawMaterials_Sheet2" xfId="10998"/>
    <cellStyle name="_Revised MOR 2004_MOR - BDWY - 1+11_MOR - Gurgaon - 3+9(R)_Revised MOR Package_Revised MOR Package - Latest_II.5. RawMaterials_Sheet3" xfId="10999"/>
    <cellStyle name="_Revised MOR 2004_MOR - BDWY - 1+11_MOR - Gurgaon - 3+9(R)_Revised MOR Package_Revised MOR Package - Latest_II.5. RawMaterials_Sheet4" xfId="11000"/>
    <cellStyle name="_Revised MOR 2004_MOR - BDWY - 1+11_MOR - Gurgaon - 3+9(R)_Revised MOR Package_Revised MOR Package - Latest_II.5. RM Volume Sensitivities" xfId="11001"/>
    <cellStyle name="_Revised MOR 2004_MOR - BDWY - 1+11_MOR - Gurgaon - 3+9(R)_Revised MOR Package_Revised MOR Package - Latest_II.5. RM Volume Sensitivities 2" xfId="11002"/>
    <cellStyle name="_Revised MOR 2004_MOR - BDWY - 1+11_MOR - Gurgaon - 3+9(R)_Revised MOR Package_Revised MOR Package - Latest_II.5. RM Volume Sensitivities_BS retrieve" xfId="11003"/>
    <cellStyle name="_Revised MOR 2004_MOR - BDWY - 1+11_MOR - Gurgaon - 3+9(R)_Revised MOR Package_Revised MOR Package - Latest_II.5. RM Volume Sensitivities_Free CF" xfId="11004"/>
    <cellStyle name="_Revised MOR 2004_MOR - BDWY - 1+11_MOR - Gurgaon - 3+9(R)_Revised MOR Package_Revised MOR Package - Latest_II.5. RM Volume Sensitivities_P&amp;L Rec Qtr" xfId="11005"/>
    <cellStyle name="_Revised MOR 2004_MOR - BDWY - 1+11_MOR - Gurgaon - 3+9(R)_Revised MOR Package_Revised MOR Package - Latest_II.5. RM Volume Sensitivities_Sheet1" xfId="11006"/>
    <cellStyle name="_Revised MOR 2004_MOR - BDWY - 1+11_MOR - Gurgaon - 3+9(R)_Revised MOR Package_Revised MOR Package - Latest_II.5. RM Volume Sensitivities_Sheet2" xfId="11007"/>
    <cellStyle name="_Revised MOR 2004_MOR - BDWY - 1+11_MOR - Gurgaon - 3+9(R)_Revised MOR Package_Revised MOR Package - Latest_II.5. RM Volume Sensitivities_Sheet3" xfId="11008"/>
    <cellStyle name="_Revised MOR 2004_MOR - BDWY - 1+11_MOR - Gurgaon - 3+9(R)_Revised MOR Package_Revised MOR Package - Latest_II.5. RM Volume Sensitivities_Sheet4" xfId="11009"/>
    <cellStyle name="_Revised MOR 2004_MOR - BDWY - 1+11_MOR - Gurgaon - 3+9(R)_Revised MOR Package_Revised MOR Package - Latest_II.8. Sep&amp;Discrete" xfId="11010"/>
    <cellStyle name="_Revised MOR 2004_MOR - BDWY - 1+11_MOR - Gurgaon - 3+9(R)_Revised MOR Package_Revised MOR Package - Latest_Restructuring &amp; Separation" xfId="11011"/>
    <cellStyle name="_Revised MOR 2004_MOR - BDWY - 1+11_MOR - Gurgaon - 3+9(R)_Revised MOR Package_Revised MOR Package - Latest_Restructuring_Separation_TAX_JuneFC2010 tf" xfId="11012"/>
    <cellStyle name="_Revised MOR 2004_MOR - BDWY - 1+11_MOR - Gurgaon - 3+9(R)_Revised MOR Package_Revised MOR Package - Latest_Restructuring_Separation_TAX_JuneFC2010 tf_BS_Separation_TaxResIndem_Q12412 tf" xfId="11013"/>
    <cellStyle name="_Revised MOR 2004_MOR - BDWY - 1+11_MOR - Gurgaon - 3+9(R)_Revised MOR Package_Revised MOR Package - Latest_Restructuring_Separation_TAX_JuneFC2010 tf_BS_Separation_TaxResIndem_Q12412 tf_Restructuring &amp; Separation" xfId="11014"/>
    <cellStyle name="_Revised MOR 2004_MOR - BDWY - 1+11_MOR - Gurgaon - 3+9(R)_Revised MOR Package_Revised MOR Package - Latest_Restructuring_Separation_TAX_JuneFC2010 tf_II.8. Sep&amp;Discrete" xfId="11015"/>
    <cellStyle name="_Revised MOR 2004_MOR - BDWY - 1+11_MOR - Gurgaon - 3+9(R)_Revised MOR Package_Revised MOR Package - Latest_Restructuring_Separation_TAX_JuneFC2010 tf_Restructuring &amp; Separation" xfId="11016"/>
    <cellStyle name="_Revised MOR 2004_MOR - BDWY - 1+11_MOR - Gurgaon - 3+9(R)-1" xfId="11017"/>
    <cellStyle name="_Revised MOR 2004_MOR - BDWY - 1+11_MOR - Gurgaon - 3+9(R)-1_BS_Separation_TaxResIndem_Q12412 tf" xfId="11018"/>
    <cellStyle name="_Revised MOR 2004_MOR - BDWY - 1+11_MOR - Gurgaon - 3+9(R)-1_BS_Separation_TaxResIndem_Q12412 tf_Restructuring &amp; Separation" xfId="11019"/>
    <cellStyle name="_Revised MOR 2004_MOR - BDWY - 1+11_MOR - Gurgaon - 3+9(R)-1_By Country Detail 1Q10 041410pm FIN 18 revised per disc w Mary" xfId="11020"/>
    <cellStyle name="_Revised MOR 2004_MOR - BDWY - 1+11_MOR - Gurgaon - 3+9(R)-1_By Country Detail 1Q10 041410pm FIN 18 revised per disc w Mary_BS_Separation_TaxResIndem_Q12412 tf" xfId="11021"/>
    <cellStyle name="_Revised MOR 2004_MOR - BDWY - 1+11_MOR - Gurgaon - 3+9(R)-1_By Country Detail 1Q10 041410pm FIN 18 revised per disc w Mary_BS_Separation_TaxResIndem_Q12412 tf_Restructuring &amp; Separation" xfId="11022"/>
    <cellStyle name="_Revised MOR 2004_MOR - BDWY - 1+11_MOR - Gurgaon - 3+9(R)-1_By Country Detail 1Q10 041410pm FIN 18 revised per disc w Mary_II.8. Sep&amp;Discrete" xfId="11023"/>
    <cellStyle name="_Revised MOR 2004_MOR - BDWY - 1+11_MOR - Gurgaon - 3+9(R)-1_By Country Detail 1Q10 041410pm FIN 18 revised per disc w Mary_Restructuring &amp; Separation" xfId="11024"/>
    <cellStyle name="_Revised MOR 2004_MOR - BDWY - 1+11_MOR - Gurgaon - 3+9(R)-1_II.4. RawMaterials" xfId="11025"/>
    <cellStyle name="_Revised MOR 2004_MOR - BDWY - 1+11_MOR - Gurgaon - 3+9(R)-1_II.4. RawMaterials 2" xfId="11026"/>
    <cellStyle name="_Revised MOR 2004_MOR - BDWY - 1+11_MOR - Gurgaon - 3+9(R)-1_II.4. RawMaterials_BS retrieve" xfId="11027"/>
    <cellStyle name="_Revised MOR 2004_MOR - BDWY - 1+11_MOR - Gurgaon - 3+9(R)-1_II.4. RawMaterials_Free CF" xfId="11028"/>
    <cellStyle name="_Revised MOR 2004_MOR - BDWY - 1+11_MOR - Gurgaon - 3+9(R)-1_II.4. RawMaterials_P&amp;L Rec Qtr" xfId="11029"/>
    <cellStyle name="_Revised MOR 2004_MOR - BDWY - 1+11_MOR - Gurgaon - 3+9(R)-1_II.4. RawMaterials_Sheet1" xfId="11030"/>
    <cellStyle name="_Revised MOR 2004_MOR - BDWY - 1+11_MOR - Gurgaon - 3+9(R)-1_II.4. RawMaterials_Sheet2" xfId="11031"/>
    <cellStyle name="_Revised MOR 2004_MOR - BDWY - 1+11_MOR - Gurgaon - 3+9(R)-1_II.4. RawMaterials_Sheet3" xfId="11032"/>
    <cellStyle name="_Revised MOR 2004_MOR - BDWY - 1+11_MOR - Gurgaon - 3+9(R)-1_II.4. RawMaterials_Sheet4" xfId="11033"/>
    <cellStyle name="_Revised MOR 2004_MOR - BDWY - 1+11_MOR - Gurgaon - 3+9(R)-1_II.5. RawMaterials" xfId="11034"/>
    <cellStyle name="_Revised MOR 2004_MOR - BDWY - 1+11_MOR - Gurgaon - 3+9(R)-1_II.5. RawMaterials 2" xfId="11035"/>
    <cellStyle name="_Revised MOR 2004_MOR - BDWY - 1+11_MOR - Gurgaon - 3+9(R)-1_II.5. RawMaterials_BS retrieve" xfId="11036"/>
    <cellStyle name="_Revised MOR 2004_MOR - BDWY - 1+11_MOR - Gurgaon - 3+9(R)-1_II.5. RawMaterials_Free CF" xfId="11037"/>
    <cellStyle name="_Revised MOR 2004_MOR - BDWY - 1+11_MOR - Gurgaon - 3+9(R)-1_II.5. RawMaterials_P&amp;L Rec Qtr" xfId="11038"/>
    <cellStyle name="_Revised MOR 2004_MOR - BDWY - 1+11_MOR - Gurgaon - 3+9(R)-1_II.5. RawMaterials_Sheet1" xfId="11039"/>
    <cellStyle name="_Revised MOR 2004_MOR - BDWY - 1+11_MOR - Gurgaon - 3+9(R)-1_II.5. RawMaterials_Sheet2" xfId="11040"/>
    <cellStyle name="_Revised MOR 2004_MOR - BDWY - 1+11_MOR - Gurgaon - 3+9(R)-1_II.5. RawMaterials_Sheet3" xfId="11041"/>
    <cellStyle name="_Revised MOR 2004_MOR - BDWY - 1+11_MOR - Gurgaon - 3+9(R)-1_II.5. RawMaterials_Sheet4" xfId="11042"/>
    <cellStyle name="_Revised MOR 2004_MOR - BDWY - 1+11_MOR - Gurgaon - 3+9(R)-1_II.5. RM Volume Sensitivities" xfId="11043"/>
    <cellStyle name="_Revised MOR 2004_MOR - BDWY - 1+11_MOR - Gurgaon - 3+9(R)-1_II.5. RM Volume Sensitivities 2" xfId="11044"/>
    <cellStyle name="_Revised MOR 2004_MOR - BDWY - 1+11_MOR - Gurgaon - 3+9(R)-1_II.5. RM Volume Sensitivities_BS retrieve" xfId="11045"/>
    <cellStyle name="_Revised MOR 2004_MOR - BDWY - 1+11_MOR - Gurgaon - 3+9(R)-1_II.5. RM Volume Sensitivities_Free CF" xfId="11046"/>
    <cellStyle name="_Revised MOR 2004_MOR - BDWY - 1+11_MOR - Gurgaon - 3+9(R)-1_II.5. RM Volume Sensitivities_P&amp;L Rec Qtr" xfId="11047"/>
    <cellStyle name="_Revised MOR 2004_MOR - BDWY - 1+11_MOR - Gurgaon - 3+9(R)-1_II.5. RM Volume Sensitivities_Sheet1" xfId="11048"/>
    <cellStyle name="_Revised MOR 2004_MOR - BDWY - 1+11_MOR - Gurgaon - 3+9(R)-1_II.5. RM Volume Sensitivities_Sheet2" xfId="11049"/>
    <cellStyle name="_Revised MOR 2004_MOR - BDWY - 1+11_MOR - Gurgaon - 3+9(R)-1_II.5. RM Volume Sensitivities_Sheet3" xfId="11050"/>
    <cellStyle name="_Revised MOR 2004_MOR - BDWY - 1+11_MOR - Gurgaon - 3+9(R)-1_II.5. RM Volume Sensitivities_Sheet4" xfId="11051"/>
    <cellStyle name="_Revised MOR 2004_MOR - BDWY - 1+11_MOR - Gurgaon - 3+9(R)-1_II.8. Sep&amp;Discrete" xfId="11052"/>
    <cellStyle name="_Revised MOR 2004_MOR - BDWY - 1+11_MOR - Gurgaon - 3+9(R)-1_Restructuring &amp; Separation" xfId="11053"/>
    <cellStyle name="_Revised MOR 2004_MOR - BDWY - 1+11_MOR - Gurgaon - 3+9(R)-1_Restructuring_Separation_TAX_JuneFC2010 tf" xfId="11054"/>
    <cellStyle name="_Revised MOR 2004_MOR - BDWY - 1+11_MOR - Gurgaon - 3+9(R)-1_Restructuring_Separation_TAX_JuneFC2010 tf_BS_Separation_TaxResIndem_Q12412 tf" xfId="11055"/>
    <cellStyle name="_Revised MOR 2004_MOR - BDWY - 1+11_MOR - Gurgaon - 3+9(R)-1_Restructuring_Separation_TAX_JuneFC2010 tf_BS_Separation_TaxResIndem_Q12412 tf_Restructuring &amp; Separation" xfId="11056"/>
    <cellStyle name="_Revised MOR 2004_MOR - BDWY - 1+11_MOR - Gurgaon - 3+9(R)-1_Restructuring_Separation_TAX_JuneFC2010 tf_II.8. Sep&amp;Discrete" xfId="11057"/>
    <cellStyle name="_Revised MOR 2004_MOR - BDWY - 1+11_MOR - Gurgaon - 3+9(R)-1_Restructuring_Separation_TAX_JuneFC2010 tf_Restructuring &amp; Separation" xfId="11058"/>
    <cellStyle name="_Revised MOR 2004_MOR - BDWY - 1+11_MOR - Gurgaon - 3+9(R)-1_Revised MOR Package" xfId="11059"/>
    <cellStyle name="_Revised MOR 2004_MOR - BDWY - 1+11_MOR - Gurgaon - 3+9(R)-1_Revised MOR Package_~0039877" xfId="11060"/>
    <cellStyle name="_Revised MOR 2004_MOR - BDWY - 1+11_MOR - Gurgaon - 3+9(R)-1_Revised MOR Package_~0039877_BS_Separation_TaxResIndem_Q12412 tf" xfId="11061"/>
    <cellStyle name="_Revised MOR 2004_MOR - BDWY - 1+11_MOR - Gurgaon - 3+9(R)-1_Revised MOR Package_~0039877_BS_Separation_TaxResIndem_Q12412 tf_Restructuring &amp; Separation" xfId="11062"/>
    <cellStyle name="_Revised MOR 2004_MOR - BDWY - 1+11_MOR - Gurgaon - 3+9(R)-1_Revised MOR Package_~0039877_By Country Detail 1Q10 041410pm FIN 18 revised per disc w Mary" xfId="11063"/>
    <cellStyle name="_Revised MOR 2004_MOR - BDWY - 1+11_MOR - Gurgaon - 3+9(R)-1_Revised MOR Package_~0039877_By Country Detail 1Q10 041410pm FIN 18 revised per disc w Mary_BS_Separation_TaxResIndem_Q12412 tf" xfId="11064"/>
    <cellStyle name="_Revised MOR 2004_MOR - BDWY - 1+11_MOR - Gurgaon - 3+9(R)-1_Revised MOR Package_~0039877_By Country Detail 1Q10 041410pm FIN 18 revised per disc w Mary_BS_Separation_TaxResIndem_Q12412 tf_Restructuring &amp; Separation" xfId="11065"/>
    <cellStyle name="_Revised MOR 2004_MOR - BDWY - 1+11_MOR - Gurgaon - 3+9(R)-1_Revised MOR Package_~0039877_By Country Detail 1Q10 041410pm FIN 18 revised per disc w Mary_II.8. Sep&amp;Discrete" xfId="11066"/>
    <cellStyle name="_Revised MOR 2004_MOR - BDWY - 1+11_MOR - Gurgaon - 3+9(R)-1_Revised MOR Package_~0039877_By Country Detail 1Q10 041410pm FIN 18 revised per disc w Mary_Restructuring &amp; Separation" xfId="11067"/>
    <cellStyle name="_Revised MOR 2004_MOR - BDWY - 1+11_MOR - Gurgaon - 3+9(R)-1_Revised MOR Package_~0039877_II.4. RawMaterials" xfId="11068"/>
    <cellStyle name="_Revised MOR 2004_MOR - BDWY - 1+11_MOR - Gurgaon - 3+9(R)-1_Revised MOR Package_~0039877_II.4. RawMaterials 2" xfId="11069"/>
    <cellStyle name="_Revised MOR 2004_MOR - BDWY - 1+11_MOR - Gurgaon - 3+9(R)-1_Revised MOR Package_~0039877_II.4. RawMaterials_BS retrieve" xfId="11070"/>
    <cellStyle name="_Revised MOR 2004_MOR - BDWY - 1+11_MOR - Gurgaon - 3+9(R)-1_Revised MOR Package_~0039877_II.4. RawMaterials_Free CF" xfId="11071"/>
    <cellStyle name="_Revised MOR 2004_MOR - BDWY - 1+11_MOR - Gurgaon - 3+9(R)-1_Revised MOR Package_~0039877_II.4. RawMaterials_P&amp;L Rec Qtr" xfId="11072"/>
    <cellStyle name="_Revised MOR 2004_MOR - BDWY - 1+11_MOR - Gurgaon - 3+9(R)-1_Revised MOR Package_~0039877_II.4. RawMaterials_Sheet1" xfId="11073"/>
    <cellStyle name="_Revised MOR 2004_MOR - BDWY - 1+11_MOR - Gurgaon - 3+9(R)-1_Revised MOR Package_~0039877_II.4. RawMaterials_Sheet2" xfId="11074"/>
    <cellStyle name="_Revised MOR 2004_MOR - BDWY - 1+11_MOR - Gurgaon - 3+9(R)-1_Revised MOR Package_~0039877_II.4. RawMaterials_Sheet3" xfId="11075"/>
    <cellStyle name="_Revised MOR 2004_MOR - BDWY - 1+11_MOR - Gurgaon - 3+9(R)-1_Revised MOR Package_~0039877_II.4. RawMaterials_Sheet4" xfId="11076"/>
    <cellStyle name="_Revised MOR 2004_MOR - BDWY - 1+11_MOR - Gurgaon - 3+9(R)-1_Revised MOR Package_~0039877_II.5. RawMaterials" xfId="11077"/>
    <cellStyle name="_Revised MOR 2004_MOR - BDWY - 1+11_MOR - Gurgaon - 3+9(R)-1_Revised MOR Package_~0039877_II.5. RawMaterials 2" xfId="11078"/>
    <cellStyle name="_Revised MOR 2004_MOR - BDWY - 1+11_MOR - Gurgaon - 3+9(R)-1_Revised MOR Package_~0039877_II.5. RawMaterials_BS retrieve" xfId="11079"/>
    <cellStyle name="_Revised MOR 2004_MOR - BDWY - 1+11_MOR - Gurgaon - 3+9(R)-1_Revised MOR Package_~0039877_II.5. RawMaterials_Free CF" xfId="11080"/>
    <cellStyle name="_Revised MOR 2004_MOR - BDWY - 1+11_MOR - Gurgaon - 3+9(R)-1_Revised MOR Package_~0039877_II.5. RawMaterials_P&amp;L Rec Qtr" xfId="11081"/>
    <cellStyle name="_Revised MOR 2004_MOR - BDWY - 1+11_MOR - Gurgaon - 3+9(R)-1_Revised MOR Package_~0039877_II.5. RawMaterials_Sheet1" xfId="11082"/>
    <cellStyle name="_Revised MOR 2004_MOR - BDWY - 1+11_MOR - Gurgaon - 3+9(R)-1_Revised MOR Package_~0039877_II.5. RawMaterials_Sheet2" xfId="11083"/>
    <cellStyle name="_Revised MOR 2004_MOR - BDWY - 1+11_MOR - Gurgaon - 3+9(R)-1_Revised MOR Package_~0039877_II.5. RawMaterials_Sheet3" xfId="11084"/>
    <cellStyle name="_Revised MOR 2004_MOR - BDWY - 1+11_MOR - Gurgaon - 3+9(R)-1_Revised MOR Package_~0039877_II.5. RawMaterials_Sheet4" xfId="11085"/>
    <cellStyle name="_Revised MOR 2004_MOR - BDWY - 1+11_MOR - Gurgaon - 3+9(R)-1_Revised MOR Package_~0039877_II.5. RM Volume Sensitivities" xfId="11086"/>
    <cellStyle name="_Revised MOR 2004_MOR - BDWY - 1+11_MOR - Gurgaon - 3+9(R)-1_Revised MOR Package_~0039877_II.5. RM Volume Sensitivities 2" xfId="11087"/>
    <cellStyle name="_Revised MOR 2004_MOR - BDWY - 1+11_MOR - Gurgaon - 3+9(R)-1_Revised MOR Package_~0039877_II.5. RM Volume Sensitivities_BS retrieve" xfId="11088"/>
    <cellStyle name="_Revised MOR 2004_MOR - BDWY - 1+11_MOR - Gurgaon - 3+9(R)-1_Revised MOR Package_~0039877_II.5. RM Volume Sensitivities_Free CF" xfId="11089"/>
    <cellStyle name="_Revised MOR 2004_MOR - BDWY - 1+11_MOR - Gurgaon - 3+9(R)-1_Revised MOR Package_~0039877_II.5. RM Volume Sensitivities_P&amp;L Rec Qtr" xfId="11090"/>
    <cellStyle name="_Revised MOR 2004_MOR - BDWY - 1+11_MOR - Gurgaon - 3+9(R)-1_Revised MOR Package_~0039877_II.5. RM Volume Sensitivities_Sheet1" xfId="11091"/>
    <cellStyle name="_Revised MOR 2004_MOR - BDWY - 1+11_MOR - Gurgaon - 3+9(R)-1_Revised MOR Package_~0039877_II.5. RM Volume Sensitivities_Sheet2" xfId="11092"/>
    <cellStyle name="_Revised MOR 2004_MOR - BDWY - 1+11_MOR - Gurgaon - 3+9(R)-1_Revised MOR Package_~0039877_II.5. RM Volume Sensitivities_Sheet3" xfId="11093"/>
    <cellStyle name="_Revised MOR 2004_MOR - BDWY - 1+11_MOR - Gurgaon - 3+9(R)-1_Revised MOR Package_~0039877_II.5. RM Volume Sensitivities_Sheet4" xfId="11094"/>
    <cellStyle name="_Revised MOR 2004_MOR - BDWY - 1+11_MOR - Gurgaon - 3+9(R)-1_Revised MOR Package_~0039877_II.8. Sep&amp;Discrete" xfId="11095"/>
    <cellStyle name="_Revised MOR 2004_MOR - BDWY - 1+11_MOR - Gurgaon - 3+9(R)-1_Revised MOR Package_~0039877_Restructuring &amp; Separation" xfId="11096"/>
    <cellStyle name="_Revised MOR 2004_MOR - BDWY - 1+11_MOR - Gurgaon - 3+9(R)-1_Revised MOR Package_~0039877_Restructuring_Separation_TAX_JuneFC2010 tf" xfId="11097"/>
    <cellStyle name="_Revised MOR 2004_MOR - BDWY - 1+11_MOR - Gurgaon - 3+9(R)-1_Revised MOR Package_~0039877_Restructuring_Separation_TAX_JuneFC2010 tf_BS_Separation_TaxResIndem_Q12412 tf" xfId="11098"/>
    <cellStyle name="_Revised MOR 2004_MOR - BDWY - 1+11_MOR - Gurgaon - 3+9(R)-1_Revised MOR Package_~0039877_Restructuring_Separation_TAX_JuneFC2010 tf_BS_Separation_TaxResIndem_Q12412 tf_Restructuring &amp; Separation" xfId="11099"/>
    <cellStyle name="_Revised MOR 2004_MOR - BDWY - 1+11_MOR - Gurgaon - 3+9(R)-1_Revised MOR Package_~0039877_Restructuring_Separation_TAX_JuneFC2010 tf_II.8. Sep&amp;Discrete" xfId="11100"/>
    <cellStyle name="_Revised MOR 2004_MOR - BDWY - 1+11_MOR - Gurgaon - 3+9(R)-1_Revised MOR Package_~0039877_Restructuring_Separation_TAX_JuneFC2010 tf_Restructuring &amp; Separation" xfId="11101"/>
    <cellStyle name="_Revised MOR 2004_MOR - BDWY - 1+11_MOR - Gurgaon - 3+9(R)-1_Revised MOR Package_BS_Separation_TaxResIndem_Q12412 tf" xfId="11102"/>
    <cellStyle name="_Revised MOR 2004_MOR - BDWY - 1+11_MOR - Gurgaon - 3+9(R)-1_Revised MOR Package_BS_Separation_TaxResIndem_Q12412 tf_Restructuring &amp; Separation" xfId="11103"/>
    <cellStyle name="_Revised MOR 2004_MOR - BDWY - 1+11_MOR - Gurgaon - 3+9(R)-1_Revised MOR Package_By Country Detail 1Q10 041410pm FIN 18 revised per disc w Mary" xfId="11104"/>
    <cellStyle name="_Revised MOR 2004_MOR - BDWY - 1+11_MOR - Gurgaon - 3+9(R)-1_Revised MOR Package_By Country Detail 1Q10 041410pm FIN 18 revised per disc w Mary_BS_Separation_TaxResIndem_Q12412 tf" xfId="11105"/>
    <cellStyle name="_Revised MOR 2004_MOR - BDWY - 1+11_MOR - Gurgaon - 3+9(R)-1_Revised MOR Package_By Country Detail 1Q10 041410pm FIN 18 revised per disc w Mary_BS_Separation_TaxResIndem_Q12412 tf_Restructuring &amp; Separation" xfId="11106"/>
    <cellStyle name="_Revised MOR 2004_MOR - BDWY - 1+11_MOR - Gurgaon - 3+9(R)-1_Revised MOR Package_By Country Detail 1Q10 041410pm FIN 18 revised per disc w Mary_II.8. Sep&amp;Discrete" xfId="11107"/>
    <cellStyle name="_Revised MOR 2004_MOR - BDWY - 1+11_MOR - Gurgaon - 3+9(R)-1_Revised MOR Package_By Country Detail 1Q10 041410pm FIN 18 revised per disc w Mary_Restructuring &amp; Separation" xfId="11108"/>
    <cellStyle name="_Revised MOR 2004_MOR - BDWY - 1+11_MOR - Gurgaon - 3+9(R)-1_Revised MOR Package_II.4. RawMaterials" xfId="11109"/>
    <cellStyle name="_Revised MOR 2004_MOR - BDWY - 1+11_MOR - Gurgaon - 3+9(R)-1_Revised MOR Package_II.4. RawMaterials 2" xfId="11110"/>
    <cellStyle name="_Revised MOR 2004_MOR - BDWY - 1+11_MOR - Gurgaon - 3+9(R)-1_Revised MOR Package_II.4. RawMaterials_BS retrieve" xfId="11111"/>
    <cellStyle name="_Revised MOR 2004_MOR - BDWY - 1+11_MOR - Gurgaon - 3+9(R)-1_Revised MOR Package_II.4. RawMaterials_Free CF" xfId="11112"/>
    <cellStyle name="_Revised MOR 2004_MOR - BDWY - 1+11_MOR - Gurgaon - 3+9(R)-1_Revised MOR Package_II.4. RawMaterials_P&amp;L Rec Qtr" xfId="11113"/>
    <cellStyle name="_Revised MOR 2004_MOR - BDWY - 1+11_MOR - Gurgaon - 3+9(R)-1_Revised MOR Package_II.4. RawMaterials_Sheet1" xfId="11114"/>
    <cellStyle name="_Revised MOR 2004_MOR - BDWY - 1+11_MOR - Gurgaon - 3+9(R)-1_Revised MOR Package_II.4. RawMaterials_Sheet2" xfId="11115"/>
    <cellStyle name="_Revised MOR 2004_MOR - BDWY - 1+11_MOR - Gurgaon - 3+9(R)-1_Revised MOR Package_II.4. RawMaterials_Sheet3" xfId="11116"/>
    <cellStyle name="_Revised MOR 2004_MOR - BDWY - 1+11_MOR - Gurgaon - 3+9(R)-1_Revised MOR Package_II.4. RawMaterials_Sheet4" xfId="11117"/>
    <cellStyle name="_Revised MOR 2004_MOR - BDWY - 1+11_MOR - Gurgaon - 3+9(R)-1_Revised MOR Package_II.5. RawMaterials" xfId="11118"/>
    <cellStyle name="_Revised MOR 2004_MOR - BDWY - 1+11_MOR - Gurgaon - 3+9(R)-1_Revised MOR Package_II.5. RawMaterials 2" xfId="11119"/>
    <cellStyle name="_Revised MOR 2004_MOR - BDWY - 1+11_MOR - Gurgaon - 3+9(R)-1_Revised MOR Package_II.5. RawMaterials_BS retrieve" xfId="11120"/>
    <cellStyle name="_Revised MOR 2004_MOR - BDWY - 1+11_MOR - Gurgaon - 3+9(R)-1_Revised MOR Package_II.5. RawMaterials_Free CF" xfId="11121"/>
    <cellStyle name="_Revised MOR 2004_MOR - BDWY - 1+11_MOR - Gurgaon - 3+9(R)-1_Revised MOR Package_II.5. RawMaterials_P&amp;L Rec Qtr" xfId="11122"/>
    <cellStyle name="_Revised MOR 2004_MOR - BDWY - 1+11_MOR - Gurgaon - 3+9(R)-1_Revised MOR Package_II.5. RawMaterials_Sheet1" xfId="11123"/>
    <cellStyle name="_Revised MOR 2004_MOR - BDWY - 1+11_MOR - Gurgaon - 3+9(R)-1_Revised MOR Package_II.5. RawMaterials_Sheet2" xfId="11124"/>
    <cellStyle name="_Revised MOR 2004_MOR - BDWY - 1+11_MOR - Gurgaon - 3+9(R)-1_Revised MOR Package_II.5. RawMaterials_Sheet3" xfId="11125"/>
    <cellStyle name="_Revised MOR 2004_MOR - BDWY - 1+11_MOR - Gurgaon - 3+9(R)-1_Revised MOR Package_II.5. RawMaterials_Sheet4" xfId="11126"/>
    <cellStyle name="_Revised MOR 2004_MOR - BDWY - 1+11_MOR - Gurgaon - 3+9(R)-1_Revised MOR Package_II.5. RM Volume Sensitivities" xfId="11127"/>
    <cellStyle name="_Revised MOR 2004_MOR - BDWY - 1+11_MOR - Gurgaon - 3+9(R)-1_Revised MOR Package_II.5. RM Volume Sensitivities 2" xfId="11128"/>
    <cellStyle name="_Revised MOR 2004_MOR - BDWY - 1+11_MOR - Gurgaon - 3+9(R)-1_Revised MOR Package_II.5. RM Volume Sensitivities_BS retrieve" xfId="11129"/>
    <cellStyle name="_Revised MOR 2004_MOR - BDWY - 1+11_MOR - Gurgaon - 3+9(R)-1_Revised MOR Package_II.5. RM Volume Sensitivities_Free CF" xfId="11130"/>
    <cellStyle name="_Revised MOR 2004_MOR - BDWY - 1+11_MOR - Gurgaon - 3+9(R)-1_Revised MOR Package_II.5. RM Volume Sensitivities_P&amp;L Rec Qtr" xfId="11131"/>
    <cellStyle name="_Revised MOR 2004_MOR - BDWY - 1+11_MOR - Gurgaon - 3+9(R)-1_Revised MOR Package_II.5. RM Volume Sensitivities_Sheet1" xfId="11132"/>
    <cellStyle name="_Revised MOR 2004_MOR - BDWY - 1+11_MOR - Gurgaon - 3+9(R)-1_Revised MOR Package_II.5. RM Volume Sensitivities_Sheet2" xfId="11133"/>
    <cellStyle name="_Revised MOR 2004_MOR - BDWY - 1+11_MOR - Gurgaon - 3+9(R)-1_Revised MOR Package_II.5. RM Volume Sensitivities_Sheet3" xfId="11134"/>
    <cellStyle name="_Revised MOR 2004_MOR - BDWY - 1+11_MOR - Gurgaon - 3+9(R)-1_Revised MOR Package_II.5. RM Volume Sensitivities_Sheet4" xfId="11135"/>
    <cellStyle name="_Revised MOR 2004_MOR - BDWY - 1+11_MOR - Gurgaon - 3+9(R)-1_Revised MOR Package_II.8. Sep&amp;Discrete" xfId="11136"/>
    <cellStyle name="_Revised MOR 2004_MOR - BDWY - 1+11_MOR - Gurgaon - 3+9(R)-1_Revised MOR Package_Restructuring &amp; Separation" xfId="11137"/>
    <cellStyle name="_Revised MOR 2004_MOR - BDWY - 1+11_MOR - Gurgaon - 3+9(R)-1_Revised MOR Package_Restructuring_Separation_TAX_JuneFC2010 tf" xfId="11138"/>
    <cellStyle name="_Revised MOR 2004_MOR - BDWY - 1+11_MOR - Gurgaon - 3+9(R)-1_Revised MOR Package_Restructuring_Separation_TAX_JuneFC2010 tf_BS_Separation_TaxResIndem_Q12412 tf" xfId="11139"/>
    <cellStyle name="_Revised MOR 2004_MOR - BDWY - 1+11_MOR - Gurgaon - 3+9(R)-1_Revised MOR Package_Restructuring_Separation_TAX_JuneFC2010 tf_BS_Separation_TaxResIndem_Q12412 tf_Restructuring &amp; Separation" xfId="11140"/>
    <cellStyle name="_Revised MOR 2004_MOR - BDWY - 1+11_MOR - Gurgaon - 3+9(R)-1_Revised MOR Package_Restructuring_Separation_TAX_JuneFC2010 tf_II.8. Sep&amp;Discrete" xfId="11141"/>
    <cellStyle name="_Revised MOR 2004_MOR - BDWY - 1+11_MOR - Gurgaon - 3+9(R)-1_Revised MOR Package_Restructuring_Separation_TAX_JuneFC2010 tf_Restructuring &amp; Separation" xfId="11142"/>
    <cellStyle name="_Revised MOR 2004_MOR - BDWY - 1+11_MOR - Gurgaon - 3+9(R)-1_Revised MOR Package_Revised MOR Package - Latest" xfId="11143"/>
    <cellStyle name="_Revised MOR 2004_MOR - BDWY - 1+11_MOR - Gurgaon - 3+9(R)-1_Revised MOR Package_Revised MOR Package - Latest_BS_Separation_TaxResIndem_Q12412 tf" xfId="11144"/>
    <cellStyle name="_Revised MOR 2004_MOR - BDWY - 1+11_MOR - Gurgaon - 3+9(R)-1_Revised MOR Package_Revised MOR Package - Latest_BS_Separation_TaxResIndem_Q12412 tf_Restructuring &amp; Separation" xfId="11145"/>
    <cellStyle name="_Revised MOR 2004_MOR - BDWY - 1+11_MOR - Gurgaon - 3+9(R)-1_Revised MOR Package_Revised MOR Package - Latest_By Country Detail 1Q10 041410pm FIN 18 revised per disc w Mary" xfId="11146"/>
    <cellStyle name="_Revised MOR 2004_MOR - BDWY - 1+11_MOR - Gurgaon - 3+9(R)-1_Revised MOR Package_Revised MOR Package - Latest_By Country Detail 1Q10 041410pm FIN 18 revised per disc w Mary_BS_Separation_TaxResIndem_Q12412 tf" xfId="11147"/>
    <cellStyle name="_Revised MOR 2004_MOR - BDWY - 1+11_MOR - Gurgaon - 3+9(R)-1_Revised MOR Package_Revised MOR Package - Latest_By Country Detail 1Q10 041410pm FIN 18 revised per disc w Mary_BS_Separation_TaxResIndem_Q12412 tf_Restructuring &amp; Separation" xfId="11148"/>
    <cellStyle name="_Revised MOR 2004_MOR - BDWY - 1+11_MOR - Gurgaon - 3+9(R)-1_Revised MOR Package_Revised MOR Package - Latest_By Country Detail 1Q10 041410pm FIN 18 revised per disc w Mary_II.8. Sep&amp;Discrete" xfId="11149"/>
    <cellStyle name="_Revised MOR 2004_MOR - BDWY - 1+11_MOR - Gurgaon - 3+9(R)-1_Revised MOR Package_Revised MOR Package - Latest_By Country Detail 1Q10 041410pm FIN 18 revised per disc w Mary_Restructuring &amp; Separation" xfId="11150"/>
    <cellStyle name="_Revised MOR 2004_MOR - BDWY - 1+11_MOR - Gurgaon - 3+9(R)-1_Revised MOR Package_Revised MOR Package - Latest_II.4. RawMaterials" xfId="11151"/>
    <cellStyle name="_Revised MOR 2004_MOR - BDWY - 1+11_MOR - Gurgaon - 3+9(R)-1_Revised MOR Package_Revised MOR Package - Latest_II.4. RawMaterials 2" xfId="11152"/>
    <cellStyle name="_Revised MOR 2004_MOR - BDWY - 1+11_MOR - Gurgaon - 3+9(R)-1_Revised MOR Package_Revised MOR Package - Latest_II.4. RawMaterials_BS retrieve" xfId="11153"/>
    <cellStyle name="_Revised MOR 2004_MOR - BDWY - 1+11_MOR - Gurgaon - 3+9(R)-1_Revised MOR Package_Revised MOR Package - Latest_II.4. RawMaterials_Free CF" xfId="11154"/>
    <cellStyle name="_Revised MOR 2004_MOR - BDWY - 1+11_MOR - Gurgaon - 3+9(R)-1_Revised MOR Package_Revised MOR Package - Latest_II.4. RawMaterials_P&amp;L Rec Qtr" xfId="11155"/>
    <cellStyle name="_Revised MOR 2004_MOR - BDWY - 1+11_MOR - Gurgaon - 3+9(R)-1_Revised MOR Package_Revised MOR Package - Latest_II.4. RawMaterials_Sheet1" xfId="11156"/>
    <cellStyle name="_Revised MOR 2004_MOR - BDWY - 1+11_MOR - Gurgaon - 3+9(R)-1_Revised MOR Package_Revised MOR Package - Latest_II.4. RawMaterials_Sheet2" xfId="11157"/>
    <cellStyle name="_Revised MOR 2004_MOR - BDWY - 1+11_MOR - Gurgaon - 3+9(R)-1_Revised MOR Package_Revised MOR Package - Latest_II.4. RawMaterials_Sheet3" xfId="11158"/>
    <cellStyle name="_Revised MOR 2004_MOR - BDWY - 1+11_MOR - Gurgaon - 3+9(R)-1_Revised MOR Package_Revised MOR Package - Latest_II.4. RawMaterials_Sheet4" xfId="11159"/>
    <cellStyle name="_Revised MOR 2004_MOR - BDWY - 1+11_MOR - Gurgaon - 3+9(R)-1_Revised MOR Package_Revised MOR Package - Latest_II.5. RawMaterials" xfId="11160"/>
    <cellStyle name="_Revised MOR 2004_MOR - BDWY - 1+11_MOR - Gurgaon - 3+9(R)-1_Revised MOR Package_Revised MOR Package - Latest_II.5. RawMaterials 2" xfId="11161"/>
    <cellStyle name="_Revised MOR 2004_MOR - BDWY - 1+11_MOR - Gurgaon - 3+9(R)-1_Revised MOR Package_Revised MOR Package - Latest_II.5. RawMaterials_BS retrieve" xfId="11162"/>
    <cellStyle name="_Revised MOR 2004_MOR - BDWY - 1+11_MOR - Gurgaon - 3+9(R)-1_Revised MOR Package_Revised MOR Package - Latest_II.5. RawMaterials_Free CF" xfId="11163"/>
    <cellStyle name="_Revised MOR 2004_MOR - BDWY - 1+11_MOR - Gurgaon - 3+9(R)-1_Revised MOR Package_Revised MOR Package - Latest_II.5. RawMaterials_P&amp;L Rec Qtr" xfId="11164"/>
    <cellStyle name="_Revised MOR 2004_MOR - BDWY - 1+11_MOR - Gurgaon - 3+9(R)-1_Revised MOR Package_Revised MOR Package - Latest_II.5. RawMaterials_Sheet1" xfId="11165"/>
    <cellStyle name="_Revised MOR 2004_MOR - BDWY - 1+11_MOR - Gurgaon - 3+9(R)-1_Revised MOR Package_Revised MOR Package - Latest_II.5. RawMaterials_Sheet2" xfId="11166"/>
    <cellStyle name="_Revised MOR 2004_MOR - BDWY - 1+11_MOR - Gurgaon - 3+9(R)-1_Revised MOR Package_Revised MOR Package - Latest_II.5. RawMaterials_Sheet3" xfId="11167"/>
    <cellStyle name="_Revised MOR 2004_MOR - BDWY - 1+11_MOR - Gurgaon - 3+9(R)-1_Revised MOR Package_Revised MOR Package - Latest_II.5. RawMaterials_Sheet4" xfId="11168"/>
    <cellStyle name="_Revised MOR 2004_MOR - BDWY - 1+11_MOR - Gurgaon - 3+9(R)-1_Revised MOR Package_Revised MOR Package - Latest_II.5. RM Volume Sensitivities" xfId="11169"/>
    <cellStyle name="_Revised MOR 2004_MOR - BDWY - 1+11_MOR - Gurgaon - 3+9(R)-1_Revised MOR Package_Revised MOR Package - Latest_II.5. RM Volume Sensitivities 2" xfId="11170"/>
    <cellStyle name="_Revised MOR 2004_MOR - BDWY - 1+11_MOR - Gurgaon - 3+9(R)-1_Revised MOR Package_Revised MOR Package - Latest_II.5. RM Volume Sensitivities_BS retrieve" xfId="11171"/>
    <cellStyle name="_Revised MOR 2004_MOR - BDWY - 1+11_MOR - Gurgaon - 3+9(R)-1_Revised MOR Package_Revised MOR Package - Latest_II.5. RM Volume Sensitivities_Free CF" xfId="11172"/>
    <cellStyle name="_Revised MOR 2004_MOR - BDWY - 1+11_MOR - Gurgaon - 3+9(R)-1_Revised MOR Package_Revised MOR Package - Latest_II.5. RM Volume Sensitivities_P&amp;L Rec Qtr" xfId="11173"/>
    <cellStyle name="_Revised MOR 2004_MOR - BDWY - 1+11_MOR - Gurgaon - 3+9(R)-1_Revised MOR Package_Revised MOR Package - Latest_II.5. RM Volume Sensitivities_Sheet1" xfId="11174"/>
    <cellStyle name="_Revised MOR 2004_MOR - BDWY - 1+11_MOR - Gurgaon - 3+9(R)-1_Revised MOR Package_Revised MOR Package - Latest_II.5. RM Volume Sensitivities_Sheet2" xfId="11175"/>
    <cellStyle name="_Revised MOR 2004_MOR - BDWY - 1+11_MOR - Gurgaon - 3+9(R)-1_Revised MOR Package_Revised MOR Package - Latest_II.5. RM Volume Sensitivities_Sheet3" xfId="11176"/>
    <cellStyle name="_Revised MOR 2004_MOR - BDWY - 1+11_MOR - Gurgaon - 3+9(R)-1_Revised MOR Package_Revised MOR Package - Latest_II.5. RM Volume Sensitivities_Sheet4" xfId="11177"/>
    <cellStyle name="_Revised MOR 2004_MOR - BDWY - 1+11_MOR - Gurgaon - 3+9(R)-1_Revised MOR Package_Revised MOR Package - Latest_II.8. Sep&amp;Discrete" xfId="11178"/>
    <cellStyle name="_Revised MOR 2004_MOR - BDWY - 1+11_MOR - Gurgaon - 3+9(R)-1_Revised MOR Package_Revised MOR Package - Latest_Restructuring &amp; Separation" xfId="11179"/>
    <cellStyle name="_Revised MOR 2004_MOR - BDWY - 1+11_MOR - Gurgaon - 3+9(R)-1_Revised MOR Package_Revised MOR Package - Latest_Restructuring_Separation_TAX_JuneFC2010 tf" xfId="11180"/>
    <cellStyle name="_Revised MOR 2004_MOR - BDWY - 1+11_MOR - Gurgaon - 3+9(R)-1_Revised MOR Package_Revised MOR Package - Latest_Restructuring_Separation_TAX_JuneFC2010 tf_BS_Separation_TaxResIndem_Q12412 tf" xfId="11181"/>
    <cellStyle name="_Revised MOR 2004_MOR - BDWY - 1+11_MOR - Gurgaon - 3+9(R)-1_Revised MOR Package_Revised MOR Package - Latest_Restructuring_Separation_TAX_JuneFC2010 tf_BS_Separation_TaxResIndem_Q12412 tf_Restructuring &amp; Separation" xfId="11182"/>
    <cellStyle name="_Revised MOR 2004_MOR - BDWY - 1+11_MOR - Gurgaon - 3+9(R)-1_Revised MOR Package_Revised MOR Package - Latest_Restructuring_Separation_TAX_JuneFC2010 tf_II.8. Sep&amp;Discrete" xfId="11183"/>
    <cellStyle name="_Revised MOR 2004_MOR - BDWY - 1+11_MOR - Gurgaon - 3+9(R)-1_Revised MOR Package_Revised MOR Package - Latest_Restructuring_Separation_TAX_JuneFC2010 tf_Restructuring &amp; Separation" xfId="11184"/>
    <cellStyle name="_Revised MOR 2004_MOR - BDWY - 1+11_Restructuring &amp; Separation" xfId="11185"/>
    <cellStyle name="_Revised MOR 2004_MOR - BDWY - 1+11_Restructuring_Separation_TAX_JuneFC2010 tf" xfId="11186"/>
    <cellStyle name="_Revised MOR 2004_MOR - BDWY - 1+11_Restructuring_Separation_TAX_JuneFC2010 tf_BS_Separation_TaxResIndem_Q12412 tf" xfId="11187"/>
    <cellStyle name="_Revised MOR 2004_MOR - BDWY - 1+11_Restructuring_Separation_TAX_JuneFC2010 tf_BS_Separation_TaxResIndem_Q12412 tf_Restructuring &amp; Separation" xfId="11188"/>
    <cellStyle name="_Revised MOR 2004_MOR - BDWY - 1+11_Restructuring_Separation_TAX_JuneFC2010 tf_II.8. Sep&amp;Discrete" xfId="11189"/>
    <cellStyle name="_Revised MOR 2004_MOR - BDWY - 1+11_Restructuring_Separation_TAX_JuneFC2010 tf_Restructuring &amp; Separation" xfId="11190"/>
    <cellStyle name="_Revised MOR 2004_MOR - BDWY - 1+11_Revised MOR - Australia -  EC - 4+8" xfId="11191"/>
    <cellStyle name="_Revised MOR 2004_MOR - BDWY - 1+11_Revised MOR - Australia -  EC - 4+8_BS_Separation_TaxResIndem_Q12412 tf" xfId="11192"/>
    <cellStyle name="_Revised MOR 2004_MOR - BDWY - 1+11_Revised MOR - Australia -  EC - 4+8_BS_Separation_TaxResIndem_Q12412 tf_Restructuring &amp; Separation" xfId="11193"/>
    <cellStyle name="_Revised MOR 2004_MOR - BDWY - 1+11_Revised MOR - Australia -  EC - 4+8_By Country Detail 1Q10 041410pm FIN 18 revised per disc w Mary" xfId="11194"/>
    <cellStyle name="_Revised MOR 2004_MOR - BDWY - 1+11_Revised MOR - Australia -  EC - 4+8_By Country Detail 1Q10 041410pm FIN 18 revised per disc w Mary_BS_Separation_TaxResIndem_Q12412 tf" xfId="11195"/>
    <cellStyle name="_Revised MOR 2004_MOR - BDWY - 1+11_Revised MOR - Australia -  EC - 4+8_By Country Detail 1Q10 041410pm FIN 18 revised per disc w Mary_BS_Separation_TaxResIndem_Q12412 tf_Restructuring &amp; Separation" xfId="11196"/>
    <cellStyle name="_Revised MOR 2004_MOR - BDWY - 1+11_Revised MOR - Australia -  EC - 4+8_By Country Detail 1Q10 041410pm FIN 18 revised per disc w Mary_II.8. Sep&amp;Discrete" xfId="11197"/>
    <cellStyle name="_Revised MOR 2004_MOR - BDWY - 1+11_Revised MOR - Australia -  EC - 4+8_By Country Detail 1Q10 041410pm FIN 18 revised per disc w Mary_Restructuring &amp; Separation" xfId="11198"/>
    <cellStyle name="_Revised MOR 2004_MOR - BDWY - 1+11_Revised MOR - Australia -  EC - 4+8_II.4. RawMaterials" xfId="11199"/>
    <cellStyle name="_Revised MOR 2004_MOR - BDWY - 1+11_Revised MOR - Australia -  EC - 4+8_II.4. RawMaterials 2" xfId="11200"/>
    <cellStyle name="_Revised MOR 2004_MOR - BDWY - 1+11_Revised MOR - Australia -  EC - 4+8_II.4. RawMaterials_BS retrieve" xfId="11201"/>
    <cellStyle name="_Revised MOR 2004_MOR - BDWY - 1+11_Revised MOR - Australia -  EC - 4+8_II.4. RawMaterials_Free CF" xfId="11202"/>
    <cellStyle name="_Revised MOR 2004_MOR - BDWY - 1+11_Revised MOR - Australia -  EC - 4+8_II.4. RawMaterials_P&amp;L Rec Qtr" xfId="11203"/>
    <cellStyle name="_Revised MOR 2004_MOR - BDWY - 1+11_Revised MOR - Australia -  EC - 4+8_II.4. RawMaterials_Sheet1" xfId="11204"/>
    <cellStyle name="_Revised MOR 2004_MOR - BDWY - 1+11_Revised MOR - Australia -  EC - 4+8_II.4. RawMaterials_Sheet2" xfId="11205"/>
    <cellStyle name="_Revised MOR 2004_MOR - BDWY - 1+11_Revised MOR - Australia -  EC - 4+8_II.4. RawMaterials_Sheet3" xfId="11206"/>
    <cellStyle name="_Revised MOR 2004_MOR - BDWY - 1+11_Revised MOR - Australia -  EC - 4+8_II.4. RawMaterials_Sheet4" xfId="11207"/>
    <cellStyle name="_Revised MOR 2004_MOR - BDWY - 1+11_Revised MOR - Australia -  EC - 4+8_II.5. RawMaterials" xfId="11208"/>
    <cellStyle name="_Revised MOR 2004_MOR - BDWY - 1+11_Revised MOR - Australia -  EC - 4+8_II.5. RawMaterials 2" xfId="11209"/>
    <cellStyle name="_Revised MOR 2004_MOR - BDWY - 1+11_Revised MOR - Australia -  EC - 4+8_II.5. RawMaterials_BS retrieve" xfId="11210"/>
    <cellStyle name="_Revised MOR 2004_MOR - BDWY - 1+11_Revised MOR - Australia -  EC - 4+8_II.5. RawMaterials_Free CF" xfId="11211"/>
    <cellStyle name="_Revised MOR 2004_MOR - BDWY - 1+11_Revised MOR - Australia -  EC - 4+8_II.5. RawMaterials_P&amp;L Rec Qtr" xfId="11212"/>
    <cellStyle name="_Revised MOR 2004_MOR - BDWY - 1+11_Revised MOR - Australia -  EC - 4+8_II.5. RawMaterials_Sheet1" xfId="11213"/>
    <cellStyle name="_Revised MOR 2004_MOR - BDWY - 1+11_Revised MOR - Australia -  EC - 4+8_II.5. RawMaterials_Sheet2" xfId="11214"/>
    <cellStyle name="_Revised MOR 2004_MOR - BDWY - 1+11_Revised MOR - Australia -  EC - 4+8_II.5. RawMaterials_Sheet3" xfId="11215"/>
    <cellStyle name="_Revised MOR 2004_MOR - BDWY - 1+11_Revised MOR - Australia -  EC - 4+8_II.5. RawMaterials_Sheet4" xfId="11216"/>
    <cellStyle name="_Revised MOR 2004_MOR - BDWY - 1+11_Revised MOR - Australia -  EC - 4+8_II.5. RM Volume Sensitivities" xfId="11217"/>
    <cellStyle name="_Revised MOR 2004_MOR - BDWY - 1+11_Revised MOR - Australia -  EC - 4+8_II.5. RM Volume Sensitivities 2" xfId="11218"/>
    <cellStyle name="_Revised MOR 2004_MOR - BDWY - 1+11_Revised MOR - Australia -  EC - 4+8_II.5. RM Volume Sensitivities_BS retrieve" xfId="11219"/>
    <cellStyle name="_Revised MOR 2004_MOR - BDWY - 1+11_Revised MOR - Australia -  EC - 4+8_II.5. RM Volume Sensitivities_Free CF" xfId="11220"/>
    <cellStyle name="_Revised MOR 2004_MOR - BDWY - 1+11_Revised MOR - Australia -  EC - 4+8_II.5. RM Volume Sensitivities_P&amp;L Rec Qtr" xfId="11221"/>
    <cellStyle name="_Revised MOR 2004_MOR - BDWY - 1+11_Revised MOR - Australia -  EC - 4+8_II.5. RM Volume Sensitivities_Sheet1" xfId="11222"/>
    <cellStyle name="_Revised MOR 2004_MOR - BDWY - 1+11_Revised MOR - Australia -  EC - 4+8_II.5. RM Volume Sensitivities_Sheet2" xfId="11223"/>
    <cellStyle name="_Revised MOR 2004_MOR - BDWY - 1+11_Revised MOR - Australia -  EC - 4+8_II.5. RM Volume Sensitivities_Sheet3" xfId="11224"/>
    <cellStyle name="_Revised MOR 2004_MOR - BDWY - 1+11_Revised MOR - Australia -  EC - 4+8_II.5. RM Volume Sensitivities_Sheet4" xfId="11225"/>
    <cellStyle name="_Revised MOR 2004_MOR - BDWY - 1+11_Revised MOR - Australia -  EC - 4+8_II.8. Sep&amp;Discrete" xfId="11226"/>
    <cellStyle name="_Revised MOR 2004_MOR - BDWY - 1+11_Revised MOR - Australia -  EC - 4+8_Restructuring &amp; Separation" xfId="11227"/>
    <cellStyle name="_Revised MOR 2004_MOR - BDWY - 1+11_Revised MOR - Australia -  EC - 4+8_Restructuring_Separation_TAX_JuneFC2010 tf" xfId="11228"/>
    <cellStyle name="_Revised MOR 2004_MOR - BDWY - 1+11_Revised MOR - Australia -  EC - 4+8_Restructuring_Separation_TAX_JuneFC2010 tf_BS_Separation_TaxResIndem_Q12412 tf" xfId="11229"/>
    <cellStyle name="_Revised MOR 2004_MOR - BDWY - 1+11_Revised MOR - Australia -  EC - 4+8_Restructuring_Separation_TAX_JuneFC2010 tf_BS_Separation_TaxResIndem_Q12412 tf_Restructuring &amp; Separation" xfId="11230"/>
    <cellStyle name="_Revised MOR 2004_MOR - BDWY - 1+11_Revised MOR - Australia -  EC - 4+8_Restructuring_Separation_TAX_JuneFC2010 tf_II.8. Sep&amp;Discrete" xfId="11231"/>
    <cellStyle name="_Revised MOR 2004_MOR - BDWY - 1+11_Revised MOR - Australia -  EC - 4+8_Restructuring_Separation_TAX_JuneFC2010 tf_Restructuring &amp; Separation" xfId="11232"/>
    <cellStyle name="_Revised MOR 2004_MOR - BDWY - 1+11_Revised MOR Package - Latest" xfId="11233"/>
    <cellStyle name="_Revised MOR 2004_MOR - BDWY - 1+11_Revised MOR Package - Latest_BS_Separation_TaxResIndem_Q12412 tf" xfId="11234"/>
    <cellStyle name="_Revised MOR 2004_MOR - BDWY - 1+11_Revised MOR Package - Latest_BS_Separation_TaxResIndem_Q12412 tf_Restructuring &amp; Separation" xfId="11235"/>
    <cellStyle name="_Revised MOR 2004_MOR - BDWY - 1+11_Revised MOR Package - Latest_By Country Detail 1Q10 041410pm FIN 18 revised per disc w Mary" xfId="11236"/>
    <cellStyle name="_Revised MOR 2004_MOR - BDWY - 1+11_Revised MOR Package - Latest_By Country Detail 1Q10 041410pm FIN 18 revised per disc w Mary_BS_Separation_TaxResIndem_Q12412 tf" xfId="11237"/>
    <cellStyle name="_Revised MOR 2004_MOR - BDWY - 1+11_Revised MOR Package - Latest_By Country Detail 1Q10 041410pm FIN 18 revised per disc w Mary_BS_Separation_TaxResIndem_Q12412 tf_Restructuring &amp; Separation" xfId="11238"/>
    <cellStyle name="_Revised MOR 2004_MOR - BDWY - 1+11_Revised MOR Package - Latest_By Country Detail 1Q10 041410pm FIN 18 revised per disc w Mary_II.8. Sep&amp;Discrete" xfId="11239"/>
    <cellStyle name="_Revised MOR 2004_MOR - BDWY - 1+11_Revised MOR Package - Latest_By Country Detail 1Q10 041410pm FIN 18 revised per disc w Mary_Restructuring &amp; Separation" xfId="11240"/>
    <cellStyle name="_Revised MOR 2004_MOR - BDWY - 1+11_Revised MOR Package - Latest_II.4. RawMaterials" xfId="11241"/>
    <cellStyle name="_Revised MOR 2004_MOR - BDWY - 1+11_Revised MOR Package - Latest_II.4. RawMaterials 2" xfId="11242"/>
    <cellStyle name="_Revised MOR 2004_MOR - BDWY - 1+11_Revised MOR Package - Latest_II.4. RawMaterials_BS retrieve" xfId="11243"/>
    <cellStyle name="_Revised MOR 2004_MOR - BDWY - 1+11_Revised MOR Package - Latest_II.4. RawMaterials_Free CF" xfId="11244"/>
    <cellStyle name="_Revised MOR 2004_MOR - BDWY - 1+11_Revised MOR Package - Latest_II.4. RawMaterials_P&amp;L Rec Qtr" xfId="11245"/>
    <cellStyle name="_Revised MOR 2004_MOR - BDWY - 1+11_Revised MOR Package - Latest_II.4. RawMaterials_Sheet1" xfId="11246"/>
    <cellStyle name="_Revised MOR 2004_MOR - BDWY - 1+11_Revised MOR Package - Latest_II.4. RawMaterials_Sheet2" xfId="11247"/>
    <cellStyle name="_Revised MOR 2004_MOR - BDWY - 1+11_Revised MOR Package - Latest_II.4. RawMaterials_Sheet3" xfId="11248"/>
    <cellStyle name="_Revised MOR 2004_MOR - BDWY - 1+11_Revised MOR Package - Latest_II.4. RawMaterials_Sheet4" xfId="11249"/>
    <cellStyle name="_Revised MOR 2004_MOR - BDWY - 1+11_Revised MOR Package - Latest_II.5. RawMaterials" xfId="11250"/>
    <cellStyle name="_Revised MOR 2004_MOR - BDWY - 1+11_Revised MOR Package - Latest_II.5. RawMaterials 2" xfId="11251"/>
    <cellStyle name="_Revised MOR 2004_MOR - BDWY - 1+11_Revised MOR Package - Latest_II.5. RawMaterials_BS retrieve" xfId="11252"/>
    <cellStyle name="_Revised MOR 2004_MOR - BDWY - 1+11_Revised MOR Package - Latest_II.5. RawMaterials_Free CF" xfId="11253"/>
    <cellStyle name="_Revised MOR 2004_MOR - BDWY - 1+11_Revised MOR Package - Latest_II.5. RawMaterials_P&amp;L Rec Qtr" xfId="11254"/>
    <cellStyle name="_Revised MOR 2004_MOR - BDWY - 1+11_Revised MOR Package - Latest_II.5. RawMaterials_Sheet1" xfId="11255"/>
    <cellStyle name="_Revised MOR 2004_MOR - BDWY - 1+11_Revised MOR Package - Latest_II.5. RawMaterials_Sheet2" xfId="11256"/>
    <cellStyle name="_Revised MOR 2004_MOR - BDWY - 1+11_Revised MOR Package - Latest_II.5. RawMaterials_Sheet3" xfId="11257"/>
    <cellStyle name="_Revised MOR 2004_MOR - BDWY - 1+11_Revised MOR Package - Latest_II.5. RawMaterials_Sheet4" xfId="11258"/>
    <cellStyle name="_Revised MOR 2004_MOR - BDWY - 1+11_Revised MOR Package - Latest_II.5. RM Volume Sensitivities" xfId="11259"/>
    <cellStyle name="_Revised MOR 2004_MOR - BDWY - 1+11_Revised MOR Package - Latest_II.5. RM Volume Sensitivities 2" xfId="11260"/>
    <cellStyle name="_Revised MOR 2004_MOR - BDWY - 1+11_Revised MOR Package - Latest_II.5. RM Volume Sensitivities_BS retrieve" xfId="11261"/>
    <cellStyle name="_Revised MOR 2004_MOR - BDWY - 1+11_Revised MOR Package - Latest_II.5. RM Volume Sensitivities_Free CF" xfId="11262"/>
    <cellStyle name="_Revised MOR 2004_MOR - BDWY - 1+11_Revised MOR Package - Latest_II.5. RM Volume Sensitivities_P&amp;L Rec Qtr" xfId="11263"/>
    <cellStyle name="_Revised MOR 2004_MOR - BDWY - 1+11_Revised MOR Package - Latest_II.5. RM Volume Sensitivities_Sheet1" xfId="11264"/>
    <cellStyle name="_Revised MOR 2004_MOR - BDWY - 1+11_Revised MOR Package - Latest_II.5. RM Volume Sensitivities_Sheet2" xfId="11265"/>
    <cellStyle name="_Revised MOR 2004_MOR - BDWY - 1+11_Revised MOR Package - Latest_II.5. RM Volume Sensitivities_Sheet3" xfId="11266"/>
    <cellStyle name="_Revised MOR 2004_MOR - BDWY - 1+11_Revised MOR Package - Latest_II.5. RM Volume Sensitivities_Sheet4" xfId="11267"/>
    <cellStyle name="_Revised MOR 2004_MOR - BDWY - 1+11_Revised MOR Package - Latest_II.8. Sep&amp;Discrete" xfId="11268"/>
    <cellStyle name="_Revised MOR 2004_MOR - BDWY - 1+11_Revised MOR Package - Latest_Restructuring &amp; Separation" xfId="11269"/>
    <cellStyle name="_Revised MOR 2004_MOR - BDWY - 1+11_Revised MOR Package - Latest_Restructuring_Separation_TAX_JuneFC2010 tf" xfId="11270"/>
    <cellStyle name="_Revised MOR 2004_MOR - BDWY - 1+11_Revised MOR Package - Latest_Restructuring_Separation_TAX_JuneFC2010 tf_BS_Separation_TaxResIndem_Q12412 tf" xfId="11271"/>
    <cellStyle name="_Revised MOR 2004_MOR - BDWY - 1+11_Revised MOR Package - Latest_Restructuring_Separation_TAX_JuneFC2010 tf_BS_Separation_TaxResIndem_Q12412 tf_Restructuring &amp; Separation" xfId="11272"/>
    <cellStyle name="_Revised MOR 2004_MOR - BDWY - 1+11_Revised MOR Package - Latest_Restructuring_Separation_TAX_JuneFC2010 tf_II.8. Sep&amp;Discrete" xfId="11273"/>
    <cellStyle name="_Revised MOR 2004_MOR - BDWY - 1+11_Revised MOR Package - Latest_Restructuring_Separation_TAX_JuneFC2010 tf_Restructuring &amp; Separation" xfId="11274"/>
    <cellStyle name="_Revised MOR 2004_MOR - Revised Package" xfId="11275"/>
    <cellStyle name="_Revised MOR 2004_MOR - Revised Package_~0039877" xfId="11276"/>
    <cellStyle name="_Revised MOR 2004_MOR - Revised Package_~0039877_BS_Separation_TaxResIndem_Q12412 tf" xfId="11277"/>
    <cellStyle name="_Revised MOR 2004_MOR - Revised Package_~0039877_BS_Separation_TaxResIndem_Q12412 tf_Restructuring &amp; Separation" xfId="11278"/>
    <cellStyle name="_Revised MOR 2004_MOR - Revised Package_~0039877_By Country Detail 1Q10 041410pm FIN 18 revised per disc w Mary" xfId="11279"/>
    <cellStyle name="_Revised MOR 2004_MOR - Revised Package_~0039877_By Country Detail 1Q10 041410pm FIN 18 revised per disc w Mary_BS_Separation_TaxResIndem_Q12412 tf" xfId="11280"/>
    <cellStyle name="_Revised MOR 2004_MOR - Revised Package_~0039877_By Country Detail 1Q10 041410pm FIN 18 revised per disc w Mary_BS_Separation_TaxResIndem_Q12412 tf_Restructuring &amp; Separation" xfId="11281"/>
    <cellStyle name="_Revised MOR 2004_MOR - Revised Package_~0039877_By Country Detail 1Q10 041410pm FIN 18 revised per disc w Mary_II.8. Sep&amp;Discrete" xfId="11282"/>
    <cellStyle name="_Revised MOR 2004_MOR - Revised Package_~0039877_By Country Detail 1Q10 041410pm FIN 18 revised per disc w Mary_Restructuring &amp; Separation" xfId="11283"/>
    <cellStyle name="_Revised MOR 2004_MOR - Revised Package_~0039877_II.4. RawMaterials" xfId="11284"/>
    <cellStyle name="_Revised MOR 2004_MOR - Revised Package_~0039877_II.4. RawMaterials 2" xfId="11285"/>
    <cellStyle name="_Revised MOR 2004_MOR - Revised Package_~0039877_II.4. RawMaterials_BS retrieve" xfId="11286"/>
    <cellStyle name="_Revised MOR 2004_MOR - Revised Package_~0039877_II.4. RawMaterials_Free CF" xfId="11287"/>
    <cellStyle name="_Revised MOR 2004_MOR - Revised Package_~0039877_II.4. RawMaterials_P&amp;L Rec Qtr" xfId="11288"/>
    <cellStyle name="_Revised MOR 2004_MOR - Revised Package_~0039877_II.4. RawMaterials_Sheet1" xfId="11289"/>
    <cellStyle name="_Revised MOR 2004_MOR - Revised Package_~0039877_II.4. RawMaterials_Sheet2" xfId="11290"/>
    <cellStyle name="_Revised MOR 2004_MOR - Revised Package_~0039877_II.4. RawMaterials_Sheet3" xfId="11291"/>
    <cellStyle name="_Revised MOR 2004_MOR - Revised Package_~0039877_II.4. RawMaterials_Sheet4" xfId="11292"/>
    <cellStyle name="_Revised MOR 2004_MOR - Revised Package_~0039877_II.5. RawMaterials" xfId="11293"/>
    <cellStyle name="_Revised MOR 2004_MOR - Revised Package_~0039877_II.5. RawMaterials 2" xfId="11294"/>
    <cellStyle name="_Revised MOR 2004_MOR - Revised Package_~0039877_II.5. RawMaterials_BS retrieve" xfId="11295"/>
    <cellStyle name="_Revised MOR 2004_MOR - Revised Package_~0039877_II.5. RawMaterials_Free CF" xfId="11296"/>
    <cellStyle name="_Revised MOR 2004_MOR - Revised Package_~0039877_II.5. RawMaterials_P&amp;L Rec Qtr" xfId="11297"/>
    <cellStyle name="_Revised MOR 2004_MOR - Revised Package_~0039877_II.5. RawMaterials_Sheet1" xfId="11298"/>
    <cellStyle name="_Revised MOR 2004_MOR - Revised Package_~0039877_II.5. RawMaterials_Sheet2" xfId="11299"/>
    <cellStyle name="_Revised MOR 2004_MOR - Revised Package_~0039877_II.5. RawMaterials_Sheet3" xfId="11300"/>
    <cellStyle name="_Revised MOR 2004_MOR - Revised Package_~0039877_II.5. RawMaterials_Sheet4" xfId="11301"/>
    <cellStyle name="_Revised MOR 2004_MOR - Revised Package_~0039877_II.5. RM Volume Sensitivities" xfId="11302"/>
    <cellStyle name="_Revised MOR 2004_MOR - Revised Package_~0039877_II.5. RM Volume Sensitivities 2" xfId="11303"/>
    <cellStyle name="_Revised MOR 2004_MOR - Revised Package_~0039877_II.5. RM Volume Sensitivities_BS retrieve" xfId="11304"/>
    <cellStyle name="_Revised MOR 2004_MOR - Revised Package_~0039877_II.5. RM Volume Sensitivities_Free CF" xfId="11305"/>
    <cellStyle name="_Revised MOR 2004_MOR - Revised Package_~0039877_II.5. RM Volume Sensitivities_P&amp;L Rec Qtr" xfId="11306"/>
    <cellStyle name="_Revised MOR 2004_MOR - Revised Package_~0039877_II.5. RM Volume Sensitivities_Sheet1" xfId="11307"/>
    <cellStyle name="_Revised MOR 2004_MOR - Revised Package_~0039877_II.5. RM Volume Sensitivities_Sheet2" xfId="11308"/>
    <cellStyle name="_Revised MOR 2004_MOR - Revised Package_~0039877_II.5. RM Volume Sensitivities_Sheet3" xfId="11309"/>
    <cellStyle name="_Revised MOR 2004_MOR - Revised Package_~0039877_II.5. RM Volume Sensitivities_Sheet4" xfId="11310"/>
    <cellStyle name="_Revised MOR 2004_MOR - Revised Package_~0039877_II.8. Sep&amp;Discrete" xfId="11311"/>
    <cellStyle name="_Revised MOR 2004_MOR - Revised Package_~0039877_Restructuring &amp; Separation" xfId="11312"/>
    <cellStyle name="_Revised MOR 2004_MOR - Revised Package_~0039877_Restructuring_Separation_TAX_JuneFC2010 tf" xfId="11313"/>
    <cellStyle name="_Revised MOR 2004_MOR - Revised Package_~0039877_Restructuring_Separation_TAX_JuneFC2010 tf_BS_Separation_TaxResIndem_Q12412 tf" xfId="11314"/>
    <cellStyle name="_Revised MOR 2004_MOR - Revised Package_~0039877_Restructuring_Separation_TAX_JuneFC2010 tf_BS_Separation_TaxResIndem_Q12412 tf_Restructuring &amp; Separation" xfId="11315"/>
    <cellStyle name="_Revised MOR 2004_MOR - Revised Package_~0039877_Restructuring_Separation_TAX_JuneFC2010 tf_II.8. Sep&amp;Discrete" xfId="11316"/>
    <cellStyle name="_Revised MOR 2004_MOR - Revised Package_~0039877_Restructuring_Separation_TAX_JuneFC2010 tf_Restructuring &amp; Separation" xfId="11317"/>
    <cellStyle name="_Revised MOR 2004_MOR - Revised Package_BS_Separation_TaxResIndem_Q12412 tf" xfId="11318"/>
    <cellStyle name="_Revised MOR 2004_MOR - Revised Package_BS_Separation_TaxResIndem_Q12412 tf_Restructuring &amp; Separation" xfId="11319"/>
    <cellStyle name="_Revised MOR 2004_MOR - Revised Package_By Country Detail 1Q10 041410pm FIN 18 revised per disc w Mary" xfId="11320"/>
    <cellStyle name="_Revised MOR 2004_MOR - Revised Package_By Country Detail 1Q10 041410pm FIN 18 revised per disc w Mary_BS_Separation_TaxResIndem_Q12412 tf" xfId="11321"/>
    <cellStyle name="_Revised MOR 2004_MOR - Revised Package_By Country Detail 1Q10 041410pm FIN 18 revised per disc w Mary_BS_Separation_TaxResIndem_Q12412 tf_Restructuring &amp; Separation" xfId="11322"/>
    <cellStyle name="_Revised MOR 2004_MOR - Revised Package_By Country Detail 1Q10 041410pm FIN 18 revised per disc w Mary_II.8. Sep&amp;Discrete" xfId="11323"/>
    <cellStyle name="_Revised MOR 2004_MOR - Revised Package_By Country Detail 1Q10 041410pm FIN 18 revised per disc w Mary_Restructuring &amp; Separation" xfId="11324"/>
    <cellStyle name="_Revised MOR 2004_MOR - Revised Package_II.4. RawMaterials" xfId="11325"/>
    <cellStyle name="_Revised MOR 2004_MOR - Revised Package_II.4. RawMaterials 2" xfId="11326"/>
    <cellStyle name="_Revised MOR 2004_MOR - Revised Package_II.4. RawMaterials_BS retrieve" xfId="11327"/>
    <cellStyle name="_Revised MOR 2004_MOR - Revised Package_II.4. RawMaterials_Free CF" xfId="11328"/>
    <cellStyle name="_Revised MOR 2004_MOR - Revised Package_II.4. RawMaterials_P&amp;L Rec Qtr" xfId="11329"/>
    <cellStyle name="_Revised MOR 2004_MOR - Revised Package_II.4. RawMaterials_Sheet1" xfId="11330"/>
    <cellStyle name="_Revised MOR 2004_MOR - Revised Package_II.4. RawMaterials_Sheet2" xfId="11331"/>
    <cellStyle name="_Revised MOR 2004_MOR - Revised Package_II.4. RawMaterials_Sheet3" xfId="11332"/>
    <cellStyle name="_Revised MOR 2004_MOR - Revised Package_II.4. RawMaterials_Sheet4" xfId="11333"/>
    <cellStyle name="_Revised MOR 2004_MOR - Revised Package_II.5. RawMaterials" xfId="11334"/>
    <cellStyle name="_Revised MOR 2004_MOR - Revised Package_II.5. RawMaterials 2" xfId="11335"/>
    <cellStyle name="_Revised MOR 2004_MOR - Revised Package_II.5. RawMaterials_BS retrieve" xfId="11336"/>
    <cellStyle name="_Revised MOR 2004_MOR - Revised Package_II.5. RawMaterials_Free CF" xfId="11337"/>
    <cellStyle name="_Revised MOR 2004_MOR - Revised Package_II.5. RawMaterials_P&amp;L Rec Qtr" xfId="11338"/>
    <cellStyle name="_Revised MOR 2004_MOR - Revised Package_II.5. RawMaterials_Sheet1" xfId="11339"/>
    <cellStyle name="_Revised MOR 2004_MOR - Revised Package_II.5. RawMaterials_Sheet2" xfId="11340"/>
    <cellStyle name="_Revised MOR 2004_MOR - Revised Package_II.5. RawMaterials_Sheet3" xfId="11341"/>
    <cellStyle name="_Revised MOR 2004_MOR - Revised Package_II.5. RawMaterials_Sheet4" xfId="11342"/>
    <cellStyle name="_Revised MOR 2004_MOR - Revised Package_II.5. RM Volume Sensitivities" xfId="11343"/>
    <cellStyle name="_Revised MOR 2004_MOR - Revised Package_II.5. RM Volume Sensitivities 2" xfId="11344"/>
    <cellStyle name="_Revised MOR 2004_MOR - Revised Package_II.5. RM Volume Sensitivities_BS retrieve" xfId="11345"/>
    <cellStyle name="_Revised MOR 2004_MOR - Revised Package_II.5. RM Volume Sensitivities_Free CF" xfId="11346"/>
    <cellStyle name="_Revised MOR 2004_MOR - Revised Package_II.5. RM Volume Sensitivities_P&amp;L Rec Qtr" xfId="11347"/>
    <cellStyle name="_Revised MOR 2004_MOR - Revised Package_II.5. RM Volume Sensitivities_Sheet1" xfId="11348"/>
    <cellStyle name="_Revised MOR 2004_MOR - Revised Package_II.5. RM Volume Sensitivities_Sheet2" xfId="11349"/>
    <cellStyle name="_Revised MOR 2004_MOR - Revised Package_II.5. RM Volume Sensitivities_Sheet3" xfId="11350"/>
    <cellStyle name="_Revised MOR 2004_MOR - Revised Package_II.5. RM Volume Sensitivities_Sheet4" xfId="11351"/>
    <cellStyle name="_Revised MOR 2004_MOR - Revised Package_II.8. Sep&amp;Discrete" xfId="11352"/>
    <cellStyle name="_Revised MOR 2004_MOR - Revised Package_Restructuring &amp; Separation" xfId="11353"/>
    <cellStyle name="_Revised MOR 2004_MOR - Revised Package_Restructuring_Separation_TAX_JuneFC2010 tf" xfId="11354"/>
    <cellStyle name="_Revised MOR 2004_MOR - Revised Package_Restructuring_Separation_TAX_JuneFC2010 tf_BS_Separation_TaxResIndem_Q12412 tf" xfId="11355"/>
    <cellStyle name="_Revised MOR 2004_MOR - Revised Package_Restructuring_Separation_TAX_JuneFC2010 tf_BS_Separation_TaxResIndem_Q12412 tf_Restructuring &amp; Separation" xfId="11356"/>
    <cellStyle name="_Revised MOR 2004_MOR - Revised Package_Restructuring_Separation_TAX_JuneFC2010 tf_II.8. Sep&amp;Discrete" xfId="11357"/>
    <cellStyle name="_Revised MOR 2004_MOR - Revised Package_Restructuring_Separation_TAX_JuneFC2010 tf_Restructuring &amp; Separation" xfId="11358"/>
    <cellStyle name="_Revised MOR 2004_MOR - Revised Package_Revised MOR Package - Latest" xfId="11359"/>
    <cellStyle name="_Revised MOR 2004_MOR - Revised Package_Revised MOR Package - Latest_BS_Separation_TaxResIndem_Q12412 tf" xfId="11360"/>
    <cellStyle name="_Revised MOR 2004_MOR - Revised Package_Revised MOR Package - Latest_BS_Separation_TaxResIndem_Q12412 tf_Restructuring &amp; Separation" xfId="11361"/>
    <cellStyle name="_Revised MOR 2004_MOR - Revised Package_Revised MOR Package - Latest_By Country Detail 1Q10 041410pm FIN 18 revised per disc w Mary" xfId="11362"/>
    <cellStyle name="_Revised MOR 2004_MOR - Revised Package_Revised MOR Package - Latest_By Country Detail 1Q10 041410pm FIN 18 revised per disc w Mary_BS_Separation_TaxResIndem_Q12412 tf" xfId="11363"/>
    <cellStyle name="_Revised MOR 2004_MOR - Revised Package_Revised MOR Package - Latest_By Country Detail 1Q10 041410pm FIN 18 revised per disc w Mary_BS_Separation_TaxResIndem_Q12412 tf_Restructuring &amp; Separation" xfId="11364"/>
    <cellStyle name="_Revised MOR 2004_MOR - Revised Package_Revised MOR Package - Latest_By Country Detail 1Q10 041410pm FIN 18 revised per disc w Mary_II.8. Sep&amp;Discrete" xfId="11365"/>
    <cellStyle name="_Revised MOR 2004_MOR - Revised Package_Revised MOR Package - Latest_By Country Detail 1Q10 041410pm FIN 18 revised per disc w Mary_Restructuring &amp; Separation" xfId="11366"/>
    <cellStyle name="_Revised MOR 2004_MOR - Revised Package_Revised MOR Package - Latest_II.4. RawMaterials" xfId="11367"/>
    <cellStyle name="_Revised MOR 2004_MOR - Revised Package_Revised MOR Package - Latest_II.4. RawMaterials 2" xfId="11368"/>
    <cellStyle name="_Revised MOR 2004_MOR - Revised Package_Revised MOR Package - Latest_II.4. RawMaterials_BS retrieve" xfId="11369"/>
    <cellStyle name="_Revised MOR 2004_MOR - Revised Package_Revised MOR Package - Latest_II.4. RawMaterials_Free CF" xfId="11370"/>
    <cellStyle name="_Revised MOR 2004_MOR - Revised Package_Revised MOR Package - Latest_II.4. RawMaterials_P&amp;L Rec Qtr" xfId="11371"/>
    <cellStyle name="_Revised MOR 2004_MOR - Revised Package_Revised MOR Package - Latest_II.4. RawMaterials_Sheet1" xfId="11372"/>
    <cellStyle name="_Revised MOR 2004_MOR - Revised Package_Revised MOR Package - Latest_II.4. RawMaterials_Sheet2" xfId="11373"/>
    <cellStyle name="_Revised MOR 2004_MOR - Revised Package_Revised MOR Package - Latest_II.4. RawMaterials_Sheet3" xfId="11374"/>
    <cellStyle name="_Revised MOR 2004_MOR - Revised Package_Revised MOR Package - Latest_II.4. RawMaterials_Sheet4" xfId="11375"/>
    <cellStyle name="_Revised MOR 2004_MOR - Revised Package_Revised MOR Package - Latest_II.5. RawMaterials" xfId="11376"/>
    <cellStyle name="_Revised MOR 2004_MOR - Revised Package_Revised MOR Package - Latest_II.5. RawMaterials 2" xfId="11377"/>
    <cellStyle name="_Revised MOR 2004_MOR - Revised Package_Revised MOR Package - Latest_II.5. RawMaterials_BS retrieve" xfId="11378"/>
    <cellStyle name="_Revised MOR 2004_MOR - Revised Package_Revised MOR Package - Latest_II.5. RawMaterials_Free CF" xfId="11379"/>
    <cellStyle name="_Revised MOR 2004_MOR - Revised Package_Revised MOR Package - Latest_II.5. RawMaterials_P&amp;L Rec Qtr" xfId="11380"/>
    <cellStyle name="_Revised MOR 2004_MOR - Revised Package_Revised MOR Package - Latest_II.5. RawMaterials_Sheet1" xfId="11381"/>
    <cellStyle name="_Revised MOR 2004_MOR - Revised Package_Revised MOR Package - Latest_II.5. RawMaterials_Sheet2" xfId="11382"/>
    <cellStyle name="_Revised MOR 2004_MOR - Revised Package_Revised MOR Package - Latest_II.5. RawMaterials_Sheet3" xfId="11383"/>
    <cellStyle name="_Revised MOR 2004_MOR - Revised Package_Revised MOR Package - Latest_II.5. RawMaterials_Sheet4" xfId="11384"/>
    <cellStyle name="_Revised MOR 2004_MOR - Revised Package_Revised MOR Package - Latest_II.5. RM Volume Sensitivities" xfId="11385"/>
    <cellStyle name="_Revised MOR 2004_MOR - Revised Package_Revised MOR Package - Latest_II.5. RM Volume Sensitivities 2" xfId="11386"/>
    <cellStyle name="_Revised MOR 2004_MOR - Revised Package_Revised MOR Package - Latest_II.5. RM Volume Sensitivities_BS retrieve" xfId="11387"/>
    <cellStyle name="_Revised MOR 2004_MOR - Revised Package_Revised MOR Package - Latest_II.5. RM Volume Sensitivities_Free CF" xfId="11388"/>
    <cellStyle name="_Revised MOR 2004_MOR - Revised Package_Revised MOR Package - Latest_II.5. RM Volume Sensitivities_P&amp;L Rec Qtr" xfId="11389"/>
    <cellStyle name="_Revised MOR 2004_MOR - Revised Package_Revised MOR Package - Latest_II.5. RM Volume Sensitivities_Sheet1" xfId="11390"/>
    <cellStyle name="_Revised MOR 2004_MOR - Revised Package_Revised MOR Package - Latest_II.5. RM Volume Sensitivities_Sheet2" xfId="11391"/>
    <cellStyle name="_Revised MOR 2004_MOR - Revised Package_Revised MOR Package - Latest_II.5. RM Volume Sensitivities_Sheet3" xfId="11392"/>
    <cellStyle name="_Revised MOR 2004_MOR - Revised Package_Revised MOR Package - Latest_II.5. RM Volume Sensitivities_Sheet4" xfId="11393"/>
    <cellStyle name="_Revised MOR 2004_MOR - Revised Package_Revised MOR Package - Latest_II.8. Sep&amp;Discrete" xfId="11394"/>
    <cellStyle name="_Revised MOR 2004_MOR - Revised Package_Revised MOR Package - Latest_Restructuring &amp; Separation" xfId="11395"/>
    <cellStyle name="_Revised MOR 2004_MOR - Revised Package_Revised MOR Package - Latest_Restructuring_Separation_TAX_JuneFC2010 tf" xfId="11396"/>
    <cellStyle name="_Revised MOR 2004_MOR - Revised Package_Revised MOR Package - Latest_Restructuring_Separation_TAX_JuneFC2010 tf_BS_Separation_TaxResIndem_Q12412 tf" xfId="11397"/>
    <cellStyle name="_Revised MOR 2004_MOR - Revised Package_Revised MOR Package - Latest_Restructuring_Separation_TAX_JuneFC2010 tf_BS_Separation_TaxResIndem_Q12412 tf_Restructuring &amp; Separation" xfId="11398"/>
    <cellStyle name="_Revised MOR 2004_MOR - Revised Package_Revised MOR Package - Latest_Restructuring_Separation_TAX_JuneFC2010 tf_II.8. Sep&amp;Discrete" xfId="11399"/>
    <cellStyle name="_Revised MOR 2004_MOR - Revised Package_Revised MOR Package - Latest_Restructuring_Separation_TAX_JuneFC2010 tf_Restructuring &amp; Separation" xfId="11400"/>
    <cellStyle name="_Revised MOR 2004_Restructuring &amp; Separation" xfId="11401"/>
    <cellStyle name="_Revised MOR 2004_Restructuring_Separation_TAX_JuneFC2010 tf" xfId="11402"/>
    <cellStyle name="_Revised MOR 2004_Restructuring_Separation_TAX_JuneFC2010 tf_BS_Separation_TaxResIndem_Q12412 tf" xfId="11403"/>
    <cellStyle name="_Revised MOR 2004_Restructuring_Separation_TAX_JuneFC2010 tf_BS_Separation_TaxResIndem_Q12412 tf_Restructuring &amp; Separation" xfId="11404"/>
    <cellStyle name="_Revised MOR 2004_Restructuring_Separation_TAX_JuneFC2010 tf_II.8. Sep&amp;Discrete" xfId="11405"/>
    <cellStyle name="_Revised MOR 2004_Restructuring_Separation_TAX_JuneFC2010 tf_Restructuring &amp; Separation" xfId="11406"/>
    <cellStyle name="_Revised MOR 2004_Revised MOR Package" xfId="11407"/>
    <cellStyle name="_Revised MOR 2004_Revised MOR Package_~0039877" xfId="11408"/>
    <cellStyle name="_Revised MOR 2004_Revised MOR Package_~0039877_BS_Separation_TaxResIndem_Q12412 tf" xfId="11409"/>
    <cellStyle name="_Revised MOR 2004_Revised MOR Package_~0039877_BS_Separation_TaxResIndem_Q12412 tf_Restructuring &amp; Separation" xfId="11410"/>
    <cellStyle name="_Revised MOR 2004_Revised MOR Package_~0039877_By Country Detail 1Q10 041410pm FIN 18 revised per disc w Mary" xfId="11411"/>
    <cellStyle name="_Revised MOR 2004_Revised MOR Package_~0039877_By Country Detail 1Q10 041410pm FIN 18 revised per disc w Mary_BS_Separation_TaxResIndem_Q12412 tf" xfId="11412"/>
    <cellStyle name="_Revised MOR 2004_Revised MOR Package_~0039877_By Country Detail 1Q10 041410pm FIN 18 revised per disc w Mary_BS_Separation_TaxResIndem_Q12412 tf_Restructuring &amp; Separation" xfId="11413"/>
    <cellStyle name="_Revised MOR 2004_Revised MOR Package_~0039877_By Country Detail 1Q10 041410pm FIN 18 revised per disc w Mary_II.8. Sep&amp;Discrete" xfId="11414"/>
    <cellStyle name="_Revised MOR 2004_Revised MOR Package_~0039877_By Country Detail 1Q10 041410pm FIN 18 revised per disc w Mary_Restructuring &amp; Separation" xfId="11415"/>
    <cellStyle name="_Revised MOR 2004_Revised MOR Package_~0039877_II.4. RawMaterials" xfId="11416"/>
    <cellStyle name="_Revised MOR 2004_Revised MOR Package_~0039877_II.4. RawMaterials 2" xfId="11417"/>
    <cellStyle name="_Revised MOR 2004_Revised MOR Package_~0039877_II.4. RawMaterials_BS retrieve" xfId="11418"/>
    <cellStyle name="_Revised MOR 2004_Revised MOR Package_~0039877_II.4. RawMaterials_Free CF" xfId="11419"/>
    <cellStyle name="_Revised MOR 2004_Revised MOR Package_~0039877_II.4. RawMaterials_P&amp;L Rec Qtr" xfId="11420"/>
    <cellStyle name="_Revised MOR 2004_Revised MOR Package_~0039877_II.4. RawMaterials_Sheet1" xfId="11421"/>
    <cellStyle name="_Revised MOR 2004_Revised MOR Package_~0039877_II.4. RawMaterials_Sheet2" xfId="11422"/>
    <cellStyle name="_Revised MOR 2004_Revised MOR Package_~0039877_II.4. RawMaterials_Sheet3" xfId="11423"/>
    <cellStyle name="_Revised MOR 2004_Revised MOR Package_~0039877_II.4. RawMaterials_Sheet4" xfId="11424"/>
    <cellStyle name="_Revised MOR 2004_Revised MOR Package_~0039877_II.5. RawMaterials" xfId="11425"/>
    <cellStyle name="_Revised MOR 2004_Revised MOR Package_~0039877_II.5. RawMaterials 2" xfId="11426"/>
    <cellStyle name="_Revised MOR 2004_Revised MOR Package_~0039877_II.5. RawMaterials_BS retrieve" xfId="11427"/>
    <cellStyle name="_Revised MOR 2004_Revised MOR Package_~0039877_II.5. RawMaterials_Free CF" xfId="11428"/>
    <cellStyle name="_Revised MOR 2004_Revised MOR Package_~0039877_II.5. RawMaterials_P&amp;L Rec Qtr" xfId="11429"/>
    <cellStyle name="_Revised MOR 2004_Revised MOR Package_~0039877_II.5. RawMaterials_Sheet1" xfId="11430"/>
    <cellStyle name="_Revised MOR 2004_Revised MOR Package_~0039877_II.5. RawMaterials_Sheet2" xfId="11431"/>
    <cellStyle name="_Revised MOR 2004_Revised MOR Package_~0039877_II.5. RawMaterials_Sheet3" xfId="11432"/>
    <cellStyle name="_Revised MOR 2004_Revised MOR Package_~0039877_II.5. RawMaterials_Sheet4" xfId="11433"/>
    <cellStyle name="_Revised MOR 2004_Revised MOR Package_~0039877_II.5. RM Volume Sensitivities" xfId="11434"/>
    <cellStyle name="_Revised MOR 2004_Revised MOR Package_~0039877_II.5. RM Volume Sensitivities 2" xfId="11435"/>
    <cellStyle name="_Revised MOR 2004_Revised MOR Package_~0039877_II.5. RM Volume Sensitivities_BS retrieve" xfId="11436"/>
    <cellStyle name="_Revised MOR 2004_Revised MOR Package_~0039877_II.5. RM Volume Sensitivities_Free CF" xfId="11437"/>
    <cellStyle name="_Revised MOR 2004_Revised MOR Package_~0039877_II.5. RM Volume Sensitivities_P&amp;L Rec Qtr" xfId="11438"/>
    <cellStyle name="_Revised MOR 2004_Revised MOR Package_~0039877_II.5. RM Volume Sensitivities_Sheet1" xfId="11439"/>
    <cellStyle name="_Revised MOR 2004_Revised MOR Package_~0039877_II.5. RM Volume Sensitivities_Sheet2" xfId="11440"/>
    <cellStyle name="_Revised MOR 2004_Revised MOR Package_~0039877_II.5. RM Volume Sensitivities_Sheet3" xfId="11441"/>
    <cellStyle name="_Revised MOR 2004_Revised MOR Package_~0039877_II.5. RM Volume Sensitivities_Sheet4" xfId="11442"/>
    <cellStyle name="_Revised MOR 2004_Revised MOR Package_~0039877_II.8. Sep&amp;Discrete" xfId="11443"/>
    <cellStyle name="_Revised MOR 2004_Revised MOR Package_~0039877_Restructuring &amp; Separation" xfId="11444"/>
    <cellStyle name="_Revised MOR 2004_Revised MOR Package_~0039877_Restructuring_Separation_TAX_JuneFC2010 tf" xfId="11445"/>
    <cellStyle name="_Revised MOR 2004_Revised MOR Package_~0039877_Restructuring_Separation_TAX_JuneFC2010 tf_BS_Separation_TaxResIndem_Q12412 tf" xfId="11446"/>
    <cellStyle name="_Revised MOR 2004_Revised MOR Package_~0039877_Restructuring_Separation_TAX_JuneFC2010 tf_BS_Separation_TaxResIndem_Q12412 tf_Restructuring &amp; Separation" xfId="11447"/>
    <cellStyle name="_Revised MOR 2004_Revised MOR Package_~0039877_Restructuring_Separation_TAX_JuneFC2010 tf_II.8. Sep&amp;Discrete" xfId="11448"/>
    <cellStyle name="_Revised MOR 2004_Revised MOR Package_~0039877_Restructuring_Separation_TAX_JuneFC2010 tf_Restructuring &amp; Separation" xfId="11449"/>
    <cellStyle name="_Revised MOR 2004_Revised MOR Package_BS_Separation_TaxResIndem_Q12412 tf" xfId="11450"/>
    <cellStyle name="_Revised MOR 2004_Revised MOR Package_BS_Separation_TaxResIndem_Q12412 tf_Restructuring &amp; Separation" xfId="11451"/>
    <cellStyle name="_Revised MOR 2004_Revised MOR Package_By Country Detail 1Q10 041410pm FIN 18 revised per disc w Mary" xfId="11452"/>
    <cellStyle name="_Revised MOR 2004_Revised MOR Package_By Country Detail 1Q10 041410pm FIN 18 revised per disc w Mary_BS_Separation_TaxResIndem_Q12412 tf" xfId="11453"/>
    <cellStyle name="_Revised MOR 2004_Revised MOR Package_By Country Detail 1Q10 041410pm FIN 18 revised per disc w Mary_BS_Separation_TaxResIndem_Q12412 tf_Restructuring &amp; Separation" xfId="11454"/>
    <cellStyle name="_Revised MOR 2004_Revised MOR Package_By Country Detail 1Q10 041410pm FIN 18 revised per disc w Mary_II.8. Sep&amp;Discrete" xfId="11455"/>
    <cellStyle name="_Revised MOR 2004_Revised MOR Package_By Country Detail 1Q10 041410pm FIN 18 revised per disc w Mary_Restructuring &amp; Separation" xfId="11456"/>
    <cellStyle name="_Revised MOR 2004_Revised MOR Package_II.4. RawMaterials" xfId="11457"/>
    <cellStyle name="_Revised MOR 2004_Revised MOR Package_II.4. RawMaterials 2" xfId="11458"/>
    <cellStyle name="_Revised MOR 2004_Revised MOR Package_II.4. RawMaterials_BS retrieve" xfId="11459"/>
    <cellStyle name="_Revised MOR 2004_Revised MOR Package_II.4. RawMaterials_Free CF" xfId="11460"/>
    <cellStyle name="_Revised MOR 2004_Revised MOR Package_II.4. RawMaterials_P&amp;L Rec Qtr" xfId="11461"/>
    <cellStyle name="_Revised MOR 2004_Revised MOR Package_II.4. RawMaterials_Sheet1" xfId="11462"/>
    <cellStyle name="_Revised MOR 2004_Revised MOR Package_II.4. RawMaterials_Sheet2" xfId="11463"/>
    <cellStyle name="_Revised MOR 2004_Revised MOR Package_II.4. RawMaterials_Sheet3" xfId="11464"/>
    <cellStyle name="_Revised MOR 2004_Revised MOR Package_II.4. RawMaterials_Sheet4" xfId="11465"/>
    <cellStyle name="_Revised MOR 2004_Revised MOR Package_II.5. RawMaterials" xfId="11466"/>
    <cellStyle name="_Revised MOR 2004_Revised MOR Package_II.5. RawMaterials 2" xfId="11467"/>
    <cellStyle name="_Revised MOR 2004_Revised MOR Package_II.5. RawMaterials_BS retrieve" xfId="11468"/>
    <cellStyle name="_Revised MOR 2004_Revised MOR Package_II.5. RawMaterials_Free CF" xfId="11469"/>
    <cellStyle name="_Revised MOR 2004_Revised MOR Package_II.5. RawMaterials_P&amp;L Rec Qtr" xfId="11470"/>
    <cellStyle name="_Revised MOR 2004_Revised MOR Package_II.5. RawMaterials_Sheet1" xfId="11471"/>
    <cellStyle name="_Revised MOR 2004_Revised MOR Package_II.5. RawMaterials_Sheet2" xfId="11472"/>
    <cellStyle name="_Revised MOR 2004_Revised MOR Package_II.5. RawMaterials_Sheet3" xfId="11473"/>
    <cellStyle name="_Revised MOR 2004_Revised MOR Package_II.5. RawMaterials_Sheet4" xfId="11474"/>
    <cellStyle name="_Revised MOR 2004_Revised MOR Package_II.5. RM Volume Sensitivities" xfId="11475"/>
    <cellStyle name="_Revised MOR 2004_Revised MOR Package_II.5. RM Volume Sensitivities 2" xfId="11476"/>
    <cellStyle name="_Revised MOR 2004_Revised MOR Package_II.5. RM Volume Sensitivities_BS retrieve" xfId="11477"/>
    <cellStyle name="_Revised MOR 2004_Revised MOR Package_II.5. RM Volume Sensitivities_Free CF" xfId="11478"/>
    <cellStyle name="_Revised MOR 2004_Revised MOR Package_II.5. RM Volume Sensitivities_P&amp;L Rec Qtr" xfId="11479"/>
    <cellStyle name="_Revised MOR 2004_Revised MOR Package_II.5. RM Volume Sensitivities_Sheet1" xfId="11480"/>
    <cellStyle name="_Revised MOR 2004_Revised MOR Package_II.5. RM Volume Sensitivities_Sheet2" xfId="11481"/>
    <cellStyle name="_Revised MOR 2004_Revised MOR Package_II.5. RM Volume Sensitivities_Sheet3" xfId="11482"/>
    <cellStyle name="_Revised MOR 2004_Revised MOR Package_II.5. RM Volume Sensitivities_Sheet4" xfId="11483"/>
    <cellStyle name="_Revised MOR 2004_Revised MOR Package_II.8. Sep&amp;Discrete" xfId="11484"/>
    <cellStyle name="_Revised MOR 2004_Revised MOR Package_Restructuring &amp; Separation" xfId="11485"/>
    <cellStyle name="_Revised MOR 2004_Revised MOR Package_Restructuring_Separation_TAX_JuneFC2010 tf" xfId="11486"/>
    <cellStyle name="_Revised MOR 2004_Revised MOR Package_Restructuring_Separation_TAX_JuneFC2010 tf_BS_Separation_TaxResIndem_Q12412 tf" xfId="11487"/>
    <cellStyle name="_Revised MOR 2004_Revised MOR Package_Restructuring_Separation_TAX_JuneFC2010 tf_BS_Separation_TaxResIndem_Q12412 tf_Restructuring &amp; Separation" xfId="11488"/>
    <cellStyle name="_Revised MOR 2004_Revised MOR Package_Restructuring_Separation_TAX_JuneFC2010 tf_II.8. Sep&amp;Discrete" xfId="11489"/>
    <cellStyle name="_Revised MOR 2004_Revised MOR Package_Restructuring_Separation_TAX_JuneFC2010 tf_Restructuring &amp; Separation" xfId="11490"/>
    <cellStyle name="_Revised MOR 2004_Revised MOR Package_Revised MOR Package - Latest" xfId="11491"/>
    <cellStyle name="_Revised MOR 2004_Revised MOR Package_Revised MOR Package - Latest_BS_Separation_TaxResIndem_Q12412 tf" xfId="11492"/>
    <cellStyle name="_Revised MOR 2004_Revised MOR Package_Revised MOR Package - Latest_BS_Separation_TaxResIndem_Q12412 tf_Restructuring &amp; Separation" xfId="11493"/>
    <cellStyle name="_Revised MOR 2004_Revised MOR Package_Revised MOR Package - Latest_By Country Detail 1Q10 041410pm FIN 18 revised per disc w Mary" xfId="11494"/>
    <cellStyle name="_Revised MOR 2004_Revised MOR Package_Revised MOR Package - Latest_By Country Detail 1Q10 041410pm FIN 18 revised per disc w Mary_BS_Separation_TaxResIndem_Q12412 tf" xfId="11495"/>
    <cellStyle name="_Revised MOR 2004_Revised MOR Package_Revised MOR Package - Latest_By Country Detail 1Q10 041410pm FIN 18 revised per disc w Mary_BS_Separation_TaxResIndem_Q12412 tf_Restructuring &amp; Separation" xfId="11496"/>
    <cellStyle name="_Revised MOR 2004_Revised MOR Package_Revised MOR Package - Latest_By Country Detail 1Q10 041410pm FIN 18 revised per disc w Mary_II.8. Sep&amp;Discrete" xfId="11497"/>
    <cellStyle name="_Revised MOR 2004_Revised MOR Package_Revised MOR Package - Latest_By Country Detail 1Q10 041410pm FIN 18 revised per disc w Mary_Restructuring &amp; Separation" xfId="11498"/>
    <cellStyle name="_Revised MOR 2004_Revised MOR Package_Revised MOR Package - Latest_II.4. RawMaterials" xfId="11499"/>
    <cellStyle name="_Revised MOR 2004_Revised MOR Package_Revised MOR Package - Latest_II.4. RawMaterials 2" xfId="11500"/>
    <cellStyle name="_Revised MOR 2004_Revised MOR Package_Revised MOR Package - Latest_II.4. RawMaterials_BS retrieve" xfId="11501"/>
    <cellStyle name="_Revised MOR 2004_Revised MOR Package_Revised MOR Package - Latest_II.4. RawMaterials_Free CF" xfId="11502"/>
    <cellStyle name="_Revised MOR 2004_Revised MOR Package_Revised MOR Package - Latest_II.4. RawMaterials_P&amp;L Rec Qtr" xfId="11503"/>
    <cellStyle name="_Revised MOR 2004_Revised MOR Package_Revised MOR Package - Latest_II.4. RawMaterials_Sheet1" xfId="11504"/>
    <cellStyle name="_Revised MOR 2004_Revised MOR Package_Revised MOR Package - Latest_II.4. RawMaterials_Sheet2" xfId="11505"/>
    <cellStyle name="_Revised MOR 2004_Revised MOR Package_Revised MOR Package - Latest_II.4. RawMaterials_Sheet3" xfId="11506"/>
    <cellStyle name="_Revised MOR 2004_Revised MOR Package_Revised MOR Package - Latest_II.4. RawMaterials_Sheet4" xfId="11507"/>
    <cellStyle name="_Revised MOR 2004_Revised MOR Package_Revised MOR Package - Latest_II.5. RawMaterials" xfId="11508"/>
    <cellStyle name="_Revised MOR 2004_Revised MOR Package_Revised MOR Package - Latest_II.5. RawMaterials 2" xfId="11509"/>
    <cellStyle name="_Revised MOR 2004_Revised MOR Package_Revised MOR Package - Latest_II.5. RawMaterials_BS retrieve" xfId="11510"/>
    <cellStyle name="_Revised MOR 2004_Revised MOR Package_Revised MOR Package - Latest_II.5. RawMaterials_Free CF" xfId="11511"/>
    <cellStyle name="_Revised MOR 2004_Revised MOR Package_Revised MOR Package - Latest_II.5. RawMaterials_P&amp;L Rec Qtr" xfId="11512"/>
    <cellStyle name="_Revised MOR 2004_Revised MOR Package_Revised MOR Package - Latest_II.5. RawMaterials_Sheet1" xfId="11513"/>
    <cellStyle name="_Revised MOR 2004_Revised MOR Package_Revised MOR Package - Latest_II.5. RawMaterials_Sheet2" xfId="11514"/>
    <cellStyle name="_Revised MOR 2004_Revised MOR Package_Revised MOR Package - Latest_II.5. RawMaterials_Sheet3" xfId="11515"/>
    <cellStyle name="_Revised MOR 2004_Revised MOR Package_Revised MOR Package - Latest_II.5. RawMaterials_Sheet4" xfId="11516"/>
    <cellStyle name="_Revised MOR 2004_Revised MOR Package_Revised MOR Package - Latest_II.5. RM Volume Sensitivities" xfId="11517"/>
    <cellStyle name="_Revised MOR 2004_Revised MOR Package_Revised MOR Package - Latest_II.5. RM Volume Sensitivities 2" xfId="11518"/>
    <cellStyle name="_Revised MOR 2004_Revised MOR Package_Revised MOR Package - Latest_II.5. RM Volume Sensitivities_BS retrieve" xfId="11519"/>
    <cellStyle name="_Revised MOR 2004_Revised MOR Package_Revised MOR Package - Latest_II.5. RM Volume Sensitivities_Free CF" xfId="11520"/>
    <cellStyle name="_Revised MOR 2004_Revised MOR Package_Revised MOR Package - Latest_II.5. RM Volume Sensitivities_P&amp;L Rec Qtr" xfId="11521"/>
    <cellStyle name="_Revised MOR 2004_Revised MOR Package_Revised MOR Package - Latest_II.5. RM Volume Sensitivities_Sheet1" xfId="11522"/>
    <cellStyle name="_Revised MOR 2004_Revised MOR Package_Revised MOR Package - Latest_II.5. RM Volume Sensitivities_Sheet2" xfId="11523"/>
    <cellStyle name="_Revised MOR 2004_Revised MOR Package_Revised MOR Package - Latest_II.5. RM Volume Sensitivities_Sheet3" xfId="11524"/>
    <cellStyle name="_Revised MOR 2004_Revised MOR Package_Revised MOR Package - Latest_II.5. RM Volume Sensitivities_Sheet4" xfId="11525"/>
    <cellStyle name="_Revised MOR 2004_Revised MOR Package_Revised MOR Package - Latest_II.8. Sep&amp;Discrete" xfId="11526"/>
    <cellStyle name="_Revised MOR 2004_Revised MOR Package_Revised MOR Package - Latest_Restructuring &amp; Separation" xfId="11527"/>
    <cellStyle name="_Revised MOR 2004_Revised MOR Package_Revised MOR Package - Latest_Restructuring_Separation_TAX_JuneFC2010 tf" xfId="11528"/>
    <cellStyle name="_Revised MOR 2004_Revised MOR Package_Revised MOR Package - Latest_Restructuring_Separation_TAX_JuneFC2010 tf_BS_Separation_TaxResIndem_Q12412 tf" xfId="11529"/>
    <cellStyle name="_Revised MOR 2004_Revised MOR Package_Revised MOR Package - Latest_Restructuring_Separation_TAX_JuneFC2010 tf_BS_Separation_TaxResIndem_Q12412 tf_Restructuring &amp; Separation" xfId="11530"/>
    <cellStyle name="_Revised MOR 2004_Revised MOR Package_Revised MOR Package - Latest_Restructuring_Separation_TAX_JuneFC2010 tf_II.8. Sep&amp;Discrete" xfId="11531"/>
    <cellStyle name="_Revised MOR 2004_Revised MOR Package_Revised MOR Package - Latest_Restructuring_Separation_TAX_JuneFC2010 tf_Restructuring &amp; Separation" xfId="11532"/>
    <cellStyle name="_Revised MOR Package" xfId="11533"/>
    <cellStyle name="_Revised MOR Package - Latest" xfId="11534"/>
    <cellStyle name="_Revised MOR Package - Latest_BS_Separation_TaxResIndem_Q12412 tf" xfId="11535"/>
    <cellStyle name="_Revised MOR Package - Latest_BS_Separation_TaxResIndem_Q12412 tf_Restructuring &amp; Separation" xfId="11536"/>
    <cellStyle name="_Revised MOR Package - Latest_By Country Detail 1Q10 041410pm FIN 18 revised per disc w Mary" xfId="11537"/>
    <cellStyle name="_Revised MOR Package - Latest_By Country Detail 1Q10 041410pm FIN 18 revised per disc w Mary_BS_Separation_TaxResIndem_Q12412 tf" xfId="11538"/>
    <cellStyle name="_Revised MOR Package - Latest_By Country Detail 1Q10 041410pm FIN 18 revised per disc w Mary_BS_Separation_TaxResIndem_Q12412 tf_Restructuring &amp; Separation" xfId="11539"/>
    <cellStyle name="_Revised MOR Package - Latest_By Country Detail 1Q10 041410pm FIN 18 revised per disc w Mary_II.8. Sep&amp;Discrete" xfId="11540"/>
    <cellStyle name="_Revised MOR Package - Latest_By Country Detail 1Q10 041410pm FIN 18 revised per disc w Mary_Restructuring &amp; Separation" xfId="11541"/>
    <cellStyle name="_Revised MOR Package - Latest_II.4. RawMaterials" xfId="11542"/>
    <cellStyle name="_Revised MOR Package - Latest_II.4. RawMaterials 2" xfId="11543"/>
    <cellStyle name="_Revised MOR Package - Latest_II.4. RawMaterials_BS retrieve" xfId="11544"/>
    <cellStyle name="_Revised MOR Package - Latest_II.4. RawMaterials_Free CF" xfId="11545"/>
    <cellStyle name="_Revised MOR Package - Latest_II.4. RawMaterials_P&amp;L Rec Qtr" xfId="11546"/>
    <cellStyle name="_Revised MOR Package - Latest_II.4. RawMaterials_Sheet1" xfId="11547"/>
    <cellStyle name="_Revised MOR Package - Latest_II.4. RawMaterials_Sheet2" xfId="11548"/>
    <cellStyle name="_Revised MOR Package - Latest_II.4. RawMaterials_Sheet3" xfId="11549"/>
    <cellStyle name="_Revised MOR Package - Latest_II.4. RawMaterials_Sheet4" xfId="11550"/>
    <cellStyle name="_Revised MOR Package - Latest_II.5. RawMaterials" xfId="11551"/>
    <cellStyle name="_Revised MOR Package - Latest_II.5. RawMaterials 2" xfId="11552"/>
    <cellStyle name="_Revised MOR Package - Latest_II.5. RawMaterials_BS retrieve" xfId="11553"/>
    <cellStyle name="_Revised MOR Package - Latest_II.5. RawMaterials_Free CF" xfId="11554"/>
    <cellStyle name="_Revised MOR Package - Latest_II.5. RawMaterials_P&amp;L Rec Qtr" xfId="11555"/>
    <cellStyle name="_Revised MOR Package - Latest_II.5. RawMaterials_Sheet1" xfId="11556"/>
    <cellStyle name="_Revised MOR Package - Latest_II.5. RawMaterials_Sheet2" xfId="11557"/>
    <cellStyle name="_Revised MOR Package - Latest_II.5. RawMaterials_Sheet3" xfId="11558"/>
    <cellStyle name="_Revised MOR Package - Latest_II.5. RawMaterials_Sheet4" xfId="11559"/>
    <cellStyle name="_Revised MOR Package - Latest_II.5. RM Volume Sensitivities" xfId="11560"/>
    <cellStyle name="_Revised MOR Package - Latest_II.5. RM Volume Sensitivities 2" xfId="11561"/>
    <cellStyle name="_Revised MOR Package - Latest_II.5. RM Volume Sensitivities_BS retrieve" xfId="11562"/>
    <cellStyle name="_Revised MOR Package - Latest_II.5. RM Volume Sensitivities_Free CF" xfId="11563"/>
    <cellStyle name="_Revised MOR Package - Latest_II.5. RM Volume Sensitivities_P&amp;L Rec Qtr" xfId="11564"/>
    <cellStyle name="_Revised MOR Package - Latest_II.5. RM Volume Sensitivities_Sheet1" xfId="11565"/>
    <cellStyle name="_Revised MOR Package - Latest_II.5. RM Volume Sensitivities_Sheet2" xfId="11566"/>
    <cellStyle name="_Revised MOR Package - Latest_II.5. RM Volume Sensitivities_Sheet3" xfId="11567"/>
    <cellStyle name="_Revised MOR Package - Latest_II.5. RM Volume Sensitivities_Sheet4" xfId="11568"/>
    <cellStyle name="_Revised MOR Package - Latest_II.8. Sep&amp;Discrete" xfId="11569"/>
    <cellStyle name="_Revised MOR Package - Latest_Restructuring &amp; Separation" xfId="11570"/>
    <cellStyle name="_Revised MOR Package - Latest_Restructuring_Separation_TAX_JuneFC2010 tf" xfId="11571"/>
    <cellStyle name="_Revised MOR Package - Latest_Restructuring_Separation_TAX_JuneFC2010 tf_BS_Separation_TaxResIndem_Q12412 tf" xfId="11572"/>
    <cellStyle name="_Revised MOR Package - Latest_Restructuring_Separation_TAX_JuneFC2010 tf_BS_Separation_TaxResIndem_Q12412 tf_Restructuring &amp; Separation" xfId="11573"/>
    <cellStyle name="_Revised MOR Package - Latest_Restructuring_Separation_TAX_JuneFC2010 tf_II.8. Sep&amp;Discrete" xfId="11574"/>
    <cellStyle name="_Revised MOR Package - Latest_Restructuring_Separation_TAX_JuneFC2010 tf_Restructuring &amp; Separation" xfId="11575"/>
    <cellStyle name="_Revised MOR Package_~0039877" xfId="11576"/>
    <cellStyle name="_Revised MOR Package_~0039877_BS_Separation_TaxResIndem_Q12412 tf" xfId="11577"/>
    <cellStyle name="_Revised MOR Package_~0039877_BS_Separation_TaxResIndem_Q12412 tf_Restructuring &amp; Separation" xfId="11578"/>
    <cellStyle name="_Revised MOR Package_~0039877_By Country Detail 1Q10 041410pm FIN 18 revised per disc w Mary" xfId="11579"/>
    <cellStyle name="_Revised MOR Package_~0039877_By Country Detail 1Q10 041410pm FIN 18 revised per disc w Mary_BS_Separation_TaxResIndem_Q12412 tf" xfId="11580"/>
    <cellStyle name="_Revised MOR Package_~0039877_By Country Detail 1Q10 041410pm FIN 18 revised per disc w Mary_BS_Separation_TaxResIndem_Q12412 tf_Restructuring &amp; Separation" xfId="11581"/>
    <cellStyle name="_Revised MOR Package_~0039877_By Country Detail 1Q10 041410pm FIN 18 revised per disc w Mary_II.8. Sep&amp;Discrete" xfId="11582"/>
    <cellStyle name="_Revised MOR Package_~0039877_By Country Detail 1Q10 041410pm FIN 18 revised per disc w Mary_Restructuring &amp; Separation" xfId="11583"/>
    <cellStyle name="_Revised MOR Package_~0039877_II.4. RawMaterials" xfId="11584"/>
    <cellStyle name="_Revised MOR Package_~0039877_II.4. RawMaterials 2" xfId="11585"/>
    <cellStyle name="_Revised MOR Package_~0039877_II.4. RawMaterials_BS retrieve" xfId="11586"/>
    <cellStyle name="_Revised MOR Package_~0039877_II.4. RawMaterials_Free CF" xfId="11587"/>
    <cellStyle name="_Revised MOR Package_~0039877_II.4. RawMaterials_P&amp;L Rec Qtr" xfId="11588"/>
    <cellStyle name="_Revised MOR Package_~0039877_II.4. RawMaterials_Sheet1" xfId="11589"/>
    <cellStyle name="_Revised MOR Package_~0039877_II.4. RawMaterials_Sheet2" xfId="11590"/>
    <cellStyle name="_Revised MOR Package_~0039877_II.4. RawMaterials_Sheet3" xfId="11591"/>
    <cellStyle name="_Revised MOR Package_~0039877_II.4. RawMaterials_Sheet4" xfId="11592"/>
    <cellStyle name="_Revised MOR Package_~0039877_II.5. RawMaterials" xfId="11593"/>
    <cellStyle name="_Revised MOR Package_~0039877_II.5. RawMaterials 2" xfId="11594"/>
    <cellStyle name="_Revised MOR Package_~0039877_II.5. RawMaterials_BS retrieve" xfId="11595"/>
    <cellStyle name="_Revised MOR Package_~0039877_II.5. RawMaterials_Free CF" xfId="11596"/>
    <cellStyle name="_Revised MOR Package_~0039877_II.5. RawMaterials_P&amp;L Rec Qtr" xfId="11597"/>
    <cellStyle name="_Revised MOR Package_~0039877_II.5. RawMaterials_Sheet1" xfId="11598"/>
    <cellStyle name="_Revised MOR Package_~0039877_II.5. RawMaterials_Sheet2" xfId="11599"/>
    <cellStyle name="_Revised MOR Package_~0039877_II.5. RawMaterials_Sheet3" xfId="11600"/>
    <cellStyle name="_Revised MOR Package_~0039877_II.5. RawMaterials_Sheet4" xfId="11601"/>
    <cellStyle name="_Revised MOR Package_~0039877_II.5. RM Volume Sensitivities" xfId="11602"/>
    <cellStyle name="_Revised MOR Package_~0039877_II.5. RM Volume Sensitivities 2" xfId="11603"/>
    <cellStyle name="_Revised MOR Package_~0039877_II.5. RM Volume Sensitivities_BS retrieve" xfId="11604"/>
    <cellStyle name="_Revised MOR Package_~0039877_II.5. RM Volume Sensitivities_Free CF" xfId="11605"/>
    <cellStyle name="_Revised MOR Package_~0039877_II.5. RM Volume Sensitivities_P&amp;L Rec Qtr" xfId="11606"/>
    <cellStyle name="_Revised MOR Package_~0039877_II.5. RM Volume Sensitivities_Sheet1" xfId="11607"/>
    <cellStyle name="_Revised MOR Package_~0039877_II.5. RM Volume Sensitivities_Sheet2" xfId="11608"/>
    <cellStyle name="_Revised MOR Package_~0039877_II.5. RM Volume Sensitivities_Sheet3" xfId="11609"/>
    <cellStyle name="_Revised MOR Package_~0039877_II.5. RM Volume Sensitivities_Sheet4" xfId="11610"/>
    <cellStyle name="_Revised MOR Package_~0039877_II.8. Sep&amp;Discrete" xfId="11611"/>
    <cellStyle name="_Revised MOR Package_~0039877_Restructuring &amp; Separation" xfId="11612"/>
    <cellStyle name="_Revised MOR Package_~0039877_Restructuring_Separation_TAX_JuneFC2010 tf" xfId="11613"/>
    <cellStyle name="_Revised MOR Package_~0039877_Restructuring_Separation_TAX_JuneFC2010 tf_BS_Separation_TaxResIndem_Q12412 tf" xfId="11614"/>
    <cellStyle name="_Revised MOR Package_~0039877_Restructuring_Separation_TAX_JuneFC2010 tf_BS_Separation_TaxResIndem_Q12412 tf_Restructuring &amp; Separation" xfId="11615"/>
    <cellStyle name="_Revised MOR Package_~0039877_Restructuring_Separation_TAX_JuneFC2010 tf_II.8. Sep&amp;Discrete" xfId="11616"/>
    <cellStyle name="_Revised MOR Package_~0039877_Restructuring_Separation_TAX_JuneFC2010 tf_Restructuring &amp; Separation" xfId="11617"/>
    <cellStyle name="_Revised MOR Package_BS_Separation_TaxResIndem_Q12412 tf" xfId="11618"/>
    <cellStyle name="_Revised MOR Package_BS_Separation_TaxResIndem_Q12412 tf_Restructuring &amp; Separation" xfId="11619"/>
    <cellStyle name="_Revised MOR Package_By Country Detail 1Q10 041410pm FIN 18 revised per disc w Mary" xfId="11620"/>
    <cellStyle name="_Revised MOR Package_By Country Detail 1Q10 041410pm FIN 18 revised per disc w Mary_BS_Separation_TaxResIndem_Q12412 tf" xfId="11621"/>
    <cellStyle name="_Revised MOR Package_By Country Detail 1Q10 041410pm FIN 18 revised per disc w Mary_BS_Separation_TaxResIndem_Q12412 tf_Restructuring &amp; Separation" xfId="11622"/>
    <cellStyle name="_Revised MOR Package_By Country Detail 1Q10 041410pm FIN 18 revised per disc w Mary_II.8. Sep&amp;Discrete" xfId="11623"/>
    <cellStyle name="_Revised MOR Package_By Country Detail 1Q10 041410pm FIN 18 revised per disc w Mary_Restructuring &amp; Separation" xfId="11624"/>
    <cellStyle name="_Revised MOR Package_II.4. RawMaterials" xfId="11625"/>
    <cellStyle name="_Revised MOR Package_II.4. RawMaterials 2" xfId="11626"/>
    <cellStyle name="_Revised MOR Package_II.4. RawMaterials_BS retrieve" xfId="11627"/>
    <cellStyle name="_Revised MOR Package_II.4. RawMaterials_Free CF" xfId="11628"/>
    <cellStyle name="_Revised MOR Package_II.4. RawMaterials_P&amp;L Rec Qtr" xfId="11629"/>
    <cellStyle name="_Revised MOR Package_II.4. RawMaterials_Sheet1" xfId="11630"/>
    <cellStyle name="_Revised MOR Package_II.4. RawMaterials_Sheet2" xfId="11631"/>
    <cellStyle name="_Revised MOR Package_II.4. RawMaterials_Sheet3" xfId="11632"/>
    <cellStyle name="_Revised MOR Package_II.4. RawMaterials_Sheet4" xfId="11633"/>
    <cellStyle name="_Revised MOR Package_II.5. RawMaterials" xfId="11634"/>
    <cellStyle name="_Revised MOR Package_II.5. RawMaterials 2" xfId="11635"/>
    <cellStyle name="_Revised MOR Package_II.5. RawMaterials_BS retrieve" xfId="11636"/>
    <cellStyle name="_Revised MOR Package_II.5. RawMaterials_Free CF" xfId="11637"/>
    <cellStyle name="_Revised MOR Package_II.5. RawMaterials_P&amp;L Rec Qtr" xfId="11638"/>
    <cellStyle name="_Revised MOR Package_II.5. RawMaterials_Sheet1" xfId="11639"/>
    <cellStyle name="_Revised MOR Package_II.5. RawMaterials_Sheet2" xfId="11640"/>
    <cellStyle name="_Revised MOR Package_II.5. RawMaterials_Sheet3" xfId="11641"/>
    <cellStyle name="_Revised MOR Package_II.5. RawMaterials_Sheet4" xfId="11642"/>
    <cellStyle name="_Revised MOR Package_II.5. RM Volume Sensitivities" xfId="11643"/>
    <cellStyle name="_Revised MOR Package_II.5. RM Volume Sensitivities 2" xfId="11644"/>
    <cellStyle name="_Revised MOR Package_II.5. RM Volume Sensitivities_BS retrieve" xfId="11645"/>
    <cellStyle name="_Revised MOR Package_II.5. RM Volume Sensitivities_Free CF" xfId="11646"/>
    <cellStyle name="_Revised MOR Package_II.5. RM Volume Sensitivities_P&amp;L Rec Qtr" xfId="11647"/>
    <cellStyle name="_Revised MOR Package_II.5. RM Volume Sensitivities_Sheet1" xfId="11648"/>
    <cellStyle name="_Revised MOR Package_II.5. RM Volume Sensitivities_Sheet2" xfId="11649"/>
    <cellStyle name="_Revised MOR Package_II.5. RM Volume Sensitivities_Sheet3" xfId="11650"/>
    <cellStyle name="_Revised MOR Package_II.5. RM Volume Sensitivities_Sheet4" xfId="11651"/>
    <cellStyle name="_Revised MOR Package_II.8. Sep&amp;Discrete" xfId="11652"/>
    <cellStyle name="_Revised MOR Package_Restructuring &amp; Separation" xfId="11653"/>
    <cellStyle name="_Revised MOR Package_Restructuring_Separation_TAX_JuneFC2010 tf" xfId="11654"/>
    <cellStyle name="_Revised MOR Package_Restructuring_Separation_TAX_JuneFC2010 tf_BS_Separation_TaxResIndem_Q12412 tf" xfId="11655"/>
    <cellStyle name="_Revised MOR Package_Restructuring_Separation_TAX_JuneFC2010 tf_BS_Separation_TaxResIndem_Q12412 tf_Restructuring &amp; Separation" xfId="11656"/>
    <cellStyle name="_Revised MOR Package_Restructuring_Separation_TAX_JuneFC2010 tf_II.8. Sep&amp;Discrete" xfId="11657"/>
    <cellStyle name="_Revised MOR Package_Restructuring_Separation_TAX_JuneFC2010 tf_Restructuring &amp; Separation" xfId="11658"/>
    <cellStyle name="_Revised MOR Package_Revised MOR Package - Latest" xfId="11659"/>
    <cellStyle name="_Revised MOR Package_Revised MOR Package - Latest_BS_Separation_TaxResIndem_Q12412 tf" xfId="11660"/>
    <cellStyle name="_Revised MOR Package_Revised MOR Package - Latest_BS_Separation_TaxResIndem_Q12412 tf_Restructuring &amp; Separation" xfId="11661"/>
    <cellStyle name="_Revised MOR Package_Revised MOR Package - Latest_By Country Detail 1Q10 041410pm FIN 18 revised per disc w Mary" xfId="11662"/>
    <cellStyle name="_Revised MOR Package_Revised MOR Package - Latest_By Country Detail 1Q10 041410pm FIN 18 revised per disc w Mary_BS_Separation_TaxResIndem_Q12412 tf" xfId="11663"/>
    <cellStyle name="_Revised MOR Package_Revised MOR Package - Latest_By Country Detail 1Q10 041410pm FIN 18 revised per disc w Mary_BS_Separation_TaxResIndem_Q12412 tf_Restructuring &amp; Separation" xfId="11664"/>
    <cellStyle name="_Revised MOR Package_Revised MOR Package - Latest_By Country Detail 1Q10 041410pm FIN 18 revised per disc w Mary_II.8. Sep&amp;Discrete" xfId="11665"/>
    <cellStyle name="_Revised MOR Package_Revised MOR Package - Latest_By Country Detail 1Q10 041410pm FIN 18 revised per disc w Mary_Restructuring &amp; Separation" xfId="11666"/>
    <cellStyle name="_Revised MOR Package_Revised MOR Package - Latest_II.4. RawMaterials" xfId="11667"/>
    <cellStyle name="_Revised MOR Package_Revised MOR Package - Latest_II.4. RawMaterials 2" xfId="11668"/>
    <cellStyle name="_Revised MOR Package_Revised MOR Package - Latest_II.4. RawMaterials_BS retrieve" xfId="11669"/>
    <cellStyle name="_Revised MOR Package_Revised MOR Package - Latest_II.4. RawMaterials_Free CF" xfId="11670"/>
    <cellStyle name="_Revised MOR Package_Revised MOR Package - Latest_II.4. RawMaterials_P&amp;L Rec Qtr" xfId="11671"/>
    <cellStyle name="_Revised MOR Package_Revised MOR Package - Latest_II.4. RawMaterials_Sheet1" xfId="11672"/>
    <cellStyle name="_Revised MOR Package_Revised MOR Package - Latest_II.4. RawMaterials_Sheet2" xfId="11673"/>
    <cellStyle name="_Revised MOR Package_Revised MOR Package - Latest_II.4. RawMaterials_Sheet3" xfId="11674"/>
    <cellStyle name="_Revised MOR Package_Revised MOR Package - Latest_II.4. RawMaterials_Sheet4" xfId="11675"/>
    <cellStyle name="_Revised MOR Package_Revised MOR Package - Latest_II.5. RawMaterials" xfId="11676"/>
    <cellStyle name="_Revised MOR Package_Revised MOR Package - Latest_II.5. RawMaterials 2" xfId="11677"/>
    <cellStyle name="_Revised MOR Package_Revised MOR Package - Latest_II.5. RawMaterials_BS retrieve" xfId="11678"/>
    <cellStyle name="_Revised MOR Package_Revised MOR Package - Latest_II.5. RawMaterials_Free CF" xfId="11679"/>
    <cellStyle name="_Revised MOR Package_Revised MOR Package - Latest_II.5. RawMaterials_P&amp;L Rec Qtr" xfId="11680"/>
    <cellStyle name="_Revised MOR Package_Revised MOR Package - Latest_II.5. RawMaterials_Sheet1" xfId="11681"/>
    <cellStyle name="_Revised MOR Package_Revised MOR Package - Latest_II.5. RawMaterials_Sheet2" xfId="11682"/>
    <cellStyle name="_Revised MOR Package_Revised MOR Package - Latest_II.5. RawMaterials_Sheet3" xfId="11683"/>
    <cellStyle name="_Revised MOR Package_Revised MOR Package - Latest_II.5. RawMaterials_Sheet4" xfId="11684"/>
    <cellStyle name="_Revised MOR Package_Revised MOR Package - Latest_II.5. RM Volume Sensitivities" xfId="11685"/>
    <cellStyle name="_Revised MOR Package_Revised MOR Package - Latest_II.5. RM Volume Sensitivities 2" xfId="11686"/>
    <cellStyle name="_Revised MOR Package_Revised MOR Package - Latest_II.5. RM Volume Sensitivities_BS retrieve" xfId="11687"/>
    <cellStyle name="_Revised MOR Package_Revised MOR Package - Latest_II.5. RM Volume Sensitivities_Free CF" xfId="11688"/>
    <cellStyle name="_Revised MOR Package_Revised MOR Package - Latest_II.5. RM Volume Sensitivities_P&amp;L Rec Qtr" xfId="11689"/>
    <cellStyle name="_Revised MOR Package_Revised MOR Package - Latest_II.5. RM Volume Sensitivities_Sheet1" xfId="11690"/>
    <cellStyle name="_Revised MOR Package_Revised MOR Package - Latest_II.5. RM Volume Sensitivities_Sheet2" xfId="11691"/>
    <cellStyle name="_Revised MOR Package_Revised MOR Package - Latest_II.5. RM Volume Sensitivities_Sheet3" xfId="11692"/>
    <cellStyle name="_Revised MOR Package_Revised MOR Package - Latest_II.5. RM Volume Sensitivities_Sheet4" xfId="11693"/>
    <cellStyle name="_Revised MOR Package_Revised MOR Package - Latest_II.8. Sep&amp;Discrete" xfId="11694"/>
    <cellStyle name="_Revised MOR Package_Revised MOR Package - Latest_Restructuring &amp; Separation" xfId="11695"/>
    <cellStyle name="_Revised MOR Package_Revised MOR Package - Latest_Restructuring_Separation_TAX_JuneFC2010 tf" xfId="11696"/>
    <cellStyle name="_Revised MOR Package_Revised MOR Package - Latest_Restructuring_Separation_TAX_JuneFC2010 tf_BS_Separation_TaxResIndem_Q12412 tf" xfId="11697"/>
    <cellStyle name="_Revised MOR Package_Revised MOR Package - Latest_Restructuring_Separation_TAX_JuneFC2010 tf_BS_Separation_TaxResIndem_Q12412 tf_Restructuring &amp; Separation" xfId="11698"/>
    <cellStyle name="_Revised MOR Package_Revised MOR Package - Latest_Restructuring_Separation_TAX_JuneFC2010 tf_II.8. Sep&amp;Discrete" xfId="11699"/>
    <cellStyle name="_Revised MOR Package_Revised MOR Package - Latest_Restructuring_Separation_TAX_JuneFC2010 tf_Restructuring &amp; Separation" xfId="11700"/>
    <cellStyle name="_RM table v2" xfId="11701"/>
    <cellStyle name="_Row1" xfId="11702"/>
    <cellStyle name="_Row1 2" xfId="11703"/>
    <cellStyle name="_Sales Bridge vs 8+4 FC 1018 version_1021" xfId="11704"/>
    <cellStyle name="_Sheet1" xfId="11705"/>
    <cellStyle name="_Sheet1_1" xfId="11706"/>
    <cellStyle name="_Sheet1_1 2" xfId="11707"/>
    <cellStyle name="_Sheet1_1_BS retrieve" xfId="11708"/>
    <cellStyle name="_Sheet1_1_Free CF" xfId="11709"/>
    <cellStyle name="_Sheet1_1_II.4. RawMaterials" xfId="11710"/>
    <cellStyle name="_Sheet1_1_II.4. RawMaterials 2" xfId="11711"/>
    <cellStyle name="_Sheet1_1_II.4. RawMaterials_BS retrieve" xfId="11712"/>
    <cellStyle name="_Sheet1_1_II.4. RawMaterials_Free CF" xfId="11713"/>
    <cellStyle name="_Sheet1_1_II.4. RawMaterials_P&amp;L Rec Qtr" xfId="11714"/>
    <cellStyle name="_Sheet1_1_II.4. RawMaterials_Sheet1" xfId="11715"/>
    <cellStyle name="_Sheet1_1_II.4. RawMaterials_Sheet2" xfId="11716"/>
    <cellStyle name="_Sheet1_1_II.4. RawMaterials_Sheet3" xfId="11717"/>
    <cellStyle name="_Sheet1_1_II.4. RawMaterials_Sheet4" xfId="11718"/>
    <cellStyle name="_Sheet1_1_II.5. RM Volume Sensitivities" xfId="11719"/>
    <cellStyle name="_Sheet1_1_II.5. RM Volume Sensitivities 2" xfId="11720"/>
    <cellStyle name="_Sheet1_1_II.5. RM Volume Sensitivities_BS retrieve" xfId="11721"/>
    <cellStyle name="_Sheet1_1_II.5. RM Volume Sensitivities_Free CF" xfId="11722"/>
    <cellStyle name="_Sheet1_1_II.5. RM Volume Sensitivities_P&amp;L Rec Qtr" xfId="11723"/>
    <cellStyle name="_Sheet1_1_II.5. RM Volume Sensitivities_Sheet1" xfId="11724"/>
    <cellStyle name="_Sheet1_1_II.5. RM Volume Sensitivities_Sheet2" xfId="11725"/>
    <cellStyle name="_Sheet1_1_II.5. RM Volume Sensitivities_Sheet3" xfId="11726"/>
    <cellStyle name="_Sheet1_1_II.5. RM Volume Sensitivities_Sheet4" xfId="11727"/>
    <cellStyle name="_Sheet1_1_P&amp;L Rec Qtr" xfId="11728"/>
    <cellStyle name="_Sheet1_1_Sheet1" xfId="11729"/>
    <cellStyle name="_Sheet1_1_Sheet2" xfId="11730"/>
    <cellStyle name="_Sheet1_1_Sheet3" xfId="11731"/>
    <cellStyle name="_Sheet1_1_Sheet4" xfId="11732"/>
    <cellStyle name="_Sheet1_BS_Separation_TaxResIndem_Q12412 tf" xfId="11733"/>
    <cellStyle name="_Sheet1_BS_Separation_TaxResIndem_Q12412 tf_Restructuring &amp; Separation" xfId="11734"/>
    <cellStyle name="_Sheet1_By Country Detail 1Q10 041410pm FIN 18 revised per disc w Mary" xfId="11735"/>
    <cellStyle name="_Sheet1_By Country Detail 1Q10 041410pm FIN 18 revised per disc w Mary_BS_Separation_TaxResIndem_Q12412 tf" xfId="11736"/>
    <cellStyle name="_Sheet1_By Country Detail 1Q10 041410pm FIN 18 revised per disc w Mary_BS_Separation_TaxResIndem_Q12412 tf_Restructuring &amp; Separation" xfId="11737"/>
    <cellStyle name="_Sheet1_By Country Detail 1Q10 041410pm FIN 18 revised per disc w Mary_II.8. Sep&amp;Discrete" xfId="11738"/>
    <cellStyle name="_Sheet1_By Country Detail 1Q10 041410pm FIN 18 revised per disc w Mary_Restructuring &amp; Separation" xfId="11739"/>
    <cellStyle name="_Sheet1_II.4. RawMaterials" xfId="11740"/>
    <cellStyle name="_Sheet1_II.5. RawMaterials" xfId="11741"/>
    <cellStyle name="_Sheet1_II.5. RM Volume Sensitivities" xfId="11742"/>
    <cellStyle name="_Sheet1_II.8. Sep&amp;Discrete" xfId="11743"/>
    <cellStyle name="_Sheet1_Restructuring &amp; Separation" xfId="11744"/>
    <cellStyle name="_Sheet1_Restructuring_Separation_TAX_JuneFC2010 tf" xfId="11745"/>
    <cellStyle name="_Sheet1_Restructuring_Separation_TAX_JuneFC2010 tf_BS_Separation_TaxResIndem_Q12412 tf" xfId="11746"/>
    <cellStyle name="_Sheet1_Restructuring_Separation_TAX_JuneFC2010 tf_BS_Separation_TaxResIndem_Q12412 tf_Restructuring &amp; Separation" xfId="11747"/>
    <cellStyle name="_Sheet1_Restructuring_Separation_TAX_JuneFC2010 tf_II.8. Sep&amp;Discrete" xfId="11748"/>
    <cellStyle name="_Sheet1_Restructuring_Separation_TAX_JuneFC2010 tf_Restructuring &amp; Separation" xfId="11749"/>
    <cellStyle name="_Split 2008 by BU &amp; Type_Master3 DC" xfId="11750"/>
    <cellStyle name="_Split 2008 by BU &amp; Type_Master3 DC_2012 APAC Productivity by Quarter 2" xfId="11751"/>
    <cellStyle name="_Split 2008 by BU &amp; Type_Master3 DC_APAC Monthly Analysis Tool-2011 3+9-Casey" xfId="11752"/>
    <cellStyle name="_Split 2008 by BU &amp; Type_Master3 DC_APAC Monthly Analysis Tool-2011 3+9-Casey 2" xfId="11753"/>
    <cellStyle name="_Split 2008 by BU &amp; Type_Master3 DC_APAC Monthly Analysis Tool-2011 3+9-Casey_BS retrieve" xfId="11754"/>
    <cellStyle name="_Split 2008 by BU &amp; Type_Master3 DC_APAC Monthly Analysis Tool-2011 3+9-Casey_Free CF" xfId="11755"/>
    <cellStyle name="_Split 2008 by BU &amp; Type_Master3 DC_APAC Monthly Analysis Tool-2011 3+9-Casey_P&amp;L Rec Qtr" xfId="11756"/>
    <cellStyle name="_Split 2008 by BU &amp; Type_Master3 DC_APAC Monthly Analysis Tool-2011 3+9-Casey_Sheet1" xfId="11757"/>
    <cellStyle name="_Split 2008 by BU &amp; Type_Master3 DC_APAC Monthly Analysis Tool-2011 3+9-Casey_Sheet2" xfId="11758"/>
    <cellStyle name="_Split 2008 by BU &amp; Type_Master3 DC_APAC Monthly Analysis Tool-2011 3+9-Casey_Sheet3" xfId="11759"/>
    <cellStyle name="_Split 2008 by BU &amp; Type_Master3 DC_APAC Monthly Analysis Tool-2011 3+9-Casey_Sheet4" xfId="11760"/>
    <cellStyle name="_Split 2008 by BU &amp; Type_Master3 DC_APAC Productivity base on New AOP by quarter-0406" xfId="11761"/>
    <cellStyle name="_Split 2008 by BU &amp; Type_Master3 DC_APAC Productivity base on New AOP by quarter-0406 2" xfId="11762"/>
    <cellStyle name="_Split 2008 by BU &amp; Type_Master3 DC_APAC Productivity base on New AOP by quarter-0406_BS retrieve" xfId="11763"/>
    <cellStyle name="_Split 2008 by BU &amp; Type_Master3 DC_APAC Productivity base on New AOP by quarter-0406_Free CF" xfId="11764"/>
    <cellStyle name="_Split 2008 by BU &amp; Type_Master3 DC_APAC Productivity base on New AOP by quarter-0406_P&amp;L Rec Qtr" xfId="11765"/>
    <cellStyle name="_Split 2008 by BU &amp; Type_Master3 DC_APAC Productivity base on New AOP by quarter-0406_Sheet1" xfId="11766"/>
    <cellStyle name="_Split 2008 by BU &amp; Type_Master3 DC_APAC Productivity base on New AOP by quarter-0406_Sheet2" xfId="11767"/>
    <cellStyle name="_Split 2008 by BU &amp; Type_Master3 DC_APAC Productivity base on New AOP by quarter-0406_Sheet3" xfId="11768"/>
    <cellStyle name="_Split 2008 by BU &amp; Type_Master3 DC_APAC Productivity base on New AOP by quarter-0406_Sheet4" xfId="11769"/>
    <cellStyle name="_Split 2008 by BU &amp; Type_Master3 DC_APAC Quartertly'11 Productivity FC" xfId="11770"/>
    <cellStyle name="_Split 2008 by BU &amp; Type_Master3 DC_APAC Quartertly'11 Productivity FC 2" xfId="11771"/>
    <cellStyle name="_Split 2008 by BU &amp; Type_Master3 DC_APAC Quartertly'11 Productivity FC_BS retrieve" xfId="11772"/>
    <cellStyle name="_Split 2008 by BU &amp; Type_Master3 DC_APAC Quartertly'11 Productivity FC_Free CF" xfId="11773"/>
    <cellStyle name="_Split 2008 by BU &amp; Type_Master3 DC_APAC Quartertly'11 Productivity FC_P&amp;L Rec Qtr" xfId="11774"/>
    <cellStyle name="_Split 2008 by BU &amp; Type_Master3 DC_APAC Quartertly'11 Productivity FC_Sheet1" xfId="11775"/>
    <cellStyle name="_Split 2008 by BU &amp; Type_Master3 DC_APAC Quartertly'11 Productivity FC_Sheet2" xfId="11776"/>
    <cellStyle name="_Split 2008 by BU &amp; Type_Master3 DC_APAC Quartertly'11 Productivity FC_Sheet3" xfId="11777"/>
    <cellStyle name="_Split 2008 by BU &amp; Type_Master3 DC_APAC Quartertly'11 Productivity FC_Sheet4" xfId="11778"/>
    <cellStyle name="_Split 2008 by BU &amp; Type_Master3 DC_APAC_Productivity Quarter_9+3" xfId="11779"/>
    <cellStyle name="_Split 2008 by BU &amp; Type_Master3 DC_Carry-over Details-APAC-9+3" xfId="11780"/>
    <cellStyle name="_Split 2008 by BU &amp; Type_Master3 DC_CN01 Productivty_January" xfId="11781"/>
    <cellStyle name="_Split 2008 by BU &amp; Type_Master3 DC_CN01_Month ACT-FC" xfId="11782"/>
    <cellStyle name="_Split 2008 by BU &amp; Type_Master3 DC_Countries Productivity List" xfId="11783"/>
    <cellStyle name="_Split 2008 by BU &amp; Type_Master3 DC_Countries Productivity List 2" xfId="11784"/>
    <cellStyle name="_Split 2008 by BU &amp; Type_Master3 DC_Countries Productivity List_BS retrieve" xfId="11785"/>
    <cellStyle name="_Split 2008 by BU &amp; Type_Master3 DC_Countries Productivity List_Free CF" xfId="11786"/>
    <cellStyle name="_Split 2008 by BU &amp; Type_Master3 DC_Countries Productivity List_P&amp;L Rec Qtr" xfId="11787"/>
    <cellStyle name="_Split 2008 by BU &amp; Type_Master3 DC_Countries Productivity List_Sheet1" xfId="11788"/>
    <cellStyle name="_Split 2008 by BU &amp; Type_Master3 DC_Countries Productivity List_Sheet2" xfId="11789"/>
    <cellStyle name="_Split 2008 by BU &amp; Type_Master3 DC_Countries Productivity List_Sheet3" xfId="11790"/>
    <cellStyle name="_Split 2008 by BU &amp; Type_Master3 DC_Countries Productivity List_Sheet4" xfId="11791"/>
    <cellStyle name="_Split 2008 by BU &amp; Type_Master3 DC_data for presentation" xfId="11792"/>
    <cellStyle name="_Split 2008 by BU &amp; Type_Master3 DC_NOV Productivity by Site  VS (2)" xfId="11793"/>
    <cellStyle name="_Tooling" xfId="11794"/>
    <cellStyle name="_Tooling 2" xfId="11795"/>
    <cellStyle name="_TOOLING AOP 2011_PL1-CB1- 2010 09 20ver2" xfId="11796"/>
    <cellStyle name="_TOOLING AOP 2011_PL1-CB1- 2010 09 20ver2_2012 APAC Productivity by Quarter 2" xfId="11797"/>
    <cellStyle name="_TOOLING AOP 2011_PL1-CB1- 2010 09 20ver2_APAC Monthly Analysis Tool-2011 3+9-Casey" xfId="11798"/>
    <cellStyle name="_TOOLING AOP 2011_PL1-CB1- 2010 09 20ver2_APAC Monthly Analysis Tool-2011 3+9-Casey 2" xfId="11799"/>
    <cellStyle name="_TOOLING AOP 2011_PL1-CB1- 2010 09 20ver2_APAC Monthly Analysis Tool-2011 3+9-Casey_BS retrieve" xfId="11800"/>
    <cellStyle name="_TOOLING AOP 2011_PL1-CB1- 2010 09 20ver2_APAC Monthly Analysis Tool-2011 3+9-Casey_Free CF" xfId="11801"/>
    <cellStyle name="_TOOLING AOP 2011_PL1-CB1- 2010 09 20ver2_APAC Monthly Analysis Tool-2011 3+9-Casey_P&amp;L Rec Qtr" xfId="11802"/>
    <cellStyle name="_TOOLING AOP 2011_PL1-CB1- 2010 09 20ver2_APAC Monthly Analysis Tool-2011 3+9-Casey_Sheet1" xfId="11803"/>
    <cellStyle name="_TOOLING AOP 2011_PL1-CB1- 2010 09 20ver2_APAC Monthly Analysis Tool-2011 3+9-Casey_Sheet2" xfId="11804"/>
    <cellStyle name="_TOOLING AOP 2011_PL1-CB1- 2010 09 20ver2_APAC Monthly Analysis Tool-2011 3+9-Casey_Sheet3" xfId="11805"/>
    <cellStyle name="_TOOLING AOP 2011_PL1-CB1- 2010 09 20ver2_APAC Monthly Analysis Tool-2011 3+9-Casey_Sheet4" xfId="11806"/>
    <cellStyle name="_TOOLING AOP 2011_PL1-CB1- 2010 09 20ver2_APAC Productivity base on New AOP by quarter-0406" xfId="11807"/>
    <cellStyle name="_TOOLING AOP 2011_PL1-CB1- 2010 09 20ver2_APAC Productivity base on New AOP by quarter-0406 2" xfId="11808"/>
    <cellStyle name="_TOOLING AOP 2011_PL1-CB1- 2010 09 20ver2_APAC Productivity base on New AOP by quarter-0406_BS retrieve" xfId="11809"/>
    <cellStyle name="_TOOLING AOP 2011_PL1-CB1- 2010 09 20ver2_APAC Productivity base on New AOP by quarter-0406_Free CF" xfId="11810"/>
    <cellStyle name="_TOOLING AOP 2011_PL1-CB1- 2010 09 20ver2_APAC Productivity base on New AOP by quarter-0406_P&amp;L Rec Qtr" xfId="11811"/>
    <cellStyle name="_TOOLING AOP 2011_PL1-CB1- 2010 09 20ver2_APAC Productivity base on New AOP by quarter-0406_Sheet1" xfId="11812"/>
    <cellStyle name="_TOOLING AOP 2011_PL1-CB1- 2010 09 20ver2_APAC Productivity base on New AOP by quarter-0406_Sheet2" xfId="11813"/>
    <cellStyle name="_TOOLING AOP 2011_PL1-CB1- 2010 09 20ver2_APAC Productivity base on New AOP by quarter-0406_Sheet3" xfId="11814"/>
    <cellStyle name="_TOOLING AOP 2011_PL1-CB1- 2010 09 20ver2_APAC Productivity base on New AOP by quarter-0406_Sheet4" xfId="11815"/>
    <cellStyle name="_TOOLING AOP 2011_PL1-CB1- 2010 09 20ver2_APAC Quartertly'11 Productivity FC" xfId="11816"/>
    <cellStyle name="_TOOLING AOP 2011_PL1-CB1- 2010 09 20ver2_APAC Quartertly'11 Productivity FC 2" xfId="11817"/>
    <cellStyle name="_TOOLING AOP 2011_PL1-CB1- 2010 09 20ver2_APAC Quartertly'11 Productivity FC_BS retrieve" xfId="11818"/>
    <cellStyle name="_TOOLING AOP 2011_PL1-CB1- 2010 09 20ver2_APAC Quartertly'11 Productivity FC_Free CF" xfId="11819"/>
    <cellStyle name="_TOOLING AOP 2011_PL1-CB1- 2010 09 20ver2_APAC Quartertly'11 Productivity FC_P&amp;L Rec Qtr" xfId="11820"/>
    <cellStyle name="_TOOLING AOP 2011_PL1-CB1- 2010 09 20ver2_APAC Quartertly'11 Productivity FC_Sheet1" xfId="11821"/>
    <cellStyle name="_TOOLING AOP 2011_PL1-CB1- 2010 09 20ver2_APAC Quartertly'11 Productivity FC_Sheet2" xfId="11822"/>
    <cellStyle name="_TOOLING AOP 2011_PL1-CB1- 2010 09 20ver2_APAC Quartertly'11 Productivity FC_Sheet3" xfId="11823"/>
    <cellStyle name="_TOOLING AOP 2011_PL1-CB1- 2010 09 20ver2_APAC Quartertly'11 Productivity FC_Sheet4" xfId="11824"/>
    <cellStyle name="_TOOLING AOP 2011_PL1-CB1- 2010 09 20ver2_APAC_Productivity Quarter_9+3" xfId="11825"/>
    <cellStyle name="_TOOLING AOP 2011_PL1-CB1- 2010 09 20ver2_Carry-over Details-APAC-9+3" xfId="11826"/>
    <cellStyle name="_TOOLING AOP 2011_PL1-CB1- 2010 09 20ver2_CN01 Productivty_January" xfId="11827"/>
    <cellStyle name="_TOOLING AOP 2011_PL1-CB1- 2010 09 20ver2_CN01_Month ACT-FC" xfId="11828"/>
    <cellStyle name="_TOOLING AOP 2011_PL1-CB1- 2010 09 20ver2_Countries Productivity List" xfId="11829"/>
    <cellStyle name="_TOOLING AOP 2011_PL1-CB1- 2010 09 20ver2_Countries Productivity List 2" xfId="11830"/>
    <cellStyle name="_TOOLING AOP 2011_PL1-CB1- 2010 09 20ver2_Countries Productivity List_BS retrieve" xfId="11831"/>
    <cellStyle name="_TOOLING AOP 2011_PL1-CB1- 2010 09 20ver2_Countries Productivity List_Free CF" xfId="11832"/>
    <cellStyle name="_TOOLING AOP 2011_PL1-CB1- 2010 09 20ver2_Countries Productivity List_P&amp;L Rec Qtr" xfId="11833"/>
    <cellStyle name="_TOOLING AOP 2011_PL1-CB1- 2010 09 20ver2_Countries Productivity List_Sheet1" xfId="11834"/>
    <cellStyle name="_TOOLING AOP 2011_PL1-CB1- 2010 09 20ver2_Countries Productivity List_Sheet2" xfId="11835"/>
    <cellStyle name="_TOOLING AOP 2011_PL1-CB1- 2010 09 20ver2_Countries Productivity List_Sheet3" xfId="11836"/>
    <cellStyle name="_TOOLING AOP 2011_PL1-CB1- 2010 09 20ver2_Countries Productivity List_Sheet4" xfId="11837"/>
    <cellStyle name="_TOOLING AOP 2011_PL1-CB1- 2010 09 20ver2_data for presentation" xfId="11838"/>
    <cellStyle name="_Tooling page" xfId="11839"/>
    <cellStyle name="_Tooling page 2" xfId="11840"/>
    <cellStyle name="_Tooling page_BS retrieve" xfId="11841"/>
    <cellStyle name="_Tooling page_Free CF" xfId="11842"/>
    <cellStyle name="_Tooling page_P&amp;L Rec Qtr" xfId="11843"/>
    <cellStyle name="_Tooling page_Sheet1" xfId="11844"/>
    <cellStyle name="_Tooling page_Sheet2" xfId="11845"/>
    <cellStyle name="_Tooling page_Sheet3" xfId="11846"/>
    <cellStyle name="_Tooling page_Sheet4" xfId="11847"/>
    <cellStyle name="_Tooling_BS retrieve" xfId="11848"/>
    <cellStyle name="_Tooling_Free CF" xfId="11849"/>
    <cellStyle name="_Tooling_P&amp;L Rec Qtr" xfId="11850"/>
    <cellStyle name="_Tooling_Sheet1" xfId="11851"/>
    <cellStyle name="_Tooling_Sheet2" xfId="11852"/>
    <cellStyle name="_Tooling_Sheet3" xfId="11853"/>
    <cellStyle name="_Tooling_Sheet4" xfId="11854"/>
    <cellStyle name="_UTC - BAFO 3.51" xfId="11855"/>
    <cellStyle name="_UTC Opportunity Review 05.18.05" xfId="11856"/>
    <cellStyle name="_UTC Opportunity Review 05.18.05_BS_Separation_TaxResIndem_Q12412 tf" xfId="11857"/>
    <cellStyle name="_UTC Opportunity Review 05.18.05_BS_Separation_TaxResIndem_Q12412 tf_Restructuring &amp; Separation" xfId="11858"/>
    <cellStyle name="_UTC Opportunity Review 05.18.05_Deferred tax MarchFC 2011" xfId="11859"/>
    <cellStyle name="_UTC Opportunity Review 05.18.05_Deferred tax MarchFC 2011_BS_Separation_TaxResIndem_Q12412 tf" xfId="11860"/>
    <cellStyle name="_UTC Opportunity Review 05.18.05_Deferred tax MarchFC 2011_BS_Separation_TaxResIndem_Q12412 tf_Restructuring &amp; Separation" xfId="11861"/>
    <cellStyle name="_UTC Opportunity Review 05.18.05_Deferred tax MarchFC 2011_II.8. Sep&amp;Discrete" xfId="11862"/>
    <cellStyle name="_UTC Opportunity Review 05.18.05_Deferred tax MarchFC 2011_Restructuring &amp; Separation" xfId="11863"/>
    <cellStyle name="_UTC Opportunity Review 05.18.05_II.8. Sep&amp;Discrete" xfId="11864"/>
    <cellStyle name="_UTC Opportunity Review 05.18.05_Restructuring &amp; Separation" xfId="11865"/>
    <cellStyle name="_UTC Opportunity Review 05.18.05_Sheet1" xfId="11866"/>
    <cellStyle name="_UTC Opportunity Review 05.18.05_Sheet1_1" xfId="11867"/>
    <cellStyle name="_UTC Opportunity Review 05.18.05_Sheet1_1_Restructuring &amp; Separation" xfId="11868"/>
    <cellStyle name="_UTC Opportunity Review 05.18.05_Sheet1_BS_Separation_TaxResIndem_Q12412 tf" xfId="11869"/>
    <cellStyle name="_UTC Opportunity Review 05.18.05_Sheet1_BS_Separation_TaxResIndem_Q12412 tf_Restructuring &amp; Separation" xfId="11870"/>
    <cellStyle name="_UTC Opportunity Review 05.18.05_Sheet1_II.8. Sep&amp;Discrete" xfId="11871"/>
    <cellStyle name="_UTC Opportunity Review 05.18.05_Sheet1_Restructuring &amp; Separation" xfId="11872"/>
    <cellStyle name="_Warranty Tri Charts April'05" xfId="11873"/>
    <cellStyle name="_Warranty Tri Charts April'05_BS_Separation_TaxResIndem_Q12412 tf" xfId="11874"/>
    <cellStyle name="_Warranty Tri Charts April'05_BS_Separation_TaxResIndem_Q12412 tf_Restructuring &amp; Separation" xfId="11875"/>
    <cellStyle name="_Warranty Tri Charts April'05_By Country Detail 1Q10 041410pm FIN 18 revised per disc w Mary" xfId="11876"/>
    <cellStyle name="_Warranty Tri Charts April'05_By Country Detail 1Q10 041410pm FIN 18 revised per disc w Mary_BS_Separation_TaxResIndem_Q12412 tf" xfId="11877"/>
    <cellStyle name="_Warranty Tri Charts April'05_By Country Detail 1Q10 041410pm FIN 18 revised per disc w Mary_BS_Separation_TaxResIndem_Q12412 tf_Restructuring &amp; Separation" xfId="11878"/>
    <cellStyle name="_Warranty Tri Charts April'05_By Country Detail 1Q10 041410pm FIN 18 revised per disc w Mary_II.8. Sep&amp;Discrete" xfId="11879"/>
    <cellStyle name="_Warranty Tri Charts April'05_By Country Detail 1Q10 041410pm FIN 18 revised per disc w Mary_Restructuring &amp; Separation" xfId="11880"/>
    <cellStyle name="_Warranty Tri Charts April'05_II.4. RawMaterials" xfId="11881"/>
    <cellStyle name="_Warranty Tri Charts April'05_II.4. RawMaterials 2" xfId="11882"/>
    <cellStyle name="_Warranty Tri Charts April'05_II.4. RawMaterials_BS retrieve" xfId="11883"/>
    <cellStyle name="_Warranty Tri Charts April'05_II.4. RawMaterials_Free CF" xfId="11884"/>
    <cellStyle name="_Warranty Tri Charts April'05_II.4. RawMaterials_P&amp;L Rec Qtr" xfId="11885"/>
    <cellStyle name="_Warranty Tri Charts April'05_II.4. RawMaterials_Sheet1" xfId="11886"/>
    <cellStyle name="_Warranty Tri Charts April'05_II.4. RawMaterials_Sheet2" xfId="11887"/>
    <cellStyle name="_Warranty Tri Charts April'05_II.4. RawMaterials_Sheet3" xfId="11888"/>
    <cellStyle name="_Warranty Tri Charts April'05_II.4. RawMaterials_Sheet4" xfId="11889"/>
    <cellStyle name="_Warranty Tri Charts April'05_II.5. RawMaterials" xfId="11890"/>
    <cellStyle name="_Warranty Tri Charts April'05_II.5. RawMaterials 2" xfId="11891"/>
    <cellStyle name="_Warranty Tri Charts April'05_II.5. RawMaterials_BS retrieve" xfId="11892"/>
    <cellStyle name="_Warranty Tri Charts April'05_II.5. RawMaterials_Free CF" xfId="11893"/>
    <cellStyle name="_Warranty Tri Charts April'05_II.5. RawMaterials_P&amp;L Rec Qtr" xfId="11894"/>
    <cellStyle name="_Warranty Tri Charts April'05_II.5. RawMaterials_Sheet1" xfId="11895"/>
    <cellStyle name="_Warranty Tri Charts April'05_II.5. RawMaterials_Sheet2" xfId="11896"/>
    <cellStyle name="_Warranty Tri Charts April'05_II.5. RawMaterials_Sheet3" xfId="11897"/>
    <cellStyle name="_Warranty Tri Charts April'05_II.5. RawMaterials_Sheet4" xfId="11898"/>
    <cellStyle name="_Warranty Tri Charts April'05_II.5. RM Volume Sensitivities" xfId="11899"/>
    <cellStyle name="_Warranty Tri Charts April'05_II.5. RM Volume Sensitivities 2" xfId="11900"/>
    <cellStyle name="_Warranty Tri Charts April'05_II.5. RM Volume Sensitivities_BS retrieve" xfId="11901"/>
    <cellStyle name="_Warranty Tri Charts April'05_II.5. RM Volume Sensitivities_Free CF" xfId="11902"/>
    <cellStyle name="_Warranty Tri Charts April'05_II.5. RM Volume Sensitivities_P&amp;L Rec Qtr" xfId="11903"/>
    <cellStyle name="_Warranty Tri Charts April'05_II.5. RM Volume Sensitivities_Sheet1" xfId="11904"/>
    <cellStyle name="_Warranty Tri Charts April'05_II.5. RM Volume Sensitivities_Sheet2" xfId="11905"/>
    <cellStyle name="_Warranty Tri Charts April'05_II.5. RM Volume Sensitivities_Sheet3" xfId="11906"/>
    <cellStyle name="_Warranty Tri Charts April'05_II.5. RM Volume Sensitivities_Sheet4" xfId="11907"/>
    <cellStyle name="_Warranty Tri Charts April'05_II.8. Sep&amp;Discrete" xfId="11908"/>
    <cellStyle name="_Warranty Tri Charts April'05_Restructuring &amp; Separation" xfId="11909"/>
    <cellStyle name="_Warranty Tri Charts April'05_Restructuring_Separation_TAX_JuneFC2010 tf" xfId="11910"/>
    <cellStyle name="_Warranty Tri Charts April'05_Restructuring_Separation_TAX_JuneFC2010 tf_BS_Separation_TaxResIndem_Q12412 tf" xfId="11911"/>
    <cellStyle name="_Warranty Tri Charts April'05_Restructuring_Separation_TAX_JuneFC2010 tf_BS_Separation_TaxResIndem_Q12412 tf_Restructuring &amp; Separation" xfId="11912"/>
    <cellStyle name="_Warranty Tri Charts April'05_Restructuring_Separation_TAX_JuneFC2010 tf_II.8. Sep&amp;Discrete" xfId="11913"/>
    <cellStyle name="_Warranty Tri Charts April'05_Restructuring_Separation_TAX_JuneFC2010 tf_Restructuring &amp; Separation" xfId="11914"/>
    <cellStyle name="_Warranty Tri Charts Feb'05" xfId="11915"/>
    <cellStyle name="_Warranty Tri Charts Feb'05_BS_Separation_TaxResIndem_Q12412 tf" xfId="11916"/>
    <cellStyle name="_Warranty Tri Charts Feb'05_BS_Separation_TaxResIndem_Q12412 tf_Restructuring &amp; Separation" xfId="11917"/>
    <cellStyle name="_Warranty Tri Charts Feb'05_By Country Detail 1Q10 041410pm FIN 18 revised per disc w Mary" xfId="11918"/>
    <cellStyle name="_Warranty Tri Charts Feb'05_By Country Detail 1Q10 041410pm FIN 18 revised per disc w Mary_BS_Separation_TaxResIndem_Q12412 tf" xfId="11919"/>
    <cellStyle name="_Warranty Tri Charts Feb'05_By Country Detail 1Q10 041410pm FIN 18 revised per disc w Mary_BS_Separation_TaxResIndem_Q12412 tf_Restructuring &amp; Separation" xfId="11920"/>
    <cellStyle name="_Warranty Tri Charts Feb'05_By Country Detail 1Q10 041410pm FIN 18 revised per disc w Mary_II.8. Sep&amp;Discrete" xfId="11921"/>
    <cellStyle name="_Warranty Tri Charts Feb'05_By Country Detail 1Q10 041410pm FIN 18 revised per disc w Mary_Restructuring &amp; Separation" xfId="11922"/>
    <cellStyle name="_Warranty Tri Charts Feb'05_II.4. RawMaterials" xfId="11923"/>
    <cellStyle name="_Warranty Tri Charts Feb'05_II.4. RawMaterials 2" xfId="11924"/>
    <cellStyle name="_Warranty Tri Charts Feb'05_II.4. RawMaterials_BS retrieve" xfId="11925"/>
    <cellStyle name="_Warranty Tri Charts Feb'05_II.4. RawMaterials_Free CF" xfId="11926"/>
    <cellStyle name="_Warranty Tri Charts Feb'05_II.4. RawMaterials_P&amp;L Rec Qtr" xfId="11927"/>
    <cellStyle name="_Warranty Tri Charts Feb'05_II.4. RawMaterials_Sheet1" xfId="11928"/>
    <cellStyle name="_Warranty Tri Charts Feb'05_II.4. RawMaterials_Sheet2" xfId="11929"/>
    <cellStyle name="_Warranty Tri Charts Feb'05_II.4. RawMaterials_Sheet3" xfId="11930"/>
    <cellStyle name="_Warranty Tri Charts Feb'05_II.4. RawMaterials_Sheet4" xfId="11931"/>
    <cellStyle name="_Warranty Tri Charts Feb'05_II.5. RawMaterials" xfId="11932"/>
    <cellStyle name="_Warranty Tri Charts Feb'05_II.5. RawMaterials 2" xfId="11933"/>
    <cellStyle name="_Warranty Tri Charts Feb'05_II.5. RawMaterials_BS retrieve" xfId="11934"/>
    <cellStyle name="_Warranty Tri Charts Feb'05_II.5. RawMaterials_Free CF" xfId="11935"/>
    <cellStyle name="_Warranty Tri Charts Feb'05_II.5. RawMaterials_P&amp;L Rec Qtr" xfId="11936"/>
    <cellStyle name="_Warranty Tri Charts Feb'05_II.5. RawMaterials_Sheet1" xfId="11937"/>
    <cellStyle name="_Warranty Tri Charts Feb'05_II.5. RawMaterials_Sheet2" xfId="11938"/>
    <cellStyle name="_Warranty Tri Charts Feb'05_II.5. RawMaterials_Sheet3" xfId="11939"/>
    <cellStyle name="_Warranty Tri Charts Feb'05_II.5. RawMaterials_Sheet4" xfId="11940"/>
    <cellStyle name="_Warranty Tri Charts Feb'05_II.5. RM Volume Sensitivities" xfId="11941"/>
    <cellStyle name="_Warranty Tri Charts Feb'05_II.5. RM Volume Sensitivities 2" xfId="11942"/>
    <cellStyle name="_Warranty Tri Charts Feb'05_II.5. RM Volume Sensitivities_BS retrieve" xfId="11943"/>
    <cellStyle name="_Warranty Tri Charts Feb'05_II.5. RM Volume Sensitivities_Free CF" xfId="11944"/>
    <cellStyle name="_Warranty Tri Charts Feb'05_II.5. RM Volume Sensitivities_P&amp;L Rec Qtr" xfId="11945"/>
    <cellStyle name="_Warranty Tri Charts Feb'05_II.5. RM Volume Sensitivities_Sheet1" xfId="11946"/>
    <cellStyle name="_Warranty Tri Charts Feb'05_II.5. RM Volume Sensitivities_Sheet2" xfId="11947"/>
    <cellStyle name="_Warranty Tri Charts Feb'05_II.5. RM Volume Sensitivities_Sheet3" xfId="11948"/>
    <cellStyle name="_Warranty Tri Charts Feb'05_II.5. RM Volume Sensitivities_Sheet4" xfId="11949"/>
    <cellStyle name="_Warranty Tri Charts Feb'05_II.8. Sep&amp;Discrete" xfId="11950"/>
    <cellStyle name="_Warranty Tri Charts Feb'05_Restructuring &amp; Separation" xfId="11951"/>
    <cellStyle name="_Warranty Tri Charts Feb'05_Restructuring_Separation_TAX_JuneFC2010 tf" xfId="11952"/>
    <cellStyle name="_Warranty Tri Charts Feb'05_Restructuring_Separation_TAX_JuneFC2010 tf_BS_Separation_TaxResIndem_Q12412 tf" xfId="11953"/>
    <cellStyle name="_Warranty Tri Charts Feb'05_Restructuring_Separation_TAX_JuneFC2010 tf_BS_Separation_TaxResIndem_Q12412 tf_Restructuring &amp; Separation" xfId="11954"/>
    <cellStyle name="_Warranty Tri Charts Feb'05_Restructuring_Separation_TAX_JuneFC2010 tf_II.8. Sep&amp;Discrete" xfId="11955"/>
    <cellStyle name="_Warranty Tri Charts Feb'05_Restructuring_Separation_TAX_JuneFC2010 tf_Restructuring &amp; Separation" xfId="11956"/>
    <cellStyle name="_Warranty Tri Charts Jan'05" xfId="11957"/>
    <cellStyle name="_Warranty Tri Charts Jan'05_BS_Separation_TaxResIndem_Q12412 tf" xfId="11958"/>
    <cellStyle name="_Warranty Tri Charts Jan'05_BS_Separation_TaxResIndem_Q12412 tf_Restructuring &amp; Separation" xfId="11959"/>
    <cellStyle name="_Warranty Tri Charts Jan'05_By Country Detail 1Q10 041410pm FIN 18 revised per disc w Mary" xfId="11960"/>
    <cellStyle name="_Warranty Tri Charts Jan'05_By Country Detail 1Q10 041410pm FIN 18 revised per disc w Mary_BS_Separation_TaxResIndem_Q12412 tf" xfId="11961"/>
    <cellStyle name="_Warranty Tri Charts Jan'05_By Country Detail 1Q10 041410pm FIN 18 revised per disc w Mary_BS_Separation_TaxResIndem_Q12412 tf_Restructuring &amp; Separation" xfId="11962"/>
    <cellStyle name="_Warranty Tri Charts Jan'05_By Country Detail 1Q10 041410pm FIN 18 revised per disc w Mary_II.8. Sep&amp;Discrete" xfId="11963"/>
    <cellStyle name="_Warranty Tri Charts Jan'05_By Country Detail 1Q10 041410pm FIN 18 revised per disc w Mary_Restructuring &amp; Separation" xfId="11964"/>
    <cellStyle name="_Warranty Tri Charts Jan'05_II.4. RawMaterials" xfId="11965"/>
    <cellStyle name="_Warranty Tri Charts Jan'05_II.4. RawMaterials 2" xfId="11966"/>
    <cellStyle name="_Warranty Tri Charts Jan'05_II.4. RawMaterials_BS retrieve" xfId="11967"/>
    <cellStyle name="_Warranty Tri Charts Jan'05_II.4. RawMaterials_Free CF" xfId="11968"/>
    <cellStyle name="_Warranty Tri Charts Jan'05_II.4. RawMaterials_P&amp;L Rec Qtr" xfId="11969"/>
    <cellStyle name="_Warranty Tri Charts Jan'05_II.4. RawMaterials_Sheet1" xfId="11970"/>
    <cellStyle name="_Warranty Tri Charts Jan'05_II.4. RawMaterials_Sheet2" xfId="11971"/>
    <cellStyle name="_Warranty Tri Charts Jan'05_II.4. RawMaterials_Sheet3" xfId="11972"/>
    <cellStyle name="_Warranty Tri Charts Jan'05_II.4. RawMaterials_Sheet4" xfId="11973"/>
    <cellStyle name="_Warranty Tri Charts Jan'05_II.5. RawMaterials" xfId="11974"/>
    <cellStyle name="_Warranty Tri Charts Jan'05_II.5. RawMaterials 2" xfId="11975"/>
    <cellStyle name="_Warranty Tri Charts Jan'05_II.5. RawMaterials_BS retrieve" xfId="11976"/>
    <cellStyle name="_Warranty Tri Charts Jan'05_II.5. RawMaterials_Free CF" xfId="11977"/>
    <cellStyle name="_Warranty Tri Charts Jan'05_II.5. RawMaterials_P&amp;L Rec Qtr" xfId="11978"/>
    <cellStyle name="_Warranty Tri Charts Jan'05_II.5. RawMaterials_Sheet1" xfId="11979"/>
    <cellStyle name="_Warranty Tri Charts Jan'05_II.5. RawMaterials_Sheet2" xfId="11980"/>
    <cellStyle name="_Warranty Tri Charts Jan'05_II.5. RawMaterials_Sheet3" xfId="11981"/>
    <cellStyle name="_Warranty Tri Charts Jan'05_II.5. RawMaterials_Sheet4" xfId="11982"/>
    <cellStyle name="_Warranty Tri Charts Jan'05_II.5. RM Volume Sensitivities" xfId="11983"/>
    <cellStyle name="_Warranty Tri Charts Jan'05_II.5. RM Volume Sensitivities 2" xfId="11984"/>
    <cellStyle name="_Warranty Tri Charts Jan'05_II.5. RM Volume Sensitivities_BS retrieve" xfId="11985"/>
    <cellStyle name="_Warranty Tri Charts Jan'05_II.5. RM Volume Sensitivities_Free CF" xfId="11986"/>
    <cellStyle name="_Warranty Tri Charts Jan'05_II.5. RM Volume Sensitivities_P&amp;L Rec Qtr" xfId="11987"/>
    <cellStyle name="_Warranty Tri Charts Jan'05_II.5. RM Volume Sensitivities_Sheet1" xfId="11988"/>
    <cellStyle name="_Warranty Tri Charts Jan'05_II.5. RM Volume Sensitivities_Sheet2" xfId="11989"/>
    <cellStyle name="_Warranty Tri Charts Jan'05_II.5. RM Volume Sensitivities_Sheet3" xfId="11990"/>
    <cellStyle name="_Warranty Tri Charts Jan'05_II.5. RM Volume Sensitivities_Sheet4" xfId="11991"/>
    <cellStyle name="_Warranty Tri Charts Jan'05_II.8. Sep&amp;Discrete" xfId="11992"/>
    <cellStyle name="_Warranty Tri Charts Jan'05_Restructuring &amp; Separation" xfId="11993"/>
    <cellStyle name="_Warranty Tri Charts Jan'05_Restructuring_Separation_TAX_JuneFC2010 tf" xfId="11994"/>
    <cellStyle name="_Warranty Tri Charts Jan'05_Restructuring_Separation_TAX_JuneFC2010 tf_BS_Separation_TaxResIndem_Q12412 tf" xfId="11995"/>
    <cellStyle name="_Warranty Tri Charts Jan'05_Restructuring_Separation_TAX_JuneFC2010 tf_BS_Separation_TaxResIndem_Q12412 tf_Restructuring &amp; Separation" xfId="11996"/>
    <cellStyle name="_Warranty Tri Charts Jan'05_Restructuring_Separation_TAX_JuneFC2010 tf_II.8. Sep&amp;Discrete" xfId="11997"/>
    <cellStyle name="_Warranty Tri Charts Jan'05_Restructuring_Separation_TAX_JuneFC2010 tf_Restructuring &amp; Separation" xfId="11998"/>
    <cellStyle name="_Warranty Tri Charts Mar '05" xfId="11999"/>
    <cellStyle name="_Warranty Tri Charts Mar '05_BS_Separation_TaxResIndem_Q12412 tf" xfId="12000"/>
    <cellStyle name="_Warranty Tri Charts Mar '05_BS_Separation_TaxResIndem_Q12412 tf_Restructuring &amp; Separation" xfId="12001"/>
    <cellStyle name="_Warranty Tri Charts Mar '05_By Country Detail 1Q10 041410pm FIN 18 revised per disc w Mary" xfId="12002"/>
    <cellStyle name="_Warranty Tri Charts Mar '05_By Country Detail 1Q10 041410pm FIN 18 revised per disc w Mary_BS_Separation_TaxResIndem_Q12412 tf" xfId="12003"/>
    <cellStyle name="_Warranty Tri Charts Mar '05_By Country Detail 1Q10 041410pm FIN 18 revised per disc w Mary_BS_Separation_TaxResIndem_Q12412 tf_Restructuring &amp; Separation" xfId="12004"/>
    <cellStyle name="_Warranty Tri Charts Mar '05_By Country Detail 1Q10 041410pm FIN 18 revised per disc w Mary_II.8. Sep&amp;Discrete" xfId="12005"/>
    <cellStyle name="_Warranty Tri Charts Mar '05_By Country Detail 1Q10 041410pm FIN 18 revised per disc w Mary_Restructuring &amp; Separation" xfId="12006"/>
    <cellStyle name="_Warranty Tri Charts Mar '05_II.4. RawMaterials" xfId="12007"/>
    <cellStyle name="_Warranty Tri Charts Mar '05_II.4. RawMaterials 2" xfId="12008"/>
    <cellStyle name="_Warranty Tri Charts Mar '05_II.4. RawMaterials_BS retrieve" xfId="12009"/>
    <cellStyle name="_Warranty Tri Charts Mar '05_II.4. RawMaterials_Free CF" xfId="12010"/>
    <cellStyle name="_Warranty Tri Charts Mar '05_II.4. RawMaterials_P&amp;L Rec Qtr" xfId="12011"/>
    <cellStyle name="_Warranty Tri Charts Mar '05_II.4. RawMaterials_Sheet1" xfId="12012"/>
    <cellStyle name="_Warranty Tri Charts Mar '05_II.4. RawMaterials_Sheet2" xfId="12013"/>
    <cellStyle name="_Warranty Tri Charts Mar '05_II.4. RawMaterials_Sheet3" xfId="12014"/>
    <cellStyle name="_Warranty Tri Charts Mar '05_II.4. RawMaterials_Sheet4" xfId="12015"/>
    <cellStyle name="_Warranty Tri Charts Mar '05_II.5. RawMaterials" xfId="12016"/>
    <cellStyle name="_Warranty Tri Charts Mar '05_II.5. RawMaterials 2" xfId="12017"/>
    <cellStyle name="_Warranty Tri Charts Mar '05_II.5. RawMaterials_BS retrieve" xfId="12018"/>
    <cellStyle name="_Warranty Tri Charts Mar '05_II.5. RawMaterials_Free CF" xfId="12019"/>
    <cellStyle name="_Warranty Tri Charts Mar '05_II.5. RawMaterials_P&amp;L Rec Qtr" xfId="12020"/>
    <cellStyle name="_Warranty Tri Charts Mar '05_II.5. RawMaterials_Sheet1" xfId="12021"/>
    <cellStyle name="_Warranty Tri Charts Mar '05_II.5. RawMaterials_Sheet2" xfId="12022"/>
    <cellStyle name="_Warranty Tri Charts Mar '05_II.5. RawMaterials_Sheet3" xfId="12023"/>
    <cellStyle name="_Warranty Tri Charts Mar '05_II.5. RawMaterials_Sheet4" xfId="12024"/>
    <cellStyle name="_Warranty Tri Charts Mar '05_II.5. RM Volume Sensitivities" xfId="12025"/>
    <cellStyle name="_Warranty Tri Charts Mar '05_II.5. RM Volume Sensitivities 2" xfId="12026"/>
    <cellStyle name="_Warranty Tri Charts Mar '05_II.5. RM Volume Sensitivities_BS retrieve" xfId="12027"/>
    <cellStyle name="_Warranty Tri Charts Mar '05_II.5. RM Volume Sensitivities_Free CF" xfId="12028"/>
    <cellStyle name="_Warranty Tri Charts Mar '05_II.5. RM Volume Sensitivities_P&amp;L Rec Qtr" xfId="12029"/>
    <cellStyle name="_Warranty Tri Charts Mar '05_II.5. RM Volume Sensitivities_Sheet1" xfId="12030"/>
    <cellStyle name="_Warranty Tri Charts Mar '05_II.5. RM Volume Sensitivities_Sheet2" xfId="12031"/>
    <cellStyle name="_Warranty Tri Charts Mar '05_II.5. RM Volume Sensitivities_Sheet3" xfId="12032"/>
    <cellStyle name="_Warranty Tri Charts Mar '05_II.5. RM Volume Sensitivities_Sheet4" xfId="12033"/>
    <cellStyle name="_Warranty Tri Charts Mar '05_II.8. Sep&amp;Discrete" xfId="12034"/>
    <cellStyle name="_Warranty Tri Charts Mar '05_Restructuring &amp; Separation" xfId="12035"/>
    <cellStyle name="_Warranty Tri Charts Mar '05_Restructuring_Separation_TAX_JuneFC2010 tf" xfId="12036"/>
    <cellStyle name="_Warranty Tri Charts Mar '05_Restructuring_Separation_TAX_JuneFC2010 tf_BS_Separation_TaxResIndem_Q12412 tf" xfId="12037"/>
    <cellStyle name="_Warranty Tri Charts Mar '05_Restructuring_Separation_TAX_JuneFC2010 tf_BS_Separation_TaxResIndem_Q12412 tf_Restructuring &amp; Separation" xfId="12038"/>
    <cellStyle name="_Warranty Tri Charts Mar '05_Restructuring_Separation_TAX_JuneFC2010 tf_II.8. Sep&amp;Discrete" xfId="12039"/>
    <cellStyle name="_Warranty Tri Charts Mar '05_Restructuring_Separation_TAX_JuneFC2010 tf_Restructuring &amp; Separation" xfId="12040"/>
    <cellStyle name="_Warranty Tri Charts Mar'05" xfId="12041"/>
    <cellStyle name="_Warranty Tri Charts Mar'05_BS_Separation_TaxResIndem_Q12412 tf" xfId="12042"/>
    <cellStyle name="_Warranty Tri Charts Mar'05_BS_Separation_TaxResIndem_Q12412 tf_Restructuring &amp; Separation" xfId="12043"/>
    <cellStyle name="_Warranty Tri Charts Mar'05_By Country Detail 1Q10 041410pm FIN 18 revised per disc w Mary" xfId="12044"/>
    <cellStyle name="_Warranty Tri Charts Mar'05_By Country Detail 1Q10 041410pm FIN 18 revised per disc w Mary_BS_Separation_TaxResIndem_Q12412 tf" xfId="12045"/>
    <cellStyle name="_Warranty Tri Charts Mar'05_By Country Detail 1Q10 041410pm FIN 18 revised per disc w Mary_BS_Separation_TaxResIndem_Q12412 tf_Restructuring &amp; Separation" xfId="12046"/>
    <cellStyle name="_Warranty Tri Charts Mar'05_By Country Detail 1Q10 041410pm FIN 18 revised per disc w Mary_II.8. Sep&amp;Discrete" xfId="12047"/>
    <cellStyle name="_Warranty Tri Charts Mar'05_By Country Detail 1Q10 041410pm FIN 18 revised per disc w Mary_Restructuring &amp; Separation" xfId="12048"/>
    <cellStyle name="_Warranty Tri Charts Mar'05_II.4. RawMaterials" xfId="12049"/>
    <cellStyle name="_Warranty Tri Charts Mar'05_II.4. RawMaterials 2" xfId="12050"/>
    <cellStyle name="_Warranty Tri Charts Mar'05_II.4. RawMaterials_BS retrieve" xfId="12051"/>
    <cellStyle name="_Warranty Tri Charts Mar'05_II.4. RawMaterials_Free CF" xfId="12052"/>
    <cellStyle name="_Warranty Tri Charts Mar'05_II.4. RawMaterials_P&amp;L Rec Qtr" xfId="12053"/>
    <cellStyle name="_Warranty Tri Charts Mar'05_II.4. RawMaterials_Sheet1" xfId="12054"/>
    <cellStyle name="_Warranty Tri Charts Mar'05_II.4. RawMaterials_Sheet2" xfId="12055"/>
    <cellStyle name="_Warranty Tri Charts Mar'05_II.4. RawMaterials_Sheet3" xfId="12056"/>
    <cellStyle name="_Warranty Tri Charts Mar'05_II.4. RawMaterials_Sheet4" xfId="12057"/>
    <cellStyle name="_Warranty Tri Charts Mar'05_II.5. RawMaterials" xfId="12058"/>
    <cellStyle name="_Warranty Tri Charts Mar'05_II.5. RawMaterials 2" xfId="12059"/>
    <cellStyle name="_Warranty Tri Charts Mar'05_II.5. RawMaterials_BS retrieve" xfId="12060"/>
    <cellStyle name="_Warranty Tri Charts Mar'05_II.5. RawMaterials_Free CF" xfId="12061"/>
    <cellStyle name="_Warranty Tri Charts Mar'05_II.5. RawMaterials_P&amp;L Rec Qtr" xfId="12062"/>
    <cellStyle name="_Warranty Tri Charts Mar'05_II.5. RawMaterials_Sheet1" xfId="12063"/>
    <cellStyle name="_Warranty Tri Charts Mar'05_II.5. RawMaterials_Sheet2" xfId="12064"/>
    <cellStyle name="_Warranty Tri Charts Mar'05_II.5. RawMaterials_Sheet3" xfId="12065"/>
    <cellStyle name="_Warranty Tri Charts Mar'05_II.5. RawMaterials_Sheet4" xfId="12066"/>
    <cellStyle name="_Warranty Tri Charts Mar'05_II.5. RM Volume Sensitivities" xfId="12067"/>
    <cellStyle name="_Warranty Tri Charts Mar'05_II.5. RM Volume Sensitivities 2" xfId="12068"/>
    <cellStyle name="_Warranty Tri Charts Mar'05_II.5. RM Volume Sensitivities_BS retrieve" xfId="12069"/>
    <cellStyle name="_Warranty Tri Charts Mar'05_II.5. RM Volume Sensitivities_Free CF" xfId="12070"/>
    <cellStyle name="_Warranty Tri Charts Mar'05_II.5. RM Volume Sensitivities_P&amp;L Rec Qtr" xfId="12071"/>
    <cellStyle name="_Warranty Tri Charts Mar'05_II.5. RM Volume Sensitivities_Sheet1" xfId="12072"/>
    <cellStyle name="_Warranty Tri Charts Mar'05_II.5. RM Volume Sensitivities_Sheet2" xfId="12073"/>
    <cellStyle name="_Warranty Tri Charts Mar'05_II.5. RM Volume Sensitivities_Sheet3" xfId="12074"/>
    <cellStyle name="_Warranty Tri Charts Mar'05_II.5. RM Volume Sensitivities_Sheet4" xfId="12075"/>
    <cellStyle name="_Warranty Tri Charts Mar'05_II.8. Sep&amp;Discrete" xfId="12076"/>
    <cellStyle name="_Warranty Tri Charts Mar'05_Restructuring &amp; Separation" xfId="12077"/>
    <cellStyle name="_Warranty Tri Charts Mar'05_Restructuring_Separation_TAX_JuneFC2010 tf" xfId="12078"/>
    <cellStyle name="_Warranty Tri Charts Mar'05_Restructuring_Separation_TAX_JuneFC2010 tf_BS_Separation_TaxResIndem_Q12412 tf" xfId="12079"/>
    <cellStyle name="_Warranty Tri Charts Mar'05_Restructuring_Separation_TAX_JuneFC2010 tf_BS_Separation_TaxResIndem_Q12412 tf_Restructuring &amp; Separation" xfId="12080"/>
    <cellStyle name="_Warranty Tri Charts Mar'05_Restructuring_Separation_TAX_JuneFC2010 tf_II.8. Sep&amp;Discrete" xfId="12081"/>
    <cellStyle name="_Warranty Tri Charts Mar'05_Restructuring_Separation_TAX_JuneFC2010 tf_Restructuring &amp; Separation" xfId="12082"/>
    <cellStyle name="_WBC_(Last Upt. Dec)_v7" xfId="12083"/>
    <cellStyle name="_WBC_(Last Upt. Dec)_v7_BS_Separation_TaxResIndem_Q12412 tf" xfId="12084"/>
    <cellStyle name="_WBC_(Last Upt. Dec)_v7_BS_Separation_TaxResIndem_Q12412 tf_Restructuring &amp; Separation" xfId="12085"/>
    <cellStyle name="_WBC_(Last Upt. Dec)_v7_By Country Detail 1Q10 041410pm FIN 18 revised per disc w Mary" xfId="12086"/>
    <cellStyle name="_WBC_(Last Upt. Dec)_v7_By Country Detail 1Q10 041410pm FIN 18 revised per disc w Mary_BS_Separation_TaxResIndem_Q12412 tf" xfId="12087"/>
    <cellStyle name="_WBC_(Last Upt. Dec)_v7_By Country Detail 1Q10 041410pm FIN 18 revised per disc w Mary_BS_Separation_TaxResIndem_Q12412 tf_Restructuring &amp; Separation" xfId="12088"/>
    <cellStyle name="_WBC_(Last Upt. Dec)_v7_By Country Detail 1Q10 041410pm FIN 18 revised per disc w Mary_II.8. Sep&amp;Discrete" xfId="12089"/>
    <cellStyle name="_WBC_(Last Upt. Dec)_v7_By Country Detail 1Q10 041410pm FIN 18 revised per disc w Mary_Restructuring &amp; Separation" xfId="12090"/>
    <cellStyle name="_WBC_(Last Upt. Dec)_v7_II.4. RawMaterials" xfId="12091"/>
    <cellStyle name="_WBC_(Last Upt. Dec)_v7_II.4. RawMaterials 2" xfId="12092"/>
    <cellStyle name="_WBC_(Last Upt. Dec)_v7_II.4. RawMaterials_BS retrieve" xfId="12093"/>
    <cellStyle name="_WBC_(Last Upt. Dec)_v7_II.4. RawMaterials_Free CF" xfId="12094"/>
    <cellStyle name="_WBC_(Last Upt. Dec)_v7_II.4. RawMaterials_P&amp;L Rec Qtr" xfId="12095"/>
    <cellStyle name="_WBC_(Last Upt. Dec)_v7_II.4. RawMaterials_Sheet1" xfId="12096"/>
    <cellStyle name="_WBC_(Last Upt. Dec)_v7_II.4. RawMaterials_Sheet2" xfId="12097"/>
    <cellStyle name="_WBC_(Last Upt. Dec)_v7_II.4. RawMaterials_Sheet3" xfId="12098"/>
    <cellStyle name="_WBC_(Last Upt. Dec)_v7_II.4. RawMaterials_Sheet4" xfId="12099"/>
    <cellStyle name="_WBC_(Last Upt. Dec)_v7_II.5. RawMaterials" xfId="12100"/>
    <cellStyle name="_WBC_(Last Upt. Dec)_v7_II.5. RawMaterials 2" xfId="12101"/>
    <cellStyle name="_WBC_(Last Upt. Dec)_v7_II.5. RawMaterials_BS retrieve" xfId="12102"/>
    <cellStyle name="_WBC_(Last Upt. Dec)_v7_II.5. RawMaterials_Free CF" xfId="12103"/>
    <cellStyle name="_WBC_(Last Upt. Dec)_v7_II.5. RawMaterials_P&amp;L Rec Qtr" xfId="12104"/>
    <cellStyle name="_WBC_(Last Upt. Dec)_v7_II.5. RawMaterials_Sheet1" xfId="12105"/>
    <cellStyle name="_WBC_(Last Upt. Dec)_v7_II.5. RawMaterials_Sheet2" xfId="12106"/>
    <cellStyle name="_WBC_(Last Upt. Dec)_v7_II.5. RawMaterials_Sheet3" xfId="12107"/>
    <cellStyle name="_WBC_(Last Upt. Dec)_v7_II.5. RawMaterials_Sheet4" xfId="12108"/>
    <cellStyle name="_WBC_(Last Upt. Dec)_v7_II.5. RM Volume Sensitivities" xfId="12109"/>
    <cellStyle name="_WBC_(Last Upt. Dec)_v7_II.5. RM Volume Sensitivities 2" xfId="12110"/>
    <cellStyle name="_WBC_(Last Upt. Dec)_v7_II.5. RM Volume Sensitivities_BS retrieve" xfId="12111"/>
    <cellStyle name="_WBC_(Last Upt. Dec)_v7_II.5. RM Volume Sensitivities_Free CF" xfId="12112"/>
    <cellStyle name="_WBC_(Last Upt. Dec)_v7_II.5. RM Volume Sensitivities_P&amp;L Rec Qtr" xfId="12113"/>
    <cellStyle name="_WBC_(Last Upt. Dec)_v7_II.5. RM Volume Sensitivities_Sheet1" xfId="12114"/>
    <cellStyle name="_WBC_(Last Upt. Dec)_v7_II.5. RM Volume Sensitivities_Sheet2" xfId="12115"/>
    <cellStyle name="_WBC_(Last Upt. Dec)_v7_II.5. RM Volume Sensitivities_Sheet3" xfId="12116"/>
    <cellStyle name="_WBC_(Last Upt. Dec)_v7_II.5. RM Volume Sensitivities_Sheet4" xfId="12117"/>
    <cellStyle name="_WBC_(Last Upt. Dec)_v7_II.8. Sep&amp;Discrete" xfId="12118"/>
    <cellStyle name="_WBC_(Last Upt. Dec)_v7_Restructuring &amp; Separation" xfId="12119"/>
    <cellStyle name="_WBC_(Last Upt. Dec)_v7_Restructuring_Separation_TAX_JuneFC2010 tf" xfId="12120"/>
    <cellStyle name="_WBC_(Last Upt. Dec)_v7_Restructuring_Separation_TAX_JuneFC2010 tf_BS_Separation_TaxResIndem_Q12412 tf" xfId="12121"/>
    <cellStyle name="_WBC_(Last Upt. Dec)_v7_Restructuring_Separation_TAX_JuneFC2010 tf_BS_Separation_TaxResIndem_Q12412 tf_Restructuring &amp; Separation" xfId="12122"/>
    <cellStyle name="_WBC_(Last Upt. Dec)_v7_Restructuring_Separation_TAX_JuneFC2010 tf_II.8. Sep&amp;Discrete" xfId="12123"/>
    <cellStyle name="_WBC_(Last Upt. Dec)_v7_Restructuring_Separation_TAX_JuneFC2010 tf_Restructuring &amp; Separation" xfId="12124"/>
    <cellStyle name="_WRE OTHER" xfId="12125"/>
    <cellStyle name="_WRE OTHER_BS_Separation_TaxResIndem_Q12412 tf" xfId="12126"/>
    <cellStyle name="_WRE OTHER_BS_Separation_TaxResIndem_Q12412 tf_Restructuring &amp; Separation" xfId="12127"/>
    <cellStyle name="_WRE OTHER_II.8. Sep&amp;Discrete" xfId="12128"/>
    <cellStyle name="_WRE OTHER_Restructuring &amp; Separation" xfId="12129"/>
    <cellStyle name="_WRE OTHER_Sheet1" xfId="12130"/>
    <cellStyle name="_WRE OTHER_Sheet1_1" xfId="12131"/>
    <cellStyle name="_WRE OTHER_Sheet1_1_Restructuring &amp; Separation" xfId="12132"/>
    <cellStyle name="_WRE OTHER_Sheet1_BS_Separation_TaxResIndem_Q12412 tf" xfId="12133"/>
    <cellStyle name="_WRE OTHER_Sheet1_BS_Separation_TaxResIndem_Q12412 tf_Restructuring &amp; Separation" xfId="12134"/>
    <cellStyle name="_WRE OTHER_Sheet1_II.8. Sep&amp;Discrete" xfId="12135"/>
    <cellStyle name="_WRE OTHER_Sheet1_Restructuring &amp; Separation" xfId="12136"/>
    <cellStyle name="_外协调价表" xfId="12137"/>
    <cellStyle name="¿­¾î º» ÇÏÀÌÆÛ¸µÅ©" xfId="12138"/>
    <cellStyle name="¢¯¡©¨ú? ¨¬? ????¨¡?¢¬???" xfId="12139"/>
    <cellStyle name="¤@¯ë_HAN009" xfId="12140"/>
    <cellStyle name="÷×ü§ [0.00]_Revised MOR4" xfId="12141"/>
    <cellStyle name="0,0 NA " xfId="12142"/>
    <cellStyle name="0,0 NA  2" xfId="12143"/>
    <cellStyle name="1000s (0)" xfId="12144"/>
    <cellStyle name="20% - ?????? 1oft\Sh" xfId="12145"/>
    <cellStyle name="20% - ?????? 1oft\Sh 2" xfId="12146"/>
    <cellStyle name="20% - ?????? 1oft\Sh 2 2" xfId="12147"/>
    <cellStyle name="20% - ?????? 1oft\Sh 3" xfId="12148"/>
    <cellStyle name="20% - ?????? 1oft\Sh 3 2" xfId="12149"/>
    <cellStyle name="20% - ?????? 1oft\Sh 3 3" xfId="12150"/>
    <cellStyle name="20% - ?????? 1oft\Sh 4" xfId="12151"/>
    <cellStyle name="20% - ?????? 1oft\Sh 4 2" xfId="12152"/>
    <cellStyle name="20% - ?????? 2oft\Sh" xfId="12153"/>
    <cellStyle name="20% - ?????? 2oft\Sh 2" xfId="12154"/>
    <cellStyle name="20% - ?????? 2oft\Sh 2 2" xfId="12155"/>
    <cellStyle name="20% - ?????? 2oft\Sh 3" xfId="12156"/>
    <cellStyle name="20% - ?????? 2oft\Sh 3 2" xfId="12157"/>
    <cellStyle name="20% - ?????? 2oft\Sh 3 3" xfId="12158"/>
    <cellStyle name="20% - ?????? 2oft\Sh 4" xfId="12159"/>
    <cellStyle name="20% - ?????? 2oft\Sh 5" xfId="12160"/>
    <cellStyle name="20% - ?????? 3oft\Sh" xfId="12161"/>
    <cellStyle name="20% - ?????? 3oft\Sh 2" xfId="12162"/>
    <cellStyle name="20% - ?????? 3oft\Sh 2 2" xfId="12163"/>
    <cellStyle name="20% - ?????? 3oft\Sh 3" xfId="12164"/>
    <cellStyle name="20% - ?????? 3oft\Sh 3 2" xfId="12165"/>
    <cellStyle name="20% - ?????? 3oft\Sh 3 3" xfId="12166"/>
    <cellStyle name="20% - ?????? 3oft\Sh 4" xfId="12167"/>
    <cellStyle name="20% - ?????? 3oft\Sh 4 2" xfId="12168"/>
    <cellStyle name="20% - ?????? 4oft\Sh" xfId="12169"/>
    <cellStyle name="20% - ?????? 4oft\Sh 2" xfId="12170"/>
    <cellStyle name="20% - ?????? 4oft\Sh 2 2" xfId="12171"/>
    <cellStyle name="20% - ?????? 4oft\Sh 3" xfId="12172"/>
    <cellStyle name="20% - ?????? 4oft\Sh 3 2" xfId="12173"/>
    <cellStyle name="20% - ?????? 4oft\Sh 3 3" xfId="12174"/>
    <cellStyle name="20% - ?????? 4oft\Sh 4" xfId="12175"/>
    <cellStyle name="20% - ?????? 4oft\Sh 4 2" xfId="12176"/>
    <cellStyle name="20% - ?????? 5oft\Sh" xfId="12177"/>
    <cellStyle name="20% - ?????? 5oft\Sh 2" xfId="12178"/>
    <cellStyle name="20% - ?????? 5oft\Sh 2 2" xfId="12179"/>
    <cellStyle name="20% - ?????? 5oft\Sh 3" xfId="12180"/>
    <cellStyle name="20% - ?????? 5oft\Sh 3 2" xfId="12181"/>
    <cellStyle name="20% - ?????? 5oft\Sh 3 3" xfId="12182"/>
    <cellStyle name="20% - ?????? 5oft\Sh 4" xfId="12183"/>
    <cellStyle name="20% - ?????? 5oft\Sh 4 2" xfId="12184"/>
    <cellStyle name="20% - ?????? 6oft\Sh" xfId="12185"/>
    <cellStyle name="20% - ?????? 6oft\Sh 2" xfId="12186"/>
    <cellStyle name="20% - ?????? 6oft\Sh 2 2" xfId="12187"/>
    <cellStyle name="20% - ?????? 6oft\Sh 3" xfId="12188"/>
    <cellStyle name="20% - ?????? 6oft\Sh 3 2" xfId="12189"/>
    <cellStyle name="20% - ?????? 6oft\Sh 3 3" xfId="12190"/>
    <cellStyle name="20% - ?????? 6oft\Sh 4" xfId="12191"/>
    <cellStyle name="20% - ?????? 6oft\Sh 4 2" xfId="12192"/>
    <cellStyle name="20% - ???1nt6" xfId="12193"/>
    <cellStyle name="20% - ???1nt6 2" xfId="12194"/>
    <cellStyle name="20% - ???1nt6 3" xfId="12195"/>
    <cellStyle name="20% - ???1nt6 3 2" xfId="12196"/>
    <cellStyle name="20% - ???1nt6 3 3" xfId="12197"/>
    <cellStyle name="20% - ???1nt6 4" xfId="12198"/>
    <cellStyle name="20% - ???2nt6" xfId="12199"/>
    <cellStyle name="20% - ???2nt6 2" xfId="12200"/>
    <cellStyle name="20% - ???2nt6 3" xfId="12201"/>
    <cellStyle name="20% - ???2nt6 3 2" xfId="12202"/>
    <cellStyle name="20% - ???2nt6 4" xfId="12203"/>
    <cellStyle name="20% - ???2nt6 5" xfId="12204"/>
    <cellStyle name="20% - ???3nt6" xfId="12205"/>
    <cellStyle name="20% - ???3nt6 2" xfId="12206"/>
    <cellStyle name="20% - ???3nt6 3" xfId="12207"/>
    <cellStyle name="20% - ???3nt6 3 2" xfId="12208"/>
    <cellStyle name="20% - ???3nt6 3 3" xfId="12209"/>
    <cellStyle name="20% - ???3nt6 4" xfId="12210"/>
    <cellStyle name="20% - ???4nt6" xfId="12211"/>
    <cellStyle name="20% - ???4nt6 2" xfId="12212"/>
    <cellStyle name="20% - ???4nt6 3" xfId="12213"/>
    <cellStyle name="20% - ???4nt6 3 2" xfId="12214"/>
    <cellStyle name="20% - ???4nt6 4" xfId="12215"/>
    <cellStyle name="20% - ???5nt6" xfId="12216"/>
    <cellStyle name="20% - ???5nt6 2" xfId="12217"/>
    <cellStyle name="20% - ???5nt6 3" xfId="12218"/>
    <cellStyle name="20% - ???5nt6 3 2" xfId="12219"/>
    <cellStyle name="20% - ???5nt6 3 3" xfId="12220"/>
    <cellStyle name="20% - ???5nt6 4" xfId="12221"/>
    <cellStyle name="20% - ???6nt6" xfId="12222"/>
    <cellStyle name="20% - ???6nt6 2" xfId="12223"/>
    <cellStyle name="20% - ???6nt6 3" xfId="12224"/>
    <cellStyle name="20% - ???6nt6 3 2" xfId="12225"/>
    <cellStyle name="20% - ???6nt6 3 3" xfId="12226"/>
    <cellStyle name="20% - ???6nt6 4" xfId="12227"/>
    <cellStyle name="20% - Accent1 10" xfId="12228"/>
    <cellStyle name="20% - Accent1 10 2" xfId="12229"/>
    <cellStyle name="20% - Accent1 2" xfId="12230"/>
    <cellStyle name="20% - Accent1 2 2" xfId="12231"/>
    <cellStyle name="20% - Accent1 2 3" xfId="12232"/>
    <cellStyle name="20% - Accent1 3" xfId="12233"/>
    <cellStyle name="20% - Accent1 3 2" xfId="12234"/>
    <cellStyle name="20% - Accent1 4" xfId="12235"/>
    <cellStyle name="20% - Accent1 4 2" xfId="12236"/>
    <cellStyle name="20% - Accent1 5" xfId="12237"/>
    <cellStyle name="20% - Accent1 5 2" xfId="12238"/>
    <cellStyle name="20% - Accent1 6" xfId="12239"/>
    <cellStyle name="20% - Accent1 7" xfId="12240"/>
    <cellStyle name="20% - Accent1 8" xfId="12241"/>
    <cellStyle name="20% - Accent1 9" xfId="12242"/>
    <cellStyle name="20% - Accent2 10" xfId="12243"/>
    <cellStyle name="20% - Accent2 10 2" xfId="12244"/>
    <cellStyle name="20% - Accent2 2" xfId="12245"/>
    <cellStyle name="20% - Accent2 2 2" xfId="12246"/>
    <cellStyle name="20% - Accent2 2 3" xfId="12247"/>
    <cellStyle name="20% - Accent2 3" xfId="12248"/>
    <cellStyle name="20% - Accent2 3 2" xfId="12249"/>
    <cellStyle name="20% - Accent2 4" xfId="12250"/>
    <cellStyle name="20% - Accent2 4 2" xfId="12251"/>
    <cellStyle name="20% - Accent2 5" xfId="12252"/>
    <cellStyle name="20% - Accent2 5 2" xfId="12253"/>
    <cellStyle name="20% - Accent2 6" xfId="12254"/>
    <cellStyle name="20% - Accent2 7" xfId="12255"/>
    <cellStyle name="20% - Accent2 8" xfId="12256"/>
    <cellStyle name="20% - Accent2 9" xfId="12257"/>
    <cellStyle name="20% - Accent3 10" xfId="12258"/>
    <cellStyle name="20% - Accent3 10 2" xfId="12259"/>
    <cellStyle name="20% - Accent3 2" xfId="12260"/>
    <cellStyle name="20% - Accent3 2 2" xfId="12261"/>
    <cellStyle name="20% - Accent3 2 3" xfId="12262"/>
    <cellStyle name="20% - Accent3 3" xfId="12263"/>
    <cellStyle name="20% - Accent3 3 2" xfId="12264"/>
    <cellStyle name="20% - Accent3 4" xfId="12265"/>
    <cellStyle name="20% - Accent3 4 2" xfId="12266"/>
    <cellStyle name="20% - Accent3 5" xfId="12267"/>
    <cellStyle name="20% - Accent3 5 2" xfId="12268"/>
    <cellStyle name="20% - Accent3 6" xfId="12269"/>
    <cellStyle name="20% - Accent3 7" xfId="12270"/>
    <cellStyle name="20% - Accent3 8" xfId="12271"/>
    <cellStyle name="20% - Accent3 9" xfId="12272"/>
    <cellStyle name="20% - Accent4 10" xfId="12273"/>
    <cellStyle name="20% - Accent4 10 2" xfId="12274"/>
    <cellStyle name="20% - Accent4 2" xfId="12275"/>
    <cellStyle name="20% - Accent4 2 2" xfId="12276"/>
    <cellStyle name="20% - Accent4 2 3" xfId="12277"/>
    <cellStyle name="20% - Accent4 3" xfId="12278"/>
    <cellStyle name="20% - Accent4 3 2" xfId="12279"/>
    <cellStyle name="20% - Accent4 4" xfId="12280"/>
    <cellStyle name="20% - Accent4 4 2" xfId="12281"/>
    <cellStyle name="20% - Accent4 5" xfId="12282"/>
    <cellStyle name="20% - Accent4 5 2" xfId="12283"/>
    <cellStyle name="20% - Accent4 6" xfId="12284"/>
    <cellStyle name="20% - Accent4 7" xfId="12285"/>
    <cellStyle name="20% - Accent4 8" xfId="12286"/>
    <cellStyle name="20% - Accent4 9" xfId="12287"/>
    <cellStyle name="20% - Accent5 10" xfId="12288"/>
    <cellStyle name="20% - Accent5 10 2" xfId="12289"/>
    <cellStyle name="20% - Accent5 2" xfId="12290"/>
    <cellStyle name="20% - Accent5 2 2" xfId="12291"/>
    <cellStyle name="20% - Accent5 2 3" xfId="12292"/>
    <cellStyle name="20% - Accent5 3" xfId="12293"/>
    <cellStyle name="20% - Accent5 3 2" xfId="12294"/>
    <cellStyle name="20% - Accent5 4" xfId="12295"/>
    <cellStyle name="20% - Accent5 4 2" xfId="12296"/>
    <cellStyle name="20% - Accent5 5" xfId="12297"/>
    <cellStyle name="20% - Accent5 5 2" xfId="12298"/>
    <cellStyle name="20% - Accent5 6" xfId="12299"/>
    <cellStyle name="20% - Accent5 7" xfId="12300"/>
    <cellStyle name="20% - Accent5 8" xfId="12301"/>
    <cellStyle name="20% - Accent5 9" xfId="12302"/>
    <cellStyle name="20% - Accent6 10" xfId="12303"/>
    <cellStyle name="20% - Accent6 10 2" xfId="12304"/>
    <cellStyle name="20% - Accent6 2" xfId="12305"/>
    <cellStyle name="20% - Accent6 2 2" xfId="12306"/>
    <cellStyle name="20% - Accent6 2 3" xfId="12307"/>
    <cellStyle name="20% - Accent6 3" xfId="12308"/>
    <cellStyle name="20% - Accent6 3 2" xfId="12309"/>
    <cellStyle name="20% - Accent6 4" xfId="12310"/>
    <cellStyle name="20% - Accent6 4 2" xfId="12311"/>
    <cellStyle name="20% - Accent6 5" xfId="12312"/>
    <cellStyle name="20% - Accent6 5 2" xfId="12313"/>
    <cellStyle name="20% - Accent6 6" xfId="12314"/>
    <cellStyle name="20% - Accent6 7" xfId="12315"/>
    <cellStyle name="20% - Accent6 8" xfId="12316"/>
    <cellStyle name="20% - Accent6 9" xfId="12317"/>
    <cellStyle name="20% — акцент1 2" xfId="12318"/>
    <cellStyle name="20% — акцент1 2 2" xfId="12319"/>
    <cellStyle name="20% — акцент1 2 2 2" xfId="12320"/>
    <cellStyle name="20% — акцент1 2 2 3" xfId="12321"/>
    <cellStyle name="20% — акцент1 2 2 4" xfId="12322"/>
    <cellStyle name="20% — акцент1 2 2 5" xfId="12323"/>
    <cellStyle name="20% — акцент1 2 2 6" xfId="12324"/>
    <cellStyle name="20% — акцент1 2 3" xfId="12325"/>
    <cellStyle name="20% — акцент1 2 4" xfId="12326"/>
    <cellStyle name="20% — акцент1 2 5" xfId="12327"/>
    <cellStyle name="20% — акцент1 2 6" xfId="12328"/>
    <cellStyle name="20% — акцент1 2 7" xfId="12329"/>
    <cellStyle name="20% — акцент1 2 8" xfId="12330"/>
    <cellStyle name="20% — акцент1 3" xfId="12331"/>
    <cellStyle name="20% — акцент1 3 2" xfId="12332"/>
    <cellStyle name="20% — акцент1 3 3" xfId="12333"/>
    <cellStyle name="20% — акцент1 3 4" xfId="12334"/>
    <cellStyle name="20% — акцент1 3 5" xfId="12335"/>
    <cellStyle name="20% — акцент1 3 6" xfId="12336"/>
    <cellStyle name="20% — акцент1 4" xfId="12337"/>
    <cellStyle name="20% — акцент1 5" xfId="12338"/>
    <cellStyle name="20% — акцент2 2" xfId="12339"/>
    <cellStyle name="20% — акцент2 2 2" xfId="12340"/>
    <cellStyle name="20% — акцент2 2 2 2" xfId="12341"/>
    <cellStyle name="20% — акцент2 2 2 3" xfId="12342"/>
    <cellStyle name="20% — акцент2 2 2 4" xfId="12343"/>
    <cellStyle name="20% — акцент2 2 2 5" xfId="12344"/>
    <cellStyle name="20% — акцент2 2 2 6" xfId="12345"/>
    <cellStyle name="20% — акцент2 2 3" xfId="12346"/>
    <cellStyle name="20% — акцент2 2 4" xfId="12347"/>
    <cellStyle name="20% — акцент2 2 5" xfId="12348"/>
    <cellStyle name="20% — акцент2 2 6" xfId="12349"/>
    <cellStyle name="20% — акцент2 2 7" xfId="12350"/>
    <cellStyle name="20% — акцент2 2 8" xfId="12351"/>
    <cellStyle name="20% — акцент2 3" xfId="12352"/>
    <cellStyle name="20% — акцент2 3 2" xfId="12353"/>
    <cellStyle name="20% — акцент2 3 3" xfId="12354"/>
    <cellStyle name="20% — акцент2 3 4" xfId="12355"/>
    <cellStyle name="20% — акцент2 3 5" xfId="12356"/>
    <cellStyle name="20% — акцент2 3 6" xfId="12357"/>
    <cellStyle name="20% — акцент2 4" xfId="12358"/>
    <cellStyle name="20% — акцент2 5" xfId="12359"/>
    <cellStyle name="20% — акцент3 2" xfId="12360"/>
    <cellStyle name="20% — акцент3 2 2" xfId="12361"/>
    <cellStyle name="20% — акцент3 2 2 2" xfId="12362"/>
    <cellStyle name="20% — акцент3 2 2 3" xfId="12363"/>
    <cellStyle name="20% — акцент3 2 2 4" xfId="12364"/>
    <cellStyle name="20% — акцент3 2 2 5" xfId="12365"/>
    <cellStyle name="20% — акцент3 2 2 6" xfId="12366"/>
    <cellStyle name="20% — акцент3 2 3" xfId="12367"/>
    <cellStyle name="20% — акцент3 2 4" xfId="12368"/>
    <cellStyle name="20% — акцент3 2 5" xfId="12369"/>
    <cellStyle name="20% — акцент3 2 6" xfId="12370"/>
    <cellStyle name="20% — акцент3 2 7" xfId="12371"/>
    <cellStyle name="20% — акцент3 2 8" xfId="12372"/>
    <cellStyle name="20% — акцент3 3" xfId="12373"/>
    <cellStyle name="20% — акцент3 3 2" xfId="12374"/>
    <cellStyle name="20% — акцент3 3 3" xfId="12375"/>
    <cellStyle name="20% — акцент3 3 4" xfId="12376"/>
    <cellStyle name="20% — акцент3 3 5" xfId="12377"/>
    <cellStyle name="20% — акцент3 3 6" xfId="12378"/>
    <cellStyle name="20% — акцент3 4" xfId="12379"/>
    <cellStyle name="20% — акцент3 5" xfId="12380"/>
    <cellStyle name="20% — акцент4 2" xfId="12381"/>
    <cellStyle name="20% — акцент4 2 2" xfId="12382"/>
    <cellStyle name="20% — акцент4 2 2 2" xfId="12383"/>
    <cellStyle name="20% — акцент4 2 2 3" xfId="12384"/>
    <cellStyle name="20% — акцент4 2 2 4" xfId="12385"/>
    <cellStyle name="20% — акцент4 2 2 5" xfId="12386"/>
    <cellStyle name="20% — акцент4 2 2 6" xfId="12387"/>
    <cellStyle name="20% — акцент4 2 3" xfId="12388"/>
    <cellStyle name="20% — акцент4 2 4" xfId="12389"/>
    <cellStyle name="20% — акцент4 2 5" xfId="12390"/>
    <cellStyle name="20% — акцент4 2 6" xfId="12391"/>
    <cellStyle name="20% — акцент4 2 7" xfId="12392"/>
    <cellStyle name="20% — акцент4 2 8" xfId="12393"/>
    <cellStyle name="20% — акцент4 3" xfId="12394"/>
    <cellStyle name="20% — акцент4 3 2" xfId="12395"/>
    <cellStyle name="20% — акцент4 3 3" xfId="12396"/>
    <cellStyle name="20% — акцент4 3 4" xfId="12397"/>
    <cellStyle name="20% — акцент4 3 5" xfId="12398"/>
    <cellStyle name="20% — акцент4 3 6" xfId="12399"/>
    <cellStyle name="20% — акцент4 4" xfId="12400"/>
    <cellStyle name="20% — акцент4 5" xfId="12401"/>
    <cellStyle name="20% — акцент5 2" xfId="12402"/>
    <cellStyle name="20% — акцент5 2 2" xfId="12403"/>
    <cellStyle name="20% — акцент5 2 2 2" xfId="12404"/>
    <cellStyle name="20% — акцент5 2 2 3" xfId="12405"/>
    <cellStyle name="20% — акцент5 2 2 4" xfId="12406"/>
    <cellStyle name="20% — акцент5 2 2 5" xfId="12407"/>
    <cellStyle name="20% — акцент5 2 2 6" xfId="12408"/>
    <cellStyle name="20% — акцент5 2 3" xfId="12409"/>
    <cellStyle name="20% — акцент5 2 4" xfId="12410"/>
    <cellStyle name="20% — акцент5 2 5" xfId="12411"/>
    <cellStyle name="20% — акцент5 2 6" xfId="12412"/>
    <cellStyle name="20% — акцент5 2 7" xfId="12413"/>
    <cellStyle name="20% — акцент5 2 8" xfId="12414"/>
    <cellStyle name="20% — акцент5 3" xfId="12415"/>
    <cellStyle name="20% — акцент5 3 2" xfId="12416"/>
    <cellStyle name="20% — акцент5 3 3" xfId="12417"/>
    <cellStyle name="20% — акцент5 3 4" xfId="12418"/>
    <cellStyle name="20% — акцент5 3 5" xfId="12419"/>
    <cellStyle name="20% — акцент5 3 6" xfId="12420"/>
    <cellStyle name="20% — акцент5 4" xfId="12421"/>
    <cellStyle name="20% — акцент5 5" xfId="12422"/>
    <cellStyle name="20% — акцент6 2" xfId="12423"/>
    <cellStyle name="20% — акцент6 2 2" xfId="12424"/>
    <cellStyle name="20% — акцент6 2 2 2" xfId="12425"/>
    <cellStyle name="20% — акцент6 2 2 3" xfId="12426"/>
    <cellStyle name="20% — акцент6 2 2 4" xfId="12427"/>
    <cellStyle name="20% — акцент6 2 2 5" xfId="12428"/>
    <cellStyle name="20% — акцент6 2 2 6" xfId="12429"/>
    <cellStyle name="20% — акцент6 2 3" xfId="12430"/>
    <cellStyle name="20% — акцент6 2 4" xfId="12431"/>
    <cellStyle name="20% — акцент6 2 5" xfId="12432"/>
    <cellStyle name="20% — акцент6 2 6" xfId="12433"/>
    <cellStyle name="20% — акцент6 2 7" xfId="12434"/>
    <cellStyle name="20% — акцент6 2 8" xfId="12435"/>
    <cellStyle name="20% — акцент6 3" xfId="12436"/>
    <cellStyle name="20% — акцент6 3 2" xfId="12437"/>
    <cellStyle name="20% — акцент6 3 3" xfId="12438"/>
    <cellStyle name="20% — акцент6 3 4" xfId="12439"/>
    <cellStyle name="20% — акцент6 3 5" xfId="12440"/>
    <cellStyle name="20% — акцент6 3 6" xfId="12441"/>
    <cellStyle name="20% — акцент6 4" xfId="12442"/>
    <cellStyle name="20% — акцент6 5" xfId="12443"/>
    <cellStyle name="20% - 强调文字颜色 1 2" xfId="12444"/>
    <cellStyle name="20% - 强调文字颜色 1 2 10" xfId="12445"/>
    <cellStyle name="20% - 强调文字颜色 1 2 11" xfId="12446"/>
    <cellStyle name="20% - 强调文字颜色 1 2 11 2" xfId="12447"/>
    <cellStyle name="20% - 强调文字颜色 1 2 12" xfId="12448"/>
    <cellStyle name="20% - 强调文字颜色 1 2 12 2" xfId="12449"/>
    <cellStyle name="20% - 强调文字颜色 1 2 2" xfId="12450"/>
    <cellStyle name="20% - 强调文字颜色 1 2 2 10" xfId="12451"/>
    <cellStyle name="20% - 强调文字颜色 1 2 2 11" xfId="12452"/>
    <cellStyle name="20% - 强调文字颜色 1 2 2 11 2" xfId="12453"/>
    <cellStyle name="20% - 强调文字颜色 1 2 2 12" xfId="12454"/>
    <cellStyle name="20% - 强调文字颜色 1 2 2 12 2" xfId="12455"/>
    <cellStyle name="20% - 强调文字颜色 1 2 2 2" xfId="12456"/>
    <cellStyle name="20% - 强调文字颜色 1 2 2 2 2" xfId="12457"/>
    <cellStyle name="20% - 强调文字颜色 1 2 2 2 2 2" xfId="12458"/>
    <cellStyle name="20% - 强调文字颜色 1 2 2 2 2 2 2" xfId="12459"/>
    <cellStyle name="20% - 强调文字颜色 1 2 2 2 2 2 3" xfId="12460"/>
    <cellStyle name="20% - 强调文字颜色 1 2 2 2 2 2 3 2" xfId="12461"/>
    <cellStyle name="20% - 强调文字颜色 1 2 2 2 2 2 3 2 2" xfId="12462"/>
    <cellStyle name="20% - 强调文字颜色 1 2 2 2 2 2 4" xfId="12463"/>
    <cellStyle name="20% - 强调文字颜色 1 2 2 2 2 2 4 2" xfId="12464"/>
    <cellStyle name="20% - 强调文字颜色 1 2 2 2 2 2 5" xfId="12465"/>
    <cellStyle name="20% - 强调文字颜色 1 2 2 2 2 2 5 2" xfId="12466"/>
    <cellStyle name="20% - 强调文字颜色 1 2 2 2 2 2 6" xfId="12467"/>
    <cellStyle name="20% - 强调文字颜色 1 2 2 2 2 3" xfId="12468"/>
    <cellStyle name="20% - 强调文字颜色 1 2 2 2 2 3 2" xfId="12469"/>
    <cellStyle name="20% - 强调文字颜色 1 2 2 2 2 3 2 2" xfId="12470"/>
    <cellStyle name="20% - 强调文字颜色 1 2 2 2 2 3 2 2 2" xfId="12471"/>
    <cellStyle name="20% - 强调文字颜色 1 2 2 2 2 3 3" xfId="12472"/>
    <cellStyle name="20% - 强调文字颜色 1 2 2 2 2 3 3 2" xfId="12473"/>
    <cellStyle name="20% - 强调文字颜色 1 2 2 2 2 3 4" xfId="12474"/>
    <cellStyle name="20% - 强调文字颜色 1 2 2 2 2 3 4 2" xfId="12475"/>
    <cellStyle name="20% - 强调文字颜色 1 2 2 2 2 3 5" xfId="12476"/>
    <cellStyle name="20% - 强调文字颜色 1 2 2 2 2 4" xfId="12477"/>
    <cellStyle name="20% - 强调文字颜色 1 2 2 2 2 5" xfId="12478"/>
    <cellStyle name="20% - 强调文字颜色 1 2 2 2 2 6" xfId="12479"/>
    <cellStyle name="20% - 强调文字颜色 1 2 2 2 2 6 2" xfId="12480"/>
    <cellStyle name="20% - 强调文字颜色 1 2 2 2 2 7" xfId="12481"/>
    <cellStyle name="20% - 强调文字颜色 1 2 2 2 2 7 2" xfId="12482"/>
    <cellStyle name="20% - 强调文字颜色 1 2 2 2 3" xfId="12483"/>
    <cellStyle name="20% - 强调文字颜色 1 2 2 2 3 2" xfId="12484"/>
    <cellStyle name="20% - 强调文字颜色 1 2 2 2 3 3" xfId="12485"/>
    <cellStyle name="20% - 强调文字颜色 1 2 2 2 3 3 2" xfId="12486"/>
    <cellStyle name="20% - 强调文字颜色 1 2 2 2 3 3 2 2" xfId="12487"/>
    <cellStyle name="20% - 强调文字颜色 1 2 2 2 3 4" xfId="12488"/>
    <cellStyle name="20% - 强调文字颜色 1 2 2 2 3 4 2" xfId="12489"/>
    <cellStyle name="20% - 强调文字颜色 1 2 2 2 3 5" xfId="12490"/>
    <cellStyle name="20% - 强调文字颜色 1 2 2 2 3 5 2" xfId="12491"/>
    <cellStyle name="20% - 强调文字颜色 1 2 2 2 3 6" xfId="12492"/>
    <cellStyle name="20% - 强调文字颜色 1 2 2 2 4" xfId="12493"/>
    <cellStyle name="20% - 强调文字颜色 1 2 2 2 4 2" xfId="12494"/>
    <cellStyle name="20% - 强调文字颜色 1 2 2 2 4 2 2" xfId="12495"/>
    <cellStyle name="20% - 强调文字颜色 1 2 2 2 4 2 2 2" xfId="12496"/>
    <cellStyle name="20% - 强调文字颜色 1 2 2 2 4 3" xfId="12497"/>
    <cellStyle name="20% - 强调文字颜色 1 2 2 2 4 3 2" xfId="12498"/>
    <cellStyle name="20% - 强调文字颜色 1 2 2 2 4 4" xfId="12499"/>
    <cellStyle name="20% - 强调文字颜色 1 2 2 2 4 4 2" xfId="12500"/>
    <cellStyle name="20% - 强调文字颜色 1 2 2 2 4 5" xfId="12501"/>
    <cellStyle name="20% - 强调文字颜色 1 2 2 2 5" xfId="12502"/>
    <cellStyle name="20% - 强调文字颜色 1 2 2 2 6" xfId="12503"/>
    <cellStyle name="20% - 强调文字颜色 1 2 2 2 7" xfId="12504"/>
    <cellStyle name="20% - 强调文字颜色 1 2 2 2 7 2" xfId="12505"/>
    <cellStyle name="20% - 强调文字颜色 1 2 2 2 8" xfId="12506"/>
    <cellStyle name="20% - 强调文字颜色 1 2 2 2 8 2" xfId="12507"/>
    <cellStyle name="20% - 强调文字颜色 1 2 2 3" xfId="12508"/>
    <cellStyle name="20% - 强调文字颜色 1 2 2 3 2" xfId="12509"/>
    <cellStyle name="20% - 强调文字颜色 1 2 2 3 2 2" xfId="12510"/>
    <cellStyle name="20% - 强调文字颜色 1 2 2 3 2 3" xfId="12511"/>
    <cellStyle name="20% - 强调文字颜色 1 2 2 3 2 3 2" xfId="12512"/>
    <cellStyle name="20% - 强调文字颜色 1 2 2 3 2 3 2 2" xfId="12513"/>
    <cellStyle name="20% - 强调文字颜色 1 2 2 3 2 4" xfId="12514"/>
    <cellStyle name="20% - 强调文字颜色 1 2 2 3 2 4 2" xfId="12515"/>
    <cellStyle name="20% - 强调文字颜色 1 2 2 3 2 5" xfId="12516"/>
    <cellStyle name="20% - 强调文字颜色 1 2 2 3 2 5 2" xfId="12517"/>
    <cellStyle name="20% - 强调文字颜色 1 2 2 3 2 6" xfId="12518"/>
    <cellStyle name="20% - 强调文字颜色 1 2 2 3 3" xfId="12519"/>
    <cellStyle name="20% - 强调文字颜色 1 2 2 3 3 2" xfId="12520"/>
    <cellStyle name="20% - 强调文字颜色 1 2 2 3 3 2 2" xfId="12521"/>
    <cellStyle name="20% - 强调文字颜色 1 2 2 3 3 2 2 2" xfId="12522"/>
    <cellStyle name="20% - 强调文字颜色 1 2 2 3 3 3" xfId="12523"/>
    <cellStyle name="20% - 强调文字颜色 1 2 2 3 3 3 2" xfId="12524"/>
    <cellStyle name="20% - 强调文字颜色 1 2 2 3 3 4" xfId="12525"/>
    <cellStyle name="20% - 强调文字颜色 1 2 2 3 3 4 2" xfId="12526"/>
    <cellStyle name="20% - 强调文字颜色 1 2 2 3 3 5" xfId="12527"/>
    <cellStyle name="20% - 强调文字颜色 1 2 2 3 4" xfId="12528"/>
    <cellStyle name="20% - 强调文字颜色 1 2 2 3 5" xfId="12529"/>
    <cellStyle name="20% - 强调文字颜色 1 2 2 3 6" xfId="12530"/>
    <cellStyle name="20% - 强调文字颜色 1 2 2 3 6 2" xfId="12531"/>
    <cellStyle name="20% - 强调文字颜色 1 2 2 3 7" xfId="12532"/>
    <cellStyle name="20% - 强调文字颜色 1 2 2 3 7 2" xfId="12533"/>
    <cellStyle name="20% - 强调文字颜色 1 2 2 4" xfId="12534"/>
    <cellStyle name="20% - 强调文字颜色 1 2 2 4 2" xfId="12535"/>
    <cellStyle name="20% - 强调文字颜色 1 2 2 4 2 2" xfId="12536"/>
    <cellStyle name="20% - 强调文字颜色 1 2 2 4 2 3" xfId="12537"/>
    <cellStyle name="20% - 强调文字颜色 1 2 2 4 2 3 2" xfId="12538"/>
    <cellStyle name="20% - 强调文字颜色 1 2 2 4 2 3 2 2" xfId="12539"/>
    <cellStyle name="20% - 强调文字颜色 1 2 2 4 2 4" xfId="12540"/>
    <cellStyle name="20% - 强调文字颜色 1 2 2 4 2 4 2" xfId="12541"/>
    <cellStyle name="20% - 强调文字颜色 1 2 2 4 2 5" xfId="12542"/>
    <cellStyle name="20% - 强调文字颜色 1 2 2 4 2 5 2" xfId="12543"/>
    <cellStyle name="20% - 强调文字颜色 1 2 2 4 2 6" xfId="12544"/>
    <cellStyle name="20% - 强调文字颜色 1 2 2 4 3" xfId="12545"/>
    <cellStyle name="20% - 强调文字颜色 1 2 2 4 4" xfId="12546"/>
    <cellStyle name="20% - 强调文字颜色 1 2 2 4 5" xfId="12547"/>
    <cellStyle name="20% - 强调文字颜色 1 2 2 4 6" xfId="12548"/>
    <cellStyle name="20% - 强调文字颜色 1 2 2 4 6 2" xfId="12549"/>
    <cellStyle name="20% - 强调文字颜色 1 2 2 4 7" xfId="12550"/>
    <cellStyle name="20% - 强调文字颜色 1 2 2 4 7 2" xfId="12551"/>
    <cellStyle name="20% - 强调文字颜色 1 2 2 5" xfId="12552"/>
    <cellStyle name="20% - 强调文字颜色 1 2 2 5 2" xfId="12553"/>
    <cellStyle name="20% - 强调文字颜色 1 2 2 5 2 2" xfId="12554"/>
    <cellStyle name="20% - 强调文字颜色 1 2 2 5 2 2 2" xfId="12555"/>
    <cellStyle name="20% - 强调文字颜色 1 2 2 5 2 2 2 2" xfId="12556"/>
    <cellStyle name="20% - 强调文字颜色 1 2 2 5 2 3" xfId="12557"/>
    <cellStyle name="20% - 强调文字颜色 1 2 2 5 2 3 2" xfId="12558"/>
    <cellStyle name="20% - 强调文字颜色 1 2 2 5 2 4" xfId="12559"/>
    <cellStyle name="20% - 强调文字颜色 1 2 2 5 2 4 2" xfId="12560"/>
    <cellStyle name="20% - 强调文字颜色 1 2 2 5 2 5" xfId="12561"/>
    <cellStyle name="20% - 强调文字颜色 1 2 2 5 3" xfId="12562"/>
    <cellStyle name="20% - 强调文字颜色 1 2 2 5 3 2" xfId="12563"/>
    <cellStyle name="20% - 强调文字颜色 1 2 2 5 3 2 2" xfId="12564"/>
    <cellStyle name="20% - 强调文字颜色 1 2 2 5 4" xfId="12565"/>
    <cellStyle name="20% - 强调文字颜色 1 2 2 5 4 2" xfId="12566"/>
    <cellStyle name="20% - 强调文字颜色 1 2 2 5 5" xfId="12567"/>
    <cellStyle name="20% - 强调文字颜色 1 2 2 5 5 2" xfId="12568"/>
    <cellStyle name="20% - 强调文字颜色 1 2 2 5 6" xfId="12569"/>
    <cellStyle name="20% - 强调文字颜色 1 2 2 6" xfId="12570"/>
    <cellStyle name="20% - 强调文字颜色 1 2 2 6 2" xfId="12571"/>
    <cellStyle name="20% - 强调文字颜色 1 2 2 6 2 2" xfId="12572"/>
    <cellStyle name="20% - 强调文字颜色 1 2 2 6 2 2 2" xfId="12573"/>
    <cellStyle name="20% - 强调文字颜色 1 2 2 6 2 2 2 2" xfId="12574"/>
    <cellStyle name="20% - 强调文字颜色 1 2 2 6 2 3" xfId="12575"/>
    <cellStyle name="20% - 强调文字颜色 1 2 2 6 2 3 2" xfId="12576"/>
    <cellStyle name="20% - 强调文字颜色 1 2 2 6 2 4" xfId="12577"/>
    <cellStyle name="20% - 强调文字颜色 1 2 2 6 2 4 2" xfId="12578"/>
    <cellStyle name="20% - 强调文字颜色 1 2 2 6 2 5" xfId="12579"/>
    <cellStyle name="20% - 强调文字颜色 1 2 2 6 3" xfId="12580"/>
    <cellStyle name="20% - 强调文字颜色 1 2 2 6 3 2" xfId="12581"/>
    <cellStyle name="20% - 强调文字颜色 1 2 2 6 3 2 2" xfId="12582"/>
    <cellStyle name="20% - 强调文字颜色 1 2 2 6 4" xfId="12583"/>
    <cellStyle name="20% - 强调文字颜色 1 2 2 6 4 2" xfId="12584"/>
    <cellStyle name="20% - 强调文字颜色 1 2 2 6 5" xfId="12585"/>
    <cellStyle name="20% - 强调文字颜色 1 2 2 6 5 2" xfId="12586"/>
    <cellStyle name="20% - 强调文字颜色 1 2 2 6 6" xfId="12587"/>
    <cellStyle name="20% - 强调文字颜色 1 2 2 7" xfId="12588"/>
    <cellStyle name="20% - 强调文字颜色 1 2 2 7 2" xfId="12589"/>
    <cellStyle name="20% - 强调文字颜色 1 2 2 7 2 2" xfId="12590"/>
    <cellStyle name="20% - 强调文字颜色 1 2 2 7 2 2 2" xfId="12591"/>
    <cellStyle name="20% - 强调文字颜色 1 2 2 7 2 2 2 2" xfId="12592"/>
    <cellStyle name="20% - 强调文字颜色 1 2 2 7 2 3" xfId="12593"/>
    <cellStyle name="20% - 强调文字颜色 1 2 2 7 2 3 2" xfId="12594"/>
    <cellStyle name="20% - 强调文字颜色 1 2 2 7 2 4" xfId="12595"/>
    <cellStyle name="20% - 强调文字颜色 1 2 2 7 2 4 2" xfId="12596"/>
    <cellStyle name="20% - 强调文字颜色 1 2 2 7 2 5" xfId="12597"/>
    <cellStyle name="20% - 强调文字颜色 1 2 2 7 3" xfId="12598"/>
    <cellStyle name="20% - 强调文字颜色 1 2 2 7 3 2" xfId="12599"/>
    <cellStyle name="20% - 强调文字颜色 1 2 2 7 3 2 2" xfId="12600"/>
    <cellStyle name="20% - 强调文字颜色 1 2 2 7 4" xfId="12601"/>
    <cellStyle name="20% - 强调文字颜色 1 2 2 7 4 2" xfId="12602"/>
    <cellStyle name="20% - 强调文字颜色 1 2 2 7 5" xfId="12603"/>
    <cellStyle name="20% - 强调文字颜色 1 2 2 7 5 2" xfId="12604"/>
    <cellStyle name="20% - 强调文字颜色 1 2 2 7 6" xfId="12605"/>
    <cellStyle name="20% - 强调文字颜色 1 2 2 8" xfId="12606"/>
    <cellStyle name="20% - 强调文字颜色 1 2 2 8 2" xfId="12607"/>
    <cellStyle name="20% - 强调文字颜色 1 2 2 8 2 2" xfId="12608"/>
    <cellStyle name="20% - 强调文字颜色 1 2 2 8 2 2 2" xfId="12609"/>
    <cellStyle name="20% - 强调文字颜色 1 2 2 8 3" xfId="12610"/>
    <cellStyle name="20% - 强调文字颜色 1 2 2 8 3 2" xfId="12611"/>
    <cellStyle name="20% - 强调文字颜色 1 2 2 8 4" xfId="12612"/>
    <cellStyle name="20% - 强调文字颜色 1 2 2 8 4 2" xfId="12613"/>
    <cellStyle name="20% - 强调文字颜色 1 2 2 8 5" xfId="12614"/>
    <cellStyle name="20% - 强调文字颜色 1 2 2 9" xfId="12615"/>
    <cellStyle name="20% - 强调文字颜色 1 2 2 9 2" xfId="12616"/>
    <cellStyle name="20% - 强调文字颜色 1 2 2 9 2 2" xfId="12617"/>
    <cellStyle name="20% - 强调文字颜色 1 2 2 9 2 2 2" xfId="12618"/>
    <cellStyle name="20% - 强调文字颜色 1 2 2 9 3" xfId="12619"/>
    <cellStyle name="20% - 强调文字颜色 1 2 2 9 3 2" xfId="12620"/>
    <cellStyle name="20% - 强调文字颜色 1 2 2 9 4" xfId="12621"/>
    <cellStyle name="20% - 强调文字颜色 1 2 2 9 4 2" xfId="12622"/>
    <cellStyle name="20% - 强调文字颜色 1 2 2 9 5" xfId="12623"/>
    <cellStyle name="20% - 强调文字颜色 1 2 3" xfId="12624"/>
    <cellStyle name="20% - 强调文字颜色 1 2 3 10" xfId="12625"/>
    <cellStyle name="20% - 强调文字颜色 1 2 3 10 2" xfId="12626"/>
    <cellStyle name="20% - 强调文字颜色 1 2 3 2" xfId="12627"/>
    <cellStyle name="20% - 强调文字颜色 1 2 3 2 2" xfId="12628"/>
    <cellStyle name="20% - 强调文字颜色 1 2 3 2 2 2" xfId="12629"/>
    <cellStyle name="20% - 强调文字颜色 1 2 3 2 2 2 2" xfId="12630"/>
    <cellStyle name="20% - 强调文字颜色 1 2 3 2 2 2 3" xfId="12631"/>
    <cellStyle name="20% - 强调文字颜色 1 2 3 2 2 2 3 2" xfId="12632"/>
    <cellStyle name="20% - 强调文字颜色 1 2 3 2 2 2 3 2 2" xfId="12633"/>
    <cellStyle name="20% - 强调文字颜色 1 2 3 2 2 2 4" xfId="12634"/>
    <cellStyle name="20% - 强调文字颜色 1 2 3 2 2 2 4 2" xfId="12635"/>
    <cellStyle name="20% - 强调文字颜色 1 2 3 2 2 2 5" xfId="12636"/>
    <cellStyle name="20% - 强调文字颜色 1 2 3 2 2 2 5 2" xfId="12637"/>
    <cellStyle name="20% - 强调文字颜色 1 2 3 2 2 2 6" xfId="12638"/>
    <cellStyle name="20% - 强调文字颜色 1 2 3 2 2 3" xfId="12639"/>
    <cellStyle name="20% - 强调文字颜色 1 2 3 2 2 3 2" xfId="12640"/>
    <cellStyle name="20% - 强调文字颜色 1 2 3 2 2 3 2 2" xfId="12641"/>
    <cellStyle name="20% - 强调文字颜色 1 2 3 2 2 3 2 2 2" xfId="12642"/>
    <cellStyle name="20% - 强调文字颜色 1 2 3 2 2 3 3" xfId="12643"/>
    <cellStyle name="20% - 强调文字颜色 1 2 3 2 2 3 3 2" xfId="12644"/>
    <cellStyle name="20% - 强调文字颜色 1 2 3 2 2 3 4" xfId="12645"/>
    <cellStyle name="20% - 强调文字颜色 1 2 3 2 2 3 4 2" xfId="12646"/>
    <cellStyle name="20% - 强调文字颜色 1 2 3 2 2 3 5" xfId="12647"/>
    <cellStyle name="20% - 强调文字颜色 1 2 3 2 2 4" xfId="12648"/>
    <cellStyle name="20% - 强调文字颜色 1 2 3 2 2 5" xfId="12649"/>
    <cellStyle name="20% - 强调文字颜色 1 2 3 2 2 6" xfId="12650"/>
    <cellStyle name="20% - 强调文字颜色 1 2 3 2 2 6 2" xfId="12651"/>
    <cellStyle name="20% - 强调文字颜色 1 2 3 2 2 7" xfId="12652"/>
    <cellStyle name="20% - 强调文字颜色 1 2 3 2 2 7 2" xfId="12653"/>
    <cellStyle name="20% - 强调文字颜色 1 2 3 2 3" xfId="12654"/>
    <cellStyle name="20% - 强调文字颜色 1 2 3 2 3 2" xfId="12655"/>
    <cellStyle name="20% - 强调文字颜色 1 2 3 2 3 3" xfId="12656"/>
    <cellStyle name="20% - 强调文字颜色 1 2 3 2 3 3 2" xfId="12657"/>
    <cellStyle name="20% - 强调文字颜色 1 2 3 2 3 3 2 2" xfId="12658"/>
    <cellStyle name="20% - 强调文字颜色 1 2 3 2 3 4" xfId="12659"/>
    <cellStyle name="20% - 强调文字颜色 1 2 3 2 3 4 2" xfId="12660"/>
    <cellStyle name="20% - 强调文字颜色 1 2 3 2 3 5" xfId="12661"/>
    <cellStyle name="20% - 强调文字颜色 1 2 3 2 3 5 2" xfId="12662"/>
    <cellStyle name="20% - 强调文字颜色 1 2 3 2 3 6" xfId="12663"/>
    <cellStyle name="20% - 强调文字颜色 1 2 3 2 4" xfId="12664"/>
    <cellStyle name="20% - 强调文字颜色 1 2 3 2 4 2" xfId="12665"/>
    <cellStyle name="20% - 强调文字颜色 1 2 3 2 4 2 2" xfId="12666"/>
    <cellStyle name="20% - 强调文字颜色 1 2 3 2 4 2 2 2" xfId="12667"/>
    <cellStyle name="20% - 强调文字颜色 1 2 3 2 4 3" xfId="12668"/>
    <cellStyle name="20% - 强调文字颜色 1 2 3 2 4 3 2" xfId="12669"/>
    <cellStyle name="20% - 强调文字颜色 1 2 3 2 4 4" xfId="12670"/>
    <cellStyle name="20% - 强调文字颜色 1 2 3 2 4 4 2" xfId="12671"/>
    <cellStyle name="20% - 强调文字颜色 1 2 3 2 4 5" xfId="12672"/>
    <cellStyle name="20% - 强调文字颜色 1 2 3 2 5" xfId="12673"/>
    <cellStyle name="20% - 强调文字颜色 1 2 3 2 6" xfId="12674"/>
    <cellStyle name="20% - 强调文字颜色 1 2 3 2 7" xfId="12675"/>
    <cellStyle name="20% - 强调文字颜色 1 2 3 2 7 2" xfId="12676"/>
    <cellStyle name="20% - 强调文字颜色 1 2 3 2 8" xfId="12677"/>
    <cellStyle name="20% - 强调文字颜色 1 2 3 2 8 2" xfId="12678"/>
    <cellStyle name="20% - 强调文字颜色 1 2 3 3" xfId="12679"/>
    <cellStyle name="20% - 强调文字颜色 1 2 3 3 2" xfId="12680"/>
    <cellStyle name="20% - 强调文字颜色 1 2 3 3 2 2" xfId="12681"/>
    <cellStyle name="20% - 强调文字颜色 1 2 3 3 2 3" xfId="12682"/>
    <cellStyle name="20% - 强调文字颜色 1 2 3 3 2 3 2" xfId="12683"/>
    <cellStyle name="20% - 强调文字颜色 1 2 3 3 2 3 2 2" xfId="12684"/>
    <cellStyle name="20% - 强调文字颜色 1 2 3 3 2 4" xfId="12685"/>
    <cellStyle name="20% - 强调文字颜色 1 2 3 3 2 4 2" xfId="12686"/>
    <cellStyle name="20% - 强调文字颜色 1 2 3 3 2 5" xfId="12687"/>
    <cellStyle name="20% - 强调文字颜色 1 2 3 3 2 5 2" xfId="12688"/>
    <cellStyle name="20% - 强调文字颜色 1 2 3 3 2 6" xfId="12689"/>
    <cellStyle name="20% - 强调文字颜色 1 2 3 3 3" xfId="12690"/>
    <cellStyle name="20% - 强调文字颜色 1 2 3 3 3 2" xfId="12691"/>
    <cellStyle name="20% - 强调文字颜色 1 2 3 3 3 2 2" xfId="12692"/>
    <cellStyle name="20% - 强调文字颜色 1 2 3 3 3 2 2 2" xfId="12693"/>
    <cellStyle name="20% - 强调文字颜色 1 2 3 3 3 3" xfId="12694"/>
    <cellStyle name="20% - 强调文字颜色 1 2 3 3 3 3 2" xfId="12695"/>
    <cellStyle name="20% - 强调文字颜色 1 2 3 3 3 4" xfId="12696"/>
    <cellStyle name="20% - 强调文字颜色 1 2 3 3 3 4 2" xfId="12697"/>
    <cellStyle name="20% - 强调文字颜色 1 2 3 3 3 5" xfId="12698"/>
    <cellStyle name="20% - 强调文字颜色 1 2 3 3 4" xfId="12699"/>
    <cellStyle name="20% - 强调文字颜色 1 2 3 3 5" xfId="12700"/>
    <cellStyle name="20% - 强调文字颜色 1 2 3 3 6" xfId="12701"/>
    <cellStyle name="20% - 强调文字颜色 1 2 3 3 6 2" xfId="12702"/>
    <cellStyle name="20% - 强调文字颜色 1 2 3 3 7" xfId="12703"/>
    <cellStyle name="20% - 强调文字颜色 1 2 3 3 7 2" xfId="12704"/>
    <cellStyle name="20% - 强调文字颜色 1 2 3 4" xfId="12705"/>
    <cellStyle name="20% - 强调文字颜色 1 2 3 4 2" xfId="12706"/>
    <cellStyle name="20% - 强调文字颜色 1 2 3 4 2 2" xfId="12707"/>
    <cellStyle name="20% - 强调文字颜色 1 2 3 4 2 3" xfId="12708"/>
    <cellStyle name="20% - 强调文字颜色 1 2 3 4 2 3 2" xfId="12709"/>
    <cellStyle name="20% - 强调文字颜色 1 2 3 4 2 3 2 2" xfId="12710"/>
    <cellStyle name="20% - 强调文字颜色 1 2 3 4 2 4" xfId="12711"/>
    <cellStyle name="20% - 强调文字颜色 1 2 3 4 2 4 2" xfId="12712"/>
    <cellStyle name="20% - 强调文字颜色 1 2 3 4 2 5" xfId="12713"/>
    <cellStyle name="20% - 强调文字颜色 1 2 3 4 2 5 2" xfId="12714"/>
    <cellStyle name="20% - 强调文字颜色 1 2 3 4 2 6" xfId="12715"/>
    <cellStyle name="20% - 强调文字颜色 1 2 3 4 3" xfId="12716"/>
    <cellStyle name="20% - 强调文字颜色 1 2 3 4 4" xfId="12717"/>
    <cellStyle name="20% - 强调文字颜色 1 2 3 4 5" xfId="12718"/>
    <cellStyle name="20% - 强调文字颜色 1 2 3 4 6" xfId="12719"/>
    <cellStyle name="20% - 强调文字颜色 1 2 3 4 6 2" xfId="12720"/>
    <cellStyle name="20% - 强调文字颜色 1 2 3 4 7" xfId="12721"/>
    <cellStyle name="20% - 强调文字颜色 1 2 3 4 7 2" xfId="12722"/>
    <cellStyle name="20% - 强调文字颜色 1 2 3 5" xfId="12723"/>
    <cellStyle name="20% - 强调文字颜色 1 2 3 5 2" xfId="12724"/>
    <cellStyle name="20% - 强调文字颜色 1 2 3 5 2 2" xfId="12725"/>
    <cellStyle name="20% - 强调文字颜色 1 2 3 5 2 2 2" xfId="12726"/>
    <cellStyle name="20% - 强调文字颜色 1 2 3 5 2 2 2 2" xfId="12727"/>
    <cellStyle name="20% - 强调文字颜色 1 2 3 5 2 3" xfId="12728"/>
    <cellStyle name="20% - 强调文字颜色 1 2 3 5 2 3 2" xfId="12729"/>
    <cellStyle name="20% - 强调文字颜色 1 2 3 5 2 4" xfId="12730"/>
    <cellStyle name="20% - 强调文字颜色 1 2 3 5 2 4 2" xfId="12731"/>
    <cellStyle name="20% - 强调文字颜色 1 2 3 5 2 5" xfId="12732"/>
    <cellStyle name="20% - 强调文字颜色 1 2 3 5 3" xfId="12733"/>
    <cellStyle name="20% - 强调文字颜色 1 2 3 5 3 2" xfId="12734"/>
    <cellStyle name="20% - 强调文字颜色 1 2 3 5 3 2 2" xfId="12735"/>
    <cellStyle name="20% - 强调文字颜色 1 2 3 5 4" xfId="12736"/>
    <cellStyle name="20% - 强调文字颜色 1 2 3 5 4 2" xfId="12737"/>
    <cellStyle name="20% - 强调文字颜色 1 2 3 5 5" xfId="12738"/>
    <cellStyle name="20% - 强调文字颜色 1 2 3 5 5 2" xfId="12739"/>
    <cellStyle name="20% - 强调文字颜色 1 2 3 5 6" xfId="12740"/>
    <cellStyle name="20% - 强调文字颜色 1 2 3 6" xfId="12741"/>
    <cellStyle name="20% - 强调文字颜色 1 2 3 6 2" xfId="12742"/>
    <cellStyle name="20% - 强调文字颜色 1 2 3 6 2 2" xfId="12743"/>
    <cellStyle name="20% - 强调文字颜色 1 2 3 6 2 2 2" xfId="12744"/>
    <cellStyle name="20% - 强调文字颜色 1 2 3 6 3" xfId="12745"/>
    <cellStyle name="20% - 强调文字颜色 1 2 3 6 3 2" xfId="12746"/>
    <cellStyle name="20% - 强调文字颜色 1 2 3 6 4" xfId="12747"/>
    <cellStyle name="20% - 强调文字颜色 1 2 3 6 4 2" xfId="12748"/>
    <cellStyle name="20% - 强调文字颜色 1 2 3 6 5" xfId="12749"/>
    <cellStyle name="20% - 强调文字颜色 1 2 3 7" xfId="12750"/>
    <cellStyle name="20% - 强调文字颜色 1 2 3 7 2" xfId="12751"/>
    <cellStyle name="20% - 强调文字颜色 1 2 3 7 2 2" xfId="12752"/>
    <cellStyle name="20% - 强调文字颜色 1 2 3 7 2 2 2" xfId="12753"/>
    <cellStyle name="20% - 强调文字颜色 1 2 3 7 3" xfId="12754"/>
    <cellStyle name="20% - 强调文字颜色 1 2 3 7 3 2" xfId="12755"/>
    <cellStyle name="20% - 强调文字颜色 1 2 3 7 4" xfId="12756"/>
    <cellStyle name="20% - 强调文字颜色 1 2 3 7 4 2" xfId="12757"/>
    <cellStyle name="20% - 强调文字颜色 1 2 3 7 5" xfId="12758"/>
    <cellStyle name="20% - 强调文字颜色 1 2 3 8" xfId="12759"/>
    <cellStyle name="20% - 强调文字颜色 1 2 3 9" xfId="12760"/>
    <cellStyle name="20% - 强调文字颜色 1 2 3 9 2" xfId="12761"/>
    <cellStyle name="20% - 强调文字颜色 1 2 4" xfId="12762"/>
    <cellStyle name="20% - 强调文字颜色 1 2 4 2" xfId="12763"/>
    <cellStyle name="20% - 强调文字颜色 1 2 4 2 2" xfId="12764"/>
    <cellStyle name="20% - 强调文字颜色 1 2 4 2 3" xfId="12765"/>
    <cellStyle name="20% - 强调文字颜色 1 2 4 2 3 2" xfId="12766"/>
    <cellStyle name="20% - 强调文字颜色 1 2 4 2 3 2 2" xfId="12767"/>
    <cellStyle name="20% - 强调文字颜色 1 2 4 2 4" xfId="12768"/>
    <cellStyle name="20% - 强调文字颜色 1 2 4 2 4 2" xfId="12769"/>
    <cellStyle name="20% - 强调文字颜色 1 2 4 2 5" xfId="12770"/>
    <cellStyle name="20% - 强调文字颜色 1 2 4 2 5 2" xfId="12771"/>
    <cellStyle name="20% - 强调文字颜色 1 2 4 2 6" xfId="12772"/>
    <cellStyle name="20% - 强调文字颜色 1 2 4 3" xfId="12773"/>
    <cellStyle name="20% - 强调文字颜色 1 2 4 3 2" xfId="12774"/>
    <cellStyle name="20% - 强调文字颜色 1 2 4 3 2 2" xfId="12775"/>
    <cellStyle name="20% - 强调文字颜色 1 2 4 3 2 2 2" xfId="12776"/>
    <cellStyle name="20% - 强调文字颜色 1 2 4 3 3" xfId="12777"/>
    <cellStyle name="20% - 强调文字颜色 1 2 4 3 3 2" xfId="12778"/>
    <cellStyle name="20% - 强调文字颜色 1 2 4 3 4" xfId="12779"/>
    <cellStyle name="20% - 强调文字颜色 1 2 4 3 4 2" xfId="12780"/>
    <cellStyle name="20% - 强调文字颜色 1 2 4 3 5" xfId="12781"/>
    <cellStyle name="20% - 强调文字颜色 1 2 4 4" xfId="12782"/>
    <cellStyle name="20% - 强调文字颜色 1 2 4 5" xfId="12783"/>
    <cellStyle name="20% - 强调文字颜色 1 2 4 6" xfId="12784"/>
    <cellStyle name="20% - 强调文字颜色 1 2 4 6 2" xfId="12785"/>
    <cellStyle name="20% - 强调文字颜色 1 2 4 7" xfId="12786"/>
    <cellStyle name="20% - 强调文字颜色 1 2 4 7 2" xfId="12787"/>
    <cellStyle name="20% - 强调文字颜色 1 2 5" xfId="12788"/>
    <cellStyle name="20% - 强调文字颜色 1 2 5 2" xfId="12789"/>
    <cellStyle name="20% - 强调文字颜色 1 2 5 2 2" xfId="12790"/>
    <cellStyle name="20% - 强调文字颜色 1 2 5 2 3" xfId="12791"/>
    <cellStyle name="20% - 强调文字颜色 1 2 5 2 3 2" xfId="12792"/>
    <cellStyle name="20% - 强调文字颜色 1 2 5 2 3 2 2" xfId="12793"/>
    <cellStyle name="20% - 强调文字颜色 1 2 5 2 4" xfId="12794"/>
    <cellStyle name="20% - 强调文字颜色 1 2 5 2 4 2" xfId="12795"/>
    <cellStyle name="20% - 强调文字颜色 1 2 5 2 5" xfId="12796"/>
    <cellStyle name="20% - 强调文字颜色 1 2 5 2 5 2" xfId="12797"/>
    <cellStyle name="20% - 强调文字颜色 1 2 5 2 6" xfId="12798"/>
    <cellStyle name="20% - 强调文字颜色 1 2 5 3" xfId="12799"/>
    <cellStyle name="20% - 强调文字颜色 1 2 5 4" xfId="12800"/>
    <cellStyle name="20% - 强调文字颜色 1 2 5 5" xfId="12801"/>
    <cellStyle name="20% - 强调文字颜色 1 2 5 6" xfId="12802"/>
    <cellStyle name="20% - 强调文字颜色 1 2 5 6 2" xfId="12803"/>
    <cellStyle name="20% - 强调文字颜色 1 2 5 7" xfId="12804"/>
    <cellStyle name="20% - 强调文字颜色 1 2 5 7 2" xfId="12805"/>
    <cellStyle name="20% - 强调文字颜色 1 2 6" xfId="12806"/>
    <cellStyle name="20% - 强调文字颜色 1 2 6 2" xfId="12807"/>
    <cellStyle name="20% - 强调文字颜色 1 2 6 2 2" xfId="12808"/>
    <cellStyle name="20% - 强调文字颜色 1 2 6 2 2 2" xfId="12809"/>
    <cellStyle name="20% - 强调文字颜色 1 2 6 2 2 2 2" xfId="12810"/>
    <cellStyle name="20% - 强调文字颜色 1 2 6 2 3" xfId="12811"/>
    <cellStyle name="20% - 强调文字颜色 1 2 6 2 3 2" xfId="12812"/>
    <cellStyle name="20% - 强调文字颜色 1 2 6 2 4" xfId="12813"/>
    <cellStyle name="20% - 强调文字颜色 1 2 6 2 4 2" xfId="12814"/>
    <cellStyle name="20% - 强调文字颜色 1 2 6 2 5" xfId="12815"/>
    <cellStyle name="20% - 强调文字颜色 1 2 6 3" xfId="12816"/>
    <cellStyle name="20% - 强调文字颜色 1 2 6 3 2" xfId="12817"/>
    <cellStyle name="20% - 强调文字颜色 1 2 6 3 2 2" xfId="12818"/>
    <cellStyle name="20% - 强调文字颜色 1 2 6 4" xfId="12819"/>
    <cellStyle name="20% - 强调文字颜色 1 2 6 4 2" xfId="12820"/>
    <cellStyle name="20% - 强调文字颜色 1 2 6 5" xfId="12821"/>
    <cellStyle name="20% - 强调文字颜色 1 2 6 5 2" xfId="12822"/>
    <cellStyle name="20% - 强调文字颜色 1 2 6 6" xfId="12823"/>
    <cellStyle name="20% - 强调文字颜色 1 2 7" xfId="12824"/>
    <cellStyle name="20% - 强调文字颜色 1 2 7 2" xfId="12825"/>
    <cellStyle name="20% - 强调文字颜色 1 2 7 2 2" xfId="12826"/>
    <cellStyle name="20% - 强调文字颜色 1 2 7 2 2 2" xfId="12827"/>
    <cellStyle name="20% - 强调文字颜色 1 2 7 2 2 2 2" xfId="12828"/>
    <cellStyle name="20% - 强调文字颜色 1 2 7 2 3" xfId="12829"/>
    <cellStyle name="20% - 强调文字颜色 1 2 7 2 3 2" xfId="12830"/>
    <cellStyle name="20% - 强调文字颜色 1 2 7 2 4" xfId="12831"/>
    <cellStyle name="20% - 强调文字颜色 1 2 7 2 4 2" xfId="12832"/>
    <cellStyle name="20% - 强调文字颜色 1 2 7 2 5" xfId="12833"/>
    <cellStyle name="20% - 强调文字颜色 1 2 7 3" xfId="12834"/>
    <cellStyle name="20% - 强调文字颜色 1 2 7 3 2" xfId="12835"/>
    <cellStyle name="20% - 强调文字颜色 1 2 7 3 2 2" xfId="12836"/>
    <cellStyle name="20% - 强调文字颜色 1 2 7 4" xfId="12837"/>
    <cellStyle name="20% - 强调文字颜色 1 2 7 4 2" xfId="12838"/>
    <cellStyle name="20% - 强调文字颜色 1 2 7 5" xfId="12839"/>
    <cellStyle name="20% - 强调文字颜色 1 2 7 5 2" xfId="12840"/>
    <cellStyle name="20% - 强调文字颜色 1 2 7 6" xfId="12841"/>
    <cellStyle name="20% - 强调文字颜色 1 2 8" xfId="12842"/>
    <cellStyle name="20% - 强调文字颜色 1 2 8 2" xfId="12843"/>
    <cellStyle name="20% - 强调文字颜色 1 2 8 2 2" xfId="12844"/>
    <cellStyle name="20% - 强调文字颜色 1 2 8 2 2 2" xfId="12845"/>
    <cellStyle name="20% - 强调文字颜色 1 2 8 2 2 2 2" xfId="12846"/>
    <cellStyle name="20% - 强调文字颜色 1 2 8 2 3" xfId="12847"/>
    <cellStyle name="20% - 强调文字颜色 1 2 8 2 3 2" xfId="12848"/>
    <cellStyle name="20% - 强调文字颜色 1 2 8 2 4" xfId="12849"/>
    <cellStyle name="20% - 强调文字颜色 1 2 8 2 4 2" xfId="12850"/>
    <cellStyle name="20% - 强调文字颜色 1 2 8 2 5" xfId="12851"/>
    <cellStyle name="20% - 强调文字颜色 1 2 8 3" xfId="12852"/>
    <cellStyle name="20% - 强调文字颜色 1 2 8 3 2" xfId="12853"/>
    <cellStyle name="20% - 强调文字颜色 1 2 8 3 2 2" xfId="12854"/>
    <cellStyle name="20% - 强调文字颜色 1 2 8 4" xfId="12855"/>
    <cellStyle name="20% - 强调文字颜色 1 2 8 4 2" xfId="12856"/>
    <cellStyle name="20% - 强调文字颜色 1 2 8 5" xfId="12857"/>
    <cellStyle name="20% - 强调文字颜色 1 2 8 5 2" xfId="12858"/>
    <cellStyle name="20% - 强调文字颜色 1 2 8 6" xfId="12859"/>
    <cellStyle name="20% - 强调文字颜色 1 2 9" xfId="12860"/>
    <cellStyle name="20% - 强调文字颜色 1 2 9 2" xfId="12861"/>
    <cellStyle name="20% - 强调文字颜色 1 2 9 2 2" xfId="12862"/>
    <cellStyle name="20% - 强调文字颜色 1 2 9 2 2 2" xfId="12863"/>
    <cellStyle name="20% - 强调文字颜色 1 2 9 3" xfId="12864"/>
    <cellStyle name="20% - 强调文字颜色 1 2 9 3 2" xfId="12865"/>
    <cellStyle name="20% - 强调文字颜色 1 2 9 4" xfId="12866"/>
    <cellStyle name="20% - 强调文字颜色 1 2 9 4 2" xfId="12867"/>
    <cellStyle name="20% - 强调文字颜色 1 2 9 5" xfId="12868"/>
    <cellStyle name="20% - 强调文字颜色 1 3" xfId="12869"/>
    <cellStyle name="20% - 强调文字颜色 1 3 2" xfId="12870"/>
    <cellStyle name="20% - 强调文字颜色 1 3 2 2" xfId="12871"/>
    <cellStyle name="20% - 强调文字颜色 1 3 2 2 2" xfId="12872"/>
    <cellStyle name="20% - 强调文字颜色 1 3 2 2 2 2" xfId="12873"/>
    <cellStyle name="20% - 强调文字颜色 1 3 2 2 2 3" xfId="12874"/>
    <cellStyle name="20% - 强调文字颜色 1 3 2 2 2 3 2" xfId="12875"/>
    <cellStyle name="20% - 强调文字颜色 1 3 2 2 2 3 2 2" xfId="12876"/>
    <cellStyle name="20% - 强调文字颜色 1 3 2 2 2 4" xfId="12877"/>
    <cellStyle name="20% - 强调文字颜色 1 3 2 2 2 4 2" xfId="12878"/>
    <cellStyle name="20% - 强调文字颜色 1 3 2 2 2 5" xfId="12879"/>
    <cellStyle name="20% - 强调文字颜色 1 3 2 2 2 5 2" xfId="12880"/>
    <cellStyle name="20% - 强调文字颜色 1 3 2 2 2 6" xfId="12881"/>
    <cellStyle name="20% - 强调文字颜色 1 3 2 2 3" xfId="12882"/>
    <cellStyle name="20% - 强调文字颜色 1 3 2 2 3 2" xfId="12883"/>
    <cellStyle name="20% - 强调文字颜色 1 3 2 2 3 2 2" xfId="12884"/>
    <cellStyle name="20% - 强调文字颜色 1 3 2 2 3 2 2 2" xfId="12885"/>
    <cellStyle name="20% - 强调文字颜色 1 3 2 2 3 3" xfId="12886"/>
    <cellStyle name="20% - 强调文字颜色 1 3 2 2 3 3 2" xfId="12887"/>
    <cellStyle name="20% - 强调文字颜色 1 3 2 2 3 4" xfId="12888"/>
    <cellStyle name="20% - 强调文字颜色 1 3 2 2 3 4 2" xfId="12889"/>
    <cellStyle name="20% - 强调文字颜色 1 3 2 2 3 5" xfId="12890"/>
    <cellStyle name="20% - 强调文字颜色 1 3 2 2 4" xfId="12891"/>
    <cellStyle name="20% - 强调文字颜色 1 3 2 2 5" xfId="12892"/>
    <cellStyle name="20% - 强调文字颜色 1 3 2 2 6" xfId="12893"/>
    <cellStyle name="20% - 强调文字颜色 1 3 2 2 6 2" xfId="12894"/>
    <cellStyle name="20% - 强调文字颜色 1 3 2 2 7" xfId="12895"/>
    <cellStyle name="20% - 强调文字颜色 1 3 2 2 7 2" xfId="12896"/>
    <cellStyle name="20% - 强调文字颜色 1 3 2 3" xfId="12897"/>
    <cellStyle name="20% - 强调文字颜色 1 3 2 3 2" xfId="12898"/>
    <cellStyle name="20% - 强调文字颜色 1 3 2 3 3" xfId="12899"/>
    <cellStyle name="20% - 强调文字颜色 1 3 2 3 3 2" xfId="12900"/>
    <cellStyle name="20% - 强调文字颜色 1 3 2 3 3 2 2" xfId="12901"/>
    <cellStyle name="20% - 强调文字颜色 1 3 2 3 4" xfId="12902"/>
    <cellStyle name="20% - 强调文字颜色 1 3 2 3 4 2" xfId="12903"/>
    <cellStyle name="20% - 强调文字颜色 1 3 2 3 5" xfId="12904"/>
    <cellStyle name="20% - 强调文字颜色 1 3 2 3 5 2" xfId="12905"/>
    <cellStyle name="20% - 强调文字颜色 1 3 2 3 6" xfId="12906"/>
    <cellStyle name="20% - 强调文字颜色 1 3 2 4" xfId="12907"/>
    <cellStyle name="20% - 强调文字颜色 1 3 2 4 2" xfId="12908"/>
    <cellStyle name="20% - 强调文字颜色 1 3 2 4 2 2" xfId="12909"/>
    <cellStyle name="20% - 强调文字颜色 1 3 2 4 2 2 2" xfId="12910"/>
    <cellStyle name="20% - 强调文字颜色 1 3 2 4 3" xfId="12911"/>
    <cellStyle name="20% - 强调文字颜色 1 3 2 4 3 2" xfId="12912"/>
    <cellStyle name="20% - 强调文字颜色 1 3 2 4 4" xfId="12913"/>
    <cellStyle name="20% - 强调文字颜色 1 3 2 4 4 2" xfId="12914"/>
    <cellStyle name="20% - 强调文字颜色 1 3 2 4 5" xfId="12915"/>
    <cellStyle name="20% - 强调文字颜色 1 3 2 5" xfId="12916"/>
    <cellStyle name="20% - 强调文字颜色 1 3 2 6" xfId="12917"/>
    <cellStyle name="20% - 强调文字颜色 1 3 2 7" xfId="12918"/>
    <cellStyle name="20% - 强调文字颜色 1 3 2 7 2" xfId="12919"/>
    <cellStyle name="20% - 强调文字颜色 1 3 2 8" xfId="12920"/>
    <cellStyle name="20% - 强调文字颜色 1 3 2 8 2" xfId="12921"/>
    <cellStyle name="20% - 强调文字颜色 1 3 3" xfId="12922"/>
    <cellStyle name="20% - 强调文字颜色 1 3 3 2" xfId="12923"/>
    <cellStyle name="20% - 强调文字颜色 1 3 3 2 2" xfId="12924"/>
    <cellStyle name="20% - 强调文字颜色 1 3 3 2 3" xfId="12925"/>
    <cellStyle name="20% - 强调文字颜色 1 3 3 2 3 2" xfId="12926"/>
    <cellStyle name="20% - 强调文字颜色 1 3 3 2 3 2 2" xfId="12927"/>
    <cellStyle name="20% - 强调文字颜色 1 3 3 2 4" xfId="12928"/>
    <cellStyle name="20% - 强调文字颜色 1 3 3 2 4 2" xfId="12929"/>
    <cellStyle name="20% - 强调文字颜色 1 3 3 2 5" xfId="12930"/>
    <cellStyle name="20% - 强调文字颜色 1 3 3 2 5 2" xfId="12931"/>
    <cellStyle name="20% - 强调文字颜色 1 3 3 2 6" xfId="12932"/>
    <cellStyle name="20% - 强调文字颜色 1 3 3 3" xfId="12933"/>
    <cellStyle name="20% - 强调文字颜色 1 3 3 3 2" xfId="12934"/>
    <cellStyle name="20% - 强调文字颜色 1 3 3 3 2 2" xfId="12935"/>
    <cellStyle name="20% - 强调文字颜色 1 3 3 3 2 2 2" xfId="12936"/>
    <cellStyle name="20% - 强调文字颜色 1 3 3 3 3" xfId="12937"/>
    <cellStyle name="20% - 强调文字颜色 1 3 3 3 3 2" xfId="12938"/>
    <cellStyle name="20% - 强调文字颜色 1 3 3 3 4" xfId="12939"/>
    <cellStyle name="20% - 强调文字颜色 1 3 3 3 4 2" xfId="12940"/>
    <cellStyle name="20% - 强调文字颜色 1 3 3 3 5" xfId="12941"/>
    <cellStyle name="20% - 强调文字颜色 1 3 3 4" xfId="12942"/>
    <cellStyle name="20% - 强调文字颜色 1 3 3 5" xfId="12943"/>
    <cellStyle name="20% - 强调文字颜色 1 3 3 6" xfId="12944"/>
    <cellStyle name="20% - 强调文字颜色 1 3 3 6 2" xfId="12945"/>
    <cellStyle name="20% - 强调文字颜色 1 3 3 7" xfId="12946"/>
    <cellStyle name="20% - 强调文字颜色 1 3 3 7 2" xfId="12947"/>
    <cellStyle name="20% - 强调文字颜色 1 3 4" xfId="12948"/>
    <cellStyle name="20% - 强调文字颜色 1 3 4 2" xfId="12949"/>
    <cellStyle name="20% - 强调文字颜色 1 3 4 2 2" xfId="12950"/>
    <cellStyle name="20% - 强调文字颜色 1 3 4 2 3" xfId="12951"/>
    <cellStyle name="20% - 强调文字颜色 1 3 4 2 3 2" xfId="12952"/>
    <cellStyle name="20% - 强调文字颜色 1 3 4 2 3 2 2" xfId="12953"/>
    <cellStyle name="20% - 强调文字颜色 1 3 4 2 4" xfId="12954"/>
    <cellStyle name="20% - 强调文字颜色 1 3 4 2 4 2" xfId="12955"/>
    <cellStyle name="20% - 强调文字颜色 1 3 4 2 5" xfId="12956"/>
    <cellStyle name="20% - 强调文字颜色 1 3 4 2 5 2" xfId="12957"/>
    <cellStyle name="20% - 强调文字颜色 1 3 4 2 6" xfId="12958"/>
    <cellStyle name="20% - 强调文字颜色 1 3 4 3" xfId="12959"/>
    <cellStyle name="20% - 强调文字颜色 1 3 4 4" xfId="12960"/>
    <cellStyle name="20% - 强调文字颜色 1 3 4 5" xfId="12961"/>
    <cellStyle name="20% - 强调文字颜色 1 3 4 6" xfId="12962"/>
    <cellStyle name="20% - 强调文字颜色 1 3 4 6 2" xfId="12963"/>
    <cellStyle name="20% - 强调文字颜色 1 3 4 7" xfId="12964"/>
    <cellStyle name="20% - 强调文字颜色 1 3 4 7 2" xfId="12965"/>
    <cellStyle name="20% - 强调文字颜色 1 3 5" xfId="12966"/>
    <cellStyle name="20% - 强调文字颜色 1 3 5 2" xfId="12967"/>
    <cellStyle name="20% - 强调文字颜色 1 3 5 2 2" xfId="12968"/>
    <cellStyle name="20% - 强调文字颜色 1 3 5 2 2 2" xfId="12969"/>
    <cellStyle name="20% - 强调文字颜色 1 3 5 2 2 2 2" xfId="12970"/>
    <cellStyle name="20% - 强调文字颜色 1 3 5 2 3" xfId="12971"/>
    <cellStyle name="20% - 强调文字颜色 1 3 5 2 3 2" xfId="12972"/>
    <cellStyle name="20% - 强调文字颜色 1 3 5 2 4" xfId="12973"/>
    <cellStyle name="20% - 强调文字颜色 1 3 5 2 4 2" xfId="12974"/>
    <cellStyle name="20% - 强调文字颜色 1 3 5 2 5" xfId="12975"/>
    <cellStyle name="20% - 强调文字颜色 1 3 5 3" xfId="12976"/>
    <cellStyle name="20% - 强调文字颜色 1 3 5 3 2" xfId="12977"/>
    <cellStyle name="20% - 强调文字颜色 1 3 5 3 2 2" xfId="12978"/>
    <cellStyle name="20% - 强调文字颜色 1 3 5 4" xfId="12979"/>
    <cellStyle name="20% - 强调文字颜色 1 3 5 4 2" xfId="12980"/>
    <cellStyle name="20% - 强调文字颜色 1 3 5 5" xfId="12981"/>
    <cellStyle name="20% - 强调文字颜色 1 3 5 5 2" xfId="12982"/>
    <cellStyle name="20% - 强调文字颜色 1 3 5 6" xfId="12983"/>
    <cellStyle name="20% - 强调文字颜色 1 3 6" xfId="12984"/>
    <cellStyle name="20% - 强调文字颜色 1 3 6 2" xfId="12985"/>
    <cellStyle name="20% - 强调文字颜色 1 3 6 2 2" xfId="12986"/>
    <cellStyle name="20% - 强调文字颜色 1 3 6 2 2 2" xfId="12987"/>
    <cellStyle name="20% - 强调文字颜色 1 3 6 3" xfId="12988"/>
    <cellStyle name="20% - 强调文字颜色 1 3 6 3 2" xfId="12989"/>
    <cellStyle name="20% - 强调文字颜色 1 3 6 4" xfId="12990"/>
    <cellStyle name="20% - 强调文字颜色 1 3 6 4 2" xfId="12991"/>
    <cellStyle name="20% - 强调文字颜色 1 3 6 5" xfId="12992"/>
    <cellStyle name="20% - 强调文字颜色 1 3 7" xfId="12993"/>
    <cellStyle name="20% - 强调文字颜色 1 3 8" xfId="12994"/>
    <cellStyle name="20% - 强调文字颜色 1 3 8 2" xfId="12995"/>
    <cellStyle name="20% - 强调文字颜色 1 3 9" xfId="12996"/>
    <cellStyle name="20% - 强调文字颜色 1 3 9 2" xfId="12997"/>
    <cellStyle name="20% - 强调文字颜色 2 2" xfId="12998"/>
    <cellStyle name="20% - 强调文字颜色 2 2 10" xfId="12999"/>
    <cellStyle name="20% - 强调文字颜色 2 2 11" xfId="13000"/>
    <cellStyle name="20% - 强调文字颜色 2 2 11 2" xfId="13001"/>
    <cellStyle name="20% - 强调文字颜色 2 2 12" xfId="13002"/>
    <cellStyle name="20% - 强调文字颜色 2 2 12 2" xfId="13003"/>
    <cellStyle name="20% - 强调文字颜色 2 2 2" xfId="13004"/>
    <cellStyle name="20% - 强调文字颜色 2 2 2 10" xfId="13005"/>
    <cellStyle name="20% - 强调文字颜色 2 2 2 11" xfId="13006"/>
    <cellStyle name="20% - 强调文字颜色 2 2 2 11 2" xfId="13007"/>
    <cellStyle name="20% - 强调文字颜色 2 2 2 12" xfId="13008"/>
    <cellStyle name="20% - 强调文字颜色 2 2 2 12 2" xfId="13009"/>
    <cellStyle name="20% - 强调文字颜色 2 2 2 2" xfId="13010"/>
    <cellStyle name="20% - 强调文字颜色 2 2 2 2 2" xfId="13011"/>
    <cellStyle name="20% - 强调文字颜色 2 2 2 2 2 2" xfId="13012"/>
    <cellStyle name="20% - 强调文字颜色 2 2 2 2 2 2 2" xfId="13013"/>
    <cellStyle name="20% - 强调文字颜色 2 2 2 2 2 2 3" xfId="13014"/>
    <cellStyle name="20% - 强调文字颜色 2 2 2 2 2 2 3 2" xfId="13015"/>
    <cellStyle name="20% - 强调文字颜色 2 2 2 2 2 2 3 2 2" xfId="13016"/>
    <cellStyle name="20% - 强调文字颜色 2 2 2 2 2 2 4" xfId="13017"/>
    <cellStyle name="20% - 强调文字颜色 2 2 2 2 2 2 4 2" xfId="13018"/>
    <cellStyle name="20% - 强调文字颜色 2 2 2 2 2 2 5" xfId="13019"/>
    <cellStyle name="20% - 强调文字颜色 2 2 2 2 2 2 5 2" xfId="13020"/>
    <cellStyle name="20% - 强调文字颜色 2 2 2 2 2 2 6" xfId="13021"/>
    <cellStyle name="20% - 强调文字颜色 2 2 2 2 2 3" xfId="13022"/>
    <cellStyle name="20% - 强调文字颜色 2 2 2 2 2 3 2" xfId="13023"/>
    <cellStyle name="20% - 强调文字颜色 2 2 2 2 2 3 2 2" xfId="13024"/>
    <cellStyle name="20% - 强调文字颜色 2 2 2 2 2 3 2 2 2" xfId="13025"/>
    <cellStyle name="20% - 强调文字颜色 2 2 2 2 2 3 3" xfId="13026"/>
    <cellStyle name="20% - 强调文字颜色 2 2 2 2 2 3 3 2" xfId="13027"/>
    <cellStyle name="20% - 强调文字颜色 2 2 2 2 2 3 4" xfId="13028"/>
    <cellStyle name="20% - 强调文字颜色 2 2 2 2 2 3 4 2" xfId="13029"/>
    <cellStyle name="20% - 强调文字颜色 2 2 2 2 2 3 5" xfId="13030"/>
    <cellStyle name="20% - 强调文字颜色 2 2 2 2 2 4" xfId="13031"/>
    <cellStyle name="20% - 强调文字颜色 2 2 2 2 2 5" xfId="13032"/>
    <cellStyle name="20% - 强调文字颜色 2 2 2 2 2 6" xfId="13033"/>
    <cellStyle name="20% - 强调文字颜色 2 2 2 2 2 6 2" xfId="13034"/>
    <cellStyle name="20% - 强调文字颜色 2 2 2 2 2 7" xfId="13035"/>
    <cellStyle name="20% - 强调文字颜色 2 2 2 2 2 7 2" xfId="13036"/>
    <cellStyle name="20% - 强调文字颜色 2 2 2 2 3" xfId="13037"/>
    <cellStyle name="20% - 强调文字颜色 2 2 2 2 3 2" xfId="13038"/>
    <cellStyle name="20% - 强调文字颜色 2 2 2 2 3 3" xfId="13039"/>
    <cellStyle name="20% - 强调文字颜色 2 2 2 2 3 3 2" xfId="13040"/>
    <cellStyle name="20% - 强调文字颜色 2 2 2 2 3 3 2 2" xfId="13041"/>
    <cellStyle name="20% - 强调文字颜色 2 2 2 2 3 4" xfId="13042"/>
    <cellStyle name="20% - 强调文字颜色 2 2 2 2 3 4 2" xfId="13043"/>
    <cellStyle name="20% - 强调文字颜色 2 2 2 2 3 5" xfId="13044"/>
    <cellStyle name="20% - 强调文字颜色 2 2 2 2 3 5 2" xfId="13045"/>
    <cellStyle name="20% - 强调文字颜色 2 2 2 2 3 6" xfId="13046"/>
    <cellStyle name="20% - 强调文字颜色 2 2 2 2 4" xfId="13047"/>
    <cellStyle name="20% - 强调文字颜色 2 2 2 2 4 2" xfId="13048"/>
    <cellStyle name="20% - 强调文字颜色 2 2 2 2 4 2 2" xfId="13049"/>
    <cellStyle name="20% - 强调文字颜色 2 2 2 2 4 2 2 2" xfId="13050"/>
    <cellStyle name="20% - 强调文字颜色 2 2 2 2 4 3" xfId="13051"/>
    <cellStyle name="20% - 强调文字颜色 2 2 2 2 4 3 2" xfId="13052"/>
    <cellStyle name="20% - 强调文字颜色 2 2 2 2 4 4" xfId="13053"/>
    <cellStyle name="20% - 强调文字颜色 2 2 2 2 4 4 2" xfId="13054"/>
    <cellStyle name="20% - 强调文字颜色 2 2 2 2 4 5" xfId="13055"/>
    <cellStyle name="20% - 强调文字颜色 2 2 2 2 5" xfId="13056"/>
    <cellStyle name="20% - 强调文字颜色 2 2 2 2 6" xfId="13057"/>
    <cellStyle name="20% - 强调文字颜色 2 2 2 2 7" xfId="13058"/>
    <cellStyle name="20% - 强调文字颜色 2 2 2 2 7 2" xfId="13059"/>
    <cellStyle name="20% - 强调文字颜色 2 2 2 2 8" xfId="13060"/>
    <cellStyle name="20% - 强调文字颜色 2 2 2 2 8 2" xfId="13061"/>
    <cellStyle name="20% - 强调文字颜色 2 2 2 3" xfId="13062"/>
    <cellStyle name="20% - 强调文字颜色 2 2 2 3 2" xfId="13063"/>
    <cellStyle name="20% - 强调文字颜色 2 2 2 3 2 2" xfId="13064"/>
    <cellStyle name="20% - 强调文字颜色 2 2 2 3 2 3" xfId="13065"/>
    <cellStyle name="20% - 强调文字颜色 2 2 2 3 2 3 2" xfId="13066"/>
    <cellStyle name="20% - 强调文字颜色 2 2 2 3 2 3 2 2" xfId="13067"/>
    <cellStyle name="20% - 强调文字颜色 2 2 2 3 2 4" xfId="13068"/>
    <cellStyle name="20% - 强调文字颜色 2 2 2 3 2 4 2" xfId="13069"/>
    <cellStyle name="20% - 强调文字颜色 2 2 2 3 2 5" xfId="13070"/>
    <cellStyle name="20% - 强调文字颜色 2 2 2 3 2 5 2" xfId="13071"/>
    <cellStyle name="20% - 强调文字颜色 2 2 2 3 2 6" xfId="13072"/>
    <cellStyle name="20% - 强调文字颜色 2 2 2 3 3" xfId="13073"/>
    <cellStyle name="20% - 强调文字颜色 2 2 2 3 3 2" xfId="13074"/>
    <cellStyle name="20% - 强调文字颜色 2 2 2 3 3 2 2" xfId="13075"/>
    <cellStyle name="20% - 强调文字颜色 2 2 2 3 3 2 2 2" xfId="13076"/>
    <cellStyle name="20% - 强调文字颜色 2 2 2 3 3 3" xfId="13077"/>
    <cellStyle name="20% - 强调文字颜色 2 2 2 3 3 3 2" xfId="13078"/>
    <cellStyle name="20% - 强调文字颜色 2 2 2 3 3 4" xfId="13079"/>
    <cellStyle name="20% - 强调文字颜色 2 2 2 3 3 4 2" xfId="13080"/>
    <cellStyle name="20% - 强调文字颜色 2 2 2 3 3 5" xfId="13081"/>
    <cellStyle name="20% - 强调文字颜色 2 2 2 3 4" xfId="13082"/>
    <cellStyle name="20% - 强调文字颜色 2 2 2 3 5" xfId="13083"/>
    <cellStyle name="20% - 强调文字颜色 2 2 2 3 6" xfId="13084"/>
    <cellStyle name="20% - 强调文字颜色 2 2 2 3 6 2" xfId="13085"/>
    <cellStyle name="20% - 强调文字颜色 2 2 2 3 7" xfId="13086"/>
    <cellStyle name="20% - 强调文字颜色 2 2 2 3 7 2" xfId="13087"/>
    <cellStyle name="20% - 强调文字颜色 2 2 2 4" xfId="13088"/>
    <cellStyle name="20% - 强调文字颜色 2 2 2 4 2" xfId="13089"/>
    <cellStyle name="20% - 强调文字颜色 2 2 2 4 2 2" xfId="13090"/>
    <cellStyle name="20% - 强调文字颜色 2 2 2 4 2 3" xfId="13091"/>
    <cellStyle name="20% - 强调文字颜色 2 2 2 4 2 3 2" xfId="13092"/>
    <cellStyle name="20% - 强调文字颜色 2 2 2 4 2 3 2 2" xfId="13093"/>
    <cellStyle name="20% - 强调文字颜色 2 2 2 4 2 4" xfId="13094"/>
    <cellStyle name="20% - 强调文字颜色 2 2 2 4 2 4 2" xfId="13095"/>
    <cellStyle name="20% - 强调文字颜色 2 2 2 4 2 5" xfId="13096"/>
    <cellStyle name="20% - 强调文字颜色 2 2 2 4 2 5 2" xfId="13097"/>
    <cellStyle name="20% - 强调文字颜色 2 2 2 4 2 6" xfId="13098"/>
    <cellStyle name="20% - 强调文字颜色 2 2 2 4 3" xfId="13099"/>
    <cellStyle name="20% - 强调文字颜色 2 2 2 4 4" xfId="13100"/>
    <cellStyle name="20% - 强调文字颜色 2 2 2 4 5" xfId="13101"/>
    <cellStyle name="20% - 强调文字颜色 2 2 2 4 6" xfId="13102"/>
    <cellStyle name="20% - 强调文字颜色 2 2 2 4 6 2" xfId="13103"/>
    <cellStyle name="20% - 强调文字颜色 2 2 2 4 7" xfId="13104"/>
    <cellStyle name="20% - 强调文字颜色 2 2 2 4 7 2" xfId="13105"/>
    <cellStyle name="20% - 强调文字颜色 2 2 2 5" xfId="13106"/>
    <cellStyle name="20% - 强调文字颜色 2 2 2 5 2" xfId="13107"/>
    <cellStyle name="20% - 强调文字颜色 2 2 2 5 2 2" xfId="13108"/>
    <cellStyle name="20% - 强调文字颜色 2 2 2 5 2 2 2" xfId="13109"/>
    <cellStyle name="20% - 强调文字颜色 2 2 2 5 2 2 2 2" xfId="13110"/>
    <cellStyle name="20% - 强调文字颜色 2 2 2 5 2 3" xfId="13111"/>
    <cellStyle name="20% - 强调文字颜色 2 2 2 5 2 3 2" xfId="13112"/>
    <cellStyle name="20% - 强调文字颜色 2 2 2 5 2 4" xfId="13113"/>
    <cellStyle name="20% - 强调文字颜色 2 2 2 5 2 4 2" xfId="13114"/>
    <cellStyle name="20% - 强调文字颜色 2 2 2 5 2 5" xfId="13115"/>
    <cellStyle name="20% - 强调文字颜色 2 2 2 5 3" xfId="13116"/>
    <cellStyle name="20% - 强调文字颜色 2 2 2 5 3 2" xfId="13117"/>
    <cellStyle name="20% - 强调文字颜色 2 2 2 5 3 2 2" xfId="13118"/>
    <cellStyle name="20% - 强调文字颜色 2 2 2 5 4" xfId="13119"/>
    <cellStyle name="20% - 强调文字颜色 2 2 2 5 4 2" xfId="13120"/>
    <cellStyle name="20% - 强调文字颜色 2 2 2 5 5" xfId="13121"/>
    <cellStyle name="20% - 强调文字颜色 2 2 2 5 5 2" xfId="13122"/>
    <cellStyle name="20% - 强调文字颜色 2 2 2 5 6" xfId="13123"/>
    <cellStyle name="20% - 强调文字颜色 2 2 2 6" xfId="13124"/>
    <cellStyle name="20% - 强调文字颜色 2 2 2 6 2" xfId="13125"/>
    <cellStyle name="20% - 强调文字颜色 2 2 2 6 2 2" xfId="13126"/>
    <cellStyle name="20% - 强调文字颜色 2 2 2 6 2 2 2" xfId="13127"/>
    <cellStyle name="20% - 强调文字颜色 2 2 2 6 2 2 2 2" xfId="13128"/>
    <cellStyle name="20% - 强调文字颜色 2 2 2 6 2 3" xfId="13129"/>
    <cellStyle name="20% - 强调文字颜色 2 2 2 6 2 3 2" xfId="13130"/>
    <cellStyle name="20% - 强调文字颜色 2 2 2 6 2 4" xfId="13131"/>
    <cellStyle name="20% - 强调文字颜色 2 2 2 6 2 4 2" xfId="13132"/>
    <cellStyle name="20% - 强调文字颜色 2 2 2 6 2 5" xfId="13133"/>
    <cellStyle name="20% - 强调文字颜色 2 2 2 6 3" xfId="13134"/>
    <cellStyle name="20% - 强调文字颜色 2 2 2 6 3 2" xfId="13135"/>
    <cellStyle name="20% - 强调文字颜色 2 2 2 6 3 2 2" xfId="13136"/>
    <cellStyle name="20% - 强调文字颜色 2 2 2 6 4" xfId="13137"/>
    <cellStyle name="20% - 强调文字颜色 2 2 2 6 4 2" xfId="13138"/>
    <cellStyle name="20% - 强调文字颜色 2 2 2 6 5" xfId="13139"/>
    <cellStyle name="20% - 强调文字颜色 2 2 2 6 5 2" xfId="13140"/>
    <cellStyle name="20% - 强调文字颜色 2 2 2 6 6" xfId="13141"/>
    <cellStyle name="20% - 强调文字颜色 2 2 2 7" xfId="13142"/>
    <cellStyle name="20% - 强调文字颜色 2 2 2 7 2" xfId="13143"/>
    <cellStyle name="20% - 强调文字颜色 2 2 2 7 2 2" xfId="13144"/>
    <cellStyle name="20% - 强调文字颜色 2 2 2 7 2 2 2" xfId="13145"/>
    <cellStyle name="20% - 强调文字颜色 2 2 2 7 2 2 2 2" xfId="13146"/>
    <cellStyle name="20% - 强调文字颜色 2 2 2 7 2 3" xfId="13147"/>
    <cellStyle name="20% - 强调文字颜色 2 2 2 7 2 3 2" xfId="13148"/>
    <cellStyle name="20% - 强调文字颜色 2 2 2 7 2 4" xfId="13149"/>
    <cellStyle name="20% - 强调文字颜色 2 2 2 7 2 4 2" xfId="13150"/>
    <cellStyle name="20% - 强调文字颜色 2 2 2 7 2 5" xfId="13151"/>
    <cellStyle name="20% - 强调文字颜色 2 2 2 7 3" xfId="13152"/>
    <cellStyle name="20% - 强调文字颜色 2 2 2 7 3 2" xfId="13153"/>
    <cellStyle name="20% - 强调文字颜色 2 2 2 7 3 2 2" xfId="13154"/>
    <cellStyle name="20% - 强调文字颜色 2 2 2 7 4" xfId="13155"/>
    <cellStyle name="20% - 强调文字颜色 2 2 2 7 4 2" xfId="13156"/>
    <cellStyle name="20% - 强调文字颜色 2 2 2 7 5" xfId="13157"/>
    <cellStyle name="20% - 强调文字颜色 2 2 2 7 5 2" xfId="13158"/>
    <cellStyle name="20% - 强调文字颜色 2 2 2 7 6" xfId="13159"/>
    <cellStyle name="20% - 强调文字颜色 2 2 2 8" xfId="13160"/>
    <cellStyle name="20% - 强调文字颜色 2 2 2 8 2" xfId="13161"/>
    <cellStyle name="20% - 强调文字颜色 2 2 2 8 2 2" xfId="13162"/>
    <cellStyle name="20% - 强调文字颜色 2 2 2 8 2 2 2" xfId="13163"/>
    <cellStyle name="20% - 强调文字颜色 2 2 2 8 3" xfId="13164"/>
    <cellStyle name="20% - 强调文字颜色 2 2 2 8 3 2" xfId="13165"/>
    <cellStyle name="20% - 强调文字颜色 2 2 2 8 4" xfId="13166"/>
    <cellStyle name="20% - 强调文字颜色 2 2 2 8 4 2" xfId="13167"/>
    <cellStyle name="20% - 强调文字颜色 2 2 2 8 5" xfId="13168"/>
    <cellStyle name="20% - 强调文字颜色 2 2 2 9" xfId="13169"/>
    <cellStyle name="20% - 强调文字颜色 2 2 2 9 2" xfId="13170"/>
    <cellStyle name="20% - 强调文字颜色 2 2 2 9 2 2" xfId="13171"/>
    <cellStyle name="20% - 强调文字颜色 2 2 2 9 2 2 2" xfId="13172"/>
    <cellStyle name="20% - 强调文字颜色 2 2 2 9 3" xfId="13173"/>
    <cellStyle name="20% - 强调文字颜色 2 2 2 9 3 2" xfId="13174"/>
    <cellStyle name="20% - 强调文字颜色 2 2 2 9 4" xfId="13175"/>
    <cellStyle name="20% - 强调文字颜色 2 2 2 9 4 2" xfId="13176"/>
    <cellStyle name="20% - 强调文字颜色 2 2 2 9 5" xfId="13177"/>
    <cellStyle name="20% - 强调文字颜色 2 2 3" xfId="13178"/>
    <cellStyle name="20% - 强调文字颜色 2 2 3 10" xfId="13179"/>
    <cellStyle name="20% - 强调文字颜色 2 2 3 10 2" xfId="13180"/>
    <cellStyle name="20% - 强调文字颜色 2 2 3 2" xfId="13181"/>
    <cellStyle name="20% - 强调文字颜色 2 2 3 2 2" xfId="13182"/>
    <cellStyle name="20% - 强调文字颜色 2 2 3 2 2 2" xfId="13183"/>
    <cellStyle name="20% - 强调文字颜色 2 2 3 2 2 2 2" xfId="13184"/>
    <cellStyle name="20% - 强调文字颜色 2 2 3 2 2 2 3" xfId="13185"/>
    <cellStyle name="20% - 强调文字颜色 2 2 3 2 2 2 3 2" xfId="13186"/>
    <cellStyle name="20% - 强调文字颜色 2 2 3 2 2 2 3 2 2" xfId="13187"/>
    <cellStyle name="20% - 强调文字颜色 2 2 3 2 2 2 4" xfId="13188"/>
    <cellStyle name="20% - 强调文字颜色 2 2 3 2 2 2 4 2" xfId="13189"/>
    <cellStyle name="20% - 强调文字颜色 2 2 3 2 2 2 5" xfId="13190"/>
    <cellStyle name="20% - 强调文字颜色 2 2 3 2 2 2 5 2" xfId="13191"/>
    <cellStyle name="20% - 强调文字颜色 2 2 3 2 2 2 6" xfId="13192"/>
    <cellStyle name="20% - 强调文字颜色 2 2 3 2 2 3" xfId="13193"/>
    <cellStyle name="20% - 强调文字颜色 2 2 3 2 2 3 2" xfId="13194"/>
    <cellStyle name="20% - 强调文字颜色 2 2 3 2 2 3 2 2" xfId="13195"/>
    <cellStyle name="20% - 强调文字颜色 2 2 3 2 2 3 2 2 2" xfId="13196"/>
    <cellStyle name="20% - 强调文字颜色 2 2 3 2 2 3 3" xfId="13197"/>
    <cellStyle name="20% - 强调文字颜色 2 2 3 2 2 3 3 2" xfId="13198"/>
    <cellStyle name="20% - 强调文字颜色 2 2 3 2 2 3 4" xfId="13199"/>
    <cellStyle name="20% - 强调文字颜色 2 2 3 2 2 3 4 2" xfId="13200"/>
    <cellStyle name="20% - 强调文字颜色 2 2 3 2 2 3 5" xfId="13201"/>
    <cellStyle name="20% - 强调文字颜色 2 2 3 2 2 4" xfId="13202"/>
    <cellStyle name="20% - 强调文字颜色 2 2 3 2 2 5" xfId="13203"/>
    <cellStyle name="20% - 强调文字颜色 2 2 3 2 2 6" xfId="13204"/>
    <cellStyle name="20% - 强调文字颜色 2 2 3 2 2 6 2" xfId="13205"/>
    <cellStyle name="20% - 强调文字颜色 2 2 3 2 2 7" xfId="13206"/>
    <cellStyle name="20% - 强调文字颜色 2 2 3 2 2 7 2" xfId="13207"/>
    <cellStyle name="20% - 强调文字颜色 2 2 3 2 3" xfId="13208"/>
    <cellStyle name="20% - 强调文字颜色 2 2 3 2 3 2" xfId="13209"/>
    <cellStyle name="20% - 强调文字颜色 2 2 3 2 3 3" xfId="13210"/>
    <cellStyle name="20% - 强调文字颜色 2 2 3 2 3 3 2" xfId="13211"/>
    <cellStyle name="20% - 强调文字颜色 2 2 3 2 3 3 2 2" xfId="13212"/>
    <cellStyle name="20% - 强调文字颜色 2 2 3 2 3 4" xfId="13213"/>
    <cellStyle name="20% - 强调文字颜色 2 2 3 2 3 4 2" xfId="13214"/>
    <cellStyle name="20% - 强调文字颜色 2 2 3 2 3 5" xfId="13215"/>
    <cellStyle name="20% - 强调文字颜色 2 2 3 2 3 5 2" xfId="13216"/>
    <cellStyle name="20% - 强调文字颜色 2 2 3 2 3 6" xfId="13217"/>
    <cellStyle name="20% - 强调文字颜色 2 2 3 2 4" xfId="13218"/>
    <cellStyle name="20% - 强调文字颜色 2 2 3 2 4 2" xfId="13219"/>
    <cellStyle name="20% - 强调文字颜色 2 2 3 2 4 2 2" xfId="13220"/>
    <cellStyle name="20% - 强调文字颜色 2 2 3 2 4 2 2 2" xfId="13221"/>
    <cellStyle name="20% - 强调文字颜色 2 2 3 2 4 3" xfId="13222"/>
    <cellStyle name="20% - 强调文字颜色 2 2 3 2 4 3 2" xfId="13223"/>
    <cellStyle name="20% - 强调文字颜色 2 2 3 2 4 4" xfId="13224"/>
    <cellStyle name="20% - 强调文字颜色 2 2 3 2 4 4 2" xfId="13225"/>
    <cellStyle name="20% - 强调文字颜色 2 2 3 2 4 5" xfId="13226"/>
    <cellStyle name="20% - 强调文字颜色 2 2 3 2 5" xfId="13227"/>
    <cellStyle name="20% - 强调文字颜色 2 2 3 2 6" xfId="13228"/>
    <cellStyle name="20% - 强调文字颜色 2 2 3 2 7" xfId="13229"/>
    <cellStyle name="20% - 强调文字颜色 2 2 3 2 7 2" xfId="13230"/>
    <cellStyle name="20% - 强调文字颜色 2 2 3 2 8" xfId="13231"/>
    <cellStyle name="20% - 强调文字颜色 2 2 3 2 8 2" xfId="13232"/>
    <cellStyle name="20% - 强调文字颜色 2 2 3 3" xfId="13233"/>
    <cellStyle name="20% - 强调文字颜色 2 2 3 3 2" xfId="13234"/>
    <cellStyle name="20% - 强调文字颜色 2 2 3 3 2 2" xfId="13235"/>
    <cellStyle name="20% - 强调文字颜色 2 2 3 3 2 3" xfId="13236"/>
    <cellStyle name="20% - 强调文字颜色 2 2 3 3 2 3 2" xfId="13237"/>
    <cellStyle name="20% - 强调文字颜色 2 2 3 3 2 3 2 2" xfId="13238"/>
    <cellStyle name="20% - 强调文字颜色 2 2 3 3 2 4" xfId="13239"/>
    <cellStyle name="20% - 强调文字颜色 2 2 3 3 2 4 2" xfId="13240"/>
    <cellStyle name="20% - 强调文字颜色 2 2 3 3 2 5" xfId="13241"/>
    <cellStyle name="20% - 强调文字颜色 2 2 3 3 2 5 2" xfId="13242"/>
    <cellStyle name="20% - 强调文字颜色 2 2 3 3 2 6" xfId="13243"/>
    <cellStyle name="20% - 强调文字颜色 2 2 3 3 3" xfId="13244"/>
    <cellStyle name="20% - 强调文字颜色 2 2 3 3 3 2" xfId="13245"/>
    <cellStyle name="20% - 强调文字颜色 2 2 3 3 3 2 2" xfId="13246"/>
    <cellStyle name="20% - 强调文字颜色 2 2 3 3 3 2 2 2" xfId="13247"/>
    <cellStyle name="20% - 强调文字颜色 2 2 3 3 3 3" xfId="13248"/>
    <cellStyle name="20% - 强调文字颜色 2 2 3 3 3 3 2" xfId="13249"/>
    <cellStyle name="20% - 强调文字颜色 2 2 3 3 3 4" xfId="13250"/>
    <cellStyle name="20% - 强调文字颜色 2 2 3 3 3 4 2" xfId="13251"/>
    <cellStyle name="20% - 强调文字颜色 2 2 3 3 3 5" xfId="13252"/>
    <cellStyle name="20% - 强调文字颜色 2 2 3 3 4" xfId="13253"/>
    <cellStyle name="20% - 强调文字颜色 2 2 3 3 5" xfId="13254"/>
    <cellStyle name="20% - 强调文字颜色 2 2 3 3 6" xfId="13255"/>
    <cellStyle name="20% - 强调文字颜色 2 2 3 3 6 2" xfId="13256"/>
    <cellStyle name="20% - 强调文字颜色 2 2 3 3 7" xfId="13257"/>
    <cellStyle name="20% - 强调文字颜色 2 2 3 3 7 2" xfId="13258"/>
    <cellStyle name="20% - 强调文字颜色 2 2 3 4" xfId="13259"/>
    <cellStyle name="20% - 强调文字颜色 2 2 3 4 2" xfId="13260"/>
    <cellStyle name="20% - 强调文字颜色 2 2 3 4 2 2" xfId="13261"/>
    <cellStyle name="20% - 强调文字颜色 2 2 3 4 2 3" xfId="13262"/>
    <cellStyle name="20% - 强调文字颜色 2 2 3 4 2 3 2" xfId="13263"/>
    <cellStyle name="20% - 强调文字颜色 2 2 3 4 2 3 2 2" xfId="13264"/>
    <cellStyle name="20% - 强调文字颜色 2 2 3 4 2 4" xfId="13265"/>
    <cellStyle name="20% - 强调文字颜色 2 2 3 4 2 4 2" xfId="13266"/>
    <cellStyle name="20% - 强调文字颜色 2 2 3 4 2 5" xfId="13267"/>
    <cellStyle name="20% - 强调文字颜色 2 2 3 4 2 5 2" xfId="13268"/>
    <cellStyle name="20% - 强调文字颜色 2 2 3 4 2 6" xfId="13269"/>
    <cellStyle name="20% - 强调文字颜色 2 2 3 4 3" xfId="13270"/>
    <cellStyle name="20% - 强调文字颜色 2 2 3 4 4" xfId="13271"/>
    <cellStyle name="20% - 强调文字颜色 2 2 3 4 5" xfId="13272"/>
    <cellStyle name="20% - 强调文字颜色 2 2 3 4 6" xfId="13273"/>
    <cellStyle name="20% - 强调文字颜色 2 2 3 4 6 2" xfId="13274"/>
    <cellStyle name="20% - 强调文字颜色 2 2 3 4 7" xfId="13275"/>
    <cellStyle name="20% - 强调文字颜色 2 2 3 4 7 2" xfId="13276"/>
    <cellStyle name="20% - 强调文字颜色 2 2 3 5" xfId="13277"/>
    <cellStyle name="20% - 强调文字颜色 2 2 3 5 2" xfId="13278"/>
    <cellStyle name="20% - 强调文字颜色 2 2 3 5 2 2" xfId="13279"/>
    <cellStyle name="20% - 强调文字颜色 2 2 3 5 2 2 2" xfId="13280"/>
    <cellStyle name="20% - 强调文字颜色 2 2 3 5 2 2 2 2" xfId="13281"/>
    <cellStyle name="20% - 强调文字颜色 2 2 3 5 2 3" xfId="13282"/>
    <cellStyle name="20% - 强调文字颜色 2 2 3 5 2 3 2" xfId="13283"/>
    <cellStyle name="20% - 强调文字颜色 2 2 3 5 2 4" xfId="13284"/>
    <cellStyle name="20% - 强调文字颜色 2 2 3 5 2 4 2" xfId="13285"/>
    <cellStyle name="20% - 强调文字颜色 2 2 3 5 2 5" xfId="13286"/>
    <cellStyle name="20% - 强调文字颜色 2 2 3 5 3" xfId="13287"/>
    <cellStyle name="20% - 强调文字颜色 2 2 3 5 3 2" xfId="13288"/>
    <cellStyle name="20% - 强调文字颜色 2 2 3 5 3 2 2" xfId="13289"/>
    <cellStyle name="20% - 强调文字颜色 2 2 3 5 4" xfId="13290"/>
    <cellStyle name="20% - 强调文字颜色 2 2 3 5 4 2" xfId="13291"/>
    <cellStyle name="20% - 强调文字颜色 2 2 3 5 5" xfId="13292"/>
    <cellStyle name="20% - 强调文字颜色 2 2 3 5 5 2" xfId="13293"/>
    <cellStyle name="20% - 强调文字颜色 2 2 3 5 6" xfId="13294"/>
    <cellStyle name="20% - 强调文字颜色 2 2 3 6" xfId="13295"/>
    <cellStyle name="20% - 强调文字颜色 2 2 3 6 2" xfId="13296"/>
    <cellStyle name="20% - 强调文字颜色 2 2 3 6 2 2" xfId="13297"/>
    <cellStyle name="20% - 强调文字颜色 2 2 3 6 2 2 2" xfId="13298"/>
    <cellStyle name="20% - 强调文字颜色 2 2 3 6 3" xfId="13299"/>
    <cellStyle name="20% - 强调文字颜色 2 2 3 6 3 2" xfId="13300"/>
    <cellStyle name="20% - 强调文字颜色 2 2 3 6 4" xfId="13301"/>
    <cellStyle name="20% - 强调文字颜色 2 2 3 6 4 2" xfId="13302"/>
    <cellStyle name="20% - 强调文字颜色 2 2 3 6 5" xfId="13303"/>
    <cellStyle name="20% - 强调文字颜色 2 2 3 7" xfId="13304"/>
    <cellStyle name="20% - 强调文字颜色 2 2 3 7 2" xfId="13305"/>
    <cellStyle name="20% - 强调文字颜色 2 2 3 7 2 2" xfId="13306"/>
    <cellStyle name="20% - 强调文字颜色 2 2 3 7 2 2 2" xfId="13307"/>
    <cellStyle name="20% - 强调文字颜色 2 2 3 7 3" xfId="13308"/>
    <cellStyle name="20% - 强调文字颜色 2 2 3 7 3 2" xfId="13309"/>
    <cellStyle name="20% - 强调文字颜色 2 2 3 7 4" xfId="13310"/>
    <cellStyle name="20% - 强调文字颜色 2 2 3 7 4 2" xfId="13311"/>
    <cellStyle name="20% - 强调文字颜色 2 2 3 7 5" xfId="13312"/>
    <cellStyle name="20% - 强调文字颜色 2 2 3 8" xfId="13313"/>
    <cellStyle name="20% - 强调文字颜色 2 2 3 9" xfId="13314"/>
    <cellStyle name="20% - 强调文字颜色 2 2 3 9 2" xfId="13315"/>
    <cellStyle name="20% - 强调文字颜色 2 2 4" xfId="13316"/>
    <cellStyle name="20% - 强调文字颜色 2 2 4 2" xfId="13317"/>
    <cellStyle name="20% - 强调文字颜色 2 2 4 2 2" xfId="13318"/>
    <cellStyle name="20% - 强调文字颜色 2 2 4 2 3" xfId="13319"/>
    <cellStyle name="20% - 强调文字颜色 2 2 4 2 3 2" xfId="13320"/>
    <cellStyle name="20% - 强调文字颜色 2 2 4 2 3 2 2" xfId="13321"/>
    <cellStyle name="20% - 强调文字颜色 2 2 4 2 4" xfId="13322"/>
    <cellStyle name="20% - 强调文字颜色 2 2 4 2 4 2" xfId="13323"/>
    <cellStyle name="20% - 强调文字颜色 2 2 4 2 5" xfId="13324"/>
    <cellStyle name="20% - 强调文字颜色 2 2 4 2 5 2" xfId="13325"/>
    <cellStyle name="20% - 强调文字颜色 2 2 4 2 6" xfId="13326"/>
    <cellStyle name="20% - 强调文字颜色 2 2 4 3" xfId="13327"/>
    <cellStyle name="20% - 强调文字颜色 2 2 4 3 2" xfId="13328"/>
    <cellStyle name="20% - 强调文字颜色 2 2 4 3 2 2" xfId="13329"/>
    <cellStyle name="20% - 强调文字颜色 2 2 4 3 2 2 2" xfId="13330"/>
    <cellStyle name="20% - 强调文字颜色 2 2 4 3 3" xfId="13331"/>
    <cellStyle name="20% - 强调文字颜色 2 2 4 3 3 2" xfId="13332"/>
    <cellStyle name="20% - 强调文字颜色 2 2 4 3 4" xfId="13333"/>
    <cellStyle name="20% - 强调文字颜色 2 2 4 3 4 2" xfId="13334"/>
    <cellStyle name="20% - 强调文字颜色 2 2 4 3 5" xfId="13335"/>
    <cellStyle name="20% - 强调文字颜色 2 2 4 4" xfId="13336"/>
    <cellStyle name="20% - 强调文字颜色 2 2 4 5" xfId="13337"/>
    <cellStyle name="20% - 强调文字颜色 2 2 4 6" xfId="13338"/>
    <cellStyle name="20% - 强调文字颜色 2 2 4 6 2" xfId="13339"/>
    <cellStyle name="20% - 强调文字颜色 2 2 4 7" xfId="13340"/>
    <cellStyle name="20% - 强调文字颜色 2 2 4 7 2" xfId="13341"/>
    <cellStyle name="20% - 强调文字颜色 2 2 5" xfId="13342"/>
    <cellStyle name="20% - 强调文字颜色 2 2 5 2" xfId="13343"/>
    <cellStyle name="20% - 强调文字颜色 2 2 5 2 2" xfId="13344"/>
    <cellStyle name="20% - 强调文字颜色 2 2 5 2 3" xfId="13345"/>
    <cellStyle name="20% - 强调文字颜色 2 2 5 2 3 2" xfId="13346"/>
    <cellStyle name="20% - 强调文字颜色 2 2 5 2 3 2 2" xfId="13347"/>
    <cellStyle name="20% - 强调文字颜色 2 2 5 2 4" xfId="13348"/>
    <cellStyle name="20% - 强调文字颜色 2 2 5 2 4 2" xfId="13349"/>
    <cellStyle name="20% - 强调文字颜色 2 2 5 2 5" xfId="13350"/>
    <cellStyle name="20% - 强调文字颜色 2 2 5 2 5 2" xfId="13351"/>
    <cellStyle name="20% - 强调文字颜色 2 2 5 2 6" xfId="13352"/>
    <cellStyle name="20% - 强调文字颜色 2 2 5 3" xfId="13353"/>
    <cellStyle name="20% - 强调文字颜色 2 2 5 4" xfId="13354"/>
    <cellStyle name="20% - 强调文字颜色 2 2 5 5" xfId="13355"/>
    <cellStyle name="20% - 强调文字颜色 2 2 5 6" xfId="13356"/>
    <cellStyle name="20% - 强调文字颜色 2 2 5 6 2" xfId="13357"/>
    <cellStyle name="20% - 强调文字颜色 2 2 5 7" xfId="13358"/>
    <cellStyle name="20% - 强调文字颜色 2 2 5 7 2" xfId="13359"/>
    <cellStyle name="20% - 强调文字颜色 2 2 6" xfId="13360"/>
    <cellStyle name="20% - 强调文字颜色 2 2 6 2" xfId="13361"/>
    <cellStyle name="20% - 强调文字颜色 2 2 6 2 2" xfId="13362"/>
    <cellStyle name="20% - 强调文字颜色 2 2 6 2 2 2" xfId="13363"/>
    <cellStyle name="20% - 强调文字颜色 2 2 6 2 2 2 2" xfId="13364"/>
    <cellStyle name="20% - 强调文字颜色 2 2 6 2 3" xfId="13365"/>
    <cellStyle name="20% - 强调文字颜色 2 2 6 2 3 2" xfId="13366"/>
    <cellStyle name="20% - 强调文字颜色 2 2 6 2 4" xfId="13367"/>
    <cellStyle name="20% - 强调文字颜色 2 2 6 2 4 2" xfId="13368"/>
    <cellStyle name="20% - 强调文字颜色 2 2 6 2 5" xfId="13369"/>
    <cellStyle name="20% - 强调文字颜色 2 2 6 3" xfId="13370"/>
    <cellStyle name="20% - 强调文字颜色 2 2 6 3 2" xfId="13371"/>
    <cellStyle name="20% - 强调文字颜色 2 2 6 3 2 2" xfId="13372"/>
    <cellStyle name="20% - 强调文字颜色 2 2 6 4" xfId="13373"/>
    <cellStyle name="20% - 强调文字颜色 2 2 6 4 2" xfId="13374"/>
    <cellStyle name="20% - 强调文字颜色 2 2 6 5" xfId="13375"/>
    <cellStyle name="20% - 强调文字颜色 2 2 6 5 2" xfId="13376"/>
    <cellStyle name="20% - 强调文字颜色 2 2 6 6" xfId="13377"/>
    <cellStyle name="20% - 强调文字颜色 2 2 7" xfId="13378"/>
    <cellStyle name="20% - 强调文字颜色 2 2 7 2" xfId="13379"/>
    <cellStyle name="20% - 强调文字颜色 2 2 7 2 2" xfId="13380"/>
    <cellStyle name="20% - 强调文字颜色 2 2 7 2 2 2" xfId="13381"/>
    <cellStyle name="20% - 强调文字颜色 2 2 7 2 2 2 2" xfId="13382"/>
    <cellStyle name="20% - 强调文字颜色 2 2 7 2 3" xfId="13383"/>
    <cellStyle name="20% - 强调文字颜色 2 2 7 2 3 2" xfId="13384"/>
    <cellStyle name="20% - 强调文字颜色 2 2 7 2 4" xfId="13385"/>
    <cellStyle name="20% - 强调文字颜色 2 2 7 2 4 2" xfId="13386"/>
    <cellStyle name="20% - 强调文字颜色 2 2 7 2 5" xfId="13387"/>
    <cellStyle name="20% - 强调文字颜色 2 2 7 3" xfId="13388"/>
    <cellStyle name="20% - 强调文字颜色 2 2 7 3 2" xfId="13389"/>
    <cellStyle name="20% - 强调文字颜色 2 2 7 3 2 2" xfId="13390"/>
    <cellStyle name="20% - 强调文字颜色 2 2 7 4" xfId="13391"/>
    <cellStyle name="20% - 强调文字颜色 2 2 7 4 2" xfId="13392"/>
    <cellStyle name="20% - 强调文字颜色 2 2 7 5" xfId="13393"/>
    <cellStyle name="20% - 强调文字颜色 2 2 7 5 2" xfId="13394"/>
    <cellStyle name="20% - 强调文字颜色 2 2 7 6" xfId="13395"/>
    <cellStyle name="20% - 强调文字颜色 2 2 8" xfId="13396"/>
    <cellStyle name="20% - 强调文字颜色 2 2 8 2" xfId="13397"/>
    <cellStyle name="20% - 强调文字颜色 2 2 8 2 2" xfId="13398"/>
    <cellStyle name="20% - 强调文字颜色 2 2 8 2 2 2" xfId="13399"/>
    <cellStyle name="20% - 强调文字颜色 2 2 8 2 2 2 2" xfId="13400"/>
    <cellStyle name="20% - 强调文字颜色 2 2 8 2 3" xfId="13401"/>
    <cellStyle name="20% - 强调文字颜色 2 2 8 2 3 2" xfId="13402"/>
    <cellStyle name="20% - 强调文字颜色 2 2 8 2 4" xfId="13403"/>
    <cellStyle name="20% - 强调文字颜色 2 2 8 2 4 2" xfId="13404"/>
    <cellStyle name="20% - 强调文字颜色 2 2 8 2 5" xfId="13405"/>
    <cellStyle name="20% - 强调文字颜色 2 2 8 3" xfId="13406"/>
    <cellStyle name="20% - 强调文字颜色 2 2 8 3 2" xfId="13407"/>
    <cellStyle name="20% - 强调文字颜色 2 2 8 3 2 2" xfId="13408"/>
    <cellStyle name="20% - 强调文字颜色 2 2 8 4" xfId="13409"/>
    <cellStyle name="20% - 强调文字颜色 2 2 8 4 2" xfId="13410"/>
    <cellStyle name="20% - 强调文字颜色 2 2 8 5" xfId="13411"/>
    <cellStyle name="20% - 强调文字颜色 2 2 8 5 2" xfId="13412"/>
    <cellStyle name="20% - 强调文字颜色 2 2 8 6" xfId="13413"/>
    <cellStyle name="20% - 强调文字颜色 2 2 9" xfId="13414"/>
    <cellStyle name="20% - 强调文字颜色 2 2 9 2" xfId="13415"/>
    <cellStyle name="20% - 强调文字颜色 2 2 9 2 2" xfId="13416"/>
    <cellStyle name="20% - 强调文字颜色 2 2 9 2 2 2" xfId="13417"/>
    <cellStyle name="20% - 强调文字颜色 2 2 9 3" xfId="13418"/>
    <cellStyle name="20% - 强调文字颜色 2 2 9 3 2" xfId="13419"/>
    <cellStyle name="20% - 强调文字颜色 2 2 9 4" xfId="13420"/>
    <cellStyle name="20% - 强调文字颜色 2 2 9 4 2" xfId="13421"/>
    <cellStyle name="20% - 强调文字颜色 2 2 9 5" xfId="13422"/>
    <cellStyle name="20% - 强调文字颜色 2 3" xfId="13423"/>
    <cellStyle name="20% - 强调文字颜色 2 3 2" xfId="13424"/>
    <cellStyle name="20% - 强调文字颜色 2 3 2 2" xfId="13425"/>
    <cellStyle name="20% - 强调文字颜色 2 3 2 2 2" xfId="13426"/>
    <cellStyle name="20% - 强调文字颜色 2 3 2 2 2 2" xfId="13427"/>
    <cellStyle name="20% - 强调文字颜色 2 3 2 2 2 3" xfId="13428"/>
    <cellStyle name="20% - 强调文字颜色 2 3 2 2 2 3 2" xfId="13429"/>
    <cellStyle name="20% - 强调文字颜色 2 3 2 2 2 3 2 2" xfId="13430"/>
    <cellStyle name="20% - 强调文字颜色 2 3 2 2 2 4" xfId="13431"/>
    <cellStyle name="20% - 强调文字颜色 2 3 2 2 2 4 2" xfId="13432"/>
    <cellStyle name="20% - 强调文字颜色 2 3 2 2 2 5" xfId="13433"/>
    <cellStyle name="20% - 强调文字颜色 2 3 2 2 2 5 2" xfId="13434"/>
    <cellStyle name="20% - 强调文字颜色 2 3 2 2 2 6" xfId="13435"/>
    <cellStyle name="20% - 强调文字颜色 2 3 2 2 3" xfId="13436"/>
    <cellStyle name="20% - 强调文字颜色 2 3 2 2 3 2" xfId="13437"/>
    <cellStyle name="20% - 强调文字颜色 2 3 2 2 3 2 2" xfId="13438"/>
    <cellStyle name="20% - 强调文字颜色 2 3 2 2 3 2 2 2" xfId="13439"/>
    <cellStyle name="20% - 强调文字颜色 2 3 2 2 3 3" xfId="13440"/>
    <cellStyle name="20% - 强调文字颜色 2 3 2 2 3 3 2" xfId="13441"/>
    <cellStyle name="20% - 强调文字颜色 2 3 2 2 3 4" xfId="13442"/>
    <cellStyle name="20% - 强调文字颜色 2 3 2 2 3 4 2" xfId="13443"/>
    <cellStyle name="20% - 强调文字颜色 2 3 2 2 3 5" xfId="13444"/>
    <cellStyle name="20% - 强调文字颜色 2 3 2 2 4" xfId="13445"/>
    <cellStyle name="20% - 强调文字颜色 2 3 2 2 5" xfId="13446"/>
    <cellStyle name="20% - 强调文字颜色 2 3 2 2 6" xfId="13447"/>
    <cellStyle name="20% - 强调文字颜色 2 3 2 2 6 2" xfId="13448"/>
    <cellStyle name="20% - 强调文字颜色 2 3 2 2 7" xfId="13449"/>
    <cellStyle name="20% - 强调文字颜色 2 3 2 2 7 2" xfId="13450"/>
    <cellStyle name="20% - 强调文字颜色 2 3 2 3" xfId="13451"/>
    <cellStyle name="20% - 强调文字颜色 2 3 2 3 2" xfId="13452"/>
    <cellStyle name="20% - 强调文字颜色 2 3 2 3 3" xfId="13453"/>
    <cellStyle name="20% - 强调文字颜色 2 3 2 3 3 2" xfId="13454"/>
    <cellStyle name="20% - 强调文字颜色 2 3 2 3 3 2 2" xfId="13455"/>
    <cellStyle name="20% - 强调文字颜色 2 3 2 3 4" xfId="13456"/>
    <cellStyle name="20% - 强调文字颜色 2 3 2 3 4 2" xfId="13457"/>
    <cellStyle name="20% - 强调文字颜色 2 3 2 3 5" xfId="13458"/>
    <cellStyle name="20% - 强调文字颜色 2 3 2 3 5 2" xfId="13459"/>
    <cellStyle name="20% - 强调文字颜色 2 3 2 3 6" xfId="13460"/>
    <cellStyle name="20% - 强调文字颜色 2 3 2 4" xfId="13461"/>
    <cellStyle name="20% - 强调文字颜色 2 3 2 4 2" xfId="13462"/>
    <cellStyle name="20% - 强调文字颜色 2 3 2 4 2 2" xfId="13463"/>
    <cellStyle name="20% - 强调文字颜色 2 3 2 4 2 2 2" xfId="13464"/>
    <cellStyle name="20% - 强调文字颜色 2 3 2 4 3" xfId="13465"/>
    <cellStyle name="20% - 强调文字颜色 2 3 2 4 3 2" xfId="13466"/>
    <cellStyle name="20% - 强调文字颜色 2 3 2 4 4" xfId="13467"/>
    <cellStyle name="20% - 强调文字颜色 2 3 2 4 4 2" xfId="13468"/>
    <cellStyle name="20% - 强调文字颜色 2 3 2 4 5" xfId="13469"/>
    <cellStyle name="20% - 强调文字颜色 2 3 2 5" xfId="13470"/>
    <cellStyle name="20% - 强调文字颜色 2 3 2 6" xfId="13471"/>
    <cellStyle name="20% - 强调文字颜色 2 3 2 7" xfId="13472"/>
    <cellStyle name="20% - 强调文字颜色 2 3 2 7 2" xfId="13473"/>
    <cellStyle name="20% - 强调文字颜色 2 3 2 8" xfId="13474"/>
    <cellStyle name="20% - 强调文字颜色 2 3 2 8 2" xfId="13475"/>
    <cellStyle name="20% - 强调文字颜色 2 3 3" xfId="13476"/>
    <cellStyle name="20% - 强调文字颜色 2 3 3 2" xfId="13477"/>
    <cellStyle name="20% - 强调文字颜色 2 3 3 2 2" xfId="13478"/>
    <cellStyle name="20% - 强调文字颜色 2 3 3 2 3" xfId="13479"/>
    <cellStyle name="20% - 强调文字颜色 2 3 3 2 3 2" xfId="13480"/>
    <cellStyle name="20% - 强调文字颜色 2 3 3 2 3 2 2" xfId="13481"/>
    <cellStyle name="20% - 强调文字颜色 2 3 3 2 4" xfId="13482"/>
    <cellStyle name="20% - 强调文字颜色 2 3 3 2 4 2" xfId="13483"/>
    <cellStyle name="20% - 强调文字颜色 2 3 3 2 5" xfId="13484"/>
    <cellStyle name="20% - 强调文字颜色 2 3 3 2 5 2" xfId="13485"/>
    <cellStyle name="20% - 强调文字颜色 2 3 3 2 6" xfId="13486"/>
    <cellStyle name="20% - 强调文字颜色 2 3 3 3" xfId="13487"/>
    <cellStyle name="20% - 强调文字颜色 2 3 3 3 2" xfId="13488"/>
    <cellStyle name="20% - 强调文字颜色 2 3 3 3 2 2" xfId="13489"/>
    <cellStyle name="20% - 强调文字颜色 2 3 3 3 2 2 2" xfId="13490"/>
    <cellStyle name="20% - 强调文字颜色 2 3 3 3 3" xfId="13491"/>
    <cellStyle name="20% - 强调文字颜色 2 3 3 3 3 2" xfId="13492"/>
    <cellStyle name="20% - 强调文字颜色 2 3 3 3 4" xfId="13493"/>
    <cellStyle name="20% - 强调文字颜色 2 3 3 3 4 2" xfId="13494"/>
    <cellStyle name="20% - 强调文字颜色 2 3 3 3 5" xfId="13495"/>
    <cellStyle name="20% - 强调文字颜色 2 3 3 4" xfId="13496"/>
    <cellStyle name="20% - 强调文字颜色 2 3 3 5" xfId="13497"/>
    <cellStyle name="20% - 强调文字颜色 2 3 3 6" xfId="13498"/>
    <cellStyle name="20% - 强调文字颜色 2 3 3 6 2" xfId="13499"/>
    <cellStyle name="20% - 强调文字颜色 2 3 3 7" xfId="13500"/>
    <cellStyle name="20% - 强调文字颜色 2 3 3 7 2" xfId="13501"/>
    <cellStyle name="20% - 强调文字颜色 2 3 4" xfId="13502"/>
    <cellStyle name="20% - 强调文字颜色 2 3 4 2" xfId="13503"/>
    <cellStyle name="20% - 强调文字颜色 2 3 4 2 2" xfId="13504"/>
    <cellStyle name="20% - 强调文字颜色 2 3 4 2 3" xfId="13505"/>
    <cellStyle name="20% - 强调文字颜色 2 3 4 2 3 2" xfId="13506"/>
    <cellStyle name="20% - 强调文字颜色 2 3 4 2 3 2 2" xfId="13507"/>
    <cellStyle name="20% - 强调文字颜色 2 3 4 2 4" xfId="13508"/>
    <cellStyle name="20% - 强调文字颜色 2 3 4 2 4 2" xfId="13509"/>
    <cellStyle name="20% - 强调文字颜色 2 3 4 2 5" xfId="13510"/>
    <cellStyle name="20% - 强调文字颜色 2 3 4 2 5 2" xfId="13511"/>
    <cellStyle name="20% - 强调文字颜色 2 3 4 2 6" xfId="13512"/>
    <cellStyle name="20% - 强调文字颜色 2 3 4 3" xfId="13513"/>
    <cellStyle name="20% - 强调文字颜色 2 3 4 4" xfId="13514"/>
    <cellStyle name="20% - 强调文字颜色 2 3 4 5" xfId="13515"/>
    <cellStyle name="20% - 强调文字颜色 2 3 4 6" xfId="13516"/>
    <cellStyle name="20% - 强调文字颜色 2 3 4 6 2" xfId="13517"/>
    <cellStyle name="20% - 强调文字颜色 2 3 4 7" xfId="13518"/>
    <cellStyle name="20% - 强调文字颜色 2 3 4 7 2" xfId="13519"/>
    <cellStyle name="20% - 强调文字颜色 2 3 5" xfId="13520"/>
    <cellStyle name="20% - 强调文字颜色 2 3 5 2" xfId="13521"/>
    <cellStyle name="20% - 强调文字颜色 2 3 5 2 2" xfId="13522"/>
    <cellStyle name="20% - 强调文字颜色 2 3 5 2 2 2" xfId="13523"/>
    <cellStyle name="20% - 强调文字颜色 2 3 5 2 2 2 2" xfId="13524"/>
    <cellStyle name="20% - 强调文字颜色 2 3 5 2 3" xfId="13525"/>
    <cellStyle name="20% - 强调文字颜色 2 3 5 2 3 2" xfId="13526"/>
    <cellStyle name="20% - 强调文字颜色 2 3 5 2 4" xfId="13527"/>
    <cellStyle name="20% - 强调文字颜色 2 3 5 2 4 2" xfId="13528"/>
    <cellStyle name="20% - 强调文字颜色 2 3 5 2 5" xfId="13529"/>
    <cellStyle name="20% - 强调文字颜色 2 3 5 3" xfId="13530"/>
    <cellStyle name="20% - 强调文字颜色 2 3 5 3 2" xfId="13531"/>
    <cellStyle name="20% - 强调文字颜色 2 3 5 3 2 2" xfId="13532"/>
    <cellStyle name="20% - 强调文字颜色 2 3 5 4" xfId="13533"/>
    <cellStyle name="20% - 强调文字颜色 2 3 5 4 2" xfId="13534"/>
    <cellStyle name="20% - 强调文字颜色 2 3 5 5" xfId="13535"/>
    <cellStyle name="20% - 强调文字颜色 2 3 5 5 2" xfId="13536"/>
    <cellStyle name="20% - 强调文字颜色 2 3 5 6" xfId="13537"/>
    <cellStyle name="20% - 强调文字颜色 2 3 6" xfId="13538"/>
    <cellStyle name="20% - 强调文字颜色 2 3 6 2" xfId="13539"/>
    <cellStyle name="20% - 强调文字颜色 2 3 6 2 2" xfId="13540"/>
    <cellStyle name="20% - 强调文字颜色 2 3 6 2 2 2" xfId="13541"/>
    <cellStyle name="20% - 强调文字颜色 2 3 6 3" xfId="13542"/>
    <cellStyle name="20% - 强调文字颜色 2 3 6 3 2" xfId="13543"/>
    <cellStyle name="20% - 强调文字颜色 2 3 6 4" xfId="13544"/>
    <cellStyle name="20% - 强调文字颜色 2 3 6 4 2" xfId="13545"/>
    <cellStyle name="20% - 强调文字颜色 2 3 6 5" xfId="13546"/>
    <cellStyle name="20% - 强调文字颜色 2 3 7" xfId="13547"/>
    <cellStyle name="20% - 强调文字颜色 2 3 8" xfId="13548"/>
    <cellStyle name="20% - 强调文字颜色 2 3 8 2" xfId="13549"/>
    <cellStyle name="20% - 强调文字颜色 2 3 9" xfId="13550"/>
    <cellStyle name="20% - 强调文字颜色 2 3 9 2" xfId="13551"/>
    <cellStyle name="20% - 强调文字颜色 3 2" xfId="13552"/>
    <cellStyle name="20% - 强调文字颜色 3 2 10" xfId="13553"/>
    <cellStyle name="20% - 强调文字颜色 3 2 11" xfId="13554"/>
    <cellStyle name="20% - 强调文字颜色 3 2 11 2" xfId="13555"/>
    <cellStyle name="20% - 强调文字颜色 3 2 12" xfId="13556"/>
    <cellStyle name="20% - 强调文字颜色 3 2 12 2" xfId="13557"/>
    <cellStyle name="20% - 强调文字颜色 3 2 2" xfId="13558"/>
    <cellStyle name="20% - 强调文字颜色 3 2 2 10" xfId="13559"/>
    <cellStyle name="20% - 强调文字颜色 3 2 2 11" xfId="13560"/>
    <cellStyle name="20% - 强调文字颜色 3 2 2 11 2" xfId="13561"/>
    <cellStyle name="20% - 强调文字颜色 3 2 2 12" xfId="13562"/>
    <cellStyle name="20% - 强调文字颜色 3 2 2 12 2" xfId="13563"/>
    <cellStyle name="20% - 强调文字颜色 3 2 2 2" xfId="13564"/>
    <cellStyle name="20% - 强调文字颜色 3 2 2 2 2" xfId="13565"/>
    <cellStyle name="20% - 强调文字颜色 3 2 2 2 2 2" xfId="13566"/>
    <cellStyle name="20% - 强调文字颜色 3 2 2 2 2 2 2" xfId="13567"/>
    <cellStyle name="20% - 强调文字颜色 3 2 2 2 2 2 3" xfId="13568"/>
    <cellStyle name="20% - 强调文字颜色 3 2 2 2 2 2 3 2" xfId="13569"/>
    <cellStyle name="20% - 强调文字颜色 3 2 2 2 2 2 3 2 2" xfId="13570"/>
    <cellStyle name="20% - 强调文字颜色 3 2 2 2 2 2 4" xfId="13571"/>
    <cellStyle name="20% - 强调文字颜色 3 2 2 2 2 2 4 2" xfId="13572"/>
    <cellStyle name="20% - 强调文字颜色 3 2 2 2 2 2 5" xfId="13573"/>
    <cellStyle name="20% - 强调文字颜色 3 2 2 2 2 2 5 2" xfId="13574"/>
    <cellStyle name="20% - 强调文字颜色 3 2 2 2 2 2 6" xfId="13575"/>
    <cellStyle name="20% - 强调文字颜色 3 2 2 2 2 3" xfId="13576"/>
    <cellStyle name="20% - 强调文字颜色 3 2 2 2 2 3 2" xfId="13577"/>
    <cellStyle name="20% - 强调文字颜色 3 2 2 2 2 3 2 2" xfId="13578"/>
    <cellStyle name="20% - 强调文字颜色 3 2 2 2 2 3 2 2 2" xfId="13579"/>
    <cellStyle name="20% - 强调文字颜色 3 2 2 2 2 3 3" xfId="13580"/>
    <cellStyle name="20% - 强调文字颜色 3 2 2 2 2 3 3 2" xfId="13581"/>
    <cellStyle name="20% - 强调文字颜色 3 2 2 2 2 3 4" xfId="13582"/>
    <cellStyle name="20% - 强调文字颜色 3 2 2 2 2 3 4 2" xfId="13583"/>
    <cellStyle name="20% - 强调文字颜色 3 2 2 2 2 3 5" xfId="13584"/>
    <cellStyle name="20% - 强调文字颜色 3 2 2 2 2 4" xfId="13585"/>
    <cellStyle name="20% - 强调文字颜色 3 2 2 2 2 5" xfId="13586"/>
    <cellStyle name="20% - 强调文字颜色 3 2 2 2 2 6" xfId="13587"/>
    <cellStyle name="20% - 强调文字颜色 3 2 2 2 2 6 2" xfId="13588"/>
    <cellStyle name="20% - 强调文字颜色 3 2 2 2 2 7" xfId="13589"/>
    <cellStyle name="20% - 强调文字颜色 3 2 2 2 2 7 2" xfId="13590"/>
    <cellStyle name="20% - 强调文字颜色 3 2 2 2 3" xfId="13591"/>
    <cellStyle name="20% - 强调文字颜色 3 2 2 2 3 2" xfId="13592"/>
    <cellStyle name="20% - 强调文字颜色 3 2 2 2 3 3" xfId="13593"/>
    <cellStyle name="20% - 强调文字颜色 3 2 2 2 3 3 2" xfId="13594"/>
    <cellStyle name="20% - 强调文字颜色 3 2 2 2 3 3 2 2" xfId="13595"/>
    <cellStyle name="20% - 强调文字颜色 3 2 2 2 3 4" xfId="13596"/>
    <cellStyle name="20% - 强调文字颜色 3 2 2 2 3 4 2" xfId="13597"/>
    <cellStyle name="20% - 强调文字颜色 3 2 2 2 3 5" xfId="13598"/>
    <cellStyle name="20% - 强调文字颜色 3 2 2 2 3 5 2" xfId="13599"/>
    <cellStyle name="20% - 强调文字颜色 3 2 2 2 3 6" xfId="13600"/>
    <cellStyle name="20% - 强调文字颜色 3 2 2 2 4" xfId="13601"/>
    <cellStyle name="20% - 强调文字颜色 3 2 2 2 4 2" xfId="13602"/>
    <cellStyle name="20% - 强调文字颜色 3 2 2 2 4 2 2" xfId="13603"/>
    <cellStyle name="20% - 强调文字颜色 3 2 2 2 4 2 2 2" xfId="13604"/>
    <cellStyle name="20% - 强调文字颜色 3 2 2 2 4 3" xfId="13605"/>
    <cellStyle name="20% - 强调文字颜色 3 2 2 2 4 3 2" xfId="13606"/>
    <cellStyle name="20% - 强调文字颜色 3 2 2 2 4 4" xfId="13607"/>
    <cellStyle name="20% - 强调文字颜色 3 2 2 2 4 4 2" xfId="13608"/>
    <cellStyle name="20% - 强调文字颜色 3 2 2 2 4 5" xfId="13609"/>
    <cellStyle name="20% - 强调文字颜色 3 2 2 2 5" xfId="13610"/>
    <cellStyle name="20% - 强调文字颜色 3 2 2 2 6" xfId="13611"/>
    <cellStyle name="20% - 强调文字颜色 3 2 2 2 7" xfId="13612"/>
    <cellStyle name="20% - 强调文字颜色 3 2 2 2 7 2" xfId="13613"/>
    <cellStyle name="20% - 强调文字颜色 3 2 2 2 8" xfId="13614"/>
    <cellStyle name="20% - 强调文字颜色 3 2 2 2 8 2" xfId="13615"/>
    <cellStyle name="20% - 强调文字颜色 3 2 2 3" xfId="13616"/>
    <cellStyle name="20% - 强调文字颜色 3 2 2 3 2" xfId="13617"/>
    <cellStyle name="20% - 强调文字颜色 3 2 2 3 2 2" xfId="13618"/>
    <cellStyle name="20% - 强调文字颜色 3 2 2 3 2 3" xfId="13619"/>
    <cellStyle name="20% - 强调文字颜色 3 2 2 3 2 3 2" xfId="13620"/>
    <cellStyle name="20% - 强调文字颜色 3 2 2 3 2 3 2 2" xfId="13621"/>
    <cellStyle name="20% - 强调文字颜色 3 2 2 3 2 4" xfId="13622"/>
    <cellStyle name="20% - 强调文字颜色 3 2 2 3 2 4 2" xfId="13623"/>
    <cellStyle name="20% - 强调文字颜色 3 2 2 3 2 5" xfId="13624"/>
    <cellStyle name="20% - 强调文字颜色 3 2 2 3 2 5 2" xfId="13625"/>
    <cellStyle name="20% - 强调文字颜色 3 2 2 3 2 6" xfId="13626"/>
    <cellStyle name="20% - 强调文字颜色 3 2 2 3 3" xfId="13627"/>
    <cellStyle name="20% - 强调文字颜色 3 2 2 3 3 2" xfId="13628"/>
    <cellStyle name="20% - 强调文字颜色 3 2 2 3 3 2 2" xfId="13629"/>
    <cellStyle name="20% - 强调文字颜色 3 2 2 3 3 2 2 2" xfId="13630"/>
    <cellStyle name="20% - 强调文字颜色 3 2 2 3 3 3" xfId="13631"/>
    <cellStyle name="20% - 强调文字颜色 3 2 2 3 3 3 2" xfId="13632"/>
    <cellStyle name="20% - 强调文字颜色 3 2 2 3 3 4" xfId="13633"/>
    <cellStyle name="20% - 强调文字颜色 3 2 2 3 3 4 2" xfId="13634"/>
    <cellStyle name="20% - 强调文字颜色 3 2 2 3 3 5" xfId="13635"/>
    <cellStyle name="20% - 强调文字颜色 3 2 2 3 4" xfId="13636"/>
    <cellStyle name="20% - 强调文字颜色 3 2 2 3 5" xfId="13637"/>
    <cellStyle name="20% - 强调文字颜色 3 2 2 3 6" xfId="13638"/>
    <cellStyle name="20% - 强调文字颜色 3 2 2 3 6 2" xfId="13639"/>
    <cellStyle name="20% - 强调文字颜色 3 2 2 3 7" xfId="13640"/>
    <cellStyle name="20% - 强调文字颜色 3 2 2 3 7 2" xfId="13641"/>
    <cellStyle name="20% - 强调文字颜色 3 2 2 4" xfId="13642"/>
    <cellStyle name="20% - 强调文字颜色 3 2 2 4 2" xfId="13643"/>
    <cellStyle name="20% - 强调文字颜色 3 2 2 4 2 2" xfId="13644"/>
    <cellStyle name="20% - 强调文字颜色 3 2 2 4 2 3" xfId="13645"/>
    <cellStyle name="20% - 强调文字颜色 3 2 2 4 2 3 2" xfId="13646"/>
    <cellStyle name="20% - 强调文字颜色 3 2 2 4 2 3 2 2" xfId="13647"/>
    <cellStyle name="20% - 强调文字颜色 3 2 2 4 2 4" xfId="13648"/>
    <cellStyle name="20% - 强调文字颜色 3 2 2 4 2 4 2" xfId="13649"/>
    <cellStyle name="20% - 强调文字颜色 3 2 2 4 2 5" xfId="13650"/>
    <cellStyle name="20% - 强调文字颜色 3 2 2 4 2 5 2" xfId="13651"/>
    <cellStyle name="20% - 强调文字颜色 3 2 2 4 2 6" xfId="13652"/>
    <cellStyle name="20% - 强调文字颜色 3 2 2 4 3" xfId="13653"/>
    <cellStyle name="20% - 强调文字颜色 3 2 2 4 4" xfId="13654"/>
    <cellStyle name="20% - 强调文字颜色 3 2 2 4 5" xfId="13655"/>
    <cellStyle name="20% - 强调文字颜色 3 2 2 4 6" xfId="13656"/>
    <cellStyle name="20% - 强调文字颜色 3 2 2 4 6 2" xfId="13657"/>
    <cellStyle name="20% - 强调文字颜色 3 2 2 4 7" xfId="13658"/>
    <cellStyle name="20% - 强调文字颜色 3 2 2 4 7 2" xfId="13659"/>
    <cellStyle name="20% - 强调文字颜色 3 2 2 5" xfId="13660"/>
    <cellStyle name="20% - 强调文字颜色 3 2 2 5 2" xfId="13661"/>
    <cellStyle name="20% - 强调文字颜色 3 2 2 5 2 2" xfId="13662"/>
    <cellStyle name="20% - 强调文字颜色 3 2 2 5 2 2 2" xfId="13663"/>
    <cellStyle name="20% - 强调文字颜色 3 2 2 5 2 2 2 2" xfId="13664"/>
    <cellStyle name="20% - 强调文字颜色 3 2 2 5 2 3" xfId="13665"/>
    <cellStyle name="20% - 强调文字颜色 3 2 2 5 2 3 2" xfId="13666"/>
    <cellStyle name="20% - 强调文字颜色 3 2 2 5 2 4" xfId="13667"/>
    <cellStyle name="20% - 强调文字颜色 3 2 2 5 2 4 2" xfId="13668"/>
    <cellStyle name="20% - 强调文字颜色 3 2 2 5 2 5" xfId="13669"/>
    <cellStyle name="20% - 强调文字颜色 3 2 2 5 3" xfId="13670"/>
    <cellStyle name="20% - 强调文字颜色 3 2 2 5 3 2" xfId="13671"/>
    <cellStyle name="20% - 强调文字颜色 3 2 2 5 3 2 2" xfId="13672"/>
    <cellStyle name="20% - 强调文字颜色 3 2 2 5 4" xfId="13673"/>
    <cellStyle name="20% - 强调文字颜色 3 2 2 5 4 2" xfId="13674"/>
    <cellStyle name="20% - 强调文字颜色 3 2 2 5 5" xfId="13675"/>
    <cellStyle name="20% - 强调文字颜色 3 2 2 5 5 2" xfId="13676"/>
    <cellStyle name="20% - 强调文字颜色 3 2 2 5 6" xfId="13677"/>
    <cellStyle name="20% - 强调文字颜色 3 2 2 6" xfId="13678"/>
    <cellStyle name="20% - 强调文字颜色 3 2 2 6 2" xfId="13679"/>
    <cellStyle name="20% - 强调文字颜色 3 2 2 6 2 2" xfId="13680"/>
    <cellStyle name="20% - 强调文字颜色 3 2 2 6 2 2 2" xfId="13681"/>
    <cellStyle name="20% - 强调文字颜色 3 2 2 6 2 2 2 2" xfId="13682"/>
    <cellStyle name="20% - 强调文字颜色 3 2 2 6 2 3" xfId="13683"/>
    <cellStyle name="20% - 强调文字颜色 3 2 2 6 2 3 2" xfId="13684"/>
    <cellStyle name="20% - 强调文字颜色 3 2 2 6 2 4" xfId="13685"/>
    <cellStyle name="20% - 强调文字颜色 3 2 2 6 2 4 2" xfId="13686"/>
    <cellStyle name="20% - 强调文字颜色 3 2 2 6 2 5" xfId="13687"/>
    <cellStyle name="20% - 强调文字颜色 3 2 2 6 3" xfId="13688"/>
    <cellStyle name="20% - 强调文字颜色 3 2 2 6 3 2" xfId="13689"/>
    <cellStyle name="20% - 强调文字颜色 3 2 2 6 3 2 2" xfId="13690"/>
    <cellStyle name="20% - 强调文字颜色 3 2 2 6 4" xfId="13691"/>
    <cellStyle name="20% - 强调文字颜色 3 2 2 6 4 2" xfId="13692"/>
    <cellStyle name="20% - 强调文字颜色 3 2 2 6 5" xfId="13693"/>
    <cellStyle name="20% - 强调文字颜色 3 2 2 6 5 2" xfId="13694"/>
    <cellStyle name="20% - 强调文字颜色 3 2 2 6 6" xfId="13695"/>
    <cellStyle name="20% - 强调文字颜色 3 2 2 7" xfId="13696"/>
    <cellStyle name="20% - 强调文字颜色 3 2 2 7 2" xfId="13697"/>
    <cellStyle name="20% - 强调文字颜色 3 2 2 7 2 2" xfId="13698"/>
    <cellStyle name="20% - 强调文字颜色 3 2 2 7 2 2 2" xfId="13699"/>
    <cellStyle name="20% - 强调文字颜色 3 2 2 7 2 2 2 2" xfId="13700"/>
    <cellStyle name="20% - 强调文字颜色 3 2 2 7 2 3" xfId="13701"/>
    <cellStyle name="20% - 强调文字颜色 3 2 2 7 2 3 2" xfId="13702"/>
    <cellStyle name="20% - 强调文字颜色 3 2 2 7 2 4" xfId="13703"/>
    <cellStyle name="20% - 强调文字颜色 3 2 2 7 2 4 2" xfId="13704"/>
    <cellStyle name="20% - 强调文字颜色 3 2 2 7 2 5" xfId="13705"/>
    <cellStyle name="20% - 强调文字颜色 3 2 2 7 3" xfId="13706"/>
    <cellStyle name="20% - 强调文字颜色 3 2 2 7 3 2" xfId="13707"/>
    <cellStyle name="20% - 强调文字颜色 3 2 2 7 3 2 2" xfId="13708"/>
    <cellStyle name="20% - 强调文字颜色 3 2 2 7 4" xfId="13709"/>
    <cellStyle name="20% - 强调文字颜色 3 2 2 7 4 2" xfId="13710"/>
    <cellStyle name="20% - 强调文字颜色 3 2 2 7 5" xfId="13711"/>
    <cellStyle name="20% - 强调文字颜色 3 2 2 7 5 2" xfId="13712"/>
    <cellStyle name="20% - 强调文字颜色 3 2 2 7 6" xfId="13713"/>
    <cellStyle name="20% - 强调文字颜色 3 2 2 8" xfId="13714"/>
    <cellStyle name="20% - 强调文字颜色 3 2 2 8 2" xfId="13715"/>
    <cellStyle name="20% - 强调文字颜色 3 2 2 8 2 2" xfId="13716"/>
    <cellStyle name="20% - 强调文字颜色 3 2 2 8 2 2 2" xfId="13717"/>
    <cellStyle name="20% - 强调文字颜色 3 2 2 8 3" xfId="13718"/>
    <cellStyle name="20% - 强调文字颜色 3 2 2 8 3 2" xfId="13719"/>
    <cellStyle name="20% - 强调文字颜色 3 2 2 8 4" xfId="13720"/>
    <cellStyle name="20% - 强调文字颜色 3 2 2 8 4 2" xfId="13721"/>
    <cellStyle name="20% - 强调文字颜色 3 2 2 8 5" xfId="13722"/>
    <cellStyle name="20% - 强调文字颜色 3 2 2 9" xfId="13723"/>
    <cellStyle name="20% - 强调文字颜色 3 2 2 9 2" xfId="13724"/>
    <cellStyle name="20% - 强调文字颜色 3 2 2 9 2 2" xfId="13725"/>
    <cellStyle name="20% - 强调文字颜色 3 2 2 9 2 2 2" xfId="13726"/>
    <cellStyle name="20% - 强调文字颜色 3 2 2 9 3" xfId="13727"/>
    <cellStyle name="20% - 强调文字颜色 3 2 2 9 3 2" xfId="13728"/>
    <cellStyle name="20% - 强调文字颜色 3 2 2 9 4" xfId="13729"/>
    <cellStyle name="20% - 强调文字颜色 3 2 2 9 4 2" xfId="13730"/>
    <cellStyle name="20% - 强调文字颜色 3 2 2 9 5" xfId="13731"/>
    <cellStyle name="20% - 强调文字颜色 3 2 3" xfId="13732"/>
    <cellStyle name="20% - 强调文字颜色 3 2 3 10" xfId="13733"/>
    <cellStyle name="20% - 强调文字颜色 3 2 3 10 2" xfId="13734"/>
    <cellStyle name="20% - 强调文字颜色 3 2 3 2" xfId="13735"/>
    <cellStyle name="20% - 强调文字颜色 3 2 3 2 2" xfId="13736"/>
    <cellStyle name="20% - 强调文字颜色 3 2 3 2 2 2" xfId="13737"/>
    <cellStyle name="20% - 强调文字颜色 3 2 3 2 2 2 2" xfId="13738"/>
    <cellStyle name="20% - 强调文字颜色 3 2 3 2 2 2 3" xfId="13739"/>
    <cellStyle name="20% - 强调文字颜色 3 2 3 2 2 2 3 2" xfId="13740"/>
    <cellStyle name="20% - 强调文字颜色 3 2 3 2 2 2 3 2 2" xfId="13741"/>
    <cellStyle name="20% - 强调文字颜色 3 2 3 2 2 2 4" xfId="13742"/>
    <cellStyle name="20% - 强调文字颜色 3 2 3 2 2 2 4 2" xfId="13743"/>
    <cellStyle name="20% - 强调文字颜色 3 2 3 2 2 2 5" xfId="13744"/>
    <cellStyle name="20% - 强调文字颜色 3 2 3 2 2 2 5 2" xfId="13745"/>
    <cellStyle name="20% - 强调文字颜色 3 2 3 2 2 2 6" xfId="13746"/>
    <cellStyle name="20% - 强调文字颜色 3 2 3 2 2 3" xfId="13747"/>
    <cellStyle name="20% - 强调文字颜色 3 2 3 2 2 3 2" xfId="13748"/>
    <cellStyle name="20% - 强调文字颜色 3 2 3 2 2 3 2 2" xfId="13749"/>
    <cellStyle name="20% - 强调文字颜色 3 2 3 2 2 3 2 2 2" xfId="13750"/>
    <cellStyle name="20% - 强调文字颜色 3 2 3 2 2 3 3" xfId="13751"/>
    <cellStyle name="20% - 强调文字颜色 3 2 3 2 2 3 3 2" xfId="13752"/>
    <cellStyle name="20% - 强调文字颜色 3 2 3 2 2 3 4" xfId="13753"/>
    <cellStyle name="20% - 强调文字颜色 3 2 3 2 2 3 4 2" xfId="13754"/>
    <cellStyle name="20% - 强调文字颜色 3 2 3 2 2 3 5" xfId="13755"/>
    <cellStyle name="20% - 强调文字颜色 3 2 3 2 2 4" xfId="13756"/>
    <cellStyle name="20% - 强调文字颜色 3 2 3 2 2 5" xfId="13757"/>
    <cellStyle name="20% - 强调文字颜色 3 2 3 2 2 6" xfId="13758"/>
    <cellStyle name="20% - 强调文字颜色 3 2 3 2 2 6 2" xfId="13759"/>
    <cellStyle name="20% - 强调文字颜色 3 2 3 2 2 7" xfId="13760"/>
    <cellStyle name="20% - 强调文字颜色 3 2 3 2 2 7 2" xfId="13761"/>
    <cellStyle name="20% - 强调文字颜色 3 2 3 2 3" xfId="13762"/>
    <cellStyle name="20% - 强调文字颜色 3 2 3 2 3 2" xfId="13763"/>
    <cellStyle name="20% - 强调文字颜色 3 2 3 2 3 3" xfId="13764"/>
    <cellStyle name="20% - 强调文字颜色 3 2 3 2 3 3 2" xfId="13765"/>
    <cellStyle name="20% - 强调文字颜色 3 2 3 2 3 3 2 2" xfId="13766"/>
    <cellStyle name="20% - 强调文字颜色 3 2 3 2 3 4" xfId="13767"/>
    <cellStyle name="20% - 强调文字颜色 3 2 3 2 3 4 2" xfId="13768"/>
    <cellStyle name="20% - 强调文字颜色 3 2 3 2 3 5" xfId="13769"/>
    <cellStyle name="20% - 强调文字颜色 3 2 3 2 3 5 2" xfId="13770"/>
    <cellStyle name="20% - 强调文字颜色 3 2 3 2 3 6" xfId="13771"/>
    <cellStyle name="20% - 强调文字颜色 3 2 3 2 4" xfId="13772"/>
    <cellStyle name="20% - 强调文字颜色 3 2 3 2 4 2" xfId="13773"/>
    <cellStyle name="20% - 强调文字颜色 3 2 3 2 4 2 2" xfId="13774"/>
    <cellStyle name="20% - 强调文字颜色 3 2 3 2 4 2 2 2" xfId="13775"/>
    <cellStyle name="20% - 强调文字颜色 3 2 3 2 4 3" xfId="13776"/>
    <cellStyle name="20% - 强调文字颜色 3 2 3 2 4 3 2" xfId="13777"/>
    <cellStyle name="20% - 强调文字颜色 3 2 3 2 4 4" xfId="13778"/>
    <cellStyle name="20% - 强调文字颜色 3 2 3 2 4 4 2" xfId="13779"/>
    <cellStyle name="20% - 强调文字颜色 3 2 3 2 4 5" xfId="13780"/>
    <cellStyle name="20% - 强调文字颜色 3 2 3 2 5" xfId="13781"/>
    <cellStyle name="20% - 强调文字颜色 3 2 3 2 6" xfId="13782"/>
    <cellStyle name="20% - 强调文字颜色 3 2 3 2 7" xfId="13783"/>
    <cellStyle name="20% - 强调文字颜色 3 2 3 2 7 2" xfId="13784"/>
    <cellStyle name="20% - 强调文字颜色 3 2 3 2 8" xfId="13785"/>
    <cellStyle name="20% - 强调文字颜色 3 2 3 2 8 2" xfId="13786"/>
    <cellStyle name="20% - 强调文字颜色 3 2 3 3" xfId="13787"/>
    <cellStyle name="20% - 强调文字颜色 3 2 3 3 2" xfId="13788"/>
    <cellStyle name="20% - 强调文字颜色 3 2 3 3 2 2" xfId="13789"/>
    <cellStyle name="20% - 强调文字颜色 3 2 3 3 2 3" xfId="13790"/>
    <cellStyle name="20% - 强调文字颜色 3 2 3 3 2 3 2" xfId="13791"/>
    <cellStyle name="20% - 强调文字颜色 3 2 3 3 2 3 2 2" xfId="13792"/>
    <cellStyle name="20% - 强调文字颜色 3 2 3 3 2 4" xfId="13793"/>
    <cellStyle name="20% - 强调文字颜色 3 2 3 3 2 4 2" xfId="13794"/>
    <cellStyle name="20% - 强调文字颜色 3 2 3 3 2 5" xfId="13795"/>
    <cellStyle name="20% - 强调文字颜色 3 2 3 3 2 5 2" xfId="13796"/>
    <cellStyle name="20% - 强调文字颜色 3 2 3 3 2 6" xfId="13797"/>
    <cellStyle name="20% - 强调文字颜色 3 2 3 3 3" xfId="13798"/>
    <cellStyle name="20% - 强调文字颜色 3 2 3 3 3 2" xfId="13799"/>
    <cellStyle name="20% - 强调文字颜色 3 2 3 3 3 2 2" xfId="13800"/>
    <cellStyle name="20% - 强调文字颜色 3 2 3 3 3 2 2 2" xfId="13801"/>
    <cellStyle name="20% - 强调文字颜色 3 2 3 3 3 3" xfId="13802"/>
    <cellStyle name="20% - 强调文字颜色 3 2 3 3 3 3 2" xfId="13803"/>
    <cellStyle name="20% - 强调文字颜色 3 2 3 3 3 4" xfId="13804"/>
    <cellStyle name="20% - 强调文字颜色 3 2 3 3 3 4 2" xfId="13805"/>
    <cellStyle name="20% - 强调文字颜色 3 2 3 3 3 5" xfId="13806"/>
    <cellStyle name="20% - 强调文字颜色 3 2 3 3 4" xfId="13807"/>
    <cellStyle name="20% - 强调文字颜色 3 2 3 3 5" xfId="13808"/>
    <cellStyle name="20% - 强调文字颜色 3 2 3 3 6" xfId="13809"/>
    <cellStyle name="20% - 强调文字颜色 3 2 3 3 6 2" xfId="13810"/>
    <cellStyle name="20% - 强调文字颜色 3 2 3 3 7" xfId="13811"/>
    <cellStyle name="20% - 强调文字颜色 3 2 3 3 7 2" xfId="13812"/>
    <cellStyle name="20% - 强调文字颜色 3 2 3 4" xfId="13813"/>
    <cellStyle name="20% - 强调文字颜色 3 2 3 4 2" xfId="13814"/>
    <cellStyle name="20% - 强调文字颜色 3 2 3 4 2 2" xfId="13815"/>
    <cellStyle name="20% - 强调文字颜色 3 2 3 4 2 3" xfId="13816"/>
    <cellStyle name="20% - 强调文字颜色 3 2 3 4 2 3 2" xfId="13817"/>
    <cellStyle name="20% - 强调文字颜色 3 2 3 4 2 3 2 2" xfId="13818"/>
    <cellStyle name="20% - 强调文字颜色 3 2 3 4 2 4" xfId="13819"/>
    <cellStyle name="20% - 强调文字颜色 3 2 3 4 2 4 2" xfId="13820"/>
    <cellStyle name="20% - 强调文字颜色 3 2 3 4 2 5" xfId="13821"/>
    <cellStyle name="20% - 强调文字颜色 3 2 3 4 2 5 2" xfId="13822"/>
    <cellStyle name="20% - 强调文字颜色 3 2 3 4 2 6" xfId="13823"/>
    <cellStyle name="20% - 强调文字颜色 3 2 3 4 3" xfId="13824"/>
    <cellStyle name="20% - 强调文字颜色 3 2 3 4 4" xfId="13825"/>
    <cellStyle name="20% - 强调文字颜色 3 2 3 4 5" xfId="13826"/>
    <cellStyle name="20% - 强调文字颜色 3 2 3 4 6" xfId="13827"/>
    <cellStyle name="20% - 强调文字颜色 3 2 3 4 6 2" xfId="13828"/>
    <cellStyle name="20% - 强调文字颜色 3 2 3 4 7" xfId="13829"/>
    <cellStyle name="20% - 强调文字颜色 3 2 3 4 7 2" xfId="13830"/>
    <cellStyle name="20% - 强调文字颜色 3 2 3 5" xfId="13831"/>
    <cellStyle name="20% - 强调文字颜色 3 2 3 5 2" xfId="13832"/>
    <cellStyle name="20% - 强调文字颜色 3 2 3 5 2 2" xfId="13833"/>
    <cellStyle name="20% - 强调文字颜色 3 2 3 5 2 2 2" xfId="13834"/>
    <cellStyle name="20% - 强调文字颜色 3 2 3 5 2 2 2 2" xfId="13835"/>
    <cellStyle name="20% - 强调文字颜色 3 2 3 5 2 3" xfId="13836"/>
    <cellStyle name="20% - 强调文字颜色 3 2 3 5 2 3 2" xfId="13837"/>
    <cellStyle name="20% - 强调文字颜色 3 2 3 5 2 4" xfId="13838"/>
    <cellStyle name="20% - 强调文字颜色 3 2 3 5 2 4 2" xfId="13839"/>
    <cellStyle name="20% - 强调文字颜色 3 2 3 5 2 5" xfId="13840"/>
    <cellStyle name="20% - 强调文字颜色 3 2 3 5 3" xfId="13841"/>
    <cellStyle name="20% - 强调文字颜色 3 2 3 5 3 2" xfId="13842"/>
    <cellStyle name="20% - 强调文字颜色 3 2 3 5 3 2 2" xfId="13843"/>
    <cellStyle name="20% - 强调文字颜色 3 2 3 5 4" xfId="13844"/>
    <cellStyle name="20% - 强调文字颜色 3 2 3 5 4 2" xfId="13845"/>
    <cellStyle name="20% - 强调文字颜色 3 2 3 5 5" xfId="13846"/>
    <cellStyle name="20% - 强调文字颜色 3 2 3 5 5 2" xfId="13847"/>
    <cellStyle name="20% - 强调文字颜色 3 2 3 5 6" xfId="13848"/>
    <cellStyle name="20% - 强调文字颜色 3 2 3 6" xfId="13849"/>
    <cellStyle name="20% - 强调文字颜色 3 2 3 6 2" xfId="13850"/>
    <cellStyle name="20% - 强调文字颜色 3 2 3 6 2 2" xfId="13851"/>
    <cellStyle name="20% - 强调文字颜色 3 2 3 6 2 2 2" xfId="13852"/>
    <cellStyle name="20% - 强调文字颜色 3 2 3 6 3" xfId="13853"/>
    <cellStyle name="20% - 强调文字颜色 3 2 3 6 3 2" xfId="13854"/>
    <cellStyle name="20% - 强调文字颜色 3 2 3 6 4" xfId="13855"/>
    <cellStyle name="20% - 强调文字颜色 3 2 3 6 4 2" xfId="13856"/>
    <cellStyle name="20% - 强调文字颜色 3 2 3 6 5" xfId="13857"/>
    <cellStyle name="20% - 强调文字颜色 3 2 3 7" xfId="13858"/>
    <cellStyle name="20% - 强调文字颜色 3 2 3 7 2" xfId="13859"/>
    <cellStyle name="20% - 强调文字颜色 3 2 3 7 2 2" xfId="13860"/>
    <cellStyle name="20% - 强调文字颜色 3 2 3 7 2 2 2" xfId="13861"/>
    <cellStyle name="20% - 强调文字颜色 3 2 3 7 3" xfId="13862"/>
    <cellStyle name="20% - 强调文字颜色 3 2 3 7 3 2" xfId="13863"/>
    <cellStyle name="20% - 强调文字颜色 3 2 3 7 4" xfId="13864"/>
    <cellStyle name="20% - 强调文字颜色 3 2 3 7 4 2" xfId="13865"/>
    <cellStyle name="20% - 强调文字颜色 3 2 3 7 5" xfId="13866"/>
    <cellStyle name="20% - 强调文字颜色 3 2 3 8" xfId="13867"/>
    <cellStyle name="20% - 强调文字颜色 3 2 3 9" xfId="13868"/>
    <cellStyle name="20% - 强调文字颜色 3 2 3 9 2" xfId="13869"/>
    <cellStyle name="20% - 强调文字颜色 3 2 4" xfId="13870"/>
    <cellStyle name="20% - 强调文字颜色 3 2 4 2" xfId="13871"/>
    <cellStyle name="20% - 强调文字颜色 3 2 4 2 2" xfId="13872"/>
    <cellStyle name="20% - 强调文字颜色 3 2 4 2 3" xfId="13873"/>
    <cellStyle name="20% - 强调文字颜色 3 2 4 2 3 2" xfId="13874"/>
    <cellStyle name="20% - 强调文字颜色 3 2 4 2 3 2 2" xfId="13875"/>
    <cellStyle name="20% - 强调文字颜色 3 2 4 2 4" xfId="13876"/>
    <cellStyle name="20% - 强调文字颜色 3 2 4 2 4 2" xfId="13877"/>
    <cellStyle name="20% - 强调文字颜色 3 2 4 2 5" xfId="13878"/>
    <cellStyle name="20% - 强调文字颜色 3 2 4 2 5 2" xfId="13879"/>
    <cellStyle name="20% - 强调文字颜色 3 2 4 2 6" xfId="13880"/>
    <cellStyle name="20% - 强调文字颜色 3 2 4 3" xfId="13881"/>
    <cellStyle name="20% - 强调文字颜色 3 2 4 3 2" xfId="13882"/>
    <cellStyle name="20% - 强调文字颜色 3 2 4 3 2 2" xfId="13883"/>
    <cellStyle name="20% - 强调文字颜色 3 2 4 3 2 2 2" xfId="13884"/>
    <cellStyle name="20% - 强调文字颜色 3 2 4 3 3" xfId="13885"/>
    <cellStyle name="20% - 强调文字颜色 3 2 4 3 3 2" xfId="13886"/>
    <cellStyle name="20% - 强调文字颜色 3 2 4 3 4" xfId="13887"/>
    <cellStyle name="20% - 强调文字颜色 3 2 4 3 4 2" xfId="13888"/>
    <cellStyle name="20% - 强调文字颜色 3 2 4 3 5" xfId="13889"/>
    <cellStyle name="20% - 强调文字颜色 3 2 4 4" xfId="13890"/>
    <cellStyle name="20% - 强调文字颜色 3 2 4 5" xfId="13891"/>
    <cellStyle name="20% - 强调文字颜色 3 2 4 6" xfId="13892"/>
    <cellStyle name="20% - 强调文字颜色 3 2 4 6 2" xfId="13893"/>
    <cellStyle name="20% - 强调文字颜色 3 2 4 7" xfId="13894"/>
    <cellStyle name="20% - 强调文字颜色 3 2 4 7 2" xfId="13895"/>
    <cellStyle name="20% - 强调文字颜色 3 2 5" xfId="13896"/>
    <cellStyle name="20% - 强调文字颜色 3 2 5 2" xfId="13897"/>
    <cellStyle name="20% - 强调文字颜色 3 2 5 2 2" xfId="13898"/>
    <cellStyle name="20% - 强调文字颜色 3 2 5 2 3" xfId="13899"/>
    <cellStyle name="20% - 强调文字颜色 3 2 5 2 3 2" xfId="13900"/>
    <cellStyle name="20% - 强调文字颜色 3 2 5 2 3 2 2" xfId="13901"/>
    <cellStyle name="20% - 强调文字颜色 3 2 5 2 4" xfId="13902"/>
    <cellStyle name="20% - 强调文字颜色 3 2 5 2 4 2" xfId="13903"/>
    <cellStyle name="20% - 强调文字颜色 3 2 5 2 5" xfId="13904"/>
    <cellStyle name="20% - 强调文字颜色 3 2 5 2 5 2" xfId="13905"/>
    <cellStyle name="20% - 强调文字颜色 3 2 5 2 6" xfId="13906"/>
    <cellStyle name="20% - 强调文字颜色 3 2 5 3" xfId="13907"/>
    <cellStyle name="20% - 强调文字颜色 3 2 5 4" xfId="13908"/>
    <cellStyle name="20% - 强调文字颜色 3 2 5 5" xfId="13909"/>
    <cellStyle name="20% - 强调文字颜色 3 2 5 6" xfId="13910"/>
    <cellStyle name="20% - 强调文字颜色 3 2 5 6 2" xfId="13911"/>
    <cellStyle name="20% - 强调文字颜色 3 2 5 7" xfId="13912"/>
    <cellStyle name="20% - 强调文字颜色 3 2 5 7 2" xfId="13913"/>
    <cellStyle name="20% - 强调文字颜色 3 2 6" xfId="13914"/>
    <cellStyle name="20% - 强调文字颜色 3 2 6 2" xfId="13915"/>
    <cellStyle name="20% - 强调文字颜色 3 2 6 2 2" xfId="13916"/>
    <cellStyle name="20% - 强调文字颜色 3 2 6 2 2 2" xfId="13917"/>
    <cellStyle name="20% - 强调文字颜色 3 2 6 2 2 2 2" xfId="13918"/>
    <cellStyle name="20% - 强调文字颜色 3 2 6 2 3" xfId="13919"/>
    <cellStyle name="20% - 强调文字颜色 3 2 6 2 3 2" xfId="13920"/>
    <cellStyle name="20% - 强调文字颜色 3 2 6 2 4" xfId="13921"/>
    <cellStyle name="20% - 强调文字颜色 3 2 6 2 4 2" xfId="13922"/>
    <cellStyle name="20% - 强调文字颜色 3 2 6 2 5" xfId="13923"/>
    <cellStyle name="20% - 强调文字颜色 3 2 6 3" xfId="13924"/>
    <cellStyle name="20% - 强调文字颜色 3 2 6 3 2" xfId="13925"/>
    <cellStyle name="20% - 强调文字颜色 3 2 6 3 2 2" xfId="13926"/>
    <cellStyle name="20% - 强调文字颜色 3 2 6 4" xfId="13927"/>
    <cellStyle name="20% - 强调文字颜色 3 2 6 4 2" xfId="13928"/>
    <cellStyle name="20% - 强调文字颜色 3 2 6 5" xfId="13929"/>
    <cellStyle name="20% - 强调文字颜色 3 2 6 5 2" xfId="13930"/>
    <cellStyle name="20% - 强调文字颜色 3 2 6 6" xfId="13931"/>
    <cellStyle name="20% - 强调文字颜色 3 2 7" xfId="13932"/>
    <cellStyle name="20% - 强调文字颜色 3 2 7 2" xfId="13933"/>
    <cellStyle name="20% - 强调文字颜色 3 2 7 2 2" xfId="13934"/>
    <cellStyle name="20% - 强调文字颜色 3 2 7 2 2 2" xfId="13935"/>
    <cellStyle name="20% - 强调文字颜色 3 2 7 2 2 2 2" xfId="13936"/>
    <cellStyle name="20% - 强调文字颜色 3 2 7 2 3" xfId="13937"/>
    <cellStyle name="20% - 强调文字颜色 3 2 7 2 3 2" xfId="13938"/>
    <cellStyle name="20% - 强调文字颜色 3 2 7 2 4" xfId="13939"/>
    <cellStyle name="20% - 强调文字颜色 3 2 7 2 4 2" xfId="13940"/>
    <cellStyle name="20% - 强调文字颜色 3 2 7 2 5" xfId="13941"/>
    <cellStyle name="20% - 强调文字颜色 3 2 7 3" xfId="13942"/>
    <cellStyle name="20% - 强调文字颜色 3 2 7 3 2" xfId="13943"/>
    <cellStyle name="20% - 强调文字颜色 3 2 7 3 2 2" xfId="13944"/>
    <cellStyle name="20% - 强调文字颜色 3 2 7 4" xfId="13945"/>
    <cellStyle name="20% - 强调文字颜色 3 2 7 4 2" xfId="13946"/>
    <cellStyle name="20% - 强调文字颜色 3 2 7 5" xfId="13947"/>
    <cellStyle name="20% - 强调文字颜色 3 2 7 5 2" xfId="13948"/>
    <cellStyle name="20% - 强调文字颜色 3 2 7 6" xfId="13949"/>
    <cellStyle name="20% - 强调文字颜色 3 2 8" xfId="13950"/>
    <cellStyle name="20% - 强调文字颜色 3 2 8 2" xfId="13951"/>
    <cellStyle name="20% - 强调文字颜色 3 2 8 2 2" xfId="13952"/>
    <cellStyle name="20% - 强调文字颜色 3 2 8 2 2 2" xfId="13953"/>
    <cellStyle name="20% - 强调文字颜色 3 2 8 2 2 2 2" xfId="13954"/>
    <cellStyle name="20% - 强调文字颜色 3 2 8 2 3" xfId="13955"/>
    <cellStyle name="20% - 强调文字颜色 3 2 8 2 3 2" xfId="13956"/>
    <cellStyle name="20% - 强调文字颜色 3 2 8 2 4" xfId="13957"/>
    <cellStyle name="20% - 强调文字颜色 3 2 8 2 4 2" xfId="13958"/>
    <cellStyle name="20% - 强调文字颜色 3 2 8 2 5" xfId="13959"/>
    <cellStyle name="20% - 强调文字颜色 3 2 8 3" xfId="13960"/>
    <cellStyle name="20% - 强调文字颜色 3 2 8 3 2" xfId="13961"/>
    <cellStyle name="20% - 强调文字颜色 3 2 8 3 2 2" xfId="13962"/>
    <cellStyle name="20% - 强调文字颜色 3 2 8 4" xfId="13963"/>
    <cellStyle name="20% - 强调文字颜色 3 2 8 4 2" xfId="13964"/>
    <cellStyle name="20% - 强调文字颜色 3 2 8 5" xfId="13965"/>
    <cellStyle name="20% - 强调文字颜色 3 2 8 5 2" xfId="13966"/>
    <cellStyle name="20% - 强调文字颜色 3 2 8 6" xfId="13967"/>
    <cellStyle name="20% - 强调文字颜色 3 2 9" xfId="13968"/>
    <cellStyle name="20% - 强调文字颜色 3 2 9 2" xfId="13969"/>
    <cellStyle name="20% - 强调文字颜色 3 2 9 2 2" xfId="13970"/>
    <cellStyle name="20% - 强调文字颜色 3 2 9 2 2 2" xfId="13971"/>
    <cellStyle name="20% - 强调文字颜色 3 2 9 3" xfId="13972"/>
    <cellStyle name="20% - 强调文字颜色 3 2 9 3 2" xfId="13973"/>
    <cellStyle name="20% - 强调文字颜色 3 2 9 4" xfId="13974"/>
    <cellStyle name="20% - 强调文字颜色 3 2 9 4 2" xfId="13975"/>
    <cellStyle name="20% - 强调文字颜色 3 2 9 5" xfId="13976"/>
    <cellStyle name="20% - 强调文字颜色 3 3" xfId="13977"/>
    <cellStyle name="20% - 强调文字颜色 3 3 2" xfId="13978"/>
    <cellStyle name="20% - 强调文字颜色 3 3 2 2" xfId="13979"/>
    <cellStyle name="20% - 强调文字颜色 3 3 2 2 2" xfId="13980"/>
    <cellStyle name="20% - 强调文字颜色 3 3 2 2 2 2" xfId="13981"/>
    <cellStyle name="20% - 强调文字颜色 3 3 2 2 2 3" xfId="13982"/>
    <cellStyle name="20% - 强调文字颜色 3 3 2 2 2 3 2" xfId="13983"/>
    <cellStyle name="20% - 强调文字颜色 3 3 2 2 2 3 2 2" xfId="13984"/>
    <cellStyle name="20% - 强调文字颜色 3 3 2 2 2 4" xfId="13985"/>
    <cellStyle name="20% - 强调文字颜色 3 3 2 2 2 4 2" xfId="13986"/>
    <cellStyle name="20% - 强调文字颜色 3 3 2 2 2 5" xfId="13987"/>
    <cellStyle name="20% - 强调文字颜色 3 3 2 2 2 5 2" xfId="13988"/>
    <cellStyle name="20% - 强调文字颜色 3 3 2 2 2 6" xfId="13989"/>
    <cellStyle name="20% - 强调文字颜色 3 3 2 2 3" xfId="13990"/>
    <cellStyle name="20% - 强调文字颜色 3 3 2 2 3 2" xfId="13991"/>
    <cellStyle name="20% - 强调文字颜色 3 3 2 2 3 2 2" xfId="13992"/>
    <cellStyle name="20% - 强调文字颜色 3 3 2 2 3 2 2 2" xfId="13993"/>
    <cellStyle name="20% - 强调文字颜色 3 3 2 2 3 3" xfId="13994"/>
    <cellStyle name="20% - 强调文字颜色 3 3 2 2 3 3 2" xfId="13995"/>
    <cellStyle name="20% - 强调文字颜色 3 3 2 2 3 4" xfId="13996"/>
    <cellStyle name="20% - 强调文字颜色 3 3 2 2 3 4 2" xfId="13997"/>
    <cellStyle name="20% - 强调文字颜色 3 3 2 2 3 5" xfId="13998"/>
    <cellStyle name="20% - 强调文字颜色 3 3 2 2 4" xfId="13999"/>
    <cellStyle name="20% - 强调文字颜色 3 3 2 2 5" xfId="14000"/>
    <cellStyle name="20% - 强调文字颜色 3 3 2 2 6" xfId="14001"/>
    <cellStyle name="20% - 强调文字颜色 3 3 2 2 6 2" xfId="14002"/>
    <cellStyle name="20% - 强调文字颜色 3 3 2 2 7" xfId="14003"/>
    <cellStyle name="20% - 强调文字颜色 3 3 2 2 7 2" xfId="14004"/>
    <cellStyle name="20% - 强调文字颜色 3 3 2 3" xfId="14005"/>
    <cellStyle name="20% - 强调文字颜色 3 3 2 3 2" xfId="14006"/>
    <cellStyle name="20% - 强调文字颜色 3 3 2 3 3" xfId="14007"/>
    <cellStyle name="20% - 强调文字颜色 3 3 2 3 3 2" xfId="14008"/>
    <cellStyle name="20% - 强调文字颜色 3 3 2 3 3 2 2" xfId="14009"/>
    <cellStyle name="20% - 强调文字颜色 3 3 2 3 4" xfId="14010"/>
    <cellStyle name="20% - 强调文字颜色 3 3 2 3 4 2" xfId="14011"/>
    <cellStyle name="20% - 强调文字颜色 3 3 2 3 5" xfId="14012"/>
    <cellStyle name="20% - 强调文字颜色 3 3 2 3 5 2" xfId="14013"/>
    <cellStyle name="20% - 强调文字颜色 3 3 2 3 6" xfId="14014"/>
    <cellStyle name="20% - 强调文字颜色 3 3 2 4" xfId="14015"/>
    <cellStyle name="20% - 强调文字颜色 3 3 2 4 2" xfId="14016"/>
    <cellStyle name="20% - 强调文字颜色 3 3 2 4 2 2" xfId="14017"/>
    <cellStyle name="20% - 强调文字颜色 3 3 2 4 2 2 2" xfId="14018"/>
    <cellStyle name="20% - 强调文字颜色 3 3 2 4 3" xfId="14019"/>
    <cellStyle name="20% - 强调文字颜色 3 3 2 4 3 2" xfId="14020"/>
    <cellStyle name="20% - 强调文字颜色 3 3 2 4 4" xfId="14021"/>
    <cellStyle name="20% - 强调文字颜色 3 3 2 4 4 2" xfId="14022"/>
    <cellStyle name="20% - 强调文字颜色 3 3 2 4 5" xfId="14023"/>
    <cellStyle name="20% - 强调文字颜色 3 3 2 5" xfId="14024"/>
    <cellStyle name="20% - 强调文字颜色 3 3 2 6" xfId="14025"/>
    <cellStyle name="20% - 强调文字颜色 3 3 2 7" xfId="14026"/>
    <cellStyle name="20% - 强调文字颜色 3 3 2 7 2" xfId="14027"/>
    <cellStyle name="20% - 强调文字颜色 3 3 2 8" xfId="14028"/>
    <cellStyle name="20% - 强调文字颜色 3 3 2 8 2" xfId="14029"/>
    <cellStyle name="20% - 强调文字颜色 3 3 3" xfId="14030"/>
    <cellStyle name="20% - 强调文字颜色 3 3 3 2" xfId="14031"/>
    <cellStyle name="20% - 强调文字颜色 3 3 3 2 2" xfId="14032"/>
    <cellStyle name="20% - 强调文字颜色 3 3 3 2 3" xfId="14033"/>
    <cellStyle name="20% - 强调文字颜色 3 3 3 2 3 2" xfId="14034"/>
    <cellStyle name="20% - 强调文字颜色 3 3 3 2 3 2 2" xfId="14035"/>
    <cellStyle name="20% - 强调文字颜色 3 3 3 2 4" xfId="14036"/>
    <cellStyle name="20% - 强调文字颜色 3 3 3 2 4 2" xfId="14037"/>
    <cellStyle name="20% - 强调文字颜色 3 3 3 2 5" xfId="14038"/>
    <cellStyle name="20% - 强调文字颜色 3 3 3 2 5 2" xfId="14039"/>
    <cellStyle name="20% - 强调文字颜色 3 3 3 2 6" xfId="14040"/>
    <cellStyle name="20% - 强调文字颜色 3 3 3 3" xfId="14041"/>
    <cellStyle name="20% - 强调文字颜色 3 3 3 3 2" xfId="14042"/>
    <cellStyle name="20% - 强调文字颜色 3 3 3 3 2 2" xfId="14043"/>
    <cellStyle name="20% - 强调文字颜色 3 3 3 3 2 2 2" xfId="14044"/>
    <cellStyle name="20% - 强调文字颜色 3 3 3 3 3" xfId="14045"/>
    <cellStyle name="20% - 强调文字颜色 3 3 3 3 3 2" xfId="14046"/>
    <cellStyle name="20% - 强调文字颜色 3 3 3 3 4" xfId="14047"/>
    <cellStyle name="20% - 强调文字颜色 3 3 3 3 4 2" xfId="14048"/>
    <cellStyle name="20% - 强调文字颜色 3 3 3 3 5" xfId="14049"/>
    <cellStyle name="20% - 强调文字颜色 3 3 3 4" xfId="14050"/>
    <cellStyle name="20% - 强调文字颜色 3 3 3 5" xfId="14051"/>
    <cellStyle name="20% - 强调文字颜色 3 3 3 6" xfId="14052"/>
    <cellStyle name="20% - 强调文字颜色 3 3 3 6 2" xfId="14053"/>
    <cellStyle name="20% - 强调文字颜色 3 3 3 7" xfId="14054"/>
    <cellStyle name="20% - 强调文字颜色 3 3 3 7 2" xfId="14055"/>
    <cellStyle name="20% - 强调文字颜色 3 3 4" xfId="14056"/>
    <cellStyle name="20% - 强调文字颜色 3 3 4 2" xfId="14057"/>
    <cellStyle name="20% - 强调文字颜色 3 3 4 2 2" xfId="14058"/>
    <cellStyle name="20% - 强调文字颜色 3 3 4 2 3" xfId="14059"/>
    <cellStyle name="20% - 强调文字颜色 3 3 4 2 3 2" xfId="14060"/>
    <cellStyle name="20% - 强调文字颜色 3 3 4 2 3 2 2" xfId="14061"/>
    <cellStyle name="20% - 强调文字颜色 3 3 4 2 4" xfId="14062"/>
    <cellStyle name="20% - 强调文字颜色 3 3 4 2 4 2" xfId="14063"/>
    <cellStyle name="20% - 强调文字颜色 3 3 4 2 5" xfId="14064"/>
    <cellStyle name="20% - 强调文字颜色 3 3 4 2 5 2" xfId="14065"/>
    <cellStyle name="20% - 强调文字颜色 3 3 4 2 6" xfId="14066"/>
    <cellStyle name="20% - 强调文字颜色 3 3 4 3" xfId="14067"/>
    <cellStyle name="20% - 强调文字颜色 3 3 4 4" xfId="14068"/>
    <cellStyle name="20% - 强调文字颜色 3 3 4 5" xfId="14069"/>
    <cellStyle name="20% - 强调文字颜色 3 3 4 6" xfId="14070"/>
    <cellStyle name="20% - 强调文字颜色 3 3 4 6 2" xfId="14071"/>
    <cellStyle name="20% - 强调文字颜色 3 3 4 7" xfId="14072"/>
    <cellStyle name="20% - 强调文字颜色 3 3 4 7 2" xfId="14073"/>
    <cellStyle name="20% - 强调文字颜色 3 3 5" xfId="14074"/>
    <cellStyle name="20% - 强调文字颜色 3 3 5 2" xfId="14075"/>
    <cellStyle name="20% - 强调文字颜色 3 3 5 2 2" xfId="14076"/>
    <cellStyle name="20% - 强调文字颜色 3 3 5 2 2 2" xfId="14077"/>
    <cellStyle name="20% - 强调文字颜色 3 3 5 2 2 2 2" xfId="14078"/>
    <cellStyle name="20% - 强调文字颜色 3 3 5 2 3" xfId="14079"/>
    <cellStyle name="20% - 强调文字颜色 3 3 5 2 3 2" xfId="14080"/>
    <cellStyle name="20% - 强调文字颜色 3 3 5 2 4" xfId="14081"/>
    <cellStyle name="20% - 强调文字颜色 3 3 5 2 4 2" xfId="14082"/>
    <cellStyle name="20% - 强调文字颜色 3 3 5 2 5" xfId="14083"/>
    <cellStyle name="20% - 强调文字颜色 3 3 5 3" xfId="14084"/>
    <cellStyle name="20% - 强调文字颜色 3 3 5 3 2" xfId="14085"/>
    <cellStyle name="20% - 强调文字颜色 3 3 5 3 2 2" xfId="14086"/>
    <cellStyle name="20% - 强调文字颜色 3 3 5 4" xfId="14087"/>
    <cellStyle name="20% - 强调文字颜色 3 3 5 4 2" xfId="14088"/>
    <cellStyle name="20% - 强调文字颜色 3 3 5 5" xfId="14089"/>
    <cellStyle name="20% - 强调文字颜色 3 3 5 5 2" xfId="14090"/>
    <cellStyle name="20% - 强调文字颜色 3 3 5 6" xfId="14091"/>
    <cellStyle name="20% - 强调文字颜色 3 3 6" xfId="14092"/>
    <cellStyle name="20% - 强调文字颜色 3 3 6 2" xfId="14093"/>
    <cellStyle name="20% - 强调文字颜色 3 3 6 2 2" xfId="14094"/>
    <cellStyle name="20% - 强调文字颜色 3 3 6 2 2 2" xfId="14095"/>
    <cellStyle name="20% - 强调文字颜色 3 3 6 3" xfId="14096"/>
    <cellStyle name="20% - 强调文字颜色 3 3 6 3 2" xfId="14097"/>
    <cellStyle name="20% - 强调文字颜色 3 3 6 4" xfId="14098"/>
    <cellStyle name="20% - 强调文字颜色 3 3 6 4 2" xfId="14099"/>
    <cellStyle name="20% - 强调文字颜色 3 3 6 5" xfId="14100"/>
    <cellStyle name="20% - 强调文字颜色 3 3 7" xfId="14101"/>
    <cellStyle name="20% - 强调文字颜色 3 3 8" xfId="14102"/>
    <cellStyle name="20% - 强调文字颜色 3 3 8 2" xfId="14103"/>
    <cellStyle name="20% - 强调文字颜色 3 3 9" xfId="14104"/>
    <cellStyle name="20% - 强调文字颜色 3 3 9 2" xfId="14105"/>
    <cellStyle name="20% - 强调文字颜色 4 2" xfId="14106"/>
    <cellStyle name="20% - 强调文字颜色 4 2 10" xfId="14107"/>
    <cellStyle name="20% - 强调文字颜色 4 2 11" xfId="14108"/>
    <cellStyle name="20% - 强调文字颜色 4 2 11 2" xfId="14109"/>
    <cellStyle name="20% - 强调文字颜色 4 2 12" xfId="14110"/>
    <cellStyle name="20% - 强调文字颜色 4 2 12 2" xfId="14111"/>
    <cellStyle name="20% - 强调文字颜色 4 2 2" xfId="14112"/>
    <cellStyle name="20% - 强调文字颜色 4 2 2 10" xfId="14113"/>
    <cellStyle name="20% - 强调文字颜色 4 2 2 11" xfId="14114"/>
    <cellStyle name="20% - 强调文字颜色 4 2 2 11 2" xfId="14115"/>
    <cellStyle name="20% - 强调文字颜色 4 2 2 12" xfId="14116"/>
    <cellStyle name="20% - 强调文字颜色 4 2 2 12 2" xfId="14117"/>
    <cellStyle name="20% - 强调文字颜色 4 2 2 2" xfId="14118"/>
    <cellStyle name="20% - 强调文字颜色 4 2 2 2 2" xfId="14119"/>
    <cellStyle name="20% - 强调文字颜色 4 2 2 2 2 2" xfId="14120"/>
    <cellStyle name="20% - 强调文字颜色 4 2 2 2 2 2 2" xfId="14121"/>
    <cellStyle name="20% - 强调文字颜色 4 2 2 2 2 2 3" xfId="14122"/>
    <cellStyle name="20% - 强调文字颜色 4 2 2 2 2 2 3 2" xfId="14123"/>
    <cellStyle name="20% - 强调文字颜色 4 2 2 2 2 2 3 2 2" xfId="14124"/>
    <cellStyle name="20% - 强调文字颜色 4 2 2 2 2 2 4" xfId="14125"/>
    <cellStyle name="20% - 强调文字颜色 4 2 2 2 2 2 4 2" xfId="14126"/>
    <cellStyle name="20% - 强调文字颜色 4 2 2 2 2 2 5" xfId="14127"/>
    <cellStyle name="20% - 强调文字颜色 4 2 2 2 2 2 5 2" xfId="14128"/>
    <cellStyle name="20% - 强调文字颜色 4 2 2 2 2 2 6" xfId="14129"/>
    <cellStyle name="20% - 强调文字颜色 4 2 2 2 2 3" xfId="14130"/>
    <cellStyle name="20% - 强调文字颜色 4 2 2 2 2 3 2" xfId="14131"/>
    <cellStyle name="20% - 强调文字颜色 4 2 2 2 2 3 2 2" xfId="14132"/>
    <cellStyle name="20% - 强调文字颜色 4 2 2 2 2 3 2 2 2" xfId="14133"/>
    <cellStyle name="20% - 强调文字颜色 4 2 2 2 2 3 3" xfId="14134"/>
    <cellStyle name="20% - 强调文字颜色 4 2 2 2 2 3 3 2" xfId="14135"/>
    <cellStyle name="20% - 强调文字颜色 4 2 2 2 2 3 4" xfId="14136"/>
    <cellStyle name="20% - 强调文字颜色 4 2 2 2 2 3 4 2" xfId="14137"/>
    <cellStyle name="20% - 强调文字颜色 4 2 2 2 2 3 5" xfId="14138"/>
    <cellStyle name="20% - 强调文字颜色 4 2 2 2 2 4" xfId="14139"/>
    <cellStyle name="20% - 强调文字颜色 4 2 2 2 2 5" xfId="14140"/>
    <cellStyle name="20% - 强调文字颜色 4 2 2 2 2 6" xfId="14141"/>
    <cellStyle name="20% - 强调文字颜色 4 2 2 2 2 6 2" xfId="14142"/>
    <cellStyle name="20% - 强调文字颜色 4 2 2 2 2 7" xfId="14143"/>
    <cellStyle name="20% - 强调文字颜色 4 2 2 2 2 7 2" xfId="14144"/>
    <cellStyle name="20% - 强调文字颜色 4 2 2 2 3" xfId="14145"/>
    <cellStyle name="20% - 强调文字颜色 4 2 2 2 3 2" xfId="14146"/>
    <cellStyle name="20% - 强调文字颜色 4 2 2 2 3 3" xfId="14147"/>
    <cellStyle name="20% - 强调文字颜色 4 2 2 2 3 3 2" xfId="14148"/>
    <cellStyle name="20% - 强调文字颜色 4 2 2 2 3 3 2 2" xfId="14149"/>
    <cellStyle name="20% - 强调文字颜色 4 2 2 2 3 4" xfId="14150"/>
    <cellStyle name="20% - 强调文字颜色 4 2 2 2 3 4 2" xfId="14151"/>
    <cellStyle name="20% - 强调文字颜色 4 2 2 2 3 5" xfId="14152"/>
    <cellStyle name="20% - 强调文字颜色 4 2 2 2 3 5 2" xfId="14153"/>
    <cellStyle name="20% - 强调文字颜色 4 2 2 2 3 6" xfId="14154"/>
    <cellStyle name="20% - 强调文字颜色 4 2 2 2 4" xfId="14155"/>
    <cellStyle name="20% - 强调文字颜色 4 2 2 2 4 2" xfId="14156"/>
    <cellStyle name="20% - 强调文字颜色 4 2 2 2 4 2 2" xfId="14157"/>
    <cellStyle name="20% - 强调文字颜色 4 2 2 2 4 2 2 2" xfId="14158"/>
    <cellStyle name="20% - 强调文字颜色 4 2 2 2 4 3" xfId="14159"/>
    <cellStyle name="20% - 强调文字颜色 4 2 2 2 4 3 2" xfId="14160"/>
    <cellStyle name="20% - 强调文字颜色 4 2 2 2 4 4" xfId="14161"/>
    <cellStyle name="20% - 强调文字颜色 4 2 2 2 4 4 2" xfId="14162"/>
    <cellStyle name="20% - 强调文字颜色 4 2 2 2 4 5" xfId="14163"/>
    <cellStyle name="20% - 强调文字颜色 4 2 2 2 5" xfId="14164"/>
    <cellStyle name="20% - 强调文字颜色 4 2 2 2 6" xfId="14165"/>
    <cellStyle name="20% - 强调文字颜色 4 2 2 2 7" xfId="14166"/>
    <cellStyle name="20% - 强调文字颜色 4 2 2 2 7 2" xfId="14167"/>
    <cellStyle name="20% - 强调文字颜色 4 2 2 2 8" xfId="14168"/>
    <cellStyle name="20% - 强调文字颜色 4 2 2 2 8 2" xfId="14169"/>
    <cellStyle name="20% - 强调文字颜色 4 2 2 3" xfId="14170"/>
    <cellStyle name="20% - 强调文字颜色 4 2 2 3 2" xfId="14171"/>
    <cellStyle name="20% - 强调文字颜色 4 2 2 3 2 2" xfId="14172"/>
    <cellStyle name="20% - 强调文字颜色 4 2 2 3 2 3" xfId="14173"/>
    <cellStyle name="20% - 强调文字颜色 4 2 2 3 2 3 2" xfId="14174"/>
    <cellStyle name="20% - 强调文字颜色 4 2 2 3 2 3 2 2" xfId="14175"/>
    <cellStyle name="20% - 强调文字颜色 4 2 2 3 2 4" xfId="14176"/>
    <cellStyle name="20% - 强调文字颜色 4 2 2 3 2 4 2" xfId="14177"/>
    <cellStyle name="20% - 强调文字颜色 4 2 2 3 2 5" xfId="14178"/>
    <cellStyle name="20% - 强调文字颜色 4 2 2 3 2 5 2" xfId="14179"/>
    <cellStyle name="20% - 强调文字颜色 4 2 2 3 2 6" xfId="14180"/>
    <cellStyle name="20% - 强调文字颜色 4 2 2 3 3" xfId="14181"/>
    <cellStyle name="20% - 强调文字颜色 4 2 2 3 3 2" xfId="14182"/>
    <cellStyle name="20% - 强调文字颜色 4 2 2 3 3 2 2" xfId="14183"/>
    <cellStyle name="20% - 强调文字颜色 4 2 2 3 3 2 2 2" xfId="14184"/>
    <cellStyle name="20% - 强调文字颜色 4 2 2 3 3 3" xfId="14185"/>
    <cellStyle name="20% - 强调文字颜色 4 2 2 3 3 3 2" xfId="14186"/>
    <cellStyle name="20% - 强调文字颜色 4 2 2 3 3 4" xfId="14187"/>
    <cellStyle name="20% - 强调文字颜色 4 2 2 3 3 4 2" xfId="14188"/>
    <cellStyle name="20% - 强调文字颜色 4 2 2 3 3 5" xfId="14189"/>
    <cellStyle name="20% - 强调文字颜色 4 2 2 3 4" xfId="14190"/>
    <cellStyle name="20% - 强调文字颜色 4 2 2 3 5" xfId="14191"/>
    <cellStyle name="20% - 强调文字颜色 4 2 2 3 6" xfId="14192"/>
    <cellStyle name="20% - 强调文字颜色 4 2 2 3 6 2" xfId="14193"/>
    <cellStyle name="20% - 强调文字颜色 4 2 2 3 7" xfId="14194"/>
    <cellStyle name="20% - 强调文字颜色 4 2 2 3 7 2" xfId="14195"/>
    <cellStyle name="20% - 强调文字颜色 4 2 2 4" xfId="14196"/>
    <cellStyle name="20% - 强调文字颜色 4 2 2 4 2" xfId="14197"/>
    <cellStyle name="20% - 强调文字颜色 4 2 2 4 2 2" xfId="14198"/>
    <cellStyle name="20% - 强调文字颜色 4 2 2 4 2 3" xfId="14199"/>
    <cellStyle name="20% - 强调文字颜色 4 2 2 4 2 3 2" xfId="14200"/>
    <cellStyle name="20% - 强调文字颜色 4 2 2 4 2 3 2 2" xfId="14201"/>
    <cellStyle name="20% - 强调文字颜色 4 2 2 4 2 4" xfId="14202"/>
    <cellStyle name="20% - 强调文字颜色 4 2 2 4 2 4 2" xfId="14203"/>
    <cellStyle name="20% - 强调文字颜色 4 2 2 4 2 5" xfId="14204"/>
    <cellStyle name="20% - 强调文字颜色 4 2 2 4 2 5 2" xfId="14205"/>
    <cellStyle name="20% - 强调文字颜色 4 2 2 4 2 6" xfId="14206"/>
    <cellStyle name="20% - 强调文字颜色 4 2 2 4 3" xfId="14207"/>
    <cellStyle name="20% - 强调文字颜色 4 2 2 4 4" xfId="14208"/>
    <cellStyle name="20% - 强调文字颜色 4 2 2 4 5" xfId="14209"/>
    <cellStyle name="20% - 强调文字颜色 4 2 2 4 6" xfId="14210"/>
    <cellStyle name="20% - 强调文字颜色 4 2 2 4 6 2" xfId="14211"/>
    <cellStyle name="20% - 强调文字颜色 4 2 2 4 7" xfId="14212"/>
    <cellStyle name="20% - 强调文字颜色 4 2 2 4 7 2" xfId="14213"/>
    <cellStyle name="20% - 强调文字颜色 4 2 2 5" xfId="14214"/>
    <cellStyle name="20% - 强调文字颜色 4 2 2 5 2" xfId="14215"/>
    <cellStyle name="20% - 强调文字颜色 4 2 2 5 2 2" xfId="14216"/>
    <cellStyle name="20% - 强调文字颜色 4 2 2 5 2 2 2" xfId="14217"/>
    <cellStyle name="20% - 强调文字颜色 4 2 2 5 2 2 2 2" xfId="14218"/>
    <cellStyle name="20% - 强调文字颜色 4 2 2 5 2 3" xfId="14219"/>
    <cellStyle name="20% - 强调文字颜色 4 2 2 5 2 3 2" xfId="14220"/>
    <cellStyle name="20% - 强调文字颜色 4 2 2 5 2 4" xfId="14221"/>
    <cellStyle name="20% - 强调文字颜色 4 2 2 5 2 4 2" xfId="14222"/>
    <cellStyle name="20% - 强调文字颜色 4 2 2 5 2 5" xfId="14223"/>
    <cellStyle name="20% - 强调文字颜色 4 2 2 5 3" xfId="14224"/>
    <cellStyle name="20% - 强调文字颜色 4 2 2 5 3 2" xfId="14225"/>
    <cellStyle name="20% - 强调文字颜色 4 2 2 5 3 2 2" xfId="14226"/>
    <cellStyle name="20% - 强调文字颜色 4 2 2 5 4" xfId="14227"/>
    <cellStyle name="20% - 强调文字颜色 4 2 2 5 4 2" xfId="14228"/>
    <cellStyle name="20% - 强调文字颜色 4 2 2 5 5" xfId="14229"/>
    <cellStyle name="20% - 强调文字颜色 4 2 2 5 5 2" xfId="14230"/>
    <cellStyle name="20% - 强调文字颜色 4 2 2 5 6" xfId="14231"/>
    <cellStyle name="20% - 强调文字颜色 4 2 2 6" xfId="14232"/>
    <cellStyle name="20% - 强调文字颜色 4 2 2 6 2" xfId="14233"/>
    <cellStyle name="20% - 强调文字颜色 4 2 2 6 2 2" xfId="14234"/>
    <cellStyle name="20% - 强调文字颜色 4 2 2 6 2 2 2" xfId="14235"/>
    <cellStyle name="20% - 强调文字颜色 4 2 2 6 2 2 2 2" xfId="14236"/>
    <cellStyle name="20% - 强调文字颜色 4 2 2 6 2 3" xfId="14237"/>
    <cellStyle name="20% - 强调文字颜色 4 2 2 6 2 3 2" xfId="14238"/>
    <cellStyle name="20% - 强调文字颜色 4 2 2 6 2 4" xfId="14239"/>
    <cellStyle name="20% - 强调文字颜色 4 2 2 6 2 4 2" xfId="14240"/>
    <cellStyle name="20% - 强调文字颜色 4 2 2 6 2 5" xfId="14241"/>
    <cellStyle name="20% - 强调文字颜色 4 2 2 6 3" xfId="14242"/>
    <cellStyle name="20% - 强调文字颜色 4 2 2 6 3 2" xfId="14243"/>
    <cellStyle name="20% - 强调文字颜色 4 2 2 6 3 2 2" xfId="14244"/>
    <cellStyle name="20% - 强调文字颜色 4 2 2 6 4" xfId="14245"/>
    <cellStyle name="20% - 强调文字颜色 4 2 2 6 4 2" xfId="14246"/>
    <cellStyle name="20% - 强调文字颜色 4 2 2 6 5" xfId="14247"/>
    <cellStyle name="20% - 强调文字颜色 4 2 2 6 5 2" xfId="14248"/>
    <cellStyle name="20% - 强调文字颜色 4 2 2 6 6" xfId="14249"/>
    <cellStyle name="20% - 强调文字颜色 4 2 2 7" xfId="14250"/>
    <cellStyle name="20% - 强调文字颜色 4 2 2 7 2" xfId="14251"/>
    <cellStyle name="20% - 强调文字颜色 4 2 2 7 2 2" xfId="14252"/>
    <cellStyle name="20% - 强调文字颜色 4 2 2 7 2 2 2" xfId="14253"/>
    <cellStyle name="20% - 强调文字颜色 4 2 2 7 2 2 2 2" xfId="14254"/>
    <cellStyle name="20% - 强调文字颜色 4 2 2 7 2 3" xfId="14255"/>
    <cellStyle name="20% - 强调文字颜色 4 2 2 7 2 3 2" xfId="14256"/>
    <cellStyle name="20% - 强调文字颜色 4 2 2 7 2 4" xfId="14257"/>
    <cellStyle name="20% - 强调文字颜色 4 2 2 7 2 4 2" xfId="14258"/>
    <cellStyle name="20% - 强调文字颜色 4 2 2 7 2 5" xfId="14259"/>
    <cellStyle name="20% - 强调文字颜色 4 2 2 7 3" xfId="14260"/>
    <cellStyle name="20% - 强调文字颜色 4 2 2 7 3 2" xfId="14261"/>
    <cellStyle name="20% - 强调文字颜色 4 2 2 7 3 2 2" xfId="14262"/>
    <cellStyle name="20% - 强调文字颜色 4 2 2 7 4" xfId="14263"/>
    <cellStyle name="20% - 强调文字颜色 4 2 2 7 4 2" xfId="14264"/>
    <cellStyle name="20% - 强调文字颜色 4 2 2 7 5" xfId="14265"/>
    <cellStyle name="20% - 强调文字颜色 4 2 2 7 5 2" xfId="14266"/>
    <cellStyle name="20% - 强调文字颜色 4 2 2 7 6" xfId="14267"/>
    <cellStyle name="20% - 强调文字颜色 4 2 2 8" xfId="14268"/>
    <cellStyle name="20% - 强调文字颜色 4 2 2 8 2" xfId="14269"/>
    <cellStyle name="20% - 强调文字颜色 4 2 2 8 2 2" xfId="14270"/>
    <cellStyle name="20% - 强调文字颜色 4 2 2 8 2 2 2" xfId="14271"/>
    <cellStyle name="20% - 强调文字颜色 4 2 2 8 3" xfId="14272"/>
    <cellStyle name="20% - 强调文字颜色 4 2 2 8 3 2" xfId="14273"/>
    <cellStyle name="20% - 强调文字颜色 4 2 2 8 4" xfId="14274"/>
    <cellStyle name="20% - 强调文字颜色 4 2 2 8 4 2" xfId="14275"/>
    <cellStyle name="20% - 强调文字颜色 4 2 2 8 5" xfId="14276"/>
    <cellStyle name="20% - 强调文字颜色 4 2 2 9" xfId="14277"/>
    <cellStyle name="20% - 强调文字颜色 4 2 2 9 2" xfId="14278"/>
    <cellStyle name="20% - 强调文字颜色 4 2 2 9 2 2" xfId="14279"/>
    <cellStyle name="20% - 强调文字颜色 4 2 2 9 2 2 2" xfId="14280"/>
    <cellStyle name="20% - 强调文字颜色 4 2 2 9 3" xfId="14281"/>
    <cellStyle name="20% - 强调文字颜色 4 2 2 9 3 2" xfId="14282"/>
    <cellStyle name="20% - 强调文字颜色 4 2 2 9 4" xfId="14283"/>
    <cellStyle name="20% - 强调文字颜色 4 2 2 9 4 2" xfId="14284"/>
    <cellStyle name="20% - 强调文字颜色 4 2 2 9 5" xfId="14285"/>
    <cellStyle name="20% - 强调文字颜色 4 2 3" xfId="14286"/>
    <cellStyle name="20% - 强调文字颜色 4 2 3 10" xfId="14287"/>
    <cellStyle name="20% - 强调文字颜色 4 2 3 10 2" xfId="14288"/>
    <cellStyle name="20% - 强调文字颜色 4 2 3 2" xfId="14289"/>
    <cellStyle name="20% - 强调文字颜色 4 2 3 2 2" xfId="14290"/>
    <cellStyle name="20% - 强调文字颜色 4 2 3 2 2 2" xfId="14291"/>
    <cellStyle name="20% - 强调文字颜色 4 2 3 2 2 2 2" xfId="14292"/>
    <cellStyle name="20% - 强调文字颜色 4 2 3 2 2 2 3" xfId="14293"/>
    <cellStyle name="20% - 强调文字颜色 4 2 3 2 2 2 3 2" xfId="14294"/>
    <cellStyle name="20% - 强调文字颜色 4 2 3 2 2 2 3 2 2" xfId="14295"/>
    <cellStyle name="20% - 强调文字颜色 4 2 3 2 2 2 4" xfId="14296"/>
    <cellStyle name="20% - 强调文字颜色 4 2 3 2 2 2 4 2" xfId="14297"/>
    <cellStyle name="20% - 强调文字颜色 4 2 3 2 2 2 5" xfId="14298"/>
    <cellStyle name="20% - 强调文字颜色 4 2 3 2 2 2 5 2" xfId="14299"/>
    <cellStyle name="20% - 强调文字颜色 4 2 3 2 2 2 6" xfId="14300"/>
    <cellStyle name="20% - 强调文字颜色 4 2 3 2 2 3" xfId="14301"/>
    <cellStyle name="20% - 强调文字颜色 4 2 3 2 2 3 2" xfId="14302"/>
    <cellStyle name="20% - 强调文字颜色 4 2 3 2 2 3 2 2" xfId="14303"/>
    <cellStyle name="20% - 强调文字颜色 4 2 3 2 2 3 2 2 2" xfId="14304"/>
    <cellStyle name="20% - 强调文字颜色 4 2 3 2 2 3 3" xfId="14305"/>
    <cellStyle name="20% - 强调文字颜色 4 2 3 2 2 3 3 2" xfId="14306"/>
    <cellStyle name="20% - 强调文字颜色 4 2 3 2 2 3 4" xfId="14307"/>
    <cellStyle name="20% - 强调文字颜色 4 2 3 2 2 3 4 2" xfId="14308"/>
    <cellStyle name="20% - 强调文字颜色 4 2 3 2 2 3 5" xfId="14309"/>
    <cellStyle name="20% - 强调文字颜色 4 2 3 2 2 4" xfId="14310"/>
    <cellStyle name="20% - 强调文字颜色 4 2 3 2 2 5" xfId="14311"/>
    <cellStyle name="20% - 强调文字颜色 4 2 3 2 2 6" xfId="14312"/>
    <cellStyle name="20% - 强调文字颜色 4 2 3 2 2 6 2" xfId="14313"/>
    <cellStyle name="20% - 强调文字颜色 4 2 3 2 2 7" xfId="14314"/>
    <cellStyle name="20% - 强调文字颜色 4 2 3 2 2 7 2" xfId="14315"/>
    <cellStyle name="20% - 强调文字颜色 4 2 3 2 3" xfId="14316"/>
    <cellStyle name="20% - 强调文字颜色 4 2 3 2 3 2" xfId="14317"/>
    <cellStyle name="20% - 强调文字颜色 4 2 3 2 3 3" xfId="14318"/>
    <cellStyle name="20% - 强调文字颜色 4 2 3 2 3 3 2" xfId="14319"/>
    <cellStyle name="20% - 强调文字颜色 4 2 3 2 3 3 2 2" xfId="14320"/>
    <cellStyle name="20% - 强调文字颜色 4 2 3 2 3 4" xfId="14321"/>
    <cellStyle name="20% - 强调文字颜色 4 2 3 2 3 4 2" xfId="14322"/>
    <cellStyle name="20% - 强调文字颜色 4 2 3 2 3 5" xfId="14323"/>
    <cellStyle name="20% - 强调文字颜色 4 2 3 2 3 5 2" xfId="14324"/>
    <cellStyle name="20% - 强调文字颜色 4 2 3 2 3 6" xfId="14325"/>
    <cellStyle name="20% - 强调文字颜色 4 2 3 2 4" xfId="14326"/>
    <cellStyle name="20% - 强调文字颜色 4 2 3 2 4 2" xfId="14327"/>
    <cellStyle name="20% - 强调文字颜色 4 2 3 2 4 2 2" xfId="14328"/>
    <cellStyle name="20% - 强调文字颜色 4 2 3 2 4 2 2 2" xfId="14329"/>
    <cellStyle name="20% - 强调文字颜色 4 2 3 2 4 3" xfId="14330"/>
    <cellStyle name="20% - 强调文字颜色 4 2 3 2 4 3 2" xfId="14331"/>
    <cellStyle name="20% - 强调文字颜色 4 2 3 2 4 4" xfId="14332"/>
    <cellStyle name="20% - 强调文字颜色 4 2 3 2 4 4 2" xfId="14333"/>
    <cellStyle name="20% - 强调文字颜色 4 2 3 2 4 5" xfId="14334"/>
    <cellStyle name="20% - 强调文字颜色 4 2 3 2 5" xfId="14335"/>
    <cellStyle name="20% - 强调文字颜色 4 2 3 2 6" xfId="14336"/>
    <cellStyle name="20% - 强调文字颜色 4 2 3 2 7" xfId="14337"/>
    <cellStyle name="20% - 强调文字颜色 4 2 3 2 7 2" xfId="14338"/>
    <cellStyle name="20% - 强调文字颜色 4 2 3 2 8" xfId="14339"/>
    <cellStyle name="20% - 强调文字颜色 4 2 3 2 8 2" xfId="14340"/>
    <cellStyle name="20% - 强调文字颜色 4 2 3 3" xfId="14341"/>
    <cellStyle name="20% - 强调文字颜色 4 2 3 3 2" xfId="14342"/>
    <cellStyle name="20% - 强调文字颜色 4 2 3 3 2 2" xfId="14343"/>
    <cellStyle name="20% - 强调文字颜色 4 2 3 3 2 3" xfId="14344"/>
    <cellStyle name="20% - 强调文字颜色 4 2 3 3 2 3 2" xfId="14345"/>
    <cellStyle name="20% - 强调文字颜色 4 2 3 3 2 3 2 2" xfId="14346"/>
    <cellStyle name="20% - 强调文字颜色 4 2 3 3 2 4" xfId="14347"/>
    <cellStyle name="20% - 强调文字颜色 4 2 3 3 2 4 2" xfId="14348"/>
    <cellStyle name="20% - 强调文字颜色 4 2 3 3 2 5" xfId="14349"/>
    <cellStyle name="20% - 强调文字颜色 4 2 3 3 2 5 2" xfId="14350"/>
    <cellStyle name="20% - 强调文字颜色 4 2 3 3 2 6" xfId="14351"/>
    <cellStyle name="20% - 强调文字颜色 4 2 3 3 3" xfId="14352"/>
    <cellStyle name="20% - 强调文字颜色 4 2 3 3 3 2" xfId="14353"/>
    <cellStyle name="20% - 强调文字颜色 4 2 3 3 3 2 2" xfId="14354"/>
    <cellStyle name="20% - 强调文字颜色 4 2 3 3 3 2 2 2" xfId="14355"/>
    <cellStyle name="20% - 强调文字颜色 4 2 3 3 3 3" xfId="14356"/>
    <cellStyle name="20% - 强调文字颜色 4 2 3 3 3 3 2" xfId="14357"/>
    <cellStyle name="20% - 强调文字颜色 4 2 3 3 3 4" xfId="14358"/>
    <cellStyle name="20% - 强调文字颜色 4 2 3 3 3 4 2" xfId="14359"/>
    <cellStyle name="20% - 强调文字颜色 4 2 3 3 3 5" xfId="14360"/>
    <cellStyle name="20% - 强调文字颜色 4 2 3 3 4" xfId="14361"/>
    <cellStyle name="20% - 强调文字颜色 4 2 3 3 5" xfId="14362"/>
    <cellStyle name="20% - 强调文字颜色 4 2 3 3 6" xfId="14363"/>
    <cellStyle name="20% - 强调文字颜色 4 2 3 3 6 2" xfId="14364"/>
    <cellStyle name="20% - 强调文字颜色 4 2 3 3 7" xfId="14365"/>
    <cellStyle name="20% - 强调文字颜色 4 2 3 3 7 2" xfId="14366"/>
    <cellStyle name="20% - 强调文字颜色 4 2 3 4" xfId="14367"/>
    <cellStyle name="20% - 强调文字颜色 4 2 3 4 2" xfId="14368"/>
    <cellStyle name="20% - 强调文字颜色 4 2 3 4 2 2" xfId="14369"/>
    <cellStyle name="20% - 强调文字颜色 4 2 3 4 2 3" xfId="14370"/>
    <cellStyle name="20% - 强调文字颜色 4 2 3 4 2 3 2" xfId="14371"/>
    <cellStyle name="20% - 强调文字颜色 4 2 3 4 2 3 2 2" xfId="14372"/>
    <cellStyle name="20% - 强调文字颜色 4 2 3 4 2 4" xfId="14373"/>
    <cellStyle name="20% - 强调文字颜色 4 2 3 4 2 4 2" xfId="14374"/>
    <cellStyle name="20% - 强调文字颜色 4 2 3 4 2 5" xfId="14375"/>
    <cellStyle name="20% - 强调文字颜色 4 2 3 4 2 5 2" xfId="14376"/>
    <cellStyle name="20% - 强调文字颜色 4 2 3 4 2 6" xfId="14377"/>
    <cellStyle name="20% - 强调文字颜色 4 2 3 4 3" xfId="14378"/>
    <cellStyle name="20% - 强调文字颜色 4 2 3 4 4" xfId="14379"/>
    <cellStyle name="20% - 强调文字颜色 4 2 3 4 5" xfId="14380"/>
    <cellStyle name="20% - 强调文字颜色 4 2 3 4 6" xfId="14381"/>
    <cellStyle name="20% - 强调文字颜色 4 2 3 4 6 2" xfId="14382"/>
    <cellStyle name="20% - 强调文字颜色 4 2 3 4 7" xfId="14383"/>
    <cellStyle name="20% - 强调文字颜色 4 2 3 4 7 2" xfId="14384"/>
    <cellStyle name="20% - 强调文字颜色 4 2 3 5" xfId="14385"/>
    <cellStyle name="20% - 强调文字颜色 4 2 3 5 2" xfId="14386"/>
    <cellStyle name="20% - 强调文字颜色 4 2 3 5 2 2" xfId="14387"/>
    <cellStyle name="20% - 强调文字颜色 4 2 3 5 2 2 2" xfId="14388"/>
    <cellStyle name="20% - 强调文字颜色 4 2 3 5 2 2 2 2" xfId="14389"/>
    <cellStyle name="20% - 强调文字颜色 4 2 3 5 2 3" xfId="14390"/>
    <cellStyle name="20% - 强调文字颜色 4 2 3 5 2 3 2" xfId="14391"/>
    <cellStyle name="20% - 强调文字颜色 4 2 3 5 2 4" xfId="14392"/>
    <cellStyle name="20% - 强调文字颜色 4 2 3 5 2 4 2" xfId="14393"/>
    <cellStyle name="20% - 强调文字颜色 4 2 3 5 2 5" xfId="14394"/>
    <cellStyle name="20% - 强调文字颜色 4 2 3 5 3" xfId="14395"/>
    <cellStyle name="20% - 强调文字颜色 4 2 3 5 3 2" xfId="14396"/>
    <cellStyle name="20% - 强调文字颜色 4 2 3 5 3 2 2" xfId="14397"/>
    <cellStyle name="20% - 强调文字颜色 4 2 3 5 4" xfId="14398"/>
    <cellStyle name="20% - 强调文字颜色 4 2 3 5 4 2" xfId="14399"/>
    <cellStyle name="20% - 强调文字颜色 4 2 3 5 5" xfId="14400"/>
    <cellStyle name="20% - 强调文字颜色 4 2 3 5 5 2" xfId="14401"/>
    <cellStyle name="20% - 强调文字颜色 4 2 3 5 6" xfId="14402"/>
    <cellStyle name="20% - 强调文字颜色 4 2 3 6" xfId="14403"/>
    <cellStyle name="20% - 强调文字颜色 4 2 3 6 2" xfId="14404"/>
    <cellStyle name="20% - 强调文字颜色 4 2 3 6 2 2" xfId="14405"/>
    <cellStyle name="20% - 强调文字颜色 4 2 3 6 2 2 2" xfId="14406"/>
    <cellStyle name="20% - 强调文字颜色 4 2 3 6 3" xfId="14407"/>
    <cellStyle name="20% - 强调文字颜色 4 2 3 6 3 2" xfId="14408"/>
    <cellStyle name="20% - 强调文字颜色 4 2 3 6 4" xfId="14409"/>
    <cellStyle name="20% - 强调文字颜色 4 2 3 6 4 2" xfId="14410"/>
    <cellStyle name="20% - 强调文字颜色 4 2 3 6 5" xfId="14411"/>
    <cellStyle name="20% - 强调文字颜色 4 2 3 7" xfId="14412"/>
    <cellStyle name="20% - 强调文字颜色 4 2 3 7 2" xfId="14413"/>
    <cellStyle name="20% - 强调文字颜色 4 2 3 7 2 2" xfId="14414"/>
    <cellStyle name="20% - 强调文字颜色 4 2 3 7 2 2 2" xfId="14415"/>
    <cellStyle name="20% - 强调文字颜色 4 2 3 7 3" xfId="14416"/>
    <cellStyle name="20% - 强调文字颜色 4 2 3 7 3 2" xfId="14417"/>
    <cellStyle name="20% - 强调文字颜色 4 2 3 7 4" xfId="14418"/>
    <cellStyle name="20% - 强调文字颜色 4 2 3 7 4 2" xfId="14419"/>
    <cellStyle name="20% - 强调文字颜色 4 2 3 7 5" xfId="14420"/>
    <cellStyle name="20% - 强调文字颜色 4 2 3 8" xfId="14421"/>
    <cellStyle name="20% - 强调文字颜色 4 2 3 9" xfId="14422"/>
    <cellStyle name="20% - 强调文字颜色 4 2 3 9 2" xfId="14423"/>
    <cellStyle name="20% - 强调文字颜色 4 2 4" xfId="14424"/>
    <cellStyle name="20% - 强调文字颜色 4 2 4 2" xfId="14425"/>
    <cellStyle name="20% - 强调文字颜色 4 2 4 2 2" xfId="14426"/>
    <cellStyle name="20% - 强调文字颜色 4 2 4 2 3" xfId="14427"/>
    <cellStyle name="20% - 强调文字颜色 4 2 4 2 3 2" xfId="14428"/>
    <cellStyle name="20% - 强调文字颜色 4 2 4 2 3 2 2" xfId="14429"/>
    <cellStyle name="20% - 强调文字颜色 4 2 4 2 4" xfId="14430"/>
    <cellStyle name="20% - 强调文字颜色 4 2 4 2 4 2" xfId="14431"/>
    <cellStyle name="20% - 强调文字颜色 4 2 4 2 5" xfId="14432"/>
    <cellStyle name="20% - 强调文字颜色 4 2 4 2 5 2" xfId="14433"/>
    <cellStyle name="20% - 强调文字颜色 4 2 4 2 6" xfId="14434"/>
    <cellStyle name="20% - 强调文字颜色 4 2 4 3" xfId="14435"/>
    <cellStyle name="20% - 强调文字颜色 4 2 4 3 2" xfId="14436"/>
    <cellStyle name="20% - 强调文字颜色 4 2 4 3 2 2" xfId="14437"/>
    <cellStyle name="20% - 强调文字颜色 4 2 4 3 2 2 2" xfId="14438"/>
    <cellStyle name="20% - 强调文字颜色 4 2 4 3 3" xfId="14439"/>
    <cellStyle name="20% - 强调文字颜色 4 2 4 3 3 2" xfId="14440"/>
    <cellStyle name="20% - 强调文字颜色 4 2 4 3 4" xfId="14441"/>
    <cellStyle name="20% - 强调文字颜色 4 2 4 3 4 2" xfId="14442"/>
    <cellStyle name="20% - 强调文字颜色 4 2 4 3 5" xfId="14443"/>
    <cellStyle name="20% - 强调文字颜色 4 2 4 4" xfId="14444"/>
    <cellStyle name="20% - 强调文字颜色 4 2 4 5" xfId="14445"/>
    <cellStyle name="20% - 强调文字颜色 4 2 4 6" xfId="14446"/>
    <cellStyle name="20% - 强调文字颜色 4 2 4 6 2" xfId="14447"/>
    <cellStyle name="20% - 强调文字颜色 4 2 4 7" xfId="14448"/>
    <cellStyle name="20% - 强调文字颜色 4 2 4 7 2" xfId="14449"/>
    <cellStyle name="20% - 强调文字颜色 4 2 5" xfId="14450"/>
    <cellStyle name="20% - 强调文字颜色 4 2 5 2" xfId="14451"/>
    <cellStyle name="20% - 强调文字颜色 4 2 5 2 2" xfId="14452"/>
    <cellStyle name="20% - 强调文字颜色 4 2 5 2 3" xfId="14453"/>
    <cellStyle name="20% - 强调文字颜色 4 2 5 2 3 2" xfId="14454"/>
    <cellStyle name="20% - 强调文字颜色 4 2 5 2 3 2 2" xfId="14455"/>
    <cellStyle name="20% - 强调文字颜色 4 2 5 2 4" xfId="14456"/>
    <cellStyle name="20% - 强调文字颜色 4 2 5 2 4 2" xfId="14457"/>
    <cellStyle name="20% - 强调文字颜色 4 2 5 2 5" xfId="14458"/>
    <cellStyle name="20% - 强调文字颜色 4 2 5 2 5 2" xfId="14459"/>
    <cellStyle name="20% - 强调文字颜色 4 2 5 2 6" xfId="14460"/>
    <cellStyle name="20% - 强调文字颜色 4 2 5 3" xfId="14461"/>
    <cellStyle name="20% - 强调文字颜色 4 2 5 4" xfId="14462"/>
    <cellStyle name="20% - 强调文字颜色 4 2 5 5" xfId="14463"/>
    <cellStyle name="20% - 强调文字颜色 4 2 5 6" xfId="14464"/>
    <cellStyle name="20% - 强调文字颜色 4 2 5 6 2" xfId="14465"/>
    <cellStyle name="20% - 强调文字颜色 4 2 5 7" xfId="14466"/>
    <cellStyle name="20% - 强调文字颜色 4 2 5 7 2" xfId="14467"/>
    <cellStyle name="20% - 强调文字颜色 4 2 6" xfId="14468"/>
    <cellStyle name="20% - 强调文字颜色 4 2 6 2" xfId="14469"/>
    <cellStyle name="20% - 强调文字颜色 4 2 6 2 2" xfId="14470"/>
    <cellStyle name="20% - 强调文字颜色 4 2 6 2 2 2" xfId="14471"/>
    <cellStyle name="20% - 强调文字颜色 4 2 6 2 2 2 2" xfId="14472"/>
    <cellStyle name="20% - 强调文字颜色 4 2 6 2 3" xfId="14473"/>
    <cellStyle name="20% - 强调文字颜色 4 2 6 2 3 2" xfId="14474"/>
    <cellStyle name="20% - 强调文字颜色 4 2 6 2 4" xfId="14475"/>
    <cellStyle name="20% - 强调文字颜色 4 2 6 2 4 2" xfId="14476"/>
    <cellStyle name="20% - 强调文字颜色 4 2 6 2 5" xfId="14477"/>
    <cellStyle name="20% - 强调文字颜色 4 2 6 3" xfId="14478"/>
    <cellStyle name="20% - 强调文字颜色 4 2 6 3 2" xfId="14479"/>
    <cellStyle name="20% - 强调文字颜色 4 2 6 3 2 2" xfId="14480"/>
    <cellStyle name="20% - 强调文字颜色 4 2 6 4" xfId="14481"/>
    <cellStyle name="20% - 强调文字颜色 4 2 6 4 2" xfId="14482"/>
    <cellStyle name="20% - 强调文字颜色 4 2 6 5" xfId="14483"/>
    <cellStyle name="20% - 强调文字颜色 4 2 6 5 2" xfId="14484"/>
    <cellStyle name="20% - 强调文字颜色 4 2 6 6" xfId="14485"/>
    <cellStyle name="20% - 强调文字颜色 4 2 7" xfId="14486"/>
    <cellStyle name="20% - 强调文字颜色 4 2 7 2" xfId="14487"/>
    <cellStyle name="20% - 强调文字颜色 4 2 7 2 2" xfId="14488"/>
    <cellStyle name="20% - 强调文字颜色 4 2 7 2 2 2" xfId="14489"/>
    <cellStyle name="20% - 强调文字颜色 4 2 7 2 2 2 2" xfId="14490"/>
    <cellStyle name="20% - 强调文字颜色 4 2 7 2 3" xfId="14491"/>
    <cellStyle name="20% - 强调文字颜色 4 2 7 2 3 2" xfId="14492"/>
    <cellStyle name="20% - 强调文字颜色 4 2 7 2 4" xfId="14493"/>
    <cellStyle name="20% - 强调文字颜色 4 2 7 2 4 2" xfId="14494"/>
    <cellStyle name="20% - 强调文字颜色 4 2 7 2 5" xfId="14495"/>
    <cellStyle name="20% - 强调文字颜色 4 2 7 3" xfId="14496"/>
    <cellStyle name="20% - 强调文字颜色 4 2 7 3 2" xfId="14497"/>
    <cellStyle name="20% - 强调文字颜色 4 2 7 3 2 2" xfId="14498"/>
    <cellStyle name="20% - 强调文字颜色 4 2 7 4" xfId="14499"/>
    <cellStyle name="20% - 强调文字颜色 4 2 7 4 2" xfId="14500"/>
    <cellStyle name="20% - 强调文字颜色 4 2 7 5" xfId="14501"/>
    <cellStyle name="20% - 强调文字颜色 4 2 7 5 2" xfId="14502"/>
    <cellStyle name="20% - 强调文字颜色 4 2 7 6" xfId="14503"/>
    <cellStyle name="20% - 强调文字颜色 4 2 8" xfId="14504"/>
    <cellStyle name="20% - 强调文字颜色 4 2 8 2" xfId="14505"/>
    <cellStyle name="20% - 强调文字颜色 4 2 8 2 2" xfId="14506"/>
    <cellStyle name="20% - 强调文字颜色 4 2 8 2 2 2" xfId="14507"/>
    <cellStyle name="20% - 强调文字颜色 4 2 8 2 2 2 2" xfId="14508"/>
    <cellStyle name="20% - 强调文字颜色 4 2 8 2 3" xfId="14509"/>
    <cellStyle name="20% - 强调文字颜色 4 2 8 2 3 2" xfId="14510"/>
    <cellStyle name="20% - 强调文字颜色 4 2 8 2 4" xfId="14511"/>
    <cellStyle name="20% - 强调文字颜色 4 2 8 2 4 2" xfId="14512"/>
    <cellStyle name="20% - 强调文字颜色 4 2 8 2 5" xfId="14513"/>
    <cellStyle name="20% - 强调文字颜色 4 2 8 3" xfId="14514"/>
    <cellStyle name="20% - 强调文字颜色 4 2 8 3 2" xfId="14515"/>
    <cellStyle name="20% - 强调文字颜色 4 2 8 3 2 2" xfId="14516"/>
    <cellStyle name="20% - 强调文字颜色 4 2 8 4" xfId="14517"/>
    <cellStyle name="20% - 强调文字颜色 4 2 8 4 2" xfId="14518"/>
    <cellStyle name="20% - 强调文字颜色 4 2 8 5" xfId="14519"/>
    <cellStyle name="20% - 强调文字颜色 4 2 8 5 2" xfId="14520"/>
    <cellStyle name="20% - 强调文字颜色 4 2 8 6" xfId="14521"/>
    <cellStyle name="20% - 强调文字颜色 4 2 9" xfId="14522"/>
    <cellStyle name="20% - 强调文字颜色 4 2 9 2" xfId="14523"/>
    <cellStyle name="20% - 强调文字颜色 4 2 9 2 2" xfId="14524"/>
    <cellStyle name="20% - 强调文字颜色 4 2 9 2 2 2" xfId="14525"/>
    <cellStyle name="20% - 强调文字颜色 4 2 9 3" xfId="14526"/>
    <cellStyle name="20% - 强调文字颜色 4 2 9 3 2" xfId="14527"/>
    <cellStyle name="20% - 强调文字颜色 4 2 9 4" xfId="14528"/>
    <cellStyle name="20% - 强调文字颜色 4 2 9 4 2" xfId="14529"/>
    <cellStyle name="20% - 强调文字颜色 4 2 9 5" xfId="14530"/>
    <cellStyle name="20% - 强调文字颜色 4 3" xfId="14531"/>
    <cellStyle name="20% - 强调文字颜色 4 3 2" xfId="14532"/>
    <cellStyle name="20% - 强调文字颜色 4 3 2 2" xfId="14533"/>
    <cellStyle name="20% - 强调文字颜色 4 3 2 2 2" xfId="14534"/>
    <cellStyle name="20% - 强调文字颜色 4 3 2 2 2 2" xfId="14535"/>
    <cellStyle name="20% - 强调文字颜色 4 3 2 2 2 3" xfId="14536"/>
    <cellStyle name="20% - 强调文字颜色 4 3 2 2 2 3 2" xfId="14537"/>
    <cellStyle name="20% - 强调文字颜色 4 3 2 2 2 3 2 2" xfId="14538"/>
    <cellStyle name="20% - 强调文字颜色 4 3 2 2 2 4" xfId="14539"/>
    <cellStyle name="20% - 强调文字颜色 4 3 2 2 2 4 2" xfId="14540"/>
    <cellStyle name="20% - 强调文字颜色 4 3 2 2 2 5" xfId="14541"/>
    <cellStyle name="20% - 强调文字颜色 4 3 2 2 2 5 2" xfId="14542"/>
    <cellStyle name="20% - 强调文字颜色 4 3 2 2 2 6" xfId="14543"/>
    <cellStyle name="20% - 强调文字颜色 4 3 2 2 3" xfId="14544"/>
    <cellStyle name="20% - 强调文字颜色 4 3 2 2 3 2" xfId="14545"/>
    <cellStyle name="20% - 强调文字颜色 4 3 2 2 3 2 2" xfId="14546"/>
    <cellStyle name="20% - 强调文字颜色 4 3 2 2 3 2 2 2" xfId="14547"/>
    <cellStyle name="20% - 强调文字颜色 4 3 2 2 3 3" xfId="14548"/>
    <cellStyle name="20% - 强调文字颜色 4 3 2 2 3 3 2" xfId="14549"/>
    <cellStyle name="20% - 强调文字颜色 4 3 2 2 3 4" xfId="14550"/>
    <cellStyle name="20% - 强调文字颜色 4 3 2 2 3 4 2" xfId="14551"/>
    <cellStyle name="20% - 强调文字颜色 4 3 2 2 3 5" xfId="14552"/>
    <cellStyle name="20% - 强调文字颜色 4 3 2 2 4" xfId="14553"/>
    <cellStyle name="20% - 强调文字颜色 4 3 2 2 5" xfId="14554"/>
    <cellStyle name="20% - 强调文字颜色 4 3 2 2 6" xfId="14555"/>
    <cellStyle name="20% - 强调文字颜色 4 3 2 2 6 2" xfId="14556"/>
    <cellStyle name="20% - 强调文字颜色 4 3 2 2 7" xfId="14557"/>
    <cellStyle name="20% - 强调文字颜色 4 3 2 2 7 2" xfId="14558"/>
    <cellStyle name="20% - 强调文字颜色 4 3 2 3" xfId="14559"/>
    <cellStyle name="20% - 强调文字颜色 4 3 2 3 2" xfId="14560"/>
    <cellStyle name="20% - 强调文字颜色 4 3 2 3 3" xfId="14561"/>
    <cellStyle name="20% - 强调文字颜色 4 3 2 3 3 2" xfId="14562"/>
    <cellStyle name="20% - 强调文字颜色 4 3 2 3 3 2 2" xfId="14563"/>
    <cellStyle name="20% - 强调文字颜色 4 3 2 3 4" xfId="14564"/>
    <cellStyle name="20% - 强调文字颜色 4 3 2 3 4 2" xfId="14565"/>
    <cellStyle name="20% - 强调文字颜色 4 3 2 3 5" xfId="14566"/>
    <cellStyle name="20% - 强调文字颜色 4 3 2 3 5 2" xfId="14567"/>
    <cellStyle name="20% - 强调文字颜色 4 3 2 3 6" xfId="14568"/>
    <cellStyle name="20% - 强调文字颜色 4 3 2 4" xfId="14569"/>
    <cellStyle name="20% - 强调文字颜色 4 3 2 4 2" xfId="14570"/>
    <cellStyle name="20% - 强调文字颜色 4 3 2 4 2 2" xfId="14571"/>
    <cellStyle name="20% - 强调文字颜色 4 3 2 4 2 2 2" xfId="14572"/>
    <cellStyle name="20% - 强调文字颜色 4 3 2 4 3" xfId="14573"/>
    <cellStyle name="20% - 强调文字颜色 4 3 2 4 3 2" xfId="14574"/>
    <cellStyle name="20% - 强调文字颜色 4 3 2 4 4" xfId="14575"/>
    <cellStyle name="20% - 强调文字颜色 4 3 2 4 4 2" xfId="14576"/>
    <cellStyle name="20% - 强调文字颜色 4 3 2 4 5" xfId="14577"/>
    <cellStyle name="20% - 强调文字颜色 4 3 2 5" xfId="14578"/>
    <cellStyle name="20% - 强调文字颜色 4 3 2 6" xfId="14579"/>
    <cellStyle name="20% - 强调文字颜色 4 3 2 7" xfId="14580"/>
    <cellStyle name="20% - 强调文字颜色 4 3 2 7 2" xfId="14581"/>
    <cellStyle name="20% - 强调文字颜色 4 3 2 8" xfId="14582"/>
    <cellStyle name="20% - 强调文字颜色 4 3 2 8 2" xfId="14583"/>
    <cellStyle name="20% - 强调文字颜色 4 3 3" xfId="14584"/>
    <cellStyle name="20% - 强调文字颜色 4 3 3 2" xfId="14585"/>
    <cellStyle name="20% - 强调文字颜色 4 3 3 2 2" xfId="14586"/>
    <cellStyle name="20% - 强调文字颜色 4 3 3 2 3" xfId="14587"/>
    <cellStyle name="20% - 强调文字颜色 4 3 3 2 3 2" xfId="14588"/>
    <cellStyle name="20% - 强调文字颜色 4 3 3 2 3 2 2" xfId="14589"/>
    <cellStyle name="20% - 强调文字颜色 4 3 3 2 4" xfId="14590"/>
    <cellStyle name="20% - 强调文字颜色 4 3 3 2 4 2" xfId="14591"/>
    <cellStyle name="20% - 强调文字颜色 4 3 3 2 5" xfId="14592"/>
    <cellStyle name="20% - 强调文字颜色 4 3 3 2 5 2" xfId="14593"/>
    <cellStyle name="20% - 强调文字颜色 4 3 3 2 6" xfId="14594"/>
    <cellStyle name="20% - 强调文字颜色 4 3 3 3" xfId="14595"/>
    <cellStyle name="20% - 强调文字颜色 4 3 3 3 2" xfId="14596"/>
    <cellStyle name="20% - 强调文字颜色 4 3 3 3 2 2" xfId="14597"/>
    <cellStyle name="20% - 强调文字颜色 4 3 3 3 2 2 2" xfId="14598"/>
    <cellStyle name="20% - 强调文字颜色 4 3 3 3 3" xfId="14599"/>
    <cellStyle name="20% - 强调文字颜色 4 3 3 3 3 2" xfId="14600"/>
    <cellStyle name="20% - 强调文字颜色 4 3 3 3 4" xfId="14601"/>
    <cellStyle name="20% - 强调文字颜色 4 3 3 3 4 2" xfId="14602"/>
    <cellStyle name="20% - 强调文字颜色 4 3 3 3 5" xfId="14603"/>
    <cellStyle name="20% - 强调文字颜色 4 3 3 4" xfId="14604"/>
    <cellStyle name="20% - 强调文字颜色 4 3 3 5" xfId="14605"/>
    <cellStyle name="20% - 强调文字颜色 4 3 3 6" xfId="14606"/>
    <cellStyle name="20% - 强调文字颜色 4 3 3 6 2" xfId="14607"/>
    <cellStyle name="20% - 强调文字颜色 4 3 3 7" xfId="14608"/>
    <cellStyle name="20% - 强调文字颜色 4 3 3 7 2" xfId="14609"/>
    <cellStyle name="20% - 强调文字颜色 4 3 4" xfId="14610"/>
    <cellStyle name="20% - 强调文字颜色 4 3 4 2" xfId="14611"/>
    <cellStyle name="20% - 强调文字颜色 4 3 4 2 2" xfId="14612"/>
    <cellStyle name="20% - 强调文字颜色 4 3 4 2 3" xfId="14613"/>
    <cellStyle name="20% - 强调文字颜色 4 3 4 2 3 2" xfId="14614"/>
    <cellStyle name="20% - 强调文字颜色 4 3 4 2 3 2 2" xfId="14615"/>
    <cellStyle name="20% - 强调文字颜色 4 3 4 2 4" xfId="14616"/>
    <cellStyle name="20% - 强调文字颜色 4 3 4 2 4 2" xfId="14617"/>
    <cellStyle name="20% - 强调文字颜色 4 3 4 2 5" xfId="14618"/>
    <cellStyle name="20% - 强调文字颜色 4 3 4 2 5 2" xfId="14619"/>
    <cellStyle name="20% - 强调文字颜色 4 3 4 2 6" xfId="14620"/>
    <cellStyle name="20% - 强调文字颜色 4 3 4 3" xfId="14621"/>
    <cellStyle name="20% - 强调文字颜色 4 3 4 4" xfId="14622"/>
    <cellStyle name="20% - 强调文字颜色 4 3 4 5" xfId="14623"/>
    <cellStyle name="20% - 强调文字颜色 4 3 4 6" xfId="14624"/>
    <cellStyle name="20% - 强调文字颜色 4 3 4 6 2" xfId="14625"/>
    <cellStyle name="20% - 强调文字颜色 4 3 4 7" xfId="14626"/>
    <cellStyle name="20% - 强调文字颜色 4 3 4 7 2" xfId="14627"/>
    <cellStyle name="20% - 强调文字颜色 4 3 5" xfId="14628"/>
    <cellStyle name="20% - 强调文字颜色 4 3 5 2" xfId="14629"/>
    <cellStyle name="20% - 强调文字颜色 4 3 5 2 2" xfId="14630"/>
    <cellStyle name="20% - 强调文字颜色 4 3 5 2 2 2" xfId="14631"/>
    <cellStyle name="20% - 强调文字颜色 4 3 5 2 2 2 2" xfId="14632"/>
    <cellStyle name="20% - 强调文字颜色 4 3 5 2 3" xfId="14633"/>
    <cellStyle name="20% - 强调文字颜色 4 3 5 2 3 2" xfId="14634"/>
    <cellStyle name="20% - 强调文字颜色 4 3 5 2 4" xfId="14635"/>
    <cellStyle name="20% - 强调文字颜色 4 3 5 2 4 2" xfId="14636"/>
    <cellStyle name="20% - 强调文字颜色 4 3 5 2 5" xfId="14637"/>
    <cellStyle name="20% - 强调文字颜色 4 3 5 3" xfId="14638"/>
    <cellStyle name="20% - 强调文字颜色 4 3 5 3 2" xfId="14639"/>
    <cellStyle name="20% - 强调文字颜色 4 3 5 3 2 2" xfId="14640"/>
    <cellStyle name="20% - 强调文字颜色 4 3 5 4" xfId="14641"/>
    <cellStyle name="20% - 强调文字颜色 4 3 5 4 2" xfId="14642"/>
    <cellStyle name="20% - 强调文字颜色 4 3 5 5" xfId="14643"/>
    <cellStyle name="20% - 强调文字颜色 4 3 5 5 2" xfId="14644"/>
    <cellStyle name="20% - 强调文字颜色 4 3 5 6" xfId="14645"/>
    <cellStyle name="20% - 强调文字颜色 4 3 6" xfId="14646"/>
    <cellStyle name="20% - 强调文字颜色 4 3 6 2" xfId="14647"/>
    <cellStyle name="20% - 强调文字颜色 4 3 6 2 2" xfId="14648"/>
    <cellStyle name="20% - 强调文字颜色 4 3 6 2 2 2" xfId="14649"/>
    <cellStyle name="20% - 强调文字颜色 4 3 6 3" xfId="14650"/>
    <cellStyle name="20% - 强调文字颜色 4 3 6 3 2" xfId="14651"/>
    <cellStyle name="20% - 强调文字颜色 4 3 6 4" xfId="14652"/>
    <cellStyle name="20% - 强调文字颜色 4 3 6 4 2" xfId="14653"/>
    <cellStyle name="20% - 强调文字颜色 4 3 6 5" xfId="14654"/>
    <cellStyle name="20% - 强调文字颜色 4 3 7" xfId="14655"/>
    <cellStyle name="20% - 强调文字颜色 4 3 8" xfId="14656"/>
    <cellStyle name="20% - 强调文字颜色 4 3 8 2" xfId="14657"/>
    <cellStyle name="20% - 强调文字颜色 4 3 9" xfId="14658"/>
    <cellStyle name="20% - 强调文字颜色 4 3 9 2" xfId="14659"/>
    <cellStyle name="20% - 强调文字颜色 5 2" xfId="14660"/>
    <cellStyle name="20% - 强调文字颜色 5 2 10" xfId="14661"/>
    <cellStyle name="20% - 强调文字颜色 5 2 11" xfId="14662"/>
    <cellStyle name="20% - 强调文字颜色 5 2 11 2" xfId="14663"/>
    <cellStyle name="20% - 强调文字颜色 5 2 12" xfId="14664"/>
    <cellStyle name="20% - 强调文字颜色 5 2 12 2" xfId="14665"/>
    <cellStyle name="20% - 强调文字颜色 5 2 2" xfId="14666"/>
    <cellStyle name="20% - 强调文字颜色 5 2 2 10" xfId="14667"/>
    <cellStyle name="20% - 强调文字颜色 5 2 2 11" xfId="14668"/>
    <cellStyle name="20% - 强调文字颜色 5 2 2 11 2" xfId="14669"/>
    <cellStyle name="20% - 强调文字颜色 5 2 2 12" xfId="14670"/>
    <cellStyle name="20% - 强调文字颜色 5 2 2 12 2" xfId="14671"/>
    <cellStyle name="20% - 强调文字颜色 5 2 2 2" xfId="14672"/>
    <cellStyle name="20% - 强调文字颜色 5 2 2 2 2" xfId="14673"/>
    <cellStyle name="20% - 强调文字颜色 5 2 2 2 2 2" xfId="14674"/>
    <cellStyle name="20% - 强调文字颜色 5 2 2 2 2 2 2" xfId="14675"/>
    <cellStyle name="20% - 强调文字颜色 5 2 2 2 2 2 3" xfId="14676"/>
    <cellStyle name="20% - 强调文字颜色 5 2 2 2 2 2 3 2" xfId="14677"/>
    <cellStyle name="20% - 强调文字颜色 5 2 2 2 2 2 3 2 2" xfId="14678"/>
    <cellStyle name="20% - 强调文字颜色 5 2 2 2 2 2 4" xfId="14679"/>
    <cellStyle name="20% - 强调文字颜色 5 2 2 2 2 2 4 2" xfId="14680"/>
    <cellStyle name="20% - 强调文字颜色 5 2 2 2 2 2 5" xfId="14681"/>
    <cellStyle name="20% - 强调文字颜色 5 2 2 2 2 2 5 2" xfId="14682"/>
    <cellStyle name="20% - 强调文字颜色 5 2 2 2 2 2 6" xfId="14683"/>
    <cellStyle name="20% - 强调文字颜色 5 2 2 2 2 3" xfId="14684"/>
    <cellStyle name="20% - 强调文字颜色 5 2 2 2 2 3 2" xfId="14685"/>
    <cellStyle name="20% - 强调文字颜色 5 2 2 2 2 3 2 2" xfId="14686"/>
    <cellStyle name="20% - 强调文字颜色 5 2 2 2 2 3 2 2 2" xfId="14687"/>
    <cellStyle name="20% - 强调文字颜色 5 2 2 2 2 3 3" xfId="14688"/>
    <cellStyle name="20% - 强调文字颜色 5 2 2 2 2 3 3 2" xfId="14689"/>
    <cellStyle name="20% - 强调文字颜色 5 2 2 2 2 3 4" xfId="14690"/>
    <cellStyle name="20% - 强调文字颜色 5 2 2 2 2 3 4 2" xfId="14691"/>
    <cellStyle name="20% - 强调文字颜色 5 2 2 2 2 3 5" xfId="14692"/>
    <cellStyle name="20% - 强调文字颜色 5 2 2 2 2 4" xfId="14693"/>
    <cellStyle name="20% - 强调文字颜色 5 2 2 2 2 5" xfId="14694"/>
    <cellStyle name="20% - 强调文字颜色 5 2 2 2 2 6" xfId="14695"/>
    <cellStyle name="20% - 强调文字颜色 5 2 2 2 2 6 2" xfId="14696"/>
    <cellStyle name="20% - 强调文字颜色 5 2 2 2 2 7" xfId="14697"/>
    <cellStyle name="20% - 强调文字颜色 5 2 2 2 2 7 2" xfId="14698"/>
    <cellStyle name="20% - 强调文字颜色 5 2 2 2 3" xfId="14699"/>
    <cellStyle name="20% - 强调文字颜色 5 2 2 2 3 2" xfId="14700"/>
    <cellStyle name="20% - 强调文字颜色 5 2 2 2 3 3" xfId="14701"/>
    <cellStyle name="20% - 强调文字颜色 5 2 2 2 3 3 2" xfId="14702"/>
    <cellStyle name="20% - 强调文字颜色 5 2 2 2 3 3 2 2" xfId="14703"/>
    <cellStyle name="20% - 强调文字颜色 5 2 2 2 3 4" xfId="14704"/>
    <cellStyle name="20% - 强调文字颜色 5 2 2 2 3 4 2" xfId="14705"/>
    <cellStyle name="20% - 强调文字颜色 5 2 2 2 3 5" xfId="14706"/>
    <cellStyle name="20% - 强调文字颜色 5 2 2 2 3 5 2" xfId="14707"/>
    <cellStyle name="20% - 强调文字颜色 5 2 2 2 3 6" xfId="14708"/>
    <cellStyle name="20% - 强调文字颜色 5 2 2 2 4" xfId="14709"/>
    <cellStyle name="20% - 强调文字颜色 5 2 2 2 4 2" xfId="14710"/>
    <cellStyle name="20% - 强调文字颜色 5 2 2 2 4 2 2" xfId="14711"/>
    <cellStyle name="20% - 强调文字颜色 5 2 2 2 4 2 2 2" xfId="14712"/>
    <cellStyle name="20% - 强调文字颜色 5 2 2 2 4 3" xfId="14713"/>
    <cellStyle name="20% - 强调文字颜色 5 2 2 2 4 3 2" xfId="14714"/>
    <cellStyle name="20% - 强调文字颜色 5 2 2 2 4 4" xfId="14715"/>
    <cellStyle name="20% - 强调文字颜色 5 2 2 2 4 4 2" xfId="14716"/>
    <cellStyle name="20% - 强调文字颜色 5 2 2 2 4 5" xfId="14717"/>
    <cellStyle name="20% - 强调文字颜色 5 2 2 2 5" xfId="14718"/>
    <cellStyle name="20% - 强调文字颜色 5 2 2 2 6" xfId="14719"/>
    <cellStyle name="20% - 强调文字颜色 5 2 2 2 7" xfId="14720"/>
    <cellStyle name="20% - 强调文字颜色 5 2 2 2 7 2" xfId="14721"/>
    <cellStyle name="20% - 强调文字颜色 5 2 2 2 8" xfId="14722"/>
    <cellStyle name="20% - 强调文字颜色 5 2 2 2 8 2" xfId="14723"/>
    <cellStyle name="20% - 强调文字颜色 5 2 2 3" xfId="14724"/>
    <cellStyle name="20% - 强调文字颜色 5 2 2 3 2" xfId="14725"/>
    <cellStyle name="20% - 强调文字颜色 5 2 2 3 2 2" xfId="14726"/>
    <cellStyle name="20% - 强调文字颜色 5 2 2 3 2 3" xfId="14727"/>
    <cellStyle name="20% - 强调文字颜色 5 2 2 3 2 3 2" xfId="14728"/>
    <cellStyle name="20% - 强调文字颜色 5 2 2 3 2 3 2 2" xfId="14729"/>
    <cellStyle name="20% - 强调文字颜色 5 2 2 3 2 4" xfId="14730"/>
    <cellStyle name="20% - 强调文字颜色 5 2 2 3 2 4 2" xfId="14731"/>
    <cellStyle name="20% - 强调文字颜色 5 2 2 3 2 5" xfId="14732"/>
    <cellStyle name="20% - 强调文字颜色 5 2 2 3 2 5 2" xfId="14733"/>
    <cellStyle name="20% - 强调文字颜色 5 2 2 3 2 6" xfId="14734"/>
    <cellStyle name="20% - 强调文字颜色 5 2 2 3 3" xfId="14735"/>
    <cellStyle name="20% - 强调文字颜色 5 2 2 3 3 2" xfId="14736"/>
    <cellStyle name="20% - 强调文字颜色 5 2 2 3 3 2 2" xfId="14737"/>
    <cellStyle name="20% - 强调文字颜色 5 2 2 3 3 2 2 2" xfId="14738"/>
    <cellStyle name="20% - 强调文字颜色 5 2 2 3 3 3" xfId="14739"/>
    <cellStyle name="20% - 强调文字颜色 5 2 2 3 3 3 2" xfId="14740"/>
    <cellStyle name="20% - 强调文字颜色 5 2 2 3 3 4" xfId="14741"/>
    <cellStyle name="20% - 强调文字颜色 5 2 2 3 3 4 2" xfId="14742"/>
    <cellStyle name="20% - 强调文字颜色 5 2 2 3 3 5" xfId="14743"/>
    <cellStyle name="20% - 强调文字颜色 5 2 2 3 4" xfId="14744"/>
    <cellStyle name="20% - 强调文字颜色 5 2 2 3 5" xfId="14745"/>
    <cellStyle name="20% - 强调文字颜色 5 2 2 3 6" xfId="14746"/>
    <cellStyle name="20% - 强调文字颜色 5 2 2 3 6 2" xfId="14747"/>
    <cellStyle name="20% - 强调文字颜色 5 2 2 3 7" xfId="14748"/>
    <cellStyle name="20% - 强调文字颜色 5 2 2 3 7 2" xfId="14749"/>
    <cellStyle name="20% - 强调文字颜色 5 2 2 4" xfId="14750"/>
    <cellStyle name="20% - 强调文字颜色 5 2 2 4 2" xfId="14751"/>
    <cellStyle name="20% - 强调文字颜色 5 2 2 4 2 2" xfId="14752"/>
    <cellStyle name="20% - 强调文字颜色 5 2 2 4 2 3" xfId="14753"/>
    <cellStyle name="20% - 强调文字颜色 5 2 2 4 2 3 2" xfId="14754"/>
    <cellStyle name="20% - 强调文字颜色 5 2 2 4 2 3 2 2" xfId="14755"/>
    <cellStyle name="20% - 强调文字颜色 5 2 2 4 2 4" xfId="14756"/>
    <cellStyle name="20% - 强调文字颜色 5 2 2 4 2 4 2" xfId="14757"/>
    <cellStyle name="20% - 强调文字颜色 5 2 2 4 2 5" xfId="14758"/>
    <cellStyle name="20% - 强调文字颜色 5 2 2 4 2 5 2" xfId="14759"/>
    <cellStyle name="20% - 强调文字颜色 5 2 2 4 2 6" xfId="14760"/>
    <cellStyle name="20% - 强调文字颜色 5 2 2 4 3" xfId="14761"/>
    <cellStyle name="20% - 强调文字颜色 5 2 2 4 4" xfId="14762"/>
    <cellStyle name="20% - 强调文字颜色 5 2 2 4 5" xfId="14763"/>
    <cellStyle name="20% - 强调文字颜色 5 2 2 4 6" xfId="14764"/>
    <cellStyle name="20% - 强调文字颜色 5 2 2 4 6 2" xfId="14765"/>
    <cellStyle name="20% - 强调文字颜色 5 2 2 4 7" xfId="14766"/>
    <cellStyle name="20% - 强调文字颜色 5 2 2 4 7 2" xfId="14767"/>
    <cellStyle name="20% - 强调文字颜色 5 2 2 5" xfId="14768"/>
    <cellStyle name="20% - 强调文字颜色 5 2 2 5 2" xfId="14769"/>
    <cellStyle name="20% - 强调文字颜色 5 2 2 5 2 2" xfId="14770"/>
    <cellStyle name="20% - 强调文字颜色 5 2 2 5 2 2 2" xfId="14771"/>
    <cellStyle name="20% - 强调文字颜色 5 2 2 5 2 2 2 2" xfId="14772"/>
    <cellStyle name="20% - 强调文字颜色 5 2 2 5 2 3" xfId="14773"/>
    <cellStyle name="20% - 强调文字颜色 5 2 2 5 2 3 2" xfId="14774"/>
    <cellStyle name="20% - 强调文字颜色 5 2 2 5 2 4" xfId="14775"/>
    <cellStyle name="20% - 强调文字颜色 5 2 2 5 2 4 2" xfId="14776"/>
    <cellStyle name="20% - 强调文字颜色 5 2 2 5 2 5" xfId="14777"/>
    <cellStyle name="20% - 强调文字颜色 5 2 2 5 3" xfId="14778"/>
    <cellStyle name="20% - 强调文字颜色 5 2 2 5 3 2" xfId="14779"/>
    <cellStyle name="20% - 强调文字颜色 5 2 2 5 3 2 2" xfId="14780"/>
    <cellStyle name="20% - 强调文字颜色 5 2 2 5 4" xfId="14781"/>
    <cellStyle name="20% - 强调文字颜色 5 2 2 5 4 2" xfId="14782"/>
    <cellStyle name="20% - 强调文字颜色 5 2 2 5 5" xfId="14783"/>
    <cellStyle name="20% - 强调文字颜色 5 2 2 5 5 2" xfId="14784"/>
    <cellStyle name="20% - 强调文字颜色 5 2 2 5 6" xfId="14785"/>
    <cellStyle name="20% - 强调文字颜色 5 2 2 6" xfId="14786"/>
    <cellStyle name="20% - 强调文字颜色 5 2 2 6 2" xfId="14787"/>
    <cellStyle name="20% - 强调文字颜色 5 2 2 6 2 2" xfId="14788"/>
    <cellStyle name="20% - 强调文字颜色 5 2 2 6 2 2 2" xfId="14789"/>
    <cellStyle name="20% - 强调文字颜色 5 2 2 6 2 2 2 2" xfId="14790"/>
    <cellStyle name="20% - 强调文字颜色 5 2 2 6 2 3" xfId="14791"/>
    <cellStyle name="20% - 强调文字颜色 5 2 2 6 2 3 2" xfId="14792"/>
    <cellStyle name="20% - 强调文字颜色 5 2 2 6 2 4" xfId="14793"/>
    <cellStyle name="20% - 强调文字颜色 5 2 2 6 2 4 2" xfId="14794"/>
    <cellStyle name="20% - 强调文字颜色 5 2 2 6 2 5" xfId="14795"/>
    <cellStyle name="20% - 强调文字颜色 5 2 2 6 3" xfId="14796"/>
    <cellStyle name="20% - 强调文字颜色 5 2 2 6 3 2" xfId="14797"/>
    <cellStyle name="20% - 强调文字颜色 5 2 2 6 3 2 2" xfId="14798"/>
    <cellStyle name="20% - 强调文字颜色 5 2 2 6 4" xfId="14799"/>
    <cellStyle name="20% - 强调文字颜色 5 2 2 6 4 2" xfId="14800"/>
    <cellStyle name="20% - 强调文字颜色 5 2 2 6 5" xfId="14801"/>
    <cellStyle name="20% - 强调文字颜色 5 2 2 6 5 2" xfId="14802"/>
    <cellStyle name="20% - 强调文字颜色 5 2 2 6 6" xfId="14803"/>
    <cellStyle name="20% - 强调文字颜色 5 2 2 7" xfId="14804"/>
    <cellStyle name="20% - 强调文字颜色 5 2 2 7 2" xfId="14805"/>
    <cellStyle name="20% - 强调文字颜色 5 2 2 7 2 2" xfId="14806"/>
    <cellStyle name="20% - 强调文字颜色 5 2 2 7 2 2 2" xfId="14807"/>
    <cellStyle name="20% - 强调文字颜色 5 2 2 7 2 2 2 2" xfId="14808"/>
    <cellStyle name="20% - 强调文字颜色 5 2 2 7 2 3" xfId="14809"/>
    <cellStyle name="20% - 强调文字颜色 5 2 2 7 2 3 2" xfId="14810"/>
    <cellStyle name="20% - 强调文字颜色 5 2 2 7 2 4" xfId="14811"/>
    <cellStyle name="20% - 强调文字颜色 5 2 2 7 2 4 2" xfId="14812"/>
    <cellStyle name="20% - 强调文字颜色 5 2 2 7 2 5" xfId="14813"/>
    <cellStyle name="20% - 强调文字颜色 5 2 2 7 3" xfId="14814"/>
    <cellStyle name="20% - 强调文字颜色 5 2 2 7 3 2" xfId="14815"/>
    <cellStyle name="20% - 强调文字颜色 5 2 2 7 3 2 2" xfId="14816"/>
    <cellStyle name="20% - 强调文字颜色 5 2 2 7 4" xfId="14817"/>
    <cellStyle name="20% - 强调文字颜色 5 2 2 7 4 2" xfId="14818"/>
    <cellStyle name="20% - 强调文字颜色 5 2 2 7 5" xfId="14819"/>
    <cellStyle name="20% - 强调文字颜色 5 2 2 7 5 2" xfId="14820"/>
    <cellStyle name="20% - 强调文字颜色 5 2 2 7 6" xfId="14821"/>
    <cellStyle name="20% - 强调文字颜色 5 2 2 8" xfId="14822"/>
    <cellStyle name="20% - 强调文字颜色 5 2 2 8 2" xfId="14823"/>
    <cellStyle name="20% - 强调文字颜色 5 2 2 8 2 2" xfId="14824"/>
    <cellStyle name="20% - 强调文字颜色 5 2 2 8 2 2 2" xfId="14825"/>
    <cellStyle name="20% - 强调文字颜色 5 2 2 8 3" xfId="14826"/>
    <cellStyle name="20% - 强调文字颜色 5 2 2 8 3 2" xfId="14827"/>
    <cellStyle name="20% - 强调文字颜色 5 2 2 8 4" xfId="14828"/>
    <cellStyle name="20% - 强调文字颜色 5 2 2 8 4 2" xfId="14829"/>
    <cellStyle name="20% - 强调文字颜色 5 2 2 8 5" xfId="14830"/>
    <cellStyle name="20% - 强调文字颜色 5 2 2 9" xfId="14831"/>
    <cellStyle name="20% - 强调文字颜色 5 2 2 9 2" xfId="14832"/>
    <cellStyle name="20% - 强调文字颜色 5 2 2 9 2 2" xfId="14833"/>
    <cellStyle name="20% - 强调文字颜色 5 2 2 9 2 2 2" xfId="14834"/>
    <cellStyle name="20% - 强调文字颜色 5 2 2 9 3" xfId="14835"/>
    <cellStyle name="20% - 强调文字颜色 5 2 2 9 3 2" xfId="14836"/>
    <cellStyle name="20% - 强调文字颜色 5 2 2 9 4" xfId="14837"/>
    <cellStyle name="20% - 强调文字颜色 5 2 2 9 4 2" xfId="14838"/>
    <cellStyle name="20% - 强调文字颜色 5 2 2 9 5" xfId="14839"/>
    <cellStyle name="20% - 强调文字颜色 5 2 3" xfId="14840"/>
    <cellStyle name="20% - 强调文字颜色 5 2 3 10" xfId="14841"/>
    <cellStyle name="20% - 强调文字颜色 5 2 3 10 2" xfId="14842"/>
    <cellStyle name="20% - 强调文字颜色 5 2 3 2" xfId="14843"/>
    <cellStyle name="20% - 强调文字颜色 5 2 3 2 2" xfId="14844"/>
    <cellStyle name="20% - 强调文字颜色 5 2 3 2 2 2" xfId="14845"/>
    <cellStyle name="20% - 强调文字颜色 5 2 3 2 2 2 2" xfId="14846"/>
    <cellStyle name="20% - 强调文字颜色 5 2 3 2 2 2 3" xfId="14847"/>
    <cellStyle name="20% - 强调文字颜色 5 2 3 2 2 2 3 2" xfId="14848"/>
    <cellStyle name="20% - 强调文字颜色 5 2 3 2 2 2 3 2 2" xfId="14849"/>
    <cellStyle name="20% - 强调文字颜色 5 2 3 2 2 2 4" xfId="14850"/>
    <cellStyle name="20% - 强调文字颜色 5 2 3 2 2 2 4 2" xfId="14851"/>
    <cellStyle name="20% - 强调文字颜色 5 2 3 2 2 2 5" xfId="14852"/>
    <cellStyle name="20% - 强调文字颜色 5 2 3 2 2 2 5 2" xfId="14853"/>
    <cellStyle name="20% - 强调文字颜色 5 2 3 2 2 2 6" xfId="14854"/>
    <cellStyle name="20% - 强调文字颜色 5 2 3 2 2 3" xfId="14855"/>
    <cellStyle name="20% - 强调文字颜色 5 2 3 2 2 3 2" xfId="14856"/>
    <cellStyle name="20% - 强调文字颜色 5 2 3 2 2 3 2 2" xfId="14857"/>
    <cellStyle name="20% - 强调文字颜色 5 2 3 2 2 3 2 2 2" xfId="14858"/>
    <cellStyle name="20% - 强调文字颜色 5 2 3 2 2 3 3" xfId="14859"/>
    <cellStyle name="20% - 强调文字颜色 5 2 3 2 2 3 3 2" xfId="14860"/>
    <cellStyle name="20% - 强调文字颜色 5 2 3 2 2 3 4" xfId="14861"/>
    <cellStyle name="20% - 强调文字颜色 5 2 3 2 2 3 4 2" xfId="14862"/>
    <cellStyle name="20% - 强调文字颜色 5 2 3 2 2 3 5" xfId="14863"/>
    <cellStyle name="20% - 强调文字颜色 5 2 3 2 2 4" xfId="14864"/>
    <cellStyle name="20% - 强调文字颜色 5 2 3 2 2 5" xfId="14865"/>
    <cellStyle name="20% - 强调文字颜色 5 2 3 2 2 6" xfId="14866"/>
    <cellStyle name="20% - 强调文字颜色 5 2 3 2 2 6 2" xfId="14867"/>
    <cellStyle name="20% - 强调文字颜色 5 2 3 2 2 7" xfId="14868"/>
    <cellStyle name="20% - 强调文字颜色 5 2 3 2 2 7 2" xfId="14869"/>
    <cellStyle name="20% - 强调文字颜色 5 2 3 2 3" xfId="14870"/>
    <cellStyle name="20% - 强调文字颜色 5 2 3 2 3 2" xfId="14871"/>
    <cellStyle name="20% - 强调文字颜色 5 2 3 2 3 3" xfId="14872"/>
    <cellStyle name="20% - 强调文字颜色 5 2 3 2 3 3 2" xfId="14873"/>
    <cellStyle name="20% - 强调文字颜色 5 2 3 2 3 3 2 2" xfId="14874"/>
    <cellStyle name="20% - 强调文字颜色 5 2 3 2 3 4" xfId="14875"/>
    <cellStyle name="20% - 强调文字颜色 5 2 3 2 3 4 2" xfId="14876"/>
    <cellStyle name="20% - 强调文字颜色 5 2 3 2 3 5" xfId="14877"/>
    <cellStyle name="20% - 强调文字颜色 5 2 3 2 3 5 2" xfId="14878"/>
    <cellStyle name="20% - 强调文字颜色 5 2 3 2 3 6" xfId="14879"/>
    <cellStyle name="20% - 强调文字颜色 5 2 3 2 4" xfId="14880"/>
    <cellStyle name="20% - 强调文字颜色 5 2 3 2 4 2" xfId="14881"/>
    <cellStyle name="20% - 强调文字颜色 5 2 3 2 4 2 2" xfId="14882"/>
    <cellStyle name="20% - 强调文字颜色 5 2 3 2 4 2 2 2" xfId="14883"/>
    <cellStyle name="20% - 强调文字颜色 5 2 3 2 4 3" xfId="14884"/>
    <cellStyle name="20% - 强调文字颜色 5 2 3 2 4 3 2" xfId="14885"/>
    <cellStyle name="20% - 强调文字颜色 5 2 3 2 4 4" xfId="14886"/>
    <cellStyle name="20% - 强调文字颜色 5 2 3 2 4 4 2" xfId="14887"/>
    <cellStyle name="20% - 强调文字颜色 5 2 3 2 4 5" xfId="14888"/>
    <cellStyle name="20% - 强调文字颜色 5 2 3 2 5" xfId="14889"/>
    <cellStyle name="20% - 强调文字颜色 5 2 3 2 6" xfId="14890"/>
    <cellStyle name="20% - 强调文字颜色 5 2 3 2 7" xfId="14891"/>
    <cellStyle name="20% - 强调文字颜色 5 2 3 2 7 2" xfId="14892"/>
    <cellStyle name="20% - 强调文字颜色 5 2 3 2 8" xfId="14893"/>
    <cellStyle name="20% - 强调文字颜色 5 2 3 2 8 2" xfId="14894"/>
    <cellStyle name="20% - 强调文字颜色 5 2 3 3" xfId="14895"/>
    <cellStyle name="20% - 强调文字颜色 5 2 3 3 2" xfId="14896"/>
    <cellStyle name="20% - 强调文字颜色 5 2 3 3 2 2" xfId="14897"/>
    <cellStyle name="20% - 强调文字颜色 5 2 3 3 2 3" xfId="14898"/>
    <cellStyle name="20% - 强调文字颜色 5 2 3 3 2 3 2" xfId="14899"/>
    <cellStyle name="20% - 强调文字颜色 5 2 3 3 2 3 2 2" xfId="14900"/>
    <cellStyle name="20% - 强调文字颜色 5 2 3 3 2 4" xfId="14901"/>
    <cellStyle name="20% - 强调文字颜色 5 2 3 3 2 4 2" xfId="14902"/>
    <cellStyle name="20% - 强调文字颜色 5 2 3 3 2 5" xfId="14903"/>
    <cellStyle name="20% - 强调文字颜色 5 2 3 3 2 5 2" xfId="14904"/>
    <cellStyle name="20% - 强调文字颜色 5 2 3 3 2 6" xfId="14905"/>
    <cellStyle name="20% - 强调文字颜色 5 2 3 3 3" xfId="14906"/>
    <cellStyle name="20% - 强调文字颜色 5 2 3 3 3 2" xfId="14907"/>
    <cellStyle name="20% - 强调文字颜色 5 2 3 3 3 2 2" xfId="14908"/>
    <cellStyle name="20% - 强调文字颜色 5 2 3 3 3 2 2 2" xfId="14909"/>
    <cellStyle name="20% - 强调文字颜色 5 2 3 3 3 3" xfId="14910"/>
    <cellStyle name="20% - 强调文字颜色 5 2 3 3 3 3 2" xfId="14911"/>
    <cellStyle name="20% - 强调文字颜色 5 2 3 3 3 4" xfId="14912"/>
    <cellStyle name="20% - 强调文字颜色 5 2 3 3 3 4 2" xfId="14913"/>
    <cellStyle name="20% - 强调文字颜色 5 2 3 3 3 5" xfId="14914"/>
    <cellStyle name="20% - 强调文字颜色 5 2 3 3 4" xfId="14915"/>
    <cellStyle name="20% - 强调文字颜色 5 2 3 3 5" xfId="14916"/>
    <cellStyle name="20% - 强调文字颜色 5 2 3 3 6" xfId="14917"/>
    <cellStyle name="20% - 强调文字颜色 5 2 3 3 6 2" xfId="14918"/>
    <cellStyle name="20% - 强调文字颜色 5 2 3 3 7" xfId="14919"/>
    <cellStyle name="20% - 强调文字颜色 5 2 3 3 7 2" xfId="14920"/>
    <cellStyle name="20% - 强调文字颜色 5 2 3 4" xfId="14921"/>
    <cellStyle name="20% - 强调文字颜色 5 2 3 4 2" xfId="14922"/>
    <cellStyle name="20% - 强调文字颜色 5 2 3 4 2 2" xfId="14923"/>
    <cellStyle name="20% - 强调文字颜色 5 2 3 4 2 3" xfId="14924"/>
    <cellStyle name="20% - 强调文字颜色 5 2 3 4 2 3 2" xfId="14925"/>
    <cellStyle name="20% - 强调文字颜色 5 2 3 4 2 3 2 2" xfId="14926"/>
    <cellStyle name="20% - 强调文字颜色 5 2 3 4 2 4" xfId="14927"/>
    <cellStyle name="20% - 强调文字颜色 5 2 3 4 2 4 2" xfId="14928"/>
    <cellStyle name="20% - 强调文字颜色 5 2 3 4 2 5" xfId="14929"/>
    <cellStyle name="20% - 强调文字颜色 5 2 3 4 2 5 2" xfId="14930"/>
    <cellStyle name="20% - 强调文字颜色 5 2 3 4 2 6" xfId="14931"/>
    <cellStyle name="20% - 强调文字颜色 5 2 3 4 3" xfId="14932"/>
    <cellStyle name="20% - 强调文字颜色 5 2 3 4 4" xfId="14933"/>
    <cellStyle name="20% - 强调文字颜色 5 2 3 4 5" xfId="14934"/>
    <cellStyle name="20% - 强调文字颜色 5 2 3 4 6" xfId="14935"/>
    <cellStyle name="20% - 强调文字颜色 5 2 3 4 6 2" xfId="14936"/>
    <cellStyle name="20% - 强调文字颜色 5 2 3 4 7" xfId="14937"/>
    <cellStyle name="20% - 强调文字颜色 5 2 3 4 7 2" xfId="14938"/>
    <cellStyle name="20% - 强调文字颜色 5 2 3 5" xfId="14939"/>
    <cellStyle name="20% - 强调文字颜色 5 2 3 5 2" xfId="14940"/>
    <cellStyle name="20% - 强调文字颜色 5 2 3 5 2 2" xfId="14941"/>
    <cellStyle name="20% - 强调文字颜色 5 2 3 5 2 2 2" xfId="14942"/>
    <cellStyle name="20% - 强调文字颜色 5 2 3 5 2 2 2 2" xfId="14943"/>
    <cellStyle name="20% - 强调文字颜色 5 2 3 5 2 3" xfId="14944"/>
    <cellStyle name="20% - 强调文字颜色 5 2 3 5 2 3 2" xfId="14945"/>
    <cellStyle name="20% - 强调文字颜色 5 2 3 5 2 4" xfId="14946"/>
    <cellStyle name="20% - 强调文字颜色 5 2 3 5 2 4 2" xfId="14947"/>
    <cellStyle name="20% - 强调文字颜色 5 2 3 5 2 5" xfId="14948"/>
    <cellStyle name="20% - 强调文字颜色 5 2 3 5 3" xfId="14949"/>
    <cellStyle name="20% - 强调文字颜色 5 2 3 5 3 2" xfId="14950"/>
    <cellStyle name="20% - 强调文字颜色 5 2 3 5 3 2 2" xfId="14951"/>
    <cellStyle name="20% - 强调文字颜色 5 2 3 5 4" xfId="14952"/>
    <cellStyle name="20% - 强调文字颜色 5 2 3 5 4 2" xfId="14953"/>
    <cellStyle name="20% - 强调文字颜色 5 2 3 5 5" xfId="14954"/>
    <cellStyle name="20% - 强调文字颜色 5 2 3 5 5 2" xfId="14955"/>
    <cellStyle name="20% - 强调文字颜色 5 2 3 5 6" xfId="14956"/>
    <cellStyle name="20% - 强调文字颜色 5 2 3 6" xfId="14957"/>
    <cellStyle name="20% - 强调文字颜色 5 2 3 6 2" xfId="14958"/>
    <cellStyle name="20% - 强调文字颜色 5 2 3 6 2 2" xfId="14959"/>
    <cellStyle name="20% - 强调文字颜色 5 2 3 6 2 2 2" xfId="14960"/>
    <cellStyle name="20% - 强调文字颜色 5 2 3 6 3" xfId="14961"/>
    <cellStyle name="20% - 强调文字颜色 5 2 3 6 3 2" xfId="14962"/>
    <cellStyle name="20% - 强调文字颜色 5 2 3 6 4" xfId="14963"/>
    <cellStyle name="20% - 强调文字颜色 5 2 3 6 4 2" xfId="14964"/>
    <cellStyle name="20% - 强调文字颜色 5 2 3 6 5" xfId="14965"/>
    <cellStyle name="20% - 强调文字颜色 5 2 3 7" xfId="14966"/>
    <cellStyle name="20% - 强调文字颜色 5 2 3 7 2" xfId="14967"/>
    <cellStyle name="20% - 强调文字颜色 5 2 3 7 2 2" xfId="14968"/>
    <cellStyle name="20% - 强调文字颜色 5 2 3 7 2 2 2" xfId="14969"/>
    <cellStyle name="20% - 强调文字颜色 5 2 3 7 3" xfId="14970"/>
    <cellStyle name="20% - 强调文字颜色 5 2 3 7 3 2" xfId="14971"/>
    <cellStyle name="20% - 强调文字颜色 5 2 3 7 4" xfId="14972"/>
    <cellStyle name="20% - 强调文字颜色 5 2 3 7 4 2" xfId="14973"/>
    <cellStyle name="20% - 强调文字颜色 5 2 3 7 5" xfId="14974"/>
    <cellStyle name="20% - 强调文字颜色 5 2 3 8" xfId="14975"/>
    <cellStyle name="20% - 强调文字颜色 5 2 3 9" xfId="14976"/>
    <cellStyle name="20% - 强调文字颜色 5 2 3 9 2" xfId="14977"/>
    <cellStyle name="20% - 强调文字颜色 5 2 4" xfId="14978"/>
    <cellStyle name="20% - 强调文字颜色 5 2 4 2" xfId="14979"/>
    <cellStyle name="20% - 强调文字颜色 5 2 4 2 2" xfId="14980"/>
    <cellStyle name="20% - 强调文字颜色 5 2 4 2 3" xfId="14981"/>
    <cellStyle name="20% - 强调文字颜色 5 2 4 2 3 2" xfId="14982"/>
    <cellStyle name="20% - 强调文字颜色 5 2 4 2 3 2 2" xfId="14983"/>
    <cellStyle name="20% - 强调文字颜色 5 2 4 2 4" xfId="14984"/>
    <cellStyle name="20% - 强调文字颜色 5 2 4 2 4 2" xfId="14985"/>
    <cellStyle name="20% - 强调文字颜色 5 2 4 2 5" xfId="14986"/>
    <cellStyle name="20% - 强调文字颜色 5 2 4 2 5 2" xfId="14987"/>
    <cellStyle name="20% - 强调文字颜色 5 2 4 2 6" xfId="14988"/>
    <cellStyle name="20% - 强调文字颜色 5 2 4 3" xfId="14989"/>
    <cellStyle name="20% - 强调文字颜色 5 2 4 3 2" xfId="14990"/>
    <cellStyle name="20% - 强调文字颜色 5 2 4 3 2 2" xfId="14991"/>
    <cellStyle name="20% - 强调文字颜色 5 2 4 3 2 2 2" xfId="14992"/>
    <cellStyle name="20% - 强调文字颜色 5 2 4 3 3" xfId="14993"/>
    <cellStyle name="20% - 强调文字颜色 5 2 4 3 3 2" xfId="14994"/>
    <cellStyle name="20% - 强调文字颜色 5 2 4 3 4" xfId="14995"/>
    <cellStyle name="20% - 强调文字颜色 5 2 4 3 4 2" xfId="14996"/>
    <cellStyle name="20% - 强调文字颜色 5 2 4 3 5" xfId="14997"/>
    <cellStyle name="20% - 强调文字颜色 5 2 4 4" xfId="14998"/>
    <cellStyle name="20% - 强调文字颜色 5 2 4 5" xfId="14999"/>
    <cellStyle name="20% - 强调文字颜色 5 2 4 6" xfId="15000"/>
    <cellStyle name="20% - 强调文字颜色 5 2 4 6 2" xfId="15001"/>
    <cellStyle name="20% - 强调文字颜色 5 2 4 7" xfId="15002"/>
    <cellStyle name="20% - 强调文字颜色 5 2 4 7 2" xfId="15003"/>
    <cellStyle name="20% - 强调文字颜色 5 2 5" xfId="15004"/>
    <cellStyle name="20% - 强调文字颜色 5 2 5 2" xfId="15005"/>
    <cellStyle name="20% - 强调文字颜色 5 2 5 2 2" xfId="15006"/>
    <cellStyle name="20% - 强调文字颜色 5 2 5 2 3" xfId="15007"/>
    <cellStyle name="20% - 强调文字颜色 5 2 5 2 3 2" xfId="15008"/>
    <cellStyle name="20% - 强调文字颜色 5 2 5 2 3 2 2" xfId="15009"/>
    <cellStyle name="20% - 强调文字颜色 5 2 5 2 4" xfId="15010"/>
    <cellStyle name="20% - 强调文字颜色 5 2 5 2 4 2" xfId="15011"/>
    <cellStyle name="20% - 强调文字颜色 5 2 5 2 5" xfId="15012"/>
    <cellStyle name="20% - 强调文字颜色 5 2 5 2 5 2" xfId="15013"/>
    <cellStyle name="20% - 强调文字颜色 5 2 5 2 6" xfId="15014"/>
    <cellStyle name="20% - 强调文字颜色 5 2 5 3" xfId="15015"/>
    <cellStyle name="20% - 强调文字颜色 5 2 5 4" xfId="15016"/>
    <cellStyle name="20% - 强调文字颜色 5 2 5 5" xfId="15017"/>
    <cellStyle name="20% - 强调文字颜色 5 2 5 6" xfId="15018"/>
    <cellStyle name="20% - 强调文字颜色 5 2 5 6 2" xfId="15019"/>
    <cellStyle name="20% - 强调文字颜色 5 2 5 7" xfId="15020"/>
    <cellStyle name="20% - 强调文字颜色 5 2 5 7 2" xfId="15021"/>
    <cellStyle name="20% - 强调文字颜色 5 2 6" xfId="15022"/>
    <cellStyle name="20% - 强调文字颜色 5 2 6 2" xfId="15023"/>
    <cellStyle name="20% - 强调文字颜色 5 2 6 2 2" xfId="15024"/>
    <cellStyle name="20% - 强调文字颜色 5 2 6 2 2 2" xfId="15025"/>
    <cellStyle name="20% - 强调文字颜色 5 2 6 2 2 2 2" xfId="15026"/>
    <cellStyle name="20% - 强调文字颜色 5 2 6 2 3" xfId="15027"/>
    <cellStyle name="20% - 强调文字颜色 5 2 6 2 3 2" xfId="15028"/>
    <cellStyle name="20% - 强调文字颜色 5 2 6 2 4" xfId="15029"/>
    <cellStyle name="20% - 强调文字颜色 5 2 6 2 4 2" xfId="15030"/>
    <cellStyle name="20% - 强调文字颜色 5 2 6 2 5" xfId="15031"/>
    <cellStyle name="20% - 强调文字颜色 5 2 6 3" xfId="15032"/>
    <cellStyle name="20% - 强调文字颜色 5 2 6 3 2" xfId="15033"/>
    <cellStyle name="20% - 强调文字颜色 5 2 6 3 2 2" xfId="15034"/>
    <cellStyle name="20% - 强调文字颜色 5 2 6 4" xfId="15035"/>
    <cellStyle name="20% - 强调文字颜色 5 2 6 4 2" xfId="15036"/>
    <cellStyle name="20% - 强调文字颜色 5 2 6 5" xfId="15037"/>
    <cellStyle name="20% - 强调文字颜色 5 2 6 5 2" xfId="15038"/>
    <cellStyle name="20% - 强调文字颜色 5 2 6 6" xfId="15039"/>
    <cellStyle name="20% - 强调文字颜色 5 2 7" xfId="15040"/>
    <cellStyle name="20% - 强调文字颜色 5 2 7 2" xfId="15041"/>
    <cellStyle name="20% - 强调文字颜色 5 2 7 2 2" xfId="15042"/>
    <cellStyle name="20% - 强调文字颜色 5 2 7 2 2 2" xfId="15043"/>
    <cellStyle name="20% - 强调文字颜色 5 2 7 2 2 2 2" xfId="15044"/>
    <cellStyle name="20% - 强调文字颜色 5 2 7 2 3" xfId="15045"/>
    <cellStyle name="20% - 强调文字颜色 5 2 7 2 3 2" xfId="15046"/>
    <cellStyle name="20% - 强调文字颜色 5 2 7 2 4" xfId="15047"/>
    <cellStyle name="20% - 强调文字颜色 5 2 7 2 4 2" xfId="15048"/>
    <cellStyle name="20% - 强调文字颜色 5 2 7 2 5" xfId="15049"/>
    <cellStyle name="20% - 强调文字颜色 5 2 7 3" xfId="15050"/>
    <cellStyle name="20% - 强调文字颜色 5 2 7 3 2" xfId="15051"/>
    <cellStyle name="20% - 强调文字颜色 5 2 7 3 2 2" xfId="15052"/>
    <cellStyle name="20% - 强调文字颜色 5 2 7 4" xfId="15053"/>
    <cellStyle name="20% - 强调文字颜色 5 2 7 4 2" xfId="15054"/>
    <cellStyle name="20% - 强调文字颜色 5 2 7 5" xfId="15055"/>
    <cellStyle name="20% - 强调文字颜色 5 2 7 5 2" xfId="15056"/>
    <cellStyle name="20% - 强调文字颜色 5 2 7 6" xfId="15057"/>
    <cellStyle name="20% - 强调文字颜色 5 2 8" xfId="15058"/>
    <cellStyle name="20% - 强调文字颜色 5 2 8 2" xfId="15059"/>
    <cellStyle name="20% - 强调文字颜色 5 2 8 2 2" xfId="15060"/>
    <cellStyle name="20% - 强调文字颜色 5 2 8 2 2 2" xfId="15061"/>
    <cellStyle name="20% - 强调文字颜色 5 2 8 2 2 2 2" xfId="15062"/>
    <cellStyle name="20% - 强调文字颜色 5 2 8 2 3" xfId="15063"/>
    <cellStyle name="20% - 强调文字颜色 5 2 8 2 3 2" xfId="15064"/>
    <cellStyle name="20% - 强调文字颜色 5 2 8 2 4" xfId="15065"/>
    <cellStyle name="20% - 强调文字颜色 5 2 8 2 4 2" xfId="15066"/>
    <cellStyle name="20% - 强调文字颜色 5 2 8 2 5" xfId="15067"/>
    <cellStyle name="20% - 强调文字颜色 5 2 8 3" xfId="15068"/>
    <cellStyle name="20% - 强调文字颜色 5 2 8 3 2" xfId="15069"/>
    <cellStyle name="20% - 强调文字颜色 5 2 8 3 2 2" xfId="15070"/>
    <cellStyle name="20% - 强调文字颜色 5 2 8 4" xfId="15071"/>
    <cellStyle name="20% - 强调文字颜色 5 2 8 4 2" xfId="15072"/>
    <cellStyle name="20% - 强调文字颜色 5 2 8 5" xfId="15073"/>
    <cellStyle name="20% - 强调文字颜色 5 2 8 5 2" xfId="15074"/>
    <cellStyle name="20% - 强调文字颜色 5 2 8 6" xfId="15075"/>
    <cellStyle name="20% - 强调文字颜色 5 2 9" xfId="15076"/>
    <cellStyle name="20% - 强调文字颜色 5 2 9 2" xfId="15077"/>
    <cellStyle name="20% - 强调文字颜色 5 2 9 2 2" xfId="15078"/>
    <cellStyle name="20% - 强调文字颜色 5 2 9 2 2 2" xfId="15079"/>
    <cellStyle name="20% - 强调文字颜色 5 2 9 3" xfId="15080"/>
    <cellStyle name="20% - 强调文字颜色 5 2 9 3 2" xfId="15081"/>
    <cellStyle name="20% - 强调文字颜色 5 2 9 4" xfId="15082"/>
    <cellStyle name="20% - 强调文字颜色 5 2 9 4 2" xfId="15083"/>
    <cellStyle name="20% - 强调文字颜色 5 2 9 5" xfId="15084"/>
    <cellStyle name="20% - 强调文字颜色 5 3" xfId="15085"/>
    <cellStyle name="20% - 强调文字颜色 5 3 2" xfId="15086"/>
    <cellStyle name="20% - 强调文字颜色 5 3 2 2" xfId="15087"/>
    <cellStyle name="20% - 强调文字颜色 5 3 2 2 2" xfId="15088"/>
    <cellStyle name="20% - 强调文字颜色 5 3 2 2 2 2" xfId="15089"/>
    <cellStyle name="20% - 强调文字颜色 5 3 2 2 2 3" xfId="15090"/>
    <cellStyle name="20% - 强调文字颜色 5 3 2 2 2 3 2" xfId="15091"/>
    <cellStyle name="20% - 强调文字颜色 5 3 2 2 2 3 2 2" xfId="15092"/>
    <cellStyle name="20% - 强调文字颜色 5 3 2 2 2 4" xfId="15093"/>
    <cellStyle name="20% - 强调文字颜色 5 3 2 2 2 4 2" xfId="15094"/>
    <cellStyle name="20% - 强调文字颜色 5 3 2 2 2 5" xfId="15095"/>
    <cellStyle name="20% - 强调文字颜色 5 3 2 2 2 5 2" xfId="15096"/>
    <cellStyle name="20% - 强调文字颜色 5 3 2 2 2 6" xfId="15097"/>
    <cellStyle name="20% - 强调文字颜色 5 3 2 2 3" xfId="15098"/>
    <cellStyle name="20% - 强调文字颜色 5 3 2 2 3 2" xfId="15099"/>
    <cellStyle name="20% - 强调文字颜色 5 3 2 2 3 2 2" xfId="15100"/>
    <cellStyle name="20% - 强调文字颜色 5 3 2 2 3 2 2 2" xfId="15101"/>
    <cellStyle name="20% - 强调文字颜色 5 3 2 2 3 3" xfId="15102"/>
    <cellStyle name="20% - 强调文字颜色 5 3 2 2 3 3 2" xfId="15103"/>
    <cellStyle name="20% - 强调文字颜色 5 3 2 2 3 4" xfId="15104"/>
    <cellStyle name="20% - 强调文字颜色 5 3 2 2 3 4 2" xfId="15105"/>
    <cellStyle name="20% - 强调文字颜色 5 3 2 2 3 5" xfId="15106"/>
    <cellStyle name="20% - 强调文字颜色 5 3 2 2 4" xfId="15107"/>
    <cellStyle name="20% - 强调文字颜色 5 3 2 2 5" xfId="15108"/>
    <cellStyle name="20% - 强调文字颜色 5 3 2 2 6" xfId="15109"/>
    <cellStyle name="20% - 强调文字颜色 5 3 2 2 6 2" xfId="15110"/>
    <cellStyle name="20% - 强调文字颜色 5 3 2 2 7" xfId="15111"/>
    <cellStyle name="20% - 强调文字颜色 5 3 2 2 7 2" xfId="15112"/>
    <cellStyle name="20% - 强调文字颜色 5 3 2 3" xfId="15113"/>
    <cellStyle name="20% - 强调文字颜色 5 3 2 3 2" xfId="15114"/>
    <cellStyle name="20% - 强调文字颜色 5 3 2 3 3" xfId="15115"/>
    <cellStyle name="20% - 强调文字颜色 5 3 2 3 3 2" xfId="15116"/>
    <cellStyle name="20% - 强调文字颜色 5 3 2 3 3 2 2" xfId="15117"/>
    <cellStyle name="20% - 强调文字颜色 5 3 2 3 4" xfId="15118"/>
    <cellStyle name="20% - 强调文字颜色 5 3 2 3 4 2" xfId="15119"/>
    <cellStyle name="20% - 强调文字颜色 5 3 2 3 5" xfId="15120"/>
    <cellStyle name="20% - 强调文字颜色 5 3 2 3 5 2" xfId="15121"/>
    <cellStyle name="20% - 强调文字颜色 5 3 2 3 6" xfId="15122"/>
    <cellStyle name="20% - 强调文字颜色 5 3 2 4" xfId="15123"/>
    <cellStyle name="20% - 强调文字颜色 5 3 2 4 2" xfId="15124"/>
    <cellStyle name="20% - 强调文字颜色 5 3 2 4 2 2" xfId="15125"/>
    <cellStyle name="20% - 强调文字颜色 5 3 2 4 2 2 2" xfId="15126"/>
    <cellStyle name="20% - 强调文字颜色 5 3 2 4 3" xfId="15127"/>
    <cellStyle name="20% - 强调文字颜色 5 3 2 4 3 2" xfId="15128"/>
    <cellStyle name="20% - 强调文字颜色 5 3 2 4 4" xfId="15129"/>
    <cellStyle name="20% - 强调文字颜色 5 3 2 4 4 2" xfId="15130"/>
    <cellStyle name="20% - 强调文字颜色 5 3 2 4 5" xfId="15131"/>
    <cellStyle name="20% - 强调文字颜色 5 3 2 5" xfId="15132"/>
    <cellStyle name="20% - 强调文字颜色 5 3 2 6" xfId="15133"/>
    <cellStyle name="20% - 强调文字颜色 5 3 2 7" xfId="15134"/>
    <cellStyle name="20% - 强调文字颜色 5 3 2 7 2" xfId="15135"/>
    <cellStyle name="20% - 强调文字颜色 5 3 2 8" xfId="15136"/>
    <cellStyle name="20% - 强调文字颜色 5 3 2 8 2" xfId="15137"/>
    <cellStyle name="20% - 强调文字颜色 5 3 3" xfId="15138"/>
    <cellStyle name="20% - 强调文字颜色 5 3 3 2" xfId="15139"/>
    <cellStyle name="20% - 强调文字颜色 5 3 3 2 2" xfId="15140"/>
    <cellStyle name="20% - 强调文字颜色 5 3 3 2 3" xfId="15141"/>
    <cellStyle name="20% - 强调文字颜色 5 3 3 2 3 2" xfId="15142"/>
    <cellStyle name="20% - 强调文字颜色 5 3 3 2 3 2 2" xfId="15143"/>
    <cellStyle name="20% - 强调文字颜色 5 3 3 2 4" xfId="15144"/>
    <cellStyle name="20% - 强调文字颜色 5 3 3 2 4 2" xfId="15145"/>
    <cellStyle name="20% - 强调文字颜色 5 3 3 2 5" xfId="15146"/>
    <cellStyle name="20% - 强调文字颜色 5 3 3 2 5 2" xfId="15147"/>
    <cellStyle name="20% - 强调文字颜色 5 3 3 2 6" xfId="15148"/>
    <cellStyle name="20% - 强调文字颜色 5 3 3 3" xfId="15149"/>
    <cellStyle name="20% - 强调文字颜色 5 3 3 3 2" xfId="15150"/>
    <cellStyle name="20% - 强调文字颜色 5 3 3 3 2 2" xfId="15151"/>
    <cellStyle name="20% - 强调文字颜色 5 3 3 3 2 2 2" xfId="15152"/>
    <cellStyle name="20% - 强调文字颜色 5 3 3 3 3" xfId="15153"/>
    <cellStyle name="20% - 强调文字颜色 5 3 3 3 3 2" xfId="15154"/>
    <cellStyle name="20% - 强调文字颜色 5 3 3 3 4" xfId="15155"/>
    <cellStyle name="20% - 强调文字颜色 5 3 3 3 4 2" xfId="15156"/>
    <cellStyle name="20% - 强调文字颜色 5 3 3 3 5" xfId="15157"/>
    <cellStyle name="20% - 强调文字颜色 5 3 3 4" xfId="15158"/>
    <cellStyle name="20% - 强调文字颜色 5 3 3 5" xfId="15159"/>
    <cellStyle name="20% - 强调文字颜色 5 3 3 6" xfId="15160"/>
    <cellStyle name="20% - 强调文字颜色 5 3 3 6 2" xfId="15161"/>
    <cellStyle name="20% - 强调文字颜色 5 3 3 7" xfId="15162"/>
    <cellStyle name="20% - 强调文字颜色 5 3 3 7 2" xfId="15163"/>
    <cellStyle name="20% - 强调文字颜色 5 3 4" xfId="15164"/>
    <cellStyle name="20% - 强调文字颜色 5 3 4 2" xfId="15165"/>
    <cellStyle name="20% - 强调文字颜色 5 3 4 2 2" xfId="15166"/>
    <cellStyle name="20% - 强调文字颜色 5 3 4 2 3" xfId="15167"/>
    <cellStyle name="20% - 强调文字颜色 5 3 4 2 3 2" xfId="15168"/>
    <cellStyle name="20% - 强调文字颜色 5 3 4 2 3 2 2" xfId="15169"/>
    <cellStyle name="20% - 强调文字颜色 5 3 4 2 4" xfId="15170"/>
    <cellStyle name="20% - 强调文字颜色 5 3 4 2 4 2" xfId="15171"/>
    <cellStyle name="20% - 强调文字颜色 5 3 4 2 5" xfId="15172"/>
    <cellStyle name="20% - 强调文字颜色 5 3 4 2 5 2" xfId="15173"/>
    <cellStyle name="20% - 强调文字颜色 5 3 4 2 6" xfId="15174"/>
    <cellStyle name="20% - 强调文字颜色 5 3 4 3" xfId="15175"/>
    <cellStyle name="20% - 强调文字颜色 5 3 4 4" xfId="15176"/>
    <cellStyle name="20% - 强调文字颜色 5 3 4 5" xfId="15177"/>
    <cellStyle name="20% - 强调文字颜色 5 3 4 6" xfId="15178"/>
    <cellStyle name="20% - 强调文字颜色 5 3 4 6 2" xfId="15179"/>
    <cellStyle name="20% - 强调文字颜色 5 3 4 7" xfId="15180"/>
    <cellStyle name="20% - 强调文字颜色 5 3 4 7 2" xfId="15181"/>
    <cellStyle name="20% - 强调文字颜色 5 3 5" xfId="15182"/>
    <cellStyle name="20% - 强调文字颜色 5 3 5 2" xfId="15183"/>
    <cellStyle name="20% - 强调文字颜色 5 3 5 2 2" xfId="15184"/>
    <cellStyle name="20% - 强调文字颜色 5 3 5 2 2 2" xfId="15185"/>
    <cellStyle name="20% - 强调文字颜色 5 3 5 2 2 2 2" xfId="15186"/>
    <cellStyle name="20% - 强调文字颜色 5 3 5 2 3" xfId="15187"/>
    <cellStyle name="20% - 强调文字颜色 5 3 5 2 3 2" xfId="15188"/>
    <cellStyle name="20% - 强调文字颜色 5 3 5 2 4" xfId="15189"/>
    <cellStyle name="20% - 强调文字颜色 5 3 5 2 4 2" xfId="15190"/>
    <cellStyle name="20% - 强调文字颜色 5 3 5 2 5" xfId="15191"/>
    <cellStyle name="20% - 强调文字颜色 5 3 5 3" xfId="15192"/>
    <cellStyle name="20% - 强调文字颜色 5 3 5 3 2" xfId="15193"/>
    <cellStyle name="20% - 强调文字颜色 5 3 5 3 2 2" xfId="15194"/>
    <cellStyle name="20% - 强调文字颜色 5 3 5 4" xfId="15195"/>
    <cellStyle name="20% - 强调文字颜色 5 3 5 4 2" xfId="15196"/>
    <cellStyle name="20% - 强调文字颜色 5 3 5 5" xfId="15197"/>
    <cellStyle name="20% - 强调文字颜色 5 3 5 5 2" xfId="15198"/>
    <cellStyle name="20% - 强调文字颜色 5 3 5 6" xfId="15199"/>
    <cellStyle name="20% - 强调文字颜色 5 3 6" xfId="15200"/>
    <cellStyle name="20% - 强调文字颜色 5 3 6 2" xfId="15201"/>
    <cellStyle name="20% - 强调文字颜色 5 3 6 2 2" xfId="15202"/>
    <cellStyle name="20% - 强调文字颜色 5 3 6 2 2 2" xfId="15203"/>
    <cellStyle name="20% - 强调文字颜色 5 3 6 3" xfId="15204"/>
    <cellStyle name="20% - 强调文字颜色 5 3 6 3 2" xfId="15205"/>
    <cellStyle name="20% - 强调文字颜色 5 3 6 4" xfId="15206"/>
    <cellStyle name="20% - 强调文字颜色 5 3 6 4 2" xfId="15207"/>
    <cellStyle name="20% - 强调文字颜色 5 3 6 5" xfId="15208"/>
    <cellStyle name="20% - 强调文字颜色 5 3 7" xfId="15209"/>
    <cellStyle name="20% - 强调文字颜色 5 3 8" xfId="15210"/>
    <cellStyle name="20% - 强调文字颜色 5 3 8 2" xfId="15211"/>
    <cellStyle name="20% - 强调文字颜色 5 3 9" xfId="15212"/>
    <cellStyle name="20% - 强调文字颜色 5 3 9 2" xfId="15213"/>
    <cellStyle name="20% - 强调文字颜色 6 2" xfId="15214"/>
    <cellStyle name="20% - 强调文字颜色 6 2 10" xfId="15215"/>
    <cellStyle name="20% - 强调文字颜色 6 2 11" xfId="15216"/>
    <cellStyle name="20% - 强调文字颜色 6 2 11 2" xfId="15217"/>
    <cellStyle name="20% - 强调文字颜色 6 2 12" xfId="15218"/>
    <cellStyle name="20% - 强调文字颜色 6 2 12 2" xfId="15219"/>
    <cellStyle name="20% - 强调文字颜色 6 2 2" xfId="15220"/>
    <cellStyle name="20% - 强调文字颜色 6 2 2 10" xfId="15221"/>
    <cellStyle name="20% - 强调文字颜色 6 2 2 11" xfId="15222"/>
    <cellStyle name="20% - 强调文字颜色 6 2 2 11 2" xfId="15223"/>
    <cellStyle name="20% - 强调文字颜色 6 2 2 12" xfId="15224"/>
    <cellStyle name="20% - 强调文字颜色 6 2 2 12 2" xfId="15225"/>
    <cellStyle name="20% - 强调文字颜色 6 2 2 2" xfId="15226"/>
    <cellStyle name="20% - 强调文字颜色 6 2 2 2 2" xfId="15227"/>
    <cellStyle name="20% - 强调文字颜色 6 2 2 2 2 2" xfId="15228"/>
    <cellStyle name="20% - 强调文字颜色 6 2 2 2 2 2 2" xfId="15229"/>
    <cellStyle name="20% - 强调文字颜色 6 2 2 2 2 2 3" xfId="15230"/>
    <cellStyle name="20% - 强调文字颜色 6 2 2 2 2 2 3 2" xfId="15231"/>
    <cellStyle name="20% - 强调文字颜色 6 2 2 2 2 2 3 2 2" xfId="15232"/>
    <cellStyle name="20% - 强调文字颜色 6 2 2 2 2 2 4" xfId="15233"/>
    <cellStyle name="20% - 强调文字颜色 6 2 2 2 2 2 4 2" xfId="15234"/>
    <cellStyle name="20% - 强调文字颜色 6 2 2 2 2 2 5" xfId="15235"/>
    <cellStyle name="20% - 强调文字颜色 6 2 2 2 2 2 5 2" xfId="15236"/>
    <cellStyle name="20% - 强调文字颜色 6 2 2 2 2 2 6" xfId="15237"/>
    <cellStyle name="20% - 强调文字颜色 6 2 2 2 2 3" xfId="15238"/>
    <cellStyle name="20% - 强调文字颜色 6 2 2 2 2 3 2" xfId="15239"/>
    <cellStyle name="20% - 强调文字颜色 6 2 2 2 2 3 2 2" xfId="15240"/>
    <cellStyle name="20% - 强调文字颜色 6 2 2 2 2 3 2 2 2" xfId="15241"/>
    <cellStyle name="20% - 强调文字颜色 6 2 2 2 2 3 3" xfId="15242"/>
    <cellStyle name="20% - 强调文字颜色 6 2 2 2 2 3 3 2" xfId="15243"/>
    <cellStyle name="20% - 强调文字颜色 6 2 2 2 2 3 4" xfId="15244"/>
    <cellStyle name="20% - 强调文字颜色 6 2 2 2 2 3 4 2" xfId="15245"/>
    <cellStyle name="20% - 强调文字颜色 6 2 2 2 2 3 5" xfId="15246"/>
    <cellStyle name="20% - 强调文字颜色 6 2 2 2 2 4" xfId="15247"/>
    <cellStyle name="20% - 强调文字颜色 6 2 2 2 2 5" xfId="15248"/>
    <cellStyle name="20% - 强调文字颜色 6 2 2 2 2 6" xfId="15249"/>
    <cellStyle name="20% - 强调文字颜色 6 2 2 2 2 6 2" xfId="15250"/>
    <cellStyle name="20% - 强调文字颜色 6 2 2 2 2 7" xfId="15251"/>
    <cellStyle name="20% - 强调文字颜色 6 2 2 2 2 7 2" xfId="15252"/>
    <cellStyle name="20% - 强调文字颜色 6 2 2 2 3" xfId="15253"/>
    <cellStyle name="20% - 强调文字颜色 6 2 2 2 3 2" xfId="15254"/>
    <cellStyle name="20% - 强调文字颜色 6 2 2 2 3 3" xfId="15255"/>
    <cellStyle name="20% - 强调文字颜色 6 2 2 2 3 3 2" xfId="15256"/>
    <cellStyle name="20% - 强调文字颜色 6 2 2 2 3 3 2 2" xfId="15257"/>
    <cellStyle name="20% - 强调文字颜色 6 2 2 2 3 4" xfId="15258"/>
    <cellStyle name="20% - 强调文字颜色 6 2 2 2 3 4 2" xfId="15259"/>
    <cellStyle name="20% - 强调文字颜色 6 2 2 2 3 5" xfId="15260"/>
    <cellStyle name="20% - 强调文字颜色 6 2 2 2 3 5 2" xfId="15261"/>
    <cellStyle name="20% - 强调文字颜色 6 2 2 2 3 6" xfId="15262"/>
    <cellStyle name="20% - 强调文字颜色 6 2 2 2 4" xfId="15263"/>
    <cellStyle name="20% - 强调文字颜色 6 2 2 2 4 2" xfId="15264"/>
    <cellStyle name="20% - 强调文字颜色 6 2 2 2 4 2 2" xfId="15265"/>
    <cellStyle name="20% - 强调文字颜色 6 2 2 2 4 2 2 2" xfId="15266"/>
    <cellStyle name="20% - 强调文字颜色 6 2 2 2 4 3" xfId="15267"/>
    <cellStyle name="20% - 强调文字颜色 6 2 2 2 4 3 2" xfId="15268"/>
    <cellStyle name="20% - 强调文字颜色 6 2 2 2 4 4" xfId="15269"/>
    <cellStyle name="20% - 强调文字颜色 6 2 2 2 4 4 2" xfId="15270"/>
    <cellStyle name="20% - 强调文字颜色 6 2 2 2 4 5" xfId="15271"/>
    <cellStyle name="20% - 强调文字颜色 6 2 2 2 5" xfId="15272"/>
    <cellStyle name="20% - 强调文字颜色 6 2 2 2 6" xfId="15273"/>
    <cellStyle name="20% - 强调文字颜色 6 2 2 2 7" xfId="15274"/>
    <cellStyle name="20% - 强调文字颜色 6 2 2 2 7 2" xfId="15275"/>
    <cellStyle name="20% - 强调文字颜色 6 2 2 2 8" xfId="15276"/>
    <cellStyle name="20% - 强调文字颜色 6 2 2 2 8 2" xfId="15277"/>
    <cellStyle name="20% - 强调文字颜色 6 2 2 3" xfId="15278"/>
    <cellStyle name="20% - 强调文字颜色 6 2 2 3 2" xfId="15279"/>
    <cellStyle name="20% - 强调文字颜色 6 2 2 3 2 2" xfId="15280"/>
    <cellStyle name="20% - 强调文字颜色 6 2 2 3 2 3" xfId="15281"/>
    <cellStyle name="20% - 强调文字颜色 6 2 2 3 2 3 2" xfId="15282"/>
    <cellStyle name="20% - 强调文字颜色 6 2 2 3 2 3 2 2" xfId="15283"/>
    <cellStyle name="20% - 强调文字颜色 6 2 2 3 2 4" xfId="15284"/>
    <cellStyle name="20% - 强调文字颜色 6 2 2 3 2 4 2" xfId="15285"/>
    <cellStyle name="20% - 强调文字颜色 6 2 2 3 2 5" xfId="15286"/>
    <cellStyle name="20% - 强调文字颜色 6 2 2 3 2 5 2" xfId="15287"/>
    <cellStyle name="20% - 强调文字颜色 6 2 2 3 2 6" xfId="15288"/>
    <cellStyle name="20% - 强调文字颜色 6 2 2 3 3" xfId="15289"/>
    <cellStyle name="20% - 强调文字颜色 6 2 2 3 3 2" xfId="15290"/>
    <cellStyle name="20% - 强调文字颜色 6 2 2 3 3 2 2" xfId="15291"/>
    <cellStyle name="20% - 强调文字颜色 6 2 2 3 3 2 2 2" xfId="15292"/>
    <cellStyle name="20% - 强调文字颜色 6 2 2 3 3 3" xfId="15293"/>
    <cellStyle name="20% - 强调文字颜色 6 2 2 3 3 3 2" xfId="15294"/>
    <cellStyle name="20% - 强调文字颜色 6 2 2 3 3 4" xfId="15295"/>
    <cellStyle name="20% - 强调文字颜色 6 2 2 3 3 4 2" xfId="15296"/>
    <cellStyle name="20% - 强调文字颜色 6 2 2 3 3 5" xfId="15297"/>
    <cellStyle name="20% - 强调文字颜色 6 2 2 3 4" xfId="15298"/>
    <cellStyle name="20% - 强调文字颜色 6 2 2 3 5" xfId="15299"/>
    <cellStyle name="20% - 强调文字颜色 6 2 2 3 6" xfId="15300"/>
    <cellStyle name="20% - 强调文字颜色 6 2 2 3 6 2" xfId="15301"/>
    <cellStyle name="20% - 强调文字颜色 6 2 2 3 7" xfId="15302"/>
    <cellStyle name="20% - 强调文字颜色 6 2 2 3 7 2" xfId="15303"/>
    <cellStyle name="20% - 强调文字颜色 6 2 2 4" xfId="15304"/>
    <cellStyle name="20% - 强调文字颜色 6 2 2 4 2" xfId="15305"/>
    <cellStyle name="20% - 强调文字颜色 6 2 2 4 2 2" xfId="15306"/>
    <cellStyle name="20% - 强调文字颜色 6 2 2 4 2 3" xfId="15307"/>
    <cellStyle name="20% - 强调文字颜色 6 2 2 4 2 3 2" xfId="15308"/>
    <cellStyle name="20% - 强调文字颜色 6 2 2 4 2 3 2 2" xfId="15309"/>
    <cellStyle name="20% - 强调文字颜色 6 2 2 4 2 4" xfId="15310"/>
    <cellStyle name="20% - 强调文字颜色 6 2 2 4 2 4 2" xfId="15311"/>
    <cellStyle name="20% - 强调文字颜色 6 2 2 4 2 5" xfId="15312"/>
    <cellStyle name="20% - 强调文字颜色 6 2 2 4 2 5 2" xfId="15313"/>
    <cellStyle name="20% - 强调文字颜色 6 2 2 4 2 6" xfId="15314"/>
    <cellStyle name="20% - 强调文字颜色 6 2 2 4 3" xfId="15315"/>
    <cellStyle name="20% - 强调文字颜色 6 2 2 4 4" xfId="15316"/>
    <cellStyle name="20% - 强调文字颜色 6 2 2 4 5" xfId="15317"/>
    <cellStyle name="20% - 强调文字颜色 6 2 2 4 6" xfId="15318"/>
    <cellStyle name="20% - 强调文字颜色 6 2 2 4 6 2" xfId="15319"/>
    <cellStyle name="20% - 强调文字颜色 6 2 2 4 7" xfId="15320"/>
    <cellStyle name="20% - 强调文字颜色 6 2 2 4 7 2" xfId="15321"/>
    <cellStyle name="20% - 强调文字颜色 6 2 2 5" xfId="15322"/>
    <cellStyle name="20% - 强调文字颜色 6 2 2 5 2" xfId="15323"/>
    <cellStyle name="20% - 强调文字颜色 6 2 2 5 2 2" xfId="15324"/>
    <cellStyle name="20% - 强调文字颜色 6 2 2 5 2 2 2" xfId="15325"/>
    <cellStyle name="20% - 强调文字颜色 6 2 2 5 2 2 2 2" xfId="15326"/>
    <cellStyle name="20% - 强调文字颜色 6 2 2 5 2 3" xfId="15327"/>
    <cellStyle name="20% - 强调文字颜色 6 2 2 5 2 3 2" xfId="15328"/>
    <cellStyle name="20% - 强调文字颜色 6 2 2 5 2 4" xfId="15329"/>
    <cellStyle name="20% - 强调文字颜色 6 2 2 5 2 4 2" xfId="15330"/>
    <cellStyle name="20% - 强调文字颜色 6 2 2 5 2 5" xfId="15331"/>
    <cellStyle name="20% - 强调文字颜色 6 2 2 5 3" xfId="15332"/>
    <cellStyle name="20% - 强调文字颜色 6 2 2 5 3 2" xfId="15333"/>
    <cellStyle name="20% - 强调文字颜色 6 2 2 5 3 2 2" xfId="15334"/>
    <cellStyle name="20% - 强调文字颜色 6 2 2 5 4" xfId="15335"/>
    <cellStyle name="20% - 强调文字颜色 6 2 2 5 4 2" xfId="15336"/>
    <cellStyle name="20% - 强调文字颜色 6 2 2 5 5" xfId="15337"/>
    <cellStyle name="20% - 强调文字颜色 6 2 2 5 5 2" xfId="15338"/>
    <cellStyle name="20% - 强调文字颜色 6 2 2 5 6" xfId="15339"/>
    <cellStyle name="20% - 强调文字颜色 6 2 2 6" xfId="15340"/>
    <cellStyle name="20% - 强调文字颜色 6 2 2 6 2" xfId="15341"/>
    <cellStyle name="20% - 强调文字颜色 6 2 2 6 2 2" xfId="15342"/>
    <cellStyle name="20% - 强调文字颜色 6 2 2 6 2 2 2" xfId="15343"/>
    <cellStyle name="20% - 强调文字颜色 6 2 2 6 2 2 2 2" xfId="15344"/>
    <cellStyle name="20% - 强调文字颜色 6 2 2 6 2 3" xfId="15345"/>
    <cellStyle name="20% - 强调文字颜色 6 2 2 6 2 3 2" xfId="15346"/>
    <cellStyle name="20% - 强调文字颜色 6 2 2 6 2 4" xfId="15347"/>
    <cellStyle name="20% - 强调文字颜色 6 2 2 6 2 4 2" xfId="15348"/>
    <cellStyle name="20% - 强调文字颜色 6 2 2 6 2 5" xfId="15349"/>
    <cellStyle name="20% - 强调文字颜色 6 2 2 6 3" xfId="15350"/>
    <cellStyle name="20% - 强调文字颜色 6 2 2 6 3 2" xfId="15351"/>
    <cellStyle name="20% - 强调文字颜色 6 2 2 6 3 2 2" xfId="15352"/>
    <cellStyle name="20% - 强调文字颜色 6 2 2 6 4" xfId="15353"/>
    <cellStyle name="20% - 强调文字颜色 6 2 2 6 4 2" xfId="15354"/>
    <cellStyle name="20% - 强调文字颜色 6 2 2 6 5" xfId="15355"/>
    <cellStyle name="20% - 强调文字颜色 6 2 2 6 5 2" xfId="15356"/>
    <cellStyle name="20% - 强调文字颜色 6 2 2 6 6" xfId="15357"/>
    <cellStyle name="20% - 强调文字颜色 6 2 2 7" xfId="15358"/>
    <cellStyle name="20% - 强调文字颜色 6 2 2 7 2" xfId="15359"/>
    <cellStyle name="20% - 强调文字颜色 6 2 2 7 2 2" xfId="15360"/>
    <cellStyle name="20% - 强调文字颜色 6 2 2 7 2 2 2" xfId="15361"/>
    <cellStyle name="20% - 强调文字颜色 6 2 2 7 2 2 2 2" xfId="15362"/>
    <cellStyle name="20% - 强调文字颜色 6 2 2 7 2 3" xfId="15363"/>
    <cellStyle name="20% - 强调文字颜色 6 2 2 7 2 3 2" xfId="15364"/>
    <cellStyle name="20% - 强调文字颜色 6 2 2 7 2 4" xfId="15365"/>
    <cellStyle name="20% - 强调文字颜色 6 2 2 7 2 4 2" xfId="15366"/>
    <cellStyle name="20% - 强调文字颜色 6 2 2 7 2 5" xfId="15367"/>
    <cellStyle name="20% - 强调文字颜色 6 2 2 7 3" xfId="15368"/>
    <cellStyle name="20% - 强调文字颜色 6 2 2 7 3 2" xfId="15369"/>
    <cellStyle name="20% - 强调文字颜色 6 2 2 7 3 2 2" xfId="15370"/>
    <cellStyle name="20% - 强调文字颜色 6 2 2 7 4" xfId="15371"/>
    <cellStyle name="20% - 强调文字颜色 6 2 2 7 4 2" xfId="15372"/>
    <cellStyle name="20% - 强调文字颜色 6 2 2 7 5" xfId="15373"/>
    <cellStyle name="20% - 强调文字颜色 6 2 2 7 5 2" xfId="15374"/>
    <cellStyle name="20% - 强调文字颜色 6 2 2 7 6" xfId="15375"/>
    <cellStyle name="20% - 强调文字颜色 6 2 2 8" xfId="15376"/>
    <cellStyle name="20% - 强调文字颜色 6 2 2 8 2" xfId="15377"/>
    <cellStyle name="20% - 强调文字颜色 6 2 2 8 2 2" xfId="15378"/>
    <cellStyle name="20% - 强调文字颜色 6 2 2 8 2 2 2" xfId="15379"/>
    <cellStyle name="20% - 强调文字颜色 6 2 2 8 3" xfId="15380"/>
    <cellStyle name="20% - 强调文字颜色 6 2 2 8 3 2" xfId="15381"/>
    <cellStyle name="20% - 强调文字颜色 6 2 2 8 4" xfId="15382"/>
    <cellStyle name="20% - 强调文字颜色 6 2 2 8 4 2" xfId="15383"/>
    <cellStyle name="20% - 强调文字颜色 6 2 2 8 5" xfId="15384"/>
    <cellStyle name="20% - 强调文字颜色 6 2 2 9" xfId="15385"/>
    <cellStyle name="20% - 强调文字颜色 6 2 2 9 2" xfId="15386"/>
    <cellStyle name="20% - 强调文字颜色 6 2 2 9 2 2" xfId="15387"/>
    <cellStyle name="20% - 强调文字颜色 6 2 2 9 2 2 2" xfId="15388"/>
    <cellStyle name="20% - 强调文字颜色 6 2 2 9 3" xfId="15389"/>
    <cellStyle name="20% - 强调文字颜色 6 2 2 9 3 2" xfId="15390"/>
    <cellStyle name="20% - 强调文字颜色 6 2 2 9 4" xfId="15391"/>
    <cellStyle name="20% - 强调文字颜色 6 2 2 9 4 2" xfId="15392"/>
    <cellStyle name="20% - 强调文字颜色 6 2 2 9 5" xfId="15393"/>
    <cellStyle name="20% - 强调文字颜色 6 2 3" xfId="15394"/>
    <cellStyle name="20% - 强调文字颜色 6 2 3 10" xfId="15395"/>
    <cellStyle name="20% - 强调文字颜色 6 2 3 10 2" xfId="15396"/>
    <cellStyle name="20% - 强调文字颜色 6 2 3 2" xfId="15397"/>
    <cellStyle name="20% - 强调文字颜色 6 2 3 2 2" xfId="15398"/>
    <cellStyle name="20% - 强调文字颜色 6 2 3 2 2 2" xfId="15399"/>
    <cellStyle name="20% - 强调文字颜色 6 2 3 2 2 2 2" xfId="15400"/>
    <cellStyle name="20% - 强调文字颜色 6 2 3 2 2 2 3" xfId="15401"/>
    <cellStyle name="20% - 强调文字颜色 6 2 3 2 2 2 3 2" xfId="15402"/>
    <cellStyle name="20% - 强调文字颜色 6 2 3 2 2 2 3 2 2" xfId="15403"/>
    <cellStyle name="20% - 强调文字颜色 6 2 3 2 2 2 4" xfId="15404"/>
    <cellStyle name="20% - 强调文字颜色 6 2 3 2 2 2 4 2" xfId="15405"/>
    <cellStyle name="20% - 强调文字颜色 6 2 3 2 2 2 5" xfId="15406"/>
    <cellStyle name="20% - 强调文字颜色 6 2 3 2 2 2 5 2" xfId="15407"/>
    <cellStyle name="20% - 强调文字颜色 6 2 3 2 2 2 6" xfId="15408"/>
    <cellStyle name="20% - 强调文字颜色 6 2 3 2 2 3" xfId="15409"/>
    <cellStyle name="20% - 强调文字颜色 6 2 3 2 2 3 2" xfId="15410"/>
    <cellStyle name="20% - 强调文字颜色 6 2 3 2 2 3 2 2" xfId="15411"/>
    <cellStyle name="20% - 强调文字颜色 6 2 3 2 2 3 2 2 2" xfId="15412"/>
    <cellStyle name="20% - 强调文字颜色 6 2 3 2 2 3 3" xfId="15413"/>
    <cellStyle name="20% - 强调文字颜色 6 2 3 2 2 3 3 2" xfId="15414"/>
    <cellStyle name="20% - 强调文字颜色 6 2 3 2 2 3 4" xfId="15415"/>
    <cellStyle name="20% - 强调文字颜色 6 2 3 2 2 3 4 2" xfId="15416"/>
    <cellStyle name="20% - 强调文字颜色 6 2 3 2 2 3 5" xfId="15417"/>
    <cellStyle name="20% - 强调文字颜色 6 2 3 2 2 4" xfId="15418"/>
    <cellStyle name="20% - 强调文字颜色 6 2 3 2 2 5" xfId="15419"/>
    <cellStyle name="20% - 强调文字颜色 6 2 3 2 2 6" xfId="15420"/>
    <cellStyle name="20% - 强调文字颜色 6 2 3 2 2 6 2" xfId="15421"/>
    <cellStyle name="20% - 强调文字颜色 6 2 3 2 2 7" xfId="15422"/>
    <cellStyle name="20% - 强调文字颜色 6 2 3 2 2 7 2" xfId="15423"/>
    <cellStyle name="20% - 强调文字颜色 6 2 3 2 3" xfId="15424"/>
    <cellStyle name="20% - 强调文字颜色 6 2 3 2 3 2" xfId="15425"/>
    <cellStyle name="20% - 强调文字颜色 6 2 3 2 3 3" xfId="15426"/>
    <cellStyle name="20% - 强调文字颜色 6 2 3 2 3 3 2" xfId="15427"/>
    <cellStyle name="20% - 强调文字颜色 6 2 3 2 3 3 2 2" xfId="15428"/>
    <cellStyle name="20% - 强调文字颜色 6 2 3 2 3 4" xfId="15429"/>
    <cellStyle name="20% - 强调文字颜色 6 2 3 2 3 4 2" xfId="15430"/>
    <cellStyle name="20% - 强调文字颜色 6 2 3 2 3 5" xfId="15431"/>
    <cellStyle name="20% - 强调文字颜色 6 2 3 2 3 5 2" xfId="15432"/>
    <cellStyle name="20% - 强调文字颜色 6 2 3 2 3 6" xfId="15433"/>
    <cellStyle name="20% - 强调文字颜色 6 2 3 2 4" xfId="15434"/>
    <cellStyle name="20% - 强调文字颜色 6 2 3 2 4 2" xfId="15435"/>
    <cellStyle name="20% - 强调文字颜色 6 2 3 2 4 2 2" xfId="15436"/>
    <cellStyle name="20% - 强调文字颜色 6 2 3 2 4 2 2 2" xfId="15437"/>
    <cellStyle name="20% - 强调文字颜色 6 2 3 2 4 3" xfId="15438"/>
    <cellStyle name="20% - 强调文字颜色 6 2 3 2 4 3 2" xfId="15439"/>
    <cellStyle name="20% - 强调文字颜色 6 2 3 2 4 4" xfId="15440"/>
    <cellStyle name="20% - 强调文字颜色 6 2 3 2 4 4 2" xfId="15441"/>
    <cellStyle name="20% - 强调文字颜色 6 2 3 2 4 5" xfId="15442"/>
    <cellStyle name="20% - 强调文字颜色 6 2 3 2 5" xfId="15443"/>
    <cellStyle name="20% - 强调文字颜色 6 2 3 2 6" xfId="15444"/>
    <cellStyle name="20% - 强调文字颜色 6 2 3 2 7" xfId="15445"/>
    <cellStyle name="20% - 强调文字颜色 6 2 3 2 7 2" xfId="15446"/>
    <cellStyle name="20% - 强调文字颜色 6 2 3 2 8" xfId="15447"/>
    <cellStyle name="20% - 强调文字颜色 6 2 3 2 8 2" xfId="15448"/>
    <cellStyle name="20% - 强调文字颜色 6 2 3 3" xfId="15449"/>
    <cellStyle name="20% - 强调文字颜色 6 2 3 3 2" xfId="15450"/>
    <cellStyle name="20% - 强调文字颜色 6 2 3 3 2 2" xfId="15451"/>
    <cellStyle name="20% - 强调文字颜色 6 2 3 3 2 3" xfId="15452"/>
    <cellStyle name="20% - 强调文字颜色 6 2 3 3 2 3 2" xfId="15453"/>
    <cellStyle name="20% - 强调文字颜色 6 2 3 3 2 3 2 2" xfId="15454"/>
    <cellStyle name="20% - 强调文字颜色 6 2 3 3 2 4" xfId="15455"/>
    <cellStyle name="20% - 强调文字颜色 6 2 3 3 2 4 2" xfId="15456"/>
    <cellStyle name="20% - 强调文字颜色 6 2 3 3 2 5" xfId="15457"/>
    <cellStyle name="20% - 强调文字颜色 6 2 3 3 2 5 2" xfId="15458"/>
    <cellStyle name="20% - 强调文字颜色 6 2 3 3 2 6" xfId="15459"/>
    <cellStyle name="20% - 强调文字颜色 6 2 3 3 3" xfId="15460"/>
    <cellStyle name="20% - 强调文字颜色 6 2 3 3 3 2" xfId="15461"/>
    <cellStyle name="20% - 强调文字颜色 6 2 3 3 3 2 2" xfId="15462"/>
    <cellStyle name="20% - 强调文字颜色 6 2 3 3 3 2 2 2" xfId="15463"/>
    <cellStyle name="20% - 强调文字颜色 6 2 3 3 3 3" xfId="15464"/>
    <cellStyle name="20% - 强调文字颜色 6 2 3 3 3 3 2" xfId="15465"/>
    <cellStyle name="20% - 强调文字颜色 6 2 3 3 3 4" xfId="15466"/>
    <cellStyle name="20% - 强调文字颜色 6 2 3 3 3 4 2" xfId="15467"/>
    <cellStyle name="20% - 强调文字颜色 6 2 3 3 3 5" xfId="15468"/>
    <cellStyle name="20% - 强调文字颜色 6 2 3 3 4" xfId="15469"/>
    <cellStyle name="20% - 强调文字颜色 6 2 3 3 5" xfId="15470"/>
    <cellStyle name="20% - 强调文字颜色 6 2 3 3 6" xfId="15471"/>
    <cellStyle name="20% - 强调文字颜色 6 2 3 3 6 2" xfId="15472"/>
    <cellStyle name="20% - 强调文字颜色 6 2 3 3 7" xfId="15473"/>
    <cellStyle name="20% - 强调文字颜色 6 2 3 3 7 2" xfId="15474"/>
    <cellStyle name="20% - 强调文字颜色 6 2 3 4" xfId="15475"/>
    <cellStyle name="20% - 强调文字颜色 6 2 3 4 2" xfId="15476"/>
    <cellStyle name="20% - 强调文字颜色 6 2 3 4 2 2" xfId="15477"/>
    <cellStyle name="20% - 强调文字颜色 6 2 3 4 2 3" xfId="15478"/>
    <cellStyle name="20% - 强调文字颜色 6 2 3 4 2 3 2" xfId="15479"/>
    <cellStyle name="20% - 强调文字颜色 6 2 3 4 2 3 2 2" xfId="15480"/>
    <cellStyle name="20% - 强调文字颜色 6 2 3 4 2 4" xfId="15481"/>
    <cellStyle name="20% - 强调文字颜色 6 2 3 4 2 4 2" xfId="15482"/>
    <cellStyle name="20% - 强调文字颜色 6 2 3 4 2 5" xfId="15483"/>
    <cellStyle name="20% - 强调文字颜色 6 2 3 4 2 5 2" xfId="15484"/>
    <cellStyle name="20% - 强调文字颜色 6 2 3 4 2 6" xfId="15485"/>
    <cellStyle name="20% - 强调文字颜色 6 2 3 4 3" xfId="15486"/>
    <cellStyle name="20% - 强调文字颜色 6 2 3 4 4" xfId="15487"/>
    <cellStyle name="20% - 强调文字颜色 6 2 3 4 5" xfId="15488"/>
    <cellStyle name="20% - 强调文字颜色 6 2 3 4 6" xfId="15489"/>
    <cellStyle name="20% - 强调文字颜色 6 2 3 4 6 2" xfId="15490"/>
    <cellStyle name="20% - 强调文字颜色 6 2 3 4 7" xfId="15491"/>
    <cellStyle name="20% - 强调文字颜色 6 2 3 4 7 2" xfId="15492"/>
    <cellStyle name="20% - 强调文字颜色 6 2 3 5" xfId="15493"/>
    <cellStyle name="20% - 强调文字颜色 6 2 3 5 2" xfId="15494"/>
    <cellStyle name="20% - 强调文字颜色 6 2 3 5 2 2" xfId="15495"/>
    <cellStyle name="20% - 强调文字颜色 6 2 3 5 2 2 2" xfId="15496"/>
    <cellStyle name="20% - 强调文字颜色 6 2 3 5 2 2 2 2" xfId="15497"/>
    <cellStyle name="20% - 强调文字颜色 6 2 3 5 2 3" xfId="15498"/>
    <cellStyle name="20% - 强调文字颜色 6 2 3 5 2 3 2" xfId="15499"/>
    <cellStyle name="20% - 强调文字颜色 6 2 3 5 2 4" xfId="15500"/>
    <cellStyle name="20% - 强调文字颜色 6 2 3 5 2 4 2" xfId="15501"/>
    <cellStyle name="20% - 强调文字颜色 6 2 3 5 2 5" xfId="15502"/>
    <cellStyle name="20% - 强调文字颜色 6 2 3 5 3" xfId="15503"/>
    <cellStyle name="20% - 强调文字颜色 6 2 3 5 3 2" xfId="15504"/>
    <cellStyle name="20% - 强调文字颜色 6 2 3 5 3 2 2" xfId="15505"/>
    <cellStyle name="20% - 强调文字颜色 6 2 3 5 4" xfId="15506"/>
    <cellStyle name="20% - 强调文字颜色 6 2 3 5 4 2" xfId="15507"/>
    <cellStyle name="20% - 强调文字颜色 6 2 3 5 5" xfId="15508"/>
    <cellStyle name="20% - 强调文字颜色 6 2 3 5 5 2" xfId="15509"/>
    <cellStyle name="20% - 强调文字颜色 6 2 3 5 6" xfId="15510"/>
    <cellStyle name="20% - 强调文字颜色 6 2 3 6" xfId="15511"/>
    <cellStyle name="20% - 强调文字颜色 6 2 3 6 2" xfId="15512"/>
    <cellStyle name="20% - 强调文字颜色 6 2 3 6 2 2" xfId="15513"/>
    <cellStyle name="20% - 强调文字颜色 6 2 3 6 2 2 2" xfId="15514"/>
    <cellStyle name="20% - 强调文字颜色 6 2 3 6 3" xfId="15515"/>
    <cellStyle name="20% - 强调文字颜色 6 2 3 6 3 2" xfId="15516"/>
    <cellStyle name="20% - 强调文字颜色 6 2 3 6 4" xfId="15517"/>
    <cellStyle name="20% - 强调文字颜色 6 2 3 6 4 2" xfId="15518"/>
    <cellStyle name="20% - 强调文字颜色 6 2 3 6 5" xfId="15519"/>
    <cellStyle name="20% - 强调文字颜色 6 2 3 7" xfId="15520"/>
    <cellStyle name="20% - 强调文字颜色 6 2 3 7 2" xfId="15521"/>
    <cellStyle name="20% - 强调文字颜色 6 2 3 7 2 2" xfId="15522"/>
    <cellStyle name="20% - 强调文字颜色 6 2 3 7 2 2 2" xfId="15523"/>
    <cellStyle name="20% - 强调文字颜色 6 2 3 7 3" xfId="15524"/>
    <cellStyle name="20% - 强调文字颜色 6 2 3 7 3 2" xfId="15525"/>
    <cellStyle name="20% - 强调文字颜色 6 2 3 7 4" xfId="15526"/>
    <cellStyle name="20% - 强调文字颜色 6 2 3 7 4 2" xfId="15527"/>
    <cellStyle name="20% - 强调文字颜色 6 2 3 7 5" xfId="15528"/>
    <cellStyle name="20% - 强调文字颜色 6 2 3 8" xfId="15529"/>
    <cellStyle name="20% - 强调文字颜色 6 2 3 9" xfId="15530"/>
    <cellStyle name="20% - 强调文字颜色 6 2 3 9 2" xfId="15531"/>
    <cellStyle name="20% - 强调文字颜色 6 2 4" xfId="15532"/>
    <cellStyle name="20% - 强调文字颜色 6 2 4 2" xfId="15533"/>
    <cellStyle name="20% - 强调文字颜色 6 2 4 2 2" xfId="15534"/>
    <cellStyle name="20% - 强调文字颜色 6 2 4 2 3" xfId="15535"/>
    <cellStyle name="20% - 强调文字颜色 6 2 4 2 3 2" xfId="15536"/>
    <cellStyle name="20% - 强调文字颜色 6 2 4 2 3 2 2" xfId="15537"/>
    <cellStyle name="20% - 强调文字颜色 6 2 4 2 4" xfId="15538"/>
    <cellStyle name="20% - 强调文字颜色 6 2 4 2 4 2" xfId="15539"/>
    <cellStyle name="20% - 强调文字颜色 6 2 4 2 5" xfId="15540"/>
    <cellStyle name="20% - 强调文字颜色 6 2 4 2 5 2" xfId="15541"/>
    <cellStyle name="20% - 强调文字颜色 6 2 4 2 6" xfId="15542"/>
    <cellStyle name="20% - 强调文字颜色 6 2 4 3" xfId="15543"/>
    <cellStyle name="20% - 强调文字颜色 6 2 4 3 2" xfId="15544"/>
    <cellStyle name="20% - 强调文字颜色 6 2 4 3 2 2" xfId="15545"/>
    <cellStyle name="20% - 强调文字颜色 6 2 4 3 2 2 2" xfId="15546"/>
    <cellStyle name="20% - 强调文字颜色 6 2 4 3 3" xfId="15547"/>
    <cellStyle name="20% - 强调文字颜色 6 2 4 3 3 2" xfId="15548"/>
    <cellStyle name="20% - 强调文字颜色 6 2 4 3 4" xfId="15549"/>
    <cellStyle name="20% - 强调文字颜色 6 2 4 3 4 2" xfId="15550"/>
    <cellStyle name="20% - 强调文字颜色 6 2 4 3 5" xfId="15551"/>
    <cellStyle name="20% - 强调文字颜色 6 2 4 4" xfId="15552"/>
    <cellStyle name="20% - 强调文字颜色 6 2 4 5" xfId="15553"/>
    <cellStyle name="20% - 强调文字颜色 6 2 4 6" xfId="15554"/>
    <cellStyle name="20% - 强调文字颜色 6 2 4 6 2" xfId="15555"/>
    <cellStyle name="20% - 强调文字颜色 6 2 4 7" xfId="15556"/>
    <cellStyle name="20% - 强调文字颜色 6 2 4 7 2" xfId="15557"/>
    <cellStyle name="20% - 强调文字颜色 6 2 5" xfId="15558"/>
    <cellStyle name="20% - 强调文字颜色 6 2 5 2" xfId="15559"/>
    <cellStyle name="20% - 强调文字颜色 6 2 5 2 2" xfId="15560"/>
    <cellStyle name="20% - 强调文字颜色 6 2 5 2 3" xfId="15561"/>
    <cellStyle name="20% - 强调文字颜色 6 2 5 2 3 2" xfId="15562"/>
    <cellStyle name="20% - 强调文字颜色 6 2 5 2 3 2 2" xfId="15563"/>
    <cellStyle name="20% - 强调文字颜色 6 2 5 2 4" xfId="15564"/>
    <cellStyle name="20% - 强调文字颜色 6 2 5 2 4 2" xfId="15565"/>
    <cellStyle name="20% - 强调文字颜色 6 2 5 2 5" xfId="15566"/>
    <cellStyle name="20% - 强调文字颜色 6 2 5 2 5 2" xfId="15567"/>
    <cellStyle name="20% - 强调文字颜色 6 2 5 2 6" xfId="15568"/>
    <cellStyle name="20% - 强调文字颜色 6 2 5 3" xfId="15569"/>
    <cellStyle name="20% - 强调文字颜色 6 2 5 4" xfId="15570"/>
    <cellStyle name="20% - 强调文字颜色 6 2 5 5" xfId="15571"/>
    <cellStyle name="20% - 强调文字颜色 6 2 5 6" xfId="15572"/>
    <cellStyle name="20% - 强调文字颜色 6 2 5 6 2" xfId="15573"/>
    <cellStyle name="20% - 强调文字颜色 6 2 5 7" xfId="15574"/>
    <cellStyle name="20% - 强调文字颜色 6 2 5 7 2" xfId="15575"/>
    <cellStyle name="20% - 强调文字颜色 6 2 6" xfId="15576"/>
    <cellStyle name="20% - 强调文字颜色 6 2 6 2" xfId="15577"/>
    <cellStyle name="20% - 强调文字颜色 6 2 6 2 2" xfId="15578"/>
    <cellStyle name="20% - 强调文字颜色 6 2 6 2 2 2" xfId="15579"/>
    <cellStyle name="20% - 强调文字颜色 6 2 6 2 2 2 2" xfId="15580"/>
    <cellStyle name="20% - 强调文字颜色 6 2 6 2 3" xfId="15581"/>
    <cellStyle name="20% - 强调文字颜色 6 2 6 2 3 2" xfId="15582"/>
    <cellStyle name="20% - 强调文字颜色 6 2 6 2 4" xfId="15583"/>
    <cellStyle name="20% - 强调文字颜色 6 2 6 2 4 2" xfId="15584"/>
    <cellStyle name="20% - 强调文字颜色 6 2 6 2 5" xfId="15585"/>
    <cellStyle name="20% - 强调文字颜色 6 2 6 3" xfId="15586"/>
    <cellStyle name="20% - 强调文字颜色 6 2 6 3 2" xfId="15587"/>
    <cellStyle name="20% - 强调文字颜色 6 2 6 3 2 2" xfId="15588"/>
    <cellStyle name="20% - 强调文字颜色 6 2 6 4" xfId="15589"/>
    <cellStyle name="20% - 强调文字颜色 6 2 6 4 2" xfId="15590"/>
    <cellStyle name="20% - 强调文字颜色 6 2 6 5" xfId="15591"/>
    <cellStyle name="20% - 强调文字颜色 6 2 6 5 2" xfId="15592"/>
    <cellStyle name="20% - 强调文字颜色 6 2 6 6" xfId="15593"/>
    <cellStyle name="20% - 强调文字颜色 6 2 7" xfId="15594"/>
    <cellStyle name="20% - 强调文字颜色 6 2 7 2" xfId="15595"/>
    <cellStyle name="20% - 强调文字颜色 6 2 7 2 2" xfId="15596"/>
    <cellStyle name="20% - 强调文字颜色 6 2 7 2 2 2" xfId="15597"/>
    <cellStyle name="20% - 强调文字颜色 6 2 7 2 2 2 2" xfId="15598"/>
    <cellStyle name="20% - 强调文字颜色 6 2 7 2 3" xfId="15599"/>
    <cellStyle name="20% - 强调文字颜色 6 2 7 2 3 2" xfId="15600"/>
    <cellStyle name="20% - 强调文字颜色 6 2 7 2 4" xfId="15601"/>
    <cellStyle name="20% - 强调文字颜色 6 2 7 2 4 2" xfId="15602"/>
    <cellStyle name="20% - 强调文字颜色 6 2 7 2 5" xfId="15603"/>
    <cellStyle name="20% - 强调文字颜色 6 2 7 3" xfId="15604"/>
    <cellStyle name="20% - 强调文字颜色 6 2 7 3 2" xfId="15605"/>
    <cellStyle name="20% - 强调文字颜色 6 2 7 3 2 2" xfId="15606"/>
    <cellStyle name="20% - 强调文字颜色 6 2 7 4" xfId="15607"/>
    <cellStyle name="20% - 强调文字颜色 6 2 7 4 2" xfId="15608"/>
    <cellStyle name="20% - 强调文字颜色 6 2 7 5" xfId="15609"/>
    <cellStyle name="20% - 强调文字颜色 6 2 7 5 2" xfId="15610"/>
    <cellStyle name="20% - 强调文字颜色 6 2 7 6" xfId="15611"/>
    <cellStyle name="20% - 强调文字颜色 6 2 8" xfId="15612"/>
    <cellStyle name="20% - 强调文字颜色 6 2 8 2" xfId="15613"/>
    <cellStyle name="20% - 强调文字颜色 6 2 8 2 2" xfId="15614"/>
    <cellStyle name="20% - 强调文字颜色 6 2 8 2 2 2" xfId="15615"/>
    <cellStyle name="20% - 强调文字颜色 6 2 8 2 2 2 2" xfId="15616"/>
    <cellStyle name="20% - 强调文字颜色 6 2 8 2 3" xfId="15617"/>
    <cellStyle name="20% - 强调文字颜色 6 2 8 2 3 2" xfId="15618"/>
    <cellStyle name="20% - 强调文字颜色 6 2 8 2 4" xfId="15619"/>
    <cellStyle name="20% - 强调文字颜色 6 2 8 2 4 2" xfId="15620"/>
    <cellStyle name="20% - 强调文字颜色 6 2 8 2 5" xfId="15621"/>
    <cellStyle name="20% - 强调文字颜色 6 2 8 3" xfId="15622"/>
    <cellStyle name="20% - 强调文字颜色 6 2 8 3 2" xfId="15623"/>
    <cellStyle name="20% - 强调文字颜色 6 2 8 3 2 2" xfId="15624"/>
    <cellStyle name="20% - 强调文字颜色 6 2 8 4" xfId="15625"/>
    <cellStyle name="20% - 强调文字颜色 6 2 8 4 2" xfId="15626"/>
    <cellStyle name="20% - 强调文字颜色 6 2 8 5" xfId="15627"/>
    <cellStyle name="20% - 强调文字颜色 6 2 8 5 2" xfId="15628"/>
    <cellStyle name="20% - 强调文字颜色 6 2 8 6" xfId="15629"/>
    <cellStyle name="20% - 强调文字颜色 6 2 9" xfId="15630"/>
    <cellStyle name="20% - 强调文字颜色 6 2 9 2" xfId="15631"/>
    <cellStyle name="20% - 强调文字颜色 6 2 9 2 2" xfId="15632"/>
    <cellStyle name="20% - 强调文字颜色 6 2 9 2 2 2" xfId="15633"/>
    <cellStyle name="20% - 强调文字颜色 6 2 9 3" xfId="15634"/>
    <cellStyle name="20% - 强调文字颜色 6 2 9 3 2" xfId="15635"/>
    <cellStyle name="20% - 强调文字颜色 6 2 9 4" xfId="15636"/>
    <cellStyle name="20% - 强调文字颜色 6 2 9 4 2" xfId="15637"/>
    <cellStyle name="20% - 强调文字颜色 6 2 9 5" xfId="15638"/>
    <cellStyle name="20% - 强调文字颜色 6 3" xfId="15639"/>
    <cellStyle name="20% - 强调文字颜色 6 3 2" xfId="15640"/>
    <cellStyle name="20% - 强调文字颜色 6 3 2 2" xfId="15641"/>
    <cellStyle name="20% - 强调文字颜色 6 3 2 2 2" xfId="15642"/>
    <cellStyle name="20% - 强调文字颜色 6 3 2 2 2 2" xfId="15643"/>
    <cellStyle name="20% - 强调文字颜色 6 3 2 2 2 3" xfId="15644"/>
    <cellStyle name="20% - 强调文字颜色 6 3 2 2 2 3 2" xfId="15645"/>
    <cellStyle name="20% - 强调文字颜色 6 3 2 2 2 3 2 2" xfId="15646"/>
    <cellStyle name="20% - 强调文字颜色 6 3 2 2 2 4" xfId="15647"/>
    <cellStyle name="20% - 强调文字颜色 6 3 2 2 2 4 2" xfId="15648"/>
    <cellStyle name="20% - 强调文字颜色 6 3 2 2 2 5" xfId="15649"/>
    <cellStyle name="20% - 强调文字颜色 6 3 2 2 2 5 2" xfId="15650"/>
    <cellStyle name="20% - 强调文字颜色 6 3 2 2 2 6" xfId="15651"/>
    <cellStyle name="20% - 强调文字颜色 6 3 2 2 3" xfId="15652"/>
    <cellStyle name="20% - 强调文字颜色 6 3 2 2 3 2" xfId="15653"/>
    <cellStyle name="20% - 强调文字颜色 6 3 2 2 3 2 2" xfId="15654"/>
    <cellStyle name="20% - 强调文字颜色 6 3 2 2 3 2 2 2" xfId="15655"/>
    <cellStyle name="20% - 强调文字颜色 6 3 2 2 3 3" xfId="15656"/>
    <cellStyle name="20% - 强调文字颜色 6 3 2 2 3 3 2" xfId="15657"/>
    <cellStyle name="20% - 强调文字颜色 6 3 2 2 3 4" xfId="15658"/>
    <cellStyle name="20% - 强调文字颜色 6 3 2 2 3 4 2" xfId="15659"/>
    <cellStyle name="20% - 强调文字颜色 6 3 2 2 3 5" xfId="15660"/>
    <cellStyle name="20% - 强调文字颜色 6 3 2 2 4" xfId="15661"/>
    <cellStyle name="20% - 强调文字颜色 6 3 2 2 5" xfId="15662"/>
    <cellStyle name="20% - 强调文字颜色 6 3 2 2 6" xfId="15663"/>
    <cellStyle name="20% - 强调文字颜色 6 3 2 2 6 2" xfId="15664"/>
    <cellStyle name="20% - 强调文字颜色 6 3 2 2 7" xfId="15665"/>
    <cellStyle name="20% - 强调文字颜色 6 3 2 2 7 2" xfId="15666"/>
    <cellStyle name="20% - 强调文字颜色 6 3 2 3" xfId="15667"/>
    <cellStyle name="20% - 强调文字颜色 6 3 2 3 2" xfId="15668"/>
    <cellStyle name="20% - 强调文字颜色 6 3 2 3 3" xfId="15669"/>
    <cellStyle name="20% - 强调文字颜色 6 3 2 3 3 2" xfId="15670"/>
    <cellStyle name="20% - 强调文字颜色 6 3 2 3 3 2 2" xfId="15671"/>
    <cellStyle name="20% - 强调文字颜色 6 3 2 3 4" xfId="15672"/>
    <cellStyle name="20% - 强调文字颜色 6 3 2 3 4 2" xfId="15673"/>
    <cellStyle name="20% - 强调文字颜色 6 3 2 3 5" xfId="15674"/>
    <cellStyle name="20% - 强调文字颜色 6 3 2 3 5 2" xfId="15675"/>
    <cellStyle name="20% - 强调文字颜色 6 3 2 3 6" xfId="15676"/>
    <cellStyle name="20% - 强调文字颜色 6 3 2 4" xfId="15677"/>
    <cellStyle name="20% - 强调文字颜色 6 3 2 4 2" xfId="15678"/>
    <cellStyle name="20% - 强调文字颜色 6 3 2 4 2 2" xfId="15679"/>
    <cellStyle name="20% - 强调文字颜色 6 3 2 4 2 2 2" xfId="15680"/>
    <cellStyle name="20% - 强调文字颜色 6 3 2 4 3" xfId="15681"/>
    <cellStyle name="20% - 强调文字颜色 6 3 2 4 3 2" xfId="15682"/>
    <cellStyle name="20% - 强调文字颜色 6 3 2 4 4" xfId="15683"/>
    <cellStyle name="20% - 强调文字颜色 6 3 2 4 4 2" xfId="15684"/>
    <cellStyle name="20% - 强调文字颜色 6 3 2 4 5" xfId="15685"/>
    <cellStyle name="20% - 强调文字颜色 6 3 2 5" xfId="15686"/>
    <cellStyle name="20% - 强调文字颜色 6 3 2 6" xfId="15687"/>
    <cellStyle name="20% - 强调文字颜色 6 3 2 7" xfId="15688"/>
    <cellStyle name="20% - 强调文字颜色 6 3 2 7 2" xfId="15689"/>
    <cellStyle name="20% - 强调文字颜色 6 3 2 8" xfId="15690"/>
    <cellStyle name="20% - 强调文字颜色 6 3 2 8 2" xfId="15691"/>
    <cellStyle name="20% - 强调文字颜色 6 3 3" xfId="15692"/>
    <cellStyle name="20% - 强调文字颜色 6 3 3 2" xfId="15693"/>
    <cellStyle name="20% - 强调文字颜色 6 3 3 2 2" xfId="15694"/>
    <cellStyle name="20% - 强调文字颜色 6 3 3 2 3" xfId="15695"/>
    <cellStyle name="20% - 强调文字颜色 6 3 3 2 3 2" xfId="15696"/>
    <cellStyle name="20% - 强调文字颜色 6 3 3 2 3 2 2" xfId="15697"/>
    <cellStyle name="20% - 强调文字颜色 6 3 3 2 4" xfId="15698"/>
    <cellStyle name="20% - 强调文字颜色 6 3 3 2 4 2" xfId="15699"/>
    <cellStyle name="20% - 强调文字颜色 6 3 3 2 5" xfId="15700"/>
    <cellStyle name="20% - 强调文字颜色 6 3 3 2 5 2" xfId="15701"/>
    <cellStyle name="20% - 强调文字颜色 6 3 3 2 6" xfId="15702"/>
    <cellStyle name="20% - 强调文字颜色 6 3 3 3" xfId="15703"/>
    <cellStyle name="20% - 强调文字颜色 6 3 3 3 2" xfId="15704"/>
    <cellStyle name="20% - 强调文字颜色 6 3 3 3 2 2" xfId="15705"/>
    <cellStyle name="20% - 强调文字颜色 6 3 3 3 2 2 2" xfId="15706"/>
    <cellStyle name="20% - 强调文字颜色 6 3 3 3 3" xfId="15707"/>
    <cellStyle name="20% - 强调文字颜色 6 3 3 3 3 2" xfId="15708"/>
    <cellStyle name="20% - 强调文字颜色 6 3 3 3 4" xfId="15709"/>
    <cellStyle name="20% - 强调文字颜色 6 3 3 3 4 2" xfId="15710"/>
    <cellStyle name="20% - 强调文字颜色 6 3 3 3 5" xfId="15711"/>
    <cellStyle name="20% - 强调文字颜色 6 3 3 4" xfId="15712"/>
    <cellStyle name="20% - 强调文字颜色 6 3 3 5" xfId="15713"/>
    <cellStyle name="20% - 强调文字颜色 6 3 3 6" xfId="15714"/>
    <cellStyle name="20% - 强调文字颜色 6 3 3 6 2" xfId="15715"/>
    <cellStyle name="20% - 强调文字颜色 6 3 3 7" xfId="15716"/>
    <cellStyle name="20% - 强调文字颜色 6 3 3 7 2" xfId="15717"/>
    <cellStyle name="20% - 强调文字颜色 6 3 4" xfId="15718"/>
    <cellStyle name="20% - 强调文字颜色 6 3 4 2" xfId="15719"/>
    <cellStyle name="20% - 强调文字颜色 6 3 4 2 2" xfId="15720"/>
    <cellStyle name="20% - 强调文字颜色 6 3 4 2 3" xfId="15721"/>
    <cellStyle name="20% - 强调文字颜色 6 3 4 2 3 2" xfId="15722"/>
    <cellStyle name="20% - 强调文字颜色 6 3 4 2 3 2 2" xfId="15723"/>
    <cellStyle name="20% - 强调文字颜色 6 3 4 2 4" xfId="15724"/>
    <cellStyle name="20% - 强调文字颜色 6 3 4 2 4 2" xfId="15725"/>
    <cellStyle name="20% - 强调文字颜色 6 3 4 2 5" xfId="15726"/>
    <cellStyle name="20% - 强调文字颜色 6 3 4 2 5 2" xfId="15727"/>
    <cellStyle name="20% - 强调文字颜色 6 3 4 2 6" xfId="15728"/>
    <cellStyle name="20% - 强调文字颜色 6 3 4 3" xfId="15729"/>
    <cellStyle name="20% - 强调文字颜色 6 3 4 4" xfId="15730"/>
    <cellStyle name="20% - 强调文字颜色 6 3 4 5" xfId="15731"/>
    <cellStyle name="20% - 强调文字颜色 6 3 4 6" xfId="15732"/>
    <cellStyle name="20% - 强调文字颜色 6 3 4 6 2" xfId="15733"/>
    <cellStyle name="20% - 强调文字颜色 6 3 4 7" xfId="15734"/>
    <cellStyle name="20% - 强调文字颜色 6 3 4 7 2" xfId="15735"/>
    <cellStyle name="20% - 强调文字颜色 6 3 5" xfId="15736"/>
    <cellStyle name="20% - 强调文字颜色 6 3 5 2" xfId="15737"/>
    <cellStyle name="20% - 强调文字颜色 6 3 5 2 2" xfId="15738"/>
    <cellStyle name="20% - 强调文字颜色 6 3 5 2 2 2" xfId="15739"/>
    <cellStyle name="20% - 强调文字颜色 6 3 5 2 2 2 2" xfId="15740"/>
    <cellStyle name="20% - 强调文字颜色 6 3 5 2 3" xfId="15741"/>
    <cellStyle name="20% - 强调文字颜色 6 3 5 2 3 2" xfId="15742"/>
    <cellStyle name="20% - 强调文字颜色 6 3 5 2 4" xfId="15743"/>
    <cellStyle name="20% - 强调文字颜色 6 3 5 2 4 2" xfId="15744"/>
    <cellStyle name="20% - 强调文字颜色 6 3 5 2 5" xfId="15745"/>
    <cellStyle name="20% - 强调文字颜色 6 3 5 3" xfId="15746"/>
    <cellStyle name="20% - 强调文字颜色 6 3 5 3 2" xfId="15747"/>
    <cellStyle name="20% - 强调文字颜色 6 3 5 3 2 2" xfId="15748"/>
    <cellStyle name="20% - 强调文字颜色 6 3 5 4" xfId="15749"/>
    <cellStyle name="20% - 强调文字颜色 6 3 5 4 2" xfId="15750"/>
    <cellStyle name="20% - 强调文字颜色 6 3 5 5" xfId="15751"/>
    <cellStyle name="20% - 强调文字颜色 6 3 5 5 2" xfId="15752"/>
    <cellStyle name="20% - 强调文字颜色 6 3 5 6" xfId="15753"/>
    <cellStyle name="20% - 强调文字颜色 6 3 6" xfId="15754"/>
    <cellStyle name="20% - 强调文字颜色 6 3 6 2" xfId="15755"/>
    <cellStyle name="20% - 强调文字颜色 6 3 6 2 2" xfId="15756"/>
    <cellStyle name="20% - 强调文字颜色 6 3 6 2 2 2" xfId="15757"/>
    <cellStyle name="20% - 强调文字颜色 6 3 6 3" xfId="15758"/>
    <cellStyle name="20% - 强调文字颜色 6 3 6 3 2" xfId="15759"/>
    <cellStyle name="20% - 强调文字颜色 6 3 6 4" xfId="15760"/>
    <cellStyle name="20% - 强调文字颜色 6 3 6 4 2" xfId="15761"/>
    <cellStyle name="20% - 强调文字颜色 6 3 6 5" xfId="15762"/>
    <cellStyle name="20% - 强调文字颜色 6 3 7" xfId="15763"/>
    <cellStyle name="20% - 强调文字颜色 6 3 8" xfId="15764"/>
    <cellStyle name="20% - 强调文字颜色 6 3 8 2" xfId="15765"/>
    <cellStyle name="20% - 强调文字颜色 6 3 9" xfId="15766"/>
    <cellStyle name="20% - 强调文字颜色 6 3 9 2" xfId="15767"/>
    <cellStyle name="40% - ?????? 1oft\Sh" xfId="15768"/>
    <cellStyle name="40% - ?????? 1oft\Sh 2" xfId="15769"/>
    <cellStyle name="40% - ?????? 1oft\Sh 2 2" xfId="15770"/>
    <cellStyle name="40% - ?????? 1oft\Sh 3" xfId="15771"/>
    <cellStyle name="40% - ?????? 1oft\Sh 3 2" xfId="15772"/>
    <cellStyle name="40% - ?????? 1oft\Sh 3 3" xfId="15773"/>
    <cellStyle name="40% - ?????? 1oft\Sh 4" xfId="15774"/>
    <cellStyle name="40% - ?????? 1oft\Sh 4 2" xfId="15775"/>
    <cellStyle name="40% - ?????? 2oft\Sh" xfId="15776"/>
    <cellStyle name="40% - ?????? 2oft\Sh 2" xfId="15777"/>
    <cellStyle name="40% - ?????? 2oft\Sh 2 2" xfId="15778"/>
    <cellStyle name="40% - ?????? 2oft\Sh 3" xfId="15779"/>
    <cellStyle name="40% - ?????? 2oft\Sh 3 2" xfId="15780"/>
    <cellStyle name="40% - ?????? 2oft\Sh 3 3" xfId="15781"/>
    <cellStyle name="40% - ?????? 2oft\Sh 4" xfId="15782"/>
    <cellStyle name="40% - ?????? 2oft\Sh 4 2" xfId="15783"/>
    <cellStyle name="40% - ?????? 3oft\Sh" xfId="15784"/>
    <cellStyle name="40% - ?????? 3oft\Sh 2" xfId="15785"/>
    <cellStyle name="40% - ?????? 3oft\Sh 2 2" xfId="15786"/>
    <cellStyle name="40% - ?????? 3oft\Sh 3" xfId="15787"/>
    <cellStyle name="40% - ?????? 3oft\Sh 3 2" xfId="15788"/>
    <cellStyle name="40% - ?????? 3oft\Sh 3 3" xfId="15789"/>
    <cellStyle name="40% - ?????? 3oft\Sh 4" xfId="15790"/>
    <cellStyle name="40% - ?????? 3oft\Sh 4 2" xfId="15791"/>
    <cellStyle name="40% - ?????? 4oft\Sh" xfId="15792"/>
    <cellStyle name="40% - ?????? 4oft\Sh 2" xfId="15793"/>
    <cellStyle name="40% - ?????? 4oft\Sh 2 2" xfId="15794"/>
    <cellStyle name="40% - ?????? 4oft\Sh 3" xfId="15795"/>
    <cellStyle name="40% - ?????? 4oft\Sh 3 2" xfId="15796"/>
    <cellStyle name="40% - ?????? 4oft\Sh 3 3" xfId="15797"/>
    <cellStyle name="40% - ?????? 4oft\Sh 4" xfId="15798"/>
    <cellStyle name="40% - ?????? 4oft\Sh 4 2" xfId="15799"/>
    <cellStyle name="40% - ?????? 5oft\Sh" xfId="15800"/>
    <cellStyle name="40% - ?????? 5oft\Sh 2" xfId="15801"/>
    <cellStyle name="40% - ?????? 5oft\Sh 2 2" xfId="15802"/>
    <cellStyle name="40% - ?????? 5oft\Sh 3" xfId="15803"/>
    <cellStyle name="40% - ?????? 5oft\Sh 3 2" xfId="15804"/>
    <cellStyle name="40% - ?????? 5oft\Sh 3 3" xfId="15805"/>
    <cellStyle name="40% - ?????? 5oft\Sh 4" xfId="15806"/>
    <cellStyle name="40% - ?????? 5oft\Sh 4 2" xfId="15807"/>
    <cellStyle name="40% - ?????? 6oft\Sh" xfId="15808"/>
    <cellStyle name="40% - ?????? 6oft\Sh 2" xfId="15809"/>
    <cellStyle name="40% - ?????? 6oft\Sh 2 2" xfId="15810"/>
    <cellStyle name="40% - ?????? 6oft\Sh 3" xfId="15811"/>
    <cellStyle name="40% - ?????? 6oft\Sh 3 2" xfId="15812"/>
    <cellStyle name="40% - ?????? 6oft\Sh 3 3" xfId="15813"/>
    <cellStyle name="40% - ?????? 6oft\Sh 4" xfId="15814"/>
    <cellStyle name="40% - ?????? 6oft\Sh 4 2" xfId="15815"/>
    <cellStyle name="40% - ???1nt6" xfId="15816"/>
    <cellStyle name="40% - ???1nt6 2" xfId="15817"/>
    <cellStyle name="40% - ???1nt6 3" xfId="15818"/>
    <cellStyle name="40% - ???1nt6 3 2" xfId="15819"/>
    <cellStyle name="40% - ???1nt6 3 3" xfId="15820"/>
    <cellStyle name="40% - ???1nt6 4" xfId="15821"/>
    <cellStyle name="40% - ???2nt6" xfId="15822"/>
    <cellStyle name="40% - ???2nt6 2" xfId="15823"/>
    <cellStyle name="40% - ???2nt6 3" xfId="15824"/>
    <cellStyle name="40% - ???2nt6 3 2" xfId="15825"/>
    <cellStyle name="40% - ???2nt6 3 3" xfId="15826"/>
    <cellStyle name="40% - ???2nt6 4" xfId="15827"/>
    <cellStyle name="40% - ???3nt6" xfId="15828"/>
    <cellStyle name="40% - ???3nt6 2" xfId="15829"/>
    <cellStyle name="40% - ???3nt6 3" xfId="15830"/>
    <cellStyle name="40% - ???3nt6 3 2" xfId="15831"/>
    <cellStyle name="40% - ???3nt6 3 3" xfId="15832"/>
    <cellStyle name="40% - ???3nt6 4" xfId="15833"/>
    <cellStyle name="40% - ???4nt6" xfId="15834"/>
    <cellStyle name="40% - ???4nt6 2" xfId="15835"/>
    <cellStyle name="40% - ???4nt6 3" xfId="15836"/>
    <cellStyle name="40% - ???4nt6 3 2" xfId="15837"/>
    <cellStyle name="40% - ???4nt6 3 3" xfId="15838"/>
    <cellStyle name="40% - ???4nt6 4" xfId="15839"/>
    <cellStyle name="40% - ???5nt6" xfId="15840"/>
    <cellStyle name="40% - ???5nt6 2" xfId="15841"/>
    <cellStyle name="40% - ???5nt6 3" xfId="15842"/>
    <cellStyle name="40% - ???5nt6 3 2" xfId="15843"/>
    <cellStyle name="40% - ???5nt6 3 3" xfId="15844"/>
    <cellStyle name="40% - ???5nt6 4" xfId="15845"/>
    <cellStyle name="40% - ???6nt6" xfId="15846"/>
    <cellStyle name="40% - ???6nt6 2" xfId="15847"/>
    <cellStyle name="40% - ???6nt6 3" xfId="15848"/>
    <cellStyle name="40% - ???6nt6 3 2" xfId="15849"/>
    <cellStyle name="40% - ???6nt6 3 3" xfId="15850"/>
    <cellStyle name="40% - ???6nt6 4" xfId="15851"/>
    <cellStyle name="40% - Accent1 10" xfId="15852"/>
    <cellStyle name="40% - Accent1 10 2" xfId="15853"/>
    <cellStyle name="40% - Accent1 2" xfId="15854"/>
    <cellStyle name="40% - Accent1 2 2" xfId="15855"/>
    <cellStyle name="40% - Accent1 2 3" xfId="15856"/>
    <cellStyle name="40% - Accent1 3" xfId="15857"/>
    <cellStyle name="40% - Accent1 3 2" xfId="15858"/>
    <cellStyle name="40% - Accent1 4" xfId="15859"/>
    <cellStyle name="40% - Accent1 4 2" xfId="15860"/>
    <cellStyle name="40% - Accent1 5" xfId="15861"/>
    <cellStyle name="40% - Accent1 5 2" xfId="15862"/>
    <cellStyle name="40% - Accent1 6" xfId="15863"/>
    <cellStyle name="40% - Accent1 7" xfId="15864"/>
    <cellStyle name="40% - Accent1 8" xfId="15865"/>
    <cellStyle name="40% - Accent1 9" xfId="15866"/>
    <cellStyle name="40% - Accent2 10" xfId="15867"/>
    <cellStyle name="40% - Accent2 10 2" xfId="15868"/>
    <cellStyle name="40% - Accent2 2" xfId="15869"/>
    <cellStyle name="40% - Accent2 2 2" xfId="15870"/>
    <cellStyle name="40% - Accent2 2 3" xfId="15871"/>
    <cellStyle name="40% - Accent2 3" xfId="15872"/>
    <cellStyle name="40% - Accent2 3 2" xfId="15873"/>
    <cellStyle name="40% - Accent2 4" xfId="15874"/>
    <cellStyle name="40% - Accent2 4 2" xfId="15875"/>
    <cellStyle name="40% - Accent2 5" xfId="15876"/>
    <cellStyle name="40% - Accent2 5 2" xfId="15877"/>
    <cellStyle name="40% - Accent2 6" xfId="15878"/>
    <cellStyle name="40% - Accent2 7" xfId="15879"/>
    <cellStyle name="40% - Accent2 8" xfId="15880"/>
    <cellStyle name="40% - Accent2 9" xfId="15881"/>
    <cellStyle name="40% - Accent3 10" xfId="15882"/>
    <cellStyle name="40% - Accent3 10 2" xfId="15883"/>
    <cellStyle name="40% - Accent3 2" xfId="15884"/>
    <cellStyle name="40% - Accent3 2 2" xfId="15885"/>
    <cellStyle name="40% - Accent3 2 3" xfId="15886"/>
    <cellStyle name="40% - Accent3 3" xfId="15887"/>
    <cellStyle name="40% - Accent3 3 2" xfId="15888"/>
    <cellStyle name="40% - Accent3 4" xfId="15889"/>
    <cellStyle name="40% - Accent3 4 2" xfId="15890"/>
    <cellStyle name="40% - Accent3 5" xfId="15891"/>
    <cellStyle name="40% - Accent3 5 2" xfId="15892"/>
    <cellStyle name="40% - Accent3 6" xfId="15893"/>
    <cellStyle name="40% - Accent3 7" xfId="15894"/>
    <cellStyle name="40% - Accent3 8" xfId="15895"/>
    <cellStyle name="40% - Accent3 9" xfId="15896"/>
    <cellStyle name="40% - Accent4 10" xfId="15897"/>
    <cellStyle name="40% - Accent4 10 2" xfId="15898"/>
    <cellStyle name="40% - Accent4 2" xfId="15899"/>
    <cellStyle name="40% - Accent4 2 2" xfId="15900"/>
    <cellStyle name="40% - Accent4 2 3" xfId="15901"/>
    <cellStyle name="40% - Accent4 3" xfId="15902"/>
    <cellStyle name="40% - Accent4 3 2" xfId="15903"/>
    <cellStyle name="40% - Accent4 4" xfId="15904"/>
    <cellStyle name="40% - Accent4 4 2" xfId="15905"/>
    <cellStyle name="40% - Accent4 5" xfId="15906"/>
    <cellStyle name="40% - Accent4 5 2" xfId="15907"/>
    <cellStyle name="40% - Accent4 6" xfId="15908"/>
    <cellStyle name="40% - Accent4 7" xfId="15909"/>
    <cellStyle name="40% - Accent4 8" xfId="15910"/>
    <cellStyle name="40% - Accent4 9" xfId="15911"/>
    <cellStyle name="40% - Accent5 10" xfId="15912"/>
    <cellStyle name="40% - Accent5 10 2" xfId="15913"/>
    <cellStyle name="40% - Accent5 2" xfId="15914"/>
    <cellStyle name="40% - Accent5 2 2" xfId="15915"/>
    <cellStyle name="40% - Accent5 2 3" xfId="15916"/>
    <cellStyle name="40% - Accent5 2 4" xfId="15917"/>
    <cellStyle name="40% - Accent5 3" xfId="15918"/>
    <cellStyle name="40% - Accent5 3 2" xfId="15919"/>
    <cellStyle name="40% - Accent5 4" xfId="15920"/>
    <cellStyle name="40% - Accent5 4 2" xfId="15921"/>
    <cellStyle name="40% - Accent5 5" xfId="15922"/>
    <cellStyle name="40% - Accent5 5 2" xfId="15923"/>
    <cellStyle name="40% - Accent5 6" xfId="15924"/>
    <cellStyle name="40% - Accent5 7" xfId="15925"/>
    <cellStyle name="40% - Accent5 8" xfId="15926"/>
    <cellStyle name="40% - Accent5 9" xfId="15927"/>
    <cellStyle name="40% - Accent6 10" xfId="15928"/>
    <cellStyle name="40% - Accent6 10 2" xfId="15929"/>
    <cellStyle name="40% - Accent6 2" xfId="15930"/>
    <cellStyle name="40% - Accent6 2 2" xfId="15931"/>
    <cellStyle name="40% - Accent6 2 3" xfId="15932"/>
    <cellStyle name="40% - Accent6 3" xfId="15933"/>
    <cellStyle name="40% - Accent6 3 2" xfId="15934"/>
    <cellStyle name="40% - Accent6 4" xfId="15935"/>
    <cellStyle name="40% - Accent6 4 2" xfId="15936"/>
    <cellStyle name="40% - Accent6 5" xfId="15937"/>
    <cellStyle name="40% - Accent6 5 2" xfId="15938"/>
    <cellStyle name="40% - Accent6 6" xfId="15939"/>
    <cellStyle name="40% - Accent6 7" xfId="15940"/>
    <cellStyle name="40% - Accent6 8" xfId="15941"/>
    <cellStyle name="40% - Accent6 9" xfId="15942"/>
    <cellStyle name="40% — акцент1 2" xfId="15943"/>
    <cellStyle name="40% — акцент1 2 2" xfId="15944"/>
    <cellStyle name="40% — акцент1 2 2 2" xfId="15945"/>
    <cellStyle name="40% — акцент1 2 2 3" xfId="15946"/>
    <cellStyle name="40% — акцент1 2 2 4" xfId="15947"/>
    <cellStyle name="40% — акцент1 2 2 5" xfId="15948"/>
    <cellStyle name="40% — акцент1 2 2 6" xfId="15949"/>
    <cellStyle name="40% — акцент1 2 3" xfId="15950"/>
    <cellStyle name="40% — акцент1 2 4" xfId="15951"/>
    <cellStyle name="40% — акцент1 2 5" xfId="15952"/>
    <cellStyle name="40% — акцент1 2 6" xfId="15953"/>
    <cellStyle name="40% — акцент1 2 7" xfId="15954"/>
    <cellStyle name="40% — акцент1 2 8" xfId="15955"/>
    <cellStyle name="40% — акцент1 3" xfId="15956"/>
    <cellStyle name="40% — акцент1 3 2" xfId="15957"/>
    <cellStyle name="40% — акцент1 3 3" xfId="15958"/>
    <cellStyle name="40% — акцент1 3 4" xfId="15959"/>
    <cellStyle name="40% — акцент1 3 5" xfId="15960"/>
    <cellStyle name="40% — акцент1 3 6" xfId="15961"/>
    <cellStyle name="40% — акцент1 4" xfId="15962"/>
    <cellStyle name="40% — акцент1 5" xfId="15963"/>
    <cellStyle name="40% — акцент2 2" xfId="15964"/>
    <cellStyle name="40% — акцент2 2 2" xfId="15965"/>
    <cellStyle name="40% — акцент2 2 2 2" xfId="15966"/>
    <cellStyle name="40% — акцент2 2 2 3" xfId="15967"/>
    <cellStyle name="40% — акцент2 2 2 4" xfId="15968"/>
    <cellStyle name="40% — акцент2 2 2 5" xfId="15969"/>
    <cellStyle name="40% — акцент2 2 2 6" xfId="15970"/>
    <cellStyle name="40% — акцент2 2 3" xfId="15971"/>
    <cellStyle name="40% — акцент2 2 4" xfId="15972"/>
    <cellStyle name="40% — акцент2 2 5" xfId="15973"/>
    <cellStyle name="40% — акцент2 2 6" xfId="15974"/>
    <cellStyle name="40% — акцент2 2 7" xfId="15975"/>
    <cellStyle name="40% — акцент2 2 8" xfId="15976"/>
    <cellStyle name="40% — акцент2 3" xfId="15977"/>
    <cellStyle name="40% — акцент2 3 2" xfId="15978"/>
    <cellStyle name="40% — акцент2 3 3" xfId="15979"/>
    <cellStyle name="40% — акцент2 3 4" xfId="15980"/>
    <cellStyle name="40% — акцент2 3 5" xfId="15981"/>
    <cellStyle name="40% — акцент2 3 6" xfId="15982"/>
    <cellStyle name="40% — акцент2 4" xfId="15983"/>
    <cellStyle name="40% — акцент2 5" xfId="15984"/>
    <cellStyle name="40% — акцент3 2" xfId="15985"/>
    <cellStyle name="40% — акцент3 2 2" xfId="15986"/>
    <cellStyle name="40% — акцент3 2 2 2" xfId="15987"/>
    <cellStyle name="40% — акцент3 2 2 3" xfId="15988"/>
    <cellStyle name="40% — акцент3 2 2 4" xfId="15989"/>
    <cellStyle name="40% — акцент3 2 2 5" xfId="15990"/>
    <cellStyle name="40% — акцент3 2 2 6" xfId="15991"/>
    <cellStyle name="40% — акцент3 2 3" xfId="15992"/>
    <cellStyle name="40% — акцент3 2 4" xfId="15993"/>
    <cellStyle name="40% — акцент3 2 5" xfId="15994"/>
    <cellStyle name="40% — акцент3 2 6" xfId="15995"/>
    <cellStyle name="40% — акцент3 2 7" xfId="15996"/>
    <cellStyle name="40% — акцент3 2 8" xfId="15997"/>
    <cellStyle name="40% — акцент3 3" xfId="15998"/>
    <cellStyle name="40% — акцент3 3 2" xfId="15999"/>
    <cellStyle name="40% — акцент3 3 3" xfId="16000"/>
    <cellStyle name="40% — акцент3 3 4" xfId="16001"/>
    <cellStyle name="40% — акцент3 3 5" xfId="16002"/>
    <cellStyle name="40% — акцент3 3 6" xfId="16003"/>
    <cellStyle name="40% — акцент3 4" xfId="16004"/>
    <cellStyle name="40% — акцент3 5" xfId="16005"/>
    <cellStyle name="40% — акцент4 2" xfId="16006"/>
    <cellStyle name="40% — акцент4 2 2" xfId="16007"/>
    <cellStyle name="40% — акцент4 2 2 2" xfId="16008"/>
    <cellStyle name="40% — акцент4 2 2 3" xfId="16009"/>
    <cellStyle name="40% — акцент4 2 2 4" xfId="16010"/>
    <cellStyle name="40% — акцент4 2 2 5" xfId="16011"/>
    <cellStyle name="40% — акцент4 2 2 6" xfId="16012"/>
    <cellStyle name="40% — акцент4 2 3" xfId="16013"/>
    <cellStyle name="40% — акцент4 2 4" xfId="16014"/>
    <cellStyle name="40% — акцент4 2 5" xfId="16015"/>
    <cellStyle name="40% — акцент4 2 6" xfId="16016"/>
    <cellStyle name="40% — акцент4 2 7" xfId="16017"/>
    <cellStyle name="40% — акцент4 2 8" xfId="16018"/>
    <cellStyle name="40% — акцент4 3" xfId="16019"/>
    <cellStyle name="40% — акцент4 3 2" xfId="16020"/>
    <cellStyle name="40% — акцент4 3 3" xfId="16021"/>
    <cellStyle name="40% — акцент4 3 4" xfId="16022"/>
    <cellStyle name="40% — акцент4 3 5" xfId="16023"/>
    <cellStyle name="40% — акцент4 3 6" xfId="16024"/>
    <cellStyle name="40% — акцент4 4" xfId="16025"/>
    <cellStyle name="40% — акцент4 5" xfId="16026"/>
    <cellStyle name="40% — акцент5 2" xfId="16027"/>
    <cellStyle name="40% — акцент5 2 2" xfId="16028"/>
    <cellStyle name="40% — акцент5 2 2 2" xfId="16029"/>
    <cellStyle name="40% — акцент5 2 2 3" xfId="16030"/>
    <cellStyle name="40% — акцент5 2 2 4" xfId="16031"/>
    <cellStyle name="40% — акцент5 2 2 5" xfId="16032"/>
    <cellStyle name="40% — акцент5 2 2 6" xfId="16033"/>
    <cellStyle name="40% — акцент5 2 3" xfId="16034"/>
    <cellStyle name="40% — акцент5 2 4" xfId="16035"/>
    <cellStyle name="40% — акцент5 2 5" xfId="16036"/>
    <cellStyle name="40% — акцент5 2 6" xfId="16037"/>
    <cellStyle name="40% — акцент5 2 7" xfId="16038"/>
    <cellStyle name="40% — акцент5 2 8" xfId="16039"/>
    <cellStyle name="40% — акцент5 3" xfId="16040"/>
    <cellStyle name="40% — акцент5 3 2" xfId="16041"/>
    <cellStyle name="40% — акцент5 3 3" xfId="16042"/>
    <cellStyle name="40% — акцент5 3 4" xfId="16043"/>
    <cellStyle name="40% — акцент5 3 5" xfId="16044"/>
    <cellStyle name="40% — акцент5 3 6" xfId="16045"/>
    <cellStyle name="40% — акцент5 4" xfId="16046"/>
    <cellStyle name="40% — акцент5 5" xfId="16047"/>
    <cellStyle name="40% — акцент6 2" xfId="16048"/>
    <cellStyle name="40% — акцент6 2 2" xfId="16049"/>
    <cellStyle name="40% — акцент6 2 2 2" xfId="16050"/>
    <cellStyle name="40% — акцент6 2 2 3" xfId="16051"/>
    <cellStyle name="40% — акцент6 2 2 4" xfId="16052"/>
    <cellStyle name="40% — акцент6 2 2 5" xfId="16053"/>
    <cellStyle name="40% — акцент6 2 2 6" xfId="16054"/>
    <cellStyle name="40% — акцент6 2 3" xfId="16055"/>
    <cellStyle name="40% — акцент6 2 4" xfId="16056"/>
    <cellStyle name="40% — акцент6 2 5" xfId="16057"/>
    <cellStyle name="40% — акцент6 2 6" xfId="16058"/>
    <cellStyle name="40% — акцент6 2 7" xfId="16059"/>
    <cellStyle name="40% — акцент6 2 8" xfId="16060"/>
    <cellStyle name="40% — акцент6 3" xfId="16061"/>
    <cellStyle name="40% — акцент6 3 2" xfId="16062"/>
    <cellStyle name="40% — акцент6 3 3" xfId="16063"/>
    <cellStyle name="40% — акцент6 3 4" xfId="16064"/>
    <cellStyle name="40% — акцент6 3 5" xfId="16065"/>
    <cellStyle name="40% — акцент6 3 6" xfId="16066"/>
    <cellStyle name="40% — акцент6 4" xfId="16067"/>
    <cellStyle name="40% — акцент6 5" xfId="16068"/>
    <cellStyle name="40% - 强调文字颜色 1 2" xfId="16069"/>
    <cellStyle name="40% - 强调文字颜色 1 2 10" xfId="16070"/>
    <cellStyle name="40% - 强调文字颜色 1 2 11" xfId="16071"/>
    <cellStyle name="40% - 强调文字颜色 1 2 11 2" xfId="16072"/>
    <cellStyle name="40% - 强调文字颜色 1 2 12" xfId="16073"/>
    <cellStyle name="40% - 强调文字颜色 1 2 12 2" xfId="16074"/>
    <cellStyle name="40% - 强调文字颜色 1 2 2" xfId="16075"/>
    <cellStyle name="40% - 强调文字颜色 1 2 2 10" xfId="16076"/>
    <cellStyle name="40% - 强调文字颜色 1 2 2 11" xfId="16077"/>
    <cellStyle name="40% - 强调文字颜色 1 2 2 11 2" xfId="16078"/>
    <cellStyle name="40% - 强调文字颜色 1 2 2 12" xfId="16079"/>
    <cellStyle name="40% - 强调文字颜色 1 2 2 12 2" xfId="16080"/>
    <cellStyle name="40% - 强调文字颜色 1 2 2 2" xfId="16081"/>
    <cellStyle name="40% - 强调文字颜色 1 2 2 2 2" xfId="16082"/>
    <cellStyle name="40% - 强调文字颜色 1 2 2 2 2 2" xfId="16083"/>
    <cellStyle name="40% - 强调文字颜色 1 2 2 2 2 2 2" xfId="16084"/>
    <cellStyle name="40% - 强调文字颜色 1 2 2 2 2 2 3" xfId="16085"/>
    <cellStyle name="40% - 强调文字颜色 1 2 2 2 2 2 3 2" xfId="16086"/>
    <cellStyle name="40% - 强调文字颜色 1 2 2 2 2 2 3 2 2" xfId="16087"/>
    <cellStyle name="40% - 强调文字颜色 1 2 2 2 2 2 4" xfId="16088"/>
    <cellStyle name="40% - 强调文字颜色 1 2 2 2 2 2 4 2" xfId="16089"/>
    <cellStyle name="40% - 强调文字颜色 1 2 2 2 2 2 5" xfId="16090"/>
    <cellStyle name="40% - 强调文字颜色 1 2 2 2 2 2 5 2" xfId="16091"/>
    <cellStyle name="40% - 强调文字颜色 1 2 2 2 2 2 6" xfId="16092"/>
    <cellStyle name="40% - 强调文字颜色 1 2 2 2 2 3" xfId="16093"/>
    <cellStyle name="40% - 强调文字颜色 1 2 2 2 2 3 2" xfId="16094"/>
    <cellStyle name="40% - 强调文字颜色 1 2 2 2 2 3 2 2" xfId="16095"/>
    <cellStyle name="40% - 强调文字颜色 1 2 2 2 2 3 2 2 2" xfId="16096"/>
    <cellStyle name="40% - 强调文字颜色 1 2 2 2 2 3 3" xfId="16097"/>
    <cellStyle name="40% - 强调文字颜色 1 2 2 2 2 3 3 2" xfId="16098"/>
    <cellStyle name="40% - 强调文字颜色 1 2 2 2 2 3 4" xfId="16099"/>
    <cellStyle name="40% - 强调文字颜色 1 2 2 2 2 3 4 2" xfId="16100"/>
    <cellStyle name="40% - 强调文字颜色 1 2 2 2 2 3 5" xfId="16101"/>
    <cellStyle name="40% - 强调文字颜色 1 2 2 2 2 4" xfId="16102"/>
    <cellStyle name="40% - 强调文字颜色 1 2 2 2 2 5" xfId="16103"/>
    <cellStyle name="40% - 强调文字颜色 1 2 2 2 2 6" xfId="16104"/>
    <cellStyle name="40% - 强调文字颜色 1 2 2 2 2 6 2" xfId="16105"/>
    <cellStyle name="40% - 强调文字颜色 1 2 2 2 2 7" xfId="16106"/>
    <cellStyle name="40% - 强调文字颜色 1 2 2 2 2 7 2" xfId="16107"/>
    <cellStyle name="40% - 强调文字颜色 1 2 2 2 3" xfId="16108"/>
    <cellStyle name="40% - 强调文字颜色 1 2 2 2 3 2" xfId="16109"/>
    <cellStyle name="40% - 强调文字颜色 1 2 2 2 3 3" xfId="16110"/>
    <cellStyle name="40% - 强调文字颜色 1 2 2 2 3 3 2" xfId="16111"/>
    <cellStyle name="40% - 强调文字颜色 1 2 2 2 3 3 2 2" xfId="16112"/>
    <cellStyle name="40% - 强调文字颜色 1 2 2 2 3 4" xfId="16113"/>
    <cellStyle name="40% - 强调文字颜色 1 2 2 2 3 4 2" xfId="16114"/>
    <cellStyle name="40% - 强调文字颜色 1 2 2 2 3 5" xfId="16115"/>
    <cellStyle name="40% - 强调文字颜色 1 2 2 2 3 5 2" xfId="16116"/>
    <cellStyle name="40% - 强调文字颜色 1 2 2 2 3 6" xfId="16117"/>
    <cellStyle name="40% - 强调文字颜色 1 2 2 2 4" xfId="16118"/>
    <cellStyle name="40% - 强调文字颜色 1 2 2 2 4 2" xfId="16119"/>
    <cellStyle name="40% - 强调文字颜色 1 2 2 2 4 2 2" xfId="16120"/>
    <cellStyle name="40% - 强调文字颜色 1 2 2 2 4 2 2 2" xfId="16121"/>
    <cellStyle name="40% - 强调文字颜色 1 2 2 2 4 3" xfId="16122"/>
    <cellStyle name="40% - 强调文字颜色 1 2 2 2 4 3 2" xfId="16123"/>
    <cellStyle name="40% - 强调文字颜色 1 2 2 2 4 4" xfId="16124"/>
    <cellStyle name="40% - 强调文字颜色 1 2 2 2 4 4 2" xfId="16125"/>
    <cellStyle name="40% - 强调文字颜色 1 2 2 2 4 5" xfId="16126"/>
    <cellStyle name="40% - 强调文字颜色 1 2 2 2 5" xfId="16127"/>
    <cellStyle name="40% - 强调文字颜色 1 2 2 2 6" xfId="16128"/>
    <cellStyle name="40% - 强调文字颜色 1 2 2 2 7" xfId="16129"/>
    <cellStyle name="40% - 强调文字颜色 1 2 2 2 7 2" xfId="16130"/>
    <cellStyle name="40% - 强调文字颜色 1 2 2 2 8" xfId="16131"/>
    <cellStyle name="40% - 强调文字颜色 1 2 2 2 8 2" xfId="16132"/>
    <cellStyle name="40% - 强调文字颜色 1 2 2 3" xfId="16133"/>
    <cellStyle name="40% - 强调文字颜色 1 2 2 3 2" xfId="16134"/>
    <cellStyle name="40% - 强调文字颜色 1 2 2 3 2 2" xfId="16135"/>
    <cellStyle name="40% - 强调文字颜色 1 2 2 3 2 3" xfId="16136"/>
    <cellStyle name="40% - 强调文字颜色 1 2 2 3 2 3 2" xfId="16137"/>
    <cellStyle name="40% - 强调文字颜色 1 2 2 3 2 3 2 2" xfId="16138"/>
    <cellStyle name="40% - 强调文字颜色 1 2 2 3 2 4" xfId="16139"/>
    <cellStyle name="40% - 强调文字颜色 1 2 2 3 2 4 2" xfId="16140"/>
    <cellStyle name="40% - 强调文字颜色 1 2 2 3 2 5" xfId="16141"/>
    <cellStyle name="40% - 强调文字颜色 1 2 2 3 2 5 2" xfId="16142"/>
    <cellStyle name="40% - 强调文字颜色 1 2 2 3 2 6" xfId="16143"/>
    <cellStyle name="40% - 强调文字颜色 1 2 2 3 3" xfId="16144"/>
    <cellStyle name="40% - 强调文字颜色 1 2 2 3 3 2" xfId="16145"/>
    <cellStyle name="40% - 强调文字颜色 1 2 2 3 3 2 2" xfId="16146"/>
    <cellStyle name="40% - 强调文字颜色 1 2 2 3 3 2 2 2" xfId="16147"/>
    <cellStyle name="40% - 强调文字颜色 1 2 2 3 3 3" xfId="16148"/>
    <cellStyle name="40% - 强调文字颜色 1 2 2 3 3 3 2" xfId="16149"/>
    <cellStyle name="40% - 强调文字颜色 1 2 2 3 3 4" xfId="16150"/>
    <cellStyle name="40% - 强调文字颜色 1 2 2 3 3 4 2" xfId="16151"/>
    <cellStyle name="40% - 强调文字颜色 1 2 2 3 3 5" xfId="16152"/>
    <cellStyle name="40% - 强调文字颜色 1 2 2 3 4" xfId="16153"/>
    <cellStyle name="40% - 强调文字颜色 1 2 2 3 5" xfId="16154"/>
    <cellStyle name="40% - 强调文字颜色 1 2 2 3 6" xfId="16155"/>
    <cellStyle name="40% - 强调文字颜色 1 2 2 3 6 2" xfId="16156"/>
    <cellStyle name="40% - 强调文字颜色 1 2 2 3 7" xfId="16157"/>
    <cellStyle name="40% - 强调文字颜色 1 2 2 3 7 2" xfId="16158"/>
    <cellStyle name="40% - 强调文字颜色 1 2 2 4" xfId="16159"/>
    <cellStyle name="40% - 强调文字颜色 1 2 2 4 2" xfId="16160"/>
    <cellStyle name="40% - 强调文字颜色 1 2 2 4 2 2" xfId="16161"/>
    <cellStyle name="40% - 强调文字颜色 1 2 2 4 2 3" xfId="16162"/>
    <cellStyle name="40% - 强调文字颜色 1 2 2 4 2 3 2" xfId="16163"/>
    <cellStyle name="40% - 强调文字颜色 1 2 2 4 2 3 2 2" xfId="16164"/>
    <cellStyle name="40% - 强调文字颜色 1 2 2 4 2 4" xfId="16165"/>
    <cellStyle name="40% - 强调文字颜色 1 2 2 4 2 4 2" xfId="16166"/>
    <cellStyle name="40% - 强调文字颜色 1 2 2 4 2 5" xfId="16167"/>
    <cellStyle name="40% - 强调文字颜色 1 2 2 4 2 5 2" xfId="16168"/>
    <cellStyle name="40% - 强调文字颜色 1 2 2 4 2 6" xfId="16169"/>
    <cellStyle name="40% - 强调文字颜色 1 2 2 4 3" xfId="16170"/>
    <cellStyle name="40% - 强调文字颜色 1 2 2 4 4" xfId="16171"/>
    <cellStyle name="40% - 强调文字颜色 1 2 2 4 5" xfId="16172"/>
    <cellStyle name="40% - 强调文字颜色 1 2 2 4 6" xfId="16173"/>
    <cellStyle name="40% - 强调文字颜色 1 2 2 4 6 2" xfId="16174"/>
    <cellStyle name="40% - 强调文字颜色 1 2 2 4 7" xfId="16175"/>
    <cellStyle name="40% - 强调文字颜色 1 2 2 4 7 2" xfId="16176"/>
    <cellStyle name="40% - 强调文字颜色 1 2 2 5" xfId="16177"/>
    <cellStyle name="40% - 强调文字颜色 1 2 2 5 2" xfId="16178"/>
    <cellStyle name="40% - 强调文字颜色 1 2 2 5 2 2" xfId="16179"/>
    <cellStyle name="40% - 强调文字颜色 1 2 2 5 2 2 2" xfId="16180"/>
    <cellStyle name="40% - 强调文字颜色 1 2 2 5 2 2 2 2" xfId="16181"/>
    <cellStyle name="40% - 强调文字颜色 1 2 2 5 2 3" xfId="16182"/>
    <cellStyle name="40% - 强调文字颜色 1 2 2 5 2 3 2" xfId="16183"/>
    <cellStyle name="40% - 强调文字颜色 1 2 2 5 2 4" xfId="16184"/>
    <cellStyle name="40% - 强调文字颜色 1 2 2 5 2 4 2" xfId="16185"/>
    <cellStyle name="40% - 强调文字颜色 1 2 2 5 2 5" xfId="16186"/>
    <cellStyle name="40% - 强调文字颜色 1 2 2 5 3" xfId="16187"/>
    <cellStyle name="40% - 强调文字颜色 1 2 2 5 3 2" xfId="16188"/>
    <cellStyle name="40% - 强调文字颜色 1 2 2 5 3 2 2" xfId="16189"/>
    <cellStyle name="40% - 强调文字颜色 1 2 2 5 4" xfId="16190"/>
    <cellStyle name="40% - 强调文字颜色 1 2 2 5 4 2" xfId="16191"/>
    <cellStyle name="40% - 强调文字颜色 1 2 2 5 5" xfId="16192"/>
    <cellStyle name="40% - 强调文字颜色 1 2 2 5 5 2" xfId="16193"/>
    <cellStyle name="40% - 强调文字颜色 1 2 2 5 6" xfId="16194"/>
    <cellStyle name="40% - 强调文字颜色 1 2 2 6" xfId="16195"/>
    <cellStyle name="40% - 强调文字颜色 1 2 2 6 2" xfId="16196"/>
    <cellStyle name="40% - 强调文字颜色 1 2 2 6 2 2" xfId="16197"/>
    <cellStyle name="40% - 强调文字颜色 1 2 2 6 2 2 2" xfId="16198"/>
    <cellStyle name="40% - 强调文字颜色 1 2 2 6 2 2 2 2" xfId="16199"/>
    <cellStyle name="40% - 强调文字颜色 1 2 2 6 2 3" xfId="16200"/>
    <cellStyle name="40% - 强调文字颜色 1 2 2 6 2 3 2" xfId="16201"/>
    <cellStyle name="40% - 强调文字颜色 1 2 2 6 2 4" xfId="16202"/>
    <cellStyle name="40% - 强调文字颜色 1 2 2 6 2 4 2" xfId="16203"/>
    <cellStyle name="40% - 强调文字颜色 1 2 2 6 2 5" xfId="16204"/>
    <cellStyle name="40% - 强调文字颜色 1 2 2 6 3" xfId="16205"/>
    <cellStyle name="40% - 强调文字颜色 1 2 2 6 3 2" xfId="16206"/>
    <cellStyle name="40% - 强调文字颜色 1 2 2 6 3 2 2" xfId="16207"/>
    <cellStyle name="40% - 强调文字颜色 1 2 2 6 4" xfId="16208"/>
    <cellStyle name="40% - 强调文字颜色 1 2 2 6 4 2" xfId="16209"/>
    <cellStyle name="40% - 强调文字颜色 1 2 2 6 5" xfId="16210"/>
    <cellStyle name="40% - 强调文字颜色 1 2 2 6 5 2" xfId="16211"/>
    <cellStyle name="40% - 强调文字颜色 1 2 2 6 6" xfId="16212"/>
    <cellStyle name="40% - 强调文字颜色 1 2 2 7" xfId="16213"/>
    <cellStyle name="40% - 强调文字颜色 1 2 2 7 2" xfId="16214"/>
    <cellStyle name="40% - 强调文字颜色 1 2 2 7 2 2" xfId="16215"/>
    <cellStyle name="40% - 强调文字颜色 1 2 2 7 2 2 2" xfId="16216"/>
    <cellStyle name="40% - 强调文字颜色 1 2 2 7 2 2 2 2" xfId="16217"/>
    <cellStyle name="40% - 强调文字颜色 1 2 2 7 2 3" xfId="16218"/>
    <cellStyle name="40% - 强调文字颜色 1 2 2 7 2 3 2" xfId="16219"/>
    <cellStyle name="40% - 强调文字颜色 1 2 2 7 2 4" xfId="16220"/>
    <cellStyle name="40% - 强调文字颜色 1 2 2 7 2 4 2" xfId="16221"/>
    <cellStyle name="40% - 强调文字颜色 1 2 2 7 2 5" xfId="16222"/>
    <cellStyle name="40% - 强调文字颜色 1 2 2 7 3" xfId="16223"/>
    <cellStyle name="40% - 强调文字颜色 1 2 2 7 3 2" xfId="16224"/>
    <cellStyle name="40% - 强调文字颜色 1 2 2 7 3 2 2" xfId="16225"/>
    <cellStyle name="40% - 强调文字颜色 1 2 2 7 4" xfId="16226"/>
    <cellStyle name="40% - 强调文字颜色 1 2 2 7 4 2" xfId="16227"/>
    <cellStyle name="40% - 强调文字颜色 1 2 2 7 5" xfId="16228"/>
    <cellStyle name="40% - 强调文字颜色 1 2 2 7 5 2" xfId="16229"/>
    <cellStyle name="40% - 强调文字颜色 1 2 2 7 6" xfId="16230"/>
    <cellStyle name="40% - 强调文字颜色 1 2 2 8" xfId="16231"/>
    <cellStyle name="40% - 强调文字颜色 1 2 2 8 2" xfId="16232"/>
    <cellStyle name="40% - 强调文字颜色 1 2 2 8 2 2" xfId="16233"/>
    <cellStyle name="40% - 强调文字颜色 1 2 2 8 2 2 2" xfId="16234"/>
    <cellStyle name="40% - 强调文字颜色 1 2 2 8 3" xfId="16235"/>
    <cellStyle name="40% - 强调文字颜色 1 2 2 8 3 2" xfId="16236"/>
    <cellStyle name="40% - 强调文字颜色 1 2 2 8 4" xfId="16237"/>
    <cellStyle name="40% - 强调文字颜色 1 2 2 8 4 2" xfId="16238"/>
    <cellStyle name="40% - 强调文字颜色 1 2 2 8 5" xfId="16239"/>
    <cellStyle name="40% - 强调文字颜色 1 2 2 9" xfId="16240"/>
    <cellStyle name="40% - 强调文字颜色 1 2 2 9 2" xfId="16241"/>
    <cellStyle name="40% - 强调文字颜色 1 2 2 9 2 2" xfId="16242"/>
    <cellStyle name="40% - 强调文字颜色 1 2 2 9 2 2 2" xfId="16243"/>
    <cellStyle name="40% - 强调文字颜色 1 2 2 9 3" xfId="16244"/>
    <cellStyle name="40% - 强调文字颜色 1 2 2 9 3 2" xfId="16245"/>
    <cellStyle name="40% - 强调文字颜色 1 2 2 9 4" xfId="16246"/>
    <cellStyle name="40% - 强调文字颜色 1 2 2 9 4 2" xfId="16247"/>
    <cellStyle name="40% - 强调文字颜色 1 2 2 9 5" xfId="16248"/>
    <cellStyle name="40% - 强调文字颜色 1 2 3" xfId="16249"/>
    <cellStyle name="40% - 强调文字颜色 1 2 3 10" xfId="16250"/>
    <cellStyle name="40% - 强调文字颜色 1 2 3 10 2" xfId="16251"/>
    <cellStyle name="40% - 强调文字颜色 1 2 3 2" xfId="16252"/>
    <cellStyle name="40% - 强调文字颜色 1 2 3 2 2" xfId="16253"/>
    <cellStyle name="40% - 强调文字颜色 1 2 3 2 2 2" xfId="16254"/>
    <cellStyle name="40% - 强调文字颜色 1 2 3 2 2 2 2" xfId="16255"/>
    <cellStyle name="40% - 强调文字颜色 1 2 3 2 2 2 3" xfId="16256"/>
    <cellStyle name="40% - 强调文字颜色 1 2 3 2 2 2 3 2" xfId="16257"/>
    <cellStyle name="40% - 强调文字颜色 1 2 3 2 2 2 3 2 2" xfId="16258"/>
    <cellStyle name="40% - 强调文字颜色 1 2 3 2 2 2 4" xfId="16259"/>
    <cellStyle name="40% - 强调文字颜色 1 2 3 2 2 2 4 2" xfId="16260"/>
    <cellStyle name="40% - 强调文字颜色 1 2 3 2 2 2 5" xfId="16261"/>
    <cellStyle name="40% - 强调文字颜色 1 2 3 2 2 2 5 2" xfId="16262"/>
    <cellStyle name="40% - 强调文字颜色 1 2 3 2 2 2 6" xfId="16263"/>
    <cellStyle name="40% - 强调文字颜色 1 2 3 2 2 3" xfId="16264"/>
    <cellStyle name="40% - 强调文字颜色 1 2 3 2 2 3 2" xfId="16265"/>
    <cellStyle name="40% - 强调文字颜色 1 2 3 2 2 3 2 2" xfId="16266"/>
    <cellStyle name="40% - 强调文字颜色 1 2 3 2 2 3 2 2 2" xfId="16267"/>
    <cellStyle name="40% - 强调文字颜色 1 2 3 2 2 3 3" xfId="16268"/>
    <cellStyle name="40% - 强调文字颜色 1 2 3 2 2 3 3 2" xfId="16269"/>
    <cellStyle name="40% - 强调文字颜色 1 2 3 2 2 3 4" xfId="16270"/>
    <cellStyle name="40% - 强调文字颜色 1 2 3 2 2 3 4 2" xfId="16271"/>
    <cellStyle name="40% - 强调文字颜色 1 2 3 2 2 3 5" xfId="16272"/>
    <cellStyle name="40% - 强调文字颜色 1 2 3 2 2 4" xfId="16273"/>
    <cellStyle name="40% - 强调文字颜色 1 2 3 2 2 5" xfId="16274"/>
    <cellStyle name="40% - 强调文字颜色 1 2 3 2 2 6" xfId="16275"/>
    <cellStyle name="40% - 强调文字颜色 1 2 3 2 2 6 2" xfId="16276"/>
    <cellStyle name="40% - 强调文字颜色 1 2 3 2 2 7" xfId="16277"/>
    <cellStyle name="40% - 强调文字颜色 1 2 3 2 2 7 2" xfId="16278"/>
    <cellStyle name="40% - 强调文字颜色 1 2 3 2 3" xfId="16279"/>
    <cellStyle name="40% - 强调文字颜色 1 2 3 2 3 2" xfId="16280"/>
    <cellStyle name="40% - 强调文字颜色 1 2 3 2 3 3" xfId="16281"/>
    <cellStyle name="40% - 强调文字颜色 1 2 3 2 3 3 2" xfId="16282"/>
    <cellStyle name="40% - 强调文字颜色 1 2 3 2 3 3 2 2" xfId="16283"/>
    <cellStyle name="40% - 强调文字颜色 1 2 3 2 3 4" xfId="16284"/>
    <cellStyle name="40% - 强调文字颜色 1 2 3 2 3 4 2" xfId="16285"/>
    <cellStyle name="40% - 强调文字颜色 1 2 3 2 3 5" xfId="16286"/>
    <cellStyle name="40% - 强调文字颜色 1 2 3 2 3 5 2" xfId="16287"/>
    <cellStyle name="40% - 强调文字颜色 1 2 3 2 3 6" xfId="16288"/>
    <cellStyle name="40% - 强调文字颜色 1 2 3 2 4" xfId="16289"/>
    <cellStyle name="40% - 强调文字颜色 1 2 3 2 4 2" xfId="16290"/>
    <cellStyle name="40% - 强调文字颜色 1 2 3 2 4 2 2" xfId="16291"/>
    <cellStyle name="40% - 强调文字颜色 1 2 3 2 4 2 2 2" xfId="16292"/>
    <cellStyle name="40% - 强调文字颜色 1 2 3 2 4 3" xfId="16293"/>
    <cellStyle name="40% - 强调文字颜色 1 2 3 2 4 3 2" xfId="16294"/>
    <cellStyle name="40% - 强调文字颜色 1 2 3 2 4 4" xfId="16295"/>
    <cellStyle name="40% - 强调文字颜色 1 2 3 2 4 4 2" xfId="16296"/>
    <cellStyle name="40% - 强调文字颜色 1 2 3 2 4 5" xfId="16297"/>
    <cellStyle name="40% - 强调文字颜色 1 2 3 2 5" xfId="16298"/>
    <cellStyle name="40% - 强调文字颜色 1 2 3 2 6" xfId="16299"/>
    <cellStyle name="40% - 强调文字颜色 1 2 3 2 7" xfId="16300"/>
    <cellStyle name="40% - 强调文字颜色 1 2 3 2 7 2" xfId="16301"/>
    <cellStyle name="40% - 强调文字颜色 1 2 3 2 8" xfId="16302"/>
    <cellStyle name="40% - 强调文字颜色 1 2 3 2 8 2" xfId="16303"/>
    <cellStyle name="40% - 强调文字颜色 1 2 3 3" xfId="16304"/>
    <cellStyle name="40% - 强调文字颜色 1 2 3 3 2" xfId="16305"/>
    <cellStyle name="40% - 强调文字颜色 1 2 3 3 2 2" xfId="16306"/>
    <cellStyle name="40% - 强调文字颜色 1 2 3 3 2 3" xfId="16307"/>
    <cellStyle name="40% - 强调文字颜色 1 2 3 3 2 3 2" xfId="16308"/>
    <cellStyle name="40% - 强调文字颜色 1 2 3 3 2 3 2 2" xfId="16309"/>
    <cellStyle name="40% - 强调文字颜色 1 2 3 3 2 4" xfId="16310"/>
    <cellStyle name="40% - 强调文字颜色 1 2 3 3 2 4 2" xfId="16311"/>
    <cellStyle name="40% - 强调文字颜色 1 2 3 3 2 5" xfId="16312"/>
    <cellStyle name="40% - 强调文字颜色 1 2 3 3 2 5 2" xfId="16313"/>
    <cellStyle name="40% - 强调文字颜色 1 2 3 3 2 6" xfId="16314"/>
    <cellStyle name="40% - 强调文字颜色 1 2 3 3 3" xfId="16315"/>
    <cellStyle name="40% - 强调文字颜色 1 2 3 3 3 2" xfId="16316"/>
    <cellStyle name="40% - 强调文字颜色 1 2 3 3 3 2 2" xfId="16317"/>
    <cellStyle name="40% - 强调文字颜色 1 2 3 3 3 2 2 2" xfId="16318"/>
    <cellStyle name="40% - 强调文字颜色 1 2 3 3 3 3" xfId="16319"/>
    <cellStyle name="40% - 强调文字颜色 1 2 3 3 3 3 2" xfId="16320"/>
    <cellStyle name="40% - 强调文字颜色 1 2 3 3 3 4" xfId="16321"/>
    <cellStyle name="40% - 强调文字颜色 1 2 3 3 3 4 2" xfId="16322"/>
    <cellStyle name="40% - 强调文字颜色 1 2 3 3 3 5" xfId="16323"/>
    <cellStyle name="40% - 强调文字颜色 1 2 3 3 4" xfId="16324"/>
    <cellStyle name="40% - 强调文字颜色 1 2 3 3 5" xfId="16325"/>
    <cellStyle name="40% - 强调文字颜色 1 2 3 3 6" xfId="16326"/>
    <cellStyle name="40% - 强调文字颜色 1 2 3 3 6 2" xfId="16327"/>
    <cellStyle name="40% - 强调文字颜色 1 2 3 3 7" xfId="16328"/>
    <cellStyle name="40% - 强调文字颜色 1 2 3 3 7 2" xfId="16329"/>
    <cellStyle name="40% - 强调文字颜色 1 2 3 4" xfId="16330"/>
    <cellStyle name="40% - 强调文字颜色 1 2 3 4 2" xfId="16331"/>
    <cellStyle name="40% - 强调文字颜色 1 2 3 4 2 2" xfId="16332"/>
    <cellStyle name="40% - 强调文字颜色 1 2 3 4 2 3" xfId="16333"/>
    <cellStyle name="40% - 强调文字颜色 1 2 3 4 2 3 2" xfId="16334"/>
    <cellStyle name="40% - 强调文字颜色 1 2 3 4 2 3 2 2" xfId="16335"/>
    <cellStyle name="40% - 强调文字颜色 1 2 3 4 2 4" xfId="16336"/>
    <cellStyle name="40% - 强调文字颜色 1 2 3 4 2 4 2" xfId="16337"/>
    <cellStyle name="40% - 强调文字颜色 1 2 3 4 2 5" xfId="16338"/>
    <cellStyle name="40% - 强调文字颜色 1 2 3 4 2 5 2" xfId="16339"/>
    <cellStyle name="40% - 强调文字颜色 1 2 3 4 2 6" xfId="16340"/>
    <cellStyle name="40% - 强调文字颜色 1 2 3 4 3" xfId="16341"/>
    <cellStyle name="40% - 强调文字颜色 1 2 3 4 4" xfId="16342"/>
    <cellStyle name="40% - 强调文字颜色 1 2 3 4 5" xfId="16343"/>
    <cellStyle name="40% - 强调文字颜色 1 2 3 4 6" xfId="16344"/>
    <cellStyle name="40% - 强调文字颜色 1 2 3 4 6 2" xfId="16345"/>
    <cellStyle name="40% - 强调文字颜色 1 2 3 4 7" xfId="16346"/>
    <cellStyle name="40% - 强调文字颜色 1 2 3 4 7 2" xfId="16347"/>
    <cellStyle name="40% - 强调文字颜色 1 2 3 5" xfId="16348"/>
    <cellStyle name="40% - 强调文字颜色 1 2 3 5 2" xfId="16349"/>
    <cellStyle name="40% - 强调文字颜色 1 2 3 5 2 2" xfId="16350"/>
    <cellStyle name="40% - 强调文字颜色 1 2 3 5 2 2 2" xfId="16351"/>
    <cellStyle name="40% - 强调文字颜色 1 2 3 5 2 2 2 2" xfId="16352"/>
    <cellStyle name="40% - 强调文字颜色 1 2 3 5 2 3" xfId="16353"/>
    <cellStyle name="40% - 强调文字颜色 1 2 3 5 2 3 2" xfId="16354"/>
    <cellStyle name="40% - 强调文字颜色 1 2 3 5 2 4" xfId="16355"/>
    <cellStyle name="40% - 强调文字颜色 1 2 3 5 2 4 2" xfId="16356"/>
    <cellStyle name="40% - 强调文字颜色 1 2 3 5 2 5" xfId="16357"/>
    <cellStyle name="40% - 强调文字颜色 1 2 3 5 3" xfId="16358"/>
    <cellStyle name="40% - 强调文字颜色 1 2 3 5 3 2" xfId="16359"/>
    <cellStyle name="40% - 强调文字颜色 1 2 3 5 3 2 2" xfId="16360"/>
    <cellStyle name="40% - 强调文字颜色 1 2 3 5 4" xfId="16361"/>
    <cellStyle name="40% - 强调文字颜色 1 2 3 5 4 2" xfId="16362"/>
    <cellStyle name="40% - 强调文字颜色 1 2 3 5 5" xfId="16363"/>
    <cellStyle name="40% - 强调文字颜色 1 2 3 5 5 2" xfId="16364"/>
    <cellStyle name="40% - 强调文字颜色 1 2 3 5 6" xfId="16365"/>
    <cellStyle name="40% - 强调文字颜色 1 2 3 6" xfId="16366"/>
    <cellStyle name="40% - 强调文字颜色 1 2 3 6 2" xfId="16367"/>
    <cellStyle name="40% - 强调文字颜色 1 2 3 6 2 2" xfId="16368"/>
    <cellStyle name="40% - 强调文字颜色 1 2 3 6 2 2 2" xfId="16369"/>
    <cellStyle name="40% - 强调文字颜色 1 2 3 6 3" xfId="16370"/>
    <cellStyle name="40% - 强调文字颜色 1 2 3 6 3 2" xfId="16371"/>
    <cellStyle name="40% - 强调文字颜色 1 2 3 6 4" xfId="16372"/>
    <cellStyle name="40% - 强调文字颜色 1 2 3 6 4 2" xfId="16373"/>
    <cellStyle name="40% - 强调文字颜色 1 2 3 6 5" xfId="16374"/>
    <cellStyle name="40% - 强调文字颜色 1 2 3 7" xfId="16375"/>
    <cellStyle name="40% - 强调文字颜色 1 2 3 7 2" xfId="16376"/>
    <cellStyle name="40% - 强调文字颜色 1 2 3 7 2 2" xfId="16377"/>
    <cellStyle name="40% - 强调文字颜色 1 2 3 7 2 2 2" xfId="16378"/>
    <cellStyle name="40% - 强调文字颜色 1 2 3 7 3" xfId="16379"/>
    <cellStyle name="40% - 强调文字颜色 1 2 3 7 3 2" xfId="16380"/>
    <cellStyle name="40% - 强调文字颜色 1 2 3 7 4" xfId="16381"/>
    <cellStyle name="40% - 强调文字颜色 1 2 3 7 4 2" xfId="16382"/>
    <cellStyle name="40% - 强调文字颜色 1 2 3 7 5" xfId="16383"/>
    <cellStyle name="40% - 强调文字颜色 1 2 3 8" xfId="16384"/>
    <cellStyle name="40% - 强调文字颜色 1 2 3 9" xfId="16385"/>
    <cellStyle name="40% - 强调文字颜色 1 2 3 9 2" xfId="16386"/>
    <cellStyle name="40% - 强调文字颜色 1 2 4" xfId="16387"/>
    <cellStyle name="40% - 强调文字颜色 1 2 4 2" xfId="16388"/>
    <cellStyle name="40% - 强调文字颜色 1 2 4 2 2" xfId="16389"/>
    <cellStyle name="40% - 强调文字颜色 1 2 4 2 3" xfId="16390"/>
    <cellStyle name="40% - 强调文字颜色 1 2 4 2 3 2" xfId="16391"/>
    <cellStyle name="40% - 强调文字颜色 1 2 4 2 3 2 2" xfId="16392"/>
    <cellStyle name="40% - 强调文字颜色 1 2 4 2 4" xfId="16393"/>
    <cellStyle name="40% - 强调文字颜色 1 2 4 2 4 2" xfId="16394"/>
    <cellStyle name="40% - 强调文字颜色 1 2 4 2 5" xfId="16395"/>
    <cellStyle name="40% - 强调文字颜色 1 2 4 2 5 2" xfId="16396"/>
    <cellStyle name="40% - 强调文字颜色 1 2 4 2 6" xfId="16397"/>
    <cellStyle name="40% - 强调文字颜色 1 2 4 3" xfId="16398"/>
    <cellStyle name="40% - 强调文字颜色 1 2 4 3 2" xfId="16399"/>
    <cellStyle name="40% - 强调文字颜色 1 2 4 3 2 2" xfId="16400"/>
    <cellStyle name="40% - 强调文字颜色 1 2 4 3 2 2 2" xfId="16401"/>
    <cellStyle name="40% - 强调文字颜色 1 2 4 3 3" xfId="16402"/>
    <cellStyle name="40% - 强调文字颜色 1 2 4 3 3 2" xfId="16403"/>
    <cellStyle name="40% - 强调文字颜色 1 2 4 3 4" xfId="16404"/>
    <cellStyle name="40% - 强调文字颜色 1 2 4 3 4 2" xfId="16405"/>
    <cellStyle name="40% - 强调文字颜色 1 2 4 3 5" xfId="16406"/>
    <cellStyle name="40% - 强调文字颜色 1 2 4 4" xfId="16407"/>
    <cellStyle name="40% - 强调文字颜色 1 2 4 5" xfId="16408"/>
    <cellStyle name="40% - 强调文字颜色 1 2 4 6" xfId="16409"/>
    <cellStyle name="40% - 强调文字颜色 1 2 4 6 2" xfId="16410"/>
    <cellStyle name="40% - 强调文字颜色 1 2 4 7" xfId="16411"/>
    <cellStyle name="40% - 强调文字颜色 1 2 4 7 2" xfId="16412"/>
    <cellStyle name="40% - 强调文字颜色 1 2 5" xfId="16413"/>
    <cellStyle name="40% - 强调文字颜色 1 2 5 2" xfId="16414"/>
    <cellStyle name="40% - 强调文字颜色 1 2 5 2 2" xfId="16415"/>
    <cellStyle name="40% - 强调文字颜色 1 2 5 2 3" xfId="16416"/>
    <cellStyle name="40% - 强调文字颜色 1 2 5 2 3 2" xfId="16417"/>
    <cellStyle name="40% - 强调文字颜色 1 2 5 2 3 2 2" xfId="16418"/>
    <cellStyle name="40% - 强调文字颜色 1 2 5 2 4" xfId="16419"/>
    <cellStyle name="40% - 强调文字颜色 1 2 5 2 4 2" xfId="16420"/>
    <cellStyle name="40% - 强调文字颜色 1 2 5 2 5" xfId="16421"/>
    <cellStyle name="40% - 强调文字颜色 1 2 5 2 5 2" xfId="16422"/>
    <cellStyle name="40% - 强调文字颜色 1 2 5 2 6" xfId="16423"/>
    <cellStyle name="40% - 强调文字颜色 1 2 5 3" xfId="16424"/>
    <cellStyle name="40% - 强调文字颜色 1 2 5 4" xfId="16425"/>
    <cellStyle name="40% - 强调文字颜色 1 2 5 5" xfId="16426"/>
    <cellStyle name="40% - 强调文字颜色 1 2 5 6" xfId="16427"/>
    <cellStyle name="40% - 强调文字颜色 1 2 5 6 2" xfId="16428"/>
    <cellStyle name="40% - 强调文字颜色 1 2 5 7" xfId="16429"/>
    <cellStyle name="40% - 强调文字颜色 1 2 5 7 2" xfId="16430"/>
    <cellStyle name="40% - 强调文字颜色 1 2 6" xfId="16431"/>
    <cellStyle name="40% - 强调文字颜色 1 2 6 2" xfId="16432"/>
    <cellStyle name="40% - 强调文字颜色 1 2 6 2 2" xfId="16433"/>
    <cellStyle name="40% - 强调文字颜色 1 2 6 2 2 2" xfId="16434"/>
    <cellStyle name="40% - 强调文字颜色 1 2 6 2 2 2 2" xfId="16435"/>
    <cellStyle name="40% - 强调文字颜色 1 2 6 2 3" xfId="16436"/>
    <cellStyle name="40% - 强调文字颜色 1 2 6 2 3 2" xfId="16437"/>
    <cellStyle name="40% - 强调文字颜色 1 2 6 2 4" xfId="16438"/>
    <cellStyle name="40% - 强调文字颜色 1 2 6 2 4 2" xfId="16439"/>
    <cellStyle name="40% - 强调文字颜色 1 2 6 2 5" xfId="16440"/>
    <cellStyle name="40% - 强调文字颜色 1 2 6 3" xfId="16441"/>
    <cellStyle name="40% - 强调文字颜色 1 2 6 3 2" xfId="16442"/>
    <cellStyle name="40% - 强调文字颜色 1 2 6 3 2 2" xfId="16443"/>
    <cellStyle name="40% - 强调文字颜色 1 2 6 4" xfId="16444"/>
    <cellStyle name="40% - 强调文字颜色 1 2 6 4 2" xfId="16445"/>
    <cellStyle name="40% - 强调文字颜色 1 2 6 5" xfId="16446"/>
    <cellStyle name="40% - 强调文字颜色 1 2 6 5 2" xfId="16447"/>
    <cellStyle name="40% - 强调文字颜色 1 2 6 6" xfId="16448"/>
    <cellStyle name="40% - 强调文字颜色 1 2 7" xfId="16449"/>
    <cellStyle name="40% - 强调文字颜色 1 2 7 2" xfId="16450"/>
    <cellStyle name="40% - 强调文字颜色 1 2 7 2 2" xfId="16451"/>
    <cellStyle name="40% - 强调文字颜色 1 2 7 2 2 2" xfId="16452"/>
    <cellStyle name="40% - 强调文字颜色 1 2 7 2 2 2 2" xfId="16453"/>
    <cellStyle name="40% - 强调文字颜色 1 2 7 2 3" xfId="16454"/>
    <cellStyle name="40% - 强调文字颜色 1 2 7 2 3 2" xfId="16455"/>
    <cellStyle name="40% - 强调文字颜色 1 2 7 2 4" xfId="16456"/>
    <cellStyle name="40% - 强调文字颜色 1 2 7 2 4 2" xfId="16457"/>
    <cellStyle name="40% - 强调文字颜色 1 2 7 2 5" xfId="16458"/>
    <cellStyle name="40% - 强调文字颜色 1 2 7 3" xfId="16459"/>
    <cellStyle name="40% - 强调文字颜色 1 2 7 3 2" xfId="16460"/>
    <cellStyle name="40% - 强调文字颜色 1 2 7 3 2 2" xfId="16461"/>
    <cellStyle name="40% - 强调文字颜色 1 2 7 4" xfId="16462"/>
    <cellStyle name="40% - 强调文字颜色 1 2 7 4 2" xfId="16463"/>
    <cellStyle name="40% - 强调文字颜色 1 2 7 5" xfId="16464"/>
    <cellStyle name="40% - 强调文字颜色 1 2 7 5 2" xfId="16465"/>
    <cellStyle name="40% - 强调文字颜色 1 2 7 6" xfId="16466"/>
    <cellStyle name="40% - 强调文字颜色 1 2 8" xfId="16467"/>
    <cellStyle name="40% - 强调文字颜色 1 2 8 2" xfId="16468"/>
    <cellStyle name="40% - 强调文字颜色 1 2 8 2 2" xfId="16469"/>
    <cellStyle name="40% - 强调文字颜色 1 2 8 2 2 2" xfId="16470"/>
    <cellStyle name="40% - 强调文字颜色 1 2 8 2 2 2 2" xfId="16471"/>
    <cellStyle name="40% - 强调文字颜色 1 2 8 2 3" xfId="16472"/>
    <cellStyle name="40% - 强调文字颜色 1 2 8 2 3 2" xfId="16473"/>
    <cellStyle name="40% - 强调文字颜色 1 2 8 2 4" xfId="16474"/>
    <cellStyle name="40% - 强调文字颜色 1 2 8 2 4 2" xfId="16475"/>
    <cellStyle name="40% - 强调文字颜色 1 2 8 2 5" xfId="16476"/>
    <cellStyle name="40% - 强调文字颜色 1 2 8 3" xfId="16477"/>
    <cellStyle name="40% - 强调文字颜色 1 2 8 3 2" xfId="16478"/>
    <cellStyle name="40% - 强调文字颜色 1 2 8 3 2 2" xfId="16479"/>
    <cellStyle name="40% - 强调文字颜色 1 2 8 4" xfId="16480"/>
    <cellStyle name="40% - 强调文字颜色 1 2 8 4 2" xfId="16481"/>
    <cellStyle name="40% - 强调文字颜色 1 2 8 5" xfId="16482"/>
    <cellStyle name="40% - 强调文字颜色 1 2 8 5 2" xfId="16483"/>
    <cellStyle name="40% - 强调文字颜色 1 2 8 6" xfId="16484"/>
    <cellStyle name="40% - 强调文字颜色 1 2 9" xfId="16485"/>
    <cellStyle name="40% - 强调文字颜色 1 2 9 2" xfId="16486"/>
    <cellStyle name="40% - 强调文字颜色 1 2 9 2 2" xfId="16487"/>
    <cellStyle name="40% - 强调文字颜色 1 2 9 2 2 2" xfId="16488"/>
    <cellStyle name="40% - 强调文字颜色 1 2 9 3" xfId="16489"/>
    <cellStyle name="40% - 强调文字颜色 1 2 9 3 2" xfId="16490"/>
    <cellStyle name="40% - 强调文字颜色 1 2 9 4" xfId="16491"/>
    <cellStyle name="40% - 强调文字颜色 1 2 9 4 2" xfId="16492"/>
    <cellStyle name="40% - 强调文字颜色 1 2 9 5" xfId="16493"/>
    <cellStyle name="40% - 强调文字颜色 1 3" xfId="16494"/>
    <cellStyle name="40% - 强调文字颜色 1 3 2" xfId="16495"/>
    <cellStyle name="40% - 强调文字颜色 1 3 2 2" xfId="16496"/>
    <cellStyle name="40% - 强调文字颜色 1 3 2 2 2" xfId="16497"/>
    <cellStyle name="40% - 强调文字颜色 1 3 2 2 2 2" xfId="16498"/>
    <cellStyle name="40% - 强调文字颜色 1 3 2 2 2 3" xfId="16499"/>
    <cellStyle name="40% - 强调文字颜色 1 3 2 2 2 3 2" xfId="16500"/>
    <cellStyle name="40% - 强调文字颜色 1 3 2 2 2 3 2 2" xfId="16501"/>
    <cellStyle name="40% - 强调文字颜色 1 3 2 2 2 4" xfId="16502"/>
    <cellStyle name="40% - 强调文字颜色 1 3 2 2 2 4 2" xfId="16503"/>
    <cellStyle name="40% - 强调文字颜色 1 3 2 2 2 5" xfId="16504"/>
    <cellStyle name="40% - 强调文字颜色 1 3 2 2 2 5 2" xfId="16505"/>
    <cellStyle name="40% - 强调文字颜色 1 3 2 2 2 6" xfId="16506"/>
    <cellStyle name="40% - 强调文字颜色 1 3 2 2 3" xfId="16507"/>
    <cellStyle name="40% - 强调文字颜色 1 3 2 2 3 2" xfId="16508"/>
    <cellStyle name="40% - 强调文字颜色 1 3 2 2 3 2 2" xfId="16509"/>
    <cellStyle name="40% - 强调文字颜色 1 3 2 2 3 2 2 2" xfId="16510"/>
    <cellStyle name="40% - 强调文字颜色 1 3 2 2 3 3" xfId="16511"/>
    <cellStyle name="40% - 强调文字颜色 1 3 2 2 3 3 2" xfId="16512"/>
    <cellStyle name="40% - 强调文字颜色 1 3 2 2 3 4" xfId="16513"/>
    <cellStyle name="40% - 强调文字颜色 1 3 2 2 3 4 2" xfId="16514"/>
    <cellStyle name="40% - 强调文字颜色 1 3 2 2 3 5" xfId="16515"/>
    <cellStyle name="40% - 强调文字颜色 1 3 2 2 4" xfId="16516"/>
    <cellStyle name="40% - 强调文字颜色 1 3 2 2 5" xfId="16517"/>
    <cellStyle name="40% - 强调文字颜色 1 3 2 2 6" xfId="16518"/>
    <cellStyle name="40% - 强调文字颜色 1 3 2 2 6 2" xfId="16519"/>
    <cellStyle name="40% - 强调文字颜色 1 3 2 2 7" xfId="16520"/>
    <cellStyle name="40% - 强调文字颜色 1 3 2 2 7 2" xfId="16521"/>
    <cellStyle name="40% - 强调文字颜色 1 3 2 3" xfId="16522"/>
    <cellStyle name="40% - 强调文字颜色 1 3 2 3 2" xfId="16523"/>
    <cellStyle name="40% - 强调文字颜色 1 3 2 3 3" xfId="16524"/>
    <cellStyle name="40% - 强调文字颜色 1 3 2 3 3 2" xfId="16525"/>
    <cellStyle name="40% - 强调文字颜色 1 3 2 3 3 2 2" xfId="16526"/>
    <cellStyle name="40% - 强调文字颜色 1 3 2 3 4" xfId="16527"/>
    <cellStyle name="40% - 强调文字颜色 1 3 2 3 4 2" xfId="16528"/>
    <cellStyle name="40% - 强调文字颜色 1 3 2 3 5" xfId="16529"/>
    <cellStyle name="40% - 强调文字颜色 1 3 2 3 5 2" xfId="16530"/>
    <cellStyle name="40% - 强调文字颜色 1 3 2 3 6" xfId="16531"/>
    <cellStyle name="40% - 强调文字颜色 1 3 2 4" xfId="16532"/>
    <cellStyle name="40% - 强调文字颜色 1 3 2 4 2" xfId="16533"/>
    <cellStyle name="40% - 强调文字颜色 1 3 2 4 2 2" xfId="16534"/>
    <cellStyle name="40% - 强调文字颜色 1 3 2 4 2 2 2" xfId="16535"/>
    <cellStyle name="40% - 强调文字颜色 1 3 2 4 3" xfId="16536"/>
    <cellStyle name="40% - 强调文字颜色 1 3 2 4 3 2" xfId="16537"/>
    <cellStyle name="40% - 强调文字颜色 1 3 2 4 4" xfId="16538"/>
    <cellStyle name="40% - 强调文字颜色 1 3 2 4 4 2" xfId="16539"/>
    <cellStyle name="40% - 强调文字颜色 1 3 2 4 5" xfId="16540"/>
    <cellStyle name="40% - 强调文字颜色 1 3 2 5" xfId="16541"/>
    <cellStyle name="40% - 强调文字颜色 1 3 2 6" xfId="16542"/>
    <cellStyle name="40% - 强调文字颜色 1 3 2 7" xfId="16543"/>
    <cellStyle name="40% - 强调文字颜色 1 3 2 7 2" xfId="16544"/>
    <cellStyle name="40% - 强调文字颜色 1 3 2 8" xfId="16545"/>
    <cellStyle name="40% - 强调文字颜色 1 3 2 8 2" xfId="16546"/>
    <cellStyle name="40% - 强调文字颜色 1 3 3" xfId="16547"/>
    <cellStyle name="40% - 强调文字颜色 1 3 3 2" xfId="16548"/>
    <cellStyle name="40% - 强调文字颜色 1 3 3 2 2" xfId="16549"/>
    <cellStyle name="40% - 强调文字颜色 1 3 3 2 3" xfId="16550"/>
    <cellStyle name="40% - 强调文字颜色 1 3 3 2 3 2" xfId="16551"/>
    <cellStyle name="40% - 强调文字颜色 1 3 3 2 3 2 2" xfId="16552"/>
    <cellStyle name="40% - 强调文字颜色 1 3 3 2 4" xfId="16553"/>
    <cellStyle name="40% - 强调文字颜色 1 3 3 2 4 2" xfId="16554"/>
    <cellStyle name="40% - 强调文字颜色 1 3 3 2 5" xfId="16555"/>
    <cellStyle name="40% - 强调文字颜色 1 3 3 2 5 2" xfId="16556"/>
    <cellStyle name="40% - 强调文字颜色 1 3 3 2 6" xfId="16557"/>
    <cellStyle name="40% - 强调文字颜色 1 3 3 3" xfId="16558"/>
    <cellStyle name="40% - 强调文字颜色 1 3 3 3 2" xfId="16559"/>
    <cellStyle name="40% - 强调文字颜色 1 3 3 3 2 2" xfId="16560"/>
    <cellStyle name="40% - 强调文字颜色 1 3 3 3 2 2 2" xfId="16561"/>
    <cellStyle name="40% - 强调文字颜色 1 3 3 3 3" xfId="16562"/>
    <cellStyle name="40% - 强调文字颜色 1 3 3 3 3 2" xfId="16563"/>
    <cellStyle name="40% - 强调文字颜色 1 3 3 3 4" xfId="16564"/>
    <cellStyle name="40% - 强调文字颜色 1 3 3 3 4 2" xfId="16565"/>
    <cellStyle name="40% - 强调文字颜色 1 3 3 3 5" xfId="16566"/>
    <cellStyle name="40% - 强调文字颜色 1 3 3 4" xfId="16567"/>
    <cellStyle name="40% - 强调文字颜色 1 3 3 5" xfId="16568"/>
    <cellStyle name="40% - 强调文字颜色 1 3 3 6" xfId="16569"/>
    <cellStyle name="40% - 强调文字颜色 1 3 3 6 2" xfId="16570"/>
    <cellStyle name="40% - 强调文字颜色 1 3 3 7" xfId="16571"/>
    <cellStyle name="40% - 强调文字颜色 1 3 3 7 2" xfId="16572"/>
    <cellStyle name="40% - 强调文字颜色 1 3 4" xfId="16573"/>
    <cellStyle name="40% - 强调文字颜色 1 3 4 2" xfId="16574"/>
    <cellStyle name="40% - 强调文字颜色 1 3 4 2 2" xfId="16575"/>
    <cellStyle name="40% - 强调文字颜色 1 3 4 2 3" xfId="16576"/>
    <cellStyle name="40% - 强调文字颜色 1 3 4 2 3 2" xfId="16577"/>
    <cellStyle name="40% - 强调文字颜色 1 3 4 2 3 2 2" xfId="16578"/>
    <cellStyle name="40% - 强调文字颜色 1 3 4 2 4" xfId="16579"/>
    <cellStyle name="40% - 强调文字颜色 1 3 4 2 4 2" xfId="16580"/>
    <cellStyle name="40% - 强调文字颜色 1 3 4 2 5" xfId="16581"/>
    <cellStyle name="40% - 强调文字颜色 1 3 4 2 5 2" xfId="16582"/>
    <cellStyle name="40% - 强调文字颜色 1 3 4 2 6" xfId="16583"/>
    <cellStyle name="40% - 强调文字颜色 1 3 4 3" xfId="16584"/>
    <cellStyle name="40% - 强调文字颜色 1 3 4 4" xfId="16585"/>
    <cellStyle name="40% - 强调文字颜色 1 3 4 5" xfId="16586"/>
    <cellStyle name="40% - 强调文字颜色 1 3 4 6" xfId="16587"/>
    <cellStyle name="40% - 强调文字颜色 1 3 4 6 2" xfId="16588"/>
    <cellStyle name="40% - 强调文字颜色 1 3 4 7" xfId="16589"/>
    <cellStyle name="40% - 强调文字颜色 1 3 4 7 2" xfId="16590"/>
    <cellStyle name="40% - 强调文字颜色 1 3 5" xfId="16591"/>
    <cellStyle name="40% - 强调文字颜色 1 3 5 2" xfId="16592"/>
    <cellStyle name="40% - 强调文字颜色 1 3 5 2 2" xfId="16593"/>
    <cellStyle name="40% - 强调文字颜色 1 3 5 2 2 2" xfId="16594"/>
    <cellStyle name="40% - 强调文字颜色 1 3 5 2 2 2 2" xfId="16595"/>
    <cellStyle name="40% - 强调文字颜色 1 3 5 2 3" xfId="16596"/>
    <cellStyle name="40% - 强调文字颜色 1 3 5 2 3 2" xfId="16597"/>
    <cellStyle name="40% - 强调文字颜色 1 3 5 2 4" xfId="16598"/>
    <cellStyle name="40% - 强调文字颜色 1 3 5 2 4 2" xfId="16599"/>
    <cellStyle name="40% - 强调文字颜色 1 3 5 2 5" xfId="16600"/>
    <cellStyle name="40% - 强调文字颜色 1 3 5 3" xfId="16601"/>
    <cellStyle name="40% - 强调文字颜色 1 3 5 3 2" xfId="16602"/>
    <cellStyle name="40% - 强调文字颜色 1 3 5 3 2 2" xfId="16603"/>
    <cellStyle name="40% - 强调文字颜色 1 3 5 4" xfId="16604"/>
    <cellStyle name="40% - 强调文字颜色 1 3 5 4 2" xfId="16605"/>
    <cellStyle name="40% - 强调文字颜色 1 3 5 5" xfId="16606"/>
    <cellStyle name="40% - 强调文字颜色 1 3 5 5 2" xfId="16607"/>
    <cellStyle name="40% - 强调文字颜色 1 3 5 6" xfId="16608"/>
    <cellStyle name="40% - 强调文字颜色 1 3 6" xfId="16609"/>
    <cellStyle name="40% - 强调文字颜色 1 3 6 2" xfId="16610"/>
    <cellStyle name="40% - 强调文字颜色 1 3 6 2 2" xfId="16611"/>
    <cellStyle name="40% - 强调文字颜色 1 3 6 2 2 2" xfId="16612"/>
    <cellStyle name="40% - 强调文字颜色 1 3 6 3" xfId="16613"/>
    <cellStyle name="40% - 强调文字颜色 1 3 6 3 2" xfId="16614"/>
    <cellStyle name="40% - 强调文字颜色 1 3 6 4" xfId="16615"/>
    <cellStyle name="40% - 强调文字颜色 1 3 6 4 2" xfId="16616"/>
    <cellStyle name="40% - 强调文字颜色 1 3 6 5" xfId="16617"/>
    <cellStyle name="40% - 强调文字颜色 1 3 7" xfId="16618"/>
    <cellStyle name="40% - 强调文字颜色 1 3 8" xfId="16619"/>
    <cellStyle name="40% - 强调文字颜色 1 3 8 2" xfId="16620"/>
    <cellStyle name="40% - 强调文字颜色 1 3 9" xfId="16621"/>
    <cellStyle name="40% - 强调文字颜色 1 3 9 2" xfId="16622"/>
    <cellStyle name="40% - 强调文字颜色 2 2" xfId="16623"/>
    <cellStyle name="40% - 强调文字颜色 2 2 10" xfId="16624"/>
    <cellStyle name="40% - 强调文字颜色 2 2 11" xfId="16625"/>
    <cellStyle name="40% - 强调文字颜色 2 2 11 2" xfId="16626"/>
    <cellStyle name="40% - 强调文字颜色 2 2 12" xfId="16627"/>
    <cellStyle name="40% - 强调文字颜色 2 2 12 2" xfId="16628"/>
    <cellStyle name="40% - 强调文字颜色 2 2 2" xfId="16629"/>
    <cellStyle name="40% - 强调文字颜色 2 2 2 10" xfId="16630"/>
    <cellStyle name="40% - 强调文字颜色 2 2 2 11" xfId="16631"/>
    <cellStyle name="40% - 强调文字颜色 2 2 2 11 2" xfId="16632"/>
    <cellStyle name="40% - 强调文字颜色 2 2 2 12" xfId="16633"/>
    <cellStyle name="40% - 强调文字颜色 2 2 2 12 2" xfId="16634"/>
    <cellStyle name="40% - 强调文字颜色 2 2 2 2" xfId="16635"/>
    <cellStyle name="40% - 强调文字颜色 2 2 2 2 2" xfId="16636"/>
    <cellStyle name="40% - 强调文字颜色 2 2 2 2 2 2" xfId="16637"/>
    <cellStyle name="40% - 强调文字颜色 2 2 2 2 2 2 2" xfId="16638"/>
    <cellStyle name="40% - 强调文字颜色 2 2 2 2 2 2 3" xfId="16639"/>
    <cellStyle name="40% - 强调文字颜色 2 2 2 2 2 2 3 2" xfId="16640"/>
    <cellStyle name="40% - 强调文字颜色 2 2 2 2 2 2 3 2 2" xfId="16641"/>
    <cellStyle name="40% - 强调文字颜色 2 2 2 2 2 2 4" xfId="16642"/>
    <cellStyle name="40% - 强调文字颜色 2 2 2 2 2 2 4 2" xfId="16643"/>
    <cellStyle name="40% - 强调文字颜色 2 2 2 2 2 2 5" xfId="16644"/>
    <cellStyle name="40% - 强调文字颜色 2 2 2 2 2 2 5 2" xfId="16645"/>
    <cellStyle name="40% - 强调文字颜色 2 2 2 2 2 2 6" xfId="16646"/>
    <cellStyle name="40% - 强调文字颜色 2 2 2 2 2 3" xfId="16647"/>
    <cellStyle name="40% - 强调文字颜色 2 2 2 2 2 3 2" xfId="16648"/>
    <cellStyle name="40% - 强调文字颜色 2 2 2 2 2 3 2 2" xfId="16649"/>
    <cellStyle name="40% - 强调文字颜色 2 2 2 2 2 3 2 2 2" xfId="16650"/>
    <cellStyle name="40% - 强调文字颜色 2 2 2 2 2 3 3" xfId="16651"/>
    <cellStyle name="40% - 强调文字颜色 2 2 2 2 2 3 3 2" xfId="16652"/>
    <cellStyle name="40% - 强调文字颜色 2 2 2 2 2 3 4" xfId="16653"/>
    <cellStyle name="40% - 强调文字颜色 2 2 2 2 2 3 4 2" xfId="16654"/>
    <cellStyle name="40% - 强调文字颜色 2 2 2 2 2 3 5" xfId="16655"/>
    <cellStyle name="40% - 强调文字颜色 2 2 2 2 2 4" xfId="16656"/>
    <cellStyle name="40% - 强调文字颜色 2 2 2 2 2 5" xfId="16657"/>
    <cellStyle name="40% - 强调文字颜色 2 2 2 2 2 6" xfId="16658"/>
    <cellStyle name="40% - 强调文字颜色 2 2 2 2 2 6 2" xfId="16659"/>
    <cellStyle name="40% - 强调文字颜色 2 2 2 2 2 7" xfId="16660"/>
    <cellStyle name="40% - 强调文字颜色 2 2 2 2 2 7 2" xfId="16661"/>
    <cellStyle name="40% - 强调文字颜色 2 2 2 2 3" xfId="16662"/>
    <cellStyle name="40% - 强调文字颜色 2 2 2 2 3 2" xfId="16663"/>
    <cellStyle name="40% - 强调文字颜色 2 2 2 2 3 3" xfId="16664"/>
    <cellStyle name="40% - 强调文字颜色 2 2 2 2 3 3 2" xfId="16665"/>
    <cellStyle name="40% - 强调文字颜色 2 2 2 2 3 3 2 2" xfId="16666"/>
    <cellStyle name="40% - 强调文字颜色 2 2 2 2 3 4" xfId="16667"/>
    <cellStyle name="40% - 强调文字颜色 2 2 2 2 3 4 2" xfId="16668"/>
    <cellStyle name="40% - 强调文字颜色 2 2 2 2 3 5" xfId="16669"/>
    <cellStyle name="40% - 强调文字颜色 2 2 2 2 3 5 2" xfId="16670"/>
    <cellStyle name="40% - 强调文字颜色 2 2 2 2 3 6" xfId="16671"/>
    <cellStyle name="40% - 强调文字颜色 2 2 2 2 4" xfId="16672"/>
    <cellStyle name="40% - 强调文字颜色 2 2 2 2 4 2" xfId="16673"/>
    <cellStyle name="40% - 强调文字颜色 2 2 2 2 4 2 2" xfId="16674"/>
    <cellStyle name="40% - 强调文字颜色 2 2 2 2 4 2 2 2" xfId="16675"/>
    <cellStyle name="40% - 强调文字颜色 2 2 2 2 4 3" xfId="16676"/>
    <cellStyle name="40% - 强调文字颜色 2 2 2 2 4 3 2" xfId="16677"/>
    <cellStyle name="40% - 强调文字颜色 2 2 2 2 4 4" xfId="16678"/>
    <cellStyle name="40% - 强调文字颜色 2 2 2 2 4 4 2" xfId="16679"/>
    <cellStyle name="40% - 强调文字颜色 2 2 2 2 4 5" xfId="16680"/>
    <cellStyle name="40% - 强调文字颜色 2 2 2 2 5" xfId="16681"/>
    <cellStyle name="40% - 强调文字颜色 2 2 2 2 6" xfId="16682"/>
    <cellStyle name="40% - 强调文字颜色 2 2 2 2 7" xfId="16683"/>
    <cellStyle name="40% - 强调文字颜色 2 2 2 2 7 2" xfId="16684"/>
    <cellStyle name="40% - 强调文字颜色 2 2 2 2 8" xfId="16685"/>
    <cellStyle name="40% - 强调文字颜色 2 2 2 2 8 2" xfId="16686"/>
    <cellStyle name="40% - 强调文字颜色 2 2 2 3" xfId="16687"/>
    <cellStyle name="40% - 强调文字颜色 2 2 2 3 2" xfId="16688"/>
    <cellStyle name="40% - 强调文字颜色 2 2 2 3 2 2" xfId="16689"/>
    <cellStyle name="40% - 强调文字颜色 2 2 2 3 2 3" xfId="16690"/>
    <cellStyle name="40% - 强调文字颜色 2 2 2 3 2 3 2" xfId="16691"/>
    <cellStyle name="40% - 强调文字颜色 2 2 2 3 2 3 2 2" xfId="16692"/>
    <cellStyle name="40% - 强调文字颜色 2 2 2 3 2 4" xfId="16693"/>
    <cellStyle name="40% - 强调文字颜色 2 2 2 3 2 4 2" xfId="16694"/>
    <cellStyle name="40% - 强调文字颜色 2 2 2 3 2 5" xfId="16695"/>
    <cellStyle name="40% - 强调文字颜色 2 2 2 3 2 5 2" xfId="16696"/>
    <cellStyle name="40% - 强调文字颜色 2 2 2 3 2 6" xfId="16697"/>
    <cellStyle name="40% - 强调文字颜色 2 2 2 3 3" xfId="16698"/>
    <cellStyle name="40% - 强调文字颜色 2 2 2 3 3 2" xfId="16699"/>
    <cellStyle name="40% - 强调文字颜色 2 2 2 3 3 2 2" xfId="16700"/>
    <cellStyle name="40% - 强调文字颜色 2 2 2 3 3 2 2 2" xfId="16701"/>
    <cellStyle name="40% - 强调文字颜色 2 2 2 3 3 3" xfId="16702"/>
    <cellStyle name="40% - 强调文字颜色 2 2 2 3 3 3 2" xfId="16703"/>
    <cellStyle name="40% - 强调文字颜色 2 2 2 3 3 4" xfId="16704"/>
    <cellStyle name="40% - 强调文字颜色 2 2 2 3 3 4 2" xfId="16705"/>
    <cellStyle name="40% - 强调文字颜色 2 2 2 3 3 5" xfId="16706"/>
    <cellStyle name="40% - 强调文字颜色 2 2 2 3 4" xfId="16707"/>
    <cellStyle name="40% - 强调文字颜色 2 2 2 3 5" xfId="16708"/>
    <cellStyle name="40% - 强调文字颜色 2 2 2 3 6" xfId="16709"/>
    <cellStyle name="40% - 强调文字颜色 2 2 2 3 6 2" xfId="16710"/>
    <cellStyle name="40% - 强调文字颜色 2 2 2 3 7" xfId="16711"/>
    <cellStyle name="40% - 强调文字颜色 2 2 2 3 7 2" xfId="16712"/>
    <cellStyle name="40% - 强调文字颜色 2 2 2 4" xfId="16713"/>
    <cellStyle name="40% - 强调文字颜色 2 2 2 4 2" xfId="16714"/>
    <cellStyle name="40% - 强调文字颜色 2 2 2 4 2 2" xfId="16715"/>
    <cellStyle name="40% - 强调文字颜色 2 2 2 4 2 3" xfId="16716"/>
    <cellStyle name="40% - 强调文字颜色 2 2 2 4 2 3 2" xfId="16717"/>
    <cellStyle name="40% - 强调文字颜色 2 2 2 4 2 3 2 2" xfId="16718"/>
    <cellStyle name="40% - 强调文字颜色 2 2 2 4 2 4" xfId="16719"/>
    <cellStyle name="40% - 强调文字颜色 2 2 2 4 2 4 2" xfId="16720"/>
    <cellStyle name="40% - 强调文字颜色 2 2 2 4 2 5" xfId="16721"/>
    <cellStyle name="40% - 强调文字颜色 2 2 2 4 2 5 2" xfId="16722"/>
    <cellStyle name="40% - 强调文字颜色 2 2 2 4 2 6" xfId="16723"/>
    <cellStyle name="40% - 强调文字颜色 2 2 2 4 3" xfId="16724"/>
    <cellStyle name="40% - 强调文字颜色 2 2 2 4 4" xfId="16725"/>
    <cellStyle name="40% - 强调文字颜色 2 2 2 4 5" xfId="16726"/>
    <cellStyle name="40% - 强调文字颜色 2 2 2 4 6" xfId="16727"/>
    <cellStyle name="40% - 强调文字颜色 2 2 2 4 6 2" xfId="16728"/>
    <cellStyle name="40% - 强调文字颜色 2 2 2 4 7" xfId="16729"/>
    <cellStyle name="40% - 强调文字颜色 2 2 2 4 7 2" xfId="16730"/>
    <cellStyle name="40% - 强调文字颜色 2 2 2 5" xfId="16731"/>
    <cellStyle name="40% - 强调文字颜色 2 2 2 5 2" xfId="16732"/>
    <cellStyle name="40% - 强调文字颜色 2 2 2 5 2 2" xfId="16733"/>
    <cellStyle name="40% - 强调文字颜色 2 2 2 5 2 2 2" xfId="16734"/>
    <cellStyle name="40% - 强调文字颜色 2 2 2 5 2 2 2 2" xfId="16735"/>
    <cellStyle name="40% - 强调文字颜色 2 2 2 5 2 3" xfId="16736"/>
    <cellStyle name="40% - 强调文字颜色 2 2 2 5 2 3 2" xfId="16737"/>
    <cellStyle name="40% - 强调文字颜色 2 2 2 5 2 4" xfId="16738"/>
    <cellStyle name="40% - 强调文字颜色 2 2 2 5 2 4 2" xfId="16739"/>
    <cellStyle name="40% - 强调文字颜色 2 2 2 5 2 5" xfId="16740"/>
    <cellStyle name="40% - 强调文字颜色 2 2 2 5 3" xfId="16741"/>
    <cellStyle name="40% - 强调文字颜色 2 2 2 5 3 2" xfId="16742"/>
    <cellStyle name="40% - 强调文字颜色 2 2 2 5 3 2 2" xfId="16743"/>
    <cellStyle name="40% - 强调文字颜色 2 2 2 5 4" xfId="16744"/>
    <cellStyle name="40% - 强调文字颜色 2 2 2 5 4 2" xfId="16745"/>
    <cellStyle name="40% - 强调文字颜色 2 2 2 5 5" xfId="16746"/>
    <cellStyle name="40% - 强调文字颜色 2 2 2 5 5 2" xfId="16747"/>
    <cellStyle name="40% - 强调文字颜色 2 2 2 5 6" xfId="16748"/>
    <cellStyle name="40% - 强调文字颜色 2 2 2 6" xfId="16749"/>
    <cellStyle name="40% - 强调文字颜色 2 2 2 6 2" xfId="16750"/>
    <cellStyle name="40% - 强调文字颜色 2 2 2 6 2 2" xfId="16751"/>
    <cellStyle name="40% - 强调文字颜色 2 2 2 6 2 2 2" xfId="16752"/>
    <cellStyle name="40% - 强调文字颜色 2 2 2 6 2 2 2 2" xfId="16753"/>
    <cellStyle name="40% - 强调文字颜色 2 2 2 6 2 3" xfId="16754"/>
    <cellStyle name="40% - 强调文字颜色 2 2 2 6 2 3 2" xfId="16755"/>
    <cellStyle name="40% - 强调文字颜色 2 2 2 6 2 4" xfId="16756"/>
    <cellStyle name="40% - 强调文字颜色 2 2 2 6 2 4 2" xfId="16757"/>
    <cellStyle name="40% - 强调文字颜色 2 2 2 6 2 5" xfId="16758"/>
    <cellStyle name="40% - 强调文字颜色 2 2 2 6 3" xfId="16759"/>
    <cellStyle name="40% - 强调文字颜色 2 2 2 6 3 2" xfId="16760"/>
    <cellStyle name="40% - 强调文字颜色 2 2 2 6 3 2 2" xfId="16761"/>
    <cellStyle name="40% - 强调文字颜色 2 2 2 6 4" xfId="16762"/>
    <cellStyle name="40% - 强调文字颜色 2 2 2 6 4 2" xfId="16763"/>
    <cellStyle name="40% - 强调文字颜色 2 2 2 6 5" xfId="16764"/>
    <cellStyle name="40% - 强调文字颜色 2 2 2 6 5 2" xfId="16765"/>
    <cellStyle name="40% - 强调文字颜色 2 2 2 6 6" xfId="16766"/>
    <cellStyle name="40% - 强调文字颜色 2 2 2 7" xfId="16767"/>
    <cellStyle name="40% - 强调文字颜色 2 2 2 7 2" xfId="16768"/>
    <cellStyle name="40% - 强调文字颜色 2 2 2 7 2 2" xfId="16769"/>
    <cellStyle name="40% - 强调文字颜色 2 2 2 7 2 2 2" xfId="16770"/>
    <cellStyle name="40% - 强调文字颜色 2 2 2 7 2 2 2 2" xfId="16771"/>
    <cellStyle name="40% - 强调文字颜色 2 2 2 7 2 3" xfId="16772"/>
    <cellStyle name="40% - 强调文字颜色 2 2 2 7 2 3 2" xfId="16773"/>
    <cellStyle name="40% - 强调文字颜色 2 2 2 7 2 4" xfId="16774"/>
    <cellStyle name="40% - 强调文字颜色 2 2 2 7 2 4 2" xfId="16775"/>
    <cellStyle name="40% - 强调文字颜色 2 2 2 7 2 5" xfId="16776"/>
    <cellStyle name="40% - 强调文字颜色 2 2 2 7 3" xfId="16777"/>
    <cellStyle name="40% - 强调文字颜色 2 2 2 7 3 2" xfId="16778"/>
    <cellStyle name="40% - 强调文字颜色 2 2 2 7 3 2 2" xfId="16779"/>
    <cellStyle name="40% - 强调文字颜色 2 2 2 7 4" xfId="16780"/>
    <cellStyle name="40% - 强调文字颜色 2 2 2 7 4 2" xfId="16781"/>
    <cellStyle name="40% - 强调文字颜色 2 2 2 7 5" xfId="16782"/>
    <cellStyle name="40% - 强调文字颜色 2 2 2 7 5 2" xfId="16783"/>
    <cellStyle name="40% - 强调文字颜色 2 2 2 7 6" xfId="16784"/>
    <cellStyle name="40% - 强调文字颜色 2 2 2 8" xfId="16785"/>
    <cellStyle name="40% - 强调文字颜色 2 2 2 8 2" xfId="16786"/>
    <cellStyle name="40% - 强调文字颜色 2 2 2 8 2 2" xfId="16787"/>
    <cellStyle name="40% - 强调文字颜色 2 2 2 8 2 2 2" xfId="16788"/>
    <cellStyle name="40% - 强调文字颜色 2 2 2 8 3" xfId="16789"/>
    <cellStyle name="40% - 强调文字颜色 2 2 2 8 3 2" xfId="16790"/>
    <cellStyle name="40% - 强调文字颜色 2 2 2 8 4" xfId="16791"/>
    <cellStyle name="40% - 强调文字颜色 2 2 2 8 4 2" xfId="16792"/>
    <cellStyle name="40% - 强调文字颜色 2 2 2 8 5" xfId="16793"/>
    <cellStyle name="40% - 强调文字颜色 2 2 2 9" xfId="16794"/>
    <cellStyle name="40% - 强调文字颜色 2 2 2 9 2" xfId="16795"/>
    <cellStyle name="40% - 强调文字颜色 2 2 2 9 2 2" xfId="16796"/>
    <cellStyle name="40% - 强调文字颜色 2 2 2 9 2 2 2" xfId="16797"/>
    <cellStyle name="40% - 强调文字颜色 2 2 2 9 3" xfId="16798"/>
    <cellStyle name="40% - 强调文字颜色 2 2 2 9 3 2" xfId="16799"/>
    <cellStyle name="40% - 强调文字颜色 2 2 2 9 4" xfId="16800"/>
    <cellStyle name="40% - 强调文字颜色 2 2 2 9 4 2" xfId="16801"/>
    <cellStyle name="40% - 强调文字颜色 2 2 2 9 5" xfId="16802"/>
    <cellStyle name="40% - 强调文字颜色 2 2 3" xfId="16803"/>
    <cellStyle name="40% - 强调文字颜色 2 2 3 10" xfId="16804"/>
    <cellStyle name="40% - 强调文字颜色 2 2 3 10 2" xfId="16805"/>
    <cellStyle name="40% - 强调文字颜色 2 2 3 2" xfId="16806"/>
    <cellStyle name="40% - 强调文字颜色 2 2 3 2 2" xfId="16807"/>
    <cellStyle name="40% - 强调文字颜色 2 2 3 2 2 2" xfId="16808"/>
    <cellStyle name="40% - 强调文字颜色 2 2 3 2 2 2 2" xfId="16809"/>
    <cellStyle name="40% - 强调文字颜色 2 2 3 2 2 2 3" xfId="16810"/>
    <cellStyle name="40% - 强调文字颜色 2 2 3 2 2 2 3 2" xfId="16811"/>
    <cellStyle name="40% - 强调文字颜色 2 2 3 2 2 2 3 2 2" xfId="16812"/>
    <cellStyle name="40% - 强调文字颜色 2 2 3 2 2 2 4" xfId="16813"/>
    <cellStyle name="40% - 强调文字颜色 2 2 3 2 2 2 4 2" xfId="16814"/>
    <cellStyle name="40% - 强调文字颜色 2 2 3 2 2 2 5" xfId="16815"/>
    <cellStyle name="40% - 强调文字颜色 2 2 3 2 2 2 5 2" xfId="16816"/>
    <cellStyle name="40% - 强调文字颜色 2 2 3 2 2 2 6" xfId="16817"/>
    <cellStyle name="40% - 强调文字颜色 2 2 3 2 2 3" xfId="16818"/>
    <cellStyle name="40% - 强调文字颜色 2 2 3 2 2 3 2" xfId="16819"/>
    <cellStyle name="40% - 强调文字颜色 2 2 3 2 2 3 2 2" xfId="16820"/>
    <cellStyle name="40% - 强调文字颜色 2 2 3 2 2 3 2 2 2" xfId="16821"/>
    <cellStyle name="40% - 强调文字颜色 2 2 3 2 2 3 3" xfId="16822"/>
    <cellStyle name="40% - 强调文字颜色 2 2 3 2 2 3 3 2" xfId="16823"/>
    <cellStyle name="40% - 强调文字颜色 2 2 3 2 2 3 4" xfId="16824"/>
    <cellStyle name="40% - 强调文字颜色 2 2 3 2 2 3 4 2" xfId="16825"/>
    <cellStyle name="40% - 强调文字颜色 2 2 3 2 2 3 5" xfId="16826"/>
    <cellStyle name="40% - 强调文字颜色 2 2 3 2 2 4" xfId="16827"/>
    <cellStyle name="40% - 强调文字颜色 2 2 3 2 2 5" xfId="16828"/>
    <cellStyle name="40% - 强调文字颜色 2 2 3 2 2 6" xfId="16829"/>
    <cellStyle name="40% - 强调文字颜色 2 2 3 2 2 6 2" xfId="16830"/>
    <cellStyle name="40% - 强调文字颜色 2 2 3 2 2 7" xfId="16831"/>
    <cellStyle name="40% - 强调文字颜色 2 2 3 2 2 7 2" xfId="16832"/>
    <cellStyle name="40% - 强调文字颜色 2 2 3 2 3" xfId="16833"/>
    <cellStyle name="40% - 强调文字颜色 2 2 3 2 3 2" xfId="16834"/>
    <cellStyle name="40% - 强调文字颜色 2 2 3 2 3 3" xfId="16835"/>
    <cellStyle name="40% - 强调文字颜色 2 2 3 2 3 3 2" xfId="16836"/>
    <cellStyle name="40% - 强调文字颜色 2 2 3 2 3 3 2 2" xfId="16837"/>
    <cellStyle name="40% - 强调文字颜色 2 2 3 2 3 4" xfId="16838"/>
    <cellStyle name="40% - 强调文字颜色 2 2 3 2 3 4 2" xfId="16839"/>
    <cellStyle name="40% - 强调文字颜色 2 2 3 2 3 5" xfId="16840"/>
    <cellStyle name="40% - 强调文字颜色 2 2 3 2 3 5 2" xfId="16841"/>
    <cellStyle name="40% - 强调文字颜色 2 2 3 2 3 6" xfId="16842"/>
    <cellStyle name="40% - 强调文字颜色 2 2 3 2 4" xfId="16843"/>
    <cellStyle name="40% - 强调文字颜色 2 2 3 2 4 2" xfId="16844"/>
    <cellStyle name="40% - 强调文字颜色 2 2 3 2 4 2 2" xfId="16845"/>
    <cellStyle name="40% - 强调文字颜色 2 2 3 2 4 2 2 2" xfId="16846"/>
    <cellStyle name="40% - 强调文字颜色 2 2 3 2 4 3" xfId="16847"/>
    <cellStyle name="40% - 强调文字颜色 2 2 3 2 4 3 2" xfId="16848"/>
    <cellStyle name="40% - 强调文字颜色 2 2 3 2 4 4" xfId="16849"/>
    <cellStyle name="40% - 强调文字颜色 2 2 3 2 4 4 2" xfId="16850"/>
    <cellStyle name="40% - 强调文字颜色 2 2 3 2 4 5" xfId="16851"/>
    <cellStyle name="40% - 强调文字颜色 2 2 3 2 5" xfId="16852"/>
    <cellStyle name="40% - 强调文字颜色 2 2 3 2 6" xfId="16853"/>
    <cellStyle name="40% - 强调文字颜色 2 2 3 2 7" xfId="16854"/>
    <cellStyle name="40% - 强调文字颜色 2 2 3 2 7 2" xfId="16855"/>
    <cellStyle name="40% - 强调文字颜色 2 2 3 2 8" xfId="16856"/>
    <cellStyle name="40% - 强调文字颜色 2 2 3 2 8 2" xfId="16857"/>
    <cellStyle name="40% - 强调文字颜色 2 2 3 3" xfId="16858"/>
    <cellStyle name="40% - 强调文字颜色 2 2 3 3 2" xfId="16859"/>
    <cellStyle name="40% - 强调文字颜色 2 2 3 3 2 2" xfId="16860"/>
    <cellStyle name="40% - 强调文字颜色 2 2 3 3 2 3" xfId="16861"/>
    <cellStyle name="40% - 强调文字颜色 2 2 3 3 2 3 2" xfId="16862"/>
    <cellStyle name="40% - 强调文字颜色 2 2 3 3 2 3 2 2" xfId="16863"/>
    <cellStyle name="40% - 强调文字颜色 2 2 3 3 2 4" xfId="16864"/>
    <cellStyle name="40% - 强调文字颜色 2 2 3 3 2 4 2" xfId="16865"/>
    <cellStyle name="40% - 强调文字颜色 2 2 3 3 2 5" xfId="16866"/>
    <cellStyle name="40% - 强调文字颜色 2 2 3 3 2 5 2" xfId="16867"/>
    <cellStyle name="40% - 强调文字颜色 2 2 3 3 2 6" xfId="16868"/>
    <cellStyle name="40% - 强调文字颜色 2 2 3 3 3" xfId="16869"/>
    <cellStyle name="40% - 强调文字颜色 2 2 3 3 3 2" xfId="16870"/>
    <cellStyle name="40% - 强调文字颜色 2 2 3 3 3 2 2" xfId="16871"/>
    <cellStyle name="40% - 强调文字颜色 2 2 3 3 3 2 2 2" xfId="16872"/>
    <cellStyle name="40% - 强调文字颜色 2 2 3 3 3 3" xfId="16873"/>
    <cellStyle name="40% - 强调文字颜色 2 2 3 3 3 3 2" xfId="16874"/>
    <cellStyle name="40% - 强调文字颜色 2 2 3 3 3 4" xfId="16875"/>
    <cellStyle name="40% - 强调文字颜色 2 2 3 3 3 4 2" xfId="16876"/>
    <cellStyle name="40% - 强调文字颜色 2 2 3 3 3 5" xfId="16877"/>
    <cellStyle name="40% - 强调文字颜色 2 2 3 3 4" xfId="16878"/>
    <cellStyle name="40% - 强调文字颜色 2 2 3 3 5" xfId="16879"/>
    <cellStyle name="40% - 强调文字颜色 2 2 3 3 6" xfId="16880"/>
    <cellStyle name="40% - 强调文字颜色 2 2 3 3 6 2" xfId="16881"/>
    <cellStyle name="40% - 强调文字颜色 2 2 3 3 7" xfId="16882"/>
    <cellStyle name="40% - 强调文字颜色 2 2 3 3 7 2" xfId="16883"/>
    <cellStyle name="40% - 强调文字颜色 2 2 3 4" xfId="16884"/>
    <cellStyle name="40% - 强调文字颜色 2 2 3 4 2" xfId="16885"/>
    <cellStyle name="40% - 强调文字颜色 2 2 3 4 2 2" xfId="16886"/>
    <cellStyle name="40% - 强调文字颜色 2 2 3 4 2 3" xfId="16887"/>
    <cellStyle name="40% - 强调文字颜色 2 2 3 4 2 3 2" xfId="16888"/>
    <cellStyle name="40% - 强调文字颜色 2 2 3 4 2 3 2 2" xfId="16889"/>
    <cellStyle name="40% - 强调文字颜色 2 2 3 4 2 4" xfId="16890"/>
    <cellStyle name="40% - 强调文字颜色 2 2 3 4 2 4 2" xfId="16891"/>
    <cellStyle name="40% - 强调文字颜色 2 2 3 4 2 5" xfId="16892"/>
    <cellStyle name="40% - 强调文字颜色 2 2 3 4 2 5 2" xfId="16893"/>
    <cellStyle name="40% - 强调文字颜色 2 2 3 4 2 6" xfId="16894"/>
    <cellStyle name="40% - 强调文字颜色 2 2 3 4 3" xfId="16895"/>
    <cellStyle name="40% - 强调文字颜色 2 2 3 4 4" xfId="16896"/>
    <cellStyle name="40% - 强调文字颜色 2 2 3 4 5" xfId="16897"/>
    <cellStyle name="40% - 强调文字颜色 2 2 3 4 6" xfId="16898"/>
    <cellStyle name="40% - 强调文字颜色 2 2 3 4 6 2" xfId="16899"/>
    <cellStyle name="40% - 强调文字颜色 2 2 3 4 7" xfId="16900"/>
    <cellStyle name="40% - 强调文字颜色 2 2 3 4 7 2" xfId="16901"/>
    <cellStyle name="40% - 强调文字颜色 2 2 3 5" xfId="16902"/>
    <cellStyle name="40% - 强调文字颜色 2 2 3 5 2" xfId="16903"/>
    <cellStyle name="40% - 强调文字颜色 2 2 3 5 2 2" xfId="16904"/>
    <cellStyle name="40% - 强调文字颜色 2 2 3 5 2 2 2" xfId="16905"/>
    <cellStyle name="40% - 强调文字颜色 2 2 3 5 2 2 2 2" xfId="16906"/>
    <cellStyle name="40% - 强调文字颜色 2 2 3 5 2 3" xfId="16907"/>
    <cellStyle name="40% - 强调文字颜色 2 2 3 5 2 3 2" xfId="16908"/>
    <cellStyle name="40% - 强调文字颜色 2 2 3 5 2 4" xfId="16909"/>
    <cellStyle name="40% - 强调文字颜色 2 2 3 5 2 4 2" xfId="16910"/>
    <cellStyle name="40% - 强调文字颜色 2 2 3 5 2 5" xfId="16911"/>
    <cellStyle name="40% - 强调文字颜色 2 2 3 5 3" xfId="16912"/>
    <cellStyle name="40% - 强调文字颜色 2 2 3 5 3 2" xfId="16913"/>
    <cellStyle name="40% - 强调文字颜色 2 2 3 5 3 2 2" xfId="16914"/>
    <cellStyle name="40% - 强调文字颜色 2 2 3 5 4" xfId="16915"/>
    <cellStyle name="40% - 强调文字颜色 2 2 3 5 4 2" xfId="16916"/>
    <cellStyle name="40% - 强调文字颜色 2 2 3 5 5" xfId="16917"/>
    <cellStyle name="40% - 强调文字颜色 2 2 3 5 5 2" xfId="16918"/>
    <cellStyle name="40% - 强调文字颜色 2 2 3 5 6" xfId="16919"/>
    <cellStyle name="40% - 强调文字颜色 2 2 3 6" xfId="16920"/>
    <cellStyle name="40% - 强调文字颜色 2 2 3 6 2" xfId="16921"/>
    <cellStyle name="40% - 强调文字颜色 2 2 3 6 2 2" xfId="16922"/>
    <cellStyle name="40% - 强调文字颜色 2 2 3 6 2 2 2" xfId="16923"/>
    <cellStyle name="40% - 强调文字颜色 2 2 3 6 3" xfId="16924"/>
    <cellStyle name="40% - 强调文字颜色 2 2 3 6 3 2" xfId="16925"/>
    <cellStyle name="40% - 强调文字颜色 2 2 3 6 4" xfId="16926"/>
    <cellStyle name="40% - 强调文字颜色 2 2 3 6 4 2" xfId="16927"/>
    <cellStyle name="40% - 强调文字颜色 2 2 3 6 5" xfId="16928"/>
    <cellStyle name="40% - 强调文字颜色 2 2 3 7" xfId="16929"/>
    <cellStyle name="40% - 强调文字颜色 2 2 3 7 2" xfId="16930"/>
    <cellStyle name="40% - 强调文字颜色 2 2 3 7 2 2" xfId="16931"/>
    <cellStyle name="40% - 强调文字颜色 2 2 3 7 2 2 2" xfId="16932"/>
    <cellStyle name="40% - 强调文字颜色 2 2 3 7 3" xfId="16933"/>
    <cellStyle name="40% - 强调文字颜色 2 2 3 7 3 2" xfId="16934"/>
    <cellStyle name="40% - 强调文字颜色 2 2 3 7 4" xfId="16935"/>
    <cellStyle name="40% - 强调文字颜色 2 2 3 7 4 2" xfId="16936"/>
    <cellStyle name="40% - 强调文字颜色 2 2 3 7 5" xfId="16937"/>
    <cellStyle name="40% - 强调文字颜色 2 2 3 8" xfId="16938"/>
    <cellStyle name="40% - 强调文字颜色 2 2 3 9" xfId="16939"/>
    <cellStyle name="40% - 强调文字颜色 2 2 3 9 2" xfId="16940"/>
    <cellStyle name="40% - 强调文字颜色 2 2 4" xfId="16941"/>
    <cellStyle name="40% - 强调文字颜色 2 2 4 2" xfId="16942"/>
    <cellStyle name="40% - 强调文字颜色 2 2 4 2 2" xfId="16943"/>
    <cellStyle name="40% - 强调文字颜色 2 2 4 2 3" xfId="16944"/>
    <cellStyle name="40% - 强调文字颜色 2 2 4 2 3 2" xfId="16945"/>
    <cellStyle name="40% - 强调文字颜色 2 2 4 2 3 2 2" xfId="16946"/>
    <cellStyle name="40% - 强调文字颜色 2 2 4 2 4" xfId="16947"/>
    <cellStyle name="40% - 强调文字颜色 2 2 4 2 4 2" xfId="16948"/>
    <cellStyle name="40% - 强调文字颜色 2 2 4 2 5" xfId="16949"/>
    <cellStyle name="40% - 强调文字颜色 2 2 4 2 5 2" xfId="16950"/>
    <cellStyle name="40% - 强调文字颜色 2 2 4 2 6" xfId="16951"/>
    <cellStyle name="40% - 强调文字颜色 2 2 4 3" xfId="16952"/>
    <cellStyle name="40% - 强调文字颜色 2 2 4 3 2" xfId="16953"/>
    <cellStyle name="40% - 强调文字颜色 2 2 4 3 2 2" xfId="16954"/>
    <cellStyle name="40% - 强调文字颜色 2 2 4 3 2 2 2" xfId="16955"/>
    <cellStyle name="40% - 强调文字颜色 2 2 4 3 3" xfId="16956"/>
    <cellStyle name="40% - 强调文字颜色 2 2 4 3 3 2" xfId="16957"/>
    <cellStyle name="40% - 强调文字颜色 2 2 4 3 4" xfId="16958"/>
    <cellStyle name="40% - 强调文字颜色 2 2 4 3 4 2" xfId="16959"/>
    <cellStyle name="40% - 强调文字颜色 2 2 4 3 5" xfId="16960"/>
    <cellStyle name="40% - 强调文字颜色 2 2 4 4" xfId="16961"/>
    <cellStyle name="40% - 强调文字颜色 2 2 4 5" xfId="16962"/>
    <cellStyle name="40% - 强调文字颜色 2 2 4 6" xfId="16963"/>
    <cellStyle name="40% - 强调文字颜色 2 2 4 6 2" xfId="16964"/>
    <cellStyle name="40% - 强调文字颜色 2 2 4 7" xfId="16965"/>
    <cellStyle name="40% - 强调文字颜色 2 2 4 7 2" xfId="16966"/>
    <cellStyle name="40% - 强调文字颜色 2 2 5" xfId="16967"/>
    <cellStyle name="40% - 强调文字颜色 2 2 5 2" xfId="16968"/>
    <cellStyle name="40% - 强调文字颜色 2 2 5 2 2" xfId="16969"/>
    <cellStyle name="40% - 强调文字颜色 2 2 5 2 3" xfId="16970"/>
    <cellStyle name="40% - 强调文字颜色 2 2 5 2 3 2" xfId="16971"/>
    <cellStyle name="40% - 强调文字颜色 2 2 5 2 3 2 2" xfId="16972"/>
    <cellStyle name="40% - 强调文字颜色 2 2 5 2 4" xfId="16973"/>
    <cellStyle name="40% - 强调文字颜色 2 2 5 2 4 2" xfId="16974"/>
    <cellStyle name="40% - 强调文字颜色 2 2 5 2 5" xfId="16975"/>
    <cellStyle name="40% - 强调文字颜色 2 2 5 2 5 2" xfId="16976"/>
    <cellStyle name="40% - 强调文字颜色 2 2 5 2 6" xfId="16977"/>
    <cellStyle name="40% - 强调文字颜色 2 2 5 3" xfId="16978"/>
    <cellStyle name="40% - 强调文字颜色 2 2 5 4" xfId="16979"/>
    <cellStyle name="40% - 强调文字颜色 2 2 5 5" xfId="16980"/>
    <cellStyle name="40% - 强调文字颜色 2 2 5 6" xfId="16981"/>
    <cellStyle name="40% - 强调文字颜色 2 2 5 6 2" xfId="16982"/>
    <cellStyle name="40% - 强调文字颜色 2 2 5 7" xfId="16983"/>
    <cellStyle name="40% - 强调文字颜色 2 2 5 7 2" xfId="16984"/>
    <cellStyle name="40% - 强调文字颜色 2 2 6" xfId="16985"/>
    <cellStyle name="40% - 强调文字颜色 2 2 6 2" xfId="16986"/>
    <cellStyle name="40% - 强调文字颜色 2 2 6 2 2" xfId="16987"/>
    <cellStyle name="40% - 强调文字颜色 2 2 6 2 2 2" xfId="16988"/>
    <cellStyle name="40% - 强调文字颜色 2 2 6 2 2 2 2" xfId="16989"/>
    <cellStyle name="40% - 强调文字颜色 2 2 6 2 3" xfId="16990"/>
    <cellStyle name="40% - 强调文字颜色 2 2 6 2 3 2" xfId="16991"/>
    <cellStyle name="40% - 强调文字颜色 2 2 6 2 4" xfId="16992"/>
    <cellStyle name="40% - 强调文字颜色 2 2 6 2 4 2" xfId="16993"/>
    <cellStyle name="40% - 强调文字颜色 2 2 6 2 5" xfId="16994"/>
    <cellStyle name="40% - 强调文字颜色 2 2 6 3" xfId="16995"/>
    <cellStyle name="40% - 强调文字颜色 2 2 6 3 2" xfId="16996"/>
    <cellStyle name="40% - 强调文字颜色 2 2 6 3 2 2" xfId="16997"/>
    <cellStyle name="40% - 强调文字颜色 2 2 6 4" xfId="16998"/>
    <cellStyle name="40% - 强调文字颜色 2 2 6 4 2" xfId="16999"/>
    <cellStyle name="40% - 强调文字颜色 2 2 6 5" xfId="17000"/>
    <cellStyle name="40% - 强调文字颜色 2 2 6 5 2" xfId="17001"/>
    <cellStyle name="40% - 强调文字颜色 2 2 6 6" xfId="17002"/>
    <cellStyle name="40% - 强调文字颜色 2 2 7" xfId="17003"/>
    <cellStyle name="40% - 强调文字颜色 2 2 7 2" xfId="17004"/>
    <cellStyle name="40% - 强调文字颜色 2 2 7 2 2" xfId="17005"/>
    <cellStyle name="40% - 强调文字颜色 2 2 7 2 2 2" xfId="17006"/>
    <cellStyle name="40% - 强调文字颜色 2 2 7 2 2 2 2" xfId="17007"/>
    <cellStyle name="40% - 强调文字颜色 2 2 7 2 3" xfId="17008"/>
    <cellStyle name="40% - 强调文字颜色 2 2 7 2 3 2" xfId="17009"/>
    <cellStyle name="40% - 强调文字颜色 2 2 7 2 4" xfId="17010"/>
    <cellStyle name="40% - 强调文字颜色 2 2 7 2 4 2" xfId="17011"/>
    <cellStyle name="40% - 强调文字颜色 2 2 7 2 5" xfId="17012"/>
    <cellStyle name="40% - 强调文字颜色 2 2 7 3" xfId="17013"/>
    <cellStyle name="40% - 强调文字颜色 2 2 7 3 2" xfId="17014"/>
    <cellStyle name="40% - 强调文字颜色 2 2 7 3 2 2" xfId="17015"/>
    <cellStyle name="40% - 强调文字颜色 2 2 7 4" xfId="17016"/>
    <cellStyle name="40% - 强调文字颜色 2 2 7 4 2" xfId="17017"/>
    <cellStyle name="40% - 强调文字颜色 2 2 7 5" xfId="17018"/>
    <cellStyle name="40% - 强调文字颜色 2 2 7 5 2" xfId="17019"/>
    <cellStyle name="40% - 强调文字颜色 2 2 7 6" xfId="17020"/>
    <cellStyle name="40% - 强调文字颜色 2 2 8" xfId="17021"/>
    <cellStyle name="40% - 强调文字颜色 2 2 8 2" xfId="17022"/>
    <cellStyle name="40% - 强调文字颜色 2 2 8 2 2" xfId="17023"/>
    <cellStyle name="40% - 强调文字颜色 2 2 8 2 2 2" xfId="17024"/>
    <cellStyle name="40% - 强调文字颜色 2 2 8 2 2 2 2" xfId="17025"/>
    <cellStyle name="40% - 强调文字颜色 2 2 8 2 3" xfId="17026"/>
    <cellStyle name="40% - 强调文字颜色 2 2 8 2 3 2" xfId="17027"/>
    <cellStyle name="40% - 强调文字颜色 2 2 8 2 4" xfId="17028"/>
    <cellStyle name="40% - 强调文字颜色 2 2 8 2 4 2" xfId="17029"/>
    <cellStyle name="40% - 强调文字颜色 2 2 8 2 5" xfId="17030"/>
    <cellStyle name="40% - 强调文字颜色 2 2 8 3" xfId="17031"/>
    <cellStyle name="40% - 强调文字颜色 2 2 8 3 2" xfId="17032"/>
    <cellStyle name="40% - 强调文字颜色 2 2 8 3 2 2" xfId="17033"/>
    <cellStyle name="40% - 强调文字颜色 2 2 8 4" xfId="17034"/>
    <cellStyle name="40% - 强调文字颜色 2 2 8 4 2" xfId="17035"/>
    <cellStyle name="40% - 强调文字颜色 2 2 8 5" xfId="17036"/>
    <cellStyle name="40% - 强调文字颜色 2 2 8 5 2" xfId="17037"/>
    <cellStyle name="40% - 强调文字颜色 2 2 8 6" xfId="17038"/>
    <cellStyle name="40% - 强调文字颜色 2 2 9" xfId="17039"/>
    <cellStyle name="40% - 强调文字颜色 2 2 9 2" xfId="17040"/>
    <cellStyle name="40% - 强调文字颜色 2 2 9 2 2" xfId="17041"/>
    <cellStyle name="40% - 强调文字颜色 2 2 9 2 2 2" xfId="17042"/>
    <cellStyle name="40% - 强调文字颜色 2 2 9 3" xfId="17043"/>
    <cellStyle name="40% - 强调文字颜色 2 2 9 3 2" xfId="17044"/>
    <cellStyle name="40% - 强调文字颜色 2 2 9 4" xfId="17045"/>
    <cellStyle name="40% - 强调文字颜色 2 2 9 4 2" xfId="17046"/>
    <cellStyle name="40% - 强调文字颜色 2 2 9 5" xfId="17047"/>
    <cellStyle name="40% - 强调文字颜色 2 3" xfId="17048"/>
    <cellStyle name="40% - 强调文字颜色 2 3 2" xfId="17049"/>
    <cellStyle name="40% - 强调文字颜色 2 3 2 2" xfId="17050"/>
    <cellStyle name="40% - 强调文字颜色 2 3 2 2 2" xfId="17051"/>
    <cellStyle name="40% - 强调文字颜色 2 3 2 2 2 2" xfId="17052"/>
    <cellStyle name="40% - 强调文字颜色 2 3 2 2 2 3" xfId="17053"/>
    <cellStyle name="40% - 强调文字颜色 2 3 2 2 2 3 2" xfId="17054"/>
    <cellStyle name="40% - 强调文字颜色 2 3 2 2 2 3 2 2" xfId="17055"/>
    <cellStyle name="40% - 强调文字颜色 2 3 2 2 2 4" xfId="17056"/>
    <cellStyle name="40% - 强调文字颜色 2 3 2 2 2 4 2" xfId="17057"/>
    <cellStyle name="40% - 强调文字颜色 2 3 2 2 2 5" xfId="17058"/>
    <cellStyle name="40% - 强调文字颜色 2 3 2 2 2 5 2" xfId="17059"/>
    <cellStyle name="40% - 强调文字颜色 2 3 2 2 2 6" xfId="17060"/>
    <cellStyle name="40% - 强调文字颜色 2 3 2 2 3" xfId="17061"/>
    <cellStyle name="40% - 强调文字颜色 2 3 2 2 3 2" xfId="17062"/>
    <cellStyle name="40% - 强调文字颜色 2 3 2 2 3 2 2" xfId="17063"/>
    <cellStyle name="40% - 强调文字颜色 2 3 2 2 3 2 2 2" xfId="17064"/>
    <cellStyle name="40% - 强调文字颜色 2 3 2 2 3 3" xfId="17065"/>
    <cellStyle name="40% - 强调文字颜色 2 3 2 2 3 3 2" xfId="17066"/>
    <cellStyle name="40% - 强调文字颜色 2 3 2 2 3 4" xfId="17067"/>
    <cellStyle name="40% - 强调文字颜色 2 3 2 2 3 4 2" xfId="17068"/>
    <cellStyle name="40% - 强调文字颜色 2 3 2 2 3 5" xfId="17069"/>
    <cellStyle name="40% - 强调文字颜色 2 3 2 2 4" xfId="17070"/>
    <cellStyle name="40% - 强调文字颜色 2 3 2 2 5" xfId="17071"/>
    <cellStyle name="40% - 强调文字颜色 2 3 2 2 6" xfId="17072"/>
    <cellStyle name="40% - 强调文字颜色 2 3 2 2 6 2" xfId="17073"/>
    <cellStyle name="40% - 强调文字颜色 2 3 2 2 7" xfId="17074"/>
    <cellStyle name="40% - 强调文字颜色 2 3 2 2 7 2" xfId="17075"/>
    <cellStyle name="40% - 强调文字颜色 2 3 2 3" xfId="17076"/>
    <cellStyle name="40% - 强调文字颜色 2 3 2 3 2" xfId="17077"/>
    <cellStyle name="40% - 强调文字颜色 2 3 2 3 3" xfId="17078"/>
    <cellStyle name="40% - 强调文字颜色 2 3 2 3 3 2" xfId="17079"/>
    <cellStyle name="40% - 强调文字颜色 2 3 2 3 3 2 2" xfId="17080"/>
    <cellStyle name="40% - 强调文字颜色 2 3 2 3 4" xfId="17081"/>
    <cellStyle name="40% - 强调文字颜色 2 3 2 3 4 2" xfId="17082"/>
    <cellStyle name="40% - 强调文字颜色 2 3 2 3 5" xfId="17083"/>
    <cellStyle name="40% - 强调文字颜色 2 3 2 3 5 2" xfId="17084"/>
    <cellStyle name="40% - 强调文字颜色 2 3 2 3 6" xfId="17085"/>
    <cellStyle name="40% - 强调文字颜色 2 3 2 4" xfId="17086"/>
    <cellStyle name="40% - 强调文字颜色 2 3 2 4 2" xfId="17087"/>
    <cellStyle name="40% - 强调文字颜色 2 3 2 4 2 2" xfId="17088"/>
    <cellStyle name="40% - 强调文字颜色 2 3 2 4 2 2 2" xfId="17089"/>
    <cellStyle name="40% - 强调文字颜色 2 3 2 4 3" xfId="17090"/>
    <cellStyle name="40% - 强调文字颜色 2 3 2 4 3 2" xfId="17091"/>
    <cellStyle name="40% - 强调文字颜色 2 3 2 4 4" xfId="17092"/>
    <cellStyle name="40% - 强调文字颜色 2 3 2 4 4 2" xfId="17093"/>
    <cellStyle name="40% - 强调文字颜色 2 3 2 4 5" xfId="17094"/>
    <cellStyle name="40% - 强调文字颜色 2 3 2 5" xfId="17095"/>
    <cellStyle name="40% - 强调文字颜色 2 3 2 6" xfId="17096"/>
    <cellStyle name="40% - 强调文字颜色 2 3 2 7" xfId="17097"/>
    <cellStyle name="40% - 强调文字颜色 2 3 2 7 2" xfId="17098"/>
    <cellStyle name="40% - 强调文字颜色 2 3 2 8" xfId="17099"/>
    <cellStyle name="40% - 强调文字颜色 2 3 2 8 2" xfId="17100"/>
    <cellStyle name="40% - 强调文字颜色 2 3 3" xfId="17101"/>
    <cellStyle name="40% - 强调文字颜色 2 3 3 2" xfId="17102"/>
    <cellStyle name="40% - 强调文字颜色 2 3 3 2 2" xfId="17103"/>
    <cellStyle name="40% - 强调文字颜色 2 3 3 2 3" xfId="17104"/>
    <cellStyle name="40% - 强调文字颜色 2 3 3 2 3 2" xfId="17105"/>
    <cellStyle name="40% - 强调文字颜色 2 3 3 2 3 2 2" xfId="17106"/>
    <cellStyle name="40% - 强调文字颜色 2 3 3 2 4" xfId="17107"/>
    <cellStyle name="40% - 强调文字颜色 2 3 3 2 4 2" xfId="17108"/>
    <cellStyle name="40% - 强调文字颜色 2 3 3 2 5" xfId="17109"/>
    <cellStyle name="40% - 强调文字颜色 2 3 3 2 5 2" xfId="17110"/>
    <cellStyle name="40% - 强调文字颜色 2 3 3 2 6" xfId="17111"/>
    <cellStyle name="40% - 强调文字颜色 2 3 3 3" xfId="17112"/>
    <cellStyle name="40% - 强调文字颜色 2 3 3 3 2" xfId="17113"/>
    <cellStyle name="40% - 强调文字颜色 2 3 3 3 2 2" xfId="17114"/>
    <cellStyle name="40% - 强调文字颜色 2 3 3 3 2 2 2" xfId="17115"/>
    <cellStyle name="40% - 强调文字颜色 2 3 3 3 3" xfId="17116"/>
    <cellStyle name="40% - 强调文字颜色 2 3 3 3 3 2" xfId="17117"/>
    <cellStyle name="40% - 强调文字颜色 2 3 3 3 4" xfId="17118"/>
    <cellStyle name="40% - 强调文字颜色 2 3 3 3 4 2" xfId="17119"/>
    <cellStyle name="40% - 强调文字颜色 2 3 3 3 5" xfId="17120"/>
    <cellStyle name="40% - 强调文字颜色 2 3 3 4" xfId="17121"/>
    <cellStyle name="40% - 强调文字颜色 2 3 3 5" xfId="17122"/>
    <cellStyle name="40% - 强调文字颜色 2 3 3 6" xfId="17123"/>
    <cellStyle name="40% - 强调文字颜色 2 3 3 6 2" xfId="17124"/>
    <cellStyle name="40% - 强调文字颜色 2 3 3 7" xfId="17125"/>
    <cellStyle name="40% - 强调文字颜色 2 3 3 7 2" xfId="17126"/>
    <cellStyle name="40% - 强调文字颜色 2 3 4" xfId="17127"/>
    <cellStyle name="40% - 强调文字颜色 2 3 4 2" xfId="17128"/>
    <cellStyle name="40% - 强调文字颜色 2 3 4 2 2" xfId="17129"/>
    <cellStyle name="40% - 强调文字颜色 2 3 4 2 3" xfId="17130"/>
    <cellStyle name="40% - 强调文字颜色 2 3 4 2 3 2" xfId="17131"/>
    <cellStyle name="40% - 强调文字颜色 2 3 4 2 3 2 2" xfId="17132"/>
    <cellStyle name="40% - 强调文字颜色 2 3 4 2 4" xfId="17133"/>
    <cellStyle name="40% - 强调文字颜色 2 3 4 2 4 2" xfId="17134"/>
    <cellStyle name="40% - 强调文字颜色 2 3 4 2 5" xfId="17135"/>
    <cellStyle name="40% - 强调文字颜色 2 3 4 2 5 2" xfId="17136"/>
    <cellStyle name="40% - 强调文字颜色 2 3 4 2 6" xfId="17137"/>
    <cellStyle name="40% - 强调文字颜色 2 3 4 3" xfId="17138"/>
    <cellStyle name="40% - 强调文字颜色 2 3 4 4" xfId="17139"/>
    <cellStyle name="40% - 强调文字颜色 2 3 4 5" xfId="17140"/>
    <cellStyle name="40% - 强调文字颜色 2 3 4 6" xfId="17141"/>
    <cellStyle name="40% - 强调文字颜色 2 3 4 6 2" xfId="17142"/>
    <cellStyle name="40% - 强调文字颜色 2 3 4 7" xfId="17143"/>
    <cellStyle name="40% - 强调文字颜色 2 3 4 7 2" xfId="17144"/>
    <cellStyle name="40% - 强调文字颜色 2 3 5" xfId="17145"/>
    <cellStyle name="40% - 强调文字颜色 2 3 5 2" xfId="17146"/>
    <cellStyle name="40% - 强调文字颜色 2 3 5 2 2" xfId="17147"/>
    <cellStyle name="40% - 强调文字颜色 2 3 5 2 2 2" xfId="17148"/>
    <cellStyle name="40% - 强调文字颜色 2 3 5 2 2 2 2" xfId="17149"/>
    <cellStyle name="40% - 强调文字颜色 2 3 5 2 3" xfId="17150"/>
    <cellStyle name="40% - 强调文字颜色 2 3 5 2 3 2" xfId="17151"/>
    <cellStyle name="40% - 强调文字颜色 2 3 5 2 4" xfId="17152"/>
    <cellStyle name="40% - 强调文字颜色 2 3 5 2 4 2" xfId="17153"/>
    <cellStyle name="40% - 强调文字颜色 2 3 5 2 5" xfId="17154"/>
    <cellStyle name="40% - 强调文字颜色 2 3 5 3" xfId="17155"/>
    <cellStyle name="40% - 强调文字颜色 2 3 5 3 2" xfId="17156"/>
    <cellStyle name="40% - 强调文字颜色 2 3 5 3 2 2" xfId="17157"/>
    <cellStyle name="40% - 强调文字颜色 2 3 5 4" xfId="17158"/>
    <cellStyle name="40% - 强调文字颜色 2 3 5 4 2" xfId="17159"/>
    <cellStyle name="40% - 强调文字颜色 2 3 5 5" xfId="17160"/>
    <cellStyle name="40% - 强调文字颜色 2 3 5 5 2" xfId="17161"/>
    <cellStyle name="40% - 强调文字颜色 2 3 5 6" xfId="17162"/>
    <cellStyle name="40% - 强调文字颜色 2 3 6" xfId="17163"/>
    <cellStyle name="40% - 强调文字颜色 2 3 6 2" xfId="17164"/>
    <cellStyle name="40% - 强调文字颜色 2 3 6 2 2" xfId="17165"/>
    <cellStyle name="40% - 强调文字颜色 2 3 6 2 2 2" xfId="17166"/>
    <cellStyle name="40% - 强调文字颜色 2 3 6 3" xfId="17167"/>
    <cellStyle name="40% - 强调文字颜色 2 3 6 3 2" xfId="17168"/>
    <cellStyle name="40% - 强调文字颜色 2 3 6 4" xfId="17169"/>
    <cellStyle name="40% - 强调文字颜色 2 3 6 4 2" xfId="17170"/>
    <cellStyle name="40% - 强调文字颜色 2 3 6 5" xfId="17171"/>
    <cellStyle name="40% - 强调文字颜色 2 3 7" xfId="17172"/>
    <cellStyle name="40% - 强调文字颜色 2 3 8" xfId="17173"/>
    <cellStyle name="40% - 强调文字颜色 2 3 8 2" xfId="17174"/>
    <cellStyle name="40% - 强调文字颜色 2 3 9" xfId="17175"/>
    <cellStyle name="40% - 强调文字颜色 2 3 9 2" xfId="17176"/>
    <cellStyle name="40% - 强调文字颜色 3 2" xfId="17177"/>
    <cellStyle name="40% - 强调文字颜色 3 2 10" xfId="17178"/>
    <cellStyle name="40% - 强调文字颜色 3 2 11" xfId="17179"/>
    <cellStyle name="40% - 强调文字颜色 3 2 11 2" xfId="17180"/>
    <cellStyle name="40% - 强调文字颜色 3 2 12" xfId="17181"/>
    <cellStyle name="40% - 强调文字颜色 3 2 12 2" xfId="17182"/>
    <cellStyle name="40% - 强调文字颜色 3 2 2" xfId="17183"/>
    <cellStyle name="40% - 强调文字颜色 3 2 2 10" xfId="17184"/>
    <cellStyle name="40% - 强调文字颜色 3 2 2 11" xfId="17185"/>
    <cellStyle name="40% - 强调文字颜色 3 2 2 11 2" xfId="17186"/>
    <cellStyle name="40% - 强调文字颜色 3 2 2 12" xfId="17187"/>
    <cellStyle name="40% - 强调文字颜色 3 2 2 12 2" xfId="17188"/>
    <cellStyle name="40% - 强调文字颜色 3 2 2 2" xfId="17189"/>
    <cellStyle name="40% - 强调文字颜色 3 2 2 2 2" xfId="17190"/>
    <cellStyle name="40% - 强调文字颜色 3 2 2 2 2 2" xfId="17191"/>
    <cellStyle name="40% - 强调文字颜色 3 2 2 2 2 2 2" xfId="17192"/>
    <cellStyle name="40% - 强调文字颜色 3 2 2 2 2 2 3" xfId="17193"/>
    <cellStyle name="40% - 强调文字颜色 3 2 2 2 2 2 3 2" xfId="17194"/>
    <cellStyle name="40% - 强调文字颜色 3 2 2 2 2 2 3 2 2" xfId="17195"/>
    <cellStyle name="40% - 强调文字颜色 3 2 2 2 2 2 4" xfId="17196"/>
    <cellStyle name="40% - 强调文字颜色 3 2 2 2 2 2 4 2" xfId="17197"/>
    <cellStyle name="40% - 强调文字颜色 3 2 2 2 2 2 5" xfId="17198"/>
    <cellStyle name="40% - 强调文字颜色 3 2 2 2 2 2 5 2" xfId="17199"/>
    <cellStyle name="40% - 强调文字颜色 3 2 2 2 2 2 6" xfId="17200"/>
    <cellStyle name="40% - 强调文字颜色 3 2 2 2 2 3" xfId="17201"/>
    <cellStyle name="40% - 强调文字颜色 3 2 2 2 2 3 2" xfId="17202"/>
    <cellStyle name="40% - 强调文字颜色 3 2 2 2 2 3 2 2" xfId="17203"/>
    <cellStyle name="40% - 强调文字颜色 3 2 2 2 2 3 2 2 2" xfId="17204"/>
    <cellStyle name="40% - 强调文字颜色 3 2 2 2 2 3 3" xfId="17205"/>
    <cellStyle name="40% - 强调文字颜色 3 2 2 2 2 3 3 2" xfId="17206"/>
    <cellStyle name="40% - 强调文字颜色 3 2 2 2 2 3 4" xfId="17207"/>
    <cellStyle name="40% - 强调文字颜色 3 2 2 2 2 3 4 2" xfId="17208"/>
    <cellStyle name="40% - 强调文字颜色 3 2 2 2 2 3 5" xfId="17209"/>
    <cellStyle name="40% - 强调文字颜色 3 2 2 2 2 4" xfId="17210"/>
    <cellStyle name="40% - 强调文字颜色 3 2 2 2 2 5" xfId="17211"/>
    <cellStyle name="40% - 强调文字颜色 3 2 2 2 2 6" xfId="17212"/>
    <cellStyle name="40% - 强调文字颜色 3 2 2 2 2 6 2" xfId="17213"/>
    <cellStyle name="40% - 强调文字颜色 3 2 2 2 2 7" xfId="17214"/>
    <cellStyle name="40% - 强调文字颜色 3 2 2 2 2 7 2" xfId="17215"/>
    <cellStyle name="40% - 强调文字颜色 3 2 2 2 3" xfId="17216"/>
    <cellStyle name="40% - 强调文字颜色 3 2 2 2 3 2" xfId="17217"/>
    <cellStyle name="40% - 强调文字颜色 3 2 2 2 3 3" xfId="17218"/>
    <cellStyle name="40% - 强调文字颜色 3 2 2 2 3 3 2" xfId="17219"/>
    <cellStyle name="40% - 强调文字颜色 3 2 2 2 3 3 2 2" xfId="17220"/>
    <cellStyle name="40% - 强调文字颜色 3 2 2 2 3 4" xfId="17221"/>
    <cellStyle name="40% - 强调文字颜色 3 2 2 2 3 4 2" xfId="17222"/>
    <cellStyle name="40% - 强调文字颜色 3 2 2 2 3 5" xfId="17223"/>
    <cellStyle name="40% - 强调文字颜色 3 2 2 2 3 5 2" xfId="17224"/>
    <cellStyle name="40% - 强调文字颜色 3 2 2 2 3 6" xfId="17225"/>
    <cellStyle name="40% - 强调文字颜色 3 2 2 2 4" xfId="17226"/>
    <cellStyle name="40% - 强调文字颜色 3 2 2 2 4 2" xfId="17227"/>
    <cellStyle name="40% - 强调文字颜色 3 2 2 2 4 2 2" xfId="17228"/>
    <cellStyle name="40% - 强调文字颜色 3 2 2 2 4 2 2 2" xfId="17229"/>
    <cellStyle name="40% - 强调文字颜色 3 2 2 2 4 3" xfId="17230"/>
    <cellStyle name="40% - 强调文字颜色 3 2 2 2 4 3 2" xfId="17231"/>
    <cellStyle name="40% - 强调文字颜色 3 2 2 2 4 4" xfId="17232"/>
    <cellStyle name="40% - 强调文字颜色 3 2 2 2 4 4 2" xfId="17233"/>
    <cellStyle name="40% - 强调文字颜色 3 2 2 2 4 5" xfId="17234"/>
    <cellStyle name="40% - 强调文字颜色 3 2 2 2 5" xfId="17235"/>
    <cellStyle name="40% - 强调文字颜色 3 2 2 2 6" xfId="17236"/>
    <cellStyle name="40% - 强调文字颜色 3 2 2 2 7" xfId="17237"/>
    <cellStyle name="40% - 强调文字颜色 3 2 2 2 7 2" xfId="17238"/>
    <cellStyle name="40% - 强调文字颜色 3 2 2 2 8" xfId="17239"/>
    <cellStyle name="40% - 强调文字颜色 3 2 2 2 8 2" xfId="17240"/>
    <cellStyle name="40% - 强调文字颜色 3 2 2 3" xfId="17241"/>
    <cellStyle name="40% - 强调文字颜色 3 2 2 3 2" xfId="17242"/>
    <cellStyle name="40% - 强调文字颜色 3 2 2 3 2 2" xfId="17243"/>
    <cellStyle name="40% - 强调文字颜色 3 2 2 3 2 3" xfId="17244"/>
    <cellStyle name="40% - 强调文字颜色 3 2 2 3 2 3 2" xfId="17245"/>
    <cellStyle name="40% - 强调文字颜色 3 2 2 3 2 3 2 2" xfId="17246"/>
    <cellStyle name="40% - 强调文字颜色 3 2 2 3 2 4" xfId="17247"/>
    <cellStyle name="40% - 强调文字颜色 3 2 2 3 2 4 2" xfId="17248"/>
    <cellStyle name="40% - 强调文字颜色 3 2 2 3 2 5" xfId="17249"/>
    <cellStyle name="40% - 强调文字颜色 3 2 2 3 2 5 2" xfId="17250"/>
    <cellStyle name="40% - 强调文字颜色 3 2 2 3 2 6" xfId="17251"/>
    <cellStyle name="40% - 强调文字颜色 3 2 2 3 3" xfId="17252"/>
    <cellStyle name="40% - 强调文字颜色 3 2 2 3 3 2" xfId="17253"/>
    <cellStyle name="40% - 强调文字颜色 3 2 2 3 3 2 2" xfId="17254"/>
    <cellStyle name="40% - 强调文字颜色 3 2 2 3 3 2 2 2" xfId="17255"/>
    <cellStyle name="40% - 强调文字颜色 3 2 2 3 3 3" xfId="17256"/>
    <cellStyle name="40% - 强调文字颜色 3 2 2 3 3 3 2" xfId="17257"/>
    <cellStyle name="40% - 强调文字颜色 3 2 2 3 3 4" xfId="17258"/>
    <cellStyle name="40% - 强调文字颜色 3 2 2 3 3 4 2" xfId="17259"/>
    <cellStyle name="40% - 强调文字颜色 3 2 2 3 3 5" xfId="17260"/>
    <cellStyle name="40% - 强调文字颜色 3 2 2 3 4" xfId="17261"/>
    <cellStyle name="40% - 强调文字颜色 3 2 2 3 5" xfId="17262"/>
    <cellStyle name="40% - 强调文字颜色 3 2 2 3 6" xfId="17263"/>
    <cellStyle name="40% - 强调文字颜色 3 2 2 3 6 2" xfId="17264"/>
    <cellStyle name="40% - 强调文字颜色 3 2 2 3 7" xfId="17265"/>
    <cellStyle name="40% - 强调文字颜色 3 2 2 3 7 2" xfId="17266"/>
    <cellStyle name="40% - 强调文字颜色 3 2 2 4" xfId="17267"/>
    <cellStyle name="40% - 强调文字颜色 3 2 2 4 2" xfId="17268"/>
    <cellStyle name="40% - 强调文字颜色 3 2 2 4 2 2" xfId="17269"/>
    <cellStyle name="40% - 强调文字颜色 3 2 2 4 2 3" xfId="17270"/>
    <cellStyle name="40% - 强调文字颜色 3 2 2 4 2 3 2" xfId="17271"/>
    <cellStyle name="40% - 强调文字颜色 3 2 2 4 2 3 2 2" xfId="17272"/>
    <cellStyle name="40% - 强调文字颜色 3 2 2 4 2 4" xfId="17273"/>
    <cellStyle name="40% - 强调文字颜色 3 2 2 4 2 4 2" xfId="17274"/>
    <cellStyle name="40% - 强调文字颜色 3 2 2 4 2 5" xfId="17275"/>
    <cellStyle name="40% - 强调文字颜色 3 2 2 4 2 5 2" xfId="17276"/>
    <cellStyle name="40% - 强调文字颜色 3 2 2 4 2 6" xfId="17277"/>
    <cellStyle name="40% - 强调文字颜色 3 2 2 4 3" xfId="17278"/>
    <cellStyle name="40% - 强调文字颜色 3 2 2 4 4" xfId="17279"/>
    <cellStyle name="40% - 强调文字颜色 3 2 2 4 5" xfId="17280"/>
    <cellStyle name="40% - 强调文字颜色 3 2 2 4 6" xfId="17281"/>
    <cellStyle name="40% - 强调文字颜色 3 2 2 4 6 2" xfId="17282"/>
    <cellStyle name="40% - 强调文字颜色 3 2 2 4 7" xfId="17283"/>
    <cellStyle name="40% - 强调文字颜色 3 2 2 4 7 2" xfId="17284"/>
    <cellStyle name="40% - 强调文字颜色 3 2 2 5" xfId="17285"/>
    <cellStyle name="40% - 强调文字颜色 3 2 2 5 2" xfId="17286"/>
    <cellStyle name="40% - 强调文字颜色 3 2 2 5 2 2" xfId="17287"/>
    <cellStyle name="40% - 强调文字颜色 3 2 2 5 2 2 2" xfId="17288"/>
    <cellStyle name="40% - 强调文字颜色 3 2 2 5 2 2 2 2" xfId="17289"/>
    <cellStyle name="40% - 强调文字颜色 3 2 2 5 2 3" xfId="17290"/>
    <cellStyle name="40% - 强调文字颜色 3 2 2 5 2 3 2" xfId="17291"/>
    <cellStyle name="40% - 强调文字颜色 3 2 2 5 2 4" xfId="17292"/>
    <cellStyle name="40% - 强调文字颜色 3 2 2 5 2 4 2" xfId="17293"/>
    <cellStyle name="40% - 强调文字颜色 3 2 2 5 2 5" xfId="17294"/>
    <cellStyle name="40% - 强调文字颜色 3 2 2 5 3" xfId="17295"/>
    <cellStyle name="40% - 强调文字颜色 3 2 2 5 3 2" xfId="17296"/>
    <cellStyle name="40% - 强调文字颜色 3 2 2 5 3 2 2" xfId="17297"/>
    <cellStyle name="40% - 强调文字颜色 3 2 2 5 4" xfId="17298"/>
    <cellStyle name="40% - 强调文字颜色 3 2 2 5 4 2" xfId="17299"/>
    <cellStyle name="40% - 强调文字颜色 3 2 2 5 5" xfId="17300"/>
    <cellStyle name="40% - 强调文字颜色 3 2 2 5 5 2" xfId="17301"/>
    <cellStyle name="40% - 强调文字颜色 3 2 2 5 6" xfId="17302"/>
    <cellStyle name="40% - 强调文字颜色 3 2 2 6" xfId="17303"/>
    <cellStyle name="40% - 强调文字颜色 3 2 2 6 2" xfId="17304"/>
    <cellStyle name="40% - 强调文字颜色 3 2 2 6 2 2" xfId="17305"/>
    <cellStyle name="40% - 强调文字颜色 3 2 2 6 2 2 2" xfId="17306"/>
    <cellStyle name="40% - 强调文字颜色 3 2 2 6 2 2 2 2" xfId="17307"/>
    <cellStyle name="40% - 强调文字颜色 3 2 2 6 2 3" xfId="17308"/>
    <cellStyle name="40% - 强调文字颜色 3 2 2 6 2 3 2" xfId="17309"/>
    <cellStyle name="40% - 强调文字颜色 3 2 2 6 2 4" xfId="17310"/>
    <cellStyle name="40% - 强调文字颜色 3 2 2 6 2 4 2" xfId="17311"/>
    <cellStyle name="40% - 强调文字颜色 3 2 2 6 2 5" xfId="17312"/>
    <cellStyle name="40% - 强调文字颜色 3 2 2 6 3" xfId="17313"/>
    <cellStyle name="40% - 强调文字颜色 3 2 2 6 3 2" xfId="17314"/>
    <cellStyle name="40% - 强调文字颜色 3 2 2 6 3 2 2" xfId="17315"/>
    <cellStyle name="40% - 强调文字颜色 3 2 2 6 4" xfId="17316"/>
    <cellStyle name="40% - 强调文字颜色 3 2 2 6 4 2" xfId="17317"/>
    <cellStyle name="40% - 强调文字颜色 3 2 2 6 5" xfId="17318"/>
    <cellStyle name="40% - 强调文字颜色 3 2 2 6 5 2" xfId="17319"/>
    <cellStyle name="40% - 强调文字颜色 3 2 2 6 6" xfId="17320"/>
    <cellStyle name="40% - 强调文字颜色 3 2 2 7" xfId="17321"/>
    <cellStyle name="40% - 强调文字颜色 3 2 2 7 2" xfId="17322"/>
    <cellStyle name="40% - 强调文字颜色 3 2 2 7 2 2" xfId="17323"/>
    <cellStyle name="40% - 强调文字颜色 3 2 2 7 2 2 2" xfId="17324"/>
    <cellStyle name="40% - 强调文字颜色 3 2 2 7 2 2 2 2" xfId="17325"/>
    <cellStyle name="40% - 强调文字颜色 3 2 2 7 2 3" xfId="17326"/>
    <cellStyle name="40% - 强调文字颜色 3 2 2 7 2 3 2" xfId="17327"/>
    <cellStyle name="40% - 强调文字颜色 3 2 2 7 2 4" xfId="17328"/>
    <cellStyle name="40% - 强调文字颜色 3 2 2 7 2 4 2" xfId="17329"/>
    <cellStyle name="40% - 强调文字颜色 3 2 2 7 2 5" xfId="17330"/>
    <cellStyle name="40% - 强调文字颜色 3 2 2 7 3" xfId="17331"/>
    <cellStyle name="40% - 强调文字颜色 3 2 2 7 3 2" xfId="17332"/>
    <cellStyle name="40% - 强调文字颜色 3 2 2 7 3 2 2" xfId="17333"/>
    <cellStyle name="40% - 强调文字颜色 3 2 2 7 4" xfId="17334"/>
    <cellStyle name="40% - 强调文字颜色 3 2 2 7 4 2" xfId="17335"/>
    <cellStyle name="40% - 强调文字颜色 3 2 2 7 5" xfId="17336"/>
    <cellStyle name="40% - 强调文字颜色 3 2 2 7 5 2" xfId="17337"/>
    <cellStyle name="40% - 强调文字颜色 3 2 2 7 6" xfId="17338"/>
    <cellStyle name="40% - 强调文字颜色 3 2 2 8" xfId="17339"/>
    <cellStyle name="40% - 强调文字颜色 3 2 2 8 2" xfId="17340"/>
    <cellStyle name="40% - 强调文字颜色 3 2 2 8 2 2" xfId="17341"/>
    <cellStyle name="40% - 强调文字颜色 3 2 2 8 2 2 2" xfId="17342"/>
    <cellStyle name="40% - 强调文字颜色 3 2 2 8 3" xfId="17343"/>
    <cellStyle name="40% - 强调文字颜色 3 2 2 8 3 2" xfId="17344"/>
    <cellStyle name="40% - 强调文字颜色 3 2 2 8 4" xfId="17345"/>
    <cellStyle name="40% - 强调文字颜色 3 2 2 8 4 2" xfId="17346"/>
    <cellStyle name="40% - 强调文字颜色 3 2 2 8 5" xfId="17347"/>
    <cellStyle name="40% - 强调文字颜色 3 2 2 9" xfId="17348"/>
    <cellStyle name="40% - 强调文字颜色 3 2 2 9 2" xfId="17349"/>
    <cellStyle name="40% - 强调文字颜色 3 2 2 9 2 2" xfId="17350"/>
    <cellStyle name="40% - 强调文字颜色 3 2 2 9 2 2 2" xfId="17351"/>
    <cellStyle name="40% - 强调文字颜色 3 2 2 9 3" xfId="17352"/>
    <cellStyle name="40% - 强调文字颜色 3 2 2 9 3 2" xfId="17353"/>
    <cellStyle name="40% - 强调文字颜色 3 2 2 9 4" xfId="17354"/>
    <cellStyle name="40% - 强调文字颜色 3 2 2 9 4 2" xfId="17355"/>
    <cellStyle name="40% - 强调文字颜色 3 2 2 9 5" xfId="17356"/>
    <cellStyle name="40% - 强调文字颜色 3 2 3" xfId="17357"/>
    <cellStyle name="40% - 强调文字颜色 3 2 3 10" xfId="17358"/>
    <cellStyle name="40% - 强调文字颜色 3 2 3 10 2" xfId="17359"/>
    <cellStyle name="40% - 强调文字颜色 3 2 3 2" xfId="17360"/>
    <cellStyle name="40% - 强调文字颜色 3 2 3 2 2" xfId="17361"/>
    <cellStyle name="40% - 强调文字颜色 3 2 3 2 2 2" xfId="17362"/>
    <cellStyle name="40% - 强调文字颜色 3 2 3 2 2 2 2" xfId="17363"/>
    <cellStyle name="40% - 强调文字颜色 3 2 3 2 2 2 3" xfId="17364"/>
    <cellStyle name="40% - 强调文字颜色 3 2 3 2 2 2 3 2" xfId="17365"/>
    <cellStyle name="40% - 强调文字颜色 3 2 3 2 2 2 3 2 2" xfId="17366"/>
    <cellStyle name="40% - 强调文字颜色 3 2 3 2 2 2 4" xfId="17367"/>
    <cellStyle name="40% - 强调文字颜色 3 2 3 2 2 2 4 2" xfId="17368"/>
    <cellStyle name="40% - 强调文字颜色 3 2 3 2 2 2 5" xfId="17369"/>
    <cellStyle name="40% - 强调文字颜色 3 2 3 2 2 2 5 2" xfId="17370"/>
    <cellStyle name="40% - 强调文字颜色 3 2 3 2 2 2 6" xfId="17371"/>
    <cellStyle name="40% - 强调文字颜色 3 2 3 2 2 3" xfId="17372"/>
    <cellStyle name="40% - 强调文字颜色 3 2 3 2 2 3 2" xfId="17373"/>
    <cellStyle name="40% - 强调文字颜色 3 2 3 2 2 3 2 2" xfId="17374"/>
    <cellStyle name="40% - 强调文字颜色 3 2 3 2 2 3 2 2 2" xfId="17375"/>
    <cellStyle name="40% - 强调文字颜色 3 2 3 2 2 3 3" xfId="17376"/>
    <cellStyle name="40% - 强调文字颜色 3 2 3 2 2 3 3 2" xfId="17377"/>
    <cellStyle name="40% - 强调文字颜色 3 2 3 2 2 3 4" xfId="17378"/>
    <cellStyle name="40% - 强调文字颜色 3 2 3 2 2 3 4 2" xfId="17379"/>
    <cellStyle name="40% - 强调文字颜色 3 2 3 2 2 3 5" xfId="17380"/>
    <cellStyle name="40% - 强调文字颜色 3 2 3 2 2 4" xfId="17381"/>
    <cellStyle name="40% - 强调文字颜色 3 2 3 2 2 5" xfId="17382"/>
    <cellStyle name="40% - 强调文字颜色 3 2 3 2 2 6" xfId="17383"/>
    <cellStyle name="40% - 强调文字颜色 3 2 3 2 2 6 2" xfId="17384"/>
    <cellStyle name="40% - 强调文字颜色 3 2 3 2 2 7" xfId="17385"/>
    <cellStyle name="40% - 强调文字颜色 3 2 3 2 2 7 2" xfId="17386"/>
    <cellStyle name="40% - 强调文字颜色 3 2 3 2 3" xfId="17387"/>
    <cellStyle name="40% - 强调文字颜色 3 2 3 2 3 2" xfId="17388"/>
    <cellStyle name="40% - 强调文字颜色 3 2 3 2 3 3" xfId="17389"/>
    <cellStyle name="40% - 强调文字颜色 3 2 3 2 3 3 2" xfId="17390"/>
    <cellStyle name="40% - 强调文字颜色 3 2 3 2 3 3 2 2" xfId="17391"/>
    <cellStyle name="40% - 强调文字颜色 3 2 3 2 3 4" xfId="17392"/>
    <cellStyle name="40% - 强调文字颜色 3 2 3 2 3 4 2" xfId="17393"/>
    <cellStyle name="40% - 强调文字颜色 3 2 3 2 3 5" xfId="17394"/>
    <cellStyle name="40% - 强调文字颜色 3 2 3 2 3 5 2" xfId="17395"/>
    <cellStyle name="40% - 强调文字颜色 3 2 3 2 3 6" xfId="17396"/>
    <cellStyle name="40% - 强调文字颜色 3 2 3 2 4" xfId="17397"/>
    <cellStyle name="40% - 强调文字颜色 3 2 3 2 4 2" xfId="17398"/>
    <cellStyle name="40% - 强调文字颜色 3 2 3 2 4 2 2" xfId="17399"/>
    <cellStyle name="40% - 强调文字颜色 3 2 3 2 4 2 2 2" xfId="17400"/>
    <cellStyle name="40% - 强调文字颜色 3 2 3 2 4 3" xfId="17401"/>
    <cellStyle name="40% - 强调文字颜色 3 2 3 2 4 3 2" xfId="17402"/>
    <cellStyle name="40% - 强调文字颜色 3 2 3 2 4 4" xfId="17403"/>
    <cellStyle name="40% - 强调文字颜色 3 2 3 2 4 4 2" xfId="17404"/>
    <cellStyle name="40% - 强调文字颜色 3 2 3 2 4 5" xfId="17405"/>
    <cellStyle name="40% - 强调文字颜色 3 2 3 2 5" xfId="17406"/>
    <cellStyle name="40% - 强调文字颜色 3 2 3 2 6" xfId="17407"/>
    <cellStyle name="40% - 强调文字颜色 3 2 3 2 7" xfId="17408"/>
    <cellStyle name="40% - 强调文字颜色 3 2 3 2 7 2" xfId="17409"/>
    <cellStyle name="40% - 强调文字颜色 3 2 3 2 8" xfId="17410"/>
    <cellStyle name="40% - 强调文字颜色 3 2 3 2 8 2" xfId="17411"/>
    <cellStyle name="40% - 强调文字颜色 3 2 3 3" xfId="17412"/>
    <cellStyle name="40% - 强调文字颜色 3 2 3 3 2" xfId="17413"/>
    <cellStyle name="40% - 强调文字颜色 3 2 3 3 2 2" xfId="17414"/>
    <cellStyle name="40% - 强调文字颜色 3 2 3 3 2 3" xfId="17415"/>
    <cellStyle name="40% - 强调文字颜色 3 2 3 3 2 3 2" xfId="17416"/>
    <cellStyle name="40% - 强调文字颜色 3 2 3 3 2 3 2 2" xfId="17417"/>
    <cellStyle name="40% - 强调文字颜色 3 2 3 3 2 4" xfId="17418"/>
    <cellStyle name="40% - 强调文字颜色 3 2 3 3 2 4 2" xfId="17419"/>
    <cellStyle name="40% - 强调文字颜色 3 2 3 3 2 5" xfId="17420"/>
    <cellStyle name="40% - 强调文字颜色 3 2 3 3 2 5 2" xfId="17421"/>
    <cellStyle name="40% - 强调文字颜色 3 2 3 3 2 6" xfId="17422"/>
    <cellStyle name="40% - 强调文字颜色 3 2 3 3 3" xfId="17423"/>
    <cellStyle name="40% - 强调文字颜色 3 2 3 3 3 2" xfId="17424"/>
    <cellStyle name="40% - 强调文字颜色 3 2 3 3 3 2 2" xfId="17425"/>
    <cellStyle name="40% - 强调文字颜色 3 2 3 3 3 2 2 2" xfId="17426"/>
    <cellStyle name="40% - 强调文字颜色 3 2 3 3 3 3" xfId="17427"/>
    <cellStyle name="40% - 强调文字颜色 3 2 3 3 3 3 2" xfId="17428"/>
    <cellStyle name="40% - 强调文字颜色 3 2 3 3 3 4" xfId="17429"/>
    <cellStyle name="40% - 强调文字颜色 3 2 3 3 3 4 2" xfId="17430"/>
    <cellStyle name="40% - 强调文字颜色 3 2 3 3 3 5" xfId="17431"/>
    <cellStyle name="40% - 强调文字颜色 3 2 3 3 4" xfId="17432"/>
    <cellStyle name="40% - 强调文字颜色 3 2 3 3 5" xfId="17433"/>
    <cellStyle name="40% - 强调文字颜色 3 2 3 3 6" xfId="17434"/>
    <cellStyle name="40% - 强调文字颜色 3 2 3 3 6 2" xfId="17435"/>
    <cellStyle name="40% - 强调文字颜色 3 2 3 3 7" xfId="17436"/>
    <cellStyle name="40% - 强调文字颜色 3 2 3 3 7 2" xfId="17437"/>
    <cellStyle name="40% - 强调文字颜色 3 2 3 4" xfId="17438"/>
    <cellStyle name="40% - 强调文字颜色 3 2 3 4 2" xfId="17439"/>
    <cellStyle name="40% - 强调文字颜色 3 2 3 4 2 2" xfId="17440"/>
    <cellStyle name="40% - 强调文字颜色 3 2 3 4 2 3" xfId="17441"/>
    <cellStyle name="40% - 强调文字颜色 3 2 3 4 2 3 2" xfId="17442"/>
    <cellStyle name="40% - 强调文字颜色 3 2 3 4 2 3 2 2" xfId="17443"/>
    <cellStyle name="40% - 强调文字颜色 3 2 3 4 2 4" xfId="17444"/>
    <cellStyle name="40% - 强调文字颜色 3 2 3 4 2 4 2" xfId="17445"/>
    <cellStyle name="40% - 强调文字颜色 3 2 3 4 2 5" xfId="17446"/>
    <cellStyle name="40% - 强调文字颜色 3 2 3 4 2 5 2" xfId="17447"/>
    <cellStyle name="40% - 强调文字颜色 3 2 3 4 2 6" xfId="17448"/>
    <cellStyle name="40% - 强调文字颜色 3 2 3 4 3" xfId="17449"/>
    <cellStyle name="40% - 强调文字颜色 3 2 3 4 4" xfId="17450"/>
    <cellStyle name="40% - 强调文字颜色 3 2 3 4 5" xfId="17451"/>
    <cellStyle name="40% - 强调文字颜色 3 2 3 4 6" xfId="17452"/>
    <cellStyle name="40% - 强调文字颜色 3 2 3 4 6 2" xfId="17453"/>
    <cellStyle name="40% - 强调文字颜色 3 2 3 4 7" xfId="17454"/>
    <cellStyle name="40% - 强调文字颜色 3 2 3 4 7 2" xfId="17455"/>
    <cellStyle name="40% - 强调文字颜色 3 2 3 5" xfId="17456"/>
    <cellStyle name="40% - 强调文字颜色 3 2 3 5 2" xfId="17457"/>
    <cellStyle name="40% - 强调文字颜色 3 2 3 5 2 2" xfId="17458"/>
    <cellStyle name="40% - 强调文字颜色 3 2 3 5 2 2 2" xfId="17459"/>
    <cellStyle name="40% - 强调文字颜色 3 2 3 5 2 2 2 2" xfId="17460"/>
    <cellStyle name="40% - 强调文字颜色 3 2 3 5 2 3" xfId="17461"/>
    <cellStyle name="40% - 强调文字颜色 3 2 3 5 2 3 2" xfId="17462"/>
    <cellStyle name="40% - 强调文字颜色 3 2 3 5 2 4" xfId="17463"/>
    <cellStyle name="40% - 强调文字颜色 3 2 3 5 2 4 2" xfId="17464"/>
    <cellStyle name="40% - 强调文字颜色 3 2 3 5 2 5" xfId="17465"/>
    <cellStyle name="40% - 强调文字颜色 3 2 3 5 3" xfId="17466"/>
    <cellStyle name="40% - 强调文字颜色 3 2 3 5 3 2" xfId="17467"/>
    <cellStyle name="40% - 强调文字颜色 3 2 3 5 3 2 2" xfId="17468"/>
    <cellStyle name="40% - 强调文字颜色 3 2 3 5 4" xfId="17469"/>
    <cellStyle name="40% - 强调文字颜色 3 2 3 5 4 2" xfId="17470"/>
    <cellStyle name="40% - 强调文字颜色 3 2 3 5 5" xfId="17471"/>
    <cellStyle name="40% - 强调文字颜色 3 2 3 5 5 2" xfId="17472"/>
    <cellStyle name="40% - 强调文字颜色 3 2 3 5 6" xfId="17473"/>
    <cellStyle name="40% - 强调文字颜色 3 2 3 6" xfId="17474"/>
    <cellStyle name="40% - 强调文字颜色 3 2 3 6 2" xfId="17475"/>
    <cellStyle name="40% - 强调文字颜色 3 2 3 6 2 2" xfId="17476"/>
    <cellStyle name="40% - 强调文字颜色 3 2 3 6 2 2 2" xfId="17477"/>
    <cellStyle name="40% - 强调文字颜色 3 2 3 6 3" xfId="17478"/>
    <cellStyle name="40% - 强调文字颜色 3 2 3 6 3 2" xfId="17479"/>
    <cellStyle name="40% - 强调文字颜色 3 2 3 6 4" xfId="17480"/>
    <cellStyle name="40% - 强调文字颜色 3 2 3 6 4 2" xfId="17481"/>
    <cellStyle name="40% - 强调文字颜色 3 2 3 6 5" xfId="17482"/>
    <cellStyle name="40% - 强调文字颜色 3 2 3 7" xfId="17483"/>
    <cellStyle name="40% - 强调文字颜色 3 2 3 7 2" xfId="17484"/>
    <cellStyle name="40% - 强调文字颜色 3 2 3 7 2 2" xfId="17485"/>
    <cellStyle name="40% - 强调文字颜色 3 2 3 7 2 2 2" xfId="17486"/>
    <cellStyle name="40% - 强调文字颜色 3 2 3 7 3" xfId="17487"/>
    <cellStyle name="40% - 强调文字颜色 3 2 3 7 3 2" xfId="17488"/>
    <cellStyle name="40% - 强调文字颜色 3 2 3 7 4" xfId="17489"/>
    <cellStyle name="40% - 强调文字颜色 3 2 3 7 4 2" xfId="17490"/>
    <cellStyle name="40% - 强调文字颜色 3 2 3 7 5" xfId="17491"/>
    <cellStyle name="40% - 强调文字颜色 3 2 3 8" xfId="17492"/>
    <cellStyle name="40% - 强调文字颜色 3 2 3 9" xfId="17493"/>
    <cellStyle name="40% - 强调文字颜色 3 2 3 9 2" xfId="17494"/>
    <cellStyle name="40% - 强调文字颜色 3 2 4" xfId="17495"/>
    <cellStyle name="40% - 强调文字颜色 3 2 4 2" xfId="17496"/>
    <cellStyle name="40% - 强调文字颜色 3 2 4 2 2" xfId="17497"/>
    <cellStyle name="40% - 强调文字颜色 3 2 4 2 3" xfId="17498"/>
    <cellStyle name="40% - 强调文字颜色 3 2 4 2 3 2" xfId="17499"/>
    <cellStyle name="40% - 强调文字颜色 3 2 4 2 3 2 2" xfId="17500"/>
    <cellStyle name="40% - 强调文字颜色 3 2 4 2 4" xfId="17501"/>
    <cellStyle name="40% - 强调文字颜色 3 2 4 2 4 2" xfId="17502"/>
    <cellStyle name="40% - 强调文字颜色 3 2 4 2 5" xfId="17503"/>
    <cellStyle name="40% - 强调文字颜色 3 2 4 2 5 2" xfId="17504"/>
    <cellStyle name="40% - 强调文字颜色 3 2 4 2 6" xfId="17505"/>
    <cellStyle name="40% - 强调文字颜色 3 2 4 3" xfId="17506"/>
    <cellStyle name="40% - 强调文字颜色 3 2 4 3 2" xfId="17507"/>
    <cellStyle name="40% - 强调文字颜色 3 2 4 3 2 2" xfId="17508"/>
    <cellStyle name="40% - 强调文字颜色 3 2 4 3 2 2 2" xfId="17509"/>
    <cellStyle name="40% - 强调文字颜色 3 2 4 3 3" xfId="17510"/>
    <cellStyle name="40% - 强调文字颜色 3 2 4 3 3 2" xfId="17511"/>
    <cellStyle name="40% - 强调文字颜色 3 2 4 3 4" xfId="17512"/>
    <cellStyle name="40% - 强调文字颜色 3 2 4 3 4 2" xfId="17513"/>
    <cellStyle name="40% - 强调文字颜色 3 2 4 3 5" xfId="17514"/>
    <cellStyle name="40% - 强调文字颜色 3 2 4 4" xfId="17515"/>
    <cellStyle name="40% - 强调文字颜色 3 2 4 5" xfId="17516"/>
    <cellStyle name="40% - 强调文字颜色 3 2 4 6" xfId="17517"/>
    <cellStyle name="40% - 强调文字颜色 3 2 4 6 2" xfId="17518"/>
    <cellStyle name="40% - 强调文字颜色 3 2 4 7" xfId="17519"/>
    <cellStyle name="40% - 强调文字颜色 3 2 4 7 2" xfId="17520"/>
    <cellStyle name="40% - 强调文字颜色 3 2 5" xfId="17521"/>
    <cellStyle name="40% - 强调文字颜色 3 2 5 2" xfId="17522"/>
    <cellStyle name="40% - 强调文字颜色 3 2 5 2 2" xfId="17523"/>
    <cellStyle name="40% - 强调文字颜色 3 2 5 2 3" xfId="17524"/>
    <cellStyle name="40% - 强调文字颜色 3 2 5 2 3 2" xfId="17525"/>
    <cellStyle name="40% - 强调文字颜色 3 2 5 2 3 2 2" xfId="17526"/>
    <cellStyle name="40% - 强调文字颜色 3 2 5 2 4" xfId="17527"/>
    <cellStyle name="40% - 强调文字颜色 3 2 5 2 4 2" xfId="17528"/>
    <cellStyle name="40% - 强调文字颜色 3 2 5 2 5" xfId="17529"/>
    <cellStyle name="40% - 强调文字颜色 3 2 5 2 5 2" xfId="17530"/>
    <cellStyle name="40% - 强调文字颜色 3 2 5 2 6" xfId="17531"/>
    <cellStyle name="40% - 强调文字颜色 3 2 5 3" xfId="17532"/>
    <cellStyle name="40% - 强调文字颜色 3 2 5 4" xfId="17533"/>
    <cellStyle name="40% - 强调文字颜色 3 2 5 5" xfId="17534"/>
    <cellStyle name="40% - 强调文字颜色 3 2 5 6" xfId="17535"/>
    <cellStyle name="40% - 强调文字颜色 3 2 5 6 2" xfId="17536"/>
    <cellStyle name="40% - 强调文字颜色 3 2 5 7" xfId="17537"/>
    <cellStyle name="40% - 强调文字颜色 3 2 5 7 2" xfId="17538"/>
    <cellStyle name="40% - 强调文字颜色 3 2 6" xfId="17539"/>
    <cellStyle name="40% - 强调文字颜色 3 2 6 2" xfId="17540"/>
    <cellStyle name="40% - 强调文字颜色 3 2 6 2 2" xfId="17541"/>
    <cellStyle name="40% - 强调文字颜色 3 2 6 2 2 2" xfId="17542"/>
    <cellStyle name="40% - 强调文字颜色 3 2 6 2 2 2 2" xfId="17543"/>
    <cellStyle name="40% - 强调文字颜色 3 2 6 2 3" xfId="17544"/>
    <cellStyle name="40% - 强调文字颜色 3 2 6 2 3 2" xfId="17545"/>
    <cellStyle name="40% - 强调文字颜色 3 2 6 2 4" xfId="17546"/>
    <cellStyle name="40% - 强调文字颜色 3 2 6 2 4 2" xfId="17547"/>
    <cellStyle name="40% - 强调文字颜色 3 2 6 2 5" xfId="17548"/>
    <cellStyle name="40% - 强调文字颜色 3 2 6 3" xfId="17549"/>
    <cellStyle name="40% - 强调文字颜色 3 2 6 3 2" xfId="17550"/>
    <cellStyle name="40% - 强调文字颜色 3 2 6 3 2 2" xfId="17551"/>
    <cellStyle name="40% - 强调文字颜色 3 2 6 4" xfId="17552"/>
    <cellStyle name="40% - 强调文字颜色 3 2 6 4 2" xfId="17553"/>
    <cellStyle name="40% - 强调文字颜色 3 2 6 5" xfId="17554"/>
    <cellStyle name="40% - 强调文字颜色 3 2 6 5 2" xfId="17555"/>
    <cellStyle name="40% - 强调文字颜色 3 2 6 6" xfId="17556"/>
    <cellStyle name="40% - 强调文字颜色 3 2 7" xfId="17557"/>
    <cellStyle name="40% - 强调文字颜色 3 2 7 2" xfId="17558"/>
    <cellStyle name="40% - 强调文字颜色 3 2 7 2 2" xfId="17559"/>
    <cellStyle name="40% - 强调文字颜色 3 2 7 2 2 2" xfId="17560"/>
    <cellStyle name="40% - 强调文字颜色 3 2 7 2 2 2 2" xfId="17561"/>
    <cellStyle name="40% - 强调文字颜色 3 2 7 2 3" xfId="17562"/>
    <cellStyle name="40% - 强调文字颜色 3 2 7 2 3 2" xfId="17563"/>
    <cellStyle name="40% - 强调文字颜色 3 2 7 2 4" xfId="17564"/>
    <cellStyle name="40% - 强调文字颜色 3 2 7 2 4 2" xfId="17565"/>
    <cellStyle name="40% - 强调文字颜色 3 2 7 2 5" xfId="17566"/>
    <cellStyle name="40% - 强调文字颜色 3 2 7 3" xfId="17567"/>
    <cellStyle name="40% - 强调文字颜色 3 2 7 3 2" xfId="17568"/>
    <cellStyle name="40% - 强调文字颜色 3 2 7 3 2 2" xfId="17569"/>
    <cellStyle name="40% - 强调文字颜色 3 2 7 4" xfId="17570"/>
    <cellStyle name="40% - 强调文字颜色 3 2 7 4 2" xfId="17571"/>
    <cellStyle name="40% - 强调文字颜色 3 2 7 5" xfId="17572"/>
    <cellStyle name="40% - 强调文字颜色 3 2 7 5 2" xfId="17573"/>
    <cellStyle name="40% - 强调文字颜色 3 2 7 6" xfId="17574"/>
    <cellStyle name="40% - 强调文字颜色 3 2 8" xfId="17575"/>
    <cellStyle name="40% - 强调文字颜色 3 2 8 2" xfId="17576"/>
    <cellStyle name="40% - 强调文字颜色 3 2 8 2 2" xfId="17577"/>
    <cellStyle name="40% - 强调文字颜色 3 2 8 2 2 2" xfId="17578"/>
    <cellStyle name="40% - 强调文字颜色 3 2 8 2 2 2 2" xfId="17579"/>
    <cellStyle name="40% - 强调文字颜色 3 2 8 2 3" xfId="17580"/>
    <cellStyle name="40% - 强调文字颜色 3 2 8 2 3 2" xfId="17581"/>
    <cellStyle name="40% - 强调文字颜色 3 2 8 2 4" xfId="17582"/>
    <cellStyle name="40% - 强调文字颜色 3 2 8 2 4 2" xfId="17583"/>
    <cellStyle name="40% - 强调文字颜色 3 2 8 2 5" xfId="17584"/>
    <cellStyle name="40% - 强调文字颜色 3 2 8 3" xfId="17585"/>
    <cellStyle name="40% - 强调文字颜色 3 2 8 3 2" xfId="17586"/>
    <cellStyle name="40% - 强调文字颜色 3 2 8 3 2 2" xfId="17587"/>
    <cellStyle name="40% - 强调文字颜色 3 2 8 4" xfId="17588"/>
    <cellStyle name="40% - 强调文字颜色 3 2 8 4 2" xfId="17589"/>
    <cellStyle name="40% - 强调文字颜色 3 2 8 5" xfId="17590"/>
    <cellStyle name="40% - 强调文字颜色 3 2 8 5 2" xfId="17591"/>
    <cellStyle name="40% - 强调文字颜色 3 2 8 6" xfId="17592"/>
    <cellStyle name="40% - 强调文字颜色 3 2 9" xfId="17593"/>
    <cellStyle name="40% - 强调文字颜色 3 2 9 2" xfId="17594"/>
    <cellStyle name="40% - 强调文字颜色 3 2 9 2 2" xfId="17595"/>
    <cellStyle name="40% - 强调文字颜色 3 2 9 2 2 2" xfId="17596"/>
    <cellStyle name="40% - 强调文字颜色 3 2 9 3" xfId="17597"/>
    <cellStyle name="40% - 强调文字颜色 3 2 9 3 2" xfId="17598"/>
    <cellStyle name="40% - 强调文字颜色 3 2 9 4" xfId="17599"/>
    <cellStyle name="40% - 强调文字颜色 3 2 9 4 2" xfId="17600"/>
    <cellStyle name="40% - 强调文字颜色 3 2 9 5" xfId="17601"/>
    <cellStyle name="40% - 强调文字颜色 3 3" xfId="17602"/>
    <cellStyle name="40% - 强调文字颜色 3 3 2" xfId="17603"/>
    <cellStyle name="40% - 强调文字颜色 3 3 2 2" xfId="17604"/>
    <cellStyle name="40% - 强调文字颜色 3 3 2 2 2" xfId="17605"/>
    <cellStyle name="40% - 强调文字颜色 3 3 2 2 2 2" xfId="17606"/>
    <cellStyle name="40% - 强调文字颜色 3 3 2 2 2 3" xfId="17607"/>
    <cellStyle name="40% - 强调文字颜色 3 3 2 2 2 3 2" xfId="17608"/>
    <cellStyle name="40% - 强调文字颜色 3 3 2 2 2 3 2 2" xfId="17609"/>
    <cellStyle name="40% - 强调文字颜色 3 3 2 2 2 4" xfId="17610"/>
    <cellStyle name="40% - 强调文字颜色 3 3 2 2 2 4 2" xfId="17611"/>
    <cellStyle name="40% - 强调文字颜色 3 3 2 2 2 5" xfId="17612"/>
    <cellStyle name="40% - 强调文字颜色 3 3 2 2 2 5 2" xfId="17613"/>
    <cellStyle name="40% - 强调文字颜色 3 3 2 2 2 6" xfId="17614"/>
    <cellStyle name="40% - 强调文字颜色 3 3 2 2 3" xfId="17615"/>
    <cellStyle name="40% - 强调文字颜色 3 3 2 2 3 2" xfId="17616"/>
    <cellStyle name="40% - 强调文字颜色 3 3 2 2 3 2 2" xfId="17617"/>
    <cellStyle name="40% - 强调文字颜色 3 3 2 2 3 2 2 2" xfId="17618"/>
    <cellStyle name="40% - 强调文字颜色 3 3 2 2 3 3" xfId="17619"/>
    <cellStyle name="40% - 强调文字颜色 3 3 2 2 3 3 2" xfId="17620"/>
    <cellStyle name="40% - 强调文字颜色 3 3 2 2 3 4" xfId="17621"/>
    <cellStyle name="40% - 强调文字颜色 3 3 2 2 3 4 2" xfId="17622"/>
    <cellStyle name="40% - 强调文字颜色 3 3 2 2 3 5" xfId="17623"/>
    <cellStyle name="40% - 强调文字颜色 3 3 2 2 4" xfId="17624"/>
    <cellStyle name="40% - 强调文字颜色 3 3 2 2 5" xfId="17625"/>
    <cellStyle name="40% - 强调文字颜色 3 3 2 2 6" xfId="17626"/>
    <cellStyle name="40% - 强调文字颜色 3 3 2 2 6 2" xfId="17627"/>
    <cellStyle name="40% - 强调文字颜色 3 3 2 2 7" xfId="17628"/>
    <cellStyle name="40% - 强调文字颜色 3 3 2 2 7 2" xfId="17629"/>
    <cellStyle name="40% - 强调文字颜色 3 3 2 3" xfId="17630"/>
    <cellStyle name="40% - 强调文字颜色 3 3 2 3 2" xfId="17631"/>
    <cellStyle name="40% - 强调文字颜色 3 3 2 3 3" xfId="17632"/>
    <cellStyle name="40% - 强调文字颜色 3 3 2 3 3 2" xfId="17633"/>
    <cellStyle name="40% - 强调文字颜色 3 3 2 3 3 2 2" xfId="17634"/>
    <cellStyle name="40% - 强调文字颜色 3 3 2 3 4" xfId="17635"/>
    <cellStyle name="40% - 强调文字颜色 3 3 2 3 4 2" xfId="17636"/>
    <cellStyle name="40% - 强调文字颜色 3 3 2 3 5" xfId="17637"/>
    <cellStyle name="40% - 强调文字颜色 3 3 2 3 5 2" xfId="17638"/>
    <cellStyle name="40% - 强调文字颜色 3 3 2 3 6" xfId="17639"/>
    <cellStyle name="40% - 强调文字颜色 3 3 2 4" xfId="17640"/>
    <cellStyle name="40% - 强调文字颜色 3 3 2 4 2" xfId="17641"/>
    <cellStyle name="40% - 强调文字颜色 3 3 2 4 2 2" xfId="17642"/>
    <cellStyle name="40% - 强调文字颜色 3 3 2 4 2 2 2" xfId="17643"/>
    <cellStyle name="40% - 强调文字颜色 3 3 2 4 3" xfId="17644"/>
    <cellStyle name="40% - 强调文字颜色 3 3 2 4 3 2" xfId="17645"/>
    <cellStyle name="40% - 强调文字颜色 3 3 2 4 4" xfId="17646"/>
    <cellStyle name="40% - 强调文字颜色 3 3 2 4 4 2" xfId="17647"/>
    <cellStyle name="40% - 强调文字颜色 3 3 2 4 5" xfId="17648"/>
    <cellStyle name="40% - 强调文字颜色 3 3 2 5" xfId="17649"/>
    <cellStyle name="40% - 强调文字颜色 3 3 2 6" xfId="17650"/>
    <cellStyle name="40% - 强调文字颜色 3 3 2 7" xfId="17651"/>
    <cellStyle name="40% - 强调文字颜色 3 3 2 7 2" xfId="17652"/>
    <cellStyle name="40% - 强调文字颜色 3 3 2 8" xfId="17653"/>
    <cellStyle name="40% - 强调文字颜色 3 3 2 8 2" xfId="17654"/>
    <cellStyle name="40% - 强调文字颜色 3 3 3" xfId="17655"/>
    <cellStyle name="40% - 强调文字颜色 3 3 3 2" xfId="17656"/>
    <cellStyle name="40% - 强调文字颜色 3 3 3 2 2" xfId="17657"/>
    <cellStyle name="40% - 强调文字颜色 3 3 3 2 3" xfId="17658"/>
    <cellStyle name="40% - 强调文字颜色 3 3 3 2 3 2" xfId="17659"/>
    <cellStyle name="40% - 强调文字颜色 3 3 3 2 3 2 2" xfId="17660"/>
    <cellStyle name="40% - 强调文字颜色 3 3 3 2 4" xfId="17661"/>
    <cellStyle name="40% - 强调文字颜色 3 3 3 2 4 2" xfId="17662"/>
    <cellStyle name="40% - 强调文字颜色 3 3 3 2 5" xfId="17663"/>
    <cellStyle name="40% - 强调文字颜色 3 3 3 2 5 2" xfId="17664"/>
    <cellStyle name="40% - 强调文字颜色 3 3 3 2 6" xfId="17665"/>
    <cellStyle name="40% - 强调文字颜色 3 3 3 3" xfId="17666"/>
    <cellStyle name="40% - 强调文字颜色 3 3 3 3 2" xfId="17667"/>
    <cellStyle name="40% - 强调文字颜色 3 3 3 3 2 2" xfId="17668"/>
    <cellStyle name="40% - 强调文字颜色 3 3 3 3 2 2 2" xfId="17669"/>
    <cellStyle name="40% - 强调文字颜色 3 3 3 3 3" xfId="17670"/>
    <cellStyle name="40% - 强调文字颜色 3 3 3 3 3 2" xfId="17671"/>
    <cellStyle name="40% - 强调文字颜色 3 3 3 3 4" xfId="17672"/>
    <cellStyle name="40% - 强调文字颜色 3 3 3 3 4 2" xfId="17673"/>
    <cellStyle name="40% - 强调文字颜色 3 3 3 3 5" xfId="17674"/>
    <cellStyle name="40% - 强调文字颜色 3 3 3 4" xfId="17675"/>
    <cellStyle name="40% - 强调文字颜色 3 3 3 5" xfId="17676"/>
    <cellStyle name="40% - 强调文字颜色 3 3 3 6" xfId="17677"/>
    <cellStyle name="40% - 强调文字颜色 3 3 3 6 2" xfId="17678"/>
    <cellStyle name="40% - 强调文字颜色 3 3 3 7" xfId="17679"/>
    <cellStyle name="40% - 强调文字颜色 3 3 3 7 2" xfId="17680"/>
    <cellStyle name="40% - 强调文字颜色 3 3 4" xfId="17681"/>
    <cellStyle name="40% - 强调文字颜色 3 3 4 2" xfId="17682"/>
    <cellStyle name="40% - 强调文字颜色 3 3 4 2 2" xfId="17683"/>
    <cellStyle name="40% - 强调文字颜色 3 3 4 2 3" xfId="17684"/>
    <cellStyle name="40% - 强调文字颜色 3 3 4 2 3 2" xfId="17685"/>
    <cellStyle name="40% - 强调文字颜色 3 3 4 2 3 2 2" xfId="17686"/>
    <cellStyle name="40% - 强调文字颜色 3 3 4 2 4" xfId="17687"/>
    <cellStyle name="40% - 强调文字颜色 3 3 4 2 4 2" xfId="17688"/>
    <cellStyle name="40% - 强调文字颜色 3 3 4 2 5" xfId="17689"/>
    <cellStyle name="40% - 强调文字颜色 3 3 4 2 5 2" xfId="17690"/>
    <cellStyle name="40% - 强调文字颜色 3 3 4 2 6" xfId="17691"/>
    <cellStyle name="40% - 强调文字颜色 3 3 4 3" xfId="17692"/>
    <cellStyle name="40% - 强调文字颜色 3 3 4 4" xfId="17693"/>
    <cellStyle name="40% - 强调文字颜色 3 3 4 5" xfId="17694"/>
    <cellStyle name="40% - 强调文字颜色 3 3 4 6" xfId="17695"/>
    <cellStyle name="40% - 强调文字颜色 3 3 4 6 2" xfId="17696"/>
    <cellStyle name="40% - 强调文字颜色 3 3 4 7" xfId="17697"/>
    <cellStyle name="40% - 强调文字颜色 3 3 4 7 2" xfId="17698"/>
    <cellStyle name="40% - 强调文字颜色 3 3 5" xfId="17699"/>
    <cellStyle name="40% - 强调文字颜色 3 3 5 2" xfId="17700"/>
    <cellStyle name="40% - 强调文字颜色 3 3 5 2 2" xfId="17701"/>
    <cellStyle name="40% - 强调文字颜色 3 3 5 2 2 2" xfId="17702"/>
    <cellStyle name="40% - 强调文字颜色 3 3 5 2 2 2 2" xfId="17703"/>
    <cellStyle name="40% - 强调文字颜色 3 3 5 2 3" xfId="17704"/>
    <cellStyle name="40% - 强调文字颜色 3 3 5 2 3 2" xfId="17705"/>
    <cellStyle name="40% - 强调文字颜色 3 3 5 2 4" xfId="17706"/>
    <cellStyle name="40% - 强调文字颜色 3 3 5 2 4 2" xfId="17707"/>
    <cellStyle name="40% - 强调文字颜色 3 3 5 2 5" xfId="17708"/>
    <cellStyle name="40% - 强调文字颜色 3 3 5 3" xfId="17709"/>
    <cellStyle name="40% - 强调文字颜色 3 3 5 3 2" xfId="17710"/>
    <cellStyle name="40% - 强调文字颜色 3 3 5 3 2 2" xfId="17711"/>
    <cellStyle name="40% - 强调文字颜色 3 3 5 4" xfId="17712"/>
    <cellStyle name="40% - 强调文字颜色 3 3 5 4 2" xfId="17713"/>
    <cellStyle name="40% - 强调文字颜色 3 3 5 5" xfId="17714"/>
    <cellStyle name="40% - 强调文字颜色 3 3 5 5 2" xfId="17715"/>
    <cellStyle name="40% - 强调文字颜色 3 3 5 6" xfId="17716"/>
    <cellStyle name="40% - 强调文字颜色 3 3 6" xfId="17717"/>
    <cellStyle name="40% - 强调文字颜色 3 3 6 2" xfId="17718"/>
    <cellStyle name="40% - 强调文字颜色 3 3 6 2 2" xfId="17719"/>
    <cellStyle name="40% - 强调文字颜色 3 3 6 2 2 2" xfId="17720"/>
    <cellStyle name="40% - 强调文字颜色 3 3 6 3" xfId="17721"/>
    <cellStyle name="40% - 强调文字颜色 3 3 6 3 2" xfId="17722"/>
    <cellStyle name="40% - 强调文字颜色 3 3 6 4" xfId="17723"/>
    <cellStyle name="40% - 强调文字颜色 3 3 6 4 2" xfId="17724"/>
    <cellStyle name="40% - 强调文字颜色 3 3 6 5" xfId="17725"/>
    <cellStyle name="40% - 强调文字颜色 3 3 7" xfId="17726"/>
    <cellStyle name="40% - 强调文字颜色 3 3 8" xfId="17727"/>
    <cellStyle name="40% - 强调文字颜色 3 3 8 2" xfId="17728"/>
    <cellStyle name="40% - 强调文字颜色 3 3 9" xfId="17729"/>
    <cellStyle name="40% - 强调文字颜色 3 3 9 2" xfId="17730"/>
    <cellStyle name="40% - 强调文字颜色 4 2" xfId="17731"/>
    <cellStyle name="40% - 强调文字颜色 4 2 10" xfId="17732"/>
    <cellStyle name="40% - 强调文字颜色 4 2 11" xfId="17733"/>
    <cellStyle name="40% - 强调文字颜色 4 2 11 2" xfId="17734"/>
    <cellStyle name="40% - 强调文字颜色 4 2 12" xfId="17735"/>
    <cellStyle name="40% - 强调文字颜色 4 2 12 2" xfId="17736"/>
    <cellStyle name="40% - 强调文字颜色 4 2 2" xfId="17737"/>
    <cellStyle name="40% - 强调文字颜色 4 2 2 10" xfId="17738"/>
    <cellStyle name="40% - 强调文字颜色 4 2 2 11" xfId="17739"/>
    <cellStyle name="40% - 强调文字颜色 4 2 2 11 2" xfId="17740"/>
    <cellStyle name="40% - 强调文字颜色 4 2 2 12" xfId="17741"/>
    <cellStyle name="40% - 强调文字颜色 4 2 2 12 2" xfId="17742"/>
    <cellStyle name="40% - 强调文字颜色 4 2 2 2" xfId="17743"/>
    <cellStyle name="40% - 强调文字颜色 4 2 2 2 2" xfId="17744"/>
    <cellStyle name="40% - 强调文字颜色 4 2 2 2 2 2" xfId="17745"/>
    <cellStyle name="40% - 强调文字颜色 4 2 2 2 2 2 2" xfId="17746"/>
    <cellStyle name="40% - 强调文字颜色 4 2 2 2 2 2 3" xfId="17747"/>
    <cellStyle name="40% - 强调文字颜色 4 2 2 2 2 2 3 2" xfId="17748"/>
    <cellStyle name="40% - 强调文字颜色 4 2 2 2 2 2 3 2 2" xfId="17749"/>
    <cellStyle name="40% - 强调文字颜色 4 2 2 2 2 2 4" xfId="17750"/>
    <cellStyle name="40% - 强调文字颜色 4 2 2 2 2 2 4 2" xfId="17751"/>
    <cellStyle name="40% - 强调文字颜色 4 2 2 2 2 2 5" xfId="17752"/>
    <cellStyle name="40% - 强调文字颜色 4 2 2 2 2 2 5 2" xfId="17753"/>
    <cellStyle name="40% - 强调文字颜色 4 2 2 2 2 2 6" xfId="17754"/>
    <cellStyle name="40% - 强调文字颜色 4 2 2 2 2 3" xfId="17755"/>
    <cellStyle name="40% - 强调文字颜色 4 2 2 2 2 3 2" xfId="17756"/>
    <cellStyle name="40% - 强调文字颜色 4 2 2 2 2 3 2 2" xfId="17757"/>
    <cellStyle name="40% - 强调文字颜色 4 2 2 2 2 3 2 2 2" xfId="17758"/>
    <cellStyle name="40% - 强调文字颜色 4 2 2 2 2 3 3" xfId="17759"/>
    <cellStyle name="40% - 强调文字颜色 4 2 2 2 2 3 3 2" xfId="17760"/>
    <cellStyle name="40% - 强调文字颜色 4 2 2 2 2 3 4" xfId="17761"/>
    <cellStyle name="40% - 强调文字颜色 4 2 2 2 2 3 4 2" xfId="17762"/>
    <cellStyle name="40% - 强调文字颜色 4 2 2 2 2 3 5" xfId="17763"/>
    <cellStyle name="40% - 强调文字颜色 4 2 2 2 2 4" xfId="17764"/>
    <cellStyle name="40% - 强调文字颜色 4 2 2 2 2 5" xfId="17765"/>
    <cellStyle name="40% - 强调文字颜色 4 2 2 2 2 6" xfId="17766"/>
    <cellStyle name="40% - 强调文字颜色 4 2 2 2 2 6 2" xfId="17767"/>
    <cellStyle name="40% - 强调文字颜色 4 2 2 2 2 7" xfId="17768"/>
    <cellStyle name="40% - 强调文字颜色 4 2 2 2 2 7 2" xfId="17769"/>
    <cellStyle name="40% - 强调文字颜色 4 2 2 2 3" xfId="17770"/>
    <cellStyle name="40% - 强调文字颜色 4 2 2 2 3 2" xfId="17771"/>
    <cellStyle name="40% - 强调文字颜色 4 2 2 2 3 3" xfId="17772"/>
    <cellStyle name="40% - 强调文字颜色 4 2 2 2 3 3 2" xfId="17773"/>
    <cellStyle name="40% - 强调文字颜色 4 2 2 2 3 3 2 2" xfId="17774"/>
    <cellStyle name="40% - 强调文字颜色 4 2 2 2 3 4" xfId="17775"/>
    <cellStyle name="40% - 强调文字颜色 4 2 2 2 3 4 2" xfId="17776"/>
    <cellStyle name="40% - 强调文字颜色 4 2 2 2 3 5" xfId="17777"/>
    <cellStyle name="40% - 强调文字颜色 4 2 2 2 3 5 2" xfId="17778"/>
    <cellStyle name="40% - 强调文字颜色 4 2 2 2 3 6" xfId="17779"/>
    <cellStyle name="40% - 强调文字颜色 4 2 2 2 4" xfId="17780"/>
    <cellStyle name="40% - 强调文字颜色 4 2 2 2 4 2" xfId="17781"/>
    <cellStyle name="40% - 强调文字颜色 4 2 2 2 4 2 2" xfId="17782"/>
    <cellStyle name="40% - 强调文字颜色 4 2 2 2 4 2 2 2" xfId="17783"/>
    <cellStyle name="40% - 强调文字颜色 4 2 2 2 4 3" xfId="17784"/>
    <cellStyle name="40% - 强调文字颜色 4 2 2 2 4 3 2" xfId="17785"/>
    <cellStyle name="40% - 强调文字颜色 4 2 2 2 4 4" xfId="17786"/>
    <cellStyle name="40% - 强调文字颜色 4 2 2 2 4 4 2" xfId="17787"/>
    <cellStyle name="40% - 强调文字颜色 4 2 2 2 4 5" xfId="17788"/>
    <cellStyle name="40% - 强调文字颜色 4 2 2 2 5" xfId="17789"/>
    <cellStyle name="40% - 强调文字颜色 4 2 2 2 6" xfId="17790"/>
    <cellStyle name="40% - 强调文字颜色 4 2 2 2 7" xfId="17791"/>
    <cellStyle name="40% - 强调文字颜色 4 2 2 2 7 2" xfId="17792"/>
    <cellStyle name="40% - 强调文字颜色 4 2 2 2 8" xfId="17793"/>
    <cellStyle name="40% - 强调文字颜色 4 2 2 2 8 2" xfId="17794"/>
    <cellStyle name="40% - 强调文字颜色 4 2 2 3" xfId="17795"/>
    <cellStyle name="40% - 强调文字颜色 4 2 2 3 2" xfId="17796"/>
    <cellStyle name="40% - 强调文字颜色 4 2 2 3 2 2" xfId="17797"/>
    <cellStyle name="40% - 强调文字颜色 4 2 2 3 2 3" xfId="17798"/>
    <cellStyle name="40% - 强调文字颜色 4 2 2 3 2 3 2" xfId="17799"/>
    <cellStyle name="40% - 强调文字颜色 4 2 2 3 2 3 2 2" xfId="17800"/>
    <cellStyle name="40% - 强调文字颜色 4 2 2 3 2 4" xfId="17801"/>
    <cellStyle name="40% - 强调文字颜色 4 2 2 3 2 4 2" xfId="17802"/>
    <cellStyle name="40% - 强调文字颜色 4 2 2 3 2 5" xfId="17803"/>
    <cellStyle name="40% - 强调文字颜色 4 2 2 3 2 5 2" xfId="17804"/>
    <cellStyle name="40% - 强调文字颜色 4 2 2 3 2 6" xfId="17805"/>
    <cellStyle name="40% - 强调文字颜色 4 2 2 3 3" xfId="17806"/>
    <cellStyle name="40% - 强调文字颜色 4 2 2 3 3 2" xfId="17807"/>
    <cellStyle name="40% - 强调文字颜色 4 2 2 3 3 2 2" xfId="17808"/>
    <cellStyle name="40% - 强调文字颜色 4 2 2 3 3 2 2 2" xfId="17809"/>
    <cellStyle name="40% - 强调文字颜色 4 2 2 3 3 3" xfId="17810"/>
    <cellStyle name="40% - 强调文字颜色 4 2 2 3 3 3 2" xfId="17811"/>
    <cellStyle name="40% - 强调文字颜色 4 2 2 3 3 4" xfId="17812"/>
    <cellStyle name="40% - 强调文字颜色 4 2 2 3 3 4 2" xfId="17813"/>
    <cellStyle name="40% - 强调文字颜色 4 2 2 3 3 5" xfId="17814"/>
    <cellStyle name="40% - 强调文字颜色 4 2 2 3 4" xfId="17815"/>
    <cellStyle name="40% - 强调文字颜色 4 2 2 3 5" xfId="17816"/>
    <cellStyle name="40% - 强调文字颜色 4 2 2 3 6" xfId="17817"/>
    <cellStyle name="40% - 强调文字颜色 4 2 2 3 6 2" xfId="17818"/>
    <cellStyle name="40% - 强调文字颜色 4 2 2 3 7" xfId="17819"/>
    <cellStyle name="40% - 强调文字颜色 4 2 2 3 7 2" xfId="17820"/>
    <cellStyle name="40% - 强调文字颜色 4 2 2 4" xfId="17821"/>
    <cellStyle name="40% - 强调文字颜色 4 2 2 4 2" xfId="17822"/>
    <cellStyle name="40% - 强调文字颜色 4 2 2 4 2 2" xfId="17823"/>
    <cellStyle name="40% - 强调文字颜色 4 2 2 4 2 3" xfId="17824"/>
    <cellStyle name="40% - 强调文字颜色 4 2 2 4 2 3 2" xfId="17825"/>
    <cellStyle name="40% - 强调文字颜色 4 2 2 4 2 3 2 2" xfId="17826"/>
    <cellStyle name="40% - 强调文字颜色 4 2 2 4 2 4" xfId="17827"/>
    <cellStyle name="40% - 强调文字颜色 4 2 2 4 2 4 2" xfId="17828"/>
    <cellStyle name="40% - 强调文字颜色 4 2 2 4 2 5" xfId="17829"/>
    <cellStyle name="40% - 强调文字颜色 4 2 2 4 2 5 2" xfId="17830"/>
    <cellStyle name="40% - 强调文字颜色 4 2 2 4 2 6" xfId="17831"/>
    <cellStyle name="40% - 强调文字颜色 4 2 2 4 3" xfId="17832"/>
    <cellStyle name="40% - 强调文字颜色 4 2 2 4 4" xfId="17833"/>
    <cellStyle name="40% - 强调文字颜色 4 2 2 4 5" xfId="17834"/>
    <cellStyle name="40% - 强调文字颜色 4 2 2 4 6" xfId="17835"/>
    <cellStyle name="40% - 强调文字颜色 4 2 2 4 6 2" xfId="17836"/>
    <cellStyle name="40% - 强调文字颜色 4 2 2 4 7" xfId="17837"/>
    <cellStyle name="40% - 强调文字颜色 4 2 2 4 7 2" xfId="17838"/>
    <cellStyle name="40% - 强调文字颜色 4 2 2 5" xfId="17839"/>
    <cellStyle name="40% - 强调文字颜色 4 2 2 5 2" xfId="17840"/>
    <cellStyle name="40% - 强调文字颜色 4 2 2 5 2 2" xfId="17841"/>
    <cellStyle name="40% - 强调文字颜色 4 2 2 5 2 2 2" xfId="17842"/>
    <cellStyle name="40% - 强调文字颜色 4 2 2 5 2 2 2 2" xfId="17843"/>
    <cellStyle name="40% - 强调文字颜色 4 2 2 5 2 3" xfId="17844"/>
    <cellStyle name="40% - 强调文字颜色 4 2 2 5 2 3 2" xfId="17845"/>
    <cellStyle name="40% - 强调文字颜色 4 2 2 5 2 4" xfId="17846"/>
    <cellStyle name="40% - 强调文字颜色 4 2 2 5 2 4 2" xfId="17847"/>
    <cellStyle name="40% - 强调文字颜色 4 2 2 5 2 5" xfId="17848"/>
    <cellStyle name="40% - 强调文字颜色 4 2 2 5 3" xfId="17849"/>
    <cellStyle name="40% - 强调文字颜色 4 2 2 5 3 2" xfId="17850"/>
    <cellStyle name="40% - 强调文字颜色 4 2 2 5 3 2 2" xfId="17851"/>
    <cellStyle name="40% - 强调文字颜色 4 2 2 5 4" xfId="17852"/>
    <cellStyle name="40% - 强调文字颜色 4 2 2 5 4 2" xfId="17853"/>
    <cellStyle name="40% - 强调文字颜色 4 2 2 5 5" xfId="17854"/>
    <cellStyle name="40% - 强调文字颜色 4 2 2 5 5 2" xfId="17855"/>
    <cellStyle name="40% - 强调文字颜色 4 2 2 5 6" xfId="17856"/>
    <cellStyle name="40% - 强调文字颜色 4 2 2 6" xfId="17857"/>
    <cellStyle name="40% - 强调文字颜色 4 2 2 6 2" xfId="17858"/>
    <cellStyle name="40% - 强调文字颜色 4 2 2 6 2 2" xfId="17859"/>
    <cellStyle name="40% - 强调文字颜色 4 2 2 6 2 2 2" xfId="17860"/>
    <cellStyle name="40% - 强调文字颜色 4 2 2 6 2 2 2 2" xfId="17861"/>
    <cellStyle name="40% - 强调文字颜色 4 2 2 6 2 3" xfId="17862"/>
    <cellStyle name="40% - 强调文字颜色 4 2 2 6 2 3 2" xfId="17863"/>
    <cellStyle name="40% - 强调文字颜色 4 2 2 6 2 4" xfId="17864"/>
    <cellStyle name="40% - 强调文字颜色 4 2 2 6 2 4 2" xfId="17865"/>
    <cellStyle name="40% - 强调文字颜色 4 2 2 6 2 5" xfId="17866"/>
    <cellStyle name="40% - 强调文字颜色 4 2 2 6 3" xfId="17867"/>
    <cellStyle name="40% - 强调文字颜色 4 2 2 6 3 2" xfId="17868"/>
    <cellStyle name="40% - 强调文字颜色 4 2 2 6 3 2 2" xfId="17869"/>
    <cellStyle name="40% - 强调文字颜色 4 2 2 6 4" xfId="17870"/>
    <cellStyle name="40% - 强调文字颜色 4 2 2 6 4 2" xfId="17871"/>
    <cellStyle name="40% - 强调文字颜色 4 2 2 6 5" xfId="17872"/>
    <cellStyle name="40% - 强调文字颜色 4 2 2 6 5 2" xfId="17873"/>
    <cellStyle name="40% - 强调文字颜色 4 2 2 6 6" xfId="17874"/>
    <cellStyle name="40% - 强调文字颜色 4 2 2 7" xfId="17875"/>
    <cellStyle name="40% - 强调文字颜色 4 2 2 7 2" xfId="17876"/>
    <cellStyle name="40% - 强调文字颜色 4 2 2 7 2 2" xfId="17877"/>
    <cellStyle name="40% - 强调文字颜色 4 2 2 7 2 2 2" xfId="17878"/>
    <cellStyle name="40% - 强调文字颜色 4 2 2 7 2 2 2 2" xfId="17879"/>
    <cellStyle name="40% - 强调文字颜色 4 2 2 7 2 3" xfId="17880"/>
    <cellStyle name="40% - 强调文字颜色 4 2 2 7 2 3 2" xfId="17881"/>
    <cellStyle name="40% - 强调文字颜色 4 2 2 7 2 4" xfId="17882"/>
    <cellStyle name="40% - 强调文字颜色 4 2 2 7 2 4 2" xfId="17883"/>
    <cellStyle name="40% - 强调文字颜色 4 2 2 7 2 5" xfId="17884"/>
    <cellStyle name="40% - 强调文字颜色 4 2 2 7 3" xfId="17885"/>
    <cellStyle name="40% - 强调文字颜色 4 2 2 7 3 2" xfId="17886"/>
    <cellStyle name="40% - 强调文字颜色 4 2 2 7 3 2 2" xfId="17887"/>
    <cellStyle name="40% - 强调文字颜色 4 2 2 7 4" xfId="17888"/>
    <cellStyle name="40% - 强调文字颜色 4 2 2 7 4 2" xfId="17889"/>
    <cellStyle name="40% - 强调文字颜色 4 2 2 7 5" xfId="17890"/>
    <cellStyle name="40% - 强调文字颜色 4 2 2 7 5 2" xfId="17891"/>
    <cellStyle name="40% - 强调文字颜色 4 2 2 7 6" xfId="17892"/>
    <cellStyle name="40% - 强调文字颜色 4 2 2 8" xfId="17893"/>
    <cellStyle name="40% - 强调文字颜色 4 2 2 8 2" xfId="17894"/>
    <cellStyle name="40% - 强调文字颜色 4 2 2 8 2 2" xfId="17895"/>
    <cellStyle name="40% - 强调文字颜色 4 2 2 8 2 2 2" xfId="17896"/>
    <cellStyle name="40% - 强调文字颜色 4 2 2 8 3" xfId="17897"/>
    <cellStyle name="40% - 强调文字颜色 4 2 2 8 3 2" xfId="17898"/>
    <cellStyle name="40% - 强调文字颜色 4 2 2 8 4" xfId="17899"/>
    <cellStyle name="40% - 强调文字颜色 4 2 2 8 4 2" xfId="17900"/>
    <cellStyle name="40% - 强调文字颜色 4 2 2 8 5" xfId="17901"/>
    <cellStyle name="40% - 强调文字颜色 4 2 2 9" xfId="17902"/>
    <cellStyle name="40% - 强调文字颜色 4 2 2 9 2" xfId="17903"/>
    <cellStyle name="40% - 强调文字颜色 4 2 2 9 2 2" xfId="17904"/>
    <cellStyle name="40% - 强调文字颜色 4 2 2 9 2 2 2" xfId="17905"/>
    <cellStyle name="40% - 强调文字颜色 4 2 2 9 3" xfId="17906"/>
    <cellStyle name="40% - 强调文字颜色 4 2 2 9 3 2" xfId="17907"/>
    <cellStyle name="40% - 强调文字颜色 4 2 2 9 4" xfId="17908"/>
    <cellStyle name="40% - 强调文字颜色 4 2 2 9 4 2" xfId="17909"/>
    <cellStyle name="40% - 强调文字颜色 4 2 2 9 5" xfId="17910"/>
    <cellStyle name="40% - 强调文字颜色 4 2 3" xfId="17911"/>
    <cellStyle name="40% - 强调文字颜色 4 2 3 10" xfId="17912"/>
    <cellStyle name="40% - 强调文字颜色 4 2 3 10 2" xfId="17913"/>
    <cellStyle name="40% - 强调文字颜色 4 2 3 2" xfId="17914"/>
    <cellStyle name="40% - 强调文字颜色 4 2 3 2 2" xfId="17915"/>
    <cellStyle name="40% - 强调文字颜色 4 2 3 2 2 2" xfId="17916"/>
    <cellStyle name="40% - 强调文字颜色 4 2 3 2 2 2 2" xfId="17917"/>
    <cellStyle name="40% - 强调文字颜色 4 2 3 2 2 2 3" xfId="17918"/>
    <cellStyle name="40% - 强调文字颜色 4 2 3 2 2 2 3 2" xfId="17919"/>
    <cellStyle name="40% - 强调文字颜色 4 2 3 2 2 2 3 2 2" xfId="17920"/>
    <cellStyle name="40% - 强调文字颜色 4 2 3 2 2 2 4" xfId="17921"/>
    <cellStyle name="40% - 强调文字颜色 4 2 3 2 2 2 4 2" xfId="17922"/>
    <cellStyle name="40% - 强调文字颜色 4 2 3 2 2 2 5" xfId="17923"/>
    <cellStyle name="40% - 强调文字颜色 4 2 3 2 2 2 5 2" xfId="17924"/>
    <cellStyle name="40% - 强调文字颜色 4 2 3 2 2 2 6" xfId="17925"/>
    <cellStyle name="40% - 强调文字颜色 4 2 3 2 2 3" xfId="17926"/>
    <cellStyle name="40% - 强调文字颜色 4 2 3 2 2 3 2" xfId="17927"/>
    <cellStyle name="40% - 强调文字颜色 4 2 3 2 2 3 2 2" xfId="17928"/>
    <cellStyle name="40% - 强调文字颜色 4 2 3 2 2 3 2 2 2" xfId="17929"/>
    <cellStyle name="40% - 强调文字颜色 4 2 3 2 2 3 3" xfId="17930"/>
    <cellStyle name="40% - 强调文字颜色 4 2 3 2 2 3 3 2" xfId="17931"/>
    <cellStyle name="40% - 强调文字颜色 4 2 3 2 2 3 4" xfId="17932"/>
    <cellStyle name="40% - 强调文字颜色 4 2 3 2 2 3 4 2" xfId="17933"/>
    <cellStyle name="40% - 强调文字颜色 4 2 3 2 2 3 5" xfId="17934"/>
    <cellStyle name="40% - 强调文字颜色 4 2 3 2 2 4" xfId="17935"/>
    <cellStyle name="40% - 强调文字颜色 4 2 3 2 2 5" xfId="17936"/>
    <cellStyle name="40% - 强调文字颜色 4 2 3 2 2 6" xfId="17937"/>
    <cellStyle name="40% - 强调文字颜色 4 2 3 2 2 6 2" xfId="17938"/>
    <cellStyle name="40% - 强调文字颜色 4 2 3 2 2 7" xfId="17939"/>
    <cellStyle name="40% - 强调文字颜色 4 2 3 2 2 7 2" xfId="17940"/>
    <cellStyle name="40% - 强调文字颜色 4 2 3 2 3" xfId="17941"/>
    <cellStyle name="40% - 强调文字颜色 4 2 3 2 3 2" xfId="17942"/>
    <cellStyle name="40% - 强调文字颜色 4 2 3 2 3 3" xfId="17943"/>
    <cellStyle name="40% - 强调文字颜色 4 2 3 2 3 3 2" xfId="17944"/>
    <cellStyle name="40% - 强调文字颜色 4 2 3 2 3 3 2 2" xfId="17945"/>
    <cellStyle name="40% - 强调文字颜色 4 2 3 2 3 4" xfId="17946"/>
    <cellStyle name="40% - 强调文字颜色 4 2 3 2 3 4 2" xfId="17947"/>
    <cellStyle name="40% - 强调文字颜色 4 2 3 2 3 5" xfId="17948"/>
    <cellStyle name="40% - 强调文字颜色 4 2 3 2 3 5 2" xfId="17949"/>
    <cellStyle name="40% - 强调文字颜色 4 2 3 2 3 6" xfId="17950"/>
    <cellStyle name="40% - 强调文字颜色 4 2 3 2 4" xfId="17951"/>
    <cellStyle name="40% - 强调文字颜色 4 2 3 2 4 2" xfId="17952"/>
    <cellStyle name="40% - 强调文字颜色 4 2 3 2 4 2 2" xfId="17953"/>
    <cellStyle name="40% - 强调文字颜色 4 2 3 2 4 2 2 2" xfId="17954"/>
    <cellStyle name="40% - 强调文字颜色 4 2 3 2 4 3" xfId="17955"/>
    <cellStyle name="40% - 强调文字颜色 4 2 3 2 4 3 2" xfId="17956"/>
    <cellStyle name="40% - 强调文字颜色 4 2 3 2 4 4" xfId="17957"/>
    <cellStyle name="40% - 强调文字颜色 4 2 3 2 4 4 2" xfId="17958"/>
    <cellStyle name="40% - 强调文字颜色 4 2 3 2 4 5" xfId="17959"/>
    <cellStyle name="40% - 强调文字颜色 4 2 3 2 5" xfId="17960"/>
    <cellStyle name="40% - 强调文字颜色 4 2 3 2 6" xfId="17961"/>
    <cellStyle name="40% - 强调文字颜色 4 2 3 2 7" xfId="17962"/>
    <cellStyle name="40% - 强调文字颜色 4 2 3 2 7 2" xfId="17963"/>
    <cellStyle name="40% - 强调文字颜色 4 2 3 2 8" xfId="17964"/>
    <cellStyle name="40% - 强调文字颜色 4 2 3 2 8 2" xfId="17965"/>
    <cellStyle name="40% - 强调文字颜色 4 2 3 3" xfId="17966"/>
    <cellStyle name="40% - 强调文字颜色 4 2 3 3 2" xfId="17967"/>
    <cellStyle name="40% - 强调文字颜色 4 2 3 3 2 2" xfId="17968"/>
    <cellStyle name="40% - 强调文字颜色 4 2 3 3 2 3" xfId="17969"/>
    <cellStyle name="40% - 强调文字颜色 4 2 3 3 2 3 2" xfId="17970"/>
    <cellStyle name="40% - 强调文字颜色 4 2 3 3 2 3 2 2" xfId="17971"/>
    <cellStyle name="40% - 强调文字颜色 4 2 3 3 2 4" xfId="17972"/>
    <cellStyle name="40% - 强调文字颜色 4 2 3 3 2 4 2" xfId="17973"/>
    <cellStyle name="40% - 强调文字颜色 4 2 3 3 2 5" xfId="17974"/>
    <cellStyle name="40% - 强调文字颜色 4 2 3 3 2 5 2" xfId="17975"/>
    <cellStyle name="40% - 强调文字颜色 4 2 3 3 2 6" xfId="17976"/>
    <cellStyle name="40% - 强调文字颜色 4 2 3 3 3" xfId="17977"/>
    <cellStyle name="40% - 强调文字颜色 4 2 3 3 3 2" xfId="17978"/>
    <cellStyle name="40% - 强调文字颜色 4 2 3 3 3 2 2" xfId="17979"/>
    <cellStyle name="40% - 强调文字颜色 4 2 3 3 3 2 2 2" xfId="17980"/>
    <cellStyle name="40% - 强调文字颜色 4 2 3 3 3 3" xfId="17981"/>
    <cellStyle name="40% - 强调文字颜色 4 2 3 3 3 3 2" xfId="17982"/>
    <cellStyle name="40% - 强调文字颜色 4 2 3 3 3 4" xfId="17983"/>
    <cellStyle name="40% - 强调文字颜色 4 2 3 3 3 4 2" xfId="17984"/>
    <cellStyle name="40% - 强调文字颜色 4 2 3 3 3 5" xfId="17985"/>
    <cellStyle name="40% - 强调文字颜色 4 2 3 3 4" xfId="17986"/>
    <cellStyle name="40% - 强调文字颜色 4 2 3 3 5" xfId="17987"/>
    <cellStyle name="40% - 强调文字颜色 4 2 3 3 6" xfId="17988"/>
    <cellStyle name="40% - 强调文字颜色 4 2 3 3 6 2" xfId="17989"/>
    <cellStyle name="40% - 强调文字颜色 4 2 3 3 7" xfId="17990"/>
    <cellStyle name="40% - 强调文字颜色 4 2 3 3 7 2" xfId="17991"/>
    <cellStyle name="40% - 强调文字颜色 4 2 3 4" xfId="17992"/>
    <cellStyle name="40% - 强调文字颜色 4 2 3 4 2" xfId="17993"/>
    <cellStyle name="40% - 强调文字颜色 4 2 3 4 2 2" xfId="17994"/>
    <cellStyle name="40% - 强调文字颜色 4 2 3 4 2 3" xfId="17995"/>
    <cellStyle name="40% - 强调文字颜色 4 2 3 4 2 3 2" xfId="17996"/>
    <cellStyle name="40% - 强调文字颜色 4 2 3 4 2 3 2 2" xfId="17997"/>
    <cellStyle name="40% - 强调文字颜色 4 2 3 4 2 4" xfId="17998"/>
    <cellStyle name="40% - 强调文字颜色 4 2 3 4 2 4 2" xfId="17999"/>
    <cellStyle name="40% - 强调文字颜色 4 2 3 4 2 5" xfId="18000"/>
    <cellStyle name="40% - 强调文字颜色 4 2 3 4 2 5 2" xfId="18001"/>
    <cellStyle name="40% - 强调文字颜色 4 2 3 4 2 6" xfId="18002"/>
    <cellStyle name="40% - 强调文字颜色 4 2 3 4 3" xfId="18003"/>
    <cellStyle name="40% - 强调文字颜色 4 2 3 4 4" xfId="18004"/>
    <cellStyle name="40% - 强调文字颜色 4 2 3 4 5" xfId="18005"/>
    <cellStyle name="40% - 强调文字颜色 4 2 3 4 6" xfId="18006"/>
    <cellStyle name="40% - 强调文字颜色 4 2 3 4 6 2" xfId="18007"/>
    <cellStyle name="40% - 强调文字颜色 4 2 3 4 7" xfId="18008"/>
    <cellStyle name="40% - 强调文字颜色 4 2 3 4 7 2" xfId="18009"/>
    <cellStyle name="40% - 强调文字颜色 4 2 3 5" xfId="18010"/>
    <cellStyle name="40% - 强调文字颜色 4 2 3 5 2" xfId="18011"/>
    <cellStyle name="40% - 强调文字颜色 4 2 3 5 2 2" xfId="18012"/>
    <cellStyle name="40% - 强调文字颜色 4 2 3 5 2 2 2" xfId="18013"/>
    <cellStyle name="40% - 强调文字颜色 4 2 3 5 2 2 2 2" xfId="18014"/>
    <cellStyle name="40% - 强调文字颜色 4 2 3 5 2 3" xfId="18015"/>
    <cellStyle name="40% - 强调文字颜色 4 2 3 5 2 3 2" xfId="18016"/>
    <cellStyle name="40% - 强调文字颜色 4 2 3 5 2 4" xfId="18017"/>
    <cellStyle name="40% - 强调文字颜色 4 2 3 5 2 4 2" xfId="18018"/>
    <cellStyle name="40% - 强调文字颜色 4 2 3 5 2 5" xfId="18019"/>
    <cellStyle name="40% - 强调文字颜色 4 2 3 5 3" xfId="18020"/>
    <cellStyle name="40% - 强调文字颜色 4 2 3 5 3 2" xfId="18021"/>
    <cellStyle name="40% - 强调文字颜色 4 2 3 5 3 2 2" xfId="18022"/>
    <cellStyle name="40% - 强调文字颜色 4 2 3 5 4" xfId="18023"/>
    <cellStyle name="40% - 强调文字颜色 4 2 3 5 4 2" xfId="18024"/>
    <cellStyle name="40% - 强调文字颜色 4 2 3 5 5" xfId="18025"/>
    <cellStyle name="40% - 强调文字颜色 4 2 3 5 5 2" xfId="18026"/>
    <cellStyle name="40% - 强调文字颜色 4 2 3 5 6" xfId="18027"/>
    <cellStyle name="40% - 强调文字颜色 4 2 3 6" xfId="18028"/>
    <cellStyle name="40% - 强调文字颜色 4 2 3 6 2" xfId="18029"/>
    <cellStyle name="40% - 强调文字颜色 4 2 3 6 2 2" xfId="18030"/>
    <cellStyle name="40% - 强调文字颜色 4 2 3 6 2 2 2" xfId="18031"/>
    <cellStyle name="40% - 强调文字颜色 4 2 3 6 3" xfId="18032"/>
    <cellStyle name="40% - 强调文字颜色 4 2 3 6 3 2" xfId="18033"/>
    <cellStyle name="40% - 强调文字颜色 4 2 3 6 4" xfId="18034"/>
    <cellStyle name="40% - 强调文字颜色 4 2 3 6 4 2" xfId="18035"/>
    <cellStyle name="40% - 强调文字颜色 4 2 3 6 5" xfId="18036"/>
    <cellStyle name="40% - 强调文字颜色 4 2 3 7" xfId="18037"/>
    <cellStyle name="40% - 强调文字颜色 4 2 3 7 2" xfId="18038"/>
    <cellStyle name="40% - 强调文字颜色 4 2 3 7 2 2" xfId="18039"/>
    <cellStyle name="40% - 强调文字颜色 4 2 3 7 2 2 2" xfId="18040"/>
    <cellStyle name="40% - 强调文字颜色 4 2 3 7 3" xfId="18041"/>
    <cellStyle name="40% - 强调文字颜色 4 2 3 7 3 2" xfId="18042"/>
    <cellStyle name="40% - 强调文字颜色 4 2 3 7 4" xfId="18043"/>
    <cellStyle name="40% - 强调文字颜色 4 2 3 7 4 2" xfId="18044"/>
    <cellStyle name="40% - 强调文字颜色 4 2 3 7 5" xfId="18045"/>
    <cellStyle name="40% - 强调文字颜色 4 2 3 8" xfId="18046"/>
    <cellStyle name="40% - 强调文字颜色 4 2 3 9" xfId="18047"/>
    <cellStyle name="40% - 强调文字颜色 4 2 3 9 2" xfId="18048"/>
    <cellStyle name="40% - 强调文字颜色 4 2 4" xfId="18049"/>
    <cellStyle name="40% - 强调文字颜色 4 2 4 2" xfId="18050"/>
    <cellStyle name="40% - 强调文字颜色 4 2 4 2 2" xfId="18051"/>
    <cellStyle name="40% - 强调文字颜色 4 2 4 2 3" xfId="18052"/>
    <cellStyle name="40% - 强调文字颜色 4 2 4 2 3 2" xfId="18053"/>
    <cellStyle name="40% - 强调文字颜色 4 2 4 2 3 2 2" xfId="18054"/>
    <cellStyle name="40% - 强调文字颜色 4 2 4 2 4" xfId="18055"/>
    <cellStyle name="40% - 强调文字颜色 4 2 4 2 4 2" xfId="18056"/>
    <cellStyle name="40% - 强调文字颜色 4 2 4 2 5" xfId="18057"/>
    <cellStyle name="40% - 强调文字颜色 4 2 4 2 5 2" xfId="18058"/>
    <cellStyle name="40% - 强调文字颜色 4 2 4 2 6" xfId="18059"/>
    <cellStyle name="40% - 强调文字颜色 4 2 4 3" xfId="18060"/>
    <cellStyle name="40% - 强调文字颜色 4 2 4 3 2" xfId="18061"/>
    <cellStyle name="40% - 强调文字颜色 4 2 4 3 2 2" xfId="18062"/>
    <cellStyle name="40% - 强调文字颜色 4 2 4 3 2 2 2" xfId="18063"/>
    <cellStyle name="40% - 强调文字颜色 4 2 4 3 3" xfId="18064"/>
    <cellStyle name="40% - 强调文字颜色 4 2 4 3 3 2" xfId="18065"/>
    <cellStyle name="40% - 强调文字颜色 4 2 4 3 4" xfId="18066"/>
    <cellStyle name="40% - 强调文字颜色 4 2 4 3 4 2" xfId="18067"/>
    <cellStyle name="40% - 强调文字颜色 4 2 4 3 5" xfId="18068"/>
    <cellStyle name="40% - 强调文字颜色 4 2 4 4" xfId="18069"/>
    <cellStyle name="40% - 强调文字颜色 4 2 4 5" xfId="18070"/>
    <cellStyle name="40% - 强调文字颜色 4 2 4 6" xfId="18071"/>
    <cellStyle name="40% - 强调文字颜色 4 2 4 6 2" xfId="18072"/>
    <cellStyle name="40% - 强调文字颜色 4 2 4 7" xfId="18073"/>
    <cellStyle name="40% - 强调文字颜色 4 2 4 7 2" xfId="18074"/>
    <cellStyle name="40% - 强调文字颜色 4 2 5" xfId="18075"/>
    <cellStyle name="40% - 强调文字颜色 4 2 5 2" xfId="18076"/>
    <cellStyle name="40% - 强调文字颜色 4 2 5 2 2" xfId="18077"/>
    <cellStyle name="40% - 强调文字颜色 4 2 5 2 3" xfId="18078"/>
    <cellStyle name="40% - 强调文字颜色 4 2 5 2 3 2" xfId="18079"/>
    <cellStyle name="40% - 强调文字颜色 4 2 5 2 3 2 2" xfId="18080"/>
    <cellStyle name="40% - 强调文字颜色 4 2 5 2 4" xfId="18081"/>
    <cellStyle name="40% - 强调文字颜色 4 2 5 2 4 2" xfId="18082"/>
    <cellStyle name="40% - 强调文字颜色 4 2 5 2 5" xfId="18083"/>
    <cellStyle name="40% - 强调文字颜色 4 2 5 2 5 2" xfId="18084"/>
    <cellStyle name="40% - 强调文字颜色 4 2 5 2 6" xfId="18085"/>
    <cellStyle name="40% - 强调文字颜色 4 2 5 3" xfId="18086"/>
    <cellStyle name="40% - 强调文字颜色 4 2 5 4" xfId="18087"/>
    <cellStyle name="40% - 强调文字颜色 4 2 5 5" xfId="18088"/>
    <cellStyle name="40% - 强调文字颜色 4 2 5 6" xfId="18089"/>
    <cellStyle name="40% - 强调文字颜色 4 2 5 6 2" xfId="18090"/>
    <cellStyle name="40% - 强调文字颜色 4 2 5 7" xfId="18091"/>
    <cellStyle name="40% - 强调文字颜色 4 2 5 7 2" xfId="18092"/>
    <cellStyle name="40% - 强调文字颜色 4 2 6" xfId="18093"/>
    <cellStyle name="40% - 强调文字颜色 4 2 6 2" xfId="18094"/>
    <cellStyle name="40% - 强调文字颜色 4 2 6 2 2" xfId="18095"/>
    <cellStyle name="40% - 强调文字颜色 4 2 6 2 2 2" xfId="18096"/>
    <cellStyle name="40% - 强调文字颜色 4 2 6 2 2 2 2" xfId="18097"/>
    <cellStyle name="40% - 强调文字颜色 4 2 6 2 3" xfId="18098"/>
    <cellStyle name="40% - 强调文字颜色 4 2 6 2 3 2" xfId="18099"/>
    <cellStyle name="40% - 强调文字颜色 4 2 6 2 4" xfId="18100"/>
    <cellStyle name="40% - 强调文字颜色 4 2 6 2 4 2" xfId="18101"/>
    <cellStyle name="40% - 强调文字颜色 4 2 6 2 5" xfId="18102"/>
    <cellStyle name="40% - 强调文字颜色 4 2 6 3" xfId="18103"/>
    <cellStyle name="40% - 强调文字颜色 4 2 6 3 2" xfId="18104"/>
    <cellStyle name="40% - 强调文字颜色 4 2 6 3 2 2" xfId="18105"/>
    <cellStyle name="40% - 强调文字颜色 4 2 6 4" xfId="18106"/>
    <cellStyle name="40% - 强调文字颜色 4 2 6 4 2" xfId="18107"/>
    <cellStyle name="40% - 强调文字颜色 4 2 6 5" xfId="18108"/>
    <cellStyle name="40% - 强调文字颜色 4 2 6 5 2" xfId="18109"/>
    <cellStyle name="40% - 强调文字颜色 4 2 6 6" xfId="18110"/>
    <cellStyle name="40% - 强调文字颜色 4 2 7" xfId="18111"/>
    <cellStyle name="40% - 强调文字颜色 4 2 7 2" xfId="18112"/>
    <cellStyle name="40% - 强调文字颜色 4 2 7 2 2" xfId="18113"/>
    <cellStyle name="40% - 强调文字颜色 4 2 7 2 2 2" xfId="18114"/>
    <cellStyle name="40% - 强调文字颜色 4 2 7 2 2 2 2" xfId="18115"/>
    <cellStyle name="40% - 强调文字颜色 4 2 7 2 3" xfId="18116"/>
    <cellStyle name="40% - 强调文字颜色 4 2 7 2 3 2" xfId="18117"/>
    <cellStyle name="40% - 强调文字颜色 4 2 7 2 4" xfId="18118"/>
    <cellStyle name="40% - 强调文字颜色 4 2 7 2 4 2" xfId="18119"/>
    <cellStyle name="40% - 强调文字颜色 4 2 7 2 5" xfId="18120"/>
    <cellStyle name="40% - 强调文字颜色 4 2 7 3" xfId="18121"/>
    <cellStyle name="40% - 强调文字颜色 4 2 7 3 2" xfId="18122"/>
    <cellStyle name="40% - 强调文字颜色 4 2 7 3 2 2" xfId="18123"/>
    <cellStyle name="40% - 强调文字颜色 4 2 7 4" xfId="18124"/>
    <cellStyle name="40% - 强调文字颜色 4 2 7 4 2" xfId="18125"/>
    <cellStyle name="40% - 强调文字颜色 4 2 7 5" xfId="18126"/>
    <cellStyle name="40% - 强调文字颜色 4 2 7 5 2" xfId="18127"/>
    <cellStyle name="40% - 强调文字颜色 4 2 7 6" xfId="18128"/>
    <cellStyle name="40% - 强调文字颜色 4 2 8" xfId="18129"/>
    <cellStyle name="40% - 强调文字颜色 4 2 8 2" xfId="18130"/>
    <cellStyle name="40% - 强调文字颜色 4 2 8 2 2" xfId="18131"/>
    <cellStyle name="40% - 强调文字颜色 4 2 8 2 2 2" xfId="18132"/>
    <cellStyle name="40% - 强调文字颜色 4 2 8 2 2 2 2" xfId="18133"/>
    <cellStyle name="40% - 强调文字颜色 4 2 8 2 3" xfId="18134"/>
    <cellStyle name="40% - 强调文字颜色 4 2 8 2 3 2" xfId="18135"/>
    <cellStyle name="40% - 强调文字颜色 4 2 8 2 4" xfId="18136"/>
    <cellStyle name="40% - 强调文字颜色 4 2 8 2 4 2" xfId="18137"/>
    <cellStyle name="40% - 强调文字颜色 4 2 8 2 5" xfId="18138"/>
    <cellStyle name="40% - 强调文字颜色 4 2 8 3" xfId="18139"/>
    <cellStyle name="40% - 强调文字颜色 4 2 8 3 2" xfId="18140"/>
    <cellStyle name="40% - 强调文字颜色 4 2 8 3 2 2" xfId="18141"/>
    <cellStyle name="40% - 强调文字颜色 4 2 8 4" xfId="18142"/>
    <cellStyle name="40% - 强调文字颜色 4 2 8 4 2" xfId="18143"/>
    <cellStyle name="40% - 强调文字颜色 4 2 8 5" xfId="18144"/>
    <cellStyle name="40% - 强调文字颜色 4 2 8 5 2" xfId="18145"/>
    <cellStyle name="40% - 强调文字颜色 4 2 8 6" xfId="18146"/>
    <cellStyle name="40% - 强调文字颜色 4 2 9" xfId="18147"/>
    <cellStyle name="40% - 强调文字颜色 4 2 9 2" xfId="18148"/>
    <cellStyle name="40% - 强调文字颜色 4 2 9 2 2" xfId="18149"/>
    <cellStyle name="40% - 强调文字颜色 4 2 9 2 2 2" xfId="18150"/>
    <cellStyle name="40% - 强调文字颜色 4 2 9 3" xfId="18151"/>
    <cellStyle name="40% - 强调文字颜色 4 2 9 3 2" xfId="18152"/>
    <cellStyle name="40% - 强调文字颜色 4 2 9 4" xfId="18153"/>
    <cellStyle name="40% - 强调文字颜色 4 2 9 4 2" xfId="18154"/>
    <cellStyle name="40% - 强调文字颜色 4 2 9 5" xfId="18155"/>
    <cellStyle name="40% - 强调文字颜色 4 3" xfId="18156"/>
    <cellStyle name="40% - 强调文字颜色 4 3 2" xfId="18157"/>
    <cellStyle name="40% - 强调文字颜色 4 3 2 2" xfId="18158"/>
    <cellStyle name="40% - 强调文字颜色 4 3 2 2 2" xfId="18159"/>
    <cellStyle name="40% - 强调文字颜色 4 3 2 2 2 2" xfId="18160"/>
    <cellStyle name="40% - 强调文字颜色 4 3 2 2 2 3" xfId="18161"/>
    <cellStyle name="40% - 强调文字颜色 4 3 2 2 2 3 2" xfId="18162"/>
    <cellStyle name="40% - 强调文字颜色 4 3 2 2 2 3 2 2" xfId="18163"/>
    <cellStyle name="40% - 强调文字颜色 4 3 2 2 2 4" xfId="18164"/>
    <cellStyle name="40% - 强调文字颜色 4 3 2 2 2 4 2" xfId="18165"/>
    <cellStyle name="40% - 强调文字颜色 4 3 2 2 2 5" xfId="18166"/>
    <cellStyle name="40% - 强调文字颜色 4 3 2 2 2 5 2" xfId="18167"/>
    <cellStyle name="40% - 强调文字颜色 4 3 2 2 2 6" xfId="18168"/>
    <cellStyle name="40% - 强调文字颜色 4 3 2 2 3" xfId="18169"/>
    <cellStyle name="40% - 强调文字颜色 4 3 2 2 3 2" xfId="18170"/>
    <cellStyle name="40% - 强调文字颜色 4 3 2 2 3 2 2" xfId="18171"/>
    <cellStyle name="40% - 强调文字颜色 4 3 2 2 3 2 2 2" xfId="18172"/>
    <cellStyle name="40% - 强调文字颜色 4 3 2 2 3 3" xfId="18173"/>
    <cellStyle name="40% - 强调文字颜色 4 3 2 2 3 3 2" xfId="18174"/>
    <cellStyle name="40% - 强调文字颜色 4 3 2 2 3 4" xfId="18175"/>
    <cellStyle name="40% - 强调文字颜色 4 3 2 2 3 4 2" xfId="18176"/>
    <cellStyle name="40% - 强调文字颜色 4 3 2 2 3 5" xfId="18177"/>
    <cellStyle name="40% - 强调文字颜色 4 3 2 2 4" xfId="18178"/>
    <cellStyle name="40% - 强调文字颜色 4 3 2 2 5" xfId="18179"/>
    <cellStyle name="40% - 强调文字颜色 4 3 2 2 6" xfId="18180"/>
    <cellStyle name="40% - 强调文字颜色 4 3 2 2 6 2" xfId="18181"/>
    <cellStyle name="40% - 强调文字颜色 4 3 2 2 7" xfId="18182"/>
    <cellStyle name="40% - 强调文字颜色 4 3 2 2 7 2" xfId="18183"/>
    <cellStyle name="40% - 强调文字颜色 4 3 2 3" xfId="18184"/>
    <cellStyle name="40% - 强调文字颜色 4 3 2 3 2" xfId="18185"/>
    <cellStyle name="40% - 强调文字颜色 4 3 2 3 3" xfId="18186"/>
    <cellStyle name="40% - 强调文字颜色 4 3 2 3 3 2" xfId="18187"/>
    <cellStyle name="40% - 强调文字颜色 4 3 2 3 3 2 2" xfId="18188"/>
    <cellStyle name="40% - 强调文字颜色 4 3 2 3 4" xfId="18189"/>
    <cellStyle name="40% - 强调文字颜色 4 3 2 3 4 2" xfId="18190"/>
    <cellStyle name="40% - 强调文字颜色 4 3 2 3 5" xfId="18191"/>
    <cellStyle name="40% - 强调文字颜色 4 3 2 3 5 2" xfId="18192"/>
    <cellStyle name="40% - 强调文字颜色 4 3 2 3 6" xfId="18193"/>
    <cellStyle name="40% - 强调文字颜色 4 3 2 4" xfId="18194"/>
    <cellStyle name="40% - 强调文字颜色 4 3 2 4 2" xfId="18195"/>
    <cellStyle name="40% - 强调文字颜色 4 3 2 4 2 2" xfId="18196"/>
    <cellStyle name="40% - 强调文字颜色 4 3 2 4 2 2 2" xfId="18197"/>
    <cellStyle name="40% - 强调文字颜色 4 3 2 4 3" xfId="18198"/>
    <cellStyle name="40% - 强调文字颜色 4 3 2 4 3 2" xfId="18199"/>
    <cellStyle name="40% - 强调文字颜色 4 3 2 4 4" xfId="18200"/>
    <cellStyle name="40% - 强调文字颜色 4 3 2 4 4 2" xfId="18201"/>
    <cellStyle name="40% - 强调文字颜色 4 3 2 4 5" xfId="18202"/>
    <cellStyle name="40% - 强调文字颜色 4 3 2 5" xfId="18203"/>
    <cellStyle name="40% - 强调文字颜色 4 3 2 6" xfId="18204"/>
    <cellStyle name="40% - 强调文字颜色 4 3 2 7" xfId="18205"/>
    <cellStyle name="40% - 强调文字颜色 4 3 2 7 2" xfId="18206"/>
    <cellStyle name="40% - 强调文字颜色 4 3 2 8" xfId="18207"/>
    <cellStyle name="40% - 强调文字颜色 4 3 2 8 2" xfId="18208"/>
    <cellStyle name="40% - 强调文字颜色 4 3 3" xfId="18209"/>
    <cellStyle name="40% - 强调文字颜色 4 3 3 2" xfId="18210"/>
    <cellStyle name="40% - 强调文字颜色 4 3 3 2 2" xfId="18211"/>
    <cellStyle name="40% - 强调文字颜色 4 3 3 2 3" xfId="18212"/>
    <cellStyle name="40% - 强调文字颜色 4 3 3 2 3 2" xfId="18213"/>
    <cellStyle name="40% - 强调文字颜色 4 3 3 2 3 2 2" xfId="18214"/>
    <cellStyle name="40% - 强调文字颜色 4 3 3 2 4" xfId="18215"/>
    <cellStyle name="40% - 强调文字颜色 4 3 3 2 4 2" xfId="18216"/>
    <cellStyle name="40% - 强调文字颜色 4 3 3 2 5" xfId="18217"/>
    <cellStyle name="40% - 强调文字颜色 4 3 3 2 5 2" xfId="18218"/>
    <cellStyle name="40% - 强调文字颜色 4 3 3 2 6" xfId="18219"/>
    <cellStyle name="40% - 强调文字颜色 4 3 3 3" xfId="18220"/>
    <cellStyle name="40% - 强调文字颜色 4 3 3 3 2" xfId="18221"/>
    <cellStyle name="40% - 强调文字颜色 4 3 3 3 2 2" xfId="18222"/>
    <cellStyle name="40% - 强调文字颜色 4 3 3 3 2 2 2" xfId="18223"/>
    <cellStyle name="40% - 强调文字颜色 4 3 3 3 3" xfId="18224"/>
    <cellStyle name="40% - 强调文字颜色 4 3 3 3 3 2" xfId="18225"/>
    <cellStyle name="40% - 强调文字颜色 4 3 3 3 4" xfId="18226"/>
    <cellStyle name="40% - 强调文字颜色 4 3 3 3 4 2" xfId="18227"/>
    <cellStyle name="40% - 强调文字颜色 4 3 3 3 5" xfId="18228"/>
    <cellStyle name="40% - 强调文字颜色 4 3 3 4" xfId="18229"/>
    <cellStyle name="40% - 强调文字颜色 4 3 3 5" xfId="18230"/>
    <cellStyle name="40% - 强调文字颜色 4 3 3 6" xfId="18231"/>
    <cellStyle name="40% - 强调文字颜色 4 3 3 6 2" xfId="18232"/>
    <cellStyle name="40% - 强调文字颜色 4 3 3 7" xfId="18233"/>
    <cellStyle name="40% - 强调文字颜色 4 3 3 7 2" xfId="18234"/>
    <cellStyle name="40% - 强调文字颜色 4 3 4" xfId="18235"/>
    <cellStyle name="40% - 强调文字颜色 4 3 4 2" xfId="18236"/>
    <cellStyle name="40% - 强调文字颜色 4 3 4 2 2" xfId="18237"/>
    <cellStyle name="40% - 强调文字颜色 4 3 4 2 3" xfId="18238"/>
    <cellStyle name="40% - 强调文字颜色 4 3 4 2 3 2" xfId="18239"/>
    <cellStyle name="40% - 强调文字颜色 4 3 4 2 3 2 2" xfId="18240"/>
    <cellStyle name="40% - 强调文字颜色 4 3 4 2 4" xfId="18241"/>
    <cellStyle name="40% - 强调文字颜色 4 3 4 2 4 2" xfId="18242"/>
    <cellStyle name="40% - 强调文字颜色 4 3 4 2 5" xfId="18243"/>
    <cellStyle name="40% - 强调文字颜色 4 3 4 2 5 2" xfId="18244"/>
    <cellStyle name="40% - 强调文字颜色 4 3 4 2 6" xfId="18245"/>
    <cellStyle name="40% - 强调文字颜色 4 3 4 3" xfId="18246"/>
    <cellStyle name="40% - 强调文字颜色 4 3 4 4" xfId="18247"/>
    <cellStyle name="40% - 强调文字颜色 4 3 4 5" xfId="18248"/>
    <cellStyle name="40% - 强调文字颜色 4 3 4 6" xfId="18249"/>
    <cellStyle name="40% - 强调文字颜色 4 3 4 6 2" xfId="18250"/>
    <cellStyle name="40% - 强调文字颜色 4 3 4 7" xfId="18251"/>
    <cellStyle name="40% - 强调文字颜色 4 3 4 7 2" xfId="18252"/>
    <cellStyle name="40% - 强调文字颜色 4 3 5" xfId="18253"/>
    <cellStyle name="40% - 强调文字颜色 4 3 5 2" xfId="18254"/>
    <cellStyle name="40% - 强调文字颜色 4 3 5 2 2" xfId="18255"/>
    <cellStyle name="40% - 强调文字颜色 4 3 5 2 2 2" xfId="18256"/>
    <cellStyle name="40% - 强调文字颜色 4 3 5 2 2 2 2" xfId="18257"/>
    <cellStyle name="40% - 强调文字颜色 4 3 5 2 3" xfId="18258"/>
    <cellStyle name="40% - 强调文字颜色 4 3 5 2 3 2" xfId="18259"/>
    <cellStyle name="40% - 强调文字颜色 4 3 5 2 4" xfId="18260"/>
    <cellStyle name="40% - 强调文字颜色 4 3 5 2 4 2" xfId="18261"/>
    <cellStyle name="40% - 强调文字颜色 4 3 5 2 5" xfId="18262"/>
    <cellStyle name="40% - 强调文字颜色 4 3 5 3" xfId="18263"/>
    <cellStyle name="40% - 强调文字颜色 4 3 5 3 2" xfId="18264"/>
    <cellStyle name="40% - 强调文字颜色 4 3 5 3 2 2" xfId="18265"/>
    <cellStyle name="40% - 强调文字颜色 4 3 5 4" xfId="18266"/>
    <cellStyle name="40% - 强调文字颜色 4 3 5 4 2" xfId="18267"/>
    <cellStyle name="40% - 强调文字颜色 4 3 5 5" xfId="18268"/>
    <cellStyle name="40% - 强调文字颜色 4 3 5 5 2" xfId="18269"/>
    <cellStyle name="40% - 强调文字颜色 4 3 5 6" xfId="18270"/>
    <cellStyle name="40% - 强调文字颜色 4 3 6" xfId="18271"/>
    <cellStyle name="40% - 强调文字颜色 4 3 6 2" xfId="18272"/>
    <cellStyle name="40% - 强调文字颜色 4 3 6 2 2" xfId="18273"/>
    <cellStyle name="40% - 强调文字颜色 4 3 6 2 2 2" xfId="18274"/>
    <cellStyle name="40% - 强调文字颜色 4 3 6 3" xfId="18275"/>
    <cellStyle name="40% - 强调文字颜色 4 3 6 3 2" xfId="18276"/>
    <cellStyle name="40% - 强调文字颜色 4 3 6 4" xfId="18277"/>
    <cellStyle name="40% - 强调文字颜色 4 3 6 4 2" xfId="18278"/>
    <cellStyle name="40% - 强调文字颜色 4 3 6 5" xfId="18279"/>
    <cellStyle name="40% - 强调文字颜色 4 3 7" xfId="18280"/>
    <cellStyle name="40% - 强调文字颜色 4 3 8" xfId="18281"/>
    <cellStyle name="40% - 强调文字颜色 4 3 8 2" xfId="18282"/>
    <cellStyle name="40% - 强调文字颜色 4 3 9" xfId="18283"/>
    <cellStyle name="40% - 强调文字颜色 4 3 9 2" xfId="18284"/>
    <cellStyle name="40% - 强调文字颜色 5 2" xfId="18285"/>
    <cellStyle name="40% - 强调文字颜色 5 2 10" xfId="18286"/>
    <cellStyle name="40% - 强调文字颜色 5 2 11" xfId="18287"/>
    <cellStyle name="40% - 强调文字颜色 5 2 11 2" xfId="18288"/>
    <cellStyle name="40% - 强调文字颜色 5 2 12" xfId="18289"/>
    <cellStyle name="40% - 强调文字颜色 5 2 12 2" xfId="18290"/>
    <cellStyle name="40% - 强调文字颜色 5 2 2" xfId="18291"/>
    <cellStyle name="40% - 强调文字颜色 5 2 2 10" xfId="18292"/>
    <cellStyle name="40% - 强调文字颜色 5 2 2 11" xfId="18293"/>
    <cellStyle name="40% - 强调文字颜色 5 2 2 11 2" xfId="18294"/>
    <cellStyle name="40% - 强调文字颜色 5 2 2 12" xfId="18295"/>
    <cellStyle name="40% - 强调文字颜色 5 2 2 12 2" xfId="18296"/>
    <cellStyle name="40% - 强调文字颜色 5 2 2 2" xfId="18297"/>
    <cellStyle name="40% - 强调文字颜色 5 2 2 2 2" xfId="18298"/>
    <cellStyle name="40% - 强调文字颜色 5 2 2 2 2 2" xfId="18299"/>
    <cellStyle name="40% - 强调文字颜色 5 2 2 2 2 2 2" xfId="18300"/>
    <cellStyle name="40% - 强调文字颜色 5 2 2 2 2 2 3" xfId="18301"/>
    <cellStyle name="40% - 强调文字颜色 5 2 2 2 2 2 3 2" xfId="18302"/>
    <cellStyle name="40% - 强调文字颜色 5 2 2 2 2 2 3 2 2" xfId="18303"/>
    <cellStyle name="40% - 强调文字颜色 5 2 2 2 2 2 4" xfId="18304"/>
    <cellStyle name="40% - 强调文字颜色 5 2 2 2 2 2 4 2" xfId="18305"/>
    <cellStyle name="40% - 强调文字颜色 5 2 2 2 2 2 5" xfId="18306"/>
    <cellStyle name="40% - 强调文字颜色 5 2 2 2 2 2 5 2" xfId="18307"/>
    <cellStyle name="40% - 强调文字颜色 5 2 2 2 2 2 6" xfId="18308"/>
    <cellStyle name="40% - 强调文字颜色 5 2 2 2 2 3" xfId="18309"/>
    <cellStyle name="40% - 强调文字颜色 5 2 2 2 2 3 2" xfId="18310"/>
    <cellStyle name="40% - 强调文字颜色 5 2 2 2 2 3 2 2" xfId="18311"/>
    <cellStyle name="40% - 强调文字颜色 5 2 2 2 2 3 2 2 2" xfId="18312"/>
    <cellStyle name="40% - 强调文字颜色 5 2 2 2 2 3 3" xfId="18313"/>
    <cellStyle name="40% - 强调文字颜色 5 2 2 2 2 3 3 2" xfId="18314"/>
    <cellStyle name="40% - 强调文字颜色 5 2 2 2 2 3 4" xfId="18315"/>
    <cellStyle name="40% - 强调文字颜色 5 2 2 2 2 3 4 2" xfId="18316"/>
    <cellStyle name="40% - 强调文字颜色 5 2 2 2 2 3 5" xfId="18317"/>
    <cellStyle name="40% - 强调文字颜色 5 2 2 2 2 4" xfId="18318"/>
    <cellStyle name="40% - 强调文字颜色 5 2 2 2 2 5" xfId="18319"/>
    <cellStyle name="40% - 强调文字颜色 5 2 2 2 2 6" xfId="18320"/>
    <cellStyle name="40% - 强调文字颜色 5 2 2 2 2 6 2" xfId="18321"/>
    <cellStyle name="40% - 强调文字颜色 5 2 2 2 2 7" xfId="18322"/>
    <cellStyle name="40% - 强调文字颜色 5 2 2 2 2 7 2" xfId="18323"/>
    <cellStyle name="40% - 强调文字颜色 5 2 2 2 3" xfId="18324"/>
    <cellStyle name="40% - 强调文字颜色 5 2 2 2 3 2" xfId="18325"/>
    <cellStyle name="40% - 强调文字颜色 5 2 2 2 3 3" xfId="18326"/>
    <cellStyle name="40% - 强调文字颜色 5 2 2 2 3 3 2" xfId="18327"/>
    <cellStyle name="40% - 强调文字颜色 5 2 2 2 3 3 2 2" xfId="18328"/>
    <cellStyle name="40% - 强调文字颜色 5 2 2 2 3 4" xfId="18329"/>
    <cellStyle name="40% - 强调文字颜色 5 2 2 2 3 4 2" xfId="18330"/>
    <cellStyle name="40% - 强调文字颜色 5 2 2 2 3 5" xfId="18331"/>
    <cellStyle name="40% - 强调文字颜色 5 2 2 2 3 5 2" xfId="18332"/>
    <cellStyle name="40% - 强调文字颜色 5 2 2 2 3 6" xfId="18333"/>
    <cellStyle name="40% - 强调文字颜色 5 2 2 2 4" xfId="18334"/>
    <cellStyle name="40% - 强调文字颜色 5 2 2 2 4 2" xfId="18335"/>
    <cellStyle name="40% - 强调文字颜色 5 2 2 2 4 2 2" xfId="18336"/>
    <cellStyle name="40% - 强调文字颜色 5 2 2 2 4 2 2 2" xfId="18337"/>
    <cellStyle name="40% - 强调文字颜色 5 2 2 2 4 3" xfId="18338"/>
    <cellStyle name="40% - 强调文字颜色 5 2 2 2 4 3 2" xfId="18339"/>
    <cellStyle name="40% - 强调文字颜色 5 2 2 2 4 4" xfId="18340"/>
    <cellStyle name="40% - 强调文字颜色 5 2 2 2 4 4 2" xfId="18341"/>
    <cellStyle name="40% - 强调文字颜色 5 2 2 2 4 5" xfId="18342"/>
    <cellStyle name="40% - 强调文字颜色 5 2 2 2 5" xfId="18343"/>
    <cellStyle name="40% - 强调文字颜色 5 2 2 2 6" xfId="18344"/>
    <cellStyle name="40% - 强调文字颜色 5 2 2 2 7" xfId="18345"/>
    <cellStyle name="40% - 强调文字颜色 5 2 2 2 7 2" xfId="18346"/>
    <cellStyle name="40% - 强调文字颜色 5 2 2 2 8" xfId="18347"/>
    <cellStyle name="40% - 强调文字颜色 5 2 2 2 8 2" xfId="18348"/>
    <cellStyle name="40% - 强调文字颜色 5 2 2 3" xfId="18349"/>
    <cellStyle name="40% - 强调文字颜色 5 2 2 3 2" xfId="18350"/>
    <cellStyle name="40% - 强调文字颜色 5 2 2 3 2 2" xfId="18351"/>
    <cellStyle name="40% - 强调文字颜色 5 2 2 3 2 3" xfId="18352"/>
    <cellStyle name="40% - 强调文字颜色 5 2 2 3 2 3 2" xfId="18353"/>
    <cellStyle name="40% - 强调文字颜色 5 2 2 3 2 3 2 2" xfId="18354"/>
    <cellStyle name="40% - 强调文字颜色 5 2 2 3 2 4" xfId="18355"/>
    <cellStyle name="40% - 强调文字颜色 5 2 2 3 2 4 2" xfId="18356"/>
    <cellStyle name="40% - 强调文字颜色 5 2 2 3 2 5" xfId="18357"/>
    <cellStyle name="40% - 强调文字颜色 5 2 2 3 2 5 2" xfId="18358"/>
    <cellStyle name="40% - 强调文字颜色 5 2 2 3 2 6" xfId="18359"/>
    <cellStyle name="40% - 强调文字颜色 5 2 2 3 3" xfId="18360"/>
    <cellStyle name="40% - 强调文字颜色 5 2 2 3 3 2" xfId="18361"/>
    <cellStyle name="40% - 强调文字颜色 5 2 2 3 3 2 2" xfId="18362"/>
    <cellStyle name="40% - 强调文字颜色 5 2 2 3 3 2 2 2" xfId="18363"/>
    <cellStyle name="40% - 强调文字颜色 5 2 2 3 3 3" xfId="18364"/>
    <cellStyle name="40% - 强调文字颜色 5 2 2 3 3 3 2" xfId="18365"/>
    <cellStyle name="40% - 强调文字颜色 5 2 2 3 3 4" xfId="18366"/>
    <cellStyle name="40% - 强调文字颜色 5 2 2 3 3 4 2" xfId="18367"/>
    <cellStyle name="40% - 强调文字颜色 5 2 2 3 3 5" xfId="18368"/>
    <cellStyle name="40% - 强调文字颜色 5 2 2 3 4" xfId="18369"/>
    <cellStyle name="40% - 强调文字颜色 5 2 2 3 5" xfId="18370"/>
    <cellStyle name="40% - 强调文字颜色 5 2 2 3 6" xfId="18371"/>
    <cellStyle name="40% - 强调文字颜色 5 2 2 3 6 2" xfId="18372"/>
    <cellStyle name="40% - 强调文字颜色 5 2 2 3 7" xfId="18373"/>
    <cellStyle name="40% - 强调文字颜色 5 2 2 3 7 2" xfId="18374"/>
    <cellStyle name="40% - 强调文字颜色 5 2 2 4" xfId="18375"/>
    <cellStyle name="40% - 强调文字颜色 5 2 2 4 2" xfId="18376"/>
    <cellStyle name="40% - 强调文字颜色 5 2 2 4 2 2" xfId="18377"/>
    <cellStyle name="40% - 强调文字颜色 5 2 2 4 2 3" xfId="18378"/>
    <cellStyle name="40% - 强调文字颜色 5 2 2 4 2 3 2" xfId="18379"/>
    <cellStyle name="40% - 强调文字颜色 5 2 2 4 2 3 2 2" xfId="18380"/>
    <cellStyle name="40% - 强调文字颜色 5 2 2 4 2 4" xfId="18381"/>
    <cellStyle name="40% - 强调文字颜色 5 2 2 4 2 4 2" xfId="18382"/>
    <cellStyle name="40% - 强调文字颜色 5 2 2 4 2 5" xfId="18383"/>
    <cellStyle name="40% - 强调文字颜色 5 2 2 4 2 5 2" xfId="18384"/>
    <cellStyle name="40% - 强调文字颜色 5 2 2 4 2 6" xfId="18385"/>
    <cellStyle name="40% - 强调文字颜色 5 2 2 4 3" xfId="18386"/>
    <cellStyle name="40% - 强调文字颜色 5 2 2 4 4" xfId="18387"/>
    <cellStyle name="40% - 强调文字颜色 5 2 2 4 5" xfId="18388"/>
    <cellStyle name="40% - 强调文字颜色 5 2 2 4 6" xfId="18389"/>
    <cellStyle name="40% - 强调文字颜色 5 2 2 4 6 2" xfId="18390"/>
    <cellStyle name="40% - 强调文字颜色 5 2 2 4 7" xfId="18391"/>
    <cellStyle name="40% - 强调文字颜色 5 2 2 4 7 2" xfId="18392"/>
    <cellStyle name="40% - 强调文字颜色 5 2 2 5" xfId="18393"/>
    <cellStyle name="40% - 强调文字颜色 5 2 2 5 2" xfId="18394"/>
    <cellStyle name="40% - 强调文字颜色 5 2 2 5 2 2" xfId="18395"/>
    <cellStyle name="40% - 强调文字颜色 5 2 2 5 2 2 2" xfId="18396"/>
    <cellStyle name="40% - 强调文字颜色 5 2 2 5 2 2 2 2" xfId="18397"/>
    <cellStyle name="40% - 强调文字颜色 5 2 2 5 2 3" xfId="18398"/>
    <cellStyle name="40% - 强调文字颜色 5 2 2 5 2 3 2" xfId="18399"/>
    <cellStyle name="40% - 强调文字颜色 5 2 2 5 2 4" xfId="18400"/>
    <cellStyle name="40% - 强调文字颜色 5 2 2 5 2 4 2" xfId="18401"/>
    <cellStyle name="40% - 强调文字颜色 5 2 2 5 2 5" xfId="18402"/>
    <cellStyle name="40% - 强调文字颜色 5 2 2 5 3" xfId="18403"/>
    <cellStyle name="40% - 强调文字颜色 5 2 2 5 3 2" xfId="18404"/>
    <cellStyle name="40% - 强调文字颜色 5 2 2 5 3 2 2" xfId="18405"/>
    <cellStyle name="40% - 强调文字颜色 5 2 2 5 4" xfId="18406"/>
    <cellStyle name="40% - 强调文字颜色 5 2 2 5 4 2" xfId="18407"/>
    <cellStyle name="40% - 强调文字颜色 5 2 2 5 5" xfId="18408"/>
    <cellStyle name="40% - 强调文字颜色 5 2 2 5 5 2" xfId="18409"/>
    <cellStyle name="40% - 强调文字颜色 5 2 2 5 6" xfId="18410"/>
    <cellStyle name="40% - 强调文字颜色 5 2 2 6" xfId="18411"/>
    <cellStyle name="40% - 强调文字颜色 5 2 2 6 2" xfId="18412"/>
    <cellStyle name="40% - 强调文字颜色 5 2 2 6 2 2" xfId="18413"/>
    <cellStyle name="40% - 强调文字颜色 5 2 2 6 2 2 2" xfId="18414"/>
    <cellStyle name="40% - 强调文字颜色 5 2 2 6 2 2 2 2" xfId="18415"/>
    <cellStyle name="40% - 强调文字颜色 5 2 2 6 2 3" xfId="18416"/>
    <cellStyle name="40% - 强调文字颜色 5 2 2 6 2 3 2" xfId="18417"/>
    <cellStyle name="40% - 强调文字颜色 5 2 2 6 2 4" xfId="18418"/>
    <cellStyle name="40% - 强调文字颜色 5 2 2 6 2 4 2" xfId="18419"/>
    <cellStyle name="40% - 强调文字颜色 5 2 2 6 2 5" xfId="18420"/>
    <cellStyle name="40% - 强调文字颜色 5 2 2 6 3" xfId="18421"/>
    <cellStyle name="40% - 强调文字颜色 5 2 2 6 3 2" xfId="18422"/>
    <cellStyle name="40% - 强调文字颜色 5 2 2 6 3 2 2" xfId="18423"/>
    <cellStyle name="40% - 强调文字颜色 5 2 2 6 4" xfId="18424"/>
    <cellStyle name="40% - 强调文字颜色 5 2 2 6 4 2" xfId="18425"/>
    <cellStyle name="40% - 强调文字颜色 5 2 2 6 5" xfId="18426"/>
    <cellStyle name="40% - 强调文字颜色 5 2 2 6 5 2" xfId="18427"/>
    <cellStyle name="40% - 强调文字颜色 5 2 2 6 6" xfId="18428"/>
    <cellStyle name="40% - 强调文字颜色 5 2 2 7" xfId="18429"/>
    <cellStyle name="40% - 强调文字颜色 5 2 2 7 2" xfId="18430"/>
    <cellStyle name="40% - 强调文字颜色 5 2 2 7 2 2" xfId="18431"/>
    <cellStyle name="40% - 强调文字颜色 5 2 2 7 2 2 2" xfId="18432"/>
    <cellStyle name="40% - 强调文字颜色 5 2 2 7 2 2 2 2" xfId="18433"/>
    <cellStyle name="40% - 强调文字颜色 5 2 2 7 2 3" xfId="18434"/>
    <cellStyle name="40% - 强调文字颜色 5 2 2 7 2 3 2" xfId="18435"/>
    <cellStyle name="40% - 强调文字颜色 5 2 2 7 2 4" xfId="18436"/>
    <cellStyle name="40% - 强调文字颜色 5 2 2 7 2 4 2" xfId="18437"/>
    <cellStyle name="40% - 强调文字颜色 5 2 2 7 2 5" xfId="18438"/>
    <cellStyle name="40% - 强调文字颜色 5 2 2 7 3" xfId="18439"/>
    <cellStyle name="40% - 强调文字颜色 5 2 2 7 3 2" xfId="18440"/>
    <cellStyle name="40% - 强调文字颜色 5 2 2 7 3 2 2" xfId="18441"/>
    <cellStyle name="40% - 强调文字颜色 5 2 2 7 4" xfId="18442"/>
    <cellStyle name="40% - 强调文字颜色 5 2 2 7 4 2" xfId="18443"/>
    <cellStyle name="40% - 强调文字颜色 5 2 2 7 5" xfId="18444"/>
    <cellStyle name="40% - 强调文字颜色 5 2 2 7 5 2" xfId="18445"/>
    <cellStyle name="40% - 强调文字颜色 5 2 2 7 6" xfId="18446"/>
    <cellStyle name="40% - 强调文字颜色 5 2 2 8" xfId="18447"/>
    <cellStyle name="40% - 强调文字颜色 5 2 2 8 2" xfId="18448"/>
    <cellStyle name="40% - 强调文字颜色 5 2 2 8 2 2" xfId="18449"/>
    <cellStyle name="40% - 强调文字颜色 5 2 2 8 2 2 2" xfId="18450"/>
    <cellStyle name="40% - 强调文字颜色 5 2 2 8 3" xfId="18451"/>
    <cellStyle name="40% - 强调文字颜色 5 2 2 8 3 2" xfId="18452"/>
    <cellStyle name="40% - 强调文字颜色 5 2 2 8 4" xfId="18453"/>
    <cellStyle name="40% - 强调文字颜色 5 2 2 8 4 2" xfId="18454"/>
    <cellStyle name="40% - 强调文字颜色 5 2 2 8 5" xfId="18455"/>
    <cellStyle name="40% - 强调文字颜色 5 2 2 9" xfId="18456"/>
    <cellStyle name="40% - 强调文字颜色 5 2 2 9 2" xfId="18457"/>
    <cellStyle name="40% - 强调文字颜色 5 2 2 9 2 2" xfId="18458"/>
    <cellStyle name="40% - 强调文字颜色 5 2 2 9 2 2 2" xfId="18459"/>
    <cellStyle name="40% - 强调文字颜色 5 2 2 9 3" xfId="18460"/>
    <cellStyle name="40% - 强调文字颜色 5 2 2 9 3 2" xfId="18461"/>
    <cellStyle name="40% - 强调文字颜色 5 2 2 9 4" xfId="18462"/>
    <cellStyle name="40% - 强调文字颜色 5 2 2 9 4 2" xfId="18463"/>
    <cellStyle name="40% - 强调文字颜色 5 2 2 9 5" xfId="18464"/>
    <cellStyle name="40% - 强调文字颜色 5 2 3" xfId="18465"/>
    <cellStyle name="40% - 强调文字颜色 5 2 3 10" xfId="18466"/>
    <cellStyle name="40% - 强调文字颜色 5 2 3 10 2" xfId="18467"/>
    <cellStyle name="40% - 强调文字颜色 5 2 3 2" xfId="18468"/>
    <cellStyle name="40% - 强调文字颜色 5 2 3 2 2" xfId="18469"/>
    <cellStyle name="40% - 强调文字颜色 5 2 3 2 2 2" xfId="18470"/>
    <cellStyle name="40% - 强调文字颜色 5 2 3 2 2 2 2" xfId="18471"/>
    <cellStyle name="40% - 强调文字颜色 5 2 3 2 2 2 3" xfId="18472"/>
    <cellStyle name="40% - 强调文字颜色 5 2 3 2 2 2 3 2" xfId="18473"/>
    <cellStyle name="40% - 强调文字颜色 5 2 3 2 2 2 3 2 2" xfId="18474"/>
    <cellStyle name="40% - 强调文字颜色 5 2 3 2 2 2 4" xfId="18475"/>
    <cellStyle name="40% - 强调文字颜色 5 2 3 2 2 2 4 2" xfId="18476"/>
    <cellStyle name="40% - 强调文字颜色 5 2 3 2 2 2 5" xfId="18477"/>
    <cellStyle name="40% - 强调文字颜色 5 2 3 2 2 2 5 2" xfId="18478"/>
    <cellStyle name="40% - 强调文字颜色 5 2 3 2 2 2 6" xfId="18479"/>
    <cellStyle name="40% - 强调文字颜色 5 2 3 2 2 3" xfId="18480"/>
    <cellStyle name="40% - 强调文字颜色 5 2 3 2 2 3 2" xfId="18481"/>
    <cellStyle name="40% - 强调文字颜色 5 2 3 2 2 3 2 2" xfId="18482"/>
    <cellStyle name="40% - 强调文字颜色 5 2 3 2 2 3 2 2 2" xfId="18483"/>
    <cellStyle name="40% - 强调文字颜色 5 2 3 2 2 3 3" xfId="18484"/>
    <cellStyle name="40% - 强调文字颜色 5 2 3 2 2 3 3 2" xfId="18485"/>
    <cellStyle name="40% - 强调文字颜色 5 2 3 2 2 3 4" xfId="18486"/>
    <cellStyle name="40% - 强调文字颜色 5 2 3 2 2 3 4 2" xfId="18487"/>
    <cellStyle name="40% - 强调文字颜色 5 2 3 2 2 3 5" xfId="18488"/>
    <cellStyle name="40% - 强调文字颜色 5 2 3 2 2 4" xfId="18489"/>
    <cellStyle name="40% - 强调文字颜色 5 2 3 2 2 5" xfId="18490"/>
    <cellStyle name="40% - 强调文字颜色 5 2 3 2 2 6" xfId="18491"/>
    <cellStyle name="40% - 强调文字颜色 5 2 3 2 2 6 2" xfId="18492"/>
    <cellStyle name="40% - 强调文字颜色 5 2 3 2 2 7" xfId="18493"/>
    <cellStyle name="40% - 强调文字颜色 5 2 3 2 2 7 2" xfId="18494"/>
    <cellStyle name="40% - 强调文字颜色 5 2 3 2 3" xfId="18495"/>
    <cellStyle name="40% - 强调文字颜色 5 2 3 2 3 2" xfId="18496"/>
    <cellStyle name="40% - 强调文字颜色 5 2 3 2 3 3" xfId="18497"/>
    <cellStyle name="40% - 强调文字颜色 5 2 3 2 3 3 2" xfId="18498"/>
    <cellStyle name="40% - 强调文字颜色 5 2 3 2 3 3 2 2" xfId="18499"/>
    <cellStyle name="40% - 强调文字颜色 5 2 3 2 3 4" xfId="18500"/>
    <cellStyle name="40% - 强调文字颜色 5 2 3 2 3 4 2" xfId="18501"/>
    <cellStyle name="40% - 强调文字颜色 5 2 3 2 3 5" xfId="18502"/>
    <cellStyle name="40% - 强调文字颜色 5 2 3 2 3 5 2" xfId="18503"/>
    <cellStyle name="40% - 强调文字颜色 5 2 3 2 3 6" xfId="18504"/>
    <cellStyle name="40% - 强调文字颜色 5 2 3 2 4" xfId="18505"/>
    <cellStyle name="40% - 强调文字颜色 5 2 3 2 4 2" xfId="18506"/>
    <cellStyle name="40% - 强调文字颜色 5 2 3 2 4 2 2" xfId="18507"/>
    <cellStyle name="40% - 强调文字颜色 5 2 3 2 4 2 2 2" xfId="18508"/>
    <cellStyle name="40% - 强调文字颜色 5 2 3 2 4 3" xfId="18509"/>
    <cellStyle name="40% - 强调文字颜色 5 2 3 2 4 3 2" xfId="18510"/>
    <cellStyle name="40% - 强调文字颜色 5 2 3 2 4 4" xfId="18511"/>
    <cellStyle name="40% - 强调文字颜色 5 2 3 2 4 4 2" xfId="18512"/>
    <cellStyle name="40% - 强调文字颜色 5 2 3 2 4 5" xfId="18513"/>
    <cellStyle name="40% - 强调文字颜色 5 2 3 2 5" xfId="18514"/>
    <cellStyle name="40% - 强调文字颜色 5 2 3 2 6" xfId="18515"/>
    <cellStyle name="40% - 强调文字颜色 5 2 3 2 7" xfId="18516"/>
    <cellStyle name="40% - 强调文字颜色 5 2 3 2 7 2" xfId="18517"/>
    <cellStyle name="40% - 强调文字颜色 5 2 3 2 8" xfId="18518"/>
    <cellStyle name="40% - 强调文字颜色 5 2 3 2 8 2" xfId="18519"/>
    <cellStyle name="40% - 强调文字颜色 5 2 3 3" xfId="18520"/>
    <cellStyle name="40% - 强调文字颜色 5 2 3 3 2" xfId="18521"/>
    <cellStyle name="40% - 强调文字颜色 5 2 3 3 2 2" xfId="18522"/>
    <cellStyle name="40% - 强调文字颜色 5 2 3 3 2 3" xfId="18523"/>
    <cellStyle name="40% - 强调文字颜色 5 2 3 3 2 3 2" xfId="18524"/>
    <cellStyle name="40% - 强调文字颜色 5 2 3 3 2 3 2 2" xfId="18525"/>
    <cellStyle name="40% - 强调文字颜色 5 2 3 3 2 4" xfId="18526"/>
    <cellStyle name="40% - 强调文字颜色 5 2 3 3 2 4 2" xfId="18527"/>
    <cellStyle name="40% - 强调文字颜色 5 2 3 3 2 5" xfId="18528"/>
    <cellStyle name="40% - 强调文字颜色 5 2 3 3 2 5 2" xfId="18529"/>
    <cellStyle name="40% - 强调文字颜色 5 2 3 3 2 6" xfId="18530"/>
    <cellStyle name="40% - 强调文字颜色 5 2 3 3 3" xfId="18531"/>
    <cellStyle name="40% - 强调文字颜色 5 2 3 3 3 2" xfId="18532"/>
    <cellStyle name="40% - 强调文字颜色 5 2 3 3 3 2 2" xfId="18533"/>
    <cellStyle name="40% - 强调文字颜色 5 2 3 3 3 2 2 2" xfId="18534"/>
    <cellStyle name="40% - 强调文字颜色 5 2 3 3 3 3" xfId="18535"/>
    <cellStyle name="40% - 强调文字颜色 5 2 3 3 3 3 2" xfId="18536"/>
    <cellStyle name="40% - 强调文字颜色 5 2 3 3 3 4" xfId="18537"/>
    <cellStyle name="40% - 强调文字颜色 5 2 3 3 3 4 2" xfId="18538"/>
    <cellStyle name="40% - 强调文字颜色 5 2 3 3 3 5" xfId="18539"/>
    <cellStyle name="40% - 强调文字颜色 5 2 3 3 4" xfId="18540"/>
    <cellStyle name="40% - 强调文字颜色 5 2 3 3 5" xfId="18541"/>
    <cellStyle name="40% - 强调文字颜色 5 2 3 3 6" xfId="18542"/>
    <cellStyle name="40% - 强调文字颜色 5 2 3 3 6 2" xfId="18543"/>
    <cellStyle name="40% - 强调文字颜色 5 2 3 3 7" xfId="18544"/>
    <cellStyle name="40% - 强调文字颜色 5 2 3 3 7 2" xfId="18545"/>
    <cellStyle name="40% - 强调文字颜色 5 2 3 4" xfId="18546"/>
    <cellStyle name="40% - 强调文字颜色 5 2 3 4 2" xfId="18547"/>
    <cellStyle name="40% - 强调文字颜色 5 2 3 4 2 2" xfId="18548"/>
    <cellStyle name="40% - 强调文字颜色 5 2 3 4 2 3" xfId="18549"/>
    <cellStyle name="40% - 强调文字颜色 5 2 3 4 2 3 2" xfId="18550"/>
    <cellStyle name="40% - 强调文字颜色 5 2 3 4 2 3 2 2" xfId="18551"/>
    <cellStyle name="40% - 强调文字颜色 5 2 3 4 2 4" xfId="18552"/>
    <cellStyle name="40% - 强调文字颜色 5 2 3 4 2 4 2" xfId="18553"/>
    <cellStyle name="40% - 强调文字颜色 5 2 3 4 2 5" xfId="18554"/>
    <cellStyle name="40% - 强调文字颜色 5 2 3 4 2 5 2" xfId="18555"/>
    <cellStyle name="40% - 强调文字颜色 5 2 3 4 2 6" xfId="18556"/>
    <cellStyle name="40% - 强调文字颜色 5 2 3 4 3" xfId="18557"/>
    <cellStyle name="40% - 强调文字颜色 5 2 3 4 4" xfId="18558"/>
    <cellStyle name="40% - 强调文字颜色 5 2 3 4 5" xfId="18559"/>
    <cellStyle name="40% - 强调文字颜色 5 2 3 4 6" xfId="18560"/>
    <cellStyle name="40% - 强调文字颜色 5 2 3 4 6 2" xfId="18561"/>
    <cellStyle name="40% - 强调文字颜色 5 2 3 4 7" xfId="18562"/>
    <cellStyle name="40% - 强调文字颜色 5 2 3 4 7 2" xfId="18563"/>
    <cellStyle name="40% - 强调文字颜色 5 2 3 5" xfId="18564"/>
    <cellStyle name="40% - 强调文字颜色 5 2 3 5 2" xfId="18565"/>
    <cellStyle name="40% - 强调文字颜色 5 2 3 5 2 2" xfId="18566"/>
    <cellStyle name="40% - 强调文字颜色 5 2 3 5 2 2 2" xfId="18567"/>
    <cellStyle name="40% - 强调文字颜色 5 2 3 5 2 2 2 2" xfId="18568"/>
    <cellStyle name="40% - 强调文字颜色 5 2 3 5 2 3" xfId="18569"/>
    <cellStyle name="40% - 强调文字颜色 5 2 3 5 2 3 2" xfId="18570"/>
    <cellStyle name="40% - 强调文字颜色 5 2 3 5 2 4" xfId="18571"/>
    <cellStyle name="40% - 强调文字颜色 5 2 3 5 2 4 2" xfId="18572"/>
    <cellStyle name="40% - 强调文字颜色 5 2 3 5 2 5" xfId="18573"/>
    <cellStyle name="40% - 强调文字颜色 5 2 3 5 3" xfId="18574"/>
    <cellStyle name="40% - 强调文字颜色 5 2 3 5 3 2" xfId="18575"/>
    <cellStyle name="40% - 强调文字颜色 5 2 3 5 3 2 2" xfId="18576"/>
    <cellStyle name="40% - 强调文字颜色 5 2 3 5 4" xfId="18577"/>
    <cellStyle name="40% - 强调文字颜色 5 2 3 5 4 2" xfId="18578"/>
    <cellStyle name="40% - 强调文字颜色 5 2 3 5 5" xfId="18579"/>
    <cellStyle name="40% - 强调文字颜色 5 2 3 5 5 2" xfId="18580"/>
    <cellStyle name="40% - 强调文字颜色 5 2 3 5 6" xfId="18581"/>
    <cellStyle name="40% - 强调文字颜色 5 2 3 6" xfId="18582"/>
    <cellStyle name="40% - 强调文字颜色 5 2 3 6 2" xfId="18583"/>
    <cellStyle name="40% - 强调文字颜色 5 2 3 6 2 2" xfId="18584"/>
    <cellStyle name="40% - 强调文字颜色 5 2 3 6 2 2 2" xfId="18585"/>
    <cellStyle name="40% - 强调文字颜色 5 2 3 6 3" xfId="18586"/>
    <cellStyle name="40% - 强调文字颜色 5 2 3 6 3 2" xfId="18587"/>
    <cellStyle name="40% - 强调文字颜色 5 2 3 6 4" xfId="18588"/>
    <cellStyle name="40% - 强调文字颜色 5 2 3 6 4 2" xfId="18589"/>
    <cellStyle name="40% - 强调文字颜色 5 2 3 6 5" xfId="18590"/>
    <cellStyle name="40% - 强调文字颜色 5 2 3 7" xfId="18591"/>
    <cellStyle name="40% - 强调文字颜色 5 2 3 7 2" xfId="18592"/>
    <cellStyle name="40% - 强调文字颜色 5 2 3 7 2 2" xfId="18593"/>
    <cellStyle name="40% - 强调文字颜色 5 2 3 7 2 2 2" xfId="18594"/>
    <cellStyle name="40% - 强调文字颜色 5 2 3 7 3" xfId="18595"/>
    <cellStyle name="40% - 强调文字颜色 5 2 3 7 3 2" xfId="18596"/>
    <cellStyle name="40% - 强调文字颜色 5 2 3 7 4" xfId="18597"/>
    <cellStyle name="40% - 强调文字颜色 5 2 3 7 4 2" xfId="18598"/>
    <cellStyle name="40% - 强调文字颜色 5 2 3 7 5" xfId="18599"/>
    <cellStyle name="40% - 强调文字颜色 5 2 3 8" xfId="18600"/>
    <cellStyle name="40% - 强调文字颜色 5 2 3 9" xfId="18601"/>
    <cellStyle name="40% - 强调文字颜色 5 2 3 9 2" xfId="18602"/>
    <cellStyle name="40% - 强调文字颜色 5 2 4" xfId="18603"/>
    <cellStyle name="40% - 强调文字颜色 5 2 4 2" xfId="18604"/>
    <cellStyle name="40% - 强调文字颜色 5 2 4 2 2" xfId="18605"/>
    <cellStyle name="40% - 强调文字颜色 5 2 4 2 3" xfId="18606"/>
    <cellStyle name="40% - 强调文字颜色 5 2 4 2 3 2" xfId="18607"/>
    <cellStyle name="40% - 强调文字颜色 5 2 4 2 3 2 2" xfId="18608"/>
    <cellStyle name="40% - 强调文字颜色 5 2 4 2 4" xfId="18609"/>
    <cellStyle name="40% - 强调文字颜色 5 2 4 2 4 2" xfId="18610"/>
    <cellStyle name="40% - 强调文字颜色 5 2 4 2 5" xfId="18611"/>
    <cellStyle name="40% - 强调文字颜色 5 2 4 2 5 2" xfId="18612"/>
    <cellStyle name="40% - 强调文字颜色 5 2 4 2 6" xfId="18613"/>
    <cellStyle name="40% - 强调文字颜色 5 2 4 3" xfId="18614"/>
    <cellStyle name="40% - 强调文字颜色 5 2 4 3 2" xfId="18615"/>
    <cellStyle name="40% - 强调文字颜色 5 2 4 3 2 2" xfId="18616"/>
    <cellStyle name="40% - 强调文字颜色 5 2 4 3 2 2 2" xfId="18617"/>
    <cellStyle name="40% - 强调文字颜色 5 2 4 3 3" xfId="18618"/>
    <cellStyle name="40% - 强调文字颜色 5 2 4 3 3 2" xfId="18619"/>
    <cellStyle name="40% - 强调文字颜色 5 2 4 3 4" xfId="18620"/>
    <cellStyle name="40% - 强调文字颜色 5 2 4 3 4 2" xfId="18621"/>
    <cellStyle name="40% - 强调文字颜色 5 2 4 3 5" xfId="18622"/>
    <cellStyle name="40% - 强调文字颜色 5 2 4 4" xfId="18623"/>
    <cellStyle name="40% - 强调文字颜色 5 2 4 5" xfId="18624"/>
    <cellStyle name="40% - 强调文字颜色 5 2 4 6" xfId="18625"/>
    <cellStyle name="40% - 强调文字颜色 5 2 4 6 2" xfId="18626"/>
    <cellStyle name="40% - 强调文字颜色 5 2 4 7" xfId="18627"/>
    <cellStyle name="40% - 强调文字颜色 5 2 4 7 2" xfId="18628"/>
    <cellStyle name="40% - 强调文字颜色 5 2 5" xfId="18629"/>
    <cellStyle name="40% - 强调文字颜色 5 2 5 2" xfId="18630"/>
    <cellStyle name="40% - 强调文字颜色 5 2 5 2 2" xfId="18631"/>
    <cellStyle name="40% - 强调文字颜色 5 2 5 2 3" xfId="18632"/>
    <cellStyle name="40% - 强调文字颜色 5 2 5 2 3 2" xfId="18633"/>
    <cellStyle name="40% - 强调文字颜色 5 2 5 2 3 2 2" xfId="18634"/>
    <cellStyle name="40% - 强调文字颜色 5 2 5 2 4" xfId="18635"/>
    <cellStyle name="40% - 强调文字颜色 5 2 5 2 4 2" xfId="18636"/>
    <cellStyle name="40% - 强调文字颜色 5 2 5 2 5" xfId="18637"/>
    <cellStyle name="40% - 强调文字颜色 5 2 5 2 5 2" xfId="18638"/>
    <cellStyle name="40% - 强调文字颜色 5 2 5 2 6" xfId="18639"/>
    <cellStyle name="40% - 强调文字颜色 5 2 5 3" xfId="18640"/>
    <cellStyle name="40% - 强调文字颜色 5 2 5 4" xfId="18641"/>
    <cellStyle name="40% - 强调文字颜色 5 2 5 5" xfId="18642"/>
    <cellStyle name="40% - 强调文字颜色 5 2 5 6" xfId="18643"/>
    <cellStyle name="40% - 强调文字颜色 5 2 5 6 2" xfId="18644"/>
    <cellStyle name="40% - 强调文字颜色 5 2 5 7" xfId="18645"/>
    <cellStyle name="40% - 强调文字颜色 5 2 5 7 2" xfId="18646"/>
    <cellStyle name="40% - 强调文字颜色 5 2 6" xfId="18647"/>
    <cellStyle name="40% - 强调文字颜色 5 2 6 2" xfId="18648"/>
    <cellStyle name="40% - 强调文字颜色 5 2 6 2 2" xfId="18649"/>
    <cellStyle name="40% - 强调文字颜色 5 2 6 2 2 2" xfId="18650"/>
    <cellStyle name="40% - 强调文字颜色 5 2 6 2 2 2 2" xfId="18651"/>
    <cellStyle name="40% - 强调文字颜色 5 2 6 2 3" xfId="18652"/>
    <cellStyle name="40% - 强调文字颜色 5 2 6 2 3 2" xfId="18653"/>
    <cellStyle name="40% - 强调文字颜色 5 2 6 2 4" xfId="18654"/>
    <cellStyle name="40% - 强调文字颜色 5 2 6 2 4 2" xfId="18655"/>
    <cellStyle name="40% - 强调文字颜色 5 2 6 2 5" xfId="18656"/>
    <cellStyle name="40% - 强调文字颜色 5 2 6 3" xfId="18657"/>
    <cellStyle name="40% - 强调文字颜色 5 2 6 3 2" xfId="18658"/>
    <cellStyle name="40% - 强调文字颜色 5 2 6 3 2 2" xfId="18659"/>
    <cellStyle name="40% - 强调文字颜色 5 2 6 4" xfId="18660"/>
    <cellStyle name="40% - 强调文字颜色 5 2 6 4 2" xfId="18661"/>
    <cellStyle name="40% - 强调文字颜色 5 2 6 5" xfId="18662"/>
    <cellStyle name="40% - 强调文字颜色 5 2 6 5 2" xfId="18663"/>
    <cellStyle name="40% - 强调文字颜色 5 2 6 6" xfId="18664"/>
    <cellStyle name="40% - 强调文字颜色 5 2 7" xfId="18665"/>
    <cellStyle name="40% - 强调文字颜色 5 2 7 2" xfId="18666"/>
    <cellStyle name="40% - 强调文字颜色 5 2 7 2 2" xfId="18667"/>
    <cellStyle name="40% - 强调文字颜色 5 2 7 2 2 2" xfId="18668"/>
    <cellStyle name="40% - 强调文字颜色 5 2 7 2 2 2 2" xfId="18669"/>
    <cellStyle name="40% - 强调文字颜色 5 2 7 2 3" xfId="18670"/>
    <cellStyle name="40% - 强调文字颜色 5 2 7 2 3 2" xfId="18671"/>
    <cellStyle name="40% - 强调文字颜色 5 2 7 2 4" xfId="18672"/>
    <cellStyle name="40% - 强调文字颜色 5 2 7 2 4 2" xfId="18673"/>
    <cellStyle name="40% - 强调文字颜色 5 2 7 2 5" xfId="18674"/>
    <cellStyle name="40% - 强调文字颜色 5 2 7 3" xfId="18675"/>
    <cellStyle name="40% - 强调文字颜色 5 2 7 3 2" xfId="18676"/>
    <cellStyle name="40% - 强调文字颜色 5 2 7 3 2 2" xfId="18677"/>
    <cellStyle name="40% - 强调文字颜色 5 2 7 4" xfId="18678"/>
    <cellStyle name="40% - 强调文字颜色 5 2 7 4 2" xfId="18679"/>
    <cellStyle name="40% - 强调文字颜色 5 2 7 5" xfId="18680"/>
    <cellStyle name="40% - 强调文字颜色 5 2 7 5 2" xfId="18681"/>
    <cellStyle name="40% - 强调文字颜色 5 2 7 6" xfId="18682"/>
    <cellStyle name="40% - 强调文字颜色 5 2 8" xfId="18683"/>
    <cellStyle name="40% - 强调文字颜色 5 2 8 2" xfId="18684"/>
    <cellStyle name="40% - 强调文字颜色 5 2 8 2 2" xfId="18685"/>
    <cellStyle name="40% - 强调文字颜色 5 2 8 2 2 2" xfId="18686"/>
    <cellStyle name="40% - 强调文字颜色 5 2 8 2 2 2 2" xfId="18687"/>
    <cellStyle name="40% - 强调文字颜色 5 2 8 2 3" xfId="18688"/>
    <cellStyle name="40% - 强调文字颜色 5 2 8 2 3 2" xfId="18689"/>
    <cellStyle name="40% - 强调文字颜色 5 2 8 2 4" xfId="18690"/>
    <cellStyle name="40% - 强调文字颜色 5 2 8 2 4 2" xfId="18691"/>
    <cellStyle name="40% - 强调文字颜色 5 2 8 2 5" xfId="18692"/>
    <cellStyle name="40% - 强调文字颜色 5 2 8 3" xfId="18693"/>
    <cellStyle name="40% - 强调文字颜色 5 2 8 3 2" xfId="18694"/>
    <cellStyle name="40% - 强调文字颜色 5 2 8 3 2 2" xfId="18695"/>
    <cellStyle name="40% - 强调文字颜色 5 2 8 4" xfId="18696"/>
    <cellStyle name="40% - 强调文字颜色 5 2 8 4 2" xfId="18697"/>
    <cellStyle name="40% - 强调文字颜色 5 2 8 5" xfId="18698"/>
    <cellStyle name="40% - 强调文字颜色 5 2 8 5 2" xfId="18699"/>
    <cellStyle name="40% - 强调文字颜色 5 2 8 6" xfId="18700"/>
    <cellStyle name="40% - 强调文字颜色 5 2 9" xfId="18701"/>
    <cellStyle name="40% - 强调文字颜色 5 2 9 2" xfId="18702"/>
    <cellStyle name="40% - 强调文字颜色 5 2 9 2 2" xfId="18703"/>
    <cellStyle name="40% - 强调文字颜色 5 2 9 2 2 2" xfId="18704"/>
    <cellStyle name="40% - 强调文字颜色 5 2 9 3" xfId="18705"/>
    <cellStyle name="40% - 强调文字颜色 5 2 9 3 2" xfId="18706"/>
    <cellStyle name="40% - 强调文字颜色 5 2 9 4" xfId="18707"/>
    <cellStyle name="40% - 强调文字颜色 5 2 9 4 2" xfId="18708"/>
    <cellStyle name="40% - 强调文字颜色 5 2 9 5" xfId="18709"/>
    <cellStyle name="40% - 强调文字颜色 5 3" xfId="18710"/>
    <cellStyle name="40% - 强调文字颜色 5 3 2" xfId="18711"/>
    <cellStyle name="40% - 强调文字颜色 5 3 2 2" xfId="18712"/>
    <cellStyle name="40% - 强调文字颜色 5 3 2 2 2" xfId="18713"/>
    <cellStyle name="40% - 强调文字颜色 5 3 2 2 2 2" xfId="18714"/>
    <cellStyle name="40% - 强调文字颜色 5 3 2 2 2 3" xfId="18715"/>
    <cellStyle name="40% - 强调文字颜色 5 3 2 2 2 3 2" xfId="18716"/>
    <cellStyle name="40% - 强调文字颜色 5 3 2 2 2 3 2 2" xfId="18717"/>
    <cellStyle name="40% - 强调文字颜色 5 3 2 2 2 4" xfId="18718"/>
    <cellStyle name="40% - 强调文字颜色 5 3 2 2 2 4 2" xfId="18719"/>
    <cellStyle name="40% - 强调文字颜色 5 3 2 2 2 5" xfId="18720"/>
    <cellStyle name="40% - 强调文字颜色 5 3 2 2 2 5 2" xfId="18721"/>
    <cellStyle name="40% - 强调文字颜色 5 3 2 2 2 6" xfId="18722"/>
    <cellStyle name="40% - 强调文字颜色 5 3 2 2 3" xfId="18723"/>
    <cellStyle name="40% - 强调文字颜色 5 3 2 2 3 2" xfId="18724"/>
    <cellStyle name="40% - 强调文字颜色 5 3 2 2 3 2 2" xfId="18725"/>
    <cellStyle name="40% - 强调文字颜色 5 3 2 2 3 2 2 2" xfId="18726"/>
    <cellStyle name="40% - 强调文字颜色 5 3 2 2 3 3" xfId="18727"/>
    <cellStyle name="40% - 强调文字颜色 5 3 2 2 3 3 2" xfId="18728"/>
    <cellStyle name="40% - 强调文字颜色 5 3 2 2 3 4" xfId="18729"/>
    <cellStyle name="40% - 强调文字颜色 5 3 2 2 3 4 2" xfId="18730"/>
    <cellStyle name="40% - 强调文字颜色 5 3 2 2 3 5" xfId="18731"/>
    <cellStyle name="40% - 强调文字颜色 5 3 2 2 4" xfId="18732"/>
    <cellStyle name="40% - 强调文字颜色 5 3 2 2 5" xfId="18733"/>
    <cellStyle name="40% - 强调文字颜色 5 3 2 2 6" xfId="18734"/>
    <cellStyle name="40% - 强调文字颜色 5 3 2 2 6 2" xfId="18735"/>
    <cellStyle name="40% - 强调文字颜色 5 3 2 2 7" xfId="18736"/>
    <cellStyle name="40% - 强调文字颜色 5 3 2 2 7 2" xfId="18737"/>
    <cellStyle name="40% - 强调文字颜色 5 3 2 3" xfId="18738"/>
    <cellStyle name="40% - 强调文字颜色 5 3 2 3 2" xfId="18739"/>
    <cellStyle name="40% - 强调文字颜色 5 3 2 3 3" xfId="18740"/>
    <cellStyle name="40% - 强调文字颜色 5 3 2 3 3 2" xfId="18741"/>
    <cellStyle name="40% - 强调文字颜色 5 3 2 3 3 2 2" xfId="18742"/>
    <cellStyle name="40% - 强调文字颜色 5 3 2 3 4" xfId="18743"/>
    <cellStyle name="40% - 强调文字颜色 5 3 2 3 4 2" xfId="18744"/>
    <cellStyle name="40% - 强调文字颜色 5 3 2 3 5" xfId="18745"/>
    <cellStyle name="40% - 强调文字颜色 5 3 2 3 5 2" xfId="18746"/>
    <cellStyle name="40% - 强调文字颜色 5 3 2 3 6" xfId="18747"/>
    <cellStyle name="40% - 强调文字颜色 5 3 2 4" xfId="18748"/>
    <cellStyle name="40% - 强调文字颜色 5 3 2 4 2" xfId="18749"/>
    <cellStyle name="40% - 强调文字颜色 5 3 2 4 2 2" xfId="18750"/>
    <cellStyle name="40% - 强调文字颜色 5 3 2 4 2 2 2" xfId="18751"/>
    <cellStyle name="40% - 强调文字颜色 5 3 2 4 3" xfId="18752"/>
    <cellStyle name="40% - 强调文字颜色 5 3 2 4 3 2" xfId="18753"/>
    <cellStyle name="40% - 强调文字颜色 5 3 2 4 4" xfId="18754"/>
    <cellStyle name="40% - 强调文字颜色 5 3 2 4 4 2" xfId="18755"/>
    <cellStyle name="40% - 强调文字颜色 5 3 2 4 5" xfId="18756"/>
    <cellStyle name="40% - 强调文字颜色 5 3 2 5" xfId="18757"/>
    <cellStyle name="40% - 强调文字颜色 5 3 2 6" xfId="18758"/>
    <cellStyle name="40% - 强调文字颜色 5 3 2 7" xfId="18759"/>
    <cellStyle name="40% - 强调文字颜色 5 3 2 7 2" xfId="18760"/>
    <cellStyle name="40% - 强调文字颜色 5 3 2 8" xfId="18761"/>
    <cellStyle name="40% - 强调文字颜色 5 3 2 8 2" xfId="18762"/>
    <cellStyle name="40% - 强调文字颜色 5 3 3" xfId="18763"/>
    <cellStyle name="40% - 强调文字颜色 5 3 3 2" xfId="18764"/>
    <cellStyle name="40% - 强调文字颜色 5 3 3 2 2" xfId="18765"/>
    <cellStyle name="40% - 强调文字颜色 5 3 3 2 3" xfId="18766"/>
    <cellStyle name="40% - 强调文字颜色 5 3 3 2 3 2" xfId="18767"/>
    <cellStyle name="40% - 强调文字颜色 5 3 3 2 3 2 2" xfId="18768"/>
    <cellStyle name="40% - 强调文字颜色 5 3 3 2 4" xfId="18769"/>
    <cellStyle name="40% - 强调文字颜色 5 3 3 2 4 2" xfId="18770"/>
    <cellStyle name="40% - 强调文字颜色 5 3 3 2 5" xfId="18771"/>
    <cellStyle name="40% - 强调文字颜色 5 3 3 2 5 2" xfId="18772"/>
    <cellStyle name="40% - 强调文字颜色 5 3 3 2 6" xfId="18773"/>
    <cellStyle name="40% - 强调文字颜色 5 3 3 3" xfId="18774"/>
    <cellStyle name="40% - 强调文字颜色 5 3 3 3 2" xfId="18775"/>
    <cellStyle name="40% - 强调文字颜色 5 3 3 3 2 2" xfId="18776"/>
    <cellStyle name="40% - 强调文字颜色 5 3 3 3 2 2 2" xfId="18777"/>
    <cellStyle name="40% - 强调文字颜色 5 3 3 3 3" xfId="18778"/>
    <cellStyle name="40% - 强调文字颜色 5 3 3 3 3 2" xfId="18779"/>
    <cellStyle name="40% - 强调文字颜色 5 3 3 3 4" xfId="18780"/>
    <cellStyle name="40% - 强调文字颜色 5 3 3 3 4 2" xfId="18781"/>
    <cellStyle name="40% - 强调文字颜色 5 3 3 3 5" xfId="18782"/>
    <cellStyle name="40% - 强调文字颜色 5 3 3 4" xfId="18783"/>
    <cellStyle name="40% - 强调文字颜色 5 3 3 5" xfId="18784"/>
    <cellStyle name="40% - 强调文字颜色 5 3 3 6" xfId="18785"/>
    <cellStyle name="40% - 强调文字颜色 5 3 3 6 2" xfId="18786"/>
    <cellStyle name="40% - 强调文字颜色 5 3 3 7" xfId="18787"/>
    <cellStyle name="40% - 强调文字颜色 5 3 3 7 2" xfId="18788"/>
    <cellStyle name="40% - 强调文字颜色 5 3 4" xfId="18789"/>
    <cellStyle name="40% - 强调文字颜色 5 3 4 2" xfId="18790"/>
    <cellStyle name="40% - 强调文字颜色 5 3 4 2 2" xfId="18791"/>
    <cellStyle name="40% - 强调文字颜色 5 3 4 2 3" xfId="18792"/>
    <cellStyle name="40% - 强调文字颜色 5 3 4 2 3 2" xfId="18793"/>
    <cellStyle name="40% - 强调文字颜色 5 3 4 2 3 2 2" xfId="18794"/>
    <cellStyle name="40% - 强调文字颜色 5 3 4 2 4" xfId="18795"/>
    <cellStyle name="40% - 强调文字颜色 5 3 4 2 4 2" xfId="18796"/>
    <cellStyle name="40% - 强调文字颜色 5 3 4 2 5" xfId="18797"/>
    <cellStyle name="40% - 强调文字颜色 5 3 4 2 5 2" xfId="18798"/>
    <cellStyle name="40% - 强调文字颜色 5 3 4 2 6" xfId="18799"/>
    <cellStyle name="40% - 强调文字颜色 5 3 4 3" xfId="18800"/>
    <cellStyle name="40% - 强调文字颜色 5 3 4 4" xfId="18801"/>
    <cellStyle name="40% - 强调文字颜色 5 3 4 5" xfId="18802"/>
    <cellStyle name="40% - 强调文字颜色 5 3 4 6" xfId="18803"/>
    <cellStyle name="40% - 强调文字颜色 5 3 4 6 2" xfId="18804"/>
    <cellStyle name="40% - 强调文字颜色 5 3 4 7" xfId="18805"/>
    <cellStyle name="40% - 强调文字颜色 5 3 4 7 2" xfId="18806"/>
    <cellStyle name="40% - 强调文字颜色 5 3 5" xfId="18807"/>
    <cellStyle name="40% - 强调文字颜色 5 3 5 2" xfId="18808"/>
    <cellStyle name="40% - 强调文字颜色 5 3 5 2 2" xfId="18809"/>
    <cellStyle name="40% - 强调文字颜色 5 3 5 2 2 2" xfId="18810"/>
    <cellStyle name="40% - 强调文字颜色 5 3 5 2 2 2 2" xfId="18811"/>
    <cellStyle name="40% - 强调文字颜色 5 3 5 2 3" xfId="18812"/>
    <cellStyle name="40% - 强调文字颜色 5 3 5 2 3 2" xfId="18813"/>
    <cellStyle name="40% - 强调文字颜色 5 3 5 2 4" xfId="18814"/>
    <cellStyle name="40% - 强调文字颜色 5 3 5 2 4 2" xfId="18815"/>
    <cellStyle name="40% - 强调文字颜色 5 3 5 2 5" xfId="18816"/>
    <cellStyle name="40% - 强调文字颜色 5 3 5 3" xfId="18817"/>
    <cellStyle name="40% - 强调文字颜色 5 3 5 3 2" xfId="18818"/>
    <cellStyle name="40% - 强调文字颜色 5 3 5 3 2 2" xfId="18819"/>
    <cellStyle name="40% - 强调文字颜色 5 3 5 4" xfId="18820"/>
    <cellStyle name="40% - 强调文字颜色 5 3 5 4 2" xfId="18821"/>
    <cellStyle name="40% - 强调文字颜色 5 3 5 5" xfId="18822"/>
    <cellStyle name="40% - 强调文字颜色 5 3 5 5 2" xfId="18823"/>
    <cellStyle name="40% - 强调文字颜色 5 3 5 6" xfId="18824"/>
    <cellStyle name="40% - 强调文字颜色 5 3 6" xfId="18825"/>
    <cellStyle name="40% - 强调文字颜色 5 3 6 2" xfId="18826"/>
    <cellStyle name="40% - 强调文字颜色 5 3 6 2 2" xfId="18827"/>
    <cellStyle name="40% - 强调文字颜色 5 3 6 2 2 2" xfId="18828"/>
    <cellStyle name="40% - 强调文字颜色 5 3 6 3" xfId="18829"/>
    <cellStyle name="40% - 强调文字颜色 5 3 6 3 2" xfId="18830"/>
    <cellStyle name="40% - 强调文字颜色 5 3 6 4" xfId="18831"/>
    <cellStyle name="40% - 强调文字颜色 5 3 6 4 2" xfId="18832"/>
    <cellStyle name="40% - 强调文字颜色 5 3 6 5" xfId="18833"/>
    <cellStyle name="40% - 强调文字颜色 5 3 7" xfId="18834"/>
    <cellStyle name="40% - 强调文字颜色 5 3 8" xfId="18835"/>
    <cellStyle name="40% - 强调文字颜色 5 3 8 2" xfId="18836"/>
    <cellStyle name="40% - 强调文字颜色 5 3 9" xfId="18837"/>
    <cellStyle name="40% - 强调文字颜色 5 3 9 2" xfId="18838"/>
    <cellStyle name="40% - 强调文字颜色 6 2" xfId="18839"/>
    <cellStyle name="40% - 强调文字颜色 6 2 10" xfId="18840"/>
    <cellStyle name="40% - 强调文字颜色 6 2 11" xfId="18841"/>
    <cellStyle name="40% - 强调文字颜色 6 2 11 2" xfId="18842"/>
    <cellStyle name="40% - 强调文字颜色 6 2 12" xfId="18843"/>
    <cellStyle name="40% - 强调文字颜色 6 2 12 2" xfId="18844"/>
    <cellStyle name="40% - 强调文字颜色 6 2 2" xfId="18845"/>
    <cellStyle name="40% - 强调文字颜色 6 2 2 10" xfId="18846"/>
    <cellStyle name="40% - 强调文字颜色 6 2 2 11" xfId="18847"/>
    <cellStyle name="40% - 强调文字颜色 6 2 2 11 2" xfId="18848"/>
    <cellStyle name="40% - 强调文字颜色 6 2 2 12" xfId="18849"/>
    <cellStyle name="40% - 强调文字颜色 6 2 2 12 2" xfId="18850"/>
    <cellStyle name="40% - 强调文字颜色 6 2 2 2" xfId="18851"/>
    <cellStyle name="40% - 强调文字颜色 6 2 2 2 2" xfId="18852"/>
    <cellStyle name="40% - 强调文字颜色 6 2 2 2 2 2" xfId="18853"/>
    <cellStyle name="40% - 强调文字颜色 6 2 2 2 2 2 2" xfId="18854"/>
    <cellStyle name="40% - 强调文字颜色 6 2 2 2 2 2 3" xfId="18855"/>
    <cellStyle name="40% - 强调文字颜色 6 2 2 2 2 2 3 2" xfId="18856"/>
    <cellStyle name="40% - 强调文字颜色 6 2 2 2 2 2 3 2 2" xfId="18857"/>
    <cellStyle name="40% - 强调文字颜色 6 2 2 2 2 2 4" xfId="18858"/>
    <cellStyle name="40% - 强调文字颜色 6 2 2 2 2 2 4 2" xfId="18859"/>
    <cellStyle name="40% - 强调文字颜色 6 2 2 2 2 2 5" xfId="18860"/>
    <cellStyle name="40% - 强调文字颜色 6 2 2 2 2 2 5 2" xfId="18861"/>
    <cellStyle name="40% - 强调文字颜色 6 2 2 2 2 2 6" xfId="18862"/>
    <cellStyle name="40% - 强调文字颜色 6 2 2 2 2 3" xfId="18863"/>
    <cellStyle name="40% - 强调文字颜色 6 2 2 2 2 3 2" xfId="18864"/>
    <cellStyle name="40% - 强调文字颜色 6 2 2 2 2 3 2 2" xfId="18865"/>
    <cellStyle name="40% - 强调文字颜色 6 2 2 2 2 3 2 2 2" xfId="18866"/>
    <cellStyle name="40% - 强调文字颜色 6 2 2 2 2 3 3" xfId="18867"/>
    <cellStyle name="40% - 强调文字颜色 6 2 2 2 2 3 3 2" xfId="18868"/>
    <cellStyle name="40% - 强调文字颜色 6 2 2 2 2 3 4" xfId="18869"/>
    <cellStyle name="40% - 强调文字颜色 6 2 2 2 2 3 4 2" xfId="18870"/>
    <cellStyle name="40% - 强调文字颜色 6 2 2 2 2 3 5" xfId="18871"/>
    <cellStyle name="40% - 强调文字颜色 6 2 2 2 2 4" xfId="18872"/>
    <cellStyle name="40% - 强调文字颜色 6 2 2 2 2 5" xfId="18873"/>
    <cellStyle name="40% - 强调文字颜色 6 2 2 2 2 6" xfId="18874"/>
    <cellStyle name="40% - 强调文字颜色 6 2 2 2 2 6 2" xfId="18875"/>
    <cellStyle name="40% - 强调文字颜色 6 2 2 2 2 7" xfId="18876"/>
    <cellStyle name="40% - 强调文字颜色 6 2 2 2 2 7 2" xfId="18877"/>
    <cellStyle name="40% - 强调文字颜色 6 2 2 2 3" xfId="18878"/>
    <cellStyle name="40% - 强调文字颜色 6 2 2 2 3 2" xfId="18879"/>
    <cellStyle name="40% - 强调文字颜色 6 2 2 2 3 3" xfId="18880"/>
    <cellStyle name="40% - 强调文字颜色 6 2 2 2 3 3 2" xfId="18881"/>
    <cellStyle name="40% - 强调文字颜色 6 2 2 2 3 3 2 2" xfId="18882"/>
    <cellStyle name="40% - 强调文字颜色 6 2 2 2 3 4" xfId="18883"/>
    <cellStyle name="40% - 强调文字颜色 6 2 2 2 3 4 2" xfId="18884"/>
    <cellStyle name="40% - 强调文字颜色 6 2 2 2 3 5" xfId="18885"/>
    <cellStyle name="40% - 强调文字颜色 6 2 2 2 3 5 2" xfId="18886"/>
    <cellStyle name="40% - 强调文字颜色 6 2 2 2 3 6" xfId="18887"/>
    <cellStyle name="40% - 强调文字颜色 6 2 2 2 4" xfId="18888"/>
    <cellStyle name="40% - 强调文字颜色 6 2 2 2 4 2" xfId="18889"/>
    <cellStyle name="40% - 强调文字颜色 6 2 2 2 4 2 2" xfId="18890"/>
    <cellStyle name="40% - 强调文字颜色 6 2 2 2 4 2 2 2" xfId="18891"/>
    <cellStyle name="40% - 强调文字颜色 6 2 2 2 4 3" xfId="18892"/>
    <cellStyle name="40% - 强调文字颜色 6 2 2 2 4 3 2" xfId="18893"/>
    <cellStyle name="40% - 强调文字颜色 6 2 2 2 4 4" xfId="18894"/>
    <cellStyle name="40% - 强调文字颜色 6 2 2 2 4 4 2" xfId="18895"/>
    <cellStyle name="40% - 强调文字颜色 6 2 2 2 4 5" xfId="18896"/>
    <cellStyle name="40% - 强调文字颜色 6 2 2 2 5" xfId="18897"/>
    <cellStyle name="40% - 强调文字颜色 6 2 2 2 6" xfId="18898"/>
    <cellStyle name="40% - 强调文字颜色 6 2 2 2 7" xfId="18899"/>
    <cellStyle name="40% - 强调文字颜色 6 2 2 2 7 2" xfId="18900"/>
    <cellStyle name="40% - 强调文字颜色 6 2 2 2 8" xfId="18901"/>
    <cellStyle name="40% - 强调文字颜色 6 2 2 2 8 2" xfId="18902"/>
    <cellStyle name="40% - 强调文字颜色 6 2 2 3" xfId="18903"/>
    <cellStyle name="40% - 强调文字颜色 6 2 2 3 2" xfId="18904"/>
    <cellStyle name="40% - 强调文字颜色 6 2 2 3 2 2" xfId="18905"/>
    <cellStyle name="40% - 强调文字颜色 6 2 2 3 2 3" xfId="18906"/>
    <cellStyle name="40% - 强调文字颜色 6 2 2 3 2 3 2" xfId="18907"/>
    <cellStyle name="40% - 强调文字颜色 6 2 2 3 2 3 2 2" xfId="18908"/>
    <cellStyle name="40% - 强调文字颜色 6 2 2 3 2 4" xfId="18909"/>
    <cellStyle name="40% - 强调文字颜色 6 2 2 3 2 4 2" xfId="18910"/>
    <cellStyle name="40% - 强调文字颜色 6 2 2 3 2 5" xfId="18911"/>
    <cellStyle name="40% - 强调文字颜色 6 2 2 3 2 5 2" xfId="18912"/>
    <cellStyle name="40% - 强调文字颜色 6 2 2 3 2 6" xfId="18913"/>
    <cellStyle name="40% - 强调文字颜色 6 2 2 3 3" xfId="18914"/>
    <cellStyle name="40% - 强调文字颜色 6 2 2 3 3 2" xfId="18915"/>
    <cellStyle name="40% - 强调文字颜色 6 2 2 3 3 2 2" xfId="18916"/>
    <cellStyle name="40% - 强调文字颜色 6 2 2 3 3 2 2 2" xfId="18917"/>
    <cellStyle name="40% - 强调文字颜色 6 2 2 3 3 3" xfId="18918"/>
    <cellStyle name="40% - 强调文字颜色 6 2 2 3 3 3 2" xfId="18919"/>
    <cellStyle name="40% - 强调文字颜色 6 2 2 3 3 4" xfId="18920"/>
    <cellStyle name="40% - 强调文字颜色 6 2 2 3 3 4 2" xfId="18921"/>
    <cellStyle name="40% - 强调文字颜色 6 2 2 3 3 5" xfId="18922"/>
    <cellStyle name="40% - 强调文字颜色 6 2 2 3 4" xfId="18923"/>
    <cellStyle name="40% - 强调文字颜色 6 2 2 3 5" xfId="18924"/>
    <cellStyle name="40% - 强调文字颜色 6 2 2 3 6" xfId="18925"/>
    <cellStyle name="40% - 强调文字颜色 6 2 2 3 6 2" xfId="18926"/>
    <cellStyle name="40% - 强调文字颜色 6 2 2 3 7" xfId="18927"/>
    <cellStyle name="40% - 强调文字颜色 6 2 2 3 7 2" xfId="18928"/>
    <cellStyle name="40% - 强调文字颜色 6 2 2 4" xfId="18929"/>
    <cellStyle name="40% - 强调文字颜色 6 2 2 4 2" xfId="18930"/>
    <cellStyle name="40% - 强调文字颜色 6 2 2 4 2 2" xfId="18931"/>
    <cellStyle name="40% - 强调文字颜色 6 2 2 4 2 3" xfId="18932"/>
    <cellStyle name="40% - 强调文字颜色 6 2 2 4 2 3 2" xfId="18933"/>
    <cellStyle name="40% - 强调文字颜色 6 2 2 4 2 3 2 2" xfId="18934"/>
    <cellStyle name="40% - 强调文字颜色 6 2 2 4 2 4" xfId="18935"/>
    <cellStyle name="40% - 强调文字颜色 6 2 2 4 2 4 2" xfId="18936"/>
    <cellStyle name="40% - 强调文字颜色 6 2 2 4 2 5" xfId="18937"/>
    <cellStyle name="40% - 强调文字颜色 6 2 2 4 2 5 2" xfId="18938"/>
    <cellStyle name="40% - 强调文字颜色 6 2 2 4 2 6" xfId="18939"/>
    <cellStyle name="40% - 强调文字颜色 6 2 2 4 3" xfId="18940"/>
    <cellStyle name="40% - 强调文字颜色 6 2 2 4 4" xfId="18941"/>
    <cellStyle name="40% - 强调文字颜色 6 2 2 4 5" xfId="18942"/>
    <cellStyle name="40% - 强调文字颜色 6 2 2 4 6" xfId="18943"/>
    <cellStyle name="40% - 强调文字颜色 6 2 2 4 6 2" xfId="18944"/>
    <cellStyle name="40% - 强调文字颜色 6 2 2 4 7" xfId="18945"/>
    <cellStyle name="40% - 强调文字颜色 6 2 2 4 7 2" xfId="18946"/>
    <cellStyle name="40% - 强调文字颜色 6 2 2 5" xfId="18947"/>
    <cellStyle name="40% - 强调文字颜色 6 2 2 5 2" xfId="18948"/>
    <cellStyle name="40% - 强调文字颜色 6 2 2 5 2 2" xfId="18949"/>
    <cellStyle name="40% - 强调文字颜色 6 2 2 5 2 2 2" xfId="18950"/>
    <cellStyle name="40% - 强调文字颜色 6 2 2 5 2 2 2 2" xfId="18951"/>
    <cellStyle name="40% - 强调文字颜色 6 2 2 5 2 3" xfId="18952"/>
    <cellStyle name="40% - 强调文字颜色 6 2 2 5 2 3 2" xfId="18953"/>
    <cellStyle name="40% - 强调文字颜色 6 2 2 5 2 4" xfId="18954"/>
    <cellStyle name="40% - 强调文字颜色 6 2 2 5 2 4 2" xfId="18955"/>
    <cellStyle name="40% - 强调文字颜色 6 2 2 5 2 5" xfId="18956"/>
    <cellStyle name="40% - 强调文字颜色 6 2 2 5 3" xfId="18957"/>
    <cellStyle name="40% - 强调文字颜色 6 2 2 5 3 2" xfId="18958"/>
    <cellStyle name="40% - 强调文字颜色 6 2 2 5 3 2 2" xfId="18959"/>
    <cellStyle name="40% - 强调文字颜色 6 2 2 5 4" xfId="18960"/>
    <cellStyle name="40% - 强调文字颜色 6 2 2 5 4 2" xfId="18961"/>
    <cellStyle name="40% - 强调文字颜色 6 2 2 5 5" xfId="18962"/>
    <cellStyle name="40% - 强调文字颜色 6 2 2 5 5 2" xfId="18963"/>
    <cellStyle name="40% - 强调文字颜色 6 2 2 5 6" xfId="18964"/>
    <cellStyle name="40% - 强调文字颜色 6 2 2 6" xfId="18965"/>
    <cellStyle name="40% - 强调文字颜色 6 2 2 6 2" xfId="18966"/>
    <cellStyle name="40% - 强调文字颜色 6 2 2 6 2 2" xfId="18967"/>
    <cellStyle name="40% - 强调文字颜色 6 2 2 6 2 2 2" xfId="18968"/>
    <cellStyle name="40% - 强调文字颜色 6 2 2 6 2 2 2 2" xfId="18969"/>
    <cellStyle name="40% - 强调文字颜色 6 2 2 6 2 3" xfId="18970"/>
    <cellStyle name="40% - 强调文字颜色 6 2 2 6 2 3 2" xfId="18971"/>
    <cellStyle name="40% - 强调文字颜色 6 2 2 6 2 4" xfId="18972"/>
    <cellStyle name="40% - 强调文字颜色 6 2 2 6 2 4 2" xfId="18973"/>
    <cellStyle name="40% - 强调文字颜色 6 2 2 6 2 5" xfId="18974"/>
    <cellStyle name="40% - 强调文字颜色 6 2 2 6 3" xfId="18975"/>
    <cellStyle name="40% - 强调文字颜色 6 2 2 6 3 2" xfId="18976"/>
    <cellStyle name="40% - 强调文字颜色 6 2 2 6 3 2 2" xfId="18977"/>
    <cellStyle name="40% - 强调文字颜色 6 2 2 6 4" xfId="18978"/>
    <cellStyle name="40% - 强调文字颜色 6 2 2 6 4 2" xfId="18979"/>
    <cellStyle name="40% - 强调文字颜色 6 2 2 6 5" xfId="18980"/>
    <cellStyle name="40% - 强调文字颜色 6 2 2 6 5 2" xfId="18981"/>
    <cellStyle name="40% - 强调文字颜色 6 2 2 6 6" xfId="18982"/>
    <cellStyle name="40% - 强调文字颜色 6 2 2 7" xfId="18983"/>
    <cellStyle name="40% - 强调文字颜色 6 2 2 7 2" xfId="18984"/>
    <cellStyle name="40% - 强调文字颜色 6 2 2 7 2 2" xfId="18985"/>
    <cellStyle name="40% - 强调文字颜色 6 2 2 7 2 2 2" xfId="18986"/>
    <cellStyle name="40% - 强调文字颜色 6 2 2 7 2 2 2 2" xfId="18987"/>
    <cellStyle name="40% - 强调文字颜色 6 2 2 7 2 3" xfId="18988"/>
    <cellStyle name="40% - 强调文字颜色 6 2 2 7 2 3 2" xfId="18989"/>
    <cellStyle name="40% - 强调文字颜色 6 2 2 7 2 4" xfId="18990"/>
    <cellStyle name="40% - 强调文字颜色 6 2 2 7 2 4 2" xfId="18991"/>
    <cellStyle name="40% - 强调文字颜色 6 2 2 7 2 5" xfId="18992"/>
    <cellStyle name="40% - 强调文字颜色 6 2 2 7 3" xfId="18993"/>
    <cellStyle name="40% - 强调文字颜色 6 2 2 7 3 2" xfId="18994"/>
    <cellStyle name="40% - 强调文字颜色 6 2 2 7 3 2 2" xfId="18995"/>
    <cellStyle name="40% - 强调文字颜色 6 2 2 7 4" xfId="18996"/>
    <cellStyle name="40% - 强调文字颜色 6 2 2 7 4 2" xfId="18997"/>
    <cellStyle name="40% - 强调文字颜色 6 2 2 7 5" xfId="18998"/>
    <cellStyle name="40% - 强调文字颜色 6 2 2 7 5 2" xfId="18999"/>
    <cellStyle name="40% - 强调文字颜色 6 2 2 7 6" xfId="19000"/>
    <cellStyle name="40% - 强调文字颜色 6 2 2 8" xfId="19001"/>
    <cellStyle name="40% - 强调文字颜色 6 2 2 8 2" xfId="19002"/>
    <cellStyle name="40% - 强调文字颜色 6 2 2 8 2 2" xfId="19003"/>
    <cellStyle name="40% - 强调文字颜色 6 2 2 8 2 2 2" xfId="19004"/>
    <cellStyle name="40% - 强调文字颜色 6 2 2 8 3" xfId="19005"/>
    <cellStyle name="40% - 强调文字颜色 6 2 2 8 3 2" xfId="19006"/>
    <cellStyle name="40% - 强调文字颜色 6 2 2 8 4" xfId="19007"/>
    <cellStyle name="40% - 强调文字颜色 6 2 2 8 4 2" xfId="19008"/>
    <cellStyle name="40% - 强调文字颜色 6 2 2 8 5" xfId="19009"/>
    <cellStyle name="40% - 强调文字颜色 6 2 2 9" xfId="19010"/>
    <cellStyle name="40% - 强调文字颜色 6 2 2 9 2" xfId="19011"/>
    <cellStyle name="40% - 强调文字颜色 6 2 2 9 2 2" xfId="19012"/>
    <cellStyle name="40% - 强调文字颜色 6 2 2 9 2 2 2" xfId="19013"/>
    <cellStyle name="40% - 强调文字颜色 6 2 2 9 3" xfId="19014"/>
    <cellStyle name="40% - 强调文字颜色 6 2 2 9 3 2" xfId="19015"/>
    <cellStyle name="40% - 强调文字颜色 6 2 2 9 4" xfId="19016"/>
    <cellStyle name="40% - 强调文字颜色 6 2 2 9 4 2" xfId="19017"/>
    <cellStyle name="40% - 强调文字颜色 6 2 2 9 5" xfId="19018"/>
    <cellStyle name="40% - 强调文字颜色 6 2 3" xfId="19019"/>
    <cellStyle name="40% - 强调文字颜色 6 2 3 10" xfId="19020"/>
    <cellStyle name="40% - 强调文字颜色 6 2 3 10 2" xfId="19021"/>
    <cellStyle name="40% - 强调文字颜色 6 2 3 2" xfId="19022"/>
    <cellStyle name="40% - 强调文字颜色 6 2 3 2 2" xfId="19023"/>
    <cellStyle name="40% - 强调文字颜色 6 2 3 2 2 2" xfId="19024"/>
    <cellStyle name="40% - 强调文字颜色 6 2 3 2 2 2 2" xfId="19025"/>
    <cellStyle name="40% - 强调文字颜色 6 2 3 2 2 2 3" xfId="19026"/>
    <cellStyle name="40% - 强调文字颜色 6 2 3 2 2 2 3 2" xfId="19027"/>
    <cellStyle name="40% - 强调文字颜色 6 2 3 2 2 2 3 2 2" xfId="19028"/>
    <cellStyle name="40% - 强调文字颜色 6 2 3 2 2 2 4" xfId="19029"/>
    <cellStyle name="40% - 强调文字颜色 6 2 3 2 2 2 4 2" xfId="19030"/>
    <cellStyle name="40% - 强调文字颜色 6 2 3 2 2 2 5" xfId="19031"/>
    <cellStyle name="40% - 强调文字颜色 6 2 3 2 2 2 5 2" xfId="19032"/>
    <cellStyle name="40% - 强调文字颜色 6 2 3 2 2 2 6" xfId="19033"/>
    <cellStyle name="40% - 强调文字颜色 6 2 3 2 2 3" xfId="19034"/>
    <cellStyle name="40% - 强调文字颜色 6 2 3 2 2 3 2" xfId="19035"/>
    <cellStyle name="40% - 强调文字颜色 6 2 3 2 2 3 2 2" xfId="19036"/>
    <cellStyle name="40% - 强调文字颜色 6 2 3 2 2 3 2 2 2" xfId="19037"/>
    <cellStyle name="40% - 强调文字颜色 6 2 3 2 2 3 3" xfId="19038"/>
    <cellStyle name="40% - 强调文字颜色 6 2 3 2 2 3 3 2" xfId="19039"/>
    <cellStyle name="40% - 强调文字颜色 6 2 3 2 2 3 4" xfId="19040"/>
    <cellStyle name="40% - 强调文字颜色 6 2 3 2 2 3 4 2" xfId="19041"/>
    <cellStyle name="40% - 强调文字颜色 6 2 3 2 2 3 5" xfId="19042"/>
    <cellStyle name="40% - 强调文字颜色 6 2 3 2 2 4" xfId="19043"/>
    <cellStyle name="40% - 强调文字颜色 6 2 3 2 2 5" xfId="19044"/>
    <cellStyle name="40% - 强调文字颜色 6 2 3 2 2 6" xfId="19045"/>
    <cellStyle name="40% - 强调文字颜色 6 2 3 2 2 6 2" xfId="19046"/>
    <cellStyle name="40% - 强调文字颜色 6 2 3 2 2 7" xfId="19047"/>
    <cellStyle name="40% - 强调文字颜色 6 2 3 2 2 7 2" xfId="19048"/>
    <cellStyle name="40% - 强调文字颜色 6 2 3 2 3" xfId="19049"/>
    <cellStyle name="40% - 强调文字颜色 6 2 3 2 3 2" xfId="19050"/>
    <cellStyle name="40% - 强调文字颜色 6 2 3 2 3 3" xfId="19051"/>
    <cellStyle name="40% - 强调文字颜色 6 2 3 2 3 3 2" xfId="19052"/>
    <cellStyle name="40% - 强调文字颜色 6 2 3 2 3 3 2 2" xfId="19053"/>
    <cellStyle name="40% - 强调文字颜色 6 2 3 2 3 4" xfId="19054"/>
    <cellStyle name="40% - 强调文字颜色 6 2 3 2 3 4 2" xfId="19055"/>
    <cellStyle name="40% - 强调文字颜色 6 2 3 2 3 5" xfId="19056"/>
    <cellStyle name="40% - 强调文字颜色 6 2 3 2 3 5 2" xfId="19057"/>
    <cellStyle name="40% - 强调文字颜色 6 2 3 2 3 6" xfId="19058"/>
    <cellStyle name="40% - 强调文字颜色 6 2 3 2 4" xfId="19059"/>
    <cellStyle name="40% - 强调文字颜色 6 2 3 2 4 2" xfId="19060"/>
    <cellStyle name="40% - 强调文字颜色 6 2 3 2 4 2 2" xfId="19061"/>
    <cellStyle name="40% - 强调文字颜色 6 2 3 2 4 2 2 2" xfId="19062"/>
    <cellStyle name="40% - 强调文字颜色 6 2 3 2 4 3" xfId="19063"/>
    <cellStyle name="40% - 强调文字颜色 6 2 3 2 4 3 2" xfId="19064"/>
    <cellStyle name="40% - 强调文字颜色 6 2 3 2 4 4" xfId="19065"/>
    <cellStyle name="40% - 强调文字颜色 6 2 3 2 4 4 2" xfId="19066"/>
    <cellStyle name="40% - 强调文字颜色 6 2 3 2 4 5" xfId="19067"/>
    <cellStyle name="40% - 强调文字颜色 6 2 3 2 5" xfId="19068"/>
    <cellStyle name="40% - 强调文字颜色 6 2 3 2 6" xfId="19069"/>
    <cellStyle name="40% - 强调文字颜色 6 2 3 2 7" xfId="19070"/>
    <cellStyle name="40% - 强调文字颜色 6 2 3 2 7 2" xfId="19071"/>
    <cellStyle name="40% - 强调文字颜色 6 2 3 2 8" xfId="19072"/>
    <cellStyle name="40% - 强调文字颜色 6 2 3 2 8 2" xfId="19073"/>
    <cellStyle name="40% - 强调文字颜色 6 2 3 3" xfId="19074"/>
    <cellStyle name="40% - 强调文字颜色 6 2 3 3 2" xfId="19075"/>
    <cellStyle name="40% - 强调文字颜色 6 2 3 3 2 2" xfId="19076"/>
    <cellStyle name="40% - 强调文字颜色 6 2 3 3 2 3" xfId="19077"/>
    <cellStyle name="40% - 强调文字颜色 6 2 3 3 2 3 2" xfId="19078"/>
    <cellStyle name="40% - 强调文字颜色 6 2 3 3 2 3 2 2" xfId="19079"/>
    <cellStyle name="40% - 强调文字颜色 6 2 3 3 2 4" xfId="19080"/>
    <cellStyle name="40% - 强调文字颜色 6 2 3 3 2 4 2" xfId="19081"/>
    <cellStyle name="40% - 强调文字颜色 6 2 3 3 2 5" xfId="19082"/>
    <cellStyle name="40% - 强调文字颜色 6 2 3 3 2 5 2" xfId="19083"/>
    <cellStyle name="40% - 强调文字颜色 6 2 3 3 2 6" xfId="19084"/>
    <cellStyle name="40% - 强调文字颜色 6 2 3 3 3" xfId="19085"/>
    <cellStyle name="40% - 强调文字颜色 6 2 3 3 3 2" xfId="19086"/>
    <cellStyle name="40% - 强调文字颜色 6 2 3 3 3 2 2" xfId="19087"/>
    <cellStyle name="40% - 强调文字颜色 6 2 3 3 3 2 2 2" xfId="19088"/>
    <cellStyle name="40% - 强调文字颜色 6 2 3 3 3 3" xfId="19089"/>
    <cellStyle name="40% - 强调文字颜色 6 2 3 3 3 3 2" xfId="19090"/>
    <cellStyle name="40% - 强调文字颜色 6 2 3 3 3 4" xfId="19091"/>
    <cellStyle name="40% - 强调文字颜色 6 2 3 3 3 4 2" xfId="19092"/>
    <cellStyle name="40% - 强调文字颜色 6 2 3 3 3 5" xfId="19093"/>
    <cellStyle name="40% - 强调文字颜色 6 2 3 3 4" xfId="19094"/>
    <cellStyle name="40% - 强调文字颜色 6 2 3 3 5" xfId="19095"/>
    <cellStyle name="40% - 强调文字颜色 6 2 3 3 6" xfId="19096"/>
    <cellStyle name="40% - 强调文字颜色 6 2 3 3 6 2" xfId="19097"/>
    <cellStyle name="40% - 强调文字颜色 6 2 3 3 7" xfId="19098"/>
    <cellStyle name="40% - 强调文字颜色 6 2 3 3 7 2" xfId="19099"/>
    <cellStyle name="40% - 强调文字颜色 6 2 3 4" xfId="19100"/>
    <cellStyle name="40% - 强调文字颜色 6 2 3 4 2" xfId="19101"/>
    <cellStyle name="40% - 强调文字颜色 6 2 3 4 2 2" xfId="19102"/>
    <cellStyle name="40% - 强调文字颜色 6 2 3 4 2 3" xfId="19103"/>
    <cellStyle name="40% - 强调文字颜色 6 2 3 4 2 3 2" xfId="19104"/>
    <cellStyle name="40% - 强调文字颜色 6 2 3 4 2 3 2 2" xfId="19105"/>
    <cellStyle name="40% - 强调文字颜色 6 2 3 4 2 4" xfId="19106"/>
    <cellStyle name="40% - 强调文字颜色 6 2 3 4 2 4 2" xfId="19107"/>
    <cellStyle name="40% - 强调文字颜色 6 2 3 4 2 5" xfId="19108"/>
    <cellStyle name="40% - 强调文字颜色 6 2 3 4 2 5 2" xfId="19109"/>
    <cellStyle name="40% - 强调文字颜色 6 2 3 4 2 6" xfId="19110"/>
    <cellStyle name="40% - 强调文字颜色 6 2 3 4 3" xfId="19111"/>
    <cellStyle name="40% - 强调文字颜色 6 2 3 4 4" xfId="19112"/>
    <cellStyle name="40% - 强调文字颜色 6 2 3 4 5" xfId="19113"/>
    <cellStyle name="40% - 强调文字颜色 6 2 3 4 6" xfId="19114"/>
    <cellStyle name="40% - 强调文字颜色 6 2 3 4 6 2" xfId="19115"/>
    <cellStyle name="40% - 强调文字颜色 6 2 3 4 7" xfId="19116"/>
    <cellStyle name="40% - 强调文字颜色 6 2 3 4 7 2" xfId="19117"/>
    <cellStyle name="40% - 强调文字颜色 6 2 3 5" xfId="19118"/>
    <cellStyle name="40% - 强调文字颜色 6 2 3 5 2" xfId="19119"/>
    <cellStyle name="40% - 强调文字颜色 6 2 3 5 2 2" xfId="19120"/>
    <cellStyle name="40% - 强调文字颜色 6 2 3 5 2 2 2" xfId="19121"/>
    <cellStyle name="40% - 强调文字颜色 6 2 3 5 2 2 2 2" xfId="19122"/>
    <cellStyle name="40% - 强调文字颜色 6 2 3 5 2 3" xfId="19123"/>
    <cellStyle name="40% - 强调文字颜色 6 2 3 5 2 3 2" xfId="19124"/>
    <cellStyle name="40% - 强调文字颜色 6 2 3 5 2 4" xfId="19125"/>
    <cellStyle name="40% - 强调文字颜色 6 2 3 5 2 4 2" xfId="19126"/>
    <cellStyle name="40% - 强调文字颜色 6 2 3 5 2 5" xfId="19127"/>
    <cellStyle name="40% - 强调文字颜色 6 2 3 5 3" xfId="19128"/>
    <cellStyle name="40% - 强调文字颜色 6 2 3 5 3 2" xfId="19129"/>
    <cellStyle name="40% - 强调文字颜色 6 2 3 5 3 2 2" xfId="19130"/>
    <cellStyle name="40% - 强调文字颜色 6 2 3 5 4" xfId="19131"/>
    <cellStyle name="40% - 强调文字颜色 6 2 3 5 4 2" xfId="19132"/>
    <cellStyle name="40% - 强调文字颜色 6 2 3 5 5" xfId="19133"/>
    <cellStyle name="40% - 强调文字颜色 6 2 3 5 5 2" xfId="19134"/>
    <cellStyle name="40% - 强调文字颜色 6 2 3 5 6" xfId="19135"/>
    <cellStyle name="40% - 强调文字颜色 6 2 3 6" xfId="19136"/>
    <cellStyle name="40% - 强调文字颜色 6 2 3 6 2" xfId="19137"/>
    <cellStyle name="40% - 强调文字颜色 6 2 3 6 2 2" xfId="19138"/>
    <cellStyle name="40% - 强调文字颜色 6 2 3 6 2 2 2" xfId="19139"/>
    <cellStyle name="40% - 强调文字颜色 6 2 3 6 3" xfId="19140"/>
    <cellStyle name="40% - 强调文字颜色 6 2 3 6 3 2" xfId="19141"/>
    <cellStyle name="40% - 强调文字颜色 6 2 3 6 4" xfId="19142"/>
    <cellStyle name="40% - 强调文字颜色 6 2 3 6 4 2" xfId="19143"/>
    <cellStyle name="40% - 强调文字颜色 6 2 3 6 5" xfId="19144"/>
    <cellStyle name="40% - 强调文字颜色 6 2 3 7" xfId="19145"/>
    <cellStyle name="40% - 强调文字颜色 6 2 3 7 2" xfId="19146"/>
    <cellStyle name="40% - 强调文字颜色 6 2 3 7 2 2" xfId="19147"/>
    <cellStyle name="40% - 强调文字颜色 6 2 3 7 2 2 2" xfId="19148"/>
    <cellStyle name="40% - 强调文字颜色 6 2 3 7 3" xfId="19149"/>
    <cellStyle name="40% - 强调文字颜色 6 2 3 7 3 2" xfId="19150"/>
    <cellStyle name="40% - 强调文字颜色 6 2 3 7 4" xfId="19151"/>
    <cellStyle name="40% - 强调文字颜色 6 2 3 7 4 2" xfId="19152"/>
    <cellStyle name="40% - 强调文字颜色 6 2 3 7 5" xfId="19153"/>
    <cellStyle name="40% - 强调文字颜色 6 2 3 8" xfId="19154"/>
    <cellStyle name="40% - 强调文字颜色 6 2 3 9" xfId="19155"/>
    <cellStyle name="40% - 强调文字颜色 6 2 3 9 2" xfId="19156"/>
    <cellStyle name="40% - 强调文字颜色 6 2 4" xfId="19157"/>
    <cellStyle name="40% - 强调文字颜色 6 2 4 2" xfId="19158"/>
    <cellStyle name="40% - 强调文字颜色 6 2 4 2 2" xfId="19159"/>
    <cellStyle name="40% - 强调文字颜色 6 2 4 2 3" xfId="19160"/>
    <cellStyle name="40% - 强调文字颜色 6 2 4 2 3 2" xfId="19161"/>
    <cellStyle name="40% - 强调文字颜色 6 2 4 2 3 2 2" xfId="19162"/>
    <cellStyle name="40% - 强调文字颜色 6 2 4 2 4" xfId="19163"/>
    <cellStyle name="40% - 强调文字颜色 6 2 4 2 4 2" xfId="19164"/>
    <cellStyle name="40% - 强调文字颜色 6 2 4 2 5" xfId="19165"/>
    <cellStyle name="40% - 强调文字颜色 6 2 4 2 5 2" xfId="19166"/>
    <cellStyle name="40% - 强调文字颜色 6 2 4 2 6" xfId="19167"/>
    <cellStyle name="40% - 强调文字颜色 6 2 4 3" xfId="19168"/>
    <cellStyle name="40% - 强调文字颜色 6 2 4 3 2" xfId="19169"/>
    <cellStyle name="40% - 强调文字颜色 6 2 4 3 2 2" xfId="19170"/>
    <cellStyle name="40% - 强调文字颜色 6 2 4 3 2 2 2" xfId="19171"/>
    <cellStyle name="40% - 强调文字颜色 6 2 4 3 3" xfId="19172"/>
    <cellStyle name="40% - 强调文字颜色 6 2 4 3 3 2" xfId="19173"/>
    <cellStyle name="40% - 强调文字颜色 6 2 4 3 4" xfId="19174"/>
    <cellStyle name="40% - 强调文字颜色 6 2 4 3 4 2" xfId="19175"/>
    <cellStyle name="40% - 强调文字颜色 6 2 4 3 5" xfId="19176"/>
    <cellStyle name="40% - 强调文字颜色 6 2 4 4" xfId="19177"/>
    <cellStyle name="40% - 强调文字颜色 6 2 4 5" xfId="19178"/>
    <cellStyle name="40% - 强调文字颜色 6 2 4 6" xfId="19179"/>
    <cellStyle name="40% - 强调文字颜色 6 2 4 6 2" xfId="19180"/>
    <cellStyle name="40% - 强调文字颜色 6 2 4 7" xfId="19181"/>
    <cellStyle name="40% - 强调文字颜色 6 2 4 7 2" xfId="19182"/>
    <cellStyle name="40% - 强调文字颜色 6 2 5" xfId="19183"/>
    <cellStyle name="40% - 强调文字颜色 6 2 5 2" xfId="19184"/>
    <cellStyle name="40% - 强调文字颜色 6 2 5 2 2" xfId="19185"/>
    <cellStyle name="40% - 强调文字颜色 6 2 5 2 3" xfId="19186"/>
    <cellStyle name="40% - 强调文字颜色 6 2 5 2 3 2" xfId="19187"/>
    <cellStyle name="40% - 强调文字颜色 6 2 5 2 3 2 2" xfId="19188"/>
    <cellStyle name="40% - 强调文字颜色 6 2 5 2 4" xfId="19189"/>
    <cellStyle name="40% - 强调文字颜色 6 2 5 2 4 2" xfId="19190"/>
    <cellStyle name="40% - 强调文字颜色 6 2 5 2 5" xfId="19191"/>
    <cellStyle name="40% - 强调文字颜色 6 2 5 2 5 2" xfId="19192"/>
    <cellStyle name="40% - 强调文字颜色 6 2 5 2 6" xfId="19193"/>
    <cellStyle name="40% - 强调文字颜色 6 2 5 3" xfId="19194"/>
    <cellStyle name="40% - 强调文字颜色 6 2 5 4" xfId="19195"/>
    <cellStyle name="40% - 强调文字颜色 6 2 5 5" xfId="19196"/>
    <cellStyle name="40% - 强调文字颜色 6 2 5 6" xfId="19197"/>
    <cellStyle name="40% - 强调文字颜色 6 2 5 6 2" xfId="19198"/>
    <cellStyle name="40% - 强调文字颜色 6 2 5 7" xfId="19199"/>
    <cellStyle name="40% - 强调文字颜色 6 2 5 7 2" xfId="19200"/>
    <cellStyle name="40% - 强调文字颜色 6 2 6" xfId="19201"/>
    <cellStyle name="40% - 强调文字颜色 6 2 6 2" xfId="19202"/>
    <cellStyle name="40% - 强调文字颜色 6 2 6 2 2" xfId="19203"/>
    <cellStyle name="40% - 强调文字颜色 6 2 6 2 2 2" xfId="19204"/>
    <cellStyle name="40% - 强调文字颜色 6 2 6 2 2 2 2" xfId="19205"/>
    <cellStyle name="40% - 强调文字颜色 6 2 6 2 3" xfId="19206"/>
    <cellStyle name="40% - 强调文字颜色 6 2 6 2 3 2" xfId="19207"/>
    <cellStyle name="40% - 强调文字颜色 6 2 6 2 4" xfId="19208"/>
    <cellStyle name="40% - 强调文字颜色 6 2 6 2 4 2" xfId="19209"/>
    <cellStyle name="40% - 强调文字颜色 6 2 6 2 5" xfId="19210"/>
    <cellStyle name="40% - 强调文字颜色 6 2 6 3" xfId="19211"/>
    <cellStyle name="40% - 强调文字颜色 6 2 6 3 2" xfId="19212"/>
    <cellStyle name="40% - 强调文字颜色 6 2 6 3 2 2" xfId="19213"/>
    <cellStyle name="40% - 强调文字颜色 6 2 6 4" xfId="19214"/>
    <cellStyle name="40% - 强调文字颜色 6 2 6 4 2" xfId="19215"/>
    <cellStyle name="40% - 强调文字颜色 6 2 6 5" xfId="19216"/>
    <cellStyle name="40% - 强调文字颜色 6 2 6 5 2" xfId="19217"/>
    <cellStyle name="40% - 强调文字颜色 6 2 6 6" xfId="19218"/>
    <cellStyle name="40% - 强调文字颜色 6 2 7" xfId="19219"/>
    <cellStyle name="40% - 强调文字颜色 6 2 7 2" xfId="19220"/>
    <cellStyle name="40% - 强调文字颜色 6 2 7 2 2" xfId="19221"/>
    <cellStyle name="40% - 强调文字颜色 6 2 7 2 2 2" xfId="19222"/>
    <cellStyle name="40% - 强调文字颜色 6 2 7 2 2 2 2" xfId="19223"/>
    <cellStyle name="40% - 强调文字颜色 6 2 7 2 3" xfId="19224"/>
    <cellStyle name="40% - 强调文字颜色 6 2 7 2 3 2" xfId="19225"/>
    <cellStyle name="40% - 强调文字颜色 6 2 7 2 4" xfId="19226"/>
    <cellStyle name="40% - 强调文字颜色 6 2 7 2 4 2" xfId="19227"/>
    <cellStyle name="40% - 强调文字颜色 6 2 7 2 5" xfId="19228"/>
    <cellStyle name="40% - 强调文字颜色 6 2 7 3" xfId="19229"/>
    <cellStyle name="40% - 强调文字颜色 6 2 7 3 2" xfId="19230"/>
    <cellStyle name="40% - 强调文字颜色 6 2 7 3 2 2" xfId="19231"/>
    <cellStyle name="40% - 强调文字颜色 6 2 7 4" xfId="19232"/>
    <cellStyle name="40% - 强调文字颜色 6 2 7 4 2" xfId="19233"/>
    <cellStyle name="40% - 强调文字颜色 6 2 7 5" xfId="19234"/>
    <cellStyle name="40% - 强调文字颜色 6 2 7 5 2" xfId="19235"/>
    <cellStyle name="40% - 强调文字颜色 6 2 7 6" xfId="19236"/>
    <cellStyle name="40% - 强调文字颜色 6 2 8" xfId="19237"/>
    <cellStyle name="40% - 强调文字颜色 6 2 8 2" xfId="19238"/>
    <cellStyle name="40% - 强调文字颜色 6 2 8 2 2" xfId="19239"/>
    <cellStyle name="40% - 强调文字颜色 6 2 8 2 2 2" xfId="19240"/>
    <cellStyle name="40% - 强调文字颜色 6 2 8 2 2 2 2" xfId="19241"/>
    <cellStyle name="40% - 强调文字颜色 6 2 8 2 3" xfId="19242"/>
    <cellStyle name="40% - 强调文字颜色 6 2 8 2 3 2" xfId="19243"/>
    <cellStyle name="40% - 强调文字颜色 6 2 8 2 4" xfId="19244"/>
    <cellStyle name="40% - 强调文字颜色 6 2 8 2 4 2" xfId="19245"/>
    <cellStyle name="40% - 强调文字颜色 6 2 8 2 5" xfId="19246"/>
    <cellStyle name="40% - 强调文字颜色 6 2 8 3" xfId="19247"/>
    <cellStyle name="40% - 强调文字颜色 6 2 8 3 2" xfId="19248"/>
    <cellStyle name="40% - 强调文字颜色 6 2 8 3 2 2" xfId="19249"/>
    <cellStyle name="40% - 强调文字颜色 6 2 8 4" xfId="19250"/>
    <cellStyle name="40% - 强调文字颜色 6 2 8 4 2" xfId="19251"/>
    <cellStyle name="40% - 强调文字颜色 6 2 8 5" xfId="19252"/>
    <cellStyle name="40% - 强调文字颜色 6 2 8 5 2" xfId="19253"/>
    <cellStyle name="40% - 强调文字颜色 6 2 8 6" xfId="19254"/>
    <cellStyle name="40% - 强调文字颜色 6 2 9" xfId="19255"/>
    <cellStyle name="40% - 强调文字颜色 6 2 9 2" xfId="19256"/>
    <cellStyle name="40% - 强调文字颜色 6 2 9 2 2" xfId="19257"/>
    <cellStyle name="40% - 强调文字颜色 6 2 9 2 2 2" xfId="19258"/>
    <cellStyle name="40% - 强调文字颜色 6 2 9 3" xfId="19259"/>
    <cellStyle name="40% - 强调文字颜色 6 2 9 3 2" xfId="19260"/>
    <cellStyle name="40% - 强调文字颜色 6 2 9 4" xfId="19261"/>
    <cellStyle name="40% - 强调文字颜色 6 2 9 4 2" xfId="19262"/>
    <cellStyle name="40% - 强调文字颜色 6 2 9 5" xfId="19263"/>
    <cellStyle name="40% - 强调文字颜色 6 3" xfId="19264"/>
    <cellStyle name="40% - 强调文字颜色 6 3 2" xfId="19265"/>
    <cellStyle name="40% - 强调文字颜色 6 3 2 2" xfId="19266"/>
    <cellStyle name="40% - 强调文字颜色 6 3 2 2 2" xfId="19267"/>
    <cellStyle name="40% - 强调文字颜色 6 3 2 2 2 2" xfId="19268"/>
    <cellStyle name="40% - 强调文字颜色 6 3 2 2 2 3" xfId="19269"/>
    <cellStyle name="40% - 强调文字颜色 6 3 2 2 2 3 2" xfId="19270"/>
    <cellStyle name="40% - 强调文字颜色 6 3 2 2 2 3 2 2" xfId="19271"/>
    <cellStyle name="40% - 强调文字颜色 6 3 2 2 2 4" xfId="19272"/>
    <cellStyle name="40% - 强调文字颜色 6 3 2 2 2 4 2" xfId="19273"/>
    <cellStyle name="40% - 强调文字颜色 6 3 2 2 2 5" xfId="19274"/>
    <cellStyle name="40% - 强调文字颜色 6 3 2 2 2 5 2" xfId="19275"/>
    <cellStyle name="40% - 强调文字颜色 6 3 2 2 2 6" xfId="19276"/>
    <cellStyle name="40% - 强调文字颜色 6 3 2 2 3" xfId="19277"/>
    <cellStyle name="40% - 强调文字颜色 6 3 2 2 3 2" xfId="19278"/>
    <cellStyle name="40% - 强调文字颜色 6 3 2 2 3 2 2" xfId="19279"/>
    <cellStyle name="40% - 强调文字颜色 6 3 2 2 3 2 2 2" xfId="19280"/>
    <cellStyle name="40% - 强调文字颜色 6 3 2 2 3 3" xfId="19281"/>
    <cellStyle name="40% - 强调文字颜色 6 3 2 2 3 3 2" xfId="19282"/>
    <cellStyle name="40% - 强调文字颜色 6 3 2 2 3 4" xfId="19283"/>
    <cellStyle name="40% - 强调文字颜色 6 3 2 2 3 4 2" xfId="19284"/>
    <cellStyle name="40% - 强调文字颜色 6 3 2 2 3 5" xfId="19285"/>
    <cellStyle name="40% - 强调文字颜色 6 3 2 2 4" xfId="19286"/>
    <cellStyle name="40% - 强调文字颜色 6 3 2 2 5" xfId="19287"/>
    <cellStyle name="40% - 强调文字颜色 6 3 2 2 6" xfId="19288"/>
    <cellStyle name="40% - 强调文字颜色 6 3 2 2 6 2" xfId="19289"/>
    <cellStyle name="40% - 强调文字颜色 6 3 2 2 7" xfId="19290"/>
    <cellStyle name="40% - 强调文字颜色 6 3 2 2 7 2" xfId="19291"/>
    <cellStyle name="40% - 强调文字颜色 6 3 2 3" xfId="19292"/>
    <cellStyle name="40% - 强调文字颜色 6 3 2 3 2" xfId="19293"/>
    <cellStyle name="40% - 强调文字颜色 6 3 2 3 3" xfId="19294"/>
    <cellStyle name="40% - 强调文字颜色 6 3 2 3 3 2" xfId="19295"/>
    <cellStyle name="40% - 强调文字颜色 6 3 2 3 3 2 2" xfId="19296"/>
    <cellStyle name="40% - 强调文字颜色 6 3 2 3 4" xfId="19297"/>
    <cellStyle name="40% - 强调文字颜色 6 3 2 3 4 2" xfId="19298"/>
    <cellStyle name="40% - 强调文字颜色 6 3 2 3 5" xfId="19299"/>
    <cellStyle name="40% - 强调文字颜色 6 3 2 3 5 2" xfId="19300"/>
    <cellStyle name="40% - 强调文字颜色 6 3 2 3 6" xfId="19301"/>
    <cellStyle name="40% - 强调文字颜色 6 3 2 4" xfId="19302"/>
    <cellStyle name="40% - 强调文字颜色 6 3 2 4 2" xfId="19303"/>
    <cellStyle name="40% - 强调文字颜色 6 3 2 4 2 2" xfId="19304"/>
    <cellStyle name="40% - 强调文字颜色 6 3 2 4 2 2 2" xfId="19305"/>
    <cellStyle name="40% - 强调文字颜色 6 3 2 4 3" xfId="19306"/>
    <cellStyle name="40% - 强调文字颜色 6 3 2 4 3 2" xfId="19307"/>
    <cellStyle name="40% - 强调文字颜色 6 3 2 4 4" xfId="19308"/>
    <cellStyle name="40% - 强调文字颜色 6 3 2 4 4 2" xfId="19309"/>
    <cellStyle name="40% - 强调文字颜色 6 3 2 4 5" xfId="19310"/>
    <cellStyle name="40% - 强调文字颜色 6 3 2 5" xfId="19311"/>
    <cellStyle name="40% - 强调文字颜色 6 3 2 6" xfId="19312"/>
    <cellStyle name="40% - 强调文字颜色 6 3 2 7" xfId="19313"/>
    <cellStyle name="40% - 强调文字颜色 6 3 2 7 2" xfId="19314"/>
    <cellStyle name="40% - 强调文字颜色 6 3 2 8" xfId="19315"/>
    <cellStyle name="40% - 强调文字颜色 6 3 2 8 2" xfId="19316"/>
    <cellStyle name="40% - 强调文字颜色 6 3 3" xfId="19317"/>
    <cellStyle name="40% - 强调文字颜色 6 3 3 2" xfId="19318"/>
    <cellStyle name="40% - 强调文字颜色 6 3 3 2 2" xfId="19319"/>
    <cellStyle name="40% - 强调文字颜色 6 3 3 2 3" xfId="19320"/>
    <cellStyle name="40% - 强调文字颜色 6 3 3 2 3 2" xfId="19321"/>
    <cellStyle name="40% - 强调文字颜色 6 3 3 2 3 2 2" xfId="19322"/>
    <cellStyle name="40% - 强调文字颜色 6 3 3 2 4" xfId="19323"/>
    <cellStyle name="40% - 强调文字颜色 6 3 3 2 4 2" xfId="19324"/>
    <cellStyle name="40% - 强调文字颜色 6 3 3 2 5" xfId="19325"/>
    <cellStyle name="40% - 强调文字颜色 6 3 3 2 5 2" xfId="19326"/>
    <cellStyle name="40% - 强调文字颜色 6 3 3 2 6" xfId="19327"/>
    <cellStyle name="40% - 强调文字颜色 6 3 3 3" xfId="19328"/>
    <cellStyle name="40% - 强调文字颜色 6 3 3 3 2" xfId="19329"/>
    <cellStyle name="40% - 强调文字颜色 6 3 3 3 2 2" xfId="19330"/>
    <cellStyle name="40% - 强调文字颜色 6 3 3 3 2 2 2" xfId="19331"/>
    <cellStyle name="40% - 强调文字颜色 6 3 3 3 3" xfId="19332"/>
    <cellStyle name="40% - 强调文字颜色 6 3 3 3 3 2" xfId="19333"/>
    <cellStyle name="40% - 强调文字颜色 6 3 3 3 4" xfId="19334"/>
    <cellStyle name="40% - 强调文字颜色 6 3 3 3 4 2" xfId="19335"/>
    <cellStyle name="40% - 强调文字颜色 6 3 3 3 5" xfId="19336"/>
    <cellStyle name="40% - 强调文字颜色 6 3 3 4" xfId="19337"/>
    <cellStyle name="40% - 强调文字颜色 6 3 3 5" xfId="19338"/>
    <cellStyle name="40% - 强调文字颜色 6 3 3 6" xfId="19339"/>
    <cellStyle name="40% - 强调文字颜色 6 3 3 6 2" xfId="19340"/>
    <cellStyle name="40% - 强调文字颜色 6 3 3 7" xfId="19341"/>
    <cellStyle name="40% - 强调文字颜色 6 3 3 7 2" xfId="19342"/>
    <cellStyle name="40% - 强调文字颜色 6 3 4" xfId="19343"/>
    <cellStyle name="40% - 强调文字颜色 6 3 4 2" xfId="19344"/>
    <cellStyle name="40% - 强调文字颜色 6 3 4 2 2" xfId="19345"/>
    <cellStyle name="40% - 强调文字颜色 6 3 4 2 3" xfId="19346"/>
    <cellStyle name="40% - 强调文字颜色 6 3 4 2 3 2" xfId="19347"/>
    <cellStyle name="40% - 强调文字颜色 6 3 4 2 3 2 2" xfId="19348"/>
    <cellStyle name="40% - 强调文字颜色 6 3 4 2 4" xfId="19349"/>
    <cellStyle name="40% - 强调文字颜色 6 3 4 2 4 2" xfId="19350"/>
    <cellStyle name="40% - 强调文字颜色 6 3 4 2 5" xfId="19351"/>
    <cellStyle name="40% - 强调文字颜色 6 3 4 2 5 2" xfId="19352"/>
    <cellStyle name="40% - 强调文字颜色 6 3 4 2 6" xfId="19353"/>
    <cellStyle name="40% - 强调文字颜色 6 3 4 3" xfId="19354"/>
    <cellStyle name="40% - 强调文字颜色 6 3 4 4" xfId="19355"/>
    <cellStyle name="40% - 强调文字颜色 6 3 4 5" xfId="19356"/>
    <cellStyle name="40% - 强调文字颜色 6 3 4 6" xfId="19357"/>
    <cellStyle name="40% - 强调文字颜色 6 3 4 6 2" xfId="19358"/>
    <cellStyle name="40% - 强调文字颜色 6 3 4 7" xfId="19359"/>
    <cellStyle name="40% - 强调文字颜色 6 3 4 7 2" xfId="19360"/>
    <cellStyle name="40% - 强调文字颜色 6 3 5" xfId="19361"/>
    <cellStyle name="40% - 强调文字颜色 6 3 5 2" xfId="19362"/>
    <cellStyle name="40% - 强调文字颜色 6 3 5 2 2" xfId="19363"/>
    <cellStyle name="40% - 强调文字颜色 6 3 5 2 2 2" xfId="19364"/>
    <cellStyle name="40% - 强调文字颜色 6 3 5 2 2 2 2" xfId="19365"/>
    <cellStyle name="40% - 强调文字颜色 6 3 5 2 3" xfId="19366"/>
    <cellStyle name="40% - 强调文字颜色 6 3 5 2 3 2" xfId="19367"/>
    <cellStyle name="40% - 强调文字颜色 6 3 5 2 4" xfId="19368"/>
    <cellStyle name="40% - 强调文字颜色 6 3 5 2 4 2" xfId="19369"/>
    <cellStyle name="40% - 强调文字颜色 6 3 5 2 5" xfId="19370"/>
    <cellStyle name="40% - 强调文字颜色 6 3 5 3" xfId="19371"/>
    <cellStyle name="40% - 强调文字颜色 6 3 5 3 2" xfId="19372"/>
    <cellStyle name="40% - 强调文字颜色 6 3 5 3 2 2" xfId="19373"/>
    <cellStyle name="40% - 强调文字颜色 6 3 5 4" xfId="19374"/>
    <cellStyle name="40% - 强调文字颜色 6 3 5 4 2" xfId="19375"/>
    <cellStyle name="40% - 强调文字颜色 6 3 5 5" xfId="19376"/>
    <cellStyle name="40% - 强调文字颜色 6 3 5 5 2" xfId="19377"/>
    <cellStyle name="40% - 强调文字颜色 6 3 5 6" xfId="19378"/>
    <cellStyle name="40% - 强调文字颜色 6 3 6" xfId="19379"/>
    <cellStyle name="40% - 强调文字颜色 6 3 6 2" xfId="19380"/>
    <cellStyle name="40% - 强调文字颜色 6 3 6 2 2" xfId="19381"/>
    <cellStyle name="40% - 强调文字颜色 6 3 6 2 2 2" xfId="19382"/>
    <cellStyle name="40% - 强调文字颜色 6 3 6 3" xfId="19383"/>
    <cellStyle name="40% - 强调文字颜色 6 3 6 3 2" xfId="19384"/>
    <cellStyle name="40% - 强调文字颜色 6 3 6 4" xfId="19385"/>
    <cellStyle name="40% - 强调文字颜色 6 3 6 4 2" xfId="19386"/>
    <cellStyle name="40% - 强调文字颜色 6 3 6 5" xfId="19387"/>
    <cellStyle name="40% - 强调文字颜色 6 3 7" xfId="19388"/>
    <cellStyle name="40% - 强调文字颜色 6 3 8" xfId="19389"/>
    <cellStyle name="40% - 强调文字颜色 6 3 8 2" xfId="19390"/>
    <cellStyle name="40% - 强调文字颜色 6 3 9" xfId="19391"/>
    <cellStyle name="40% - 强调文字颜色 6 3 9 2" xfId="19392"/>
    <cellStyle name="60% - ?????? 1oft\Sh" xfId="19393"/>
    <cellStyle name="60% - ?????? 1oft\Sh 2" xfId="19394"/>
    <cellStyle name="60% - ?????? 1oft\Sh 3" xfId="19395"/>
    <cellStyle name="60% - ?????? 1oft\Sh 3 2" xfId="19396"/>
    <cellStyle name="60% - ?????? 1oft\Sh 4" xfId="19397"/>
    <cellStyle name="60% - ?????? 2oft\Sh" xfId="19398"/>
    <cellStyle name="60% - ?????? 2oft\Sh 2" xfId="19399"/>
    <cellStyle name="60% - ?????? 2oft\Sh 3" xfId="19400"/>
    <cellStyle name="60% - ?????? 2oft\Sh 3 2" xfId="19401"/>
    <cellStyle name="60% - ?????? 2oft\Sh 4" xfId="19402"/>
    <cellStyle name="60% - ?????? 3oft\Sh" xfId="19403"/>
    <cellStyle name="60% - ?????? 3oft\Sh 2" xfId="19404"/>
    <cellStyle name="60% - ?????? 3oft\Sh 3" xfId="19405"/>
    <cellStyle name="60% - ?????? 3oft\Sh 3 2" xfId="19406"/>
    <cellStyle name="60% - ?????? 3oft\Sh 4" xfId="19407"/>
    <cellStyle name="60% - ?????? 4oft\Sh" xfId="19408"/>
    <cellStyle name="60% - ?????? 4oft\Sh 2" xfId="19409"/>
    <cellStyle name="60% - ?????? 4oft\Sh 3" xfId="19410"/>
    <cellStyle name="60% - ?????? 4oft\Sh 3 2" xfId="19411"/>
    <cellStyle name="60% - ?????? 4oft\Sh 4" xfId="19412"/>
    <cellStyle name="60% - ?????? 5oft\Sh" xfId="19413"/>
    <cellStyle name="60% - ?????? 5oft\Sh 2" xfId="19414"/>
    <cellStyle name="60% - ?????? 5oft\Sh 3" xfId="19415"/>
    <cellStyle name="60% - ?????? 5oft\Sh 3 2" xfId="19416"/>
    <cellStyle name="60% - ?????? 5oft\Sh 4" xfId="19417"/>
    <cellStyle name="60% - ?????? 6oft\Sh" xfId="19418"/>
    <cellStyle name="60% - ?????? 6oft\Sh 2" xfId="19419"/>
    <cellStyle name="60% - ?????? 6oft\Sh 3" xfId="19420"/>
    <cellStyle name="60% - ?????? 6oft\Sh 3 2" xfId="19421"/>
    <cellStyle name="60% - ?????? 6oft\Sh 4" xfId="19422"/>
    <cellStyle name="60% - ???1nt6" xfId="19423"/>
    <cellStyle name="60% - ???1nt6 2" xfId="19424"/>
    <cellStyle name="60% - ???1nt6 3" xfId="19425"/>
    <cellStyle name="60% - ???1nt6 3 2" xfId="19426"/>
    <cellStyle name="60% - ???1nt6 4" xfId="19427"/>
    <cellStyle name="60% - ???2nt6" xfId="19428"/>
    <cellStyle name="60% - ???2nt6 2" xfId="19429"/>
    <cellStyle name="60% - ???2nt6 3" xfId="19430"/>
    <cellStyle name="60% - ???2nt6 3 2" xfId="19431"/>
    <cellStyle name="60% - ???2nt6 4" xfId="19432"/>
    <cellStyle name="60% - ???3nt6" xfId="19433"/>
    <cellStyle name="60% - ???3nt6 2" xfId="19434"/>
    <cellStyle name="60% - ???3nt6 3" xfId="19435"/>
    <cellStyle name="60% - ???3nt6 3 2" xfId="19436"/>
    <cellStyle name="60% - ???3nt6 4" xfId="19437"/>
    <cellStyle name="60% - ???4nt6" xfId="19438"/>
    <cellStyle name="60% - ???4nt6 2" xfId="19439"/>
    <cellStyle name="60% - ???4nt6 3" xfId="19440"/>
    <cellStyle name="60% - ???4nt6 3 2" xfId="19441"/>
    <cellStyle name="60% - ???4nt6 4" xfId="19442"/>
    <cellStyle name="60% - ???5nt6" xfId="19443"/>
    <cellStyle name="60% - ???5nt6 2" xfId="19444"/>
    <cellStyle name="60% - ???5nt6 3" xfId="19445"/>
    <cellStyle name="60% - ???5nt6 3 2" xfId="19446"/>
    <cellStyle name="60% - ???5nt6 4" xfId="19447"/>
    <cellStyle name="60% - ???6nt6" xfId="19448"/>
    <cellStyle name="60% - ???6nt6 2" xfId="19449"/>
    <cellStyle name="60% - ???6nt6 3" xfId="19450"/>
    <cellStyle name="60% - ???6nt6 3 2" xfId="19451"/>
    <cellStyle name="60% - ???6nt6 4" xfId="19452"/>
    <cellStyle name="60% - Accent1 2" xfId="19453"/>
    <cellStyle name="60% - Accent1 2 2" xfId="19454"/>
    <cellStyle name="60% - Accent1 2 3" xfId="19455"/>
    <cellStyle name="60% - Accent1 3" xfId="19456"/>
    <cellStyle name="60% - Accent1 3 2" xfId="19457"/>
    <cellStyle name="60% - Accent1 4" xfId="19458"/>
    <cellStyle name="60% - Accent1 5" xfId="19459"/>
    <cellStyle name="60% - Accent2 2" xfId="19460"/>
    <cellStyle name="60% - Accent2 2 2" xfId="19461"/>
    <cellStyle name="60% - Accent2 2 3" xfId="19462"/>
    <cellStyle name="60% - Accent2 3" xfId="19463"/>
    <cellStyle name="60% - Accent2 3 2" xfId="19464"/>
    <cellStyle name="60% - Accent2 4" xfId="19465"/>
    <cellStyle name="60% - Accent2 5" xfId="19466"/>
    <cellStyle name="60% - Accent3 2" xfId="19467"/>
    <cellStyle name="60% - Accent3 2 2" xfId="19468"/>
    <cellStyle name="60% - Accent3 2 3" xfId="19469"/>
    <cellStyle name="60% - Accent3 3" xfId="19470"/>
    <cellStyle name="60% - Accent3 3 2" xfId="19471"/>
    <cellStyle name="60% - Accent3 4" xfId="19472"/>
    <cellStyle name="60% - Accent3 5" xfId="19473"/>
    <cellStyle name="60% - Accent4 2" xfId="19474"/>
    <cellStyle name="60% - Accent4 2 2" xfId="19475"/>
    <cellStyle name="60% - Accent4 2 3" xfId="19476"/>
    <cellStyle name="60% - Accent4 3" xfId="19477"/>
    <cellStyle name="60% - Accent4 3 2" xfId="19478"/>
    <cellStyle name="60% - Accent4 4" xfId="19479"/>
    <cellStyle name="60% - Accent4 5" xfId="19480"/>
    <cellStyle name="60% - Accent5 2" xfId="19481"/>
    <cellStyle name="60% - Accent5 2 2" xfId="19482"/>
    <cellStyle name="60% - Accent5 2 3" xfId="19483"/>
    <cellStyle name="60% - Accent5 3" xfId="19484"/>
    <cellStyle name="60% - Accent5 3 2" xfId="19485"/>
    <cellStyle name="60% - Accent5 4" xfId="19486"/>
    <cellStyle name="60% - Accent5 5" xfId="19487"/>
    <cellStyle name="60% - Accent6 2" xfId="19488"/>
    <cellStyle name="60% - Accent6 2 2" xfId="19489"/>
    <cellStyle name="60% - Accent6 2 3" xfId="19490"/>
    <cellStyle name="60% - Accent6 3" xfId="19491"/>
    <cellStyle name="60% - Accent6 3 2" xfId="19492"/>
    <cellStyle name="60% - Accent6 4" xfId="19493"/>
    <cellStyle name="60% - Accent6 5" xfId="19494"/>
    <cellStyle name="60% — акцент1 2" xfId="19495"/>
    <cellStyle name="60% — акцент1 2 2" xfId="19496"/>
    <cellStyle name="60% — акцент1 2 2 2" xfId="19497"/>
    <cellStyle name="60% — акцент1 2 2 3" xfId="19498"/>
    <cellStyle name="60% — акцент1 2 2 4" xfId="19499"/>
    <cellStyle name="60% — акцент1 2 2 5" xfId="19500"/>
    <cellStyle name="60% — акцент1 2 2 6" xfId="19501"/>
    <cellStyle name="60% — акцент1 2 3" xfId="19502"/>
    <cellStyle name="60% — акцент1 2 4" xfId="19503"/>
    <cellStyle name="60% — акцент1 2 5" xfId="19504"/>
    <cellStyle name="60% — акцент1 2 6" xfId="19505"/>
    <cellStyle name="60% — акцент1 2 7" xfId="19506"/>
    <cellStyle name="60% — акцент1 2 8" xfId="19507"/>
    <cellStyle name="60% — акцент1 3" xfId="19508"/>
    <cellStyle name="60% — акцент1 3 2" xfId="19509"/>
    <cellStyle name="60% — акцент1 3 3" xfId="19510"/>
    <cellStyle name="60% — акцент1 3 4" xfId="19511"/>
    <cellStyle name="60% — акцент1 3 5" xfId="19512"/>
    <cellStyle name="60% — акцент1 3 6" xfId="19513"/>
    <cellStyle name="60% — акцент1 4" xfId="19514"/>
    <cellStyle name="60% — акцент1 5" xfId="19515"/>
    <cellStyle name="60% — акцент1 6" xfId="19516"/>
    <cellStyle name="60% — акцент2 2" xfId="19517"/>
    <cellStyle name="60% — акцент2 2 2" xfId="19518"/>
    <cellStyle name="60% — акцент2 2 2 2" xfId="19519"/>
    <cellStyle name="60% — акцент2 2 2 3" xfId="19520"/>
    <cellStyle name="60% — акцент2 2 2 4" xfId="19521"/>
    <cellStyle name="60% — акцент2 2 2 5" xfId="19522"/>
    <cellStyle name="60% — акцент2 2 2 6" xfId="19523"/>
    <cellStyle name="60% — акцент2 2 3" xfId="19524"/>
    <cellStyle name="60% — акцент2 2 4" xfId="19525"/>
    <cellStyle name="60% — акцент2 2 5" xfId="19526"/>
    <cellStyle name="60% — акцент2 2 6" xfId="19527"/>
    <cellStyle name="60% — акцент2 2 7" xfId="19528"/>
    <cellStyle name="60% — акцент2 2 8" xfId="19529"/>
    <cellStyle name="60% — акцент2 3" xfId="19530"/>
    <cellStyle name="60% — акцент2 3 2" xfId="19531"/>
    <cellStyle name="60% — акцент2 3 3" xfId="19532"/>
    <cellStyle name="60% — акцент2 3 4" xfId="19533"/>
    <cellStyle name="60% — акцент2 3 5" xfId="19534"/>
    <cellStyle name="60% — акцент2 3 6" xfId="19535"/>
    <cellStyle name="60% — акцент2 4" xfId="19536"/>
    <cellStyle name="60% — акцент2 5" xfId="19537"/>
    <cellStyle name="60% — акцент2 6" xfId="19538"/>
    <cellStyle name="60% — акцент3 2" xfId="19539"/>
    <cellStyle name="60% — акцент3 2 2" xfId="19540"/>
    <cellStyle name="60% — акцент3 2 2 2" xfId="19541"/>
    <cellStyle name="60% — акцент3 2 2 3" xfId="19542"/>
    <cellStyle name="60% — акцент3 2 2 4" xfId="19543"/>
    <cellStyle name="60% — акцент3 2 2 5" xfId="19544"/>
    <cellStyle name="60% — акцент3 2 2 6" xfId="19545"/>
    <cellStyle name="60% — акцент3 2 3" xfId="19546"/>
    <cellStyle name="60% — акцент3 2 4" xfId="19547"/>
    <cellStyle name="60% — акцент3 2 5" xfId="19548"/>
    <cellStyle name="60% — акцент3 2 6" xfId="19549"/>
    <cellStyle name="60% — акцент3 2 7" xfId="19550"/>
    <cellStyle name="60% — акцент3 2 8" xfId="19551"/>
    <cellStyle name="60% — акцент3 3" xfId="19552"/>
    <cellStyle name="60% — акцент3 3 2" xfId="19553"/>
    <cellStyle name="60% — акцент3 3 3" xfId="19554"/>
    <cellStyle name="60% — акцент3 3 4" xfId="19555"/>
    <cellStyle name="60% — акцент3 3 5" xfId="19556"/>
    <cellStyle name="60% — акцент3 3 6" xfId="19557"/>
    <cellStyle name="60% — акцент3 4" xfId="19558"/>
    <cellStyle name="60% — акцент3 5" xfId="19559"/>
    <cellStyle name="60% — акцент3 6" xfId="19560"/>
    <cellStyle name="60% — акцент4 2" xfId="19561"/>
    <cellStyle name="60% — акцент4 2 2" xfId="19562"/>
    <cellStyle name="60% — акцент4 2 2 2" xfId="19563"/>
    <cellStyle name="60% — акцент4 2 2 3" xfId="19564"/>
    <cellStyle name="60% — акцент4 2 2 4" xfId="19565"/>
    <cellStyle name="60% — акцент4 2 2 5" xfId="19566"/>
    <cellStyle name="60% — акцент4 2 2 6" xfId="19567"/>
    <cellStyle name="60% — акцент4 2 3" xfId="19568"/>
    <cellStyle name="60% — акцент4 2 4" xfId="19569"/>
    <cellStyle name="60% — акцент4 2 5" xfId="19570"/>
    <cellStyle name="60% — акцент4 2 6" xfId="19571"/>
    <cellStyle name="60% — акцент4 2 7" xfId="19572"/>
    <cellStyle name="60% — акцент4 2 8" xfId="19573"/>
    <cellStyle name="60% — акцент4 3" xfId="19574"/>
    <cellStyle name="60% — акцент4 3 2" xfId="19575"/>
    <cellStyle name="60% — акцент4 3 3" xfId="19576"/>
    <cellStyle name="60% — акцент4 3 4" xfId="19577"/>
    <cellStyle name="60% — акцент4 3 5" xfId="19578"/>
    <cellStyle name="60% — акцент4 3 6" xfId="19579"/>
    <cellStyle name="60% — акцент4 4" xfId="19580"/>
    <cellStyle name="60% — акцент4 5" xfId="19581"/>
    <cellStyle name="60% — акцент4 6" xfId="19582"/>
    <cellStyle name="60% — акцент5 2" xfId="19583"/>
    <cellStyle name="60% — акцент5 2 2" xfId="19584"/>
    <cellStyle name="60% — акцент5 2 2 2" xfId="19585"/>
    <cellStyle name="60% — акцент5 2 2 3" xfId="19586"/>
    <cellStyle name="60% — акцент5 2 2 4" xfId="19587"/>
    <cellStyle name="60% — акцент5 2 2 5" xfId="19588"/>
    <cellStyle name="60% — акцент5 2 2 6" xfId="19589"/>
    <cellStyle name="60% — акцент5 2 3" xfId="19590"/>
    <cellStyle name="60% — акцент5 2 4" xfId="19591"/>
    <cellStyle name="60% — акцент5 2 5" xfId="19592"/>
    <cellStyle name="60% — акцент5 2 6" xfId="19593"/>
    <cellStyle name="60% — акцент5 2 7" xfId="19594"/>
    <cellStyle name="60% — акцент5 2 8" xfId="19595"/>
    <cellStyle name="60% — акцент5 3" xfId="19596"/>
    <cellStyle name="60% — акцент5 3 2" xfId="19597"/>
    <cellStyle name="60% — акцент5 3 3" xfId="19598"/>
    <cellStyle name="60% — акцент5 3 4" xfId="19599"/>
    <cellStyle name="60% — акцент5 3 5" xfId="19600"/>
    <cellStyle name="60% — акцент5 3 6" xfId="19601"/>
    <cellStyle name="60% — акцент5 4" xfId="19602"/>
    <cellStyle name="60% — акцент5 5" xfId="19603"/>
    <cellStyle name="60% — акцент5 6" xfId="19604"/>
    <cellStyle name="60% — акцент6 2" xfId="19605"/>
    <cellStyle name="60% — акцент6 2 2" xfId="19606"/>
    <cellStyle name="60% — акцент6 2 2 2" xfId="19607"/>
    <cellStyle name="60% — акцент6 2 2 3" xfId="19608"/>
    <cellStyle name="60% — акцент6 2 2 4" xfId="19609"/>
    <cellStyle name="60% — акцент6 2 2 5" xfId="19610"/>
    <cellStyle name="60% — акцент6 2 2 6" xfId="19611"/>
    <cellStyle name="60% — акцент6 2 3" xfId="19612"/>
    <cellStyle name="60% — акцент6 2 4" xfId="19613"/>
    <cellStyle name="60% — акцент6 2 5" xfId="19614"/>
    <cellStyle name="60% — акцент6 2 6" xfId="19615"/>
    <cellStyle name="60% — акцент6 2 7" xfId="19616"/>
    <cellStyle name="60% — акцент6 2 8" xfId="19617"/>
    <cellStyle name="60% — акцент6 3" xfId="19618"/>
    <cellStyle name="60% — акцент6 3 2" xfId="19619"/>
    <cellStyle name="60% — акцент6 3 3" xfId="19620"/>
    <cellStyle name="60% — акцент6 3 4" xfId="19621"/>
    <cellStyle name="60% — акцент6 3 5" xfId="19622"/>
    <cellStyle name="60% — акцент6 3 6" xfId="19623"/>
    <cellStyle name="60% — акцент6 4" xfId="19624"/>
    <cellStyle name="60% — акцент6 5" xfId="19625"/>
    <cellStyle name="60% — акцент6 6" xfId="19626"/>
    <cellStyle name="60% - 强调文字颜色 1 2" xfId="19627"/>
    <cellStyle name="60% - 强调文字颜色 1 2 10" xfId="19628"/>
    <cellStyle name="60% - 强调文字颜色 1 2 11" xfId="19629"/>
    <cellStyle name="60% - 强调文字颜色 1 2 2" xfId="19630"/>
    <cellStyle name="60% - 强调文字颜色 1 2 2 10" xfId="19631"/>
    <cellStyle name="60% - 强调文字颜色 1 2 2 11" xfId="19632"/>
    <cellStyle name="60% - 强调文字颜色 1 2 2 2" xfId="19633"/>
    <cellStyle name="60% - 强调文字颜色 1 2 2 2 2" xfId="19634"/>
    <cellStyle name="60% - 强调文字颜色 1 2 2 2 2 2" xfId="19635"/>
    <cellStyle name="60% - 强调文字颜色 1 2 2 2 2 2 2" xfId="19636"/>
    <cellStyle name="60% - 强调文字颜色 1 2 2 2 2 2 3" xfId="19637"/>
    <cellStyle name="60% - 强调文字颜色 1 2 2 2 2 2 3 2" xfId="19638"/>
    <cellStyle name="60% - 强调文字颜色 1 2 2 2 2 2 3 2 2" xfId="19639"/>
    <cellStyle name="60% - 强调文字颜色 1 2 2 2 2 2 4" xfId="19640"/>
    <cellStyle name="60% - 强调文字颜色 1 2 2 2 2 2 4 2" xfId="19641"/>
    <cellStyle name="60% - 强调文字颜色 1 2 2 2 2 3" xfId="19642"/>
    <cellStyle name="60% - 强调文字颜色 1 2 2 2 2 3 2" xfId="19643"/>
    <cellStyle name="60% - 强调文字颜色 1 2 2 2 2 3 2 2" xfId="19644"/>
    <cellStyle name="60% - 强调文字颜色 1 2 2 2 2 3 2 2 2" xfId="19645"/>
    <cellStyle name="60% - 强调文字颜色 1 2 2 2 2 3 3" xfId="19646"/>
    <cellStyle name="60% - 强调文字颜色 1 2 2 2 2 3 3 2" xfId="19647"/>
    <cellStyle name="60% - 强调文字颜色 1 2 2 2 2 4" xfId="19648"/>
    <cellStyle name="60% - 强调文字颜色 1 2 2 2 2 5" xfId="19649"/>
    <cellStyle name="60% - 强调文字颜色 1 2 2 2 2 6" xfId="19650"/>
    <cellStyle name="60% - 强调文字颜色 1 2 2 2 3" xfId="19651"/>
    <cellStyle name="60% - 强调文字颜色 1 2 2 2 3 2" xfId="19652"/>
    <cellStyle name="60% - 强调文字颜色 1 2 2 2 3 3" xfId="19653"/>
    <cellStyle name="60% - 强调文字颜色 1 2 2 2 3 3 2" xfId="19654"/>
    <cellStyle name="60% - 强调文字颜色 1 2 2 2 3 3 2 2" xfId="19655"/>
    <cellStyle name="60% - 强调文字颜色 1 2 2 2 3 4" xfId="19656"/>
    <cellStyle name="60% - 强调文字颜色 1 2 2 2 3 4 2" xfId="19657"/>
    <cellStyle name="60% - 强调文字颜色 1 2 2 2 4" xfId="19658"/>
    <cellStyle name="60% - 强调文字颜色 1 2 2 2 4 2" xfId="19659"/>
    <cellStyle name="60% - 强调文字颜色 1 2 2 2 4 2 2" xfId="19660"/>
    <cellStyle name="60% - 强调文字颜色 1 2 2 2 4 2 2 2" xfId="19661"/>
    <cellStyle name="60% - 强调文字颜色 1 2 2 2 4 3" xfId="19662"/>
    <cellStyle name="60% - 强调文字颜色 1 2 2 2 4 3 2" xfId="19663"/>
    <cellStyle name="60% - 强调文字颜色 1 2 2 2 5" xfId="19664"/>
    <cellStyle name="60% - 强调文字颜色 1 2 2 2 6" xfId="19665"/>
    <cellStyle name="60% - 强调文字颜色 1 2 2 2 7" xfId="19666"/>
    <cellStyle name="60% - 强调文字颜色 1 2 2 3" xfId="19667"/>
    <cellStyle name="60% - 强调文字颜色 1 2 2 3 2" xfId="19668"/>
    <cellStyle name="60% - 强调文字颜色 1 2 2 3 2 2" xfId="19669"/>
    <cellStyle name="60% - 强调文字颜色 1 2 2 3 2 3" xfId="19670"/>
    <cellStyle name="60% - 强调文字颜色 1 2 2 3 2 3 2" xfId="19671"/>
    <cellStyle name="60% - 强调文字颜色 1 2 2 3 2 3 2 2" xfId="19672"/>
    <cellStyle name="60% - 强调文字颜色 1 2 2 3 2 4" xfId="19673"/>
    <cellStyle name="60% - 强调文字颜色 1 2 2 3 2 4 2" xfId="19674"/>
    <cellStyle name="60% - 强调文字颜色 1 2 2 3 3" xfId="19675"/>
    <cellStyle name="60% - 强调文字颜色 1 2 2 3 3 2" xfId="19676"/>
    <cellStyle name="60% - 强调文字颜色 1 2 2 3 3 2 2" xfId="19677"/>
    <cellStyle name="60% - 强调文字颜色 1 2 2 3 3 2 2 2" xfId="19678"/>
    <cellStyle name="60% - 强调文字颜色 1 2 2 3 3 3" xfId="19679"/>
    <cellStyle name="60% - 强调文字颜色 1 2 2 3 3 3 2" xfId="19680"/>
    <cellStyle name="60% - 强调文字颜色 1 2 2 3 4" xfId="19681"/>
    <cellStyle name="60% - 强调文字颜色 1 2 2 3 5" xfId="19682"/>
    <cellStyle name="60% - 强调文字颜色 1 2 2 3 6" xfId="19683"/>
    <cellStyle name="60% - 强调文字颜色 1 2 2 4" xfId="19684"/>
    <cellStyle name="60% - 强调文字颜色 1 2 2 4 2" xfId="19685"/>
    <cellStyle name="60% - 强调文字颜色 1 2 2 4 2 2" xfId="19686"/>
    <cellStyle name="60% - 强调文字颜色 1 2 2 4 2 3" xfId="19687"/>
    <cellStyle name="60% - 强调文字颜色 1 2 2 4 2 3 2" xfId="19688"/>
    <cellStyle name="60% - 强调文字颜色 1 2 2 4 2 3 2 2" xfId="19689"/>
    <cellStyle name="60% - 强调文字颜色 1 2 2 4 2 4" xfId="19690"/>
    <cellStyle name="60% - 强调文字颜色 1 2 2 4 2 4 2" xfId="19691"/>
    <cellStyle name="60% - 强调文字颜色 1 2 2 4 3" xfId="19692"/>
    <cellStyle name="60% - 强调文字颜色 1 2 2 4 4" xfId="19693"/>
    <cellStyle name="60% - 强调文字颜色 1 2 2 4 5" xfId="19694"/>
    <cellStyle name="60% - 强调文字颜色 1 2 2 4 6" xfId="19695"/>
    <cellStyle name="60% - 强调文字颜色 1 2 2 5" xfId="19696"/>
    <cellStyle name="60% - 强调文字颜色 1 2 2 5 2" xfId="19697"/>
    <cellStyle name="60% - 强调文字颜色 1 2 2 5 2 2" xfId="19698"/>
    <cellStyle name="60% - 强调文字颜色 1 2 2 5 2 2 2" xfId="19699"/>
    <cellStyle name="60% - 强调文字颜色 1 2 2 5 2 2 2 2" xfId="19700"/>
    <cellStyle name="60% - 强调文字颜色 1 2 2 5 2 3" xfId="19701"/>
    <cellStyle name="60% - 强调文字颜色 1 2 2 5 2 3 2" xfId="19702"/>
    <cellStyle name="60% - 强调文字颜色 1 2 2 5 3" xfId="19703"/>
    <cellStyle name="60% - 强调文字颜色 1 2 2 5 3 2" xfId="19704"/>
    <cellStyle name="60% - 强调文字颜色 1 2 2 5 3 2 2" xfId="19705"/>
    <cellStyle name="60% - 强调文字颜色 1 2 2 5 4" xfId="19706"/>
    <cellStyle name="60% - 强调文字颜色 1 2 2 5 4 2" xfId="19707"/>
    <cellStyle name="60% - 强调文字颜色 1 2 2 6" xfId="19708"/>
    <cellStyle name="60% - 强调文字颜色 1 2 2 6 2" xfId="19709"/>
    <cellStyle name="60% - 强调文字颜色 1 2 2 6 2 2" xfId="19710"/>
    <cellStyle name="60% - 强调文字颜色 1 2 2 6 2 2 2" xfId="19711"/>
    <cellStyle name="60% - 强调文字颜色 1 2 2 6 2 2 2 2" xfId="19712"/>
    <cellStyle name="60% - 强调文字颜色 1 2 2 6 2 3" xfId="19713"/>
    <cellStyle name="60% - 强调文字颜色 1 2 2 6 2 3 2" xfId="19714"/>
    <cellStyle name="60% - 强调文字颜色 1 2 2 6 3" xfId="19715"/>
    <cellStyle name="60% - 强调文字颜色 1 2 2 6 3 2" xfId="19716"/>
    <cellStyle name="60% - 强调文字颜色 1 2 2 6 3 2 2" xfId="19717"/>
    <cellStyle name="60% - 强调文字颜色 1 2 2 6 4" xfId="19718"/>
    <cellStyle name="60% - 强调文字颜色 1 2 2 6 4 2" xfId="19719"/>
    <cellStyle name="60% - 强调文字颜色 1 2 2 7" xfId="19720"/>
    <cellStyle name="60% - 强调文字颜色 1 2 2 7 2" xfId="19721"/>
    <cellStyle name="60% - 强调文字颜色 1 2 2 7 2 2" xfId="19722"/>
    <cellStyle name="60% - 强调文字颜色 1 2 2 7 2 2 2" xfId="19723"/>
    <cellStyle name="60% - 强调文字颜色 1 2 2 7 2 2 2 2" xfId="19724"/>
    <cellStyle name="60% - 强调文字颜色 1 2 2 7 2 3" xfId="19725"/>
    <cellStyle name="60% - 强调文字颜色 1 2 2 7 2 3 2" xfId="19726"/>
    <cellStyle name="60% - 强调文字颜色 1 2 2 7 3" xfId="19727"/>
    <cellStyle name="60% - 强调文字颜色 1 2 2 7 3 2" xfId="19728"/>
    <cellStyle name="60% - 强调文字颜色 1 2 2 7 3 2 2" xfId="19729"/>
    <cellStyle name="60% - 强调文字颜色 1 2 2 7 4" xfId="19730"/>
    <cellStyle name="60% - 强调文字颜色 1 2 2 7 4 2" xfId="19731"/>
    <cellStyle name="60% - 强调文字颜色 1 2 2 8" xfId="19732"/>
    <cellStyle name="60% - 强调文字颜色 1 2 2 8 2" xfId="19733"/>
    <cellStyle name="60% - 强调文字颜色 1 2 2 8 2 2" xfId="19734"/>
    <cellStyle name="60% - 强调文字颜色 1 2 2 8 2 2 2" xfId="19735"/>
    <cellStyle name="60% - 强调文字颜色 1 2 2 8 3" xfId="19736"/>
    <cellStyle name="60% - 强调文字颜色 1 2 2 8 3 2" xfId="19737"/>
    <cellStyle name="60% - 强调文字颜色 1 2 2 9" xfId="19738"/>
    <cellStyle name="60% - 强调文字颜色 1 2 2 9 2" xfId="19739"/>
    <cellStyle name="60% - 强调文字颜色 1 2 2 9 2 2" xfId="19740"/>
    <cellStyle name="60% - 强调文字颜色 1 2 2 9 2 2 2" xfId="19741"/>
    <cellStyle name="60% - 强调文字颜色 1 2 2 9 3" xfId="19742"/>
    <cellStyle name="60% - 强调文字颜色 1 2 2 9 3 2" xfId="19743"/>
    <cellStyle name="60% - 强调文字颜色 1 2 3" xfId="19744"/>
    <cellStyle name="60% - 强调文字颜色 1 2 3 2" xfId="19745"/>
    <cellStyle name="60% - 强调文字颜色 1 2 3 2 2" xfId="19746"/>
    <cellStyle name="60% - 强调文字颜色 1 2 3 2 2 2" xfId="19747"/>
    <cellStyle name="60% - 强调文字颜色 1 2 3 2 2 2 2" xfId="19748"/>
    <cellStyle name="60% - 强调文字颜色 1 2 3 2 2 2 3" xfId="19749"/>
    <cellStyle name="60% - 强调文字颜色 1 2 3 2 2 2 3 2" xfId="19750"/>
    <cellStyle name="60% - 强调文字颜色 1 2 3 2 2 2 3 2 2" xfId="19751"/>
    <cellStyle name="60% - 强调文字颜色 1 2 3 2 2 2 4" xfId="19752"/>
    <cellStyle name="60% - 强调文字颜色 1 2 3 2 2 2 4 2" xfId="19753"/>
    <cellStyle name="60% - 强调文字颜色 1 2 3 2 2 3" xfId="19754"/>
    <cellStyle name="60% - 强调文字颜色 1 2 3 2 2 3 2" xfId="19755"/>
    <cellStyle name="60% - 强调文字颜色 1 2 3 2 2 3 2 2" xfId="19756"/>
    <cellStyle name="60% - 强调文字颜色 1 2 3 2 2 3 2 2 2" xfId="19757"/>
    <cellStyle name="60% - 强调文字颜色 1 2 3 2 2 3 3" xfId="19758"/>
    <cellStyle name="60% - 强调文字颜色 1 2 3 2 2 3 3 2" xfId="19759"/>
    <cellStyle name="60% - 强调文字颜色 1 2 3 2 2 4" xfId="19760"/>
    <cellStyle name="60% - 强调文字颜色 1 2 3 2 2 5" xfId="19761"/>
    <cellStyle name="60% - 强调文字颜色 1 2 3 2 2 6" xfId="19762"/>
    <cellStyle name="60% - 强调文字颜色 1 2 3 2 3" xfId="19763"/>
    <cellStyle name="60% - 强调文字颜色 1 2 3 2 3 2" xfId="19764"/>
    <cellStyle name="60% - 强调文字颜色 1 2 3 2 3 3" xfId="19765"/>
    <cellStyle name="60% - 强调文字颜色 1 2 3 2 3 3 2" xfId="19766"/>
    <cellStyle name="60% - 强调文字颜色 1 2 3 2 3 3 2 2" xfId="19767"/>
    <cellStyle name="60% - 强调文字颜色 1 2 3 2 3 4" xfId="19768"/>
    <cellStyle name="60% - 强调文字颜色 1 2 3 2 3 4 2" xfId="19769"/>
    <cellStyle name="60% - 强调文字颜色 1 2 3 2 4" xfId="19770"/>
    <cellStyle name="60% - 强调文字颜色 1 2 3 2 4 2" xfId="19771"/>
    <cellStyle name="60% - 强调文字颜色 1 2 3 2 4 2 2" xfId="19772"/>
    <cellStyle name="60% - 强调文字颜色 1 2 3 2 4 2 2 2" xfId="19773"/>
    <cellStyle name="60% - 强调文字颜色 1 2 3 2 4 3" xfId="19774"/>
    <cellStyle name="60% - 强调文字颜色 1 2 3 2 4 3 2" xfId="19775"/>
    <cellStyle name="60% - 强调文字颜色 1 2 3 2 5" xfId="19776"/>
    <cellStyle name="60% - 强调文字颜色 1 2 3 2 6" xfId="19777"/>
    <cellStyle name="60% - 强调文字颜色 1 2 3 2 7" xfId="19778"/>
    <cellStyle name="60% - 强调文字颜色 1 2 3 3" xfId="19779"/>
    <cellStyle name="60% - 强调文字颜色 1 2 3 3 2" xfId="19780"/>
    <cellStyle name="60% - 强调文字颜色 1 2 3 3 2 2" xfId="19781"/>
    <cellStyle name="60% - 强调文字颜色 1 2 3 3 2 3" xfId="19782"/>
    <cellStyle name="60% - 强调文字颜色 1 2 3 3 2 3 2" xfId="19783"/>
    <cellStyle name="60% - 强调文字颜色 1 2 3 3 2 3 2 2" xfId="19784"/>
    <cellStyle name="60% - 强调文字颜色 1 2 3 3 2 4" xfId="19785"/>
    <cellStyle name="60% - 强调文字颜色 1 2 3 3 2 4 2" xfId="19786"/>
    <cellStyle name="60% - 强调文字颜色 1 2 3 3 3" xfId="19787"/>
    <cellStyle name="60% - 强调文字颜色 1 2 3 3 3 2" xfId="19788"/>
    <cellStyle name="60% - 强调文字颜色 1 2 3 3 3 2 2" xfId="19789"/>
    <cellStyle name="60% - 强调文字颜色 1 2 3 3 3 2 2 2" xfId="19790"/>
    <cellStyle name="60% - 强调文字颜色 1 2 3 3 3 3" xfId="19791"/>
    <cellStyle name="60% - 强调文字颜色 1 2 3 3 3 3 2" xfId="19792"/>
    <cellStyle name="60% - 强调文字颜色 1 2 3 3 4" xfId="19793"/>
    <cellStyle name="60% - 强调文字颜色 1 2 3 3 5" xfId="19794"/>
    <cellStyle name="60% - 强调文字颜色 1 2 3 3 6" xfId="19795"/>
    <cellStyle name="60% - 强调文字颜色 1 2 3 4" xfId="19796"/>
    <cellStyle name="60% - 强调文字颜色 1 2 3 4 2" xfId="19797"/>
    <cellStyle name="60% - 强调文字颜色 1 2 3 4 2 2" xfId="19798"/>
    <cellStyle name="60% - 强调文字颜色 1 2 3 4 2 3" xfId="19799"/>
    <cellStyle name="60% - 强调文字颜色 1 2 3 4 2 3 2" xfId="19800"/>
    <cellStyle name="60% - 强调文字颜色 1 2 3 4 2 3 2 2" xfId="19801"/>
    <cellStyle name="60% - 强调文字颜色 1 2 3 4 2 4" xfId="19802"/>
    <cellStyle name="60% - 强调文字颜色 1 2 3 4 2 4 2" xfId="19803"/>
    <cellStyle name="60% - 强调文字颜色 1 2 3 4 3" xfId="19804"/>
    <cellStyle name="60% - 强调文字颜色 1 2 3 4 4" xfId="19805"/>
    <cellStyle name="60% - 强调文字颜色 1 2 3 4 5" xfId="19806"/>
    <cellStyle name="60% - 强调文字颜色 1 2 3 4 6" xfId="19807"/>
    <cellStyle name="60% - 强调文字颜色 1 2 3 5" xfId="19808"/>
    <cellStyle name="60% - 强调文字颜色 1 2 3 5 2" xfId="19809"/>
    <cellStyle name="60% - 强调文字颜色 1 2 3 5 2 2" xfId="19810"/>
    <cellStyle name="60% - 强调文字颜色 1 2 3 5 2 2 2" xfId="19811"/>
    <cellStyle name="60% - 强调文字颜色 1 2 3 5 2 2 2 2" xfId="19812"/>
    <cellStyle name="60% - 强调文字颜色 1 2 3 5 2 3" xfId="19813"/>
    <cellStyle name="60% - 强调文字颜色 1 2 3 5 2 3 2" xfId="19814"/>
    <cellStyle name="60% - 强调文字颜色 1 2 3 5 3" xfId="19815"/>
    <cellStyle name="60% - 强调文字颜色 1 2 3 5 3 2" xfId="19816"/>
    <cellStyle name="60% - 强调文字颜色 1 2 3 5 3 2 2" xfId="19817"/>
    <cellStyle name="60% - 强调文字颜色 1 2 3 5 4" xfId="19818"/>
    <cellStyle name="60% - 强调文字颜色 1 2 3 5 4 2" xfId="19819"/>
    <cellStyle name="60% - 强调文字颜色 1 2 3 6" xfId="19820"/>
    <cellStyle name="60% - 强调文字颜色 1 2 3 6 2" xfId="19821"/>
    <cellStyle name="60% - 强调文字颜色 1 2 3 6 2 2" xfId="19822"/>
    <cellStyle name="60% - 强调文字颜色 1 2 3 6 2 2 2" xfId="19823"/>
    <cellStyle name="60% - 强调文字颜色 1 2 3 6 3" xfId="19824"/>
    <cellStyle name="60% - 强调文字颜色 1 2 3 6 3 2" xfId="19825"/>
    <cellStyle name="60% - 强调文字颜色 1 2 3 7" xfId="19826"/>
    <cellStyle name="60% - 强调文字颜色 1 2 3 7 2" xfId="19827"/>
    <cellStyle name="60% - 强调文字颜色 1 2 3 7 2 2" xfId="19828"/>
    <cellStyle name="60% - 强调文字颜色 1 2 3 7 2 2 2" xfId="19829"/>
    <cellStyle name="60% - 强调文字颜色 1 2 3 7 3" xfId="19830"/>
    <cellStyle name="60% - 强调文字颜色 1 2 3 7 3 2" xfId="19831"/>
    <cellStyle name="60% - 强调文字颜色 1 2 3 8" xfId="19832"/>
    <cellStyle name="60% - 强调文字颜色 1 2 3 9" xfId="19833"/>
    <cellStyle name="60% - 强调文字颜色 1 2 4" xfId="19834"/>
    <cellStyle name="60% - 强调文字颜色 1 2 4 2" xfId="19835"/>
    <cellStyle name="60% - 强调文字颜色 1 2 4 2 2" xfId="19836"/>
    <cellStyle name="60% - 强调文字颜色 1 2 4 2 3" xfId="19837"/>
    <cellStyle name="60% - 强调文字颜色 1 2 4 2 3 2" xfId="19838"/>
    <cellStyle name="60% - 强调文字颜色 1 2 4 2 3 2 2" xfId="19839"/>
    <cellStyle name="60% - 强调文字颜色 1 2 4 2 4" xfId="19840"/>
    <cellStyle name="60% - 强调文字颜色 1 2 4 2 4 2" xfId="19841"/>
    <cellStyle name="60% - 强调文字颜色 1 2 4 3" xfId="19842"/>
    <cellStyle name="60% - 强调文字颜色 1 2 4 3 2" xfId="19843"/>
    <cellStyle name="60% - 强调文字颜色 1 2 4 3 2 2" xfId="19844"/>
    <cellStyle name="60% - 强调文字颜色 1 2 4 3 2 2 2" xfId="19845"/>
    <cellStyle name="60% - 强调文字颜色 1 2 4 3 3" xfId="19846"/>
    <cellStyle name="60% - 强调文字颜色 1 2 4 3 3 2" xfId="19847"/>
    <cellStyle name="60% - 强调文字颜色 1 2 4 4" xfId="19848"/>
    <cellStyle name="60% - 强调文字颜色 1 2 4 5" xfId="19849"/>
    <cellStyle name="60% - 强调文字颜色 1 2 4 6" xfId="19850"/>
    <cellStyle name="60% - 强调文字颜色 1 2 5" xfId="19851"/>
    <cellStyle name="60% - 强调文字颜色 1 2 5 2" xfId="19852"/>
    <cellStyle name="60% - 强调文字颜色 1 2 5 2 2" xfId="19853"/>
    <cellStyle name="60% - 强调文字颜色 1 2 5 2 3" xfId="19854"/>
    <cellStyle name="60% - 强调文字颜色 1 2 5 2 3 2" xfId="19855"/>
    <cellStyle name="60% - 强调文字颜色 1 2 5 2 3 2 2" xfId="19856"/>
    <cellStyle name="60% - 强调文字颜色 1 2 5 2 4" xfId="19857"/>
    <cellStyle name="60% - 强调文字颜色 1 2 5 2 4 2" xfId="19858"/>
    <cellStyle name="60% - 强调文字颜色 1 2 5 3" xfId="19859"/>
    <cellStyle name="60% - 强调文字颜色 1 2 5 4" xfId="19860"/>
    <cellStyle name="60% - 强调文字颜色 1 2 5 5" xfId="19861"/>
    <cellStyle name="60% - 强调文字颜色 1 2 5 6" xfId="19862"/>
    <cellStyle name="60% - 强调文字颜色 1 2 6" xfId="19863"/>
    <cellStyle name="60% - 强调文字颜色 1 2 6 2" xfId="19864"/>
    <cellStyle name="60% - 强调文字颜色 1 2 6 2 2" xfId="19865"/>
    <cellStyle name="60% - 强调文字颜色 1 2 6 2 2 2" xfId="19866"/>
    <cellStyle name="60% - 强调文字颜色 1 2 6 2 2 2 2" xfId="19867"/>
    <cellStyle name="60% - 强调文字颜色 1 2 6 2 3" xfId="19868"/>
    <cellStyle name="60% - 强调文字颜色 1 2 6 2 3 2" xfId="19869"/>
    <cellStyle name="60% - 强调文字颜色 1 2 6 3" xfId="19870"/>
    <cellStyle name="60% - 强调文字颜色 1 2 6 3 2" xfId="19871"/>
    <cellStyle name="60% - 强调文字颜色 1 2 6 3 2 2" xfId="19872"/>
    <cellStyle name="60% - 强调文字颜色 1 2 6 4" xfId="19873"/>
    <cellStyle name="60% - 强调文字颜色 1 2 6 4 2" xfId="19874"/>
    <cellStyle name="60% - 强调文字颜色 1 2 7" xfId="19875"/>
    <cellStyle name="60% - 强调文字颜色 1 2 7 2" xfId="19876"/>
    <cellStyle name="60% - 强调文字颜色 1 2 7 2 2" xfId="19877"/>
    <cellStyle name="60% - 强调文字颜色 1 2 7 2 2 2" xfId="19878"/>
    <cellStyle name="60% - 强调文字颜色 1 2 7 2 2 2 2" xfId="19879"/>
    <cellStyle name="60% - 强调文字颜色 1 2 7 2 3" xfId="19880"/>
    <cellStyle name="60% - 强调文字颜色 1 2 7 2 3 2" xfId="19881"/>
    <cellStyle name="60% - 强调文字颜色 1 2 7 3" xfId="19882"/>
    <cellStyle name="60% - 强调文字颜色 1 2 7 3 2" xfId="19883"/>
    <cellStyle name="60% - 强调文字颜色 1 2 7 3 2 2" xfId="19884"/>
    <cellStyle name="60% - 强调文字颜色 1 2 7 4" xfId="19885"/>
    <cellStyle name="60% - 强调文字颜色 1 2 7 4 2" xfId="19886"/>
    <cellStyle name="60% - 强调文字颜色 1 2 8" xfId="19887"/>
    <cellStyle name="60% - 强调文字颜色 1 2 8 2" xfId="19888"/>
    <cellStyle name="60% - 强调文字颜色 1 2 8 2 2" xfId="19889"/>
    <cellStyle name="60% - 强调文字颜色 1 2 8 2 2 2" xfId="19890"/>
    <cellStyle name="60% - 强调文字颜色 1 2 8 2 2 2 2" xfId="19891"/>
    <cellStyle name="60% - 强调文字颜色 1 2 8 2 3" xfId="19892"/>
    <cellStyle name="60% - 强调文字颜色 1 2 8 2 3 2" xfId="19893"/>
    <cellStyle name="60% - 强调文字颜色 1 2 8 3" xfId="19894"/>
    <cellStyle name="60% - 强调文字颜色 1 2 8 3 2" xfId="19895"/>
    <cellStyle name="60% - 强调文字颜色 1 2 8 3 2 2" xfId="19896"/>
    <cellStyle name="60% - 强调文字颜色 1 2 8 4" xfId="19897"/>
    <cellStyle name="60% - 强调文字颜色 1 2 8 4 2" xfId="19898"/>
    <cellStyle name="60% - 强调文字颜色 1 2 9" xfId="19899"/>
    <cellStyle name="60% - 强调文字颜色 1 2 9 2" xfId="19900"/>
    <cellStyle name="60% - 强调文字颜色 1 2 9 2 2" xfId="19901"/>
    <cellStyle name="60% - 强调文字颜色 1 2 9 2 2 2" xfId="19902"/>
    <cellStyle name="60% - 强调文字颜色 1 2 9 3" xfId="19903"/>
    <cellStyle name="60% - 强调文字颜色 1 2 9 3 2" xfId="19904"/>
    <cellStyle name="60% - 强调文字颜色 1 3" xfId="19905"/>
    <cellStyle name="60% - 强调文字颜色 1 3 2" xfId="19906"/>
    <cellStyle name="60% - 强调文字颜色 1 3 2 2" xfId="19907"/>
    <cellStyle name="60% - 强调文字颜色 1 3 2 2 2" xfId="19908"/>
    <cellStyle name="60% - 强调文字颜色 1 3 2 2 2 2" xfId="19909"/>
    <cellStyle name="60% - 强调文字颜色 1 3 2 2 2 3" xfId="19910"/>
    <cellStyle name="60% - 强调文字颜色 1 3 2 2 2 3 2" xfId="19911"/>
    <cellStyle name="60% - 强调文字颜色 1 3 2 2 2 3 2 2" xfId="19912"/>
    <cellStyle name="60% - 强调文字颜色 1 3 2 2 2 4" xfId="19913"/>
    <cellStyle name="60% - 强调文字颜色 1 3 2 2 2 4 2" xfId="19914"/>
    <cellStyle name="60% - 强调文字颜色 1 3 2 2 3" xfId="19915"/>
    <cellStyle name="60% - 强调文字颜色 1 3 2 2 3 2" xfId="19916"/>
    <cellStyle name="60% - 强调文字颜色 1 3 2 2 3 2 2" xfId="19917"/>
    <cellStyle name="60% - 强调文字颜色 1 3 2 2 3 2 2 2" xfId="19918"/>
    <cellStyle name="60% - 强调文字颜色 1 3 2 2 3 3" xfId="19919"/>
    <cellStyle name="60% - 强调文字颜色 1 3 2 2 3 3 2" xfId="19920"/>
    <cellStyle name="60% - 强调文字颜色 1 3 2 2 4" xfId="19921"/>
    <cellStyle name="60% - 强调文字颜色 1 3 2 2 5" xfId="19922"/>
    <cellStyle name="60% - 强调文字颜色 1 3 2 2 6" xfId="19923"/>
    <cellStyle name="60% - 强调文字颜色 1 3 2 3" xfId="19924"/>
    <cellStyle name="60% - 强调文字颜色 1 3 2 3 2" xfId="19925"/>
    <cellStyle name="60% - 强调文字颜色 1 3 2 3 3" xfId="19926"/>
    <cellStyle name="60% - 强调文字颜色 1 3 2 3 3 2" xfId="19927"/>
    <cellStyle name="60% - 强调文字颜色 1 3 2 3 3 2 2" xfId="19928"/>
    <cellStyle name="60% - 强调文字颜色 1 3 2 3 4" xfId="19929"/>
    <cellStyle name="60% - 强调文字颜色 1 3 2 3 4 2" xfId="19930"/>
    <cellStyle name="60% - 强调文字颜色 1 3 2 4" xfId="19931"/>
    <cellStyle name="60% - 强调文字颜色 1 3 2 4 2" xfId="19932"/>
    <cellStyle name="60% - 强调文字颜色 1 3 2 4 2 2" xfId="19933"/>
    <cellStyle name="60% - 强调文字颜色 1 3 2 4 2 2 2" xfId="19934"/>
    <cellStyle name="60% - 强调文字颜色 1 3 2 4 3" xfId="19935"/>
    <cellStyle name="60% - 强调文字颜色 1 3 2 4 3 2" xfId="19936"/>
    <cellStyle name="60% - 强调文字颜色 1 3 2 5" xfId="19937"/>
    <cellStyle name="60% - 强调文字颜色 1 3 2 6" xfId="19938"/>
    <cellStyle name="60% - 强调文字颜色 1 3 2 7" xfId="19939"/>
    <cellStyle name="60% - 强调文字颜色 1 3 3" xfId="19940"/>
    <cellStyle name="60% - 强调文字颜色 1 3 3 2" xfId="19941"/>
    <cellStyle name="60% - 强调文字颜色 1 3 3 2 2" xfId="19942"/>
    <cellStyle name="60% - 强调文字颜色 1 3 3 2 3" xfId="19943"/>
    <cellStyle name="60% - 强调文字颜色 1 3 3 2 3 2" xfId="19944"/>
    <cellStyle name="60% - 强调文字颜色 1 3 3 2 3 2 2" xfId="19945"/>
    <cellStyle name="60% - 强调文字颜色 1 3 3 2 4" xfId="19946"/>
    <cellStyle name="60% - 强调文字颜色 1 3 3 2 4 2" xfId="19947"/>
    <cellStyle name="60% - 强调文字颜色 1 3 3 3" xfId="19948"/>
    <cellStyle name="60% - 强调文字颜色 1 3 3 3 2" xfId="19949"/>
    <cellStyle name="60% - 强调文字颜色 1 3 3 3 2 2" xfId="19950"/>
    <cellStyle name="60% - 强调文字颜色 1 3 3 3 2 2 2" xfId="19951"/>
    <cellStyle name="60% - 强调文字颜色 1 3 3 3 3" xfId="19952"/>
    <cellStyle name="60% - 强调文字颜色 1 3 3 3 3 2" xfId="19953"/>
    <cellStyle name="60% - 强调文字颜色 1 3 3 4" xfId="19954"/>
    <cellStyle name="60% - 强调文字颜色 1 3 3 5" xfId="19955"/>
    <cellStyle name="60% - 强调文字颜色 1 3 3 6" xfId="19956"/>
    <cellStyle name="60% - 强调文字颜色 1 3 4" xfId="19957"/>
    <cellStyle name="60% - 强调文字颜色 1 3 4 2" xfId="19958"/>
    <cellStyle name="60% - 强调文字颜色 1 3 4 2 2" xfId="19959"/>
    <cellStyle name="60% - 强调文字颜色 1 3 4 2 3" xfId="19960"/>
    <cellStyle name="60% - 强调文字颜色 1 3 4 2 3 2" xfId="19961"/>
    <cellStyle name="60% - 强调文字颜色 1 3 4 2 3 2 2" xfId="19962"/>
    <cellStyle name="60% - 强调文字颜色 1 3 4 2 4" xfId="19963"/>
    <cellStyle name="60% - 强调文字颜色 1 3 4 2 4 2" xfId="19964"/>
    <cellStyle name="60% - 强调文字颜色 1 3 4 3" xfId="19965"/>
    <cellStyle name="60% - 强调文字颜色 1 3 4 4" xfId="19966"/>
    <cellStyle name="60% - 强调文字颜色 1 3 4 5" xfId="19967"/>
    <cellStyle name="60% - 强调文字颜色 1 3 4 6" xfId="19968"/>
    <cellStyle name="60% - 强调文字颜色 1 3 5" xfId="19969"/>
    <cellStyle name="60% - 强调文字颜色 1 3 5 2" xfId="19970"/>
    <cellStyle name="60% - 强调文字颜色 1 3 5 2 2" xfId="19971"/>
    <cellStyle name="60% - 强调文字颜色 1 3 5 2 2 2" xfId="19972"/>
    <cellStyle name="60% - 强调文字颜色 1 3 5 2 2 2 2" xfId="19973"/>
    <cellStyle name="60% - 强调文字颜色 1 3 5 2 3" xfId="19974"/>
    <cellStyle name="60% - 强调文字颜色 1 3 5 2 3 2" xfId="19975"/>
    <cellStyle name="60% - 强调文字颜色 1 3 5 3" xfId="19976"/>
    <cellStyle name="60% - 强调文字颜色 1 3 5 3 2" xfId="19977"/>
    <cellStyle name="60% - 强调文字颜色 1 3 5 3 2 2" xfId="19978"/>
    <cellStyle name="60% - 强调文字颜色 1 3 5 4" xfId="19979"/>
    <cellStyle name="60% - 强调文字颜色 1 3 5 4 2" xfId="19980"/>
    <cellStyle name="60% - 强调文字颜色 1 3 6" xfId="19981"/>
    <cellStyle name="60% - 强调文字颜色 1 3 6 2" xfId="19982"/>
    <cellStyle name="60% - 强调文字颜色 1 3 6 2 2" xfId="19983"/>
    <cellStyle name="60% - 强调文字颜色 1 3 6 2 2 2" xfId="19984"/>
    <cellStyle name="60% - 强调文字颜色 1 3 6 3" xfId="19985"/>
    <cellStyle name="60% - 强调文字颜色 1 3 6 3 2" xfId="19986"/>
    <cellStyle name="60% - 强调文字颜色 1 3 7" xfId="19987"/>
    <cellStyle name="60% - 强调文字颜色 1 3 8" xfId="19988"/>
    <cellStyle name="60% - 强调文字颜色 2 2" xfId="19989"/>
    <cellStyle name="60% - 强调文字颜色 2 2 10" xfId="19990"/>
    <cellStyle name="60% - 强调文字颜色 2 2 11" xfId="19991"/>
    <cellStyle name="60% - 强调文字颜色 2 2 2" xfId="19992"/>
    <cellStyle name="60% - 强调文字颜色 2 2 2 10" xfId="19993"/>
    <cellStyle name="60% - 强调文字颜色 2 2 2 11" xfId="19994"/>
    <cellStyle name="60% - 强调文字颜色 2 2 2 2" xfId="19995"/>
    <cellStyle name="60% - 强调文字颜色 2 2 2 2 2" xfId="19996"/>
    <cellStyle name="60% - 强调文字颜色 2 2 2 2 2 2" xfId="19997"/>
    <cellStyle name="60% - 强调文字颜色 2 2 2 2 2 2 2" xfId="19998"/>
    <cellStyle name="60% - 强调文字颜色 2 2 2 2 2 2 3" xfId="19999"/>
    <cellStyle name="60% - 强调文字颜色 2 2 2 2 2 2 3 2" xfId="20000"/>
    <cellStyle name="60% - 强调文字颜色 2 2 2 2 2 2 3 2 2" xfId="20001"/>
    <cellStyle name="60% - 强调文字颜色 2 2 2 2 2 2 4" xfId="20002"/>
    <cellStyle name="60% - 强调文字颜色 2 2 2 2 2 2 4 2" xfId="20003"/>
    <cellStyle name="60% - 强调文字颜色 2 2 2 2 2 3" xfId="20004"/>
    <cellStyle name="60% - 强调文字颜色 2 2 2 2 2 3 2" xfId="20005"/>
    <cellStyle name="60% - 强调文字颜色 2 2 2 2 2 3 2 2" xfId="20006"/>
    <cellStyle name="60% - 强调文字颜色 2 2 2 2 2 3 2 2 2" xfId="20007"/>
    <cellStyle name="60% - 强调文字颜色 2 2 2 2 2 3 3" xfId="20008"/>
    <cellStyle name="60% - 强调文字颜色 2 2 2 2 2 3 3 2" xfId="20009"/>
    <cellStyle name="60% - 强调文字颜色 2 2 2 2 2 4" xfId="20010"/>
    <cellStyle name="60% - 强调文字颜色 2 2 2 2 2 5" xfId="20011"/>
    <cellStyle name="60% - 强调文字颜色 2 2 2 2 2 6" xfId="20012"/>
    <cellStyle name="60% - 强调文字颜色 2 2 2 2 3" xfId="20013"/>
    <cellStyle name="60% - 强调文字颜色 2 2 2 2 3 2" xfId="20014"/>
    <cellStyle name="60% - 强调文字颜色 2 2 2 2 3 3" xfId="20015"/>
    <cellStyle name="60% - 强调文字颜色 2 2 2 2 3 3 2" xfId="20016"/>
    <cellStyle name="60% - 强调文字颜色 2 2 2 2 3 3 2 2" xfId="20017"/>
    <cellStyle name="60% - 强调文字颜色 2 2 2 2 3 4" xfId="20018"/>
    <cellStyle name="60% - 强调文字颜色 2 2 2 2 3 4 2" xfId="20019"/>
    <cellStyle name="60% - 强调文字颜色 2 2 2 2 4" xfId="20020"/>
    <cellStyle name="60% - 强调文字颜色 2 2 2 2 4 2" xfId="20021"/>
    <cellStyle name="60% - 强调文字颜色 2 2 2 2 4 2 2" xfId="20022"/>
    <cellStyle name="60% - 强调文字颜色 2 2 2 2 4 2 2 2" xfId="20023"/>
    <cellStyle name="60% - 强调文字颜色 2 2 2 2 4 3" xfId="20024"/>
    <cellStyle name="60% - 强调文字颜色 2 2 2 2 4 3 2" xfId="20025"/>
    <cellStyle name="60% - 强调文字颜色 2 2 2 2 5" xfId="20026"/>
    <cellStyle name="60% - 强调文字颜色 2 2 2 2 6" xfId="20027"/>
    <cellStyle name="60% - 强调文字颜色 2 2 2 2 7" xfId="20028"/>
    <cellStyle name="60% - 强调文字颜色 2 2 2 3" xfId="20029"/>
    <cellStyle name="60% - 强调文字颜色 2 2 2 3 2" xfId="20030"/>
    <cellStyle name="60% - 强调文字颜色 2 2 2 3 2 2" xfId="20031"/>
    <cellStyle name="60% - 强调文字颜色 2 2 2 3 2 3" xfId="20032"/>
    <cellStyle name="60% - 强调文字颜色 2 2 2 3 2 3 2" xfId="20033"/>
    <cellStyle name="60% - 强调文字颜色 2 2 2 3 2 3 2 2" xfId="20034"/>
    <cellStyle name="60% - 强调文字颜色 2 2 2 3 2 4" xfId="20035"/>
    <cellStyle name="60% - 强调文字颜色 2 2 2 3 2 4 2" xfId="20036"/>
    <cellStyle name="60% - 强调文字颜色 2 2 2 3 3" xfId="20037"/>
    <cellStyle name="60% - 强调文字颜色 2 2 2 3 3 2" xfId="20038"/>
    <cellStyle name="60% - 强调文字颜色 2 2 2 3 3 2 2" xfId="20039"/>
    <cellStyle name="60% - 强调文字颜色 2 2 2 3 3 2 2 2" xfId="20040"/>
    <cellStyle name="60% - 强调文字颜色 2 2 2 3 3 3" xfId="20041"/>
    <cellStyle name="60% - 强调文字颜色 2 2 2 3 3 3 2" xfId="20042"/>
    <cellStyle name="60% - 强调文字颜色 2 2 2 3 4" xfId="20043"/>
    <cellStyle name="60% - 强调文字颜色 2 2 2 3 5" xfId="20044"/>
    <cellStyle name="60% - 强调文字颜色 2 2 2 3 6" xfId="20045"/>
    <cellStyle name="60% - 强调文字颜色 2 2 2 4" xfId="20046"/>
    <cellStyle name="60% - 强调文字颜色 2 2 2 4 2" xfId="20047"/>
    <cellStyle name="60% - 强调文字颜色 2 2 2 4 2 2" xfId="20048"/>
    <cellStyle name="60% - 强调文字颜色 2 2 2 4 2 3" xfId="20049"/>
    <cellStyle name="60% - 强调文字颜色 2 2 2 4 2 3 2" xfId="20050"/>
    <cellStyle name="60% - 强调文字颜色 2 2 2 4 2 3 2 2" xfId="20051"/>
    <cellStyle name="60% - 强调文字颜色 2 2 2 4 2 4" xfId="20052"/>
    <cellStyle name="60% - 强调文字颜色 2 2 2 4 2 4 2" xfId="20053"/>
    <cellStyle name="60% - 强调文字颜色 2 2 2 4 3" xfId="20054"/>
    <cellStyle name="60% - 强调文字颜色 2 2 2 4 4" xfId="20055"/>
    <cellStyle name="60% - 强调文字颜色 2 2 2 4 5" xfId="20056"/>
    <cellStyle name="60% - 强调文字颜色 2 2 2 4 6" xfId="20057"/>
    <cellStyle name="60% - 强调文字颜色 2 2 2 5" xfId="20058"/>
    <cellStyle name="60% - 强调文字颜色 2 2 2 5 2" xfId="20059"/>
    <cellStyle name="60% - 强调文字颜色 2 2 2 5 2 2" xfId="20060"/>
    <cellStyle name="60% - 强调文字颜色 2 2 2 5 2 2 2" xfId="20061"/>
    <cellStyle name="60% - 强调文字颜色 2 2 2 5 2 2 2 2" xfId="20062"/>
    <cellStyle name="60% - 强调文字颜色 2 2 2 5 2 3" xfId="20063"/>
    <cellStyle name="60% - 强调文字颜色 2 2 2 5 2 3 2" xfId="20064"/>
    <cellStyle name="60% - 强调文字颜色 2 2 2 5 3" xfId="20065"/>
    <cellStyle name="60% - 强调文字颜色 2 2 2 5 3 2" xfId="20066"/>
    <cellStyle name="60% - 强调文字颜色 2 2 2 5 3 2 2" xfId="20067"/>
    <cellStyle name="60% - 强调文字颜色 2 2 2 5 4" xfId="20068"/>
    <cellStyle name="60% - 强调文字颜色 2 2 2 5 4 2" xfId="20069"/>
    <cellStyle name="60% - 强调文字颜色 2 2 2 6" xfId="20070"/>
    <cellStyle name="60% - 强调文字颜色 2 2 2 6 2" xfId="20071"/>
    <cellStyle name="60% - 强调文字颜色 2 2 2 6 2 2" xfId="20072"/>
    <cellStyle name="60% - 强调文字颜色 2 2 2 6 2 2 2" xfId="20073"/>
    <cellStyle name="60% - 强调文字颜色 2 2 2 6 2 2 2 2" xfId="20074"/>
    <cellStyle name="60% - 强调文字颜色 2 2 2 6 2 3" xfId="20075"/>
    <cellStyle name="60% - 强调文字颜色 2 2 2 6 2 3 2" xfId="20076"/>
    <cellStyle name="60% - 强调文字颜色 2 2 2 6 3" xfId="20077"/>
    <cellStyle name="60% - 强调文字颜色 2 2 2 6 3 2" xfId="20078"/>
    <cellStyle name="60% - 强调文字颜色 2 2 2 6 3 2 2" xfId="20079"/>
    <cellStyle name="60% - 强调文字颜色 2 2 2 6 4" xfId="20080"/>
    <cellStyle name="60% - 强调文字颜色 2 2 2 6 4 2" xfId="20081"/>
    <cellStyle name="60% - 强调文字颜色 2 2 2 7" xfId="20082"/>
    <cellStyle name="60% - 强调文字颜色 2 2 2 7 2" xfId="20083"/>
    <cellStyle name="60% - 强调文字颜色 2 2 2 7 2 2" xfId="20084"/>
    <cellStyle name="60% - 强调文字颜色 2 2 2 7 2 2 2" xfId="20085"/>
    <cellStyle name="60% - 强调文字颜色 2 2 2 7 2 2 2 2" xfId="20086"/>
    <cellStyle name="60% - 强调文字颜色 2 2 2 7 2 3" xfId="20087"/>
    <cellStyle name="60% - 强调文字颜色 2 2 2 7 2 3 2" xfId="20088"/>
    <cellStyle name="60% - 强调文字颜色 2 2 2 7 3" xfId="20089"/>
    <cellStyle name="60% - 强调文字颜色 2 2 2 7 3 2" xfId="20090"/>
    <cellStyle name="60% - 强调文字颜色 2 2 2 7 3 2 2" xfId="20091"/>
    <cellStyle name="60% - 强调文字颜色 2 2 2 7 4" xfId="20092"/>
    <cellStyle name="60% - 强调文字颜色 2 2 2 7 4 2" xfId="20093"/>
    <cellStyle name="60% - 强调文字颜色 2 2 2 8" xfId="20094"/>
    <cellStyle name="60% - 强调文字颜色 2 2 2 8 2" xfId="20095"/>
    <cellStyle name="60% - 强调文字颜色 2 2 2 8 2 2" xfId="20096"/>
    <cellStyle name="60% - 强调文字颜色 2 2 2 8 2 2 2" xfId="20097"/>
    <cellStyle name="60% - 强调文字颜色 2 2 2 8 3" xfId="20098"/>
    <cellStyle name="60% - 强调文字颜色 2 2 2 8 3 2" xfId="20099"/>
    <cellStyle name="60% - 强调文字颜色 2 2 2 9" xfId="20100"/>
    <cellStyle name="60% - 强调文字颜色 2 2 2 9 2" xfId="20101"/>
    <cellStyle name="60% - 强调文字颜色 2 2 2 9 2 2" xfId="20102"/>
    <cellStyle name="60% - 强调文字颜色 2 2 2 9 2 2 2" xfId="20103"/>
    <cellStyle name="60% - 强调文字颜色 2 2 2 9 3" xfId="20104"/>
    <cellStyle name="60% - 强调文字颜色 2 2 2 9 3 2" xfId="20105"/>
    <cellStyle name="60% - 强调文字颜色 2 2 3" xfId="20106"/>
    <cellStyle name="60% - 强调文字颜色 2 2 3 2" xfId="20107"/>
    <cellStyle name="60% - 强调文字颜色 2 2 3 2 2" xfId="20108"/>
    <cellStyle name="60% - 强调文字颜色 2 2 3 2 2 2" xfId="20109"/>
    <cellStyle name="60% - 强调文字颜色 2 2 3 2 2 2 2" xfId="20110"/>
    <cellStyle name="60% - 强调文字颜色 2 2 3 2 2 2 3" xfId="20111"/>
    <cellStyle name="60% - 强调文字颜色 2 2 3 2 2 2 3 2" xfId="20112"/>
    <cellStyle name="60% - 强调文字颜色 2 2 3 2 2 2 3 2 2" xfId="20113"/>
    <cellStyle name="60% - 强调文字颜色 2 2 3 2 2 2 4" xfId="20114"/>
    <cellStyle name="60% - 强调文字颜色 2 2 3 2 2 2 4 2" xfId="20115"/>
    <cellStyle name="60% - 强调文字颜色 2 2 3 2 2 3" xfId="20116"/>
    <cellStyle name="60% - 强调文字颜色 2 2 3 2 2 3 2" xfId="20117"/>
    <cellStyle name="60% - 强调文字颜色 2 2 3 2 2 3 2 2" xfId="20118"/>
    <cellStyle name="60% - 强调文字颜色 2 2 3 2 2 3 2 2 2" xfId="20119"/>
    <cellStyle name="60% - 强调文字颜色 2 2 3 2 2 3 3" xfId="20120"/>
    <cellStyle name="60% - 强调文字颜色 2 2 3 2 2 3 3 2" xfId="20121"/>
    <cellStyle name="60% - 强调文字颜色 2 2 3 2 2 4" xfId="20122"/>
    <cellStyle name="60% - 强调文字颜色 2 2 3 2 2 5" xfId="20123"/>
    <cellStyle name="60% - 强调文字颜色 2 2 3 2 2 6" xfId="20124"/>
    <cellStyle name="60% - 强调文字颜色 2 2 3 2 3" xfId="20125"/>
    <cellStyle name="60% - 强调文字颜色 2 2 3 2 3 2" xfId="20126"/>
    <cellStyle name="60% - 强调文字颜色 2 2 3 2 3 3" xfId="20127"/>
    <cellStyle name="60% - 强调文字颜色 2 2 3 2 3 3 2" xfId="20128"/>
    <cellStyle name="60% - 强调文字颜色 2 2 3 2 3 3 2 2" xfId="20129"/>
    <cellStyle name="60% - 强调文字颜色 2 2 3 2 3 4" xfId="20130"/>
    <cellStyle name="60% - 强调文字颜色 2 2 3 2 3 4 2" xfId="20131"/>
    <cellStyle name="60% - 强调文字颜色 2 2 3 2 4" xfId="20132"/>
    <cellStyle name="60% - 强调文字颜色 2 2 3 2 4 2" xfId="20133"/>
    <cellStyle name="60% - 强调文字颜色 2 2 3 2 4 2 2" xfId="20134"/>
    <cellStyle name="60% - 强调文字颜色 2 2 3 2 4 2 2 2" xfId="20135"/>
    <cellStyle name="60% - 强调文字颜色 2 2 3 2 4 3" xfId="20136"/>
    <cellStyle name="60% - 强调文字颜色 2 2 3 2 4 3 2" xfId="20137"/>
    <cellStyle name="60% - 强调文字颜色 2 2 3 2 5" xfId="20138"/>
    <cellStyle name="60% - 强调文字颜色 2 2 3 2 6" xfId="20139"/>
    <cellStyle name="60% - 强调文字颜色 2 2 3 2 7" xfId="20140"/>
    <cellStyle name="60% - 强调文字颜色 2 2 3 3" xfId="20141"/>
    <cellStyle name="60% - 强调文字颜色 2 2 3 3 2" xfId="20142"/>
    <cellStyle name="60% - 强调文字颜色 2 2 3 3 2 2" xfId="20143"/>
    <cellStyle name="60% - 强调文字颜色 2 2 3 3 2 3" xfId="20144"/>
    <cellStyle name="60% - 强调文字颜色 2 2 3 3 2 3 2" xfId="20145"/>
    <cellStyle name="60% - 强调文字颜色 2 2 3 3 2 3 2 2" xfId="20146"/>
    <cellStyle name="60% - 强调文字颜色 2 2 3 3 2 4" xfId="20147"/>
    <cellStyle name="60% - 强调文字颜色 2 2 3 3 2 4 2" xfId="20148"/>
    <cellStyle name="60% - 强调文字颜色 2 2 3 3 3" xfId="20149"/>
    <cellStyle name="60% - 强调文字颜色 2 2 3 3 3 2" xfId="20150"/>
    <cellStyle name="60% - 强调文字颜色 2 2 3 3 3 2 2" xfId="20151"/>
    <cellStyle name="60% - 强调文字颜色 2 2 3 3 3 2 2 2" xfId="20152"/>
    <cellStyle name="60% - 强调文字颜色 2 2 3 3 3 3" xfId="20153"/>
    <cellStyle name="60% - 强调文字颜色 2 2 3 3 3 3 2" xfId="20154"/>
    <cellStyle name="60% - 强调文字颜色 2 2 3 3 4" xfId="20155"/>
    <cellStyle name="60% - 强调文字颜色 2 2 3 3 5" xfId="20156"/>
    <cellStyle name="60% - 强调文字颜色 2 2 3 3 6" xfId="20157"/>
    <cellStyle name="60% - 强调文字颜色 2 2 3 4" xfId="20158"/>
    <cellStyle name="60% - 强调文字颜色 2 2 3 4 2" xfId="20159"/>
    <cellStyle name="60% - 强调文字颜色 2 2 3 4 2 2" xfId="20160"/>
    <cellStyle name="60% - 强调文字颜色 2 2 3 4 2 3" xfId="20161"/>
    <cellStyle name="60% - 强调文字颜色 2 2 3 4 2 3 2" xfId="20162"/>
    <cellStyle name="60% - 强调文字颜色 2 2 3 4 2 3 2 2" xfId="20163"/>
    <cellStyle name="60% - 强调文字颜色 2 2 3 4 2 4" xfId="20164"/>
    <cellStyle name="60% - 强调文字颜色 2 2 3 4 2 4 2" xfId="20165"/>
    <cellStyle name="60% - 强调文字颜色 2 2 3 4 3" xfId="20166"/>
    <cellStyle name="60% - 强调文字颜色 2 2 3 4 4" xfId="20167"/>
    <cellStyle name="60% - 强调文字颜色 2 2 3 4 5" xfId="20168"/>
    <cellStyle name="60% - 强调文字颜色 2 2 3 4 6" xfId="20169"/>
    <cellStyle name="60% - 强调文字颜色 2 2 3 5" xfId="20170"/>
    <cellStyle name="60% - 强调文字颜色 2 2 3 5 2" xfId="20171"/>
    <cellStyle name="60% - 强调文字颜色 2 2 3 5 2 2" xfId="20172"/>
    <cellStyle name="60% - 强调文字颜色 2 2 3 5 2 2 2" xfId="20173"/>
    <cellStyle name="60% - 强调文字颜色 2 2 3 5 2 2 2 2" xfId="20174"/>
    <cellStyle name="60% - 强调文字颜色 2 2 3 5 2 3" xfId="20175"/>
    <cellStyle name="60% - 强调文字颜色 2 2 3 5 2 3 2" xfId="20176"/>
    <cellStyle name="60% - 强调文字颜色 2 2 3 5 3" xfId="20177"/>
    <cellStyle name="60% - 强调文字颜色 2 2 3 5 3 2" xfId="20178"/>
    <cellStyle name="60% - 强调文字颜色 2 2 3 5 3 2 2" xfId="20179"/>
    <cellStyle name="60% - 强调文字颜色 2 2 3 5 4" xfId="20180"/>
    <cellStyle name="60% - 强调文字颜色 2 2 3 5 4 2" xfId="20181"/>
    <cellStyle name="60% - 强调文字颜色 2 2 3 6" xfId="20182"/>
    <cellStyle name="60% - 强调文字颜色 2 2 3 6 2" xfId="20183"/>
    <cellStyle name="60% - 强调文字颜色 2 2 3 6 2 2" xfId="20184"/>
    <cellStyle name="60% - 强调文字颜色 2 2 3 6 2 2 2" xfId="20185"/>
    <cellStyle name="60% - 强调文字颜色 2 2 3 6 3" xfId="20186"/>
    <cellStyle name="60% - 强调文字颜色 2 2 3 6 3 2" xfId="20187"/>
    <cellStyle name="60% - 强调文字颜色 2 2 3 7" xfId="20188"/>
    <cellStyle name="60% - 强调文字颜色 2 2 3 7 2" xfId="20189"/>
    <cellStyle name="60% - 强调文字颜色 2 2 3 7 2 2" xfId="20190"/>
    <cellStyle name="60% - 强调文字颜色 2 2 3 7 2 2 2" xfId="20191"/>
    <cellStyle name="60% - 强调文字颜色 2 2 3 7 3" xfId="20192"/>
    <cellStyle name="60% - 强调文字颜色 2 2 3 7 3 2" xfId="20193"/>
    <cellStyle name="60% - 强调文字颜色 2 2 3 8" xfId="20194"/>
    <cellStyle name="60% - 强调文字颜色 2 2 3 9" xfId="20195"/>
    <cellStyle name="60% - 强调文字颜色 2 2 4" xfId="20196"/>
    <cellStyle name="60% - 强调文字颜色 2 2 4 2" xfId="20197"/>
    <cellStyle name="60% - 强调文字颜色 2 2 4 2 2" xfId="20198"/>
    <cellStyle name="60% - 强调文字颜色 2 2 4 2 3" xfId="20199"/>
    <cellStyle name="60% - 强调文字颜色 2 2 4 2 3 2" xfId="20200"/>
    <cellStyle name="60% - 强调文字颜色 2 2 4 2 3 2 2" xfId="20201"/>
    <cellStyle name="60% - 强调文字颜色 2 2 4 2 4" xfId="20202"/>
    <cellStyle name="60% - 强调文字颜色 2 2 4 2 4 2" xfId="20203"/>
    <cellStyle name="60% - 强调文字颜色 2 2 4 3" xfId="20204"/>
    <cellStyle name="60% - 强调文字颜色 2 2 4 3 2" xfId="20205"/>
    <cellStyle name="60% - 强调文字颜色 2 2 4 3 2 2" xfId="20206"/>
    <cellStyle name="60% - 强调文字颜色 2 2 4 3 2 2 2" xfId="20207"/>
    <cellStyle name="60% - 强调文字颜色 2 2 4 3 3" xfId="20208"/>
    <cellStyle name="60% - 强调文字颜色 2 2 4 3 3 2" xfId="20209"/>
    <cellStyle name="60% - 强调文字颜色 2 2 4 4" xfId="20210"/>
    <cellStyle name="60% - 强调文字颜色 2 2 4 5" xfId="20211"/>
    <cellStyle name="60% - 强调文字颜色 2 2 4 6" xfId="20212"/>
    <cellStyle name="60% - 强调文字颜色 2 2 5" xfId="20213"/>
    <cellStyle name="60% - 强调文字颜色 2 2 5 2" xfId="20214"/>
    <cellStyle name="60% - 强调文字颜色 2 2 5 2 2" xfId="20215"/>
    <cellStyle name="60% - 强调文字颜色 2 2 5 2 3" xfId="20216"/>
    <cellStyle name="60% - 强调文字颜色 2 2 5 2 3 2" xfId="20217"/>
    <cellStyle name="60% - 强调文字颜色 2 2 5 2 3 2 2" xfId="20218"/>
    <cellStyle name="60% - 强调文字颜色 2 2 5 2 4" xfId="20219"/>
    <cellStyle name="60% - 强调文字颜色 2 2 5 2 4 2" xfId="20220"/>
    <cellStyle name="60% - 强调文字颜色 2 2 5 3" xfId="20221"/>
    <cellStyle name="60% - 强调文字颜色 2 2 5 4" xfId="20222"/>
    <cellStyle name="60% - 强调文字颜色 2 2 5 5" xfId="20223"/>
    <cellStyle name="60% - 强调文字颜色 2 2 5 6" xfId="20224"/>
    <cellStyle name="60% - 强调文字颜色 2 2 6" xfId="20225"/>
    <cellStyle name="60% - 强调文字颜色 2 2 6 2" xfId="20226"/>
    <cellStyle name="60% - 强调文字颜色 2 2 6 2 2" xfId="20227"/>
    <cellStyle name="60% - 强调文字颜色 2 2 6 2 2 2" xfId="20228"/>
    <cellStyle name="60% - 强调文字颜色 2 2 6 2 2 2 2" xfId="20229"/>
    <cellStyle name="60% - 强调文字颜色 2 2 6 2 3" xfId="20230"/>
    <cellStyle name="60% - 强调文字颜色 2 2 6 2 3 2" xfId="20231"/>
    <cellStyle name="60% - 强调文字颜色 2 2 6 3" xfId="20232"/>
    <cellStyle name="60% - 强调文字颜色 2 2 6 3 2" xfId="20233"/>
    <cellStyle name="60% - 强调文字颜色 2 2 6 3 2 2" xfId="20234"/>
    <cellStyle name="60% - 强调文字颜色 2 2 6 4" xfId="20235"/>
    <cellStyle name="60% - 强调文字颜色 2 2 6 4 2" xfId="20236"/>
    <cellStyle name="60% - 强调文字颜色 2 2 7" xfId="20237"/>
    <cellStyle name="60% - 强调文字颜色 2 2 7 2" xfId="20238"/>
    <cellStyle name="60% - 强调文字颜色 2 2 7 2 2" xfId="20239"/>
    <cellStyle name="60% - 强调文字颜色 2 2 7 2 2 2" xfId="20240"/>
    <cellStyle name="60% - 强调文字颜色 2 2 7 2 2 2 2" xfId="20241"/>
    <cellStyle name="60% - 强调文字颜色 2 2 7 2 3" xfId="20242"/>
    <cellStyle name="60% - 强调文字颜色 2 2 7 2 3 2" xfId="20243"/>
    <cellStyle name="60% - 强调文字颜色 2 2 7 3" xfId="20244"/>
    <cellStyle name="60% - 强调文字颜色 2 2 7 3 2" xfId="20245"/>
    <cellStyle name="60% - 强调文字颜色 2 2 7 3 2 2" xfId="20246"/>
    <cellStyle name="60% - 强调文字颜色 2 2 7 4" xfId="20247"/>
    <cellStyle name="60% - 强调文字颜色 2 2 7 4 2" xfId="20248"/>
    <cellStyle name="60% - 强调文字颜色 2 2 8" xfId="20249"/>
    <cellStyle name="60% - 强调文字颜色 2 2 8 2" xfId="20250"/>
    <cellStyle name="60% - 强调文字颜色 2 2 8 2 2" xfId="20251"/>
    <cellStyle name="60% - 强调文字颜色 2 2 8 2 2 2" xfId="20252"/>
    <cellStyle name="60% - 强调文字颜色 2 2 8 2 2 2 2" xfId="20253"/>
    <cellStyle name="60% - 强调文字颜色 2 2 8 2 3" xfId="20254"/>
    <cellStyle name="60% - 强调文字颜色 2 2 8 2 3 2" xfId="20255"/>
    <cellStyle name="60% - 强调文字颜色 2 2 8 3" xfId="20256"/>
    <cellStyle name="60% - 强调文字颜色 2 2 8 3 2" xfId="20257"/>
    <cellStyle name="60% - 强调文字颜色 2 2 8 3 2 2" xfId="20258"/>
    <cellStyle name="60% - 强调文字颜色 2 2 8 4" xfId="20259"/>
    <cellStyle name="60% - 强调文字颜色 2 2 8 4 2" xfId="20260"/>
    <cellStyle name="60% - 强调文字颜色 2 2 9" xfId="20261"/>
    <cellStyle name="60% - 强调文字颜色 2 2 9 2" xfId="20262"/>
    <cellStyle name="60% - 强调文字颜色 2 2 9 2 2" xfId="20263"/>
    <cellStyle name="60% - 强调文字颜色 2 2 9 2 2 2" xfId="20264"/>
    <cellStyle name="60% - 强调文字颜色 2 2 9 3" xfId="20265"/>
    <cellStyle name="60% - 强调文字颜色 2 2 9 3 2" xfId="20266"/>
    <cellStyle name="60% - 强调文字颜色 2 3" xfId="20267"/>
    <cellStyle name="60% - 强调文字颜色 2 3 2" xfId="20268"/>
    <cellStyle name="60% - 强调文字颜色 2 3 2 2" xfId="20269"/>
    <cellStyle name="60% - 强调文字颜色 2 3 2 2 2" xfId="20270"/>
    <cellStyle name="60% - 强调文字颜色 2 3 2 2 2 2" xfId="20271"/>
    <cellStyle name="60% - 强调文字颜色 2 3 2 2 2 3" xfId="20272"/>
    <cellStyle name="60% - 强调文字颜色 2 3 2 2 2 3 2" xfId="20273"/>
    <cellStyle name="60% - 强调文字颜色 2 3 2 2 2 3 2 2" xfId="20274"/>
    <cellStyle name="60% - 强调文字颜色 2 3 2 2 2 4" xfId="20275"/>
    <cellStyle name="60% - 强调文字颜色 2 3 2 2 2 4 2" xfId="20276"/>
    <cellStyle name="60% - 强调文字颜色 2 3 2 2 3" xfId="20277"/>
    <cellStyle name="60% - 强调文字颜色 2 3 2 2 3 2" xfId="20278"/>
    <cellStyle name="60% - 强调文字颜色 2 3 2 2 3 2 2" xfId="20279"/>
    <cellStyle name="60% - 强调文字颜色 2 3 2 2 3 2 2 2" xfId="20280"/>
    <cellStyle name="60% - 强调文字颜色 2 3 2 2 3 3" xfId="20281"/>
    <cellStyle name="60% - 强调文字颜色 2 3 2 2 3 3 2" xfId="20282"/>
    <cellStyle name="60% - 强调文字颜色 2 3 2 2 4" xfId="20283"/>
    <cellStyle name="60% - 强调文字颜色 2 3 2 2 5" xfId="20284"/>
    <cellStyle name="60% - 强调文字颜色 2 3 2 2 6" xfId="20285"/>
    <cellStyle name="60% - 强调文字颜色 2 3 2 3" xfId="20286"/>
    <cellStyle name="60% - 强调文字颜色 2 3 2 3 2" xfId="20287"/>
    <cellStyle name="60% - 强调文字颜色 2 3 2 3 3" xfId="20288"/>
    <cellStyle name="60% - 强调文字颜色 2 3 2 3 3 2" xfId="20289"/>
    <cellStyle name="60% - 强调文字颜色 2 3 2 3 3 2 2" xfId="20290"/>
    <cellStyle name="60% - 强调文字颜色 2 3 2 3 4" xfId="20291"/>
    <cellStyle name="60% - 强调文字颜色 2 3 2 3 4 2" xfId="20292"/>
    <cellStyle name="60% - 强调文字颜色 2 3 2 4" xfId="20293"/>
    <cellStyle name="60% - 强调文字颜色 2 3 2 4 2" xfId="20294"/>
    <cellStyle name="60% - 强调文字颜色 2 3 2 4 2 2" xfId="20295"/>
    <cellStyle name="60% - 强调文字颜色 2 3 2 4 2 2 2" xfId="20296"/>
    <cellStyle name="60% - 强调文字颜色 2 3 2 4 3" xfId="20297"/>
    <cellStyle name="60% - 强调文字颜色 2 3 2 4 3 2" xfId="20298"/>
    <cellStyle name="60% - 强调文字颜色 2 3 2 5" xfId="20299"/>
    <cellStyle name="60% - 强调文字颜色 2 3 2 6" xfId="20300"/>
    <cellStyle name="60% - 强调文字颜色 2 3 2 7" xfId="20301"/>
    <cellStyle name="60% - 强调文字颜色 2 3 3" xfId="20302"/>
    <cellStyle name="60% - 强调文字颜色 2 3 3 2" xfId="20303"/>
    <cellStyle name="60% - 强调文字颜色 2 3 3 2 2" xfId="20304"/>
    <cellStyle name="60% - 强调文字颜色 2 3 3 2 3" xfId="20305"/>
    <cellStyle name="60% - 强调文字颜色 2 3 3 2 3 2" xfId="20306"/>
    <cellStyle name="60% - 强调文字颜色 2 3 3 2 3 2 2" xfId="20307"/>
    <cellStyle name="60% - 强调文字颜色 2 3 3 2 4" xfId="20308"/>
    <cellStyle name="60% - 强调文字颜色 2 3 3 2 4 2" xfId="20309"/>
    <cellStyle name="60% - 强调文字颜色 2 3 3 3" xfId="20310"/>
    <cellStyle name="60% - 强调文字颜色 2 3 3 3 2" xfId="20311"/>
    <cellStyle name="60% - 强调文字颜色 2 3 3 3 2 2" xfId="20312"/>
    <cellStyle name="60% - 强调文字颜色 2 3 3 3 2 2 2" xfId="20313"/>
    <cellStyle name="60% - 强调文字颜色 2 3 3 3 3" xfId="20314"/>
    <cellStyle name="60% - 强调文字颜色 2 3 3 3 3 2" xfId="20315"/>
    <cellStyle name="60% - 强调文字颜色 2 3 3 4" xfId="20316"/>
    <cellStyle name="60% - 强调文字颜色 2 3 3 5" xfId="20317"/>
    <cellStyle name="60% - 强调文字颜色 2 3 3 6" xfId="20318"/>
    <cellStyle name="60% - 强调文字颜色 2 3 4" xfId="20319"/>
    <cellStyle name="60% - 强调文字颜色 2 3 4 2" xfId="20320"/>
    <cellStyle name="60% - 强调文字颜色 2 3 4 2 2" xfId="20321"/>
    <cellStyle name="60% - 强调文字颜色 2 3 4 2 3" xfId="20322"/>
    <cellStyle name="60% - 强调文字颜色 2 3 4 2 3 2" xfId="20323"/>
    <cellStyle name="60% - 强调文字颜色 2 3 4 2 3 2 2" xfId="20324"/>
    <cellStyle name="60% - 强调文字颜色 2 3 4 2 4" xfId="20325"/>
    <cellStyle name="60% - 强调文字颜色 2 3 4 2 4 2" xfId="20326"/>
    <cellStyle name="60% - 强调文字颜色 2 3 4 3" xfId="20327"/>
    <cellStyle name="60% - 强调文字颜色 2 3 4 4" xfId="20328"/>
    <cellStyle name="60% - 强调文字颜色 2 3 4 5" xfId="20329"/>
    <cellStyle name="60% - 强调文字颜色 2 3 4 6" xfId="20330"/>
    <cellStyle name="60% - 强调文字颜色 2 3 5" xfId="20331"/>
    <cellStyle name="60% - 强调文字颜色 2 3 5 2" xfId="20332"/>
    <cellStyle name="60% - 强调文字颜色 2 3 5 2 2" xfId="20333"/>
    <cellStyle name="60% - 强调文字颜色 2 3 5 2 2 2" xfId="20334"/>
    <cellStyle name="60% - 强调文字颜色 2 3 5 2 2 2 2" xfId="20335"/>
    <cellStyle name="60% - 强调文字颜色 2 3 5 2 3" xfId="20336"/>
    <cellStyle name="60% - 强调文字颜色 2 3 5 2 3 2" xfId="20337"/>
    <cellStyle name="60% - 强调文字颜色 2 3 5 3" xfId="20338"/>
    <cellStyle name="60% - 强调文字颜色 2 3 5 3 2" xfId="20339"/>
    <cellStyle name="60% - 强调文字颜色 2 3 5 3 2 2" xfId="20340"/>
    <cellStyle name="60% - 强调文字颜色 2 3 5 4" xfId="20341"/>
    <cellStyle name="60% - 强调文字颜色 2 3 5 4 2" xfId="20342"/>
    <cellStyle name="60% - 强调文字颜色 2 3 6" xfId="20343"/>
    <cellStyle name="60% - 强调文字颜色 2 3 6 2" xfId="20344"/>
    <cellStyle name="60% - 强调文字颜色 2 3 6 2 2" xfId="20345"/>
    <cellStyle name="60% - 强调文字颜色 2 3 6 2 2 2" xfId="20346"/>
    <cellStyle name="60% - 强调文字颜色 2 3 6 3" xfId="20347"/>
    <cellStyle name="60% - 强调文字颜色 2 3 6 3 2" xfId="20348"/>
    <cellStyle name="60% - 强调文字颜色 2 3 7" xfId="20349"/>
    <cellStyle name="60% - 强调文字颜色 2 3 8" xfId="20350"/>
    <cellStyle name="60% - 强调文字颜色 3 2" xfId="20351"/>
    <cellStyle name="60% - 强调文字颜色 3 2 10" xfId="20352"/>
    <cellStyle name="60% - 强调文字颜色 3 2 11" xfId="20353"/>
    <cellStyle name="60% - 强调文字颜色 3 2 2" xfId="20354"/>
    <cellStyle name="60% - 强调文字颜色 3 2 2 10" xfId="20355"/>
    <cellStyle name="60% - 强调文字颜色 3 2 2 11" xfId="20356"/>
    <cellStyle name="60% - 强调文字颜色 3 2 2 2" xfId="20357"/>
    <cellStyle name="60% - 强调文字颜色 3 2 2 2 2" xfId="20358"/>
    <cellStyle name="60% - 强调文字颜色 3 2 2 2 2 2" xfId="20359"/>
    <cellStyle name="60% - 强调文字颜色 3 2 2 2 2 2 2" xfId="20360"/>
    <cellStyle name="60% - 强调文字颜色 3 2 2 2 2 2 3" xfId="20361"/>
    <cellStyle name="60% - 强调文字颜色 3 2 2 2 2 2 3 2" xfId="20362"/>
    <cellStyle name="60% - 强调文字颜色 3 2 2 2 2 2 3 2 2" xfId="20363"/>
    <cellStyle name="60% - 强调文字颜色 3 2 2 2 2 2 4" xfId="20364"/>
    <cellStyle name="60% - 强调文字颜色 3 2 2 2 2 2 4 2" xfId="20365"/>
    <cellStyle name="60% - 强调文字颜色 3 2 2 2 2 3" xfId="20366"/>
    <cellStyle name="60% - 强调文字颜色 3 2 2 2 2 3 2" xfId="20367"/>
    <cellStyle name="60% - 强调文字颜色 3 2 2 2 2 3 2 2" xfId="20368"/>
    <cellStyle name="60% - 强调文字颜色 3 2 2 2 2 3 2 2 2" xfId="20369"/>
    <cellStyle name="60% - 强调文字颜色 3 2 2 2 2 3 3" xfId="20370"/>
    <cellStyle name="60% - 强调文字颜色 3 2 2 2 2 3 3 2" xfId="20371"/>
    <cellStyle name="60% - 强调文字颜色 3 2 2 2 2 4" xfId="20372"/>
    <cellStyle name="60% - 强调文字颜色 3 2 2 2 2 5" xfId="20373"/>
    <cellStyle name="60% - 强调文字颜色 3 2 2 2 2 6" xfId="20374"/>
    <cellStyle name="60% - 强调文字颜色 3 2 2 2 3" xfId="20375"/>
    <cellStyle name="60% - 强调文字颜色 3 2 2 2 3 2" xfId="20376"/>
    <cellStyle name="60% - 强调文字颜色 3 2 2 2 3 3" xfId="20377"/>
    <cellStyle name="60% - 强调文字颜色 3 2 2 2 3 3 2" xfId="20378"/>
    <cellStyle name="60% - 强调文字颜色 3 2 2 2 3 3 2 2" xfId="20379"/>
    <cellStyle name="60% - 强调文字颜色 3 2 2 2 3 4" xfId="20380"/>
    <cellStyle name="60% - 强调文字颜色 3 2 2 2 3 4 2" xfId="20381"/>
    <cellStyle name="60% - 强调文字颜色 3 2 2 2 4" xfId="20382"/>
    <cellStyle name="60% - 强调文字颜色 3 2 2 2 4 2" xfId="20383"/>
    <cellStyle name="60% - 强调文字颜色 3 2 2 2 4 2 2" xfId="20384"/>
    <cellStyle name="60% - 强调文字颜色 3 2 2 2 4 2 2 2" xfId="20385"/>
    <cellStyle name="60% - 强调文字颜色 3 2 2 2 4 3" xfId="20386"/>
    <cellStyle name="60% - 强调文字颜色 3 2 2 2 4 3 2" xfId="20387"/>
    <cellStyle name="60% - 强调文字颜色 3 2 2 2 5" xfId="20388"/>
    <cellStyle name="60% - 强调文字颜色 3 2 2 2 6" xfId="20389"/>
    <cellStyle name="60% - 强调文字颜色 3 2 2 2 7" xfId="20390"/>
    <cellStyle name="60% - 强调文字颜色 3 2 2 3" xfId="20391"/>
    <cellStyle name="60% - 强调文字颜色 3 2 2 3 2" xfId="20392"/>
    <cellStyle name="60% - 强调文字颜色 3 2 2 3 2 2" xfId="20393"/>
    <cellStyle name="60% - 强调文字颜色 3 2 2 3 2 3" xfId="20394"/>
    <cellStyle name="60% - 强调文字颜色 3 2 2 3 2 3 2" xfId="20395"/>
    <cellStyle name="60% - 强调文字颜色 3 2 2 3 2 3 2 2" xfId="20396"/>
    <cellStyle name="60% - 强调文字颜色 3 2 2 3 2 4" xfId="20397"/>
    <cellStyle name="60% - 强调文字颜色 3 2 2 3 2 4 2" xfId="20398"/>
    <cellStyle name="60% - 强调文字颜色 3 2 2 3 3" xfId="20399"/>
    <cellStyle name="60% - 强调文字颜色 3 2 2 3 3 2" xfId="20400"/>
    <cellStyle name="60% - 强调文字颜色 3 2 2 3 3 2 2" xfId="20401"/>
    <cellStyle name="60% - 强调文字颜色 3 2 2 3 3 2 2 2" xfId="20402"/>
    <cellStyle name="60% - 强调文字颜色 3 2 2 3 3 3" xfId="20403"/>
    <cellStyle name="60% - 强调文字颜色 3 2 2 3 3 3 2" xfId="20404"/>
    <cellStyle name="60% - 强调文字颜色 3 2 2 3 4" xfId="20405"/>
    <cellStyle name="60% - 强调文字颜色 3 2 2 3 5" xfId="20406"/>
    <cellStyle name="60% - 强调文字颜色 3 2 2 3 6" xfId="20407"/>
    <cellStyle name="60% - 强调文字颜色 3 2 2 4" xfId="20408"/>
    <cellStyle name="60% - 强调文字颜色 3 2 2 4 2" xfId="20409"/>
    <cellStyle name="60% - 强调文字颜色 3 2 2 4 2 2" xfId="20410"/>
    <cellStyle name="60% - 强调文字颜色 3 2 2 4 2 3" xfId="20411"/>
    <cellStyle name="60% - 强调文字颜色 3 2 2 4 2 3 2" xfId="20412"/>
    <cellStyle name="60% - 强调文字颜色 3 2 2 4 2 3 2 2" xfId="20413"/>
    <cellStyle name="60% - 强调文字颜色 3 2 2 4 2 4" xfId="20414"/>
    <cellStyle name="60% - 强调文字颜色 3 2 2 4 2 4 2" xfId="20415"/>
    <cellStyle name="60% - 强调文字颜色 3 2 2 4 3" xfId="20416"/>
    <cellStyle name="60% - 强调文字颜色 3 2 2 4 4" xfId="20417"/>
    <cellStyle name="60% - 强调文字颜色 3 2 2 4 5" xfId="20418"/>
    <cellStyle name="60% - 强调文字颜色 3 2 2 4 6" xfId="20419"/>
    <cellStyle name="60% - 强调文字颜色 3 2 2 5" xfId="20420"/>
    <cellStyle name="60% - 强调文字颜色 3 2 2 5 2" xfId="20421"/>
    <cellStyle name="60% - 强调文字颜色 3 2 2 5 2 2" xfId="20422"/>
    <cellStyle name="60% - 强调文字颜色 3 2 2 5 2 2 2" xfId="20423"/>
    <cellStyle name="60% - 强调文字颜色 3 2 2 5 2 2 2 2" xfId="20424"/>
    <cellStyle name="60% - 强调文字颜色 3 2 2 5 2 3" xfId="20425"/>
    <cellStyle name="60% - 强调文字颜色 3 2 2 5 2 3 2" xfId="20426"/>
    <cellStyle name="60% - 强调文字颜色 3 2 2 5 3" xfId="20427"/>
    <cellStyle name="60% - 强调文字颜色 3 2 2 5 3 2" xfId="20428"/>
    <cellStyle name="60% - 强调文字颜色 3 2 2 5 3 2 2" xfId="20429"/>
    <cellStyle name="60% - 强调文字颜色 3 2 2 5 4" xfId="20430"/>
    <cellStyle name="60% - 强调文字颜色 3 2 2 5 4 2" xfId="20431"/>
    <cellStyle name="60% - 强调文字颜色 3 2 2 6" xfId="20432"/>
    <cellStyle name="60% - 强调文字颜色 3 2 2 6 2" xfId="20433"/>
    <cellStyle name="60% - 强调文字颜色 3 2 2 6 2 2" xfId="20434"/>
    <cellStyle name="60% - 强调文字颜色 3 2 2 6 2 2 2" xfId="20435"/>
    <cellStyle name="60% - 强调文字颜色 3 2 2 6 2 2 2 2" xfId="20436"/>
    <cellStyle name="60% - 强调文字颜色 3 2 2 6 2 3" xfId="20437"/>
    <cellStyle name="60% - 强调文字颜色 3 2 2 6 2 3 2" xfId="20438"/>
    <cellStyle name="60% - 强调文字颜色 3 2 2 6 3" xfId="20439"/>
    <cellStyle name="60% - 强调文字颜色 3 2 2 6 3 2" xfId="20440"/>
    <cellStyle name="60% - 强调文字颜色 3 2 2 6 3 2 2" xfId="20441"/>
    <cellStyle name="60% - 强调文字颜色 3 2 2 6 4" xfId="20442"/>
    <cellStyle name="60% - 强调文字颜色 3 2 2 6 4 2" xfId="20443"/>
    <cellStyle name="60% - 强调文字颜色 3 2 2 7" xfId="20444"/>
    <cellStyle name="60% - 强调文字颜色 3 2 2 7 2" xfId="20445"/>
    <cellStyle name="60% - 强调文字颜色 3 2 2 7 2 2" xfId="20446"/>
    <cellStyle name="60% - 强调文字颜色 3 2 2 7 2 2 2" xfId="20447"/>
    <cellStyle name="60% - 强调文字颜色 3 2 2 7 2 2 2 2" xfId="20448"/>
    <cellStyle name="60% - 强调文字颜色 3 2 2 7 2 3" xfId="20449"/>
    <cellStyle name="60% - 强调文字颜色 3 2 2 7 2 3 2" xfId="20450"/>
    <cellStyle name="60% - 强调文字颜色 3 2 2 7 3" xfId="20451"/>
    <cellStyle name="60% - 强调文字颜色 3 2 2 7 3 2" xfId="20452"/>
    <cellStyle name="60% - 强调文字颜色 3 2 2 7 3 2 2" xfId="20453"/>
    <cellStyle name="60% - 强调文字颜色 3 2 2 7 4" xfId="20454"/>
    <cellStyle name="60% - 强调文字颜色 3 2 2 7 4 2" xfId="20455"/>
    <cellStyle name="60% - 强调文字颜色 3 2 2 8" xfId="20456"/>
    <cellStyle name="60% - 强调文字颜色 3 2 2 8 2" xfId="20457"/>
    <cellStyle name="60% - 强调文字颜色 3 2 2 8 2 2" xfId="20458"/>
    <cellStyle name="60% - 强调文字颜色 3 2 2 8 2 2 2" xfId="20459"/>
    <cellStyle name="60% - 强调文字颜色 3 2 2 8 3" xfId="20460"/>
    <cellStyle name="60% - 强调文字颜色 3 2 2 8 3 2" xfId="20461"/>
    <cellStyle name="60% - 强调文字颜色 3 2 2 9" xfId="20462"/>
    <cellStyle name="60% - 强调文字颜色 3 2 2 9 2" xfId="20463"/>
    <cellStyle name="60% - 强调文字颜色 3 2 2 9 2 2" xfId="20464"/>
    <cellStyle name="60% - 强调文字颜色 3 2 2 9 2 2 2" xfId="20465"/>
    <cellStyle name="60% - 强调文字颜色 3 2 2 9 3" xfId="20466"/>
    <cellStyle name="60% - 强调文字颜色 3 2 2 9 3 2" xfId="20467"/>
    <cellStyle name="60% - 强调文字颜色 3 2 3" xfId="20468"/>
    <cellStyle name="60% - 强调文字颜色 3 2 3 2" xfId="20469"/>
    <cellStyle name="60% - 强调文字颜色 3 2 3 2 2" xfId="20470"/>
    <cellStyle name="60% - 强调文字颜色 3 2 3 2 2 2" xfId="20471"/>
    <cellStyle name="60% - 强调文字颜色 3 2 3 2 2 2 2" xfId="20472"/>
    <cellStyle name="60% - 强调文字颜色 3 2 3 2 2 2 3" xfId="20473"/>
    <cellStyle name="60% - 强调文字颜色 3 2 3 2 2 2 3 2" xfId="20474"/>
    <cellStyle name="60% - 强调文字颜色 3 2 3 2 2 2 3 2 2" xfId="20475"/>
    <cellStyle name="60% - 强调文字颜色 3 2 3 2 2 2 4" xfId="20476"/>
    <cellStyle name="60% - 强调文字颜色 3 2 3 2 2 2 4 2" xfId="20477"/>
    <cellStyle name="60% - 强调文字颜色 3 2 3 2 2 3" xfId="20478"/>
    <cellStyle name="60% - 强调文字颜色 3 2 3 2 2 3 2" xfId="20479"/>
    <cellStyle name="60% - 强调文字颜色 3 2 3 2 2 3 2 2" xfId="20480"/>
    <cellStyle name="60% - 强调文字颜色 3 2 3 2 2 3 2 2 2" xfId="20481"/>
    <cellStyle name="60% - 强调文字颜色 3 2 3 2 2 3 3" xfId="20482"/>
    <cellStyle name="60% - 强调文字颜色 3 2 3 2 2 3 3 2" xfId="20483"/>
    <cellStyle name="60% - 强调文字颜色 3 2 3 2 2 4" xfId="20484"/>
    <cellStyle name="60% - 强调文字颜色 3 2 3 2 2 5" xfId="20485"/>
    <cellStyle name="60% - 强调文字颜色 3 2 3 2 2 6" xfId="20486"/>
    <cellStyle name="60% - 强调文字颜色 3 2 3 2 3" xfId="20487"/>
    <cellStyle name="60% - 强调文字颜色 3 2 3 2 3 2" xfId="20488"/>
    <cellStyle name="60% - 强调文字颜色 3 2 3 2 3 3" xfId="20489"/>
    <cellStyle name="60% - 强调文字颜色 3 2 3 2 3 3 2" xfId="20490"/>
    <cellStyle name="60% - 强调文字颜色 3 2 3 2 3 3 2 2" xfId="20491"/>
    <cellStyle name="60% - 强调文字颜色 3 2 3 2 3 4" xfId="20492"/>
    <cellStyle name="60% - 强调文字颜色 3 2 3 2 3 4 2" xfId="20493"/>
    <cellStyle name="60% - 强调文字颜色 3 2 3 2 4" xfId="20494"/>
    <cellStyle name="60% - 强调文字颜色 3 2 3 2 4 2" xfId="20495"/>
    <cellStyle name="60% - 强调文字颜色 3 2 3 2 4 2 2" xfId="20496"/>
    <cellStyle name="60% - 强调文字颜色 3 2 3 2 4 2 2 2" xfId="20497"/>
    <cellStyle name="60% - 强调文字颜色 3 2 3 2 4 3" xfId="20498"/>
    <cellStyle name="60% - 强调文字颜色 3 2 3 2 4 3 2" xfId="20499"/>
    <cellStyle name="60% - 强调文字颜色 3 2 3 2 5" xfId="20500"/>
    <cellStyle name="60% - 强调文字颜色 3 2 3 2 6" xfId="20501"/>
    <cellStyle name="60% - 强调文字颜色 3 2 3 2 7" xfId="20502"/>
    <cellStyle name="60% - 强调文字颜色 3 2 3 3" xfId="20503"/>
    <cellStyle name="60% - 强调文字颜色 3 2 3 3 2" xfId="20504"/>
    <cellStyle name="60% - 强调文字颜色 3 2 3 3 2 2" xfId="20505"/>
    <cellStyle name="60% - 强调文字颜色 3 2 3 3 2 3" xfId="20506"/>
    <cellStyle name="60% - 强调文字颜色 3 2 3 3 2 3 2" xfId="20507"/>
    <cellStyle name="60% - 强调文字颜色 3 2 3 3 2 3 2 2" xfId="20508"/>
    <cellStyle name="60% - 强调文字颜色 3 2 3 3 2 4" xfId="20509"/>
    <cellStyle name="60% - 强调文字颜色 3 2 3 3 2 4 2" xfId="20510"/>
    <cellStyle name="60% - 强调文字颜色 3 2 3 3 3" xfId="20511"/>
    <cellStyle name="60% - 强调文字颜色 3 2 3 3 3 2" xfId="20512"/>
    <cellStyle name="60% - 强调文字颜色 3 2 3 3 3 2 2" xfId="20513"/>
    <cellStyle name="60% - 强调文字颜色 3 2 3 3 3 2 2 2" xfId="20514"/>
    <cellStyle name="60% - 强调文字颜色 3 2 3 3 3 3" xfId="20515"/>
    <cellStyle name="60% - 强调文字颜色 3 2 3 3 3 3 2" xfId="20516"/>
    <cellStyle name="60% - 强调文字颜色 3 2 3 3 4" xfId="20517"/>
    <cellStyle name="60% - 强调文字颜色 3 2 3 3 5" xfId="20518"/>
    <cellStyle name="60% - 强调文字颜色 3 2 3 3 6" xfId="20519"/>
    <cellStyle name="60% - 强调文字颜色 3 2 3 4" xfId="20520"/>
    <cellStyle name="60% - 强调文字颜色 3 2 3 4 2" xfId="20521"/>
    <cellStyle name="60% - 强调文字颜色 3 2 3 4 2 2" xfId="20522"/>
    <cellStyle name="60% - 强调文字颜色 3 2 3 4 2 3" xfId="20523"/>
    <cellStyle name="60% - 强调文字颜色 3 2 3 4 2 3 2" xfId="20524"/>
    <cellStyle name="60% - 强调文字颜色 3 2 3 4 2 3 2 2" xfId="20525"/>
    <cellStyle name="60% - 强调文字颜色 3 2 3 4 2 4" xfId="20526"/>
    <cellStyle name="60% - 强调文字颜色 3 2 3 4 2 4 2" xfId="20527"/>
    <cellStyle name="60% - 强调文字颜色 3 2 3 4 3" xfId="20528"/>
    <cellStyle name="60% - 强调文字颜色 3 2 3 4 4" xfId="20529"/>
    <cellStyle name="60% - 强调文字颜色 3 2 3 4 5" xfId="20530"/>
    <cellStyle name="60% - 强调文字颜色 3 2 3 4 6" xfId="20531"/>
    <cellStyle name="60% - 强调文字颜色 3 2 3 5" xfId="20532"/>
    <cellStyle name="60% - 强调文字颜色 3 2 3 5 2" xfId="20533"/>
    <cellStyle name="60% - 强调文字颜色 3 2 3 5 2 2" xfId="20534"/>
    <cellStyle name="60% - 强调文字颜色 3 2 3 5 2 2 2" xfId="20535"/>
    <cellStyle name="60% - 强调文字颜色 3 2 3 5 2 2 2 2" xfId="20536"/>
    <cellStyle name="60% - 强调文字颜色 3 2 3 5 2 3" xfId="20537"/>
    <cellStyle name="60% - 强调文字颜色 3 2 3 5 2 3 2" xfId="20538"/>
    <cellStyle name="60% - 强调文字颜色 3 2 3 5 3" xfId="20539"/>
    <cellStyle name="60% - 强调文字颜色 3 2 3 5 3 2" xfId="20540"/>
    <cellStyle name="60% - 强调文字颜色 3 2 3 5 3 2 2" xfId="20541"/>
    <cellStyle name="60% - 强调文字颜色 3 2 3 5 4" xfId="20542"/>
    <cellStyle name="60% - 强调文字颜色 3 2 3 5 4 2" xfId="20543"/>
    <cellStyle name="60% - 强调文字颜色 3 2 3 6" xfId="20544"/>
    <cellStyle name="60% - 强调文字颜色 3 2 3 6 2" xfId="20545"/>
    <cellStyle name="60% - 强调文字颜色 3 2 3 6 2 2" xfId="20546"/>
    <cellStyle name="60% - 强调文字颜色 3 2 3 6 2 2 2" xfId="20547"/>
    <cellStyle name="60% - 强调文字颜色 3 2 3 6 3" xfId="20548"/>
    <cellStyle name="60% - 强调文字颜色 3 2 3 6 3 2" xfId="20549"/>
    <cellStyle name="60% - 强调文字颜色 3 2 3 7" xfId="20550"/>
    <cellStyle name="60% - 强调文字颜色 3 2 3 7 2" xfId="20551"/>
    <cellStyle name="60% - 强调文字颜色 3 2 3 7 2 2" xfId="20552"/>
    <cellStyle name="60% - 强调文字颜色 3 2 3 7 2 2 2" xfId="20553"/>
    <cellStyle name="60% - 强调文字颜色 3 2 3 7 3" xfId="20554"/>
    <cellStyle name="60% - 强调文字颜色 3 2 3 7 3 2" xfId="20555"/>
    <cellStyle name="60% - 强调文字颜色 3 2 3 8" xfId="20556"/>
    <cellStyle name="60% - 强调文字颜色 3 2 3 9" xfId="20557"/>
    <cellStyle name="60% - 强调文字颜色 3 2 4" xfId="20558"/>
    <cellStyle name="60% - 强调文字颜色 3 2 4 2" xfId="20559"/>
    <cellStyle name="60% - 强调文字颜色 3 2 4 2 2" xfId="20560"/>
    <cellStyle name="60% - 强调文字颜色 3 2 4 2 3" xfId="20561"/>
    <cellStyle name="60% - 强调文字颜色 3 2 4 2 3 2" xfId="20562"/>
    <cellStyle name="60% - 强调文字颜色 3 2 4 2 3 2 2" xfId="20563"/>
    <cellStyle name="60% - 强调文字颜色 3 2 4 2 4" xfId="20564"/>
    <cellStyle name="60% - 强调文字颜色 3 2 4 2 4 2" xfId="20565"/>
    <cellStyle name="60% - 强调文字颜色 3 2 4 3" xfId="20566"/>
    <cellStyle name="60% - 强调文字颜色 3 2 4 3 2" xfId="20567"/>
    <cellStyle name="60% - 强调文字颜色 3 2 4 3 2 2" xfId="20568"/>
    <cellStyle name="60% - 强调文字颜色 3 2 4 3 2 2 2" xfId="20569"/>
    <cellStyle name="60% - 强调文字颜色 3 2 4 3 3" xfId="20570"/>
    <cellStyle name="60% - 强调文字颜色 3 2 4 3 3 2" xfId="20571"/>
    <cellStyle name="60% - 强调文字颜色 3 2 4 4" xfId="20572"/>
    <cellStyle name="60% - 强调文字颜色 3 2 4 5" xfId="20573"/>
    <cellStyle name="60% - 强调文字颜色 3 2 4 6" xfId="20574"/>
    <cellStyle name="60% - 强调文字颜色 3 2 5" xfId="20575"/>
    <cellStyle name="60% - 强调文字颜色 3 2 5 2" xfId="20576"/>
    <cellStyle name="60% - 强调文字颜色 3 2 5 2 2" xfId="20577"/>
    <cellStyle name="60% - 强调文字颜色 3 2 5 2 3" xfId="20578"/>
    <cellStyle name="60% - 强调文字颜色 3 2 5 2 3 2" xfId="20579"/>
    <cellStyle name="60% - 强调文字颜色 3 2 5 2 3 2 2" xfId="20580"/>
    <cellStyle name="60% - 强调文字颜色 3 2 5 2 4" xfId="20581"/>
    <cellStyle name="60% - 强调文字颜色 3 2 5 2 4 2" xfId="20582"/>
    <cellStyle name="60% - 强调文字颜色 3 2 5 3" xfId="20583"/>
    <cellStyle name="60% - 强调文字颜色 3 2 5 4" xfId="20584"/>
    <cellStyle name="60% - 强调文字颜色 3 2 5 5" xfId="20585"/>
    <cellStyle name="60% - 强调文字颜色 3 2 5 6" xfId="20586"/>
    <cellStyle name="60% - 强调文字颜色 3 2 6" xfId="20587"/>
    <cellStyle name="60% - 强调文字颜色 3 2 6 2" xfId="20588"/>
    <cellStyle name="60% - 强调文字颜色 3 2 6 2 2" xfId="20589"/>
    <cellStyle name="60% - 强调文字颜色 3 2 6 2 2 2" xfId="20590"/>
    <cellStyle name="60% - 强调文字颜色 3 2 6 2 2 2 2" xfId="20591"/>
    <cellStyle name="60% - 强调文字颜色 3 2 6 2 3" xfId="20592"/>
    <cellStyle name="60% - 强调文字颜色 3 2 6 2 3 2" xfId="20593"/>
    <cellStyle name="60% - 强调文字颜色 3 2 6 3" xfId="20594"/>
    <cellStyle name="60% - 强调文字颜色 3 2 6 3 2" xfId="20595"/>
    <cellStyle name="60% - 强调文字颜色 3 2 6 3 2 2" xfId="20596"/>
    <cellStyle name="60% - 强调文字颜色 3 2 6 4" xfId="20597"/>
    <cellStyle name="60% - 强调文字颜色 3 2 6 4 2" xfId="20598"/>
    <cellStyle name="60% - 强调文字颜色 3 2 7" xfId="20599"/>
    <cellStyle name="60% - 强调文字颜色 3 2 7 2" xfId="20600"/>
    <cellStyle name="60% - 强调文字颜色 3 2 7 2 2" xfId="20601"/>
    <cellStyle name="60% - 强调文字颜色 3 2 7 2 2 2" xfId="20602"/>
    <cellStyle name="60% - 强调文字颜色 3 2 7 2 2 2 2" xfId="20603"/>
    <cellStyle name="60% - 强调文字颜色 3 2 7 2 3" xfId="20604"/>
    <cellStyle name="60% - 强调文字颜色 3 2 7 2 3 2" xfId="20605"/>
    <cellStyle name="60% - 强调文字颜色 3 2 7 3" xfId="20606"/>
    <cellStyle name="60% - 强调文字颜色 3 2 7 3 2" xfId="20607"/>
    <cellStyle name="60% - 强调文字颜色 3 2 7 3 2 2" xfId="20608"/>
    <cellStyle name="60% - 强调文字颜色 3 2 7 4" xfId="20609"/>
    <cellStyle name="60% - 强调文字颜色 3 2 7 4 2" xfId="20610"/>
    <cellStyle name="60% - 强调文字颜色 3 2 8" xfId="20611"/>
    <cellStyle name="60% - 强调文字颜色 3 2 8 2" xfId="20612"/>
    <cellStyle name="60% - 强调文字颜色 3 2 8 2 2" xfId="20613"/>
    <cellStyle name="60% - 强调文字颜色 3 2 8 2 2 2" xfId="20614"/>
    <cellStyle name="60% - 强调文字颜色 3 2 8 2 2 2 2" xfId="20615"/>
    <cellStyle name="60% - 强调文字颜色 3 2 8 2 3" xfId="20616"/>
    <cellStyle name="60% - 强调文字颜色 3 2 8 2 3 2" xfId="20617"/>
    <cellStyle name="60% - 强调文字颜色 3 2 8 3" xfId="20618"/>
    <cellStyle name="60% - 强调文字颜色 3 2 8 3 2" xfId="20619"/>
    <cellStyle name="60% - 强调文字颜色 3 2 8 3 2 2" xfId="20620"/>
    <cellStyle name="60% - 强调文字颜色 3 2 8 4" xfId="20621"/>
    <cellStyle name="60% - 强调文字颜色 3 2 8 4 2" xfId="20622"/>
    <cellStyle name="60% - 强调文字颜色 3 2 9" xfId="20623"/>
    <cellStyle name="60% - 强调文字颜色 3 2 9 2" xfId="20624"/>
    <cellStyle name="60% - 强调文字颜色 3 2 9 2 2" xfId="20625"/>
    <cellStyle name="60% - 强调文字颜色 3 2 9 2 2 2" xfId="20626"/>
    <cellStyle name="60% - 强调文字颜色 3 2 9 3" xfId="20627"/>
    <cellStyle name="60% - 强调文字颜色 3 2 9 3 2" xfId="20628"/>
    <cellStyle name="60% - 强调文字颜色 3 3" xfId="20629"/>
    <cellStyle name="60% - 强调文字颜色 3 3 2" xfId="20630"/>
    <cellStyle name="60% - 强调文字颜色 3 3 2 2" xfId="20631"/>
    <cellStyle name="60% - 强调文字颜色 3 3 2 2 2" xfId="20632"/>
    <cellStyle name="60% - 强调文字颜色 3 3 2 2 2 2" xfId="20633"/>
    <cellStyle name="60% - 强调文字颜色 3 3 2 2 2 3" xfId="20634"/>
    <cellStyle name="60% - 强调文字颜色 3 3 2 2 2 3 2" xfId="20635"/>
    <cellStyle name="60% - 强调文字颜色 3 3 2 2 2 3 2 2" xfId="20636"/>
    <cellStyle name="60% - 强调文字颜色 3 3 2 2 2 4" xfId="20637"/>
    <cellStyle name="60% - 强调文字颜色 3 3 2 2 2 4 2" xfId="20638"/>
    <cellStyle name="60% - 强调文字颜色 3 3 2 2 3" xfId="20639"/>
    <cellStyle name="60% - 强调文字颜色 3 3 2 2 3 2" xfId="20640"/>
    <cellStyle name="60% - 强调文字颜色 3 3 2 2 3 2 2" xfId="20641"/>
    <cellStyle name="60% - 强调文字颜色 3 3 2 2 3 2 2 2" xfId="20642"/>
    <cellStyle name="60% - 强调文字颜色 3 3 2 2 3 3" xfId="20643"/>
    <cellStyle name="60% - 强调文字颜色 3 3 2 2 3 3 2" xfId="20644"/>
    <cellStyle name="60% - 强调文字颜色 3 3 2 2 4" xfId="20645"/>
    <cellStyle name="60% - 强调文字颜色 3 3 2 2 5" xfId="20646"/>
    <cellStyle name="60% - 强调文字颜色 3 3 2 2 6" xfId="20647"/>
    <cellStyle name="60% - 强调文字颜色 3 3 2 3" xfId="20648"/>
    <cellStyle name="60% - 强调文字颜色 3 3 2 3 2" xfId="20649"/>
    <cellStyle name="60% - 强调文字颜色 3 3 2 3 3" xfId="20650"/>
    <cellStyle name="60% - 强调文字颜色 3 3 2 3 3 2" xfId="20651"/>
    <cellStyle name="60% - 强调文字颜色 3 3 2 3 3 2 2" xfId="20652"/>
    <cellStyle name="60% - 强调文字颜色 3 3 2 3 4" xfId="20653"/>
    <cellStyle name="60% - 强调文字颜色 3 3 2 3 4 2" xfId="20654"/>
    <cellStyle name="60% - 强调文字颜色 3 3 2 4" xfId="20655"/>
    <cellStyle name="60% - 强调文字颜色 3 3 2 4 2" xfId="20656"/>
    <cellStyle name="60% - 强调文字颜色 3 3 2 4 2 2" xfId="20657"/>
    <cellStyle name="60% - 强调文字颜色 3 3 2 4 2 2 2" xfId="20658"/>
    <cellStyle name="60% - 强调文字颜色 3 3 2 4 3" xfId="20659"/>
    <cellStyle name="60% - 强调文字颜色 3 3 2 4 3 2" xfId="20660"/>
    <cellStyle name="60% - 强调文字颜色 3 3 2 5" xfId="20661"/>
    <cellStyle name="60% - 强调文字颜色 3 3 2 6" xfId="20662"/>
    <cellStyle name="60% - 强调文字颜色 3 3 2 7" xfId="20663"/>
    <cellStyle name="60% - 强调文字颜色 3 3 3" xfId="20664"/>
    <cellStyle name="60% - 强调文字颜色 3 3 3 2" xfId="20665"/>
    <cellStyle name="60% - 强调文字颜色 3 3 3 2 2" xfId="20666"/>
    <cellStyle name="60% - 强调文字颜色 3 3 3 2 3" xfId="20667"/>
    <cellStyle name="60% - 强调文字颜色 3 3 3 2 3 2" xfId="20668"/>
    <cellStyle name="60% - 强调文字颜色 3 3 3 2 3 2 2" xfId="20669"/>
    <cellStyle name="60% - 强调文字颜色 3 3 3 2 4" xfId="20670"/>
    <cellStyle name="60% - 强调文字颜色 3 3 3 2 4 2" xfId="20671"/>
    <cellStyle name="60% - 强调文字颜色 3 3 3 3" xfId="20672"/>
    <cellStyle name="60% - 强调文字颜色 3 3 3 3 2" xfId="20673"/>
    <cellStyle name="60% - 强调文字颜色 3 3 3 3 2 2" xfId="20674"/>
    <cellStyle name="60% - 强调文字颜色 3 3 3 3 2 2 2" xfId="20675"/>
    <cellStyle name="60% - 强调文字颜色 3 3 3 3 3" xfId="20676"/>
    <cellStyle name="60% - 强调文字颜色 3 3 3 3 3 2" xfId="20677"/>
    <cellStyle name="60% - 强调文字颜色 3 3 3 4" xfId="20678"/>
    <cellStyle name="60% - 强调文字颜色 3 3 3 5" xfId="20679"/>
    <cellStyle name="60% - 强调文字颜色 3 3 3 6" xfId="20680"/>
    <cellStyle name="60% - 强调文字颜色 3 3 4" xfId="20681"/>
    <cellStyle name="60% - 强调文字颜色 3 3 4 2" xfId="20682"/>
    <cellStyle name="60% - 强调文字颜色 3 3 4 2 2" xfId="20683"/>
    <cellStyle name="60% - 强调文字颜色 3 3 4 2 3" xfId="20684"/>
    <cellStyle name="60% - 强调文字颜色 3 3 4 2 3 2" xfId="20685"/>
    <cellStyle name="60% - 强调文字颜色 3 3 4 2 3 2 2" xfId="20686"/>
    <cellStyle name="60% - 强调文字颜色 3 3 4 2 4" xfId="20687"/>
    <cellStyle name="60% - 强调文字颜色 3 3 4 2 4 2" xfId="20688"/>
    <cellStyle name="60% - 强调文字颜色 3 3 4 3" xfId="20689"/>
    <cellStyle name="60% - 强调文字颜色 3 3 4 4" xfId="20690"/>
    <cellStyle name="60% - 强调文字颜色 3 3 4 5" xfId="20691"/>
    <cellStyle name="60% - 强调文字颜色 3 3 4 6" xfId="20692"/>
    <cellStyle name="60% - 强调文字颜色 3 3 5" xfId="20693"/>
    <cellStyle name="60% - 强调文字颜色 3 3 5 2" xfId="20694"/>
    <cellStyle name="60% - 强调文字颜色 3 3 5 2 2" xfId="20695"/>
    <cellStyle name="60% - 强调文字颜色 3 3 5 2 2 2" xfId="20696"/>
    <cellStyle name="60% - 强调文字颜色 3 3 5 2 2 2 2" xfId="20697"/>
    <cellStyle name="60% - 强调文字颜色 3 3 5 2 3" xfId="20698"/>
    <cellStyle name="60% - 强调文字颜色 3 3 5 2 3 2" xfId="20699"/>
    <cellStyle name="60% - 强调文字颜色 3 3 5 3" xfId="20700"/>
    <cellStyle name="60% - 强调文字颜色 3 3 5 3 2" xfId="20701"/>
    <cellStyle name="60% - 强调文字颜色 3 3 5 3 2 2" xfId="20702"/>
    <cellStyle name="60% - 强调文字颜色 3 3 5 4" xfId="20703"/>
    <cellStyle name="60% - 强调文字颜色 3 3 5 4 2" xfId="20704"/>
    <cellStyle name="60% - 强调文字颜色 3 3 6" xfId="20705"/>
    <cellStyle name="60% - 强调文字颜色 3 3 6 2" xfId="20706"/>
    <cellStyle name="60% - 强调文字颜色 3 3 6 2 2" xfId="20707"/>
    <cellStyle name="60% - 强调文字颜色 3 3 6 2 2 2" xfId="20708"/>
    <cellStyle name="60% - 强调文字颜色 3 3 6 3" xfId="20709"/>
    <cellStyle name="60% - 强调文字颜色 3 3 6 3 2" xfId="20710"/>
    <cellStyle name="60% - 强调文字颜色 3 3 7" xfId="20711"/>
    <cellStyle name="60% - 强调文字颜色 3 3 8" xfId="20712"/>
    <cellStyle name="60% - 强调文字颜色 4 2" xfId="20713"/>
    <cellStyle name="60% - 强调文字颜色 4 2 10" xfId="20714"/>
    <cellStyle name="60% - 强调文字颜色 4 2 11" xfId="20715"/>
    <cellStyle name="60% - 强调文字颜色 4 2 2" xfId="20716"/>
    <cellStyle name="60% - 强调文字颜色 4 2 2 10" xfId="20717"/>
    <cellStyle name="60% - 强调文字颜色 4 2 2 11" xfId="20718"/>
    <cellStyle name="60% - 强调文字颜色 4 2 2 2" xfId="20719"/>
    <cellStyle name="60% - 强调文字颜色 4 2 2 2 2" xfId="20720"/>
    <cellStyle name="60% - 强调文字颜色 4 2 2 2 2 2" xfId="20721"/>
    <cellStyle name="60% - 强调文字颜色 4 2 2 2 2 2 2" xfId="20722"/>
    <cellStyle name="60% - 强调文字颜色 4 2 2 2 2 2 3" xfId="20723"/>
    <cellStyle name="60% - 强调文字颜色 4 2 2 2 2 2 3 2" xfId="20724"/>
    <cellStyle name="60% - 强调文字颜色 4 2 2 2 2 2 3 2 2" xfId="20725"/>
    <cellStyle name="60% - 强调文字颜色 4 2 2 2 2 2 4" xfId="20726"/>
    <cellStyle name="60% - 强调文字颜色 4 2 2 2 2 2 4 2" xfId="20727"/>
    <cellStyle name="60% - 强调文字颜色 4 2 2 2 2 3" xfId="20728"/>
    <cellStyle name="60% - 强调文字颜色 4 2 2 2 2 3 2" xfId="20729"/>
    <cellStyle name="60% - 强调文字颜色 4 2 2 2 2 3 2 2" xfId="20730"/>
    <cellStyle name="60% - 强调文字颜色 4 2 2 2 2 3 2 2 2" xfId="20731"/>
    <cellStyle name="60% - 强调文字颜色 4 2 2 2 2 3 3" xfId="20732"/>
    <cellStyle name="60% - 强调文字颜色 4 2 2 2 2 3 3 2" xfId="20733"/>
    <cellStyle name="60% - 强调文字颜色 4 2 2 2 2 4" xfId="20734"/>
    <cellStyle name="60% - 强调文字颜色 4 2 2 2 2 5" xfId="20735"/>
    <cellStyle name="60% - 强调文字颜色 4 2 2 2 2 6" xfId="20736"/>
    <cellStyle name="60% - 强调文字颜色 4 2 2 2 3" xfId="20737"/>
    <cellStyle name="60% - 强调文字颜色 4 2 2 2 3 2" xfId="20738"/>
    <cellStyle name="60% - 强调文字颜色 4 2 2 2 3 3" xfId="20739"/>
    <cellStyle name="60% - 强调文字颜色 4 2 2 2 3 3 2" xfId="20740"/>
    <cellStyle name="60% - 强调文字颜色 4 2 2 2 3 3 2 2" xfId="20741"/>
    <cellStyle name="60% - 强调文字颜色 4 2 2 2 3 4" xfId="20742"/>
    <cellStyle name="60% - 强调文字颜色 4 2 2 2 3 4 2" xfId="20743"/>
    <cellStyle name="60% - 强调文字颜色 4 2 2 2 4" xfId="20744"/>
    <cellStyle name="60% - 强调文字颜色 4 2 2 2 4 2" xfId="20745"/>
    <cellStyle name="60% - 强调文字颜色 4 2 2 2 4 2 2" xfId="20746"/>
    <cellStyle name="60% - 强调文字颜色 4 2 2 2 4 2 2 2" xfId="20747"/>
    <cellStyle name="60% - 强调文字颜色 4 2 2 2 4 3" xfId="20748"/>
    <cellStyle name="60% - 强调文字颜色 4 2 2 2 4 3 2" xfId="20749"/>
    <cellStyle name="60% - 强调文字颜色 4 2 2 2 5" xfId="20750"/>
    <cellStyle name="60% - 强调文字颜色 4 2 2 2 6" xfId="20751"/>
    <cellStyle name="60% - 强调文字颜色 4 2 2 2 7" xfId="20752"/>
    <cellStyle name="60% - 强调文字颜色 4 2 2 3" xfId="20753"/>
    <cellStyle name="60% - 强调文字颜色 4 2 2 3 2" xfId="20754"/>
    <cellStyle name="60% - 强调文字颜色 4 2 2 3 2 2" xfId="20755"/>
    <cellStyle name="60% - 强调文字颜色 4 2 2 3 2 3" xfId="20756"/>
    <cellStyle name="60% - 强调文字颜色 4 2 2 3 2 3 2" xfId="20757"/>
    <cellStyle name="60% - 强调文字颜色 4 2 2 3 2 3 2 2" xfId="20758"/>
    <cellStyle name="60% - 强调文字颜色 4 2 2 3 2 4" xfId="20759"/>
    <cellStyle name="60% - 强调文字颜色 4 2 2 3 2 4 2" xfId="20760"/>
    <cellStyle name="60% - 强调文字颜色 4 2 2 3 3" xfId="20761"/>
    <cellStyle name="60% - 强调文字颜色 4 2 2 3 3 2" xfId="20762"/>
    <cellStyle name="60% - 强调文字颜色 4 2 2 3 3 2 2" xfId="20763"/>
    <cellStyle name="60% - 强调文字颜色 4 2 2 3 3 2 2 2" xfId="20764"/>
    <cellStyle name="60% - 强调文字颜色 4 2 2 3 3 3" xfId="20765"/>
    <cellStyle name="60% - 强调文字颜色 4 2 2 3 3 3 2" xfId="20766"/>
    <cellStyle name="60% - 强调文字颜色 4 2 2 3 4" xfId="20767"/>
    <cellStyle name="60% - 强调文字颜色 4 2 2 3 5" xfId="20768"/>
    <cellStyle name="60% - 强调文字颜色 4 2 2 3 6" xfId="20769"/>
    <cellStyle name="60% - 强调文字颜色 4 2 2 4" xfId="20770"/>
    <cellStyle name="60% - 强调文字颜色 4 2 2 4 2" xfId="20771"/>
    <cellStyle name="60% - 强调文字颜色 4 2 2 4 2 2" xfId="20772"/>
    <cellStyle name="60% - 强调文字颜色 4 2 2 4 2 3" xfId="20773"/>
    <cellStyle name="60% - 强调文字颜色 4 2 2 4 2 3 2" xfId="20774"/>
    <cellStyle name="60% - 强调文字颜色 4 2 2 4 2 3 2 2" xfId="20775"/>
    <cellStyle name="60% - 强调文字颜色 4 2 2 4 2 4" xfId="20776"/>
    <cellStyle name="60% - 强调文字颜色 4 2 2 4 2 4 2" xfId="20777"/>
    <cellStyle name="60% - 强调文字颜色 4 2 2 4 3" xfId="20778"/>
    <cellStyle name="60% - 强调文字颜色 4 2 2 4 4" xfId="20779"/>
    <cellStyle name="60% - 强调文字颜色 4 2 2 4 5" xfId="20780"/>
    <cellStyle name="60% - 强调文字颜色 4 2 2 4 6" xfId="20781"/>
    <cellStyle name="60% - 强调文字颜色 4 2 2 5" xfId="20782"/>
    <cellStyle name="60% - 强调文字颜色 4 2 2 5 2" xfId="20783"/>
    <cellStyle name="60% - 强调文字颜色 4 2 2 5 2 2" xfId="20784"/>
    <cellStyle name="60% - 强调文字颜色 4 2 2 5 2 2 2" xfId="20785"/>
    <cellStyle name="60% - 强调文字颜色 4 2 2 5 2 2 2 2" xfId="20786"/>
    <cellStyle name="60% - 强调文字颜色 4 2 2 5 2 3" xfId="20787"/>
    <cellStyle name="60% - 强调文字颜色 4 2 2 5 2 3 2" xfId="20788"/>
    <cellStyle name="60% - 强调文字颜色 4 2 2 5 3" xfId="20789"/>
    <cellStyle name="60% - 强调文字颜色 4 2 2 5 3 2" xfId="20790"/>
    <cellStyle name="60% - 强调文字颜色 4 2 2 5 3 2 2" xfId="20791"/>
    <cellStyle name="60% - 强调文字颜色 4 2 2 5 4" xfId="20792"/>
    <cellStyle name="60% - 强调文字颜色 4 2 2 5 4 2" xfId="20793"/>
    <cellStyle name="60% - 强调文字颜色 4 2 2 6" xfId="20794"/>
    <cellStyle name="60% - 强调文字颜色 4 2 2 6 2" xfId="20795"/>
    <cellStyle name="60% - 强调文字颜色 4 2 2 6 2 2" xfId="20796"/>
    <cellStyle name="60% - 强调文字颜色 4 2 2 6 2 2 2" xfId="20797"/>
    <cellStyle name="60% - 强调文字颜色 4 2 2 6 2 2 2 2" xfId="20798"/>
    <cellStyle name="60% - 强调文字颜色 4 2 2 6 2 3" xfId="20799"/>
    <cellStyle name="60% - 强调文字颜色 4 2 2 6 2 3 2" xfId="20800"/>
    <cellStyle name="60% - 强调文字颜色 4 2 2 6 3" xfId="20801"/>
    <cellStyle name="60% - 强调文字颜色 4 2 2 6 3 2" xfId="20802"/>
    <cellStyle name="60% - 强调文字颜色 4 2 2 6 3 2 2" xfId="20803"/>
    <cellStyle name="60% - 强调文字颜色 4 2 2 6 4" xfId="20804"/>
    <cellStyle name="60% - 强调文字颜色 4 2 2 6 4 2" xfId="20805"/>
    <cellStyle name="60% - 强调文字颜色 4 2 2 7" xfId="20806"/>
    <cellStyle name="60% - 强调文字颜色 4 2 2 7 2" xfId="20807"/>
    <cellStyle name="60% - 强调文字颜色 4 2 2 7 2 2" xfId="20808"/>
    <cellStyle name="60% - 强调文字颜色 4 2 2 7 2 2 2" xfId="20809"/>
    <cellStyle name="60% - 强调文字颜色 4 2 2 7 2 2 2 2" xfId="20810"/>
    <cellStyle name="60% - 强调文字颜色 4 2 2 7 2 3" xfId="20811"/>
    <cellStyle name="60% - 强调文字颜色 4 2 2 7 2 3 2" xfId="20812"/>
    <cellStyle name="60% - 强调文字颜色 4 2 2 7 3" xfId="20813"/>
    <cellStyle name="60% - 强调文字颜色 4 2 2 7 3 2" xfId="20814"/>
    <cellStyle name="60% - 强调文字颜色 4 2 2 7 3 2 2" xfId="20815"/>
    <cellStyle name="60% - 强调文字颜色 4 2 2 7 4" xfId="20816"/>
    <cellStyle name="60% - 强调文字颜色 4 2 2 7 4 2" xfId="20817"/>
    <cellStyle name="60% - 强调文字颜色 4 2 2 8" xfId="20818"/>
    <cellStyle name="60% - 强调文字颜色 4 2 2 8 2" xfId="20819"/>
    <cellStyle name="60% - 强调文字颜色 4 2 2 8 2 2" xfId="20820"/>
    <cellStyle name="60% - 强调文字颜色 4 2 2 8 2 2 2" xfId="20821"/>
    <cellStyle name="60% - 强调文字颜色 4 2 2 8 3" xfId="20822"/>
    <cellStyle name="60% - 强调文字颜色 4 2 2 8 3 2" xfId="20823"/>
    <cellStyle name="60% - 强调文字颜色 4 2 2 9" xfId="20824"/>
    <cellStyle name="60% - 强调文字颜色 4 2 2 9 2" xfId="20825"/>
    <cellStyle name="60% - 强调文字颜色 4 2 2 9 2 2" xfId="20826"/>
    <cellStyle name="60% - 强调文字颜色 4 2 2 9 2 2 2" xfId="20827"/>
    <cellStyle name="60% - 强调文字颜色 4 2 2 9 3" xfId="20828"/>
    <cellStyle name="60% - 强调文字颜色 4 2 2 9 3 2" xfId="20829"/>
    <cellStyle name="60% - 强调文字颜色 4 2 3" xfId="20830"/>
    <cellStyle name="60% - 强调文字颜色 4 2 3 2" xfId="20831"/>
    <cellStyle name="60% - 强调文字颜色 4 2 3 2 2" xfId="20832"/>
    <cellStyle name="60% - 强调文字颜色 4 2 3 2 2 2" xfId="20833"/>
    <cellStyle name="60% - 强调文字颜色 4 2 3 2 2 2 2" xfId="20834"/>
    <cellStyle name="60% - 强调文字颜色 4 2 3 2 2 2 3" xfId="20835"/>
    <cellStyle name="60% - 强调文字颜色 4 2 3 2 2 2 3 2" xfId="20836"/>
    <cellStyle name="60% - 强调文字颜色 4 2 3 2 2 2 3 2 2" xfId="20837"/>
    <cellStyle name="60% - 强调文字颜色 4 2 3 2 2 2 4" xfId="20838"/>
    <cellStyle name="60% - 强调文字颜色 4 2 3 2 2 2 4 2" xfId="20839"/>
    <cellStyle name="60% - 强调文字颜色 4 2 3 2 2 3" xfId="20840"/>
    <cellStyle name="60% - 强调文字颜色 4 2 3 2 2 3 2" xfId="20841"/>
    <cellStyle name="60% - 强调文字颜色 4 2 3 2 2 3 2 2" xfId="20842"/>
    <cellStyle name="60% - 强调文字颜色 4 2 3 2 2 3 2 2 2" xfId="20843"/>
    <cellStyle name="60% - 强调文字颜色 4 2 3 2 2 3 3" xfId="20844"/>
    <cellStyle name="60% - 强调文字颜色 4 2 3 2 2 3 3 2" xfId="20845"/>
    <cellStyle name="60% - 强调文字颜色 4 2 3 2 2 4" xfId="20846"/>
    <cellStyle name="60% - 强调文字颜色 4 2 3 2 2 5" xfId="20847"/>
    <cellStyle name="60% - 强调文字颜色 4 2 3 2 2 6" xfId="20848"/>
    <cellStyle name="60% - 强调文字颜色 4 2 3 2 3" xfId="20849"/>
    <cellStyle name="60% - 强调文字颜色 4 2 3 2 3 2" xfId="20850"/>
    <cellStyle name="60% - 强调文字颜色 4 2 3 2 3 3" xfId="20851"/>
    <cellStyle name="60% - 强调文字颜色 4 2 3 2 3 3 2" xfId="20852"/>
    <cellStyle name="60% - 强调文字颜色 4 2 3 2 3 3 2 2" xfId="20853"/>
    <cellStyle name="60% - 强调文字颜色 4 2 3 2 3 4" xfId="20854"/>
    <cellStyle name="60% - 强调文字颜色 4 2 3 2 3 4 2" xfId="20855"/>
    <cellStyle name="60% - 强调文字颜色 4 2 3 2 4" xfId="20856"/>
    <cellStyle name="60% - 强调文字颜色 4 2 3 2 4 2" xfId="20857"/>
    <cellStyle name="60% - 强调文字颜色 4 2 3 2 4 2 2" xfId="20858"/>
    <cellStyle name="60% - 强调文字颜色 4 2 3 2 4 2 2 2" xfId="20859"/>
    <cellStyle name="60% - 强调文字颜色 4 2 3 2 4 3" xfId="20860"/>
    <cellStyle name="60% - 强调文字颜色 4 2 3 2 4 3 2" xfId="20861"/>
    <cellStyle name="60% - 强调文字颜色 4 2 3 2 5" xfId="20862"/>
    <cellStyle name="60% - 强调文字颜色 4 2 3 2 6" xfId="20863"/>
    <cellStyle name="60% - 强调文字颜色 4 2 3 2 7" xfId="20864"/>
    <cellStyle name="60% - 强调文字颜色 4 2 3 3" xfId="20865"/>
    <cellStyle name="60% - 强调文字颜色 4 2 3 3 2" xfId="20866"/>
    <cellStyle name="60% - 强调文字颜色 4 2 3 3 2 2" xfId="20867"/>
    <cellStyle name="60% - 强调文字颜色 4 2 3 3 2 3" xfId="20868"/>
    <cellStyle name="60% - 强调文字颜色 4 2 3 3 2 3 2" xfId="20869"/>
    <cellStyle name="60% - 强调文字颜色 4 2 3 3 2 3 2 2" xfId="20870"/>
    <cellStyle name="60% - 强调文字颜色 4 2 3 3 2 4" xfId="20871"/>
    <cellStyle name="60% - 强调文字颜色 4 2 3 3 2 4 2" xfId="20872"/>
    <cellStyle name="60% - 强调文字颜色 4 2 3 3 3" xfId="20873"/>
    <cellStyle name="60% - 强调文字颜色 4 2 3 3 3 2" xfId="20874"/>
    <cellStyle name="60% - 强调文字颜色 4 2 3 3 3 2 2" xfId="20875"/>
    <cellStyle name="60% - 强调文字颜色 4 2 3 3 3 2 2 2" xfId="20876"/>
    <cellStyle name="60% - 强调文字颜色 4 2 3 3 3 3" xfId="20877"/>
    <cellStyle name="60% - 强调文字颜色 4 2 3 3 3 3 2" xfId="20878"/>
    <cellStyle name="60% - 强调文字颜色 4 2 3 3 4" xfId="20879"/>
    <cellStyle name="60% - 强调文字颜色 4 2 3 3 5" xfId="20880"/>
    <cellStyle name="60% - 强调文字颜色 4 2 3 3 6" xfId="20881"/>
    <cellStyle name="60% - 强调文字颜色 4 2 3 4" xfId="20882"/>
    <cellStyle name="60% - 强调文字颜色 4 2 3 4 2" xfId="20883"/>
    <cellStyle name="60% - 强调文字颜色 4 2 3 4 2 2" xfId="20884"/>
    <cellStyle name="60% - 强调文字颜色 4 2 3 4 2 3" xfId="20885"/>
    <cellStyle name="60% - 强调文字颜色 4 2 3 4 2 3 2" xfId="20886"/>
    <cellStyle name="60% - 强调文字颜色 4 2 3 4 2 3 2 2" xfId="20887"/>
    <cellStyle name="60% - 强调文字颜色 4 2 3 4 2 4" xfId="20888"/>
    <cellStyle name="60% - 强调文字颜色 4 2 3 4 2 4 2" xfId="20889"/>
    <cellStyle name="60% - 强调文字颜色 4 2 3 4 3" xfId="20890"/>
    <cellStyle name="60% - 强调文字颜色 4 2 3 4 4" xfId="20891"/>
    <cellStyle name="60% - 强调文字颜色 4 2 3 4 5" xfId="20892"/>
    <cellStyle name="60% - 强调文字颜色 4 2 3 4 6" xfId="20893"/>
    <cellStyle name="60% - 强调文字颜色 4 2 3 5" xfId="20894"/>
    <cellStyle name="60% - 强调文字颜色 4 2 3 5 2" xfId="20895"/>
    <cellStyle name="60% - 强调文字颜色 4 2 3 5 2 2" xfId="20896"/>
    <cellStyle name="60% - 强调文字颜色 4 2 3 5 2 2 2" xfId="20897"/>
    <cellStyle name="60% - 强调文字颜色 4 2 3 5 2 2 2 2" xfId="20898"/>
    <cellStyle name="60% - 强调文字颜色 4 2 3 5 2 3" xfId="20899"/>
    <cellStyle name="60% - 强调文字颜色 4 2 3 5 2 3 2" xfId="20900"/>
    <cellStyle name="60% - 强调文字颜色 4 2 3 5 3" xfId="20901"/>
    <cellStyle name="60% - 强调文字颜色 4 2 3 5 3 2" xfId="20902"/>
    <cellStyle name="60% - 强调文字颜色 4 2 3 5 3 2 2" xfId="20903"/>
    <cellStyle name="60% - 强调文字颜色 4 2 3 5 4" xfId="20904"/>
    <cellStyle name="60% - 强调文字颜色 4 2 3 5 4 2" xfId="20905"/>
    <cellStyle name="60% - 强调文字颜色 4 2 3 6" xfId="20906"/>
    <cellStyle name="60% - 强调文字颜色 4 2 3 6 2" xfId="20907"/>
    <cellStyle name="60% - 强调文字颜色 4 2 3 6 2 2" xfId="20908"/>
    <cellStyle name="60% - 强调文字颜色 4 2 3 6 2 2 2" xfId="20909"/>
    <cellStyle name="60% - 强调文字颜色 4 2 3 6 3" xfId="20910"/>
    <cellStyle name="60% - 强调文字颜色 4 2 3 6 3 2" xfId="20911"/>
    <cellStyle name="60% - 强调文字颜色 4 2 3 7" xfId="20912"/>
    <cellStyle name="60% - 强调文字颜色 4 2 3 7 2" xfId="20913"/>
    <cellStyle name="60% - 强调文字颜色 4 2 3 7 2 2" xfId="20914"/>
    <cellStyle name="60% - 强调文字颜色 4 2 3 7 2 2 2" xfId="20915"/>
    <cellStyle name="60% - 强调文字颜色 4 2 3 7 3" xfId="20916"/>
    <cellStyle name="60% - 强调文字颜色 4 2 3 7 3 2" xfId="20917"/>
    <cellStyle name="60% - 强调文字颜色 4 2 3 8" xfId="20918"/>
    <cellStyle name="60% - 强调文字颜色 4 2 3 9" xfId="20919"/>
    <cellStyle name="60% - 强调文字颜色 4 2 4" xfId="20920"/>
    <cellStyle name="60% - 强调文字颜色 4 2 4 2" xfId="20921"/>
    <cellStyle name="60% - 强调文字颜色 4 2 4 2 2" xfId="20922"/>
    <cellStyle name="60% - 强调文字颜色 4 2 4 2 3" xfId="20923"/>
    <cellStyle name="60% - 强调文字颜色 4 2 4 2 3 2" xfId="20924"/>
    <cellStyle name="60% - 强调文字颜色 4 2 4 2 3 2 2" xfId="20925"/>
    <cellStyle name="60% - 强调文字颜色 4 2 4 2 4" xfId="20926"/>
    <cellStyle name="60% - 强调文字颜色 4 2 4 2 4 2" xfId="20927"/>
    <cellStyle name="60% - 强调文字颜色 4 2 4 3" xfId="20928"/>
    <cellStyle name="60% - 强调文字颜色 4 2 4 3 2" xfId="20929"/>
    <cellStyle name="60% - 强调文字颜色 4 2 4 3 2 2" xfId="20930"/>
    <cellStyle name="60% - 强调文字颜色 4 2 4 3 2 2 2" xfId="20931"/>
    <cellStyle name="60% - 强调文字颜色 4 2 4 3 3" xfId="20932"/>
    <cellStyle name="60% - 强调文字颜色 4 2 4 3 3 2" xfId="20933"/>
    <cellStyle name="60% - 强调文字颜色 4 2 4 4" xfId="20934"/>
    <cellStyle name="60% - 强调文字颜色 4 2 4 5" xfId="20935"/>
    <cellStyle name="60% - 强调文字颜色 4 2 4 6" xfId="20936"/>
    <cellStyle name="60% - 强调文字颜色 4 2 5" xfId="20937"/>
    <cellStyle name="60% - 强调文字颜色 4 2 5 2" xfId="20938"/>
    <cellStyle name="60% - 强调文字颜色 4 2 5 2 2" xfId="20939"/>
    <cellStyle name="60% - 强调文字颜色 4 2 5 2 3" xfId="20940"/>
    <cellStyle name="60% - 强调文字颜色 4 2 5 2 3 2" xfId="20941"/>
    <cellStyle name="60% - 强调文字颜色 4 2 5 2 3 2 2" xfId="20942"/>
    <cellStyle name="60% - 强调文字颜色 4 2 5 2 4" xfId="20943"/>
    <cellStyle name="60% - 强调文字颜色 4 2 5 2 4 2" xfId="20944"/>
    <cellStyle name="60% - 强调文字颜色 4 2 5 3" xfId="20945"/>
    <cellStyle name="60% - 强调文字颜色 4 2 5 4" xfId="20946"/>
    <cellStyle name="60% - 强调文字颜色 4 2 5 5" xfId="20947"/>
    <cellStyle name="60% - 强调文字颜色 4 2 5 6" xfId="20948"/>
    <cellStyle name="60% - 强调文字颜色 4 2 6" xfId="20949"/>
    <cellStyle name="60% - 强调文字颜色 4 2 6 2" xfId="20950"/>
    <cellStyle name="60% - 强调文字颜色 4 2 6 2 2" xfId="20951"/>
    <cellStyle name="60% - 强调文字颜色 4 2 6 2 2 2" xfId="20952"/>
    <cellStyle name="60% - 强调文字颜色 4 2 6 2 2 2 2" xfId="20953"/>
    <cellStyle name="60% - 强调文字颜色 4 2 6 2 3" xfId="20954"/>
    <cellStyle name="60% - 强调文字颜色 4 2 6 2 3 2" xfId="20955"/>
    <cellStyle name="60% - 强调文字颜色 4 2 6 3" xfId="20956"/>
    <cellStyle name="60% - 强调文字颜色 4 2 6 3 2" xfId="20957"/>
    <cellStyle name="60% - 强调文字颜色 4 2 6 3 2 2" xfId="20958"/>
    <cellStyle name="60% - 强调文字颜色 4 2 6 4" xfId="20959"/>
    <cellStyle name="60% - 强调文字颜色 4 2 6 4 2" xfId="20960"/>
    <cellStyle name="60% - 强调文字颜色 4 2 7" xfId="20961"/>
    <cellStyle name="60% - 强调文字颜色 4 2 7 2" xfId="20962"/>
    <cellStyle name="60% - 强调文字颜色 4 2 7 2 2" xfId="20963"/>
    <cellStyle name="60% - 强调文字颜色 4 2 7 2 2 2" xfId="20964"/>
    <cellStyle name="60% - 强调文字颜色 4 2 7 2 2 2 2" xfId="20965"/>
    <cellStyle name="60% - 强调文字颜色 4 2 7 2 3" xfId="20966"/>
    <cellStyle name="60% - 强调文字颜色 4 2 7 2 3 2" xfId="20967"/>
    <cellStyle name="60% - 强调文字颜色 4 2 7 3" xfId="20968"/>
    <cellStyle name="60% - 强调文字颜色 4 2 7 3 2" xfId="20969"/>
    <cellStyle name="60% - 强调文字颜色 4 2 7 3 2 2" xfId="20970"/>
    <cellStyle name="60% - 强调文字颜色 4 2 7 4" xfId="20971"/>
    <cellStyle name="60% - 强调文字颜色 4 2 7 4 2" xfId="20972"/>
    <cellStyle name="60% - 强调文字颜色 4 2 8" xfId="20973"/>
    <cellStyle name="60% - 强调文字颜色 4 2 8 2" xfId="20974"/>
    <cellStyle name="60% - 强调文字颜色 4 2 8 2 2" xfId="20975"/>
    <cellStyle name="60% - 强调文字颜色 4 2 8 2 2 2" xfId="20976"/>
    <cellStyle name="60% - 强调文字颜色 4 2 8 2 2 2 2" xfId="20977"/>
    <cellStyle name="60% - 强调文字颜色 4 2 8 2 3" xfId="20978"/>
    <cellStyle name="60% - 强调文字颜色 4 2 8 2 3 2" xfId="20979"/>
    <cellStyle name="60% - 强调文字颜色 4 2 8 3" xfId="20980"/>
    <cellStyle name="60% - 强调文字颜色 4 2 8 3 2" xfId="20981"/>
    <cellStyle name="60% - 强调文字颜色 4 2 8 3 2 2" xfId="20982"/>
    <cellStyle name="60% - 强调文字颜色 4 2 8 4" xfId="20983"/>
    <cellStyle name="60% - 强调文字颜色 4 2 8 4 2" xfId="20984"/>
    <cellStyle name="60% - 强调文字颜色 4 2 9" xfId="20985"/>
    <cellStyle name="60% - 强调文字颜色 4 2 9 2" xfId="20986"/>
    <cellStyle name="60% - 强调文字颜色 4 2 9 2 2" xfId="20987"/>
    <cellStyle name="60% - 强调文字颜色 4 2 9 2 2 2" xfId="20988"/>
    <cellStyle name="60% - 强调文字颜色 4 2 9 3" xfId="20989"/>
    <cellStyle name="60% - 强调文字颜色 4 2 9 3 2" xfId="20990"/>
    <cellStyle name="60% - 强调文字颜色 4 3" xfId="20991"/>
    <cellStyle name="60% - 强调文字颜色 4 3 2" xfId="20992"/>
    <cellStyle name="60% - 强调文字颜色 4 3 2 2" xfId="20993"/>
    <cellStyle name="60% - 强调文字颜色 4 3 2 2 2" xfId="20994"/>
    <cellStyle name="60% - 强调文字颜色 4 3 2 2 2 2" xfId="20995"/>
    <cellStyle name="60% - 强调文字颜色 4 3 2 2 2 3" xfId="20996"/>
    <cellStyle name="60% - 强调文字颜色 4 3 2 2 2 3 2" xfId="20997"/>
    <cellStyle name="60% - 强调文字颜色 4 3 2 2 2 3 2 2" xfId="20998"/>
    <cellStyle name="60% - 强调文字颜色 4 3 2 2 2 4" xfId="20999"/>
    <cellStyle name="60% - 强调文字颜色 4 3 2 2 2 4 2" xfId="21000"/>
    <cellStyle name="60% - 强调文字颜色 4 3 2 2 3" xfId="21001"/>
    <cellStyle name="60% - 强调文字颜色 4 3 2 2 3 2" xfId="21002"/>
    <cellStyle name="60% - 强调文字颜色 4 3 2 2 3 2 2" xfId="21003"/>
    <cellStyle name="60% - 强调文字颜色 4 3 2 2 3 2 2 2" xfId="21004"/>
    <cellStyle name="60% - 强调文字颜色 4 3 2 2 3 3" xfId="21005"/>
    <cellStyle name="60% - 强调文字颜色 4 3 2 2 3 3 2" xfId="21006"/>
    <cellStyle name="60% - 强调文字颜色 4 3 2 2 4" xfId="21007"/>
    <cellStyle name="60% - 强调文字颜色 4 3 2 2 5" xfId="21008"/>
    <cellStyle name="60% - 强调文字颜色 4 3 2 2 6" xfId="21009"/>
    <cellStyle name="60% - 强调文字颜色 4 3 2 3" xfId="21010"/>
    <cellStyle name="60% - 强调文字颜色 4 3 2 3 2" xfId="21011"/>
    <cellStyle name="60% - 强调文字颜色 4 3 2 3 3" xfId="21012"/>
    <cellStyle name="60% - 强调文字颜色 4 3 2 3 3 2" xfId="21013"/>
    <cellStyle name="60% - 强调文字颜色 4 3 2 3 3 2 2" xfId="21014"/>
    <cellStyle name="60% - 强调文字颜色 4 3 2 3 4" xfId="21015"/>
    <cellStyle name="60% - 强调文字颜色 4 3 2 3 4 2" xfId="21016"/>
    <cellStyle name="60% - 强调文字颜色 4 3 2 4" xfId="21017"/>
    <cellStyle name="60% - 强调文字颜色 4 3 2 4 2" xfId="21018"/>
    <cellStyle name="60% - 强调文字颜色 4 3 2 4 2 2" xfId="21019"/>
    <cellStyle name="60% - 强调文字颜色 4 3 2 4 2 2 2" xfId="21020"/>
    <cellStyle name="60% - 强调文字颜色 4 3 2 4 3" xfId="21021"/>
    <cellStyle name="60% - 强调文字颜色 4 3 2 4 3 2" xfId="21022"/>
    <cellStyle name="60% - 强调文字颜色 4 3 2 5" xfId="21023"/>
    <cellStyle name="60% - 强调文字颜色 4 3 2 6" xfId="21024"/>
    <cellStyle name="60% - 强调文字颜色 4 3 2 7" xfId="21025"/>
    <cellStyle name="60% - 强调文字颜色 4 3 3" xfId="21026"/>
    <cellStyle name="60% - 强调文字颜色 4 3 3 2" xfId="21027"/>
    <cellStyle name="60% - 强调文字颜色 4 3 3 2 2" xfId="21028"/>
    <cellStyle name="60% - 强调文字颜色 4 3 3 2 3" xfId="21029"/>
    <cellStyle name="60% - 强调文字颜色 4 3 3 2 3 2" xfId="21030"/>
    <cellStyle name="60% - 强调文字颜色 4 3 3 2 3 2 2" xfId="21031"/>
    <cellStyle name="60% - 强调文字颜色 4 3 3 2 4" xfId="21032"/>
    <cellStyle name="60% - 强调文字颜色 4 3 3 2 4 2" xfId="21033"/>
    <cellStyle name="60% - 强调文字颜色 4 3 3 3" xfId="21034"/>
    <cellStyle name="60% - 强调文字颜色 4 3 3 3 2" xfId="21035"/>
    <cellStyle name="60% - 强调文字颜色 4 3 3 3 2 2" xfId="21036"/>
    <cellStyle name="60% - 强调文字颜色 4 3 3 3 2 2 2" xfId="21037"/>
    <cellStyle name="60% - 强调文字颜色 4 3 3 3 3" xfId="21038"/>
    <cellStyle name="60% - 强调文字颜色 4 3 3 3 3 2" xfId="21039"/>
    <cellStyle name="60% - 强调文字颜色 4 3 3 4" xfId="21040"/>
    <cellStyle name="60% - 强调文字颜色 4 3 3 5" xfId="21041"/>
    <cellStyle name="60% - 强调文字颜色 4 3 3 6" xfId="21042"/>
    <cellStyle name="60% - 强调文字颜色 4 3 4" xfId="21043"/>
    <cellStyle name="60% - 强调文字颜色 4 3 4 2" xfId="21044"/>
    <cellStyle name="60% - 强调文字颜色 4 3 4 2 2" xfId="21045"/>
    <cellStyle name="60% - 强调文字颜色 4 3 4 2 3" xfId="21046"/>
    <cellStyle name="60% - 强调文字颜色 4 3 4 2 3 2" xfId="21047"/>
    <cellStyle name="60% - 强调文字颜色 4 3 4 2 3 2 2" xfId="21048"/>
    <cellStyle name="60% - 强调文字颜色 4 3 4 2 4" xfId="21049"/>
    <cellStyle name="60% - 强调文字颜色 4 3 4 2 4 2" xfId="21050"/>
    <cellStyle name="60% - 强调文字颜色 4 3 4 3" xfId="21051"/>
    <cellStyle name="60% - 强调文字颜色 4 3 4 4" xfId="21052"/>
    <cellStyle name="60% - 强调文字颜色 4 3 4 5" xfId="21053"/>
    <cellStyle name="60% - 强调文字颜色 4 3 4 6" xfId="21054"/>
    <cellStyle name="60% - 强调文字颜色 4 3 5" xfId="21055"/>
    <cellStyle name="60% - 强调文字颜色 4 3 5 2" xfId="21056"/>
    <cellStyle name="60% - 强调文字颜色 4 3 5 2 2" xfId="21057"/>
    <cellStyle name="60% - 强调文字颜色 4 3 5 2 2 2" xfId="21058"/>
    <cellStyle name="60% - 强调文字颜色 4 3 5 2 2 2 2" xfId="21059"/>
    <cellStyle name="60% - 强调文字颜色 4 3 5 2 3" xfId="21060"/>
    <cellStyle name="60% - 强调文字颜色 4 3 5 2 3 2" xfId="21061"/>
    <cellStyle name="60% - 强调文字颜色 4 3 5 3" xfId="21062"/>
    <cellStyle name="60% - 强调文字颜色 4 3 5 3 2" xfId="21063"/>
    <cellStyle name="60% - 强调文字颜色 4 3 5 3 2 2" xfId="21064"/>
    <cellStyle name="60% - 强调文字颜色 4 3 5 4" xfId="21065"/>
    <cellStyle name="60% - 强调文字颜色 4 3 5 4 2" xfId="21066"/>
    <cellStyle name="60% - 强调文字颜色 4 3 6" xfId="21067"/>
    <cellStyle name="60% - 强调文字颜色 4 3 6 2" xfId="21068"/>
    <cellStyle name="60% - 强调文字颜色 4 3 6 2 2" xfId="21069"/>
    <cellStyle name="60% - 强调文字颜色 4 3 6 2 2 2" xfId="21070"/>
    <cellStyle name="60% - 强调文字颜色 4 3 6 3" xfId="21071"/>
    <cellStyle name="60% - 强调文字颜色 4 3 6 3 2" xfId="21072"/>
    <cellStyle name="60% - 强调文字颜色 4 3 7" xfId="21073"/>
    <cellStyle name="60% - 强调文字颜色 4 3 8" xfId="21074"/>
    <cellStyle name="60% - 强调文字颜色 5 2" xfId="21075"/>
    <cellStyle name="60% - 强调文字颜色 5 2 10" xfId="21076"/>
    <cellStyle name="60% - 强调文字颜色 5 2 11" xfId="21077"/>
    <cellStyle name="60% - 强调文字颜色 5 2 2" xfId="21078"/>
    <cellStyle name="60% - 强调文字颜色 5 2 2 10" xfId="21079"/>
    <cellStyle name="60% - 强调文字颜色 5 2 2 11" xfId="21080"/>
    <cellStyle name="60% - 强调文字颜色 5 2 2 2" xfId="21081"/>
    <cellStyle name="60% - 强调文字颜色 5 2 2 2 2" xfId="21082"/>
    <cellStyle name="60% - 强调文字颜色 5 2 2 2 2 2" xfId="21083"/>
    <cellStyle name="60% - 强调文字颜色 5 2 2 2 2 2 2" xfId="21084"/>
    <cellStyle name="60% - 强调文字颜色 5 2 2 2 2 2 3" xfId="21085"/>
    <cellStyle name="60% - 强调文字颜色 5 2 2 2 2 2 3 2" xfId="21086"/>
    <cellStyle name="60% - 强调文字颜色 5 2 2 2 2 2 3 2 2" xfId="21087"/>
    <cellStyle name="60% - 强调文字颜色 5 2 2 2 2 2 4" xfId="21088"/>
    <cellStyle name="60% - 强调文字颜色 5 2 2 2 2 2 4 2" xfId="21089"/>
    <cellStyle name="60% - 强调文字颜色 5 2 2 2 2 3" xfId="21090"/>
    <cellStyle name="60% - 强调文字颜色 5 2 2 2 2 3 2" xfId="21091"/>
    <cellStyle name="60% - 强调文字颜色 5 2 2 2 2 3 2 2" xfId="21092"/>
    <cellStyle name="60% - 强调文字颜色 5 2 2 2 2 3 2 2 2" xfId="21093"/>
    <cellStyle name="60% - 强调文字颜色 5 2 2 2 2 3 3" xfId="21094"/>
    <cellStyle name="60% - 强调文字颜色 5 2 2 2 2 3 3 2" xfId="21095"/>
    <cellStyle name="60% - 强调文字颜色 5 2 2 2 2 4" xfId="21096"/>
    <cellStyle name="60% - 强调文字颜色 5 2 2 2 2 5" xfId="21097"/>
    <cellStyle name="60% - 强调文字颜色 5 2 2 2 2 6" xfId="21098"/>
    <cellStyle name="60% - 强调文字颜色 5 2 2 2 3" xfId="21099"/>
    <cellStyle name="60% - 强调文字颜色 5 2 2 2 3 2" xfId="21100"/>
    <cellStyle name="60% - 强调文字颜色 5 2 2 2 3 3" xfId="21101"/>
    <cellStyle name="60% - 强调文字颜色 5 2 2 2 3 3 2" xfId="21102"/>
    <cellStyle name="60% - 强调文字颜色 5 2 2 2 3 3 2 2" xfId="21103"/>
    <cellStyle name="60% - 强调文字颜色 5 2 2 2 3 4" xfId="21104"/>
    <cellStyle name="60% - 强调文字颜色 5 2 2 2 3 4 2" xfId="21105"/>
    <cellStyle name="60% - 强调文字颜色 5 2 2 2 4" xfId="21106"/>
    <cellStyle name="60% - 强调文字颜色 5 2 2 2 4 2" xfId="21107"/>
    <cellStyle name="60% - 强调文字颜色 5 2 2 2 4 2 2" xfId="21108"/>
    <cellStyle name="60% - 强调文字颜色 5 2 2 2 4 2 2 2" xfId="21109"/>
    <cellStyle name="60% - 强调文字颜色 5 2 2 2 4 3" xfId="21110"/>
    <cellStyle name="60% - 强调文字颜色 5 2 2 2 4 3 2" xfId="21111"/>
    <cellStyle name="60% - 强调文字颜色 5 2 2 2 5" xfId="21112"/>
    <cellStyle name="60% - 强调文字颜色 5 2 2 2 6" xfId="21113"/>
    <cellStyle name="60% - 强调文字颜色 5 2 2 2 7" xfId="21114"/>
    <cellStyle name="60% - 强调文字颜色 5 2 2 3" xfId="21115"/>
    <cellStyle name="60% - 强调文字颜色 5 2 2 3 2" xfId="21116"/>
    <cellStyle name="60% - 强调文字颜色 5 2 2 3 2 2" xfId="21117"/>
    <cellStyle name="60% - 强调文字颜色 5 2 2 3 2 3" xfId="21118"/>
    <cellStyle name="60% - 强调文字颜色 5 2 2 3 2 3 2" xfId="21119"/>
    <cellStyle name="60% - 强调文字颜色 5 2 2 3 2 3 2 2" xfId="21120"/>
    <cellStyle name="60% - 强调文字颜色 5 2 2 3 2 4" xfId="21121"/>
    <cellStyle name="60% - 强调文字颜色 5 2 2 3 2 4 2" xfId="21122"/>
    <cellStyle name="60% - 强调文字颜色 5 2 2 3 3" xfId="21123"/>
    <cellStyle name="60% - 强调文字颜色 5 2 2 3 3 2" xfId="21124"/>
    <cellStyle name="60% - 强调文字颜色 5 2 2 3 3 2 2" xfId="21125"/>
    <cellStyle name="60% - 强调文字颜色 5 2 2 3 3 2 2 2" xfId="21126"/>
    <cellStyle name="60% - 强调文字颜色 5 2 2 3 3 3" xfId="21127"/>
    <cellStyle name="60% - 强调文字颜色 5 2 2 3 3 3 2" xfId="21128"/>
    <cellStyle name="60% - 强调文字颜色 5 2 2 3 4" xfId="21129"/>
    <cellStyle name="60% - 强调文字颜色 5 2 2 3 5" xfId="21130"/>
    <cellStyle name="60% - 强调文字颜色 5 2 2 3 6" xfId="21131"/>
    <cellStyle name="60% - 强调文字颜色 5 2 2 4" xfId="21132"/>
    <cellStyle name="60% - 强调文字颜色 5 2 2 4 2" xfId="21133"/>
    <cellStyle name="60% - 强调文字颜色 5 2 2 4 2 2" xfId="21134"/>
    <cellStyle name="60% - 强调文字颜色 5 2 2 4 2 3" xfId="21135"/>
    <cellStyle name="60% - 强调文字颜色 5 2 2 4 2 3 2" xfId="21136"/>
    <cellStyle name="60% - 强调文字颜色 5 2 2 4 2 3 2 2" xfId="21137"/>
    <cellStyle name="60% - 强调文字颜色 5 2 2 4 2 4" xfId="21138"/>
    <cellStyle name="60% - 强调文字颜色 5 2 2 4 2 4 2" xfId="21139"/>
    <cellStyle name="60% - 强调文字颜色 5 2 2 4 3" xfId="21140"/>
    <cellStyle name="60% - 强调文字颜色 5 2 2 4 4" xfId="21141"/>
    <cellStyle name="60% - 强调文字颜色 5 2 2 4 5" xfId="21142"/>
    <cellStyle name="60% - 强调文字颜色 5 2 2 4 6" xfId="21143"/>
    <cellStyle name="60% - 强调文字颜色 5 2 2 5" xfId="21144"/>
    <cellStyle name="60% - 强调文字颜色 5 2 2 5 2" xfId="21145"/>
    <cellStyle name="60% - 强调文字颜色 5 2 2 5 2 2" xfId="21146"/>
    <cellStyle name="60% - 强调文字颜色 5 2 2 5 2 2 2" xfId="21147"/>
    <cellStyle name="60% - 强调文字颜色 5 2 2 5 2 2 2 2" xfId="21148"/>
    <cellStyle name="60% - 强调文字颜色 5 2 2 5 2 3" xfId="21149"/>
    <cellStyle name="60% - 强调文字颜色 5 2 2 5 2 3 2" xfId="21150"/>
    <cellStyle name="60% - 强调文字颜色 5 2 2 5 3" xfId="21151"/>
    <cellStyle name="60% - 强调文字颜色 5 2 2 5 3 2" xfId="21152"/>
    <cellStyle name="60% - 强调文字颜色 5 2 2 5 3 2 2" xfId="21153"/>
    <cellStyle name="60% - 强调文字颜色 5 2 2 5 4" xfId="21154"/>
    <cellStyle name="60% - 强调文字颜色 5 2 2 5 4 2" xfId="21155"/>
    <cellStyle name="60% - 强调文字颜色 5 2 2 6" xfId="21156"/>
    <cellStyle name="60% - 强调文字颜色 5 2 2 6 2" xfId="21157"/>
    <cellStyle name="60% - 强调文字颜色 5 2 2 6 2 2" xfId="21158"/>
    <cellStyle name="60% - 强调文字颜色 5 2 2 6 2 2 2" xfId="21159"/>
    <cellStyle name="60% - 强调文字颜色 5 2 2 6 2 2 2 2" xfId="21160"/>
    <cellStyle name="60% - 强调文字颜色 5 2 2 6 2 3" xfId="21161"/>
    <cellStyle name="60% - 强调文字颜色 5 2 2 6 2 3 2" xfId="21162"/>
    <cellStyle name="60% - 强调文字颜色 5 2 2 6 3" xfId="21163"/>
    <cellStyle name="60% - 强调文字颜色 5 2 2 6 3 2" xfId="21164"/>
    <cellStyle name="60% - 强调文字颜色 5 2 2 6 3 2 2" xfId="21165"/>
    <cellStyle name="60% - 强调文字颜色 5 2 2 6 4" xfId="21166"/>
    <cellStyle name="60% - 强调文字颜色 5 2 2 6 4 2" xfId="21167"/>
    <cellStyle name="60% - 强调文字颜色 5 2 2 7" xfId="21168"/>
    <cellStyle name="60% - 强调文字颜色 5 2 2 7 2" xfId="21169"/>
    <cellStyle name="60% - 强调文字颜色 5 2 2 7 2 2" xfId="21170"/>
    <cellStyle name="60% - 强调文字颜色 5 2 2 7 2 2 2" xfId="21171"/>
    <cellStyle name="60% - 强调文字颜色 5 2 2 7 2 2 2 2" xfId="21172"/>
    <cellStyle name="60% - 强调文字颜色 5 2 2 7 2 3" xfId="21173"/>
    <cellStyle name="60% - 强调文字颜色 5 2 2 7 2 3 2" xfId="21174"/>
    <cellStyle name="60% - 强调文字颜色 5 2 2 7 3" xfId="21175"/>
    <cellStyle name="60% - 强调文字颜色 5 2 2 7 3 2" xfId="21176"/>
    <cellStyle name="60% - 强调文字颜色 5 2 2 7 3 2 2" xfId="21177"/>
    <cellStyle name="60% - 强调文字颜色 5 2 2 7 4" xfId="21178"/>
    <cellStyle name="60% - 强调文字颜色 5 2 2 7 4 2" xfId="21179"/>
    <cellStyle name="60% - 强调文字颜色 5 2 2 8" xfId="21180"/>
    <cellStyle name="60% - 强调文字颜色 5 2 2 8 2" xfId="21181"/>
    <cellStyle name="60% - 强调文字颜色 5 2 2 8 2 2" xfId="21182"/>
    <cellStyle name="60% - 强调文字颜色 5 2 2 8 2 2 2" xfId="21183"/>
    <cellStyle name="60% - 强调文字颜色 5 2 2 8 3" xfId="21184"/>
    <cellStyle name="60% - 强调文字颜色 5 2 2 8 3 2" xfId="21185"/>
    <cellStyle name="60% - 强调文字颜色 5 2 2 9" xfId="21186"/>
    <cellStyle name="60% - 强调文字颜色 5 2 2 9 2" xfId="21187"/>
    <cellStyle name="60% - 强调文字颜色 5 2 2 9 2 2" xfId="21188"/>
    <cellStyle name="60% - 强调文字颜色 5 2 2 9 2 2 2" xfId="21189"/>
    <cellStyle name="60% - 强调文字颜色 5 2 2 9 3" xfId="21190"/>
    <cellStyle name="60% - 强调文字颜色 5 2 2 9 3 2" xfId="21191"/>
    <cellStyle name="60% - 强调文字颜色 5 2 3" xfId="21192"/>
    <cellStyle name="60% - 强调文字颜色 5 2 3 2" xfId="21193"/>
    <cellStyle name="60% - 强调文字颜色 5 2 3 2 2" xfId="21194"/>
    <cellStyle name="60% - 强调文字颜色 5 2 3 2 2 2" xfId="21195"/>
    <cellStyle name="60% - 强调文字颜色 5 2 3 2 2 2 2" xfId="21196"/>
    <cellStyle name="60% - 强调文字颜色 5 2 3 2 2 2 3" xfId="21197"/>
    <cellStyle name="60% - 强调文字颜色 5 2 3 2 2 2 3 2" xfId="21198"/>
    <cellStyle name="60% - 强调文字颜色 5 2 3 2 2 2 3 2 2" xfId="21199"/>
    <cellStyle name="60% - 强调文字颜色 5 2 3 2 2 2 4" xfId="21200"/>
    <cellStyle name="60% - 强调文字颜色 5 2 3 2 2 2 4 2" xfId="21201"/>
    <cellStyle name="60% - 强调文字颜色 5 2 3 2 2 3" xfId="21202"/>
    <cellStyle name="60% - 强调文字颜色 5 2 3 2 2 3 2" xfId="21203"/>
    <cellStyle name="60% - 强调文字颜色 5 2 3 2 2 3 2 2" xfId="21204"/>
    <cellStyle name="60% - 强调文字颜色 5 2 3 2 2 3 2 2 2" xfId="21205"/>
    <cellStyle name="60% - 强调文字颜色 5 2 3 2 2 3 3" xfId="21206"/>
    <cellStyle name="60% - 强调文字颜色 5 2 3 2 2 3 3 2" xfId="21207"/>
    <cellStyle name="60% - 强调文字颜色 5 2 3 2 2 4" xfId="21208"/>
    <cellStyle name="60% - 强调文字颜色 5 2 3 2 2 5" xfId="21209"/>
    <cellStyle name="60% - 强调文字颜色 5 2 3 2 2 6" xfId="21210"/>
    <cellStyle name="60% - 强调文字颜色 5 2 3 2 3" xfId="21211"/>
    <cellStyle name="60% - 强调文字颜色 5 2 3 2 3 2" xfId="21212"/>
    <cellStyle name="60% - 强调文字颜色 5 2 3 2 3 3" xfId="21213"/>
    <cellStyle name="60% - 强调文字颜色 5 2 3 2 3 3 2" xfId="21214"/>
    <cellStyle name="60% - 强调文字颜色 5 2 3 2 3 3 2 2" xfId="21215"/>
    <cellStyle name="60% - 强调文字颜色 5 2 3 2 3 4" xfId="21216"/>
    <cellStyle name="60% - 强调文字颜色 5 2 3 2 3 4 2" xfId="21217"/>
    <cellStyle name="60% - 强调文字颜色 5 2 3 2 4" xfId="21218"/>
    <cellStyle name="60% - 强调文字颜色 5 2 3 2 4 2" xfId="21219"/>
    <cellStyle name="60% - 强调文字颜色 5 2 3 2 4 2 2" xfId="21220"/>
    <cellStyle name="60% - 强调文字颜色 5 2 3 2 4 2 2 2" xfId="21221"/>
    <cellStyle name="60% - 强调文字颜色 5 2 3 2 4 3" xfId="21222"/>
    <cellStyle name="60% - 强调文字颜色 5 2 3 2 4 3 2" xfId="21223"/>
    <cellStyle name="60% - 强调文字颜色 5 2 3 2 5" xfId="21224"/>
    <cellStyle name="60% - 强调文字颜色 5 2 3 2 6" xfId="21225"/>
    <cellStyle name="60% - 强调文字颜色 5 2 3 2 7" xfId="21226"/>
    <cellStyle name="60% - 强调文字颜色 5 2 3 3" xfId="21227"/>
    <cellStyle name="60% - 强调文字颜色 5 2 3 3 2" xfId="21228"/>
    <cellStyle name="60% - 强调文字颜色 5 2 3 3 2 2" xfId="21229"/>
    <cellStyle name="60% - 强调文字颜色 5 2 3 3 2 3" xfId="21230"/>
    <cellStyle name="60% - 强调文字颜色 5 2 3 3 2 3 2" xfId="21231"/>
    <cellStyle name="60% - 强调文字颜色 5 2 3 3 2 3 2 2" xfId="21232"/>
    <cellStyle name="60% - 强调文字颜色 5 2 3 3 2 4" xfId="21233"/>
    <cellStyle name="60% - 强调文字颜色 5 2 3 3 2 4 2" xfId="21234"/>
    <cellStyle name="60% - 强调文字颜色 5 2 3 3 3" xfId="21235"/>
    <cellStyle name="60% - 强调文字颜色 5 2 3 3 3 2" xfId="21236"/>
    <cellStyle name="60% - 强调文字颜色 5 2 3 3 3 2 2" xfId="21237"/>
    <cellStyle name="60% - 强调文字颜色 5 2 3 3 3 2 2 2" xfId="21238"/>
    <cellStyle name="60% - 强调文字颜色 5 2 3 3 3 3" xfId="21239"/>
    <cellStyle name="60% - 强调文字颜色 5 2 3 3 3 3 2" xfId="21240"/>
    <cellStyle name="60% - 强调文字颜色 5 2 3 3 4" xfId="21241"/>
    <cellStyle name="60% - 强调文字颜色 5 2 3 3 5" xfId="21242"/>
    <cellStyle name="60% - 强调文字颜色 5 2 3 3 6" xfId="21243"/>
    <cellStyle name="60% - 强调文字颜色 5 2 3 4" xfId="21244"/>
    <cellStyle name="60% - 强调文字颜色 5 2 3 4 2" xfId="21245"/>
    <cellStyle name="60% - 强调文字颜色 5 2 3 4 2 2" xfId="21246"/>
    <cellStyle name="60% - 强调文字颜色 5 2 3 4 2 3" xfId="21247"/>
    <cellStyle name="60% - 强调文字颜色 5 2 3 4 2 3 2" xfId="21248"/>
    <cellStyle name="60% - 强调文字颜色 5 2 3 4 2 3 2 2" xfId="21249"/>
    <cellStyle name="60% - 强调文字颜色 5 2 3 4 2 4" xfId="21250"/>
    <cellStyle name="60% - 强调文字颜色 5 2 3 4 2 4 2" xfId="21251"/>
    <cellStyle name="60% - 强调文字颜色 5 2 3 4 3" xfId="21252"/>
    <cellStyle name="60% - 强调文字颜色 5 2 3 4 4" xfId="21253"/>
    <cellStyle name="60% - 强调文字颜色 5 2 3 4 5" xfId="21254"/>
    <cellStyle name="60% - 强调文字颜色 5 2 3 4 6" xfId="21255"/>
    <cellStyle name="60% - 强调文字颜色 5 2 3 5" xfId="21256"/>
    <cellStyle name="60% - 强调文字颜色 5 2 3 5 2" xfId="21257"/>
    <cellStyle name="60% - 强调文字颜色 5 2 3 5 2 2" xfId="21258"/>
    <cellStyle name="60% - 强调文字颜色 5 2 3 5 2 2 2" xfId="21259"/>
    <cellStyle name="60% - 强调文字颜色 5 2 3 5 2 2 2 2" xfId="21260"/>
    <cellStyle name="60% - 强调文字颜色 5 2 3 5 2 3" xfId="21261"/>
    <cellStyle name="60% - 强调文字颜色 5 2 3 5 2 3 2" xfId="21262"/>
    <cellStyle name="60% - 强调文字颜色 5 2 3 5 3" xfId="21263"/>
    <cellStyle name="60% - 强调文字颜色 5 2 3 5 3 2" xfId="21264"/>
    <cellStyle name="60% - 强调文字颜色 5 2 3 5 3 2 2" xfId="21265"/>
    <cellStyle name="60% - 强调文字颜色 5 2 3 5 4" xfId="21266"/>
    <cellStyle name="60% - 强调文字颜色 5 2 3 5 4 2" xfId="21267"/>
    <cellStyle name="60% - 强调文字颜色 5 2 3 6" xfId="21268"/>
    <cellStyle name="60% - 强调文字颜色 5 2 3 6 2" xfId="21269"/>
    <cellStyle name="60% - 强调文字颜色 5 2 3 6 2 2" xfId="21270"/>
    <cellStyle name="60% - 强调文字颜色 5 2 3 6 2 2 2" xfId="21271"/>
    <cellStyle name="60% - 强调文字颜色 5 2 3 6 3" xfId="21272"/>
    <cellStyle name="60% - 强调文字颜色 5 2 3 6 3 2" xfId="21273"/>
    <cellStyle name="60% - 强调文字颜色 5 2 3 7" xfId="21274"/>
    <cellStyle name="60% - 强调文字颜色 5 2 3 7 2" xfId="21275"/>
    <cellStyle name="60% - 强调文字颜色 5 2 3 7 2 2" xfId="21276"/>
    <cellStyle name="60% - 强调文字颜色 5 2 3 7 2 2 2" xfId="21277"/>
    <cellStyle name="60% - 强调文字颜色 5 2 3 7 3" xfId="21278"/>
    <cellStyle name="60% - 强调文字颜色 5 2 3 7 3 2" xfId="21279"/>
    <cellStyle name="60% - 强调文字颜色 5 2 3 8" xfId="21280"/>
    <cellStyle name="60% - 强调文字颜色 5 2 3 9" xfId="21281"/>
    <cellStyle name="60% - 强调文字颜色 5 2 4" xfId="21282"/>
    <cellStyle name="60% - 强调文字颜色 5 2 4 2" xfId="21283"/>
    <cellStyle name="60% - 强调文字颜色 5 2 4 2 2" xfId="21284"/>
    <cellStyle name="60% - 强调文字颜色 5 2 4 2 3" xfId="21285"/>
    <cellStyle name="60% - 强调文字颜色 5 2 4 2 3 2" xfId="21286"/>
    <cellStyle name="60% - 强调文字颜色 5 2 4 2 3 2 2" xfId="21287"/>
    <cellStyle name="60% - 强调文字颜色 5 2 4 2 4" xfId="21288"/>
    <cellStyle name="60% - 强调文字颜色 5 2 4 2 4 2" xfId="21289"/>
    <cellStyle name="60% - 强调文字颜色 5 2 4 3" xfId="21290"/>
    <cellStyle name="60% - 强调文字颜色 5 2 4 3 2" xfId="21291"/>
    <cellStyle name="60% - 强调文字颜色 5 2 4 3 2 2" xfId="21292"/>
    <cellStyle name="60% - 强调文字颜色 5 2 4 3 2 2 2" xfId="21293"/>
    <cellStyle name="60% - 强调文字颜色 5 2 4 3 3" xfId="21294"/>
    <cellStyle name="60% - 强调文字颜色 5 2 4 3 3 2" xfId="21295"/>
    <cellStyle name="60% - 强调文字颜色 5 2 4 4" xfId="21296"/>
    <cellStyle name="60% - 强调文字颜色 5 2 4 5" xfId="21297"/>
    <cellStyle name="60% - 强调文字颜色 5 2 4 6" xfId="21298"/>
    <cellStyle name="60% - 强调文字颜色 5 2 5" xfId="21299"/>
    <cellStyle name="60% - 强调文字颜色 5 2 5 2" xfId="21300"/>
    <cellStyle name="60% - 强调文字颜色 5 2 5 2 2" xfId="21301"/>
    <cellStyle name="60% - 强调文字颜色 5 2 5 2 3" xfId="21302"/>
    <cellStyle name="60% - 强调文字颜色 5 2 5 2 3 2" xfId="21303"/>
    <cellStyle name="60% - 强调文字颜色 5 2 5 2 3 2 2" xfId="21304"/>
    <cellStyle name="60% - 强调文字颜色 5 2 5 2 4" xfId="21305"/>
    <cellStyle name="60% - 强调文字颜色 5 2 5 2 4 2" xfId="21306"/>
    <cellStyle name="60% - 强调文字颜色 5 2 5 3" xfId="21307"/>
    <cellStyle name="60% - 强调文字颜色 5 2 5 4" xfId="21308"/>
    <cellStyle name="60% - 强调文字颜色 5 2 5 5" xfId="21309"/>
    <cellStyle name="60% - 强调文字颜色 5 2 5 6" xfId="21310"/>
    <cellStyle name="60% - 强调文字颜色 5 2 6" xfId="21311"/>
    <cellStyle name="60% - 强调文字颜色 5 2 6 2" xfId="21312"/>
    <cellStyle name="60% - 强调文字颜色 5 2 6 2 2" xfId="21313"/>
    <cellStyle name="60% - 强调文字颜色 5 2 6 2 2 2" xfId="21314"/>
    <cellStyle name="60% - 强调文字颜色 5 2 6 2 2 2 2" xfId="21315"/>
    <cellStyle name="60% - 强调文字颜色 5 2 6 2 3" xfId="21316"/>
    <cellStyle name="60% - 强调文字颜色 5 2 6 2 3 2" xfId="21317"/>
    <cellStyle name="60% - 强调文字颜色 5 2 6 3" xfId="21318"/>
    <cellStyle name="60% - 强调文字颜色 5 2 6 3 2" xfId="21319"/>
    <cellStyle name="60% - 强调文字颜色 5 2 6 3 2 2" xfId="21320"/>
    <cellStyle name="60% - 强调文字颜色 5 2 6 4" xfId="21321"/>
    <cellStyle name="60% - 强调文字颜色 5 2 6 4 2" xfId="21322"/>
    <cellStyle name="60% - 强调文字颜色 5 2 7" xfId="21323"/>
    <cellStyle name="60% - 强调文字颜色 5 2 7 2" xfId="21324"/>
    <cellStyle name="60% - 强调文字颜色 5 2 7 2 2" xfId="21325"/>
    <cellStyle name="60% - 强调文字颜色 5 2 7 2 2 2" xfId="21326"/>
    <cellStyle name="60% - 强调文字颜色 5 2 7 2 2 2 2" xfId="21327"/>
    <cellStyle name="60% - 强调文字颜色 5 2 7 2 3" xfId="21328"/>
    <cellStyle name="60% - 强调文字颜色 5 2 7 2 3 2" xfId="21329"/>
    <cellStyle name="60% - 强调文字颜色 5 2 7 3" xfId="21330"/>
    <cellStyle name="60% - 强调文字颜色 5 2 7 3 2" xfId="21331"/>
    <cellStyle name="60% - 强调文字颜色 5 2 7 3 2 2" xfId="21332"/>
    <cellStyle name="60% - 强调文字颜色 5 2 7 4" xfId="21333"/>
    <cellStyle name="60% - 强调文字颜色 5 2 7 4 2" xfId="21334"/>
    <cellStyle name="60% - 强调文字颜色 5 2 8" xfId="21335"/>
    <cellStyle name="60% - 强调文字颜色 5 2 8 2" xfId="21336"/>
    <cellStyle name="60% - 强调文字颜色 5 2 8 2 2" xfId="21337"/>
    <cellStyle name="60% - 强调文字颜色 5 2 8 2 2 2" xfId="21338"/>
    <cellStyle name="60% - 强调文字颜色 5 2 8 2 2 2 2" xfId="21339"/>
    <cellStyle name="60% - 强调文字颜色 5 2 8 2 3" xfId="21340"/>
    <cellStyle name="60% - 强调文字颜色 5 2 8 2 3 2" xfId="21341"/>
    <cellStyle name="60% - 强调文字颜色 5 2 8 3" xfId="21342"/>
    <cellStyle name="60% - 强调文字颜色 5 2 8 3 2" xfId="21343"/>
    <cellStyle name="60% - 强调文字颜色 5 2 8 3 2 2" xfId="21344"/>
    <cellStyle name="60% - 强调文字颜色 5 2 8 4" xfId="21345"/>
    <cellStyle name="60% - 强调文字颜色 5 2 8 4 2" xfId="21346"/>
    <cellStyle name="60% - 强调文字颜色 5 2 9" xfId="21347"/>
    <cellStyle name="60% - 强调文字颜色 5 2 9 2" xfId="21348"/>
    <cellStyle name="60% - 强调文字颜色 5 2 9 2 2" xfId="21349"/>
    <cellStyle name="60% - 强调文字颜色 5 2 9 2 2 2" xfId="21350"/>
    <cellStyle name="60% - 强调文字颜色 5 2 9 3" xfId="21351"/>
    <cellStyle name="60% - 强调文字颜色 5 2 9 3 2" xfId="21352"/>
    <cellStyle name="60% - 强调文字颜色 5 3" xfId="21353"/>
    <cellStyle name="60% - 强调文字颜色 5 3 2" xfId="21354"/>
    <cellStyle name="60% - 强调文字颜色 5 3 2 2" xfId="21355"/>
    <cellStyle name="60% - 强调文字颜色 5 3 2 2 2" xfId="21356"/>
    <cellStyle name="60% - 强调文字颜色 5 3 2 2 2 2" xfId="21357"/>
    <cellStyle name="60% - 强调文字颜色 5 3 2 2 2 3" xfId="21358"/>
    <cellStyle name="60% - 强调文字颜色 5 3 2 2 2 3 2" xfId="21359"/>
    <cellStyle name="60% - 强调文字颜色 5 3 2 2 2 3 2 2" xfId="21360"/>
    <cellStyle name="60% - 强调文字颜色 5 3 2 2 2 4" xfId="21361"/>
    <cellStyle name="60% - 强调文字颜色 5 3 2 2 2 4 2" xfId="21362"/>
    <cellStyle name="60% - 强调文字颜色 5 3 2 2 3" xfId="21363"/>
    <cellStyle name="60% - 强调文字颜色 5 3 2 2 3 2" xfId="21364"/>
    <cellStyle name="60% - 强调文字颜色 5 3 2 2 3 2 2" xfId="21365"/>
    <cellStyle name="60% - 强调文字颜色 5 3 2 2 3 2 2 2" xfId="21366"/>
    <cellStyle name="60% - 强调文字颜色 5 3 2 2 3 3" xfId="21367"/>
    <cellStyle name="60% - 强调文字颜色 5 3 2 2 3 3 2" xfId="21368"/>
    <cellStyle name="60% - 强调文字颜色 5 3 2 2 4" xfId="21369"/>
    <cellStyle name="60% - 强调文字颜色 5 3 2 2 5" xfId="21370"/>
    <cellStyle name="60% - 强调文字颜色 5 3 2 2 6" xfId="21371"/>
    <cellStyle name="60% - 强调文字颜色 5 3 2 3" xfId="21372"/>
    <cellStyle name="60% - 强调文字颜色 5 3 2 3 2" xfId="21373"/>
    <cellStyle name="60% - 强调文字颜色 5 3 2 3 3" xfId="21374"/>
    <cellStyle name="60% - 强调文字颜色 5 3 2 3 3 2" xfId="21375"/>
    <cellStyle name="60% - 强调文字颜色 5 3 2 3 3 2 2" xfId="21376"/>
    <cellStyle name="60% - 强调文字颜色 5 3 2 3 4" xfId="21377"/>
    <cellStyle name="60% - 强调文字颜色 5 3 2 3 4 2" xfId="21378"/>
    <cellStyle name="60% - 强调文字颜色 5 3 2 4" xfId="21379"/>
    <cellStyle name="60% - 强调文字颜色 5 3 2 4 2" xfId="21380"/>
    <cellStyle name="60% - 强调文字颜色 5 3 2 4 2 2" xfId="21381"/>
    <cellStyle name="60% - 强调文字颜色 5 3 2 4 2 2 2" xfId="21382"/>
    <cellStyle name="60% - 强调文字颜色 5 3 2 4 3" xfId="21383"/>
    <cellStyle name="60% - 强调文字颜色 5 3 2 4 3 2" xfId="21384"/>
    <cellStyle name="60% - 强调文字颜色 5 3 2 5" xfId="21385"/>
    <cellStyle name="60% - 强调文字颜色 5 3 2 6" xfId="21386"/>
    <cellStyle name="60% - 强调文字颜色 5 3 2 7" xfId="21387"/>
    <cellStyle name="60% - 强调文字颜色 5 3 3" xfId="21388"/>
    <cellStyle name="60% - 强调文字颜色 5 3 3 2" xfId="21389"/>
    <cellStyle name="60% - 强调文字颜色 5 3 3 2 2" xfId="21390"/>
    <cellStyle name="60% - 强调文字颜色 5 3 3 2 3" xfId="21391"/>
    <cellStyle name="60% - 强调文字颜色 5 3 3 2 3 2" xfId="21392"/>
    <cellStyle name="60% - 强调文字颜色 5 3 3 2 3 2 2" xfId="21393"/>
    <cellStyle name="60% - 强调文字颜色 5 3 3 2 4" xfId="21394"/>
    <cellStyle name="60% - 强调文字颜色 5 3 3 2 4 2" xfId="21395"/>
    <cellStyle name="60% - 强调文字颜色 5 3 3 3" xfId="21396"/>
    <cellStyle name="60% - 强调文字颜色 5 3 3 3 2" xfId="21397"/>
    <cellStyle name="60% - 强调文字颜色 5 3 3 3 2 2" xfId="21398"/>
    <cellStyle name="60% - 强调文字颜色 5 3 3 3 2 2 2" xfId="21399"/>
    <cellStyle name="60% - 强调文字颜色 5 3 3 3 3" xfId="21400"/>
    <cellStyle name="60% - 强调文字颜色 5 3 3 3 3 2" xfId="21401"/>
    <cellStyle name="60% - 强调文字颜色 5 3 3 4" xfId="21402"/>
    <cellStyle name="60% - 强调文字颜色 5 3 3 5" xfId="21403"/>
    <cellStyle name="60% - 强调文字颜色 5 3 3 6" xfId="21404"/>
    <cellStyle name="60% - 强调文字颜色 5 3 4" xfId="21405"/>
    <cellStyle name="60% - 强调文字颜色 5 3 4 2" xfId="21406"/>
    <cellStyle name="60% - 强调文字颜色 5 3 4 2 2" xfId="21407"/>
    <cellStyle name="60% - 强调文字颜色 5 3 4 2 3" xfId="21408"/>
    <cellStyle name="60% - 强调文字颜色 5 3 4 2 3 2" xfId="21409"/>
    <cellStyle name="60% - 强调文字颜色 5 3 4 2 3 2 2" xfId="21410"/>
    <cellStyle name="60% - 强调文字颜色 5 3 4 2 4" xfId="21411"/>
    <cellStyle name="60% - 强调文字颜色 5 3 4 2 4 2" xfId="21412"/>
    <cellStyle name="60% - 强调文字颜色 5 3 4 3" xfId="21413"/>
    <cellStyle name="60% - 强调文字颜色 5 3 4 4" xfId="21414"/>
    <cellStyle name="60% - 强调文字颜色 5 3 4 5" xfId="21415"/>
    <cellStyle name="60% - 强调文字颜色 5 3 4 6" xfId="21416"/>
    <cellStyle name="60% - 强调文字颜色 5 3 5" xfId="21417"/>
    <cellStyle name="60% - 强调文字颜色 5 3 5 2" xfId="21418"/>
    <cellStyle name="60% - 强调文字颜色 5 3 5 2 2" xfId="21419"/>
    <cellStyle name="60% - 强调文字颜色 5 3 5 2 2 2" xfId="21420"/>
    <cellStyle name="60% - 强调文字颜色 5 3 5 2 2 2 2" xfId="21421"/>
    <cellStyle name="60% - 强调文字颜色 5 3 5 2 3" xfId="21422"/>
    <cellStyle name="60% - 强调文字颜色 5 3 5 2 3 2" xfId="21423"/>
    <cellStyle name="60% - 强调文字颜色 5 3 5 3" xfId="21424"/>
    <cellStyle name="60% - 强调文字颜色 5 3 5 3 2" xfId="21425"/>
    <cellStyle name="60% - 强调文字颜色 5 3 5 3 2 2" xfId="21426"/>
    <cellStyle name="60% - 强调文字颜色 5 3 5 4" xfId="21427"/>
    <cellStyle name="60% - 强调文字颜色 5 3 5 4 2" xfId="21428"/>
    <cellStyle name="60% - 强调文字颜色 5 3 6" xfId="21429"/>
    <cellStyle name="60% - 强调文字颜色 5 3 6 2" xfId="21430"/>
    <cellStyle name="60% - 强调文字颜色 5 3 6 2 2" xfId="21431"/>
    <cellStyle name="60% - 强调文字颜色 5 3 6 2 2 2" xfId="21432"/>
    <cellStyle name="60% - 强调文字颜色 5 3 6 3" xfId="21433"/>
    <cellStyle name="60% - 强调文字颜色 5 3 6 3 2" xfId="21434"/>
    <cellStyle name="60% - 强调文字颜色 5 3 7" xfId="21435"/>
    <cellStyle name="60% - 强调文字颜色 5 3 8" xfId="21436"/>
    <cellStyle name="60% - 强调文字颜色 6 2" xfId="21437"/>
    <cellStyle name="60% - 强调文字颜色 6 2 10" xfId="21438"/>
    <cellStyle name="60% - 强调文字颜色 6 2 11" xfId="21439"/>
    <cellStyle name="60% - 强调文字颜色 6 2 2" xfId="21440"/>
    <cellStyle name="60% - 强调文字颜色 6 2 2 10" xfId="21441"/>
    <cellStyle name="60% - 强调文字颜色 6 2 2 11" xfId="21442"/>
    <cellStyle name="60% - 强调文字颜色 6 2 2 2" xfId="21443"/>
    <cellStyle name="60% - 强调文字颜色 6 2 2 2 2" xfId="21444"/>
    <cellStyle name="60% - 强调文字颜色 6 2 2 2 2 2" xfId="21445"/>
    <cellStyle name="60% - 强调文字颜色 6 2 2 2 2 2 2" xfId="21446"/>
    <cellStyle name="60% - 强调文字颜色 6 2 2 2 2 2 3" xfId="21447"/>
    <cellStyle name="60% - 强调文字颜色 6 2 2 2 2 2 3 2" xfId="21448"/>
    <cellStyle name="60% - 强调文字颜色 6 2 2 2 2 2 3 2 2" xfId="21449"/>
    <cellStyle name="60% - 强调文字颜色 6 2 2 2 2 2 4" xfId="21450"/>
    <cellStyle name="60% - 强调文字颜色 6 2 2 2 2 2 4 2" xfId="21451"/>
    <cellStyle name="60% - 强调文字颜色 6 2 2 2 2 3" xfId="21452"/>
    <cellStyle name="60% - 强调文字颜色 6 2 2 2 2 3 2" xfId="21453"/>
    <cellStyle name="60% - 强调文字颜色 6 2 2 2 2 3 2 2" xfId="21454"/>
    <cellStyle name="60% - 强调文字颜色 6 2 2 2 2 3 2 2 2" xfId="21455"/>
    <cellStyle name="60% - 强调文字颜色 6 2 2 2 2 3 3" xfId="21456"/>
    <cellStyle name="60% - 强调文字颜色 6 2 2 2 2 3 3 2" xfId="21457"/>
    <cellStyle name="60% - 强调文字颜色 6 2 2 2 2 4" xfId="21458"/>
    <cellStyle name="60% - 强调文字颜色 6 2 2 2 2 5" xfId="21459"/>
    <cellStyle name="60% - 强调文字颜色 6 2 2 2 2 6" xfId="21460"/>
    <cellStyle name="60% - 强调文字颜色 6 2 2 2 3" xfId="21461"/>
    <cellStyle name="60% - 强调文字颜色 6 2 2 2 3 2" xfId="21462"/>
    <cellStyle name="60% - 强调文字颜色 6 2 2 2 3 3" xfId="21463"/>
    <cellStyle name="60% - 强调文字颜色 6 2 2 2 3 3 2" xfId="21464"/>
    <cellStyle name="60% - 强调文字颜色 6 2 2 2 3 3 2 2" xfId="21465"/>
    <cellStyle name="60% - 强调文字颜色 6 2 2 2 3 4" xfId="21466"/>
    <cellStyle name="60% - 强调文字颜色 6 2 2 2 3 4 2" xfId="21467"/>
    <cellStyle name="60% - 强调文字颜色 6 2 2 2 4" xfId="21468"/>
    <cellStyle name="60% - 强调文字颜色 6 2 2 2 4 2" xfId="21469"/>
    <cellStyle name="60% - 强调文字颜色 6 2 2 2 4 2 2" xfId="21470"/>
    <cellStyle name="60% - 强调文字颜色 6 2 2 2 4 2 2 2" xfId="21471"/>
    <cellStyle name="60% - 强调文字颜色 6 2 2 2 4 3" xfId="21472"/>
    <cellStyle name="60% - 强调文字颜色 6 2 2 2 4 3 2" xfId="21473"/>
    <cellStyle name="60% - 强调文字颜色 6 2 2 2 5" xfId="21474"/>
    <cellStyle name="60% - 强调文字颜色 6 2 2 2 6" xfId="21475"/>
    <cellStyle name="60% - 强调文字颜色 6 2 2 2 7" xfId="21476"/>
    <cellStyle name="60% - 强调文字颜色 6 2 2 3" xfId="21477"/>
    <cellStyle name="60% - 强调文字颜色 6 2 2 3 2" xfId="21478"/>
    <cellStyle name="60% - 强调文字颜色 6 2 2 3 2 2" xfId="21479"/>
    <cellStyle name="60% - 强调文字颜色 6 2 2 3 2 3" xfId="21480"/>
    <cellStyle name="60% - 强调文字颜色 6 2 2 3 2 3 2" xfId="21481"/>
    <cellStyle name="60% - 强调文字颜色 6 2 2 3 2 3 2 2" xfId="21482"/>
    <cellStyle name="60% - 强调文字颜色 6 2 2 3 2 4" xfId="21483"/>
    <cellStyle name="60% - 强调文字颜色 6 2 2 3 2 4 2" xfId="21484"/>
    <cellStyle name="60% - 强调文字颜色 6 2 2 3 3" xfId="21485"/>
    <cellStyle name="60% - 强调文字颜色 6 2 2 3 3 2" xfId="21486"/>
    <cellStyle name="60% - 强调文字颜色 6 2 2 3 3 2 2" xfId="21487"/>
    <cellStyle name="60% - 强调文字颜色 6 2 2 3 3 2 2 2" xfId="21488"/>
    <cellStyle name="60% - 强调文字颜色 6 2 2 3 3 3" xfId="21489"/>
    <cellStyle name="60% - 强调文字颜色 6 2 2 3 3 3 2" xfId="21490"/>
    <cellStyle name="60% - 强调文字颜色 6 2 2 3 4" xfId="21491"/>
    <cellStyle name="60% - 强调文字颜色 6 2 2 3 5" xfId="21492"/>
    <cellStyle name="60% - 强调文字颜色 6 2 2 3 6" xfId="21493"/>
    <cellStyle name="60% - 强调文字颜色 6 2 2 4" xfId="21494"/>
    <cellStyle name="60% - 强调文字颜色 6 2 2 4 2" xfId="21495"/>
    <cellStyle name="60% - 强调文字颜色 6 2 2 4 2 2" xfId="21496"/>
    <cellStyle name="60% - 强调文字颜色 6 2 2 4 2 3" xfId="21497"/>
    <cellStyle name="60% - 强调文字颜色 6 2 2 4 2 3 2" xfId="21498"/>
    <cellStyle name="60% - 强调文字颜色 6 2 2 4 2 3 2 2" xfId="21499"/>
    <cellStyle name="60% - 强调文字颜色 6 2 2 4 2 4" xfId="21500"/>
    <cellStyle name="60% - 强调文字颜色 6 2 2 4 2 4 2" xfId="21501"/>
    <cellStyle name="60% - 强调文字颜色 6 2 2 4 3" xfId="21502"/>
    <cellStyle name="60% - 强调文字颜色 6 2 2 4 4" xfId="21503"/>
    <cellStyle name="60% - 强调文字颜色 6 2 2 4 5" xfId="21504"/>
    <cellStyle name="60% - 强调文字颜色 6 2 2 4 6" xfId="21505"/>
    <cellStyle name="60% - 强调文字颜色 6 2 2 5" xfId="21506"/>
    <cellStyle name="60% - 强调文字颜色 6 2 2 5 2" xfId="21507"/>
    <cellStyle name="60% - 强调文字颜色 6 2 2 5 2 2" xfId="21508"/>
    <cellStyle name="60% - 强调文字颜色 6 2 2 5 2 2 2" xfId="21509"/>
    <cellStyle name="60% - 强调文字颜色 6 2 2 5 2 2 2 2" xfId="21510"/>
    <cellStyle name="60% - 强调文字颜色 6 2 2 5 2 3" xfId="21511"/>
    <cellStyle name="60% - 强调文字颜色 6 2 2 5 2 3 2" xfId="21512"/>
    <cellStyle name="60% - 强调文字颜色 6 2 2 5 3" xfId="21513"/>
    <cellStyle name="60% - 强调文字颜色 6 2 2 5 3 2" xfId="21514"/>
    <cellStyle name="60% - 强调文字颜色 6 2 2 5 3 2 2" xfId="21515"/>
    <cellStyle name="60% - 强调文字颜色 6 2 2 5 4" xfId="21516"/>
    <cellStyle name="60% - 强调文字颜色 6 2 2 5 4 2" xfId="21517"/>
    <cellStyle name="60% - 强调文字颜色 6 2 2 6" xfId="21518"/>
    <cellStyle name="60% - 强调文字颜色 6 2 2 6 2" xfId="21519"/>
    <cellStyle name="60% - 强调文字颜色 6 2 2 6 2 2" xfId="21520"/>
    <cellStyle name="60% - 强调文字颜色 6 2 2 6 2 2 2" xfId="21521"/>
    <cellStyle name="60% - 强调文字颜色 6 2 2 6 2 2 2 2" xfId="21522"/>
    <cellStyle name="60% - 强调文字颜色 6 2 2 6 2 3" xfId="21523"/>
    <cellStyle name="60% - 强调文字颜色 6 2 2 6 2 3 2" xfId="21524"/>
    <cellStyle name="60% - 强调文字颜色 6 2 2 6 3" xfId="21525"/>
    <cellStyle name="60% - 强调文字颜色 6 2 2 6 3 2" xfId="21526"/>
    <cellStyle name="60% - 强调文字颜色 6 2 2 6 3 2 2" xfId="21527"/>
    <cellStyle name="60% - 强调文字颜色 6 2 2 6 4" xfId="21528"/>
    <cellStyle name="60% - 强调文字颜色 6 2 2 6 4 2" xfId="21529"/>
    <cellStyle name="60% - 强调文字颜色 6 2 2 7" xfId="21530"/>
    <cellStyle name="60% - 强调文字颜色 6 2 2 7 2" xfId="21531"/>
    <cellStyle name="60% - 强调文字颜色 6 2 2 7 2 2" xfId="21532"/>
    <cellStyle name="60% - 强调文字颜色 6 2 2 7 2 2 2" xfId="21533"/>
    <cellStyle name="60% - 强调文字颜色 6 2 2 7 2 2 2 2" xfId="21534"/>
    <cellStyle name="60% - 强调文字颜色 6 2 2 7 2 3" xfId="21535"/>
    <cellStyle name="60% - 强调文字颜色 6 2 2 7 2 3 2" xfId="21536"/>
    <cellStyle name="60% - 强调文字颜色 6 2 2 7 3" xfId="21537"/>
    <cellStyle name="60% - 强调文字颜色 6 2 2 7 3 2" xfId="21538"/>
    <cellStyle name="60% - 强调文字颜色 6 2 2 7 3 2 2" xfId="21539"/>
    <cellStyle name="60% - 强调文字颜色 6 2 2 7 4" xfId="21540"/>
    <cellStyle name="60% - 强调文字颜色 6 2 2 7 4 2" xfId="21541"/>
    <cellStyle name="60% - 强调文字颜色 6 2 2 8" xfId="21542"/>
    <cellStyle name="60% - 强调文字颜色 6 2 2 8 2" xfId="21543"/>
    <cellStyle name="60% - 强调文字颜色 6 2 2 8 2 2" xfId="21544"/>
    <cellStyle name="60% - 强调文字颜色 6 2 2 8 2 2 2" xfId="21545"/>
    <cellStyle name="60% - 强调文字颜色 6 2 2 8 3" xfId="21546"/>
    <cellStyle name="60% - 强调文字颜色 6 2 2 8 3 2" xfId="21547"/>
    <cellStyle name="60% - 强调文字颜色 6 2 2 9" xfId="21548"/>
    <cellStyle name="60% - 强调文字颜色 6 2 2 9 2" xfId="21549"/>
    <cellStyle name="60% - 强调文字颜色 6 2 2 9 2 2" xfId="21550"/>
    <cellStyle name="60% - 强调文字颜色 6 2 2 9 2 2 2" xfId="21551"/>
    <cellStyle name="60% - 强调文字颜色 6 2 2 9 3" xfId="21552"/>
    <cellStyle name="60% - 强调文字颜色 6 2 2 9 3 2" xfId="21553"/>
    <cellStyle name="60% - 强调文字颜色 6 2 3" xfId="21554"/>
    <cellStyle name="60% - 强调文字颜色 6 2 3 2" xfId="21555"/>
    <cellStyle name="60% - 强调文字颜色 6 2 3 2 2" xfId="21556"/>
    <cellStyle name="60% - 强调文字颜色 6 2 3 2 2 2" xfId="21557"/>
    <cellStyle name="60% - 强调文字颜色 6 2 3 2 2 2 2" xfId="21558"/>
    <cellStyle name="60% - 强调文字颜色 6 2 3 2 2 2 3" xfId="21559"/>
    <cellStyle name="60% - 强调文字颜色 6 2 3 2 2 2 3 2" xfId="21560"/>
    <cellStyle name="60% - 强调文字颜色 6 2 3 2 2 2 3 2 2" xfId="21561"/>
    <cellStyle name="60% - 强调文字颜色 6 2 3 2 2 2 4" xfId="21562"/>
    <cellStyle name="60% - 强调文字颜色 6 2 3 2 2 2 4 2" xfId="21563"/>
    <cellStyle name="60% - 强调文字颜色 6 2 3 2 2 3" xfId="21564"/>
    <cellStyle name="60% - 强调文字颜色 6 2 3 2 2 3 2" xfId="21565"/>
    <cellStyle name="60% - 强调文字颜色 6 2 3 2 2 3 2 2" xfId="21566"/>
    <cellStyle name="60% - 强调文字颜色 6 2 3 2 2 3 2 2 2" xfId="21567"/>
    <cellStyle name="60% - 强调文字颜色 6 2 3 2 2 3 3" xfId="21568"/>
    <cellStyle name="60% - 强调文字颜色 6 2 3 2 2 3 3 2" xfId="21569"/>
    <cellStyle name="60% - 强调文字颜色 6 2 3 2 2 4" xfId="21570"/>
    <cellStyle name="60% - 强调文字颜色 6 2 3 2 2 5" xfId="21571"/>
    <cellStyle name="60% - 强调文字颜色 6 2 3 2 2 6" xfId="21572"/>
    <cellStyle name="60% - 强调文字颜色 6 2 3 2 3" xfId="21573"/>
    <cellStyle name="60% - 强调文字颜色 6 2 3 2 3 2" xfId="21574"/>
    <cellStyle name="60% - 强调文字颜色 6 2 3 2 3 3" xfId="21575"/>
    <cellStyle name="60% - 强调文字颜色 6 2 3 2 3 3 2" xfId="21576"/>
    <cellStyle name="60% - 强调文字颜色 6 2 3 2 3 3 2 2" xfId="21577"/>
    <cellStyle name="60% - 强调文字颜色 6 2 3 2 3 4" xfId="21578"/>
    <cellStyle name="60% - 强调文字颜色 6 2 3 2 3 4 2" xfId="21579"/>
    <cellStyle name="60% - 强调文字颜色 6 2 3 2 4" xfId="21580"/>
    <cellStyle name="60% - 强调文字颜色 6 2 3 2 4 2" xfId="21581"/>
    <cellStyle name="60% - 强调文字颜色 6 2 3 2 4 2 2" xfId="21582"/>
    <cellStyle name="60% - 强调文字颜色 6 2 3 2 4 2 2 2" xfId="21583"/>
    <cellStyle name="60% - 强调文字颜色 6 2 3 2 4 3" xfId="21584"/>
    <cellStyle name="60% - 强调文字颜色 6 2 3 2 4 3 2" xfId="21585"/>
    <cellStyle name="60% - 强调文字颜色 6 2 3 2 5" xfId="21586"/>
    <cellStyle name="60% - 强调文字颜色 6 2 3 2 6" xfId="21587"/>
    <cellStyle name="60% - 强调文字颜色 6 2 3 2 7" xfId="21588"/>
    <cellStyle name="60% - 强调文字颜色 6 2 3 3" xfId="21589"/>
    <cellStyle name="60% - 强调文字颜色 6 2 3 3 2" xfId="21590"/>
    <cellStyle name="60% - 强调文字颜色 6 2 3 3 2 2" xfId="21591"/>
    <cellStyle name="60% - 强调文字颜色 6 2 3 3 2 3" xfId="21592"/>
    <cellStyle name="60% - 强调文字颜色 6 2 3 3 2 3 2" xfId="21593"/>
    <cellStyle name="60% - 强调文字颜色 6 2 3 3 2 3 2 2" xfId="21594"/>
    <cellStyle name="60% - 强调文字颜色 6 2 3 3 2 4" xfId="21595"/>
    <cellStyle name="60% - 强调文字颜色 6 2 3 3 2 4 2" xfId="21596"/>
    <cellStyle name="60% - 强调文字颜色 6 2 3 3 3" xfId="21597"/>
    <cellStyle name="60% - 强调文字颜色 6 2 3 3 3 2" xfId="21598"/>
    <cellStyle name="60% - 强调文字颜色 6 2 3 3 3 2 2" xfId="21599"/>
    <cellStyle name="60% - 强调文字颜色 6 2 3 3 3 2 2 2" xfId="21600"/>
    <cellStyle name="60% - 强调文字颜色 6 2 3 3 3 3" xfId="21601"/>
    <cellStyle name="60% - 强调文字颜色 6 2 3 3 3 3 2" xfId="21602"/>
    <cellStyle name="60% - 强调文字颜色 6 2 3 3 4" xfId="21603"/>
    <cellStyle name="60% - 强调文字颜色 6 2 3 3 5" xfId="21604"/>
    <cellStyle name="60% - 强调文字颜色 6 2 3 3 6" xfId="21605"/>
    <cellStyle name="60% - 强调文字颜色 6 2 3 4" xfId="21606"/>
    <cellStyle name="60% - 强调文字颜色 6 2 3 4 2" xfId="21607"/>
    <cellStyle name="60% - 强调文字颜色 6 2 3 4 2 2" xfId="21608"/>
    <cellStyle name="60% - 强调文字颜色 6 2 3 4 2 3" xfId="21609"/>
    <cellStyle name="60% - 强调文字颜色 6 2 3 4 2 3 2" xfId="21610"/>
    <cellStyle name="60% - 强调文字颜色 6 2 3 4 2 3 2 2" xfId="21611"/>
    <cellStyle name="60% - 强调文字颜色 6 2 3 4 2 4" xfId="21612"/>
    <cellStyle name="60% - 强调文字颜色 6 2 3 4 2 4 2" xfId="21613"/>
    <cellStyle name="60% - 强调文字颜色 6 2 3 4 3" xfId="21614"/>
    <cellStyle name="60% - 强调文字颜色 6 2 3 4 4" xfId="21615"/>
    <cellStyle name="60% - 强调文字颜色 6 2 3 4 5" xfId="21616"/>
    <cellStyle name="60% - 强调文字颜色 6 2 3 4 6" xfId="21617"/>
    <cellStyle name="60% - 强调文字颜色 6 2 3 5" xfId="21618"/>
    <cellStyle name="60% - 强调文字颜色 6 2 3 5 2" xfId="21619"/>
    <cellStyle name="60% - 强调文字颜色 6 2 3 5 2 2" xfId="21620"/>
    <cellStyle name="60% - 强调文字颜色 6 2 3 5 2 2 2" xfId="21621"/>
    <cellStyle name="60% - 强调文字颜色 6 2 3 5 2 2 2 2" xfId="21622"/>
    <cellStyle name="60% - 强调文字颜色 6 2 3 5 2 3" xfId="21623"/>
    <cellStyle name="60% - 强调文字颜色 6 2 3 5 2 3 2" xfId="21624"/>
    <cellStyle name="60% - 强调文字颜色 6 2 3 5 3" xfId="21625"/>
    <cellStyle name="60% - 强调文字颜色 6 2 3 5 3 2" xfId="21626"/>
    <cellStyle name="60% - 强调文字颜色 6 2 3 5 3 2 2" xfId="21627"/>
    <cellStyle name="60% - 强调文字颜色 6 2 3 5 4" xfId="21628"/>
    <cellStyle name="60% - 强调文字颜色 6 2 3 5 4 2" xfId="21629"/>
    <cellStyle name="60% - 强调文字颜色 6 2 3 6" xfId="21630"/>
    <cellStyle name="60% - 强调文字颜色 6 2 3 6 2" xfId="21631"/>
    <cellStyle name="60% - 强调文字颜色 6 2 3 6 2 2" xfId="21632"/>
    <cellStyle name="60% - 强调文字颜色 6 2 3 6 2 2 2" xfId="21633"/>
    <cellStyle name="60% - 强调文字颜色 6 2 3 6 3" xfId="21634"/>
    <cellStyle name="60% - 强调文字颜色 6 2 3 6 3 2" xfId="21635"/>
    <cellStyle name="60% - 强调文字颜色 6 2 3 7" xfId="21636"/>
    <cellStyle name="60% - 强调文字颜色 6 2 3 7 2" xfId="21637"/>
    <cellStyle name="60% - 强调文字颜色 6 2 3 7 2 2" xfId="21638"/>
    <cellStyle name="60% - 强调文字颜色 6 2 3 7 2 2 2" xfId="21639"/>
    <cellStyle name="60% - 强调文字颜色 6 2 3 7 3" xfId="21640"/>
    <cellStyle name="60% - 强调文字颜色 6 2 3 7 3 2" xfId="21641"/>
    <cellStyle name="60% - 强调文字颜色 6 2 3 8" xfId="21642"/>
    <cellStyle name="60% - 强调文字颜色 6 2 3 9" xfId="21643"/>
    <cellStyle name="60% - 强调文字颜色 6 2 4" xfId="21644"/>
    <cellStyle name="60% - 强调文字颜色 6 2 4 2" xfId="21645"/>
    <cellStyle name="60% - 强调文字颜色 6 2 4 2 2" xfId="21646"/>
    <cellStyle name="60% - 强调文字颜色 6 2 4 2 3" xfId="21647"/>
    <cellStyle name="60% - 强调文字颜色 6 2 4 2 3 2" xfId="21648"/>
    <cellStyle name="60% - 强调文字颜色 6 2 4 2 3 2 2" xfId="21649"/>
    <cellStyle name="60% - 强调文字颜色 6 2 4 2 4" xfId="21650"/>
    <cellStyle name="60% - 强调文字颜色 6 2 4 2 4 2" xfId="21651"/>
    <cellStyle name="60% - 强调文字颜色 6 2 4 3" xfId="21652"/>
    <cellStyle name="60% - 强调文字颜色 6 2 4 3 2" xfId="21653"/>
    <cellStyle name="60% - 强调文字颜色 6 2 4 3 2 2" xfId="21654"/>
    <cellStyle name="60% - 强调文字颜色 6 2 4 3 2 2 2" xfId="21655"/>
    <cellStyle name="60% - 强调文字颜色 6 2 4 3 3" xfId="21656"/>
    <cellStyle name="60% - 强调文字颜色 6 2 4 3 3 2" xfId="21657"/>
    <cellStyle name="60% - 强调文字颜色 6 2 4 4" xfId="21658"/>
    <cellStyle name="60% - 强调文字颜色 6 2 4 5" xfId="21659"/>
    <cellStyle name="60% - 强调文字颜色 6 2 4 6" xfId="21660"/>
    <cellStyle name="60% - 强调文字颜色 6 2 5" xfId="21661"/>
    <cellStyle name="60% - 强调文字颜色 6 2 5 2" xfId="21662"/>
    <cellStyle name="60% - 强调文字颜色 6 2 5 2 2" xfId="21663"/>
    <cellStyle name="60% - 强调文字颜色 6 2 5 2 3" xfId="21664"/>
    <cellStyle name="60% - 强调文字颜色 6 2 5 2 3 2" xfId="21665"/>
    <cellStyle name="60% - 强调文字颜色 6 2 5 2 3 2 2" xfId="21666"/>
    <cellStyle name="60% - 强调文字颜色 6 2 5 2 4" xfId="21667"/>
    <cellStyle name="60% - 强调文字颜色 6 2 5 2 4 2" xfId="21668"/>
    <cellStyle name="60% - 强调文字颜色 6 2 5 3" xfId="21669"/>
    <cellStyle name="60% - 强调文字颜色 6 2 5 4" xfId="21670"/>
    <cellStyle name="60% - 强调文字颜色 6 2 5 5" xfId="21671"/>
    <cellStyle name="60% - 强调文字颜色 6 2 5 6" xfId="21672"/>
    <cellStyle name="60% - 强调文字颜色 6 2 6" xfId="21673"/>
    <cellStyle name="60% - 强调文字颜色 6 2 6 2" xfId="21674"/>
    <cellStyle name="60% - 强调文字颜色 6 2 6 2 2" xfId="21675"/>
    <cellStyle name="60% - 强调文字颜色 6 2 6 2 2 2" xfId="21676"/>
    <cellStyle name="60% - 强调文字颜色 6 2 6 2 2 2 2" xfId="21677"/>
    <cellStyle name="60% - 强调文字颜色 6 2 6 2 3" xfId="21678"/>
    <cellStyle name="60% - 强调文字颜色 6 2 6 2 3 2" xfId="21679"/>
    <cellStyle name="60% - 强调文字颜色 6 2 6 3" xfId="21680"/>
    <cellStyle name="60% - 强调文字颜色 6 2 6 3 2" xfId="21681"/>
    <cellStyle name="60% - 强调文字颜色 6 2 6 3 2 2" xfId="21682"/>
    <cellStyle name="60% - 强调文字颜色 6 2 6 4" xfId="21683"/>
    <cellStyle name="60% - 强调文字颜色 6 2 6 4 2" xfId="21684"/>
    <cellStyle name="60% - 强调文字颜色 6 2 7" xfId="21685"/>
    <cellStyle name="60% - 强调文字颜色 6 2 7 2" xfId="21686"/>
    <cellStyle name="60% - 强调文字颜色 6 2 7 2 2" xfId="21687"/>
    <cellStyle name="60% - 强调文字颜色 6 2 7 2 2 2" xfId="21688"/>
    <cellStyle name="60% - 强调文字颜色 6 2 7 2 2 2 2" xfId="21689"/>
    <cellStyle name="60% - 强调文字颜色 6 2 7 2 3" xfId="21690"/>
    <cellStyle name="60% - 强调文字颜色 6 2 7 2 3 2" xfId="21691"/>
    <cellStyle name="60% - 强调文字颜色 6 2 7 3" xfId="21692"/>
    <cellStyle name="60% - 强调文字颜色 6 2 7 3 2" xfId="21693"/>
    <cellStyle name="60% - 强调文字颜色 6 2 7 3 2 2" xfId="21694"/>
    <cellStyle name="60% - 强调文字颜色 6 2 7 4" xfId="21695"/>
    <cellStyle name="60% - 强调文字颜色 6 2 7 4 2" xfId="21696"/>
    <cellStyle name="60% - 强调文字颜色 6 2 8" xfId="21697"/>
    <cellStyle name="60% - 强调文字颜色 6 2 8 2" xfId="21698"/>
    <cellStyle name="60% - 强调文字颜色 6 2 8 2 2" xfId="21699"/>
    <cellStyle name="60% - 强调文字颜色 6 2 8 2 2 2" xfId="21700"/>
    <cellStyle name="60% - 强调文字颜色 6 2 8 2 2 2 2" xfId="21701"/>
    <cellStyle name="60% - 强调文字颜色 6 2 8 2 3" xfId="21702"/>
    <cellStyle name="60% - 强调文字颜色 6 2 8 2 3 2" xfId="21703"/>
    <cellStyle name="60% - 强调文字颜色 6 2 8 3" xfId="21704"/>
    <cellStyle name="60% - 强调文字颜色 6 2 8 3 2" xfId="21705"/>
    <cellStyle name="60% - 强调文字颜色 6 2 8 3 2 2" xfId="21706"/>
    <cellStyle name="60% - 强调文字颜色 6 2 8 4" xfId="21707"/>
    <cellStyle name="60% - 强调文字颜色 6 2 8 4 2" xfId="21708"/>
    <cellStyle name="60% - 强调文字颜色 6 2 9" xfId="21709"/>
    <cellStyle name="60% - 强调文字颜色 6 2 9 2" xfId="21710"/>
    <cellStyle name="60% - 强调文字颜色 6 2 9 2 2" xfId="21711"/>
    <cellStyle name="60% - 强调文字颜色 6 2 9 2 2 2" xfId="21712"/>
    <cellStyle name="60% - 强调文字颜色 6 2 9 3" xfId="21713"/>
    <cellStyle name="60% - 强调文字颜色 6 2 9 3 2" xfId="21714"/>
    <cellStyle name="60% - 强调文字颜色 6 3" xfId="21715"/>
    <cellStyle name="60% - 强调文字颜色 6 3 2" xfId="21716"/>
    <cellStyle name="60% - 强调文字颜色 6 3 2 2" xfId="21717"/>
    <cellStyle name="60% - 强调文字颜色 6 3 2 2 2" xfId="21718"/>
    <cellStyle name="60% - 强调文字颜色 6 3 2 2 2 2" xfId="21719"/>
    <cellStyle name="60% - 强调文字颜色 6 3 2 2 2 3" xfId="21720"/>
    <cellStyle name="60% - 强调文字颜色 6 3 2 2 2 3 2" xfId="21721"/>
    <cellStyle name="60% - 强调文字颜色 6 3 2 2 2 3 2 2" xfId="21722"/>
    <cellStyle name="60% - 强调文字颜色 6 3 2 2 2 4" xfId="21723"/>
    <cellStyle name="60% - 强调文字颜色 6 3 2 2 2 4 2" xfId="21724"/>
    <cellStyle name="60% - 强调文字颜色 6 3 2 2 3" xfId="21725"/>
    <cellStyle name="60% - 强调文字颜色 6 3 2 2 3 2" xfId="21726"/>
    <cellStyle name="60% - 强调文字颜色 6 3 2 2 3 2 2" xfId="21727"/>
    <cellStyle name="60% - 强调文字颜色 6 3 2 2 3 2 2 2" xfId="21728"/>
    <cellStyle name="60% - 强调文字颜色 6 3 2 2 3 3" xfId="21729"/>
    <cellStyle name="60% - 强调文字颜色 6 3 2 2 3 3 2" xfId="21730"/>
    <cellStyle name="60% - 强调文字颜色 6 3 2 2 4" xfId="21731"/>
    <cellStyle name="60% - 强调文字颜色 6 3 2 2 5" xfId="21732"/>
    <cellStyle name="60% - 强调文字颜色 6 3 2 2 6" xfId="21733"/>
    <cellStyle name="60% - 强调文字颜色 6 3 2 3" xfId="21734"/>
    <cellStyle name="60% - 强调文字颜色 6 3 2 3 2" xfId="21735"/>
    <cellStyle name="60% - 强调文字颜色 6 3 2 3 3" xfId="21736"/>
    <cellStyle name="60% - 强调文字颜色 6 3 2 3 3 2" xfId="21737"/>
    <cellStyle name="60% - 强调文字颜色 6 3 2 3 3 2 2" xfId="21738"/>
    <cellStyle name="60% - 强调文字颜色 6 3 2 3 4" xfId="21739"/>
    <cellStyle name="60% - 强调文字颜色 6 3 2 3 4 2" xfId="21740"/>
    <cellStyle name="60% - 强调文字颜色 6 3 2 4" xfId="21741"/>
    <cellStyle name="60% - 强调文字颜色 6 3 2 4 2" xfId="21742"/>
    <cellStyle name="60% - 强调文字颜色 6 3 2 4 2 2" xfId="21743"/>
    <cellStyle name="60% - 强调文字颜色 6 3 2 4 2 2 2" xfId="21744"/>
    <cellStyle name="60% - 强调文字颜色 6 3 2 4 3" xfId="21745"/>
    <cellStyle name="60% - 强调文字颜色 6 3 2 4 3 2" xfId="21746"/>
    <cellStyle name="60% - 强调文字颜色 6 3 2 5" xfId="21747"/>
    <cellStyle name="60% - 强调文字颜色 6 3 2 6" xfId="21748"/>
    <cellStyle name="60% - 强调文字颜色 6 3 2 7" xfId="21749"/>
    <cellStyle name="60% - 强调文字颜色 6 3 3" xfId="21750"/>
    <cellStyle name="60% - 强调文字颜色 6 3 3 2" xfId="21751"/>
    <cellStyle name="60% - 强调文字颜色 6 3 3 2 2" xfId="21752"/>
    <cellStyle name="60% - 强调文字颜色 6 3 3 2 3" xfId="21753"/>
    <cellStyle name="60% - 强调文字颜色 6 3 3 2 3 2" xfId="21754"/>
    <cellStyle name="60% - 强调文字颜色 6 3 3 2 3 2 2" xfId="21755"/>
    <cellStyle name="60% - 强调文字颜色 6 3 3 2 4" xfId="21756"/>
    <cellStyle name="60% - 强调文字颜色 6 3 3 2 4 2" xfId="21757"/>
    <cellStyle name="60% - 强调文字颜色 6 3 3 3" xfId="21758"/>
    <cellStyle name="60% - 强调文字颜色 6 3 3 3 2" xfId="21759"/>
    <cellStyle name="60% - 强调文字颜色 6 3 3 3 2 2" xfId="21760"/>
    <cellStyle name="60% - 强调文字颜色 6 3 3 3 2 2 2" xfId="21761"/>
    <cellStyle name="60% - 强调文字颜色 6 3 3 3 3" xfId="21762"/>
    <cellStyle name="60% - 强调文字颜色 6 3 3 3 3 2" xfId="21763"/>
    <cellStyle name="60% - 强调文字颜色 6 3 3 4" xfId="21764"/>
    <cellStyle name="60% - 强调文字颜色 6 3 3 5" xfId="21765"/>
    <cellStyle name="60% - 强调文字颜色 6 3 3 6" xfId="21766"/>
    <cellStyle name="60% - 强调文字颜色 6 3 4" xfId="21767"/>
    <cellStyle name="60% - 强调文字颜色 6 3 4 2" xfId="21768"/>
    <cellStyle name="60% - 强调文字颜色 6 3 4 2 2" xfId="21769"/>
    <cellStyle name="60% - 强调文字颜色 6 3 4 2 3" xfId="21770"/>
    <cellStyle name="60% - 强调文字颜色 6 3 4 2 3 2" xfId="21771"/>
    <cellStyle name="60% - 强调文字颜色 6 3 4 2 3 2 2" xfId="21772"/>
    <cellStyle name="60% - 强调文字颜色 6 3 4 2 4" xfId="21773"/>
    <cellStyle name="60% - 强调文字颜色 6 3 4 2 4 2" xfId="21774"/>
    <cellStyle name="60% - 强调文字颜色 6 3 4 3" xfId="21775"/>
    <cellStyle name="60% - 强调文字颜色 6 3 4 4" xfId="21776"/>
    <cellStyle name="60% - 强调文字颜色 6 3 4 5" xfId="21777"/>
    <cellStyle name="60% - 强调文字颜色 6 3 4 6" xfId="21778"/>
    <cellStyle name="60% - 强调文字颜色 6 3 5" xfId="21779"/>
    <cellStyle name="60% - 强调文字颜色 6 3 5 2" xfId="21780"/>
    <cellStyle name="60% - 强调文字颜色 6 3 5 2 2" xfId="21781"/>
    <cellStyle name="60% - 强调文字颜色 6 3 5 2 2 2" xfId="21782"/>
    <cellStyle name="60% - 强调文字颜色 6 3 5 2 2 2 2" xfId="21783"/>
    <cellStyle name="60% - 强调文字颜色 6 3 5 2 3" xfId="21784"/>
    <cellStyle name="60% - 强调文字颜色 6 3 5 2 3 2" xfId="21785"/>
    <cellStyle name="60% - 强调文字颜色 6 3 5 3" xfId="21786"/>
    <cellStyle name="60% - 强调文字颜色 6 3 5 3 2" xfId="21787"/>
    <cellStyle name="60% - 强调文字颜色 6 3 5 3 2 2" xfId="21788"/>
    <cellStyle name="60% - 强调文字颜色 6 3 5 4" xfId="21789"/>
    <cellStyle name="60% - 强调文字颜色 6 3 5 4 2" xfId="21790"/>
    <cellStyle name="60% - 强调文字颜色 6 3 6" xfId="21791"/>
    <cellStyle name="60% - 强调文字颜色 6 3 6 2" xfId="21792"/>
    <cellStyle name="60% - 强调文字颜色 6 3 6 2 2" xfId="21793"/>
    <cellStyle name="60% - 强调文字颜色 6 3 6 2 2 2" xfId="21794"/>
    <cellStyle name="60% - 强调文字颜色 6 3 6 3" xfId="21795"/>
    <cellStyle name="60% - 强调文字颜色 6 3 6 3 2" xfId="21796"/>
    <cellStyle name="60% - 强调文字颜色 6 3 7" xfId="21797"/>
    <cellStyle name="60% - 强调文字颜色 6 3 8" xfId="21798"/>
    <cellStyle name="9" xfId="21799"/>
    <cellStyle name="9_ASE - Financial Approval - 05.18.05" xfId="21800"/>
    <cellStyle name="9_ASE Barcelona 3.1.05" xfId="21801"/>
    <cellStyle name="9_ASE Draft 03.09.05 v.2" xfId="21802"/>
    <cellStyle name="9_Deal Approval Template v42 5-3-05 JWK" xfId="21803"/>
    <cellStyle name="9_Deal Approval Template v42 5-3-05 JWK2" xfId="21804"/>
    <cellStyle name="9_Deal Approval Template v43" xfId="21805"/>
    <cellStyle name="9_ODE Transaction Model_India_v2" xfId="21806"/>
    <cellStyle name="ac" xfId="21807"/>
    <cellStyle name="Accent1 2" xfId="21808"/>
    <cellStyle name="Accent1 2 2" xfId="21809"/>
    <cellStyle name="Accent1 2 3" xfId="21810"/>
    <cellStyle name="Accent1 3" xfId="21811"/>
    <cellStyle name="Accent2 2" xfId="21812"/>
    <cellStyle name="Accent2 2 2" xfId="21813"/>
    <cellStyle name="Accent2 2 3" xfId="21814"/>
    <cellStyle name="Accent2 2 4" xfId="21815"/>
    <cellStyle name="Accent2 3" xfId="21816"/>
    <cellStyle name="Accent3 2" xfId="21817"/>
    <cellStyle name="Accent3 2 2" xfId="21818"/>
    <cellStyle name="Accent3 2 3" xfId="21819"/>
    <cellStyle name="Accent3 3" xfId="21820"/>
    <cellStyle name="Accent4 2" xfId="21821"/>
    <cellStyle name="Accent4 2 2" xfId="21822"/>
    <cellStyle name="Accent4 2 3" xfId="21823"/>
    <cellStyle name="Accent4 3" xfId="21824"/>
    <cellStyle name="Accent5 2" xfId="21825"/>
    <cellStyle name="Accent5 2 2" xfId="21826"/>
    <cellStyle name="Accent5 2 3" xfId="21827"/>
    <cellStyle name="Accent5 3" xfId="21828"/>
    <cellStyle name="Accent6 2" xfId="21829"/>
    <cellStyle name="Accent6 2 2" xfId="21830"/>
    <cellStyle name="Accent6 2 3" xfId="21831"/>
    <cellStyle name="Accent6 3" xfId="21832"/>
    <cellStyle name="ÅëÈ­ [0]_¿ì¹°Åë" xfId="21833"/>
    <cellStyle name="AeE­ [0]_INQUIRY ¿µ¾÷AßAø " xfId="21834"/>
    <cellStyle name="ÅëÈ­_¿ì¹°Åë" xfId="21835"/>
    <cellStyle name="AeE­_INQUIRY ¿µ¾÷AßAø " xfId="21836"/>
    <cellStyle name="arial12" xfId="21837"/>
    <cellStyle name="arial14" xfId="21838"/>
    <cellStyle name="ÄÞ¸¶ [0]_¿ì¹°Åë" xfId="21839"/>
    <cellStyle name="AÞ¸¶ [0]_INQUIRY ¿?¾÷AßAø " xfId="21840"/>
    <cellStyle name="ÄÞ¸¶_¿ì¹°Åë" xfId="21841"/>
    <cellStyle name="AÞ¸¶_INQUIRY ¿?¾÷AßAø " xfId="21842"/>
    <cellStyle name="Bad 2" xfId="21843"/>
    <cellStyle name="Bad 2 2" xfId="21844"/>
    <cellStyle name="Bad 2 3" xfId="21845"/>
    <cellStyle name="Bad 3" xfId="21846"/>
    <cellStyle name="Besuchter Hyperlink" xfId="21847"/>
    <cellStyle name="Besuchter Hyperlink 2" xfId="21848"/>
    <cellStyle name="Besuchter Hyperlink_II.4. RawMaterials" xfId="21849"/>
    <cellStyle name="blank" xfId="21850"/>
    <cellStyle name="blank 2" xfId="21851"/>
    <cellStyle name="blp_column_header" xfId="21852"/>
    <cellStyle name="Bold 11" xfId="21853"/>
    <cellStyle name="Border color" xfId="21854"/>
    <cellStyle name="Budget" xfId="21855"/>
    <cellStyle name="C?AØ_¿?¾÷CoE² " xfId="21856"/>
    <cellStyle name="Ç¥ÁØ_´çÃÊ±¸ÀÔ»ý»ê" xfId="21857"/>
    <cellStyle name="C￥AØ_¿μ¾÷CoE² " xfId="21858"/>
    <cellStyle name="Calc Currency (0)" xfId="21859"/>
    <cellStyle name="Calc Currency (0) 2" xfId="21860"/>
    <cellStyle name="Calc Currency (2)" xfId="21861"/>
    <cellStyle name="Calc Currency (2) 2" xfId="21862"/>
    <cellStyle name="Calc Percent (0)" xfId="21863"/>
    <cellStyle name="Calc Percent (0) 2" xfId="21864"/>
    <cellStyle name="Calc Percent (1)" xfId="21865"/>
    <cellStyle name="Calc Percent (1) 2" xfId="21866"/>
    <cellStyle name="Calc Percent (2)" xfId="21867"/>
    <cellStyle name="Calc Percent (2) 2" xfId="21868"/>
    <cellStyle name="Calc Units (0)" xfId="21869"/>
    <cellStyle name="Calc Units (0) 2" xfId="21870"/>
    <cellStyle name="Calc Units (1)" xfId="21871"/>
    <cellStyle name="Calc Units (1) 2" xfId="21872"/>
    <cellStyle name="Calc Units (2)" xfId="21873"/>
    <cellStyle name="Calc Units (2) 2" xfId="21874"/>
    <cellStyle name="Calculation 2" xfId="21875"/>
    <cellStyle name="Calculation 2 2" xfId="21876"/>
    <cellStyle name="Calculation 2 3" xfId="21877"/>
    <cellStyle name="Calculation 2 3 2" xfId="21878"/>
    <cellStyle name="Calculation 2 3 2 2" xfId="21879"/>
    <cellStyle name="Calculation 2 3 2 3" xfId="21880"/>
    <cellStyle name="Calculation 2 3 3" xfId="21881"/>
    <cellStyle name="Calculation 2 3 3 2" xfId="21882"/>
    <cellStyle name="Calculation 2 3 3 3" xfId="21883"/>
    <cellStyle name="Calculation 2 3 4" xfId="21884"/>
    <cellStyle name="Calculation 2 3 5" xfId="21885"/>
    <cellStyle name="Calculation 2 4" xfId="21886"/>
    <cellStyle name="Calculation 2 4 2" xfId="21887"/>
    <cellStyle name="Calculation 2 4 3" xfId="21888"/>
    <cellStyle name="Calculation 2 5" xfId="21889"/>
    <cellStyle name="Calculation 2 6" xfId="21890"/>
    <cellStyle name="Calculation 3" xfId="21891"/>
    <cellStyle name="Calculation 3 2" xfId="21892"/>
    <cellStyle name="Chart Title" xfId="21893"/>
    <cellStyle name="Chart Title 2" xfId="21894"/>
    <cellStyle name="Chart Title 2 2" xfId="21895"/>
    <cellStyle name="Chart Title 2 2 2" xfId="21896"/>
    <cellStyle name="Chart Title 2 2 3" xfId="21897"/>
    <cellStyle name="Chart Title 2 3" xfId="21898"/>
    <cellStyle name="Chart Title 2 3 2" xfId="21899"/>
    <cellStyle name="Chart Title 2 3 3" xfId="21900"/>
    <cellStyle name="Chart Title 2 4" xfId="21901"/>
    <cellStyle name="Chart Title 2 5" xfId="21902"/>
    <cellStyle name="Chart Title 3" xfId="21903"/>
    <cellStyle name="Check Cell 2" xfId="21904"/>
    <cellStyle name="Check Cell 2 2" xfId="21905"/>
    <cellStyle name="Check Cell 2 3" xfId="21906"/>
    <cellStyle name="Check Cell 3" xfId="21907"/>
    <cellStyle name="ÇÏÀÌÆÛ¸µÅ©" xfId="21908"/>
    <cellStyle name="ColBlue" xfId="21909"/>
    <cellStyle name="ColGreen" xfId="21910"/>
    <cellStyle name="ColRed" xfId="21911"/>
    <cellStyle name="Column_Title" xfId="21912"/>
    <cellStyle name="Comma  - Style1" xfId="21913"/>
    <cellStyle name="Comma  - Style2" xfId="21914"/>
    <cellStyle name="Comma  - Style3" xfId="21915"/>
    <cellStyle name="Comma  - Style4" xfId="21916"/>
    <cellStyle name="Comma  - Style5" xfId="21917"/>
    <cellStyle name="Comma  - Style6" xfId="21918"/>
    <cellStyle name="Comma  - Style7" xfId="21919"/>
    <cellStyle name="Comma  - Style8" xfId="21920"/>
    <cellStyle name="Comma $[0]_Red" xfId="21921"/>
    <cellStyle name="Comma (1)" xfId="21922"/>
    <cellStyle name="Comma (2)" xfId="21923"/>
    <cellStyle name="Comma (2) 2" xfId="21924"/>
    <cellStyle name="Comma [00]" xfId="21925"/>
    <cellStyle name="Comma [00] 2" xfId="21926"/>
    <cellStyle name="Comma 10" xfId="21927"/>
    <cellStyle name="Comma 10 2" xfId="21928"/>
    <cellStyle name="Comma 10 2 2" xfId="21929"/>
    <cellStyle name="Comma 10 2 2 2" xfId="21930"/>
    <cellStyle name="Comma 10 2 2 2 2" xfId="21931"/>
    <cellStyle name="Comma 10 2 2 2 2 2" xfId="21932"/>
    <cellStyle name="Comma 10 2 2 2 3" xfId="21933"/>
    <cellStyle name="Comma 10 2 2 3" xfId="21934"/>
    <cellStyle name="Comma 10 2 2 3 2" xfId="21935"/>
    <cellStyle name="Comma 10 2 2 4" xfId="21936"/>
    <cellStyle name="Comma 10 2 2 4 2" xfId="21937"/>
    <cellStyle name="Comma 10 2 2 5" xfId="21938"/>
    <cellStyle name="Comma 10 2 3" xfId="21939"/>
    <cellStyle name="Comma 10 2 3 2" xfId="21940"/>
    <cellStyle name="Comma 10 2 3 2 2" xfId="21941"/>
    <cellStyle name="Comma 10 2 3 2 2 2" xfId="21942"/>
    <cellStyle name="Comma 10 2 3 2 3" xfId="21943"/>
    <cellStyle name="Comma 10 2 3 3" xfId="21944"/>
    <cellStyle name="Comma 10 2 3 3 2" xfId="21945"/>
    <cellStyle name="Comma 10 2 3 4" xfId="21946"/>
    <cellStyle name="Comma 10 2 3 4 2" xfId="21947"/>
    <cellStyle name="Comma 10 2 3 5" xfId="21948"/>
    <cellStyle name="Comma 10 2 4" xfId="21949"/>
    <cellStyle name="Comma 10 2 4 2" xfId="21950"/>
    <cellStyle name="Comma 10 2 4 2 2" xfId="21951"/>
    <cellStyle name="Comma 10 2 4 3" xfId="21952"/>
    <cellStyle name="Comma 10 2 5" xfId="21953"/>
    <cellStyle name="Comma 10 2 5 2" xfId="21954"/>
    <cellStyle name="Comma 10 2 6" xfId="21955"/>
    <cellStyle name="Comma 10 2 6 2" xfId="21956"/>
    <cellStyle name="Comma 10 2 7" xfId="21957"/>
    <cellStyle name="Comma 10 3" xfId="21958"/>
    <cellStyle name="Comma 10 3 2" xfId="21959"/>
    <cellStyle name="Comma 10 3 2 2" xfId="21960"/>
    <cellStyle name="Comma 10 3 2 2 2" xfId="21961"/>
    <cellStyle name="Comma 10 3 2 3" xfId="21962"/>
    <cellStyle name="Comma 10 3 3" xfId="21963"/>
    <cellStyle name="Comma 10 3 3 2" xfId="21964"/>
    <cellStyle name="Comma 10 3 4" xfId="21965"/>
    <cellStyle name="Comma 10 3 4 2" xfId="21966"/>
    <cellStyle name="Comma 10 3 5" xfId="21967"/>
    <cellStyle name="Comma 10 4" xfId="21968"/>
    <cellStyle name="Comma 10 4 2" xfId="21969"/>
    <cellStyle name="Comma 10 4 2 2" xfId="21970"/>
    <cellStyle name="Comma 10 4 2 2 2" xfId="21971"/>
    <cellStyle name="Comma 10 4 2 3" xfId="21972"/>
    <cellStyle name="Comma 10 4 3" xfId="21973"/>
    <cellStyle name="Comma 10 4 3 2" xfId="21974"/>
    <cellStyle name="Comma 10 4 4" xfId="21975"/>
    <cellStyle name="Comma 10 4 4 2" xfId="21976"/>
    <cellStyle name="Comma 10 4 5" xfId="21977"/>
    <cellStyle name="Comma 10 5" xfId="21978"/>
    <cellStyle name="Comma 10 5 2" xfId="21979"/>
    <cellStyle name="Comma 10 5 2 2" xfId="21980"/>
    <cellStyle name="Comma 10 5 3" xfId="21981"/>
    <cellStyle name="Comma 10 6" xfId="21982"/>
    <cellStyle name="Comma 10 6 2" xfId="21983"/>
    <cellStyle name="Comma 10 7" xfId="21984"/>
    <cellStyle name="Comma 10 7 2" xfId="21985"/>
    <cellStyle name="Comma 10 8" xfId="21986"/>
    <cellStyle name="Comma 11" xfId="21987"/>
    <cellStyle name="Comma 11 2" xfId="21988"/>
    <cellStyle name="Comma 11 2 2" xfId="21989"/>
    <cellStyle name="Comma 11 2 2 2" xfId="21990"/>
    <cellStyle name="Comma 11 2 2 2 2" xfId="21991"/>
    <cellStyle name="Comma 11 2 2 2 2 2" xfId="21992"/>
    <cellStyle name="Comma 11 2 2 2 3" xfId="21993"/>
    <cellStyle name="Comma 11 2 2 3" xfId="21994"/>
    <cellStyle name="Comma 11 2 2 3 2" xfId="21995"/>
    <cellStyle name="Comma 11 2 2 4" xfId="21996"/>
    <cellStyle name="Comma 11 2 2 4 2" xfId="21997"/>
    <cellStyle name="Comma 11 2 2 5" xfId="21998"/>
    <cellStyle name="Comma 11 2 3" xfId="21999"/>
    <cellStyle name="Comma 11 2 3 2" xfId="22000"/>
    <cellStyle name="Comma 11 2 3 2 2" xfId="22001"/>
    <cellStyle name="Comma 11 2 3 2 2 2" xfId="22002"/>
    <cellStyle name="Comma 11 2 3 2 3" xfId="22003"/>
    <cellStyle name="Comma 11 2 3 3" xfId="22004"/>
    <cellStyle name="Comma 11 2 3 3 2" xfId="22005"/>
    <cellStyle name="Comma 11 2 3 4" xfId="22006"/>
    <cellStyle name="Comma 11 2 3 4 2" xfId="22007"/>
    <cellStyle name="Comma 11 2 3 5" xfId="22008"/>
    <cellStyle name="Comma 11 2 4" xfId="22009"/>
    <cellStyle name="Comma 11 2 4 2" xfId="22010"/>
    <cellStyle name="Comma 11 2 4 2 2" xfId="22011"/>
    <cellStyle name="Comma 11 2 4 3" xfId="22012"/>
    <cellStyle name="Comma 11 2 5" xfId="22013"/>
    <cellStyle name="Comma 11 2 5 2" xfId="22014"/>
    <cellStyle name="Comma 11 2 6" xfId="22015"/>
    <cellStyle name="Comma 11 2 6 2" xfId="22016"/>
    <cellStyle name="Comma 11 2 7" xfId="22017"/>
    <cellStyle name="Comma 11 3" xfId="22018"/>
    <cellStyle name="Comma 11 3 2" xfId="22019"/>
    <cellStyle name="Comma 11 3 2 2" xfId="22020"/>
    <cellStyle name="Comma 11 3 2 2 2" xfId="22021"/>
    <cellStyle name="Comma 11 3 2 3" xfId="22022"/>
    <cellStyle name="Comma 11 3 3" xfId="22023"/>
    <cellStyle name="Comma 11 3 3 2" xfId="22024"/>
    <cellStyle name="Comma 11 3 4" xfId="22025"/>
    <cellStyle name="Comma 11 3 4 2" xfId="22026"/>
    <cellStyle name="Comma 11 3 5" xfId="22027"/>
    <cellStyle name="Comma 11 4" xfId="22028"/>
    <cellStyle name="Comma 11 4 2" xfId="22029"/>
    <cellStyle name="Comma 11 4 2 2" xfId="22030"/>
    <cellStyle name="Comma 11 4 2 2 2" xfId="22031"/>
    <cellStyle name="Comma 11 4 2 3" xfId="22032"/>
    <cellStyle name="Comma 11 4 3" xfId="22033"/>
    <cellStyle name="Comma 11 4 3 2" xfId="22034"/>
    <cellStyle name="Comma 11 4 4" xfId="22035"/>
    <cellStyle name="Comma 11 4 4 2" xfId="22036"/>
    <cellStyle name="Comma 11 4 5" xfId="22037"/>
    <cellStyle name="Comma 11 5" xfId="22038"/>
    <cellStyle name="Comma 11 5 2" xfId="22039"/>
    <cellStyle name="Comma 11 5 2 2" xfId="22040"/>
    <cellStyle name="Comma 11 5 3" xfId="22041"/>
    <cellStyle name="Comma 11 6" xfId="22042"/>
    <cellStyle name="Comma 11 6 2" xfId="22043"/>
    <cellStyle name="Comma 11 7" xfId="22044"/>
    <cellStyle name="Comma 11 7 2" xfId="22045"/>
    <cellStyle name="Comma 11 8" xfId="22046"/>
    <cellStyle name="Comma 12" xfId="22047"/>
    <cellStyle name="Comma 12 2" xfId="22048"/>
    <cellStyle name="Comma 12 2 2" xfId="22049"/>
    <cellStyle name="Comma 12 2 2 2" xfId="22050"/>
    <cellStyle name="Comma 12 2 2 2 2" xfId="22051"/>
    <cellStyle name="Comma 12 2 2 2 2 2" xfId="22052"/>
    <cellStyle name="Comma 12 2 2 2 3" xfId="22053"/>
    <cellStyle name="Comma 12 2 2 3" xfId="22054"/>
    <cellStyle name="Comma 12 2 2 3 2" xfId="22055"/>
    <cellStyle name="Comma 12 2 2 4" xfId="22056"/>
    <cellStyle name="Comma 12 2 2 4 2" xfId="22057"/>
    <cellStyle name="Comma 12 2 2 5" xfId="22058"/>
    <cellStyle name="Comma 12 2 3" xfId="22059"/>
    <cellStyle name="Comma 12 2 3 2" xfId="22060"/>
    <cellStyle name="Comma 12 2 3 2 2" xfId="22061"/>
    <cellStyle name="Comma 12 2 3 2 2 2" xfId="22062"/>
    <cellStyle name="Comma 12 2 3 2 3" xfId="22063"/>
    <cellStyle name="Comma 12 2 3 3" xfId="22064"/>
    <cellStyle name="Comma 12 2 3 3 2" xfId="22065"/>
    <cellStyle name="Comma 12 2 3 4" xfId="22066"/>
    <cellStyle name="Comma 12 2 3 4 2" xfId="22067"/>
    <cellStyle name="Comma 12 2 3 5" xfId="22068"/>
    <cellStyle name="Comma 12 2 4" xfId="22069"/>
    <cellStyle name="Comma 12 2 4 2" xfId="22070"/>
    <cellStyle name="Comma 12 2 4 2 2" xfId="22071"/>
    <cellStyle name="Comma 12 2 4 3" xfId="22072"/>
    <cellStyle name="Comma 12 2 5" xfId="22073"/>
    <cellStyle name="Comma 12 2 5 2" xfId="22074"/>
    <cellStyle name="Comma 12 2 6" xfId="22075"/>
    <cellStyle name="Comma 12 2 6 2" xfId="22076"/>
    <cellStyle name="Comma 12 2 7" xfId="22077"/>
    <cellStyle name="Comma 12 3" xfId="22078"/>
    <cellStyle name="Comma 12 3 2" xfId="22079"/>
    <cellStyle name="Comma 12 3 2 2" xfId="22080"/>
    <cellStyle name="Comma 12 3 2 2 2" xfId="22081"/>
    <cellStyle name="Comma 12 3 2 3" xfId="22082"/>
    <cellStyle name="Comma 12 3 3" xfId="22083"/>
    <cellStyle name="Comma 12 3 3 2" xfId="22084"/>
    <cellStyle name="Comma 12 3 4" xfId="22085"/>
    <cellStyle name="Comma 12 3 4 2" xfId="22086"/>
    <cellStyle name="Comma 12 3 5" xfId="22087"/>
    <cellStyle name="Comma 12 4" xfId="22088"/>
    <cellStyle name="Comma 12 4 2" xfId="22089"/>
    <cellStyle name="Comma 12 4 2 2" xfId="22090"/>
    <cellStyle name="Comma 12 4 2 2 2" xfId="22091"/>
    <cellStyle name="Comma 12 4 2 3" xfId="22092"/>
    <cellStyle name="Comma 12 4 3" xfId="22093"/>
    <cellStyle name="Comma 12 4 3 2" xfId="22094"/>
    <cellStyle name="Comma 12 4 4" xfId="22095"/>
    <cellStyle name="Comma 12 4 4 2" xfId="22096"/>
    <cellStyle name="Comma 12 4 5" xfId="22097"/>
    <cellStyle name="Comma 12 5" xfId="22098"/>
    <cellStyle name="Comma 12 5 2" xfId="22099"/>
    <cellStyle name="Comma 12 5 2 2" xfId="22100"/>
    <cellStyle name="Comma 12 5 3" xfId="22101"/>
    <cellStyle name="Comma 12 6" xfId="22102"/>
    <cellStyle name="Comma 12 6 2" xfId="22103"/>
    <cellStyle name="Comma 12 7" xfId="22104"/>
    <cellStyle name="Comma 12 7 2" xfId="22105"/>
    <cellStyle name="Comma 12 8" xfId="22106"/>
    <cellStyle name="Comma 13" xfId="22107"/>
    <cellStyle name="Comma 13 2" xfId="22108"/>
    <cellStyle name="Comma 13 2 2" xfId="22109"/>
    <cellStyle name="Comma 13 2 2 2" xfId="22110"/>
    <cellStyle name="Comma 13 2 2 2 2" xfId="22111"/>
    <cellStyle name="Comma 13 2 2 2 2 2" xfId="22112"/>
    <cellStyle name="Comma 13 2 2 2 3" xfId="22113"/>
    <cellStyle name="Comma 13 2 2 3" xfId="22114"/>
    <cellStyle name="Comma 13 2 2 3 2" xfId="22115"/>
    <cellStyle name="Comma 13 2 2 4" xfId="22116"/>
    <cellStyle name="Comma 13 2 2 4 2" xfId="22117"/>
    <cellStyle name="Comma 13 2 2 5" xfId="22118"/>
    <cellStyle name="Comma 13 2 3" xfId="22119"/>
    <cellStyle name="Comma 13 2 3 2" xfId="22120"/>
    <cellStyle name="Comma 13 2 3 2 2" xfId="22121"/>
    <cellStyle name="Comma 13 2 3 2 2 2" xfId="22122"/>
    <cellStyle name="Comma 13 2 3 2 3" xfId="22123"/>
    <cellStyle name="Comma 13 2 3 3" xfId="22124"/>
    <cellStyle name="Comma 13 2 3 3 2" xfId="22125"/>
    <cellStyle name="Comma 13 2 3 4" xfId="22126"/>
    <cellStyle name="Comma 13 2 3 4 2" xfId="22127"/>
    <cellStyle name="Comma 13 2 3 5" xfId="22128"/>
    <cellStyle name="Comma 13 2 4" xfId="22129"/>
    <cellStyle name="Comma 13 2 4 2" xfId="22130"/>
    <cellStyle name="Comma 13 2 4 2 2" xfId="22131"/>
    <cellStyle name="Comma 13 2 4 3" xfId="22132"/>
    <cellStyle name="Comma 13 2 5" xfId="22133"/>
    <cellStyle name="Comma 13 2 5 2" xfId="22134"/>
    <cellStyle name="Comma 13 2 6" xfId="22135"/>
    <cellStyle name="Comma 13 2 6 2" xfId="22136"/>
    <cellStyle name="Comma 13 2 7" xfId="22137"/>
    <cellStyle name="Comma 13 3" xfId="22138"/>
    <cellStyle name="Comma 13 3 2" xfId="22139"/>
    <cellStyle name="Comma 13 3 2 2" xfId="22140"/>
    <cellStyle name="Comma 13 3 2 2 2" xfId="22141"/>
    <cellStyle name="Comma 13 3 2 3" xfId="22142"/>
    <cellStyle name="Comma 13 3 3" xfId="22143"/>
    <cellStyle name="Comma 13 3 3 2" xfId="22144"/>
    <cellStyle name="Comma 13 3 4" xfId="22145"/>
    <cellStyle name="Comma 13 3 4 2" xfId="22146"/>
    <cellStyle name="Comma 13 3 5" xfId="22147"/>
    <cellStyle name="Comma 13 4" xfId="22148"/>
    <cellStyle name="Comma 13 4 2" xfId="22149"/>
    <cellStyle name="Comma 13 4 2 2" xfId="22150"/>
    <cellStyle name="Comma 13 4 2 2 2" xfId="22151"/>
    <cellStyle name="Comma 13 4 2 3" xfId="22152"/>
    <cellStyle name="Comma 13 4 3" xfId="22153"/>
    <cellStyle name="Comma 13 4 3 2" xfId="22154"/>
    <cellStyle name="Comma 13 4 4" xfId="22155"/>
    <cellStyle name="Comma 13 4 4 2" xfId="22156"/>
    <cellStyle name="Comma 13 4 5" xfId="22157"/>
    <cellStyle name="Comma 13 5" xfId="22158"/>
    <cellStyle name="Comma 13 5 2" xfId="22159"/>
    <cellStyle name="Comma 13 5 2 2" xfId="22160"/>
    <cellStyle name="Comma 13 5 3" xfId="22161"/>
    <cellStyle name="Comma 13 6" xfId="22162"/>
    <cellStyle name="Comma 13 6 2" xfId="22163"/>
    <cellStyle name="Comma 13 7" xfId="22164"/>
    <cellStyle name="Comma 13 7 2" xfId="22165"/>
    <cellStyle name="Comma 13 8" xfId="22166"/>
    <cellStyle name="Comma 14" xfId="22167"/>
    <cellStyle name="Comma 14 2" xfId="22168"/>
    <cellStyle name="Comma 14 2 2" xfId="22169"/>
    <cellStyle name="Comma 14 2 2 2" xfId="22170"/>
    <cellStyle name="Comma 14 2 2 2 2" xfId="22171"/>
    <cellStyle name="Comma 14 2 2 2 2 2" xfId="22172"/>
    <cellStyle name="Comma 14 2 2 2 3" xfId="22173"/>
    <cellStyle name="Comma 14 2 2 3" xfId="22174"/>
    <cellStyle name="Comma 14 2 2 3 2" xfId="22175"/>
    <cellStyle name="Comma 14 2 2 4" xfId="22176"/>
    <cellStyle name="Comma 14 2 2 4 2" xfId="22177"/>
    <cellStyle name="Comma 14 2 2 5" xfId="22178"/>
    <cellStyle name="Comma 14 2 3" xfId="22179"/>
    <cellStyle name="Comma 14 2 3 2" xfId="22180"/>
    <cellStyle name="Comma 14 2 3 2 2" xfId="22181"/>
    <cellStyle name="Comma 14 2 3 2 2 2" xfId="22182"/>
    <cellStyle name="Comma 14 2 3 2 3" xfId="22183"/>
    <cellStyle name="Comma 14 2 3 3" xfId="22184"/>
    <cellStyle name="Comma 14 2 3 3 2" xfId="22185"/>
    <cellStyle name="Comma 14 2 3 4" xfId="22186"/>
    <cellStyle name="Comma 14 2 3 4 2" xfId="22187"/>
    <cellStyle name="Comma 14 2 3 5" xfId="22188"/>
    <cellStyle name="Comma 14 2 4" xfId="22189"/>
    <cellStyle name="Comma 14 2 4 2" xfId="22190"/>
    <cellStyle name="Comma 14 2 4 2 2" xfId="22191"/>
    <cellStyle name="Comma 14 2 4 3" xfId="22192"/>
    <cellStyle name="Comma 14 2 5" xfId="22193"/>
    <cellStyle name="Comma 14 2 5 2" xfId="22194"/>
    <cellStyle name="Comma 14 2 6" xfId="22195"/>
    <cellStyle name="Comma 14 2 6 2" xfId="22196"/>
    <cellStyle name="Comma 14 2 7" xfId="22197"/>
    <cellStyle name="Comma 14 3" xfId="22198"/>
    <cellStyle name="Comma 14 3 2" xfId="22199"/>
    <cellStyle name="Comma 14 3 2 2" xfId="22200"/>
    <cellStyle name="Comma 14 3 2 2 2" xfId="22201"/>
    <cellStyle name="Comma 14 3 2 3" xfId="22202"/>
    <cellStyle name="Comma 14 3 3" xfId="22203"/>
    <cellStyle name="Comma 14 3 3 2" xfId="22204"/>
    <cellStyle name="Comma 14 3 4" xfId="22205"/>
    <cellStyle name="Comma 14 3 4 2" xfId="22206"/>
    <cellStyle name="Comma 14 3 5" xfId="22207"/>
    <cellStyle name="Comma 14 4" xfId="22208"/>
    <cellStyle name="Comma 14 4 2" xfId="22209"/>
    <cellStyle name="Comma 14 4 2 2" xfId="22210"/>
    <cellStyle name="Comma 14 4 2 2 2" xfId="22211"/>
    <cellStyle name="Comma 14 4 2 3" xfId="22212"/>
    <cellStyle name="Comma 14 4 3" xfId="22213"/>
    <cellStyle name="Comma 14 4 3 2" xfId="22214"/>
    <cellStyle name="Comma 14 4 4" xfId="22215"/>
    <cellStyle name="Comma 14 4 4 2" xfId="22216"/>
    <cellStyle name="Comma 14 4 5" xfId="22217"/>
    <cellStyle name="Comma 14 5" xfId="22218"/>
    <cellStyle name="Comma 14 5 2" xfId="22219"/>
    <cellStyle name="Comma 14 5 2 2" xfId="22220"/>
    <cellStyle name="Comma 14 5 3" xfId="22221"/>
    <cellStyle name="Comma 14 6" xfId="22222"/>
    <cellStyle name="Comma 14 6 2" xfId="22223"/>
    <cellStyle name="Comma 14 7" xfId="22224"/>
    <cellStyle name="Comma 14 7 2" xfId="22225"/>
    <cellStyle name="Comma 14 8" xfId="22226"/>
    <cellStyle name="Comma 15" xfId="22227"/>
    <cellStyle name="Comma 15 2" xfId="22228"/>
    <cellStyle name="Comma 15 2 2" xfId="22229"/>
    <cellStyle name="Comma 15 2 2 2" xfId="22230"/>
    <cellStyle name="Comma 15 2 2 2 2" xfId="22231"/>
    <cellStyle name="Comma 15 2 2 2 2 2" xfId="22232"/>
    <cellStyle name="Comma 15 2 2 2 3" xfId="22233"/>
    <cellStyle name="Comma 15 2 2 3" xfId="22234"/>
    <cellStyle name="Comma 15 2 2 3 2" xfId="22235"/>
    <cellStyle name="Comma 15 2 2 4" xfId="22236"/>
    <cellStyle name="Comma 15 2 2 4 2" xfId="22237"/>
    <cellStyle name="Comma 15 2 2 5" xfId="22238"/>
    <cellStyle name="Comma 15 2 3" xfId="22239"/>
    <cellStyle name="Comma 15 2 3 2" xfId="22240"/>
    <cellStyle name="Comma 15 2 3 2 2" xfId="22241"/>
    <cellStyle name="Comma 15 2 3 2 2 2" xfId="22242"/>
    <cellStyle name="Comma 15 2 3 2 3" xfId="22243"/>
    <cellStyle name="Comma 15 2 3 3" xfId="22244"/>
    <cellStyle name="Comma 15 2 3 3 2" xfId="22245"/>
    <cellStyle name="Comma 15 2 3 4" xfId="22246"/>
    <cellStyle name="Comma 15 2 3 4 2" xfId="22247"/>
    <cellStyle name="Comma 15 2 3 5" xfId="22248"/>
    <cellStyle name="Comma 15 2 4" xfId="22249"/>
    <cellStyle name="Comma 15 2 4 2" xfId="22250"/>
    <cellStyle name="Comma 15 2 4 2 2" xfId="22251"/>
    <cellStyle name="Comma 15 2 4 3" xfId="22252"/>
    <cellStyle name="Comma 15 2 5" xfId="22253"/>
    <cellStyle name="Comma 15 2 5 2" xfId="22254"/>
    <cellStyle name="Comma 15 2 6" xfId="22255"/>
    <cellStyle name="Comma 15 2 6 2" xfId="22256"/>
    <cellStyle name="Comma 15 2 7" xfId="22257"/>
    <cellStyle name="Comma 15 3" xfId="22258"/>
    <cellStyle name="Comma 15 3 2" xfId="22259"/>
    <cellStyle name="Comma 15 3 2 2" xfId="22260"/>
    <cellStyle name="Comma 15 3 2 2 2" xfId="22261"/>
    <cellStyle name="Comma 15 3 2 3" xfId="22262"/>
    <cellStyle name="Comma 15 3 3" xfId="22263"/>
    <cellStyle name="Comma 15 3 3 2" xfId="22264"/>
    <cellStyle name="Comma 15 3 4" xfId="22265"/>
    <cellStyle name="Comma 15 3 4 2" xfId="22266"/>
    <cellStyle name="Comma 15 3 5" xfId="22267"/>
    <cellStyle name="Comma 15 4" xfId="22268"/>
    <cellStyle name="Comma 15 4 2" xfId="22269"/>
    <cellStyle name="Comma 15 4 2 2" xfId="22270"/>
    <cellStyle name="Comma 15 4 2 2 2" xfId="22271"/>
    <cellStyle name="Comma 15 4 2 3" xfId="22272"/>
    <cellStyle name="Comma 15 4 3" xfId="22273"/>
    <cellStyle name="Comma 15 4 3 2" xfId="22274"/>
    <cellStyle name="Comma 15 4 4" xfId="22275"/>
    <cellStyle name="Comma 15 4 4 2" xfId="22276"/>
    <cellStyle name="Comma 15 4 5" xfId="22277"/>
    <cellStyle name="Comma 15 5" xfId="22278"/>
    <cellStyle name="Comma 15 5 2" xfId="22279"/>
    <cellStyle name="Comma 15 5 2 2" xfId="22280"/>
    <cellStyle name="Comma 15 5 3" xfId="22281"/>
    <cellStyle name="Comma 15 6" xfId="22282"/>
    <cellStyle name="Comma 15 6 2" xfId="22283"/>
    <cellStyle name="Comma 15 7" xfId="22284"/>
    <cellStyle name="Comma 15 7 2" xfId="22285"/>
    <cellStyle name="Comma 15 8" xfId="22286"/>
    <cellStyle name="Comma 16" xfId="22287"/>
    <cellStyle name="Comma 16 2" xfId="22288"/>
    <cellStyle name="Comma 16 2 2" xfId="22289"/>
    <cellStyle name="Comma 16 2 2 2" xfId="22290"/>
    <cellStyle name="Comma 16 2 2 2 2" xfId="22291"/>
    <cellStyle name="Comma 16 2 2 2 2 2" xfId="22292"/>
    <cellStyle name="Comma 16 2 2 2 3" xfId="22293"/>
    <cellStyle name="Comma 16 2 2 3" xfId="22294"/>
    <cellStyle name="Comma 16 2 2 3 2" xfId="22295"/>
    <cellStyle name="Comma 16 2 2 4" xfId="22296"/>
    <cellStyle name="Comma 16 2 2 4 2" xfId="22297"/>
    <cellStyle name="Comma 16 2 2 5" xfId="22298"/>
    <cellStyle name="Comma 16 2 3" xfId="22299"/>
    <cellStyle name="Comma 16 2 3 2" xfId="22300"/>
    <cellStyle name="Comma 16 2 3 2 2" xfId="22301"/>
    <cellStyle name="Comma 16 2 3 2 2 2" xfId="22302"/>
    <cellStyle name="Comma 16 2 3 2 3" xfId="22303"/>
    <cellStyle name="Comma 16 2 3 3" xfId="22304"/>
    <cellStyle name="Comma 16 2 3 3 2" xfId="22305"/>
    <cellStyle name="Comma 16 2 3 4" xfId="22306"/>
    <cellStyle name="Comma 16 2 3 4 2" xfId="22307"/>
    <cellStyle name="Comma 16 2 3 5" xfId="22308"/>
    <cellStyle name="Comma 16 2 4" xfId="22309"/>
    <cellStyle name="Comma 16 2 4 2" xfId="22310"/>
    <cellStyle name="Comma 16 2 4 2 2" xfId="22311"/>
    <cellStyle name="Comma 16 2 4 3" xfId="22312"/>
    <cellStyle name="Comma 16 2 5" xfId="22313"/>
    <cellStyle name="Comma 16 2 5 2" xfId="22314"/>
    <cellStyle name="Comma 16 2 6" xfId="22315"/>
    <cellStyle name="Comma 16 2 6 2" xfId="22316"/>
    <cellStyle name="Comma 16 2 7" xfId="22317"/>
    <cellStyle name="Comma 16 3" xfId="22318"/>
    <cellStyle name="Comma 16 3 2" xfId="22319"/>
    <cellStyle name="Comma 16 3 2 2" xfId="22320"/>
    <cellStyle name="Comma 16 3 2 2 2" xfId="22321"/>
    <cellStyle name="Comma 16 3 2 3" xfId="22322"/>
    <cellStyle name="Comma 16 3 3" xfId="22323"/>
    <cellStyle name="Comma 16 3 3 2" xfId="22324"/>
    <cellStyle name="Comma 16 3 4" xfId="22325"/>
    <cellStyle name="Comma 16 3 4 2" xfId="22326"/>
    <cellStyle name="Comma 16 3 5" xfId="22327"/>
    <cellStyle name="Comma 16 4" xfId="22328"/>
    <cellStyle name="Comma 16 4 2" xfId="22329"/>
    <cellStyle name="Comma 16 4 2 2" xfId="22330"/>
    <cellStyle name="Comma 16 4 2 2 2" xfId="22331"/>
    <cellStyle name="Comma 16 4 2 3" xfId="22332"/>
    <cellStyle name="Comma 16 4 3" xfId="22333"/>
    <cellStyle name="Comma 16 4 3 2" xfId="22334"/>
    <cellStyle name="Comma 16 4 4" xfId="22335"/>
    <cellStyle name="Comma 16 4 4 2" xfId="22336"/>
    <cellStyle name="Comma 16 4 5" xfId="22337"/>
    <cellStyle name="Comma 16 5" xfId="22338"/>
    <cellStyle name="Comma 16 5 2" xfId="22339"/>
    <cellStyle name="Comma 16 5 2 2" xfId="22340"/>
    <cellStyle name="Comma 16 5 3" xfId="22341"/>
    <cellStyle name="Comma 16 6" xfId="22342"/>
    <cellStyle name="Comma 16 6 2" xfId="22343"/>
    <cellStyle name="Comma 16 7" xfId="22344"/>
    <cellStyle name="Comma 16 7 2" xfId="22345"/>
    <cellStyle name="Comma 16 8" xfId="22346"/>
    <cellStyle name="Comma 17" xfId="22347"/>
    <cellStyle name="Comma 17 2" xfId="22348"/>
    <cellStyle name="Comma 17 2 2" xfId="22349"/>
    <cellStyle name="Comma 17 2 2 2" xfId="22350"/>
    <cellStyle name="Comma 17 2 2 2 2" xfId="22351"/>
    <cellStyle name="Comma 17 2 2 2 2 2" xfId="22352"/>
    <cellStyle name="Comma 17 2 2 2 3" xfId="22353"/>
    <cellStyle name="Comma 17 2 2 3" xfId="22354"/>
    <cellStyle name="Comma 17 2 2 3 2" xfId="22355"/>
    <cellStyle name="Comma 17 2 2 4" xfId="22356"/>
    <cellStyle name="Comma 17 2 2 4 2" xfId="22357"/>
    <cellStyle name="Comma 17 2 2 5" xfId="22358"/>
    <cellStyle name="Comma 17 2 3" xfId="22359"/>
    <cellStyle name="Comma 17 2 3 2" xfId="22360"/>
    <cellStyle name="Comma 17 2 3 2 2" xfId="22361"/>
    <cellStyle name="Comma 17 2 3 2 2 2" xfId="22362"/>
    <cellStyle name="Comma 17 2 3 2 3" xfId="22363"/>
    <cellStyle name="Comma 17 2 3 3" xfId="22364"/>
    <cellStyle name="Comma 17 2 3 3 2" xfId="22365"/>
    <cellStyle name="Comma 17 2 3 4" xfId="22366"/>
    <cellStyle name="Comma 17 2 3 4 2" xfId="22367"/>
    <cellStyle name="Comma 17 2 3 5" xfId="22368"/>
    <cellStyle name="Comma 17 2 4" xfId="22369"/>
    <cellStyle name="Comma 17 2 4 2" xfId="22370"/>
    <cellStyle name="Comma 17 2 4 2 2" xfId="22371"/>
    <cellStyle name="Comma 17 2 4 3" xfId="22372"/>
    <cellStyle name="Comma 17 2 5" xfId="22373"/>
    <cellStyle name="Comma 17 2 5 2" xfId="22374"/>
    <cellStyle name="Comma 17 2 6" xfId="22375"/>
    <cellStyle name="Comma 17 2 6 2" xfId="22376"/>
    <cellStyle name="Comma 17 2 7" xfId="22377"/>
    <cellStyle name="Comma 17 3" xfId="22378"/>
    <cellStyle name="Comma 17 3 2" xfId="22379"/>
    <cellStyle name="Comma 17 3 2 2" xfId="22380"/>
    <cellStyle name="Comma 17 3 2 2 2" xfId="22381"/>
    <cellStyle name="Comma 17 3 2 3" xfId="22382"/>
    <cellStyle name="Comma 17 3 3" xfId="22383"/>
    <cellStyle name="Comma 17 3 3 2" xfId="22384"/>
    <cellStyle name="Comma 17 3 4" xfId="22385"/>
    <cellStyle name="Comma 17 3 4 2" xfId="22386"/>
    <cellStyle name="Comma 17 3 5" xfId="22387"/>
    <cellStyle name="Comma 17 4" xfId="22388"/>
    <cellStyle name="Comma 17 4 2" xfId="22389"/>
    <cellStyle name="Comma 17 4 2 2" xfId="22390"/>
    <cellStyle name="Comma 17 4 2 2 2" xfId="22391"/>
    <cellStyle name="Comma 17 4 2 3" xfId="22392"/>
    <cellStyle name="Comma 17 4 3" xfId="22393"/>
    <cellStyle name="Comma 17 4 3 2" xfId="22394"/>
    <cellStyle name="Comma 17 4 4" xfId="22395"/>
    <cellStyle name="Comma 17 4 4 2" xfId="22396"/>
    <cellStyle name="Comma 17 4 5" xfId="22397"/>
    <cellStyle name="Comma 17 5" xfId="22398"/>
    <cellStyle name="Comma 17 5 2" xfId="22399"/>
    <cellStyle name="Comma 17 5 2 2" xfId="22400"/>
    <cellStyle name="Comma 17 5 3" xfId="22401"/>
    <cellStyle name="Comma 17 6" xfId="22402"/>
    <cellStyle name="Comma 17 6 2" xfId="22403"/>
    <cellStyle name="Comma 17 7" xfId="22404"/>
    <cellStyle name="Comma 17 7 2" xfId="22405"/>
    <cellStyle name="Comma 17 8" xfId="22406"/>
    <cellStyle name="Comma 18" xfId="22407"/>
    <cellStyle name="Comma 18 2" xfId="22408"/>
    <cellStyle name="Comma 18 2 2" xfId="22409"/>
    <cellStyle name="Comma 18 2 2 2" xfId="22410"/>
    <cellStyle name="Comma 18 2 2 2 2" xfId="22411"/>
    <cellStyle name="Comma 18 2 2 2 2 2" xfId="22412"/>
    <cellStyle name="Comma 18 2 2 2 3" xfId="22413"/>
    <cellStyle name="Comma 18 2 2 3" xfId="22414"/>
    <cellStyle name="Comma 18 2 2 3 2" xfId="22415"/>
    <cellStyle name="Comma 18 2 2 4" xfId="22416"/>
    <cellStyle name="Comma 18 2 2 4 2" xfId="22417"/>
    <cellStyle name="Comma 18 2 2 5" xfId="22418"/>
    <cellStyle name="Comma 18 2 3" xfId="22419"/>
    <cellStyle name="Comma 18 2 3 2" xfId="22420"/>
    <cellStyle name="Comma 18 2 3 2 2" xfId="22421"/>
    <cellStyle name="Comma 18 2 3 2 2 2" xfId="22422"/>
    <cellStyle name="Comma 18 2 3 2 3" xfId="22423"/>
    <cellStyle name="Comma 18 2 3 3" xfId="22424"/>
    <cellStyle name="Comma 18 2 3 3 2" xfId="22425"/>
    <cellStyle name="Comma 18 2 3 4" xfId="22426"/>
    <cellStyle name="Comma 18 2 3 4 2" xfId="22427"/>
    <cellStyle name="Comma 18 2 3 5" xfId="22428"/>
    <cellStyle name="Comma 18 2 4" xfId="22429"/>
    <cellStyle name="Comma 18 2 4 2" xfId="22430"/>
    <cellStyle name="Comma 18 2 4 2 2" xfId="22431"/>
    <cellStyle name="Comma 18 2 4 3" xfId="22432"/>
    <cellStyle name="Comma 18 2 5" xfId="22433"/>
    <cellStyle name="Comma 18 2 5 2" xfId="22434"/>
    <cellStyle name="Comma 18 2 6" xfId="22435"/>
    <cellStyle name="Comma 18 2 6 2" xfId="22436"/>
    <cellStyle name="Comma 18 2 7" xfId="22437"/>
    <cellStyle name="Comma 18 3" xfId="22438"/>
    <cellStyle name="Comma 18 3 2" xfId="22439"/>
    <cellStyle name="Comma 18 3 2 2" xfId="22440"/>
    <cellStyle name="Comma 18 3 2 2 2" xfId="22441"/>
    <cellStyle name="Comma 18 3 2 3" xfId="22442"/>
    <cellStyle name="Comma 18 3 3" xfId="22443"/>
    <cellStyle name="Comma 18 3 3 2" xfId="22444"/>
    <cellStyle name="Comma 18 3 4" xfId="22445"/>
    <cellStyle name="Comma 18 3 4 2" xfId="22446"/>
    <cellStyle name="Comma 18 3 5" xfId="22447"/>
    <cellStyle name="Comma 18 4" xfId="22448"/>
    <cellStyle name="Comma 18 4 2" xfId="22449"/>
    <cellStyle name="Comma 18 4 2 2" xfId="22450"/>
    <cellStyle name="Comma 18 4 2 2 2" xfId="22451"/>
    <cellStyle name="Comma 18 4 2 3" xfId="22452"/>
    <cellStyle name="Comma 18 4 3" xfId="22453"/>
    <cellStyle name="Comma 18 4 3 2" xfId="22454"/>
    <cellStyle name="Comma 18 4 4" xfId="22455"/>
    <cellStyle name="Comma 18 4 4 2" xfId="22456"/>
    <cellStyle name="Comma 18 4 5" xfId="22457"/>
    <cellStyle name="Comma 18 5" xfId="22458"/>
    <cellStyle name="Comma 18 5 2" xfId="22459"/>
    <cellStyle name="Comma 18 5 2 2" xfId="22460"/>
    <cellStyle name="Comma 18 5 3" xfId="22461"/>
    <cellStyle name="Comma 18 6" xfId="22462"/>
    <cellStyle name="Comma 18 6 2" xfId="22463"/>
    <cellStyle name="Comma 18 7" xfId="22464"/>
    <cellStyle name="Comma 18 7 2" xfId="22465"/>
    <cellStyle name="Comma 18 8" xfId="22466"/>
    <cellStyle name="Comma 19" xfId="22467"/>
    <cellStyle name="Comma 19 2" xfId="22468"/>
    <cellStyle name="Comma 19 2 2" xfId="22469"/>
    <cellStyle name="Comma 19 2 2 2" xfId="22470"/>
    <cellStyle name="Comma 19 2 2 2 2" xfId="22471"/>
    <cellStyle name="Comma 19 2 2 2 2 2" xfId="22472"/>
    <cellStyle name="Comma 19 2 2 2 3" xfId="22473"/>
    <cellStyle name="Comma 19 2 2 3" xfId="22474"/>
    <cellStyle name="Comma 19 2 2 3 2" xfId="22475"/>
    <cellStyle name="Comma 19 2 2 4" xfId="22476"/>
    <cellStyle name="Comma 19 2 2 4 2" xfId="22477"/>
    <cellStyle name="Comma 19 2 2 5" xfId="22478"/>
    <cellStyle name="Comma 19 2 3" xfId="22479"/>
    <cellStyle name="Comma 19 2 3 2" xfId="22480"/>
    <cellStyle name="Comma 19 2 3 2 2" xfId="22481"/>
    <cellStyle name="Comma 19 2 3 2 2 2" xfId="22482"/>
    <cellStyle name="Comma 19 2 3 2 3" xfId="22483"/>
    <cellStyle name="Comma 19 2 3 3" xfId="22484"/>
    <cellStyle name="Comma 19 2 3 3 2" xfId="22485"/>
    <cellStyle name="Comma 19 2 3 4" xfId="22486"/>
    <cellStyle name="Comma 19 2 3 4 2" xfId="22487"/>
    <cellStyle name="Comma 19 2 3 5" xfId="22488"/>
    <cellStyle name="Comma 19 2 4" xfId="22489"/>
    <cellStyle name="Comma 19 2 4 2" xfId="22490"/>
    <cellStyle name="Comma 19 2 4 2 2" xfId="22491"/>
    <cellStyle name="Comma 19 2 4 3" xfId="22492"/>
    <cellStyle name="Comma 19 2 5" xfId="22493"/>
    <cellStyle name="Comma 19 2 5 2" xfId="22494"/>
    <cellStyle name="Comma 19 2 6" xfId="22495"/>
    <cellStyle name="Comma 19 2 6 2" xfId="22496"/>
    <cellStyle name="Comma 19 2 7" xfId="22497"/>
    <cellStyle name="Comma 19 3" xfId="22498"/>
    <cellStyle name="Comma 19 3 2" xfId="22499"/>
    <cellStyle name="Comma 19 3 2 2" xfId="22500"/>
    <cellStyle name="Comma 19 3 2 2 2" xfId="22501"/>
    <cellStyle name="Comma 19 3 2 3" xfId="22502"/>
    <cellStyle name="Comma 19 3 3" xfId="22503"/>
    <cellStyle name="Comma 19 3 3 2" xfId="22504"/>
    <cellStyle name="Comma 19 3 4" xfId="22505"/>
    <cellStyle name="Comma 19 3 4 2" xfId="22506"/>
    <cellStyle name="Comma 19 3 5" xfId="22507"/>
    <cellStyle name="Comma 19 4" xfId="22508"/>
    <cellStyle name="Comma 19 4 2" xfId="22509"/>
    <cellStyle name="Comma 19 4 2 2" xfId="22510"/>
    <cellStyle name="Comma 19 4 2 2 2" xfId="22511"/>
    <cellStyle name="Comma 19 4 2 3" xfId="22512"/>
    <cellStyle name="Comma 19 4 3" xfId="22513"/>
    <cellStyle name="Comma 19 4 3 2" xfId="22514"/>
    <cellStyle name="Comma 19 4 4" xfId="22515"/>
    <cellStyle name="Comma 19 4 4 2" xfId="22516"/>
    <cellStyle name="Comma 19 4 5" xfId="22517"/>
    <cellStyle name="Comma 19 5" xfId="22518"/>
    <cellStyle name="Comma 19 5 2" xfId="22519"/>
    <cellStyle name="Comma 19 5 2 2" xfId="22520"/>
    <cellStyle name="Comma 19 5 3" xfId="22521"/>
    <cellStyle name="Comma 19 6" xfId="22522"/>
    <cellStyle name="Comma 19 6 2" xfId="22523"/>
    <cellStyle name="Comma 19 7" xfId="22524"/>
    <cellStyle name="Comma 19 7 2" xfId="22525"/>
    <cellStyle name="Comma 19 8" xfId="22526"/>
    <cellStyle name="Comma 2" xfId="22527"/>
    <cellStyle name="Comma 2 10" xfId="22528"/>
    <cellStyle name="Comma 2 11" xfId="22529"/>
    <cellStyle name="Comma 2 12" xfId="22530"/>
    <cellStyle name="Comma 2 2" xfId="22531"/>
    <cellStyle name="Comma 2 2 2" xfId="22532"/>
    <cellStyle name="Comma 2 2 2 10" xfId="22533"/>
    <cellStyle name="Comma 2 2 2 11" xfId="22534"/>
    <cellStyle name="Comma 2 2 2 12" xfId="22535"/>
    <cellStyle name="Comma 2 2 2 2" xfId="22536"/>
    <cellStyle name="Comma 2 2 2 2 2" xfId="22537"/>
    <cellStyle name="Comma 2 2 2 2 2 2" xfId="22538"/>
    <cellStyle name="Comma 2 2 2 2 2 2 2" xfId="22539"/>
    <cellStyle name="Comma 2 2 2 2 2 2 2 2" xfId="22540"/>
    <cellStyle name="Comma 2 2 2 2 2 2 3" xfId="22541"/>
    <cellStyle name="Comma 2 2 2 2 2 3" xfId="22542"/>
    <cellStyle name="Comma 2 2 2 2 2 3 2" xfId="22543"/>
    <cellStyle name="Comma 2 2 2 2 2 4" xfId="22544"/>
    <cellStyle name="Comma 2 2 2 2 2 4 2" xfId="22545"/>
    <cellStyle name="Comma 2 2 2 2 2 5" xfId="22546"/>
    <cellStyle name="Comma 2 2 2 2 3" xfId="22547"/>
    <cellStyle name="Comma 2 2 2 2 3 2" xfId="22548"/>
    <cellStyle name="Comma 2 2 2 2 3 2 2" xfId="22549"/>
    <cellStyle name="Comma 2 2 2 2 3 2 2 2" xfId="22550"/>
    <cellStyle name="Comma 2 2 2 2 3 2 3" xfId="22551"/>
    <cellStyle name="Comma 2 2 2 2 3 3" xfId="22552"/>
    <cellStyle name="Comma 2 2 2 2 3 3 2" xfId="22553"/>
    <cellStyle name="Comma 2 2 2 2 3 4" xfId="22554"/>
    <cellStyle name="Comma 2 2 2 2 3 4 2" xfId="22555"/>
    <cellStyle name="Comma 2 2 2 2 3 5" xfId="22556"/>
    <cellStyle name="Comma 2 2 2 2 4" xfId="22557"/>
    <cellStyle name="Comma 2 2 2 2 4 2" xfId="22558"/>
    <cellStyle name="Comma 2 2 2 2 4 2 2" xfId="22559"/>
    <cellStyle name="Comma 2 2 2 2 4 3" xfId="22560"/>
    <cellStyle name="Comma 2 2 2 2 5" xfId="22561"/>
    <cellStyle name="Comma 2 2 2 2 5 2" xfId="22562"/>
    <cellStyle name="Comma 2 2 2 2 6" xfId="22563"/>
    <cellStyle name="Comma 2 2 2 2 6 2" xfId="22564"/>
    <cellStyle name="Comma 2 2 2 2 7" xfId="22565"/>
    <cellStyle name="Comma 2 2 2 3" xfId="22566"/>
    <cellStyle name="Comma 2 2 2 3 2" xfId="22567"/>
    <cellStyle name="Comma 2 2 2 3 2 2" xfId="22568"/>
    <cellStyle name="Comma 2 2 2 3 2 2 2" xfId="22569"/>
    <cellStyle name="Comma 2 2 2 3 2 3" xfId="22570"/>
    <cellStyle name="Comma 2 2 2 3 3" xfId="22571"/>
    <cellStyle name="Comma 2 2 2 3 3 2" xfId="22572"/>
    <cellStyle name="Comma 2 2 2 3 4" xfId="22573"/>
    <cellStyle name="Comma 2 2 2 3 4 2" xfId="22574"/>
    <cellStyle name="Comma 2 2 2 3 5" xfId="22575"/>
    <cellStyle name="Comma 2 2 2 4" xfId="22576"/>
    <cellStyle name="Comma 2 2 2 4 2" xfId="22577"/>
    <cellStyle name="Comma 2 2 2 4 2 2" xfId="22578"/>
    <cellStyle name="Comma 2 2 2 4 2 2 2" xfId="22579"/>
    <cellStyle name="Comma 2 2 2 4 2 3" xfId="22580"/>
    <cellStyle name="Comma 2 2 2 4 3" xfId="22581"/>
    <cellStyle name="Comma 2 2 2 4 3 2" xfId="22582"/>
    <cellStyle name="Comma 2 2 2 4 4" xfId="22583"/>
    <cellStyle name="Comma 2 2 2 4 4 2" xfId="22584"/>
    <cellStyle name="Comma 2 2 2 4 5" xfId="22585"/>
    <cellStyle name="Comma 2 2 2 5" xfId="22586"/>
    <cellStyle name="Comma 2 2 2 5 2" xfId="22587"/>
    <cellStyle name="Comma 2 2 2 5 2 2" xfId="22588"/>
    <cellStyle name="Comma 2 2 2 5 2 2 2" xfId="22589"/>
    <cellStyle name="Comma 2 2 2 5 2 3" xfId="22590"/>
    <cellStyle name="Comma 2 2 2 5 3" xfId="22591"/>
    <cellStyle name="Comma 2 2 2 5 3 2" xfId="22592"/>
    <cellStyle name="Comma 2 2 2 5 4" xfId="22593"/>
    <cellStyle name="Comma 2 2 2 6" xfId="22594"/>
    <cellStyle name="Comma 2 2 2 6 2" xfId="22595"/>
    <cellStyle name="Comma 2 2 2 6 2 2" xfId="22596"/>
    <cellStyle name="Comma 2 2 2 6 3" xfId="22597"/>
    <cellStyle name="Comma 2 2 2 7" xfId="22598"/>
    <cellStyle name="Comma 2 2 2 7 2" xfId="22599"/>
    <cellStyle name="Comma 2 2 2 8" xfId="22600"/>
    <cellStyle name="Comma 2 2 2 8 2" xfId="22601"/>
    <cellStyle name="Comma 2 2 2 9" xfId="22602"/>
    <cellStyle name="Comma 2 2 3" xfId="22603"/>
    <cellStyle name="Comma 2 2 3 2" xfId="22604"/>
    <cellStyle name="Comma 2 2 3 2 2" xfId="22605"/>
    <cellStyle name="Comma 2 2 3 2 2 2" xfId="22606"/>
    <cellStyle name="Comma 2 2 3 2 2 2 2" xfId="22607"/>
    <cellStyle name="Comma 2 2 3 2 2 3" xfId="22608"/>
    <cellStyle name="Comma 2 2 3 2 3" xfId="22609"/>
    <cellStyle name="Comma 2 2 3 2 3 2" xfId="22610"/>
    <cellStyle name="Comma 2 2 3 2 4" xfId="22611"/>
    <cellStyle name="Comma 2 2 3 2 4 2" xfId="22612"/>
    <cellStyle name="Comma 2 2 3 2 5" xfId="22613"/>
    <cellStyle name="Comma 2 2 3 3" xfId="22614"/>
    <cellStyle name="Comma 2 2 3 3 2" xfId="22615"/>
    <cellStyle name="Comma 2 2 3 3 2 2" xfId="22616"/>
    <cellStyle name="Comma 2 2 3 3 2 2 2" xfId="22617"/>
    <cellStyle name="Comma 2 2 3 3 2 3" xfId="22618"/>
    <cellStyle name="Comma 2 2 3 3 3" xfId="22619"/>
    <cellStyle name="Comma 2 2 3 3 3 2" xfId="22620"/>
    <cellStyle name="Comma 2 2 3 3 4" xfId="22621"/>
    <cellStyle name="Comma 2 2 3 3 4 2" xfId="22622"/>
    <cellStyle name="Comma 2 2 3 3 5" xfId="22623"/>
    <cellStyle name="Comma 2 2 3 4" xfId="22624"/>
    <cellStyle name="Comma 2 2 3 4 2" xfId="22625"/>
    <cellStyle name="Comma 2 2 3 4 2 2" xfId="22626"/>
    <cellStyle name="Comma 2 2 3 4 3" xfId="22627"/>
    <cellStyle name="Comma 2 2 3 5" xfId="22628"/>
    <cellStyle name="Comma 2 2 3 5 2" xfId="22629"/>
    <cellStyle name="Comma 2 2 3 6" xfId="22630"/>
    <cellStyle name="Comma 2 2 3 6 2" xfId="22631"/>
    <cellStyle name="Comma 2 2 3 7" xfId="22632"/>
    <cellStyle name="Comma 2 2 3 8" xfId="22633"/>
    <cellStyle name="Comma 2 2 3 9" xfId="22634"/>
    <cellStyle name="Comma 2 2 4" xfId="22635"/>
    <cellStyle name="Comma 2 2 4 2" xfId="22636"/>
    <cellStyle name="Comma 2 2 4 2 2" xfId="22637"/>
    <cellStyle name="Comma 2 2 4 2 2 2" xfId="22638"/>
    <cellStyle name="Comma 2 2 4 2 2 2 2" xfId="22639"/>
    <cellStyle name="Comma 2 2 4 2 2 3" xfId="22640"/>
    <cellStyle name="Comma 2 2 4 2 3" xfId="22641"/>
    <cellStyle name="Comma 2 2 4 2 3 2" xfId="22642"/>
    <cellStyle name="Comma 2 2 4 2 4" xfId="22643"/>
    <cellStyle name="Comma 2 2 4 2 4 2" xfId="22644"/>
    <cellStyle name="Comma 2 2 4 2 5" xfId="22645"/>
    <cellStyle name="Comma 2 2 4 3" xfId="22646"/>
    <cellStyle name="Comma 2 2 4 3 2" xfId="22647"/>
    <cellStyle name="Comma 2 2 4 3 2 2" xfId="22648"/>
    <cellStyle name="Comma 2 2 4 3 2 2 2" xfId="22649"/>
    <cellStyle name="Comma 2 2 4 3 2 3" xfId="22650"/>
    <cellStyle name="Comma 2 2 4 3 3" xfId="22651"/>
    <cellStyle name="Comma 2 2 4 3 3 2" xfId="22652"/>
    <cellStyle name="Comma 2 2 4 3 4" xfId="22653"/>
    <cellStyle name="Comma 2 2 4 3 4 2" xfId="22654"/>
    <cellStyle name="Comma 2 2 4 3 5" xfId="22655"/>
    <cellStyle name="Comma 2 2 4 4" xfId="22656"/>
    <cellStyle name="Comma 2 2 4 4 2" xfId="22657"/>
    <cellStyle name="Comma 2 2 4 4 2 2" xfId="22658"/>
    <cellStyle name="Comma 2 2 4 4 3" xfId="22659"/>
    <cellStyle name="Comma 2 2 4 5" xfId="22660"/>
    <cellStyle name="Comma 2 2 4 5 2" xfId="22661"/>
    <cellStyle name="Comma 2 2 4 6" xfId="22662"/>
    <cellStyle name="Comma 2 2 4 6 2" xfId="22663"/>
    <cellStyle name="Comma 2 2 4 7" xfId="22664"/>
    <cellStyle name="Comma 2 2 5" xfId="22665"/>
    <cellStyle name="Comma 2 2 6" xfId="22666"/>
    <cellStyle name="Comma 2 2 6 2" xfId="22667"/>
    <cellStyle name="Comma 2 2 6 2 2" xfId="22668"/>
    <cellStyle name="Comma 2 2 6 2 2 2" xfId="22669"/>
    <cellStyle name="Comma 2 2 6 2 3" xfId="22670"/>
    <cellStyle name="Comma 2 2 6 3" xfId="22671"/>
    <cellStyle name="Comma 2 2 6 3 2" xfId="22672"/>
    <cellStyle name="Comma 2 2 6 4" xfId="22673"/>
    <cellStyle name="Comma 2 2 7" xfId="22674"/>
    <cellStyle name="Comma 2 2 8" xfId="22675"/>
    <cellStyle name="Comma 2 2 9" xfId="22676"/>
    <cellStyle name="Comma 2 3" xfId="22677"/>
    <cellStyle name="Comma 2 3 10" xfId="22678"/>
    <cellStyle name="Comma 2 3 11" xfId="22679"/>
    <cellStyle name="Comma 2 3 12" xfId="22680"/>
    <cellStyle name="Comma 2 3 13" xfId="22681"/>
    <cellStyle name="Comma 2 3 2" xfId="22682"/>
    <cellStyle name="Comma 2 3 2 10" xfId="22683"/>
    <cellStyle name="Comma 2 3 2 11" xfId="22684"/>
    <cellStyle name="Comma 2 3 2 2" xfId="22685"/>
    <cellStyle name="Comma 2 3 2 2 2" xfId="22686"/>
    <cellStyle name="Comma 2 3 2 2 2 2" xfId="22687"/>
    <cellStyle name="Comma 2 3 2 2 2 2 2" xfId="22688"/>
    <cellStyle name="Comma 2 3 2 2 2 2 2 2" xfId="22689"/>
    <cellStyle name="Comma 2 3 2 2 2 2 3" xfId="22690"/>
    <cellStyle name="Comma 2 3 2 2 2 3" xfId="22691"/>
    <cellStyle name="Comma 2 3 2 2 2 3 2" xfId="22692"/>
    <cellStyle name="Comma 2 3 2 2 2 4" xfId="22693"/>
    <cellStyle name="Comma 2 3 2 2 2 4 2" xfId="22694"/>
    <cellStyle name="Comma 2 3 2 2 2 5" xfId="22695"/>
    <cellStyle name="Comma 2 3 2 2 3" xfId="22696"/>
    <cellStyle name="Comma 2 3 2 2 3 2" xfId="22697"/>
    <cellStyle name="Comma 2 3 2 2 3 2 2" xfId="22698"/>
    <cellStyle name="Comma 2 3 2 2 3 2 2 2" xfId="22699"/>
    <cellStyle name="Comma 2 3 2 2 3 2 3" xfId="22700"/>
    <cellStyle name="Comma 2 3 2 2 3 3" xfId="22701"/>
    <cellStyle name="Comma 2 3 2 2 3 3 2" xfId="22702"/>
    <cellStyle name="Comma 2 3 2 2 3 4" xfId="22703"/>
    <cellStyle name="Comma 2 3 2 2 3 4 2" xfId="22704"/>
    <cellStyle name="Comma 2 3 2 2 3 5" xfId="22705"/>
    <cellStyle name="Comma 2 3 2 2 4" xfId="22706"/>
    <cellStyle name="Comma 2 3 2 2 4 2" xfId="22707"/>
    <cellStyle name="Comma 2 3 2 2 4 2 2" xfId="22708"/>
    <cellStyle name="Comma 2 3 2 2 4 3" xfId="22709"/>
    <cellStyle name="Comma 2 3 2 2 5" xfId="22710"/>
    <cellStyle name="Comma 2 3 2 2 5 2" xfId="22711"/>
    <cellStyle name="Comma 2 3 2 2 6" xfId="22712"/>
    <cellStyle name="Comma 2 3 2 2 6 2" xfId="22713"/>
    <cellStyle name="Comma 2 3 2 2 7" xfId="22714"/>
    <cellStyle name="Comma 2 3 2 3" xfId="22715"/>
    <cellStyle name="Comma 2 3 2 3 2" xfId="22716"/>
    <cellStyle name="Comma 2 3 2 3 2 2" xfId="22717"/>
    <cellStyle name="Comma 2 3 2 3 2 2 2" xfId="22718"/>
    <cellStyle name="Comma 2 3 2 3 2 3" xfId="22719"/>
    <cellStyle name="Comma 2 3 2 3 3" xfId="22720"/>
    <cellStyle name="Comma 2 3 2 3 3 2" xfId="22721"/>
    <cellStyle name="Comma 2 3 2 3 4" xfId="22722"/>
    <cellStyle name="Comma 2 3 2 3 4 2" xfId="22723"/>
    <cellStyle name="Comma 2 3 2 3 5" xfId="22724"/>
    <cellStyle name="Comma 2 3 2 4" xfId="22725"/>
    <cellStyle name="Comma 2 3 2 4 2" xfId="22726"/>
    <cellStyle name="Comma 2 3 2 4 2 2" xfId="22727"/>
    <cellStyle name="Comma 2 3 2 4 2 2 2" xfId="22728"/>
    <cellStyle name="Comma 2 3 2 4 2 3" xfId="22729"/>
    <cellStyle name="Comma 2 3 2 4 3" xfId="22730"/>
    <cellStyle name="Comma 2 3 2 4 3 2" xfId="22731"/>
    <cellStyle name="Comma 2 3 2 4 4" xfId="22732"/>
    <cellStyle name="Comma 2 3 2 4 4 2" xfId="22733"/>
    <cellStyle name="Comma 2 3 2 4 5" xfId="22734"/>
    <cellStyle name="Comma 2 3 2 5" xfId="22735"/>
    <cellStyle name="Comma 2 3 2 5 2" xfId="22736"/>
    <cellStyle name="Comma 2 3 2 5 2 2" xfId="22737"/>
    <cellStyle name="Comma 2 3 2 5 3" xfId="22738"/>
    <cellStyle name="Comma 2 3 2 6" xfId="22739"/>
    <cellStyle name="Comma 2 3 2 6 2" xfId="22740"/>
    <cellStyle name="Comma 2 3 2 7" xfId="22741"/>
    <cellStyle name="Comma 2 3 2 7 2" xfId="22742"/>
    <cellStyle name="Comma 2 3 2 8" xfId="22743"/>
    <cellStyle name="Comma 2 3 2 9" xfId="22744"/>
    <cellStyle name="Comma 2 3 3" xfId="22745"/>
    <cellStyle name="Comma 2 3 3 2" xfId="22746"/>
    <cellStyle name="Comma 2 3 3 2 2" xfId="22747"/>
    <cellStyle name="Comma 2 3 3 2 2 2" xfId="22748"/>
    <cellStyle name="Comma 2 3 3 2 2 2 2" xfId="22749"/>
    <cellStyle name="Comma 2 3 3 2 2 3" xfId="22750"/>
    <cellStyle name="Comma 2 3 3 2 3" xfId="22751"/>
    <cellStyle name="Comma 2 3 3 2 3 2" xfId="22752"/>
    <cellStyle name="Comma 2 3 3 2 4" xfId="22753"/>
    <cellStyle name="Comma 2 3 3 2 4 2" xfId="22754"/>
    <cellStyle name="Comma 2 3 3 2 5" xfId="22755"/>
    <cellStyle name="Comma 2 3 3 3" xfId="22756"/>
    <cellStyle name="Comma 2 3 3 3 2" xfId="22757"/>
    <cellStyle name="Comma 2 3 3 3 2 2" xfId="22758"/>
    <cellStyle name="Comma 2 3 3 3 2 2 2" xfId="22759"/>
    <cellStyle name="Comma 2 3 3 3 2 3" xfId="22760"/>
    <cellStyle name="Comma 2 3 3 3 3" xfId="22761"/>
    <cellStyle name="Comma 2 3 3 3 3 2" xfId="22762"/>
    <cellStyle name="Comma 2 3 3 3 4" xfId="22763"/>
    <cellStyle name="Comma 2 3 3 3 4 2" xfId="22764"/>
    <cellStyle name="Comma 2 3 3 3 5" xfId="22765"/>
    <cellStyle name="Comma 2 3 3 4" xfId="22766"/>
    <cellStyle name="Comma 2 3 3 4 2" xfId="22767"/>
    <cellStyle name="Comma 2 3 3 4 2 2" xfId="22768"/>
    <cellStyle name="Comma 2 3 3 4 3" xfId="22769"/>
    <cellStyle name="Comma 2 3 3 5" xfId="22770"/>
    <cellStyle name="Comma 2 3 3 5 2" xfId="22771"/>
    <cellStyle name="Comma 2 3 3 6" xfId="22772"/>
    <cellStyle name="Comma 2 3 3 6 2" xfId="22773"/>
    <cellStyle name="Comma 2 3 3 7" xfId="22774"/>
    <cellStyle name="Comma 2 3 3 8" xfId="22775"/>
    <cellStyle name="Comma 2 3 4" xfId="22776"/>
    <cellStyle name="Comma 2 3 4 2" xfId="22777"/>
    <cellStyle name="Comma 2 3 4 2 2" xfId="22778"/>
    <cellStyle name="Comma 2 3 4 2 2 2" xfId="22779"/>
    <cellStyle name="Comma 2 3 4 2 3" xfId="22780"/>
    <cellStyle name="Comma 2 3 4 3" xfId="22781"/>
    <cellStyle name="Comma 2 3 4 3 2" xfId="22782"/>
    <cellStyle name="Comma 2 3 4 4" xfId="22783"/>
    <cellStyle name="Comma 2 3 4 4 2" xfId="22784"/>
    <cellStyle name="Comma 2 3 4 5" xfId="22785"/>
    <cellStyle name="Comma 2 3 5" xfId="22786"/>
    <cellStyle name="Comma 2 3 5 2" xfId="22787"/>
    <cellStyle name="Comma 2 3 5 2 2" xfId="22788"/>
    <cellStyle name="Comma 2 3 5 2 2 2" xfId="22789"/>
    <cellStyle name="Comma 2 3 5 2 3" xfId="22790"/>
    <cellStyle name="Comma 2 3 5 3" xfId="22791"/>
    <cellStyle name="Comma 2 3 5 3 2" xfId="22792"/>
    <cellStyle name="Comma 2 3 5 4" xfId="22793"/>
    <cellStyle name="Comma 2 3 5 4 2" xfId="22794"/>
    <cellStyle name="Comma 2 3 5 5" xfId="22795"/>
    <cellStyle name="Comma 2 3 6" xfId="22796"/>
    <cellStyle name="Comma 2 3 6 2" xfId="22797"/>
    <cellStyle name="Comma 2 3 6 2 2" xfId="22798"/>
    <cellStyle name="Comma 2 3 6 2 2 2" xfId="22799"/>
    <cellStyle name="Comma 2 3 6 2 3" xfId="22800"/>
    <cellStyle name="Comma 2 3 6 3" xfId="22801"/>
    <cellStyle name="Comma 2 3 6 3 2" xfId="22802"/>
    <cellStyle name="Comma 2 3 6 4" xfId="22803"/>
    <cellStyle name="Comma 2 3 7" xfId="22804"/>
    <cellStyle name="Comma 2 3 7 2" xfId="22805"/>
    <cellStyle name="Comma 2 3 7 2 2" xfId="22806"/>
    <cellStyle name="Comma 2 3 7 3" xfId="22807"/>
    <cellStyle name="Comma 2 3 8" xfId="22808"/>
    <cellStyle name="Comma 2 3 8 2" xfId="22809"/>
    <cellStyle name="Comma 2 3 9" xfId="22810"/>
    <cellStyle name="Comma 2 3 9 2" xfId="22811"/>
    <cellStyle name="Comma 2 4" xfId="22812"/>
    <cellStyle name="Comma 2 4 10" xfId="22813"/>
    <cellStyle name="Comma 2 4 11" xfId="22814"/>
    <cellStyle name="Comma 2 4 12" xfId="22815"/>
    <cellStyle name="Comma 2 4 2" xfId="22816"/>
    <cellStyle name="Comma 2 4 2 2" xfId="22817"/>
    <cellStyle name="Comma 2 4 2 2 2" xfId="22818"/>
    <cellStyle name="Comma 2 4 2 2 2 2" xfId="22819"/>
    <cellStyle name="Comma 2 4 2 2 2 2 2" xfId="22820"/>
    <cellStyle name="Comma 2 4 2 2 2 3" xfId="22821"/>
    <cellStyle name="Comma 2 4 2 2 3" xfId="22822"/>
    <cellStyle name="Comma 2 4 2 2 3 2" xfId="22823"/>
    <cellStyle name="Comma 2 4 2 2 4" xfId="22824"/>
    <cellStyle name="Comma 2 4 2 2 4 2" xfId="22825"/>
    <cellStyle name="Comma 2 4 2 2 5" xfId="22826"/>
    <cellStyle name="Comma 2 4 2 3" xfId="22827"/>
    <cellStyle name="Comma 2 4 2 3 2" xfId="22828"/>
    <cellStyle name="Comma 2 4 2 3 2 2" xfId="22829"/>
    <cellStyle name="Comma 2 4 2 3 2 2 2" xfId="22830"/>
    <cellStyle name="Comma 2 4 2 3 2 3" xfId="22831"/>
    <cellStyle name="Comma 2 4 2 3 3" xfId="22832"/>
    <cellStyle name="Comma 2 4 2 3 3 2" xfId="22833"/>
    <cellStyle name="Comma 2 4 2 3 4" xfId="22834"/>
    <cellStyle name="Comma 2 4 2 3 4 2" xfId="22835"/>
    <cellStyle name="Comma 2 4 2 3 5" xfId="22836"/>
    <cellStyle name="Comma 2 4 2 4" xfId="22837"/>
    <cellStyle name="Comma 2 4 2 4 2" xfId="22838"/>
    <cellStyle name="Comma 2 4 2 4 2 2" xfId="22839"/>
    <cellStyle name="Comma 2 4 2 4 3" xfId="22840"/>
    <cellStyle name="Comma 2 4 2 5" xfId="22841"/>
    <cellStyle name="Comma 2 4 2 5 2" xfId="22842"/>
    <cellStyle name="Comma 2 4 2 6" xfId="22843"/>
    <cellStyle name="Comma 2 4 2 6 2" xfId="22844"/>
    <cellStyle name="Comma 2 4 2 7" xfId="22845"/>
    <cellStyle name="Comma 2 4 3" xfId="22846"/>
    <cellStyle name="Comma 2 4 3 2" xfId="22847"/>
    <cellStyle name="Comma 2 4 3 2 2" xfId="22848"/>
    <cellStyle name="Comma 2 4 3 2 2 2" xfId="22849"/>
    <cellStyle name="Comma 2 4 3 2 3" xfId="22850"/>
    <cellStyle name="Comma 2 4 3 3" xfId="22851"/>
    <cellStyle name="Comma 2 4 3 3 2" xfId="22852"/>
    <cellStyle name="Comma 2 4 3 4" xfId="22853"/>
    <cellStyle name="Comma 2 4 3 4 2" xfId="22854"/>
    <cellStyle name="Comma 2 4 3 5" xfId="22855"/>
    <cellStyle name="Comma 2 4 4" xfId="22856"/>
    <cellStyle name="Comma 2 4 4 2" xfId="22857"/>
    <cellStyle name="Comma 2 4 4 2 2" xfId="22858"/>
    <cellStyle name="Comma 2 4 4 2 2 2" xfId="22859"/>
    <cellStyle name="Comma 2 4 4 2 3" xfId="22860"/>
    <cellStyle name="Comma 2 4 4 3" xfId="22861"/>
    <cellStyle name="Comma 2 4 4 3 2" xfId="22862"/>
    <cellStyle name="Comma 2 4 4 4" xfId="22863"/>
    <cellStyle name="Comma 2 4 4 4 2" xfId="22864"/>
    <cellStyle name="Comma 2 4 4 5" xfId="22865"/>
    <cellStyle name="Comma 2 4 5" xfId="22866"/>
    <cellStyle name="Comma 2 4 5 2" xfId="22867"/>
    <cellStyle name="Comma 2 4 5 2 2" xfId="22868"/>
    <cellStyle name="Comma 2 4 5 2 2 2" xfId="22869"/>
    <cellStyle name="Comma 2 4 5 2 3" xfId="22870"/>
    <cellStyle name="Comma 2 4 5 3" xfId="22871"/>
    <cellStyle name="Comma 2 4 5 3 2" xfId="22872"/>
    <cellStyle name="Comma 2 4 5 4" xfId="22873"/>
    <cellStyle name="Comma 2 4 6" xfId="22874"/>
    <cellStyle name="Comma 2 4 6 2" xfId="22875"/>
    <cellStyle name="Comma 2 4 6 2 2" xfId="22876"/>
    <cellStyle name="Comma 2 4 6 3" xfId="22877"/>
    <cellStyle name="Comma 2 4 7" xfId="22878"/>
    <cellStyle name="Comma 2 4 7 2" xfId="22879"/>
    <cellStyle name="Comma 2 4 8" xfId="22880"/>
    <cellStyle name="Comma 2 4 8 2" xfId="22881"/>
    <cellStyle name="Comma 2 4 9" xfId="22882"/>
    <cellStyle name="Comma 2 5" xfId="22883"/>
    <cellStyle name="Comma 2 5 10" xfId="22884"/>
    <cellStyle name="Comma 2 5 2" xfId="22885"/>
    <cellStyle name="Comma 2 5 2 2" xfId="22886"/>
    <cellStyle name="Comma 2 5 2 2 2" xfId="22887"/>
    <cellStyle name="Comma 2 5 2 2 2 2" xfId="22888"/>
    <cellStyle name="Comma 2 5 2 2 3" xfId="22889"/>
    <cellStyle name="Comma 2 5 2 3" xfId="22890"/>
    <cellStyle name="Comma 2 5 2 3 2" xfId="22891"/>
    <cellStyle name="Comma 2 5 2 4" xfId="22892"/>
    <cellStyle name="Comma 2 5 2 4 2" xfId="22893"/>
    <cellStyle name="Comma 2 5 2 5" xfId="22894"/>
    <cellStyle name="Comma 2 5 3" xfId="22895"/>
    <cellStyle name="Comma 2 5 3 2" xfId="22896"/>
    <cellStyle name="Comma 2 5 3 2 2" xfId="22897"/>
    <cellStyle name="Comma 2 5 3 2 2 2" xfId="22898"/>
    <cellStyle name="Comma 2 5 3 2 3" xfId="22899"/>
    <cellStyle name="Comma 2 5 3 3" xfId="22900"/>
    <cellStyle name="Comma 2 5 3 3 2" xfId="22901"/>
    <cellStyle name="Comma 2 5 3 4" xfId="22902"/>
    <cellStyle name="Comma 2 5 3 4 2" xfId="22903"/>
    <cellStyle name="Comma 2 5 3 5" xfId="22904"/>
    <cellStyle name="Comma 2 5 4" xfId="22905"/>
    <cellStyle name="Comma 2 5 4 2" xfId="22906"/>
    <cellStyle name="Comma 2 5 4 2 2" xfId="22907"/>
    <cellStyle name="Comma 2 5 4 3" xfId="22908"/>
    <cellStyle name="Comma 2 5 5" xfId="22909"/>
    <cellStyle name="Comma 2 5 5 2" xfId="22910"/>
    <cellStyle name="Comma 2 5 6" xfId="22911"/>
    <cellStyle name="Comma 2 5 6 2" xfId="22912"/>
    <cellStyle name="Comma 2 5 7" xfId="22913"/>
    <cellStyle name="Comma 2 5 8" xfId="22914"/>
    <cellStyle name="Comma 2 5 9" xfId="22915"/>
    <cellStyle name="Comma 2 6" xfId="22916"/>
    <cellStyle name="Comma 2 6 2" xfId="22917"/>
    <cellStyle name="Comma 2 6 2 2" xfId="22918"/>
    <cellStyle name="Comma 2 6 2 2 2" xfId="22919"/>
    <cellStyle name="Comma 2 6 2 2 2 2" xfId="22920"/>
    <cellStyle name="Comma 2 6 2 2 3" xfId="22921"/>
    <cellStyle name="Comma 2 6 2 3" xfId="22922"/>
    <cellStyle name="Comma 2 6 2 3 2" xfId="22923"/>
    <cellStyle name="Comma 2 6 2 4" xfId="22924"/>
    <cellStyle name="Comma 2 6 2 4 2" xfId="22925"/>
    <cellStyle name="Comma 2 6 2 5" xfId="22926"/>
    <cellStyle name="Comma 2 6 3" xfId="22927"/>
    <cellStyle name="Comma 2 6 3 2" xfId="22928"/>
    <cellStyle name="Comma 2 6 3 2 2" xfId="22929"/>
    <cellStyle name="Comma 2 6 3 2 2 2" xfId="22930"/>
    <cellStyle name="Comma 2 6 3 2 3" xfId="22931"/>
    <cellStyle name="Comma 2 6 3 3" xfId="22932"/>
    <cellStyle name="Comma 2 6 3 3 2" xfId="22933"/>
    <cellStyle name="Comma 2 6 3 4" xfId="22934"/>
    <cellStyle name="Comma 2 6 3 4 2" xfId="22935"/>
    <cellStyle name="Comma 2 6 3 5" xfId="22936"/>
    <cellStyle name="Comma 2 6 4" xfId="22937"/>
    <cellStyle name="Comma 2 6 4 2" xfId="22938"/>
    <cellStyle name="Comma 2 6 4 2 2" xfId="22939"/>
    <cellStyle name="Comma 2 6 4 3" xfId="22940"/>
    <cellStyle name="Comma 2 6 5" xfId="22941"/>
    <cellStyle name="Comma 2 6 5 2" xfId="22942"/>
    <cellStyle name="Comma 2 6 6" xfId="22943"/>
    <cellStyle name="Comma 2 6 6 2" xfId="22944"/>
    <cellStyle name="Comma 2 6 7" xfId="22945"/>
    <cellStyle name="Comma 2 7" xfId="22946"/>
    <cellStyle name="Comma 2 7 2" xfId="22947"/>
    <cellStyle name="Comma 2 7 2 2" xfId="22948"/>
    <cellStyle name="Comma 2 7 2 2 2" xfId="22949"/>
    <cellStyle name="Comma 2 7 2 3" xfId="22950"/>
    <cellStyle name="Comma 2 7 3" xfId="22951"/>
    <cellStyle name="Comma 2 7 3 2" xfId="22952"/>
    <cellStyle name="Comma 2 7 4" xfId="22953"/>
    <cellStyle name="Comma 2 7 4 2" xfId="22954"/>
    <cellStyle name="Comma 2 7 5" xfId="22955"/>
    <cellStyle name="Comma 2 8" xfId="22956"/>
    <cellStyle name="Comma 2 8 2" xfId="22957"/>
    <cellStyle name="Comma 2 8 2 2" xfId="22958"/>
    <cellStyle name="Comma 2 8 2 2 2" xfId="22959"/>
    <cellStyle name="Comma 2 8 2 3" xfId="22960"/>
    <cellStyle name="Comma 2 8 3" xfId="22961"/>
    <cellStyle name="Comma 2 8 3 2" xfId="22962"/>
    <cellStyle name="Comma 2 8 4" xfId="22963"/>
    <cellStyle name="Comma 2 8 4 2" xfId="22964"/>
    <cellStyle name="Comma 2 8 5" xfId="22965"/>
    <cellStyle name="Comma 2 9" xfId="22966"/>
    <cellStyle name="Comma 2 9 2" xfId="22967"/>
    <cellStyle name="Comma 2 9 2 2" xfId="22968"/>
    <cellStyle name="Comma 2 9 2 2 2" xfId="22969"/>
    <cellStyle name="Comma 2 9 2 3" xfId="22970"/>
    <cellStyle name="Comma 2 9 3" xfId="22971"/>
    <cellStyle name="Comma 2 9 3 2" xfId="22972"/>
    <cellStyle name="Comma 2 9 4" xfId="22973"/>
    <cellStyle name="Comma 2_BS retrieve" xfId="22974"/>
    <cellStyle name="Comma 20" xfId="22975"/>
    <cellStyle name="Comma 20 2" xfId="22976"/>
    <cellStyle name="Comma 20 2 2" xfId="22977"/>
    <cellStyle name="Comma 20 2 2 2" xfId="22978"/>
    <cellStyle name="Comma 20 2 2 2 2" xfId="22979"/>
    <cellStyle name="Comma 20 2 2 2 2 2" xfId="22980"/>
    <cellStyle name="Comma 20 2 2 2 3" xfId="22981"/>
    <cellStyle name="Comma 20 2 2 3" xfId="22982"/>
    <cellStyle name="Comma 20 2 2 3 2" xfId="22983"/>
    <cellStyle name="Comma 20 2 2 4" xfId="22984"/>
    <cellStyle name="Comma 20 2 2 4 2" xfId="22985"/>
    <cellStyle name="Comma 20 2 2 5" xfId="22986"/>
    <cellStyle name="Comma 20 2 3" xfId="22987"/>
    <cellStyle name="Comma 20 2 3 2" xfId="22988"/>
    <cellStyle name="Comma 20 2 3 2 2" xfId="22989"/>
    <cellStyle name="Comma 20 2 3 2 2 2" xfId="22990"/>
    <cellStyle name="Comma 20 2 3 2 3" xfId="22991"/>
    <cellStyle name="Comma 20 2 3 3" xfId="22992"/>
    <cellStyle name="Comma 20 2 3 3 2" xfId="22993"/>
    <cellStyle name="Comma 20 2 3 4" xfId="22994"/>
    <cellStyle name="Comma 20 2 3 4 2" xfId="22995"/>
    <cellStyle name="Comma 20 2 3 5" xfId="22996"/>
    <cellStyle name="Comma 20 2 4" xfId="22997"/>
    <cellStyle name="Comma 20 2 4 2" xfId="22998"/>
    <cellStyle name="Comma 20 2 4 2 2" xfId="22999"/>
    <cellStyle name="Comma 20 2 4 3" xfId="23000"/>
    <cellStyle name="Comma 20 2 5" xfId="23001"/>
    <cellStyle name="Comma 20 2 5 2" xfId="23002"/>
    <cellStyle name="Comma 20 2 6" xfId="23003"/>
    <cellStyle name="Comma 20 2 6 2" xfId="23004"/>
    <cellStyle name="Comma 20 2 7" xfId="23005"/>
    <cellStyle name="Comma 20 3" xfId="23006"/>
    <cellStyle name="Comma 20 3 2" xfId="23007"/>
    <cellStyle name="Comma 20 3 2 2" xfId="23008"/>
    <cellStyle name="Comma 20 3 2 2 2" xfId="23009"/>
    <cellStyle name="Comma 20 3 2 3" xfId="23010"/>
    <cellStyle name="Comma 20 3 3" xfId="23011"/>
    <cellStyle name="Comma 20 3 3 2" xfId="23012"/>
    <cellStyle name="Comma 20 3 4" xfId="23013"/>
    <cellStyle name="Comma 20 3 4 2" xfId="23014"/>
    <cellStyle name="Comma 20 3 5" xfId="23015"/>
    <cellStyle name="Comma 20 4" xfId="23016"/>
    <cellStyle name="Comma 20 4 2" xfId="23017"/>
    <cellStyle name="Comma 20 4 2 2" xfId="23018"/>
    <cellStyle name="Comma 20 4 2 2 2" xfId="23019"/>
    <cellStyle name="Comma 20 4 2 3" xfId="23020"/>
    <cellStyle name="Comma 20 4 3" xfId="23021"/>
    <cellStyle name="Comma 20 4 3 2" xfId="23022"/>
    <cellStyle name="Comma 20 4 4" xfId="23023"/>
    <cellStyle name="Comma 20 4 4 2" xfId="23024"/>
    <cellStyle name="Comma 20 4 5" xfId="23025"/>
    <cellStyle name="Comma 20 5" xfId="23026"/>
    <cellStyle name="Comma 20 5 2" xfId="23027"/>
    <cellStyle name="Comma 20 5 2 2" xfId="23028"/>
    <cellStyle name="Comma 20 5 3" xfId="23029"/>
    <cellStyle name="Comma 20 6" xfId="23030"/>
    <cellStyle name="Comma 20 6 2" xfId="23031"/>
    <cellStyle name="Comma 20 7" xfId="23032"/>
    <cellStyle name="Comma 20 7 2" xfId="23033"/>
    <cellStyle name="Comma 20 8" xfId="23034"/>
    <cellStyle name="Comma 21" xfId="23035"/>
    <cellStyle name="Comma 21 2" xfId="23036"/>
    <cellStyle name="Comma 21 2 2" xfId="23037"/>
    <cellStyle name="Comma 21 2 2 2" xfId="23038"/>
    <cellStyle name="Comma 21 2 2 2 2" xfId="23039"/>
    <cellStyle name="Comma 21 2 2 2 2 2" xfId="23040"/>
    <cellStyle name="Comma 21 2 2 2 3" xfId="23041"/>
    <cellStyle name="Comma 21 2 2 3" xfId="23042"/>
    <cellStyle name="Comma 21 2 2 3 2" xfId="23043"/>
    <cellStyle name="Comma 21 2 2 4" xfId="23044"/>
    <cellStyle name="Comma 21 2 2 4 2" xfId="23045"/>
    <cellStyle name="Comma 21 2 2 5" xfId="23046"/>
    <cellStyle name="Comma 21 2 3" xfId="23047"/>
    <cellStyle name="Comma 21 2 3 2" xfId="23048"/>
    <cellStyle name="Comma 21 2 3 2 2" xfId="23049"/>
    <cellStyle name="Comma 21 2 3 2 2 2" xfId="23050"/>
    <cellStyle name="Comma 21 2 3 2 3" xfId="23051"/>
    <cellStyle name="Comma 21 2 3 3" xfId="23052"/>
    <cellStyle name="Comma 21 2 3 3 2" xfId="23053"/>
    <cellStyle name="Comma 21 2 3 4" xfId="23054"/>
    <cellStyle name="Comma 21 2 3 4 2" xfId="23055"/>
    <cellStyle name="Comma 21 2 3 5" xfId="23056"/>
    <cellStyle name="Comma 21 2 4" xfId="23057"/>
    <cellStyle name="Comma 21 2 4 2" xfId="23058"/>
    <cellStyle name="Comma 21 2 4 2 2" xfId="23059"/>
    <cellStyle name="Comma 21 2 4 3" xfId="23060"/>
    <cellStyle name="Comma 21 2 5" xfId="23061"/>
    <cellStyle name="Comma 21 2 5 2" xfId="23062"/>
    <cellStyle name="Comma 21 2 6" xfId="23063"/>
    <cellStyle name="Comma 21 2 6 2" xfId="23064"/>
    <cellStyle name="Comma 21 2 7" xfId="23065"/>
    <cellStyle name="Comma 21 3" xfId="23066"/>
    <cellStyle name="Comma 21 3 2" xfId="23067"/>
    <cellStyle name="Comma 21 3 2 2" xfId="23068"/>
    <cellStyle name="Comma 21 3 2 2 2" xfId="23069"/>
    <cellStyle name="Comma 21 3 2 3" xfId="23070"/>
    <cellStyle name="Comma 21 3 3" xfId="23071"/>
    <cellStyle name="Comma 21 3 3 2" xfId="23072"/>
    <cellStyle name="Comma 21 3 4" xfId="23073"/>
    <cellStyle name="Comma 21 3 4 2" xfId="23074"/>
    <cellStyle name="Comma 21 3 5" xfId="23075"/>
    <cellStyle name="Comma 21 4" xfId="23076"/>
    <cellStyle name="Comma 21 4 2" xfId="23077"/>
    <cellStyle name="Comma 21 4 2 2" xfId="23078"/>
    <cellStyle name="Comma 21 4 2 2 2" xfId="23079"/>
    <cellStyle name="Comma 21 4 2 3" xfId="23080"/>
    <cellStyle name="Comma 21 4 3" xfId="23081"/>
    <cellStyle name="Comma 21 4 3 2" xfId="23082"/>
    <cellStyle name="Comma 21 4 4" xfId="23083"/>
    <cellStyle name="Comma 21 4 4 2" xfId="23084"/>
    <cellStyle name="Comma 21 4 5" xfId="23085"/>
    <cellStyle name="Comma 21 5" xfId="23086"/>
    <cellStyle name="Comma 21 5 2" xfId="23087"/>
    <cellStyle name="Comma 21 5 2 2" xfId="23088"/>
    <cellStyle name="Comma 21 5 3" xfId="23089"/>
    <cellStyle name="Comma 21 6" xfId="23090"/>
    <cellStyle name="Comma 21 6 2" xfId="23091"/>
    <cellStyle name="Comma 21 7" xfId="23092"/>
    <cellStyle name="Comma 21 7 2" xfId="23093"/>
    <cellStyle name="Comma 21 8" xfId="23094"/>
    <cellStyle name="Comma 22" xfId="23095"/>
    <cellStyle name="Comma 22 2" xfId="23096"/>
    <cellStyle name="Comma 22 2 2" xfId="23097"/>
    <cellStyle name="Comma 22 2 2 2" xfId="23098"/>
    <cellStyle name="Comma 22 2 2 2 2" xfId="23099"/>
    <cellStyle name="Comma 22 2 2 2 2 2" xfId="23100"/>
    <cellStyle name="Comma 22 2 2 2 3" xfId="23101"/>
    <cellStyle name="Comma 22 2 2 3" xfId="23102"/>
    <cellStyle name="Comma 22 2 2 3 2" xfId="23103"/>
    <cellStyle name="Comma 22 2 2 4" xfId="23104"/>
    <cellStyle name="Comma 22 2 2 4 2" xfId="23105"/>
    <cellStyle name="Comma 22 2 2 5" xfId="23106"/>
    <cellStyle name="Comma 22 2 3" xfId="23107"/>
    <cellStyle name="Comma 22 2 3 2" xfId="23108"/>
    <cellStyle name="Comma 22 2 3 2 2" xfId="23109"/>
    <cellStyle name="Comma 22 2 3 2 2 2" xfId="23110"/>
    <cellStyle name="Comma 22 2 3 2 3" xfId="23111"/>
    <cellStyle name="Comma 22 2 3 3" xfId="23112"/>
    <cellStyle name="Comma 22 2 3 3 2" xfId="23113"/>
    <cellStyle name="Comma 22 2 3 4" xfId="23114"/>
    <cellStyle name="Comma 22 2 3 4 2" xfId="23115"/>
    <cellStyle name="Comma 22 2 3 5" xfId="23116"/>
    <cellStyle name="Comma 22 2 4" xfId="23117"/>
    <cellStyle name="Comma 22 2 4 2" xfId="23118"/>
    <cellStyle name="Comma 22 2 4 2 2" xfId="23119"/>
    <cellStyle name="Comma 22 2 4 3" xfId="23120"/>
    <cellStyle name="Comma 22 2 5" xfId="23121"/>
    <cellStyle name="Comma 22 2 5 2" xfId="23122"/>
    <cellStyle name="Comma 22 2 6" xfId="23123"/>
    <cellStyle name="Comma 22 2 6 2" xfId="23124"/>
    <cellStyle name="Comma 22 2 7" xfId="23125"/>
    <cellStyle name="Comma 22 3" xfId="23126"/>
    <cellStyle name="Comma 22 3 2" xfId="23127"/>
    <cellStyle name="Comma 22 3 2 2" xfId="23128"/>
    <cellStyle name="Comma 22 3 2 2 2" xfId="23129"/>
    <cellStyle name="Comma 22 3 2 3" xfId="23130"/>
    <cellStyle name="Comma 22 3 3" xfId="23131"/>
    <cellStyle name="Comma 22 3 3 2" xfId="23132"/>
    <cellStyle name="Comma 22 3 4" xfId="23133"/>
    <cellStyle name="Comma 22 3 4 2" xfId="23134"/>
    <cellStyle name="Comma 22 3 5" xfId="23135"/>
    <cellStyle name="Comma 22 4" xfId="23136"/>
    <cellStyle name="Comma 22 4 2" xfId="23137"/>
    <cellStyle name="Comma 22 4 2 2" xfId="23138"/>
    <cellStyle name="Comma 22 4 2 2 2" xfId="23139"/>
    <cellStyle name="Comma 22 4 2 3" xfId="23140"/>
    <cellStyle name="Comma 22 4 3" xfId="23141"/>
    <cellStyle name="Comma 22 4 3 2" xfId="23142"/>
    <cellStyle name="Comma 22 4 4" xfId="23143"/>
    <cellStyle name="Comma 22 4 4 2" xfId="23144"/>
    <cellStyle name="Comma 22 4 5" xfId="23145"/>
    <cellStyle name="Comma 22 5" xfId="23146"/>
    <cellStyle name="Comma 22 5 2" xfId="23147"/>
    <cellStyle name="Comma 22 5 2 2" xfId="23148"/>
    <cellStyle name="Comma 22 5 3" xfId="23149"/>
    <cellStyle name="Comma 22 6" xfId="23150"/>
    <cellStyle name="Comma 22 6 2" xfId="23151"/>
    <cellStyle name="Comma 22 7" xfId="23152"/>
    <cellStyle name="Comma 22 7 2" xfId="23153"/>
    <cellStyle name="Comma 22 8" xfId="23154"/>
    <cellStyle name="Comma 23" xfId="23155"/>
    <cellStyle name="Comma 23 2" xfId="23156"/>
    <cellStyle name="Comma 23 2 2" xfId="23157"/>
    <cellStyle name="Comma 23 2 2 2" xfId="23158"/>
    <cellStyle name="Comma 23 2 2 2 2" xfId="23159"/>
    <cellStyle name="Comma 23 2 2 2 2 2" xfId="23160"/>
    <cellStyle name="Comma 23 2 2 2 3" xfId="23161"/>
    <cellStyle name="Comma 23 2 2 3" xfId="23162"/>
    <cellStyle name="Comma 23 2 2 3 2" xfId="23163"/>
    <cellStyle name="Comma 23 2 2 4" xfId="23164"/>
    <cellStyle name="Comma 23 2 2 4 2" xfId="23165"/>
    <cellStyle name="Comma 23 2 2 5" xfId="23166"/>
    <cellStyle name="Comma 23 2 3" xfId="23167"/>
    <cellStyle name="Comma 23 2 3 2" xfId="23168"/>
    <cellStyle name="Comma 23 2 3 2 2" xfId="23169"/>
    <cellStyle name="Comma 23 2 3 2 2 2" xfId="23170"/>
    <cellStyle name="Comma 23 2 3 2 3" xfId="23171"/>
    <cellStyle name="Comma 23 2 3 3" xfId="23172"/>
    <cellStyle name="Comma 23 2 3 3 2" xfId="23173"/>
    <cellStyle name="Comma 23 2 3 4" xfId="23174"/>
    <cellStyle name="Comma 23 2 3 4 2" xfId="23175"/>
    <cellStyle name="Comma 23 2 3 5" xfId="23176"/>
    <cellStyle name="Comma 23 2 4" xfId="23177"/>
    <cellStyle name="Comma 23 2 4 2" xfId="23178"/>
    <cellStyle name="Comma 23 2 4 2 2" xfId="23179"/>
    <cellStyle name="Comma 23 2 4 3" xfId="23180"/>
    <cellStyle name="Comma 23 2 5" xfId="23181"/>
    <cellStyle name="Comma 23 2 5 2" xfId="23182"/>
    <cellStyle name="Comma 23 2 6" xfId="23183"/>
    <cellStyle name="Comma 23 2 6 2" xfId="23184"/>
    <cellStyle name="Comma 23 2 7" xfId="23185"/>
    <cellStyle name="Comma 23 3" xfId="23186"/>
    <cellStyle name="Comma 23 3 2" xfId="23187"/>
    <cellStyle name="Comma 23 3 2 2" xfId="23188"/>
    <cellStyle name="Comma 23 3 2 2 2" xfId="23189"/>
    <cellStyle name="Comma 23 3 2 3" xfId="23190"/>
    <cellStyle name="Comma 23 3 3" xfId="23191"/>
    <cellStyle name="Comma 23 3 3 2" xfId="23192"/>
    <cellStyle name="Comma 23 3 4" xfId="23193"/>
    <cellStyle name="Comma 23 3 4 2" xfId="23194"/>
    <cellStyle name="Comma 23 3 5" xfId="23195"/>
    <cellStyle name="Comma 23 4" xfId="23196"/>
    <cellStyle name="Comma 23 4 2" xfId="23197"/>
    <cellStyle name="Comma 23 4 2 2" xfId="23198"/>
    <cellStyle name="Comma 23 4 2 2 2" xfId="23199"/>
    <cellStyle name="Comma 23 4 2 3" xfId="23200"/>
    <cellStyle name="Comma 23 4 3" xfId="23201"/>
    <cellStyle name="Comma 23 4 3 2" xfId="23202"/>
    <cellStyle name="Comma 23 4 4" xfId="23203"/>
    <cellStyle name="Comma 23 4 4 2" xfId="23204"/>
    <cellStyle name="Comma 23 4 5" xfId="23205"/>
    <cellStyle name="Comma 23 5" xfId="23206"/>
    <cellStyle name="Comma 23 5 2" xfId="23207"/>
    <cellStyle name="Comma 23 5 2 2" xfId="23208"/>
    <cellStyle name="Comma 23 5 3" xfId="23209"/>
    <cellStyle name="Comma 23 6" xfId="23210"/>
    <cellStyle name="Comma 23 6 2" xfId="23211"/>
    <cellStyle name="Comma 23 7" xfId="23212"/>
    <cellStyle name="Comma 23 7 2" xfId="23213"/>
    <cellStyle name="Comma 23 8" xfId="23214"/>
    <cellStyle name="Comma 24" xfId="23215"/>
    <cellStyle name="Comma 24 2" xfId="23216"/>
    <cellStyle name="Comma 24 2 2" xfId="23217"/>
    <cellStyle name="Comma 24 2 2 2" xfId="23218"/>
    <cellStyle name="Comma 24 2 2 2 2" xfId="23219"/>
    <cellStyle name="Comma 24 2 2 2 2 2" xfId="23220"/>
    <cellStyle name="Comma 24 2 2 2 3" xfId="23221"/>
    <cellStyle name="Comma 24 2 2 3" xfId="23222"/>
    <cellStyle name="Comma 24 2 2 3 2" xfId="23223"/>
    <cellStyle name="Comma 24 2 2 4" xfId="23224"/>
    <cellStyle name="Comma 24 2 2 4 2" xfId="23225"/>
    <cellStyle name="Comma 24 2 2 5" xfId="23226"/>
    <cellStyle name="Comma 24 2 3" xfId="23227"/>
    <cellStyle name="Comma 24 2 3 2" xfId="23228"/>
    <cellStyle name="Comma 24 2 3 2 2" xfId="23229"/>
    <cellStyle name="Comma 24 2 3 2 2 2" xfId="23230"/>
    <cellStyle name="Comma 24 2 3 2 3" xfId="23231"/>
    <cellStyle name="Comma 24 2 3 3" xfId="23232"/>
    <cellStyle name="Comma 24 2 3 3 2" xfId="23233"/>
    <cellStyle name="Comma 24 2 3 4" xfId="23234"/>
    <cellStyle name="Comma 24 2 3 4 2" xfId="23235"/>
    <cellStyle name="Comma 24 2 3 5" xfId="23236"/>
    <cellStyle name="Comma 24 2 4" xfId="23237"/>
    <cellStyle name="Comma 24 2 4 2" xfId="23238"/>
    <cellStyle name="Comma 24 2 4 2 2" xfId="23239"/>
    <cellStyle name="Comma 24 2 4 3" xfId="23240"/>
    <cellStyle name="Comma 24 2 5" xfId="23241"/>
    <cellStyle name="Comma 24 2 5 2" xfId="23242"/>
    <cellStyle name="Comma 24 2 6" xfId="23243"/>
    <cellStyle name="Comma 24 2 6 2" xfId="23244"/>
    <cellStyle name="Comma 24 2 7" xfId="23245"/>
    <cellStyle name="Comma 24 3" xfId="23246"/>
    <cellStyle name="Comma 24 3 2" xfId="23247"/>
    <cellStyle name="Comma 24 3 2 2" xfId="23248"/>
    <cellStyle name="Comma 24 3 2 2 2" xfId="23249"/>
    <cellStyle name="Comma 24 3 2 3" xfId="23250"/>
    <cellStyle name="Comma 24 3 3" xfId="23251"/>
    <cellStyle name="Comma 24 3 3 2" xfId="23252"/>
    <cellStyle name="Comma 24 3 4" xfId="23253"/>
    <cellStyle name="Comma 24 3 4 2" xfId="23254"/>
    <cellStyle name="Comma 24 3 5" xfId="23255"/>
    <cellStyle name="Comma 24 4" xfId="23256"/>
    <cellStyle name="Comma 24 4 2" xfId="23257"/>
    <cellStyle name="Comma 24 4 2 2" xfId="23258"/>
    <cellStyle name="Comma 24 4 2 2 2" xfId="23259"/>
    <cellStyle name="Comma 24 4 2 3" xfId="23260"/>
    <cellStyle name="Comma 24 4 3" xfId="23261"/>
    <cellStyle name="Comma 24 4 3 2" xfId="23262"/>
    <cellStyle name="Comma 24 4 4" xfId="23263"/>
    <cellStyle name="Comma 24 4 4 2" xfId="23264"/>
    <cellStyle name="Comma 24 4 5" xfId="23265"/>
    <cellStyle name="Comma 24 5" xfId="23266"/>
    <cellStyle name="Comma 24 5 2" xfId="23267"/>
    <cellStyle name="Comma 24 5 2 2" xfId="23268"/>
    <cellStyle name="Comma 24 5 3" xfId="23269"/>
    <cellStyle name="Comma 24 6" xfId="23270"/>
    <cellStyle name="Comma 24 6 2" xfId="23271"/>
    <cellStyle name="Comma 24 7" xfId="23272"/>
    <cellStyle name="Comma 24 7 2" xfId="23273"/>
    <cellStyle name="Comma 24 8" xfId="23274"/>
    <cellStyle name="Comma 25" xfId="23275"/>
    <cellStyle name="Comma 25 2" xfId="23276"/>
    <cellStyle name="Comma 25 2 2" xfId="23277"/>
    <cellStyle name="Comma 25 2 2 2" xfId="23278"/>
    <cellStyle name="Comma 25 2 2 2 2" xfId="23279"/>
    <cellStyle name="Comma 25 2 2 2 2 2" xfId="23280"/>
    <cellStyle name="Comma 25 2 2 2 3" xfId="23281"/>
    <cellStyle name="Comma 25 2 2 3" xfId="23282"/>
    <cellStyle name="Comma 25 2 2 3 2" xfId="23283"/>
    <cellStyle name="Comma 25 2 2 4" xfId="23284"/>
    <cellStyle name="Comma 25 2 2 4 2" xfId="23285"/>
    <cellStyle name="Comma 25 2 2 5" xfId="23286"/>
    <cellStyle name="Comma 25 2 3" xfId="23287"/>
    <cellStyle name="Comma 25 2 3 2" xfId="23288"/>
    <cellStyle name="Comma 25 2 3 2 2" xfId="23289"/>
    <cellStyle name="Comma 25 2 3 2 2 2" xfId="23290"/>
    <cellStyle name="Comma 25 2 3 2 3" xfId="23291"/>
    <cellStyle name="Comma 25 2 3 3" xfId="23292"/>
    <cellStyle name="Comma 25 2 3 3 2" xfId="23293"/>
    <cellStyle name="Comma 25 2 3 4" xfId="23294"/>
    <cellStyle name="Comma 25 2 3 4 2" xfId="23295"/>
    <cellStyle name="Comma 25 2 3 5" xfId="23296"/>
    <cellStyle name="Comma 25 2 4" xfId="23297"/>
    <cellStyle name="Comma 25 2 4 2" xfId="23298"/>
    <cellStyle name="Comma 25 2 4 2 2" xfId="23299"/>
    <cellStyle name="Comma 25 2 4 3" xfId="23300"/>
    <cellStyle name="Comma 25 2 5" xfId="23301"/>
    <cellStyle name="Comma 25 2 5 2" xfId="23302"/>
    <cellStyle name="Comma 25 2 6" xfId="23303"/>
    <cellStyle name="Comma 25 2 6 2" xfId="23304"/>
    <cellStyle name="Comma 25 2 7" xfId="23305"/>
    <cellStyle name="Comma 25 3" xfId="23306"/>
    <cellStyle name="Comma 25 3 2" xfId="23307"/>
    <cellStyle name="Comma 25 3 2 2" xfId="23308"/>
    <cellStyle name="Comma 25 3 2 2 2" xfId="23309"/>
    <cellStyle name="Comma 25 3 2 3" xfId="23310"/>
    <cellStyle name="Comma 25 3 3" xfId="23311"/>
    <cellStyle name="Comma 25 3 3 2" xfId="23312"/>
    <cellStyle name="Comma 25 3 4" xfId="23313"/>
    <cellStyle name="Comma 25 3 4 2" xfId="23314"/>
    <cellStyle name="Comma 25 3 5" xfId="23315"/>
    <cellStyle name="Comma 25 4" xfId="23316"/>
    <cellStyle name="Comma 25 4 2" xfId="23317"/>
    <cellStyle name="Comma 25 4 2 2" xfId="23318"/>
    <cellStyle name="Comma 25 4 2 2 2" xfId="23319"/>
    <cellStyle name="Comma 25 4 2 3" xfId="23320"/>
    <cellStyle name="Comma 25 4 3" xfId="23321"/>
    <cellStyle name="Comma 25 4 3 2" xfId="23322"/>
    <cellStyle name="Comma 25 4 4" xfId="23323"/>
    <cellStyle name="Comma 25 4 4 2" xfId="23324"/>
    <cellStyle name="Comma 25 4 5" xfId="23325"/>
    <cellStyle name="Comma 25 5" xfId="23326"/>
    <cellStyle name="Comma 25 5 2" xfId="23327"/>
    <cellStyle name="Comma 25 5 2 2" xfId="23328"/>
    <cellStyle name="Comma 25 5 3" xfId="23329"/>
    <cellStyle name="Comma 25 6" xfId="23330"/>
    <cellStyle name="Comma 25 6 2" xfId="23331"/>
    <cellStyle name="Comma 25 7" xfId="23332"/>
    <cellStyle name="Comma 25 7 2" xfId="23333"/>
    <cellStyle name="Comma 25 8" xfId="23334"/>
    <cellStyle name="Comma 26" xfId="23335"/>
    <cellStyle name="Comma 26 2" xfId="23336"/>
    <cellStyle name="Comma 26 2 2" xfId="23337"/>
    <cellStyle name="Comma 26 2 2 2" xfId="23338"/>
    <cellStyle name="Comma 26 2 2 2 2" xfId="23339"/>
    <cellStyle name="Comma 26 2 2 2 2 2" xfId="23340"/>
    <cellStyle name="Comma 26 2 2 2 3" xfId="23341"/>
    <cellStyle name="Comma 26 2 2 3" xfId="23342"/>
    <cellStyle name="Comma 26 2 2 3 2" xfId="23343"/>
    <cellStyle name="Comma 26 2 2 4" xfId="23344"/>
    <cellStyle name="Comma 26 2 2 4 2" xfId="23345"/>
    <cellStyle name="Comma 26 2 2 5" xfId="23346"/>
    <cellStyle name="Comma 26 2 3" xfId="23347"/>
    <cellStyle name="Comma 26 2 3 2" xfId="23348"/>
    <cellStyle name="Comma 26 2 3 2 2" xfId="23349"/>
    <cellStyle name="Comma 26 2 3 2 2 2" xfId="23350"/>
    <cellStyle name="Comma 26 2 3 2 3" xfId="23351"/>
    <cellStyle name="Comma 26 2 3 3" xfId="23352"/>
    <cellStyle name="Comma 26 2 3 3 2" xfId="23353"/>
    <cellStyle name="Comma 26 2 3 4" xfId="23354"/>
    <cellStyle name="Comma 26 2 3 4 2" xfId="23355"/>
    <cellStyle name="Comma 26 2 3 5" xfId="23356"/>
    <cellStyle name="Comma 26 2 4" xfId="23357"/>
    <cellStyle name="Comma 26 2 4 2" xfId="23358"/>
    <cellStyle name="Comma 26 2 4 2 2" xfId="23359"/>
    <cellStyle name="Comma 26 2 4 3" xfId="23360"/>
    <cellStyle name="Comma 26 2 5" xfId="23361"/>
    <cellStyle name="Comma 26 2 5 2" xfId="23362"/>
    <cellStyle name="Comma 26 2 6" xfId="23363"/>
    <cellStyle name="Comma 26 2 6 2" xfId="23364"/>
    <cellStyle name="Comma 26 2 7" xfId="23365"/>
    <cellStyle name="Comma 26 3" xfId="23366"/>
    <cellStyle name="Comma 26 3 2" xfId="23367"/>
    <cellStyle name="Comma 26 3 2 2" xfId="23368"/>
    <cellStyle name="Comma 26 3 2 2 2" xfId="23369"/>
    <cellStyle name="Comma 26 3 2 3" xfId="23370"/>
    <cellStyle name="Comma 26 3 3" xfId="23371"/>
    <cellStyle name="Comma 26 3 3 2" xfId="23372"/>
    <cellStyle name="Comma 26 3 4" xfId="23373"/>
    <cellStyle name="Comma 26 3 4 2" xfId="23374"/>
    <cellStyle name="Comma 26 3 5" xfId="23375"/>
    <cellStyle name="Comma 26 4" xfId="23376"/>
    <cellStyle name="Comma 26 4 2" xfId="23377"/>
    <cellStyle name="Comma 26 4 2 2" xfId="23378"/>
    <cellStyle name="Comma 26 4 2 2 2" xfId="23379"/>
    <cellStyle name="Comma 26 4 2 3" xfId="23380"/>
    <cellStyle name="Comma 26 4 3" xfId="23381"/>
    <cellStyle name="Comma 26 4 3 2" xfId="23382"/>
    <cellStyle name="Comma 26 4 4" xfId="23383"/>
    <cellStyle name="Comma 26 4 4 2" xfId="23384"/>
    <cellStyle name="Comma 26 4 5" xfId="23385"/>
    <cellStyle name="Comma 26 5" xfId="23386"/>
    <cellStyle name="Comma 26 5 2" xfId="23387"/>
    <cellStyle name="Comma 26 5 2 2" xfId="23388"/>
    <cellStyle name="Comma 26 5 3" xfId="23389"/>
    <cellStyle name="Comma 26 6" xfId="23390"/>
    <cellStyle name="Comma 26 6 2" xfId="23391"/>
    <cellStyle name="Comma 26 7" xfId="23392"/>
    <cellStyle name="Comma 26 7 2" xfId="23393"/>
    <cellStyle name="Comma 26 8" xfId="23394"/>
    <cellStyle name="Comma 27" xfId="23395"/>
    <cellStyle name="Comma 27 2" xfId="23396"/>
    <cellStyle name="Comma 27 2 2" xfId="23397"/>
    <cellStyle name="Comma 27 2 2 2" xfId="23398"/>
    <cellStyle name="Comma 27 2 2 2 2" xfId="23399"/>
    <cellStyle name="Comma 27 2 2 2 2 2" xfId="23400"/>
    <cellStyle name="Comma 27 2 2 2 3" xfId="23401"/>
    <cellStyle name="Comma 27 2 2 3" xfId="23402"/>
    <cellStyle name="Comma 27 2 2 3 2" xfId="23403"/>
    <cellStyle name="Comma 27 2 2 4" xfId="23404"/>
    <cellStyle name="Comma 27 2 2 4 2" xfId="23405"/>
    <cellStyle name="Comma 27 2 2 5" xfId="23406"/>
    <cellStyle name="Comma 27 2 3" xfId="23407"/>
    <cellStyle name="Comma 27 2 3 2" xfId="23408"/>
    <cellStyle name="Comma 27 2 3 2 2" xfId="23409"/>
    <cellStyle name="Comma 27 2 3 2 2 2" xfId="23410"/>
    <cellStyle name="Comma 27 2 3 2 3" xfId="23411"/>
    <cellStyle name="Comma 27 2 3 3" xfId="23412"/>
    <cellStyle name="Comma 27 2 3 3 2" xfId="23413"/>
    <cellStyle name="Comma 27 2 3 4" xfId="23414"/>
    <cellStyle name="Comma 27 2 3 4 2" xfId="23415"/>
    <cellStyle name="Comma 27 2 3 5" xfId="23416"/>
    <cellStyle name="Comma 27 2 4" xfId="23417"/>
    <cellStyle name="Comma 27 2 4 2" xfId="23418"/>
    <cellStyle name="Comma 27 2 4 2 2" xfId="23419"/>
    <cellStyle name="Comma 27 2 4 3" xfId="23420"/>
    <cellStyle name="Comma 27 2 5" xfId="23421"/>
    <cellStyle name="Comma 27 2 5 2" xfId="23422"/>
    <cellStyle name="Comma 27 2 6" xfId="23423"/>
    <cellStyle name="Comma 27 2 6 2" xfId="23424"/>
    <cellStyle name="Comma 27 2 7" xfId="23425"/>
    <cellStyle name="Comma 27 3" xfId="23426"/>
    <cellStyle name="Comma 27 3 2" xfId="23427"/>
    <cellStyle name="Comma 27 3 2 2" xfId="23428"/>
    <cellStyle name="Comma 27 3 2 2 2" xfId="23429"/>
    <cellStyle name="Comma 27 3 2 3" xfId="23430"/>
    <cellStyle name="Comma 27 3 3" xfId="23431"/>
    <cellStyle name="Comma 27 3 3 2" xfId="23432"/>
    <cellStyle name="Comma 27 3 4" xfId="23433"/>
    <cellStyle name="Comma 27 3 4 2" xfId="23434"/>
    <cellStyle name="Comma 27 3 5" xfId="23435"/>
    <cellStyle name="Comma 27 4" xfId="23436"/>
    <cellStyle name="Comma 27 4 2" xfId="23437"/>
    <cellStyle name="Comma 27 4 2 2" xfId="23438"/>
    <cellStyle name="Comma 27 4 2 2 2" xfId="23439"/>
    <cellStyle name="Comma 27 4 2 3" xfId="23440"/>
    <cellStyle name="Comma 27 4 3" xfId="23441"/>
    <cellStyle name="Comma 27 4 3 2" xfId="23442"/>
    <cellStyle name="Comma 27 4 4" xfId="23443"/>
    <cellStyle name="Comma 27 4 4 2" xfId="23444"/>
    <cellStyle name="Comma 27 4 5" xfId="23445"/>
    <cellStyle name="Comma 27 5" xfId="23446"/>
    <cellStyle name="Comma 27 5 2" xfId="23447"/>
    <cellStyle name="Comma 27 5 2 2" xfId="23448"/>
    <cellStyle name="Comma 27 5 3" xfId="23449"/>
    <cellStyle name="Comma 27 6" xfId="23450"/>
    <cellStyle name="Comma 27 6 2" xfId="23451"/>
    <cellStyle name="Comma 27 7" xfId="23452"/>
    <cellStyle name="Comma 27 7 2" xfId="23453"/>
    <cellStyle name="Comma 27 8" xfId="23454"/>
    <cellStyle name="Comma 28" xfId="23455"/>
    <cellStyle name="Comma 28 2" xfId="23456"/>
    <cellStyle name="Comma 28 2 2" xfId="23457"/>
    <cellStyle name="Comma 28 2 2 2" xfId="23458"/>
    <cellStyle name="Comma 28 2 2 2 2" xfId="23459"/>
    <cellStyle name="Comma 28 2 2 2 2 2" xfId="23460"/>
    <cellStyle name="Comma 28 2 2 2 3" xfId="23461"/>
    <cellStyle name="Comma 28 2 2 3" xfId="23462"/>
    <cellStyle name="Comma 28 2 2 3 2" xfId="23463"/>
    <cellStyle name="Comma 28 2 2 4" xfId="23464"/>
    <cellStyle name="Comma 28 2 2 4 2" xfId="23465"/>
    <cellStyle name="Comma 28 2 2 5" xfId="23466"/>
    <cellStyle name="Comma 28 2 3" xfId="23467"/>
    <cellStyle name="Comma 28 2 3 2" xfId="23468"/>
    <cellStyle name="Comma 28 2 3 2 2" xfId="23469"/>
    <cellStyle name="Comma 28 2 3 2 2 2" xfId="23470"/>
    <cellStyle name="Comma 28 2 3 2 3" xfId="23471"/>
    <cellStyle name="Comma 28 2 3 3" xfId="23472"/>
    <cellStyle name="Comma 28 2 3 3 2" xfId="23473"/>
    <cellStyle name="Comma 28 2 3 4" xfId="23474"/>
    <cellStyle name="Comma 28 2 3 4 2" xfId="23475"/>
    <cellStyle name="Comma 28 2 3 5" xfId="23476"/>
    <cellStyle name="Comma 28 2 4" xfId="23477"/>
    <cellStyle name="Comma 28 2 4 2" xfId="23478"/>
    <cellStyle name="Comma 28 2 4 2 2" xfId="23479"/>
    <cellStyle name="Comma 28 2 4 3" xfId="23480"/>
    <cellStyle name="Comma 28 2 5" xfId="23481"/>
    <cellStyle name="Comma 28 2 5 2" xfId="23482"/>
    <cellStyle name="Comma 28 2 6" xfId="23483"/>
    <cellStyle name="Comma 28 2 6 2" xfId="23484"/>
    <cellStyle name="Comma 28 2 7" xfId="23485"/>
    <cellStyle name="Comma 28 3" xfId="23486"/>
    <cellStyle name="Comma 28 3 2" xfId="23487"/>
    <cellStyle name="Comma 28 3 2 2" xfId="23488"/>
    <cellStyle name="Comma 28 3 2 2 2" xfId="23489"/>
    <cellStyle name="Comma 28 3 2 3" xfId="23490"/>
    <cellStyle name="Comma 28 3 3" xfId="23491"/>
    <cellStyle name="Comma 28 3 3 2" xfId="23492"/>
    <cellStyle name="Comma 28 3 4" xfId="23493"/>
    <cellStyle name="Comma 28 3 4 2" xfId="23494"/>
    <cellStyle name="Comma 28 3 5" xfId="23495"/>
    <cellStyle name="Comma 28 4" xfId="23496"/>
    <cellStyle name="Comma 28 4 2" xfId="23497"/>
    <cellStyle name="Comma 28 4 2 2" xfId="23498"/>
    <cellStyle name="Comma 28 4 2 2 2" xfId="23499"/>
    <cellStyle name="Comma 28 4 2 3" xfId="23500"/>
    <cellStyle name="Comma 28 4 3" xfId="23501"/>
    <cellStyle name="Comma 28 4 3 2" xfId="23502"/>
    <cellStyle name="Comma 28 4 4" xfId="23503"/>
    <cellStyle name="Comma 28 4 4 2" xfId="23504"/>
    <cellStyle name="Comma 28 4 5" xfId="23505"/>
    <cellStyle name="Comma 28 5" xfId="23506"/>
    <cellStyle name="Comma 28 5 2" xfId="23507"/>
    <cellStyle name="Comma 28 5 2 2" xfId="23508"/>
    <cellStyle name="Comma 28 5 3" xfId="23509"/>
    <cellStyle name="Comma 28 6" xfId="23510"/>
    <cellStyle name="Comma 28 6 2" xfId="23511"/>
    <cellStyle name="Comma 28 7" xfId="23512"/>
    <cellStyle name="Comma 28 7 2" xfId="23513"/>
    <cellStyle name="Comma 28 8" xfId="23514"/>
    <cellStyle name="Comma 29" xfId="23515"/>
    <cellStyle name="Comma 29 2" xfId="23516"/>
    <cellStyle name="Comma 29 2 2" xfId="23517"/>
    <cellStyle name="Comma 29 2 2 2" xfId="23518"/>
    <cellStyle name="Comma 29 2 2 2 2" xfId="23519"/>
    <cellStyle name="Comma 29 2 2 2 2 2" xfId="23520"/>
    <cellStyle name="Comma 29 2 2 2 3" xfId="23521"/>
    <cellStyle name="Comma 29 2 2 3" xfId="23522"/>
    <cellStyle name="Comma 29 2 2 3 2" xfId="23523"/>
    <cellStyle name="Comma 29 2 2 4" xfId="23524"/>
    <cellStyle name="Comma 29 2 2 4 2" xfId="23525"/>
    <cellStyle name="Comma 29 2 2 5" xfId="23526"/>
    <cellStyle name="Comma 29 2 3" xfId="23527"/>
    <cellStyle name="Comma 29 2 3 2" xfId="23528"/>
    <cellStyle name="Comma 29 2 3 2 2" xfId="23529"/>
    <cellStyle name="Comma 29 2 3 2 2 2" xfId="23530"/>
    <cellStyle name="Comma 29 2 3 2 3" xfId="23531"/>
    <cellStyle name="Comma 29 2 3 3" xfId="23532"/>
    <cellStyle name="Comma 29 2 3 3 2" xfId="23533"/>
    <cellStyle name="Comma 29 2 3 4" xfId="23534"/>
    <cellStyle name="Comma 29 2 3 4 2" xfId="23535"/>
    <cellStyle name="Comma 29 2 3 5" xfId="23536"/>
    <cellStyle name="Comma 29 2 4" xfId="23537"/>
    <cellStyle name="Comma 29 2 4 2" xfId="23538"/>
    <cellStyle name="Comma 29 2 4 2 2" xfId="23539"/>
    <cellStyle name="Comma 29 2 4 3" xfId="23540"/>
    <cellStyle name="Comma 29 2 5" xfId="23541"/>
    <cellStyle name="Comma 29 2 5 2" xfId="23542"/>
    <cellStyle name="Comma 29 2 6" xfId="23543"/>
    <cellStyle name="Comma 29 2 6 2" xfId="23544"/>
    <cellStyle name="Comma 29 2 7" xfId="23545"/>
    <cellStyle name="Comma 29 3" xfId="23546"/>
    <cellStyle name="Comma 29 3 2" xfId="23547"/>
    <cellStyle name="Comma 29 3 2 2" xfId="23548"/>
    <cellStyle name="Comma 29 3 2 2 2" xfId="23549"/>
    <cellStyle name="Comma 29 3 2 3" xfId="23550"/>
    <cellStyle name="Comma 29 3 3" xfId="23551"/>
    <cellStyle name="Comma 29 3 3 2" xfId="23552"/>
    <cellStyle name="Comma 29 3 4" xfId="23553"/>
    <cellStyle name="Comma 29 3 4 2" xfId="23554"/>
    <cellStyle name="Comma 29 3 5" xfId="23555"/>
    <cellStyle name="Comma 29 4" xfId="23556"/>
    <cellStyle name="Comma 29 4 2" xfId="23557"/>
    <cellStyle name="Comma 29 4 2 2" xfId="23558"/>
    <cellStyle name="Comma 29 4 2 2 2" xfId="23559"/>
    <cellStyle name="Comma 29 4 2 3" xfId="23560"/>
    <cellStyle name="Comma 29 4 3" xfId="23561"/>
    <cellStyle name="Comma 29 4 3 2" xfId="23562"/>
    <cellStyle name="Comma 29 4 4" xfId="23563"/>
    <cellStyle name="Comma 29 4 4 2" xfId="23564"/>
    <cellStyle name="Comma 29 4 5" xfId="23565"/>
    <cellStyle name="Comma 29 5" xfId="23566"/>
    <cellStyle name="Comma 29 5 2" xfId="23567"/>
    <cellStyle name="Comma 29 5 2 2" xfId="23568"/>
    <cellStyle name="Comma 29 5 3" xfId="23569"/>
    <cellStyle name="Comma 29 6" xfId="23570"/>
    <cellStyle name="Comma 29 6 2" xfId="23571"/>
    <cellStyle name="Comma 29 7" xfId="23572"/>
    <cellStyle name="Comma 29 7 2" xfId="23573"/>
    <cellStyle name="Comma 29 8" xfId="23574"/>
    <cellStyle name="Comma 3" xfId="23575"/>
    <cellStyle name="Comma 3 10" xfId="23576"/>
    <cellStyle name="Comma 3 2" xfId="23577"/>
    <cellStyle name="Comma 3 2 2" xfId="23578"/>
    <cellStyle name="Comma 3 2 2 2" xfId="23579"/>
    <cellStyle name="Comma 3 2 3" xfId="23580"/>
    <cellStyle name="Comma 3 2 4" xfId="23581"/>
    <cellStyle name="Comma 3 2 5" xfId="23582"/>
    <cellStyle name="Comma 3 3" xfId="23583"/>
    <cellStyle name="Comma 3 3 2" xfId="23584"/>
    <cellStyle name="Comma 3 4" xfId="23585"/>
    <cellStyle name="Comma 3 4 2" xfId="23586"/>
    <cellStyle name="Comma 3 4 2 2" xfId="23587"/>
    <cellStyle name="Comma 3 4 2 2 2" xfId="23588"/>
    <cellStyle name="Comma 3 4 2 2 2 2" xfId="23589"/>
    <cellStyle name="Comma 3 4 2 2 3" xfId="23590"/>
    <cellStyle name="Comma 3 4 2 3" xfId="23591"/>
    <cellStyle name="Comma 3 4 2 3 2" xfId="23592"/>
    <cellStyle name="Comma 3 4 2 4" xfId="23593"/>
    <cellStyle name="Comma 3 4 2 4 2" xfId="23594"/>
    <cellStyle name="Comma 3 4 2 5" xfId="23595"/>
    <cellStyle name="Comma 3 4 3" xfId="23596"/>
    <cellStyle name="Comma 3 4 3 2" xfId="23597"/>
    <cellStyle name="Comma 3 4 3 2 2" xfId="23598"/>
    <cellStyle name="Comma 3 4 3 2 2 2" xfId="23599"/>
    <cellStyle name="Comma 3 4 3 2 3" xfId="23600"/>
    <cellStyle name="Comma 3 4 3 3" xfId="23601"/>
    <cellStyle name="Comma 3 4 3 3 2" xfId="23602"/>
    <cellStyle name="Comma 3 4 3 4" xfId="23603"/>
    <cellStyle name="Comma 3 4 3 4 2" xfId="23604"/>
    <cellStyle name="Comma 3 4 3 5" xfId="23605"/>
    <cellStyle name="Comma 3 4 4" xfId="23606"/>
    <cellStyle name="Comma 3 4 4 2" xfId="23607"/>
    <cellStyle name="Comma 3 4 4 2 2" xfId="23608"/>
    <cellStyle name="Comma 3 4 4 3" xfId="23609"/>
    <cellStyle name="Comma 3 4 5" xfId="23610"/>
    <cellStyle name="Comma 3 4 5 2" xfId="23611"/>
    <cellStyle name="Comma 3 4 6" xfId="23612"/>
    <cellStyle name="Comma 3 4 6 2" xfId="23613"/>
    <cellStyle name="Comma 3 4 7" xfId="23614"/>
    <cellStyle name="Comma 3 5" xfId="23615"/>
    <cellStyle name="Comma 3 5 2" xfId="23616"/>
    <cellStyle name="Comma 3 5 2 2" xfId="23617"/>
    <cellStyle name="Comma 3 5 2 2 2" xfId="23618"/>
    <cellStyle name="Comma 3 5 2 3" xfId="23619"/>
    <cellStyle name="Comma 3 5 3" xfId="23620"/>
    <cellStyle name="Comma 3 5 3 2" xfId="23621"/>
    <cellStyle name="Comma 3 5 4" xfId="23622"/>
    <cellStyle name="Comma 3 5 4 2" xfId="23623"/>
    <cellStyle name="Comma 3 5 5" xfId="23624"/>
    <cellStyle name="Comma 3 6" xfId="23625"/>
    <cellStyle name="Comma 3 6 2" xfId="23626"/>
    <cellStyle name="Comma 3 6 2 2" xfId="23627"/>
    <cellStyle name="Comma 3 6 2 2 2" xfId="23628"/>
    <cellStyle name="Comma 3 6 2 3" xfId="23629"/>
    <cellStyle name="Comma 3 6 3" xfId="23630"/>
    <cellStyle name="Comma 3 6 3 2" xfId="23631"/>
    <cellStyle name="Comma 3 6 4" xfId="23632"/>
    <cellStyle name="Comma 3 6 4 2" xfId="23633"/>
    <cellStyle name="Comma 3 6 5" xfId="23634"/>
    <cellStyle name="Comma 3 7" xfId="23635"/>
    <cellStyle name="Comma 3 7 2" xfId="23636"/>
    <cellStyle name="Comma 3 7 2 2" xfId="23637"/>
    <cellStyle name="Comma 3 7 2 2 2" xfId="23638"/>
    <cellStyle name="Comma 3 7 2 3" xfId="23639"/>
    <cellStyle name="Comma 3 7 3" xfId="23640"/>
    <cellStyle name="Comma 3 7 3 2" xfId="23641"/>
    <cellStyle name="Comma 3 7 4" xfId="23642"/>
    <cellStyle name="Comma 3 8" xfId="23643"/>
    <cellStyle name="Comma 3 9" xfId="23644"/>
    <cellStyle name="Comma 30" xfId="23645"/>
    <cellStyle name="Comma 30 2" xfId="23646"/>
    <cellStyle name="Comma 30 2 2" xfId="23647"/>
    <cellStyle name="Comma 30 2 2 2" xfId="23648"/>
    <cellStyle name="Comma 30 2 2 2 2" xfId="23649"/>
    <cellStyle name="Comma 30 2 2 2 2 2" xfId="23650"/>
    <cellStyle name="Comma 30 2 2 2 3" xfId="23651"/>
    <cellStyle name="Comma 30 2 2 3" xfId="23652"/>
    <cellStyle name="Comma 30 2 2 3 2" xfId="23653"/>
    <cellStyle name="Comma 30 2 2 4" xfId="23654"/>
    <cellStyle name="Comma 30 2 2 4 2" xfId="23655"/>
    <cellStyle name="Comma 30 2 2 5" xfId="23656"/>
    <cellStyle name="Comma 30 2 3" xfId="23657"/>
    <cellStyle name="Comma 30 2 3 2" xfId="23658"/>
    <cellStyle name="Comma 30 2 3 2 2" xfId="23659"/>
    <cellStyle name="Comma 30 2 3 2 2 2" xfId="23660"/>
    <cellStyle name="Comma 30 2 3 2 3" xfId="23661"/>
    <cellStyle name="Comma 30 2 3 3" xfId="23662"/>
    <cellStyle name="Comma 30 2 3 3 2" xfId="23663"/>
    <cellStyle name="Comma 30 2 3 4" xfId="23664"/>
    <cellStyle name="Comma 30 2 3 4 2" xfId="23665"/>
    <cellStyle name="Comma 30 2 3 5" xfId="23666"/>
    <cellStyle name="Comma 30 2 4" xfId="23667"/>
    <cellStyle name="Comma 30 2 4 2" xfId="23668"/>
    <cellStyle name="Comma 30 2 4 2 2" xfId="23669"/>
    <cellStyle name="Comma 30 2 4 3" xfId="23670"/>
    <cellStyle name="Comma 30 2 5" xfId="23671"/>
    <cellStyle name="Comma 30 2 5 2" xfId="23672"/>
    <cellStyle name="Comma 30 2 6" xfId="23673"/>
    <cellStyle name="Comma 30 2 6 2" xfId="23674"/>
    <cellStyle name="Comma 30 2 7" xfId="23675"/>
    <cellStyle name="Comma 30 3" xfId="23676"/>
    <cellStyle name="Comma 30 3 2" xfId="23677"/>
    <cellStyle name="Comma 30 3 2 2" xfId="23678"/>
    <cellStyle name="Comma 30 3 2 2 2" xfId="23679"/>
    <cellStyle name="Comma 30 3 2 3" xfId="23680"/>
    <cellStyle name="Comma 30 3 3" xfId="23681"/>
    <cellStyle name="Comma 30 3 3 2" xfId="23682"/>
    <cellStyle name="Comma 30 3 4" xfId="23683"/>
    <cellStyle name="Comma 30 3 4 2" xfId="23684"/>
    <cellStyle name="Comma 30 3 5" xfId="23685"/>
    <cellStyle name="Comma 30 4" xfId="23686"/>
    <cellStyle name="Comma 30 4 2" xfId="23687"/>
    <cellStyle name="Comma 30 4 2 2" xfId="23688"/>
    <cellStyle name="Comma 30 4 2 2 2" xfId="23689"/>
    <cellStyle name="Comma 30 4 2 3" xfId="23690"/>
    <cellStyle name="Comma 30 4 3" xfId="23691"/>
    <cellStyle name="Comma 30 4 3 2" xfId="23692"/>
    <cellStyle name="Comma 30 4 4" xfId="23693"/>
    <cellStyle name="Comma 30 4 4 2" xfId="23694"/>
    <cellStyle name="Comma 30 4 5" xfId="23695"/>
    <cellStyle name="Comma 30 5" xfId="23696"/>
    <cellStyle name="Comma 30 5 2" xfId="23697"/>
    <cellStyle name="Comma 30 5 2 2" xfId="23698"/>
    <cellStyle name="Comma 30 5 3" xfId="23699"/>
    <cellStyle name="Comma 30 6" xfId="23700"/>
    <cellStyle name="Comma 30 6 2" xfId="23701"/>
    <cellStyle name="Comma 30 7" xfId="23702"/>
    <cellStyle name="Comma 30 7 2" xfId="23703"/>
    <cellStyle name="Comma 30 8" xfId="23704"/>
    <cellStyle name="Comma 31" xfId="23705"/>
    <cellStyle name="Comma 31 2" xfId="23706"/>
    <cellStyle name="Comma 31 2 2" xfId="23707"/>
    <cellStyle name="Comma 31 2 2 2" xfId="23708"/>
    <cellStyle name="Comma 31 2 2 2 2" xfId="23709"/>
    <cellStyle name="Comma 31 2 2 2 2 2" xfId="23710"/>
    <cellStyle name="Comma 31 2 2 2 3" xfId="23711"/>
    <cellStyle name="Comma 31 2 2 3" xfId="23712"/>
    <cellStyle name="Comma 31 2 2 3 2" xfId="23713"/>
    <cellStyle name="Comma 31 2 2 4" xfId="23714"/>
    <cellStyle name="Comma 31 2 2 4 2" xfId="23715"/>
    <cellStyle name="Comma 31 2 2 5" xfId="23716"/>
    <cellStyle name="Comma 31 2 3" xfId="23717"/>
    <cellStyle name="Comma 31 2 3 2" xfId="23718"/>
    <cellStyle name="Comma 31 2 3 2 2" xfId="23719"/>
    <cellStyle name="Comma 31 2 3 2 2 2" xfId="23720"/>
    <cellStyle name="Comma 31 2 3 2 3" xfId="23721"/>
    <cellStyle name="Comma 31 2 3 3" xfId="23722"/>
    <cellStyle name="Comma 31 2 3 3 2" xfId="23723"/>
    <cellStyle name="Comma 31 2 3 4" xfId="23724"/>
    <cellStyle name="Comma 31 2 3 4 2" xfId="23725"/>
    <cellStyle name="Comma 31 2 3 5" xfId="23726"/>
    <cellStyle name="Comma 31 2 4" xfId="23727"/>
    <cellStyle name="Comma 31 2 4 2" xfId="23728"/>
    <cellStyle name="Comma 31 2 4 2 2" xfId="23729"/>
    <cellStyle name="Comma 31 2 4 3" xfId="23730"/>
    <cellStyle name="Comma 31 2 5" xfId="23731"/>
    <cellStyle name="Comma 31 2 5 2" xfId="23732"/>
    <cellStyle name="Comma 31 2 6" xfId="23733"/>
    <cellStyle name="Comma 31 2 6 2" xfId="23734"/>
    <cellStyle name="Comma 31 2 7" xfId="23735"/>
    <cellStyle name="Comma 31 3" xfId="23736"/>
    <cellStyle name="Comma 31 3 2" xfId="23737"/>
    <cellStyle name="Comma 31 3 2 2" xfId="23738"/>
    <cellStyle name="Comma 31 3 2 2 2" xfId="23739"/>
    <cellStyle name="Comma 31 3 2 3" xfId="23740"/>
    <cellStyle name="Comma 31 3 3" xfId="23741"/>
    <cellStyle name="Comma 31 3 3 2" xfId="23742"/>
    <cellStyle name="Comma 31 3 4" xfId="23743"/>
    <cellStyle name="Comma 31 3 4 2" xfId="23744"/>
    <cellStyle name="Comma 31 3 5" xfId="23745"/>
    <cellStyle name="Comma 31 4" xfId="23746"/>
    <cellStyle name="Comma 31 4 2" xfId="23747"/>
    <cellStyle name="Comma 31 4 2 2" xfId="23748"/>
    <cellStyle name="Comma 31 4 2 2 2" xfId="23749"/>
    <cellStyle name="Comma 31 4 2 3" xfId="23750"/>
    <cellStyle name="Comma 31 4 3" xfId="23751"/>
    <cellStyle name="Comma 31 4 3 2" xfId="23752"/>
    <cellStyle name="Comma 31 4 4" xfId="23753"/>
    <cellStyle name="Comma 31 4 4 2" xfId="23754"/>
    <cellStyle name="Comma 31 4 5" xfId="23755"/>
    <cellStyle name="Comma 31 5" xfId="23756"/>
    <cellStyle name="Comma 31 5 2" xfId="23757"/>
    <cellStyle name="Comma 31 5 2 2" xfId="23758"/>
    <cellStyle name="Comma 31 5 3" xfId="23759"/>
    <cellStyle name="Comma 31 6" xfId="23760"/>
    <cellStyle name="Comma 31 6 2" xfId="23761"/>
    <cellStyle name="Comma 31 7" xfId="23762"/>
    <cellStyle name="Comma 31 7 2" xfId="23763"/>
    <cellStyle name="Comma 31 8" xfId="23764"/>
    <cellStyle name="Comma 32" xfId="23765"/>
    <cellStyle name="Comma 32 2" xfId="23766"/>
    <cellStyle name="Comma 32 2 2" xfId="23767"/>
    <cellStyle name="Comma 32 2 2 2" xfId="23768"/>
    <cellStyle name="Comma 32 2 2 2 2" xfId="23769"/>
    <cellStyle name="Comma 32 2 2 2 2 2" xfId="23770"/>
    <cellStyle name="Comma 32 2 2 2 3" xfId="23771"/>
    <cellStyle name="Comma 32 2 2 3" xfId="23772"/>
    <cellStyle name="Comma 32 2 2 3 2" xfId="23773"/>
    <cellStyle name="Comma 32 2 2 4" xfId="23774"/>
    <cellStyle name="Comma 32 2 2 4 2" xfId="23775"/>
    <cellStyle name="Comma 32 2 2 5" xfId="23776"/>
    <cellStyle name="Comma 32 2 3" xfId="23777"/>
    <cellStyle name="Comma 32 2 3 2" xfId="23778"/>
    <cellStyle name="Comma 32 2 3 2 2" xfId="23779"/>
    <cellStyle name="Comma 32 2 3 2 2 2" xfId="23780"/>
    <cellStyle name="Comma 32 2 3 2 3" xfId="23781"/>
    <cellStyle name="Comma 32 2 3 3" xfId="23782"/>
    <cellStyle name="Comma 32 2 3 3 2" xfId="23783"/>
    <cellStyle name="Comma 32 2 3 4" xfId="23784"/>
    <cellStyle name="Comma 32 2 3 4 2" xfId="23785"/>
    <cellStyle name="Comma 32 2 3 5" xfId="23786"/>
    <cellStyle name="Comma 32 2 4" xfId="23787"/>
    <cellStyle name="Comma 32 2 4 2" xfId="23788"/>
    <cellStyle name="Comma 32 2 4 2 2" xfId="23789"/>
    <cellStyle name="Comma 32 2 4 3" xfId="23790"/>
    <cellStyle name="Comma 32 2 5" xfId="23791"/>
    <cellStyle name="Comma 32 2 5 2" xfId="23792"/>
    <cellStyle name="Comma 32 2 6" xfId="23793"/>
    <cellStyle name="Comma 32 2 6 2" xfId="23794"/>
    <cellStyle name="Comma 32 2 7" xfId="23795"/>
    <cellStyle name="Comma 32 3" xfId="23796"/>
    <cellStyle name="Comma 32 3 2" xfId="23797"/>
    <cellStyle name="Comma 32 3 2 2" xfId="23798"/>
    <cellStyle name="Comma 32 3 2 2 2" xfId="23799"/>
    <cellStyle name="Comma 32 3 2 3" xfId="23800"/>
    <cellStyle name="Comma 32 3 3" xfId="23801"/>
    <cellStyle name="Comma 32 3 3 2" xfId="23802"/>
    <cellStyle name="Comma 32 3 4" xfId="23803"/>
    <cellStyle name="Comma 32 3 4 2" xfId="23804"/>
    <cellStyle name="Comma 32 3 5" xfId="23805"/>
    <cellStyle name="Comma 32 4" xfId="23806"/>
    <cellStyle name="Comma 32 4 2" xfId="23807"/>
    <cellStyle name="Comma 32 4 2 2" xfId="23808"/>
    <cellStyle name="Comma 32 4 2 2 2" xfId="23809"/>
    <cellStyle name="Comma 32 4 2 3" xfId="23810"/>
    <cellStyle name="Comma 32 4 3" xfId="23811"/>
    <cellStyle name="Comma 32 4 3 2" xfId="23812"/>
    <cellStyle name="Comma 32 4 4" xfId="23813"/>
    <cellStyle name="Comma 32 4 4 2" xfId="23814"/>
    <cellStyle name="Comma 32 4 5" xfId="23815"/>
    <cellStyle name="Comma 32 5" xfId="23816"/>
    <cellStyle name="Comma 32 5 2" xfId="23817"/>
    <cellStyle name="Comma 32 5 2 2" xfId="23818"/>
    <cellStyle name="Comma 32 5 3" xfId="23819"/>
    <cellStyle name="Comma 32 6" xfId="23820"/>
    <cellStyle name="Comma 32 6 2" xfId="23821"/>
    <cellStyle name="Comma 32 7" xfId="23822"/>
    <cellStyle name="Comma 32 7 2" xfId="23823"/>
    <cellStyle name="Comma 32 8" xfId="23824"/>
    <cellStyle name="Comma 33" xfId="23825"/>
    <cellStyle name="Comma 33 2" xfId="23826"/>
    <cellStyle name="Comma 33 2 2" xfId="23827"/>
    <cellStyle name="Comma 33 2 2 2" xfId="23828"/>
    <cellStyle name="Comma 33 2 2 2 2" xfId="23829"/>
    <cellStyle name="Comma 33 2 2 2 2 2" xfId="23830"/>
    <cellStyle name="Comma 33 2 2 2 3" xfId="23831"/>
    <cellStyle name="Comma 33 2 2 3" xfId="23832"/>
    <cellStyle name="Comma 33 2 2 3 2" xfId="23833"/>
    <cellStyle name="Comma 33 2 2 4" xfId="23834"/>
    <cellStyle name="Comma 33 2 2 4 2" xfId="23835"/>
    <cellStyle name="Comma 33 2 2 5" xfId="23836"/>
    <cellStyle name="Comma 33 2 3" xfId="23837"/>
    <cellStyle name="Comma 33 2 3 2" xfId="23838"/>
    <cellStyle name="Comma 33 2 3 2 2" xfId="23839"/>
    <cellStyle name="Comma 33 2 3 2 2 2" xfId="23840"/>
    <cellStyle name="Comma 33 2 3 2 3" xfId="23841"/>
    <cellStyle name="Comma 33 2 3 3" xfId="23842"/>
    <cellStyle name="Comma 33 2 3 3 2" xfId="23843"/>
    <cellStyle name="Comma 33 2 3 4" xfId="23844"/>
    <cellStyle name="Comma 33 2 3 4 2" xfId="23845"/>
    <cellStyle name="Comma 33 2 3 5" xfId="23846"/>
    <cellStyle name="Comma 33 2 4" xfId="23847"/>
    <cellStyle name="Comma 33 2 4 2" xfId="23848"/>
    <cellStyle name="Comma 33 2 4 2 2" xfId="23849"/>
    <cellStyle name="Comma 33 2 4 3" xfId="23850"/>
    <cellStyle name="Comma 33 2 5" xfId="23851"/>
    <cellStyle name="Comma 33 2 5 2" xfId="23852"/>
    <cellStyle name="Comma 33 2 6" xfId="23853"/>
    <cellStyle name="Comma 33 2 6 2" xfId="23854"/>
    <cellStyle name="Comma 33 2 7" xfId="23855"/>
    <cellStyle name="Comma 33 3" xfId="23856"/>
    <cellStyle name="Comma 33 3 2" xfId="23857"/>
    <cellStyle name="Comma 33 3 2 2" xfId="23858"/>
    <cellStyle name="Comma 33 3 2 2 2" xfId="23859"/>
    <cellStyle name="Comma 33 3 2 3" xfId="23860"/>
    <cellStyle name="Comma 33 3 3" xfId="23861"/>
    <cellStyle name="Comma 33 3 3 2" xfId="23862"/>
    <cellStyle name="Comma 33 3 4" xfId="23863"/>
    <cellStyle name="Comma 33 3 4 2" xfId="23864"/>
    <cellStyle name="Comma 33 3 5" xfId="23865"/>
    <cellStyle name="Comma 33 4" xfId="23866"/>
    <cellStyle name="Comma 33 4 2" xfId="23867"/>
    <cellStyle name="Comma 33 4 2 2" xfId="23868"/>
    <cellStyle name="Comma 33 4 2 2 2" xfId="23869"/>
    <cellStyle name="Comma 33 4 2 3" xfId="23870"/>
    <cellStyle name="Comma 33 4 3" xfId="23871"/>
    <cellStyle name="Comma 33 4 3 2" xfId="23872"/>
    <cellStyle name="Comma 33 4 4" xfId="23873"/>
    <cellStyle name="Comma 33 4 4 2" xfId="23874"/>
    <cellStyle name="Comma 33 4 5" xfId="23875"/>
    <cellStyle name="Comma 33 5" xfId="23876"/>
    <cellStyle name="Comma 33 5 2" xfId="23877"/>
    <cellStyle name="Comma 33 5 2 2" xfId="23878"/>
    <cellStyle name="Comma 33 5 3" xfId="23879"/>
    <cellStyle name="Comma 33 6" xfId="23880"/>
    <cellStyle name="Comma 33 6 2" xfId="23881"/>
    <cellStyle name="Comma 33 7" xfId="23882"/>
    <cellStyle name="Comma 33 7 2" xfId="23883"/>
    <cellStyle name="Comma 33 8" xfId="23884"/>
    <cellStyle name="Comma 34" xfId="23885"/>
    <cellStyle name="Comma 34 2" xfId="23886"/>
    <cellStyle name="Comma 34 2 2" xfId="23887"/>
    <cellStyle name="Comma 34 2 2 2" xfId="23888"/>
    <cellStyle name="Comma 34 2 2 2 2" xfId="23889"/>
    <cellStyle name="Comma 34 2 2 2 2 2" xfId="23890"/>
    <cellStyle name="Comma 34 2 2 2 3" xfId="23891"/>
    <cellStyle name="Comma 34 2 2 3" xfId="23892"/>
    <cellStyle name="Comma 34 2 2 3 2" xfId="23893"/>
    <cellStyle name="Comma 34 2 2 4" xfId="23894"/>
    <cellStyle name="Comma 34 2 2 4 2" xfId="23895"/>
    <cellStyle name="Comma 34 2 2 5" xfId="23896"/>
    <cellStyle name="Comma 34 2 3" xfId="23897"/>
    <cellStyle name="Comma 34 2 3 2" xfId="23898"/>
    <cellStyle name="Comma 34 2 3 2 2" xfId="23899"/>
    <cellStyle name="Comma 34 2 3 2 2 2" xfId="23900"/>
    <cellStyle name="Comma 34 2 3 2 3" xfId="23901"/>
    <cellStyle name="Comma 34 2 3 3" xfId="23902"/>
    <cellStyle name="Comma 34 2 3 3 2" xfId="23903"/>
    <cellStyle name="Comma 34 2 3 4" xfId="23904"/>
    <cellStyle name="Comma 34 2 3 4 2" xfId="23905"/>
    <cellStyle name="Comma 34 2 3 5" xfId="23906"/>
    <cellStyle name="Comma 34 2 4" xfId="23907"/>
    <cellStyle name="Comma 34 2 4 2" xfId="23908"/>
    <cellStyle name="Comma 34 2 4 2 2" xfId="23909"/>
    <cellStyle name="Comma 34 2 4 3" xfId="23910"/>
    <cellStyle name="Comma 34 2 5" xfId="23911"/>
    <cellStyle name="Comma 34 2 5 2" xfId="23912"/>
    <cellStyle name="Comma 34 2 6" xfId="23913"/>
    <cellStyle name="Comma 34 2 6 2" xfId="23914"/>
    <cellStyle name="Comma 34 2 7" xfId="23915"/>
    <cellStyle name="Comma 34 3" xfId="23916"/>
    <cellStyle name="Comma 34 3 2" xfId="23917"/>
    <cellStyle name="Comma 34 3 2 2" xfId="23918"/>
    <cellStyle name="Comma 34 3 2 2 2" xfId="23919"/>
    <cellStyle name="Comma 34 3 2 3" xfId="23920"/>
    <cellStyle name="Comma 34 3 3" xfId="23921"/>
    <cellStyle name="Comma 34 3 3 2" xfId="23922"/>
    <cellStyle name="Comma 34 3 4" xfId="23923"/>
    <cellStyle name="Comma 34 3 4 2" xfId="23924"/>
    <cellStyle name="Comma 34 3 5" xfId="23925"/>
    <cellStyle name="Comma 34 4" xfId="23926"/>
    <cellStyle name="Comma 34 4 2" xfId="23927"/>
    <cellStyle name="Comma 34 4 2 2" xfId="23928"/>
    <cellStyle name="Comma 34 4 2 2 2" xfId="23929"/>
    <cellStyle name="Comma 34 4 2 3" xfId="23930"/>
    <cellStyle name="Comma 34 4 3" xfId="23931"/>
    <cellStyle name="Comma 34 4 3 2" xfId="23932"/>
    <cellStyle name="Comma 34 4 4" xfId="23933"/>
    <cellStyle name="Comma 34 4 4 2" xfId="23934"/>
    <cellStyle name="Comma 34 4 5" xfId="23935"/>
    <cellStyle name="Comma 34 5" xfId="23936"/>
    <cellStyle name="Comma 34 5 2" xfId="23937"/>
    <cellStyle name="Comma 34 5 2 2" xfId="23938"/>
    <cellStyle name="Comma 34 5 3" xfId="23939"/>
    <cellStyle name="Comma 34 6" xfId="23940"/>
    <cellStyle name="Comma 34 6 2" xfId="23941"/>
    <cellStyle name="Comma 34 7" xfId="23942"/>
    <cellStyle name="Comma 34 7 2" xfId="23943"/>
    <cellStyle name="Comma 34 8" xfId="23944"/>
    <cellStyle name="Comma 35" xfId="23945"/>
    <cellStyle name="Comma 35 2" xfId="23946"/>
    <cellStyle name="Comma 35 2 2" xfId="23947"/>
    <cellStyle name="Comma 35 2 2 2" xfId="23948"/>
    <cellStyle name="Comma 35 2 2 2 2" xfId="23949"/>
    <cellStyle name="Comma 35 2 2 2 2 2" xfId="23950"/>
    <cellStyle name="Comma 35 2 2 2 3" xfId="23951"/>
    <cellStyle name="Comma 35 2 2 3" xfId="23952"/>
    <cellStyle name="Comma 35 2 2 3 2" xfId="23953"/>
    <cellStyle name="Comma 35 2 2 4" xfId="23954"/>
    <cellStyle name="Comma 35 2 2 4 2" xfId="23955"/>
    <cellStyle name="Comma 35 2 2 5" xfId="23956"/>
    <cellStyle name="Comma 35 2 3" xfId="23957"/>
    <cellStyle name="Comma 35 2 3 2" xfId="23958"/>
    <cellStyle name="Comma 35 2 3 2 2" xfId="23959"/>
    <cellStyle name="Comma 35 2 3 2 2 2" xfId="23960"/>
    <cellStyle name="Comma 35 2 3 2 3" xfId="23961"/>
    <cellStyle name="Comma 35 2 3 3" xfId="23962"/>
    <cellStyle name="Comma 35 2 3 3 2" xfId="23963"/>
    <cellStyle name="Comma 35 2 3 4" xfId="23964"/>
    <cellStyle name="Comma 35 2 3 4 2" xfId="23965"/>
    <cellStyle name="Comma 35 2 3 5" xfId="23966"/>
    <cellStyle name="Comma 35 2 4" xfId="23967"/>
    <cellStyle name="Comma 35 2 4 2" xfId="23968"/>
    <cellStyle name="Comma 35 2 4 2 2" xfId="23969"/>
    <cellStyle name="Comma 35 2 4 3" xfId="23970"/>
    <cellStyle name="Comma 35 2 5" xfId="23971"/>
    <cellStyle name="Comma 35 2 5 2" xfId="23972"/>
    <cellStyle name="Comma 35 2 6" xfId="23973"/>
    <cellStyle name="Comma 35 2 6 2" xfId="23974"/>
    <cellStyle name="Comma 35 2 7" xfId="23975"/>
    <cellStyle name="Comma 35 3" xfId="23976"/>
    <cellStyle name="Comma 35 3 2" xfId="23977"/>
    <cellStyle name="Comma 35 3 2 2" xfId="23978"/>
    <cellStyle name="Comma 35 3 2 2 2" xfId="23979"/>
    <cellStyle name="Comma 35 3 2 3" xfId="23980"/>
    <cellStyle name="Comma 35 3 3" xfId="23981"/>
    <cellStyle name="Comma 35 3 3 2" xfId="23982"/>
    <cellStyle name="Comma 35 3 4" xfId="23983"/>
    <cellStyle name="Comma 35 3 4 2" xfId="23984"/>
    <cellStyle name="Comma 35 3 5" xfId="23985"/>
    <cellStyle name="Comma 35 4" xfId="23986"/>
    <cellStyle name="Comma 35 4 2" xfId="23987"/>
    <cellStyle name="Comma 35 4 2 2" xfId="23988"/>
    <cellStyle name="Comma 35 4 2 2 2" xfId="23989"/>
    <cellStyle name="Comma 35 4 2 3" xfId="23990"/>
    <cellStyle name="Comma 35 4 3" xfId="23991"/>
    <cellStyle name="Comma 35 4 3 2" xfId="23992"/>
    <cellStyle name="Comma 35 4 4" xfId="23993"/>
    <cellStyle name="Comma 35 4 4 2" xfId="23994"/>
    <cellStyle name="Comma 35 4 5" xfId="23995"/>
    <cellStyle name="Comma 35 5" xfId="23996"/>
    <cellStyle name="Comma 35 5 2" xfId="23997"/>
    <cellStyle name="Comma 35 5 2 2" xfId="23998"/>
    <cellStyle name="Comma 35 5 3" xfId="23999"/>
    <cellStyle name="Comma 35 6" xfId="24000"/>
    <cellStyle name="Comma 35 6 2" xfId="24001"/>
    <cellStyle name="Comma 35 7" xfId="24002"/>
    <cellStyle name="Comma 35 7 2" xfId="24003"/>
    <cellStyle name="Comma 35 8" xfId="24004"/>
    <cellStyle name="Comma 36" xfId="24005"/>
    <cellStyle name="Comma 36 2" xfId="24006"/>
    <cellStyle name="Comma 36 2 2" xfId="24007"/>
    <cellStyle name="Comma 36 2 2 2" xfId="24008"/>
    <cellStyle name="Comma 36 2 2 2 2" xfId="24009"/>
    <cellStyle name="Comma 36 2 2 3" xfId="24010"/>
    <cellStyle name="Comma 36 2 3" xfId="24011"/>
    <cellStyle name="Comma 36 2 3 2" xfId="24012"/>
    <cellStyle name="Comma 36 2 4" xfId="24013"/>
    <cellStyle name="Comma 36 2 4 2" xfId="24014"/>
    <cellStyle name="Comma 36 2 5" xfId="24015"/>
    <cellStyle name="Comma 36 3" xfId="24016"/>
    <cellStyle name="Comma 36 3 2" xfId="24017"/>
    <cellStyle name="Comma 36 3 2 2" xfId="24018"/>
    <cellStyle name="Comma 36 3 2 2 2" xfId="24019"/>
    <cellStyle name="Comma 36 3 2 3" xfId="24020"/>
    <cellStyle name="Comma 36 3 3" xfId="24021"/>
    <cellStyle name="Comma 36 3 3 2" xfId="24022"/>
    <cellStyle name="Comma 36 3 4" xfId="24023"/>
    <cellStyle name="Comma 36 3 4 2" xfId="24024"/>
    <cellStyle name="Comma 36 3 5" xfId="24025"/>
    <cellStyle name="Comma 36 4" xfId="24026"/>
    <cellStyle name="Comma 36 4 2" xfId="24027"/>
    <cellStyle name="Comma 36 4 2 2" xfId="24028"/>
    <cellStyle name="Comma 36 4 3" xfId="24029"/>
    <cellStyle name="Comma 36 5" xfId="24030"/>
    <cellStyle name="Comma 36 5 2" xfId="24031"/>
    <cellStyle name="Comma 36 6" xfId="24032"/>
    <cellStyle name="Comma 36 6 2" xfId="24033"/>
    <cellStyle name="Comma 36 7" xfId="24034"/>
    <cellStyle name="Comma 37" xfId="24035"/>
    <cellStyle name="Comma 37 2" xfId="24036"/>
    <cellStyle name="Comma 37 2 2" xfId="24037"/>
    <cellStyle name="Comma 37 2 2 2" xfId="24038"/>
    <cellStyle name="Comma 37 2 2 2 2" xfId="24039"/>
    <cellStyle name="Comma 37 2 2 3" xfId="24040"/>
    <cellStyle name="Comma 37 2 3" xfId="24041"/>
    <cellStyle name="Comma 37 2 3 2" xfId="24042"/>
    <cellStyle name="Comma 37 2 4" xfId="24043"/>
    <cellStyle name="Comma 37 2 4 2" xfId="24044"/>
    <cellStyle name="Comma 37 2 5" xfId="24045"/>
    <cellStyle name="Comma 37 3" xfId="24046"/>
    <cellStyle name="Comma 37 3 2" xfId="24047"/>
    <cellStyle name="Comma 37 3 2 2" xfId="24048"/>
    <cellStyle name="Comma 37 3 2 2 2" xfId="24049"/>
    <cellStyle name="Comma 37 3 2 3" xfId="24050"/>
    <cellStyle name="Comma 37 3 3" xfId="24051"/>
    <cellStyle name="Comma 37 3 3 2" xfId="24052"/>
    <cellStyle name="Comma 37 3 4" xfId="24053"/>
    <cellStyle name="Comma 37 3 4 2" xfId="24054"/>
    <cellStyle name="Comma 37 3 5" xfId="24055"/>
    <cellStyle name="Comma 37 4" xfId="24056"/>
    <cellStyle name="Comma 37 4 2" xfId="24057"/>
    <cellStyle name="Comma 37 4 2 2" xfId="24058"/>
    <cellStyle name="Comma 37 4 3" xfId="24059"/>
    <cellStyle name="Comma 37 5" xfId="24060"/>
    <cellStyle name="Comma 37 5 2" xfId="24061"/>
    <cellStyle name="Comma 37 6" xfId="24062"/>
    <cellStyle name="Comma 37 6 2" xfId="24063"/>
    <cellStyle name="Comma 37 7" xfId="24064"/>
    <cellStyle name="Comma 38" xfId="24065"/>
    <cellStyle name="Comma 38 2" xfId="24066"/>
    <cellStyle name="Comma 38 2 2" xfId="24067"/>
    <cellStyle name="Comma 38 2 2 2" xfId="24068"/>
    <cellStyle name="Comma 38 2 2 2 2" xfId="24069"/>
    <cellStyle name="Comma 38 2 2 3" xfId="24070"/>
    <cellStyle name="Comma 38 2 3" xfId="24071"/>
    <cellStyle name="Comma 38 2 3 2" xfId="24072"/>
    <cellStyle name="Comma 38 2 4" xfId="24073"/>
    <cellStyle name="Comma 38 2 4 2" xfId="24074"/>
    <cellStyle name="Comma 38 2 5" xfId="24075"/>
    <cellStyle name="Comma 38 3" xfId="24076"/>
    <cellStyle name="Comma 38 3 2" xfId="24077"/>
    <cellStyle name="Comma 38 3 2 2" xfId="24078"/>
    <cellStyle name="Comma 38 3 2 2 2" xfId="24079"/>
    <cellStyle name="Comma 38 3 2 3" xfId="24080"/>
    <cellStyle name="Comma 38 3 3" xfId="24081"/>
    <cellStyle name="Comma 38 3 3 2" xfId="24082"/>
    <cellStyle name="Comma 38 3 4" xfId="24083"/>
    <cellStyle name="Comma 38 3 4 2" xfId="24084"/>
    <cellStyle name="Comma 38 3 5" xfId="24085"/>
    <cellStyle name="Comma 38 4" xfId="24086"/>
    <cellStyle name="Comma 38 4 2" xfId="24087"/>
    <cellStyle name="Comma 38 4 2 2" xfId="24088"/>
    <cellStyle name="Comma 38 4 3" xfId="24089"/>
    <cellStyle name="Comma 38 5" xfId="24090"/>
    <cellStyle name="Comma 38 5 2" xfId="24091"/>
    <cellStyle name="Comma 38 6" xfId="24092"/>
    <cellStyle name="Comma 38 6 2" xfId="24093"/>
    <cellStyle name="Comma 38 7" xfId="24094"/>
    <cellStyle name="Comma 39" xfId="24095"/>
    <cellStyle name="Comma 39 2" xfId="24096"/>
    <cellStyle name="Comma 39 2 2" xfId="24097"/>
    <cellStyle name="Comma 39 2 2 2" xfId="24098"/>
    <cellStyle name="Comma 39 2 2 2 2" xfId="24099"/>
    <cellStyle name="Comma 39 2 2 3" xfId="24100"/>
    <cellStyle name="Comma 39 2 3" xfId="24101"/>
    <cellStyle name="Comma 39 2 3 2" xfId="24102"/>
    <cellStyle name="Comma 39 2 4" xfId="24103"/>
    <cellStyle name="Comma 39 2 4 2" xfId="24104"/>
    <cellStyle name="Comma 39 2 5" xfId="24105"/>
    <cellStyle name="Comma 39 3" xfId="24106"/>
    <cellStyle name="Comma 39 3 2" xfId="24107"/>
    <cellStyle name="Comma 39 3 2 2" xfId="24108"/>
    <cellStyle name="Comma 39 3 2 2 2" xfId="24109"/>
    <cellStyle name="Comma 39 3 2 3" xfId="24110"/>
    <cellStyle name="Comma 39 3 3" xfId="24111"/>
    <cellStyle name="Comma 39 3 3 2" xfId="24112"/>
    <cellStyle name="Comma 39 3 4" xfId="24113"/>
    <cellStyle name="Comma 39 3 4 2" xfId="24114"/>
    <cellStyle name="Comma 39 3 5" xfId="24115"/>
    <cellStyle name="Comma 39 4" xfId="24116"/>
    <cellStyle name="Comma 39 4 2" xfId="24117"/>
    <cellStyle name="Comma 39 4 2 2" xfId="24118"/>
    <cellStyle name="Comma 39 4 3" xfId="24119"/>
    <cellStyle name="Comma 39 5" xfId="24120"/>
    <cellStyle name="Comma 39 5 2" xfId="24121"/>
    <cellStyle name="Comma 39 6" xfId="24122"/>
    <cellStyle name="Comma 39 6 2" xfId="24123"/>
    <cellStyle name="Comma 39 7" xfId="24124"/>
    <cellStyle name="Comma 4" xfId="24125"/>
    <cellStyle name="Comma 4 2" xfId="24126"/>
    <cellStyle name="Comma 4 2 2" xfId="24127"/>
    <cellStyle name="Comma 4 3" xfId="24128"/>
    <cellStyle name="Comma 4 4" xfId="24129"/>
    <cellStyle name="Comma 4 4 2" xfId="24130"/>
    <cellStyle name="Comma 4 4 2 2" xfId="24131"/>
    <cellStyle name="Comma 4 4 2 2 2" xfId="24132"/>
    <cellStyle name="Comma 4 4 2 3" xfId="24133"/>
    <cellStyle name="Comma 4 4 3" xfId="24134"/>
    <cellStyle name="Comma 4 4 3 2" xfId="24135"/>
    <cellStyle name="Comma 4 4 4" xfId="24136"/>
    <cellStyle name="Comma 4 4 4 2" xfId="24137"/>
    <cellStyle name="Comma 4 4 5" xfId="24138"/>
    <cellStyle name="Comma 4 5" xfId="24139"/>
    <cellStyle name="Comma 4 5 2" xfId="24140"/>
    <cellStyle name="Comma 4 5 2 2" xfId="24141"/>
    <cellStyle name="Comma 4 5 2 2 2" xfId="24142"/>
    <cellStyle name="Comma 4 5 2 3" xfId="24143"/>
    <cellStyle name="Comma 4 5 3" xfId="24144"/>
    <cellStyle name="Comma 4 5 3 2" xfId="24145"/>
    <cellStyle name="Comma 4 5 4" xfId="24146"/>
    <cellStyle name="Comma 4 5 4 2" xfId="24147"/>
    <cellStyle name="Comma 4 5 5" xfId="24148"/>
    <cellStyle name="Comma 4 6" xfId="24149"/>
    <cellStyle name="Comma 4 6 2" xfId="24150"/>
    <cellStyle name="Comma 4 6 2 2" xfId="24151"/>
    <cellStyle name="Comma 4 6 2 2 2" xfId="24152"/>
    <cellStyle name="Comma 4 6 2 3" xfId="24153"/>
    <cellStyle name="Comma 4 6 3" xfId="24154"/>
    <cellStyle name="Comma 4 6 3 2" xfId="24155"/>
    <cellStyle name="Comma 4 6 4" xfId="24156"/>
    <cellStyle name="Comma 4 6 4 2" xfId="24157"/>
    <cellStyle name="Comma 4 6 5" xfId="24158"/>
    <cellStyle name="Comma 4 7" xfId="24159"/>
    <cellStyle name="Comma 4 8" xfId="24160"/>
    <cellStyle name="Comma 40" xfId="24161"/>
    <cellStyle name="Comma 40 2" xfId="24162"/>
    <cellStyle name="Comma 40 2 2" xfId="24163"/>
    <cellStyle name="Comma 40 2 2 2" xfId="24164"/>
    <cellStyle name="Comma 40 2 2 2 2" xfId="24165"/>
    <cellStyle name="Comma 40 2 2 3" xfId="24166"/>
    <cellStyle name="Comma 40 2 3" xfId="24167"/>
    <cellStyle name="Comma 40 2 3 2" xfId="24168"/>
    <cellStyle name="Comma 40 2 4" xfId="24169"/>
    <cellStyle name="Comma 40 2 4 2" xfId="24170"/>
    <cellStyle name="Comma 40 2 5" xfId="24171"/>
    <cellStyle name="Comma 40 3" xfId="24172"/>
    <cellStyle name="Comma 40 3 2" xfId="24173"/>
    <cellStyle name="Comma 40 3 2 2" xfId="24174"/>
    <cellStyle name="Comma 40 3 2 2 2" xfId="24175"/>
    <cellStyle name="Comma 40 3 2 3" xfId="24176"/>
    <cellStyle name="Comma 40 3 3" xfId="24177"/>
    <cellStyle name="Comma 40 3 3 2" xfId="24178"/>
    <cellStyle name="Comma 40 3 4" xfId="24179"/>
    <cellStyle name="Comma 40 3 4 2" xfId="24180"/>
    <cellStyle name="Comma 40 3 5" xfId="24181"/>
    <cellStyle name="Comma 40 4" xfId="24182"/>
    <cellStyle name="Comma 40 4 2" xfId="24183"/>
    <cellStyle name="Comma 40 4 2 2" xfId="24184"/>
    <cellStyle name="Comma 40 4 3" xfId="24185"/>
    <cellStyle name="Comma 40 5" xfId="24186"/>
    <cellStyle name="Comma 40 5 2" xfId="24187"/>
    <cellStyle name="Comma 40 6" xfId="24188"/>
    <cellStyle name="Comma 40 6 2" xfId="24189"/>
    <cellStyle name="Comma 40 7" xfId="24190"/>
    <cellStyle name="Comma 41" xfId="24191"/>
    <cellStyle name="Comma 41 2" xfId="24192"/>
    <cellStyle name="Comma 41 2 2" xfId="24193"/>
    <cellStyle name="Comma 41 2 2 2" xfId="24194"/>
    <cellStyle name="Comma 41 2 2 2 2" xfId="24195"/>
    <cellStyle name="Comma 41 2 2 3" xfId="24196"/>
    <cellStyle name="Comma 41 2 3" xfId="24197"/>
    <cellStyle name="Comma 41 2 3 2" xfId="24198"/>
    <cellStyle name="Comma 41 2 4" xfId="24199"/>
    <cellStyle name="Comma 41 2 4 2" xfId="24200"/>
    <cellStyle name="Comma 41 2 5" xfId="24201"/>
    <cellStyle name="Comma 41 3" xfId="24202"/>
    <cellStyle name="Comma 41 3 2" xfId="24203"/>
    <cellStyle name="Comma 41 3 2 2" xfId="24204"/>
    <cellStyle name="Comma 41 3 2 2 2" xfId="24205"/>
    <cellStyle name="Comma 41 3 2 3" xfId="24206"/>
    <cellStyle name="Comma 41 3 3" xfId="24207"/>
    <cellStyle name="Comma 41 3 3 2" xfId="24208"/>
    <cellStyle name="Comma 41 3 4" xfId="24209"/>
    <cellStyle name="Comma 41 3 4 2" xfId="24210"/>
    <cellStyle name="Comma 41 3 5" xfId="24211"/>
    <cellStyle name="Comma 41 4" xfId="24212"/>
    <cellStyle name="Comma 41 4 2" xfId="24213"/>
    <cellStyle name="Comma 41 4 2 2" xfId="24214"/>
    <cellStyle name="Comma 41 4 3" xfId="24215"/>
    <cellStyle name="Comma 41 5" xfId="24216"/>
    <cellStyle name="Comma 41 5 2" xfId="24217"/>
    <cellStyle name="Comma 41 6" xfId="24218"/>
    <cellStyle name="Comma 41 6 2" xfId="24219"/>
    <cellStyle name="Comma 41 7" xfId="24220"/>
    <cellStyle name="Comma 42" xfId="24221"/>
    <cellStyle name="Comma 42 2" xfId="24222"/>
    <cellStyle name="Comma 42 2 2" xfId="24223"/>
    <cellStyle name="Comma 42 2 2 2" xfId="24224"/>
    <cellStyle name="Comma 42 2 2 2 2" xfId="24225"/>
    <cellStyle name="Comma 42 2 2 3" xfId="24226"/>
    <cellStyle name="Comma 42 2 3" xfId="24227"/>
    <cellStyle name="Comma 42 2 3 2" xfId="24228"/>
    <cellStyle name="Comma 42 2 4" xfId="24229"/>
    <cellStyle name="Comma 42 2 4 2" xfId="24230"/>
    <cellStyle name="Comma 42 2 5" xfId="24231"/>
    <cellStyle name="Comma 42 3" xfId="24232"/>
    <cellStyle name="Comma 42 3 2" xfId="24233"/>
    <cellStyle name="Comma 42 3 2 2" xfId="24234"/>
    <cellStyle name="Comma 42 3 2 2 2" xfId="24235"/>
    <cellStyle name="Comma 42 3 2 3" xfId="24236"/>
    <cellStyle name="Comma 42 3 3" xfId="24237"/>
    <cellStyle name="Comma 42 3 3 2" xfId="24238"/>
    <cellStyle name="Comma 42 3 4" xfId="24239"/>
    <cellStyle name="Comma 42 3 4 2" xfId="24240"/>
    <cellStyle name="Comma 42 3 5" xfId="24241"/>
    <cellStyle name="Comma 42 4" xfId="24242"/>
    <cellStyle name="Comma 42 4 2" xfId="24243"/>
    <cellStyle name="Comma 42 4 2 2" xfId="24244"/>
    <cellStyle name="Comma 42 4 3" xfId="24245"/>
    <cellStyle name="Comma 42 5" xfId="24246"/>
    <cellStyle name="Comma 42 5 2" xfId="24247"/>
    <cellStyle name="Comma 42 6" xfId="24248"/>
    <cellStyle name="Comma 42 6 2" xfId="24249"/>
    <cellStyle name="Comma 42 7" xfId="24250"/>
    <cellStyle name="Comma 43" xfId="24251"/>
    <cellStyle name="Comma 44" xfId="24252"/>
    <cellStyle name="Comma 44 2" xfId="24253"/>
    <cellStyle name="Comma 44 2 2" xfId="24254"/>
    <cellStyle name="Comma 44 2 2 2" xfId="24255"/>
    <cellStyle name="Comma 44 2 2 2 2" xfId="24256"/>
    <cellStyle name="Comma 44 2 2 3" xfId="24257"/>
    <cellStyle name="Comma 44 2 3" xfId="24258"/>
    <cellStyle name="Comma 44 2 3 2" xfId="24259"/>
    <cellStyle name="Comma 44 2 4" xfId="24260"/>
    <cellStyle name="Comma 44 2 4 2" xfId="24261"/>
    <cellStyle name="Comma 44 2 5" xfId="24262"/>
    <cellStyle name="Comma 44 3" xfId="24263"/>
    <cellStyle name="Comma 44 3 2" xfId="24264"/>
    <cellStyle name="Comma 44 3 2 2" xfId="24265"/>
    <cellStyle name="Comma 44 3 2 2 2" xfId="24266"/>
    <cellStyle name="Comma 44 3 2 3" xfId="24267"/>
    <cellStyle name="Comma 44 3 3" xfId="24268"/>
    <cellStyle name="Comma 44 3 3 2" xfId="24269"/>
    <cellStyle name="Comma 44 3 4" xfId="24270"/>
    <cellStyle name="Comma 44 3 4 2" xfId="24271"/>
    <cellStyle name="Comma 44 3 5" xfId="24272"/>
    <cellStyle name="Comma 44 4" xfId="24273"/>
    <cellStyle name="Comma 44 4 2" xfId="24274"/>
    <cellStyle name="Comma 44 4 2 2" xfId="24275"/>
    <cellStyle name="Comma 44 4 3" xfId="24276"/>
    <cellStyle name="Comma 44 5" xfId="24277"/>
    <cellStyle name="Comma 44 5 2" xfId="24278"/>
    <cellStyle name="Comma 44 6" xfId="24279"/>
    <cellStyle name="Comma 44 6 2" xfId="24280"/>
    <cellStyle name="Comma 44 7" xfId="24281"/>
    <cellStyle name="Comma 45" xfId="24282"/>
    <cellStyle name="Comma 45 2" xfId="24283"/>
    <cellStyle name="Comma 45 2 2" xfId="24284"/>
    <cellStyle name="Comma 45 2 2 2" xfId="24285"/>
    <cellStyle name="Comma 45 2 3" xfId="24286"/>
    <cellStyle name="Comma 45 3" xfId="24287"/>
    <cellStyle name="Comma 45 3 2" xfId="24288"/>
    <cellStyle name="Comma 45 4" xfId="24289"/>
    <cellStyle name="Comma 45 4 2" xfId="24290"/>
    <cellStyle name="Comma 45 5" xfId="24291"/>
    <cellStyle name="Comma 46" xfId="24292"/>
    <cellStyle name="Comma 46 2" xfId="24293"/>
    <cellStyle name="Comma 46 2 2" xfId="24294"/>
    <cellStyle name="Comma 46 2 2 2" xfId="24295"/>
    <cellStyle name="Comma 46 2 3" xfId="24296"/>
    <cellStyle name="Comma 46 3" xfId="24297"/>
    <cellStyle name="Comma 46 3 2" xfId="24298"/>
    <cellStyle name="Comma 46 4" xfId="24299"/>
    <cellStyle name="Comma 46 4 2" xfId="24300"/>
    <cellStyle name="Comma 46 5" xfId="24301"/>
    <cellStyle name="Comma 5" xfId="24302"/>
    <cellStyle name="Comma 5 2" xfId="24303"/>
    <cellStyle name="Comma 5 2 2" xfId="24304"/>
    <cellStyle name="Comma 5 2 2 2" xfId="24305"/>
    <cellStyle name="Comma 5 2 2 2 2" xfId="24306"/>
    <cellStyle name="Comma 5 2 2 2 2 2" xfId="24307"/>
    <cellStyle name="Comma 5 2 2 2 3" xfId="24308"/>
    <cellStyle name="Comma 5 2 2 3" xfId="24309"/>
    <cellStyle name="Comma 5 2 2 3 2" xfId="24310"/>
    <cellStyle name="Comma 5 2 2 4" xfId="24311"/>
    <cellStyle name="Comma 5 2 2 4 2" xfId="24312"/>
    <cellStyle name="Comma 5 2 2 5" xfId="24313"/>
    <cellStyle name="Comma 5 2 3" xfId="24314"/>
    <cellStyle name="Comma 5 2 3 2" xfId="24315"/>
    <cellStyle name="Comma 5 2 3 2 2" xfId="24316"/>
    <cellStyle name="Comma 5 2 3 2 2 2" xfId="24317"/>
    <cellStyle name="Comma 5 2 3 2 3" xfId="24318"/>
    <cellStyle name="Comma 5 2 3 3" xfId="24319"/>
    <cellStyle name="Comma 5 2 3 3 2" xfId="24320"/>
    <cellStyle name="Comma 5 2 3 4" xfId="24321"/>
    <cellStyle name="Comma 5 2 3 4 2" xfId="24322"/>
    <cellStyle name="Comma 5 2 3 5" xfId="24323"/>
    <cellStyle name="Comma 5 2 4" xfId="24324"/>
    <cellStyle name="Comma 5 2 4 2" xfId="24325"/>
    <cellStyle name="Comma 5 2 4 2 2" xfId="24326"/>
    <cellStyle name="Comma 5 2 4 3" xfId="24327"/>
    <cellStyle name="Comma 5 2 5" xfId="24328"/>
    <cellStyle name="Comma 5 2 5 2" xfId="24329"/>
    <cellStyle name="Comma 5 2 6" xfId="24330"/>
    <cellStyle name="Comma 5 2 6 2" xfId="24331"/>
    <cellStyle name="Comma 5 2 7" xfId="24332"/>
    <cellStyle name="Comma 5 3" xfId="24333"/>
    <cellStyle name="Comma 5 3 2" xfId="24334"/>
    <cellStyle name="Comma 5 3 2 2" xfId="24335"/>
    <cellStyle name="Comma 5 3 2 2 2" xfId="24336"/>
    <cellStyle name="Comma 5 3 2 2 2 2" xfId="24337"/>
    <cellStyle name="Comma 5 3 2 2 3" xfId="24338"/>
    <cellStyle name="Comma 5 3 2 3" xfId="24339"/>
    <cellStyle name="Comma 5 3 2 3 2" xfId="24340"/>
    <cellStyle name="Comma 5 3 2 4" xfId="24341"/>
    <cellStyle name="Comma 5 3 2 4 2" xfId="24342"/>
    <cellStyle name="Comma 5 3 2 5" xfId="24343"/>
    <cellStyle name="Comma 5 3 3" xfId="24344"/>
    <cellStyle name="Comma 5 3 3 2" xfId="24345"/>
    <cellStyle name="Comma 5 3 3 2 2" xfId="24346"/>
    <cellStyle name="Comma 5 3 3 2 2 2" xfId="24347"/>
    <cellStyle name="Comma 5 3 3 2 3" xfId="24348"/>
    <cellStyle name="Comma 5 3 3 3" xfId="24349"/>
    <cellStyle name="Comma 5 3 3 3 2" xfId="24350"/>
    <cellStyle name="Comma 5 3 3 4" xfId="24351"/>
    <cellStyle name="Comma 5 3 3 4 2" xfId="24352"/>
    <cellStyle name="Comma 5 3 3 5" xfId="24353"/>
    <cellStyle name="Comma 5 3 4" xfId="24354"/>
    <cellStyle name="Comma 5 3 4 2" xfId="24355"/>
    <cellStyle name="Comma 5 3 4 2 2" xfId="24356"/>
    <cellStyle name="Comma 5 3 4 3" xfId="24357"/>
    <cellStyle name="Comma 5 3 5" xfId="24358"/>
    <cellStyle name="Comma 5 3 5 2" xfId="24359"/>
    <cellStyle name="Comma 5 3 6" xfId="24360"/>
    <cellStyle name="Comma 5 3 6 2" xfId="24361"/>
    <cellStyle name="Comma 5 3 7" xfId="24362"/>
    <cellStyle name="Comma 6" xfId="24363"/>
    <cellStyle name="Comma 6 2" xfId="24364"/>
    <cellStyle name="Comma 6 2 2" xfId="24365"/>
    <cellStyle name="Comma 6 2 2 2" xfId="24366"/>
    <cellStyle name="Comma 6 2 2 2 2" xfId="24367"/>
    <cellStyle name="Comma 6 2 2 2 2 2" xfId="24368"/>
    <cellStyle name="Comma 6 2 2 2 2 2 2" xfId="24369"/>
    <cellStyle name="Comma 6 2 2 2 2 3" xfId="24370"/>
    <cellStyle name="Comma 6 2 2 2 3" xfId="24371"/>
    <cellStyle name="Comma 6 2 2 2 3 2" xfId="24372"/>
    <cellStyle name="Comma 6 2 2 2 4" xfId="24373"/>
    <cellStyle name="Comma 6 2 2 2 4 2" xfId="24374"/>
    <cellStyle name="Comma 6 2 2 2 5" xfId="24375"/>
    <cellStyle name="Comma 6 2 2 3" xfId="24376"/>
    <cellStyle name="Comma 6 2 2 3 2" xfId="24377"/>
    <cellStyle name="Comma 6 2 2 3 2 2" xfId="24378"/>
    <cellStyle name="Comma 6 2 2 3 2 2 2" xfId="24379"/>
    <cellStyle name="Comma 6 2 2 3 2 3" xfId="24380"/>
    <cellStyle name="Comma 6 2 2 3 3" xfId="24381"/>
    <cellStyle name="Comma 6 2 2 3 3 2" xfId="24382"/>
    <cellStyle name="Comma 6 2 2 3 4" xfId="24383"/>
    <cellStyle name="Comma 6 2 2 3 4 2" xfId="24384"/>
    <cellStyle name="Comma 6 2 2 3 5" xfId="24385"/>
    <cellStyle name="Comma 6 2 2 4" xfId="24386"/>
    <cellStyle name="Comma 6 2 2 4 2" xfId="24387"/>
    <cellStyle name="Comma 6 2 2 4 2 2" xfId="24388"/>
    <cellStyle name="Comma 6 2 2 4 3" xfId="24389"/>
    <cellStyle name="Comma 6 2 2 5" xfId="24390"/>
    <cellStyle name="Comma 6 2 2 5 2" xfId="24391"/>
    <cellStyle name="Comma 6 2 2 6" xfId="24392"/>
    <cellStyle name="Comma 6 2 2 6 2" xfId="24393"/>
    <cellStyle name="Comma 6 2 2 7" xfId="24394"/>
    <cellStyle name="Comma 6 2 3" xfId="24395"/>
    <cellStyle name="Comma 6 2 3 2" xfId="24396"/>
    <cellStyle name="Comma 6 2 3 2 2" xfId="24397"/>
    <cellStyle name="Comma 6 2 3 2 2 2" xfId="24398"/>
    <cellStyle name="Comma 6 2 3 2 3" xfId="24399"/>
    <cellStyle name="Comma 6 2 3 3" xfId="24400"/>
    <cellStyle name="Comma 6 2 3 3 2" xfId="24401"/>
    <cellStyle name="Comma 6 2 3 4" xfId="24402"/>
    <cellStyle name="Comma 6 2 3 4 2" xfId="24403"/>
    <cellStyle name="Comma 6 2 3 5" xfId="24404"/>
    <cellStyle name="Comma 6 2 4" xfId="24405"/>
    <cellStyle name="Comma 6 2 4 2" xfId="24406"/>
    <cellStyle name="Comma 6 2 4 2 2" xfId="24407"/>
    <cellStyle name="Comma 6 2 4 2 2 2" xfId="24408"/>
    <cellStyle name="Comma 6 2 4 2 3" xfId="24409"/>
    <cellStyle name="Comma 6 2 4 3" xfId="24410"/>
    <cellStyle name="Comma 6 2 4 3 2" xfId="24411"/>
    <cellStyle name="Comma 6 2 4 4" xfId="24412"/>
    <cellStyle name="Comma 6 2 4 4 2" xfId="24413"/>
    <cellStyle name="Comma 6 2 4 5" xfId="24414"/>
    <cellStyle name="Comma 6 2 5" xfId="24415"/>
    <cellStyle name="Comma 6 2 5 2" xfId="24416"/>
    <cellStyle name="Comma 6 2 5 2 2" xfId="24417"/>
    <cellStyle name="Comma 6 2 5 3" xfId="24418"/>
    <cellStyle name="Comma 6 2 6" xfId="24419"/>
    <cellStyle name="Comma 6 2 6 2" xfId="24420"/>
    <cellStyle name="Comma 6 2 7" xfId="24421"/>
    <cellStyle name="Comma 6 2 7 2" xfId="24422"/>
    <cellStyle name="Comma 6 2 8" xfId="24423"/>
    <cellStyle name="Comma 6 3" xfId="24424"/>
    <cellStyle name="Comma 6 4" xfId="24425"/>
    <cellStyle name="Comma 6 5" xfId="24426"/>
    <cellStyle name="Comma 6_BS retrieve" xfId="24427"/>
    <cellStyle name="Comma 7" xfId="24428"/>
    <cellStyle name="Comma 7 2" xfId="24429"/>
    <cellStyle name="Comma 8" xfId="24430"/>
    <cellStyle name="Comma 8 2" xfId="24431"/>
    <cellStyle name="Comma 9" xfId="24432"/>
    <cellStyle name="Comma 9 2" xfId="24433"/>
    <cellStyle name="Comma 9 2 2" xfId="24434"/>
    <cellStyle name="Comma 9 2 2 2" xfId="24435"/>
    <cellStyle name="Comma 9 2 2 2 2" xfId="24436"/>
    <cellStyle name="Comma 9 2 2 2 2 2" xfId="24437"/>
    <cellStyle name="Comma 9 2 2 2 3" xfId="24438"/>
    <cellStyle name="Comma 9 2 2 3" xfId="24439"/>
    <cellStyle name="Comma 9 2 2 3 2" xfId="24440"/>
    <cellStyle name="Comma 9 2 2 4" xfId="24441"/>
    <cellStyle name="Comma 9 2 2 4 2" xfId="24442"/>
    <cellStyle name="Comma 9 2 2 5" xfId="24443"/>
    <cellStyle name="Comma 9 2 3" xfId="24444"/>
    <cellStyle name="Comma 9 2 3 2" xfId="24445"/>
    <cellStyle name="Comma 9 2 3 2 2" xfId="24446"/>
    <cellStyle name="Comma 9 2 3 2 2 2" xfId="24447"/>
    <cellStyle name="Comma 9 2 3 2 3" xfId="24448"/>
    <cellStyle name="Comma 9 2 3 3" xfId="24449"/>
    <cellStyle name="Comma 9 2 3 3 2" xfId="24450"/>
    <cellStyle name="Comma 9 2 3 4" xfId="24451"/>
    <cellStyle name="Comma 9 2 3 4 2" xfId="24452"/>
    <cellStyle name="Comma 9 2 3 5" xfId="24453"/>
    <cellStyle name="Comma 9 2 4" xfId="24454"/>
    <cellStyle name="Comma 9 2 4 2" xfId="24455"/>
    <cellStyle name="Comma 9 2 4 2 2" xfId="24456"/>
    <cellStyle name="Comma 9 2 4 3" xfId="24457"/>
    <cellStyle name="Comma 9 2 5" xfId="24458"/>
    <cellStyle name="Comma 9 2 5 2" xfId="24459"/>
    <cellStyle name="Comma 9 2 6" xfId="24460"/>
    <cellStyle name="Comma 9 2 6 2" xfId="24461"/>
    <cellStyle name="Comma 9 2 7" xfId="24462"/>
    <cellStyle name="Comma 9 3" xfId="24463"/>
    <cellStyle name="Comma 9 3 2" xfId="24464"/>
    <cellStyle name="Comma 9 3 2 2" xfId="24465"/>
    <cellStyle name="Comma 9 3 2 2 2" xfId="24466"/>
    <cellStyle name="Comma 9 3 2 3" xfId="24467"/>
    <cellStyle name="Comma 9 3 3" xfId="24468"/>
    <cellStyle name="Comma 9 3 3 2" xfId="24469"/>
    <cellStyle name="Comma 9 3 4" xfId="24470"/>
    <cellStyle name="Comma 9 3 4 2" xfId="24471"/>
    <cellStyle name="Comma 9 3 5" xfId="24472"/>
    <cellStyle name="Comma 9 4" xfId="24473"/>
    <cellStyle name="Comma 9 4 2" xfId="24474"/>
    <cellStyle name="Comma 9 4 2 2" xfId="24475"/>
    <cellStyle name="Comma 9 4 2 2 2" xfId="24476"/>
    <cellStyle name="Comma 9 4 2 3" xfId="24477"/>
    <cellStyle name="Comma 9 4 3" xfId="24478"/>
    <cellStyle name="Comma 9 4 3 2" xfId="24479"/>
    <cellStyle name="Comma 9 4 4" xfId="24480"/>
    <cellStyle name="Comma 9 4 4 2" xfId="24481"/>
    <cellStyle name="Comma 9 4 5" xfId="24482"/>
    <cellStyle name="Comma 9 5" xfId="24483"/>
    <cellStyle name="Comma 9 5 2" xfId="24484"/>
    <cellStyle name="Comma 9 5 2 2" xfId="24485"/>
    <cellStyle name="Comma 9 5 3" xfId="24486"/>
    <cellStyle name="Comma 9 6" xfId="24487"/>
    <cellStyle name="Comma 9 6 2" xfId="24488"/>
    <cellStyle name="Comma 9 7" xfId="24489"/>
    <cellStyle name="Comma 9 7 2" xfId="24490"/>
    <cellStyle name="Comma 9 8" xfId="24491"/>
    <cellStyle name="Comma0" xfId="24492"/>
    <cellStyle name="Comma0 2" xfId="24493"/>
    <cellStyle name="Comma0 2 2" xfId="24494"/>
    <cellStyle name="CommaşAPAC Productivity base on New AOP by quarter-0406" xfId="24495"/>
    <cellStyle name="CommaşAPAC Productivity base on New AOP by quarter-0406 2" xfId="24496"/>
    <cellStyle name="Content" xfId="24497"/>
    <cellStyle name="Copied" xfId="24498"/>
    <cellStyle name="Currency (0)" xfId="24499"/>
    <cellStyle name="Currency (0) 2" xfId="24500"/>
    <cellStyle name="Currency (0.00)" xfId="24501"/>
    <cellStyle name="Currency (0.00) 2" xfId="24502"/>
    <cellStyle name="Currency (0.00) 2 2" xfId="24503"/>
    <cellStyle name="Currency (0.00) 2 2 2" xfId="24504"/>
    <cellStyle name="Currency (0.00) 2 2 3" xfId="24505"/>
    <cellStyle name="Currency (0.00) 2 3" xfId="24506"/>
    <cellStyle name="Currency (0.00) 2 3 2" xfId="24507"/>
    <cellStyle name="Currency (0.00) 2 3 3" xfId="24508"/>
    <cellStyle name="Currency (0.00) 2 4" xfId="24509"/>
    <cellStyle name="Currency (0.00) 3" xfId="24510"/>
    <cellStyle name="Currency (0.00) 3 2" xfId="24511"/>
    <cellStyle name="Currency (0.00) 3 3" xfId="24512"/>
    <cellStyle name="Currency (0.00) 4" xfId="24513"/>
    <cellStyle name="Currency (0.00) 4 2" xfId="24514"/>
    <cellStyle name="Currency (0.00) 4 3" xfId="24515"/>
    <cellStyle name="Currency (2)" xfId="24516"/>
    <cellStyle name="Currency (2) 2" xfId="24517"/>
    <cellStyle name="Currency [00]" xfId="24518"/>
    <cellStyle name="Currency [00] 2" xfId="24519"/>
    <cellStyle name="Currency 2" xfId="24520"/>
    <cellStyle name="Currency 2 2" xfId="24521"/>
    <cellStyle name="Currency 2 3" xfId="24522"/>
    <cellStyle name="Currency 2 3 2" xfId="24523"/>
    <cellStyle name="Currency 2 3 2 2" xfId="24524"/>
    <cellStyle name="Currency 2 3 2 2 2" xfId="24525"/>
    <cellStyle name="Currency 2 3 2 2 2 2" xfId="24526"/>
    <cellStyle name="Currency 2 3 2 2 3" xfId="24527"/>
    <cellStyle name="Currency 2 3 2 3" xfId="24528"/>
    <cellStyle name="Currency 2 3 2 3 2" xfId="24529"/>
    <cellStyle name="Currency 2 3 2 4" xfId="24530"/>
    <cellStyle name="Currency 2 3 2 4 2" xfId="24531"/>
    <cellStyle name="Currency 2 3 2 5" xfId="24532"/>
    <cellStyle name="Currency 2 3 3" xfId="24533"/>
    <cellStyle name="Currency 2 3 3 2" xfId="24534"/>
    <cellStyle name="Currency 2 3 3 2 2" xfId="24535"/>
    <cellStyle name="Currency 2 3 3 2 2 2" xfId="24536"/>
    <cellStyle name="Currency 2 3 3 2 3" xfId="24537"/>
    <cellStyle name="Currency 2 3 3 3" xfId="24538"/>
    <cellStyle name="Currency 2 3 3 3 2" xfId="24539"/>
    <cellStyle name="Currency 2 3 3 4" xfId="24540"/>
    <cellStyle name="Currency 2 3 3 4 2" xfId="24541"/>
    <cellStyle name="Currency 2 3 3 5" xfId="24542"/>
    <cellStyle name="Currency 2 3 4" xfId="24543"/>
    <cellStyle name="Currency 2 3 4 2" xfId="24544"/>
    <cellStyle name="Currency 2 3 4 2 2" xfId="24545"/>
    <cellStyle name="Currency 2 3 4 3" xfId="24546"/>
    <cellStyle name="Currency 2 3 5" xfId="24547"/>
    <cellStyle name="Currency 2 3 5 2" xfId="24548"/>
    <cellStyle name="Currency 2 3 6" xfId="24549"/>
    <cellStyle name="Currency 2 3 6 2" xfId="24550"/>
    <cellStyle name="Currency 2 3 7" xfId="24551"/>
    <cellStyle name="Currency 2 4" xfId="24552"/>
    <cellStyle name="Currency 2 4 2" xfId="24553"/>
    <cellStyle name="Currency 2 4 2 2" xfId="24554"/>
    <cellStyle name="Currency 2 4 2 2 2" xfId="24555"/>
    <cellStyle name="Currency 2 4 2 3" xfId="24556"/>
    <cellStyle name="Currency 2 4 3" xfId="24557"/>
    <cellStyle name="Currency 2 4 3 2" xfId="24558"/>
    <cellStyle name="Currency 2 4 4" xfId="24559"/>
    <cellStyle name="Currency 2 4 4 2" xfId="24560"/>
    <cellStyle name="Currency 2 4 5" xfId="24561"/>
    <cellStyle name="Currency 2 5" xfId="24562"/>
    <cellStyle name="Currency 2 5 2" xfId="24563"/>
    <cellStyle name="Currency 2 5 2 2" xfId="24564"/>
    <cellStyle name="Currency 2 5 2 2 2" xfId="24565"/>
    <cellStyle name="Currency 2 5 2 3" xfId="24566"/>
    <cellStyle name="Currency 2 5 3" xfId="24567"/>
    <cellStyle name="Currency 2 5 3 2" xfId="24568"/>
    <cellStyle name="Currency 2 5 4" xfId="24569"/>
    <cellStyle name="Currency 2 5 4 2" xfId="24570"/>
    <cellStyle name="Currency 2 5 5" xfId="24571"/>
    <cellStyle name="Currency 2 6" xfId="24572"/>
    <cellStyle name="Currency 3" xfId="24573"/>
    <cellStyle name="Currency 3 2" xfId="24574"/>
    <cellStyle name="Currency 3 2 2" xfId="24575"/>
    <cellStyle name="Currency 3 2 2 2" xfId="24576"/>
    <cellStyle name="Currency 3 2 2 2 2" xfId="24577"/>
    <cellStyle name="Currency 3 2 2 2 2 2" xfId="24578"/>
    <cellStyle name="Currency 3 2 2 2 3" xfId="24579"/>
    <cellStyle name="Currency 3 2 2 3" xfId="24580"/>
    <cellStyle name="Currency 3 2 2 3 2" xfId="24581"/>
    <cellStyle name="Currency 3 2 2 4" xfId="24582"/>
    <cellStyle name="Currency 3 2 2 4 2" xfId="24583"/>
    <cellStyle name="Currency 3 2 2 5" xfId="24584"/>
    <cellStyle name="Currency 3 2 3" xfId="24585"/>
    <cellStyle name="Currency 3 2 3 2" xfId="24586"/>
    <cellStyle name="Currency 3 2 3 2 2" xfId="24587"/>
    <cellStyle name="Currency 3 2 3 2 2 2" xfId="24588"/>
    <cellStyle name="Currency 3 2 3 2 3" xfId="24589"/>
    <cellStyle name="Currency 3 2 3 3" xfId="24590"/>
    <cellStyle name="Currency 3 2 3 3 2" xfId="24591"/>
    <cellStyle name="Currency 3 2 3 4" xfId="24592"/>
    <cellStyle name="Currency 3 2 3 4 2" xfId="24593"/>
    <cellStyle name="Currency 3 2 3 5" xfId="24594"/>
    <cellStyle name="Currency 3 2 4" xfId="24595"/>
    <cellStyle name="Currency 3 2 4 2" xfId="24596"/>
    <cellStyle name="Currency 3 2 4 2 2" xfId="24597"/>
    <cellStyle name="Currency 3 2 4 3" xfId="24598"/>
    <cellStyle name="Currency 3 2 5" xfId="24599"/>
    <cellStyle name="Currency 3 2 5 2" xfId="24600"/>
    <cellStyle name="Currency 3 2 6" xfId="24601"/>
    <cellStyle name="Currency 3 2 6 2" xfId="24602"/>
    <cellStyle name="Currency 3 2 7" xfId="24603"/>
    <cellStyle name="Currency 3 3" xfId="24604"/>
    <cellStyle name="Currency 3 3 2" xfId="24605"/>
    <cellStyle name="Currency 3 3 2 2" xfId="24606"/>
    <cellStyle name="Currency 3 3 2 2 2" xfId="24607"/>
    <cellStyle name="Currency 3 3 2 3" xfId="24608"/>
    <cellStyle name="Currency 3 3 3" xfId="24609"/>
    <cellStyle name="Currency 3 3 3 2" xfId="24610"/>
    <cellStyle name="Currency 3 3 4" xfId="24611"/>
    <cellStyle name="Currency 3 3 4 2" xfId="24612"/>
    <cellStyle name="Currency 3 3 5" xfId="24613"/>
    <cellStyle name="Currency 3 4" xfId="24614"/>
    <cellStyle name="Currency 3 4 2" xfId="24615"/>
    <cellStyle name="Currency 3 4 2 2" xfId="24616"/>
    <cellStyle name="Currency 3 4 2 2 2" xfId="24617"/>
    <cellStyle name="Currency 3 4 2 3" xfId="24618"/>
    <cellStyle name="Currency 3 4 3" xfId="24619"/>
    <cellStyle name="Currency 3 4 3 2" xfId="24620"/>
    <cellStyle name="Currency 3 4 4" xfId="24621"/>
    <cellStyle name="Currency 3 4 4 2" xfId="24622"/>
    <cellStyle name="Currency 3 4 5" xfId="24623"/>
    <cellStyle name="Currency 3 5" xfId="24624"/>
    <cellStyle name="Currency 4" xfId="24625"/>
    <cellStyle name="Currency 4 2" xfId="24626"/>
    <cellStyle name="Currency 4 3" xfId="24627"/>
    <cellStyle name="Currency 4 3 2" xfId="24628"/>
    <cellStyle name="Currency 4 3 2 2" xfId="24629"/>
    <cellStyle name="Currency 4 3 2 2 2" xfId="24630"/>
    <cellStyle name="Currency 4 3 2 2 2 2" xfId="24631"/>
    <cellStyle name="Currency 4 3 2 2 3" xfId="24632"/>
    <cellStyle name="Currency 4 3 2 3" xfId="24633"/>
    <cellStyle name="Currency 4 3 2 3 2" xfId="24634"/>
    <cellStyle name="Currency 4 3 2 4" xfId="24635"/>
    <cellStyle name="Currency 4 3 2 4 2" xfId="24636"/>
    <cellStyle name="Currency 4 3 2 5" xfId="24637"/>
    <cellStyle name="Currency 4 3 3" xfId="24638"/>
    <cellStyle name="Currency 4 3 3 2" xfId="24639"/>
    <cellStyle name="Currency 4 3 3 2 2" xfId="24640"/>
    <cellStyle name="Currency 4 3 3 2 2 2" xfId="24641"/>
    <cellStyle name="Currency 4 3 3 2 3" xfId="24642"/>
    <cellStyle name="Currency 4 3 3 3" xfId="24643"/>
    <cellStyle name="Currency 4 3 3 3 2" xfId="24644"/>
    <cellStyle name="Currency 4 3 3 4" xfId="24645"/>
    <cellStyle name="Currency 4 3 3 4 2" xfId="24646"/>
    <cellStyle name="Currency 4 3 3 5" xfId="24647"/>
    <cellStyle name="Currency 4 3 4" xfId="24648"/>
    <cellStyle name="Currency 4 3 4 2" xfId="24649"/>
    <cellStyle name="Currency 4 3 4 2 2" xfId="24650"/>
    <cellStyle name="Currency 4 3 4 3" xfId="24651"/>
    <cellStyle name="Currency 4 3 5" xfId="24652"/>
    <cellStyle name="Currency 4 3 5 2" xfId="24653"/>
    <cellStyle name="Currency 4 3 6" xfId="24654"/>
    <cellStyle name="Currency 4 3 6 2" xfId="24655"/>
    <cellStyle name="Currency 4 3 7" xfId="24656"/>
    <cellStyle name="Currency 4 4" xfId="24657"/>
    <cellStyle name="Currency 4 4 2" xfId="24658"/>
    <cellStyle name="Currency 4 4 2 2" xfId="24659"/>
    <cellStyle name="Currency 4 4 2 2 2" xfId="24660"/>
    <cellStyle name="Currency 4 4 2 3" xfId="24661"/>
    <cellStyle name="Currency 4 4 3" xfId="24662"/>
    <cellStyle name="Currency 4 4 3 2" xfId="24663"/>
    <cellStyle name="Currency 4 4 4" xfId="24664"/>
    <cellStyle name="Currency 4 4 4 2" xfId="24665"/>
    <cellStyle name="Currency 4 4 5" xfId="24666"/>
    <cellStyle name="Currency 4 5" xfId="24667"/>
    <cellStyle name="Currency 4 5 2" xfId="24668"/>
    <cellStyle name="Currency 4 5 2 2" xfId="24669"/>
    <cellStyle name="Currency 4 5 2 2 2" xfId="24670"/>
    <cellStyle name="Currency 4 5 2 3" xfId="24671"/>
    <cellStyle name="Currency 4 5 3" xfId="24672"/>
    <cellStyle name="Currency 4 5 3 2" xfId="24673"/>
    <cellStyle name="Currency 4 5 4" xfId="24674"/>
    <cellStyle name="Currency 4 5 4 2" xfId="24675"/>
    <cellStyle name="Currency 4 5 5" xfId="24676"/>
    <cellStyle name="Currency 4 6" xfId="24677"/>
    <cellStyle name="Currency 5" xfId="24678"/>
    <cellStyle name="Currency 5 2" xfId="24679"/>
    <cellStyle name="Currency 5 2 2" xfId="24680"/>
    <cellStyle name="Currency 5 2 2 2" xfId="24681"/>
    <cellStyle name="Currency 5 2 2 2 2" xfId="24682"/>
    <cellStyle name="Currency 5 2 2 2 2 2" xfId="24683"/>
    <cellStyle name="Currency 5 2 2 2 3" xfId="24684"/>
    <cellStyle name="Currency 5 2 2 3" xfId="24685"/>
    <cellStyle name="Currency 5 2 2 3 2" xfId="24686"/>
    <cellStyle name="Currency 5 2 2 4" xfId="24687"/>
    <cellStyle name="Currency 5 2 2 4 2" xfId="24688"/>
    <cellStyle name="Currency 5 2 2 5" xfId="24689"/>
    <cellStyle name="Currency 5 2 3" xfId="24690"/>
    <cellStyle name="Currency 5 2 3 2" xfId="24691"/>
    <cellStyle name="Currency 5 2 3 2 2" xfId="24692"/>
    <cellStyle name="Currency 5 2 3 2 2 2" xfId="24693"/>
    <cellStyle name="Currency 5 2 3 2 3" xfId="24694"/>
    <cellStyle name="Currency 5 2 3 3" xfId="24695"/>
    <cellStyle name="Currency 5 2 3 3 2" xfId="24696"/>
    <cellStyle name="Currency 5 2 3 4" xfId="24697"/>
    <cellStyle name="Currency 5 2 3 4 2" xfId="24698"/>
    <cellStyle name="Currency 5 2 3 5" xfId="24699"/>
    <cellStyle name="Currency 5 2 4" xfId="24700"/>
    <cellStyle name="Currency 5 2 4 2" xfId="24701"/>
    <cellStyle name="Currency 5 2 4 2 2" xfId="24702"/>
    <cellStyle name="Currency 5 2 4 3" xfId="24703"/>
    <cellStyle name="Currency 5 2 5" xfId="24704"/>
    <cellStyle name="Currency 5 2 5 2" xfId="24705"/>
    <cellStyle name="Currency 5 2 6" xfId="24706"/>
    <cellStyle name="Currency 5 2 6 2" xfId="24707"/>
    <cellStyle name="Currency 5 2 7" xfId="24708"/>
    <cellStyle name="Currency 5 3" xfId="24709"/>
    <cellStyle name="Currency 5 3 2" xfId="24710"/>
    <cellStyle name="Currency 5 3 2 2" xfId="24711"/>
    <cellStyle name="Currency 5 3 2 2 2" xfId="24712"/>
    <cellStyle name="Currency 5 3 2 3" xfId="24713"/>
    <cellStyle name="Currency 5 3 3" xfId="24714"/>
    <cellStyle name="Currency 5 3 3 2" xfId="24715"/>
    <cellStyle name="Currency 5 3 4" xfId="24716"/>
    <cellStyle name="Currency 5 3 4 2" xfId="24717"/>
    <cellStyle name="Currency 5 3 5" xfId="24718"/>
    <cellStyle name="Currency 5 4" xfId="24719"/>
    <cellStyle name="Currency 5 4 2" xfId="24720"/>
    <cellStyle name="Currency 5 4 2 2" xfId="24721"/>
    <cellStyle name="Currency 5 4 2 2 2" xfId="24722"/>
    <cellStyle name="Currency 5 4 2 3" xfId="24723"/>
    <cellStyle name="Currency 5 4 3" xfId="24724"/>
    <cellStyle name="Currency 5 4 3 2" xfId="24725"/>
    <cellStyle name="Currency 5 4 4" xfId="24726"/>
    <cellStyle name="Currency 5 4 4 2" xfId="24727"/>
    <cellStyle name="Currency 5 4 5" xfId="24728"/>
    <cellStyle name="Currency 5 5" xfId="24729"/>
    <cellStyle name="Currency 5 5 2" xfId="24730"/>
    <cellStyle name="Currency 5 5 2 2" xfId="24731"/>
    <cellStyle name="Currency 5 5 2 2 2" xfId="24732"/>
    <cellStyle name="Currency 5 5 2 3" xfId="24733"/>
    <cellStyle name="Currency 5 5 3" xfId="24734"/>
    <cellStyle name="Currency 5 5 3 2" xfId="24735"/>
    <cellStyle name="Currency 5 5 4" xfId="24736"/>
    <cellStyle name="Currency 5 5 4 2" xfId="24737"/>
    <cellStyle name="Currency 5 5 5" xfId="24738"/>
    <cellStyle name="Currency 5 6" xfId="24739"/>
    <cellStyle name="Currency 5 6 2" xfId="24740"/>
    <cellStyle name="Currency 5 6 2 2" xfId="24741"/>
    <cellStyle name="Currency 5 6 3" xfId="24742"/>
    <cellStyle name="Currency 5 7" xfId="24743"/>
    <cellStyle name="Currency 5 7 2" xfId="24744"/>
    <cellStyle name="Currency 5 8" xfId="24745"/>
    <cellStyle name="Currency 5 8 2" xfId="24746"/>
    <cellStyle name="Currency 5 9" xfId="24747"/>
    <cellStyle name="Currency 6" xfId="24748"/>
    <cellStyle name="Currency 6 2" xfId="24749"/>
    <cellStyle name="Currency 6 2 2" xfId="24750"/>
    <cellStyle name="Currency 6 2 2 2" xfId="24751"/>
    <cellStyle name="Currency 6 2 3" xfId="24752"/>
    <cellStyle name="Currency 6 3" xfId="24753"/>
    <cellStyle name="Currency 6 3 2" xfId="24754"/>
    <cellStyle name="Currency 6 4" xfId="24755"/>
    <cellStyle name="Currency 6 4 2" xfId="24756"/>
    <cellStyle name="Currency 6 5" xfId="24757"/>
    <cellStyle name="Currency 7" xfId="24758"/>
    <cellStyle name="Currency 7 2" xfId="24759"/>
    <cellStyle name="Currency 7 2 2" xfId="24760"/>
    <cellStyle name="Currency 7 2 2 2" xfId="24761"/>
    <cellStyle name="Currency 7 2 3" xfId="24762"/>
    <cellStyle name="Currency 7 3" xfId="24763"/>
    <cellStyle name="Currency 7 3 2" xfId="24764"/>
    <cellStyle name="Currency 7 4" xfId="24765"/>
    <cellStyle name="Currency 7 4 2" xfId="24766"/>
    <cellStyle name="Currency 7 5" xfId="24767"/>
    <cellStyle name="Currency0" xfId="24768"/>
    <cellStyle name="Currency0 2" xfId="24769"/>
    <cellStyle name="Currency0_BS retrieve" xfId="24770"/>
    <cellStyle name="Dan" xfId="24771"/>
    <cellStyle name="Dark Title" xfId="24772"/>
    <cellStyle name="Data" xfId="24773"/>
    <cellStyle name="Data 2" xfId="24774"/>
    <cellStyle name="Data 2 2" xfId="24775"/>
    <cellStyle name="Data 2 2 2" xfId="24776"/>
    <cellStyle name="Data 2 2 3" xfId="24777"/>
    <cellStyle name="Data 2 3" xfId="24778"/>
    <cellStyle name="Data 2 3 2" xfId="24779"/>
    <cellStyle name="Data 2 3 3" xfId="24780"/>
    <cellStyle name="Data 2 4" xfId="24781"/>
    <cellStyle name="Data 2 5" xfId="24782"/>
    <cellStyle name="Data 3" xfId="24783"/>
    <cellStyle name="Date" xfId="24784"/>
    <cellStyle name="Date 2" xfId="24785"/>
    <cellStyle name="Date Short" xfId="24786"/>
    <cellStyle name="Date_BS retrieve" xfId="24787"/>
    <cellStyle name="Date-Time" xfId="24788"/>
    <cellStyle name="Decimal 1" xfId="24789"/>
    <cellStyle name="Decimal 2" xfId="24790"/>
    <cellStyle name="Decimal 3" xfId="24791"/>
    <cellStyle name="DELTA" xfId="24792"/>
    <cellStyle name="DELTA 2" xfId="24793"/>
    <cellStyle name="Dezimal [0]_1994 - 1998" xfId="24794"/>
    <cellStyle name="Dezimal_1994 - 1998" xfId="24795"/>
    <cellStyle name="diskette" xfId="24796"/>
    <cellStyle name="Dziesiętny [0]_D" xfId="24797"/>
    <cellStyle name="Dziesietny [0]_Zeszyt1" xfId="24798"/>
    <cellStyle name="Dziesiętny [0]_Zeszyt1" xfId="24799"/>
    <cellStyle name="Dziesietny [0]_Zeszyt1 2" xfId="24800"/>
    <cellStyle name="Dziesiętny [0]_Zeszyt1 2" xfId="24801"/>
    <cellStyle name="Dziesietny [0]_Zeszyt1 3" xfId="24802"/>
    <cellStyle name="Dziesiętny [0]_Zeszyt1 3" xfId="24803"/>
    <cellStyle name="Dziesietny [0]_Zeszyt1 4" xfId="24804"/>
    <cellStyle name="Dziesiętny [0]_Zeszyt1 4" xfId="24805"/>
    <cellStyle name="Dziesietny [0]_Zeszyt1 5" xfId="24806"/>
    <cellStyle name="Dziesiętny [0]_Zeszyt1 5" xfId="24807"/>
    <cellStyle name="Dziesietny [0]_Zeszyt1_Book2" xfId="24808"/>
    <cellStyle name="Dziesiętny [0]_Zeszyt1_Book2" xfId="24809"/>
    <cellStyle name="Dziesietny [0]_Zeszyt1_Book2 2" xfId="24810"/>
    <cellStyle name="Dziesiętny [0]_Zeszyt1_Book2 2" xfId="24811"/>
    <cellStyle name="Dziesietny [0]_Zeszyt1_Book2 3" xfId="24812"/>
    <cellStyle name="Dziesiętny [0]_Zeszyt1_Book2 3" xfId="24813"/>
    <cellStyle name="Dziesietny [0]_Zeszyt1_Book2 4" xfId="24814"/>
    <cellStyle name="Dziesiętny [0]_Zeszyt1_Book2 4" xfId="24815"/>
    <cellStyle name="Dziesietny [0]_Zeszyt1_Book2 5" xfId="24816"/>
    <cellStyle name="Dziesiętny [0]_Zeszyt1_Book2 5" xfId="24817"/>
    <cellStyle name="Dziesietny [0]_Zeszyt1_Book2_1" xfId="24818"/>
    <cellStyle name="Dziesiętny [0]_Zeszyt1_Book2_1" xfId="24819"/>
    <cellStyle name="Dziesietny [0]_Zeszyt1_Camb calc2002_4_Rev 1508" xfId="24820"/>
    <cellStyle name="Dziesiętny [0]_Zeszyt1_Camb calc2002_4_Rev 1508" xfId="24821"/>
    <cellStyle name="Dziesietny [0]_Zeszyt1_Camb calc2002_4_Rev 1508 2" xfId="24822"/>
    <cellStyle name="Dziesiętny [0]_Zeszyt1_Camb calc2002_4_Rev 1508 2" xfId="24823"/>
    <cellStyle name="Dziesietny [0]_Zeszyt1_Camb calc2002_4_Rev 1508 3" xfId="24824"/>
    <cellStyle name="Dziesiętny [0]_Zeszyt1_Camb calc2002_4_Rev 1508 3" xfId="24825"/>
    <cellStyle name="Dziesietny [0]_Zeszyt1_Camb calc2002_4_Rev 1508 4" xfId="24826"/>
    <cellStyle name="Dziesiętny [0]_Zeszyt1_Camb calc2002_4_Rev 1508 4" xfId="24827"/>
    <cellStyle name="Dziesietny [0]_Zeszyt1_Camb calc2002_4_Rev 1508 5" xfId="24828"/>
    <cellStyle name="Dziesiętny [0]_Zeszyt1_Camb calc2002_4_Rev 1508 5" xfId="24829"/>
    <cellStyle name="Dziesiętny_D" xfId="24830"/>
    <cellStyle name="Dziesietny_Zeszyt1" xfId="24831"/>
    <cellStyle name="Dziesiętny_Zeszyt1" xfId="24832"/>
    <cellStyle name="Dziesietny_Zeszyt1 2" xfId="24833"/>
    <cellStyle name="Dziesiętny_Zeszyt1 2" xfId="24834"/>
    <cellStyle name="Dziesietny_Zeszyt1 3" xfId="24835"/>
    <cellStyle name="Dziesiętny_Zeszyt1 3" xfId="24836"/>
    <cellStyle name="Dziesietny_Zeszyt1 4" xfId="24837"/>
    <cellStyle name="Dziesiętny_Zeszyt1 4" xfId="24838"/>
    <cellStyle name="Dziesietny_Zeszyt1 5" xfId="24839"/>
    <cellStyle name="Dziesiętny_Zeszyt1 5" xfId="24840"/>
    <cellStyle name="Dziesietny_Zeszyt1_Book2" xfId="24841"/>
    <cellStyle name="Dziesiętny_Zeszyt1_Book2" xfId="24842"/>
    <cellStyle name="Dziesietny_Zeszyt1_Book2 2" xfId="24843"/>
    <cellStyle name="Dziesiętny_Zeszyt1_Book2 2" xfId="24844"/>
    <cellStyle name="Dziesietny_Zeszyt1_Book2 3" xfId="24845"/>
    <cellStyle name="Dziesiętny_Zeszyt1_Book2 3" xfId="24846"/>
    <cellStyle name="Dziesietny_Zeszyt1_Book2 4" xfId="24847"/>
    <cellStyle name="Dziesiętny_Zeszyt1_Book2 4" xfId="24848"/>
    <cellStyle name="Dziesietny_Zeszyt1_Book2 5" xfId="24849"/>
    <cellStyle name="Dziesiętny_Zeszyt1_Book2 5" xfId="24850"/>
    <cellStyle name="Dziesietny_Zeszyt1_Book2_1" xfId="24851"/>
    <cellStyle name="Dziesiętny_Zeszyt1_Book2_1" xfId="24852"/>
    <cellStyle name="Dziesietny_Zeszyt1_Camb calc2002_4_Rev 1508" xfId="24853"/>
    <cellStyle name="Dziesiętny_Zeszyt1_Camb calc2002_4_Rev 1508" xfId="24854"/>
    <cellStyle name="Dziesietny_Zeszyt1_Camb calc2002_4_Rev 1508 2" xfId="24855"/>
    <cellStyle name="Dziesiętny_Zeszyt1_Camb calc2002_4_Rev 1508 2" xfId="24856"/>
    <cellStyle name="Dziesietny_Zeszyt1_Camb calc2002_4_Rev 1508 3" xfId="24857"/>
    <cellStyle name="Dziesiętny_Zeszyt1_Camb calc2002_4_Rev 1508 3" xfId="24858"/>
    <cellStyle name="Dziesietny_Zeszyt1_Camb calc2002_4_Rev 1508 4" xfId="24859"/>
    <cellStyle name="Dziesiętny_Zeszyt1_Camb calc2002_4_Rev 1508 4" xfId="24860"/>
    <cellStyle name="Dziesietny_Zeszyt1_Camb calc2002_4_Rev 1508 5" xfId="24861"/>
    <cellStyle name="Dziesiętny_Zeszyt1_Camb calc2002_4_Rev 1508 5" xfId="24862"/>
    <cellStyle name="Enter Currency (0)" xfId="24863"/>
    <cellStyle name="Enter Currency (0) 2" xfId="24864"/>
    <cellStyle name="Enter Currency (2)" xfId="24865"/>
    <cellStyle name="Enter Currency (2) 2" xfId="24866"/>
    <cellStyle name="Enter Units (0)" xfId="24867"/>
    <cellStyle name="Enter Units (0) 2" xfId="24868"/>
    <cellStyle name="Enter Units (1)" xfId="24869"/>
    <cellStyle name="Enter Units (1) 2" xfId="24870"/>
    <cellStyle name="Enter Units (2)" xfId="24871"/>
    <cellStyle name="Enter Units (2) 2" xfId="24872"/>
    <cellStyle name="Entered" xfId="24873"/>
    <cellStyle name="entry" xfId="24874"/>
    <cellStyle name="Euro" xfId="24875"/>
    <cellStyle name="Euro 2" xfId="24876"/>
    <cellStyle name="Euro 3" xfId="24877"/>
    <cellStyle name="Euro_BS retrieve" xfId="24878"/>
    <cellStyle name="Excel Built-in Normal" xfId="24879"/>
    <cellStyle name="Explanatory Text 2" xfId="24880"/>
    <cellStyle name="Explanatory Text 2 2" xfId="24881"/>
    <cellStyle name="Explanatory Text 2 3" xfId="24882"/>
    <cellStyle name="Explanatory Text 3" xfId="24883"/>
    <cellStyle name="EYBlocked" xfId="24884"/>
    <cellStyle name="EYCallUp" xfId="24885"/>
    <cellStyle name="EYCheck" xfId="24886"/>
    <cellStyle name="EYDate" xfId="24887"/>
    <cellStyle name="EYDeviant" xfId="24888"/>
    <cellStyle name="EYHeader1" xfId="24889"/>
    <cellStyle name="EYHeader1 2" xfId="24890"/>
    <cellStyle name="EYHeader1 2 2" xfId="24891"/>
    <cellStyle name="EYHeader1 2 2 2" xfId="24892"/>
    <cellStyle name="EYHeader1 2 2 3" xfId="24893"/>
    <cellStyle name="EYHeader1 2 3" xfId="24894"/>
    <cellStyle name="EYHeader1 2 3 2" xfId="24895"/>
    <cellStyle name="EYHeader1 2 3 3" xfId="24896"/>
    <cellStyle name="EYHeader1 2 4" xfId="24897"/>
    <cellStyle name="EYHeader1 2 5" xfId="24898"/>
    <cellStyle name="EYHeader1 3" xfId="24899"/>
    <cellStyle name="EYHeader1 3 2" xfId="24900"/>
    <cellStyle name="EYHeader1 3 3" xfId="24901"/>
    <cellStyle name="EYHeader1 4" xfId="24902"/>
    <cellStyle name="EYHeader2" xfId="24903"/>
    <cellStyle name="EYHeader3" xfId="24904"/>
    <cellStyle name="EYInputDate" xfId="24905"/>
    <cellStyle name="EYInputPercent" xfId="24906"/>
    <cellStyle name="EYInputValue" xfId="24907"/>
    <cellStyle name="EYNormal" xfId="24908"/>
    <cellStyle name="EYPercent" xfId="24909"/>
    <cellStyle name="EYPercentCapped" xfId="24910"/>
    <cellStyle name="EYSubTotal" xfId="24911"/>
    <cellStyle name="EYSubTotal 2" xfId="24912"/>
    <cellStyle name="EYSubTotal 2 2" xfId="24913"/>
    <cellStyle name="EYSubTotal 2 2 2" xfId="24914"/>
    <cellStyle name="EYSubTotal 2 2 3" xfId="24915"/>
    <cellStyle name="EYSubTotal 2 3" xfId="24916"/>
    <cellStyle name="EYSubTotal 2 3 2" xfId="24917"/>
    <cellStyle name="EYSubTotal 2 3 3" xfId="24918"/>
    <cellStyle name="EYSubTotal 2 4" xfId="24919"/>
    <cellStyle name="EYSubTotal 2 5" xfId="24920"/>
    <cellStyle name="EYSubTotal 3" xfId="24921"/>
    <cellStyle name="EYSubTotal 3 2" xfId="24922"/>
    <cellStyle name="EYSubTotal 3 3" xfId="24923"/>
    <cellStyle name="EYSubTotal 4" xfId="24924"/>
    <cellStyle name="EYTotal" xfId="24925"/>
    <cellStyle name="EYWIP" xfId="24926"/>
    <cellStyle name="Ezres [0]_Ausdruck" xfId="24927"/>
    <cellStyle name="Ezres_Ausdruck" xfId="24928"/>
    <cellStyle name="Fixed" xfId="24929"/>
    <cellStyle name="Fixed 2" xfId="24930"/>
    <cellStyle name="Fixed 2 2" xfId="24931"/>
    <cellStyle name="Fixed_BS retrieve" xfId="24932"/>
    <cellStyle name="Flag" xfId="24933"/>
    <cellStyle name="Flag 2" xfId="24934"/>
    <cellStyle name="Forecast" xfId="24935"/>
    <cellStyle name="General" xfId="24936"/>
    <cellStyle name="Good 2" xfId="24937"/>
    <cellStyle name="Good 2 2" xfId="24938"/>
    <cellStyle name="Good 2 3" xfId="24939"/>
    <cellStyle name="Good 3" xfId="24940"/>
    <cellStyle name="Grey" xfId="24941"/>
    <cellStyle name="Grey 2" xfId="24942"/>
    <cellStyle name="hard no." xfId="24943"/>
    <cellStyle name="hard no. 2" xfId="24944"/>
    <cellStyle name="hard no. 2 2" xfId="24945"/>
    <cellStyle name="hard no. 2 2 2" xfId="24946"/>
    <cellStyle name="hard no. 2 2 3" xfId="24947"/>
    <cellStyle name="hard no. 2 3" xfId="24948"/>
    <cellStyle name="hard no. 2 3 2" xfId="24949"/>
    <cellStyle name="hard no. 2 3 3" xfId="24950"/>
    <cellStyle name="hard no. 2 4" xfId="24951"/>
    <cellStyle name="hard no. 3" xfId="24952"/>
    <cellStyle name="hard no. 3 2" xfId="24953"/>
    <cellStyle name="hard no. 3 3" xfId="24954"/>
    <cellStyle name="hard no. 4" xfId="24955"/>
    <cellStyle name="hard no. 4 2" xfId="24956"/>
    <cellStyle name="hard no. 4 3" xfId="24957"/>
    <cellStyle name="Head" xfId="24958"/>
    <cellStyle name="Header1" xfId="24959"/>
    <cellStyle name="Header1 2" xfId="24960"/>
    <cellStyle name="Header2" xfId="24961"/>
    <cellStyle name="Header2 2" xfId="24962"/>
    <cellStyle name="Header2 2 2" xfId="24963"/>
    <cellStyle name="Header2 2 2 2" xfId="24964"/>
    <cellStyle name="Header2 2 2 2 2" xfId="24965"/>
    <cellStyle name="Header2 2 2 2 3" xfId="24966"/>
    <cellStyle name="Header2 2 2 3" xfId="24967"/>
    <cellStyle name="Header2 2 2 3 2" xfId="24968"/>
    <cellStyle name="Header2 2 2 3 3" xfId="24969"/>
    <cellStyle name="Header2 2 2 4" xfId="24970"/>
    <cellStyle name="Header2 2 2 5" xfId="24971"/>
    <cellStyle name="Header2 2 3" xfId="24972"/>
    <cellStyle name="Header2 2 3 2" xfId="24973"/>
    <cellStyle name="Header2 2 3 3" xfId="24974"/>
    <cellStyle name="Header2 2 4" xfId="24975"/>
    <cellStyle name="Header2 3" xfId="24976"/>
    <cellStyle name="Header2 3 2" xfId="24977"/>
    <cellStyle name="Header2 3 2 2" xfId="24978"/>
    <cellStyle name="Header2 3 2 3" xfId="24979"/>
    <cellStyle name="Header2 3 3" xfId="24980"/>
    <cellStyle name="Header2 3 3 2" xfId="24981"/>
    <cellStyle name="Header2 3 3 3" xfId="24982"/>
    <cellStyle name="Header2 3 4" xfId="24983"/>
    <cellStyle name="Header2 3 5" xfId="24984"/>
    <cellStyle name="Header2 4" xfId="24985"/>
    <cellStyle name="Header2 4 2" xfId="24986"/>
    <cellStyle name="Header2 4 3" xfId="24987"/>
    <cellStyle name="Header2 5" xfId="24988"/>
    <cellStyle name="Header2_BS retrieve" xfId="24989"/>
    <cellStyle name="Heading" xfId="24990"/>
    <cellStyle name="Heading 1 2" xfId="24991"/>
    <cellStyle name="Heading 1 2 2" xfId="24992"/>
    <cellStyle name="Heading 1 2 3" xfId="24993"/>
    <cellStyle name="Heading 1 3" xfId="24994"/>
    <cellStyle name="Heading 2 2" xfId="24995"/>
    <cellStyle name="Heading 2 2 2" xfId="24996"/>
    <cellStyle name="Heading 2 2 3" xfId="24997"/>
    <cellStyle name="Heading 2 3" xfId="24998"/>
    <cellStyle name="Heading 3 2" xfId="24999"/>
    <cellStyle name="Heading 3 2 2" xfId="25000"/>
    <cellStyle name="Heading 3 2 3" xfId="25001"/>
    <cellStyle name="Heading 3 3" xfId="25002"/>
    <cellStyle name="Heading 4 2" xfId="25003"/>
    <cellStyle name="Heading 4 2 2" xfId="25004"/>
    <cellStyle name="Heading 4 2 3" xfId="25005"/>
    <cellStyle name="Heading 4 3" xfId="25006"/>
    <cellStyle name="Heading1" xfId="25007"/>
    <cellStyle name="Heading2" xfId="25008"/>
    <cellStyle name="Heading3" xfId="25009"/>
    <cellStyle name="Heading4" xfId="25010"/>
    <cellStyle name="Heading5" xfId="25011"/>
    <cellStyle name="Heading6" xfId="25012"/>
    <cellStyle name="Horizontal" xfId="25013"/>
    <cellStyle name="Horizontal 2" xfId="25014"/>
    <cellStyle name="Hyperlink 2" xfId="25015"/>
    <cellStyle name="Hyperlink 2 2" xfId="25016"/>
    <cellStyle name="Hyperlink 2 3" xfId="25017"/>
    <cellStyle name="Hyperlink 2 4" xfId="25018"/>
    <cellStyle name="Hyperlink 3" xfId="25019"/>
    <cellStyle name="Hyperlink 3 2" xfId="25020"/>
    <cellStyle name="Hyperlink 4" xfId="25021"/>
    <cellStyle name="Hyperlink 4 2" xfId="25022"/>
    <cellStyle name="Hyperlink 5" xfId="25023"/>
    <cellStyle name="Îáû÷íûé_UPL-pers" xfId="25024"/>
    <cellStyle name="Indent" xfId="25025"/>
    <cellStyle name="Input %" xfId="25026"/>
    <cellStyle name="Input [yellow]" xfId="25027"/>
    <cellStyle name="Input [yellow] 2" xfId="25028"/>
    <cellStyle name="Input [yellow] 2 2" xfId="25029"/>
    <cellStyle name="Input [yellow] 2 2 2" xfId="25030"/>
    <cellStyle name="Input [yellow] 2 2 2 2" xfId="25031"/>
    <cellStyle name="Input [yellow] 2 2 2 3" xfId="25032"/>
    <cellStyle name="Input [yellow] 2 2 3" xfId="25033"/>
    <cellStyle name="Input [yellow] 2 2 3 2" xfId="25034"/>
    <cellStyle name="Input [yellow] 2 2 3 3" xfId="25035"/>
    <cellStyle name="Input [yellow] 2 2 4" xfId="25036"/>
    <cellStyle name="Input [yellow] 2 3" xfId="25037"/>
    <cellStyle name="Input [yellow] 2 3 2" xfId="25038"/>
    <cellStyle name="Input [yellow] 2 3 3" xfId="25039"/>
    <cellStyle name="Input [yellow] 2 4" xfId="25040"/>
    <cellStyle name="Input [yellow] 2 4 2" xfId="25041"/>
    <cellStyle name="Input [yellow] 2 4 3" xfId="25042"/>
    <cellStyle name="Input [yellow] 3" xfId="25043"/>
    <cellStyle name="Input [yellow] 3 2" xfId="25044"/>
    <cellStyle name="Input [yellow] 3 2 2" xfId="25045"/>
    <cellStyle name="Input [yellow] 3 2 3" xfId="25046"/>
    <cellStyle name="Input [yellow] 3 3" xfId="25047"/>
    <cellStyle name="Input [yellow] 3 3 2" xfId="25048"/>
    <cellStyle name="Input [yellow] 3 3 3" xfId="25049"/>
    <cellStyle name="Input [yellow] 3 4" xfId="25050"/>
    <cellStyle name="Input [yellow] 4" xfId="25051"/>
    <cellStyle name="Input [yellow] 4 2" xfId="25052"/>
    <cellStyle name="Input [yellow] 4 3" xfId="25053"/>
    <cellStyle name="Input [yellow] 5" xfId="25054"/>
    <cellStyle name="Input [yellow] 5 2" xfId="25055"/>
    <cellStyle name="Input [yellow] 5 3" xfId="25056"/>
    <cellStyle name="Input 1" xfId="25057"/>
    <cellStyle name="Input 2" xfId="25058"/>
    <cellStyle name="Input 2 2" xfId="25059"/>
    <cellStyle name="Input 2 3" xfId="25060"/>
    <cellStyle name="Input 2 3 2" xfId="25061"/>
    <cellStyle name="Input 2 3 2 2" xfId="25062"/>
    <cellStyle name="Input 2 3 2 3" xfId="25063"/>
    <cellStyle name="Input 2 3 3" xfId="25064"/>
    <cellStyle name="Input 2 3 3 2" xfId="25065"/>
    <cellStyle name="Input 2 3 3 3" xfId="25066"/>
    <cellStyle name="Input 2 3 4" xfId="25067"/>
    <cellStyle name="Input 2 3 5" xfId="25068"/>
    <cellStyle name="Input 2 4" xfId="25069"/>
    <cellStyle name="Input 2 4 2" xfId="25070"/>
    <cellStyle name="Input 2 4 3" xfId="25071"/>
    <cellStyle name="Input 2 5" xfId="25072"/>
    <cellStyle name="Input 2 6" xfId="25073"/>
    <cellStyle name="Input 3" xfId="25074"/>
    <cellStyle name="Input 3 2" xfId="25075"/>
    <cellStyle name="Input 3 2 2" xfId="25076"/>
    <cellStyle name="Input 3 2 2 2" xfId="25077"/>
    <cellStyle name="Input 3 2 2 3" xfId="25078"/>
    <cellStyle name="Input 3 2 3" xfId="25079"/>
    <cellStyle name="Input 3 2 3 2" xfId="25080"/>
    <cellStyle name="Input 3 2 3 3" xfId="25081"/>
    <cellStyle name="Input 3 2 4" xfId="25082"/>
    <cellStyle name="Input 3 2 5" xfId="25083"/>
    <cellStyle name="Input 3 3" xfId="25084"/>
    <cellStyle name="Input 3 3 2" xfId="25085"/>
    <cellStyle name="Input 3 3 3" xfId="25086"/>
    <cellStyle name="Input 3 4" xfId="25087"/>
    <cellStyle name="Input 3 5" xfId="25088"/>
    <cellStyle name="Input 4" xfId="25089"/>
    <cellStyle name="Input 4 2" xfId="25090"/>
    <cellStyle name="Input 4 2 2" xfId="25091"/>
    <cellStyle name="Input 4 2 2 2" xfId="25092"/>
    <cellStyle name="Input 4 2 2 3" xfId="25093"/>
    <cellStyle name="Input 4 2 3" xfId="25094"/>
    <cellStyle name="Input 4 2 3 2" xfId="25095"/>
    <cellStyle name="Input 4 2 3 3" xfId="25096"/>
    <cellStyle name="Input 4 2 4" xfId="25097"/>
    <cellStyle name="Input 4 2 5" xfId="25098"/>
    <cellStyle name="Input 4 3" xfId="25099"/>
    <cellStyle name="Input 4 3 2" xfId="25100"/>
    <cellStyle name="Input 4 3 3" xfId="25101"/>
    <cellStyle name="Input 4 4" xfId="25102"/>
    <cellStyle name="Input 5" xfId="25103"/>
    <cellStyle name="Input 5 2" xfId="25104"/>
    <cellStyle name="Input 5 2 2" xfId="25105"/>
    <cellStyle name="Input 5 2 2 2" xfId="25106"/>
    <cellStyle name="Input 5 2 2 3" xfId="25107"/>
    <cellStyle name="Input 5 2 3" xfId="25108"/>
    <cellStyle name="Input 5 2 3 2" xfId="25109"/>
    <cellStyle name="Input 5 2 3 3" xfId="25110"/>
    <cellStyle name="Input 5 2 4" xfId="25111"/>
    <cellStyle name="Input 5 2 5" xfId="25112"/>
    <cellStyle name="Input 5 3" xfId="25113"/>
    <cellStyle name="Input 5 3 2" xfId="25114"/>
    <cellStyle name="Input 5 3 3" xfId="25115"/>
    <cellStyle name="Input 5 4" xfId="25116"/>
    <cellStyle name="Input 6" xfId="25117"/>
    <cellStyle name="Input 6 2" xfId="25118"/>
    <cellStyle name="Input 6 2 2" xfId="25119"/>
    <cellStyle name="Input 6 2 2 2" xfId="25120"/>
    <cellStyle name="Input 6 2 2 3" xfId="25121"/>
    <cellStyle name="Input 6 2 3" xfId="25122"/>
    <cellStyle name="Input 6 2 3 2" xfId="25123"/>
    <cellStyle name="Input 6 2 3 3" xfId="25124"/>
    <cellStyle name="Input 6 2 4" xfId="25125"/>
    <cellStyle name="Input 6 2 5" xfId="25126"/>
    <cellStyle name="Input 6 3" xfId="25127"/>
    <cellStyle name="Input 6 3 2" xfId="25128"/>
    <cellStyle name="Input 6 3 3" xfId="25129"/>
    <cellStyle name="Input 6 4" xfId="25130"/>
    <cellStyle name="Input 7" xfId="25131"/>
    <cellStyle name="Komma 2" xfId="25132"/>
    <cellStyle name="Komma 2 2" xfId="25133"/>
    <cellStyle name="Komma 2 2 2" xfId="25134"/>
    <cellStyle name="Komma_DPI Performance (Unit's Level) Level 1 final version" xfId="25135"/>
    <cellStyle name="KPMG Heading 1" xfId="25136"/>
    <cellStyle name="KPMG Heading 2" xfId="25137"/>
    <cellStyle name="KPMG Heading 3" xfId="25138"/>
    <cellStyle name="KPMG Heading 4" xfId="25139"/>
    <cellStyle name="KPMG Normal" xfId="25140"/>
    <cellStyle name="KPMG Normal Text" xfId="25141"/>
    <cellStyle name="KPMG Normal_Book1" xfId="25142"/>
    <cellStyle name="Lien hypertexte" xfId="25143"/>
    <cellStyle name="Link Currency (0)" xfId="25144"/>
    <cellStyle name="Link Currency (0) 2" xfId="25145"/>
    <cellStyle name="Link Currency (2)" xfId="25146"/>
    <cellStyle name="Link Currency (2) 2" xfId="25147"/>
    <cellStyle name="Link Units (0)" xfId="25148"/>
    <cellStyle name="Link Units (0) 2" xfId="25149"/>
    <cellStyle name="Link Units (1)" xfId="25150"/>
    <cellStyle name="Link Units (1) 2" xfId="25151"/>
    <cellStyle name="Link Units (2)" xfId="25152"/>
    <cellStyle name="Link Units (2) 2" xfId="25153"/>
    <cellStyle name="Linked Cell 2" xfId="25154"/>
    <cellStyle name="Linked Cell 2 2" xfId="25155"/>
    <cellStyle name="Linked Cell 2 3" xfId="25156"/>
    <cellStyle name="Linked Cell 3" xfId="25157"/>
    <cellStyle name="Market Segment" xfId="25158"/>
    <cellStyle name="Market Segment 2" xfId="25159"/>
    <cellStyle name="Market Segment 2 2" xfId="25160"/>
    <cellStyle name="Market Segment 2 2 2" xfId="25161"/>
    <cellStyle name="Market Segment 2 2 3" xfId="25162"/>
    <cellStyle name="Market Segment 2 3" xfId="25163"/>
    <cellStyle name="Market Segment 2 3 2" xfId="25164"/>
    <cellStyle name="Market Segment 2 3 3" xfId="25165"/>
    <cellStyle name="Market Segment 2 4" xfId="25166"/>
    <cellStyle name="Market Segment 2 5" xfId="25167"/>
    <cellStyle name="Market Segment 3" xfId="25168"/>
    <cellStyle name="Market Segment 3 2" xfId="25169"/>
    <cellStyle name="Market Segment 3 3" xfId="25170"/>
    <cellStyle name="Market Segment 4" xfId="25171"/>
    <cellStyle name="Matrix" xfId="25172"/>
    <cellStyle name="Matrix 2" xfId="25173"/>
    <cellStyle name="Menu Bar" xfId="25174"/>
    <cellStyle name="Milliers [0]_28A Total Functional Costs" xfId="25175"/>
    <cellStyle name="Milliers_28A Total Functional Costs" xfId="25176"/>
    <cellStyle name="Moeda [0]_aola" xfId="25177"/>
    <cellStyle name="Moeda_aola" xfId="25178"/>
    <cellStyle name="Monétaire [0]_28A Total Functional Costs" xfId="25179"/>
    <cellStyle name="Monétaire_28A Total Functional Costs" xfId="25180"/>
    <cellStyle name="Month" xfId="25181"/>
    <cellStyle name="MS_Arabic" xfId="25182"/>
    <cellStyle name="n" xfId="25183"/>
    <cellStyle name="Neutral 2" xfId="25184"/>
    <cellStyle name="Neutral 2 2" xfId="25185"/>
    <cellStyle name="Neutral 2 3" xfId="25186"/>
    <cellStyle name="Neutral 2 4" xfId="25187"/>
    <cellStyle name="Neutral 3" xfId="25188"/>
    <cellStyle name="no dec" xfId="25189"/>
    <cellStyle name="Normal" xfId="25190"/>
    <cellStyle name="Normal - Formatvorlage1" xfId="25191"/>
    <cellStyle name="Normal - Formatvorlage2" xfId="25192"/>
    <cellStyle name="Normal - Formatvorlage3" xfId="25193"/>
    <cellStyle name="Normal - Formatvorlage4" xfId="25194"/>
    <cellStyle name="Normal - Formatvorlage5" xfId="25195"/>
    <cellStyle name="Normal - Formatvorlage6" xfId="25196"/>
    <cellStyle name="Normal - Formatvorlage7" xfId="25197"/>
    <cellStyle name="Normal - Formatvorlage8" xfId="25198"/>
    <cellStyle name="Normal - Style1" xfId="25199"/>
    <cellStyle name="Normal - Style1 2" xfId="25200"/>
    <cellStyle name="Normal - Style1 2 2" xfId="25201"/>
    <cellStyle name="Normal - Style1 2 3" xfId="25202"/>
    <cellStyle name="Normal - Style1 3" xfId="25203"/>
    <cellStyle name="Normal - Style1_BS retrieve" xfId="25204"/>
    <cellStyle name="Normal [0]" xfId="25205"/>
    <cellStyle name="Normal [0] 2" xfId="25206"/>
    <cellStyle name="Normal [1]" xfId="25207"/>
    <cellStyle name="Normal [1] 2" xfId="25208"/>
    <cellStyle name="Normal 10" xfId="25209"/>
    <cellStyle name="Normal 10 2" xfId="25210"/>
    <cellStyle name="Normal 10 2 2" xfId="25211"/>
    <cellStyle name="Normal 10 2 2 2" xfId="25212"/>
    <cellStyle name="Normal 10 2 3" xfId="25213"/>
    <cellStyle name="Normal 10 2 4" xfId="25214"/>
    <cellStyle name="Normal 10 2 5" xfId="25215"/>
    <cellStyle name="Normal 10 2 6" xfId="25216"/>
    <cellStyle name="Normal 10 3" xfId="25217"/>
    <cellStyle name="Normal 10 3 2" xfId="25218"/>
    <cellStyle name="Normal 10 4" xfId="25219"/>
    <cellStyle name="Normal 10 4 2" xfId="25220"/>
    <cellStyle name="Normal 10 5" xfId="25221"/>
    <cellStyle name="Normal 10 6" xfId="25222"/>
    <cellStyle name="Normal 10 7" xfId="25223"/>
    <cellStyle name="Normal 10_Free CF" xfId="25224"/>
    <cellStyle name="Normal 100" xfId="25225"/>
    <cellStyle name="Normal 101" xfId="25226"/>
    <cellStyle name="Normal 102" xfId="25227"/>
    <cellStyle name="Normal 103" xfId="25228"/>
    <cellStyle name="Normal 104" xfId="25229"/>
    <cellStyle name="Normal 105" xfId="25230"/>
    <cellStyle name="Normal 106" xfId="25231"/>
    <cellStyle name="Normal 107" xfId="25232"/>
    <cellStyle name="Normal 108" xfId="25233"/>
    <cellStyle name="Normal 109" xfId="25234"/>
    <cellStyle name="Normal 11" xfId="25235"/>
    <cellStyle name="Normal 11 2" xfId="25236"/>
    <cellStyle name="Normal 11 2 2" xfId="25237"/>
    <cellStyle name="Normal 11 2 2 2" xfId="25238"/>
    <cellStyle name="Normal 11 2 3" xfId="25239"/>
    <cellStyle name="Normal 11 2 3 2" xfId="25240"/>
    <cellStyle name="Normal 11 2 4" xfId="25241"/>
    <cellStyle name="Normal 11 2 4 2" xfId="25242"/>
    <cellStyle name="Normal 11 2 5" xfId="25243"/>
    <cellStyle name="Normal 11 2 6" xfId="25244"/>
    <cellStyle name="Normal 11 3" xfId="25245"/>
    <cellStyle name="Normal 11 3 2" xfId="25246"/>
    <cellStyle name="Normal 11 3 3" xfId="25247"/>
    <cellStyle name="Normal 11 4" xfId="25248"/>
    <cellStyle name="Normal 11 4 2" xfId="25249"/>
    <cellStyle name="Normal 11 5" xfId="25250"/>
    <cellStyle name="Normal 11 5 2" xfId="25251"/>
    <cellStyle name="Normal 11 6" xfId="25252"/>
    <cellStyle name="Normal 11 7" xfId="25253"/>
    <cellStyle name="Normal 110" xfId="25254"/>
    <cellStyle name="Normal 110 2" xfId="25255"/>
    <cellStyle name="Normal 111" xfId="25256"/>
    <cellStyle name="Normal 111 2" xfId="25257"/>
    <cellStyle name="Normal 112" xfId="25258"/>
    <cellStyle name="Normal 113" xfId="25259"/>
    <cellStyle name="Normal 114" xfId="25260"/>
    <cellStyle name="Normal 115" xfId="25261"/>
    <cellStyle name="Normal 116" xfId="25262"/>
    <cellStyle name="Normal 117" xfId="25263"/>
    <cellStyle name="Normal 118" xfId="25264"/>
    <cellStyle name="Normal 119" xfId="25265"/>
    <cellStyle name="Normal 12" xfId="25266"/>
    <cellStyle name="Normal 12 2" xfId="25267"/>
    <cellStyle name="Normal 12 2 2" xfId="25268"/>
    <cellStyle name="Normal 12 2 2 2" xfId="25269"/>
    <cellStyle name="Normal 12 2 3" xfId="25270"/>
    <cellStyle name="Normal 12 2 4" xfId="25271"/>
    <cellStyle name="Normal 12 2 5" xfId="25272"/>
    <cellStyle name="Normal 12 3" xfId="25273"/>
    <cellStyle name="Normal 12 3 2" xfId="25274"/>
    <cellStyle name="Normal 12 4" xfId="25275"/>
    <cellStyle name="Normal 12 4 2" xfId="25276"/>
    <cellStyle name="Normal 12 5" xfId="25277"/>
    <cellStyle name="Normal 12 5 2" xfId="25278"/>
    <cellStyle name="Normal 12 6" xfId="25279"/>
    <cellStyle name="Normal 12 7" xfId="25280"/>
    <cellStyle name="Normal 120" xfId="25281"/>
    <cellStyle name="Normal 121" xfId="25282"/>
    <cellStyle name="Normal 122" xfId="25283"/>
    <cellStyle name="Normal 123" xfId="25284"/>
    <cellStyle name="Normal 124" xfId="25285"/>
    <cellStyle name="Normal 125" xfId="25286"/>
    <cellStyle name="Normal 126" xfId="25287"/>
    <cellStyle name="Normal 127" xfId="25288"/>
    <cellStyle name="Normal 128" xfId="25289"/>
    <cellStyle name="Normal 129" xfId="25290"/>
    <cellStyle name="Normal 13" xfId="25291"/>
    <cellStyle name="Normal 13 2" xfId="25292"/>
    <cellStyle name="Normal 13 2 2" xfId="25293"/>
    <cellStyle name="Normal 13 2 2 2" xfId="25294"/>
    <cellStyle name="Normal 13 2 3" xfId="25295"/>
    <cellStyle name="Normal 13 2 4" xfId="25296"/>
    <cellStyle name="Normal 13 2 5" xfId="25297"/>
    <cellStyle name="Normal 13 3" xfId="25298"/>
    <cellStyle name="Normal 13 3 2" xfId="25299"/>
    <cellStyle name="Normal 13 4" xfId="25300"/>
    <cellStyle name="Normal 13 4 2" xfId="25301"/>
    <cellStyle name="Normal 13 5" xfId="25302"/>
    <cellStyle name="Normal 13 6" xfId="25303"/>
    <cellStyle name="Normal 13 7" xfId="25304"/>
    <cellStyle name="Normal 13 8" xfId="25305"/>
    <cellStyle name="Normal 130" xfId="25306"/>
    <cellStyle name="Normal 131" xfId="25307"/>
    <cellStyle name="Normal 14" xfId="25308"/>
    <cellStyle name="Normal 14 2" xfId="25309"/>
    <cellStyle name="Normal 14 2 2" xfId="25310"/>
    <cellStyle name="Normal 14 2 2 2" xfId="25311"/>
    <cellStyle name="Normal 14 2 3" xfId="25312"/>
    <cellStyle name="Normal 14 2 3 2" xfId="25313"/>
    <cellStyle name="Normal 14 2 4" xfId="25314"/>
    <cellStyle name="Normal 14 2 5" xfId="25315"/>
    <cellStyle name="Normal 14 3" xfId="25316"/>
    <cellStyle name="Normal 14 3 2" xfId="25317"/>
    <cellStyle name="Normal 14 4" xfId="25318"/>
    <cellStyle name="Normal 14 4 2" xfId="25319"/>
    <cellStyle name="Normal 14 5" xfId="25320"/>
    <cellStyle name="Normal 14 5 2" xfId="25321"/>
    <cellStyle name="Normal 14 6" xfId="25322"/>
    <cellStyle name="Normal 14 7" xfId="25323"/>
    <cellStyle name="Normal 14 8" xfId="25324"/>
    <cellStyle name="Normal 144" xfId="25325"/>
    <cellStyle name="Normal 15" xfId="25326"/>
    <cellStyle name="Normal 15 2" xfId="25327"/>
    <cellStyle name="Normal 15 2 2" xfId="25328"/>
    <cellStyle name="Normal 15 2 2 2" xfId="25329"/>
    <cellStyle name="Normal 15 2 3" xfId="25330"/>
    <cellStyle name="Normal 15 2 4" xfId="25331"/>
    <cellStyle name="Normal 15 2 5" xfId="25332"/>
    <cellStyle name="Normal 15 3" xfId="25333"/>
    <cellStyle name="Normal 15 3 2" xfId="25334"/>
    <cellStyle name="Normal 15 4" xfId="25335"/>
    <cellStyle name="Normal 15 5" xfId="25336"/>
    <cellStyle name="Normal 15 6" xfId="25337"/>
    <cellStyle name="Normal 16" xfId="25338"/>
    <cellStyle name="Normal 16 2" xfId="25339"/>
    <cellStyle name="Normal 16 2 2" xfId="25340"/>
    <cellStyle name="Normal 16 2 2 2" xfId="25341"/>
    <cellStyle name="Normal 16 2 3" xfId="25342"/>
    <cellStyle name="Normal 16 2 4" xfId="25343"/>
    <cellStyle name="Normal 16 2 5" xfId="25344"/>
    <cellStyle name="Normal 16 3" xfId="25345"/>
    <cellStyle name="Normal 16 3 2" xfId="25346"/>
    <cellStyle name="Normal 16 4" xfId="25347"/>
    <cellStyle name="Normal 16 5" xfId="25348"/>
    <cellStyle name="Normal 16 6" xfId="25349"/>
    <cellStyle name="Normal 17" xfId="25350"/>
    <cellStyle name="Normal 17 2" xfId="25351"/>
    <cellStyle name="Normal 17 2 2" xfId="25352"/>
    <cellStyle name="Normal 17 2 2 2" xfId="25353"/>
    <cellStyle name="Normal 17 2 3" xfId="25354"/>
    <cellStyle name="Normal 17 2 4" xfId="25355"/>
    <cellStyle name="Normal 17 2 5" xfId="25356"/>
    <cellStyle name="Normal 17 3" xfId="25357"/>
    <cellStyle name="Normal 17 4" xfId="25358"/>
    <cellStyle name="Normal 17 5" xfId="25359"/>
    <cellStyle name="Normal 17 6" xfId="25360"/>
    <cellStyle name="Normal 18" xfId="25361"/>
    <cellStyle name="Normal 18 2" xfId="25362"/>
    <cellStyle name="Normal 18 2 2" xfId="25363"/>
    <cellStyle name="Normal 18 2 2 2" xfId="25364"/>
    <cellStyle name="Normal 18 2 3" xfId="25365"/>
    <cellStyle name="Normal 18 2 4" xfId="25366"/>
    <cellStyle name="Normal 18 2 5" xfId="25367"/>
    <cellStyle name="Normal 18 3" xfId="25368"/>
    <cellStyle name="Normal 18 3 2" xfId="25369"/>
    <cellStyle name="Normal 18 4" xfId="25370"/>
    <cellStyle name="Normal 18 5" xfId="25371"/>
    <cellStyle name="Normal 18 6" xfId="25372"/>
    <cellStyle name="Normal 19" xfId="25373"/>
    <cellStyle name="Normal 19 2" xfId="25374"/>
    <cellStyle name="Normal 19 2 2" xfId="25375"/>
    <cellStyle name="Normal 19 2 3" xfId="25376"/>
    <cellStyle name="Normal 19 2 4" xfId="25377"/>
    <cellStyle name="Normal 19 2 5" xfId="25378"/>
    <cellStyle name="Normal 19 3" xfId="25379"/>
    <cellStyle name="Normal 19 3 2" xfId="25380"/>
    <cellStyle name="Normal 19 4" xfId="25381"/>
    <cellStyle name="Normal 19 5" xfId="25382"/>
    <cellStyle name="Normal 19 6" xfId="25383"/>
    <cellStyle name="Normal 2" xfId="25384"/>
    <cellStyle name="Normal 2 10" xfId="25385"/>
    <cellStyle name="Normal 2 12" xfId="25386"/>
    <cellStyle name="Normal 2 2" xfId="25387"/>
    <cellStyle name="Normal 2 2 10" xfId="25388"/>
    <cellStyle name="Normal 2 2 2" xfId="25389"/>
    <cellStyle name="Normal 2 2 2 2" xfId="25390"/>
    <cellStyle name="Normal 2 2 2 2 2" xfId="25391"/>
    <cellStyle name="Normal 2 2 2 2 3" xfId="25392"/>
    <cellStyle name="Normal 2 2 2 3" xfId="25393"/>
    <cellStyle name="Normal 2 2 2 4" xfId="25394"/>
    <cellStyle name="Normal 2 2 3" xfId="25395"/>
    <cellStyle name="Normal 2 2 3 2" xfId="25396"/>
    <cellStyle name="Normal 2 2 3 3" xfId="25397"/>
    <cellStyle name="Normal 2 2 4" xfId="25398"/>
    <cellStyle name="Normal 2 2 4 2" xfId="25399"/>
    <cellStyle name="Normal 2 2 5" xfId="25400"/>
    <cellStyle name="Normal 2 2 5 2" xfId="25401"/>
    <cellStyle name="Normal 2 2 5 3" xfId="25402"/>
    <cellStyle name="Normal 2 2 6" xfId="25403"/>
    <cellStyle name="Normal 2 2 7" xfId="25404"/>
    <cellStyle name="Normal 2 2 8" xfId="25405"/>
    <cellStyle name="Normal 2 2 9" xfId="25406"/>
    <cellStyle name="Normal 2 3" xfId="25407"/>
    <cellStyle name="Normal 2 3 2" xfId="25408"/>
    <cellStyle name="Normal 2 3 2 2" xfId="25409"/>
    <cellStyle name="Normal 2 3 2 2 2" xfId="25410"/>
    <cellStyle name="Normal 2 3 2 3" xfId="25411"/>
    <cellStyle name="Normal 2 3 2 4" xfId="25412"/>
    <cellStyle name="Normal 2 3 3" xfId="25413"/>
    <cellStyle name="Normal 2 3 3 2" xfId="25414"/>
    <cellStyle name="Normal 2 3 3 3" xfId="25415"/>
    <cellStyle name="Normal 2 3 4" xfId="25416"/>
    <cellStyle name="Normal 2 3 5" xfId="25417"/>
    <cellStyle name="Normal 2 3 6" xfId="25418"/>
    <cellStyle name="Normal 2 4" xfId="25419"/>
    <cellStyle name="Normal 2 4 2" xfId="25420"/>
    <cellStyle name="Normal 2 4 2 2" xfId="25421"/>
    <cellStyle name="Normal 2 4 2 2 2" xfId="25422"/>
    <cellStyle name="Normal 2 4 2 3" xfId="25423"/>
    <cellStyle name="Normal 2 4 3" xfId="25424"/>
    <cellStyle name="Normal 2 4 3 2" xfId="25425"/>
    <cellStyle name="Normal 2 4 3 3" xfId="25426"/>
    <cellStyle name="Normal 2 4 3 4" xfId="25427"/>
    <cellStyle name="Normal 2 4 4" xfId="25428"/>
    <cellStyle name="Normal 2 5" xfId="25429"/>
    <cellStyle name="Normal 2 5 2" xfId="25430"/>
    <cellStyle name="Normal 2 6" xfId="25431"/>
    <cellStyle name="Normal 2 6 2" xfId="25432"/>
    <cellStyle name="Normal 2 6 2 2" xfId="25433"/>
    <cellStyle name="Normal 2 6 3" xfId="25434"/>
    <cellStyle name="Normal 2 7" xfId="25435"/>
    <cellStyle name="Normal 2 7 2" xfId="25436"/>
    <cellStyle name="Normal 2 8" xfId="25437"/>
    <cellStyle name="Normal 2 9" xfId="25438"/>
    <cellStyle name="Normal 2_BS retrieve" xfId="25439"/>
    <cellStyle name="Normal 20" xfId="25440"/>
    <cellStyle name="Normal 20 2" xfId="25441"/>
    <cellStyle name="Normal 20 2 2" xfId="25442"/>
    <cellStyle name="Normal 20 2 3" xfId="25443"/>
    <cellStyle name="Normal 20 2 4" xfId="25444"/>
    <cellStyle name="Normal 20 2 5" xfId="25445"/>
    <cellStyle name="Normal 20 3" xfId="25446"/>
    <cellStyle name="Normal 20 3 2" xfId="25447"/>
    <cellStyle name="Normal 20 4" xfId="25448"/>
    <cellStyle name="Normal 20 5" xfId="25449"/>
    <cellStyle name="Normal 20 6" xfId="25450"/>
    <cellStyle name="Normal 21" xfId="25451"/>
    <cellStyle name="Normal 21 2" xfId="25452"/>
    <cellStyle name="Normal 21 2 2" xfId="25453"/>
    <cellStyle name="Normal 21 2 3" xfId="25454"/>
    <cellStyle name="Normal 21 2 4" xfId="25455"/>
    <cellStyle name="Normal 21 2 5" xfId="25456"/>
    <cellStyle name="Normal 21 3" xfId="25457"/>
    <cellStyle name="Normal 21 3 2" xfId="25458"/>
    <cellStyle name="Normal 21 4" xfId="25459"/>
    <cellStyle name="Normal 21 5" xfId="25460"/>
    <cellStyle name="Normal 21 6" xfId="25461"/>
    <cellStyle name="Normal 22" xfId="25462"/>
    <cellStyle name="Normal 22 2" xfId="25463"/>
    <cellStyle name="Normal 22 2 2" xfId="25464"/>
    <cellStyle name="Normal 22 2 3" xfId="25465"/>
    <cellStyle name="Normal 22 2 4" xfId="25466"/>
    <cellStyle name="Normal 22 2 5" xfId="25467"/>
    <cellStyle name="Normal 22 3" xfId="25468"/>
    <cellStyle name="Normal 22 3 2" xfId="25469"/>
    <cellStyle name="Normal 22 4" xfId="25470"/>
    <cellStyle name="Normal 22 5" xfId="25471"/>
    <cellStyle name="Normal 22 6" xfId="25472"/>
    <cellStyle name="Normal 23" xfId="25473"/>
    <cellStyle name="Normal 23 2" xfId="25474"/>
    <cellStyle name="Normal 23 2 2" xfId="25475"/>
    <cellStyle name="Normal 23 2 3" xfId="25476"/>
    <cellStyle name="Normal 23 2 4" xfId="25477"/>
    <cellStyle name="Normal 23 2 5" xfId="25478"/>
    <cellStyle name="Normal 23 3" xfId="25479"/>
    <cellStyle name="Normal 23 3 2" xfId="25480"/>
    <cellStyle name="Normal 23 4" xfId="25481"/>
    <cellStyle name="Normal 23 5" xfId="25482"/>
    <cellStyle name="Normal 23 6" xfId="25483"/>
    <cellStyle name="Normal 24" xfId="25484"/>
    <cellStyle name="Normal 24 2" xfId="25485"/>
    <cellStyle name="Normal 24 2 2" xfId="25486"/>
    <cellStyle name="Normal 24 2 3" xfId="25487"/>
    <cellStyle name="Normal 24 2 4" xfId="25488"/>
    <cellStyle name="Normal 24 2 5" xfId="25489"/>
    <cellStyle name="Normal 24 3" xfId="25490"/>
    <cellStyle name="Normal 24 3 2" xfId="25491"/>
    <cellStyle name="Normal 24 4" xfId="25492"/>
    <cellStyle name="Normal 24 5" xfId="25493"/>
    <cellStyle name="Normal 24 6" xfId="25494"/>
    <cellStyle name="Normal 25" xfId="25495"/>
    <cellStyle name="Normal 25 2" xfId="25496"/>
    <cellStyle name="Normal 25 2 2" xfId="25497"/>
    <cellStyle name="Normal 25 2 3" xfId="25498"/>
    <cellStyle name="Normal 25 2 4" xfId="25499"/>
    <cellStyle name="Normal 25 2 5" xfId="25500"/>
    <cellStyle name="Normal 25 3" xfId="25501"/>
    <cellStyle name="Normal 25 3 2" xfId="25502"/>
    <cellStyle name="Normal 25 4" xfId="25503"/>
    <cellStyle name="Normal 25 5" xfId="25504"/>
    <cellStyle name="Normal 25 6" xfId="25505"/>
    <cellStyle name="Normal 26" xfId="25506"/>
    <cellStyle name="Normal 26 2" xfId="25507"/>
    <cellStyle name="Normal 26 2 2" xfId="25508"/>
    <cellStyle name="Normal 26 2 3" xfId="25509"/>
    <cellStyle name="Normal 26 2 4" xfId="25510"/>
    <cellStyle name="Normal 26 2 5" xfId="25511"/>
    <cellStyle name="Normal 26 3" xfId="25512"/>
    <cellStyle name="Normal 26 3 2" xfId="25513"/>
    <cellStyle name="Normal 26 4" xfId="25514"/>
    <cellStyle name="Normal 26 5" xfId="25515"/>
    <cellStyle name="Normal 26 6" xfId="25516"/>
    <cellStyle name="Normal 27" xfId="25517"/>
    <cellStyle name="Normal 27 2" xfId="25518"/>
    <cellStyle name="Normal 27 2 2" xfId="25519"/>
    <cellStyle name="Normal 27 2 3" xfId="25520"/>
    <cellStyle name="Normal 27 2 4" xfId="25521"/>
    <cellStyle name="Normal 27 2 5" xfId="25522"/>
    <cellStyle name="Normal 27 3" xfId="25523"/>
    <cellStyle name="Normal 27 3 2" xfId="25524"/>
    <cellStyle name="Normal 27 4" xfId="25525"/>
    <cellStyle name="Normal 27 5" xfId="25526"/>
    <cellStyle name="Normal 27 6" xfId="25527"/>
    <cellStyle name="Normal 28" xfId="25528"/>
    <cellStyle name="Normal 28 2" xfId="25529"/>
    <cellStyle name="Normal 28 2 2" xfId="25530"/>
    <cellStyle name="Normal 28 2 3" xfId="25531"/>
    <cellStyle name="Normal 28 2 4" xfId="25532"/>
    <cellStyle name="Normal 28 2 5" xfId="25533"/>
    <cellStyle name="Normal 28 3" xfId="25534"/>
    <cellStyle name="Normal 28 3 2" xfId="25535"/>
    <cellStyle name="Normal 28 4" xfId="25536"/>
    <cellStyle name="Normal 28 5" xfId="25537"/>
    <cellStyle name="Normal 28 6" xfId="25538"/>
    <cellStyle name="Normal 29" xfId="25539"/>
    <cellStyle name="Normal 29 2" xfId="25540"/>
    <cellStyle name="Normal 29 2 2" xfId="25541"/>
    <cellStyle name="Normal 29 2 3" xfId="25542"/>
    <cellStyle name="Normal 29 2 4" xfId="25543"/>
    <cellStyle name="Normal 29 2 5" xfId="25544"/>
    <cellStyle name="Normal 29 3" xfId="25545"/>
    <cellStyle name="Normal 29 3 2" xfId="25546"/>
    <cellStyle name="Normal 29 4" xfId="25547"/>
    <cellStyle name="Normal 29 5" xfId="25548"/>
    <cellStyle name="Normal 29 6" xfId="25549"/>
    <cellStyle name="Normal 3" xfId="25550"/>
    <cellStyle name="Normal 3 2" xfId="25551"/>
    <cellStyle name="Normal 3 2 2" xfId="25552"/>
    <cellStyle name="Normal 3 2 2 2" xfId="25553"/>
    <cellStyle name="Normal 3 2 2 3" xfId="25554"/>
    <cellStyle name="Normal 3 2 2 4" xfId="25555"/>
    <cellStyle name="Normal 3 2 3" xfId="25556"/>
    <cellStyle name="Normal 3 2 3 2" xfId="25557"/>
    <cellStyle name="Normal 3 2 4" xfId="25558"/>
    <cellStyle name="Normal 3 2 4 2" xfId="25559"/>
    <cellStyle name="Normal 3 2 5" xfId="25560"/>
    <cellStyle name="Normal 3 3" xfId="25561"/>
    <cellStyle name="Normal 3 3 2" xfId="25562"/>
    <cellStyle name="Normal 3 3 2 2" xfId="25563"/>
    <cellStyle name="Normal 3 3 3" xfId="25564"/>
    <cellStyle name="Normal 3 3 4" xfId="25565"/>
    <cellStyle name="Normal 3 3 5" xfId="25566"/>
    <cellStyle name="Normal 3 4" xfId="25567"/>
    <cellStyle name="Normal 3 4 2" xfId="25568"/>
    <cellStyle name="Normal 3 5" xfId="25569"/>
    <cellStyle name="Normal 3 5 2" xfId="25570"/>
    <cellStyle name="Normal 3 5 3" xfId="25571"/>
    <cellStyle name="Normal 3 6" xfId="25572"/>
    <cellStyle name="Normal 3 7" xfId="25573"/>
    <cellStyle name="Normal 3 8" xfId="25574"/>
    <cellStyle name="Normal 3 9" xfId="25575"/>
    <cellStyle name="Normal 3_BS retrieve" xfId="25576"/>
    <cellStyle name="Normal 30" xfId="25577"/>
    <cellStyle name="Normal 30 2" xfId="25578"/>
    <cellStyle name="Normal 30 2 2" xfId="25579"/>
    <cellStyle name="Normal 30 2 3" xfId="25580"/>
    <cellStyle name="Normal 30 2 4" xfId="25581"/>
    <cellStyle name="Normal 30 2 5" xfId="25582"/>
    <cellStyle name="Normal 30 3" xfId="25583"/>
    <cellStyle name="Normal 30 3 2" xfId="25584"/>
    <cellStyle name="Normal 30 4" xfId="25585"/>
    <cellStyle name="Normal 30 5" xfId="25586"/>
    <cellStyle name="Normal 30 6" xfId="25587"/>
    <cellStyle name="Normal 31" xfId="25588"/>
    <cellStyle name="Normal 31 2" xfId="25589"/>
    <cellStyle name="Normal 31 2 2" xfId="25590"/>
    <cellStyle name="Normal 31 2 3" xfId="25591"/>
    <cellStyle name="Normal 31 2 4" xfId="25592"/>
    <cellStyle name="Normal 31 2 5" xfId="25593"/>
    <cellStyle name="Normal 31 3" xfId="25594"/>
    <cellStyle name="Normal 31 3 2" xfId="25595"/>
    <cellStyle name="Normal 31 4" xfId="25596"/>
    <cellStyle name="Normal 31 5" xfId="25597"/>
    <cellStyle name="Normal 31 6" xfId="25598"/>
    <cellStyle name="Normal 32" xfId="25599"/>
    <cellStyle name="Normal 32 2" xfId="25600"/>
    <cellStyle name="Normal 32 2 2" xfId="25601"/>
    <cellStyle name="Normal 32 2 3" xfId="25602"/>
    <cellStyle name="Normal 32 2 4" xfId="25603"/>
    <cellStyle name="Normal 32 2 5" xfId="25604"/>
    <cellStyle name="Normal 32 3" xfId="25605"/>
    <cellStyle name="Normal 32 3 2" xfId="25606"/>
    <cellStyle name="Normal 32 4" xfId="25607"/>
    <cellStyle name="Normal 32 5" xfId="25608"/>
    <cellStyle name="Normal 32 6" xfId="25609"/>
    <cellStyle name="Normal 33" xfId="25610"/>
    <cellStyle name="Normal 33 2" xfId="25611"/>
    <cellStyle name="Normal 33 2 2" xfId="25612"/>
    <cellStyle name="Normal 33 2 3" xfId="25613"/>
    <cellStyle name="Normal 33 2 4" xfId="25614"/>
    <cellStyle name="Normal 33 2 5" xfId="25615"/>
    <cellStyle name="Normal 33 3" xfId="25616"/>
    <cellStyle name="Normal 33 4" xfId="25617"/>
    <cellStyle name="Normal 33 5" xfId="25618"/>
    <cellStyle name="Normal 33 6" xfId="25619"/>
    <cellStyle name="Normal 34" xfId="25620"/>
    <cellStyle name="Normal 34 2" xfId="25621"/>
    <cellStyle name="Normal 34 2 2" xfId="25622"/>
    <cellStyle name="Normal 34 2 3" xfId="25623"/>
    <cellStyle name="Normal 34 2 4" xfId="25624"/>
    <cellStyle name="Normal 34 2 5" xfId="25625"/>
    <cellStyle name="Normal 34 3" xfId="25626"/>
    <cellStyle name="Normal 34 3 2" xfId="25627"/>
    <cellStyle name="Normal 34 4" xfId="25628"/>
    <cellStyle name="Normal 34 5" xfId="25629"/>
    <cellStyle name="Normal 34 6" xfId="25630"/>
    <cellStyle name="Normal 35" xfId="25631"/>
    <cellStyle name="Normal 35 2" xfId="25632"/>
    <cellStyle name="Normal 35 2 2" xfId="25633"/>
    <cellStyle name="Normal 35 2 3" xfId="25634"/>
    <cellStyle name="Normal 35 2 4" xfId="25635"/>
    <cellStyle name="Normal 35 2 5" xfId="25636"/>
    <cellStyle name="Normal 35 3" xfId="25637"/>
    <cellStyle name="Normal 35 3 2" xfId="25638"/>
    <cellStyle name="Normal 35 4" xfId="25639"/>
    <cellStyle name="Normal 35 5" xfId="25640"/>
    <cellStyle name="Normal 35 6" xfId="25641"/>
    <cellStyle name="Normal 36" xfId="25642"/>
    <cellStyle name="Normal 36 2" xfId="25643"/>
    <cellStyle name="Normal 36 2 2" xfId="25644"/>
    <cellStyle name="Normal 36 2 3" xfId="25645"/>
    <cellStyle name="Normal 36 2 4" xfId="25646"/>
    <cellStyle name="Normal 36 2 5" xfId="25647"/>
    <cellStyle name="Normal 36 3" xfId="25648"/>
    <cellStyle name="Normal 36 4" xfId="25649"/>
    <cellStyle name="Normal 36 5" xfId="25650"/>
    <cellStyle name="Normal 36 6" xfId="25651"/>
    <cellStyle name="Normal 37" xfId="25652"/>
    <cellStyle name="Normal 37 2" xfId="25653"/>
    <cellStyle name="Normal 37 2 2" xfId="25654"/>
    <cellStyle name="Normal 37 2 3" xfId="25655"/>
    <cellStyle name="Normal 37 2 4" xfId="25656"/>
    <cellStyle name="Normal 37 2 5" xfId="25657"/>
    <cellStyle name="Normal 37 3" xfId="25658"/>
    <cellStyle name="Normal 37 3 2" xfId="25659"/>
    <cellStyle name="Normal 37 4" xfId="25660"/>
    <cellStyle name="Normal 37 5" xfId="25661"/>
    <cellStyle name="Normal 37 6" xfId="25662"/>
    <cellStyle name="Normal 38" xfId="25663"/>
    <cellStyle name="Normal 38 2" xfId="25664"/>
    <cellStyle name="Normal 38 2 2" xfId="25665"/>
    <cellStyle name="Normal 38 2 3" xfId="25666"/>
    <cellStyle name="Normal 38 2 4" xfId="25667"/>
    <cellStyle name="Normal 38 2 5" xfId="25668"/>
    <cellStyle name="Normal 38 3" xfId="25669"/>
    <cellStyle name="Normal 38 3 2" xfId="25670"/>
    <cellStyle name="Normal 38 4" xfId="25671"/>
    <cellStyle name="Normal 38 5" xfId="25672"/>
    <cellStyle name="Normal 38 6" xfId="25673"/>
    <cellStyle name="Normal 39" xfId="25674"/>
    <cellStyle name="Normal 39 2" xfId="25675"/>
    <cellStyle name="Normal 39 2 2" xfId="25676"/>
    <cellStyle name="Normal 39 2 3" xfId="25677"/>
    <cellStyle name="Normal 39 2 4" xfId="25678"/>
    <cellStyle name="Normal 39 2 5" xfId="25679"/>
    <cellStyle name="Normal 39 3" xfId="25680"/>
    <cellStyle name="Normal 39 4" xfId="25681"/>
    <cellStyle name="Normal 39 5" xfId="25682"/>
    <cellStyle name="Normal 39 6" xfId="25683"/>
    <cellStyle name="Normal 4" xfId="25684"/>
    <cellStyle name="Normal 4 2" xfId="25685"/>
    <cellStyle name="Normal 4 2 2" xfId="25686"/>
    <cellStyle name="Normal 4 2 2 2" xfId="25687"/>
    <cellStyle name="Normal 4 2 2 3" xfId="25688"/>
    <cellStyle name="Normal 4 2 2 4" xfId="25689"/>
    <cellStyle name="Normal 4 2 3" xfId="25690"/>
    <cellStyle name="Normal 4 2 3 2" xfId="25691"/>
    <cellStyle name="Normal 4 2 3 2 2" xfId="25692"/>
    <cellStyle name="Normal 4 2 3 2 3" xfId="25693"/>
    <cellStyle name="Normal 4 2 3 3" xfId="25694"/>
    <cellStyle name="Normal 4 2 3 4" xfId="25695"/>
    <cellStyle name="Normal 4 2 3 5" xfId="25696"/>
    <cellStyle name="Normal 4 2 4" xfId="25697"/>
    <cellStyle name="Normal 4 2 4 2" xfId="25698"/>
    <cellStyle name="Normal 4 2 5" xfId="25699"/>
    <cellStyle name="Normal 4 2 6" xfId="25700"/>
    <cellStyle name="Normal 4 2 7" xfId="25701"/>
    <cellStyle name="Normal 4 2 8" xfId="25702"/>
    <cellStyle name="Normal 4 3" xfId="25703"/>
    <cellStyle name="Normal 4 3 2" xfId="25704"/>
    <cellStyle name="Normal 4 3 2 2" xfId="25705"/>
    <cellStyle name="Normal 4 3 3" xfId="25706"/>
    <cellStyle name="Normal 4 3 3 2" xfId="25707"/>
    <cellStyle name="Normal 4 3 4" xfId="25708"/>
    <cellStyle name="Normal 4 3 5" xfId="25709"/>
    <cellStyle name="Normal 4 4" xfId="25710"/>
    <cellStyle name="Normal 4 4 2" xfId="25711"/>
    <cellStyle name="Normal 4 4 2 2" xfId="25712"/>
    <cellStyle name="Normal 4 4 3" xfId="25713"/>
    <cellStyle name="Normal 4 5" xfId="25714"/>
    <cellStyle name="Normal 4 5 2" xfId="25715"/>
    <cellStyle name="Normal 4 5 3" xfId="25716"/>
    <cellStyle name="Normal 4 6" xfId="25717"/>
    <cellStyle name="Normal 4 6 2" xfId="25718"/>
    <cellStyle name="Normal 4 7" xfId="25719"/>
    <cellStyle name="Normal 4 7 2" xfId="25720"/>
    <cellStyle name="Normal 4 8" xfId="25721"/>
    <cellStyle name="Normal 4 9" xfId="25722"/>
    <cellStyle name="Normal 40" xfId="25723"/>
    <cellStyle name="Normal 40 2" xfId="25724"/>
    <cellStyle name="Normal 40 2 2" xfId="25725"/>
    <cellStyle name="Normal 40 2 3" xfId="25726"/>
    <cellStyle name="Normal 40 2 4" xfId="25727"/>
    <cellStyle name="Normal 40 2 5" xfId="25728"/>
    <cellStyle name="Normal 40 3" xfId="25729"/>
    <cellStyle name="Normal 40 4" xfId="25730"/>
    <cellStyle name="Normal 40 5" xfId="25731"/>
    <cellStyle name="Normal 40 6" xfId="25732"/>
    <cellStyle name="Normal 41" xfId="25733"/>
    <cellStyle name="Normal 41 2" xfId="25734"/>
    <cellStyle name="Normal 41 2 2" xfId="25735"/>
    <cellStyle name="Normal 41 2 3" xfId="25736"/>
    <cellStyle name="Normal 41 2 4" xfId="25737"/>
    <cellStyle name="Normal 41 2 5" xfId="25738"/>
    <cellStyle name="Normal 41 3" xfId="25739"/>
    <cellStyle name="Normal 41 4" xfId="25740"/>
    <cellStyle name="Normal 41 5" xfId="25741"/>
    <cellStyle name="Normal 41 6" xfId="25742"/>
    <cellStyle name="Normal 42" xfId="25743"/>
    <cellStyle name="Normal 42 2" xfId="25744"/>
    <cellStyle name="Normal 42 2 2" xfId="25745"/>
    <cellStyle name="Normal 42 2 3" xfId="25746"/>
    <cellStyle name="Normal 42 2 4" xfId="25747"/>
    <cellStyle name="Normal 42 3" xfId="25748"/>
    <cellStyle name="Normal 42 4" xfId="25749"/>
    <cellStyle name="Normal 42 5" xfId="25750"/>
    <cellStyle name="Normal 42 6" xfId="25751"/>
    <cellStyle name="Normal 43" xfId="25752"/>
    <cellStyle name="Normal 43 2" xfId="25753"/>
    <cellStyle name="Normal 43 2 2" xfId="25754"/>
    <cellStyle name="Normal 43 2 3" xfId="25755"/>
    <cellStyle name="Normal 43 2 4" xfId="25756"/>
    <cellStyle name="Normal 43 3" xfId="25757"/>
    <cellStyle name="Normal 43 4" xfId="25758"/>
    <cellStyle name="Normal 43 5" xfId="25759"/>
    <cellStyle name="Normal 43 6" xfId="25760"/>
    <cellStyle name="Normal 44" xfId="25761"/>
    <cellStyle name="Normal 44 2" xfId="25762"/>
    <cellStyle name="Normal 44 2 2" xfId="25763"/>
    <cellStyle name="Normal 44 2 3" xfId="25764"/>
    <cellStyle name="Normal 44 2 4" xfId="25765"/>
    <cellStyle name="Normal 44 3" xfId="25766"/>
    <cellStyle name="Normal 44 4" xfId="25767"/>
    <cellStyle name="Normal 44 5" xfId="25768"/>
    <cellStyle name="Normal 44 6" xfId="25769"/>
    <cellStyle name="Normal 45" xfId="25770"/>
    <cellStyle name="Normal 45 2" xfId="25771"/>
    <cellStyle name="Normal 45 2 2" xfId="25772"/>
    <cellStyle name="Normal 45 2 3" xfId="25773"/>
    <cellStyle name="Normal 45 2 4" xfId="25774"/>
    <cellStyle name="Normal 45 3" xfId="25775"/>
    <cellStyle name="Normal 45 4" xfId="25776"/>
    <cellStyle name="Normal 45 5" xfId="25777"/>
    <cellStyle name="Normal 45 6" xfId="25778"/>
    <cellStyle name="Normal 46" xfId="25779"/>
    <cellStyle name="Normal 46 2" xfId="25780"/>
    <cellStyle name="Normal 46 2 2" xfId="25781"/>
    <cellStyle name="Normal 46 2 3" xfId="25782"/>
    <cellStyle name="Normal 46 2 4" xfId="25783"/>
    <cellStyle name="Normal 46 3" xfId="25784"/>
    <cellStyle name="Normal 46 4" xfId="25785"/>
    <cellStyle name="Normal 46 5" xfId="25786"/>
    <cellStyle name="Normal 46 6" xfId="25787"/>
    <cellStyle name="Normal 47" xfId="25788"/>
    <cellStyle name="Normal 47 2" xfId="25789"/>
    <cellStyle name="Normal 47 2 2" xfId="25790"/>
    <cellStyle name="Normal 47 2 3" xfId="25791"/>
    <cellStyle name="Normal 47 2 4" xfId="25792"/>
    <cellStyle name="Normal 47 3" xfId="25793"/>
    <cellStyle name="Normal 47 4" xfId="25794"/>
    <cellStyle name="Normal 47 5" xfId="25795"/>
    <cellStyle name="Normal 47 6" xfId="25796"/>
    <cellStyle name="Normal 48" xfId="25797"/>
    <cellStyle name="Normal 49" xfId="25798"/>
    <cellStyle name="Normal 49 2" xfId="25799"/>
    <cellStyle name="Normal 5" xfId="25800"/>
    <cellStyle name="Normal 5 2" xfId="25801"/>
    <cellStyle name="Normal 5 2 2" xfId="25802"/>
    <cellStyle name="Normal 5 2 2 2" xfId="25803"/>
    <cellStyle name="Normal 5 2 3" xfId="25804"/>
    <cellStyle name="Normal 5 2 3 2" xfId="25805"/>
    <cellStyle name="Normal 5 2 4" xfId="25806"/>
    <cellStyle name="Normal 5 2 5" xfId="25807"/>
    <cellStyle name="Normal 5 2 6" xfId="25808"/>
    <cellStyle name="Normal 5 3" xfId="25809"/>
    <cellStyle name="Normal 5 3 2" xfId="25810"/>
    <cellStyle name="Normal 5 3 2 2" xfId="25811"/>
    <cellStyle name="Normal 5 3 3" xfId="25812"/>
    <cellStyle name="Normal 5 4" xfId="25813"/>
    <cellStyle name="Normal 5 4 2" xfId="25814"/>
    <cellStyle name="Normal 5 4 3" xfId="25815"/>
    <cellStyle name="Normal 5 5" xfId="25816"/>
    <cellStyle name="Normal 5 5 2" xfId="25817"/>
    <cellStyle name="Normal 5 6" xfId="25818"/>
    <cellStyle name="Normal 5 6 2" xfId="25819"/>
    <cellStyle name="Normal 5 7" xfId="25820"/>
    <cellStyle name="Normal 5 8" xfId="25821"/>
    <cellStyle name="Normal 50" xfId="25822"/>
    <cellStyle name="Normal 51" xfId="25823"/>
    <cellStyle name="Normal 52" xfId="25824"/>
    <cellStyle name="Normal 53" xfId="25825"/>
    <cellStyle name="Normal 54" xfId="25826"/>
    <cellStyle name="Normal 55" xfId="25827"/>
    <cellStyle name="Normal 55 2" xfId="25828"/>
    <cellStyle name="Normal 56" xfId="25829"/>
    <cellStyle name="Normal 57" xfId="25830"/>
    <cellStyle name="Normal 58" xfId="25831"/>
    <cellStyle name="Normal 59" xfId="25832"/>
    <cellStyle name="Normal 6" xfId="25833"/>
    <cellStyle name="Normal 6 2" xfId="25834"/>
    <cellStyle name="Normal 6 2 2" xfId="25835"/>
    <cellStyle name="Normal 6 2 2 2" xfId="25836"/>
    <cellStyle name="Normal 6 2 3" xfId="25837"/>
    <cellStyle name="Normal 6 2 4" xfId="25838"/>
    <cellStyle name="Normal 6 2 5" xfId="25839"/>
    <cellStyle name="Normal 6 2 6" xfId="25840"/>
    <cellStyle name="Normal 6 3" xfId="25841"/>
    <cellStyle name="Normal 6 3 2" xfId="25842"/>
    <cellStyle name="Normal 6 3 3" xfId="25843"/>
    <cellStyle name="Normal 6 4" xfId="25844"/>
    <cellStyle name="Normal 6 4 2" xfId="25845"/>
    <cellStyle name="Normal 6 5" xfId="25846"/>
    <cellStyle name="Normal 6 6" xfId="25847"/>
    <cellStyle name="Normal 6 7" xfId="25848"/>
    <cellStyle name="Normal 6 8" xfId="25849"/>
    <cellStyle name="Normal 60" xfId="25850"/>
    <cellStyle name="Normal 61" xfId="25851"/>
    <cellStyle name="Normal 62" xfId="25852"/>
    <cellStyle name="Normal 63" xfId="25853"/>
    <cellStyle name="Normal 64" xfId="25854"/>
    <cellStyle name="Normal 64 2" xfId="25855"/>
    <cellStyle name="Normal 65" xfId="25856"/>
    <cellStyle name="Normal 66" xfId="25857"/>
    <cellStyle name="Normal 67" xfId="25858"/>
    <cellStyle name="Normal 68" xfId="25859"/>
    <cellStyle name="Normal 68 2" xfId="25860"/>
    <cellStyle name="Normal 69" xfId="25861"/>
    <cellStyle name="Normal 7" xfId="25862"/>
    <cellStyle name="Normal 7 2" xfId="25863"/>
    <cellStyle name="Normal 7 2 2" xfId="25864"/>
    <cellStyle name="Normal 7 2 2 2" xfId="25865"/>
    <cellStyle name="Normal 7 2 3" xfId="25866"/>
    <cellStyle name="Normal 7 2 4" xfId="25867"/>
    <cellStyle name="Normal 7 2 5" xfId="25868"/>
    <cellStyle name="Normal 7 3" xfId="25869"/>
    <cellStyle name="Normal 7 3 2" xfId="25870"/>
    <cellStyle name="Normal 7 4" xfId="25871"/>
    <cellStyle name="Normal 7 5" xfId="25872"/>
    <cellStyle name="Normal 7 6" xfId="25873"/>
    <cellStyle name="Normal 7 7" xfId="25874"/>
    <cellStyle name="Normal 70" xfId="25875"/>
    <cellStyle name="Normal 71" xfId="25876"/>
    <cellStyle name="Normal 72" xfId="25877"/>
    <cellStyle name="Normal 73" xfId="25878"/>
    <cellStyle name="Normal 74" xfId="25879"/>
    <cellStyle name="Normal 75" xfId="25880"/>
    <cellStyle name="Normal 75 2" xfId="25881"/>
    <cellStyle name="Normal 76" xfId="25882"/>
    <cellStyle name="Normal 76 2" xfId="25883"/>
    <cellStyle name="Normal 77" xfId="25884"/>
    <cellStyle name="Normal 77 2" xfId="25885"/>
    <cellStyle name="Normal 78" xfId="25886"/>
    <cellStyle name="Normal 79" xfId="25887"/>
    <cellStyle name="Normal 8" xfId="25888"/>
    <cellStyle name="Normal 8 2" xfId="25889"/>
    <cellStyle name="Normal 8 2 2" xfId="25890"/>
    <cellStyle name="Normal 8 2 3" xfId="25891"/>
    <cellStyle name="Normal 8 2 4" xfId="25892"/>
    <cellStyle name="Normal 8 2 5" xfId="25893"/>
    <cellStyle name="Normal 8 3" xfId="25894"/>
    <cellStyle name="Normal 8 3 2" xfId="25895"/>
    <cellStyle name="Normal 8 4" xfId="25896"/>
    <cellStyle name="Normal 8 4 2" xfId="25897"/>
    <cellStyle name="Normal 8 5" xfId="25898"/>
    <cellStyle name="Normal 8 6" xfId="25899"/>
    <cellStyle name="Normal 8 7" xfId="25900"/>
    <cellStyle name="Normal 80" xfId="25901"/>
    <cellStyle name="Normal 81" xfId="25902"/>
    <cellStyle name="Normal 81 2" xfId="25903"/>
    <cellStyle name="Normal 82" xfId="25904"/>
    <cellStyle name="Normal 82 2" xfId="25905"/>
    <cellStyle name="Normal 83" xfId="25906"/>
    <cellStyle name="Normal 84" xfId="25907"/>
    <cellStyle name="Normal 85" xfId="25908"/>
    <cellStyle name="Normal 86" xfId="25909"/>
    <cellStyle name="Normal 86 2" xfId="25910"/>
    <cellStyle name="Normal 87" xfId="25911"/>
    <cellStyle name="Normal 87 2" xfId="25912"/>
    <cellStyle name="Normal 88" xfId="25913"/>
    <cellStyle name="Normal 88 2" xfId="25914"/>
    <cellStyle name="Normal 89" xfId="25915"/>
    <cellStyle name="Normal 89 2" xfId="25916"/>
    <cellStyle name="Normal 9" xfId="25917"/>
    <cellStyle name="Normal 9 2" xfId="25918"/>
    <cellStyle name="Normal 9 2 2" xfId="25919"/>
    <cellStyle name="Normal 9 2 2 2" xfId="25920"/>
    <cellStyle name="Normal 9 2 3" xfId="25921"/>
    <cellStyle name="Normal 9 2 4" xfId="25922"/>
    <cellStyle name="Normal 9 2 5" xfId="25923"/>
    <cellStyle name="Normal 9 2 6" xfId="25924"/>
    <cellStyle name="Normal 9 3" xfId="25925"/>
    <cellStyle name="Normal 9 3 2" xfId="25926"/>
    <cellStyle name="Normal 9 4" xfId="25927"/>
    <cellStyle name="Normal 9 4 2" xfId="25928"/>
    <cellStyle name="Normal 9 5" xfId="25929"/>
    <cellStyle name="Normal 9 6" xfId="25930"/>
    <cellStyle name="Normal 9 7" xfId="25931"/>
    <cellStyle name="Normal 90" xfId="25932"/>
    <cellStyle name="Normal 90 2" xfId="25933"/>
    <cellStyle name="Normal 91" xfId="25934"/>
    <cellStyle name="Normal 91 2" xfId="25935"/>
    <cellStyle name="Normal 92" xfId="25936"/>
    <cellStyle name="Normal 92 2" xfId="25937"/>
    <cellStyle name="Normal 93" xfId="25938"/>
    <cellStyle name="Normal 93 2" xfId="25939"/>
    <cellStyle name="Normal 94" xfId="25940"/>
    <cellStyle name="Normal 95" xfId="25941"/>
    <cellStyle name="Normal 96" xfId="25942"/>
    <cellStyle name="Normal 97" xfId="25943"/>
    <cellStyle name="Normal 98" xfId="25944"/>
    <cellStyle name="Normal 99" xfId="25945"/>
    <cellStyle name="Normál_ABS96 PLAN" xfId="25946"/>
    <cellStyle name="Normal_Components" xfId="25947"/>
    <cellStyle name="Normalny_KIScommHa03" xfId="25948"/>
    <cellStyle name="Normбl_Paramйter tбbla" xfId="25949"/>
    <cellStyle name="Notas 2" xfId="25950"/>
    <cellStyle name="Notas 2 2" xfId="25951"/>
    <cellStyle name="Notas 2 2 2" xfId="25952"/>
    <cellStyle name="Notas 2 2 2 2" xfId="25953"/>
    <cellStyle name="Notas 2 2 2 2 2" xfId="25954"/>
    <cellStyle name="Notas 2 2 3" xfId="25955"/>
    <cellStyle name="Notas 2 2 3 2" xfId="25956"/>
    <cellStyle name="Notas 2 3" xfId="25957"/>
    <cellStyle name="Notas 2 3 2" xfId="25958"/>
    <cellStyle name="Notas 2 3 2 2" xfId="25959"/>
    <cellStyle name="Notas 2 4" xfId="25960"/>
    <cellStyle name="Notas 2 4 2" xfId="25961"/>
    <cellStyle name="Note 10" xfId="25962"/>
    <cellStyle name="Note 10 2" xfId="25963"/>
    <cellStyle name="Note 10 3" xfId="25964"/>
    <cellStyle name="Note 10 4" xfId="25965"/>
    <cellStyle name="Note 10 5" xfId="25966"/>
    <cellStyle name="Note 11" xfId="25967"/>
    <cellStyle name="Note 11 2" xfId="25968"/>
    <cellStyle name="Note 11 3" xfId="25969"/>
    <cellStyle name="Note 11 4" xfId="25970"/>
    <cellStyle name="Note 12" xfId="25971"/>
    <cellStyle name="Note 13" xfId="25972"/>
    <cellStyle name="Note 14" xfId="25973"/>
    <cellStyle name="Note 15" xfId="25974"/>
    <cellStyle name="Note 2" xfId="25975"/>
    <cellStyle name="Note 2 10" xfId="25976"/>
    <cellStyle name="Note 2 2" xfId="25977"/>
    <cellStyle name="Note 2 2 10" xfId="25978"/>
    <cellStyle name="Note 2 2 2" xfId="25979"/>
    <cellStyle name="Note 2 2 2 2" xfId="25980"/>
    <cellStyle name="Note 2 2 2 2 2" xfId="25981"/>
    <cellStyle name="Note 2 2 2 2 2 2" xfId="25982"/>
    <cellStyle name="Note 2 2 2 2 2 3" xfId="25983"/>
    <cellStyle name="Note 2 2 2 2 2 4" xfId="25984"/>
    <cellStyle name="Note 2 2 2 2 2 5" xfId="25985"/>
    <cellStyle name="Note 2 2 2 2 3" xfId="25986"/>
    <cellStyle name="Note 2 2 2 2 3 2" xfId="25987"/>
    <cellStyle name="Note 2 2 2 2 3 3" xfId="25988"/>
    <cellStyle name="Note 2 2 2 2 3 4" xfId="25989"/>
    <cellStyle name="Note 2 2 2 2 3 5" xfId="25990"/>
    <cellStyle name="Note 2 2 2 2 4" xfId="25991"/>
    <cellStyle name="Note 2 2 2 2 5" xfId="25992"/>
    <cellStyle name="Note 2 2 2 2 6" xfId="25993"/>
    <cellStyle name="Note 2 2 2 2 7" xfId="25994"/>
    <cellStyle name="Note 2 2 2 3" xfId="25995"/>
    <cellStyle name="Note 2 2 2 3 2" xfId="25996"/>
    <cellStyle name="Note 2 2 2 3 2 2" xfId="25997"/>
    <cellStyle name="Note 2 2 2 3 2 3" xfId="25998"/>
    <cellStyle name="Note 2 2 2 3 2 4" xfId="25999"/>
    <cellStyle name="Note 2 2 2 3 2 5" xfId="26000"/>
    <cellStyle name="Note 2 2 2 3 3" xfId="26001"/>
    <cellStyle name="Note 2 2 2 3 3 2" xfId="26002"/>
    <cellStyle name="Note 2 2 2 3 3 3" xfId="26003"/>
    <cellStyle name="Note 2 2 2 3 3 4" xfId="26004"/>
    <cellStyle name="Note 2 2 2 3 3 5" xfId="26005"/>
    <cellStyle name="Note 2 2 2 3 4" xfId="26006"/>
    <cellStyle name="Note 2 2 2 3 5" xfId="26007"/>
    <cellStyle name="Note 2 2 2 3 6" xfId="26008"/>
    <cellStyle name="Note 2 2 2 3 7" xfId="26009"/>
    <cellStyle name="Note 2 2 2 4" xfId="26010"/>
    <cellStyle name="Note 2 2 2 4 2" xfId="26011"/>
    <cellStyle name="Note 2 2 2 4 3" xfId="26012"/>
    <cellStyle name="Note 2 2 2 4 4" xfId="26013"/>
    <cellStyle name="Note 2 2 2 4 5" xfId="26014"/>
    <cellStyle name="Note 2 2 2 5" xfId="26015"/>
    <cellStyle name="Note 2 2 2 5 2" xfId="26016"/>
    <cellStyle name="Note 2 2 2 5 3" xfId="26017"/>
    <cellStyle name="Note 2 2 2 5 4" xfId="26018"/>
    <cellStyle name="Note 2 2 2 5 5" xfId="26019"/>
    <cellStyle name="Note 2 2 2 6" xfId="26020"/>
    <cellStyle name="Note 2 2 2 7" xfId="26021"/>
    <cellStyle name="Note 2 2 2 8" xfId="26022"/>
    <cellStyle name="Note 2 2 2 9" xfId="26023"/>
    <cellStyle name="Note 2 2 3" xfId="26024"/>
    <cellStyle name="Note 2 2 3 2" xfId="26025"/>
    <cellStyle name="Note 2 2 3 2 2" xfId="26026"/>
    <cellStyle name="Note 2 2 3 2 3" xfId="26027"/>
    <cellStyle name="Note 2 2 3 2 4" xfId="26028"/>
    <cellStyle name="Note 2 2 3 2 5" xfId="26029"/>
    <cellStyle name="Note 2 2 3 3" xfId="26030"/>
    <cellStyle name="Note 2 2 3 3 2" xfId="26031"/>
    <cellStyle name="Note 2 2 3 3 3" xfId="26032"/>
    <cellStyle name="Note 2 2 3 3 4" xfId="26033"/>
    <cellStyle name="Note 2 2 3 3 5" xfId="26034"/>
    <cellStyle name="Note 2 2 3 4" xfId="26035"/>
    <cellStyle name="Note 2 2 3 5" xfId="26036"/>
    <cellStyle name="Note 2 2 3 6" xfId="26037"/>
    <cellStyle name="Note 2 2 3 7" xfId="26038"/>
    <cellStyle name="Note 2 2 4" xfId="26039"/>
    <cellStyle name="Note 2 2 4 2" xfId="26040"/>
    <cellStyle name="Note 2 2 4 2 2" xfId="26041"/>
    <cellStyle name="Note 2 2 4 2 3" xfId="26042"/>
    <cellStyle name="Note 2 2 4 2 4" xfId="26043"/>
    <cellStyle name="Note 2 2 4 3" xfId="26044"/>
    <cellStyle name="Note 2 2 4 3 2" xfId="26045"/>
    <cellStyle name="Note 2 2 4 3 3" xfId="26046"/>
    <cellStyle name="Note 2 2 4 3 4" xfId="26047"/>
    <cellStyle name="Note 2 2 4 4" xfId="26048"/>
    <cellStyle name="Note 2 2 4 5" xfId="26049"/>
    <cellStyle name="Note 2 2 4 6" xfId="26050"/>
    <cellStyle name="Note 2 2 4 7" xfId="26051"/>
    <cellStyle name="Note 2 2 5" xfId="26052"/>
    <cellStyle name="Note 2 2 5 2" xfId="26053"/>
    <cellStyle name="Note 2 2 5 3" xfId="26054"/>
    <cellStyle name="Note 2 2 5 4" xfId="26055"/>
    <cellStyle name="Note 2 2 6" xfId="26056"/>
    <cellStyle name="Note 2 2 6 2" xfId="26057"/>
    <cellStyle name="Note 2 2 6 3" xfId="26058"/>
    <cellStyle name="Note 2 2 6 4" xfId="26059"/>
    <cellStyle name="Note 2 2 7" xfId="26060"/>
    <cellStyle name="Note 2 2 8" xfId="26061"/>
    <cellStyle name="Note 2 2 9" xfId="26062"/>
    <cellStyle name="Note 2 3" xfId="26063"/>
    <cellStyle name="Note 2 3 2" xfId="26064"/>
    <cellStyle name="Note 2 3 2 2" xfId="26065"/>
    <cellStyle name="Note 2 3 2 2 2" xfId="26066"/>
    <cellStyle name="Note 2 3 2 2 3" xfId="26067"/>
    <cellStyle name="Note 2 3 2 2 4" xfId="26068"/>
    <cellStyle name="Note 2 3 2 3" xfId="26069"/>
    <cellStyle name="Note 2 3 2 3 2" xfId="26070"/>
    <cellStyle name="Note 2 3 2 3 3" xfId="26071"/>
    <cellStyle name="Note 2 3 2 3 4" xfId="26072"/>
    <cellStyle name="Note 2 3 2 4" xfId="26073"/>
    <cellStyle name="Note 2 3 2 4 2" xfId="26074"/>
    <cellStyle name="Note 2 3 2 5" xfId="26075"/>
    <cellStyle name="Note 2 3 2 6" xfId="26076"/>
    <cellStyle name="Note 2 3 3" xfId="26077"/>
    <cellStyle name="Note 2 3 3 2" xfId="26078"/>
    <cellStyle name="Note 2 3 3 2 2" xfId="26079"/>
    <cellStyle name="Note 2 3 3 3" xfId="26080"/>
    <cellStyle name="Note 2 3 3 3 2" xfId="26081"/>
    <cellStyle name="Note 2 3 3 4" xfId="26082"/>
    <cellStyle name="Note 2 3 3 5" xfId="26083"/>
    <cellStyle name="Note 2 3 4" xfId="26084"/>
    <cellStyle name="Note 2 3 4 2" xfId="26085"/>
    <cellStyle name="Note 2 3 5" xfId="26086"/>
    <cellStyle name="Note 2 3 6" xfId="26087"/>
    <cellStyle name="Note 2 3 7" xfId="26088"/>
    <cellStyle name="Note 2 4" xfId="26089"/>
    <cellStyle name="Note 2 4 2" xfId="26090"/>
    <cellStyle name="Note 2 4 2 2" xfId="26091"/>
    <cellStyle name="Note 2 4 2 3" xfId="26092"/>
    <cellStyle name="Note 2 4 2 4" xfId="26093"/>
    <cellStyle name="Note 2 4 3" xfId="26094"/>
    <cellStyle name="Note 2 4 3 2" xfId="26095"/>
    <cellStyle name="Note 2 4 3 3" xfId="26096"/>
    <cellStyle name="Note 2 4 3 4" xfId="26097"/>
    <cellStyle name="Note 2 4 4" xfId="26098"/>
    <cellStyle name="Note 2 4 5" xfId="26099"/>
    <cellStyle name="Note 2 4 6" xfId="26100"/>
    <cellStyle name="Note 2 5" xfId="26101"/>
    <cellStyle name="Note 2 5 2" xfId="26102"/>
    <cellStyle name="Note 2 5 3" xfId="26103"/>
    <cellStyle name="Note 2 5 4" xfId="26104"/>
    <cellStyle name="Note 2 6" xfId="26105"/>
    <cellStyle name="Note 2 6 2" xfId="26106"/>
    <cellStyle name="Note 2 6 3" xfId="26107"/>
    <cellStyle name="Note 2 6 4" xfId="26108"/>
    <cellStyle name="Note 2 7" xfId="26109"/>
    <cellStyle name="Note 2 8" xfId="26110"/>
    <cellStyle name="Note 2 9" xfId="26111"/>
    <cellStyle name="Note 3" xfId="26112"/>
    <cellStyle name="Note 3 10" xfId="26113"/>
    <cellStyle name="Note 3 2" xfId="26114"/>
    <cellStyle name="Note 3 2 10" xfId="26115"/>
    <cellStyle name="Note 3 2 2" xfId="26116"/>
    <cellStyle name="Note 3 2 2 2" xfId="26117"/>
    <cellStyle name="Note 3 2 2 2 2" xfId="26118"/>
    <cellStyle name="Note 3 2 2 2 2 2" xfId="26119"/>
    <cellStyle name="Note 3 2 2 2 2 3" xfId="26120"/>
    <cellStyle name="Note 3 2 2 2 2 4" xfId="26121"/>
    <cellStyle name="Note 3 2 2 2 3" xfId="26122"/>
    <cellStyle name="Note 3 2 2 2 3 2" xfId="26123"/>
    <cellStyle name="Note 3 2 2 2 3 3" xfId="26124"/>
    <cellStyle name="Note 3 2 2 2 3 4" xfId="26125"/>
    <cellStyle name="Note 3 2 2 2 4" xfId="26126"/>
    <cellStyle name="Note 3 2 2 2 5" xfId="26127"/>
    <cellStyle name="Note 3 2 2 2 6" xfId="26128"/>
    <cellStyle name="Note 3 2 2 3" xfId="26129"/>
    <cellStyle name="Note 3 2 2 3 2" xfId="26130"/>
    <cellStyle name="Note 3 2 2 3 2 2" xfId="26131"/>
    <cellStyle name="Note 3 2 2 3 2 3" xfId="26132"/>
    <cellStyle name="Note 3 2 2 3 2 4" xfId="26133"/>
    <cellStyle name="Note 3 2 2 3 3" xfId="26134"/>
    <cellStyle name="Note 3 2 2 3 3 2" xfId="26135"/>
    <cellStyle name="Note 3 2 2 3 3 3" xfId="26136"/>
    <cellStyle name="Note 3 2 2 3 3 4" xfId="26137"/>
    <cellStyle name="Note 3 2 2 3 4" xfId="26138"/>
    <cellStyle name="Note 3 2 2 3 5" xfId="26139"/>
    <cellStyle name="Note 3 2 2 3 6" xfId="26140"/>
    <cellStyle name="Note 3 2 2 4" xfId="26141"/>
    <cellStyle name="Note 3 2 2 4 2" xfId="26142"/>
    <cellStyle name="Note 3 2 2 4 3" xfId="26143"/>
    <cellStyle name="Note 3 2 2 4 4" xfId="26144"/>
    <cellStyle name="Note 3 2 2 5" xfId="26145"/>
    <cellStyle name="Note 3 2 2 5 2" xfId="26146"/>
    <cellStyle name="Note 3 2 2 5 3" xfId="26147"/>
    <cellStyle name="Note 3 2 2 5 4" xfId="26148"/>
    <cellStyle name="Note 3 2 2 6" xfId="26149"/>
    <cellStyle name="Note 3 2 2 7" xfId="26150"/>
    <cellStyle name="Note 3 2 2 8" xfId="26151"/>
    <cellStyle name="Note 3 2 3" xfId="26152"/>
    <cellStyle name="Note 3 2 3 2" xfId="26153"/>
    <cellStyle name="Note 3 2 3 2 2" xfId="26154"/>
    <cellStyle name="Note 3 2 3 2 3" xfId="26155"/>
    <cellStyle name="Note 3 2 3 2 4" xfId="26156"/>
    <cellStyle name="Note 3 2 3 3" xfId="26157"/>
    <cellStyle name="Note 3 2 3 3 2" xfId="26158"/>
    <cellStyle name="Note 3 2 3 3 3" xfId="26159"/>
    <cellStyle name="Note 3 2 3 3 4" xfId="26160"/>
    <cellStyle name="Note 3 2 3 4" xfId="26161"/>
    <cellStyle name="Note 3 2 3 5" xfId="26162"/>
    <cellStyle name="Note 3 2 3 6" xfId="26163"/>
    <cellStyle name="Note 3 2 4" xfId="26164"/>
    <cellStyle name="Note 3 2 4 2" xfId="26165"/>
    <cellStyle name="Note 3 2 4 2 2" xfId="26166"/>
    <cellStyle name="Note 3 2 4 2 3" xfId="26167"/>
    <cellStyle name="Note 3 2 4 2 4" xfId="26168"/>
    <cellStyle name="Note 3 2 4 3" xfId="26169"/>
    <cellStyle name="Note 3 2 4 3 2" xfId="26170"/>
    <cellStyle name="Note 3 2 4 3 3" xfId="26171"/>
    <cellStyle name="Note 3 2 4 3 4" xfId="26172"/>
    <cellStyle name="Note 3 2 4 4" xfId="26173"/>
    <cellStyle name="Note 3 2 4 5" xfId="26174"/>
    <cellStyle name="Note 3 2 4 6" xfId="26175"/>
    <cellStyle name="Note 3 2 5" xfId="26176"/>
    <cellStyle name="Note 3 2 5 2" xfId="26177"/>
    <cellStyle name="Note 3 2 5 3" xfId="26178"/>
    <cellStyle name="Note 3 2 5 4" xfId="26179"/>
    <cellStyle name="Note 3 2 6" xfId="26180"/>
    <cellStyle name="Note 3 2 6 2" xfId="26181"/>
    <cellStyle name="Note 3 2 6 3" xfId="26182"/>
    <cellStyle name="Note 3 2 6 4" xfId="26183"/>
    <cellStyle name="Note 3 2 7" xfId="26184"/>
    <cellStyle name="Note 3 2 8" xfId="26185"/>
    <cellStyle name="Note 3 2 9" xfId="26186"/>
    <cellStyle name="Note 3 3" xfId="26187"/>
    <cellStyle name="Note 3 3 2" xfId="26188"/>
    <cellStyle name="Note 3 3 2 2" xfId="26189"/>
    <cellStyle name="Note 3 3 2 3" xfId="26190"/>
    <cellStyle name="Note 3 3 2 4" xfId="26191"/>
    <cellStyle name="Note 3 3 3" xfId="26192"/>
    <cellStyle name="Note 3 3 3 2" xfId="26193"/>
    <cellStyle name="Note 3 3 3 3" xfId="26194"/>
    <cellStyle name="Note 3 3 3 4" xfId="26195"/>
    <cellStyle name="Note 3 3 4" xfId="26196"/>
    <cellStyle name="Note 3 3 5" xfId="26197"/>
    <cellStyle name="Note 3 3 6" xfId="26198"/>
    <cellStyle name="Note 3 4" xfId="26199"/>
    <cellStyle name="Note 3 4 2" xfId="26200"/>
    <cellStyle name="Note 3 4 2 2" xfId="26201"/>
    <cellStyle name="Note 3 4 2 3" xfId="26202"/>
    <cellStyle name="Note 3 4 2 4" xfId="26203"/>
    <cellStyle name="Note 3 4 3" xfId="26204"/>
    <cellStyle name="Note 3 4 3 2" xfId="26205"/>
    <cellStyle name="Note 3 4 3 3" xfId="26206"/>
    <cellStyle name="Note 3 4 3 4" xfId="26207"/>
    <cellStyle name="Note 3 4 4" xfId="26208"/>
    <cellStyle name="Note 3 4 5" xfId="26209"/>
    <cellStyle name="Note 3 4 6" xfId="26210"/>
    <cellStyle name="Note 3 5" xfId="26211"/>
    <cellStyle name="Note 3 5 2" xfId="26212"/>
    <cellStyle name="Note 3 5 3" xfId="26213"/>
    <cellStyle name="Note 3 5 4" xfId="26214"/>
    <cellStyle name="Note 3 6" xfId="26215"/>
    <cellStyle name="Note 3 6 2" xfId="26216"/>
    <cellStyle name="Note 3 6 3" xfId="26217"/>
    <cellStyle name="Note 3 6 4" xfId="26218"/>
    <cellStyle name="Note 3 7" xfId="26219"/>
    <cellStyle name="Note 3 8" xfId="26220"/>
    <cellStyle name="Note 3 9" xfId="26221"/>
    <cellStyle name="Note 4" xfId="26222"/>
    <cellStyle name="Note 4 10" xfId="26223"/>
    <cellStyle name="Note 4 2" xfId="26224"/>
    <cellStyle name="Note 4 2 2" xfId="26225"/>
    <cellStyle name="Note 4 2 2 2" xfId="26226"/>
    <cellStyle name="Note 4 2 2 2 2" xfId="26227"/>
    <cellStyle name="Note 4 2 2 2 2 2" xfId="26228"/>
    <cellStyle name="Note 4 2 2 2 2 3" xfId="26229"/>
    <cellStyle name="Note 4 2 2 2 2 4" xfId="26230"/>
    <cellStyle name="Note 4 2 2 2 3" xfId="26231"/>
    <cellStyle name="Note 4 2 2 2 3 2" xfId="26232"/>
    <cellStyle name="Note 4 2 2 2 3 3" xfId="26233"/>
    <cellStyle name="Note 4 2 2 2 3 4" xfId="26234"/>
    <cellStyle name="Note 4 2 2 2 4" xfId="26235"/>
    <cellStyle name="Note 4 2 2 2 5" xfId="26236"/>
    <cellStyle name="Note 4 2 2 2 6" xfId="26237"/>
    <cellStyle name="Note 4 2 2 3" xfId="26238"/>
    <cellStyle name="Note 4 2 2 3 2" xfId="26239"/>
    <cellStyle name="Note 4 2 2 3 2 2" xfId="26240"/>
    <cellStyle name="Note 4 2 2 3 2 3" xfId="26241"/>
    <cellStyle name="Note 4 2 2 3 2 4" xfId="26242"/>
    <cellStyle name="Note 4 2 2 3 3" xfId="26243"/>
    <cellStyle name="Note 4 2 2 3 3 2" xfId="26244"/>
    <cellStyle name="Note 4 2 2 3 3 3" xfId="26245"/>
    <cellStyle name="Note 4 2 2 3 3 4" xfId="26246"/>
    <cellStyle name="Note 4 2 2 3 4" xfId="26247"/>
    <cellStyle name="Note 4 2 2 3 5" xfId="26248"/>
    <cellStyle name="Note 4 2 2 3 6" xfId="26249"/>
    <cellStyle name="Note 4 2 2 4" xfId="26250"/>
    <cellStyle name="Note 4 2 2 4 2" xfId="26251"/>
    <cellStyle name="Note 4 2 2 4 3" xfId="26252"/>
    <cellStyle name="Note 4 2 2 4 4" xfId="26253"/>
    <cellStyle name="Note 4 2 2 5" xfId="26254"/>
    <cellStyle name="Note 4 2 2 5 2" xfId="26255"/>
    <cellStyle name="Note 4 2 2 5 3" xfId="26256"/>
    <cellStyle name="Note 4 2 2 5 4" xfId="26257"/>
    <cellStyle name="Note 4 2 2 6" xfId="26258"/>
    <cellStyle name="Note 4 2 2 7" xfId="26259"/>
    <cellStyle name="Note 4 2 2 8" xfId="26260"/>
    <cellStyle name="Note 4 2 3" xfId="26261"/>
    <cellStyle name="Note 4 2 3 2" xfId="26262"/>
    <cellStyle name="Note 4 2 3 2 2" xfId="26263"/>
    <cellStyle name="Note 4 2 3 2 3" xfId="26264"/>
    <cellStyle name="Note 4 2 3 2 4" xfId="26265"/>
    <cellStyle name="Note 4 2 3 3" xfId="26266"/>
    <cellStyle name="Note 4 2 3 3 2" xfId="26267"/>
    <cellStyle name="Note 4 2 3 3 3" xfId="26268"/>
    <cellStyle name="Note 4 2 3 3 4" xfId="26269"/>
    <cellStyle name="Note 4 2 3 4" xfId="26270"/>
    <cellStyle name="Note 4 2 3 5" xfId="26271"/>
    <cellStyle name="Note 4 2 3 6" xfId="26272"/>
    <cellStyle name="Note 4 2 4" xfId="26273"/>
    <cellStyle name="Note 4 2 4 2" xfId="26274"/>
    <cellStyle name="Note 4 2 4 2 2" xfId="26275"/>
    <cellStyle name="Note 4 2 4 2 3" xfId="26276"/>
    <cellStyle name="Note 4 2 4 2 4" xfId="26277"/>
    <cellStyle name="Note 4 2 4 3" xfId="26278"/>
    <cellStyle name="Note 4 2 4 3 2" xfId="26279"/>
    <cellStyle name="Note 4 2 4 3 3" xfId="26280"/>
    <cellStyle name="Note 4 2 4 3 4" xfId="26281"/>
    <cellStyle name="Note 4 2 4 4" xfId="26282"/>
    <cellStyle name="Note 4 2 4 5" xfId="26283"/>
    <cellStyle name="Note 4 2 4 6" xfId="26284"/>
    <cellStyle name="Note 4 2 5" xfId="26285"/>
    <cellStyle name="Note 4 2 5 2" xfId="26286"/>
    <cellStyle name="Note 4 2 5 3" xfId="26287"/>
    <cellStyle name="Note 4 2 5 4" xfId="26288"/>
    <cellStyle name="Note 4 2 6" xfId="26289"/>
    <cellStyle name="Note 4 2 6 2" xfId="26290"/>
    <cellStyle name="Note 4 2 6 3" xfId="26291"/>
    <cellStyle name="Note 4 2 6 4" xfId="26292"/>
    <cellStyle name="Note 4 2 7" xfId="26293"/>
    <cellStyle name="Note 4 2 8" xfId="26294"/>
    <cellStyle name="Note 4 2 9" xfId="26295"/>
    <cellStyle name="Note 4 3" xfId="26296"/>
    <cellStyle name="Note 4 3 2" xfId="26297"/>
    <cellStyle name="Note 4 3 2 2" xfId="26298"/>
    <cellStyle name="Note 4 3 2 3" xfId="26299"/>
    <cellStyle name="Note 4 3 2 4" xfId="26300"/>
    <cellStyle name="Note 4 3 3" xfId="26301"/>
    <cellStyle name="Note 4 3 3 2" xfId="26302"/>
    <cellStyle name="Note 4 3 3 3" xfId="26303"/>
    <cellStyle name="Note 4 3 3 4" xfId="26304"/>
    <cellStyle name="Note 4 3 4" xfId="26305"/>
    <cellStyle name="Note 4 3 5" xfId="26306"/>
    <cellStyle name="Note 4 3 6" xfId="26307"/>
    <cellStyle name="Note 4 4" xfId="26308"/>
    <cellStyle name="Note 4 4 2" xfId="26309"/>
    <cellStyle name="Note 4 4 2 2" xfId="26310"/>
    <cellStyle name="Note 4 4 2 3" xfId="26311"/>
    <cellStyle name="Note 4 4 2 4" xfId="26312"/>
    <cellStyle name="Note 4 4 3" xfId="26313"/>
    <cellStyle name="Note 4 4 3 2" xfId="26314"/>
    <cellStyle name="Note 4 4 3 3" xfId="26315"/>
    <cellStyle name="Note 4 4 3 4" xfId="26316"/>
    <cellStyle name="Note 4 4 4" xfId="26317"/>
    <cellStyle name="Note 4 4 5" xfId="26318"/>
    <cellStyle name="Note 4 4 6" xfId="26319"/>
    <cellStyle name="Note 4 5" xfId="26320"/>
    <cellStyle name="Note 4 5 2" xfId="26321"/>
    <cellStyle name="Note 4 5 3" xfId="26322"/>
    <cellStyle name="Note 4 5 4" xfId="26323"/>
    <cellStyle name="Note 4 6" xfId="26324"/>
    <cellStyle name="Note 4 6 2" xfId="26325"/>
    <cellStyle name="Note 4 6 3" xfId="26326"/>
    <cellStyle name="Note 4 6 4" xfId="26327"/>
    <cellStyle name="Note 4 7" xfId="26328"/>
    <cellStyle name="Note 4 8" xfId="26329"/>
    <cellStyle name="Note 4 9" xfId="26330"/>
    <cellStyle name="Note 5" xfId="26331"/>
    <cellStyle name="Note 5 10" xfId="26332"/>
    <cellStyle name="Note 5 2" xfId="26333"/>
    <cellStyle name="Note 5 2 2" xfId="26334"/>
    <cellStyle name="Note 5 2 2 2" xfId="26335"/>
    <cellStyle name="Note 5 2 2 2 2" xfId="26336"/>
    <cellStyle name="Note 5 2 2 2 2 2" xfId="26337"/>
    <cellStyle name="Note 5 2 2 2 2 3" xfId="26338"/>
    <cellStyle name="Note 5 2 2 2 2 4" xfId="26339"/>
    <cellStyle name="Note 5 2 2 2 3" xfId="26340"/>
    <cellStyle name="Note 5 2 2 2 3 2" xfId="26341"/>
    <cellStyle name="Note 5 2 2 2 3 3" xfId="26342"/>
    <cellStyle name="Note 5 2 2 2 3 4" xfId="26343"/>
    <cellStyle name="Note 5 2 2 2 4" xfId="26344"/>
    <cellStyle name="Note 5 2 2 2 5" xfId="26345"/>
    <cellStyle name="Note 5 2 2 2 6" xfId="26346"/>
    <cellStyle name="Note 5 2 2 3" xfId="26347"/>
    <cellStyle name="Note 5 2 2 3 2" xfId="26348"/>
    <cellStyle name="Note 5 2 2 3 2 2" xfId="26349"/>
    <cellStyle name="Note 5 2 2 3 2 3" xfId="26350"/>
    <cellStyle name="Note 5 2 2 3 2 4" xfId="26351"/>
    <cellStyle name="Note 5 2 2 3 3" xfId="26352"/>
    <cellStyle name="Note 5 2 2 3 3 2" xfId="26353"/>
    <cellStyle name="Note 5 2 2 3 3 3" xfId="26354"/>
    <cellStyle name="Note 5 2 2 3 3 4" xfId="26355"/>
    <cellStyle name="Note 5 2 2 3 4" xfId="26356"/>
    <cellStyle name="Note 5 2 2 3 5" xfId="26357"/>
    <cellStyle name="Note 5 2 2 3 6" xfId="26358"/>
    <cellStyle name="Note 5 2 2 4" xfId="26359"/>
    <cellStyle name="Note 5 2 2 4 2" xfId="26360"/>
    <cellStyle name="Note 5 2 2 4 3" xfId="26361"/>
    <cellStyle name="Note 5 2 2 4 4" xfId="26362"/>
    <cellStyle name="Note 5 2 2 5" xfId="26363"/>
    <cellStyle name="Note 5 2 2 5 2" xfId="26364"/>
    <cellStyle name="Note 5 2 2 5 3" xfId="26365"/>
    <cellStyle name="Note 5 2 2 5 4" xfId="26366"/>
    <cellStyle name="Note 5 2 2 6" xfId="26367"/>
    <cellStyle name="Note 5 2 2 7" xfId="26368"/>
    <cellStyle name="Note 5 2 2 8" xfId="26369"/>
    <cellStyle name="Note 5 2 3" xfId="26370"/>
    <cellStyle name="Note 5 2 3 2" xfId="26371"/>
    <cellStyle name="Note 5 2 3 2 2" xfId="26372"/>
    <cellStyle name="Note 5 2 3 2 3" xfId="26373"/>
    <cellStyle name="Note 5 2 3 2 4" xfId="26374"/>
    <cellStyle name="Note 5 2 3 3" xfId="26375"/>
    <cellStyle name="Note 5 2 3 3 2" xfId="26376"/>
    <cellStyle name="Note 5 2 3 3 3" xfId="26377"/>
    <cellStyle name="Note 5 2 3 3 4" xfId="26378"/>
    <cellStyle name="Note 5 2 3 4" xfId="26379"/>
    <cellStyle name="Note 5 2 3 5" xfId="26380"/>
    <cellStyle name="Note 5 2 3 6" xfId="26381"/>
    <cellStyle name="Note 5 2 4" xfId="26382"/>
    <cellStyle name="Note 5 2 4 2" xfId="26383"/>
    <cellStyle name="Note 5 2 4 2 2" xfId="26384"/>
    <cellStyle name="Note 5 2 4 2 3" xfId="26385"/>
    <cellStyle name="Note 5 2 4 2 4" xfId="26386"/>
    <cellStyle name="Note 5 2 4 3" xfId="26387"/>
    <cellStyle name="Note 5 2 4 3 2" xfId="26388"/>
    <cellStyle name="Note 5 2 4 3 3" xfId="26389"/>
    <cellStyle name="Note 5 2 4 3 4" xfId="26390"/>
    <cellStyle name="Note 5 2 4 4" xfId="26391"/>
    <cellStyle name="Note 5 2 4 5" xfId="26392"/>
    <cellStyle name="Note 5 2 4 6" xfId="26393"/>
    <cellStyle name="Note 5 2 5" xfId="26394"/>
    <cellStyle name="Note 5 2 5 2" xfId="26395"/>
    <cellStyle name="Note 5 2 5 3" xfId="26396"/>
    <cellStyle name="Note 5 2 5 4" xfId="26397"/>
    <cellStyle name="Note 5 2 6" xfId="26398"/>
    <cellStyle name="Note 5 2 6 2" xfId="26399"/>
    <cellStyle name="Note 5 2 6 3" xfId="26400"/>
    <cellStyle name="Note 5 2 6 4" xfId="26401"/>
    <cellStyle name="Note 5 2 7" xfId="26402"/>
    <cellStyle name="Note 5 2 8" xfId="26403"/>
    <cellStyle name="Note 5 2 9" xfId="26404"/>
    <cellStyle name="Note 5 3" xfId="26405"/>
    <cellStyle name="Note 5 3 2" xfId="26406"/>
    <cellStyle name="Note 5 3 2 2" xfId="26407"/>
    <cellStyle name="Note 5 3 2 3" xfId="26408"/>
    <cellStyle name="Note 5 3 2 4" xfId="26409"/>
    <cellStyle name="Note 5 3 3" xfId="26410"/>
    <cellStyle name="Note 5 3 3 2" xfId="26411"/>
    <cellStyle name="Note 5 3 3 3" xfId="26412"/>
    <cellStyle name="Note 5 3 3 4" xfId="26413"/>
    <cellStyle name="Note 5 3 4" xfId="26414"/>
    <cellStyle name="Note 5 3 5" xfId="26415"/>
    <cellStyle name="Note 5 3 6" xfId="26416"/>
    <cellStyle name="Note 5 4" xfId="26417"/>
    <cellStyle name="Note 5 4 2" xfId="26418"/>
    <cellStyle name="Note 5 4 2 2" xfId="26419"/>
    <cellStyle name="Note 5 4 2 3" xfId="26420"/>
    <cellStyle name="Note 5 4 2 4" xfId="26421"/>
    <cellStyle name="Note 5 4 3" xfId="26422"/>
    <cellStyle name="Note 5 4 3 2" xfId="26423"/>
    <cellStyle name="Note 5 4 3 3" xfId="26424"/>
    <cellStyle name="Note 5 4 3 4" xfId="26425"/>
    <cellStyle name="Note 5 4 4" xfId="26426"/>
    <cellStyle name="Note 5 4 5" xfId="26427"/>
    <cellStyle name="Note 5 4 6" xfId="26428"/>
    <cellStyle name="Note 5 5" xfId="26429"/>
    <cellStyle name="Note 5 5 2" xfId="26430"/>
    <cellStyle name="Note 5 5 3" xfId="26431"/>
    <cellStyle name="Note 5 5 4" xfId="26432"/>
    <cellStyle name="Note 5 6" xfId="26433"/>
    <cellStyle name="Note 5 6 2" xfId="26434"/>
    <cellStyle name="Note 5 6 3" xfId="26435"/>
    <cellStyle name="Note 5 6 4" xfId="26436"/>
    <cellStyle name="Note 5 7" xfId="26437"/>
    <cellStyle name="Note 5 8" xfId="26438"/>
    <cellStyle name="Note 5 9" xfId="26439"/>
    <cellStyle name="Note 6" xfId="26440"/>
    <cellStyle name="Note 6 10" xfId="26441"/>
    <cellStyle name="Note 6 2" xfId="26442"/>
    <cellStyle name="Note 6 2 2" xfId="26443"/>
    <cellStyle name="Note 6 2 2 2" xfId="26444"/>
    <cellStyle name="Note 6 2 2 2 2" xfId="26445"/>
    <cellStyle name="Note 6 2 2 2 2 2" xfId="26446"/>
    <cellStyle name="Note 6 2 2 2 2 3" xfId="26447"/>
    <cellStyle name="Note 6 2 2 2 2 4" xfId="26448"/>
    <cellStyle name="Note 6 2 2 2 3" xfId="26449"/>
    <cellStyle name="Note 6 2 2 2 3 2" xfId="26450"/>
    <cellStyle name="Note 6 2 2 2 3 3" xfId="26451"/>
    <cellStyle name="Note 6 2 2 2 3 4" xfId="26452"/>
    <cellStyle name="Note 6 2 2 2 4" xfId="26453"/>
    <cellStyle name="Note 6 2 2 2 5" xfId="26454"/>
    <cellStyle name="Note 6 2 2 2 6" xfId="26455"/>
    <cellStyle name="Note 6 2 2 3" xfId="26456"/>
    <cellStyle name="Note 6 2 2 3 2" xfId="26457"/>
    <cellStyle name="Note 6 2 2 3 2 2" xfId="26458"/>
    <cellStyle name="Note 6 2 2 3 2 3" xfId="26459"/>
    <cellStyle name="Note 6 2 2 3 2 4" xfId="26460"/>
    <cellStyle name="Note 6 2 2 3 3" xfId="26461"/>
    <cellStyle name="Note 6 2 2 3 3 2" xfId="26462"/>
    <cellStyle name="Note 6 2 2 3 3 3" xfId="26463"/>
    <cellStyle name="Note 6 2 2 3 3 4" xfId="26464"/>
    <cellStyle name="Note 6 2 2 3 4" xfId="26465"/>
    <cellStyle name="Note 6 2 2 3 5" xfId="26466"/>
    <cellStyle name="Note 6 2 2 3 6" xfId="26467"/>
    <cellStyle name="Note 6 2 2 4" xfId="26468"/>
    <cellStyle name="Note 6 2 2 4 2" xfId="26469"/>
    <cellStyle name="Note 6 2 2 4 3" xfId="26470"/>
    <cellStyle name="Note 6 2 2 4 4" xfId="26471"/>
    <cellStyle name="Note 6 2 2 5" xfId="26472"/>
    <cellStyle name="Note 6 2 2 5 2" xfId="26473"/>
    <cellStyle name="Note 6 2 2 5 3" xfId="26474"/>
    <cellStyle name="Note 6 2 2 5 4" xfId="26475"/>
    <cellStyle name="Note 6 2 2 6" xfId="26476"/>
    <cellStyle name="Note 6 2 2 7" xfId="26477"/>
    <cellStyle name="Note 6 2 2 8" xfId="26478"/>
    <cellStyle name="Note 6 2 3" xfId="26479"/>
    <cellStyle name="Note 6 2 3 2" xfId="26480"/>
    <cellStyle name="Note 6 2 3 2 2" xfId="26481"/>
    <cellStyle name="Note 6 2 3 2 3" xfId="26482"/>
    <cellStyle name="Note 6 2 3 2 4" xfId="26483"/>
    <cellStyle name="Note 6 2 3 3" xfId="26484"/>
    <cellStyle name="Note 6 2 3 3 2" xfId="26485"/>
    <cellStyle name="Note 6 2 3 3 3" xfId="26486"/>
    <cellStyle name="Note 6 2 3 3 4" xfId="26487"/>
    <cellStyle name="Note 6 2 3 4" xfId="26488"/>
    <cellStyle name="Note 6 2 3 5" xfId="26489"/>
    <cellStyle name="Note 6 2 3 6" xfId="26490"/>
    <cellStyle name="Note 6 2 4" xfId="26491"/>
    <cellStyle name="Note 6 2 4 2" xfId="26492"/>
    <cellStyle name="Note 6 2 4 2 2" xfId="26493"/>
    <cellStyle name="Note 6 2 4 2 3" xfId="26494"/>
    <cellStyle name="Note 6 2 4 2 4" xfId="26495"/>
    <cellStyle name="Note 6 2 4 3" xfId="26496"/>
    <cellStyle name="Note 6 2 4 3 2" xfId="26497"/>
    <cellStyle name="Note 6 2 4 3 3" xfId="26498"/>
    <cellStyle name="Note 6 2 4 3 4" xfId="26499"/>
    <cellStyle name="Note 6 2 4 4" xfId="26500"/>
    <cellStyle name="Note 6 2 4 5" xfId="26501"/>
    <cellStyle name="Note 6 2 4 6" xfId="26502"/>
    <cellStyle name="Note 6 2 5" xfId="26503"/>
    <cellStyle name="Note 6 2 5 2" xfId="26504"/>
    <cellStyle name="Note 6 2 5 3" xfId="26505"/>
    <cellStyle name="Note 6 2 5 4" xfId="26506"/>
    <cellStyle name="Note 6 2 6" xfId="26507"/>
    <cellStyle name="Note 6 2 6 2" xfId="26508"/>
    <cellStyle name="Note 6 2 6 3" xfId="26509"/>
    <cellStyle name="Note 6 2 6 4" xfId="26510"/>
    <cellStyle name="Note 6 2 7" xfId="26511"/>
    <cellStyle name="Note 6 2 8" xfId="26512"/>
    <cellStyle name="Note 6 2 9" xfId="26513"/>
    <cellStyle name="Note 6 3" xfId="26514"/>
    <cellStyle name="Note 6 3 2" xfId="26515"/>
    <cellStyle name="Note 6 3 2 2" xfId="26516"/>
    <cellStyle name="Note 6 3 2 3" xfId="26517"/>
    <cellStyle name="Note 6 3 2 4" xfId="26518"/>
    <cellStyle name="Note 6 3 3" xfId="26519"/>
    <cellStyle name="Note 6 3 3 2" xfId="26520"/>
    <cellStyle name="Note 6 3 3 3" xfId="26521"/>
    <cellStyle name="Note 6 3 3 4" xfId="26522"/>
    <cellStyle name="Note 6 3 4" xfId="26523"/>
    <cellStyle name="Note 6 3 5" xfId="26524"/>
    <cellStyle name="Note 6 3 6" xfId="26525"/>
    <cellStyle name="Note 6 4" xfId="26526"/>
    <cellStyle name="Note 6 4 2" xfId="26527"/>
    <cellStyle name="Note 6 4 2 2" xfId="26528"/>
    <cellStyle name="Note 6 4 2 3" xfId="26529"/>
    <cellStyle name="Note 6 4 2 4" xfId="26530"/>
    <cellStyle name="Note 6 4 3" xfId="26531"/>
    <cellStyle name="Note 6 4 3 2" xfId="26532"/>
    <cellStyle name="Note 6 4 3 3" xfId="26533"/>
    <cellStyle name="Note 6 4 3 4" xfId="26534"/>
    <cellStyle name="Note 6 4 4" xfId="26535"/>
    <cellStyle name="Note 6 4 5" xfId="26536"/>
    <cellStyle name="Note 6 4 6" xfId="26537"/>
    <cellStyle name="Note 6 5" xfId="26538"/>
    <cellStyle name="Note 6 5 2" xfId="26539"/>
    <cellStyle name="Note 6 5 3" xfId="26540"/>
    <cellStyle name="Note 6 5 4" xfId="26541"/>
    <cellStyle name="Note 6 6" xfId="26542"/>
    <cellStyle name="Note 6 6 2" xfId="26543"/>
    <cellStyle name="Note 6 6 3" xfId="26544"/>
    <cellStyle name="Note 6 6 4" xfId="26545"/>
    <cellStyle name="Note 6 7" xfId="26546"/>
    <cellStyle name="Note 6 8" xfId="26547"/>
    <cellStyle name="Note 6 9" xfId="26548"/>
    <cellStyle name="Note 7" xfId="26549"/>
    <cellStyle name="Note 7 10" xfId="26550"/>
    <cellStyle name="Note 7 2" xfId="26551"/>
    <cellStyle name="Note 7 2 2" xfId="26552"/>
    <cellStyle name="Note 7 2 2 2" xfId="26553"/>
    <cellStyle name="Note 7 2 2 2 2" xfId="26554"/>
    <cellStyle name="Note 7 2 2 2 3" xfId="26555"/>
    <cellStyle name="Note 7 2 2 2 4" xfId="26556"/>
    <cellStyle name="Note 7 2 2 3" xfId="26557"/>
    <cellStyle name="Note 7 2 2 3 2" xfId="26558"/>
    <cellStyle name="Note 7 2 2 3 3" xfId="26559"/>
    <cellStyle name="Note 7 2 2 3 4" xfId="26560"/>
    <cellStyle name="Note 7 2 2 4" xfId="26561"/>
    <cellStyle name="Note 7 2 2 5" xfId="26562"/>
    <cellStyle name="Note 7 2 2 6" xfId="26563"/>
    <cellStyle name="Note 7 2 3" xfId="26564"/>
    <cellStyle name="Note 7 2 3 2" xfId="26565"/>
    <cellStyle name="Note 7 2 3 2 2" xfId="26566"/>
    <cellStyle name="Note 7 2 3 2 3" xfId="26567"/>
    <cellStyle name="Note 7 2 3 2 4" xfId="26568"/>
    <cellStyle name="Note 7 2 3 3" xfId="26569"/>
    <cellStyle name="Note 7 2 3 3 2" xfId="26570"/>
    <cellStyle name="Note 7 2 3 3 3" xfId="26571"/>
    <cellStyle name="Note 7 2 3 3 4" xfId="26572"/>
    <cellStyle name="Note 7 2 3 4" xfId="26573"/>
    <cellStyle name="Note 7 2 3 5" xfId="26574"/>
    <cellStyle name="Note 7 2 3 6" xfId="26575"/>
    <cellStyle name="Note 7 2 4" xfId="26576"/>
    <cellStyle name="Note 7 2 4 2" xfId="26577"/>
    <cellStyle name="Note 7 2 4 3" xfId="26578"/>
    <cellStyle name="Note 7 2 4 4" xfId="26579"/>
    <cellStyle name="Note 7 2 5" xfId="26580"/>
    <cellStyle name="Note 7 2 5 2" xfId="26581"/>
    <cellStyle name="Note 7 2 5 3" xfId="26582"/>
    <cellStyle name="Note 7 2 5 4" xfId="26583"/>
    <cellStyle name="Note 7 2 6" xfId="26584"/>
    <cellStyle name="Note 7 2 7" xfId="26585"/>
    <cellStyle name="Note 7 2 8" xfId="26586"/>
    <cellStyle name="Note 7 3" xfId="26587"/>
    <cellStyle name="Note 7 3 2" xfId="26588"/>
    <cellStyle name="Note 7 3 2 2" xfId="26589"/>
    <cellStyle name="Note 7 3 2 3" xfId="26590"/>
    <cellStyle name="Note 7 3 2 4" xfId="26591"/>
    <cellStyle name="Note 7 3 3" xfId="26592"/>
    <cellStyle name="Note 7 3 3 2" xfId="26593"/>
    <cellStyle name="Note 7 3 3 3" xfId="26594"/>
    <cellStyle name="Note 7 3 3 4" xfId="26595"/>
    <cellStyle name="Note 7 3 4" xfId="26596"/>
    <cellStyle name="Note 7 3 5" xfId="26597"/>
    <cellStyle name="Note 7 3 6" xfId="26598"/>
    <cellStyle name="Note 7 4" xfId="26599"/>
    <cellStyle name="Note 7 4 2" xfId="26600"/>
    <cellStyle name="Note 7 4 2 2" xfId="26601"/>
    <cellStyle name="Note 7 4 2 3" xfId="26602"/>
    <cellStyle name="Note 7 4 2 4" xfId="26603"/>
    <cellStyle name="Note 7 4 3" xfId="26604"/>
    <cellStyle name="Note 7 4 3 2" xfId="26605"/>
    <cellStyle name="Note 7 4 3 3" xfId="26606"/>
    <cellStyle name="Note 7 4 3 4" xfId="26607"/>
    <cellStyle name="Note 7 4 4" xfId="26608"/>
    <cellStyle name="Note 7 4 5" xfId="26609"/>
    <cellStyle name="Note 7 4 6" xfId="26610"/>
    <cellStyle name="Note 7 5" xfId="26611"/>
    <cellStyle name="Note 7 5 2" xfId="26612"/>
    <cellStyle name="Note 7 5 3" xfId="26613"/>
    <cellStyle name="Note 7 5 4" xfId="26614"/>
    <cellStyle name="Note 7 6" xfId="26615"/>
    <cellStyle name="Note 7 6 2" xfId="26616"/>
    <cellStyle name="Note 7 6 3" xfId="26617"/>
    <cellStyle name="Note 7 6 4" xfId="26618"/>
    <cellStyle name="Note 7 7" xfId="26619"/>
    <cellStyle name="Note 7 8" xfId="26620"/>
    <cellStyle name="Note 7 9" xfId="26621"/>
    <cellStyle name="Note 8" xfId="26622"/>
    <cellStyle name="Note 8 2" xfId="26623"/>
    <cellStyle name="Note 8 2 2" xfId="26624"/>
    <cellStyle name="Note 8 2 3" xfId="26625"/>
    <cellStyle name="Note 8 2 4" xfId="26626"/>
    <cellStyle name="Note 8 3" xfId="26627"/>
    <cellStyle name="Note 8 3 2" xfId="26628"/>
    <cellStyle name="Note 8 3 3" xfId="26629"/>
    <cellStyle name="Note 8 3 4" xfId="26630"/>
    <cellStyle name="Note 8 4" xfId="26631"/>
    <cellStyle name="Note 8 5" xfId="26632"/>
    <cellStyle name="Note 8 6" xfId="26633"/>
    <cellStyle name="Note 8 7" xfId="26634"/>
    <cellStyle name="Note 9" xfId="26635"/>
    <cellStyle name="Note 9 2" xfId="26636"/>
    <cellStyle name="Note 9 2 2" xfId="26637"/>
    <cellStyle name="Note 9 2 3" xfId="26638"/>
    <cellStyle name="Note 9 2 4" xfId="26639"/>
    <cellStyle name="Note 9 3" xfId="26640"/>
    <cellStyle name="Note 9 3 2" xfId="26641"/>
    <cellStyle name="Note 9 3 3" xfId="26642"/>
    <cellStyle name="Note 9 3 4" xfId="26643"/>
    <cellStyle name="Note 9 4" xfId="26644"/>
    <cellStyle name="Note 9 5" xfId="26645"/>
    <cellStyle name="Note 9 6" xfId="26646"/>
    <cellStyle name="Note 9 7" xfId="26647"/>
    <cellStyle name="Notes" xfId="26648"/>
    <cellStyle name="Notes 2" xfId="26649"/>
    <cellStyle name="Notiz 2" xfId="26650"/>
    <cellStyle name="Number_00_Red" xfId="26651"/>
    <cellStyle name="øöñÞ_Australia_original" xfId="26652"/>
    <cellStyle name="Option" xfId="26653"/>
    <cellStyle name="Option 2" xfId="26654"/>
    <cellStyle name="OptionHeading" xfId="26655"/>
    <cellStyle name="Output 2" xfId="26656"/>
    <cellStyle name="Output 2 2" xfId="26657"/>
    <cellStyle name="Output 2 3" xfId="26658"/>
    <cellStyle name="Output 2 3 2" xfId="26659"/>
    <cellStyle name="Output 2 3 2 2" xfId="26660"/>
    <cellStyle name="Output 2 3 2 3" xfId="26661"/>
    <cellStyle name="Output 2 3 3" xfId="26662"/>
    <cellStyle name="Output 2 3 3 2" xfId="26663"/>
    <cellStyle name="Output 2 3 3 3" xfId="26664"/>
    <cellStyle name="Output 2 3 4" xfId="26665"/>
    <cellStyle name="Output 2 3 5" xfId="26666"/>
    <cellStyle name="Output 2 4" xfId="26667"/>
    <cellStyle name="Output 2 4 2" xfId="26668"/>
    <cellStyle name="Output 2 4 3" xfId="26669"/>
    <cellStyle name="Output 2 5" xfId="26670"/>
    <cellStyle name="Output 2 6" xfId="26671"/>
    <cellStyle name="Output 3" xfId="26672"/>
    <cellStyle name="Output 3 2" xfId="26673"/>
    <cellStyle name="pcent" xfId="26674"/>
    <cellStyle name="pcent 2" xfId="26675"/>
    <cellStyle name="Pénznem [0]_Ausdruck" xfId="26676"/>
    <cellStyle name="Pénznem_Ausdruck" xfId="26677"/>
    <cellStyle name="Percent ()" xfId="26678"/>
    <cellStyle name="Percent (0)" xfId="26679"/>
    <cellStyle name="Percent (1)" xfId="26680"/>
    <cellStyle name="Percent (1) 2" xfId="26681"/>
    <cellStyle name="Percent (2)" xfId="26682"/>
    <cellStyle name="Percent (2) 2" xfId="26683"/>
    <cellStyle name="Percent [0]" xfId="26684"/>
    <cellStyle name="Percent [0] 2" xfId="26685"/>
    <cellStyle name="Percent [00]" xfId="26686"/>
    <cellStyle name="Percent [2]" xfId="26687"/>
    <cellStyle name="Percent [2] 2" xfId="26688"/>
    <cellStyle name="Percent [2] 2 2" xfId="26689"/>
    <cellStyle name="Percent 1" xfId="26690"/>
    <cellStyle name="Percent 10" xfId="26691"/>
    <cellStyle name="Percent 10 2" xfId="26692"/>
    <cellStyle name="Percent 10 2 2" xfId="26693"/>
    <cellStyle name="Percent 10 3" xfId="26694"/>
    <cellStyle name="Percent 11" xfId="26695"/>
    <cellStyle name="Percent 11 2" xfId="26696"/>
    <cellStyle name="Percent 11 2 2" xfId="26697"/>
    <cellStyle name="Percent 11 3" xfId="26698"/>
    <cellStyle name="Percent 12" xfId="26699"/>
    <cellStyle name="Percent 12 2" xfId="26700"/>
    <cellStyle name="Percent 12 2 2" xfId="26701"/>
    <cellStyle name="Percent 12 3" xfId="26702"/>
    <cellStyle name="Percent 13" xfId="26703"/>
    <cellStyle name="Percent 14" xfId="26704"/>
    <cellStyle name="Percent 15" xfId="26705"/>
    <cellStyle name="Percent 16" xfId="26706"/>
    <cellStyle name="Percent 17" xfId="26707"/>
    <cellStyle name="Percent 18" xfId="26708"/>
    <cellStyle name="Percent 19" xfId="26709"/>
    <cellStyle name="Percent 2" xfId="26710"/>
    <cellStyle name="Percent 2 2" xfId="26711"/>
    <cellStyle name="Percent 2 3" xfId="26712"/>
    <cellStyle name="Percent 2 4" xfId="26713"/>
    <cellStyle name="Percent 2 5" xfId="26714"/>
    <cellStyle name="Percent 20" xfId="26715"/>
    <cellStyle name="Percent 21" xfId="26716"/>
    <cellStyle name="Percent 22" xfId="26717"/>
    <cellStyle name="Percent 23" xfId="26718"/>
    <cellStyle name="Percent 24" xfId="26719"/>
    <cellStyle name="Percent 25" xfId="26720"/>
    <cellStyle name="Percent 26" xfId="26721"/>
    <cellStyle name="Percent 27" xfId="26722"/>
    <cellStyle name="Percent 28" xfId="26723"/>
    <cellStyle name="Percent 29" xfId="26724"/>
    <cellStyle name="Percent 3" xfId="26725"/>
    <cellStyle name="Percent 3 2" xfId="26726"/>
    <cellStyle name="Percent 3 3" xfId="26727"/>
    <cellStyle name="Percent 3 4" xfId="26728"/>
    <cellStyle name="Percent 3 5" xfId="26729"/>
    <cellStyle name="Percent 30" xfId="26730"/>
    <cellStyle name="Percent 31" xfId="26731"/>
    <cellStyle name="Percent 32" xfId="26732"/>
    <cellStyle name="Percent 33" xfId="26733"/>
    <cellStyle name="Percent 34" xfId="26734"/>
    <cellStyle name="Percent 35" xfId="26735"/>
    <cellStyle name="Percent 36" xfId="26736"/>
    <cellStyle name="Percent 37" xfId="26737"/>
    <cellStyle name="Percent 38" xfId="26738"/>
    <cellStyle name="Percent 4" xfId="26739"/>
    <cellStyle name="Percent 4 2" xfId="26740"/>
    <cellStyle name="Percent 4 3" xfId="26741"/>
    <cellStyle name="Percent 4 4" xfId="26742"/>
    <cellStyle name="Percent 5" xfId="26743"/>
    <cellStyle name="Percent 5 2" xfId="26744"/>
    <cellStyle name="Percent 5 3" xfId="26745"/>
    <cellStyle name="Percent 5 4" xfId="26746"/>
    <cellStyle name="Percent 6" xfId="26747"/>
    <cellStyle name="Percent 6 2" xfId="26748"/>
    <cellStyle name="Percent 7" xfId="26749"/>
    <cellStyle name="Percent 7 2" xfId="26750"/>
    <cellStyle name="Percent 8" xfId="26751"/>
    <cellStyle name="Percent 8 2" xfId="26752"/>
    <cellStyle name="Percent 9" xfId="26753"/>
    <cellStyle name="Percent 9 2" xfId="26754"/>
    <cellStyle name="Percent 9 2 2" xfId="26755"/>
    <cellStyle name="Percent 9 3" xfId="26756"/>
    <cellStyle name="percentage" xfId="26757"/>
    <cellStyle name="PrePop Currency (0)" xfId="26758"/>
    <cellStyle name="PrePop Currency (0) 2" xfId="26759"/>
    <cellStyle name="PrePop Currency (2)" xfId="26760"/>
    <cellStyle name="PrePop Currency (2) 2" xfId="26761"/>
    <cellStyle name="PrePop Units (0)" xfId="26762"/>
    <cellStyle name="PrePop Units (0) 2" xfId="26763"/>
    <cellStyle name="PrePop Units (1)" xfId="26764"/>
    <cellStyle name="PrePop Units (1) 2" xfId="26765"/>
    <cellStyle name="PrePop Units (2)" xfId="26766"/>
    <cellStyle name="PrePop Units (2) 2" xfId="26767"/>
    <cellStyle name="Price" xfId="26768"/>
    <cellStyle name="Price 2" xfId="26769"/>
    <cellStyle name="Price 3" xfId="26770"/>
    <cellStyle name="Prozent_DEPREC.XLS" xfId="26771"/>
    <cellStyle name="PSChar" xfId="26772"/>
    <cellStyle name="PSDate" xfId="26773"/>
    <cellStyle name="PSDec" xfId="26774"/>
    <cellStyle name="PSHeading" xfId="26775"/>
    <cellStyle name="PSInt" xfId="26776"/>
    <cellStyle name="PSSpacer" xfId="26777"/>
    <cellStyle name="Qty" xfId="26778"/>
    <cellStyle name="RAMEY" xfId="26779"/>
    <cellStyle name="Ramey $k" xfId="26780"/>
    <cellStyle name="Ramey $k 2" xfId="26781"/>
    <cellStyle name="RAMEY_P&amp;O BKUP" xfId="26782"/>
    <cellStyle name="RevList" xfId="26783"/>
    <cellStyle name="SAPBEXaggData" xfId="26784"/>
    <cellStyle name="SAPBEXaggData 2" xfId="26785"/>
    <cellStyle name="SAPBEXaggData 2 2" xfId="26786"/>
    <cellStyle name="SAPBEXaggData 2 2 2" xfId="26787"/>
    <cellStyle name="SAPBEXaggData 2 2 2 2" xfId="26788"/>
    <cellStyle name="SAPBEXaggData 2 2 2 3" xfId="26789"/>
    <cellStyle name="SAPBEXaggData 2 2 3" xfId="26790"/>
    <cellStyle name="SAPBEXaggData 2 2 3 2" xfId="26791"/>
    <cellStyle name="SAPBEXaggData 2 2 3 3" xfId="26792"/>
    <cellStyle name="SAPBEXaggData 2 2 4" xfId="26793"/>
    <cellStyle name="SAPBEXaggData 2 2 5" xfId="26794"/>
    <cellStyle name="SAPBEXaggData 2 3" xfId="26795"/>
    <cellStyle name="SAPBEXaggData 2 3 2" xfId="26796"/>
    <cellStyle name="SAPBEXaggData 2 3 3" xfId="26797"/>
    <cellStyle name="SAPBEXaggData 2 4" xfId="26798"/>
    <cellStyle name="SAPBEXaggData 3" xfId="26799"/>
    <cellStyle name="SAPBEXaggData 3 2" xfId="26800"/>
    <cellStyle name="SAPBEXaggData 3 2 2" xfId="26801"/>
    <cellStyle name="SAPBEXaggData 3 2 3" xfId="26802"/>
    <cellStyle name="SAPBEXaggData 3 3" xfId="26803"/>
    <cellStyle name="SAPBEXaggData 3 3 2" xfId="26804"/>
    <cellStyle name="SAPBEXaggData 3 3 3" xfId="26805"/>
    <cellStyle name="SAPBEXaggData 3 4" xfId="26806"/>
    <cellStyle name="SAPBEXaggData 3 5" xfId="26807"/>
    <cellStyle name="SAPBEXaggData 4" xfId="26808"/>
    <cellStyle name="SAPBEXaggData 4 2" xfId="26809"/>
    <cellStyle name="SAPBEXaggData 4 3" xfId="26810"/>
    <cellStyle name="SAPBEXaggData 5" xfId="26811"/>
    <cellStyle name="SAPBEXaggDataEmph" xfId="26812"/>
    <cellStyle name="SAPBEXaggDataEmph 2" xfId="26813"/>
    <cellStyle name="SAPBEXaggDataEmph 2 2" xfId="26814"/>
    <cellStyle name="SAPBEXaggDataEmph 2 2 2" xfId="26815"/>
    <cellStyle name="SAPBEXaggDataEmph 2 2 3" xfId="26816"/>
    <cellStyle name="SAPBEXaggDataEmph 2 3" xfId="26817"/>
    <cellStyle name="SAPBEXaggDataEmph 2 3 2" xfId="26818"/>
    <cellStyle name="SAPBEXaggDataEmph 2 3 3" xfId="26819"/>
    <cellStyle name="SAPBEXaggDataEmph 2 4" xfId="26820"/>
    <cellStyle name="SAPBEXaggDataEmph 2 5" xfId="26821"/>
    <cellStyle name="SAPBEXaggDataEmph 3" xfId="26822"/>
    <cellStyle name="SAPBEXaggDataEmph 3 2" xfId="26823"/>
    <cellStyle name="SAPBEXaggDataEmph 3 3" xfId="26824"/>
    <cellStyle name="SAPBEXaggDataEmph 4" xfId="26825"/>
    <cellStyle name="SAPBEXaggItem" xfId="26826"/>
    <cellStyle name="SAPBEXaggItem 2" xfId="26827"/>
    <cellStyle name="SAPBEXaggItem 2 2" xfId="26828"/>
    <cellStyle name="SAPBEXaggItem 2 2 2" xfId="26829"/>
    <cellStyle name="SAPBEXaggItem 2 2 2 2" xfId="26830"/>
    <cellStyle name="SAPBEXaggItem 2 2 2 3" xfId="26831"/>
    <cellStyle name="SAPBEXaggItem 2 2 3" xfId="26832"/>
    <cellStyle name="SAPBEXaggItem 2 2 3 2" xfId="26833"/>
    <cellStyle name="SAPBEXaggItem 2 2 3 3" xfId="26834"/>
    <cellStyle name="SAPBEXaggItem 2 2 4" xfId="26835"/>
    <cellStyle name="SAPBEXaggItem 2 2 5" xfId="26836"/>
    <cellStyle name="SAPBEXaggItem 2 3" xfId="26837"/>
    <cellStyle name="SAPBEXaggItem 2 3 2" xfId="26838"/>
    <cellStyle name="SAPBEXaggItem 2 3 3" xfId="26839"/>
    <cellStyle name="SAPBEXaggItem 2 4" xfId="26840"/>
    <cellStyle name="SAPBEXaggItem 3" xfId="26841"/>
    <cellStyle name="SAPBEXaggItem 3 2" xfId="26842"/>
    <cellStyle name="SAPBEXaggItem 3 2 2" xfId="26843"/>
    <cellStyle name="SAPBEXaggItem 3 2 3" xfId="26844"/>
    <cellStyle name="SAPBEXaggItem 3 3" xfId="26845"/>
    <cellStyle name="SAPBEXaggItem 3 3 2" xfId="26846"/>
    <cellStyle name="SAPBEXaggItem 3 3 3" xfId="26847"/>
    <cellStyle name="SAPBEXaggItem 3 4" xfId="26848"/>
    <cellStyle name="SAPBEXaggItem 3 5" xfId="26849"/>
    <cellStyle name="SAPBEXaggItem 4" xfId="26850"/>
    <cellStyle name="SAPBEXaggItem 4 2" xfId="26851"/>
    <cellStyle name="SAPBEXaggItem 4 3" xfId="26852"/>
    <cellStyle name="SAPBEXaggItem 5" xfId="26853"/>
    <cellStyle name="SAPBEXaggItemX" xfId="26854"/>
    <cellStyle name="SAPBEXaggItemX 2" xfId="26855"/>
    <cellStyle name="SAPBEXaggItemX 2 2" xfId="26856"/>
    <cellStyle name="SAPBEXaggItemX 2 2 2" xfId="26857"/>
    <cellStyle name="SAPBEXaggItemX 2 2 2 2" xfId="26858"/>
    <cellStyle name="SAPBEXaggItemX 2 2 2 3" xfId="26859"/>
    <cellStyle name="SAPBEXaggItemX 2 2 3" xfId="26860"/>
    <cellStyle name="SAPBEXaggItemX 2 2 3 2" xfId="26861"/>
    <cellStyle name="SAPBEXaggItemX 2 2 3 3" xfId="26862"/>
    <cellStyle name="SAPBEXaggItemX 2 2 4" xfId="26863"/>
    <cellStyle name="SAPBEXaggItemX 2 2 5" xfId="26864"/>
    <cellStyle name="SAPBEXaggItemX 2 3" xfId="26865"/>
    <cellStyle name="SAPBEXaggItemX 2 3 2" xfId="26866"/>
    <cellStyle name="SAPBEXaggItemX 2 3 3" xfId="26867"/>
    <cellStyle name="SAPBEXaggItemX 2 4" xfId="26868"/>
    <cellStyle name="SAPBEXaggItemX 3" xfId="26869"/>
    <cellStyle name="SAPBEXaggItemX 3 2" xfId="26870"/>
    <cellStyle name="SAPBEXaggItemX 3 2 2" xfId="26871"/>
    <cellStyle name="SAPBEXaggItemX 3 2 3" xfId="26872"/>
    <cellStyle name="SAPBEXaggItemX 3 3" xfId="26873"/>
    <cellStyle name="SAPBEXaggItemX 3 3 2" xfId="26874"/>
    <cellStyle name="SAPBEXaggItemX 3 3 3" xfId="26875"/>
    <cellStyle name="SAPBEXaggItemX 3 4" xfId="26876"/>
    <cellStyle name="SAPBEXaggItemX 3 5" xfId="26877"/>
    <cellStyle name="SAPBEXaggItemX 4" xfId="26878"/>
    <cellStyle name="SAPBEXaggItemX 4 2" xfId="26879"/>
    <cellStyle name="SAPBEXaggItemX 4 3" xfId="26880"/>
    <cellStyle name="SAPBEXaggItemX 5" xfId="26881"/>
    <cellStyle name="SAPBEXchaText" xfId="26882"/>
    <cellStyle name="SAPBEXchaText 2" xfId="26883"/>
    <cellStyle name="SAPBEXchaText 2 2" xfId="26884"/>
    <cellStyle name="SAPBEXchaText 2 2 2" xfId="26885"/>
    <cellStyle name="SAPBEXchaText 2 2 3" xfId="26886"/>
    <cellStyle name="SAPBEXchaText 2 3" xfId="26887"/>
    <cellStyle name="SAPBEXchaText 2 3 2" xfId="26888"/>
    <cellStyle name="SAPBEXchaText 2 3 3" xfId="26889"/>
    <cellStyle name="SAPBEXchaText 2 4" xfId="26890"/>
    <cellStyle name="SAPBEXchaText 2 5" xfId="26891"/>
    <cellStyle name="SAPBEXchaText 3" xfId="26892"/>
    <cellStyle name="SAPBEXchaText 3 2" xfId="26893"/>
    <cellStyle name="SAPBEXchaText 3 3" xfId="26894"/>
    <cellStyle name="SAPBEXchaText 4" xfId="26895"/>
    <cellStyle name="SAPBEXexcBad7" xfId="26896"/>
    <cellStyle name="SAPBEXexcBad7 2" xfId="26897"/>
    <cellStyle name="SAPBEXexcBad7 2 2" xfId="26898"/>
    <cellStyle name="SAPBEXexcBad7 2 2 2" xfId="26899"/>
    <cellStyle name="SAPBEXexcBad7 2 2 2 2" xfId="26900"/>
    <cellStyle name="SAPBEXexcBad7 2 2 2 3" xfId="26901"/>
    <cellStyle name="SAPBEXexcBad7 2 2 3" xfId="26902"/>
    <cellStyle name="SAPBEXexcBad7 2 2 3 2" xfId="26903"/>
    <cellStyle name="SAPBEXexcBad7 2 2 3 3" xfId="26904"/>
    <cellStyle name="SAPBEXexcBad7 2 2 4" xfId="26905"/>
    <cellStyle name="SAPBEXexcBad7 2 2 5" xfId="26906"/>
    <cellStyle name="SAPBEXexcBad7 2 3" xfId="26907"/>
    <cellStyle name="SAPBEXexcBad7 2 3 2" xfId="26908"/>
    <cellStyle name="SAPBEXexcBad7 2 3 3" xfId="26909"/>
    <cellStyle name="SAPBEXexcBad7 2 4" xfId="26910"/>
    <cellStyle name="SAPBEXexcBad7 3" xfId="26911"/>
    <cellStyle name="SAPBEXexcBad7 3 2" xfId="26912"/>
    <cellStyle name="SAPBEXexcBad7 3 2 2" xfId="26913"/>
    <cellStyle name="SAPBEXexcBad7 3 2 3" xfId="26914"/>
    <cellStyle name="SAPBEXexcBad7 3 3" xfId="26915"/>
    <cellStyle name="SAPBEXexcBad7 3 3 2" xfId="26916"/>
    <cellStyle name="SAPBEXexcBad7 3 3 3" xfId="26917"/>
    <cellStyle name="SAPBEXexcBad7 3 4" xfId="26918"/>
    <cellStyle name="SAPBEXexcBad7 3 5" xfId="26919"/>
    <cellStyle name="SAPBEXexcBad7 4" xfId="26920"/>
    <cellStyle name="SAPBEXexcBad7 4 2" xfId="26921"/>
    <cellStyle name="SAPBEXexcBad7 4 3" xfId="26922"/>
    <cellStyle name="SAPBEXexcBad7 5" xfId="26923"/>
    <cellStyle name="SAPBEXexcBad8" xfId="26924"/>
    <cellStyle name="SAPBEXexcBad8 2" xfId="26925"/>
    <cellStyle name="SAPBEXexcBad8 2 2" xfId="26926"/>
    <cellStyle name="SAPBEXexcBad8 2 2 2" xfId="26927"/>
    <cellStyle name="SAPBEXexcBad8 2 2 2 2" xfId="26928"/>
    <cellStyle name="SAPBEXexcBad8 2 2 2 3" xfId="26929"/>
    <cellStyle name="SAPBEXexcBad8 2 2 3" xfId="26930"/>
    <cellStyle name="SAPBEXexcBad8 2 2 3 2" xfId="26931"/>
    <cellStyle name="SAPBEXexcBad8 2 2 3 3" xfId="26932"/>
    <cellStyle name="SAPBEXexcBad8 2 2 4" xfId="26933"/>
    <cellStyle name="SAPBEXexcBad8 2 2 5" xfId="26934"/>
    <cellStyle name="SAPBEXexcBad8 2 3" xfId="26935"/>
    <cellStyle name="SAPBEXexcBad8 2 3 2" xfId="26936"/>
    <cellStyle name="SAPBEXexcBad8 2 3 3" xfId="26937"/>
    <cellStyle name="SAPBEXexcBad8 2 4" xfId="26938"/>
    <cellStyle name="SAPBEXexcBad8 3" xfId="26939"/>
    <cellStyle name="SAPBEXexcBad8 3 2" xfId="26940"/>
    <cellStyle name="SAPBEXexcBad8 3 2 2" xfId="26941"/>
    <cellStyle name="SAPBEXexcBad8 3 2 3" xfId="26942"/>
    <cellStyle name="SAPBEXexcBad8 3 3" xfId="26943"/>
    <cellStyle name="SAPBEXexcBad8 3 3 2" xfId="26944"/>
    <cellStyle name="SAPBEXexcBad8 3 3 3" xfId="26945"/>
    <cellStyle name="SAPBEXexcBad8 3 4" xfId="26946"/>
    <cellStyle name="SAPBEXexcBad8 3 5" xfId="26947"/>
    <cellStyle name="SAPBEXexcBad8 4" xfId="26948"/>
    <cellStyle name="SAPBEXexcBad8 4 2" xfId="26949"/>
    <cellStyle name="SAPBEXexcBad8 4 3" xfId="26950"/>
    <cellStyle name="SAPBEXexcBad8 5" xfId="26951"/>
    <cellStyle name="SAPBEXexcBad9" xfId="26952"/>
    <cellStyle name="SAPBEXexcBad9 2" xfId="26953"/>
    <cellStyle name="SAPBEXexcBad9 2 2" xfId="26954"/>
    <cellStyle name="SAPBEXexcBad9 2 2 2" xfId="26955"/>
    <cellStyle name="SAPBEXexcBad9 2 2 2 2" xfId="26956"/>
    <cellStyle name="SAPBEXexcBad9 2 2 2 3" xfId="26957"/>
    <cellStyle name="SAPBEXexcBad9 2 2 3" xfId="26958"/>
    <cellStyle name="SAPBEXexcBad9 2 2 3 2" xfId="26959"/>
    <cellStyle name="SAPBEXexcBad9 2 2 3 3" xfId="26960"/>
    <cellStyle name="SAPBEXexcBad9 2 2 4" xfId="26961"/>
    <cellStyle name="SAPBEXexcBad9 2 2 5" xfId="26962"/>
    <cellStyle name="SAPBEXexcBad9 2 3" xfId="26963"/>
    <cellStyle name="SAPBEXexcBad9 2 3 2" xfId="26964"/>
    <cellStyle name="SAPBEXexcBad9 2 3 3" xfId="26965"/>
    <cellStyle name="SAPBEXexcBad9 2 4" xfId="26966"/>
    <cellStyle name="SAPBEXexcBad9 3" xfId="26967"/>
    <cellStyle name="SAPBEXexcBad9 3 2" xfId="26968"/>
    <cellStyle name="SAPBEXexcBad9 3 2 2" xfId="26969"/>
    <cellStyle name="SAPBEXexcBad9 3 2 3" xfId="26970"/>
    <cellStyle name="SAPBEXexcBad9 3 3" xfId="26971"/>
    <cellStyle name="SAPBEXexcBad9 3 3 2" xfId="26972"/>
    <cellStyle name="SAPBEXexcBad9 3 3 3" xfId="26973"/>
    <cellStyle name="SAPBEXexcBad9 3 4" xfId="26974"/>
    <cellStyle name="SAPBEXexcBad9 3 5" xfId="26975"/>
    <cellStyle name="SAPBEXexcBad9 4" xfId="26976"/>
    <cellStyle name="SAPBEXexcBad9 4 2" xfId="26977"/>
    <cellStyle name="SAPBEXexcBad9 4 3" xfId="26978"/>
    <cellStyle name="SAPBEXexcBad9 5" xfId="26979"/>
    <cellStyle name="SAPBEXexcCritical4" xfId="26980"/>
    <cellStyle name="SAPBEXexcCritical4 2" xfId="26981"/>
    <cellStyle name="SAPBEXexcCritical4 2 2" xfId="26982"/>
    <cellStyle name="SAPBEXexcCritical4 2 2 2" xfId="26983"/>
    <cellStyle name="SAPBEXexcCritical4 2 2 2 2" xfId="26984"/>
    <cellStyle name="SAPBEXexcCritical4 2 2 2 3" xfId="26985"/>
    <cellStyle name="SAPBEXexcCritical4 2 2 3" xfId="26986"/>
    <cellStyle name="SAPBEXexcCritical4 2 2 3 2" xfId="26987"/>
    <cellStyle name="SAPBEXexcCritical4 2 2 3 3" xfId="26988"/>
    <cellStyle name="SAPBEXexcCritical4 2 2 4" xfId="26989"/>
    <cellStyle name="SAPBEXexcCritical4 2 2 5" xfId="26990"/>
    <cellStyle name="SAPBEXexcCritical4 2 3" xfId="26991"/>
    <cellStyle name="SAPBEXexcCritical4 2 3 2" xfId="26992"/>
    <cellStyle name="SAPBEXexcCritical4 2 3 3" xfId="26993"/>
    <cellStyle name="SAPBEXexcCritical4 2 4" xfId="26994"/>
    <cellStyle name="SAPBEXexcCritical4 3" xfId="26995"/>
    <cellStyle name="SAPBEXexcCritical4 3 2" xfId="26996"/>
    <cellStyle name="SAPBEXexcCritical4 3 2 2" xfId="26997"/>
    <cellStyle name="SAPBEXexcCritical4 3 2 3" xfId="26998"/>
    <cellStyle name="SAPBEXexcCritical4 3 3" xfId="26999"/>
    <cellStyle name="SAPBEXexcCritical4 3 3 2" xfId="27000"/>
    <cellStyle name="SAPBEXexcCritical4 3 3 3" xfId="27001"/>
    <cellStyle name="SAPBEXexcCritical4 3 4" xfId="27002"/>
    <cellStyle name="SAPBEXexcCritical4 3 5" xfId="27003"/>
    <cellStyle name="SAPBEXexcCritical4 4" xfId="27004"/>
    <cellStyle name="SAPBEXexcCritical4 4 2" xfId="27005"/>
    <cellStyle name="SAPBEXexcCritical4 4 3" xfId="27006"/>
    <cellStyle name="SAPBEXexcCritical4 5" xfId="27007"/>
    <cellStyle name="SAPBEXexcCritical5" xfId="27008"/>
    <cellStyle name="SAPBEXexcCritical5 2" xfId="27009"/>
    <cellStyle name="SAPBEXexcCritical5 2 2" xfId="27010"/>
    <cellStyle name="SAPBEXexcCritical5 2 2 2" xfId="27011"/>
    <cellStyle name="SAPBEXexcCritical5 2 2 2 2" xfId="27012"/>
    <cellStyle name="SAPBEXexcCritical5 2 2 2 3" xfId="27013"/>
    <cellStyle name="SAPBEXexcCritical5 2 2 3" xfId="27014"/>
    <cellStyle name="SAPBEXexcCritical5 2 2 3 2" xfId="27015"/>
    <cellStyle name="SAPBEXexcCritical5 2 2 3 3" xfId="27016"/>
    <cellStyle name="SAPBEXexcCritical5 2 2 4" xfId="27017"/>
    <cellStyle name="SAPBEXexcCritical5 2 2 5" xfId="27018"/>
    <cellStyle name="SAPBEXexcCritical5 2 3" xfId="27019"/>
    <cellStyle name="SAPBEXexcCritical5 2 3 2" xfId="27020"/>
    <cellStyle name="SAPBEXexcCritical5 2 3 3" xfId="27021"/>
    <cellStyle name="SAPBEXexcCritical5 2 4" xfId="27022"/>
    <cellStyle name="SAPBEXexcCritical5 3" xfId="27023"/>
    <cellStyle name="SAPBEXexcCritical5 3 2" xfId="27024"/>
    <cellStyle name="SAPBEXexcCritical5 3 2 2" xfId="27025"/>
    <cellStyle name="SAPBEXexcCritical5 3 2 3" xfId="27026"/>
    <cellStyle name="SAPBEXexcCritical5 3 3" xfId="27027"/>
    <cellStyle name="SAPBEXexcCritical5 3 3 2" xfId="27028"/>
    <cellStyle name="SAPBEXexcCritical5 3 3 3" xfId="27029"/>
    <cellStyle name="SAPBEXexcCritical5 3 4" xfId="27030"/>
    <cellStyle name="SAPBEXexcCritical5 3 5" xfId="27031"/>
    <cellStyle name="SAPBEXexcCritical5 4" xfId="27032"/>
    <cellStyle name="SAPBEXexcCritical5 4 2" xfId="27033"/>
    <cellStyle name="SAPBEXexcCritical5 4 3" xfId="27034"/>
    <cellStyle name="SAPBEXexcCritical5 5" xfId="27035"/>
    <cellStyle name="SAPBEXexcCritical6" xfId="27036"/>
    <cellStyle name="SAPBEXexcCritical6 2" xfId="27037"/>
    <cellStyle name="SAPBEXexcCritical6 2 2" xfId="27038"/>
    <cellStyle name="SAPBEXexcCritical6 2 2 2" xfId="27039"/>
    <cellStyle name="SAPBEXexcCritical6 2 2 2 2" xfId="27040"/>
    <cellStyle name="SAPBEXexcCritical6 2 2 2 3" xfId="27041"/>
    <cellStyle name="SAPBEXexcCritical6 2 2 3" xfId="27042"/>
    <cellStyle name="SAPBEXexcCritical6 2 2 3 2" xfId="27043"/>
    <cellStyle name="SAPBEXexcCritical6 2 2 3 3" xfId="27044"/>
    <cellStyle name="SAPBEXexcCritical6 2 2 4" xfId="27045"/>
    <cellStyle name="SAPBEXexcCritical6 2 2 5" xfId="27046"/>
    <cellStyle name="SAPBEXexcCritical6 2 3" xfId="27047"/>
    <cellStyle name="SAPBEXexcCritical6 2 3 2" xfId="27048"/>
    <cellStyle name="SAPBEXexcCritical6 2 3 3" xfId="27049"/>
    <cellStyle name="SAPBEXexcCritical6 2 4" xfId="27050"/>
    <cellStyle name="SAPBEXexcCritical6 3" xfId="27051"/>
    <cellStyle name="SAPBEXexcCritical6 3 2" xfId="27052"/>
    <cellStyle name="SAPBEXexcCritical6 3 2 2" xfId="27053"/>
    <cellStyle name="SAPBEXexcCritical6 3 2 3" xfId="27054"/>
    <cellStyle name="SAPBEXexcCritical6 3 3" xfId="27055"/>
    <cellStyle name="SAPBEXexcCritical6 3 3 2" xfId="27056"/>
    <cellStyle name="SAPBEXexcCritical6 3 3 3" xfId="27057"/>
    <cellStyle name="SAPBEXexcCritical6 3 4" xfId="27058"/>
    <cellStyle name="SAPBEXexcCritical6 3 5" xfId="27059"/>
    <cellStyle name="SAPBEXexcCritical6 4" xfId="27060"/>
    <cellStyle name="SAPBEXexcCritical6 4 2" xfId="27061"/>
    <cellStyle name="SAPBEXexcCritical6 4 3" xfId="27062"/>
    <cellStyle name="SAPBEXexcCritical6 5" xfId="27063"/>
    <cellStyle name="SAPBEXexcGood1" xfId="27064"/>
    <cellStyle name="SAPBEXexcGood1 2" xfId="27065"/>
    <cellStyle name="SAPBEXexcGood1 2 2" xfId="27066"/>
    <cellStyle name="SAPBEXexcGood1 2 2 2" xfId="27067"/>
    <cellStyle name="SAPBEXexcGood1 2 2 2 2" xfId="27068"/>
    <cellStyle name="SAPBEXexcGood1 2 2 2 3" xfId="27069"/>
    <cellStyle name="SAPBEXexcGood1 2 2 3" xfId="27070"/>
    <cellStyle name="SAPBEXexcGood1 2 2 3 2" xfId="27071"/>
    <cellStyle name="SAPBEXexcGood1 2 2 3 3" xfId="27072"/>
    <cellStyle name="SAPBEXexcGood1 2 2 4" xfId="27073"/>
    <cellStyle name="SAPBEXexcGood1 2 2 5" xfId="27074"/>
    <cellStyle name="SAPBEXexcGood1 2 3" xfId="27075"/>
    <cellStyle name="SAPBEXexcGood1 2 3 2" xfId="27076"/>
    <cellStyle name="SAPBEXexcGood1 2 3 3" xfId="27077"/>
    <cellStyle name="SAPBEXexcGood1 2 4" xfId="27078"/>
    <cellStyle name="SAPBEXexcGood1 3" xfId="27079"/>
    <cellStyle name="SAPBEXexcGood1 3 2" xfId="27080"/>
    <cellStyle name="SAPBEXexcGood1 3 2 2" xfId="27081"/>
    <cellStyle name="SAPBEXexcGood1 3 2 3" xfId="27082"/>
    <cellStyle name="SAPBEXexcGood1 3 3" xfId="27083"/>
    <cellStyle name="SAPBEXexcGood1 3 3 2" xfId="27084"/>
    <cellStyle name="SAPBEXexcGood1 3 3 3" xfId="27085"/>
    <cellStyle name="SAPBEXexcGood1 3 4" xfId="27086"/>
    <cellStyle name="SAPBEXexcGood1 3 5" xfId="27087"/>
    <cellStyle name="SAPBEXexcGood1 4" xfId="27088"/>
    <cellStyle name="SAPBEXexcGood1 4 2" xfId="27089"/>
    <cellStyle name="SAPBEXexcGood1 4 3" xfId="27090"/>
    <cellStyle name="SAPBEXexcGood1 5" xfId="27091"/>
    <cellStyle name="SAPBEXexcGood2" xfId="27092"/>
    <cellStyle name="SAPBEXexcGood2 2" xfId="27093"/>
    <cellStyle name="SAPBEXexcGood2 2 2" xfId="27094"/>
    <cellStyle name="SAPBEXexcGood2 2 2 2" xfId="27095"/>
    <cellStyle name="SAPBEXexcGood2 2 2 2 2" xfId="27096"/>
    <cellStyle name="SAPBEXexcGood2 2 2 2 3" xfId="27097"/>
    <cellStyle name="SAPBEXexcGood2 2 2 3" xfId="27098"/>
    <cellStyle name="SAPBEXexcGood2 2 2 3 2" xfId="27099"/>
    <cellStyle name="SAPBEXexcGood2 2 2 3 3" xfId="27100"/>
    <cellStyle name="SAPBEXexcGood2 2 2 4" xfId="27101"/>
    <cellStyle name="SAPBEXexcGood2 2 2 5" xfId="27102"/>
    <cellStyle name="SAPBEXexcGood2 2 3" xfId="27103"/>
    <cellStyle name="SAPBEXexcGood2 2 3 2" xfId="27104"/>
    <cellStyle name="SAPBEXexcGood2 2 3 3" xfId="27105"/>
    <cellStyle name="SAPBEXexcGood2 2 4" xfId="27106"/>
    <cellStyle name="SAPBEXexcGood2 3" xfId="27107"/>
    <cellStyle name="SAPBEXexcGood2 3 2" xfId="27108"/>
    <cellStyle name="SAPBEXexcGood2 3 2 2" xfId="27109"/>
    <cellStyle name="SAPBEXexcGood2 3 2 3" xfId="27110"/>
    <cellStyle name="SAPBEXexcGood2 3 3" xfId="27111"/>
    <cellStyle name="SAPBEXexcGood2 3 3 2" xfId="27112"/>
    <cellStyle name="SAPBEXexcGood2 3 3 3" xfId="27113"/>
    <cellStyle name="SAPBEXexcGood2 3 4" xfId="27114"/>
    <cellStyle name="SAPBEXexcGood2 3 5" xfId="27115"/>
    <cellStyle name="SAPBEXexcGood2 4" xfId="27116"/>
    <cellStyle name="SAPBEXexcGood2 4 2" xfId="27117"/>
    <cellStyle name="SAPBEXexcGood2 4 3" xfId="27118"/>
    <cellStyle name="SAPBEXexcGood2 5" xfId="27119"/>
    <cellStyle name="SAPBEXexcGood3" xfId="27120"/>
    <cellStyle name="SAPBEXexcGood3 2" xfId="27121"/>
    <cellStyle name="SAPBEXexcGood3 2 2" xfId="27122"/>
    <cellStyle name="SAPBEXexcGood3 2 2 2" xfId="27123"/>
    <cellStyle name="SAPBEXexcGood3 2 2 2 2" xfId="27124"/>
    <cellStyle name="SAPBEXexcGood3 2 2 2 3" xfId="27125"/>
    <cellStyle name="SAPBEXexcGood3 2 2 3" xfId="27126"/>
    <cellStyle name="SAPBEXexcGood3 2 2 3 2" xfId="27127"/>
    <cellStyle name="SAPBEXexcGood3 2 2 3 3" xfId="27128"/>
    <cellStyle name="SAPBEXexcGood3 2 2 4" xfId="27129"/>
    <cellStyle name="SAPBEXexcGood3 2 2 5" xfId="27130"/>
    <cellStyle name="SAPBEXexcGood3 2 3" xfId="27131"/>
    <cellStyle name="SAPBEXexcGood3 2 3 2" xfId="27132"/>
    <cellStyle name="SAPBEXexcGood3 2 3 3" xfId="27133"/>
    <cellStyle name="SAPBEXexcGood3 2 4" xfId="27134"/>
    <cellStyle name="SAPBEXexcGood3 3" xfId="27135"/>
    <cellStyle name="SAPBEXexcGood3 3 2" xfId="27136"/>
    <cellStyle name="SAPBEXexcGood3 3 2 2" xfId="27137"/>
    <cellStyle name="SAPBEXexcGood3 3 2 3" xfId="27138"/>
    <cellStyle name="SAPBEXexcGood3 3 3" xfId="27139"/>
    <cellStyle name="SAPBEXexcGood3 3 3 2" xfId="27140"/>
    <cellStyle name="SAPBEXexcGood3 3 3 3" xfId="27141"/>
    <cellStyle name="SAPBEXexcGood3 3 4" xfId="27142"/>
    <cellStyle name="SAPBEXexcGood3 3 5" xfId="27143"/>
    <cellStyle name="SAPBEXexcGood3 4" xfId="27144"/>
    <cellStyle name="SAPBEXexcGood3 4 2" xfId="27145"/>
    <cellStyle name="SAPBEXexcGood3 4 3" xfId="27146"/>
    <cellStyle name="SAPBEXexcGood3 5" xfId="27147"/>
    <cellStyle name="SAPBEXfilterDrill" xfId="27148"/>
    <cellStyle name="SAPBEXfilterDrill 2" xfId="27149"/>
    <cellStyle name="SAPBEXfilterDrill 2 2" xfId="27150"/>
    <cellStyle name="SAPBEXfilterDrill 2 2 2" xfId="27151"/>
    <cellStyle name="SAPBEXfilterDrill 2 2 3" xfId="27152"/>
    <cellStyle name="SAPBEXfilterDrill 2 3" xfId="27153"/>
    <cellStyle name="SAPBEXfilterDrill 2 3 2" xfId="27154"/>
    <cellStyle name="SAPBEXfilterDrill 2 3 3" xfId="27155"/>
    <cellStyle name="SAPBEXfilterDrill 2 4" xfId="27156"/>
    <cellStyle name="SAPBEXfilterDrill 2 5" xfId="27157"/>
    <cellStyle name="SAPBEXfilterDrill 3" xfId="27158"/>
    <cellStyle name="SAPBEXfilterDrill 3 2" xfId="27159"/>
    <cellStyle name="SAPBEXfilterDrill 3 3" xfId="27160"/>
    <cellStyle name="SAPBEXfilterDrill 4" xfId="27161"/>
    <cellStyle name="SAPBEXfilterItem" xfId="27162"/>
    <cellStyle name="SAPBEXfilterItem 2" xfId="27163"/>
    <cellStyle name="SAPBEXfilterItem 2 2" xfId="27164"/>
    <cellStyle name="SAPBEXfilterItem 2 2 2" xfId="27165"/>
    <cellStyle name="SAPBEXfilterItem 2 2 2 2" xfId="27166"/>
    <cellStyle name="SAPBEXfilterItem 2 2 2 3" xfId="27167"/>
    <cellStyle name="SAPBEXfilterItem 2 2 3" xfId="27168"/>
    <cellStyle name="SAPBEXfilterItem 2 2 3 2" xfId="27169"/>
    <cellStyle name="SAPBEXfilterItem 2 2 3 3" xfId="27170"/>
    <cellStyle name="SAPBEXfilterItem 2 2 4" xfId="27171"/>
    <cellStyle name="SAPBEXfilterItem 2 3" xfId="27172"/>
    <cellStyle name="SAPBEXfilterItem 3" xfId="27173"/>
    <cellStyle name="SAPBEXfilterItem 3 2" xfId="27174"/>
    <cellStyle name="SAPBEXfilterItem 3 2 2" xfId="27175"/>
    <cellStyle name="SAPBEXfilterItem 3 2 3" xfId="27176"/>
    <cellStyle name="SAPBEXfilterItem 3 3" xfId="27177"/>
    <cellStyle name="SAPBEXfilterItem 3 3 2" xfId="27178"/>
    <cellStyle name="SAPBEXfilterItem 3 3 3" xfId="27179"/>
    <cellStyle name="SAPBEXfilterItem 3 4" xfId="27180"/>
    <cellStyle name="SAPBEXfilterItem 4" xfId="27181"/>
    <cellStyle name="SAPBEXfilterText" xfId="27182"/>
    <cellStyle name="SAPBEXformats" xfId="27183"/>
    <cellStyle name="SAPBEXformats 2" xfId="27184"/>
    <cellStyle name="SAPBEXformats 2 2" xfId="27185"/>
    <cellStyle name="SAPBEXformats 2 2 2" xfId="27186"/>
    <cellStyle name="SAPBEXformats 2 2 3" xfId="27187"/>
    <cellStyle name="SAPBEXformats 2 3" xfId="27188"/>
    <cellStyle name="SAPBEXformats 2 3 2" xfId="27189"/>
    <cellStyle name="SAPBEXformats 2 3 3" xfId="27190"/>
    <cellStyle name="SAPBEXformats 2 4" xfId="27191"/>
    <cellStyle name="SAPBEXformats 2 5" xfId="27192"/>
    <cellStyle name="SAPBEXformats 3" xfId="27193"/>
    <cellStyle name="SAPBEXformats 3 2" xfId="27194"/>
    <cellStyle name="SAPBEXformats 3 3" xfId="27195"/>
    <cellStyle name="SAPBEXformats 4" xfId="27196"/>
    <cellStyle name="SAPBEXheaderItem" xfId="27197"/>
    <cellStyle name="SAPBEXheaderItem 2" xfId="27198"/>
    <cellStyle name="SAPBEXheaderItem 2 2" xfId="27199"/>
    <cellStyle name="SAPBEXheaderItem 2 2 2" xfId="27200"/>
    <cellStyle name="SAPBEXheaderItem 2 2 2 2" xfId="27201"/>
    <cellStyle name="SAPBEXheaderItem 2 2 2 3" xfId="27202"/>
    <cellStyle name="SAPBEXheaderItem 2 2 3" xfId="27203"/>
    <cellStyle name="SAPBEXheaderItem 2 2 3 2" xfId="27204"/>
    <cellStyle name="SAPBEXheaderItem 2 2 3 3" xfId="27205"/>
    <cellStyle name="SAPBEXheaderItem 2 2 4" xfId="27206"/>
    <cellStyle name="SAPBEXheaderItem 2 2 5" xfId="27207"/>
    <cellStyle name="SAPBEXheaderItem 2 3" xfId="27208"/>
    <cellStyle name="SAPBEXheaderItem 2 3 2" xfId="27209"/>
    <cellStyle name="SAPBEXheaderItem 2 3 3" xfId="27210"/>
    <cellStyle name="SAPBEXheaderItem 2 4" xfId="27211"/>
    <cellStyle name="SAPBEXheaderItem 3" xfId="27212"/>
    <cellStyle name="SAPBEXheaderItem 3 2" xfId="27213"/>
    <cellStyle name="SAPBEXheaderItem 3 2 2" xfId="27214"/>
    <cellStyle name="SAPBEXheaderItem 3 2 3" xfId="27215"/>
    <cellStyle name="SAPBEXheaderItem 3 3" xfId="27216"/>
    <cellStyle name="SAPBEXheaderItem 3 3 2" xfId="27217"/>
    <cellStyle name="SAPBEXheaderItem 3 3 3" xfId="27218"/>
    <cellStyle name="SAPBEXheaderItem 3 4" xfId="27219"/>
    <cellStyle name="SAPBEXheaderItem 3 5" xfId="27220"/>
    <cellStyle name="SAPBEXheaderItem 4" xfId="27221"/>
    <cellStyle name="SAPBEXheaderItem 4 2" xfId="27222"/>
    <cellStyle name="SAPBEXheaderItem 4 3" xfId="27223"/>
    <cellStyle name="SAPBEXheaderItem 5" xfId="27224"/>
    <cellStyle name="SAPBEXheaderText" xfId="27225"/>
    <cellStyle name="SAPBEXheaderText 2" xfId="27226"/>
    <cellStyle name="SAPBEXheaderText 2 2" xfId="27227"/>
    <cellStyle name="SAPBEXheaderText 2 2 2" xfId="27228"/>
    <cellStyle name="SAPBEXheaderText 2 2 2 2" xfId="27229"/>
    <cellStyle name="SAPBEXheaderText 2 2 2 3" xfId="27230"/>
    <cellStyle name="SAPBEXheaderText 2 2 3" xfId="27231"/>
    <cellStyle name="SAPBEXheaderText 2 2 3 2" xfId="27232"/>
    <cellStyle name="SAPBEXheaderText 2 2 3 3" xfId="27233"/>
    <cellStyle name="SAPBEXheaderText 2 2 4" xfId="27234"/>
    <cellStyle name="SAPBEXheaderText 2 2 5" xfId="27235"/>
    <cellStyle name="SAPBEXheaderText 2 3" xfId="27236"/>
    <cellStyle name="SAPBEXheaderText 2 3 2" xfId="27237"/>
    <cellStyle name="SAPBEXheaderText 2 3 3" xfId="27238"/>
    <cellStyle name="SAPBEXheaderText 2 4" xfId="27239"/>
    <cellStyle name="SAPBEXheaderText 3" xfId="27240"/>
    <cellStyle name="SAPBEXheaderText 3 2" xfId="27241"/>
    <cellStyle name="SAPBEXheaderText 3 2 2" xfId="27242"/>
    <cellStyle name="SAPBEXheaderText 3 2 3" xfId="27243"/>
    <cellStyle name="SAPBEXheaderText 3 3" xfId="27244"/>
    <cellStyle name="SAPBEXheaderText 3 3 2" xfId="27245"/>
    <cellStyle name="SAPBEXheaderText 3 3 3" xfId="27246"/>
    <cellStyle name="SAPBEXheaderText 3 4" xfId="27247"/>
    <cellStyle name="SAPBEXheaderText 3 5" xfId="27248"/>
    <cellStyle name="SAPBEXheaderText 4" xfId="27249"/>
    <cellStyle name="SAPBEXheaderText 4 2" xfId="27250"/>
    <cellStyle name="SAPBEXheaderText 4 3" xfId="27251"/>
    <cellStyle name="SAPBEXheaderText 5" xfId="27252"/>
    <cellStyle name="SAPBEXHLevel0" xfId="27253"/>
    <cellStyle name="SAPBEXHLevel0 2" xfId="27254"/>
    <cellStyle name="SAPBEXHLevel0 2 2" xfId="27255"/>
    <cellStyle name="SAPBEXHLevel0 2 2 2" xfId="27256"/>
    <cellStyle name="SAPBEXHLevel0 2 2 3" xfId="27257"/>
    <cellStyle name="SAPBEXHLevel0 2 3" xfId="27258"/>
    <cellStyle name="SAPBEXHLevel0 2 3 2" xfId="27259"/>
    <cellStyle name="SAPBEXHLevel0 2 3 3" xfId="27260"/>
    <cellStyle name="SAPBEXHLevel0 2 4" xfId="27261"/>
    <cellStyle name="SAPBEXHLevel0 2 5" xfId="27262"/>
    <cellStyle name="SAPBEXHLevel0 3" xfId="27263"/>
    <cellStyle name="SAPBEXHLevel0 3 2" xfId="27264"/>
    <cellStyle name="SAPBEXHLevel0 3 3" xfId="27265"/>
    <cellStyle name="SAPBEXHLevel0 4" xfId="27266"/>
    <cellStyle name="SAPBEXHLevel0X" xfId="27267"/>
    <cellStyle name="SAPBEXHLevel0X 2" xfId="27268"/>
    <cellStyle name="SAPBEXHLevel0X 2 2" xfId="27269"/>
    <cellStyle name="SAPBEXHLevel0X 2 2 2" xfId="27270"/>
    <cellStyle name="SAPBEXHLevel0X 2 2 3" xfId="27271"/>
    <cellStyle name="SAPBEXHLevel0X 2 3" xfId="27272"/>
    <cellStyle name="SAPBEXHLevel0X 2 3 2" xfId="27273"/>
    <cellStyle name="SAPBEXHLevel0X 2 3 3" xfId="27274"/>
    <cellStyle name="SAPBEXHLevel0X 2 4" xfId="27275"/>
    <cellStyle name="SAPBEXHLevel0X 2 5" xfId="27276"/>
    <cellStyle name="SAPBEXHLevel0X 3" xfId="27277"/>
    <cellStyle name="SAPBEXHLevel0X 3 2" xfId="27278"/>
    <cellStyle name="SAPBEXHLevel0X 3 3" xfId="27279"/>
    <cellStyle name="SAPBEXHLevel0X 4" xfId="27280"/>
    <cellStyle name="SAPBEXHLevel1" xfId="27281"/>
    <cellStyle name="SAPBEXHLevel1 2" xfId="27282"/>
    <cellStyle name="SAPBEXHLevel1 2 2" xfId="27283"/>
    <cellStyle name="SAPBEXHLevel1 2 2 2" xfId="27284"/>
    <cellStyle name="SAPBEXHLevel1 2 2 3" xfId="27285"/>
    <cellStyle name="SAPBEXHLevel1 2 3" xfId="27286"/>
    <cellStyle name="SAPBEXHLevel1 2 3 2" xfId="27287"/>
    <cellStyle name="SAPBEXHLevel1 2 3 3" xfId="27288"/>
    <cellStyle name="SAPBEXHLevel1 2 4" xfId="27289"/>
    <cellStyle name="SAPBEXHLevel1 2 5" xfId="27290"/>
    <cellStyle name="SAPBEXHLevel1 3" xfId="27291"/>
    <cellStyle name="SAPBEXHLevel1 3 2" xfId="27292"/>
    <cellStyle name="SAPBEXHLevel1 3 3" xfId="27293"/>
    <cellStyle name="SAPBEXHLevel1 4" xfId="27294"/>
    <cellStyle name="SAPBEXHLevel1X" xfId="27295"/>
    <cellStyle name="SAPBEXHLevel1X 2" xfId="27296"/>
    <cellStyle name="SAPBEXHLevel1X 2 2" xfId="27297"/>
    <cellStyle name="SAPBEXHLevel1X 2 2 2" xfId="27298"/>
    <cellStyle name="SAPBEXHLevel1X 2 2 3" xfId="27299"/>
    <cellStyle name="SAPBEXHLevel1X 2 3" xfId="27300"/>
    <cellStyle name="SAPBEXHLevel1X 2 3 2" xfId="27301"/>
    <cellStyle name="SAPBEXHLevel1X 2 3 3" xfId="27302"/>
    <cellStyle name="SAPBEXHLevel1X 2 4" xfId="27303"/>
    <cellStyle name="SAPBEXHLevel1X 2 5" xfId="27304"/>
    <cellStyle name="SAPBEXHLevel1X 3" xfId="27305"/>
    <cellStyle name="SAPBEXHLevel1X 3 2" xfId="27306"/>
    <cellStyle name="SAPBEXHLevel1X 3 3" xfId="27307"/>
    <cellStyle name="SAPBEXHLevel1X 4" xfId="27308"/>
    <cellStyle name="SAPBEXHLevel2" xfId="27309"/>
    <cellStyle name="SAPBEXHLevel2 2" xfId="27310"/>
    <cellStyle name="SAPBEXHLevel2 2 2" xfId="27311"/>
    <cellStyle name="SAPBEXHLevel2 2 2 2" xfId="27312"/>
    <cellStyle name="SAPBEXHLevel2 2 2 3" xfId="27313"/>
    <cellStyle name="SAPBEXHLevel2 2 3" xfId="27314"/>
    <cellStyle name="SAPBEXHLevel2 2 3 2" xfId="27315"/>
    <cellStyle name="SAPBEXHLevel2 2 3 3" xfId="27316"/>
    <cellStyle name="SAPBEXHLevel2 2 4" xfId="27317"/>
    <cellStyle name="SAPBEXHLevel2 2 5" xfId="27318"/>
    <cellStyle name="SAPBEXHLevel2 3" xfId="27319"/>
    <cellStyle name="SAPBEXHLevel2 3 2" xfId="27320"/>
    <cellStyle name="SAPBEXHLevel2 3 3" xfId="27321"/>
    <cellStyle name="SAPBEXHLevel2 4" xfId="27322"/>
    <cellStyle name="SAPBEXHLevel2X" xfId="27323"/>
    <cellStyle name="SAPBEXHLevel2X 2" xfId="27324"/>
    <cellStyle name="SAPBEXHLevel2X 2 2" xfId="27325"/>
    <cellStyle name="SAPBEXHLevel2X 2 2 2" xfId="27326"/>
    <cellStyle name="SAPBEXHLevel2X 2 2 3" xfId="27327"/>
    <cellStyle name="SAPBEXHLevel2X 2 3" xfId="27328"/>
    <cellStyle name="SAPBEXHLevel2X 2 3 2" xfId="27329"/>
    <cellStyle name="SAPBEXHLevel2X 2 3 3" xfId="27330"/>
    <cellStyle name="SAPBEXHLevel2X 2 4" xfId="27331"/>
    <cellStyle name="SAPBEXHLevel2X 2 5" xfId="27332"/>
    <cellStyle name="SAPBEXHLevel2X 3" xfId="27333"/>
    <cellStyle name="SAPBEXHLevel2X 3 2" xfId="27334"/>
    <cellStyle name="SAPBEXHLevel2X 3 3" xfId="27335"/>
    <cellStyle name="SAPBEXHLevel2X 4" xfId="27336"/>
    <cellStyle name="SAPBEXHLevel3" xfId="27337"/>
    <cellStyle name="SAPBEXHLevel3 2" xfId="27338"/>
    <cellStyle name="SAPBEXHLevel3 2 2" xfId="27339"/>
    <cellStyle name="SAPBEXHLevel3 2 2 2" xfId="27340"/>
    <cellStyle name="SAPBEXHLevel3 2 2 3" xfId="27341"/>
    <cellStyle name="SAPBEXHLevel3 2 3" xfId="27342"/>
    <cellStyle name="SAPBEXHLevel3 2 3 2" xfId="27343"/>
    <cellStyle name="SAPBEXHLevel3 2 3 3" xfId="27344"/>
    <cellStyle name="SAPBEXHLevel3 2 4" xfId="27345"/>
    <cellStyle name="SAPBEXHLevel3 2 5" xfId="27346"/>
    <cellStyle name="SAPBEXHLevel3 3" xfId="27347"/>
    <cellStyle name="SAPBEXHLevel3 3 2" xfId="27348"/>
    <cellStyle name="SAPBEXHLevel3 3 3" xfId="27349"/>
    <cellStyle name="SAPBEXHLevel3 4" xfId="27350"/>
    <cellStyle name="SAPBEXHLevel3X" xfId="27351"/>
    <cellStyle name="SAPBEXHLevel3X 2" xfId="27352"/>
    <cellStyle name="SAPBEXHLevel3X 2 2" xfId="27353"/>
    <cellStyle name="SAPBEXHLevel3X 2 2 2" xfId="27354"/>
    <cellStyle name="SAPBEXHLevel3X 2 2 3" xfId="27355"/>
    <cellStyle name="SAPBEXHLevel3X 2 3" xfId="27356"/>
    <cellStyle name="SAPBEXHLevel3X 2 3 2" xfId="27357"/>
    <cellStyle name="SAPBEXHLevel3X 2 3 3" xfId="27358"/>
    <cellStyle name="SAPBEXHLevel3X 2 4" xfId="27359"/>
    <cellStyle name="SAPBEXHLevel3X 2 5" xfId="27360"/>
    <cellStyle name="SAPBEXHLevel3X 3" xfId="27361"/>
    <cellStyle name="SAPBEXHLevel3X 3 2" xfId="27362"/>
    <cellStyle name="SAPBEXHLevel3X 3 3" xfId="27363"/>
    <cellStyle name="SAPBEXHLevel3X 4" xfId="27364"/>
    <cellStyle name="SAPBEXresData" xfId="27365"/>
    <cellStyle name="SAPBEXresData 2" xfId="27366"/>
    <cellStyle name="SAPBEXresData 2 2" xfId="27367"/>
    <cellStyle name="SAPBEXresData 2 2 2" xfId="27368"/>
    <cellStyle name="SAPBEXresData 2 2 2 2" xfId="27369"/>
    <cellStyle name="SAPBEXresData 2 2 2 3" xfId="27370"/>
    <cellStyle name="SAPBEXresData 2 2 3" xfId="27371"/>
    <cellStyle name="SAPBEXresData 2 2 3 2" xfId="27372"/>
    <cellStyle name="SAPBEXresData 2 2 3 3" xfId="27373"/>
    <cellStyle name="SAPBEXresData 2 2 4" xfId="27374"/>
    <cellStyle name="SAPBEXresData 2 2 5" xfId="27375"/>
    <cellStyle name="SAPBEXresData 2 3" xfId="27376"/>
    <cellStyle name="SAPBEXresData 2 3 2" xfId="27377"/>
    <cellStyle name="SAPBEXresData 2 3 3" xfId="27378"/>
    <cellStyle name="SAPBEXresData 2 4" xfId="27379"/>
    <cellStyle name="SAPBEXresData 3" xfId="27380"/>
    <cellStyle name="SAPBEXresData 3 2" xfId="27381"/>
    <cellStyle name="SAPBEXresData 3 2 2" xfId="27382"/>
    <cellStyle name="SAPBEXresData 3 2 3" xfId="27383"/>
    <cellStyle name="SAPBEXresData 3 3" xfId="27384"/>
    <cellStyle name="SAPBEXresData 3 3 2" xfId="27385"/>
    <cellStyle name="SAPBEXresData 3 3 3" xfId="27386"/>
    <cellStyle name="SAPBEXresData 3 4" xfId="27387"/>
    <cellStyle name="SAPBEXresData 3 5" xfId="27388"/>
    <cellStyle name="SAPBEXresData 4" xfId="27389"/>
    <cellStyle name="SAPBEXresData 4 2" xfId="27390"/>
    <cellStyle name="SAPBEXresData 4 3" xfId="27391"/>
    <cellStyle name="SAPBEXresData 5" xfId="27392"/>
    <cellStyle name="SAPBEXresDataEmph" xfId="27393"/>
    <cellStyle name="SAPBEXresDataEmph 2" xfId="27394"/>
    <cellStyle name="SAPBEXresDataEmph 2 2" xfId="27395"/>
    <cellStyle name="SAPBEXresDataEmph 2 2 2" xfId="27396"/>
    <cellStyle name="SAPBEXresDataEmph 2 2 3" xfId="27397"/>
    <cellStyle name="SAPBEXresDataEmph 2 3" xfId="27398"/>
    <cellStyle name="SAPBEXresDataEmph 2 3 2" xfId="27399"/>
    <cellStyle name="SAPBEXresDataEmph 2 3 3" xfId="27400"/>
    <cellStyle name="SAPBEXresDataEmph 2 4" xfId="27401"/>
    <cellStyle name="SAPBEXresDataEmph 2 5" xfId="27402"/>
    <cellStyle name="SAPBEXresDataEmph 3" xfId="27403"/>
    <cellStyle name="SAPBEXresDataEmph 3 2" xfId="27404"/>
    <cellStyle name="SAPBEXresDataEmph 3 3" xfId="27405"/>
    <cellStyle name="SAPBEXresDataEmph 4" xfId="27406"/>
    <cellStyle name="SAPBEXresItem" xfId="27407"/>
    <cellStyle name="SAPBEXresItem 2" xfId="27408"/>
    <cellStyle name="SAPBEXresItem 2 2" xfId="27409"/>
    <cellStyle name="SAPBEXresItem 2 2 2" xfId="27410"/>
    <cellStyle name="SAPBEXresItem 2 2 2 2" xfId="27411"/>
    <cellStyle name="SAPBEXresItem 2 2 2 3" xfId="27412"/>
    <cellStyle name="SAPBEXresItem 2 2 3" xfId="27413"/>
    <cellStyle name="SAPBEXresItem 2 2 3 2" xfId="27414"/>
    <cellStyle name="SAPBEXresItem 2 2 3 3" xfId="27415"/>
    <cellStyle name="SAPBEXresItem 2 2 4" xfId="27416"/>
    <cellStyle name="SAPBEXresItem 2 2 5" xfId="27417"/>
    <cellStyle name="SAPBEXresItem 2 3" xfId="27418"/>
    <cellStyle name="SAPBEXresItem 2 3 2" xfId="27419"/>
    <cellStyle name="SAPBEXresItem 2 3 3" xfId="27420"/>
    <cellStyle name="SAPBEXresItem 2 4" xfId="27421"/>
    <cellStyle name="SAPBEXresItem 3" xfId="27422"/>
    <cellStyle name="SAPBEXresItem 3 2" xfId="27423"/>
    <cellStyle name="SAPBEXresItem 3 2 2" xfId="27424"/>
    <cellStyle name="SAPBEXresItem 3 2 3" xfId="27425"/>
    <cellStyle name="SAPBEXresItem 3 3" xfId="27426"/>
    <cellStyle name="SAPBEXresItem 3 3 2" xfId="27427"/>
    <cellStyle name="SAPBEXresItem 3 3 3" xfId="27428"/>
    <cellStyle name="SAPBEXresItem 3 4" xfId="27429"/>
    <cellStyle name="SAPBEXresItem 3 5" xfId="27430"/>
    <cellStyle name="SAPBEXresItem 4" xfId="27431"/>
    <cellStyle name="SAPBEXresItem 4 2" xfId="27432"/>
    <cellStyle name="SAPBEXresItem 4 3" xfId="27433"/>
    <cellStyle name="SAPBEXresItem 5" xfId="27434"/>
    <cellStyle name="SAPBEXresItemX" xfId="27435"/>
    <cellStyle name="SAPBEXresItemX 2" xfId="27436"/>
    <cellStyle name="SAPBEXresItemX 2 2" xfId="27437"/>
    <cellStyle name="SAPBEXresItemX 2 2 2" xfId="27438"/>
    <cellStyle name="SAPBEXresItemX 2 2 2 2" xfId="27439"/>
    <cellStyle name="SAPBEXresItemX 2 2 2 3" xfId="27440"/>
    <cellStyle name="SAPBEXresItemX 2 2 3" xfId="27441"/>
    <cellStyle name="SAPBEXresItemX 2 2 3 2" xfId="27442"/>
    <cellStyle name="SAPBEXresItemX 2 2 3 3" xfId="27443"/>
    <cellStyle name="SAPBEXresItemX 2 2 4" xfId="27444"/>
    <cellStyle name="SAPBEXresItemX 2 2 5" xfId="27445"/>
    <cellStyle name="SAPBEXresItemX 2 3" xfId="27446"/>
    <cellStyle name="SAPBEXresItemX 2 3 2" xfId="27447"/>
    <cellStyle name="SAPBEXresItemX 2 3 3" xfId="27448"/>
    <cellStyle name="SAPBEXresItemX 2 4" xfId="27449"/>
    <cellStyle name="SAPBEXresItemX 3" xfId="27450"/>
    <cellStyle name="SAPBEXresItemX 3 2" xfId="27451"/>
    <cellStyle name="SAPBEXresItemX 3 2 2" xfId="27452"/>
    <cellStyle name="SAPBEXresItemX 3 2 3" xfId="27453"/>
    <cellStyle name="SAPBEXresItemX 3 3" xfId="27454"/>
    <cellStyle name="SAPBEXresItemX 3 3 2" xfId="27455"/>
    <cellStyle name="SAPBEXresItemX 3 3 3" xfId="27456"/>
    <cellStyle name="SAPBEXresItemX 3 4" xfId="27457"/>
    <cellStyle name="SAPBEXresItemX 3 5" xfId="27458"/>
    <cellStyle name="SAPBEXresItemX 4" xfId="27459"/>
    <cellStyle name="SAPBEXresItemX 4 2" xfId="27460"/>
    <cellStyle name="SAPBEXresItemX 4 3" xfId="27461"/>
    <cellStyle name="SAPBEXresItemX 5" xfId="27462"/>
    <cellStyle name="SAPBEXstdData" xfId="27463"/>
    <cellStyle name="SAPBEXstdData 2" xfId="27464"/>
    <cellStyle name="SAPBEXstdData 2 2" xfId="27465"/>
    <cellStyle name="SAPBEXstdData 2 2 2" xfId="27466"/>
    <cellStyle name="SAPBEXstdData 2 2 2 2" xfId="27467"/>
    <cellStyle name="SAPBEXstdData 2 2 2 3" xfId="27468"/>
    <cellStyle name="SAPBEXstdData 2 2 3" xfId="27469"/>
    <cellStyle name="SAPBEXstdData 2 2 3 2" xfId="27470"/>
    <cellStyle name="SAPBEXstdData 2 2 3 3" xfId="27471"/>
    <cellStyle name="SAPBEXstdData 2 2 4" xfId="27472"/>
    <cellStyle name="SAPBEXstdData 2 2 5" xfId="27473"/>
    <cellStyle name="SAPBEXstdData 2 3" xfId="27474"/>
    <cellStyle name="SAPBEXstdData 2 3 2" xfId="27475"/>
    <cellStyle name="SAPBEXstdData 2 3 3" xfId="27476"/>
    <cellStyle name="SAPBEXstdData 2 4" xfId="27477"/>
    <cellStyle name="SAPBEXstdData 3" xfId="27478"/>
    <cellStyle name="SAPBEXstdData 3 2" xfId="27479"/>
    <cellStyle name="SAPBEXstdData 3 2 2" xfId="27480"/>
    <cellStyle name="SAPBEXstdData 3 2 3" xfId="27481"/>
    <cellStyle name="SAPBEXstdData 3 3" xfId="27482"/>
    <cellStyle name="SAPBEXstdData 3 3 2" xfId="27483"/>
    <cellStyle name="SAPBEXstdData 3 3 3" xfId="27484"/>
    <cellStyle name="SAPBEXstdData 3 4" xfId="27485"/>
    <cellStyle name="SAPBEXstdData 3 5" xfId="27486"/>
    <cellStyle name="SAPBEXstdData 4" xfId="27487"/>
    <cellStyle name="SAPBEXstdData 4 2" xfId="27488"/>
    <cellStyle name="SAPBEXstdData 4 3" xfId="27489"/>
    <cellStyle name="SAPBEXstdData 5" xfId="27490"/>
    <cellStyle name="SAPBEXstdDataEmph" xfId="27491"/>
    <cellStyle name="SAPBEXstdDataEmph 2" xfId="27492"/>
    <cellStyle name="SAPBEXstdDataEmph 2 2" xfId="27493"/>
    <cellStyle name="SAPBEXstdDataEmph 2 2 2" xfId="27494"/>
    <cellStyle name="SAPBEXstdDataEmph 2 2 3" xfId="27495"/>
    <cellStyle name="SAPBEXstdDataEmph 2 3" xfId="27496"/>
    <cellStyle name="SAPBEXstdDataEmph 2 3 2" xfId="27497"/>
    <cellStyle name="SAPBEXstdDataEmph 2 3 3" xfId="27498"/>
    <cellStyle name="SAPBEXstdDataEmph 2 4" xfId="27499"/>
    <cellStyle name="SAPBEXstdDataEmph 2 5" xfId="27500"/>
    <cellStyle name="SAPBEXstdDataEmph 3" xfId="27501"/>
    <cellStyle name="SAPBEXstdDataEmph 3 2" xfId="27502"/>
    <cellStyle name="SAPBEXstdDataEmph 3 3" xfId="27503"/>
    <cellStyle name="SAPBEXstdDataEmph 4" xfId="27504"/>
    <cellStyle name="SAPBEXstdItem" xfId="27505"/>
    <cellStyle name="SAPBEXstdItem 2" xfId="27506"/>
    <cellStyle name="SAPBEXstdItem 2 2" xfId="27507"/>
    <cellStyle name="SAPBEXstdItem 2 2 2" xfId="27508"/>
    <cellStyle name="SAPBEXstdItem 2 2 3" xfId="27509"/>
    <cellStyle name="SAPBEXstdItem 2 3" xfId="27510"/>
    <cellStyle name="SAPBEXstdItem 2 3 2" xfId="27511"/>
    <cellStyle name="SAPBEXstdItem 2 3 3" xfId="27512"/>
    <cellStyle name="SAPBEXstdItem 2 4" xfId="27513"/>
    <cellStyle name="SAPBEXstdItem 2 5" xfId="27514"/>
    <cellStyle name="SAPBEXstdItem 3" xfId="27515"/>
    <cellStyle name="SAPBEXstdItem 3 2" xfId="27516"/>
    <cellStyle name="SAPBEXstdItem 3 3" xfId="27517"/>
    <cellStyle name="SAPBEXstdItem 4" xfId="27518"/>
    <cellStyle name="SAPBEXstdItemX" xfId="27519"/>
    <cellStyle name="SAPBEXstdItemX 2" xfId="27520"/>
    <cellStyle name="SAPBEXstdItemX 2 2" xfId="27521"/>
    <cellStyle name="SAPBEXstdItemX 2 2 2" xfId="27522"/>
    <cellStyle name="SAPBEXstdItemX 2 2 3" xfId="27523"/>
    <cellStyle name="SAPBEXstdItemX 2 3" xfId="27524"/>
    <cellStyle name="SAPBEXstdItemX 2 3 2" xfId="27525"/>
    <cellStyle name="SAPBEXstdItemX 2 3 3" xfId="27526"/>
    <cellStyle name="SAPBEXstdItemX 2 4" xfId="27527"/>
    <cellStyle name="SAPBEXstdItemX 2 5" xfId="27528"/>
    <cellStyle name="SAPBEXstdItemX 3" xfId="27529"/>
    <cellStyle name="SAPBEXstdItemX 3 2" xfId="27530"/>
    <cellStyle name="SAPBEXstdItemX 3 3" xfId="27531"/>
    <cellStyle name="SAPBEXstdItemX 4" xfId="27532"/>
    <cellStyle name="SAPBEXtitle" xfId="27533"/>
    <cellStyle name="SAPBEXundefined" xfId="27534"/>
    <cellStyle name="SAPBEXundefined 2" xfId="27535"/>
    <cellStyle name="SAPBEXundefined 2 2" xfId="27536"/>
    <cellStyle name="SAPBEXundefined 2 2 2" xfId="27537"/>
    <cellStyle name="SAPBEXundefined 2 2 3" xfId="27538"/>
    <cellStyle name="SAPBEXundefined 2 3" xfId="27539"/>
    <cellStyle name="SAPBEXundefined 2 3 2" xfId="27540"/>
    <cellStyle name="SAPBEXundefined 2 3 3" xfId="27541"/>
    <cellStyle name="SAPBEXundefined 2 4" xfId="27542"/>
    <cellStyle name="SAPBEXundefined 2 5" xfId="27543"/>
    <cellStyle name="SAPBEXundefined 3" xfId="27544"/>
    <cellStyle name="SAPBEXundefined 3 2" xfId="27545"/>
    <cellStyle name="SAPBEXundefined 3 3" xfId="27546"/>
    <cellStyle name="SAPBEXundefined 4" xfId="27547"/>
    <cellStyle name="sbt2" xfId="27548"/>
    <cellStyle name="sbt2 2" xfId="27549"/>
    <cellStyle name="sbt2 2 2" xfId="27550"/>
    <cellStyle name="sbt2 2 2 2" xfId="27551"/>
    <cellStyle name="sbt2 2 2 3" xfId="27552"/>
    <cellStyle name="sbt2 2 3" xfId="27553"/>
    <cellStyle name="sbt2 2 3 2" xfId="27554"/>
    <cellStyle name="sbt2 2 3 3" xfId="27555"/>
    <cellStyle name="sbt2 2 4" xfId="27556"/>
    <cellStyle name="sbt2 2 5" xfId="27557"/>
    <cellStyle name="sbt2 3" xfId="27558"/>
    <cellStyle name="ScheduleHeading" xfId="27559"/>
    <cellStyle name="SEM-BPS-data" xfId="27560"/>
    <cellStyle name="SEM-BPS-head" xfId="27561"/>
    <cellStyle name="SEM-BPS-headdata" xfId="27562"/>
    <cellStyle name="SEM-BPS-headkey" xfId="27563"/>
    <cellStyle name="SEM-BPS-input-on" xfId="27564"/>
    <cellStyle name="SEM-BPS-key" xfId="27565"/>
    <cellStyle name="SEM-BPS-sub1" xfId="27566"/>
    <cellStyle name="SEM-BPS-sub2" xfId="27567"/>
    <cellStyle name="SEM-BPS-total" xfId="27568"/>
    <cellStyle name="Separador de milhares [0]_Person" xfId="27569"/>
    <cellStyle name="Separador de milhares_Person" xfId="27570"/>
    <cellStyle name="Shaded" xfId="27571"/>
    <cellStyle name="Shaded 2" xfId="27572"/>
    <cellStyle name="Standard 2" xfId="27573"/>
    <cellStyle name="Standard 3" xfId="27574"/>
    <cellStyle name="Standard_96" xfId="27575"/>
    <cellStyle name="Style 1" xfId="27576"/>
    <cellStyle name="Style 1 2" xfId="27577"/>
    <cellStyle name="Style 1 2 2" xfId="27578"/>
    <cellStyle name="Style 1 2 3" xfId="27579"/>
    <cellStyle name="Style 1 3" xfId="27580"/>
    <cellStyle name="Style 1_BS retrieve" xfId="27581"/>
    <cellStyle name="Style 24" xfId="27582"/>
    <cellStyle name="SubHeading" xfId="27583"/>
    <cellStyle name="subt1" xfId="27584"/>
    <cellStyle name="SubTitleHeads" xfId="27585"/>
    <cellStyle name="Subtotal" xfId="27586"/>
    <cellStyle name="SubTotal 2" xfId="27587"/>
    <cellStyle name="SubTotal 2 2" xfId="27588"/>
    <cellStyle name="SubTotal 2 2 2" xfId="27589"/>
    <cellStyle name="SubTotal 2 2 2 2" xfId="27590"/>
    <cellStyle name="SubTotal 2 2 2 3" xfId="27591"/>
    <cellStyle name="SubTotal 2 2 3" xfId="27592"/>
    <cellStyle name="SubTotal 2 2 3 2" xfId="27593"/>
    <cellStyle name="SubTotal 2 2 3 3" xfId="27594"/>
    <cellStyle name="SubTotal 2 2 4" xfId="27595"/>
    <cellStyle name="SubTotal 2 2 5" xfId="27596"/>
    <cellStyle name="SubTotal 2 3" xfId="27597"/>
    <cellStyle name="SubTotal 2 3 2" xfId="27598"/>
    <cellStyle name="SubTotal 2 3 3" xfId="27599"/>
    <cellStyle name="SubTotal 2 4" xfId="27600"/>
    <cellStyle name="SubTotal 2 4 2" xfId="27601"/>
    <cellStyle name="SubTotal 2 4 3" xfId="27602"/>
    <cellStyle name="SubTotal 2 5" xfId="27603"/>
    <cellStyle name="SubTotal 2 6" xfId="27604"/>
    <cellStyle name="SubTotal 2 7" xfId="27605"/>
    <cellStyle name="SubTotal 3" xfId="27606"/>
    <cellStyle name="SubTotal 3 2" xfId="27607"/>
    <cellStyle name="SubTotal 3 2 2" xfId="27608"/>
    <cellStyle name="SubTotal 3 2 2 2" xfId="27609"/>
    <cellStyle name="SubTotal 3 2 2 3" xfId="27610"/>
    <cellStyle name="SubTotal 3 2 3" xfId="27611"/>
    <cellStyle name="SubTotal 3 2 3 2" xfId="27612"/>
    <cellStyle name="SubTotal 3 2 3 3" xfId="27613"/>
    <cellStyle name="SubTotal 3 2 4" xfId="27614"/>
    <cellStyle name="SubTotal 3 2 5" xfId="27615"/>
    <cellStyle name="SubTotal 3 3" xfId="27616"/>
    <cellStyle name="SubTotal 3 3 2" xfId="27617"/>
    <cellStyle name="SubTotal 3 3 3" xfId="27618"/>
    <cellStyle name="SubTotal 3 4" xfId="27619"/>
    <cellStyle name="SubTotal 3 4 2" xfId="27620"/>
    <cellStyle name="SubTotal 3 4 3" xfId="27621"/>
    <cellStyle name="SubTotal 3 5" xfId="27622"/>
    <cellStyle name="SubTotal 3 6" xfId="27623"/>
    <cellStyle name="SubTotal 3 7" xfId="27624"/>
    <cellStyle name="SubTotal 4" xfId="27625"/>
    <cellStyle name="Sum" xfId="27626"/>
    <cellStyle name="Sum %of HV" xfId="27627"/>
    <cellStyle name="tabel" xfId="27628"/>
    <cellStyle name="TabHead" xfId="27629"/>
    <cellStyle name="Text" xfId="27630"/>
    <cellStyle name="Text Indent A" xfId="27631"/>
    <cellStyle name="Text Indent B" xfId="27632"/>
    <cellStyle name="Text Indent B 2" xfId="27633"/>
    <cellStyle name="Text Indent C" xfId="27634"/>
    <cellStyle name="Text Indent C 2" xfId="27635"/>
    <cellStyle name="Thousands" xfId="27636"/>
    <cellStyle name="Thousands (0)" xfId="27637"/>
    <cellStyle name="Thousands (1)" xfId="27638"/>
    <cellStyle name="Thousands 2" xfId="27639"/>
    <cellStyle name="Thousands 2 2" xfId="27640"/>
    <cellStyle name="Thousands_By Country Detail 1Q10 041410pm FIN 18 revised per disc w Mary" xfId="27641"/>
    <cellStyle name="time" xfId="27642"/>
    <cellStyle name="Titel" xfId="27643"/>
    <cellStyle name="Title 2" xfId="27644"/>
    <cellStyle name="Title 2 2" xfId="27645"/>
    <cellStyle name="Title 2 3" xfId="27646"/>
    <cellStyle name="Title 3" xfId="27647"/>
    <cellStyle name="Título 4" xfId="27648"/>
    <cellStyle name="Título 4 2" xfId="27649"/>
    <cellStyle name="Título 4 2 2" xfId="27650"/>
    <cellStyle name="Título 4 2 2 2" xfId="27651"/>
    <cellStyle name="Título 4 2 2 2 2" xfId="27652"/>
    <cellStyle name="Título 4 2 3" xfId="27653"/>
    <cellStyle name="Título 4 2 3 2" xfId="27654"/>
    <cellStyle name="Título 4 3" xfId="27655"/>
    <cellStyle name="Título 4 3 2" xfId="27656"/>
    <cellStyle name="Título 4 3 2 2" xfId="27657"/>
    <cellStyle name="Título 4 4" xfId="27658"/>
    <cellStyle name="Título 4 4 2" xfId="27659"/>
    <cellStyle name="Topline" xfId="27660"/>
    <cellStyle name="Topline 2" xfId="27661"/>
    <cellStyle name="Topline 2 2" xfId="27662"/>
    <cellStyle name="Topline 2 2 2" xfId="27663"/>
    <cellStyle name="Topline 2 2 3" xfId="27664"/>
    <cellStyle name="Topline 2 3" xfId="27665"/>
    <cellStyle name="Topline 2 3 2" xfId="27666"/>
    <cellStyle name="Topline 2 3 3" xfId="27667"/>
    <cellStyle name="Topline 2 4" xfId="27668"/>
    <cellStyle name="Topline 2 5" xfId="27669"/>
    <cellStyle name="Topline 3" xfId="27670"/>
    <cellStyle name="Topline 3 2" xfId="27671"/>
    <cellStyle name="Topline 3 3" xfId="27672"/>
    <cellStyle name="Topline 4" xfId="27673"/>
    <cellStyle name="Total 2" xfId="27674"/>
    <cellStyle name="Total 2 2" xfId="27675"/>
    <cellStyle name="Total 2 3" xfId="27676"/>
    <cellStyle name="Total 2 4" xfId="27677"/>
    <cellStyle name="Total 3" xfId="27678"/>
    <cellStyle name="Total 3 2" xfId="27679"/>
    <cellStyle name="Underline 2" xfId="27680"/>
    <cellStyle name="Unit" xfId="27681"/>
    <cellStyle name="Unit 2" xfId="27682"/>
    <cellStyle name="ùù?ï·ªê [0.00]_Revised MOR4" xfId="27683"/>
    <cellStyle name="Vertical" xfId="27684"/>
    <cellStyle name="Vertical 2" xfId="27685"/>
    <cellStyle name="W?hrung [0]_1994 - 1998" xfId="27686"/>
    <cellStyle name="W?hrung_1994 - 1998" xfId="27687"/>
    <cellStyle name="Währung [0]_1994 - 1998" xfId="27688"/>
    <cellStyle name="Währung_1994 - 1998" xfId="27689"/>
    <cellStyle name="Walutowy [0]_Zeszyt1" xfId="27690"/>
    <cellStyle name="Walutowy_Zeszyt1" xfId="27691"/>
    <cellStyle name="Warning Text 2" xfId="27692"/>
    <cellStyle name="Warning Text 2 2" xfId="27693"/>
    <cellStyle name="Warning Text 2 3" xfId="27694"/>
    <cellStyle name="Warning Text 3" xfId="27695"/>
    <cellStyle name="Wrap" xfId="27696"/>
    <cellStyle name="Wдhrung [0]_Perskurz 98" xfId="27697"/>
    <cellStyle name="Wдhrung_Perskurz 98" xfId="27698"/>
    <cellStyle name="Year" xfId="27699"/>
    <cellStyle name="Year 2" xfId="27700"/>
    <cellStyle name="Year 2 2" xfId="27701"/>
    <cellStyle name="Year 2 2 2" xfId="27702"/>
    <cellStyle name="Year 2 2 3" xfId="27703"/>
    <cellStyle name="Year 2 3" xfId="27704"/>
    <cellStyle name="Year 2 3 2" xfId="27705"/>
    <cellStyle name="Year 2 3 3" xfId="27706"/>
    <cellStyle name="Year 2 4" xfId="27707"/>
    <cellStyle name="Year 2 5" xfId="27708"/>
    <cellStyle name="Year 3" xfId="27709"/>
    <cellStyle name="Year 3 2" xfId="27710"/>
    <cellStyle name="Year 3 3" xfId="27711"/>
    <cellStyle name="Year 4" xfId="27712"/>
    <cellStyle name="Zero [---]" xfId="27713"/>
    <cellStyle name="Акцент1 2" xfId="27714"/>
    <cellStyle name="Акцент2 2" xfId="27715"/>
    <cellStyle name="Акцент3 2" xfId="27716"/>
    <cellStyle name="Акцент4 2" xfId="27717"/>
    <cellStyle name="Акцент5 2" xfId="27718"/>
    <cellStyle name="Акцент6 2" xfId="27719"/>
    <cellStyle name="Ввод  2" xfId="27720"/>
    <cellStyle name="Вывод 2" xfId="27721"/>
    <cellStyle name="Вычисление 2" xfId="27722"/>
    <cellStyle name="Гиперссылка 2" xfId="27723"/>
    <cellStyle name="Гиперссылка 3" xfId="27724"/>
    <cellStyle name="Гиперссылка 4" xfId="27725"/>
    <cellStyle name="Денежный 10" xfId="27726"/>
    <cellStyle name="Денежный 10 2" xfId="27727"/>
    <cellStyle name="Денежный 11" xfId="27728"/>
    <cellStyle name="Денежный 12" xfId="27729"/>
    <cellStyle name="Денежный 13" xfId="27730"/>
    <cellStyle name="Денежный 14" xfId="27731"/>
    <cellStyle name="Денежный 2" xfId="27732"/>
    <cellStyle name="Денежный 2 10" xfId="27733"/>
    <cellStyle name="Денежный 2 10 2" xfId="27734"/>
    <cellStyle name="Денежный 2 10 2 2" xfId="27735"/>
    <cellStyle name="Денежный 2 10 2 2 2" xfId="27736"/>
    <cellStyle name="Денежный 2 10 2 3" xfId="27737"/>
    <cellStyle name="Денежный 2 10 3" xfId="27738"/>
    <cellStyle name="Денежный 2 10 3 2" xfId="27739"/>
    <cellStyle name="Денежный 2 10 4" xfId="27740"/>
    <cellStyle name="Денежный 2 10 4 2" xfId="27741"/>
    <cellStyle name="Денежный 2 10 5" xfId="27742"/>
    <cellStyle name="Денежный 2 11" xfId="27743"/>
    <cellStyle name="Денежный 2 11 2" xfId="27744"/>
    <cellStyle name="Денежный 2 11 2 2" xfId="27745"/>
    <cellStyle name="Денежный 2 11 2 2 2" xfId="27746"/>
    <cellStyle name="Денежный 2 11 2 3" xfId="27747"/>
    <cellStyle name="Денежный 2 11 3" xfId="27748"/>
    <cellStyle name="Денежный 2 11 3 2" xfId="27749"/>
    <cellStyle name="Денежный 2 11 4" xfId="27750"/>
    <cellStyle name="Денежный 2 11 4 2" xfId="27751"/>
    <cellStyle name="Денежный 2 11 5" xfId="27752"/>
    <cellStyle name="Денежный 2 12" xfId="27753"/>
    <cellStyle name="Денежный 2 12 2" xfId="27754"/>
    <cellStyle name="Денежный 2 12 2 2" xfId="27755"/>
    <cellStyle name="Денежный 2 12 2 2 2" xfId="27756"/>
    <cellStyle name="Денежный 2 12 2 3" xfId="27757"/>
    <cellStyle name="Денежный 2 12 3" xfId="27758"/>
    <cellStyle name="Денежный 2 12 3 2" xfId="27759"/>
    <cellStyle name="Денежный 2 12 4" xfId="27760"/>
    <cellStyle name="Денежный 2 12 4 2" xfId="27761"/>
    <cellStyle name="Денежный 2 12 5" xfId="27762"/>
    <cellStyle name="Денежный 2 13" xfId="27763"/>
    <cellStyle name="Денежный 2 13 2" xfId="27764"/>
    <cellStyle name="Денежный 2 13 2 2" xfId="27765"/>
    <cellStyle name="Денежный 2 13 2 2 2" xfId="27766"/>
    <cellStyle name="Денежный 2 13 2 3" xfId="27767"/>
    <cellStyle name="Денежный 2 13 3" xfId="27768"/>
    <cellStyle name="Денежный 2 13 3 2" xfId="27769"/>
    <cellStyle name="Денежный 2 13 4" xfId="27770"/>
    <cellStyle name="Денежный 2 13 4 2" xfId="27771"/>
    <cellStyle name="Денежный 2 13 5" xfId="27772"/>
    <cellStyle name="Денежный 2 14" xfId="27773"/>
    <cellStyle name="Денежный 2 14 2" xfId="27774"/>
    <cellStyle name="Денежный 2 14 2 2" xfId="27775"/>
    <cellStyle name="Денежный 2 14 3" xfId="27776"/>
    <cellStyle name="Денежный 2 15" xfId="27777"/>
    <cellStyle name="Денежный 2 15 2" xfId="27778"/>
    <cellStyle name="Денежный 2 16" xfId="27779"/>
    <cellStyle name="Денежный 2 16 2" xfId="27780"/>
    <cellStyle name="Денежный 2 17" xfId="27781"/>
    <cellStyle name="Денежный 2 18" xfId="27782"/>
    <cellStyle name="Денежный 2 2" xfId="27783"/>
    <cellStyle name="Денежный 2 2 10" xfId="27784"/>
    <cellStyle name="Денежный 2 2 10 2" xfId="27785"/>
    <cellStyle name="Денежный 2 2 10 2 2" xfId="27786"/>
    <cellStyle name="Денежный 2 2 10 2 2 2" xfId="27787"/>
    <cellStyle name="Денежный 2 2 10 2 3" xfId="27788"/>
    <cellStyle name="Денежный 2 2 10 3" xfId="27789"/>
    <cellStyle name="Денежный 2 2 10 3 2" xfId="27790"/>
    <cellStyle name="Денежный 2 2 10 4" xfId="27791"/>
    <cellStyle name="Денежный 2 2 10 4 2" xfId="27792"/>
    <cellStyle name="Денежный 2 2 10 5" xfId="27793"/>
    <cellStyle name="Денежный 2 2 11" xfId="27794"/>
    <cellStyle name="Денежный 2 2 11 2" xfId="27795"/>
    <cellStyle name="Денежный 2 2 11 2 2" xfId="27796"/>
    <cellStyle name="Денежный 2 2 11 2 2 2" xfId="27797"/>
    <cellStyle name="Денежный 2 2 11 2 3" xfId="27798"/>
    <cellStyle name="Денежный 2 2 11 3" xfId="27799"/>
    <cellStyle name="Денежный 2 2 11 3 2" xfId="27800"/>
    <cellStyle name="Денежный 2 2 11 4" xfId="27801"/>
    <cellStyle name="Денежный 2 2 11 4 2" xfId="27802"/>
    <cellStyle name="Денежный 2 2 11 5" xfId="27803"/>
    <cellStyle name="Денежный 2 2 12" xfId="27804"/>
    <cellStyle name="Денежный 2 2 12 2" xfId="27805"/>
    <cellStyle name="Денежный 2 2 12 2 2" xfId="27806"/>
    <cellStyle name="Денежный 2 2 12 2 2 2" xfId="27807"/>
    <cellStyle name="Денежный 2 2 12 2 3" xfId="27808"/>
    <cellStyle name="Денежный 2 2 12 3" xfId="27809"/>
    <cellStyle name="Денежный 2 2 12 3 2" xfId="27810"/>
    <cellStyle name="Денежный 2 2 12 4" xfId="27811"/>
    <cellStyle name="Денежный 2 2 12 4 2" xfId="27812"/>
    <cellStyle name="Денежный 2 2 12 5" xfId="27813"/>
    <cellStyle name="Денежный 2 2 13" xfId="27814"/>
    <cellStyle name="Денежный 2 2 13 2" xfId="27815"/>
    <cellStyle name="Денежный 2 2 13 2 2" xfId="27816"/>
    <cellStyle name="Денежный 2 2 13 3" xfId="27817"/>
    <cellStyle name="Денежный 2 2 14" xfId="27818"/>
    <cellStyle name="Денежный 2 2 14 2" xfId="27819"/>
    <cellStyle name="Денежный 2 2 15" xfId="27820"/>
    <cellStyle name="Денежный 2 2 15 2" xfId="27821"/>
    <cellStyle name="Денежный 2 2 16" xfId="27822"/>
    <cellStyle name="Денежный 2 2 17" xfId="27823"/>
    <cellStyle name="Денежный 2 2 2" xfId="27824"/>
    <cellStyle name="Денежный 2 2 2 10" xfId="27825"/>
    <cellStyle name="Денежный 2 2 2 10 2" xfId="27826"/>
    <cellStyle name="Денежный 2 2 2 10 2 2" xfId="27827"/>
    <cellStyle name="Денежный 2 2 2 10 2 2 2" xfId="27828"/>
    <cellStyle name="Денежный 2 2 2 10 2 3" xfId="27829"/>
    <cellStyle name="Денежный 2 2 2 10 3" xfId="27830"/>
    <cellStyle name="Денежный 2 2 2 10 3 2" xfId="27831"/>
    <cellStyle name="Денежный 2 2 2 10 4" xfId="27832"/>
    <cellStyle name="Денежный 2 2 2 10 4 2" xfId="27833"/>
    <cellStyle name="Денежный 2 2 2 10 5" xfId="27834"/>
    <cellStyle name="Денежный 2 2 2 11" xfId="27835"/>
    <cellStyle name="Денежный 2 2 2 11 2" xfId="27836"/>
    <cellStyle name="Денежный 2 2 2 11 2 2" xfId="27837"/>
    <cellStyle name="Денежный 2 2 2 11 3" xfId="27838"/>
    <cellStyle name="Денежный 2 2 2 12" xfId="27839"/>
    <cellStyle name="Денежный 2 2 2 12 2" xfId="27840"/>
    <cellStyle name="Денежный 2 2 2 13" xfId="27841"/>
    <cellStyle name="Денежный 2 2 2 13 2" xfId="27842"/>
    <cellStyle name="Денежный 2 2 2 14" xfId="27843"/>
    <cellStyle name="Денежный 2 2 2 15" xfId="27844"/>
    <cellStyle name="Денежный 2 2 2 2" xfId="27845"/>
    <cellStyle name="Денежный 2 2 2 2 10" xfId="27846"/>
    <cellStyle name="Денежный 2 2 2 2 2" xfId="27847"/>
    <cellStyle name="Денежный 2 2 2 2 2 2" xfId="27848"/>
    <cellStyle name="Денежный 2 2 2 2 2 2 2" xfId="27849"/>
    <cellStyle name="Денежный 2 2 2 2 2 2 2 2" xfId="27850"/>
    <cellStyle name="Денежный 2 2 2 2 2 2 3" xfId="27851"/>
    <cellStyle name="Денежный 2 2 2 2 2 3" xfId="27852"/>
    <cellStyle name="Денежный 2 2 2 2 2 3 2" xfId="27853"/>
    <cellStyle name="Денежный 2 2 2 2 2 4" xfId="27854"/>
    <cellStyle name="Денежный 2 2 2 2 2 4 2" xfId="27855"/>
    <cellStyle name="Денежный 2 2 2 2 2 5" xfId="27856"/>
    <cellStyle name="Денежный 2 2 2 2 3" xfId="27857"/>
    <cellStyle name="Денежный 2 2 2 2 3 2" xfId="27858"/>
    <cellStyle name="Денежный 2 2 2 2 3 2 2" xfId="27859"/>
    <cellStyle name="Денежный 2 2 2 2 3 2 2 2" xfId="27860"/>
    <cellStyle name="Денежный 2 2 2 2 3 2 3" xfId="27861"/>
    <cellStyle name="Денежный 2 2 2 2 3 3" xfId="27862"/>
    <cellStyle name="Денежный 2 2 2 2 3 3 2" xfId="27863"/>
    <cellStyle name="Денежный 2 2 2 2 3 4" xfId="27864"/>
    <cellStyle name="Денежный 2 2 2 2 3 4 2" xfId="27865"/>
    <cellStyle name="Денежный 2 2 2 2 3 5" xfId="27866"/>
    <cellStyle name="Денежный 2 2 2 2 4" xfId="27867"/>
    <cellStyle name="Денежный 2 2 2 2 4 2" xfId="27868"/>
    <cellStyle name="Денежный 2 2 2 2 4 2 2" xfId="27869"/>
    <cellStyle name="Денежный 2 2 2 2 4 2 2 2" xfId="27870"/>
    <cellStyle name="Денежный 2 2 2 2 4 2 3" xfId="27871"/>
    <cellStyle name="Денежный 2 2 2 2 4 3" xfId="27872"/>
    <cellStyle name="Денежный 2 2 2 2 4 3 2" xfId="27873"/>
    <cellStyle name="Денежный 2 2 2 2 4 4" xfId="27874"/>
    <cellStyle name="Денежный 2 2 2 2 4 4 2" xfId="27875"/>
    <cellStyle name="Денежный 2 2 2 2 4 5" xfId="27876"/>
    <cellStyle name="Денежный 2 2 2 2 5" xfId="27877"/>
    <cellStyle name="Денежный 2 2 2 2 5 2" xfId="27878"/>
    <cellStyle name="Денежный 2 2 2 2 5 2 2" xfId="27879"/>
    <cellStyle name="Денежный 2 2 2 2 5 2 2 2" xfId="27880"/>
    <cellStyle name="Денежный 2 2 2 2 5 2 3" xfId="27881"/>
    <cellStyle name="Денежный 2 2 2 2 5 3" xfId="27882"/>
    <cellStyle name="Денежный 2 2 2 2 5 3 2" xfId="27883"/>
    <cellStyle name="Денежный 2 2 2 2 5 4" xfId="27884"/>
    <cellStyle name="Денежный 2 2 2 2 5 4 2" xfId="27885"/>
    <cellStyle name="Денежный 2 2 2 2 5 5" xfId="27886"/>
    <cellStyle name="Денежный 2 2 2 2 6" xfId="27887"/>
    <cellStyle name="Денежный 2 2 2 2 6 2" xfId="27888"/>
    <cellStyle name="Денежный 2 2 2 2 6 2 2" xfId="27889"/>
    <cellStyle name="Денежный 2 2 2 2 6 3" xfId="27890"/>
    <cellStyle name="Денежный 2 2 2 2 7" xfId="27891"/>
    <cellStyle name="Денежный 2 2 2 2 7 2" xfId="27892"/>
    <cellStyle name="Денежный 2 2 2 2 8" xfId="27893"/>
    <cellStyle name="Денежный 2 2 2 2 8 2" xfId="27894"/>
    <cellStyle name="Денежный 2 2 2 2 9" xfId="27895"/>
    <cellStyle name="Денежный 2 2 2 3" xfId="27896"/>
    <cellStyle name="Денежный 2 2 2 3 10" xfId="27897"/>
    <cellStyle name="Денежный 2 2 2 3 2" xfId="27898"/>
    <cellStyle name="Денежный 2 2 2 3 2 2" xfId="27899"/>
    <cellStyle name="Денежный 2 2 2 3 2 2 2" xfId="27900"/>
    <cellStyle name="Денежный 2 2 2 3 2 2 2 2" xfId="27901"/>
    <cellStyle name="Денежный 2 2 2 3 2 2 3" xfId="27902"/>
    <cellStyle name="Денежный 2 2 2 3 2 3" xfId="27903"/>
    <cellStyle name="Денежный 2 2 2 3 2 3 2" xfId="27904"/>
    <cellStyle name="Денежный 2 2 2 3 2 4" xfId="27905"/>
    <cellStyle name="Денежный 2 2 2 3 2 4 2" xfId="27906"/>
    <cellStyle name="Денежный 2 2 2 3 2 5" xfId="27907"/>
    <cellStyle name="Денежный 2 2 2 3 3" xfId="27908"/>
    <cellStyle name="Денежный 2 2 2 3 3 2" xfId="27909"/>
    <cellStyle name="Денежный 2 2 2 3 3 2 2" xfId="27910"/>
    <cellStyle name="Денежный 2 2 2 3 3 2 2 2" xfId="27911"/>
    <cellStyle name="Денежный 2 2 2 3 3 2 3" xfId="27912"/>
    <cellStyle name="Денежный 2 2 2 3 3 3" xfId="27913"/>
    <cellStyle name="Денежный 2 2 2 3 3 3 2" xfId="27914"/>
    <cellStyle name="Денежный 2 2 2 3 3 4" xfId="27915"/>
    <cellStyle name="Денежный 2 2 2 3 3 4 2" xfId="27916"/>
    <cellStyle name="Денежный 2 2 2 3 3 5" xfId="27917"/>
    <cellStyle name="Денежный 2 2 2 3 4" xfId="27918"/>
    <cellStyle name="Денежный 2 2 2 3 4 2" xfId="27919"/>
    <cellStyle name="Денежный 2 2 2 3 4 2 2" xfId="27920"/>
    <cellStyle name="Денежный 2 2 2 3 4 2 2 2" xfId="27921"/>
    <cellStyle name="Денежный 2 2 2 3 4 2 3" xfId="27922"/>
    <cellStyle name="Денежный 2 2 2 3 4 3" xfId="27923"/>
    <cellStyle name="Денежный 2 2 2 3 4 3 2" xfId="27924"/>
    <cellStyle name="Денежный 2 2 2 3 4 4" xfId="27925"/>
    <cellStyle name="Денежный 2 2 2 3 4 4 2" xfId="27926"/>
    <cellStyle name="Денежный 2 2 2 3 4 5" xfId="27927"/>
    <cellStyle name="Денежный 2 2 2 3 5" xfId="27928"/>
    <cellStyle name="Денежный 2 2 2 3 5 2" xfId="27929"/>
    <cellStyle name="Денежный 2 2 2 3 5 2 2" xfId="27930"/>
    <cellStyle name="Денежный 2 2 2 3 5 2 2 2" xfId="27931"/>
    <cellStyle name="Денежный 2 2 2 3 5 2 3" xfId="27932"/>
    <cellStyle name="Денежный 2 2 2 3 5 3" xfId="27933"/>
    <cellStyle name="Денежный 2 2 2 3 5 3 2" xfId="27934"/>
    <cellStyle name="Денежный 2 2 2 3 5 4" xfId="27935"/>
    <cellStyle name="Денежный 2 2 2 3 5 4 2" xfId="27936"/>
    <cellStyle name="Денежный 2 2 2 3 5 5" xfId="27937"/>
    <cellStyle name="Денежный 2 2 2 3 6" xfId="27938"/>
    <cellStyle name="Денежный 2 2 2 3 6 2" xfId="27939"/>
    <cellStyle name="Денежный 2 2 2 3 6 2 2" xfId="27940"/>
    <cellStyle name="Денежный 2 2 2 3 6 3" xfId="27941"/>
    <cellStyle name="Денежный 2 2 2 3 7" xfId="27942"/>
    <cellStyle name="Денежный 2 2 2 3 7 2" xfId="27943"/>
    <cellStyle name="Денежный 2 2 2 3 8" xfId="27944"/>
    <cellStyle name="Денежный 2 2 2 3 8 2" xfId="27945"/>
    <cellStyle name="Денежный 2 2 2 3 9" xfId="27946"/>
    <cellStyle name="Денежный 2 2 2 4" xfId="27947"/>
    <cellStyle name="Денежный 2 2 2 4 10" xfId="27948"/>
    <cellStyle name="Денежный 2 2 2 4 2" xfId="27949"/>
    <cellStyle name="Денежный 2 2 2 4 2 2" xfId="27950"/>
    <cellStyle name="Денежный 2 2 2 4 2 2 2" xfId="27951"/>
    <cellStyle name="Денежный 2 2 2 4 2 2 2 2" xfId="27952"/>
    <cellStyle name="Денежный 2 2 2 4 2 2 3" xfId="27953"/>
    <cellStyle name="Денежный 2 2 2 4 2 3" xfId="27954"/>
    <cellStyle name="Денежный 2 2 2 4 2 3 2" xfId="27955"/>
    <cellStyle name="Денежный 2 2 2 4 2 4" xfId="27956"/>
    <cellStyle name="Денежный 2 2 2 4 2 4 2" xfId="27957"/>
    <cellStyle name="Денежный 2 2 2 4 2 5" xfId="27958"/>
    <cellStyle name="Денежный 2 2 2 4 3" xfId="27959"/>
    <cellStyle name="Денежный 2 2 2 4 3 2" xfId="27960"/>
    <cellStyle name="Денежный 2 2 2 4 3 2 2" xfId="27961"/>
    <cellStyle name="Денежный 2 2 2 4 3 2 2 2" xfId="27962"/>
    <cellStyle name="Денежный 2 2 2 4 3 2 3" xfId="27963"/>
    <cellStyle name="Денежный 2 2 2 4 3 3" xfId="27964"/>
    <cellStyle name="Денежный 2 2 2 4 3 3 2" xfId="27965"/>
    <cellStyle name="Денежный 2 2 2 4 3 4" xfId="27966"/>
    <cellStyle name="Денежный 2 2 2 4 3 4 2" xfId="27967"/>
    <cellStyle name="Денежный 2 2 2 4 3 5" xfId="27968"/>
    <cellStyle name="Денежный 2 2 2 4 4" xfId="27969"/>
    <cellStyle name="Денежный 2 2 2 4 4 2" xfId="27970"/>
    <cellStyle name="Денежный 2 2 2 4 4 2 2" xfId="27971"/>
    <cellStyle name="Денежный 2 2 2 4 4 2 2 2" xfId="27972"/>
    <cellStyle name="Денежный 2 2 2 4 4 2 3" xfId="27973"/>
    <cellStyle name="Денежный 2 2 2 4 4 3" xfId="27974"/>
    <cellStyle name="Денежный 2 2 2 4 4 3 2" xfId="27975"/>
    <cellStyle name="Денежный 2 2 2 4 4 4" xfId="27976"/>
    <cellStyle name="Денежный 2 2 2 4 4 4 2" xfId="27977"/>
    <cellStyle name="Денежный 2 2 2 4 4 5" xfId="27978"/>
    <cellStyle name="Денежный 2 2 2 4 5" xfId="27979"/>
    <cellStyle name="Денежный 2 2 2 4 5 2" xfId="27980"/>
    <cellStyle name="Денежный 2 2 2 4 5 2 2" xfId="27981"/>
    <cellStyle name="Денежный 2 2 2 4 5 2 2 2" xfId="27982"/>
    <cellStyle name="Денежный 2 2 2 4 5 2 3" xfId="27983"/>
    <cellStyle name="Денежный 2 2 2 4 5 3" xfId="27984"/>
    <cellStyle name="Денежный 2 2 2 4 5 3 2" xfId="27985"/>
    <cellStyle name="Денежный 2 2 2 4 5 4" xfId="27986"/>
    <cellStyle name="Денежный 2 2 2 4 5 4 2" xfId="27987"/>
    <cellStyle name="Денежный 2 2 2 4 5 5" xfId="27988"/>
    <cellStyle name="Денежный 2 2 2 4 6" xfId="27989"/>
    <cellStyle name="Денежный 2 2 2 4 6 2" xfId="27990"/>
    <cellStyle name="Денежный 2 2 2 4 6 2 2" xfId="27991"/>
    <cellStyle name="Денежный 2 2 2 4 6 3" xfId="27992"/>
    <cellStyle name="Денежный 2 2 2 4 7" xfId="27993"/>
    <cellStyle name="Денежный 2 2 2 4 7 2" xfId="27994"/>
    <cellStyle name="Денежный 2 2 2 4 8" xfId="27995"/>
    <cellStyle name="Денежный 2 2 2 4 8 2" xfId="27996"/>
    <cellStyle name="Денежный 2 2 2 4 9" xfId="27997"/>
    <cellStyle name="Денежный 2 2 2 5" xfId="27998"/>
    <cellStyle name="Денежный 2 2 2 5 10" xfId="27999"/>
    <cellStyle name="Денежный 2 2 2 5 2" xfId="28000"/>
    <cellStyle name="Денежный 2 2 2 5 2 2" xfId="28001"/>
    <cellStyle name="Денежный 2 2 2 5 2 2 2" xfId="28002"/>
    <cellStyle name="Денежный 2 2 2 5 2 2 2 2" xfId="28003"/>
    <cellStyle name="Денежный 2 2 2 5 2 2 3" xfId="28004"/>
    <cellStyle name="Денежный 2 2 2 5 2 3" xfId="28005"/>
    <cellStyle name="Денежный 2 2 2 5 2 3 2" xfId="28006"/>
    <cellStyle name="Денежный 2 2 2 5 2 4" xfId="28007"/>
    <cellStyle name="Денежный 2 2 2 5 2 4 2" xfId="28008"/>
    <cellStyle name="Денежный 2 2 2 5 2 5" xfId="28009"/>
    <cellStyle name="Денежный 2 2 2 5 3" xfId="28010"/>
    <cellStyle name="Денежный 2 2 2 5 3 2" xfId="28011"/>
    <cellStyle name="Денежный 2 2 2 5 3 2 2" xfId="28012"/>
    <cellStyle name="Денежный 2 2 2 5 3 2 2 2" xfId="28013"/>
    <cellStyle name="Денежный 2 2 2 5 3 2 3" xfId="28014"/>
    <cellStyle name="Денежный 2 2 2 5 3 3" xfId="28015"/>
    <cellStyle name="Денежный 2 2 2 5 3 3 2" xfId="28016"/>
    <cellStyle name="Денежный 2 2 2 5 3 4" xfId="28017"/>
    <cellStyle name="Денежный 2 2 2 5 3 4 2" xfId="28018"/>
    <cellStyle name="Денежный 2 2 2 5 3 5" xfId="28019"/>
    <cellStyle name="Денежный 2 2 2 5 4" xfId="28020"/>
    <cellStyle name="Денежный 2 2 2 5 4 2" xfId="28021"/>
    <cellStyle name="Денежный 2 2 2 5 4 2 2" xfId="28022"/>
    <cellStyle name="Денежный 2 2 2 5 4 2 2 2" xfId="28023"/>
    <cellStyle name="Денежный 2 2 2 5 4 2 3" xfId="28024"/>
    <cellStyle name="Денежный 2 2 2 5 4 3" xfId="28025"/>
    <cellStyle name="Денежный 2 2 2 5 4 3 2" xfId="28026"/>
    <cellStyle name="Денежный 2 2 2 5 4 4" xfId="28027"/>
    <cellStyle name="Денежный 2 2 2 5 4 4 2" xfId="28028"/>
    <cellStyle name="Денежный 2 2 2 5 4 5" xfId="28029"/>
    <cellStyle name="Денежный 2 2 2 5 5" xfId="28030"/>
    <cellStyle name="Денежный 2 2 2 5 5 2" xfId="28031"/>
    <cellStyle name="Денежный 2 2 2 5 5 2 2" xfId="28032"/>
    <cellStyle name="Денежный 2 2 2 5 5 2 2 2" xfId="28033"/>
    <cellStyle name="Денежный 2 2 2 5 5 2 3" xfId="28034"/>
    <cellStyle name="Денежный 2 2 2 5 5 3" xfId="28035"/>
    <cellStyle name="Денежный 2 2 2 5 5 3 2" xfId="28036"/>
    <cellStyle name="Денежный 2 2 2 5 5 4" xfId="28037"/>
    <cellStyle name="Денежный 2 2 2 5 5 4 2" xfId="28038"/>
    <cellStyle name="Денежный 2 2 2 5 5 5" xfId="28039"/>
    <cellStyle name="Денежный 2 2 2 5 6" xfId="28040"/>
    <cellStyle name="Денежный 2 2 2 5 6 2" xfId="28041"/>
    <cellStyle name="Денежный 2 2 2 5 6 2 2" xfId="28042"/>
    <cellStyle name="Денежный 2 2 2 5 6 3" xfId="28043"/>
    <cellStyle name="Денежный 2 2 2 5 7" xfId="28044"/>
    <cellStyle name="Денежный 2 2 2 5 7 2" xfId="28045"/>
    <cellStyle name="Денежный 2 2 2 5 8" xfId="28046"/>
    <cellStyle name="Денежный 2 2 2 5 8 2" xfId="28047"/>
    <cellStyle name="Денежный 2 2 2 5 9" xfId="28048"/>
    <cellStyle name="Денежный 2 2 2 6" xfId="28049"/>
    <cellStyle name="Денежный 2 2 2 6 10" xfId="28050"/>
    <cellStyle name="Денежный 2 2 2 6 2" xfId="28051"/>
    <cellStyle name="Денежный 2 2 2 6 2 2" xfId="28052"/>
    <cellStyle name="Денежный 2 2 2 6 2 2 2" xfId="28053"/>
    <cellStyle name="Денежный 2 2 2 6 2 2 2 2" xfId="28054"/>
    <cellStyle name="Денежный 2 2 2 6 2 2 3" xfId="28055"/>
    <cellStyle name="Денежный 2 2 2 6 2 3" xfId="28056"/>
    <cellStyle name="Денежный 2 2 2 6 2 3 2" xfId="28057"/>
    <cellStyle name="Денежный 2 2 2 6 2 4" xfId="28058"/>
    <cellStyle name="Денежный 2 2 2 6 2 4 2" xfId="28059"/>
    <cellStyle name="Денежный 2 2 2 6 2 5" xfId="28060"/>
    <cellStyle name="Денежный 2 2 2 6 3" xfId="28061"/>
    <cellStyle name="Денежный 2 2 2 6 3 2" xfId="28062"/>
    <cellStyle name="Денежный 2 2 2 6 3 2 2" xfId="28063"/>
    <cellStyle name="Денежный 2 2 2 6 3 2 2 2" xfId="28064"/>
    <cellStyle name="Денежный 2 2 2 6 3 2 3" xfId="28065"/>
    <cellStyle name="Денежный 2 2 2 6 3 3" xfId="28066"/>
    <cellStyle name="Денежный 2 2 2 6 3 3 2" xfId="28067"/>
    <cellStyle name="Денежный 2 2 2 6 3 4" xfId="28068"/>
    <cellStyle name="Денежный 2 2 2 6 3 4 2" xfId="28069"/>
    <cellStyle name="Денежный 2 2 2 6 3 5" xfId="28070"/>
    <cellStyle name="Денежный 2 2 2 6 4" xfId="28071"/>
    <cellStyle name="Денежный 2 2 2 6 4 2" xfId="28072"/>
    <cellStyle name="Денежный 2 2 2 6 4 2 2" xfId="28073"/>
    <cellStyle name="Денежный 2 2 2 6 4 2 2 2" xfId="28074"/>
    <cellStyle name="Денежный 2 2 2 6 4 2 3" xfId="28075"/>
    <cellStyle name="Денежный 2 2 2 6 4 3" xfId="28076"/>
    <cellStyle name="Денежный 2 2 2 6 4 3 2" xfId="28077"/>
    <cellStyle name="Денежный 2 2 2 6 4 4" xfId="28078"/>
    <cellStyle name="Денежный 2 2 2 6 4 4 2" xfId="28079"/>
    <cellStyle name="Денежный 2 2 2 6 4 5" xfId="28080"/>
    <cellStyle name="Денежный 2 2 2 6 5" xfId="28081"/>
    <cellStyle name="Денежный 2 2 2 6 5 2" xfId="28082"/>
    <cellStyle name="Денежный 2 2 2 6 5 2 2" xfId="28083"/>
    <cellStyle name="Денежный 2 2 2 6 5 2 2 2" xfId="28084"/>
    <cellStyle name="Денежный 2 2 2 6 5 2 3" xfId="28085"/>
    <cellStyle name="Денежный 2 2 2 6 5 3" xfId="28086"/>
    <cellStyle name="Денежный 2 2 2 6 5 3 2" xfId="28087"/>
    <cellStyle name="Денежный 2 2 2 6 5 4" xfId="28088"/>
    <cellStyle name="Денежный 2 2 2 6 5 4 2" xfId="28089"/>
    <cellStyle name="Денежный 2 2 2 6 5 5" xfId="28090"/>
    <cellStyle name="Денежный 2 2 2 6 6" xfId="28091"/>
    <cellStyle name="Денежный 2 2 2 6 6 2" xfId="28092"/>
    <cellStyle name="Денежный 2 2 2 6 6 2 2" xfId="28093"/>
    <cellStyle name="Денежный 2 2 2 6 6 3" xfId="28094"/>
    <cellStyle name="Денежный 2 2 2 6 7" xfId="28095"/>
    <cellStyle name="Денежный 2 2 2 6 7 2" xfId="28096"/>
    <cellStyle name="Денежный 2 2 2 6 8" xfId="28097"/>
    <cellStyle name="Денежный 2 2 2 6 8 2" xfId="28098"/>
    <cellStyle name="Денежный 2 2 2 6 9" xfId="28099"/>
    <cellStyle name="Денежный 2 2 2 7" xfId="28100"/>
    <cellStyle name="Денежный 2 2 2 7 2" xfId="28101"/>
    <cellStyle name="Денежный 2 2 2 7 2 2" xfId="28102"/>
    <cellStyle name="Денежный 2 2 2 7 2 2 2" xfId="28103"/>
    <cellStyle name="Денежный 2 2 2 7 2 3" xfId="28104"/>
    <cellStyle name="Денежный 2 2 2 7 3" xfId="28105"/>
    <cellStyle name="Денежный 2 2 2 7 3 2" xfId="28106"/>
    <cellStyle name="Денежный 2 2 2 7 4" xfId="28107"/>
    <cellStyle name="Денежный 2 2 2 7 4 2" xfId="28108"/>
    <cellStyle name="Денежный 2 2 2 7 5" xfId="28109"/>
    <cellStyle name="Денежный 2 2 2 8" xfId="28110"/>
    <cellStyle name="Денежный 2 2 2 8 2" xfId="28111"/>
    <cellStyle name="Денежный 2 2 2 8 2 2" xfId="28112"/>
    <cellStyle name="Денежный 2 2 2 8 2 2 2" xfId="28113"/>
    <cellStyle name="Денежный 2 2 2 8 2 3" xfId="28114"/>
    <cellStyle name="Денежный 2 2 2 8 3" xfId="28115"/>
    <cellStyle name="Денежный 2 2 2 8 3 2" xfId="28116"/>
    <cellStyle name="Денежный 2 2 2 8 4" xfId="28117"/>
    <cellStyle name="Денежный 2 2 2 8 4 2" xfId="28118"/>
    <cellStyle name="Денежный 2 2 2 8 5" xfId="28119"/>
    <cellStyle name="Денежный 2 2 2 9" xfId="28120"/>
    <cellStyle name="Денежный 2 2 2 9 2" xfId="28121"/>
    <cellStyle name="Денежный 2 2 2 9 2 2" xfId="28122"/>
    <cellStyle name="Денежный 2 2 2 9 2 2 2" xfId="28123"/>
    <cellStyle name="Денежный 2 2 2 9 2 3" xfId="28124"/>
    <cellStyle name="Денежный 2 2 2 9 3" xfId="28125"/>
    <cellStyle name="Денежный 2 2 2 9 3 2" xfId="28126"/>
    <cellStyle name="Денежный 2 2 2 9 4" xfId="28127"/>
    <cellStyle name="Денежный 2 2 2 9 4 2" xfId="28128"/>
    <cellStyle name="Денежный 2 2 2 9 5" xfId="28129"/>
    <cellStyle name="Денежный 2 2 3" xfId="28130"/>
    <cellStyle name="Денежный 2 2 3 10" xfId="28131"/>
    <cellStyle name="Денежный 2 2 3 2" xfId="28132"/>
    <cellStyle name="Денежный 2 2 3 2 2" xfId="28133"/>
    <cellStyle name="Денежный 2 2 3 2 2 2" xfId="28134"/>
    <cellStyle name="Денежный 2 2 3 2 2 2 2" xfId="28135"/>
    <cellStyle name="Денежный 2 2 3 2 2 3" xfId="28136"/>
    <cellStyle name="Денежный 2 2 3 2 3" xfId="28137"/>
    <cellStyle name="Денежный 2 2 3 2 3 2" xfId="28138"/>
    <cellStyle name="Денежный 2 2 3 2 4" xfId="28139"/>
    <cellStyle name="Денежный 2 2 3 2 4 2" xfId="28140"/>
    <cellStyle name="Денежный 2 2 3 2 5" xfId="28141"/>
    <cellStyle name="Денежный 2 2 3 3" xfId="28142"/>
    <cellStyle name="Денежный 2 2 3 3 2" xfId="28143"/>
    <cellStyle name="Денежный 2 2 3 3 2 2" xfId="28144"/>
    <cellStyle name="Денежный 2 2 3 3 2 2 2" xfId="28145"/>
    <cellStyle name="Денежный 2 2 3 3 2 3" xfId="28146"/>
    <cellStyle name="Денежный 2 2 3 3 3" xfId="28147"/>
    <cellStyle name="Денежный 2 2 3 3 3 2" xfId="28148"/>
    <cellStyle name="Денежный 2 2 3 3 4" xfId="28149"/>
    <cellStyle name="Денежный 2 2 3 3 4 2" xfId="28150"/>
    <cellStyle name="Денежный 2 2 3 3 5" xfId="28151"/>
    <cellStyle name="Денежный 2 2 3 4" xfId="28152"/>
    <cellStyle name="Денежный 2 2 3 4 2" xfId="28153"/>
    <cellStyle name="Денежный 2 2 3 4 2 2" xfId="28154"/>
    <cellStyle name="Денежный 2 2 3 4 2 2 2" xfId="28155"/>
    <cellStyle name="Денежный 2 2 3 4 2 3" xfId="28156"/>
    <cellStyle name="Денежный 2 2 3 4 3" xfId="28157"/>
    <cellStyle name="Денежный 2 2 3 4 3 2" xfId="28158"/>
    <cellStyle name="Денежный 2 2 3 4 4" xfId="28159"/>
    <cellStyle name="Денежный 2 2 3 4 4 2" xfId="28160"/>
    <cellStyle name="Денежный 2 2 3 4 5" xfId="28161"/>
    <cellStyle name="Денежный 2 2 3 5" xfId="28162"/>
    <cellStyle name="Денежный 2 2 3 5 2" xfId="28163"/>
    <cellStyle name="Денежный 2 2 3 5 2 2" xfId="28164"/>
    <cellStyle name="Денежный 2 2 3 5 2 2 2" xfId="28165"/>
    <cellStyle name="Денежный 2 2 3 5 2 3" xfId="28166"/>
    <cellStyle name="Денежный 2 2 3 5 3" xfId="28167"/>
    <cellStyle name="Денежный 2 2 3 5 3 2" xfId="28168"/>
    <cellStyle name="Денежный 2 2 3 5 4" xfId="28169"/>
    <cellStyle name="Денежный 2 2 3 5 4 2" xfId="28170"/>
    <cellStyle name="Денежный 2 2 3 5 5" xfId="28171"/>
    <cellStyle name="Денежный 2 2 3 6" xfId="28172"/>
    <cellStyle name="Денежный 2 2 3 6 2" xfId="28173"/>
    <cellStyle name="Денежный 2 2 3 6 2 2" xfId="28174"/>
    <cellStyle name="Денежный 2 2 3 6 3" xfId="28175"/>
    <cellStyle name="Денежный 2 2 3 7" xfId="28176"/>
    <cellStyle name="Денежный 2 2 3 7 2" xfId="28177"/>
    <cellStyle name="Денежный 2 2 3 8" xfId="28178"/>
    <cellStyle name="Денежный 2 2 3 8 2" xfId="28179"/>
    <cellStyle name="Денежный 2 2 3 9" xfId="28180"/>
    <cellStyle name="Денежный 2 2 4" xfId="28181"/>
    <cellStyle name="Денежный 2 2 4 10" xfId="28182"/>
    <cellStyle name="Денежный 2 2 4 2" xfId="28183"/>
    <cellStyle name="Денежный 2 2 4 2 2" xfId="28184"/>
    <cellStyle name="Денежный 2 2 4 2 2 2" xfId="28185"/>
    <cellStyle name="Денежный 2 2 4 2 2 2 2" xfId="28186"/>
    <cellStyle name="Денежный 2 2 4 2 2 3" xfId="28187"/>
    <cellStyle name="Денежный 2 2 4 2 3" xfId="28188"/>
    <cellStyle name="Денежный 2 2 4 2 3 2" xfId="28189"/>
    <cellStyle name="Денежный 2 2 4 2 4" xfId="28190"/>
    <cellStyle name="Денежный 2 2 4 2 4 2" xfId="28191"/>
    <cellStyle name="Денежный 2 2 4 2 5" xfId="28192"/>
    <cellStyle name="Денежный 2 2 4 3" xfId="28193"/>
    <cellStyle name="Денежный 2 2 4 3 2" xfId="28194"/>
    <cellStyle name="Денежный 2 2 4 3 2 2" xfId="28195"/>
    <cellStyle name="Денежный 2 2 4 3 2 2 2" xfId="28196"/>
    <cellStyle name="Денежный 2 2 4 3 2 3" xfId="28197"/>
    <cellStyle name="Денежный 2 2 4 3 3" xfId="28198"/>
    <cellStyle name="Денежный 2 2 4 3 3 2" xfId="28199"/>
    <cellStyle name="Денежный 2 2 4 3 4" xfId="28200"/>
    <cellStyle name="Денежный 2 2 4 3 4 2" xfId="28201"/>
    <cellStyle name="Денежный 2 2 4 3 5" xfId="28202"/>
    <cellStyle name="Денежный 2 2 4 4" xfId="28203"/>
    <cellStyle name="Денежный 2 2 4 4 2" xfId="28204"/>
    <cellStyle name="Денежный 2 2 4 4 2 2" xfId="28205"/>
    <cellStyle name="Денежный 2 2 4 4 2 2 2" xfId="28206"/>
    <cellStyle name="Денежный 2 2 4 4 2 3" xfId="28207"/>
    <cellStyle name="Денежный 2 2 4 4 3" xfId="28208"/>
    <cellStyle name="Денежный 2 2 4 4 3 2" xfId="28209"/>
    <cellStyle name="Денежный 2 2 4 4 4" xfId="28210"/>
    <cellStyle name="Денежный 2 2 4 4 4 2" xfId="28211"/>
    <cellStyle name="Денежный 2 2 4 4 5" xfId="28212"/>
    <cellStyle name="Денежный 2 2 4 5" xfId="28213"/>
    <cellStyle name="Денежный 2 2 4 5 2" xfId="28214"/>
    <cellStyle name="Денежный 2 2 4 5 2 2" xfId="28215"/>
    <cellStyle name="Денежный 2 2 4 5 2 2 2" xfId="28216"/>
    <cellStyle name="Денежный 2 2 4 5 2 3" xfId="28217"/>
    <cellStyle name="Денежный 2 2 4 5 3" xfId="28218"/>
    <cellStyle name="Денежный 2 2 4 5 3 2" xfId="28219"/>
    <cellStyle name="Денежный 2 2 4 5 4" xfId="28220"/>
    <cellStyle name="Денежный 2 2 4 5 4 2" xfId="28221"/>
    <cellStyle name="Денежный 2 2 4 5 5" xfId="28222"/>
    <cellStyle name="Денежный 2 2 4 6" xfId="28223"/>
    <cellStyle name="Денежный 2 2 4 6 2" xfId="28224"/>
    <cellStyle name="Денежный 2 2 4 6 2 2" xfId="28225"/>
    <cellStyle name="Денежный 2 2 4 6 3" xfId="28226"/>
    <cellStyle name="Денежный 2 2 4 7" xfId="28227"/>
    <cellStyle name="Денежный 2 2 4 7 2" xfId="28228"/>
    <cellStyle name="Денежный 2 2 4 8" xfId="28229"/>
    <cellStyle name="Денежный 2 2 4 8 2" xfId="28230"/>
    <cellStyle name="Денежный 2 2 4 9" xfId="28231"/>
    <cellStyle name="Денежный 2 2 5" xfId="28232"/>
    <cellStyle name="Денежный 2 2 5 10" xfId="28233"/>
    <cellStyle name="Денежный 2 2 5 2" xfId="28234"/>
    <cellStyle name="Денежный 2 2 5 2 2" xfId="28235"/>
    <cellStyle name="Денежный 2 2 5 2 2 2" xfId="28236"/>
    <cellStyle name="Денежный 2 2 5 2 2 2 2" xfId="28237"/>
    <cellStyle name="Денежный 2 2 5 2 2 3" xfId="28238"/>
    <cellStyle name="Денежный 2 2 5 2 3" xfId="28239"/>
    <cellStyle name="Денежный 2 2 5 2 3 2" xfId="28240"/>
    <cellStyle name="Денежный 2 2 5 2 4" xfId="28241"/>
    <cellStyle name="Денежный 2 2 5 2 4 2" xfId="28242"/>
    <cellStyle name="Денежный 2 2 5 2 5" xfId="28243"/>
    <cellStyle name="Денежный 2 2 5 3" xfId="28244"/>
    <cellStyle name="Денежный 2 2 5 3 2" xfId="28245"/>
    <cellStyle name="Денежный 2 2 5 3 2 2" xfId="28246"/>
    <cellStyle name="Денежный 2 2 5 3 2 2 2" xfId="28247"/>
    <cellStyle name="Денежный 2 2 5 3 2 3" xfId="28248"/>
    <cellStyle name="Денежный 2 2 5 3 3" xfId="28249"/>
    <cellStyle name="Денежный 2 2 5 3 3 2" xfId="28250"/>
    <cellStyle name="Денежный 2 2 5 3 4" xfId="28251"/>
    <cellStyle name="Денежный 2 2 5 3 4 2" xfId="28252"/>
    <cellStyle name="Денежный 2 2 5 3 5" xfId="28253"/>
    <cellStyle name="Денежный 2 2 5 4" xfId="28254"/>
    <cellStyle name="Денежный 2 2 5 4 2" xfId="28255"/>
    <cellStyle name="Денежный 2 2 5 4 2 2" xfId="28256"/>
    <cellStyle name="Денежный 2 2 5 4 2 2 2" xfId="28257"/>
    <cellStyle name="Денежный 2 2 5 4 2 3" xfId="28258"/>
    <cellStyle name="Денежный 2 2 5 4 3" xfId="28259"/>
    <cellStyle name="Денежный 2 2 5 4 3 2" xfId="28260"/>
    <cellStyle name="Денежный 2 2 5 4 4" xfId="28261"/>
    <cellStyle name="Денежный 2 2 5 4 4 2" xfId="28262"/>
    <cellStyle name="Денежный 2 2 5 4 5" xfId="28263"/>
    <cellStyle name="Денежный 2 2 5 5" xfId="28264"/>
    <cellStyle name="Денежный 2 2 5 5 2" xfId="28265"/>
    <cellStyle name="Денежный 2 2 5 5 2 2" xfId="28266"/>
    <cellStyle name="Денежный 2 2 5 5 2 2 2" xfId="28267"/>
    <cellStyle name="Денежный 2 2 5 5 2 3" xfId="28268"/>
    <cellStyle name="Денежный 2 2 5 5 3" xfId="28269"/>
    <cellStyle name="Денежный 2 2 5 5 3 2" xfId="28270"/>
    <cellStyle name="Денежный 2 2 5 5 4" xfId="28271"/>
    <cellStyle name="Денежный 2 2 5 5 4 2" xfId="28272"/>
    <cellStyle name="Денежный 2 2 5 5 5" xfId="28273"/>
    <cellStyle name="Денежный 2 2 5 6" xfId="28274"/>
    <cellStyle name="Денежный 2 2 5 6 2" xfId="28275"/>
    <cellStyle name="Денежный 2 2 5 6 2 2" xfId="28276"/>
    <cellStyle name="Денежный 2 2 5 6 3" xfId="28277"/>
    <cellStyle name="Денежный 2 2 5 7" xfId="28278"/>
    <cellStyle name="Денежный 2 2 5 7 2" xfId="28279"/>
    <cellStyle name="Денежный 2 2 5 8" xfId="28280"/>
    <cellStyle name="Денежный 2 2 5 8 2" xfId="28281"/>
    <cellStyle name="Денежный 2 2 5 9" xfId="28282"/>
    <cellStyle name="Денежный 2 2 6" xfId="28283"/>
    <cellStyle name="Денежный 2 2 6 10" xfId="28284"/>
    <cellStyle name="Денежный 2 2 6 2" xfId="28285"/>
    <cellStyle name="Денежный 2 2 6 2 2" xfId="28286"/>
    <cellStyle name="Денежный 2 2 6 2 2 2" xfId="28287"/>
    <cellStyle name="Денежный 2 2 6 2 2 2 2" xfId="28288"/>
    <cellStyle name="Денежный 2 2 6 2 2 3" xfId="28289"/>
    <cellStyle name="Денежный 2 2 6 2 3" xfId="28290"/>
    <cellStyle name="Денежный 2 2 6 2 3 2" xfId="28291"/>
    <cellStyle name="Денежный 2 2 6 2 4" xfId="28292"/>
    <cellStyle name="Денежный 2 2 6 2 4 2" xfId="28293"/>
    <cellStyle name="Денежный 2 2 6 2 5" xfId="28294"/>
    <cellStyle name="Денежный 2 2 6 3" xfId="28295"/>
    <cellStyle name="Денежный 2 2 6 3 2" xfId="28296"/>
    <cellStyle name="Денежный 2 2 6 3 2 2" xfId="28297"/>
    <cellStyle name="Денежный 2 2 6 3 2 2 2" xfId="28298"/>
    <cellStyle name="Денежный 2 2 6 3 2 3" xfId="28299"/>
    <cellStyle name="Денежный 2 2 6 3 3" xfId="28300"/>
    <cellStyle name="Денежный 2 2 6 3 3 2" xfId="28301"/>
    <cellStyle name="Денежный 2 2 6 3 4" xfId="28302"/>
    <cellStyle name="Денежный 2 2 6 3 4 2" xfId="28303"/>
    <cellStyle name="Денежный 2 2 6 3 5" xfId="28304"/>
    <cellStyle name="Денежный 2 2 6 4" xfId="28305"/>
    <cellStyle name="Денежный 2 2 6 4 2" xfId="28306"/>
    <cellStyle name="Денежный 2 2 6 4 2 2" xfId="28307"/>
    <cellStyle name="Денежный 2 2 6 4 2 2 2" xfId="28308"/>
    <cellStyle name="Денежный 2 2 6 4 2 3" xfId="28309"/>
    <cellStyle name="Денежный 2 2 6 4 3" xfId="28310"/>
    <cellStyle name="Денежный 2 2 6 4 3 2" xfId="28311"/>
    <cellStyle name="Денежный 2 2 6 4 4" xfId="28312"/>
    <cellStyle name="Денежный 2 2 6 4 4 2" xfId="28313"/>
    <cellStyle name="Денежный 2 2 6 4 5" xfId="28314"/>
    <cellStyle name="Денежный 2 2 6 5" xfId="28315"/>
    <cellStyle name="Денежный 2 2 6 5 2" xfId="28316"/>
    <cellStyle name="Денежный 2 2 6 5 2 2" xfId="28317"/>
    <cellStyle name="Денежный 2 2 6 5 2 2 2" xfId="28318"/>
    <cellStyle name="Денежный 2 2 6 5 2 3" xfId="28319"/>
    <cellStyle name="Денежный 2 2 6 5 3" xfId="28320"/>
    <cellStyle name="Денежный 2 2 6 5 3 2" xfId="28321"/>
    <cellStyle name="Денежный 2 2 6 5 4" xfId="28322"/>
    <cellStyle name="Денежный 2 2 6 5 4 2" xfId="28323"/>
    <cellStyle name="Денежный 2 2 6 5 5" xfId="28324"/>
    <cellStyle name="Денежный 2 2 6 6" xfId="28325"/>
    <cellStyle name="Денежный 2 2 6 6 2" xfId="28326"/>
    <cellStyle name="Денежный 2 2 6 6 2 2" xfId="28327"/>
    <cellStyle name="Денежный 2 2 6 6 3" xfId="28328"/>
    <cellStyle name="Денежный 2 2 6 7" xfId="28329"/>
    <cellStyle name="Денежный 2 2 6 7 2" xfId="28330"/>
    <cellStyle name="Денежный 2 2 6 8" xfId="28331"/>
    <cellStyle name="Денежный 2 2 6 8 2" xfId="28332"/>
    <cellStyle name="Денежный 2 2 6 9" xfId="28333"/>
    <cellStyle name="Денежный 2 2 7" xfId="28334"/>
    <cellStyle name="Денежный 2 2 7 10" xfId="28335"/>
    <cellStyle name="Денежный 2 2 7 2" xfId="28336"/>
    <cellStyle name="Денежный 2 2 7 2 2" xfId="28337"/>
    <cellStyle name="Денежный 2 2 7 2 2 2" xfId="28338"/>
    <cellStyle name="Денежный 2 2 7 2 2 2 2" xfId="28339"/>
    <cellStyle name="Денежный 2 2 7 2 2 3" xfId="28340"/>
    <cellStyle name="Денежный 2 2 7 2 3" xfId="28341"/>
    <cellStyle name="Денежный 2 2 7 2 3 2" xfId="28342"/>
    <cellStyle name="Денежный 2 2 7 2 4" xfId="28343"/>
    <cellStyle name="Денежный 2 2 7 2 4 2" xfId="28344"/>
    <cellStyle name="Денежный 2 2 7 2 5" xfId="28345"/>
    <cellStyle name="Денежный 2 2 7 3" xfId="28346"/>
    <cellStyle name="Денежный 2 2 7 3 2" xfId="28347"/>
    <cellStyle name="Денежный 2 2 7 3 2 2" xfId="28348"/>
    <cellStyle name="Денежный 2 2 7 3 2 2 2" xfId="28349"/>
    <cellStyle name="Денежный 2 2 7 3 2 3" xfId="28350"/>
    <cellStyle name="Денежный 2 2 7 3 3" xfId="28351"/>
    <cellStyle name="Денежный 2 2 7 3 3 2" xfId="28352"/>
    <cellStyle name="Денежный 2 2 7 3 4" xfId="28353"/>
    <cellStyle name="Денежный 2 2 7 3 4 2" xfId="28354"/>
    <cellStyle name="Денежный 2 2 7 3 5" xfId="28355"/>
    <cellStyle name="Денежный 2 2 7 4" xfId="28356"/>
    <cellStyle name="Денежный 2 2 7 4 2" xfId="28357"/>
    <cellStyle name="Денежный 2 2 7 4 2 2" xfId="28358"/>
    <cellStyle name="Денежный 2 2 7 4 2 2 2" xfId="28359"/>
    <cellStyle name="Денежный 2 2 7 4 2 3" xfId="28360"/>
    <cellStyle name="Денежный 2 2 7 4 3" xfId="28361"/>
    <cellStyle name="Денежный 2 2 7 4 3 2" xfId="28362"/>
    <cellStyle name="Денежный 2 2 7 4 4" xfId="28363"/>
    <cellStyle name="Денежный 2 2 7 4 4 2" xfId="28364"/>
    <cellStyle name="Денежный 2 2 7 4 5" xfId="28365"/>
    <cellStyle name="Денежный 2 2 7 5" xfId="28366"/>
    <cellStyle name="Денежный 2 2 7 5 2" xfId="28367"/>
    <cellStyle name="Денежный 2 2 7 5 2 2" xfId="28368"/>
    <cellStyle name="Денежный 2 2 7 5 2 2 2" xfId="28369"/>
    <cellStyle name="Денежный 2 2 7 5 2 3" xfId="28370"/>
    <cellStyle name="Денежный 2 2 7 5 3" xfId="28371"/>
    <cellStyle name="Денежный 2 2 7 5 3 2" xfId="28372"/>
    <cellStyle name="Денежный 2 2 7 5 4" xfId="28373"/>
    <cellStyle name="Денежный 2 2 7 5 4 2" xfId="28374"/>
    <cellStyle name="Денежный 2 2 7 5 5" xfId="28375"/>
    <cellStyle name="Денежный 2 2 7 6" xfId="28376"/>
    <cellStyle name="Денежный 2 2 7 6 2" xfId="28377"/>
    <cellStyle name="Денежный 2 2 7 6 2 2" xfId="28378"/>
    <cellStyle name="Денежный 2 2 7 6 3" xfId="28379"/>
    <cellStyle name="Денежный 2 2 7 7" xfId="28380"/>
    <cellStyle name="Денежный 2 2 7 7 2" xfId="28381"/>
    <cellStyle name="Денежный 2 2 7 8" xfId="28382"/>
    <cellStyle name="Денежный 2 2 7 8 2" xfId="28383"/>
    <cellStyle name="Денежный 2 2 7 9" xfId="28384"/>
    <cellStyle name="Денежный 2 2 8" xfId="28385"/>
    <cellStyle name="Денежный 2 2 8 2" xfId="28386"/>
    <cellStyle name="Денежный 2 2 8 2 2" xfId="28387"/>
    <cellStyle name="Денежный 2 2 8 2 2 2" xfId="28388"/>
    <cellStyle name="Денежный 2 2 8 2 2 2 2" xfId="28389"/>
    <cellStyle name="Денежный 2 2 8 2 2 3" xfId="28390"/>
    <cellStyle name="Денежный 2 2 8 2 3" xfId="28391"/>
    <cellStyle name="Денежный 2 2 8 2 3 2" xfId="28392"/>
    <cellStyle name="Денежный 2 2 8 2 4" xfId="28393"/>
    <cellStyle name="Денежный 2 2 8 2 4 2" xfId="28394"/>
    <cellStyle name="Денежный 2 2 8 2 5" xfId="28395"/>
    <cellStyle name="Денежный 2 2 8 3" xfId="28396"/>
    <cellStyle name="Денежный 2 2 8 3 2" xfId="28397"/>
    <cellStyle name="Денежный 2 2 8 3 2 2" xfId="28398"/>
    <cellStyle name="Денежный 2 2 8 3 2 2 2" xfId="28399"/>
    <cellStyle name="Денежный 2 2 8 3 2 3" xfId="28400"/>
    <cellStyle name="Денежный 2 2 8 3 3" xfId="28401"/>
    <cellStyle name="Денежный 2 2 8 3 3 2" xfId="28402"/>
    <cellStyle name="Денежный 2 2 8 3 4" xfId="28403"/>
    <cellStyle name="Денежный 2 2 8 3 4 2" xfId="28404"/>
    <cellStyle name="Денежный 2 2 8 3 5" xfId="28405"/>
    <cellStyle name="Денежный 2 2 8 4" xfId="28406"/>
    <cellStyle name="Денежный 2 2 8 4 2" xfId="28407"/>
    <cellStyle name="Денежный 2 2 8 4 2 2" xfId="28408"/>
    <cellStyle name="Денежный 2 2 8 4 3" xfId="28409"/>
    <cellStyle name="Денежный 2 2 8 5" xfId="28410"/>
    <cellStyle name="Денежный 2 2 8 5 2" xfId="28411"/>
    <cellStyle name="Денежный 2 2 8 6" xfId="28412"/>
    <cellStyle name="Денежный 2 2 8 6 2" xfId="28413"/>
    <cellStyle name="Денежный 2 2 8 7" xfId="28414"/>
    <cellStyle name="Денежный 2 2 9" xfId="28415"/>
    <cellStyle name="Денежный 2 2 9 2" xfId="28416"/>
    <cellStyle name="Денежный 2 2 9 2 2" xfId="28417"/>
    <cellStyle name="Денежный 2 2 9 2 2 2" xfId="28418"/>
    <cellStyle name="Денежный 2 2 9 2 3" xfId="28419"/>
    <cellStyle name="Денежный 2 2 9 3" xfId="28420"/>
    <cellStyle name="Денежный 2 2 9 3 2" xfId="28421"/>
    <cellStyle name="Денежный 2 2 9 4" xfId="28422"/>
    <cellStyle name="Денежный 2 2 9 4 2" xfId="28423"/>
    <cellStyle name="Денежный 2 2 9 5" xfId="28424"/>
    <cellStyle name="Денежный 2 3" xfId="28425"/>
    <cellStyle name="Денежный 2 3 10" xfId="28426"/>
    <cellStyle name="Денежный 2 3 10 2" xfId="28427"/>
    <cellStyle name="Денежный 2 3 10 2 2" xfId="28428"/>
    <cellStyle name="Денежный 2 3 10 2 2 2" xfId="28429"/>
    <cellStyle name="Денежный 2 3 10 2 3" xfId="28430"/>
    <cellStyle name="Денежный 2 3 10 3" xfId="28431"/>
    <cellStyle name="Денежный 2 3 10 3 2" xfId="28432"/>
    <cellStyle name="Денежный 2 3 10 4" xfId="28433"/>
    <cellStyle name="Денежный 2 3 10 4 2" xfId="28434"/>
    <cellStyle name="Денежный 2 3 10 5" xfId="28435"/>
    <cellStyle name="Денежный 2 3 11" xfId="28436"/>
    <cellStyle name="Денежный 2 3 11 2" xfId="28437"/>
    <cellStyle name="Денежный 2 3 11 2 2" xfId="28438"/>
    <cellStyle name="Денежный 2 3 11 3" xfId="28439"/>
    <cellStyle name="Денежный 2 3 12" xfId="28440"/>
    <cellStyle name="Денежный 2 3 12 2" xfId="28441"/>
    <cellStyle name="Денежный 2 3 13" xfId="28442"/>
    <cellStyle name="Денежный 2 3 13 2" xfId="28443"/>
    <cellStyle name="Денежный 2 3 14" xfId="28444"/>
    <cellStyle name="Денежный 2 3 15" xfId="28445"/>
    <cellStyle name="Денежный 2 3 2" xfId="28446"/>
    <cellStyle name="Денежный 2 3 2 10" xfId="28447"/>
    <cellStyle name="Денежный 2 3 2 2" xfId="28448"/>
    <cellStyle name="Денежный 2 3 2 2 2" xfId="28449"/>
    <cellStyle name="Денежный 2 3 2 2 2 2" xfId="28450"/>
    <cellStyle name="Денежный 2 3 2 2 2 2 2" xfId="28451"/>
    <cellStyle name="Денежный 2 3 2 2 2 3" xfId="28452"/>
    <cellStyle name="Денежный 2 3 2 2 3" xfId="28453"/>
    <cellStyle name="Денежный 2 3 2 2 3 2" xfId="28454"/>
    <cellStyle name="Денежный 2 3 2 2 4" xfId="28455"/>
    <cellStyle name="Денежный 2 3 2 2 4 2" xfId="28456"/>
    <cellStyle name="Денежный 2 3 2 2 5" xfId="28457"/>
    <cellStyle name="Денежный 2 3 2 3" xfId="28458"/>
    <cellStyle name="Денежный 2 3 2 3 2" xfId="28459"/>
    <cellStyle name="Денежный 2 3 2 3 2 2" xfId="28460"/>
    <cellStyle name="Денежный 2 3 2 3 2 2 2" xfId="28461"/>
    <cellStyle name="Денежный 2 3 2 3 2 3" xfId="28462"/>
    <cellStyle name="Денежный 2 3 2 3 3" xfId="28463"/>
    <cellStyle name="Денежный 2 3 2 3 3 2" xfId="28464"/>
    <cellStyle name="Денежный 2 3 2 3 4" xfId="28465"/>
    <cellStyle name="Денежный 2 3 2 3 4 2" xfId="28466"/>
    <cellStyle name="Денежный 2 3 2 3 5" xfId="28467"/>
    <cellStyle name="Денежный 2 3 2 4" xfId="28468"/>
    <cellStyle name="Денежный 2 3 2 4 2" xfId="28469"/>
    <cellStyle name="Денежный 2 3 2 4 2 2" xfId="28470"/>
    <cellStyle name="Денежный 2 3 2 4 2 2 2" xfId="28471"/>
    <cellStyle name="Денежный 2 3 2 4 2 3" xfId="28472"/>
    <cellStyle name="Денежный 2 3 2 4 3" xfId="28473"/>
    <cellStyle name="Денежный 2 3 2 4 3 2" xfId="28474"/>
    <cellStyle name="Денежный 2 3 2 4 4" xfId="28475"/>
    <cellStyle name="Денежный 2 3 2 4 4 2" xfId="28476"/>
    <cellStyle name="Денежный 2 3 2 4 5" xfId="28477"/>
    <cellStyle name="Денежный 2 3 2 5" xfId="28478"/>
    <cellStyle name="Денежный 2 3 2 5 2" xfId="28479"/>
    <cellStyle name="Денежный 2 3 2 5 2 2" xfId="28480"/>
    <cellStyle name="Денежный 2 3 2 5 2 2 2" xfId="28481"/>
    <cellStyle name="Денежный 2 3 2 5 2 3" xfId="28482"/>
    <cellStyle name="Денежный 2 3 2 5 3" xfId="28483"/>
    <cellStyle name="Денежный 2 3 2 5 3 2" xfId="28484"/>
    <cellStyle name="Денежный 2 3 2 5 4" xfId="28485"/>
    <cellStyle name="Денежный 2 3 2 5 4 2" xfId="28486"/>
    <cellStyle name="Денежный 2 3 2 5 5" xfId="28487"/>
    <cellStyle name="Денежный 2 3 2 6" xfId="28488"/>
    <cellStyle name="Денежный 2 3 2 6 2" xfId="28489"/>
    <cellStyle name="Денежный 2 3 2 6 2 2" xfId="28490"/>
    <cellStyle name="Денежный 2 3 2 6 3" xfId="28491"/>
    <cellStyle name="Денежный 2 3 2 7" xfId="28492"/>
    <cellStyle name="Денежный 2 3 2 7 2" xfId="28493"/>
    <cellStyle name="Денежный 2 3 2 8" xfId="28494"/>
    <cellStyle name="Денежный 2 3 2 8 2" xfId="28495"/>
    <cellStyle name="Денежный 2 3 2 9" xfId="28496"/>
    <cellStyle name="Денежный 2 3 3" xfId="28497"/>
    <cellStyle name="Денежный 2 3 3 10" xfId="28498"/>
    <cellStyle name="Денежный 2 3 3 2" xfId="28499"/>
    <cellStyle name="Денежный 2 3 3 2 2" xfId="28500"/>
    <cellStyle name="Денежный 2 3 3 2 2 2" xfId="28501"/>
    <cellStyle name="Денежный 2 3 3 2 2 2 2" xfId="28502"/>
    <cellStyle name="Денежный 2 3 3 2 2 3" xfId="28503"/>
    <cellStyle name="Денежный 2 3 3 2 3" xfId="28504"/>
    <cellStyle name="Денежный 2 3 3 2 3 2" xfId="28505"/>
    <cellStyle name="Денежный 2 3 3 2 4" xfId="28506"/>
    <cellStyle name="Денежный 2 3 3 2 4 2" xfId="28507"/>
    <cellStyle name="Денежный 2 3 3 2 5" xfId="28508"/>
    <cellStyle name="Денежный 2 3 3 3" xfId="28509"/>
    <cellStyle name="Денежный 2 3 3 3 2" xfId="28510"/>
    <cellStyle name="Денежный 2 3 3 3 2 2" xfId="28511"/>
    <cellStyle name="Денежный 2 3 3 3 2 2 2" xfId="28512"/>
    <cellStyle name="Денежный 2 3 3 3 2 3" xfId="28513"/>
    <cellStyle name="Денежный 2 3 3 3 3" xfId="28514"/>
    <cellStyle name="Денежный 2 3 3 3 3 2" xfId="28515"/>
    <cellStyle name="Денежный 2 3 3 3 4" xfId="28516"/>
    <cellStyle name="Денежный 2 3 3 3 4 2" xfId="28517"/>
    <cellStyle name="Денежный 2 3 3 3 5" xfId="28518"/>
    <cellStyle name="Денежный 2 3 3 4" xfId="28519"/>
    <cellStyle name="Денежный 2 3 3 4 2" xfId="28520"/>
    <cellStyle name="Денежный 2 3 3 4 2 2" xfId="28521"/>
    <cellStyle name="Денежный 2 3 3 4 2 2 2" xfId="28522"/>
    <cellStyle name="Денежный 2 3 3 4 2 3" xfId="28523"/>
    <cellStyle name="Денежный 2 3 3 4 3" xfId="28524"/>
    <cellStyle name="Денежный 2 3 3 4 3 2" xfId="28525"/>
    <cellStyle name="Денежный 2 3 3 4 4" xfId="28526"/>
    <cellStyle name="Денежный 2 3 3 4 4 2" xfId="28527"/>
    <cellStyle name="Денежный 2 3 3 4 5" xfId="28528"/>
    <cellStyle name="Денежный 2 3 3 5" xfId="28529"/>
    <cellStyle name="Денежный 2 3 3 5 2" xfId="28530"/>
    <cellStyle name="Денежный 2 3 3 5 2 2" xfId="28531"/>
    <cellStyle name="Денежный 2 3 3 5 2 2 2" xfId="28532"/>
    <cellStyle name="Денежный 2 3 3 5 2 3" xfId="28533"/>
    <cellStyle name="Денежный 2 3 3 5 3" xfId="28534"/>
    <cellStyle name="Денежный 2 3 3 5 3 2" xfId="28535"/>
    <cellStyle name="Денежный 2 3 3 5 4" xfId="28536"/>
    <cellStyle name="Денежный 2 3 3 5 4 2" xfId="28537"/>
    <cellStyle name="Денежный 2 3 3 5 5" xfId="28538"/>
    <cellStyle name="Денежный 2 3 3 6" xfId="28539"/>
    <cellStyle name="Денежный 2 3 3 6 2" xfId="28540"/>
    <cellStyle name="Денежный 2 3 3 6 2 2" xfId="28541"/>
    <cellStyle name="Денежный 2 3 3 6 3" xfId="28542"/>
    <cellStyle name="Денежный 2 3 3 7" xfId="28543"/>
    <cellStyle name="Денежный 2 3 3 7 2" xfId="28544"/>
    <cellStyle name="Денежный 2 3 3 8" xfId="28545"/>
    <cellStyle name="Денежный 2 3 3 8 2" xfId="28546"/>
    <cellStyle name="Денежный 2 3 3 9" xfId="28547"/>
    <cellStyle name="Денежный 2 3 4" xfId="28548"/>
    <cellStyle name="Денежный 2 3 4 10" xfId="28549"/>
    <cellStyle name="Денежный 2 3 4 2" xfId="28550"/>
    <cellStyle name="Денежный 2 3 4 2 2" xfId="28551"/>
    <cellStyle name="Денежный 2 3 4 2 2 2" xfId="28552"/>
    <cellStyle name="Денежный 2 3 4 2 2 2 2" xfId="28553"/>
    <cellStyle name="Денежный 2 3 4 2 2 3" xfId="28554"/>
    <cellStyle name="Денежный 2 3 4 2 3" xfId="28555"/>
    <cellStyle name="Денежный 2 3 4 2 3 2" xfId="28556"/>
    <cellStyle name="Денежный 2 3 4 2 4" xfId="28557"/>
    <cellStyle name="Денежный 2 3 4 2 4 2" xfId="28558"/>
    <cellStyle name="Денежный 2 3 4 2 5" xfId="28559"/>
    <cellStyle name="Денежный 2 3 4 3" xfId="28560"/>
    <cellStyle name="Денежный 2 3 4 3 2" xfId="28561"/>
    <cellStyle name="Денежный 2 3 4 3 2 2" xfId="28562"/>
    <cellStyle name="Денежный 2 3 4 3 2 2 2" xfId="28563"/>
    <cellStyle name="Денежный 2 3 4 3 2 3" xfId="28564"/>
    <cellStyle name="Денежный 2 3 4 3 3" xfId="28565"/>
    <cellStyle name="Денежный 2 3 4 3 3 2" xfId="28566"/>
    <cellStyle name="Денежный 2 3 4 3 4" xfId="28567"/>
    <cellStyle name="Денежный 2 3 4 3 4 2" xfId="28568"/>
    <cellStyle name="Денежный 2 3 4 3 5" xfId="28569"/>
    <cellStyle name="Денежный 2 3 4 4" xfId="28570"/>
    <cellStyle name="Денежный 2 3 4 4 2" xfId="28571"/>
    <cellStyle name="Денежный 2 3 4 4 2 2" xfId="28572"/>
    <cellStyle name="Денежный 2 3 4 4 2 2 2" xfId="28573"/>
    <cellStyle name="Денежный 2 3 4 4 2 3" xfId="28574"/>
    <cellStyle name="Денежный 2 3 4 4 3" xfId="28575"/>
    <cellStyle name="Денежный 2 3 4 4 3 2" xfId="28576"/>
    <cellStyle name="Денежный 2 3 4 4 4" xfId="28577"/>
    <cellStyle name="Денежный 2 3 4 4 4 2" xfId="28578"/>
    <cellStyle name="Денежный 2 3 4 4 5" xfId="28579"/>
    <cellStyle name="Денежный 2 3 4 5" xfId="28580"/>
    <cellStyle name="Денежный 2 3 4 5 2" xfId="28581"/>
    <cellStyle name="Денежный 2 3 4 5 2 2" xfId="28582"/>
    <cellStyle name="Денежный 2 3 4 5 2 2 2" xfId="28583"/>
    <cellStyle name="Денежный 2 3 4 5 2 3" xfId="28584"/>
    <cellStyle name="Денежный 2 3 4 5 3" xfId="28585"/>
    <cellStyle name="Денежный 2 3 4 5 3 2" xfId="28586"/>
    <cellStyle name="Денежный 2 3 4 5 4" xfId="28587"/>
    <cellStyle name="Денежный 2 3 4 5 4 2" xfId="28588"/>
    <cellStyle name="Денежный 2 3 4 5 5" xfId="28589"/>
    <cellStyle name="Денежный 2 3 4 6" xfId="28590"/>
    <cellStyle name="Денежный 2 3 4 6 2" xfId="28591"/>
    <cellStyle name="Денежный 2 3 4 6 2 2" xfId="28592"/>
    <cellStyle name="Денежный 2 3 4 6 3" xfId="28593"/>
    <cellStyle name="Денежный 2 3 4 7" xfId="28594"/>
    <cellStyle name="Денежный 2 3 4 7 2" xfId="28595"/>
    <cellStyle name="Денежный 2 3 4 8" xfId="28596"/>
    <cellStyle name="Денежный 2 3 4 8 2" xfId="28597"/>
    <cellStyle name="Денежный 2 3 4 9" xfId="28598"/>
    <cellStyle name="Денежный 2 3 5" xfId="28599"/>
    <cellStyle name="Денежный 2 3 5 10" xfId="28600"/>
    <cellStyle name="Денежный 2 3 5 2" xfId="28601"/>
    <cellStyle name="Денежный 2 3 5 2 2" xfId="28602"/>
    <cellStyle name="Денежный 2 3 5 2 2 2" xfId="28603"/>
    <cellStyle name="Денежный 2 3 5 2 2 2 2" xfId="28604"/>
    <cellStyle name="Денежный 2 3 5 2 2 3" xfId="28605"/>
    <cellStyle name="Денежный 2 3 5 2 3" xfId="28606"/>
    <cellStyle name="Денежный 2 3 5 2 3 2" xfId="28607"/>
    <cellStyle name="Денежный 2 3 5 2 4" xfId="28608"/>
    <cellStyle name="Денежный 2 3 5 2 4 2" xfId="28609"/>
    <cellStyle name="Денежный 2 3 5 2 5" xfId="28610"/>
    <cellStyle name="Денежный 2 3 5 3" xfId="28611"/>
    <cellStyle name="Денежный 2 3 5 3 2" xfId="28612"/>
    <cellStyle name="Денежный 2 3 5 3 2 2" xfId="28613"/>
    <cellStyle name="Денежный 2 3 5 3 2 2 2" xfId="28614"/>
    <cellStyle name="Денежный 2 3 5 3 2 3" xfId="28615"/>
    <cellStyle name="Денежный 2 3 5 3 3" xfId="28616"/>
    <cellStyle name="Денежный 2 3 5 3 3 2" xfId="28617"/>
    <cellStyle name="Денежный 2 3 5 3 4" xfId="28618"/>
    <cellStyle name="Денежный 2 3 5 3 4 2" xfId="28619"/>
    <cellStyle name="Денежный 2 3 5 3 5" xfId="28620"/>
    <cellStyle name="Денежный 2 3 5 4" xfId="28621"/>
    <cellStyle name="Денежный 2 3 5 4 2" xfId="28622"/>
    <cellStyle name="Денежный 2 3 5 4 2 2" xfId="28623"/>
    <cellStyle name="Денежный 2 3 5 4 2 2 2" xfId="28624"/>
    <cellStyle name="Денежный 2 3 5 4 2 3" xfId="28625"/>
    <cellStyle name="Денежный 2 3 5 4 3" xfId="28626"/>
    <cellStyle name="Денежный 2 3 5 4 3 2" xfId="28627"/>
    <cellStyle name="Денежный 2 3 5 4 4" xfId="28628"/>
    <cellStyle name="Денежный 2 3 5 4 4 2" xfId="28629"/>
    <cellStyle name="Денежный 2 3 5 4 5" xfId="28630"/>
    <cellStyle name="Денежный 2 3 5 5" xfId="28631"/>
    <cellStyle name="Денежный 2 3 5 5 2" xfId="28632"/>
    <cellStyle name="Денежный 2 3 5 5 2 2" xfId="28633"/>
    <cellStyle name="Денежный 2 3 5 5 2 2 2" xfId="28634"/>
    <cellStyle name="Денежный 2 3 5 5 2 3" xfId="28635"/>
    <cellStyle name="Денежный 2 3 5 5 3" xfId="28636"/>
    <cellStyle name="Денежный 2 3 5 5 3 2" xfId="28637"/>
    <cellStyle name="Денежный 2 3 5 5 4" xfId="28638"/>
    <cellStyle name="Денежный 2 3 5 5 4 2" xfId="28639"/>
    <cellStyle name="Денежный 2 3 5 5 5" xfId="28640"/>
    <cellStyle name="Денежный 2 3 5 6" xfId="28641"/>
    <cellStyle name="Денежный 2 3 5 6 2" xfId="28642"/>
    <cellStyle name="Денежный 2 3 5 6 2 2" xfId="28643"/>
    <cellStyle name="Денежный 2 3 5 6 3" xfId="28644"/>
    <cellStyle name="Денежный 2 3 5 7" xfId="28645"/>
    <cellStyle name="Денежный 2 3 5 7 2" xfId="28646"/>
    <cellStyle name="Денежный 2 3 5 8" xfId="28647"/>
    <cellStyle name="Денежный 2 3 5 8 2" xfId="28648"/>
    <cellStyle name="Денежный 2 3 5 9" xfId="28649"/>
    <cellStyle name="Денежный 2 3 6" xfId="28650"/>
    <cellStyle name="Денежный 2 3 6 10" xfId="28651"/>
    <cellStyle name="Денежный 2 3 6 2" xfId="28652"/>
    <cellStyle name="Денежный 2 3 6 2 2" xfId="28653"/>
    <cellStyle name="Денежный 2 3 6 2 2 2" xfId="28654"/>
    <cellStyle name="Денежный 2 3 6 2 2 2 2" xfId="28655"/>
    <cellStyle name="Денежный 2 3 6 2 2 3" xfId="28656"/>
    <cellStyle name="Денежный 2 3 6 2 3" xfId="28657"/>
    <cellStyle name="Денежный 2 3 6 2 3 2" xfId="28658"/>
    <cellStyle name="Денежный 2 3 6 2 4" xfId="28659"/>
    <cellStyle name="Денежный 2 3 6 2 4 2" xfId="28660"/>
    <cellStyle name="Денежный 2 3 6 2 5" xfId="28661"/>
    <cellStyle name="Денежный 2 3 6 3" xfId="28662"/>
    <cellStyle name="Денежный 2 3 6 3 2" xfId="28663"/>
    <cellStyle name="Денежный 2 3 6 3 2 2" xfId="28664"/>
    <cellStyle name="Денежный 2 3 6 3 2 2 2" xfId="28665"/>
    <cellStyle name="Денежный 2 3 6 3 2 3" xfId="28666"/>
    <cellStyle name="Денежный 2 3 6 3 3" xfId="28667"/>
    <cellStyle name="Денежный 2 3 6 3 3 2" xfId="28668"/>
    <cellStyle name="Денежный 2 3 6 3 4" xfId="28669"/>
    <cellStyle name="Денежный 2 3 6 3 4 2" xfId="28670"/>
    <cellStyle name="Денежный 2 3 6 3 5" xfId="28671"/>
    <cellStyle name="Денежный 2 3 6 4" xfId="28672"/>
    <cellStyle name="Денежный 2 3 6 4 2" xfId="28673"/>
    <cellStyle name="Денежный 2 3 6 4 2 2" xfId="28674"/>
    <cellStyle name="Денежный 2 3 6 4 2 2 2" xfId="28675"/>
    <cellStyle name="Денежный 2 3 6 4 2 3" xfId="28676"/>
    <cellStyle name="Денежный 2 3 6 4 3" xfId="28677"/>
    <cellStyle name="Денежный 2 3 6 4 3 2" xfId="28678"/>
    <cellStyle name="Денежный 2 3 6 4 4" xfId="28679"/>
    <cellStyle name="Денежный 2 3 6 4 4 2" xfId="28680"/>
    <cellStyle name="Денежный 2 3 6 4 5" xfId="28681"/>
    <cellStyle name="Денежный 2 3 6 5" xfId="28682"/>
    <cellStyle name="Денежный 2 3 6 5 2" xfId="28683"/>
    <cellStyle name="Денежный 2 3 6 5 2 2" xfId="28684"/>
    <cellStyle name="Денежный 2 3 6 5 2 2 2" xfId="28685"/>
    <cellStyle name="Денежный 2 3 6 5 2 3" xfId="28686"/>
    <cellStyle name="Денежный 2 3 6 5 3" xfId="28687"/>
    <cellStyle name="Денежный 2 3 6 5 3 2" xfId="28688"/>
    <cellStyle name="Денежный 2 3 6 5 4" xfId="28689"/>
    <cellStyle name="Денежный 2 3 6 5 4 2" xfId="28690"/>
    <cellStyle name="Денежный 2 3 6 5 5" xfId="28691"/>
    <cellStyle name="Денежный 2 3 6 6" xfId="28692"/>
    <cellStyle name="Денежный 2 3 6 6 2" xfId="28693"/>
    <cellStyle name="Денежный 2 3 6 6 2 2" xfId="28694"/>
    <cellStyle name="Денежный 2 3 6 6 3" xfId="28695"/>
    <cellStyle name="Денежный 2 3 6 7" xfId="28696"/>
    <cellStyle name="Денежный 2 3 6 7 2" xfId="28697"/>
    <cellStyle name="Денежный 2 3 6 8" xfId="28698"/>
    <cellStyle name="Денежный 2 3 6 8 2" xfId="28699"/>
    <cellStyle name="Денежный 2 3 6 9" xfId="28700"/>
    <cellStyle name="Денежный 2 3 7" xfId="28701"/>
    <cellStyle name="Денежный 2 3 7 2" xfId="28702"/>
    <cellStyle name="Денежный 2 3 7 2 2" xfId="28703"/>
    <cellStyle name="Денежный 2 3 7 2 2 2" xfId="28704"/>
    <cellStyle name="Денежный 2 3 7 2 3" xfId="28705"/>
    <cellStyle name="Денежный 2 3 7 3" xfId="28706"/>
    <cellStyle name="Денежный 2 3 7 3 2" xfId="28707"/>
    <cellStyle name="Денежный 2 3 7 4" xfId="28708"/>
    <cellStyle name="Денежный 2 3 7 4 2" xfId="28709"/>
    <cellStyle name="Денежный 2 3 7 5" xfId="28710"/>
    <cellStyle name="Денежный 2 3 8" xfId="28711"/>
    <cellStyle name="Денежный 2 3 8 2" xfId="28712"/>
    <cellStyle name="Денежный 2 3 8 2 2" xfId="28713"/>
    <cellStyle name="Денежный 2 3 8 2 2 2" xfId="28714"/>
    <cellStyle name="Денежный 2 3 8 2 3" xfId="28715"/>
    <cellStyle name="Денежный 2 3 8 3" xfId="28716"/>
    <cellStyle name="Денежный 2 3 8 3 2" xfId="28717"/>
    <cellStyle name="Денежный 2 3 8 4" xfId="28718"/>
    <cellStyle name="Денежный 2 3 8 4 2" xfId="28719"/>
    <cellStyle name="Денежный 2 3 8 5" xfId="28720"/>
    <cellStyle name="Денежный 2 3 9" xfId="28721"/>
    <cellStyle name="Денежный 2 3 9 2" xfId="28722"/>
    <cellStyle name="Денежный 2 3 9 2 2" xfId="28723"/>
    <cellStyle name="Денежный 2 3 9 2 2 2" xfId="28724"/>
    <cellStyle name="Денежный 2 3 9 2 3" xfId="28725"/>
    <cellStyle name="Денежный 2 3 9 3" xfId="28726"/>
    <cellStyle name="Денежный 2 3 9 3 2" xfId="28727"/>
    <cellStyle name="Денежный 2 3 9 4" xfId="28728"/>
    <cellStyle name="Денежный 2 3 9 4 2" xfId="28729"/>
    <cellStyle name="Денежный 2 3 9 5" xfId="28730"/>
    <cellStyle name="Денежный 2 4" xfId="28731"/>
    <cellStyle name="Денежный 2 4 10" xfId="28732"/>
    <cellStyle name="Денежный 2 4 2" xfId="28733"/>
    <cellStyle name="Денежный 2 4 2 2" xfId="28734"/>
    <cellStyle name="Денежный 2 4 2 2 2" xfId="28735"/>
    <cellStyle name="Денежный 2 4 2 2 2 2" xfId="28736"/>
    <cellStyle name="Денежный 2 4 2 2 3" xfId="28737"/>
    <cellStyle name="Денежный 2 4 2 3" xfId="28738"/>
    <cellStyle name="Денежный 2 4 2 3 2" xfId="28739"/>
    <cellStyle name="Денежный 2 4 2 4" xfId="28740"/>
    <cellStyle name="Денежный 2 4 2 4 2" xfId="28741"/>
    <cellStyle name="Денежный 2 4 2 5" xfId="28742"/>
    <cellStyle name="Денежный 2 4 3" xfId="28743"/>
    <cellStyle name="Денежный 2 4 3 2" xfId="28744"/>
    <cellStyle name="Денежный 2 4 3 2 2" xfId="28745"/>
    <cellStyle name="Денежный 2 4 3 2 2 2" xfId="28746"/>
    <cellStyle name="Денежный 2 4 3 2 3" xfId="28747"/>
    <cellStyle name="Денежный 2 4 3 3" xfId="28748"/>
    <cellStyle name="Денежный 2 4 3 3 2" xfId="28749"/>
    <cellStyle name="Денежный 2 4 3 4" xfId="28750"/>
    <cellStyle name="Денежный 2 4 3 4 2" xfId="28751"/>
    <cellStyle name="Денежный 2 4 3 5" xfId="28752"/>
    <cellStyle name="Денежный 2 4 4" xfId="28753"/>
    <cellStyle name="Денежный 2 4 4 2" xfId="28754"/>
    <cellStyle name="Денежный 2 4 4 2 2" xfId="28755"/>
    <cellStyle name="Денежный 2 4 4 2 2 2" xfId="28756"/>
    <cellStyle name="Денежный 2 4 4 2 3" xfId="28757"/>
    <cellStyle name="Денежный 2 4 4 3" xfId="28758"/>
    <cellStyle name="Денежный 2 4 4 3 2" xfId="28759"/>
    <cellStyle name="Денежный 2 4 4 4" xfId="28760"/>
    <cellStyle name="Денежный 2 4 4 4 2" xfId="28761"/>
    <cellStyle name="Денежный 2 4 4 5" xfId="28762"/>
    <cellStyle name="Денежный 2 4 5" xfId="28763"/>
    <cellStyle name="Денежный 2 4 5 2" xfId="28764"/>
    <cellStyle name="Денежный 2 4 5 2 2" xfId="28765"/>
    <cellStyle name="Денежный 2 4 5 2 2 2" xfId="28766"/>
    <cellStyle name="Денежный 2 4 5 2 3" xfId="28767"/>
    <cellStyle name="Денежный 2 4 5 3" xfId="28768"/>
    <cellStyle name="Денежный 2 4 5 3 2" xfId="28769"/>
    <cellStyle name="Денежный 2 4 5 4" xfId="28770"/>
    <cellStyle name="Денежный 2 4 5 4 2" xfId="28771"/>
    <cellStyle name="Денежный 2 4 5 5" xfId="28772"/>
    <cellStyle name="Денежный 2 4 6" xfId="28773"/>
    <cellStyle name="Денежный 2 4 6 2" xfId="28774"/>
    <cellStyle name="Денежный 2 4 6 2 2" xfId="28775"/>
    <cellStyle name="Денежный 2 4 6 3" xfId="28776"/>
    <cellStyle name="Денежный 2 4 7" xfId="28777"/>
    <cellStyle name="Денежный 2 4 7 2" xfId="28778"/>
    <cellStyle name="Денежный 2 4 8" xfId="28779"/>
    <cellStyle name="Денежный 2 4 8 2" xfId="28780"/>
    <cellStyle name="Денежный 2 4 9" xfId="28781"/>
    <cellStyle name="Денежный 2 5" xfId="28782"/>
    <cellStyle name="Денежный 2 5 10" xfId="28783"/>
    <cellStyle name="Денежный 2 5 2" xfId="28784"/>
    <cellStyle name="Денежный 2 5 2 2" xfId="28785"/>
    <cellStyle name="Денежный 2 5 2 2 2" xfId="28786"/>
    <cellStyle name="Денежный 2 5 2 2 2 2" xfId="28787"/>
    <cellStyle name="Денежный 2 5 2 2 3" xfId="28788"/>
    <cellStyle name="Денежный 2 5 2 3" xfId="28789"/>
    <cellStyle name="Денежный 2 5 2 3 2" xfId="28790"/>
    <cellStyle name="Денежный 2 5 2 4" xfId="28791"/>
    <cellStyle name="Денежный 2 5 2 4 2" xfId="28792"/>
    <cellStyle name="Денежный 2 5 2 5" xfId="28793"/>
    <cellStyle name="Денежный 2 5 3" xfId="28794"/>
    <cellStyle name="Денежный 2 5 3 2" xfId="28795"/>
    <cellStyle name="Денежный 2 5 3 2 2" xfId="28796"/>
    <cellStyle name="Денежный 2 5 3 2 2 2" xfId="28797"/>
    <cellStyle name="Денежный 2 5 3 2 3" xfId="28798"/>
    <cellStyle name="Денежный 2 5 3 3" xfId="28799"/>
    <cellStyle name="Денежный 2 5 3 3 2" xfId="28800"/>
    <cellStyle name="Денежный 2 5 3 4" xfId="28801"/>
    <cellStyle name="Денежный 2 5 3 4 2" xfId="28802"/>
    <cellStyle name="Денежный 2 5 3 5" xfId="28803"/>
    <cellStyle name="Денежный 2 5 4" xfId="28804"/>
    <cellStyle name="Денежный 2 5 4 2" xfId="28805"/>
    <cellStyle name="Денежный 2 5 4 2 2" xfId="28806"/>
    <cellStyle name="Денежный 2 5 4 2 2 2" xfId="28807"/>
    <cellStyle name="Денежный 2 5 4 2 3" xfId="28808"/>
    <cellStyle name="Денежный 2 5 4 3" xfId="28809"/>
    <cellStyle name="Денежный 2 5 4 3 2" xfId="28810"/>
    <cellStyle name="Денежный 2 5 4 4" xfId="28811"/>
    <cellStyle name="Денежный 2 5 4 4 2" xfId="28812"/>
    <cellStyle name="Денежный 2 5 4 5" xfId="28813"/>
    <cellStyle name="Денежный 2 5 5" xfId="28814"/>
    <cellStyle name="Денежный 2 5 5 2" xfId="28815"/>
    <cellStyle name="Денежный 2 5 5 2 2" xfId="28816"/>
    <cellStyle name="Денежный 2 5 5 2 2 2" xfId="28817"/>
    <cellStyle name="Денежный 2 5 5 2 3" xfId="28818"/>
    <cellStyle name="Денежный 2 5 5 3" xfId="28819"/>
    <cellStyle name="Денежный 2 5 5 3 2" xfId="28820"/>
    <cellStyle name="Денежный 2 5 5 4" xfId="28821"/>
    <cellStyle name="Денежный 2 5 5 4 2" xfId="28822"/>
    <cellStyle name="Денежный 2 5 5 5" xfId="28823"/>
    <cellStyle name="Денежный 2 5 6" xfId="28824"/>
    <cellStyle name="Денежный 2 5 6 2" xfId="28825"/>
    <cellStyle name="Денежный 2 5 6 2 2" xfId="28826"/>
    <cellStyle name="Денежный 2 5 6 3" xfId="28827"/>
    <cellStyle name="Денежный 2 5 7" xfId="28828"/>
    <cellStyle name="Денежный 2 5 7 2" xfId="28829"/>
    <cellStyle name="Денежный 2 5 8" xfId="28830"/>
    <cellStyle name="Денежный 2 5 8 2" xfId="28831"/>
    <cellStyle name="Денежный 2 5 9" xfId="28832"/>
    <cellStyle name="Денежный 2 6" xfId="28833"/>
    <cellStyle name="Денежный 2 6 10" xfId="28834"/>
    <cellStyle name="Денежный 2 6 2" xfId="28835"/>
    <cellStyle name="Денежный 2 6 2 2" xfId="28836"/>
    <cellStyle name="Денежный 2 6 2 2 2" xfId="28837"/>
    <cellStyle name="Денежный 2 6 2 2 2 2" xfId="28838"/>
    <cellStyle name="Денежный 2 6 2 2 3" xfId="28839"/>
    <cellStyle name="Денежный 2 6 2 3" xfId="28840"/>
    <cellStyle name="Денежный 2 6 2 3 2" xfId="28841"/>
    <cellStyle name="Денежный 2 6 2 4" xfId="28842"/>
    <cellStyle name="Денежный 2 6 2 4 2" xfId="28843"/>
    <cellStyle name="Денежный 2 6 2 5" xfId="28844"/>
    <cellStyle name="Денежный 2 6 3" xfId="28845"/>
    <cellStyle name="Денежный 2 6 3 2" xfId="28846"/>
    <cellStyle name="Денежный 2 6 3 2 2" xfId="28847"/>
    <cellStyle name="Денежный 2 6 3 2 2 2" xfId="28848"/>
    <cellStyle name="Денежный 2 6 3 2 3" xfId="28849"/>
    <cellStyle name="Денежный 2 6 3 3" xfId="28850"/>
    <cellStyle name="Денежный 2 6 3 3 2" xfId="28851"/>
    <cellStyle name="Денежный 2 6 3 4" xfId="28852"/>
    <cellStyle name="Денежный 2 6 3 4 2" xfId="28853"/>
    <cellStyle name="Денежный 2 6 3 5" xfId="28854"/>
    <cellStyle name="Денежный 2 6 4" xfId="28855"/>
    <cellStyle name="Денежный 2 6 4 2" xfId="28856"/>
    <cellStyle name="Денежный 2 6 4 2 2" xfId="28857"/>
    <cellStyle name="Денежный 2 6 4 2 2 2" xfId="28858"/>
    <cellStyle name="Денежный 2 6 4 2 3" xfId="28859"/>
    <cellStyle name="Денежный 2 6 4 3" xfId="28860"/>
    <cellStyle name="Денежный 2 6 4 3 2" xfId="28861"/>
    <cellStyle name="Денежный 2 6 4 4" xfId="28862"/>
    <cellStyle name="Денежный 2 6 4 4 2" xfId="28863"/>
    <cellStyle name="Денежный 2 6 4 5" xfId="28864"/>
    <cellStyle name="Денежный 2 6 5" xfId="28865"/>
    <cellStyle name="Денежный 2 6 5 2" xfId="28866"/>
    <cellStyle name="Денежный 2 6 5 2 2" xfId="28867"/>
    <cellStyle name="Денежный 2 6 5 2 2 2" xfId="28868"/>
    <cellStyle name="Денежный 2 6 5 2 3" xfId="28869"/>
    <cellStyle name="Денежный 2 6 5 3" xfId="28870"/>
    <cellStyle name="Денежный 2 6 5 3 2" xfId="28871"/>
    <cellStyle name="Денежный 2 6 5 4" xfId="28872"/>
    <cellStyle name="Денежный 2 6 5 4 2" xfId="28873"/>
    <cellStyle name="Денежный 2 6 5 5" xfId="28874"/>
    <cellStyle name="Денежный 2 6 6" xfId="28875"/>
    <cellStyle name="Денежный 2 6 6 2" xfId="28876"/>
    <cellStyle name="Денежный 2 6 6 2 2" xfId="28877"/>
    <cellStyle name="Денежный 2 6 6 3" xfId="28878"/>
    <cellStyle name="Денежный 2 6 7" xfId="28879"/>
    <cellStyle name="Денежный 2 6 7 2" xfId="28880"/>
    <cellStyle name="Денежный 2 6 8" xfId="28881"/>
    <cellStyle name="Денежный 2 6 8 2" xfId="28882"/>
    <cellStyle name="Денежный 2 6 9" xfId="28883"/>
    <cellStyle name="Денежный 2 7" xfId="28884"/>
    <cellStyle name="Денежный 2 7 10" xfId="28885"/>
    <cellStyle name="Денежный 2 7 2" xfId="28886"/>
    <cellStyle name="Денежный 2 7 2 2" xfId="28887"/>
    <cellStyle name="Денежный 2 7 2 2 2" xfId="28888"/>
    <cellStyle name="Денежный 2 7 2 2 2 2" xfId="28889"/>
    <cellStyle name="Денежный 2 7 2 2 3" xfId="28890"/>
    <cellStyle name="Денежный 2 7 2 3" xfId="28891"/>
    <cellStyle name="Денежный 2 7 2 3 2" xfId="28892"/>
    <cellStyle name="Денежный 2 7 2 4" xfId="28893"/>
    <cellStyle name="Денежный 2 7 2 4 2" xfId="28894"/>
    <cellStyle name="Денежный 2 7 2 5" xfId="28895"/>
    <cellStyle name="Денежный 2 7 3" xfId="28896"/>
    <cellStyle name="Денежный 2 7 3 2" xfId="28897"/>
    <cellStyle name="Денежный 2 7 3 2 2" xfId="28898"/>
    <cellStyle name="Денежный 2 7 3 2 2 2" xfId="28899"/>
    <cellStyle name="Денежный 2 7 3 2 3" xfId="28900"/>
    <cellStyle name="Денежный 2 7 3 3" xfId="28901"/>
    <cellStyle name="Денежный 2 7 3 3 2" xfId="28902"/>
    <cellStyle name="Денежный 2 7 3 4" xfId="28903"/>
    <cellStyle name="Денежный 2 7 3 4 2" xfId="28904"/>
    <cellStyle name="Денежный 2 7 3 5" xfId="28905"/>
    <cellStyle name="Денежный 2 7 4" xfId="28906"/>
    <cellStyle name="Денежный 2 7 4 2" xfId="28907"/>
    <cellStyle name="Денежный 2 7 4 2 2" xfId="28908"/>
    <cellStyle name="Денежный 2 7 4 2 2 2" xfId="28909"/>
    <cellStyle name="Денежный 2 7 4 2 3" xfId="28910"/>
    <cellStyle name="Денежный 2 7 4 3" xfId="28911"/>
    <cellStyle name="Денежный 2 7 4 3 2" xfId="28912"/>
    <cellStyle name="Денежный 2 7 4 4" xfId="28913"/>
    <cellStyle name="Денежный 2 7 4 4 2" xfId="28914"/>
    <cellStyle name="Денежный 2 7 4 5" xfId="28915"/>
    <cellStyle name="Денежный 2 7 5" xfId="28916"/>
    <cellStyle name="Денежный 2 7 5 2" xfId="28917"/>
    <cellStyle name="Денежный 2 7 5 2 2" xfId="28918"/>
    <cellStyle name="Денежный 2 7 5 2 2 2" xfId="28919"/>
    <cellStyle name="Денежный 2 7 5 2 3" xfId="28920"/>
    <cellStyle name="Денежный 2 7 5 3" xfId="28921"/>
    <cellStyle name="Денежный 2 7 5 3 2" xfId="28922"/>
    <cellStyle name="Денежный 2 7 5 4" xfId="28923"/>
    <cellStyle name="Денежный 2 7 5 4 2" xfId="28924"/>
    <cellStyle name="Денежный 2 7 5 5" xfId="28925"/>
    <cellStyle name="Денежный 2 7 6" xfId="28926"/>
    <cellStyle name="Денежный 2 7 6 2" xfId="28927"/>
    <cellStyle name="Денежный 2 7 6 2 2" xfId="28928"/>
    <cellStyle name="Денежный 2 7 6 3" xfId="28929"/>
    <cellStyle name="Денежный 2 7 7" xfId="28930"/>
    <cellStyle name="Денежный 2 7 7 2" xfId="28931"/>
    <cellStyle name="Денежный 2 7 8" xfId="28932"/>
    <cellStyle name="Денежный 2 7 8 2" xfId="28933"/>
    <cellStyle name="Денежный 2 7 9" xfId="28934"/>
    <cellStyle name="Денежный 2 8" xfId="28935"/>
    <cellStyle name="Денежный 2 8 10" xfId="28936"/>
    <cellStyle name="Денежный 2 8 2" xfId="28937"/>
    <cellStyle name="Денежный 2 8 2 2" xfId="28938"/>
    <cellStyle name="Денежный 2 8 2 2 2" xfId="28939"/>
    <cellStyle name="Денежный 2 8 2 2 2 2" xfId="28940"/>
    <cellStyle name="Денежный 2 8 2 2 3" xfId="28941"/>
    <cellStyle name="Денежный 2 8 2 3" xfId="28942"/>
    <cellStyle name="Денежный 2 8 2 3 2" xfId="28943"/>
    <cellStyle name="Денежный 2 8 2 4" xfId="28944"/>
    <cellStyle name="Денежный 2 8 2 4 2" xfId="28945"/>
    <cellStyle name="Денежный 2 8 2 5" xfId="28946"/>
    <cellStyle name="Денежный 2 8 3" xfId="28947"/>
    <cellStyle name="Денежный 2 8 3 2" xfId="28948"/>
    <cellStyle name="Денежный 2 8 3 2 2" xfId="28949"/>
    <cellStyle name="Денежный 2 8 3 2 2 2" xfId="28950"/>
    <cellStyle name="Денежный 2 8 3 2 3" xfId="28951"/>
    <cellStyle name="Денежный 2 8 3 3" xfId="28952"/>
    <cellStyle name="Денежный 2 8 3 3 2" xfId="28953"/>
    <cellStyle name="Денежный 2 8 3 4" xfId="28954"/>
    <cellStyle name="Денежный 2 8 3 4 2" xfId="28955"/>
    <cellStyle name="Денежный 2 8 3 5" xfId="28956"/>
    <cellStyle name="Денежный 2 8 4" xfId="28957"/>
    <cellStyle name="Денежный 2 8 4 2" xfId="28958"/>
    <cellStyle name="Денежный 2 8 4 2 2" xfId="28959"/>
    <cellStyle name="Денежный 2 8 4 2 2 2" xfId="28960"/>
    <cellStyle name="Денежный 2 8 4 2 3" xfId="28961"/>
    <cellStyle name="Денежный 2 8 4 3" xfId="28962"/>
    <cellStyle name="Денежный 2 8 4 3 2" xfId="28963"/>
    <cellStyle name="Денежный 2 8 4 4" xfId="28964"/>
    <cellStyle name="Денежный 2 8 4 4 2" xfId="28965"/>
    <cellStyle name="Денежный 2 8 4 5" xfId="28966"/>
    <cellStyle name="Денежный 2 8 5" xfId="28967"/>
    <cellStyle name="Денежный 2 8 5 2" xfId="28968"/>
    <cellStyle name="Денежный 2 8 5 2 2" xfId="28969"/>
    <cellStyle name="Денежный 2 8 5 2 2 2" xfId="28970"/>
    <cellStyle name="Денежный 2 8 5 2 3" xfId="28971"/>
    <cellStyle name="Денежный 2 8 5 3" xfId="28972"/>
    <cellStyle name="Денежный 2 8 5 3 2" xfId="28973"/>
    <cellStyle name="Денежный 2 8 5 4" xfId="28974"/>
    <cellStyle name="Денежный 2 8 5 4 2" xfId="28975"/>
    <cellStyle name="Денежный 2 8 5 5" xfId="28976"/>
    <cellStyle name="Денежный 2 8 6" xfId="28977"/>
    <cellStyle name="Денежный 2 8 6 2" xfId="28978"/>
    <cellStyle name="Денежный 2 8 6 2 2" xfId="28979"/>
    <cellStyle name="Денежный 2 8 6 3" xfId="28980"/>
    <cellStyle name="Денежный 2 8 7" xfId="28981"/>
    <cellStyle name="Денежный 2 8 7 2" xfId="28982"/>
    <cellStyle name="Денежный 2 8 8" xfId="28983"/>
    <cellStyle name="Денежный 2 8 8 2" xfId="28984"/>
    <cellStyle name="Денежный 2 8 9" xfId="28985"/>
    <cellStyle name="Денежный 2 9" xfId="28986"/>
    <cellStyle name="Денежный 2 9 2" xfId="28987"/>
    <cellStyle name="Денежный 2 9 2 2" xfId="28988"/>
    <cellStyle name="Денежный 2 9 2 2 2" xfId="28989"/>
    <cellStyle name="Денежный 2 9 2 2 2 2" xfId="28990"/>
    <cellStyle name="Денежный 2 9 2 2 3" xfId="28991"/>
    <cellStyle name="Денежный 2 9 2 3" xfId="28992"/>
    <cellStyle name="Денежный 2 9 2 3 2" xfId="28993"/>
    <cellStyle name="Денежный 2 9 2 4" xfId="28994"/>
    <cellStyle name="Денежный 2 9 2 4 2" xfId="28995"/>
    <cellStyle name="Денежный 2 9 2 5" xfId="28996"/>
    <cellStyle name="Денежный 2 9 3" xfId="28997"/>
    <cellStyle name="Денежный 2 9 3 2" xfId="28998"/>
    <cellStyle name="Денежный 2 9 3 2 2" xfId="28999"/>
    <cellStyle name="Денежный 2 9 3 2 2 2" xfId="29000"/>
    <cellStyle name="Денежный 2 9 3 2 3" xfId="29001"/>
    <cellStyle name="Денежный 2 9 3 3" xfId="29002"/>
    <cellStyle name="Денежный 2 9 3 3 2" xfId="29003"/>
    <cellStyle name="Денежный 2 9 3 4" xfId="29004"/>
    <cellStyle name="Денежный 2 9 3 4 2" xfId="29005"/>
    <cellStyle name="Денежный 2 9 3 5" xfId="29006"/>
    <cellStyle name="Денежный 2 9 4" xfId="29007"/>
    <cellStyle name="Денежный 2 9 4 2" xfId="29008"/>
    <cellStyle name="Денежный 2 9 4 2 2" xfId="29009"/>
    <cellStyle name="Денежный 2 9 4 3" xfId="29010"/>
    <cellStyle name="Денежный 2 9 5" xfId="29011"/>
    <cellStyle name="Денежный 2 9 5 2" xfId="29012"/>
    <cellStyle name="Денежный 2 9 6" xfId="29013"/>
    <cellStyle name="Денежный 2 9 6 2" xfId="29014"/>
    <cellStyle name="Денежный 2 9 7" xfId="29015"/>
    <cellStyle name="Денежный 3" xfId="29016"/>
    <cellStyle name="Денежный 3 10" xfId="29017"/>
    <cellStyle name="Денежный 3 10 2" xfId="29018"/>
    <cellStyle name="Денежный 3 10 2 2" xfId="29019"/>
    <cellStyle name="Денежный 3 10 2 2 2" xfId="29020"/>
    <cellStyle name="Денежный 3 10 2 3" xfId="29021"/>
    <cellStyle name="Денежный 3 10 3" xfId="29022"/>
    <cellStyle name="Денежный 3 10 3 2" xfId="29023"/>
    <cellStyle name="Денежный 3 10 4" xfId="29024"/>
    <cellStyle name="Денежный 3 10 4 2" xfId="29025"/>
    <cellStyle name="Денежный 3 10 5" xfId="29026"/>
    <cellStyle name="Денежный 3 11" xfId="29027"/>
    <cellStyle name="Денежный 3 11 2" xfId="29028"/>
    <cellStyle name="Денежный 3 11 2 2" xfId="29029"/>
    <cellStyle name="Денежный 3 11 2 2 2" xfId="29030"/>
    <cellStyle name="Денежный 3 11 2 3" xfId="29031"/>
    <cellStyle name="Денежный 3 11 3" xfId="29032"/>
    <cellStyle name="Денежный 3 11 3 2" xfId="29033"/>
    <cellStyle name="Денежный 3 11 4" xfId="29034"/>
    <cellStyle name="Денежный 3 11 4 2" xfId="29035"/>
    <cellStyle name="Денежный 3 11 5" xfId="29036"/>
    <cellStyle name="Денежный 3 12" xfId="29037"/>
    <cellStyle name="Денежный 3 12 2" xfId="29038"/>
    <cellStyle name="Денежный 3 12 2 2" xfId="29039"/>
    <cellStyle name="Денежный 3 12 2 2 2" xfId="29040"/>
    <cellStyle name="Денежный 3 12 2 3" xfId="29041"/>
    <cellStyle name="Денежный 3 12 3" xfId="29042"/>
    <cellStyle name="Денежный 3 12 3 2" xfId="29043"/>
    <cellStyle name="Денежный 3 12 4" xfId="29044"/>
    <cellStyle name="Денежный 3 12 4 2" xfId="29045"/>
    <cellStyle name="Денежный 3 12 5" xfId="29046"/>
    <cellStyle name="Денежный 3 13" xfId="29047"/>
    <cellStyle name="Денежный 3 13 2" xfId="29048"/>
    <cellStyle name="Денежный 3 13 2 2" xfId="29049"/>
    <cellStyle name="Денежный 3 13 3" xfId="29050"/>
    <cellStyle name="Денежный 3 14" xfId="29051"/>
    <cellStyle name="Денежный 3 14 2" xfId="29052"/>
    <cellStyle name="Денежный 3 15" xfId="29053"/>
    <cellStyle name="Денежный 3 15 2" xfId="29054"/>
    <cellStyle name="Денежный 3 16" xfId="29055"/>
    <cellStyle name="Денежный 3 17" xfId="29056"/>
    <cellStyle name="Денежный 3 2" xfId="29057"/>
    <cellStyle name="Денежный 3 2 10" xfId="29058"/>
    <cellStyle name="Денежный 3 2 10 2" xfId="29059"/>
    <cellStyle name="Денежный 3 2 10 2 2" xfId="29060"/>
    <cellStyle name="Денежный 3 2 10 2 2 2" xfId="29061"/>
    <cellStyle name="Денежный 3 2 10 2 3" xfId="29062"/>
    <cellStyle name="Денежный 3 2 10 3" xfId="29063"/>
    <cellStyle name="Денежный 3 2 10 3 2" xfId="29064"/>
    <cellStyle name="Денежный 3 2 10 4" xfId="29065"/>
    <cellStyle name="Денежный 3 2 10 4 2" xfId="29066"/>
    <cellStyle name="Денежный 3 2 10 5" xfId="29067"/>
    <cellStyle name="Денежный 3 2 11" xfId="29068"/>
    <cellStyle name="Денежный 3 2 11 2" xfId="29069"/>
    <cellStyle name="Денежный 3 2 11 2 2" xfId="29070"/>
    <cellStyle name="Денежный 3 2 11 3" xfId="29071"/>
    <cellStyle name="Денежный 3 2 12" xfId="29072"/>
    <cellStyle name="Денежный 3 2 12 2" xfId="29073"/>
    <cellStyle name="Денежный 3 2 13" xfId="29074"/>
    <cellStyle name="Денежный 3 2 13 2" xfId="29075"/>
    <cellStyle name="Денежный 3 2 14" xfId="29076"/>
    <cellStyle name="Денежный 3 2 15" xfId="29077"/>
    <cellStyle name="Денежный 3 2 2" xfId="29078"/>
    <cellStyle name="Денежный 3 2 2 10" xfId="29079"/>
    <cellStyle name="Денежный 3 2 2 2" xfId="29080"/>
    <cellStyle name="Денежный 3 2 2 2 2" xfId="29081"/>
    <cellStyle name="Денежный 3 2 2 2 2 2" xfId="29082"/>
    <cellStyle name="Денежный 3 2 2 2 2 2 2" xfId="29083"/>
    <cellStyle name="Денежный 3 2 2 2 2 3" xfId="29084"/>
    <cellStyle name="Денежный 3 2 2 2 3" xfId="29085"/>
    <cellStyle name="Денежный 3 2 2 2 3 2" xfId="29086"/>
    <cellStyle name="Денежный 3 2 2 2 4" xfId="29087"/>
    <cellStyle name="Денежный 3 2 2 2 4 2" xfId="29088"/>
    <cellStyle name="Денежный 3 2 2 2 5" xfId="29089"/>
    <cellStyle name="Денежный 3 2 2 3" xfId="29090"/>
    <cellStyle name="Денежный 3 2 2 3 2" xfId="29091"/>
    <cellStyle name="Денежный 3 2 2 3 2 2" xfId="29092"/>
    <cellStyle name="Денежный 3 2 2 3 2 2 2" xfId="29093"/>
    <cellStyle name="Денежный 3 2 2 3 2 3" xfId="29094"/>
    <cellStyle name="Денежный 3 2 2 3 3" xfId="29095"/>
    <cellStyle name="Денежный 3 2 2 3 3 2" xfId="29096"/>
    <cellStyle name="Денежный 3 2 2 3 4" xfId="29097"/>
    <cellStyle name="Денежный 3 2 2 3 4 2" xfId="29098"/>
    <cellStyle name="Денежный 3 2 2 3 5" xfId="29099"/>
    <cellStyle name="Денежный 3 2 2 4" xfId="29100"/>
    <cellStyle name="Денежный 3 2 2 4 2" xfId="29101"/>
    <cellStyle name="Денежный 3 2 2 4 2 2" xfId="29102"/>
    <cellStyle name="Денежный 3 2 2 4 2 2 2" xfId="29103"/>
    <cellStyle name="Денежный 3 2 2 4 2 3" xfId="29104"/>
    <cellStyle name="Денежный 3 2 2 4 3" xfId="29105"/>
    <cellStyle name="Денежный 3 2 2 4 3 2" xfId="29106"/>
    <cellStyle name="Денежный 3 2 2 4 4" xfId="29107"/>
    <cellStyle name="Денежный 3 2 2 4 4 2" xfId="29108"/>
    <cellStyle name="Денежный 3 2 2 4 5" xfId="29109"/>
    <cellStyle name="Денежный 3 2 2 5" xfId="29110"/>
    <cellStyle name="Денежный 3 2 2 5 2" xfId="29111"/>
    <cellStyle name="Денежный 3 2 2 5 2 2" xfId="29112"/>
    <cellStyle name="Денежный 3 2 2 5 2 2 2" xfId="29113"/>
    <cellStyle name="Денежный 3 2 2 5 2 3" xfId="29114"/>
    <cellStyle name="Денежный 3 2 2 5 3" xfId="29115"/>
    <cellStyle name="Денежный 3 2 2 5 3 2" xfId="29116"/>
    <cellStyle name="Денежный 3 2 2 5 4" xfId="29117"/>
    <cellStyle name="Денежный 3 2 2 5 4 2" xfId="29118"/>
    <cellStyle name="Денежный 3 2 2 5 5" xfId="29119"/>
    <cellStyle name="Денежный 3 2 2 6" xfId="29120"/>
    <cellStyle name="Денежный 3 2 2 6 2" xfId="29121"/>
    <cellStyle name="Денежный 3 2 2 6 2 2" xfId="29122"/>
    <cellStyle name="Денежный 3 2 2 6 3" xfId="29123"/>
    <cellStyle name="Денежный 3 2 2 7" xfId="29124"/>
    <cellStyle name="Денежный 3 2 2 7 2" xfId="29125"/>
    <cellStyle name="Денежный 3 2 2 8" xfId="29126"/>
    <cellStyle name="Денежный 3 2 2 8 2" xfId="29127"/>
    <cellStyle name="Денежный 3 2 2 9" xfId="29128"/>
    <cellStyle name="Денежный 3 2 3" xfId="29129"/>
    <cellStyle name="Денежный 3 2 3 10" xfId="29130"/>
    <cellStyle name="Денежный 3 2 3 2" xfId="29131"/>
    <cellStyle name="Денежный 3 2 3 2 2" xfId="29132"/>
    <cellStyle name="Денежный 3 2 3 2 2 2" xfId="29133"/>
    <cellStyle name="Денежный 3 2 3 2 2 2 2" xfId="29134"/>
    <cellStyle name="Денежный 3 2 3 2 2 3" xfId="29135"/>
    <cellStyle name="Денежный 3 2 3 2 3" xfId="29136"/>
    <cellStyle name="Денежный 3 2 3 2 3 2" xfId="29137"/>
    <cellStyle name="Денежный 3 2 3 2 4" xfId="29138"/>
    <cellStyle name="Денежный 3 2 3 2 4 2" xfId="29139"/>
    <cellStyle name="Денежный 3 2 3 2 5" xfId="29140"/>
    <cellStyle name="Денежный 3 2 3 3" xfId="29141"/>
    <cellStyle name="Денежный 3 2 3 3 2" xfId="29142"/>
    <cellStyle name="Денежный 3 2 3 3 2 2" xfId="29143"/>
    <cellStyle name="Денежный 3 2 3 3 2 2 2" xfId="29144"/>
    <cellStyle name="Денежный 3 2 3 3 2 3" xfId="29145"/>
    <cellStyle name="Денежный 3 2 3 3 3" xfId="29146"/>
    <cellStyle name="Денежный 3 2 3 3 3 2" xfId="29147"/>
    <cellStyle name="Денежный 3 2 3 3 4" xfId="29148"/>
    <cellStyle name="Денежный 3 2 3 3 4 2" xfId="29149"/>
    <cellStyle name="Денежный 3 2 3 3 5" xfId="29150"/>
    <cellStyle name="Денежный 3 2 3 4" xfId="29151"/>
    <cellStyle name="Денежный 3 2 3 4 2" xfId="29152"/>
    <cellStyle name="Денежный 3 2 3 4 2 2" xfId="29153"/>
    <cellStyle name="Денежный 3 2 3 4 2 2 2" xfId="29154"/>
    <cellStyle name="Денежный 3 2 3 4 2 3" xfId="29155"/>
    <cellStyle name="Денежный 3 2 3 4 3" xfId="29156"/>
    <cellStyle name="Денежный 3 2 3 4 3 2" xfId="29157"/>
    <cellStyle name="Денежный 3 2 3 4 4" xfId="29158"/>
    <cellStyle name="Денежный 3 2 3 4 4 2" xfId="29159"/>
    <cellStyle name="Денежный 3 2 3 4 5" xfId="29160"/>
    <cellStyle name="Денежный 3 2 3 5" xfId="29161"/>
    <cellStyle name="Денежный 3 2 3 5 2" xfId="29162"/>
    <cellStyle name="Денежный 3 2 3 5 2 2" xfId="29163"/>
    <cellStyle name="Денежный 3 2 3 5 2 2 2" xfId="29164"/>
    <cellStyle name="Денежный 3 2 3 5 2 3" xfId="29165"/>
    <cellStyle name="Денежный 3 2 3 5 3" xfId="29166"/>
    <cellStyle name="Денежный 3 2 3 5 3 2" xfId="29167"/>
    <cellStyle name="Денежный 3 2 3 5 4" xfId="29168"/>
    <cellStyle name="Денежный 3 2 3 5 4 2" xfId="29169"/>
    <cellStyle name="Денежный 3 2 3 5 5" xfId="29170"/>
    <cellStyle name="Денежный 3 2 3 6" xfId="29171"/>
    <cellStyle name="Денежный 3 2 3 6 2" xfId="29172"/>
    <cellStyle name="Денежный 3 2 3 6 2 2" xfId="29173"/>
    <cellStyle name="Денежный 3 2 3 6 3" xfId="29174"/>
    <cellStyle name="Денежный 3 2 3 7" xfId="29175"/>
    <cellStyle name="Денежный 3 2 3 7 2" xfId="29176"/>
    <cellStyle name="Денежный 3 2 3 8" xfId="29177"/>
    <cellStyle name="Денежный 3 2 3 8 2" xfId="29178"/>
    <cellStyle name="Денежный 3 2 3 9" xfId="29179"/>
    <cellStyle name="Денежный 3 2 4" xfId="29180"/>
    <cellStyle name="Денежный 3 2 4 10" xfId="29181"/>
    <cellStyle name="Денежный 3 2 4 2" xfId="29182"/>
    <cellStyle name="Денежный 3 2 4 2 2" xfId="29183"/>
    <cellStyle name="Денежный 3 2 4 2 2 2" xfId="29184"/>
    <cellStyle name="Денежный 3 2 4 2 2 2 2" xfId="29185"/>
    <cellStyle name="Денежный 3 2 4 2 2 3" xfId="29186"/>
    <cellStyle name="Денежный 3 2 4 2 3" xfId="29187"/>
    <cellStyle name="Денежный 3 2 4 2 3 2" xfId="29188"/>
    <cellStyle name="Денежный 3 2 4 2 4" xfId="29189"/>
    <cellStyle name="Денежный 3 2 4 2 4 2" xfId="29190"/>
    <cellStyle name="Денежный 3 2 4 2 5" xfId="29191"/>
    <cellStyle name="Денежный 3 2 4 3" xfId="29192"/>
    <cellStyle name="Денежный 3 2 4 3 2" xfId="29193"/>
    <cellStyle name="Денежный 3 2 4 3 2 2" xfId="29194"/>
    <cellStyle name="Денежный 3 2 4 3 2 2 2" xfId="29195"/>
    <cellStyle name="Денежный 3 2 4 3 2 3" xfId="29196"/>
    <cellStyle name="Денежный 3 2 4 3 3" xfId="29197"/>
    <cellStyle name="Денежный 3 2 4 3 3 2" xfId="29198"/>
    <cellStyle name="Денежный 3 2 4 3 4" xfId="29199"/>
    <cellStyle name="Денежный 3 2 4 3 4 2" xfId="29200"/>
    <cellStyle name="Денежный 3 2 4 3 5" xfId="29201"/>
    <cellStyle name="Денежный 3 2 4 4" xfId="29202"/>
    <cellStyle name="Денежный 3 2 4 4 2" xfId="29203"/>
    <cellStyle name="Денежный 3 2 4 4 2 2" xfId="29204"/>
    <cellStyle name="Денежный 3 2 4 4 2 2 2" xfId="29205"/>
    <cellStyle name="Денежный 3 2 4 4 2 3" xfId="29206"/>
    <cellStyle name="Денежный 3 2 4 4 3" xfId="29207"/>
    <cellStyle name="Денежный 3 2 4 4 3 2" xfId="29208"/>
    <cellStyle name="Денежный 3 2 4 4 4" xfId="29209"/>
    <cellStyle name="Денежный 3 2 4 4 4 2" xfId="29210"/>
    <cellStyle name="Денежный 3 2 4 4 5" xfId="29211"/>
    <cellStyle name="Денежный 3 2 4 5" xfId="29212"/>
    <cellStyle name="Денежный 3 2 4 5 2" xfId="29213"/>
    <cellStyle name="Денежный 3 2 4 5 2 2" xfId="29214"/>
    <cellStyle name="Денежный 3 2 4 5 2 2 2" xfId="29215"/>
    <cellStyle name="Денежный 3 2 4 5 2 3" xfId="29216"/>
    <cellStyle name="Денежный 3 2 4 5 3" xfId="29217"/>
    <cellStyle name="Денежный 3 2 4 5 3 2" xfId="29218"/>
    <cellStyle name="Денежный 3 2 4 5 4" xfId="29219"/>
    <cellStyle name="Денежный 3 2 4 5 4 2" xfId="29220"/>
    <cellStyle name="Денежный 3 2 4 5 5" xfId="29221"/>
    <cellStyle name="Денежный 3 2 4 6" xfId="29222"/>
    <cellStyle name="Денежный 3 2 4 6 2" xfId="29223"/>
    <cellStyle name="Денежный 3 2 4 6 2 2" xfId="29224"/>
    <cellStyle name="Денежный 3 2 4 6 3" xfId="29225"/>
    <cellStyle name="Денежный 3 2 4 7" xfId="29226"/>
    <cellStyle name="Денежный 3 2 4 7 2" xfId="29227"/>
    <cellStyle name="Денежный 3 2 4 8" xfId="29228"/>
    <cellStyle name="Денежный 3 2 4 8 2" xfId="29229"/>
    <cellStyle name="Денежный 3 2 4 9" xfId="29230"/>
    <cellStyle name="Денежный 3 2 5" xfId="29231"/>
    <cellStyle name="Денежный 3 2 5 10" xfId="29232"/>
    <cellStyle name="Денежный 3 2 5 2" xfId="29233"/>
    <cellStyle name="Денежный 3 2 5 2 2" xfId="29234"/>
    <cellStyle name="Денежный 3 2 5 2 2 2" xfId="29235"/>
    <cellStyle name="Денежный 3 2 5 2 2 2 2" xfId="29236"/>
    <cellStyle name="Денежный 3 2 5 2 2 3" xfId="29237"/>
    <cellStyle name="Денежный 3 2 5 2 3" xfId="29238"/>
    <cellStyle name="Денежный 3 2 5 2 3 2" xfId="29239"/>
    <cellStyle name="Денежный 3 2 5 2 4" xfId="29240"/>
    <cellStyle name="Денежный 3 2 5 2 4 2" xfId="29241"/>
    <cellStyle name="Денежный 3 2 5 2 5" xfId="29242"/>
    <cellStyle name="Денежный 3 2 5 3" xfId="29243"/>
    <cellStyle name="Денежный 3 2 5 3 2" xfId="29244"/>
    <cellStyle name="Денежный 3 2 5 3 2 2" xfId="29245"/>
    <cellStyle name="Денежный 3 2 5 3 2 2 2" xfId="29246"/>
    <cellStyle name="Денежный 3 2 5 3 2 3" xfId="29247"/>
    <cellStyle name="Денежный 3 2 5 3 3" xfId="29248"/>
    <cellStyle name="Денежный 3 2 5 3 3 2" xfId="29249"/>
    <cellStyle name="Денежный 3 2 5 3 4" xfId="29250"/>
    <cellStyle name="Денежный 3 2 5 3 4 2" xfId="29251"/>
    <cellStyle name="Денежный 3 2 5 3 5" xfId="29252"/>
    <cellStyle name="Денежный 3 2 5 4" xfId="29253"/>
    <cellStyle name="Денежный 3 2 5 4 2" xfId="29254"/>
    <cellStyle name="Денежный 3 2 5 4 2 2" xfId="29255"/>
    <cellStyle name="Денежный 3 2 5 4 2 2 2" xfId="29256"/>
    <cellStyle name="Денежный 3 2 5 4 2 3" xfId="29257"/>
    <cellStyle name="Денежный 3 2 5 4 3" xfId="29258"/>
    <cellStyle name="Денежный 3 2 5 4 3 2" xfId="29259"/>
    <cellStyle name="Денежный 3 2 5 4 4" xfId="29260"/>
    <cellStyle name="Денежный 3 2 5 4 4 2" xfId="29261"/>
    <cellStyle name="Денежный 3 2 5 4 5" xfId="29262"/>
    <cellStyle name="Денежный 3 2 5 5" xfId="29263"/>
    <cellStyle name="Денежный 3 2 5 5 2" xfId="29264"/>
    <cellStyle name="Денежный 3 2 5 5 2 2" xfId="29265"/>
    <cellStyle name="Денежный 3 2 5 5 2 2 2" xfId="29266"/>
    <cellStyle name="Денежный 3 2 5 5 2 3" xfId="29267"/>
    <cellStyle name="Денежный 3 2 5 5 3" xfId="29268"/>
    <cellStyle name="Денежный 3 2 5 5 3 2" xfId="29269"/>
    <cellStyle name="Денежный 3 2 5 5 4" xfId="29270"/>
    <cellStyle name="Денежный 3 2 5 5 4 2" xfId="29271"/>
    <cellStyle name="Денежный 3 2 5 5 5" xfId="29272"/>
    <cellStyle name="Денежный 3 2 5 6" xfId="29273"/>
    <cellStyle name="Денежный 3 2 5 6 2" xfId="29274"/>
    <cellStyle name="Денежный 3 2 5 6 2 2" xfId="29275"/>
    <cellStyle name="Денежный 3 2 5 6 3" xfId="29276"/>
    <cellStyle name="Денежный 3 2 5 7" xfId="29277"/>
    <cellStyle name="Денежный 3 2 5 7 2" xfId="29278"/>
    <cellStyle name="Денежный 3 2 5 8" xfId="29279"/>
    <cellStyle name="Денежный 3 2 5 8 2" xfId="29280"/>
    <cellStyle name="Денежный 3 2 5 9" xfId="29281"/>
    <cellStyle name="Денежный 3 2 6" xfId="29282"/>
    <cellStyle name="Денежный 3 2 6 10" xfId="29283"/>
    <cellStyle name="Денежный 3 2 6 2" xfId="29284"/>
    <cellStyle name="Денежный 3 2 6 2 2" xfId="29285"/>
    <cellStyle name="Денежный 3 2 6 2 2 2" xfId="29286"/>
    <cellStyle name="Денежный 3 2 6 2 2 2 2" xfId="29287"/>
    <cellStyle name="Денежный 3 2 6 2 2 3" xfId="29288"/>
    <cellStyle name="Денежный 3 2 6 2 3" xfId="29289"/>
    <cellStyle name="Денежный 3 2 6 2 3 2" xfId="29290"/>
    <cellStyle name="Денежный 3 2 6 2 4" xfId="29291"/>
    <cellStyle name="Денежный 3 2 6 2 4 2" xfId="29292"/>
    <cellStyle name="Денежный 3 2 6 2 5" xfId="29293"/>
    <cellStyle name="Денежный 3 2 6 3" xfId="29294"/>
    <cellStyle name="Денежный 3 2 6 3 2" xfId="29295"/>
    <cellStyle name="Денежный 3 2 6 3 2 2" xfId="29296"/>
    <cellStyle name="Денежный 3 2 6 3 2 2 2" xfId="29297"/>
    <cellStyle name="Денежный 3 2 6 3 2 3" xfId="29298"/>
    <cellStyle name="Денежный 3 2 6 3 3" xfId="29299"/>
    <cellStyle name="Денежный 3 2 6 3 3 2" xfId="29300"/>
    <cellStyle name="Денежный 3 2 6 3 4" xfId="29301"/>
    <cellStyle name="Денежный 3 2 6 3 4 2" xfId="29302"/>
    <cellStyle name="Денежный 3 2 6 3 5" xfId="29303"/>
    <cellStyle name="Денежный 3 2 6 4" xfId="29304"/>
    <cellStyle name="Денежный 3 2 6 4 2" xfId="29305"/>
    <cellStyle name="Денежный 3 2 6 4 2 2" xfId="29306"/>
    <cellStyle name="Денежный 3 2 6 4 2 2 2" xfId="29307"/>
    <cellStyle name="Денежный 3 2 6 4 2 3" xfId="29308"/>
    <cellStyle name="Денежный 3 2 6 4 3" xfId="29309"/>
    <cellStyle name="Денежный 3 2 6 4 3 2" xfId="29310"/>
    <cellStyle name="Денежный 3 2 6 4 4" xfId="29311"/>
    <cellStyle name="Денежный 3 2 6 4 4 2" xfId="29312"/>
    <cellStyle name="Денежный 3 2 6 4 5" xfId="29313"/>
    <cellStyle name="Денежный 3 2 6 5" xfId="29314"/>
    <cellStyle name="Денежный 3 2 6 5 2" xfId="29315"/>
    <cellStyle name="Денежный 3 2 6 5 2 2" xfId="29316"/>
    <cellStyle name="Денежный 3 2 6 5 2 2 2" xfId="29317"/>
    <cellStyle name="Денежный 3 2 6 5 2 3" xfId="29318"/>
    <cellStyle name="Денежный 3 2 6 5 3" xfId="29319"/>
    <cellStyle name="Денежный 3 2 6 5 3 2" xfId="29320"/>
    <cellStyle name="Денежный 3 2 6 5 4" xfId="29321"/>
    <cellStyle name="Денежный 3 2 6 5 4 2" xfId="29322"/>
    <cellStyle name="Денежный 3 2 6 5 5" xfId="29323"/>
    <cellStyle name="Денежный 3 2 6 6" xfId="29324"/>
    <cellStyle name="Денежный 3 2 6 6 2" xfId="29325"/>
    <cellStyle name="Денежный 3 2 6 6 2 2" xfId="29326"/>
    <cellStyle name="Денежный 3 2 6 6 3" xfId="29327"/>
    <cellStyle name="Денежный 3 2 6 7" xfId="29328"/>
    <cellStyle name="Денежный 3 2 6 7 2" xfId="29329"/>
    <cellStyle name="Денежный 3 2 6 8" xfId="29330"/>
    <cellStyle name="Денежный 3 2 6 8 2" xfId="29331"/>
    <cellStyle name="Денежный 3 2 6 9" xfId="29332"/>
    <cellStyle name="Денежный 3 2 7" xfId="29333"/>
    <cellStyle name="Денежный 3 2 7 2" xfId="29334"/>
    <cellStyle name="Денежный 3 2 7 2 2" xfId="29335"/>
    <cellStyle name="Денежный 3 2 7 2 2 2" xfId="29336"/>
    <cellStyle name="Денежный 3 2 7 2 3" xfId="29337"/>
    <cellStyle name="Денежный 3 2 7 3" xfId="29338"/>
    <cellStyle name="Денежный 3 2 7 3 2" xfId="29339"/>
    <cellStyle name="Денежный 3 2 7 4" xfId="29340"/>
    <cellStyle name="Денежный 3 2 7 4 2" xfId="29341"/>
    <cellStyle name="Денежный 3 2 7 5" xfId="29342"/>
    <cellStyle name="Денежный 3 2 8" xfId="29343"/>
    <cellStyle name="Денежный 3 2 8 2" xfId="29344"/>
    <cellStyle name="Денежный 3 2 8 2 2" xfId="29345"/>
    <cellStyle name="Денежный 3 2 8 2 2 2" xfId="29346"/>
    <cellStyle name="Денежный 3 2 8 2 3" xfId="29347"/>
    <cellStyle name="Денежный 3 2 8 3" xfId="29348"/>
    <cellStyle name="Денежный 3 2 8 3 2" xfId="29349"/>
    <cellStyle name="Денежный 3 2 8 4" xfId="29350"/>
    <cellStyle name="Денежный 3 2 8 4 2" xfId="29351"/>
    <cellStyle name="Денежный 3 2 8 5" xfId="29352"/>
    <cellStyle name="Денежный 3 2 9" xfId="29353"/>
    <cellStyle name="Денежный 3 2 9 2" xfId="29354"/>
    <cellStyle name="Денежный 3 2 9 2 2" xfId="29355"/>
    <cellStyle name="Денежный 3 2 9 2 2 2" xfId="29356"/>
    <cellStyle name="Денежный 3 2 9 2 3" xfId="29357"/>
    <cellStyle name="Денежный 3 2 9 3" xfId="29358"/>
    <cellStyle name="Денежный 3 2 9 3 2" xfId="29359"/>
    <cellStyle name="Денежный 3 2 9 4" xfId="29360"/>
    <cellStyle name="Денежный 3 2 9 4 2" xfId="29361"/>
    <cellStyle name="Денежный 3 2 9 5" xfId="29362"/>
    <cellStyle name="Денежный 3 3" xfId="29363"/>
    <cellStyle name="Денежный 3 3 10" xfId="29364"/>
    <cellStyle name="Денежный 3 3 2" xfId="29365"/>
    <cellStyle name="Денежный 3 3 2 2" xfId="29366"/>
    <cellStyle name="Денежный 3 3 2 2 2" xfId="29367"/>
    <cellStyle name="Денежный 3 3 2 2 2 2" xfId="29368"/>
    <cellStyle name="Денежный 3 3 2 2 3" xfId="29369"/>
    <cellStyle name="Денежный 3 3 2 3" xfId="29370"/>
    <cellStyle name="Денежный 3 3 2 3 2" xfId="29371"/>
    <cellStyle name="Денежный 3 3 2 4" xfId="29372"/>
    <cellStyle name="Денежный 3 3 2 4 2" xfId="29373"/>
    <cellStyle name="Денежный 3 3 2 5" xfId="29374"/>
    <cellStyle name="Денежный 3 3 3" xfId="29375"/>
    <cellStyle name="Денежный 3 3 3 2" xfId="29376"/>
    <cellStyle name="Денежный 3 3 3 2 2" xfId="29377"/>
    <cellStyle name="Денежный 3 3 3 2 2 2" xfId="29378"/>
    <cellStyle name="Денежный 3 3 3 2 3" xfId="29379"/>
    <cellStyle name="Денежный 3 3 3 3" xfId="29380"/>
    <cellStyle name="Денежный 3 3 3 3 2" xfId="29381"/>
    <cellStyle name="Денежный 3 3 3 4" xfId="29382"/>
    <cellStyle name="Денежный 3 3 3 4 2" xfId="29383"/>
    <cellStyle name="Денежный 3 3 3 5" xfId="29384"/>
    <cellStyle name="Денежный 3 3 4" xfId="29385"/>
    <cellStyle name="Денежный 3 3 4 2" xfId="29386"/>
    <cellStyle name="Денежный 3 3 4 2 2" xfId="29387"/>
    <cellStyle name="Денежный 3 3 4 2 2 2" xfId="29388"/>
    <cellStyle name="Денежный 3 3 4 2 3" xfId="29389"/>
    <cellStyle name="Денежный 3 3 4 3" xfId="29390"/>
    <cellStyle name="Денежный 3 3 4 3 2" xfId="29391"/>
    <cellStyle name="Денежный 3 3 4 4" xfId="29392"/>
    <cellStyle name="Денежный 3 3 4 4 2" xfId="29393"/>
    <cellStyle name="Денежный 3 3 4 5" xfId="29394"/>
    <cellStyle name="Денежный 3 3 5" xfId="29395"/>
    <cellStyle name="Денежный 3 3 5 2" xfId="29396"/>
    <cellStyle name="Денежный 3 3 5 2 2" xfId="29397"/>
    <cellStyle name="Денежный 3 3 5 2 2 2" xfId="29398"/>
    <cellStyle name="Денежный 3 3 5 2 3" xfId="29399"/>
    <cellStyle name="Денежный 3 3 5 3" xfId="29400"/>
    <cellStyle name="Денежный 3 3 5 3 2" xfId="29401"/>
    <cellStyle name="Денежный 3 3 5 4" xfId="29402"/>
    <cellStyle name="Денежный 3 3 5 4 2" xfId="29403"/>
    <cellStyle name="Денежный 3 3 5 5" xfId="29404"/>
    <cellStyle name="Денежный 3 3 6" xfId="29405"/>
    <cellStyle name="Денежный 3 3 6 2" xfId="29406"/>
    <cellStyle name="Денежный 3 3 6 2 2" xfId="29407"/>
    <cellStyle name="Денежный 3 3 6 3" xfId="29408"/>
    <cellStyle name="Денежный 3 3 7" xfId="29409"/>
    <cellStyle name="Денежный 3 3 7 2" xfId="29410"/>
    <cellStyle name="Денежный 3 3 8" xfId="29411"/>
    <cellStyle name="Денежный 3 3 8 2" xfId="29412"/>
    <cellStyle name="Денежный 3 3 9" xfId="29413"/>
    <cellStyle name="Денежный 3 4" xfId="29414"/>
    <cellStyle name="Денежный 3 4 10" xfId="29415"/>
    <cellStyle name="Денежный 3 4 2" xfId="29416"/>
    <cellStyle name="Денежный 3 4 2 2" xfId="29417"/>
    <cellStyle name="Денежный 3 4 2 2 2" xfId="29418"/>
    <cellStyle name="Денежный 3 4 2 2 2 2" xfId="29419"/>
    <cellStyle name="Денежный 3 4 2 2 3" xfId="29420"/>
    <cellStyle name="Денежный 3 4 2 3" xfId="29421"/>
    <cellStyle name="Денежный 3 4 2 3 2" xfId="29422"/>
    <cellStyle name="Денежный 3 4 2 4" xfId="29423"/>
    <cellStyle name="Денежный 3 4 2 4 2" xfId="29424"/>
    <cellStyle name="Денежный 3 4 2 5" xfId="29425"/>
    <cellStyle name="Денежный 3 4 3" xfId="29426"/>
    <cellStyle name="Денежный 3 4 3 2" xfId="29427"/>
    <cellStyle name="Денежный 3 4 3 2 2" xfId="29428"/>
    <cellStyle name="Денежный 3 4 3 2 2 2" xfId="29429"/>
    <cellStyle name="Денежный 3 4 3 2 3" xfId="29430"/>
    <cellStyle name="Денежный 3 4 3 3" xfId="29431"/>
    <cellStyle name="Денежный 3 4 3 3 2" xfId="29432"/>
    <cellStyle name="Денежный 3 4 3 4" xfId="29433"/>
    <cellStyle name="Денежный 3 4 3 4 2" xfId="29434"/>
    <cellStyle name="Денежный 3 4 3 5" xfId="29435"/>
    <cellStyle name="Денежный 3 4 4" xfId="29436"/>
    <cellStyle name="Денежный 3 4 4 2" xfId="29437"/>
    <cellStyle name="Денежный 3 4 4 2 2" xfId="29438"/>
    <cellStyle name="Денежный 3 4 4 2 2 2" xfId="29439"/>
    <cellStyle name="Денежный 3 4 4 2 3" xfId="29440"/>
    <cellStyle name="Денежный 3 4 4 3" xfId="29441"/>
    <cellStyle name="Денежный 3 4 4 3 2" xfId="29442"/>
    <cellStyle name="Денежный 3 4 4 4" xfId="29443"/>
    <cellStyle name="Денежный 3 4 4 4 2" xfId="29444"/>
    <cellStyle name="Денежный 3 4 4 5" xfId="29445"/>
    <cellStyle name="Денежный 3 4 5" xfId="29446"/>
    <cellStyle name="Денежный 3 4 5 2" xfId="29447"/>
    <cellStyle name="Денежный 3 4 5 2 2" xfId="29448"/>
    <cellStyle name="Денежный 3 4 5 2 2 2" xfId="29449"/>
    <cellStyle name="Денежный 3 4 5 2 3" xfId="29450"/>
    <cellStyle name="Денежный 3 4 5 3" xfId="29451"/>
    <cellStyle name="Денежный 3 4 5 3 2" xfId="29452"/>
    <cellStyle name="Денежный 3 4 5 4" xfId="29453"/>
    <cellStyle name="Денежный 3 4 5 4 2" xfId="29454"/>
    <cellStyle name="Денежный 3 4 5 5" xfId="29455"/>
    <cellStyle name="Денежный 3 4 6" xfId="29456"/>
    <cellStyle name="Денежный 3 4 6 2" xfId="29457"/>
    <cellStyle name="Денежный 3 4 6 2 2" xfId="29458"/>
    <cellStyle name="Денежный 3 4 6 3" xfId="29459"/>
    <cellStyle name="Денежный 3 4 7" xfId="29460"/>
    <cellStyle name="Денежный 3 4 7 2" xfId="29461"/>
    <cellStyle name="Денежный 3 4 8" xfId="29462"/>
    <cellStyle name="Денежный 3 4 8 2" xfId="29463"/>
    <cellStyle name="Денежный 3 4 9" xfId="29464"/>
    <cellStyle name="Денежный 3 5" xfId="29465"/>
    <cellStyle name="Денежный 3 5 10" xfId="29466"/>
    <cellStyle name="Денежный 3 5 2" xfId="29467"/>
    <cellStyle name="Денежный 3 5 2 2" xfId="29468"/>
    <cellStyle name="Денежный 3 5 2 2 2" xfId="29469"/>
    <cellStyle name="Денежный 3 5 2 2 2 2" xfId="29470"/>
    <cellStyle name="Денежный 3 5 2 2 3" xfId="29471"/>
    <cellStyle name="Денежный 3 5 2 3" xfId="29472"/>
    <cellStyle name="Денежный 3 5 2 3 2" xfId="29473"/>
    <cellStyle name="Денежный 3 5 2 4" xfId="29474"/>
    <cellStyle name="Денежный 3 5 2 4 2" xfId="29475"/>
    <cellStyle name="Денежный 3 5 2 5" xfId="29476"/>
    <cellStyle name="Денежный 3 5 3" xfId="29477"/>
    <cellStyle name="Денежный 3 5 3 2" xfId="29478"/>
    <cellStyle name="Денежный 3 5 3 2 2" xfId="29479"/>
    <cellStyle name="Денежный 3 5 3 2 2 2" xfId="29480"/>
    <cellStyle name="Денежный 3 5 3 2 3" xfId="29481"/>
    <cellStyle name="Денежный 3 5 3 3" xfId="29482"/>
    <cellStyle name="Денежный 3 5 3 3 2" xfId="29483"/>
    <cellStyle name="Денежный 3 5 3 4" xfId="29484"/>
    <cellStyle name="Денежный 3 5 3 4 2" xfId="29485"/>
    <cellStyle name="Денежный 3 5 3 5" xfId="29486"/>
    <cellStyle name="Денежный 3 5 4" xfId="29487"/>
    <cellStyle name="Денежный 3 5 4 2" xfId="29488"/>
    <cellStyle name="Денежный 3 5 4 2 2" xfId="29489"/>
    <cellStyle name="Денежный 3 5 4 2 2 2" xfId="29490"/>
    <cellStyle name="Денежный 3 5 4 2 3" xfId="29491"/>
    <cellStyle name="Денежный 3 5 4 3" xfId="29492"/>
    <cellStyle name="Денежный 3 5 4 3 2" xfId="29493"/>
    <cellStyle name="Денежный 3 5 4 4" xfId="29494"/>
    <cellStyle name="Денежный 3 5 4 4 2" xfId="29495"/>
    <cellStyle name="Денежный 3 5 4 5" xfId="29496"/>
    <cellStyle name="Денежный 3 5 5" xfId="29497"/>
    <cellStyle name="Денежный 3 5 5 2" xfId="29498"/>
    <cellStyle name="Денежный 3 5 5 2 2" xfId="29499"/>
    <cellStyle name="Денежный 3 5 5 2 2 2" xfId="29500"/>
    <cellStyle name="Денежный 3 5 5 2 3" xfId="29501"/>
    <cellStyle name="Денежный 3 5 5 3" xfId="29502"/>
    <cellStyle name="Денежный 3 5 5 3 2" xfId="29503"/>
    <cellStyle name="Денежный 3 5 5 4" xfId="29504"/>
    <cellStyle name="Денежный 3 5 5 4 2" xfId="29505"/>
    <cellStyle name="Денежный 3 5 5 5" xfId="29506"/>
    <cellStyle name="Денежный 3 5 6" xfId="29507"/>
    <cellStyle name="Денежный 3 5 6 2" xfId="29508"/>
    <cellStyle name="Денежный 3 5 6 2 2" xfId="29509"/>
    <cellStyle name="Денежный 3 5 6 3" xfId="29510"/>
    <cellStyle name="Денежный 3 5 7" xfId="29511"/>
    <cellStyle name="Денежный 3 5 7 2" xfId="29512"/>
    <cellStyle name="Денежный 3 5 8" xfId="29513"/>
    <cellStyle name="Денежный 3 5 8 2" xfId="29514"/>
    <cellStyle name="Денежный 3 5 9" xfId="29515"/>
    <cellStyle name="Денежный 3 6" xfId="29516"/>
    <cellStyle name="Денежный 3 6 10" xfId="29517"/>
    <cellStyle name="Денежный 3 6 2" xfId="29518"/>
    <cellStyle name="Денежный 3 6 2 2" xfId="29519"/>
    <cellStyle name="Денежный 3 6 2 2 2" xfId="29520"/>
    <cellStyle name="Денежный 3 6 2 2 2 2" xfId="29521"/>
    <cellStyle name="Денежный 3 6 2 2 3" xfId="29522"/>
    <cellStyle name="Денежный 3 6 2 3" xfId="29523"/>
    <cellStyle name="Денежный 3 6 2 3 2" xfId="29524"/>
    <cellStyle name="Денежный 3 6 2 4" xfId="29525"/>
    <cellStyle name="Денежный 3 6 2 4 2" xfId="29526"/>
    <cellStyle name="Денежный 3 6 2 5" xfId="29527"/>
    <cellStyle name="Денежный 3 6 3" xfId="29528"/>
    <cellStyle name="Денежный 3 6 3 2" xfId="29529"/>
    <cellStyle name="Денежный 3 6 3 2 2" xfId="29530"/>
    <cellStyle name="Денежный 3 6 3 2 2 2" xfId="29531"/>
    <cellStyle name="Денежный 3 6 3 2 3" xfId="29532"/>
    <cellStyle name="Денежный 3 6 3 3" xfId="29533"/>
    <cellStyle name="Денежный 3 6 3 3 2" xfId="29534"/>
    <cellStyle name="Денежный 3 6 3 4" xfId="29535"/>
    <cellStyle name="Денежный 3 6 3 4 2" xfId="29536"/>
    <cellStyle name="Денежный 3 6 3 5" xfId="29537"/>
    <cellStyle name="Денежный 3 6 4" xfId="29538"/>
    <cellStyle name="Денежный 3 6 4 2" xfId="29539"/>
    <cellStyle name="Денежный 3 6 4 2 2" xfId="29540"/>
    <cellStyle name="Денежный 3 6 4 2 2 2" xfId="29541"/>
    <cellStyle name="Денежный 3 6 4 2 3" xfId="29542"/>
    <cellStyle name="Денежный 3 6 4 3" xfId="29543"/>
    <cellStyle name="Денежный 3 6 4 3 2" xfId="29544"/>
    <cellStyle name="Денежный 3 6 4 4" xfId="29545"/>
    <cellStyle name="Денежный 3 6 4 4 2" xfId="29546"/>
    <cellStyle name="Денежный 3 6 4 5" xfId="29547"/>
    <cellStyle name="Денежный 3 6 5" xfId="29548"/>
    <cellStyle name="Денежный 3 6 5 2" xfId="29549"/>
    <cellStyle name="Денежный 3 6 5 2 2" xfId="29550"/>
    <cellStyle name="Денежный 3 6 5 2 2 2" xfId="29551"/>
    <cellStyle name="Денежный 3 6 5 2 3" xfId="29552"/>
    <cellStyle name="Денежный 3 6 5 3" xfId="29553"/>
    <cellStyle name="Денежный 3 6 5 3 2" xfId="29554"/>
    <cellStyle name="Денежный 3 6 5 4" xfId="29555"/>
    <cellStyle name="Денежный 3 6 5 4 2" xfId="29556"/>
    <cellStyle name="Денежный 3 6 5 5" xfId="29557"/>
    <cellStyle name="Денежный 3 6 6" xfId="29558"/>
    <cellStyle name="Денежный 3 6 6 2" xfId="29559"/>
    <cellStyle name="Денежный 3 6 6 2 2" xfId="29560"/>
    <cellStyle name="Денежный 3 6 6 3" xfId="29561"/>
    <cellStyle name="Денежный 3 6 7" xfId="29562"/>
    <cellStyle name="Денежный 3 6 7 2" xfId="29563"/>
    <cellStyle name="Денежный 3 6 8" xfId="29564"/>
    <cellStyle name="Денежный 3 6 8 2" xfId="29565"/>
    <cellStyle name="Денежный 3 6 9" xfId="29566"/>
    <cellStyle name="Денежный 3 7" xfId="29567"/>
    <cellStyle name="Денежный 3 7 10" xfId="29568"/>
    <cellStyle name="Денежный 3 7 2" xfId="29569"/>
    <cellStyle name="Денежный 3 7 2 2" xfId="29570"/>
    <cellStyle name="Денежный 3 7 2 2 2" xfId="29571"/>
    <cellStyle name="Денежный 3 7 2 2 2 2" xfId="29572"/>
    <cellStyle name="Денежный 3 7 2 2 3" xfId="29573"/>
    <cellStyle name="Денежный 3 7 2 3" xfId="29574"/>
    <cellStyle name="Денежный 3 7 2 3 2" xfId="29575"/>
    <cellStyle name="Денежный 3 7 2 4" xfId="29576"/>
    <cellStyle name="Денежный 3 7 2 4 2" xfId="29577"/>
    <cellStyle name="Денежный 3 7 2 5" xfId="29578"/>
    <cellStyle name="Денежный 3 7 3" xfId="29579"/>
    <cellStyle name="Денежный 3 7 3 2" xfId="29580"/>
    <cellStyle name="Денежный 3 7 3 2 2" xfId="29581"/>
    <cellStyle name="Денежный 3 7 3 2 2 2" xfId="29582"/>
    <cellStyle name="Денежный 3 7 3 2 3" xfId="29583"/>
    <cellStyle name="Денежный 3 7 3 3" xfId="29584"/>
    <cellStyle name="Денежный 3 7 3 3 2" xfId="29585"/>
    <cellStyle name="Денежный 3 7 3 4" xfId="29586"/>
    <cellStyle name="Денежный 3 7 3 4 2" xfId="29587"/>
    <cellStyle name="Денежный 3 7 3 5" xfId="29588"/>
    <cellStyle name="Денежный 3 7 4" xfId="29589"/>
    <cellStyle name="Денежный 3 7 4 2" xfId="29590"/>
    <cellStyle name="Денежный 3 7 4 2 2" xfId="29591"/>
    <cellStyle name="Денежный 3 7 4 2 2 2" xfId="29592"/>
    <cellStyle name="Денежный 3 7 4 2 3" xfId="29593"/>
    <cellStyle name="Денежный 3 7 4 3" xfId="29594"/>
    <cellStyle name="Денежный 3 7 4 3 2" xfId="29595"/>
    <cellStyle name="Денежный 3 7 4 4" xfId="29596"/>
    <cellStyle name="Денежный 3 7 4 4 2" xfId="29597"/>
    <cellStyle name="Денежный 3 7 4 5" xfId="29598"/>
    <cellStyle name="Денежный 3 7 5" xfId="29599"/>
    <cellStyle name="Денежный 3 7 5 2" xfId="29600"/>
    <cellStyle name="Денежный 3 7 5 2 2" xfId="29601"/>
    <cellStyle name="Денежный 3 7 5 2 2 2" xfId="29602"/>
    <cellStyle name="Денежный 3 7 5 2 3" xfId="29603"/>
    <cellStyle name="Денежный 3 7 5 3" xfId="29604"/>
    <cellStyle name="Денежный 3 7 5 3 2" xfId="29605"/>
    <cellStyle name="Денежный 3 7 5 4" xfId="29606"/>
    <cellStyle name="Денежный 3 7 5 4 2" xfId="29607"/>
    <cellStyle name="Денежный 3 7 5 5" xfId="29608"/>
    <cellStyle name="Денежный 3 7 6" xfId="29609"/>
    <cellStyle name="Денежный 3 7 6 2" xfId="29610"/>
    <cellStyle name="Денежный 3 7 6 2 2" xfId="29611"/>
    <cellStyle name="Денежный 3 7 6 3" xfId="29612"/>
    <cellStyle name="Денежный 3 7 7" xfId="29613"/>
    <cellStyle name="Денежный 3 7 7 2" xfId="29614"/>
    <cellStyle name="Денежный 3 7 8" xfId="29615"/>
    <cellStyle name="Денежный 3 7 8 2" xfId="29616"/>
    <cellStyle name="Денежный 3 7 9" xfId="29617"/>
    <cellStyle name="Денежный 3 8" xfId="29618"/>
    <cellStyle name="Денежный 3 8 2" xfId="29619"/>
    <cellStyle name="Денежный 3 8 2 2" xfId="29620"/>
    <cellStyle name="Денежный 3 8 2 2 2" xfId="29621"/>
    <cellStyle name="Денежный 3 8 2 2 2 2" xfId="29622"/>
    <cellStyle name="Денежный 3 8 2 2 3" xfId="29623"/>
    <cellStyle name="Денежный 3 8 2 3" xfId="29624"/>
    <cellStyle name="Денежный 3 8 2 3 2" xfId="29625"/>
    <cellStyle name="Денежный 3 8 2 4" xfId="29626"/>
    <cellStyle name="Денежный 3 8 2 4 2" xfId="29627"/>
    <cellStyle name="Денежный 3 8 2 5" xfId="29628"/>
    <cellStyle name="Денежный 3 8 3" xfId="29629"/>
    <cellStyle name="Денежный 3 8 3 2" xfId="29630"/>
    <cellStyle name="Денежный 3 8 3 2 2" xfId="29631"/>
    <cellStyle name="Денежный 3 8 3 2 2 2" xfId="29632"/>
    <cellStyle name="Денежный 3 8 3 2 3" xfId="29633"/>
    <cellStyle name="Денежный 3 8 3 3" xfId="29634"/>
    <cellStyle name="Денежный 3 8 3 3 2" xfId="29635"/>
    <cellStyle name="Денежный 3 8 3 4" xfId="29636"/>
    <cellStyle name="Денежный 3 8 3 4 2" xfId="29637"/>
    <cellStyle name="Денежный 3 8 3 5" xfId="29638"/>
    <cellStyle name="Денежный 3 8 4" xfId="29639"/>
    <cellStyle name="Денежный 3 8 4 2" xfId="29640"/>
    <cellStyle name="Денежный 3 8 4 2 2" xfId="29641"/>
    <cellStyle name="Денежный 3 8 4 3" xfId="29642"/>
    <cellStyle name="Денежный 3 8 5" xfId="29643"/>
    <cellStyle name="Денежный 3 8 5 2" xfId="29644"/>
    <cellStyle name="Денежный 3 8 6" xfId="29645"/>
    <cellStyle name="Денежный 3 8 6 2" xfId="29646"/>
    <cellStyle name="Денежный 3 8 7" xfId="29647"/>
    <cellStyle name="Денежный 3 9" xfId="29648"/>
    <cellStyle name="Денежный 3 9 2" xfId="29649"/>
    <cellStyle name="Денежный 3 9 2 2" xfId="29650"/>
    <cellStyle name="Денежный 3 9 2 2 2" xfId="29651"/>
    <cellStyle name="Денежный 3 9 2 3" xfId="29652"/>
    <cellStyle name="Денежный 3 9 3" xfId="29653"/>
    <cellStyle name="Денежный 3 9 3 2" xfId="29654"/>
    <cellStyle name="Денежный 3 9 4" xfId="29655"/>
    <cellStyle name="Денежный 3 9 4 2" xfId="29656"/>
    <cellStyle name="Денежный 3 9 5" xfId="29657"/>
    <cellStyle name="Денежный 4" xfId="29658"/>
    <cellStyle name="Денежный 4 10" xfId="29659"/>
    <cellStyle name="Денежный 4 10 2" xfId="29660"/>
    <cellStyle name="Денежный 4 10 2 2" xfId="29661"/>
    <cellStyle name="Денежный 4 10 2 2 2" xfId="29662"/>
    <cellStyle name="Денежный 4 10 2 3" xfId="29663"/>
    <cellStyle name="Денежный 4 10 3" xfId="29664"/>
    <cellStyle name="Денежный 4 10 3 2" xfId="29665"/>
    <cellStyle name="Денежный 4 10 4" xfId="29666"/>
    <cellStyle name="Денежный 4 10 4 2" xfId="29667"/>
    <cellStyle name="Денежный 4 10 5" xfId="29668"/>
    <cellStyle name="Денежный 4 11" xfId="29669"/>
    <cellStyle name="Денежный 4 11 2" xfId="29670"/>
    <cellStyle name="Денежный 4 11 2 2" xfId="29671"/>
    <cellStyle name="Денежный 4 11 3" xfId="29672"/>
    <cellStyle name="Денежный 4 12" xfId="29673"/>
    <cellStyle name="Денежный 4 12 2" xfId="29674"/>
    <cellStyle name="Денежный 4 13" xfId="29675"/>
    <cellStyle name="Денежный 4 13 2" xfId="29676"/>
    <cellStyle name="Денежный 4 14" xfId="29677"/>
    <cellStyle name="Денежный 4 15" xfId="29678"/>
    <cellStyle name="Денежный 4 2" xfId="29679"/>
    <cellStyle name="Денежный 4 2 10" xfId="29680"/>
    <cellStyle name="Денежный 4 2 2" xfId="29681"/>
    <cellStyle name="Денежный 4 2 2 2" xfId="29682"/>
    <cellStyle name="Денежный 4 2 2 2 2" xfId="29683"/>
    <cellStyle name="Денежный 4 2 2 2 2 2" xfId="29684"/>
    <cellStyle name="Денежный 4 2 2 2 3" xfId="29685"/>
    <cellStyle name="Денежный 4 2 2 3" xfId="29686"/>
    <cellStyle name="Денежный 4 2 2 3 2" xfId="29687"/>
    <cellStyle name="Денежный 4 2 2 4" xfId="29688"/>
    <cellStyle name="Денежный 4 2 2 4 2" xfId="29689"/>
    <cellStyle name="Денежный 4 2 2 5" xfId="29690"/>
    <cellStyle name="Денежный 4 2 3" xfId="29691"/>
    <cellStyle name="Денежный 4 2 3 2" xfId="29692"/>
    <cellStyle name="Денежный 4 2 3 2 2" xfId="29693"/>
    <cellStyle name="Денежный 4 2 3 2 2 2" xfId="29694"/>
    <cellStyle name="Денежный 4 2 3 2 3" xfId="29695"/>
    <cellStyle name="Денежный 4 2 3 3" xfId="29696"/>
    <cellStyle name="Денежный 4 2 3 3 2" xfId="29697"/>
    <cellStyle name="Денежный 4 2 3 4" xfId="29698"/>
    <cellStyle name="Денежный 4 2 3 4 2" xfId="29699"/>
    <cellStyle name="Денежный 4 2 3 5" xfId="29700"/>
    <cellStyle name="Денежный 4 2 4" xfId="29701"/>
    <cellStyle name="Денежный 4 2 4 2" xfId="29702"/>
    <cellStyle name="Денежный 4 2 4 2 2" xfId="29703"/>
    <cellStyle name="Денежный 4 2 4 2 2 2" xfId="29704"/>
    <cellStyle name="Денежный 4 2 4 2 3" xfId="29705"/>
    <cellStyle name="Денежный 4 2 4 3" xfId="29706"/>
    <cellStyle name="Денежный 4 2 4 3 2" xfId="29707"/>
    <cellStyle name="Денежный 4 2 4 4" xfId="29708"/>
    <cellStyle name="Денежный 4 2 4 4 2" xfId="29709"/>
    <cellStyle name="Денежный 4 2 4 5" xfId="29710"/>
    <cellStyle name="Денежный 4 2 5" xfId="29711"/>
    <cellStyle name="Денежный 4 2 5 2" xfId="29712"/>
    <cellStyle name="Денежный 4 2 5 2 2" xfId="29713"/>
    <cellStyle name="Денежный 4 2 5 2 2 2" xfId="29714"/>
    <cellStyle name="Денежный 4 2 5 2 3" xfId="29715"/>
    <cellStyle name="Денежный 4 2 5 3" xfId="29716"/>
    <cellStyle name="Денежный 4 2 5 3 2" xfId="29717"/>
    <cellStyle name="Денежный 4 2 5 4" xfId="29718"/>
    <cellStyle name="Денежный 4 2 5 4 2" xfId="29719"/>
    <cellStyle name="Денежный 4 2 5 5" xfId="29720"/>
    <cellStyle name="Денежный 4 2 6" xfId="29721"/>
    <cellStyle name="Денежный 4 2 6 2" xfId="29722"/>
    <cellStyle name="Денежный 4 2 6 2 2" xfId="29723"/>
    <cellStyle name="Денежный 4 2 6 3" xfId="29724"/>
    <cellStyle name="Денежный 4 2 7" xfId="29725"/>
    <cellStyle name="Денежный 4 2 7 2" xfId="29726"/>
    <cellStyle name="Денежный 4 2 8" xfId="29727"/>
    <cellStyle name="Денежный 4 2 8 2" xfId="29728"/>
    <cellStyle name="Денежный 4 2 9" xfId="29729"/>
    <cellStyle name="Денежный 4 3" xfId="29730"/>
    <cellStyle name="Денежный 4 3 10" xfId="29731"/>
    <cellStyle name="Денежный 4 3 2" xfId="29732"/>
    <cellStyle name="Денежный 4 3 2 2" xfId="29733"/>
    <cellStyle name="Денежный 4 3 2 2 2" xfId="29734"/>
    <cellStyle name="Денежный 4 3 2 2 2 2" xfId="29735"/>
    <cellStyle name="Денежный 4 3 2 2 3" xfId="29736"/>
    <cellStyle name="Денежный 4 3 2 3" xfId="29737"/>
    <cellStyle name="Денежный 4 3 2 3 2" xfId="29738"/>
    <cellStyle name="Денежный 4 3 2 4" xfId="29739"/>
    <cellStyle name="Денежный 4 3 2 4 2" xfId="29740"/>
    <cellStyle name="Денежный 4 3 2 5" xfId="29741"/>
    <cellStyle name="Денежный 4 3 3" xfId="29742"/>
    <cellStyle name="Денежный 4 3 3 2" xfId="29743"/>
    <cellStyle name="Денежный 4 3 3 2 2" xfId="29744"/>
    <cellStyle name="Денежный 4 3 3 2 2 2" xfId="29745"/>
    <cellStyle name="Денежный 4 3 3 2 3" xfId="29746"/>
    <cellStyle name="Денежный 4 3 3 3" xfId="29747"/>
    <cellStyle name="Денежный 4 3 3 3 2" xfId="29748"/>
    <cellStyle name="Денежный 4 3 3 4" xfId="29749"/>
    <cellStyle name="Денежный 4 3 3 4 2" xfId="29750"/>
    <cellStyle name="Денежный 4 3 3 5" xfId="29751"/>
    <cellStyle name="Денежный 4 3 4" xfId="29752"/>
    <cellStyle name="Денежный 4 3 4 2" xfId="29753"/>
    <cellStyle name="Денежный 4 3 4 2 2" xfId="29754"/>
    <cellStyle name="Денежный 4 3 4 2 2 2" xfId="29755"/>
    <cellStyle name="Денежный 4 3 4 2 3" xfId="29756"/>
    <cellStyle name="Денежный 4 3 4 3" xfId="29757"/>
    <cellStyle name="Денежный 4 3 4 3 2" xfId="29758"/>
    <cellStyle name="Денежный 4 3 4 4" xfId="29759"/>
    <cellStyle name="Денежный 4 3 4 4 2" xfId="29760"/>
    <cellStyle name="Денежный 4 3 4 5" xfId="29761"/>
    <cellStyle name="Денежный 4 3 5" xfId="29762"/>
    <cellStyle name="Денежный 4 3 5 2" xfId="29763"/>
    <cellStyle name="Денежный 4 3 5 2 2" xfId="29764"/>
    <cellStyle name="Денежный 4 3 5 2 2 2" xfId="29765"/>
    <cellStyle name="Денежный 4 3 5 2 3" xfId="29766"/>
    <cellStyle name="Денежный 4 3 5 3" xfId="29767"/>
    <cellStyle name="Денежный 4 3 5 3 2" xfId="29768"/>
    <cellStyle name="Денежный 4 3 5 4" xfId="29769"/>
    <cellStyle name="Денежный 4 3 5 4 2" xfId="29770"/>
    <cellStyle name="Денежный 4 3 5 5" xfId="29771"/>
    <cellStyle name="Денежный 4 3 6" xfId="29772"/>
    <cellStyle name="Денежный 4 3 6 2" xfId="29773"/>
    <cellStyle name="Денежный 4 3 6 2 2" xfId="29774"/>
    <cellStyle name="Денежный 4 3 6 3" xfId="29775"/>
    <cellStyle name="Денежный 4 3 7" xfId="29776"/>
    <cellStyle name="Денежный 4 3 7 2" xfId="29777"/>
    <cellStyle name="Денежный 4 3 8" xfId="29778"/>
    <cellStyle name="Денежный 4 3 8 2" xfId="29779"/>
    <cellStyle name="Денежный 4 3 9" xfId="29780"/>
    <cellStyle name="Денежный 4 4" xfId="29781"/>
    <cellStyle name="Денежный 4 4 10" xfId="29782"/>
    <cellStyle name="Денежный 4 4 2" xfId="29783"/>
    <cellStyle name="Денежный 4 4 2 2" xfId="29784"/>
    <cellStyle name="Денежный 4 4 2 2 2" xfId="29785"/>
    <cellStyle name="Денежный 4 4 2 2 2 2" xfId="29786"/>
    <cellStyle name="Денежный 4 4 2 2 3" xfId="29787"/>
    <cellStyle name="Денежный 4 4 2 3" xfId="29788"/>
    <cellStyle name="Денежный 4 4 2 3 2" xfId="29789"/>
    <cellStyle name="Денежный 4 4 2 4" xfId="29790"/>
    <cellStyle name="Денежный 4 4 2 4 2" xfId="29791"/>
    <cellStyle name="Денежный 4 4 2 5" xfId="29792"/>
    <cellStyle name="Денежный 4 4 3" xfId="29793"/>
    <cellStyle name="Денежный 4 4 3 2" xfId="29794"/>
    <cellStyle name="Денежный 4 4 3 2 2" xfId="29795"/>
    <cellStyle name="Денежный 4 4 3 2 2 2" xfId="29796"/>
    <cellStyle name="Денежный 4 4 3 2 3" xfId="29797"/>
    <cellStyle name="Денежный 4 4 3 3" xfId="29798"/>
    <cellStyle name="Денежный 4 4 3 3 2" xfId="29799"/>
    <cellStyle name="Денежный 4 4 3 4" xfId="29800"/>
    <cellStyle name="Денежный 4 4 3 4 2" xfId="29801"/>
    <cellStyle name="Денежный 4 4 3 5" xfId="29802"/>
    <cellStyle name="Денежный 4 4 4" xfId="29803"/>
    <cellStyle name="Денежный 4 4 4 2" xfId="29804"/>
    <cellStyle name="Денежный 4 4 4 2 2" xfId="29805"/>
    <cellStyle name="Денежный 4 4 4 2 2 2" xfId="29806"/>
    <cellStyle name="Денежный 4 4 4 2 3" xfId="29807"/>
    <cellStyle name="Денежный 4 4 4 3" xfId="29808"/>
    <cellStyle name="Денежный 4 4 4 3 2" xfId="29809"/>
    <cellStyle name="Денежный 4 4 4 4" xfId="29810"/>
    <cellStyle name="Денежный 4 4 4 4 2" xfId="29811"/>
    <cellStyle name="Денежный 4 4 4 5" xfId="29812"/>
    <cellStyle name="Денежный 4 4 5" xfId="29813"/>
    <cellStyle name="Денежный 4 4 5 2" xfId="29814"/>
    <cellStyle name="Денежный 4 4 5 2 2" xfId="29815"/>
    <cellStyle name="Денежный 4 4 5 2 2 2" xfId="29816"/>
    <cellStyle name="Денежный 4 4 5 2 3" xfId="29817"/>
    <cellStyle name="Денежный 4 4 5 3" xfId="29818"/>
    <cellStyle name="Денежный 4 4 5 3 2" xfId="29819"/>
    <cellStyle name="Денежный 4 4 5 4" xfId="29820"/>
    <cellStyle name="Денежный 4 4 5 4 2" xfId="29821"/>
    <cellStyle name="Денежный 4 4 5 5" xfId="29822"/>
    <cellStyle name="Денежный 4 4 6" xfId="29823"/>
    <cellStyle name="Денежный 4 4 6 2" xfId="29824"/>
    <cellStyle name="Денежный 4 4 6 2 2" xfId="29825"/>
    <cellStyle name="Денежный 4 4 6 3" xfId="29826"/>
    <cellStyle name="Денежный 4 4 7" xfId="29827"/>
    <cellStyle name="Денежный 4 4 7 2" xfId="29828"/>
    <cellStyle name="Денежный 4 4 8" xfId="29829"/>
    <cellStyle name="Денежный 4 4 8 2" xfId="29830"/>
    <cellStyle name="Денежный 4 4 9" xfId="29831"/>
    <cellStyle name="Денежный 4 5" xfId="29832"/>
    <cellStyle name="Денежный 4 5 10" xfId="29833"/>
    <cellStyle name="Денежный 4 5 2" xfId="29834"/>
    <cellStyle name="Денежный 4 5 2 2" xfId="29835"/>
    <cellStyle name="Денежный 4 5 2 2 2" xfId="29836"/>
    <cellStyle name="Денежный 4 5 2 2 2 2" xfId="29837"/>
    <cellStyle name="Денежный 4 5 2 2 3" xfId="29838"/>
    <cellStyle name="Денежный 4 5 2 3" xfId="29839"/>
    <cellStyle name="Денежный 4 5 2 3 2" xfId="29840"/>
    <cellStyle name="Денежный 4 5 2 4" xfId="29841"/>
    <cellStyle name="Денежный 4 5 2 4 2" xfId="29842"/>
    <cellStyle name="Денежный 4 5 2 5" xfId="29843"/>
    <cellStyle name="Денежный 4 5 3" xfId="29844"/>
    <cellStyle name="Денежный 4 5 3 2" xfId="29845"/>
    <cellStyle name="Денежный 4 5 3 2 2" xfId="29846"/>
    <cellStyle name="Денежный 4 5 3 2 2 2" xfId="29847"/>
    <cellStyle name="Денежный 4 5 3 2 3" xfId="29848"/>
    <cellStyle name="Денежный 4 5 3 3" xfId="29849"/>
    <cellStyle name="Денежный 4 5 3 3 2" xfId="29850"/>
    <cellStyle name="Денежный 4 5 3 4" xfId="29851"/>
    <cellStyle name="Денежный 4 5 3 4 2" xfId="29852"/>
    <cellStyle name="Денежный 4 5 3 5" xfId="29853"/>
    <cellStyle name="Денежный 4 5 4" xfId="29854"/>
    <cellStyle name="Денежный 4 5 4 2" xfId="29855"/>
    <cellStyle name="Денежный 4 5 4 2 2" xfId="29856"/>
    <cellStyle name="Денежный 4 5 4 2 2 2" xfId="29857"/>
    <cellStyle name="Денежный 4 5 4 2 3" xfId="29858"/>
    <cellStyle name="Денежный 4 5 4 3" xfId="29859"/>
    <cellStyle name="Денежный 4 5 4 3 2" xfId="29860"/>
    <cellStyle name="Денежный 4 5 4 4" xfId="29861"/>
    <cellStyle name="Денежный 4 5 4 4 2" xfId="29862"/>
    <cellStyle name="Денежный 4 5 4 5" xfId="29863"/>
    <cellStyle name="Денежный 4 5 5" xfId="29864"/>
    <cellStyle name="Денежный 4 5 5 2" xfId="29865"/>
    <cellStyle name="Денежный 4 5 5 2 2" xfId="29866"/>
    <cellStyle name="Денежный 4 5 5 2 2 2" xfId="29867"/>
    <cellStyle name="Денежный 4 5 5 2 3" xfId="29868"/>
    <cellStyle name="Денежный 4 5 5 3" xfId="29869"/>
    <cellStyle name="Денежный 4 5 5 3 2" xfId="29870"/>
    <cellStyle name="Денежный 4 5 5 4" xfId="29871"/>
    <cellStyle name="Денежный 4 5 5 4 2" xfId="29872"/>
    <cellStyle name="Денежный 4 5 5 5" xfId="29873"/>
    <cellStyle name="Денежный 4 5 6" xfId="29874"/>
    <cellStyle name="Денежный 4 5 6 2" xfId="29875"/>
    <cellStyle name="Денежный 4 5 6 2 2" xfId="29876"/>
    <cellStyle name="Денежный 4 5 6 3" xfId="29877"/>
    <cellStyle name="Денежный 4 5 7" xfId="29878"/>
    <cellStyle name="Денежный 4 5 7 2" xfId="29879"/>
    <cellStyle name="Денежный 4 5 8" xfId="29880"/>
    <cellStyle name="Денежный 4 5 8 2" xfId="29881"/>
    <cellStyle name="Денежный 4 5 9" xfId="29882"/>
    <cellStyle name="Денежный 4 6" xfId="29883"/>
    <cellStyle name="Денежный 4 6 10" xfId="29884"/>
    <cellStyle name="Денежный 4 6 2" xfId="29885"/>
    <cellStyle name="Денежный 4 6 2 2" xfId="29886"/>
    <cellStyle name="Денежный 4 6 2 2 2" xfId="29887"/>
    <cellStyle name="Денежный 4 6 2 2 2 2" xfId="29888"/>
    <cellStyle name="Денежный 4 6 2 2 3" xfId="29889"/>
    <cellStyle name="Денежный 4 6 2 3" xfId="29890"/>
    <cellStyle name="Денежный 4 6 2 3 2" xfId="29891"/>
    <cellStyle name="Денежный 4 6 2 4" xfId="29892"/>
    <cellStyle name="Денежный 4 6 2 4 2" xfId="29893"/>
    <cellStyle name="Денежный 4 6 2 5" xfId="29894"/>
    <cellStyle name="Денежный 4 6 3" xfId="29895"/>
    <cellStyle name="Денежный 4 6 3 2" xfId="29896"/>
    <cellStyle name="Денежный 4 6 3 2 2" xfId="29897"/>
    <cellStyle name="Денежный 4 6 3 2 2 2" xfId="29898"/>
    <cellStyle name="Денежный 4 6 3 2 3" xfId="29899"/>
    <cellStyle name="Денежный 4 6 3 3" xfId="29900"/>
    <cellStyle name="Денежный 4 6 3 3 2" xfId="29901"/>
    <cellStyle name="Денежный 4 6 3 4" xfId="29902"/>
    <cellStyle name="Денежный 4 6 3 4 2" xfId="29903"/>
    <cellStyle name="Денежный 4 6 3 5" xfId="29904"/>
    <cellStyle name="Денежный 4 6 4" xfId="29905"/>
    <cellStyle name="Денежный 4 6 4 2" xfId="29906"/>
    <cellStyle name="Денежный 4 6 4 2 2" xfId="29907"/>
    <cellStyle name="Денежный 4 6 4 2 2 2" xfId="29908"/>
    <cellStyle name="Денежный 4 6 4 2 3" xfId="29909"/>
    <cellStyle name="Денежный 4 6 4 3" xfId="29910"/>
    <cellStyle name="Денежный 4 6 4 3 2" xfId="29911"/>
    <cellStyle name="Денежный 4 6 4 4" xfId="29912"/>
    <cellStyle name="Денежный 4 6 4 4 2" xfId="29913"/>
    <cellStyle name="Денежный 4 6 4 5" xfId="29914"/>
    <cellStyle name="Денежный 4 6 5" xfId="29915"/>
    <cellStyle name="Денежный 4 6 5 2" xfId="29916"/>
    <cellStyle name="Денежный 4 6 5 2 2" xfId="29917"/>
    <cellStyle name="Денежный 4 6 5 2 2 2" xfId="29918"/>
    <cellStyle name="Денежный 4 6 5 2 3" xfId="29919"/>
    <cellStyle name="Денежный 4 6 5 3" xfId="29920"/>
    <cellStyle name="Денежный 4 6 5 3 2" xfId="29921"/>
    <cellStyle name="Денежный 4 6 5 4" xfId="29922"/>
    <cellStyle name="Денежный 4 6 5 4 2" xfId="29923"/>
    <cellStyle name="Денежный 4 6 5 5" xfId="29924"/>
    <cellStyle name="Денежный 4 6 6" xfId="29925"/>
    <cellStyle name="Денежный 4 6 6 2" xfId="29926"/>
    <cellStyle name="Денежный 4 6 6 2 2" xfId="29927"/>
    <cellStyle name="Денежный 4 6 6 3" xfId="29928"/>
    <cellStyle name="Денежный 4 6 7" xfId="29929"/>
    <cellStyle name="Денежный 4 6 7 2" xfId="29930"/>
    <cellStyle name="Денежный 4 6 8" xfId="29931"/>
    <cellStyle name="Денежный 4 6 8 2" xfId="29932"/>
    <cellStyle name="Денежный 4 6 9" xfId="29933"/>
    <cellStyle name="Денежный 4 7" xfId="29934"/>
    <cellStyle name="Денежный 4 7 2" xfId="29935"/>
    <cellStyle name="Денежный 4 7 2 2" xfId="29936"/>
    <cellStyle name="Денежный 4 7 2 2 2" xfId="29937"/>
    <cellStyle name="Денежный 4 7 2 3" xfId="29938"/>
    <cellStyle name="Денежный 4 7 3" xfId="29939"/>
    <cellStyle name="Денежный 4 7 3 2" xfId="29940"/>
    <cellStyle name="Денежный 4 7 4" xfId="29941"/>
    <cellStyle name="Денежный 4 7 4 2" xfId="29942"/>
    <cellStyle name="Денежный 4 7 5" xfId="29943"/>
    <cellStyle name="Денежный 4 8" xfId="29944"/>
    <cellStyle name="Денежный 4 8 2" xfId="29945"/>
    <cellStyle name="Денежный 4 8 2 2" xfId="29946"/>
    <cellStyle name="Денежный 4 8 2 2 2" xfId="29947"/>
    <cellStyle name="Денежный 4 8 2 3" xfId="29948"/>
    <cellStyle name="Денежный 4 8 3" xfId="29949"/>
    <cellStyle name="Денежный 4 8 3 2" xfId="29950"/>
    <cellStyle name="Денежный 4 8 4" xfId="29951"/>
    <cellStyle name="Денежный 4 8 4 2" xfId="29952"/>
    <cellStyle name="Денежный 4 8 5" xfId="29953"/>
    <cellStyle name="Денежный 4 9" xfId="29954"/>
    <cellStyle name="Денежный 4 9 2" xfId="29955"/>
    <cellStyle name="Денежный 4 9 2 2" xfId="29956"/>
    <cellStyle name="Денежный 4 9 2 2 2" xfId="29957"/>
    <cellStyle name="Денежный 4 9 2 3" xfId="29958"/>
    <cellStyle name="Денежный 4 9 3" xfId="29959"/>
    <cellStyle name="Денежный 4 9 3 2" xfId="29960"/>
    <cellStyle name="Денежный 4 9 4" xfId="29961"/>
    <cellStyle name="Денежный 4 9 4 2" xfId="29962"/>
    <cellStyle name="Денежный 4 9 5" xfId="29963"/>
    <cellStyle name="Денежный 5" xfId="29964"/>
    <cellStyle name="Денежный 5 10" xfId="29965"/>
    <cellStyle name="Денежный 5 2" xfId="29966"/>
    <cellStyle name="Денежный 5 2 2" xfId="29967"/>
    <cellStyle name="Денежный 5 2 2 2" xfId="29968"/>
    <cellStyle name="Денежный 5 2 2 2 2" xfId="29969"/>
    <cellStyle name="Денежный 5 2 2 3" xfId="29970"/>
    <cellStyle name="Денежный 5 2 3" xfId="29971"/>
    <cellStyle name="Денежный 5 2 3 2" xfId="29972"/>
    <cellStyle name="Денежный 5 2 4" xfId="29973"/>
    <cellStyle name="Денежный 5 2 4 2" xfId="29974"/>
    <cellStyle name="Денежный 5 2 5" xfId="29975"/>
    <cellStyle name="Денежный 5 3" xfId="29976"/>
    <cellStyle name="Денежный 5 3 2" xfId="29977"/>
    <cellStyle name="Денежный 5 3 2 2" xfId="29978"/>
    <cellStyle name="Денежный 5 3 2 2 2" xfId="29979"/>
    <cellStyle name="Денежный 5 3 2 3" xfId="29980"/>
    <cellStyle name="Денежный 5 3 3" xfId="29981"/>
    <cellStyle name="Денежный 5 3 3 2" xfId="29982"/>
    <cellStyle name="Денежный 5 3 4" xfId="29983"/>
    <cellStyle name="Денежный 5 3 4 2" xfId="29984"/>
    <cellStyle name="Денежный 5 3 5" xfId="29985"/>
    <cellStyle name="Денежный 5 4" xfId="29986"/>
    <cellStyle name="Денежный 5 4 2" xfId="29987"/>
    <cellStyle name="Денежный 5 4 2 2" xfId="29988"/>
    <cellStyle name="Денежный 5 4 2 2 2" xfId="29989"/>
    <cellStyle name="Денежный 5 4 2 3" xfId="29990"/>
    <cellStyle name="Денежный 5 4 3" xfId="29991"/>
    <cellStyle name="Денежный 5 4 3 2" xfId="29992"/>
    <cellStyle name="Денежный 5 4 4" xfId="29993"/>
    <cellStyle name="Денежный 5 4 4 2" xfId="29994"/>
    <cellStyle name="Денежный 5 4 5" xfId="29995"/>
    <cellStyle name="Денежный 5 5" xfId="29996"/>
    <cellStyle name="Денежный 5 5 2" xfId="29997"/>
    <cellStyle name="Денежный 5 5 2 2" xfId="29998"/>
    <cellStyle name="Денежный 5 5 2 2 2" xfId="29999"/>
    <cellStyle name="Денежный 5 5 2 3" xfId="30000"/>
    <cellStyle name="Денежный 5 5 3" xfId="30001"/>
    <cellStyle name="Денежный 5 5 3 2" xfId="30002"/>
    <cellStyle name="Денежный 5 5 4" xfId="30003"/>
    <cellStyle name="Денежный 5 5 4 2" xfId="30004"/>
    <cellStyle name="Денежный 5 5 5" xfId="30005"/>
    <cellStyle name="Денежный 5 6" xfId="30006"/>
    <cellStyle name="Денежный 5 6 2" xfId="30007"/>
    <cellStyle name="Денежный 5 6 2 2" xfId="30008"/>
    <cellStyle name="Денежный 5 6 3" xfId="30009"/>
    <cellStyle name="Денежный 5 7" xfId="30010"/>
    <cellStyle name="Денежный 5 7 2" xfId="30011"/>
    <cellStyle name="Денежный 5 8" xfId="30012"/>
    <cellStyle name="Денежный 5 8 2" xfId="30013"/>
    <cellStyle name="Денежный 5 9" xfId="30014"/>
    <cellStyle name="Денежный 6" xfId="30015"/>
    <cellStyle name="Денежный 6 10" xfId="30016"/>
    <cellStyle name="Денежный 6 2" xfId="30017"/>
    <cellStyle name="Денежный 6 2 2" xfId="30018"/>
    <cellStyle name="Денежный 6 2 2 2" xfId="30019"/>
    <cellStyle name="Денежный 6 2 2 2 2" xfId="30020"/>
    <cellStyle name="Денежный 6 2 2 3" xfId="30021"/>
    <cellStyle name="Денежный 6 2 3" xfId="30022"/>
    <cellStyle name="Денежный 6 2 3 2" xfId="30023"/>
    <cellStyle name="Денежный 6 2 4" xfId="30024"/>
    <cellStyle name="Денежный 6 2 4 2" xfId="30025"/>
    <cellStyle name="Денежный 6 2 5" xfId="30026"/>
    <cellStyle name="Денежный 6 3" xfId="30027"/>
    <cellStyle name="Денежный 6 3 2" xfId="30028"/>
    <cellStyle name="Денежный 6 3 2 2" xfId="30029"/>
    <cellStyle name="Денежный 6 3 2 2 2" xfId="30030"/>
    <cellStyle name="Денежный 6 3 2 3" xfId="30031"/>
    <cellStyle name="Денежный 6 3 3" xfId="30032"/>
    <cellStyle name="Денежный 6 3 3 2" xfId="30033"/>
    <cellStyle name="Денежный 6 3 4" xfId="30034"/>
    <cellStyle name="Денежный 6 3 4 2" xfId="30035"/>
    <cellStyle name="Денежный 6 3 5" xfId="30036"/>
    <cellStyle name="Денежный 6 4" xfId="30037"/>
    <cellStyle name="Денежный 6 4 2" xfId="30038"/>
    <cellStyle name="Денежный 6 4 2 2" xfId="30039"/>
    <cellStyle name="Денежный 6 4 2 2 2" xfId="30040"/>
    <cellStyle name="Денежный 6 4 2 3" xfId="30041"/>
    <cellStyle name="Денежный 6 4 3" xfId="30042"/>
    <cellStyle name="Денежный 6 4 3 2" xfId="30043"/>
    <cellStyle name="Денежный 6 4 4" xfId="30044"/>
    <cellStyle name="Денежный 6 4 4 2" xfId="30045"/>
    <cellStyle name="Денежный 6 4 5" xfId="30046"/>
    <cellStyle name="Денежный 6 5" xfId="30047"/>
    <cellStyle name="Денежный 6 5 2" xfId="30048"/>
    <cellStyle name="Денежный 6 5 2 2" xfId="30049"/>
    <cellStyle name="Денежный 6 5 2 2 2" xfId="30050"/>
    <cellStyle name="Денежный 6 5 2 3" xfId="30051"/>
    <cellStyle name="Денежный 6 5 3" xfId="30052"/>
    <cellStyle name="Денежный 6 5 3 2" xfId="30053"/>
    <cellStyle name="Денежный 6 5 4" xfId="30054"/>
    <cellStyle name="Денежный 6 5 4 2" xfId="30055"/>
    <cellStyle name="Денежный 6 5 5" xfId="30056"/>
    <cellStyle name="Денежный 6 6" xfId="30057"/>
    <cellStyle name="Денежный 6 6 2" xfId="30058"/>
    <cellStyle name="Денежный 6 6 2 2" xfId="30059"/>
    <cellStyle name="Денежный 6 6 3" xfId="30060"/>
    <cellStyle name="Денежный 6 7" xfId="30061"/>
    <cellStyle name="Денежный 6 7 2" xfId="30062"/>
    <cellStyle name="Денежный 6 8" xfId="30063"/>
    <cellStyle name="Денежный 6 8 2" xfId="30064"/>
    <cellStyle name="Денежный 6 9" xfId="30065"/>
    <cellStyle name="Денежный 7" xfId="30066"/>
    <cellStyle name="Денежный 7 2" xfId="30067"/>
    <cellStyle name="Денежный 7 2 2" xfId="30068"/>
    <cellStyle name="Денежный 7 2 2 2" xfId="30069"/>
    <cellStyle name="Денежный 7 2 3" xfId="30070"/>
    <cellStyle name="Денежный 7 3" xfId="30071"/>
    <cellStyle name="Денежный 7 3 2" xfId="30072"/>
    <cellStyle name="Денежный 7 4" xfId="30073"/>
    <cellStyle name="Денежный 7 4 2" xfId="30074"/>
    <cellStyle name="Денежный 7 5" xfId="30075"/>
    <cellStyle name="Денежный 8" xfId="30076"/>
    <cellStyle name="Денежный 8 2" xfId="30077"/>
    <cellStyle name="Денежный 8 2 2" xfId="30078"/>
    <cellStyle name="Денежный 8 3" xfId="30079"/>
    <cellStyle name="Денежный 9" xfId="30080"/>
    <cellStyle name="Денежный 9 2" xfId="30081"/>
    <cellStyle name="Заголовок 1 2" xfId="30082"/>
    <cellStyle name="Заголовок 2 2" xfId="30083"/>
    <cellStyle name="Заголовок 2 2 2" xfId="30084"/>
    <cellStyle name="Заголовок 3 2" xfId="30085"/>
    <cellStyle name="Заголовок 4 2" xfId="30086"/>
    <cellStyle name="Итог 2" xfId="30087"/>
    <cellStyle name="Контрольная ячейка 2" xfId="30088"/>
    <cellStyle name="Название 2" xfId="30089"/>
    <cellStyle name="Название 3" xfId="30090"/>
    <cellStyle name="Нейтральный 2" xfId="30091"/>
    <cellStyle name="Нейтральный 3" xfId="30092"/>
    <cellStyle name="Обычный 10" xfId="30093"/>
    <cellStyle name="Обычный 10 2" xfId="30094"/>
    <cellStyle name="Обычный 10 2 2" xfId="30095"/>
    <cellStyle name="Обычный 10 2 2 2" xfId="30096"/>
    <cellStyle name="Обычный 10 2 3" xfId="30097"/>
    <cellStyle name="Обычный 10 2 3 2" xfId="30098"/>
    <cellStyle name="Обычный 10 2 4" xfId="30099"/>
    <cellStyle name="Обычный 10 2 4 2" xfId="30100"/>
    <cellStyle name="Обычный 10 3" xfId="30101"/>
    <cellStyle name="Обычный 10 3 2" xfId="30102"/>
    <cellStyle name="Обычный 10 3 2 2" xfId="30103"/>
    <cellStyle name="Обычный 10 3 3" xfId="30104"/>
    <cellStyle name="Обычный 10 4" xfId="30105"/>
    <cellStyle name="Обычный 10 4 2" xfId="30106"/>
    <cellStyle name="Обычный 10 5" xfId="30107"/>
    <cellStyle name="Обычный 10 5 2" xfId="30108"/>
    <cellStyle name="Обычный 10 6" xfId="30109"/>
    <cellStyle name="Обычный 10 6 2" xfId="30110"/>
    <cellStyle name="Обычный 11" xfId="30111"/>
    <cellStyle name="Обычный 11 2" xfId="30112"/>
    <cellStyle name="Обычный 11 2 2" xfId="30113"/>
    <cellStyle name="Обычный 11 2 2 2" xfId="30114"/>
    <cellStyle name="Обычный 11 2 3" xfId="30115"/>
    <cellStyle name="Обычный 11 2 3 2" xfId="30116"/>
    <cellStyle name="Обычный 11 2 4" xfId="30117"/>
    <cellStyle name="Обычный 11 2 4 2" xfId="30118"/>
    <cellStyle name="Обычный 11 3" xfId="30119"/>
    <cellStyle name="Обычный 11 3 2" xfId="30120"/>
    <cellStyle name="Обычный 11 3 2 2" xfId="30121"/>
    <cellStyle name="Обычный 11 3 3" xfId="30122"/>
    <cellStyle name="Обычный 11 4" xfId="30123"/>
    <cellStyle name="Обычный 11 4 2" xfId="30124"/>
    <cellStyle name="Обычный 11 5" xfId="30125"/>
    <cellStyle name="Обычный 11 5 2" xfId="30126"/>
    <cellStyle name="Обычный 11 6" xfId="30127"/>
    <cellStyle name="Обычный 11 6 2" xfId="30128"/>
    <cellStyle name="Обычный 12" xfId="30129"/>
    <cellStyle name="Обычный 12 2" xfId="30130"/>
    <cellStyle name="Обычный 12 2 2" xfId="30131"/>
    <cellStyle name="Обычный 12 2 2 2" xfId="30132"/>
    <cellStyle name="Обычный 12 2 3" xfId="30133"/>
    <cellStyle name="Обычный 12 2 3 2" xfId="30134"/>
    <cellStyle name="Обычный 12 2 4" xfId="30135"/>
    <cellStyle name="Обычный 12 2 4 2" xfId="30136"/>
    <cellStyle name="Обычный 12 3" xfId="30137"/>
    <cellStyle name="Обычный 12 3 2" xfId="30138"/>
    <cellStyle name="Обычный 12 3 2 2" xfId="30139"/>
    <cellStyle name="Обычный 12 3 3" xfId="30140"/>
    <cellStyle name="Обычный 12 4" xfId="30141"/>
    <cellStyle name="Обычный 12 4 2" xfId="30142"/>
    <cellStyle name="Обычный 12 5" xfId="30143"/>
    <cellStyle name="Обычный 12 5 2" xfId="30144"/>
    <cellStyle name="Обычный 12 6" xfId="30145"/>
    <cellStyle name="Обычный 12 6 2" xfId="30146"/>
    <cellStyle name="Обычный 13" xfId="30147"/>
    <cellStyle name="Обычный 13 2" xfId="30148"/>
    <cellStyle name="Обычный 13 2 2" xfId="30149"/>
    <cellStyle name="Обычный 13 2 2 2" xfId="30150"/>
    <cellStyle name="Обычный 13 2 3" xfId="30151"/>
    <cellStyle name="Обычный 13 2 3 2" xfId="30152"/>
    <cellStyle name="Обычный 13 2 4" xfId="30153"/>
    <cellStyle name="Обычный 13 2 4 2" xfId="30154"/>
    <cellStyle name="Обычный 13 3" xfId="30155"/>
    <cellStyle name="Обычный 13 3 2" xfId="30156"/>
    <cellStyle name="Обычный 13 3 2 2" xfId="30157"/>
    <cellStyle name="Обычный 13 3 3" xfId="30158"/>
    <cellStyle name="Обычный 13 4" xfId="30159"/>
    <cellStyle name="Обычный 13 4 2" xfId="30160"/>
    <cellStyle name="Обычный 13 5" xfId="30161"/>
    <cellStyle name="Обычный 13 5 2" xfId="30162"/>
    <cellStyle name="Обычный 13 6" xfId="30163"/>
    <cellStyle name="Обычный 13 6 2" xfId="30164"/>
    <cellStyle name="Обычный 14" xfId="30165"/>
    <cellStyle name="Обычный 14 2" xfId="30166"/>
    <cellStyle name="Обычный 14 2 2" xfId="30167"/>
    <cellStyle name="Обычный 14 2 2 2" xfId="30168"/>
    <cellStyle name="Обычный 14 2 3" xfId="30169"/>
    <cellStyle name="Обычный 14 2 3 2" xfId="30170"/>
    <cellStyle name="Обычный 14 2 4" xfId="30171"/>
    <cellStyle name="Обычный 14 2 4 2" xfId="30172"/>
    <cellStyle name="Обычный 14 3" xfId="30173"/>
    <cellStyle name="Обычный 14 3 2" xfId="30174"/>
    <cellStyle name="Обычный 14 3 2 2" xfId="30175"/>
    <cellStyle name="Обычный 14 3 3" xfId="30176"/>
    <cellStyle name="Обычный 14 4" xfId="30177"/>
    <cellStyle name="Обычный 14 4 2" xfId="30178"/>
    <cellStyle name="Обычный 14 5" xfId="30179"/>
    <cellStyle name="Обычный 14 5 2" xfId="30180"/>
    <cellStyle name="Обычный 14 6" xfId="30181"/>
    <cellStyle name="Обычный 14 6 2" xfId="30182"/>
    <cellStyle name="Обычный 15" xfId="30183"/>
    <cellStyle name="Обычный 15 2" xfId="30184"/>
    <cellStyle name="Обычный 15 2 2" xfId="30185"/>
    <cellStyle name="Обычный 15 2 2 2" xfId="30186"/>
    <cellStyle name="Обычный 15 2 3" xfId="30187"/>
    <cellStyle name="Обычный 15 2 3 2" xfId="30188"/>
    <cellStyle name="Обычный 15 2 4" xfId="30189"/>
    <cellStyle name="Обычный 15 2 4 2" xfId="30190"/>
    <cellStyle name="Обычный 15 3" xfId="30191"/>
    <cellStyle name="Обычный 15 3 2" xfId="30192"/>
    <cellStyle name="Обычный 15 3 2 2" xfId="30193"/>
    <cellStyle name="Обычный 15 3 3" xfId="30194"/>
    <cellStyle name="Обычный 15 4" xfId="30195"/>
    <cellStyle name="Обычный 15 4 2" xfId="30196"/>
    <cellStyle name="Обычный 15 5" xfId="30197"/>
    <cellStyle name="Обычный 15 5 2" xfId="30198"/>
    <cellStyle name="Обычный 15 6" xfId="30199"/>
    <cellStyle name="Обычный 15 6 2" xfId="30200"/>
    <cellStyle name="Обычный 16" xfId="30201"/>
    <cellStyle name="Обычный 16 2" xfId="30202"/>
    <cellStyle name="Обычный 16 2 2" xfId="30203"/>
    <cellStyle name="Обычный 16 2 2 2" xfId="30204"/>
    <cellStyle name="Обычный 16 2 3" xfId="30205"/>
    <cellStyle name="Обычный 16 2 3 2" xfId="30206"/>
    <cellStyle name="Обычный 16 2 4" xfId="30207"/>
    <cellStyle name="Обычный 16 2 4 2" xfId="30208"/>
    <cellStyle name="Обычный 16 3" xfId="30209"/>
    <cellStyle name="Обычный 16 3 2" xfId="30210"/>
    <cellStyle name="Обычный 16 3 2 2" xfId="30211"/>
    <cellStyle name="Обычный 16 3 3" xfId="30212"/>
    <cellStyle name="Обычный 16 4" xfId="30213"/>
    <cellStyle name="Обычный 16 4 2" xfId="30214"/>
    <cellStyle name="Обычный 16 5" xfId="30215"/>
    <cellStyle name="Обычный 16 5 2" xfId="30216"/>
    <cellStyle name="Обычный 16 6" xfId="30217"/>
    <cellStyle name="Обычный 16 6 2" xfId="30218"/>
    <cellStyle name="Обычный 17" xfId="30219"/>
    <cellStyle name="Обычный 17 2" xfId="30220"/>
    <cellStyle name="Обычный 17 2 2" xfId="30221"/>
    <cellStyle name="Обычный 17 2 2 2" xfId="30222"/>
    <cellStyle name="Обычный 17 2 3" xfId="30223"/>
    <cellStyle name="Обычный 17 2 3 2" xfId="30224"/>
    <cellStyle name="Обычный 17 2 4" xfId="30225"/>
    <cellStyle name="Обычный 17 2 4 2" xfId="30226"/>
    <cellStyle name="Обычный 17 3" xfId="30227"/>
    <cellStyle name="Обычный 17 3 2" xfId="30228"/>
    <cellStyle name="Обычный 17 3 2 2" xfId="30229"/>
    <cellStyle name="Обычный 17 3 3" xfId="30230"/>
    <cellStyle name="Обычный 17 4" xfId="30231"/>
    <cellStyle name="Обычный 17 4 2" xfId="30232"/>
    <cellStyle name="Обычный 17 5" xfId="30233"/>
    <cellStyle name="Обычный 17 5 2" xfId="30234"/>
    <cellStyle name="Обычный 17 6" xfId="30235"/>
    <cellStyle name="Обычный 17 6 2" xfId="30236"/>
    <cellStyle name="Обычный 18" xfId="30237"/>
    <cellStyle name="Обычный 18 2" xfId="30238"/>
    <cellStyle name="Обычный 18 2 2" xfId="30239"/>
    <cellStyle name="Обычный 18 2 2 2" xfId="30240"/>
    <cellStyle name="Обычный 18 2 3" xfId="30241"/>
    <cellStyle name="Обычный 18 2 3 2" xfId="30242"/>
    <cellStyle name="Обычный 18 2 4" xfId="30243"/>
    <cellStyle name="Обычный 18 2 4 2" xfId="30244"/>
    <cellStyle name="Обычный 18 3" xfId="30245"/>
    <cellStyle name="Обычный 18 3 2" xfId="30246"/>
    <cellStyle name="Обычный 18 3 2 2" xfId="30247"/>
    <cellStyle name="Обычный 18 3 3" xfId="30248"/>
    <cellStyle name="Обычный 18 4" xfId="30249"/>
    <cellStyle name="Обычный 18 4 2" xfId="30250"/>
    <cellStyle name="Обычный 18 5" xfId="30251"/>
    <cellStyle name="Обычный 18 5 2" xfId="30252"/>
    <cellStyle name="Обычный 18 6" xfId="30253"/>
    <cellStyle name="Обычный 18 6 2" xfId="30254"/>
    <cellStyle name="Обычный 19" xfId="30255"/>
    <cellStyle name="Обычный 19 2" xfId="30256"/>
    <cellStyle name="Обычный 19 2 2" xfId="30257"/>
    <cellStyle name="Обычный 19 2 2 2" xfId="30258"/>
    <cellStyle name="Обычный 19 2 3" xfId="30259"/>
    <cellStyle name="Обычный 19 2 3 2" xfId="30260"/>
    <cellStyle name="Обычный 19 2 4" xfId="30261"/>
    <cellStyle name="Обычный 19 2 4 2" xfId="30262"/>
    <cellStyle name="Обычный 19 3" xfId="30263"/>
    <cellStyle name="Обычный 19 3 2" xfId="30264"/>
    <cellStyle name="Обычный 19 3 2 2" xfId="30265"/>
    <cellStyle name="Обычный 19 3 3" xfId="30266"/>
    <cellStyle name="Обычный 19 4" xfId="30267"/>
    <cellStyle name="Обычный 19 4 2" xfId="30268"/>
    <cellStyle name="Обычный 19 5" xfId="30269"/>
    <cellStyle name="Обычный 19 5 2" xfId="30270"/>
    <cellStyle name="Обычный 19 6" xfId="30271"/>
    <cellStyle name="Обычный 19 6 2" xfId="30272"/>
    <cellStyle name="Обычный 2" xfId="30273"/>
    <cellStyle name="Обычный 2 2" xfId="30274"/>
    <cellStyle name="Обычный 2 2 2" xfId="30275"/>
    <cellStyle name="Обычный 2 2 2 2" xfId="30276"/>
    <cellStyle name="Обычный 2 2 2 3" xfId="30277"/>
    <cellStyle name="Обычный 2 2 3" xfId="30278"/>
    <cellStyle name="Обычный 2 2 3 2" xfId="30279"/>
    <cellStyle name="Обычный 2 2 4" xfId="30280"/>
    <cellStyle name="Обычный 2 2 4 2" xfId="30281"/>
    <cellStyle name="Обычный 2 2 5" xfId="30282"/>
    <cellStyle name="Обычный 2 3" xfId="30283"/>
    <cellStyle name="Обычный 2 3 2" xfId="30284"/>
    <cellStyle name="Обычный 2 3 2 2" xfId="30285"/>
    <cellStyle name="Обычный 2 3 3" xfId="30286"/>
    <cellStyle name="Обычный 2 3 4" xfId="30287"/>
    <cellStyle name="Обычный 2 4" xfId="30288"/>
    <cellStyle name="Обычный 2 4 2" xfId="30289"/>
    <cellStyle name="Обычный 2 4 3" xfId="30290"/>
    <cellStyle name="Обычный 2 5" xfId="30291"/>
    <cellStyle name="Обычный 2 5 2" xfId="30292"/>
    <cellStyle name="Обычный 2 6" xfId="30293"/>
    <cellStyle name="Обычный 2 6 2" xfId="30294"/>
    <cellStyle name="Обычный 2 7" xfId="30295"/>
    <cellStyle name="Обычный 20" xfId="30296"/>
    <cellStyle name="Обычный 20 2" xfId="30297"/>
    <cellStyle name="Обычный 20 2 2" xfId="30298"/>
    <cellStyle name="Обычный 20 2 2 2" xfId="30299"/>
    <cellStyle name="Обычный 20 2 3" xfId="30300"/>
    <cellStyle name="Обычный 20 2 3 2" xfId="30301"/>
    <cellStyle name="Обычный 20 2 4" xfId="30302"/>
    <cellStyle name="Обычный 20 2 4 2" xfId="30303"/>
    <cellStyle name="Обычный 20 3" xfId="30304"/>
    <cellStyle name="Обычный 20 3 2" xfId="30305"/>
    <cellStyle name="Обычный 20 3 2 2" xfId="30306"/>
    <cellStyle name="Обычный 20 3 3" xfId="30307"/>
    <cellStyle name="Обычный 20 4" xfId="30308"/>
    <cellStyle name="Обычный 20 4 2" xfId="30309"/>
    <cellStyle name="Обычный 20 5" xfId="30310"/>
    <cellStyle name="Обычный 20 5 2" xfId="30311"/>
    <cellStyle name="Обычный 20 6" xfId="30312"/>
    <cellStyle name="Обычный 20 6 2" xfId="30313"/>
    <cellStyle name="Обычный 21" xfId="30314"/>
    <cellStyle name="Обычный 21 2" xfId="30315"/>
    <cellStyle name="Обычный 21 2 2" xfId="30316"/>
    <cellStyle name="Обычный 21 2 2 2" xfId="30317"/>
    <cellStyle name="Обычный 21 2 2 3" xfId="30318"/>
    <cellStyle name="Обычный 21 2 3" xfId="30319"/>
    <cellStyle name="Обычный 21 2 3 2" xfId="30320"/>
    <cellStyle name="Обычный 21 2 3 3" xfId="30321"/>
    <cellStyle name="Обычный 21 2 4" xfId="30322"/>
    <cellStyle name="Обычный 21 2 4 2" xfId="30323"/>
    <cellStyle name="Обычный 21 2 5" xfId="30324"/>
    <cellStyle name="Обычный 21 2 5 2" xfId="30325"/>
    <cellStyle name="Обычный 21 2 6" xfId="30326"/>
    <cellStyle name="Обычный 21 2 7" xfId="30327"/>
    <cellStyle name="Обычный 21 3" xfId="30328"/>
    <cellStyle name="Обычный 21 3 2" xfId="30329"/>
    <cellStyle name="Обычный 21 3 2 2" xfId="30330"/>
    <cellStyle name="Обычный 21 3 2 3" xfId="30331"/>
    <cellStyle name="Обычный 21 3 3" xfId="30332"/>
    <cellStyle name="Обычный 21 3 4" xfId="30333"/>
    <cellStyle name="Обычный 21 4" xfId="30334"/>
    <cellStyle name="Обычный 21 4 2" xfId="30335"/>
    <cellStyle name="Обычный 21 4 3" xfId="30336"/>
    <cellStyle name="Обычный 21 5" xfId="30337"/>
    <cellStyle name="Обычный 21 5 2" xfId="30338"/>
    <cellStyle name="Обычный 21 5 3" xfId="30339"/>
    <cellStyle name="Обычный 21 6" xfId="30340"/>
    <cellStyle name="Обычный 21 6 2" xfId="30341"/>
    <cellStyle name="Обычный 21 7" xfId="30342"/>
    <cellStyle name="Обычный 21 7 2" xfId="30343"/>
    <cellStyle name="Обычный 21 8" xfId="30344"/>
    <cellStyle name="Обычный 21 9" xfId="30345"/>
    <cellStyle name="Обычный 22" xfId="30346"/>
    <cellStyle name="Обычный 22 2" xfId="30347"/>
    <cellStyle name="Обычный 22 2 2" xfId="30348"/>
    <cellStyle name="Обычный 22 3" xfId="30349"/>
    <cellStyle name="Обычный 22 4" xfId="30350"/>
    <cellStyle name="Обычный 23" xfId="30351"/>
    <cellStyle name="Обычный 23 2" xfId="30352"/>
    <cellStyle name="Обычный 23 2 2" xfId="30353"/>
    <cellStyle name="Обычный 23 2 2 2" xfId="30354"/>
    <cellStyle name="Обычный 23 2 2 3" xfId="30355"/>
    <cellStyle name="Обычный 23 2 3" xfId="30356"/>
    <cellStyle name="Обычный 23 3" xfId="30357"/>
    <cellStyle name="Обычный 23 3 2" xfId="30358"/>
    <cellStyle name="Обычный 23 4" xfId="30359"/>
    <cellStyle name="Обычный 24" xfId="30360"/>
    <cellStyle name="Обычный 24 2" xfId="30361"/>
    <cellStyle name="Обычный 25" xfId="30362"/>
    <cellStyle name="Обычный 25 2" xfId="30363"/>
    <cellStyle name="Обычный 25 3" xfId="30364"/>
    <cellStyle name="Обычный 26" xfId="30365"/>
    <cellStyle name="Обычный 26 2" xfId="30366"/>
    <cellStyle name="Обычный 26 3" xfId="30367"/>
    <cellStyle name="Обычный 27" xfId="30368"/>
    <cellStyle name="Обычный 27 2" xfId="30369"/>
    <cellStyle name="Обычный 27 3" xfId="30370"/>
    <cellStyle name="Обычный 28" xfId="30371"/>
    <cellStyle name="Обычный 28 2" xfId="30372"/>
    <cellStyle name="Обычный 29" xfId="30373"/>
    <cellStyle name="Обычный 3" xfId="30374"/>
    <cellStyle name="Обычный 3 2" xfId="30375"/>
    <cellStyle name="Обычный 3 2 2" xfId="30376"/>
    <cellStyle name="Обычный 3 2 3" xfId="30377"/>
    <cellStyle name="Обычный 3 2 4" xfId="30378"/>
    <cellStyle name="Обычный 3 3" xfId="30379"/>
    <cellStyle name="Обычный 3 3 2" xfId="30380"/>
    <cellStyle name="Обычный 3 3 3" xfId="30381"/>
    <cellStyle name="Обычный 3 3 4" xfId="30382"/>
    <cellStyle name="Обычный 3 4" xfId="30383"/>
    <cellStyle name="Обычный 3 4 2" xfId="30384"/>
    <cellStyle name="Обычный 3 4 3" xfId="30385"/>
    <cellStyle name="Обычный 3 4 4" xfId="30386"/>
    <cellStyle name="Обычный 3 5" xfId="30387"/>
    <cellStyle name="Обычный 3 5 2" xfId="30388"/>
    <cellStyle name="Обычный 3 6" xfId="30389"/>
    <cellStyle name="Обычный 3 7" xfId="30390"/>
    <cellStyle name="Обычный 30" xfId="30391"/>
    <cellStyle name="Обычный 31" xfId="30392"/>
    <cellStyle name="Обычный 32" xfId="30393"/>
    <cellStyle name="Обычный 33" xfId="30394"/>
    <cellStyle name="Обычный 4" xfId="30395"/>
    <cellStyle name="Обычный 4 2" xfId="30396"/>
    <cellStyle name="Обычный 4 2 2" xfId="30397"/>
    <cellStyle name="Обычный 4 2 3" xfId="30398"/>
    <cellStyle name="Обычный 4 3" xfId="30399"/>
    <cellStyle name="Обычный 4 3 2" xfId="30400"/>
    <cellStyle name="Обычный 4 4" xfId="30401"/>
    <cellStyle name="Обычный 4 4 2" xfId="30402"/>
    <cellStyle name="Обычный 5" xfId="30403"/>
    <cellStyle name="Обычный 5 2" xfId="30404"/>
    <cellStyle name="Обычный 5 2 2" xfId="30405"/>
    <cellStyle name="Обычный 5 2 2 2" xfId="30406"/>
    <cellStyle name="Обычный 5 2 3" xfId="30407"/>
    <cellStyle name="Обычный 5 2 3 2" xfId="30408"/>
    <cellStyle name="Обычный 5 2 4" xfId="30409"/>
    <cellStyle name="Обычный 5 2 4 2" xfId="30410"/>
    <cellStyle name="Обычный 5 3" xfId="30411"/>
    <cellStyle name="Обычный 5 3 2" xfId="30412"/>
    <cellStyle name="Обычный 5 3 2 2" xfId="30413"/>
    <cellStyle name="Обычный 5 3 3" xfId="30414"/>
    <cellStyle name="Обычный 5 4" xfId="30415"/>
    <cellStyle name="Обычный 5 4 2" xfId="30416"/>
    <cellStyle name="Обычный 5 5" xfId="30417"/>
    <cellStyle name="Обычный 5 5 2" xfId="30418"/>
    <cellStyle name="Обычный 5 6" xfId="30419"/>
    <cellStyle name="Обычный 5 6 2" xfId="30420"/>
    <cellStyle name="Обычный 6" xfId="30421"/>
    <cellStyle name="Обычный 6 2" xfId="30422"/>
    <cellStyle name="Обычный 6 2 2" xfId="30423"/>
    <cellStyle name="Обычный 6 2 2 2" xfId="30424"/>
    <cellStyle name="Обычный 6 2 3" xfId="30425"/>
    <cellStyle name="Обычный 6 2 3 2" xfId="30426"/>
    <cellStyle name="Обычный 6 2 4" xfId="30427"/>
    <cellStyle name="Обычный 6 2 4 2" xfId="30428"/>
    <cellStyle name="Обычный 6 3" xfId="30429"/>
    <cellStyle name="Обычный 6 3 2" xfId="30430"/>
    <cellStyle name="Обычный 6 3 2 2" xfId="30431"/>
    <cellStyle name="Обычный 6 3 3" xfId="30432"/>
    <cellStyle name="Обычный 6 4" xfId="30433"/>
    <cellStyle name="Обычный 6 4 2" xfId="30434"/>
    <cellStyle name="Обычный 6 5" xfId="30435"/>
    <cellStyle name="Обычный 6 5 2" xfId="30436"/>
    <cellStyle name="Обычный 6 6" xfId="30437"/>
    <cellStyle name="Обычный 6 6 2" xfId="30438"/>
    <cellStyle name="Обычный 7" xfId="30439"/>
    <cellStyle name="Обычный 7 2" xfId="30440"/>
    <cellStyle name="Обычный 7 2 2" xfId="30441"/>
    <cellStyle name="Обычный 7 2 2 2" xfId="30442"/>
    <cellStyle name="Обычный 7 2 3" xfId="30443"/>
    <cellStyle name="Обычный 7 2 3 2" xfId="30444"/>
    <cellStyle name="Обычный 7 2 4" xfId="30445"/>
    <cellStyle name="Обычный 7 2 4 2" xfId="30446"/>
    <cellStyle name="Обычный 7 3" xfId="30447"/>
    <cellStyle name="Обычный 7 3 2" xfId="30448"/>
    <cellStyle name="Обычный 7 3 2 2" xfId="30449"/>
    <cellStyle name="Обычный 7 3 3" xfId="30450"/>
    <cellStyle name="Обычный 7 4" xfId="30451"/>
    <cellStyle name="Обычный 7 4 2" xfId="30452"/>
    <cellStyle name="Обычный 7 5" xfId="30453"/>
    <cellStyle name="Обычный 7 5 2" xfId="30454"/>
    <cellStyle name="Обычный 7 6" xfId="30455"/>
    <cellStyle name="Обычный 7 6 2" xfId="30456"/>
    <cellStyle name="Обычный 8" xfId="30457"/>
    <cellStyle name="Обычный 8 2" xfId="30458"/>
    <cellStyle name="Обычный 8 2 2" xfId="30459"/>
    <cellStyle name="Обычный 8 2 2 2" xfId="30460"/>
    <cellStyle name="Обычный 8 2 3" xfId="30461"/>
    <cellStyle name="Обычный 8 2 3 2" xfId="30462"/>
    <cellStyle name="Обычный 8 2 4" xfId="30463"/>
    <cellStyle name="Обычный 8 2 4 2" xfId="30464"/>
    <cellStyle name="Обычный 8 3" xfId="30465"/>
    <cellStyle name="Обычный 8 3 2" xfId="30466"/>
    <cellStyle name="Обычный 8 3 2 2" xfId="30467"/>
    <cellStyle name="Обычный 8 3 3" xfId="30468"/>
    <cellStyle name="Обычный 8 4" xfId="30469"/>
    <cellStyle name="Обычный 8 4 2" xfId="30470"/>
    <cellStyle name="Обычный 8 5" xfId="30471"/>
    <cellStyle name="Обычный 8 5 2" xfId="30472"/>
    <cellStyle name="Обычный 8 6" xfId="30473"/>
    <cellStyle name="Обычный 8 6 2" xfId="30474"/>
    <cellStyle name="Обычный 9" xfId="30475"/>
    <cellStyle name="Обычный 9 2" xfId="30476"/>
    <cellStyle name="Обычный 9 2 2" xfId="30477"/>
    <cellStyle name="Обычный 9 2 2 2" xfId="30478"/>
    <cellStyle name="Обычный 9 2 3" xfId="30479"/>
    <cellStyle name="Обычный 9 2 3 2" xfId="30480"/>
    <cellStyle name="Обычный 9 2 4" xfId="30481"/>
    <cellStyle name="Обычный 9 2 4 2" xfId="30482"/>
    <cellStyle name="Обычный 9 3" xfId="30483"/>
    <cellStyle name="Обычный 9 3 2" xfId="30484"/>
    <cellStyle name="Обычный 9 3 2 2" xfId="30485"/>
    <cellStyle name="Обычный 9 3 3" xfId="30486"/>
    <cellStyle name="Обычный 9 4" xfId="30487"/>
    <cellStyle name="Обычный 9 4 2" xfId="30488"/>
    <cellStyle name="Обычный 9 5" xfId="30489"/>
    <cellStyle name="Обычный 9 5 2" xfId="30490"/>
    <cellStyle name="Обычный 9 6" xfId="30491"/>
    <cellStyle name="Обычный 9 6 2" xfId="30492"/>
    <cellStyle name="Обычный_КАМАЗ" xfId="30493"/>
    <cellStyle name="Плохой 2" xfId="30494"/>
    <cellStyle name="Пояснение 2" xfId="30495"/>
    <cellStyle name="Примечание 2" xfId="30496"/>
    <cellStyle name="Примечание 2 2" xfId="30497"/>
    <cellStyle name="Примечание 2 2 2" xfId="30498"/>
    <cellStyle name="Примечание 2 2 2 2" xfId="30499"/>
    <cellStyle name="Примечание 2 2 2 3" xfId="30500"/>
    <cellStyle name="Примечание 2 2 2 4" xfId="30501"/>
    <cellStyle name="Примечание 2 2 2 5" xfId="30502"/>
    <cellStyle name="Примечание 2 2 2 6" xfId="30503"/>
    <cellStyle name="Примечание 2 2 3" xfId="30504"/>
    <cellStyle name="Примечание 2 2 4" xfId="30505"/>
    <cellStyle name="Примечание 2 2 5" xfId="30506"/>
    <cellStyle name="Примечание 2 2 6" xfId="30507"/>
    <cellStyle name="Примечание 2 2 7" xfId="30508"/>
    <cellStyle name="Примечание 2 2 8" xfId="30509"/>
    <cellStyle name="Примечание 2 3" xfId="30510"/>
    <cellStyle name="Примечание 2 3 2" xfId="30511"/>
    <cellStyle name="Примечание 2 3 3" xfId="30512"/>
    <cellStyle name="Примечание 2 3 4" xfId="30513"/>
    <cellStyle name="Примечание 2 3 5" xfId="30514"/>
    <cellStyle name="Примечание 2 3 6" xfId="30515"/>
    <cellStyle name="Примечание 2 4" xfId="30516"/>
    <cellStyle name="Примечание 2 5" xfId="30517"/>
    <cellStyle name="Примечание 2 6" xfId="30518"/>
    <cellStyle name="Примечание 2 7" xfId="30519"/>
    <cellStyle name="Примечание 2 8" xfId="30520"/>
    <cellStyle name="Примечание 2 9" xfId="30521"/>
    <cellStyle name="Примечание 3" xfId="30522"/>
    <cellStyle name="Процентный 2" xfId="30523"/>
    <cellStyle name="Процентный 2 2" xfId="30524"/>
    <cellStyle name="Процентный 3" xfId="30525"/>
    <cellStyle name="Процентный 3 2" xfId="30526"/>
    <cellStyle name="Процентный 4" xfId="30527"/>
    <cellStyle name="Процентный 5" xfId="30528"/>
    <cellStyle name="Процентный 6" xfId="30529"/>
    <cellStyle name="Связанная ячейка 2" xfId="30530"/>
    <cellStyle name="Стиль 1" xfId="30531"/>
    <cellStyle name="Стиль 1 2" xfId="30532"/>
    <cellStyle name="Стиль 1 3" xfId="30533"/>
    <cellStyle name="Стиль 1 4" xfId="30534"/>
    <cellStyle name="Текст предупреждения 2" xfId="30535"/>
    <cellStyle name="Тысячи [0]_ UPL-98 Cherk" xfId="30536"/>
    <cellStyle name="Тысячи_ UPL-98 Cherk" xfId="30537"/>
    <cellStyle name="Финансовый 10" xfId="30538"/>
    <cellStyle name="Финансовый 10 2" xfId="30539"/>
    <cellStyle name="Финансовый 11" xfId="30540"/>
    <cellStyle name="Финансовый 11 2" xfId="30541"/>
    <cellStyle name="Финансовый 12" xfId="30542"/>
    <cellStyle name="Финансовый 12 2" xfId="30543"/>
    <cellStyle name="Финансовый 13" xfId="30544"/>
    <cellStyle name="Финансовый 2" xfId="30545"/>
    <cellStyle name="Финансовый 2 2" xfId="30546"/>
    <cellStyle name="Финансовый 2 2 2" xfId="30547"/>
    <cellStyle name="Финансовый 2 2 3" xfId="30548"/>
    <cellStyle name="Финансовый 2 3" xfId="30549"/>
    <cellStyle name="Финансовый 2 3 2" xfId="30550"/>
    <cellStyle name="Финансовый 2 4" xfId="30551"/>
    <cellStyle name="Финансовый 2 4 2" xfId="30552"/>
    <cellStyle name="Финансовый 3" xfId="30553"/>
    <cellStyle name="Финансовый 3 2" xfId="30554"/>
    <cellStyle name="Финансовый 3 2 2" xfId="30555"/>
    <cellStyle name="Финансовый 3 2 2 2" xfId="30556"/>
    <cellStyle name="Финансовый 3 2 3" xfId="30557"/>
    <cellStyle name="Финансовый 3 2 3 2" xfId="30558"/>
    <cellStyle name="Финансовый 3 2 4" xfId="30559"/>
    <cellStyle name="Финансовый 3 2 4 2" xfId="30560"/>
    <cellStyle name="Финансовый 3 3" xfId="30561"/>
    <cellStyle name="Финансовый 3 3 2" xfId="30562"/>
    <cellStyle name="Финансовый 3 3 2 2" xfId="30563"/>
    <cellStyle name="Финансовый 3 3 3" xfId="30564"/>
    <cellStyle name="Финансовый 3 4" xfId="30565"/>
    <cellStyle name="Финансовый 3 4 2" xfId="30566"/>
    <cellStyle name="Финансовый 3 5" xfId="30567"/>
    <cellStyle name="Финансовый 3 5 2" xfId="30568"/>
    <cellStyle name="Финансовый 3 6" xfId="30569"/>
    <cellStyle name="Финансовый 3 6 2" xfId="30570"/>
    <cellStyle name="Финансовый 4" xfId="30571"/>
    <cellStyle name="Финансовый 4 2" xfId="30572"/>
    <cellStyle name="Финансовый 4 2 2" xfId="30573"/>
    <cellStyle name="Финансовый 4 2 2 2" xfId="30574"/>
    <cellStyle name="Финансовый 4 2 2 2 2" xfId="30575"/>
    <cellStyle name="Финансовый 4 2 2 3" xfId="30576"/>
    <cellStyle name="Финансовый 4 2 2 4" xfId="30577"/>
    <cellStyle name="Финансовый 4 2 2 5" xfId="30578"/>
    <cellStyle name="Финансовый 4 2 2 6" xfId="30579"/>
    <cellStyle name="Финансовый 4 2 3" xfId="30580"/>
    <cellStyle name="Финансовый 4 2 3 2" xfId="30581"/>
    <cellStyle name="Финансовый 4 2 4" xfId="30582"/>
    <cellStyle name="Финансовый 4 2 5" xfId="30583"/>
    <cellStyle name="Финансовый 4 2 6" xfId="30584"/>
    <cellStyle name="Финансовый 4 2 7" xfId="30585"/>
    <cellStyle name="Финансовый 4 3" xfId="30586"/>
    <cellStyle name="Финансовый 4 3 2" xfId="30587"/>
    <cellStyle name="Финансовый 4 3 2 2" xfId="30588"/>
    <cellStyle name="Финансовый 4 3 3" xfId="30589"/>
    <cellStyle name="Финансовый 4 3 4" xfId="30590"/>
    <cellStyle name="Финансовый 4 3 5" xfId="30591"/>
    <cellStyle name="Финансовый 4 3 6" xfId="30592"/>
    <cellStyle name="Финансовый 4 4" xfId="30593"/>
    <cellStyle name="Финансовый 4 4 2" xfId="30594"/>
    <cellStyle name="Финансовый 4 4 3" xfId="30595"/>
    <cellStyle name="Финансовый 4 4 4" xfId="30596"/>
    <cellStyle name="Финансовый 4 4 5" xfId="30597"/>
    <cellStyle name="Финансовый 4 5" xfId="30598"/>
    <cellStyle name="Финансовый 4 5 2" xfId="30599"/>
    <cellStyle name="Финансовый 4 5 3" xfId="30600"/>
    <cellStyle name="Финансовый 4 6" xfId="30601"/>
    <cellStyle name="Финансовый 4 6 2" xfId="30602"/>
    <cellStyle name="Финансовый 4 6 3" xfId="30603"/>
    <cellStyle name="Финансовый 4 7" xfId="30604"/>
    <cellStyle name="Финансовый 4 7 2" xfId="30605"/>
    <cellStyle name="Финансовый 4 8" xfId="30606"/>
    <cellStyle name="Финансовый 4 9" xfId="30607"/>
    <cellStyle name="Финансовый 5" xfId="30608"/>
    <cellStyle name="Финансовый 5 2" xfId="30609"/>
    <cellStyle name="Финансовый 5 2 2" xfId="30610"/>
    <cellStyle name="Финансовый 5 2 2 2" xfId="30611"/>
    <cellStyle name="Финансовый 5 2 2 2 2" xfId="30612"/>
    <cellStyle name="Финансовый 5 2 2 3" xfId="30613"/>
    <cellStyle name="Финансовый 5 2 3" xfId="30614"/>
    <cellStyle name="Финансовый 5 2 3 2" xfId="30615"/>
    <cellStyle name="Финансовый 5 2 4" xfId="30616"/>
    <cellStyle name="Финансовый 5 2 5" xfId="30617"/>
    <cellStyle name="Финансовый 5 2 6" xfId="30618"/>
    <cellStyle name="Финансовый 5 2 7" xfId="30619"/>
    <cellStyle name="Финансовый 5 3" xfId="30620"/>
    <cellStyle name="Финансовый 5 3 2" xfId="30621"/>
    <cellStyle name="Финансовый 5 3 2 2" xfId="30622"/>
    <cellStyle name="Финансовый 5 3 3" xfId="30623"/>
    <cellStyle name="Финансовый 5 3 4" xfId="30624"/>
    <cellStyle name="Финансовый 5 3 5" xfId="30625"/>
    <cellStyle name="Финансовый 5 3 6" xfId="30626"/>
    <cellStyle name="Финансовый 5 4" xfId="30627"/>
    <cellStyle name="Финансовый 5 4 2" xfId="30628"/>
    <cellStyle name="Финансовый 5 5" xfId="30629"/>
    <cellStyle name="Финансовый 5 6" xfId="30630"/>
    <cellStyle name="Финансовый 5 7" xfId="30631"/>
    <cellStyle name="Финансовый 5 8" xfId="30632"/>
    <cellStyle name="Финансовый 6" xfId="30633"/>
    <cellStyle name="Финансовый 6 2" xfId="30634"/>
    <cellStyle name="Финансовый 6 2 2" xfId="30635"/>
    <cellStyle name="Финансовый 6 2 2 2" xfId="30636"/>
    <cellStyle name="Финансовый 6 2 3" xfId="30637"/>
    <cellStyle name="Финансовый 6 2 4" xfId="30638"/>
    <cellStyle name="Финансовый 6 2 5" xfId="30639"/>
    <cellStyle name="Финансовый 6 3" xfId="30640"/>
    <cellStyle name="Финансовый 6 3 2" xfId="30641"/>
    <cellStyle name="Финансовый 6 4" xfId="30642"/>
    <cellStyle name="Финансовый 6 5" xfId="30643"/>
    <cellStyle name="Финансовый 6 6" xfId="30644"/>
    <cellStyle name="Финансовый 6 7" xfId="30645"/>
    <cellStyle name="Финансовый 7" xfId="30646"/>
    <cellStyle name="Финансовый 7 2" xfId="30647"/>
    <cellStyle name="Финансовый 7 2 2" xfId="30648"/>
    <cellStyle name="Финансовый 7 2 2 2" xfId="30649"/>
    <cellStyle name="Финансовый 7 2 3" xfId="30650"/>
    <cellStyle name="Финансовый 7 3" xfId="30651"/>
    <cellStyle name="Финансовый 7 3 2" xfId="30652"/>
    <cellStyle name="Финансовый 7 4" xfId="30653"/>
    <cellStyle name="Финансовый 7 5" xfId="30654"/>
    <cellStyle name="Финансовый 7 6" xfId="30655"/>
    <cellStyle name="Финансовый 7 7" xfId="30656"/>
    <cellStyle name="Финансовый 8" xfId="30657"/>
    <cellStyle name="Финансовый 8 2" xfId="30658"/>
    <cellStyle name="Финансовый 8 3" xfId="30659"/>
    <cellStyle name="Финансовый 8 4" xfId="30660"/>
    <cellStyle name="Финансовый 9" xfId="30661"/>
    <cellStyle name="Финансовый 9 2" xfId="30662"/>
    <cellStyle name="Хороший 2" xfId="30663"/>
    <cellStyle name=" [0.00]_ Att. 1- Cover" xfId="30664"/>
    <cellStyle name="_ Att. 1- Cover" xfId="30665"/>
    <cellStyle name="?_ Att. 1- Cover" xfId="30666"/>
    <cellStyle name="똿뗦먛귟 [0.00]_PRODUCT DETAIL Q1" xfId="30667"/>
    <cellStyle name="똿뗦먛귟_PRODUCT DETAIL Q1" xfId="30668"/>
    <cellStyle name="믅됞 [0.00]_PRODUCT DETAIL Q1" xfId="30669"/>
    <cellStyle name="믅됞_PRODUCT DETAIL Q1" xfId="30670"/>
    <cellStyle name="백분율_95" xfId="30671"/>
    <cellStyle name="뷭?_BOOKSHIP" xfId="30672"/>
    <cellStyle name="쉼표 [0]_Apr AcFc_WKI" xfId="30673"/>
    <cellStyle name="콤마 [0]_1202" xfId="30674"/>
    <cellStyle name="콤마_1202" xfId="30675"/>
    <cellStyle name="통화 [0]_1202" xfId="30676"/>
    <cellStyle name="통화_1202" xfId="30677"/>
    <cellStyle name="표준_(정보부문)월별인원계획" xfId="30678"/>
    <cellStyle name="一般_060421-1(MONON)" xfId="30679"/>
    <cellStyle name="作业量为吨" xfId="30680"/>
    <cellStyle name="千位分隔 2" xfId="30681"/>
    <cellStyle name="千位分隔 2 10" xfId="30682"/>
    <cellStyle name="千位分隔 2 10 2" xfId="30683"/>
    <cellStyle name="千位分隔 2 11" xfId="30684"/>
    <cellStyle name="千位分隔 2 12" xfId="30685"/>
    <cellStyle name="千位分隔 2 2" xfId="30686"/>
    <cellStyle name="千位分隔 2 2 10" xfId="30687"/>
    <cellStyle name="千位分隔 2 2 2" xfId="30688"/>
    <cellStyle name="千位分隔 2 2 2 2" xfId="30689"/>
    <cellStyle name="千位分隔 2 2 2 2 2" xfId="30690"/>
    <cellStyle name="千位分隔 2 2 2 2 3" xfId="30691"/>
    <cellStyle name="千位分隔 2 2 2 2 4" xfId="30692"/>
    <cellStyle name="千位分隔 2 2 2 2 4 2" xfId="30693"/>
    <cellStyle name="千位分隔 2 2 2 3" xfId="30694"/>
    <cellStyle name="千位分隔 2 2 2 3 2" xfId="30695"/>
    <cellStyle name="千位分隔 2 2 2 3 2 2" xfId="30696"/>
    <cellStyle name="千位分隔 2 2 2 4" xfId="30697"/>
    <cellStyle name="千位分隔 2 2 2 5" xfId="30698"/>
    <cellStyle name="千位分隔 2 2 2 6" xfId="30699"/>
    <cellStyle name="千位分隔 2 2 2 7" xfId="30700"/>
    <cellStyle name="千位分隔 2 2 2 7 2" xfId="30701"/>
    <cellStyle name="千位分隔 2 2 3" xfId="30702"/>
    <cellStyle name="千位分隔 2 2 3 2" xfId="30703"/>
    <cellStyle name="千位分隔 2 2 3 3" xfId="30704"/>
    <cellStyle name="千位分隔 2 2 3 4" xfId="30705"/>
    <cellStyle name="千位分隔 2 2 3 4 2" xfId="30706"/>
    <cellStyle name="千位分隔 2 2 4" xfId="30707"/>
    <cellStyle name="千位分隔 2 2 4 2" xfId="30708"/>
    <cellStyle name="千位分隔 2 2 4 2 2" xfId="30709"/>
    <cellStyle name="千位分隔 2 2 5" xfId="30710"/>
    <cellStyle name="千位分隔 2 2 5 2" xfId="30711"/>
    <cellStyle name="千位分隔 2 2 5 2 2" xfId="30712"/>
    <cellStyle name="千位分隔 2 2 6" xfId="30713"/>
    <cellStyle name="千位分隔 2 2 6 2" xfId="30714"/>
    <cellStyle name="千位分隔 2 2 6 2 2" xfId="30715"/>
    <cellStyle name="千位分隔 2 2 7" xfId="30716"/>
    <cellStyle name="千位分隔 2 2 7 2" xfId="30717"/>
    <cellStyle name="千位分隔 2 2 7 3" xfId="30718"/>
    <cellStyle name="千位分隔 2 2 8" xfId="30719"/>
    <cellStyle name="千位分隔 2 2 8 2" xfId="30720"/>
    <cellStyle name="千位分隔 2 2 8 3" xfId="30721"/>
    <cellStyle name="千位分隔 2 2 9" xfId="30722"/>
    <cellStyle name="千位分隔 2 3" xfId="30723"/>
    <cellStyle name="千位分隔 2 3 2" xfId="30724"/>
    <cellStyle name="千位分隔 2 3 2 2" xfId="30725"/>
    <cellStyle name="千位分隔 2 3 2 2 2" xfId="30726"/>
    <cellStyle name="千位分隔 2 3 2 2 3" xfId="30727"/>
    <cellStyle name="千位分隔 2 3 2 3" xfId="30728"/>
    <cellStyle name="千位分隔 2 3 2 4" xfId="30729"/>
    <cellStyle name="千位分隔 2 3 2 5" xfId="30730"/>
    <cellStyle name="千位分隔 2 3 2 6" xfId="30731"/>
    <cellStyle name="千位分隔 2 3 2 7" xfId="30732"/>
    <cellStyle name="千位分隔 2 3 2 7 2" xfId="30733"/>
    <cellStyle name="千位分隔 2 3 3" xfId="30734"/>
    <cellStyle name="千位分隔 2 3 3 2" xfId="30735"/>
    <cellStyle name="千位分隔 2 3 3 3" xfId="30736"/>
    <cellStyle name="千位分隔 2 3 3 4" xfId="30737"/>
    <cellStyle name="千位分隔 2 3 3 4 2" xfId="30738"/>
    <cellStyle name="千位分隔 2 3 4" xfId="30739"/>
    <cellStyle name="千位分隔 2 3 4 2" xfId="30740"/>
    <cellStyle name="千位分隔 2 3 4 2 2" xfId="30741"/>
    <cellStyle name="千位分隔 2 3 5" xfId="30742"/>
    <cellStyle name="千位分隔 2 3 5 2" xfId="30743"/>
    <cellStyle name="千位分隔 2 3 5 2 2" xfId="30744"/>
    <cellStyle name="千位分隔 2 3 5 2 3" xfId="30745"/>
    <cellStyle name="千位分隔 2 3 5 3" xfId="30746"/>
    <cellStyle name="千位分隔 2 3 5 3 2" xfId="30747"/>
    <cellStyle name="千位分隔 2 3 6" xfId="30748"/>
    <cellStyle name="千位分隔 2 3 6 2" xfId="30749"/>
    <cellStyle name="千位分隔 2 3 6 2 2" xfId="30750"/>
    <cellStyle name="千位分隔 2 3 7" xfId="30751"/>
    <cellStyle name="千位分隔 2 3 7 2" xfId="30752"/>
    <cellStyle name="千位分隔 2 3 7 3" xfId="30753"/>
    <cellStyle name="千位分隔 2 3 8" xfId="30754"/>
    <cellStyle name="千位分隔 2 3 8 2" xfId="30755"/>
    <cellStyle name="千位分隔 2 3 8 3" xfId="30756"/>
    <cellStyle name="千位分隔 2 3 9" xfId="30757"/>
    <cellStyle name="千位分隔 2 4" xfId="30758"/>
    <cellStyle name="千位分隔 2 4 2" xfId="30759"/>
    <cellStyle name="千位分隔 2 4 2 2" xfId="30760"/>
    <cellStyle name="千位分隔 2 4 2 3" xfId="30761"/>
    <cellStyle name="千位分隔 2 4 3" xfId="30762"/>
    <cellStyle name="千位分隔 2 4 4" xfId="30763"/>
    <cellStyle name="千位分隔 2 4 5" xfId="30764"/>
    <cellStyle name="千位分隔 2 4 6" xfId="30765"/>
    <cellStyle name="千位分隔 2 4 7" xfId="30766"/>
    <cellStyle name="千位分隔 2 4 7 2" xfId="30767"/>
    <cellStyle name="千位分隔 2 5" xfId="30768"/>
    <cellStyle name="千位分隔 2 5 2" xfId="30769"/>
    <cellStyle name="千位分隔 2 5 3" xfId="30770"/>
    <cellStyle name="千位分隔 2 5 4" xfId="30771"/>
    <cellStyle name="千位分隔 2 5 4 2" xfId="30772"/>
    <cellStyle name="千位分隔 2 6" xfId="30773"/>
    <cellStyle name="千位分隔 2 6 2" xfId="30774"/>
    <cellStyle name="千位分隔 2 6 2 2" xfId="30775"/>
    <cellStyle name="千位分隔 2 7" xfId="30776"/>
    <cellStyle name="千位分隔 2 7 2" xfId="30777"/>
    <cellStyle name="千位分隔 2 7 2 2" xfId="30778"/>
    <cellStyle name="千位分隔 2 8" xfId="30779"/>
    <cellStyle name="千位分隔 2 8 2" xfId="30780"/>
    <cellStyle name="千位分隔 2 8 3" xfId="30781"/>
    <cellStyle name="千位分隔 2 9" xfId="30782"/>
    <cellStyle name="千位分隔 2 9 2" xfId="30783"/>
    <cellStyle name="千位分隔 3" xfId="30784"/>
    <cellStyle name="千位分隔 3 2" xfId="30785"/>
    <cellStyle name="千位分隔 3 2 2" xfId="30786"/>
    <cellStyle name="千位分隔 3 2 2 2" xfId="30787"/>
    <cellStyle name="千位分隔 3 2 2 3" xfId="30788"/>
    <cellStyle name="千位分隔 3 2 3" xfId="30789"/>
    <cellStyle name="千位分隔 3 2 4" xfId="30790"/>
    <cellStyle name="千位分隔 3 2 5" xfId="30791"/>
    <cellStyle name="千位分隔 3 2 6" xfId="30792"/>
    <cellStyle name="千位分隔 3 3" xfId="30793"/>
    <cellStyle name="千位分隔 3 3 2" xfId="30794"/>
    <cellStyle name="千位分隔 3 3 3" xfId="30795"/>
    <cellStyle name="千位分隔 3 4" xfId="30796"/>
    <cellStyle name="千位分隔 3 5" xfId="30797"/>
    <cellStyle name="千位分隔 3 6" xfId="30798"/>
    <cellStyle name="千位分隔 3 7" xfId="30799"/>
    <cellStyle name="千位分隔[0]_061 explanation" xfId="30800"/>
    <cellStyle name="千位分隔_061 explanation" xfId="30801"/>
    <cellStyle name="千分位[0]_DrayageRevenueWorking" xfId="30802"/>
    <cellStyle name="千分位_6sigma" xfId="30803"/>
    <cellStyle name="后继超级链接_Ji Fa - SOICT Pd 023 Mgmt Report" xfId="30804"/>
    <cellStyle name="好 2" xfId="30805"/>
    <cellStyle name="好 2 10" xfId="30806"/>
    <cellStyle name="好 2 11" xfId="30807"/>
    <cellStyle name="好 2 2" xfId="30808"/>
    <cellStyle name="好 2 2 10" xfId="30809"/>
    <cellStyle name="好 2 2 11" xfId="30810"/>
    <cellStyle name="好 2 2 2" xfId="30811"/>
    <cellStyle name="好 2 2 2 2" xfId="30812"/>
    <cellStyle name="好 2 2 2 2 2" xfId="30813"/>
    <cellStyle name="好 2 2 2 2 2 2" xfId="30814"/>
    <cellStyle name="好 2 2 2 2 2 3" xfId="30815"/>
    <cellStyle name="好 2 2 2 2 2 3 2" xfId="30816"/>
    <cellStyle name="好 2 2 2 2 2 3 2 2" xfId="30817"/>
    <cellStyle name="好 2 2 2 2 2 4" xfId="30818"/>
    <cellStyle name="好 2 2 2 2 2 4 2" xfId="30819"/>
    <cellStyle name="好 2 2 2 2 3" xfId="30820"/>
    <cellStyle name="好 2 2 2 2 3 2" xfId="30821"/>
    <cellStyle name="好 2 2 2 2 3 2 2" xfId="30822"/>
    <cellStyle name="好 2 2 2 2 3 2 2 2" xfId="30823"/>
    <cellStyle name="好 2 2 2 2 3 3" xfId="30824"/>
    <cellStyle name="好 2 2 2 2 3 3 2" xfId="30825"/>
    <cellStyle name="好 2 2 2 2 4" xfId="30826"/>
    <cellStyle name="好 2 2 2 2 5" xfId="30827"/>
    <cellStyle name="好 2 2 2 2 6" xfId="30828"/>
    <cellStyle name="好 2 2 2 3" xfId="30829"/>
    <cellStyle name="好 2 2 2 3 2" xfId="30830"/>
    <cellStyle name="好 2 2 2 3 3" xfId="30831"/>
    <cellStyle name="好 2 2 2 3 3 2" xfId="30832"/>
    <cellStyle name="好 2 2 2 3 3 2 2" xfId="30833"/>
    <cellStyle name="好 2 2 2 3 4" xfId="30834"/>
    <cellStyle name="好 2 2 2 3 4 2" xfId="30835"/>
    <cellStyle name="好 2 2 2 4" xfId="30836"/>
    <cellStyle name="好 2 2 2 4 2" xfId="30837"/>
    <cellStyle name="好 2 2 2 4 2 2" xfId="30838"/>
    <cellStyle name="好 2 2 2 4 2 2 2" xfId="30839"/>
    <cellStyle name="好 2 2 2 4 3" xfId="30840"/>
    <cellStyle name="好 2 2 2 4 3 2" xfId="30841"/>
    <cellStyle name="好 2 2 2 5" xfId="30842"/>
    <cellStyle name="好 2 2 2 6" xfId="30843"/>
    <cellStyle name="好 2 2 2 7" xfId="30844"/>
    <cellStyle name="好 2 2 3" xfId="30845"/>
    <cellStyle name="好 2 2 3 2" xfId="30846"/>
    <cellStyle name="好 2 2 3 2 2" xfId="30847"/>
    <cellStyle name="好 2 2 3 2 3" xfId="30848"/>
    <cellStyle name="好 2 2 3 2 3 2" xfId="30849"/>
    <cellStyle name="好 2 2 3 2 3 2 2" xfId="30850"/>
    <cellStyle name="好 2 2 3 2 4" xfId="30851"/>
    <cellStyle name="好 2 2 3 2 4 2" xfId="30852"/>
    <cellStyle name="好 2 2 3 3" xfId="30853"/>
    <cellStyle name="好 2 2 3 3 2" xfId="30854"/>
    <cellStyle name="好 2 2 3 3 2 2" xfId="30855"/>
    <cellStyle name="好 2 2 3 3 2 2 2" xfId="30856"/>
    <cellStyle name="好 2 2 3 3 3" xfId="30857"/>
    <cellStyle name="好 2 2 3 3 3 2" xfId="30858"/>
    <cellStyle name="好 2 2 3 4" xfId="30859"/>
    <cellStyle name="好 2 2 3 5" xfId="30860"/>
    <cellStyle name="好 2 2 3 6" xfId="30861"/>
    <cellStyle name="好 2 2 4" xfId="30862"/>
    <cellStyle name="好 2 2 4 2" xfId="30863"/>
    <cellStyle name="好 2 2 4 2 2" xfId="30864"/>
    <cellStyle name="好 2 2 4 2 3" xfId="30865"/>
    <cellStyle name="好 2 2 4 2 3 2" xfId="30866"/>
    <cellStyle name="好 2 2 4 2 3 2 2" xfId="30867"/>
    <cellStyle name="好 2 2 4 2 4" xfId="30868"/>
    <cellStyle name="好 2 2 4 2 4 2" xfId="30869"/>
    <cellStyle name="好 2 2 4 3" xfId="30870"/>
    <cellStyle name="好 2 2 4 4" xfId="30871"/>
    <cellStyle name="好 2 2 4 5" xfId="30872"/>
    <cellStyle name="好 2 2 4 6" xfId="30873"/>
    <cellStyle name="好 2 2 5" xfId="30874"/>
    <cellStyle name="好 2 2 5 2" xfId="30875"/>
    <cellStyle name="好 2 2 5 2 2" xfId="30876"/>
    <cellStyle name="好 2 2 5 2 2 2" xfId="30877"/>
    <cellStyle name="好 2 2 5 2 2 2 2" xfId="30878"/>
    <cellStyle name="好 2 2 5 2 3" xfId="30879"/>
    <cellStyle name="好 2 2 5 2 3 2" xfId="30880"/>
    <cellStyle name="好 2 2 5 3" xfId="30881"/>
    <cellStyle name="好 2 2 5 3 2" xfId="30882"/>
    <cellStyle name="好 2 2 5 3 2 2" xfId="30883"/>
    <cellStyle name="好 2 2 5 4" xfId="30884"/>
    <cellStyle name="好 2 2 5 4 2" xfId="30885"/>
    <cellStyle name="好 2 2 6" xfId="30886"/>
    <cellStyle name="好 2 2 6 2" xfId="30887"/>
    <cellStyle name="好 2 2 6 2 2" xfId="30888"/>
    <cellStyle name="好 2 2 6 2 2 2" xfId="30889"/>
    <cellStyle name="好 2 2 6 2 2 2 2" xfId="30890"/>
    <cellStyle name="好 2 2 6 2 3" xfId="30891"/>
    <cellStyle name="好 2 2 6 2 3 2" xfId="30892"/>
    <cellStyle name="好 2 2 6 3" xfId="30893"/>
    <cellStyle name="好 2 2 6 3 2" xfId="30894"/>
    <cellStyle name="好 2 2 6 3 2 2" xfId="30895"/>
    <cellStyle name="好 2 2 6 4" xfId="30896"/>
    <cellStyle name="好 2 2 6 4 2" xfId="30897"/>
    <cellStyle name="好 2 2 7" xfId="30898"/>
    <cellStyle name="好 2 2 7 2" xfId="30899"/>
    <cellStyle name="好 2 2 7 2 2" xfId="30900"/>
    <cellStyle name="好 2 2 7 2 2 2" xfId="30901"/>
    <cellStyle name="好 2 2 7 2 2 2 2" xfId="30902"/>
    <cellStyle name="好 2 2 7 2 3" xfId="30903"/>
    <cellStyle name="好 2 2 7 2 3 2" xfId="30904"/>
    <cellStyle name="好 2 2 7 3" xfId="30905"/>
    <cellStyle name="好 2 2 7 3 2" xfId="30906"/>
    <cellStyle name="好 2 2 7 3 2 2" xfId="30907"/>
    <cellStyle name="好 2 2 7 4" xfId="30908"/>
    <cellStyle name="好 2 2 7 4 2" xfId="30909"/>
    <cellStyle name="好 2 2 8" xfId="30910"/>
    <cellStyle name="好 2 2 8 2" xfId="30911"/>
    <cellStyle name="好 2 2 8 2 2" xfId="30912"/>
    <cellStyle name="好 2 2 8 2 2 2" xfId="30913"/>
    <cellStyle name="好 2 2 8 3" xfId="30914"/>
    <cellStyle name="好 2 2 8 3 2" xfId="30915"/>
    <cellStyle name="好 2 2 9" xfId="30916"/>
    <cellStyle name="好 2 2 9 2" xfId="30917"/>
    <cellStyle name="好 2 2 9 2 2" xfId="30918"/>
    <cellStyle name="好 2 2 9 2 2 2" xfId="30919"/>
    <cellStyle name="好 2 2 9 3" xfId="30920"/>
    <cellStyle name="好 2 2 9 3 2" xfId="30921"/>
    <cellStyle name="好 2 3" xfId="30922"/>
    <cellStyle name="好 2 3 2" xfId="30923"/>
    <cellStyle name="好 2 3 2 2" xfId="30924"/>
    <cellStyle name="好 2 3 2 2 2" xfId="30925"/>
    <cellStyle name="好 2 3 2 2 2 2" xfId="30926"/>
    <cellStyle name="好 2 3 2 2 2 3" xfId="30927"/>
    <cellStyle name="好 2 3 2 2 2 3 2" xfId="30928"/>
    <cellStyle name="好 2 3 2 2 2 3 2 2" xfId="30929"/>
    <cellStyle name="好 2 3 2 2 2 4" xfId="30930"/>
    <cellStyle name="好 2 3 2 2 2 4 2" xfId="30931"/>
    <cellStyle name="好 2 3 2 2 3" xfId="30932"/>
    <cellStyle name="好 2 3 2 2 3 2" xfId="30933"/>
    <cellStyle name="好 2 3 2 2 3 2 2" xfId="30934"/>
    <cellStyle name="好 2 3 2 2 3 2 2 2" xfId="30935"/>
    <cellStyle name="好 2 3 2 2 3 3" xfId="30936"/>
    <cellStyle name="好 2 3 2 2 3 3 2" xfId="30937"/>
    <cellStyle name="好 2 3 2 2 4" xfId="30938"/>
    <cellStyle name="好 2 3 2 2 5" xfId="30939"/>
    <cellStyle name="好 2 3 2 2 6" xfId="30940"/>
    <cellStyle name="好 2 3 2 3" xfId="30941"/>
    <cellStyle name="好 2 3 2 3 2" xfId="30942"/>
    <cellStyle name="好 2 3 2 3 3" xfId="30943"/>
    <cellStyle name="好 2 3 2 3 3 2" xfId="30944"/>
    <cellStyle name="好 2 3 2 3 3 2 2" xfId="30945"/>
    <cellStyle name="好 2 3 2 3 4" xfId="30946"/>
    <cellStyle name="好 2 3 2 3 4 2" xfId="30947"/>
    <cellStyle name="好 2 3 2 4" xfId="30948"/>
    <cellStyle name="好 2 3 2 4 2" xfId="30949"/>
    <cellStyle name="好 2 3 2 4 2 2" xfId="30950"/>
    <cellStyle name="好 2 3 2 4 2 2 2" xfId="30951"/>
    <cellStyle name="好 2 3 2 4 3" xfId="30952"/>
    <cellStyle name="好 2 3 2 4 3 2" xfId="30953"/>
    <cellStyle name="好 2 3 2 5" xfId="30954"/>
    <cellStyle name="好 2 3 2 6" xfId="30955"/>
    <cellStyle name="好 2 3 2 7" xfId="30956"/>
    <cellStyle name="好 2 3 3" xfId="30957"/>
    <cellStyle name="好 2 3 3 2" xfId="30958"/>
    <cellStyle name="好 2 3 3 2 2" xfId="30959"/>
    <cellStyle name="好 2 3 3 2 3" xfId="30960"/>
    <cellStyle name="好 2 3 3 2 3 2" xfId="30961"/>
    <cellStyle name="好 2 3 3 2 3 2 2" xfId="30962"/>
    <cellStyle name="好 2 3 3 2 4" xfId="30963"/>
    <cellStyle name="好 2 3 3 2 4 2" xfId="30964"/>
    <cellStyle name="好 2 3 3 3" xfId="30965"/>
    <cellStyle name="好 2 3 3 3 2" xfId="30966"/>
    <cellStyle name="好 2 3 3 3 2 2" xfId="30967"/>
    <cellStyle name="好 2 3 3 3 2 2 2" xfId="30968"/>
    <cellStyle name="好 2 3 3 3 3" xfId="30969"/>
    <cellStyle name="好 2 3 3 3 3 2" xfId="30970"/>
    <cellStyle name="好 2 3 3 4" xfId="30971"/>
    <cellStyle name="好 2 3 3 5" xfId="30972"/>
    <cellStyle name="好 2 3 3 6" xfId="30973"/>
    <cellStyle name="好 2 3 4" xfId="30974"/>
    <cellStyle name="好 2 3 4 2" xfId="30975"/>
    <cellStyle name="好 2 3 4 2 2" xfId="30976"/>
    <cellStyle name="好 2 3 4 2 3" xfId="30977"/>
    <cellStyle name="好 2 3 4 2 3 2" xfId="30978"/>
    <cellStyle name="好 2 3 4 2 3 2 2" xfId="30979"/>
    <cellStyle name="好 2 3 4 2 4" xfId="30980"/>
    <cellStyle name="好 2 3 4 2 4 2" xfId="30981"/>
    <cellStyle name="好 2 3 4 3" xfId="30982"/>
    <cellStyle name="好 2 3 4 4" xfId="30983"/>
    <cellStyle name="好 2 3 4 5" xfId="30984"/>
    <cellStyle name="好 2 3 4 6" xfId="30985"/>
    <cellStyle name="好 2 3 5" xfId="30986"/>
    <cellStyle name="好 2 3 5 2" xfId="30987"/>
    <cellStyle name="好 2 3 5 2 2" xfId="30988"/>
    <cellStyle name="好 2 3 5 2 2 2" xfId="30989"/>
    <cellStyle name="好 2 3 5 2 2 2 2" xfId="30990"/>
    <cellStyle name="好 2 3 5 2 3" xfId="30991"/>
    <cellStyle name="好 2 3 5 2 3 2" xfId="30992"/>
    <cellStyle name="好 2 3 5 3" xfId="30993"/>
    <cellStyle name="好 2 3 5 3 2" xfId="30994"/>
    <cellStyle name="好 2 3 5 3 2 2" xfId="30995"/>
    <cellStyle name="好 2 3 5 4" xfId="30996"/>
    <cellStyle name="好 2 3 5 4 2" xfId="30997"/>
    <cellStyle name="好 2 3 6" xfId="30998"/>
    <cellStyle name="好 2 3 6 2" xfId="30999"/>
    <cellStyle name="好 2 3 6 2 2" xfId="31000"/>
    <cellStyle name="好 2 3 6 2 2 2" xfId="31001"/>
    <cellStyle name="好 2 3 6 3" xfId="31002"/>
    <cellStyle name="好 2 3 6 3 2" xfId="31003"/>
    <cellStyle name="好 2 3 7" xfId="31004"/>
    <cellStyle name="好 2 3 7 2" xfId="31005"/>
    <cellStyle name="好 2 3 7 2 2" xfId="31006"/>
    <cellStyle name="好 2 3 7 2 2 2" xfId="31007"/>
    <cellStyle name="好 2 3 7 3" xfId="31008"/>
    <cellStyle name="好 2 3 7 3 2" xfId="31009"/>
    <cellStyle name="好 2 3 8" xfId="31010"/>
    <cellStyle name="好 2 3 9" xfId="31011"/>
    <cellStyle name="好 2 4" xfId="31012"/>
    <cellStyle name="好 2 4 2" xfId="31013"/>
    <cellStyle name="好 2 4 2 2" xfId="31014"/>
    <cellStyle name="好 2 4 2 3" xfId="31015"/>
    <cellStyle name="好 2 4 2 3 2" xfId="31016"/>
    <cellStyle name="好 2 4 2 3 2 2" xfId="31017"/>
    <cellStyle name="好 2 4 2 4" xfId="31018"/>
    <cellStyle name="好 2 4 2 4 2" xfId="31019"/>
    <cellStyle name="好 2 4 3" xfId="31020"/>
    <cellStyle name="好 2 4 3 2" xfId="31021"/>
    <cellStyle name="好 2 4 3 2 2" xfId="31022"/>
    <cellStyle name="好 2 4 3 2 2 2" xfId="31023"/>
    <cellStyle name="好 2 4 3 3" xfId="31024"/>
    <cellStyle name="好 2 4 3 3 2" xfId="31025"/>
    <cellStyle name="好 2 4 4" xfId="31026"/>
    <cellStyle name="好 2 4 5" xfId="31027"/>
    <cellStyle name="好 2 4 6" xfId="31028"/>
    <cellStyle name="好 2 5" xfId="31029"/>
    <cellStyle name="好 2 5 2" xfId="31030"/>
    <cellStyle name="好 2 5 2 2" xfId="31031"/>
    <cellStyle name="好 2 5 2 3" xfId="31032"/>
    <cellStyle name="好 2 5 2 3 2" xfId="31033"/>
    <cellStyle name="好 2 5 2 3 2 2" xfId="31034"/>
    <cellStyle name="好 2 5 2 4" xfId="31035"/>
    <cellStyle name="好 2 5 2 4 2" xfId="31036"/>
    <cellStyle name="好 2 5 3" xfId="31037"/>
    <cellStyle name="好 2 5 4" xfId="31038"/>
    <cellStyle name="好 2 5 5" xfId="31039"/>
    <cellStyle name="好 2 5 6" xfId="31040"/>
    <cellStyle name="好 2 6" xfId="31041"/>
    <cellStyle name="好 2 6 2" xfId="31042"/>
    <cellStyle name="好 2 6 2 2" xfId="31043"/>
    <cellStyle name="好 2 6 2 2 2" xfId="31044"/>
    <cellStyle name="好 2 6 2 2 2 2" xfId="31045"/>
    <cellStyle name="好 2 6 2 3" xfId="31046"/>
    <cellStyle name="好 2 6 2 3 2" xfId="31047"/>
    <cellStyle name="好 2 6 3" xfId="31048"/>
    <cellStyle name="好 2 6 3 2" xfId="31049"/>
    <cellStyle name="好 2 6 3 2 2" xfId="31050"/>
    <cellStyle name="好 2 6 4" xfId="31051"/>
    <cellStyle name="好 2 6 4 2" xfId="31052"/>
    <cellStyle name="好 2 7" xfId="31053"/>
    <cellStyle name="好 2 7 2" xfId="31054"/>
    <cellStyle name="好 2 7 2 2" xfId="31055"/>
    <cellStyle name="好 2 7 2 2 2" xfId="31056"/>
    <cellStyle name="好 2 7 2 2 2 2" xfId="31057"/>
    <cellStyle name="好 2 7 2 3" xfId="31058"/>
    <cellStyle name="好 2 7 2 3 2" xfId="31059"/>
    <cellStyle name="好 2 7 3" xfId="31060"/>
    <cellStyle name="好 2 7 3 2" xfId="31061"/>
    <cellStyle name="好 2 7 3 2 2" xfId="31062"/>
    <cellStyle name="好 2 7 4" xfId="31063"/>
    <cellStyle name="好 2 7 4 2" xfId="31064"/>
    <cellStyle name="好 2 8" xfId="31065"/>
    <cellStyle name="好 2 8 2" xfId="31066"/>
    <cellStyle name="好 2 8 2 2" xfId="31067"/>
    <cellStyle name="好 2 8 2 2 2" xfId="31068"/>
    <cellStyle name="好 2 8 2 2 2 2" xfId="31069"/>
    <cellStyle name="好 2 8 2 3" xfId="31070"/>
    <cellStyle name="好 2 8 2 3 2" xfId="31071"/>
    <cellStyle name="好 2 8 3" xfId="31072"/>
    <cellStyle name="好 2 8 3 2" xfId="31073"/>
    <cellStyle name="好 2 8 3 2 2" xfId="31074"/>
    <cellStyle name="好 2 8 4" xfId="31075"/>
    <cellStyle name="好 2 8 4 2" xfId="31076"/>
    <cellStyle name="好 2 9" xfId="31077"/>
    <cellStyle name="好 2 9 2" xfId="31078"/>
    <cellStyle name="好 2 9 2 2" xfId="31079"/>
    <cellStyle name="好 2 9 2 2 2" xfId="31080"/>
    <cellStyle name="好 2 9 3" xfId="31081"/>
    <cellStyle name="好 2 9 3 2" xfId="31082"/>
    <cellStyle name="好 3" xfId="31083"/>
    <cellStyle name="好 3 2" xfId="31084"/>
    <cellStyle name="好 3 2 2" xfId="31085"/>
    <cellStyle name="好 3 2 2 2" xfId="31086"/>
    <cellStyle name="好 3 2 2 2 2" xfId="31087"/>
    <cellStyle name="好 3 2 2 2 3" xfId="31088"/>
    <cellStyle name="好 3 2 2 2 3 2" xfId="31089"/>
    <cellStyle name="好 3 2 2 2 3 2 2" xfId="31090"/>
    <cellStyle name="好 3 2 2 2 4" xfId="31091"/>
    <cellStyle name="好 3 2 2 2 4 2" xfId="31092"/>
    <cellStyle name="好 3 2 2 3" xfId="31093"/>
    <cellStyle name="好 3 2 2 3 2" xfId="31094"/>
    <cellStyle name="好 3 2 2 3 2 2" xfId="31095"/>
    <cellStyle name="好 3 2 2 3 2 2 2" xfId="31096"/>
    <cellStyle name="好 3 2 2 3 3" xfId="31097"/>
    <cellStyle name="好 3 2 2 3 3 2" xfId="31098"/>
    <cellStyle name="好 3 2 2 4" xfId="31099"/>
    <cellStyle name="好 3 2 2 5" xfId="31100"/>
    <cellStyle name="好 3 2 2 6" xfId="31101"/>
    <cellStyle name="好 3 2 3" xfId="31102"/>
    <cellStyle name="好 3 2 3 2" xfId="31103"/>
    <cellStyle name="好 3 2 3 3" xfId="31104"/>
    <cellStyle name="好 3 2 3 3 2" xfId="31105"/>
    <cellStyle name="好 3 2 3 3 2 2" xfId="31106"/>
    <cellStyle name="好 3 2 3 4" xfId="31107"/>
    <cellStyle name="好 3 2 3 4 2" xfId="31108"/>
    <cellStyle name="好 3 2 4" xfId="31109"/>
    <cellStyle name="好 3 2 4 2" xfId="31110"/>
    <cellStyle name="好 3 2 4 2 2" xfId="31111"/>
    <cellStyle name="好 3 2 4 2 2 2" xfId="31112"/>
    <cellStyle name="好 3 2 4 3" xfId="31113"/>
    <cellStyle name="好 3 2 4 3 2" xfId="31114"/>
    <cellStyle name="好 3 2 5" xfId="31115"/>
    <cellStyle name="好 3 2 6" xfId="31116"/>
    <cellStyle name="好 3 2 7" xfId="31117"/>
    <cellStyle name="好 3 3" xfId="31118"/>
    <cellStyle name="好 3 3 2" xfId="31119"/>
    <cellStyle name="好 3 3 2 2" xfId="31120"/>
    <cellStyle name="好 3 3 2 3" xfId="31121"/>
    <cellStyle name="好 3 3 2 3 2" xfId="31122"/>
    <cellStyle name="好 3 3 2 3 2 2" xfId="31123"/>
    <cellStyle name="好 3 3 2 4" xfId="31124"/>
    <cellStyle name="好 3 3 2 4 2" xfId="31125"/>
    <cellStyle name="好 3 3 3" xfId="31126"/>
    <cellStyle name="好 3 3 3 2" xfId="31127"/>
    <cellStyle name="好 3 3 3 2 2" xfId="31128"/>
    <cellStyle name="好 3 3 3 2 2 2" xfId="31129"/>
    <cellStyle name="好 3 3 3 3" xfId="31130"/>
    <cellStyle name="好 3 3 3 3 2" xfId="31131"/>
    <cellStyle name="好 3 3 4" xfId="31132"/>
    <cellStyle name="好 3 3 5" xfId="31133"/>
    <cellStyle name="好 3 3 6" xfId="31134"/>
    <cellStyle name="好 3 4" xfId="31135"/>
    <cellStyle name="好 3 4 2" xfId="31136"/>
    <cellStyle name="好 3 4 2 2" xfId="31137"/>
    <cellStyle name="好 3 4 2 3" xfId="31138"/>
    <cellStyle name="好 3 4 2 3 2" xfId="31139"/>
    <cellStyle name="好 3 4 2 3 2 2" xfId="31140"/>
    <cellStyle name="好 3 4 2 4" xfId="31141"/>
    <cellStyle name="好 3 4 2 4 2" xfId="31142"/>
    <cellStyle name="好 3 4 3" xfId="31143"/>
    <cellStyle name="好 3 4 4" xfId="31144"/>
    <cellStyle name="好 3 4 5" xfId="31145"/>
    <cellStyle name="好 3 4 6" xfId="31146"/>
    <cellStyle name="好 3 5" xfId="31147"/>
    <cellStyle name="好 3 5 2" xfId="31148"/>
    <cellStyle name="好 3 5 2 2" xfId="31149"/>
    <cellStyle name="好 3 5 2 2 2" xfId="31150"/>
    <cellStyle name="好 3 5 2 2 2 2" xfId="31151"/>
    <cellStyle name="好 3 5 2 3" xfId="31152"/>
    <cellStyle name="好 3 5 2 3 2" xfId="31153"/>
    <cellStyle name="好 3 5 3" xfId="31154"/>
    <cellStyle name="好 3 5 3 2" xfId="31155"/>
    <cellStyle name="好 3 5 3 2 2" xfId="31156"/>
    <cellStyle name="好 3 5 4" xfId="31157"/>
    <cellStyle name="好 3 5 4 2" xfId="31158"/>
    <cellStyle name="好 3 6" xfId="31159"/>
    <cellStyle name="好 3 6 2" xfId="31160"/>
    <cellStyle name="好 3 6 2 2" xfId="31161"/>
    <cellStyle name="好 3 6 2 2 2" xfId="31162"/>
    <cellStyle name="好 3 6 3" xfId="31163"/>
    <cellStyle name="好 3 6 3 2" xfId="31164"/>
    <cellStyle name="好 3 7" xfId="31165"/>
    <cellStyle name="好 3 8" xfId="31166"/>
    <cellStyle name="好_报关单" xfId="31167"/>
    <cellStyle name="好_报关单 2" xfId="31168"/>
    <cellStyle name="好_报关单 3" xfId="31169"/>
    <cellStyle name="差 2" xfId="31170"/>
    <cellStyle name="差 2 10" xfId="31171"/>
    <cellStyle name="差 2 11" xfId="31172"/>
    <cellStyle name="差 2 2" xfId="31173"/>
    <cellStyle name="差 2 2 10" xfId="31174"/>
    <cellStyle name="差 2 2 11" xfId="31175"/>
    <cellStyle name="差 2 2 2" xfId="31176"/>
    <cellStyle name="差 2 2 2 2" xfId="31177"/>
    <cellStyle name="差 2 2 2 2 2" xfId="31178"/>
    <cellStyle name="差 2 2 2 2 2 2" xfId="31179"/>
    <cellStyle name="差 2 2 2 2 2 3" xfId="31180"/>
    <cellStyle name="差 2 2 2 2 2 3 2" xfId="31181"/>
    <cellStyle name="差 2 2 2 2 2 3 2 2" xfId="31182"/>
    <cellStyle name="差 2 2 2 2 2 4" xfId="31183"/>
    <cellStyle name="差 2 2 2 2 2 4 2" xfId="31184"/>
    <cellStyle name="差 2 2 2 2 3" xfId="31185"/>
    <cellStyle name="差 2 2 2 2 3 2" xfId="31186"/>
    <cellStyle name="差 2 2 2 2 3 2 2" xfId="31187"/>
    <cellStyle name="差 2 2 2 2 3 2 2 2" xfId="31188"/>
    <cellStyle name="差 2 2 2 2 3 3" xfId="31189"/>
    <cellStyle name="差 2 2 2 2 3 3 2" xfId="31190"/>
    <cellStyle name="差 2 2 2 2 4" xfId="31191"/>
    <cellStyle name="差 2 2 2 2 5" xfId="31192"/>
    <cellStyle name="差 2 2 2 2 6" xfId="31193"/>
    <cellStyle name="差 2 2 2 3" xfId="31194"/>
    <cellStyle name="差 2 2 2 3 2" xfId="31195"/>
    <cellStyle name="差 2 2 2 3 3" xfId="31196"/>
    <cellStyle name="差 2 2 2 3 3 2" xfId="31197"/>
    <cellStyle name="差 2 2 2 3 3 2 2" xfId="31198"/>
    <cellStyle name="差 2 2 2 3 4" xfId="31199"/>
    <cellStyle name="差 2 2 2 3 4 2" xfId="31200"/>
    <cellStyle name="差 2 2 2 4" xfId="31201"/>
    <cellStyle name="差 2 2 2 4 2" xfId="31202"/>
    <cellStyle name="差 2 2 2 4 2 2" xfId="31203"/>
    <cellStyle name="差 2 2 2 4 2 2 2" xfId="31204"/>
    <cellStyle name="差 2 2 2 4 3" xfId="31205"/>
    <cellStyle name="差 2 2 2 4 3 2" xfId="31206"/>
    <cellStyle name="差 2 2 2 5" xfId="31207"/>
    <cellStyle name="差 2 2 2 6" xfId="31208"/>
    <cellStyle name="差 2 2 2 7" xfId="31209"/>
    <cellStyle name="差 2 2 3" xfId="31210"/>
    <cellStyle name="差 2 2 3 2" xfId="31211"/>
    <cellStyle name="差 2 2 3 2 2" xfId="31212"/>
    <cellStyle name="差 2 2 3 2 3" xfId="31213"/>
    <cellStyle name="差 2 2 3 2 3 2" xfId="31214"/>
    <cellStyle name="差 2 2 3 2 3 2 2" xfId="31215"/>
    <cellStyle name="差 2 2 3 2 4" xfId="31216"/>
    <cellStyle name="差 2 2 3 2 4 2" xfId="31217"/>
    <cellStyle name="差 2 2 3 3" xfId="31218"/>
    <cellStyle name="差 2 2 3 3 2" xfId="31219"/>
    <cellStyle name="差 2 2 3 3 2 2" xfId="31220"/>
    <cellStyle name="差 2 2 3 3 2 2 2" xfId="31221"/>
    <cellStyle name="差 2 2 3 3 3" xfId="31222"/>
    <cellStyle name="差 2 2 3 3 3 2" xfId="31223"/>
    <cellStyle name="差 2 2 3 4" xfId="31224"/>
    <cellStyle name="差 2 2 3 5" xfId="31225"/>
    <cellStyle name="差 2 2 3 6" xfId="31226"/>
    <cellStyle name="差 2 2 4" xfId="31227"/>
    <cellStyle name="差 2 2 4 2" xfId="31228"/>
    <cellStyle name="差 2 2 4 2 2" xfId="31229"/>
    <cellStyle name="差 2 2 4 2 3" xfId="31230"/>
    <cellStyle name="差 2 2 4 2 3 2" xfId="31231"/>
    <cellStyle name="差 2 2 4 2 3 2 2" xfId="31232"/>
    <cellStyle name="差 2 2 4 2 4" xfId="31233"/>
    <cellStyle name="差 2 2 4 2 4 2" xfId="31234"/>
    <cellStyle name="差 2 2 4 3" xfId="31235"/>
    <cellStyle name="差 2 2 4 4" xfId="31236"/>
    <cellStyle name="差 2 2 4 5" xfId="31237"/>
    <cellStyle name="差 2 2 4 6" xfId="31238"/>
    <cellStyle name="差 2 2 5" xfId="31239"/>
    <cellStyle name="差 2 2 5 2" xfId="31240"/>
    <cellStyle name="差 2 2 5 2 2" xfId="31241"/>
    <cellStyle name="差 2 2 5 2 2 2" xfId="31242"/>
    <cellStyle name="差 2 2 5 2 2 2 2" xfId="31243"/>
    <cellStyle name="差 2 2 5 2 3" xfId="31244"/>
    <cellStyle name="差 2 2 5 2 3 2" xfId="31245"/>
    <cellStyle name="差 2 2 5 3" xfId="31246"/>
    <cellStyle name="差 2 2 5 3 2" xfId="31247"/>
    <cellStyle name="差 2 2 5 3 2 2" xfId="31248"/>
    <cellStyle name="差 2 2 5 4" xfId="31249"/>
    <cellStyle name="差 2 2 5 4 2" xfId="31250"/>
    <cellStyle name="差 2 2 6" xfId="31251"/>
    <cellStyle name="差 2 2 6 2" xfId="31252"/>
    <cellStyle name="差 2 2 6 2 2" xfId="31253"/>
    <cellStyle name="差 2 2 6 2 2 2" xfId="31254"/>
    <cellStyle name="差 2 2 6 2 2 2 2" xfId="31255"/>
    <cellStyle name="差 2 2 6 2 3" xfId="31256"/>
    <cellStyle name="差 2 2 6 2 3 2" xfId="31257"/>
    <cellStyle name="差 2 2 6 3" xfId="31258"/>
    <cellStyle name="差 2 2 6 3 2" xfId="31259"/>
    <cellStyle name="差 2 2 6 3 2 2" xfId="31260"/>
    <cellStyle name="差 2 2 6 4" xfId="31261"/>
    <cellStyle name="差 2 2 6 4 2" xfId="31262"/>
    <cellStyle name="差 2 2 7" xfId="31263"/>
    <cellStyle name="差 2 2 7 2" xfId="31264"/>
    <cellStyle name="差 2 2 7 2 2" xfId="31265"/>
    <cellStyle name="差 2 2 7 2 2 2" xfId="31266"/>
    <cellStyle name="差 2 2 7 2 2 2 2" xfId="31267"/>
    <cellStyle name="差 2 2 7 2 3" xfId="31268"/>
    <cellStyle name="差 2 2 7 2 3 2" xfId="31269"/>
    <cellStyle name="差 2 2 7 3" xfId="31270"/>
    <cellStyle name="差 2 2 7 3 2" xfId="31271"/>
    <cellStyle name="差 2 2 7 3 2 2" xfId="31272"/>
    <cellStyle name="差 2 2 7 4" xfId="31273"/>
    <cellStyle name="差 2 2 7 4 2" xfId="31274"/>
    <cellStyle name="差 2 2 8" xfId="31275"/>
    <cellStyle name="差 2 2 8 2" xfId="31276"/>
    <cellStyle name="差 2 2 8 2 2" xfId="31277"/>
    <cellStyle name="差 2 2 8 2 2 2" xfId="31278"/>
    <cellStyle name="差 2 2 8 3" xfId="31279"/>
    <cellStyle name="差 2 2 8 3 2" xfId="31280"/>
    <cellStyle name="差 2 2 9" xfId="31281"/>
    <cellStyle name="差 2 2 9 2" xfId="31282"/>
    <cellStyle name="差 2 2 9 2 2" xfId="31283"/>
    <cellStyle name="差 2 2 9 2 2 2" xfId="31284"/>
    <cellStyle name="差 2 2 9 3" xfId="31285"/>
    <cellStyle name="差 2 2 9 3 2" xfId="31286"/>
    <cellStyle name="差 2 3" xfId="31287"/>
    <cellStyle name="差 2 3 2" xfId="31288"/>
    <cellStyle name="差 2 3 2 2" xfId="31289"/>
    <cellStyle name="差 2 3 2 2 2" xfId="31290"/>
    <cellStyle name="差 2 3 2 2 2 2" xfId="31291"/>
    <cellStyle name="差 2 3 2 2 2 3" xfId="31292"/>
    <cellStyle name="差 2 3 2 2 2 3 2" xfId="31293"/>
    <cellStyle name="差 2 3 2 2 2 3 2 2" xfId="31294"/>
    <cellStyle name="差 2 3 2 2 2 4" xfId="31295"/>
    <cellStyle name="差 2 3 2 2 2 4 2" xfId="31296"/>
    <cellStyle name="差 2 3 2 2 3" xfId="31297"/>
    <cellStyle name="差 2 3 2 2 3 2" xfId="31298"/>
    <cellStyle name="差 2 3 2 2 3 2 2" xfId="31299"/>
    <cellStyle name="差 2 3 2 2 3 2 2 2" xfId="31300"/>
    <cellStyle name="差 2 3 2 2 3 3" xfId="31301"/>
    <cellStyle name="差 2 3 2 2 3 3 2" xfId="31302"/>
    <cellStyle name="差 2 3 2 2 4" xfId="31303"/>
    <cellStyle name="差 2 3 2 2 5" xfId="31304"/>
    <cellStyle name="差 2 3 2 2 6" xfId="31305"/>
    <cellStyle name="差 2 3 2 3" xfId="31306"/>
    <cellStyle name="差 2 3 2 3 2" xfId="31307"/>
    <cellStyle name="差 2 3 2 3 3" xfId="31308"/>
    <cellStyle name="差 2 3 2 3 3 2" xfId="31309"/>
    <cellStyle name="差 2 3 2 3 3 2 2" xfId="31310"/>
    <cellStyle name="差 2 3 2 3 4" xfId="31311"/>
    <cellStyle name="差 2 3 2 3 4 2" xfId="31312"/>
    <cellStyle name="差 2 3 2 4" xfId="31313"/>
    <cellStyle name="差 2 3 2 4 2" xfId="31314"/>
    <cellStyle name="差 2 3 2 4 2 2" xfId="31315"/>
    <cellStyle name="差 2 3 2 4 2 2 2" xfId="31316"/>
    <cellStyle name="差 2 3 2 4 3" xfId="31317"/>
    <cellStyle name="差 2 3 2 4 3 2" xfId="31318"/>
    <cellStyle name="差 2 3 2 5" xfId="31319"/>
    <cellStyle name="差 2 3 2 6" xfId="31320"/>
    <cellStyle name="差 2 3 2 7" xfId="31321"/>
    <cellStyle name="差 2 3 3" xfId="31322"/>
    <cellStyle name="差 2 3 3 2" xfId="31323"/>
    <cellStyle name="差 2 3 3 2 2" xfId="31324"/>
    <cellStyle name="差 2 3 3 2 3" xfId="31325"/>
    <cellStyle name="差 2 3 3 2 3 2" xfId="31326"/>
    <cellStyle name="差 2 3 3 2 3 2 2" xfId="31327"/>
    <cellStyle name="差 2 3 3 2 4" xfId="31328"/>
    <cellStyle name="差 2 3 3 2 4 2" xfId="31329"/>
    <cellStyle name="差 2 3 3 3" xfId="31330"/>
    <cellStyle name="差 2 3 3 3 2" xfId="31331"/>
    <cellStyle name="差 2 3 3 3 2 2" xfId="31332"/>
    <cellStyle name="差 2 3 3 3 2 2 2" xfId="31333"/>
    <cellStyle name="差 2 3 3 3 3" xfId="31334"/>
    <cellStyle name="差 2 3 3 3 3 2" xfId="31335"/>
    <cellStyle name="差 2 3 3 4" xfId="31336"/>
    <cellStyle name="差 2 3 3 5" xfId="31337"/>
    <cellStyle name="差 2 3 3 6" xfId="31338"/>
    <cellStyle name="差 2 3 4" xfId="31339"/>
    <cellStyle name="差 2 3 4 2" xfId="31340"/>
    <cellStyle name="差 2 3 4 2 2" xfId="31341"/>
    <cellStyle name="差 2 3 4 2 3" xfId="31342"/>
    <cellStyle name="差 2 3 4 2 3 2" xfId="31343"/>
    <cellStyle name="差 2 3 4 2 3 2 2" xfId="31344"/>
    <cellStyle name="差 2 3 4 2 4" xfId="31345"/>
    <cellStyle name="差 2 3 4 2 4 2" xfId="31346"/>
    <cellStyle name="差 2 3 4 3" xfId="31347"/>
    <cellStyle name="差 2 3 4 4" xfId="31348"/>
    <cellStyle name="差 2 3 4 5" xfId="31349"/>
    <cellStyle name="差 2 3 4 6" xfId="31350"/>
    <cellStyle name="差 2 3 5" xfId="31351"/>
    <cellStyle name="差 2 3 5 2" xfId="31352"/>
    <cellStyle name="差 2 3 5 2 2" xfId="31353"/>
    <cellStyle name="差 2 3 5 2 2 2" xfId="31354"/>
    <cellStyle name="差 2 3 5 2 2 2 2" xfId="31355"/>
    <cellStyle name="差 2 3 5 2 3" xfId="31356"/>
    <cellStyle name="差 2 3 5 2 3 2" xfId="31357"/>
    <cellStyle name="差 2 3 5 3" xfId="31358"/>
    <cellStyle name="差 2 3 5 3 2" xfId="31359"/>
    <cellStyle name="差 2 3 5 3 2 2" xfId="31360"/>
    <cellStyle name="差 2 3 5 4" xfId="31361"/>
    <cellStyle name="差 2 3 5 4 2" xfId="31362"/>
    <cellStyle name="差 2 3 6" xfId="31363"/>
    <cellStyle name="差 2 3 6 2" xfId="31364"/>
    <cellStyle name="差 2 3 6 2 2" xfId="31365"/>
    <cellStyle name="差 2 3 6 2 2 2" xfId="31366"/>
    <cellStyle name="差 2 3 6 3" xfId="31367"/>
    <cellStyle name="差 2 3 6 3 2" xfId="31368"/>
    <cellStyle name="差 2 3 7" xfId="31369"/>
    <cellStyle name="差 2 3 7 2" xfId="31370"/>
    <cellStyle name="差 2 3 7 2 2" xfId="31371"/>
    <cellStyle name="差 2 3 7 2 2 2" xfId="31372"/>
    <cellStyle name="差 2 3 7 3" xfId="31373"/>
    <cellStyle name="差 2 3 7 3 2" xfId="31374"/>
    <cellStyle name="差 2 3 8" xfId="31375"/>
    <cellStyle name="差 2 3 9" xfId="31376"/>
    <cellStyle name="差 2 4" xfId="31377"/>
    <cellStyle name="差 2 4 2" xfId="31378"/>
    <cellStyle name="差 2 4 2 2" xfId="31379"/>
    <cellStyle name="差 2 4 2 3" xfId="31380"/>
    <cellStyle name="差 2 4 2 3 2" xfId="31381"/>
    <cellStyle name="差 2 4 2 3 2 2" xfId="31382"/>
    <cellStyle name="差 2 4 2 4" xfId="31383"/>
    <cellStyle name="差 2 4 2 4 2" xfId="31384"/>
    <cellStyle name="差 2 4 3" xfId="31385"/>
    <cellStyle name="差 2 4 3 2" xfId="31386"/>
    <cellStyle name="差 2 4 3 2 2" xfId="31387"/>
    <cellStyle name="差 2 4 3 2 2 2" xfId="31388"/>
    <cellStyle name="差 2 4 3 3" xfId="31389"/>
    <cellStyle name="差 2 4 3 3 2" xfId="31390"/>
    <cellStyle name="差 2 4 4" xfId="31391"/>
    <cellStyle name="差 2 4 5" xfId="31392"/>
    <cellStyle name="差 2 4 6" xfId="31393"/>
    <cellStyle name="差 2 5" xfId="31394"/>
    <cellStyle name="差 2 5 2" xfId="31395"/>
    <cellStyle name="差 2 5 2 2" xfId="31396"/>
    <cellStyle name="差 2 5 2 3" xfId="31397"/>
    <cellStyle name="差 2 5 2 3 2" xfId="31398"/>
    <cellStyle name="差 2 5 2 3 2 2" xfId="31399"/>
    <cellStyle name="差 2 5 2 4" xfId="31400"/>
    <cellStyle name="差 2 5 2 4 2" xfId="31401"/>
    <cellStyle name="差 2 5 3" xfId="31402"/>
    <cellStyle name="差 2 5 4" xfId="31403"/>
    <cellStyle name="差 2 5 5" xfId="31404"/>
    <cellStyle name="差 2 5 6" xfId="31405"/>
    <cellStyle name="差 2 6" xfId="31406"/>
    <cellStyle name="差 2 6 2" xfId="31407"/>
    <cellStyle name="差 2 6 2 2" xfId="31408"/>
    <cellStyle name="差 2 6 2 2 2" xfId="31409"/>
    <cellStyle name="差 2 6 2 2 2 2" xfId="31410"/>
    <cellStyle name="差 2 6 2 3" xfId="31411"/>
    <cellStyle name="差 2 6 2 3 2" xfId="31412"/>
    <cellStyle name="差 2 6 3" xfId="31413"/>
    <cellStyle name="差 2 6 3 2" xfId="31414"/>
    <cellStyle name="差 2 6 3 2 2" xfId="31415"/>
    <cellStyle name="差 2 6 4" xfId="31416"/>
    <cellStyle name="差 2 6 4 2" xfId="31417"/>
    <cellStyle name="差 2 7" xfId="31418"/>
    <cellStyle name="差 2 7 2" xfId="31419"/>
    <cellStyle name="差 2 7 2 2" xfId="31420"/>
    <cellStyle name="差 2 7 2 2 2" xfId="31421"/>
    <cellStyle name="差 2 7 2 2 2 2" xfId="31422"/>
    <cellStyle name="差 2 7 2 3" xfId="31423"/>
    <cellStyle name="差 2 7 2 3 2" xfId="31424"/>
    <cellStyle name="差 2 7 3" xfId="31425"/>
    <cellStyle name="差 2 7 3 2" xfId="31426"/>
    <cellStyle name="差 2 7 3 2 2" xfId="31427"/>
    <cellStyle name="差 2 7 4" xfId="31428"/>
    <cellStyle name="差 2 7 4 2" xfId="31429"/>
    <cellStyle name="差 2 8" xfId="31430"/>
    <cellStyle name="差 2 8 2" xfId="31431"/>
    <cellStyle name="差 2 8 2 2" xfId="31432"/>
    <cellStyle name="差 2 8 2 2 2" xfId="31433"/>
    <cellStyle name="差 2 8 2 2 2 2" xfId="31434"/>
    <cellStyle name="差 2 8 2 3" xfId="31435"/>
    <cellStyle name="差 2 8 2 3 2" xfId="31436"/>
    <cellStyle name="差 2 8 3" xfId="31437"/>
    <cellStyle name="差 2 8 3 2" xfId="31438"/>
    <cellStyle name="差 2 8 3 2 2" xfId="31439"/>
    <cellStyle name="差 2 8 4" xfId="31440"/>
    <cellStyle name="差 2 8 4 2" xfId="31441"/>
    <cellStyle name="差 2 9" xfId="31442"/>
    <cellStyle name="差 2 9 2" xfId="31443"/>
    <cellStyle name="差 2 9 2 2" xfId="31444"/>
    <cellStyle name="差 2 9 2 2 2" xfId="31445"/>
    <cellStyle name="差 2 9 3" xfId="31446"/>
    <cellStyle name="差 2 9 3 2" xfId="31447"/>
    <cellStyle name="差 3" xfId="31448"/>
    <cellStyle name="差 3 2" xfId="31449"/>
    <cellStyle name="差 3 2 2" xfId="31450"/>
    <cellStyle name="差 3 2 2 2" xfId="31451"/>
    <cellStyle name="差 3 2 2 2 2" xfId="31452"/>
    <cellStyle name="差 3 2 2 2 3" xfId="31453"/>
    <cellStyle name="差 3 2 2 2 3 2" xfId="31454"/>
    <cellStyle name="差 3 2 2 2 3 2 2" xfId="31455"/>
    <cellStyle name="差 3 2 2 2 4" xfId="31456"/>
    <cellStyle name="差 3 2 2 2 4 2" xfId="31457"/>
    <cellStyle name="差 3 2 2 3" xfId="31458"/>
    <cellStyle name="差 3 2 2 3 2" xfId="31459"/>
    <cellStyle name="差 3 2 2 3 2 2" xfId="31460"/>
    <cellStyle name="差 3 2 2 3 2 2 2" xfId="31461"/>
    <cellStyle name="差 3 2 2 3 3" xfId="31462"/>
    <cellStyle name="差 3 2 2 3 3 2" xfId="31463"/>
    <cellStyle name="差 3 2 2 4" xfId="31464"/>
    <cellStyle name="差 3 2 2 5" xfId="31465"/>
    <cellStyle name="差 3 2 2 6" xfId="31466"/>
    <cellStyle name="差 3 2 3" xfId="31467"/>
    <cellStyle name="差 3 2 3 2" xfId="31468"/>
    <cellStyle name="差 3 2 3 3" xfId="31469"/>
    <cellStyle name="差 3 2 3 3 2" xfId="31470"/>
    <cellStyle name="差 3 2 3 3 2 2" xfId="31471"/>
    <cellStyle name="差 3 2 3 4" xfId="31472"/>
    <cellStyle name="差 3 2 3 4 2" xfId="31473"/>
    <cellStyle name="差 3 2 4" xfId="31474"/>
    <cellStyle name="差 3 2 4 2" xfId="31475"/>
    <cellStyle name="差 3 2 4 2 2" xfId="31476"/>
    <cellStyle name="差 3 2 4 2 2 2" xfId="31477"/>
    <cellStyle name="差 3 2 4 3" xfId="31478"/>
    <cellStyle name="差 3 2 4 3 2" xfId="31479"/>
    <cellStyle name="差 3 2 5" xfId="31480"/>
    <cellStyle name="差 3 2 6" xfId="31481"/>
    <cellStyle name="差 3 2 7" xfId="31482"/>
    <cellStyle name="差 3 3" xfId="31483"/>
    <cellStyle name="差 3 3 2" xfId="31484"/>
    <cellStyle name="差 3 3 2 2" xfId="31485"/>
    <cellStyle name="差 3 3 2 3" xfId="31486"/>
    <cellStyle name="差 3 3 2 3 2" xfId="31487"/>
    <cellStyle name="差 3 3 2 3 2 2" xfId="31488"/>
    <cellStyle name="差 3 3 2 4" xfId="31489"/>
    <cellStyle name="差 3 3 2 4 2" xfId="31490"/>
    <cellStyle name="差 3 3 3" xfId="31491"/>
    <cellStyle name="差 3 3 3 2" xfId="31492"/>
    <cellStyle name="差 3 3 3 2 2" xfId="31493"/>
    <cellStyle name="差 3 3 3 2 2 2" xfId="31494"/>
    <cellStyle name="差 3 3 3 3" xfId="31495"/>
    <cellStyle name="差 3 3 3 3 2" xfId="31496"/>
    <cellStyle name="差 3 3 4" xfId="31497"/>
    <cellStyle name="差 3 3 5" xfId="31498"/>
    <cellStyle name="差 3 3 6" xfId="31499"/>
    <cellStyle name="差 3 4" xfId="31500"/>
    <cellStyle name="差 3 4 2" xfId="31501"/>
    <cellStyle name="差 3 4 2 2" xfId="31502"/>
    <cellStyle name="差 3 4 2 3" xfId="31503"/>
    <cellStyle name="差 3 4 2 3 2" xfId="31504"/>
    <cellStyle name="差 3 4 2 3 2 2" xfId="31505"/>
    <cellStyle name="差 3 4 2 4" xfId="31506"/>
    <cellStyle name="差 3 4 2 4 2" xfId="31507"/>
    <cellStyle name="差 3 4 3" xfId="31508"/>
    <cellStyle name="差 3 4 4" xfId="31509"/>
    <cellStyle name="差 3 4 5" xfId="31510"/>
    <cellStyle name="差 3 4 6" xfId="31511"/>
    <cellStyle name="差 3 5" xfId="31512"/>
    <cellStyle name="差 3 5 2" xfId="31513"/>
    <cellStyle name="差 3 5 2 2" xfId="31514"/>
    <cellStyle name="差 3 5 2 2 2" xfId="31515"/>
    <cellStyle name="差 3 5 2 2 2 2" xfId="31516"/>
    <cellStyle name="差 3 5 2 3" xfId="31517"/>
    <cellStyle name="差 3 5 2 3 2" xfId="31518"/>
    <cellStyle name="差 3 5 3" xfId="31519"/>
    <cellStyle name="差 3 5 3 2" xfId="31520"/>
    <cellStyle name="差 3 5 3 2 2" xfId="31521"/>
    <cellStyle name="差 3 5 4" xfId="31522"/>
    <cellStyle name="差 3 5 4 2" xfId="31523"/>
    <cellStyle name="差 3 6" xfId="31524"/>
    <cellStyle name="差 3 6 2" xfId="31525"/>
    <cellStyle name="差 3 6 2 2" xfId="31526"/>
    <cellStyle name="差 3 6 2 2 2" xfId="31527"/>
    <cellStyle name="差 3 6 3" xfId="31528"/>
    <cellStyle name="差 3 6 3 2" xfId="31529"/>
    <cellStyle name="差 3 7" xfId="31530"/>
    <cellStyle name="差 3 8" xfId="31531"/>
    <cellStyle name="差_报关单" xfId="31532"/>
    <cellStyle name="常规 10" xfId="31533"/>
    <cellStyle name="常规 10 10" xfId="31534"/>
    <cellStyle name="常规 10 10 2" xfId="31535"/>
    <cellStyle name="常规 10 10 3" xfId="31536"/>
    <cellStyle name="常规 10 13" xfId="31537"/>
    <cellStyle name="常规 10 2" xfId="31538"/>
    <cellStyle name="常规 10 2 2" xfId="31539"/>
    <cellStyle name="常规 10 2 2 2" xfId="31540"/>
    <cellStyle name="常规 10 2 2 2 2" xfId="31541"/>
    <cellStyle name="常规 10 2 2 2 3" xfId="31542"/>
    <cellStyle name="常规 10 2 2 2 4" xfId="31543"/>
    <cellStyle name="常规 10 2 2 2 5" xfId="31544"/>
    <cellStyle name="常规 10 2 2 2 5 2" xfId="31545"/>
    <cellStyle name="常规 10 2 2 3" xfId="31546"/>
    <cellStyle name="常规 10 2 2 3 2" xfId="31547"/>
    <cellStyle name="常规 10 2 2 3 2 2" xfId="31548"/>
    <cellStyle name="常规 10 2 2 4" xfId="31549"/>
    <cellStyle name="常规 10 2 2 4 2" xfId="31550"/>
    <cellStyle name="常规 10 2 2 4 2 2" xfId="31551"/>
    <cellStyle name="常规 10 2 2 5" xfId="31552"/>
    <cellStyle name="常规 10 2 2 5 2" xfId="31553"/>
    <cellStyle name="常规 10 2 2 5 3" xfId="31554"/>
    <cellStyle name="常规 10 2 2 6" xfId="31555"/>
    <cellStyle name="常规 10 2 2 6 2" xfId="31556"/>
    <cellStyle name="常规 10 2 2 7" xfId="31557"/>
    <cellStyle name="常规 10 2 3" xfId="31558"/>
    <cellStyle name="常规 10 2 3 2" xfId="31559"/>
    <cellStyle name="常规 10 2 3 2 2" xfId="31560"/>
    <cellStyle name="常规 10 2 3 2 3" xfId="31561"/>
    <cellStyle name="常规 10 2 3 2 4" xfId="31562"/>
    <cellStyle name="常规 10 2 3 3" xfId="31563"/>
    <cellStyle name="常规 10 2 3 4" xfId="31564"/>
    <cellStyle name="常规 10 2 3 5" xfId="31565"/>
    <cellStyle name="常规 10 2 3 6" xfId="31566"/>
    <cellStyle name="常规 10 2 3 6 2" xfId="31567"/>
    <cellStyle name="常规 10 2 4" xfId="31568"/>
    <cellStyle name="常规 10 2 4 2" xfId="31569"/>
    <cellStyle name="常规 10 2 4 3" xfId="31570"/>
    <cellStyle name="常规 10 2 4 4" xfId="31571"/>
    <cellStyle name="常规 10 2 4 5" xfId="31572"/>
    <cellStyle name="常规 10 2 4 5 2" xfId="31573"/>
    <cellStyle name="常规 10 2 5" xfId="31574"/>
    <cellStyle name="常规 10 2 5 2" xfId="31575"/>
    <cellStyle name="常规 10 2 5 2 2" xfId="31576"/>
    <cellStyle name="常规 10 2 6" xfId="31577"/>
    <cellStyle name="常规 10 2 6 2" xfId="31578"/>
    <cellStyle name="常规 10 2 6 2 2" xfId="31579"/>
    <cellStyle name="常规 10 2 7" xfId="31580"/>
    <cellStyle name="常规 10 2 7 2" xfId="31581"/>
    <cellStyle name="常规 10 2 7 2 2" xfId="31582"/>
    <cellStyle name="常规 10 2 8" xfId="31583"/>
    <cellStyle name="常规 10 2 8 2" xfId="31584"/>
    <cellStyle name="常规 10 2 8 3" xfId="31585"/>
    <cellStyle name="常规 10 2 9" xfId="31586"/>
    <cellStyle name="常规 10 3" xfId="31587"/>
    <cellStyle name="常规 10 3 2" xfId="31588"/>
    <cellStyle name="常规 10 3 2 2" xfId="31589"/>
    <cellStyle name="常规 10 3 2 2 2" xfId="31590"/>
    <cellStyle name="常规 10 3 2 2 2 2" xfId="31591"/>
    <cellStyle name="常规 10 3 2 3" xfId="31592"/>
    <cellStyle name="常规 10 3 2 3 2" xfId="31593"/>
    <cellStyle name="常规 10 3 2 3 2 2" xfId="31594"/>
    <cellStyle name="常规 10 3 2 4" xfId="31595"/>
    <cellStyle name="常规 10 3 2 4 2" xfId="31596"/>
    <cellStyle name="常规 10 3 2 4 2 2" xfId="31597"/>
    <cellStyle name="常规 10 3 2 5" xfId="31598"/>
    <cellStyle name="常规 10 3 2 5 2" xfId="31599"/>
    <cellStyle name="常规 10 3 2 5 3" xfId="31600"/>
    <cellStyle name="常规 10 3 2 6" xfId="31601"/>
    <cellStyle name="常规 10 3 3" xfId="31602"/>
    <cellStyle name="常规 10 3 3 2" xfId="31603"/>
    <cellStyle name="常规 10 3 3 2 2" xfId="31604"/>
    <cellStyle name="常规 10 3 3 2 2 2" xfId="31605"/>
    <cellStyle name="常规 10 3 3 3" xfId="31606"/>
    <cellStyle name="常规 10 3 3 3 2" xfId="31607"/>
    <cellStyle name="常规 10 3 3 3 2 2" xfId="31608"/>
    <cellStyle name="常规 10 3 3 4" xfId="31609"/>
    <cellStyle name="常规 10 3 3 4 2" xfId="31610"/>
    <cellStyle name="常规 10 3 3 5" xfId="31611"/>
    <cellStyle name="常规 10 3 4" xfId="31612"/>
    <cellStyle name="常规 10 3 4 2" xfId="31613"/>
    <cellStyle name="常规 10 3 4 2 2" xfId="31614"/>
    <cellStyle name="常规 10 3 5" xfId="31615"/>
    <cellStyle name="常规 10 3 5 2" xfId="31616"/>
    <cellStyle name="常规 10 3 5 2 2" xfId="31617"/>
    <cellStyle name="常规 10 3 6" xfId="31618"/>
    <cellStyle name="常规 10 3 7" xfId="31619"/>
    <cellStyle name="常规 10 3 7 2" xfId="31620"/>
    <cellStyle name="常规 10 3 7 3" xfId="31621"/>
    <cellStyle name="常规 10 3 8" xfId="31622"/>
    <cellStyle name="常规 10 3 8 2" xfId="31623"/>
    <cellStyle name="常规 10 4" xfId="31624"/>
    <cellStyle name="常规 10 4 2" xfId="31625"/>
    <cellStyle name="常规 10 4 2 2" xfId="31626"/>
    <cellStyle name="常规 10 4 2 3" xfId="31627"/>
    <cellStyle name="常规 10 4 2 4" xfId="31628"/>
    <cellStyle name="常规 10 4 2 5" xfId="31629"/>
    <cellStyle name="常规 10 4 2 5 2" xfId="31630"/>
    <cellStyle name="常规 10 4 3" xfId="31631"/>
    <cellStyle name="常规 10 4 3 2" xfId="31632"/>
    <cellStyle name="常规 10 4 3 2 2" xfId="31633"/>
    <cellStyle name="常规 10 4 4" xfId="31634"/>
    <cellStyle name="常规 10 4 4 2" xfId="31635"/>
    <cellStyle name="常规 10 4 4 2 2" xfId="31636"/>
    <cellStyle name="常规 10 4 5" xfId="31637"/>
    <cellStyle name="常规 10 4 5 2" xfId="31638"/>
    <cellStyle name="常规 10 4 5 3" xfId="31639"/>
    <cellStyle name="常规 10 4 6" xfId="31640"/>
    <cellStyle name="常规 10 4 6 2" xfId="31641"/>
    <cellStyle name="常规 10 4 7" xfId="31642"/>
    <cellStyle name="常规 10 5" xfId="31643"/>
    <cellStyle name="常规 10 5 2" xfId="31644"/>
    <cellStyle name="常规 10 5 3" xfId="31645"/>
    <cellStyle name="常规 10 5 4" xfId="31646"/>
    <cellStyle name="常规 10 5 5" xfId="31647"/>
    <cellStyle name="常规 10 5 5 2" xfId="31648"/>
    <cellStyle name="常规 10 6" xfId="31649"/>
    <cellStyle name="常规 10 6 2" xfId="31650"/>
    <cellStyle name="常规 10 6 2 2" xfId="31651"/>
    <cellStyle name="常规 10 7" xfId="31652"/>
    <cellStyle name="常规 10 7 2" xfId="31653"/>
    <cellStyle name="常规 10 7 2 2" xfId="31654"/>
    <cellStyle name="常规 10 8" xfId="31655"/>
    <cellStyle name="常规 10 8 2" xfId="31656"/>
    <cellStyle name="常规 10 8 2 2" xfId="31657"/>
    <cellStyle name="常规 10 9" xfId="31658"/>
    <cellStyle name="常规 10 9 2" xfId="31659"/>
    <cellStyle name="常规 10 9 3" xfId="31660"/>
    <cellStyle name="常规 11" xfId="31661"/>
    <cellStyle name="常规 11 10" xfId="31662"/>
    <cellStyle name="常规 11 2" xfId="31663"/>
    <cellStyle name="常规 11 2 2" xfId="31664"/>
    <cellStyle name="常规 11 2 2 2" xfId="31665"/>
    <cellStyle name="常规 11 2 2 2 2" xfId="31666"/>
    <cellStyle name="常规 11 2 2 2 3" xfId="31667"/>
    <cellStyle name="常规 11 2 2 2 4" xfId="31668"/>
    <cellStyle name="常规 11 2 2 2 5" xfId="31669"/>
    <cellStyle name="常规 11 2 2 2 5 2" xfId="31670"/>
    <cellStyle name="常规 11 2 2 3" xfId="31671"/>
    <cellStyle name="常规 11 2 2 3 2" xfId="31672"/>
    <cellStyle name="常规 11 2 2 3 2 2" xfId="31673"/>
    <cellStyle name="常规 11 2 2 4" xfId="31674"/>
    <cellStyle name="常规 11 2 2 4 2" xfId="31675"/>
    <cellStyle name="常规 11 2 2 4 2 2" xfId="31676"/>
    <cellStyle name="常规 11 2 2 5" xfId="31677"/>
    <cellStyle name="常规 11 2 2 5 2" xfId="31678"/>
    <cellStyle name="常规 11 2 2 5 3" xfId="31679"/>
    <cellStyle name="常规 11 2 2 6" xfId="31680"/>
    <cellStyle name="常规 11 2 2 6 2" xfId="31681"/>
    <cellStyle name="常规 11 2 2 7" xfId="31682"/>
    <cellStyle name="常规 11 2 3" xfId="31683"/>
    <cellStyle name="常规 11 2 3 2" xfId="31684"/>
    <cellStyle name="常规 11 2 3 2 2" xfId="31685"/>
    <cellStyle name="常规 11 2 3 2 3" xfId="31686"/>
    <cellStyle name="常规 11 2 3 2 4" xfId="31687"/>
    <cellStyle name="常规 11 2 3 3" xfId="31688"/>
    <cellStyle name="常规 11 2 3 4" xfId="31689"/>
    <cellStyle name="常规 11 2 3 5" xfId="31690"/>
    <cellStyle name="常规 11 2 3 6" xfId="31691"/>
    <cellStyle name="常规 11 2 3 6 2" xfId="31692"/>
    <cellStyle name="常规 11 2 4" xfId="31693"/>
    <cellStyle name="常规 11 2 4 2" xfId="31694"/>
    <cellStyle name="常规 11 2 4 3" xfId="31695"/>
    <cellStyle name="常规 11 2 4 4" xfId="31696"/>
    <cellStyle name="常规 11 2 4 5" xfId="31697"/>
    <cellStyle name="常规 11 2 4 5 2" xfId="31698"/>
    <cellStyle name="常规 11 2 5" xfId="31699"/>
    <cellStyle name="常规 11 2 5 2" xfId="31700"/>
    <cellStyle name="常规 11 2 5 2 2" xfId="31701"/>
    <cellStyle name="常规 11 2 6" xfId="31702"/>
    <cellStyle name="常规 11 2 6 2" xfId="31703"/>
    <cellStyle name="常规 11 2 6 2 2" xfId="31704"/>
    <cellStyle name="常规 11 2 7" xfId="31705"/>
    <cellStyle name="常规 11 2 7 2" xfId="31706"/>
    <cellStyle name="常规 11 2 7 2 2" xfId="31707"/>
    <cellStyle name="常规 11 2 8" xfId="31708"/>
    <cellStyle name="常规 11 2 8 2" xfId="31709"/>
    <cellStyle name="常规 11 2 8 3" xfId="31710"/>
    <cellStyle name="常规 11 2 9" xfId="31711"/>
    <cellStyle name="常规 11 3" xfId="31712"/>
    <cellStyle name="常规 11 3 2" xfId="31713"/>
    <cellStyle name="常规 11 3 2 2" xfId="31714"/>
    <cellStyle name="常规 11 3 2 2 2" xfId="31715"/>
    <cellStyle name="常规 11 3 2 2 2 2" xfId="31716"/>
    <cellStyle name="常规 11 3 2 3" xfId="31717"/>
    <cellStyle name="常规 11 3 2 3 2" xfId="31718"/>
    <cellStyle name="常规 11 3 2 3 2 2" xfId="31719"/>
    <cellStyle name="常规 11 3 2 4" xfId="31720"/>
    <cellStyle name="常规 11 3 2 4 2" xfId="31721"/>
    <cellStyle name="常规 11 3 2 4 2 2" xfId="31722"/>
    <cellStyle name="常规 11 3 2 5" xfId="31723"/>
    <cellStyle name="常规 11 3 2 5 2" xfId="31724"/>
    <cellStyle name="常规 11 3 2 5 3" xfId="31725"/>
    <cellStyle name="常规 11 3 2 6" xfId="31726"/>
    <cellStyle name="常规 11 3 3" xfId="31727"/>
    <cellStyle name="常规 11 3 3 2" xfId="31728"/>
    <cellStyle name="常规 11 3 3 2 2" xfId="31729"/>
    <cellStyle name="常规 11 3 3 2 2 2" xfId="31730"/>
    <cellStyle name="常规 11 3 3 3" xfId="31731"/>
    <cellStyle name="常规 11 3 3 3 2" xfId="31732"/>
    <cellStyle name="常规 11 3 3 3 2 2" xfId="31733"/>
    <cellStyle name="常规 11 3 3 4" xfId="31734"/>
    <cellStyle name="常规 11 3 3 4 2" xfId="31735"/>
    <cellStyle name="常规 11 3 3 5" xfId="31736"/>
    <cellStyle name="常规 11 3 4" xfId="31737"/>
    <cellStyle name="常规 11 3 4 2" xfId="31738"/>
    <cellStyle name="常规 11 3 4 2 2" xfId="31739"/>
    <cellStyle name="常规 11 3 5" xfId="31740"/>
    <cellStyle name="常规 11 3 5 2" xfId="31741"/>
    <cellStyle name="常规 11 3 5 2 2" xfId="31742"/>
    <cellStyle name="常规 11 3 6" xfId="31743"/>
    <cellStyle name="常规 11 3 7" xfId="31744"/>
    <cellStyle name="常规 11 3 7 2" xfId="31745"/>
    <cellStyle name="常规 11 3 7 3" xfId="31746"/>
    <cellStyle name="常规 11 3 8" xfId="31747"/>
    <cellStyle name="常规 11 3 8 2" xfId="31748"/>
    <cellStyle name="常规 11 4" xfId="31749"/>
    <cellStyle name="常规 11 4 2" xfId="31750"/>
    <cellStyle name="常规 11 4 2 2" xfId="31751"/>
    <cellStyle name="常规 11 4 2 2 2" xfId="31752"/>
    <cellStyle name="常规 11 4 2 2 2 2" xfId="31753"/>
    <cellStyle name="常规 11 4 2 2 3" xfId="31754"/>
    <cellStyle name="常规 11 4 2 3" xfId="31755"/>
    <cellStyle name="常规 11 4 2 3 2" xfId="31756"/>
    <cellStyle name="常规 11 4 2 3 2 2" xfId="31757"/>
    <cellStyle name="常规 11 4 2 4" xfId="31758"/>
    <cellStyle name="常规 11 4 2 4 2" xfId="31759"/>
    <cellStyle name="常规 11 4 2 4 3" xfId="31760"/>
    <cellStyle name="常规 11 4 2 5" xfId="31761"/>
    <cellStyle name="常规 11 4 2 5 2" xfId="31762"/>
    <cellStyle name="常规 11 4 2 6" xfId="31763"/>
    <cellStyle name="常规 11 4 3" xfId="31764"/>
    <cellStyle name="常规 11 4 3 2" xfId="31765"/>
    <cellStyle name="常规 11 4 3 2 2" xfId="31766"/>
    <cellStyle name="常规 11 4 4" xfId="31767"/>
    <cellStyle name="常规 11 4 4 2" xfId="31768"/>
    <cellStyle name="常规 11 4 4 2 2" xfId="31769"/>
    <cellStyle name="常规 11 4 5" xfId="31770"/>
    <cellStyle name="常规 11 4 5 2" xfId="31771"/>
    <cellStyle name="常规 11 4 5 2 2" xfId="31772"/>
    <cellStyle name="常规 11 4 6" xfId="31773"/>
    <cellStyle name="常规 11 4 6 2" xfId="31774"/>
    <cellStyle name="常规 11 4 6 3" xfId="31775"/>
    <cellStyle name="常规 11 4 7" xfId="31776"/>
    <cellStyle name="常规 11 5" xfId="31777"/>
    <cellStyle name="常规 11 5 2" xfId="31778"/>
    <cellStyle name="常规 11 5 2 2" xfId="31779"/>
    <cellStyle name="常规 11 5 2 2 2" xfId="31780"/>
    <cellStyle name="常规 11 5 2 3" xfId="31781"/>
    <cellStyle name="常规 11 5 3" xfId="31782"/>
    <cellStyle name="常规 11 5 3 2" xfId="31783"/>
    <cellStyle name="常规 11 5 3 2 2" xfId="31784"/>
    <cellStyle name="常规 11 5 4" xfId="31785"/>
    <cellStyle name="常规 11 5 4 2" xfId="31786"/>
    <cellStyle name="常规 11 5 4 3" xfId="31787"/>
    <cellStyle name="常规 11 5 5" xfId="31788"/>
    <cellStyle name="常规 11 5 5 2" xfId="31789"/>
    <cellStyle name="常规 11 5 6" xfId="31790"/>
    <cellStyle name="常规 11 6" xfId="31791"/>
    <cellStyle name="常规 11 6 2" xfId="31792"/>
    <cellStyle name="常规 11 6 2 2" xfId="31793"/>
    <cellStyle name="常规 11 7" xfId="31794"/>
    <cellStyle name="常规 11 7 2" xfId="31795"/>
    <cellStyle name="常规 11 7 2 2" xfId="31796"/>
    <cellStyle name="常规 11 8" xfId="31797"/>
    <cellStyle name="常规 11 8 2" xfId="31798"/>
    <cellStyle name="常规 11 8 2 2" xfId="31799"/>
    <cellStyle name="常规 11 9" xfId="31800"/>
    <cellStyle name="常规 11 9 2" xfId="31801"/>
    <cellStyle name="常规 11 9 3" xfId="31802"/>
    <cellStyle name="常规 12" xfId="31803"/>
    <cellStyle name="常规 12 10" xfId="31804"/>
    <cellStyle name="常规 12 10 2" xfId="31805"/>
    <cellStyle name="常规 12 11" xfId="31806"/>
    <cellStyle name="常规 12 2" xfId="31807"/>
    <cellStyle name="常规 12 2 10" xfId="31808"/>
    <cellStyle name="常规 12 2 2" xfId="31809"/>
    <cellStyle name="常规 12 2 2 2" xfId="31810"/>
    <cellStyle name="常规 12 2 2 2 2" xfId="31811"/>
    <cellStyle name="常规 12 2 2 2 2 2" xfId="31812"/>
    <cellStyle name="常规 12 2 2 2 2 3" xfId="31813"/>
    <cellStyle name="常规 12 2 2 2 2 4" xfId="31814"/>
    <cellStyle name="常规 12 2 2 2 3" xfId="31815"/>
    <cellStyle name="常规 12 2 2 2 4" xfId="31816"/>
    <cellStyle name="常规 12 2 2 2 5" xfId="31817"/>
    <cellStyle name="常规 12 2 2 3" xfId="31818"/>
    <cellStyle name="常规 12 2 2 3 2" xfId="31819"/>
    <cellStyle name="常规 12 2 2 3 2 2" xfId="31820"/>
    <cellStyle name="常规 12 2 2 3 2 3" xfId="31821"/>
    <cellStyle name="常规 12 2 2 3 2 4" xfId="31822"/>
    <cellStyle name="常规 12 2 2 3 3" xfId="31823"/>
    <cellStyle name="常规 12 2 2 3 4" xfId="31824"/>
    <cellStyle name="常规 12 2 2 3 5" xfId="31825"/>
    <cellStyle name="常规 12 2 2 4" xfId="31826"/>
    <cellStyle name="常规 12 2 2 4 2" xfId="31827"/>
    <cellStyle name="常规 12 2 2 4 3" xfId="31828"/>
    <cellStyle name="常规 12 2 2 4 4" xfId="31829"/>
    <cellStyle name="常规 12 2 2 5" xfId="31830"/>
    <cellStyle name="常规 12 2 2 6" xfId="31831"/>
    <cellStyle name="常规 12 2 2 7" xfId="31832"/>
    <cellStyle name="常规 12 2 2 8" xfId="31833"/>
    <cellStyle name="常规 12 2 2 8 2" xfId="31834"/>
    <cellStyle name="常规 12 2 3" xfId="31835"/>
    <cellStyle name="常规 12 2 3 2" xfId="31836"/>
    <cellStyle name="常规 12 2 3 2 2" xfId="31837"/>
    <cellStyle name="常规 12 2 3 2 3" xfId="31838"/>
    <cellStyle name="常规 12 2 3 2 4" xfId="31839"/>
    <cellStyle name="常规 12 2 3 3" xfId="31840"/>
    <cellStyle name="常规 12 2 3 4" xfId="31841"/>
    <cellStyle name="常规 12 2 3 5" xfId="31842"/>
    <cellStyle name="常规 12 2 3 6" xfId="31843"/>
    <cellStyle name="常规 12 2 3 6 2" xfId="31844"/>
    <cellStyle name="常规 12 2 4" xfId="31845"/>
    <cellStyle name="常规 12 2 4 2" xfId="31846"/>
    <cellStyle name="常规 12 2 4 2 2" xfId="31847"/>
    <cellStyle name="常规 12 2 4 2 3" xfId="31848"/>
    <cellStyle name="常规 12 2 4 2 4" xfId="31849"/>
    <cellStyle name="常规 12 2 4 2 5" xfId="31850"/>
    <cellStyle name="常规 12 2 4 3" xfId="31851"/>
    <cellStyle name="常规 12 2 4 4" xfId="31852"/>
    <cellStyle name="常规 12 2 4 5" xfId="31853"/>
    <cellStyle name="常规 12 2 4 6" xfId="31854"/>
    <cellStyle name="常规 12 2 5" xfId="31855"/>
    <cellStyle name="常规 12 2 5 2" xfId="31856"/>
    <cellStyle name="常规 12 2 5 2 2" xfId="31857"/>
    <cellStyle name="常规 12 2 5 3" xfId="31858"/>
    <cellStyle name="常规 12 2 5 4" xfId="31859"/>
    <cellStyle name="常规 12 2 5 5" xfId="31860"/>
    <cellStyle name="常规 12 2 6" xfId="31861"/>
    <cellStyle name="常规 12 2 7" xfId="31862"/>
    <cellStyle name="常规 12 2 8" xfId="31863"/>
    <cellStyle name="常规 12 2 9" xfId="31864"/>
    <cellStyle name="常规 12 2 9 2" xfId="31865"/>
    <cellStyle name="常规 12 3" xfId="31866"/>
    <cellStyle name="常规 12 3 2" xfId="31867"/>
    <cellStyle name="常规 12 3 2 2" xfId="31868"/>
    <cellStyle name="常规 12 3 2 2 2" xfId="31869"/>
    <cellStyle name="常规 12 3 2 2 3" xfId="31870"/>
    <cellStyle name="常规 12 3 2 2 4" xfId="31871"/>
    <cellStyle name="常规 12 3 2 2 5" xfId="31872"/>
    <cellStyle name="常规 12 3 2 3" xfId="31873"/>
    <cellStyle name="常规 12 3 2 4" xfId="31874"/>
    <cellStyle name="常规 12 3 2 5" xfId="31875"/>
    <cellStyle name="常规 12 3 2 6" xfId="31876"/>
    <cellStyle name="常规 12 3 2 6 2" xfId="31877"/>
    <cellStyle name="常规 12 3 2 7" xfId="31878"/>
    <cellStyle name="常规 12 3 3" xfId="31879"/>
    <cellStyle name="常规 12 3 3 2" xfId="31880"/>
    <cellStyle name="常规 12 3 3 2 2" xfId="31881"/>
    <cellStyle name="常规 12 3 3 2 3" xfId="31882"/>
    <cellStyle name="常规 12 3 3 2 4" xfId="31883"/>
    <cellStyle name="常规 12 3 3 2 5" xfId="31884"/>
    <cellStyle name="常规 12 3 3 3" xfId="31885"/>
    <cellStyle name="常规 12 3 3 4" xfId="31886"/>
    <cellStyle name="常规 12 3 3 5" xfId="31887"/>
    <cellStyle name="常规 12 3 3 6" xfId="31888"/>
    <cellStyle name="常规 12 3 4" xfId="31889"/>
    <cellStyle name="常规 12 3 4 2" xfId="31890"/>
    <cellStyle name="常规 12 3 4 2 2" xfId="31891"/>
    <cellStyle name="常规 12 3 4 3" xfId="31892"/>
    <cellStyle name="常规 12 3 4 4" xfId="31893"/>
    <cellStyle name="常规 12 3 4 5" xfId="31894"/>
    <cellStyle name="常规 12 3 5" xfId="31895"/>
    <cellStyle name="常规 12 3 5 2" xfId="31896"/>
    <cellStyle name="常规 12 3 6" xfId="31897"/>
    <cellStyle name="常规 12 3 7" xfId="31898"/>
    <cellStyle name="常规 12 3 8" xfId="31899"/>
    <cellStyle name="常规 12 3 8 2" xfId="31900"/>
    <cellStyle name="常规 12 3 9" xfId="31901"/>
    <cellStyle name="常规 12 4" xfId="31902"/>
    <cellStyle name="常规 12 4 2" xfId="31903"/>
    <cellStyle name="常规 12 4 2 2" xfId="31904"/>
    <cellStyle name="常规 12 4 2 3" xfId="31905"/>
    <cellStyle name="常规 12 4 2 4" xfId="31906"/>
    <cellStyle name="常规 12 4 3" xfId="31907"/>
    <cellStyle name="常规 12 4 4" xfId="31908"/>
    <cellStyle name="常规 12 4 5" xfId="31909"/>
    <cellStyle name="常规 12 4 6" xfId="31910"/>
    <cellStyle name="常规 12 4 6 2" xfId="31911"/>
    <cellStyle name="常规 12 5" xfId="31912"/>
    <cellStyle name="常规 12 5 2" xfId="31913"/>
    <cellStyle name="常规 12 5 2 2" xfId="31914"/>
    <cellStyle name="常规 12 5 2 3" xfId="31915"/>
    <cellStyle name="常规 12 5 2 4" xfId="31916"/>
    <cellStyle name="常规 12 5 3" xfId="31917"/>
    <cellStyle name="常规 12 5 4" xfId="31918"/>
    <cellStyle name="常规 12 5 5" xfId="31919"/>
    <cellStyle name="常规 12 5 6" xfId="31920"/>
    <cellStyle name="常规 12 5 6 2" xfId="31921"/>
    <cellStyle name="常规 12 6" xfId="31922"/>
    <cellStyle name="常规 12 6 2" xfId="31923"/>
    <cellStyle name="常规 12 6 3" xfId="31924"/>
    <cellStyle name="常规 12 6 4" xfId="31925"/>
    <cellStyle name="常规 12 6 5" xfId="31926"/>
    <cellStyle name="常规 12 6 5 2" xfId="31927"/>
    <cellStyle name="常规 12 7" xfId="31928"/>
    <cellStyle name="常规 12 7 2" xfId="31929"/>
    <cellStyle name="常规 12 7 2 2" xfId="31930"/>
    <cellStyle name="常规 12 8" xfId="31931"/>
    <cellStyle name="常规 12 8 2" xfId="31932"/>
    <cellStyle name="常规 12 8 3" xfId="31933"/>
    <cellStyle name="常规 12 9" xfId="31934"/>
    <cellStyle name="常规 13" xfId="31935"/>
    <cellStyle name="常规 13 2" xfId="31936"/>
    <cellStyle name="常规 13 2 2" xfId="31937"/>
    <cellStyle name="常规 13 2 2 2" xfId="31938"/>
    <cellStyle name="常规 13 2 2 3" xfId="31939"/>
    <cellStyle name="常规 13 2 2 4" xfId="31940"/>
    <cellStyle name="常规 13 2 2 5" xfId="31941"/>
    <cellStyle name="常规 13 2 2 5 2" xfId="31942"/>
    <cellStyle name="常规 13 2 3" xfId="31943"/>
    <cellStyle name="常规 13 2 3 2" xfId="31944"/>
    <cellStyle name="常规 13 2 3 2 2" xfId="31945"/>
    <cellStyle name="常规 13 2 4" xfId="31946"/>
    <cellStyle name="常规 13 2 4 2" xfId="31947"/>
    <cellStyle name="常规 13 2 4 2 2" xfId="31948"/>
    <cellStyle name="常规 13 2 5" xfId="31949"/>
    <cellStyle name="常规 13 2 5 2" xfId="31950"/>
    <cellStyle name="常规 13 2 5 3" xfId="31951"/>
    <cellStyle name="常规 13 2 6" xfId="31952"/>
    <cellStyle name="常规 13 2 6 2" xfId="31953"/>
    <cellStyle name="常规 13 2 7" xfId="31954"/>
    <cellStyle name="常规 13 3" xfId="31955"/>
    <cellStyle name="常规 13 3 2" xfId="31956"/>
    <cellStyle name="常规 13 3 2 2" xfId="31957"/>
    <cellStyle name="常规 13 3 2 3" xfId="31958"/>
    <cellStyle name="常规 13 3 2 4" xfId="31959"/>
    <cellStyle name="常规 13 3 3" xfId="31960"/>
    <cellStyle name="常规 13 3 4" xfId="31961"/>
    <cellStyle name="常规 13 3 5" xfId="31962"/>
    <cellStyle name="常规 13 3 6" xfId="31963"/>
    <cellStyle name="常规 13 3 6 2" xfId="31964"/>
    <cellStyle name="常规 13 4" xfId="31965"/>
    <cellStyle name="常规 13 4 2" xfId="31966"/>
    <cellStyle name="常规 13 4 3" xfId="31967"/>
    <cellStyle name="常规 13 4 4" xfId="31968"/>
    <cellStyle name="常规 13 4 5" xfId="31969"/>
    <cellStyle name="常规 13 4 5 2" xfId="31970"/>
    <cellStyle name="常规 13 5" xfId="31971"/>
    <cellStyle name="常规 13 5 2" xfId="31972"/>
    <cellStyle name="常规 13 5 2 2" xfId="31973"/>
    <cellStyle name="常规 13 6" xfId="31974"/>
    <cellStyle name="常规 13 6 2" xfId="31975"/>
    <cellStyle name="常规 13 6 2 2" xfId="31976"/>
    <cellStyle name="常规 13 7" xfId="31977"/>
    <cellStyle name="常规 13 7 2" xfId="31978"/>
    <cellStyle name="常规 13 7 2 2" xfId="31979"/>
    <cellStyle name="常规 13 8" xfId="31980"/>
    <cellStyle name="常规 13 8 2" xfId="31981"/>
    <cellStyle name="常规 13 8 3" xfId="31982"/>
    <cellStyle name="常规 13 9" xfId="31983"/>
    <cellStyle name="常规 14" xfId="31984"/>
    <cellStyle name="常规 14 2" xfId="31985"/>
    <cellStyle name="常规 14 2 2" xfId="31986"/>
    <cellStyle name="常规 14 2 2 2" xfId="31987"/>
    <cellStyle name="常规 14 2 2 3" xfId="31988"/>
    <cellStyle name="常规 14 2 2 4" xfId="31989"/>
    <cellStyle name="常规 14 2 2 5" xfId="31990"/>
    <cellStyle name="常规 14 2 2 5 2" xfId="31991"/>
    <cellStyle name="常规 14 2 3" xfId="31992"/>
    <cellStyle name="常规 14 2 3 2" xfId="31993"/>
    <cellStyle name="常规 14 2 3 2 2" xfId="31994"/>
    <cellStyle name="常规 14 2 4" xfId="31995"/>
    <cellStyle name="常规 14 2 4 2" xfId="31996"/>
    <cellStyle name="常规 14 2 4 2 2" xfId="31997"/>
    <cellStyle name="常规 14 2 5" xfId="31998"/>
    <cellStyle name="常规 14 2 5 2" xfId="31999"/>
    <cellStyle name="常规 14 2 5 3" xfId="32000"/>
    <cellStyle name="常规 14 2 6" xfId="32001"/>
    <cellStyle name="常规 14 2 6 2" xfId="32002"/>
    <cellStyle name="常规 14 2 7" xfId="32003"/>
    <cellStyle name="常规 14 3" xfId="32004"/>
    <cellStyle name="常规 14 3 2" xfId="32005"/>
    <cellStyle name="常规 14 3 2 2" xfId="32006"/>
    <cellStyle name="常规 14 3 2 3" xfId="32007"/>
    <cellStyle name="常规 14 3 2 4" xfId="32008"/>
    <cellStyle name="常规 14 3 3" xfId="32009"/>
    <cellStyle name="常规 14 3 4" xfId="32010"/>
    <cellStyle name="常规 14 3 5" xfId="32011"/>
    <cellStyle name="常规 14 3 6" xfId="32012"/>
    <cellStyle name="常规 14 3 6 2" xfId="32013"/>
    <cellStyle name="常规 14 4" xfId="32014"/>
    <cellStyle name="常规 14 4 2" xfId="32015"/>
    <cellStyle name="常规 14 4 3" xfId="32016"/>
    <cellStyle name="常规 14 4 4" xfId="32017"/>
    <cellStyle name="常规 14 4 5" xfId="32018"/>
    <cellStyle name="常规 14 4 5 2" xfId="32019"/>
    <cellStyle name="常规 14 5" xfId="32020"/>
    <cellStyle name="常规 14 5 2" xfId="32021"/>
    <cellStyle name="常规 14 5 2 2" xfId="32022"/>
    <cellStyle name="常规 14 6" xfId="32023"/>
    <cellStyle name="常规 14 6 2" xfId="32024"/>
    <cellStyle name="常规 14 6 2 2" xfId="32025"/>
    <cellStyle name="常规 14 7" xfId="32026"/>
    <cellStyle name="常规 14 7 2" xfId="32027"/>
    <cellStyle name="常规 14 7 2 2" xfId="32028"/>
    <cellStyle name="常规 14 8" xfId="32029"/>
    <cellStyle name="常规 14 8 2" xfId="32030"/>
    <cellStyle name="常规 14 8 3" xfId="32031"/>
    <cellStyle name="常规 14 9" xfId="32032"/>
    <cellStyle name="常规 15" xfId="32033"/>
    <cellStyle name="常规 15 2" xfId="32034"/>
    <cellStyle name="常规 15 2 2" xfId="32035"/>
    <cellStyle name="常规 15 2 2 2" xfId="32036"/>
    <cellStyle name="常规 15 2 2 3" xfId="32037"/>
    <cellStyle name="常规 15 2 2 4" xfId="32038"/>
    <cellStyle name="常规 15 2 2 5" xfId="32039"/>
    <cellStyle name="常规 15 2 2 5 2" xfId="32040"/>
    <cellStyle name="常规 15 2 3" xfId="32041"/>
    <cellStyle name="常规 15 2 3 2" xfId="32042"/>
    <cellStyle name="常规 15 2 3 2 2" xfId="32043"/>
    <cellStyle name="常规 15 2 4" xfId="32044"/>
    <cellStyle name="常规 15 2 4 2" xfId="32045"/>
    <cellStyle name="常规 15 2 4 2 2" xfId="32046"/>
    <cellStyle name="常规 15 2 5" xfId="32047"/>
    <cellStyle name="常规 15 2 5 2" xfId="32048"/>
    <cellStyle name="常规 15 2 5 3" xfId="32049"/>
    <cellStyle name="常规 15 2 6" xfId="32050"/>
    <cellStyle name="常规 15 2 6 2" xfId="32051"/>
    <cellStyle name="常规 15 2 7" xfId="32052"/>
    <cellStyle name="常规 15 3" xfId="32053"/>
    <cellStyle name="常规 15 3 2" xfId="32054"/>
    <cellStyle name="常规 15 3 2 2" xfId="32055"/>
    <cellStyle name="常规 15 3 2 3" xfId="32056"/>
    <cellStyle name="常规 15 3 2 4" xfId="32057"/>
    <cellStyle name="常规 15 3 3" xfId="32058"/>
    <cellStyle name="常规 15 3 4" xfId="32059"/>
    <cellStyle name="常规 15 3 5" xfId="32060"/>
    <cellStyle name="常规 15 3 6" xfId="32061"/>
    <cellStyle name="常规 15 3 6 2" xfId="32062"/>
    <cellStyle name="常规 15 4" xfId="32063"/>
    <cellStyle name="常规 15 4 2" xfId="32064"/>
    <cellStyle name="常规 15 4 3" xfId="32065"/>
    <cellStyle name="常规 15 4 4" xfId="32066"/>
    <cellStyle name="常规 15 4 5" xfId="32067"/>
    <cellStyle name="常规 15 4 5 2" xfId="32068"/>
    <cellStyle name="常规 15 5" xfId="32069"/>
    <cellStyle name="常规 15 5 2" xfId="32070"/>
    <cellStyle name="常规 15 5 2 2" xfId="32071"/>
    <cellStyle name="常规 15 6" xfId="32072"/>
    <cellStyle name="常规 15 6 2" xfId="32073"/>
    <cellStyle name="常规 15 6 2 2" xfId="32074"/>
    <cellStyle name="常规 15 7" xfId="32075"/>
    <cellStyle name="常规 15 7 2" xfId="32076"/>
    <cellStyle name="常规 15 7 2 2" xfId="32077"/>
    <cellStyle name="常规 15 8" xfId="32078"/>
    <cellStyle name="常规 15 8 2" xfId="32079"/>
    <cellStyle name="常规 15 8 3" xfId="32080"/>
    <cellStyle name="常规 15 9" xfId="32081"/>
    <cellStyle name="常规 16" xfId="32082"/>
    <cellStyle name="常规 16 2" xfId="32083"/>
    <cellStyle name="常规 16 2 2" xfId="32084"/>
    <cellStyle name="常规 16 2 2 2" xfId="32085"/>
    <cellStyle name="常规 16 2 2 2 2" xfId="32086"/>
    <cellStyle name="常规 16 2 3" xfId="32087"/>
    <cellStyle name="常规 16 2 3 2" xfId="32088"/>
    <cellStyle name="常规 16 2 3 2 2" xfId="32089"/>
    <cellStyle name="常规 16 2 4" xfId="32090"/>
    <cellStyle name="常规 16 2 4 2" xfId="32091"/>
    <cellStyle name="常规 16 2 4 2 2" xfId="32092"/>
    <cellStyle name="常规 16 2 5" xfId="32093"/>
    <cellStyle name="常规 16 2 5 2" xfId="32094"/>
    <cellStyle name="常规 16 2 5 3" xfId="32095"/>
    <cellStyle name="常规 16 2 6" xfId="32096"/>
    <cellStyle name="常规 16 3" xfId="32097"/>
    <cellStyle name="常规 16 3 2" xfId="32098"/>
    <cellStyle name="常规 16 3 2 2" xfId="32099"/>
    <cellStyle name="常规 16 4" xfId="32100"/>
    <cellStyle name="常规 16 4 2" xfId="32101"/>
    <cellStyle name="常规 16 4 2 2" xfId="32102"/>
    <cellStyle name="常规 16 5" xfId="32103"/>
    <cellStyle name="常规 16 5 2" xfId="32104"/>
    <cellStyle name="常规 16 5 2 2" xfId="32105"/>
    <cellStyle name="常规 16 6" xfId="32106"/>
    <cellStyle name="常规 16 6 2" xfId="32107"/>
    <cellStyle name="常规 16 6 3" xfId="32108"/>
    <cellStyle name="常规 16 7" xfId="32109"/>
    <cellStyle name="常规 16 7 2" xfId="32110"/>
    <cellStyle name="常规 17" xfId="32111"/>
    <cellStyle name="常规 17 2" xfId="32112"/>
    <cellStyle name="常规 17 2 2" xfId="32113"/>
    <cellStyle name="常规 17 2 3" xfId="32114"/>
    <cellStyle name="常规 17 2 3 2" xfId="32115"/>
    <cellStyle name="常规 17 2 3 2 2" xfId="32116"/>
    <cellStyle name="常规 17 2 3 3" xfId="32117"/>
    <cellStyle name="常规 17 2 4" xfId="32118"/>
    <cellStyle name="常规 17 2 4 2" xfId="32119"/>
    <cellStyle name="常规 17 2 4 2 2" xfId="32120"/>
    <cellStyle name="常规 17 2 5" xfId="32121"/>
    <cellStyle name="常规 17 2 5 2" xfId="32122"/>
    <cellStyle name="常规 17 2 6" xfId="32123"/>
    <cellStyle name="常规 17 3" xfId="32124"/>
    <cellStyle name="常规 17 3 2" xfId="32125"/>
    <cellStyle name="常规 17 3 2 2" xfId="32126"/>
    <cellStyle name="常规 17 4" xfId="32127"/>
    <cellStyle name="常规 17 4 2" xfId="32128"/>
    <cellStyle name="常规 17 4 2 2" xfId="32129"/>
    <cellStyle name="常规 17 5" xfId="32130"/>
    <cellStyle name="常规 17 5 2" xfId="32131"/>
    <cellStyle name="常规 17 5 2 2" xfId="32132"/>
    <cellStyle name="常规 17 6" xfId="32133"/>
    <cellStyle name="常规 17 6 2" xfId="32134"/>
    <cellStyle name="常规 17 6 2 2" xfId="32135"/>
    <cellStyle name="常规 17 6 3" xfId="32136"/>
    <cellStyle name="常规 17 7" xfId="32137"/>
    <cellStyle name="常规 17 7 2" xfId="32138"/>
    <cellStyle name="常规 17 8" xfId="32139"/>
    <cellStyle name="常规 18" xfId="32140"/>
    <cellStyle name="常规 18 2" xfId="32141"/>
    <cellStyle name="常规 18 2 2" xfId="32142"/>
    <cellStyle name="常规 18 2 2 2" xfId="32143"/>
    <cellStyle name="常规 18 3" xfId="32144"/>
    <cellStyle name="常规 18 3 2" xfId="32145"/>
    <cellStyle name="常规 18 3 2 2" xfId="32146"/>
    <cellStyle name="常规 18 4" xfId="32147"/>
    <cellStyle name="常规 18 5" xfId="32148"/>
    <cellStyle name="常规 18 5 2" xfId="32149"/>
    <cellStyle name="常规 18 5 2 2" xfId="32150"/>
    <cellStyle name="常规 18 5 3" xfId="32151"/>
    <cellStyle name="常规 18 6" xfId="32152"/>
    <cellStyle name="常规 18 6 2" xfId="32153"/>
    <cellStyle name="常规 18 7" xfId="32154"/>
    <cellStyle name="常规 18 7 2" xfId="32155"/>
    <cellStyle name="常规 19" xfId="32156"/>
    <cellStyle name="常规 19 2" xfId="32157"/>
    <cellStyle name="常规 19 2 2" xfId="32158"/>
    <cellStyle name="常规 19 2 2 2" xfId="32159"/>
    <cellStyle name="常规 19 2 2 3" xfId="32160"/>
    <cellStyle name="常规 19 2 3" xfId="32161"/>
    <cellStyle name="常规 19 2 3 2" xfId="32162"/>
    <cellStyle name="常规 19 2 4" xfId="32163"/>
    <cellStyle name="常规 19 2 5" xfId="32164"/>
    <cellStyle name="常规 19 3" xfId="32165"/>
    <cellStyle name="常规 19 3 2" xfId="32166"/>
    <cellStyle name="常规 19 3 2 2" xfId="32167"/>
    <cellStyle name="常规 19 4" xfId="32168"/>
    <cellStyle name="常规 19 4 2" xfId="32169"/>
    <cellStyle name="常规 19 4 2 2" xfId="32170"/>
    <cellStyle name="常规 19 4 3" xfId="32171"/>
    <cellStyle name="常规 19 5" xfId="32172"/>
    <cellStyle name="常规 19 5 2" xfId="32173"/>
    <cellStyle name="常规 19 5 3" xfId="32174"/>
    <cellStyle name="常规 19 6" xfId="32175"/>
    <cellStyle name="常规 19 7" xfId="32176"/>
    <cellStyle name="常规 2" xfId="32177"/>
    <cellStyle name="常规 2 10" xfId="32178"/>
    <cellStyle name="常规 2 10 10" xfId="32179"/>
    <cellStyle name="常规 2 10 2" xfId="32180"/>
    <cellStyle name="常规 2 10 2 2" xfId="32181"/>
    <cellStyle name="常规 2 10 2 2 2" xfId="32182"/>
    <cellStyle name="常规 2 10 2 2 2 2" xfId="32183"/>
    <cellStyle name="常规 2 10 2 2 2 3" xfId="32184"/>
    <cellStyle name="常规 2 10 2 2 2 4" xfId="32185"/>
    <cellStyle name="常规 2 10 2 2 2 5" xfId="32186"/>
    <cellStyle name="常规 2 10 2 2 2 5 2" xfId="32187"/>
    <cellStyle name="常规 2 10 2 2 3" xfId="32188"/>
    <cellStyle name="常规 2 10 2 2 3 2" xfId="32189"/>
    <cellStyle name="常规 2 10 2 2 3 2 2" xfId="32190"/>
    <cellStyle name="常规 2 10 2 2 4" xfId="32191"/>
    <cellStyle name="常规 2 10 2 2 4 2" xfId="32192"/>
    <cellStyle name="常规 2 10 2 2 4 2 2" xfId="32193"/>
    <cellStyle name="常规 2 10 2 2 5" xfId="32194"/>
    <cellStyle name="常规 2 10 2 2 5 2" xfId="32195"/>
    <cellStyle name="常规 2 10 2 2 5 3" xfId="32196"/>
    <cellStyle name="常规 2 10 2 2 6" xfId="32197"/>
    <cellStyle name="常规 2 10 2 2 6 2" xfId="32198"/>
    <cellStyle name="常规 2 10 2 2 7" xfId="32199"/>
    <cellStyle name="常规 2 10 2 3" xfId="32200"/>
    <cellStyle name="常规 2 10 2 3 2" xfId="32201"/>
    <cellStyle name="常规 2 10 2 3 2 2" xfId="32202"/>
    <cellStyle name="常规 2 10 2 3 2 2 2" xfId="32203"/>
    <cellStyle name="常规 2 10 2 3 2 3" xfId="32204"/>
    <cellStyle name="常规 2 10 2 3 2 4" xfId="32205"/>
    <cellStyle name="常规 2 10 2 3 2 5" xfId="32206"/>
    <cellStyle name="常规 2 10 2 3 2 5 2" xfId="32207"/>
    <cellStyle name="常规 2 10 2 3 2 6" xfId="32208"/>
    <cellStyle name="常规 2 10 2 3 3" xfId="32209"/>
    <cellStyle name="常规 2 10 2 3 3 2" xfId="32210"/>
    <cellStyle name="常规 2 10 2 3 3 2 2" xfId="32211"/>
    <cellStyle name="常规 2 10 2 3 4" xfId="32212"/>
    <cellStyle name="常规 2 10 2 3 4 2" xfId="32213"/>
    <cellStyle name="常规 2 10 2 3 4 3" xfId="32214"/>
    <cellStyle name="常规 2 10 2 3 5" xfId="32215"/>
    <cellStyle name="常规 2 10 2 3 5 2" xfId="32216"/>
    <cellStyle name="常规 2 10 2 3 6" xfId="32217"/>
    <cellStyle name="常规 2 10 2 3 6 2" xfId="32218"/>
    <cellStyle name="常规 2 10 2 3 7" xfId="32219"/>
    <cellStyle name="常规 2 10 2 4" xfId="32220"/>
    <cellStyle name="常规 2 10 2 4 2" xfId="32221"/>
    <cellStyle name="常规 2 10 2 4 3" xfId="32222"/>
    <cellStyle name="常规 2 10 2 4 4" xfId="32223"/>
    <cellStyle name="常规 2 10 2 4 5" xfId="32224"/>
    <cellStyle name="常规 2 10 2 4 5 2" xfId="32225"/>
    <cellStyle name="常规 2 10 2 5" xfId="32226"/>
    <cellStyle name="常规 2 10 2 5 2" xfId="32227"/>
    <cellStyle name="常规 2 10 2 5 2 2" xfId="32228"/>
    <cellStyle name="常规 2 10 2 6" xfId="32229"/>
    <cellStyle name="常规 2 10 2 6 2" xfId="32230"/>
    <cellStyle name="常规 2 10 2 6 2 2" xfId="32231"/>
    <cellStyle name="常规 2 10 2 7" xfId="32232"/>
    <cellStyle name="常规 2 10 2 7 2" xfId="32233"/>
    <cellStyle name="常规 2 10 2 7 2 2" xfId="32234"/>
    <cellStyle name="常规 2 10 2 8" xfId="32235"/>
    <cellStyle name="常规 2 10 2 8 2" xfId="32236"/>
    <cellStyle name="常规 2 10 2 8 3" xfId="32237"/>
    <cellStyle name="常规 2 10 2 9" xfId="32238"/>
    <cellStyle name="常规 2 10 3" xfId="32239"/>
    <cellStyle name="常规 2 10 3 2" xfId="32240"/>
    <cellStyle name="常规 2 10 3 2 2" xfId="32241"/>
    <cellStyle name="常规 2 10 3 2 3" xfId="32242"/>
    <cellStyle name="常规 2 10 3 2 4" xfId="32243"/>
    <cellStyle name="常规 2 10 3 2 5" xfId="32244"/>
    <cellStyle name="常规 2 10 3 2 5 2" xfId="32245"/>
    <cellStyle name="常规 2 10 3 3" xfId="32246"/>
    <cellStyle name="常规 2 10 3 3 2" xfId="32247"/>
    <cellStyle name="常规 2 10 3 3 2 2" xfId="32248"/>
    <cellStyle name="常规 2 10 3 4" xfId="32249"/>
    <cellStyle name="常规 2 10 3 4 2" xfId="32250"/>
    <cellStyle name="常规 2 10 3 4 2 2" xfId="32251"/>
    <cellStyle name="常规 2 10 3 5" xfId="32252"/>
    <cellStyle name="常规 2 10 3 5 2" xfId="32253"/>
    <cellStyle name="常规 2 10 3 5 3" xfId="32254"/>
    <cellStyle name="常规 2 10 3 6" xfId="32255"/>
    <cellStyle name="常规 2 10 3 6 2" xfId="32256"/>
    <cellStyle name="常规 2 10 3 7" xfId="32257"/>
    <cellStyle name="常规 2 10 4" xfId="32258"/>
    <cellStyle name="常规 2 10 4 2" xfId="32259"/>
    <cellStyle name="常规 2 10 4 2 2" xfId="32260"/>
    <cellStyle name="常规 2 10 4 2 3" xfId="32261"/>
    <cellStyle name="常规 2 10 4 2 4" xfId="32262"/>
    <cellStyle name="常规 2 10 4 3" xfId="32263"/>
    <cellStyle name="常规 2 10 4 4" xfId="32264"/>
    <cellStyle name="常规 2 10 4 5" xfId="32265"/>
    <cellStyle name="常规 2 10 4 6" xfId="32266"/>
    <cellStyle name="常规 2 10 4 6 2" xfId="32267"/>
    <cellStyle name="常规 2 10 5" xfId="32268"/>
    <cellStyle name="常规 2 10 5 2" xfId="32269"/>
    <cellStyle name="常规 2 10 5 3" xfId="32270"/>
    <cellStyle name="常规 2 10 5 4" xfId="32271"/>
    <cellStyle name="常规 2 10 5 5" xfId="32272"/>
    <cellStyle name="常规 2 10 5 5 2" xfId="32273"/>
    <cellStyle name="常规 2 10 6" xfId="32274"/>
    <cellStyle name="常规 2 10 6 2" xfId="32275"/>
    <cellStyle name="常规 2 10 6 2 2" xfId="32276"/>
    <cellStyle name="常规 2 10 7" xfId="32277"/>
    <cellStyle name="常规 2 10 7 2" xfId="32278"/>
    <cellStyle name="常规 2 10 7 2 2" xfId="32279"/>
    <cellStyle name="常规 2 10 8" xfId="32280"/>
    <cellStyle name="常规 2 10 8 2" xfId="32281"/>
    <cellStyle name="常规 2 10 8 2 2" xfId="32282"/>
    <cellStyle name="常规 2 10 9" xfId="32283"/>
    <cellStyle name="常规 2 10 9 2" xfId="32284"/>
    <cellStyle name="常规 2 10 9 3" xfId="32285"/>
    <cellStyle name="常规 2 11" xfId="32286"/>
    <cellStyle name="常规 2 11 10" xfId="32287"/>
    <cellStyle name="常规 2 11 2" xfId="32288"/>
    <cellStyle name="常规 2 11 2 2" xfId="32289"/>
    <cellStyle name="常规 2 11 2 2 2" xfId="32290"/>
    <cellStyle name="常规 2 11 2 2 2 2" xfId="32291"/>
    <cellStyle name="常规 2 11 2 2 2 3" xfId="32292"/>
    <cellStyle name="常规 2 11 2 2 2 4" xfId="32293"/>
    <cellStyle name="常规 2 11 2 2 3" xfId="32294"/>
    <cellStyle name="常规 2 11 2 2 4" xfId="32295"/>
    <cellStyle name="常规 2 11 2 2 5" xfId="32296"/>
    <cellStyle name="常规 2 11 2 2 6" xfId="32297"/>
    <cellStyle name="常规 2 11 2 2 6 2" xfId="32298"/>
    <cellStyle name="常规 2 11 2 3" xfId="32299"/>
    <cellStyle name="常规 2 11 2 3 2" xfId="32300"/>
    <cellStyle name="常规 2 11 2 3 2 2" xfId="32301"/>
    <cellStyle name="常规 2 11 2 3 2 3" xfId="32302"/>
    <cellStyle name="常规 2 11 2 3 2 4" xfId="32303"/>
    <cellStyle name="常规 2 11 2 3 3" xfId="32304"/>
    <cellStyle name="常规 2 11 2 3 4" xfId="32305"/>
    <cellStyle name="常规 2 11 2 3 5" xfId="32306"/>
    <cellStyle name="常规 2 11 2 3 6" xfId="32307"/>
    <cellStyle name="常规 2 11 2 3 6 2" xfId="32308"/>
    <cellStyle name="常规 2 11 2 4" xfId="32309"/>
    <cellStyle name="常规 2 11 2 4 2" xfId="32310"/>
    <cellStyle name="常规 2 11 2 4 2 2" xfId="32311"/>
    <cellStyle name="常规 2 11 2 4 3" xfId="32312"/>
    <cellStyle name="常规 2 11 2 4 4" xfId="32313"/>
    <cellStyle name="常规 2 11 2 4 5" xfId="32314"/>
    <cellStyle name="常规 2 11 2 5" xfId="32315"/>
    <cellStyle name="常规 2 11 2 5 2" xfId="32316"/>
    <cellStyle name="常规 2 11 2 5 3" xfId="32317"/>
    <cellStyle name="常规 2 11 2 6" xfId="32318"/>
    <cellStyle name="常规 2 11 2 7" xfId="32319"/>
    <cellStyle name="常规 2 11 2 8" xfId="32320"/>
    <cellStyle name="常规 2 11 2 8 2" xfId="32321"/>
    <cellStyle name="常规 2 11 2 9" xfId="32322"/>
    <cellStyle name="常规 2 11 3" xfId="32323"/>
    <cellStyle name="常规 2 11 3 2" xfId="32324"/>
    <cellStyle name="常规 2 11 3 2 2" xfId="32325"/>
    <cellStyle name="常规 2 11 3 2 2 2" xfId="32326"/>
    <cellStyle name="常规 2 11 3 2 3" xfId="32327"/>
    <cellStyle name="常规 2 11 3 2 4" xfId="32328"/>
    <cellStyle name="常规 2 11 3 2 5" xfId="32329"/>
    <cellStyle name="常规 2 11 3 2 5 2" xfId="32330"/>
    <cellStyle name="常规 2 11 3 2 6" xfId="32331"/>
    <cellStyle name="常规 2 11 3 3" xfId="32332"/>
    <cellStyle name="常规 2 11 3 3 2" xfId="32333"/>
    <cellStyle name="常规 2 11 3 3 2 2" xfId="32334"/>
    <cellStyle name="常规 2 11 3 4" xfId="32335"/>
    <cellStyle name="常规 2 11 3 4 2" xfId="32336"/>
    <cellStyle name="常规 2 11 3 4 3" xfId="32337"/>
    <cellStyle name="常规 2 11 3 5" xfId="32338"/>
    <cellStyle name="常规 2 11 3 5 2" xfId="32339"/>
    <cellStyle name="常规 2 11 3 6" xfId="32340"/>
    <cellStyle name="常规 2 11 3 6 2" xfId="32341"/>
    <cellStyle name="常规 2 11 3 7" xfId="32342"/>
    <cellStyle name="常规 2 11 4" xfId="32343"/>
    <cellStyle name="常规 2 11 4 2" xfId="32344"/>
    <cellStyle name="常规 2 11 4 2 2" xfId="32345"/>
    <cellStyle name="常规 2 11 4 2 3" xfId="32346"/>
    <cellStyle name="常规 2 11 4 2 4" xfId="32347"/>
    <cellStyle name="常规 2 11 4 3" xfId="32348"/>
    <cellStyle name="常规 2 11 4 4" xfId="32349"/>
    <cellStyle name="常规 2 11 4 5" xfId="32350"/>
    <cellStyle name="常规 2 11 4 6" xfId="32351"/>
    <cellStyle name="常规 2 11 4 6 2" xfId="32352"/>
    <cellStyle name="常规 2 11 5" xfId="32353"/>
    <cellStyle name="常规 2 11 5 2" xfId="32354"/>
    <cellStyle name="常规 2 11 5 3" xfId="32355"/>
    <cellStyle name="常规 2 11 5 4" xfId="32356"/>
    <cellStyle name="常规 2 11 5 5" xfId="32357"/>
    <cellStyle name="常规 2 11 5 5 2" xfId="32358"/>
    <cellStyle name="常规 2 11 6" xfId="32359"/>
    <cellStyle name="常规 2 11 6 2" xfId="32360"/>
    <cellStyle name="常规 2 11 6 2 2" xfId="32361"/>
    <cellStyle name="常规 2 11 7" xfId="32362"/>
    <cellStyle name="常规 2 11 7 2" xfId="32363"/>
    <cellStyle name="常规 2 11 7 2 2" xfId="32364"/>
    <cellStyle name="常规 2 11 8" xfId="32365"/>
    <cellStyle name="常规 2 11 8 2" xfId="32366"/>
    <cellStyle name="常规 2 11 8 3" xfId="32367"/>
    <cellStyle name="常规 2 11 9" xfId="32368"/>
    <cellStyle name="常规 2 11 9 2" xfId="32369"/>
    <cellStyle name="常规 2 12" xfId="32370"/>
    <cellStyle name="常规 2 12 2" xfId="32371"/>
    <cellStyle name="常规 2 12 2 2" xfId="32372"/>
    <cellStyle name="常规 2 12 2 2 2" xfId="32373"/>
    <cellStyle name="常规 2 12 2 2 3" xfId="32374"/>
    <cellStyle name="常规 2 12 2 2 4" xfId="32375"/>
    <cellStyle name="常规 2 12 2 2 5" xfId="32376"/>
    <cellStyle name="常规 2 12 2 2 5 2" xfId="32377"/>
    <cellStyle name="常规 2 12 2 3" xfId="32378"/>
    <cellStyle name="常规 2 12 2 3 2" xfId="32379"/>
    <cellStyle name="常规 2 12 2 3 2 2" xfId="32380"/>
    <cellStyle name="常规 2 12 2 4" xfId="32381"/>
    <cellStyle name="常规 2 12 2 4 2" xfId="32382"/>
    <cellStyle name="常规 2 12 2 4 2 2" xfId="32383"/>
    <cellStyle name="常规 2 12 2 5" xfId="32384"/>
    <cellStyle name="常规 2 12 2 5 2" xfId="32385"/>
    <cellStyle name="常规 2 12 2 5 3" xfId="32386"/>
    <cellStyle name="常规 2 12 2 6" xfId="32387"/>
    <cellStyle name="常规 2 12 2 6 2" xfId="32388"/>
    <cellStyle name="常规 2 12 2 7" xfId="32389"/>
    <cellStyle name="常规 2 12 3" xfId="32390"/>
    <cellStyle name="常规 2 12 3 2" xfId="32391"/>
    <cellStyle name="常规 2 12 3 2 2" xfId="32392"/>
    <cellStyle name="常规 2 12 3 2 3" xfId="32393"/>
    <cellStyle name="常规 2 12 3 2 4" xfId="32394"/>
    <cellStyle name="常规 2 12 3 3" xfId="32395"/>
    <cellStyle name="常规 2 12 3 4" xfId="32396"/>
    <cellStyle name="常规 2 12 3 5" xfId="32397"/>
    <cellStyle name="常规 2 12 3 6" xfId="32398"/>
    <cellStyle name="常规 2 12 3 6 2" xfId="32399"/>
    <cellStyle name="常规 2 12 4" xfId="32400"/>
    <cellStyle name="常规 2 12 4 2" xfId="32401"/>
    <cellStyle name="常规 2 12 4 3" xfId="32402"/>
    <cellStyle name="常规 2 12 4 4" xfId="32403"/>
    <cellStyle name="常规 2 12 4 5" xfId="32404"/>
    <cellStyle name="常规 2 12 4 5 2" xfId="32405"/>
    <cellStyle name="常规 2 12 5" xfId="32406"/>
    <cellStyle name="常规 2 12 5 2" xfId="32407"/>
    <cellStyle name="常规 2 12 5 2 2" xfId="32408"/>
    <cellStyle name="常规 2 12 6" xfId="32409"/>
    <cellStyle name="常规 2 12 6 2" xfId="32410"/>
    <cellStyle name="常规 2 12 6 2 2" xfId="32411"/>
    <cellStyle name="常规 2 12 7" xfId="32412"/>
    <cellStyle name="常规 2 12 7 2" xfId="32413"/>
    <cellStyle name="常规 2 12 7 2 2" xfId="32414"/>
    <cellStyle name="常规 2 12 8" xfId="32415"/>
    <cellStyle name="常规 2 12 8 2" xfId="32416"/>
    <cellStyle name="常规 2 12 8 3" xfId="32417"/>
    <cellStyle name="常规 2 12 9" xfId="32418"/>
    <cellStyle name="常规 2 13" xfId="32419"/>
    <cellStyle name="常规 2 13 2" xfId="32420"/>
    <cellStyle name="常规 2 13 2 2" xfId="32421"/>
    <cellStyle name="常规 2 13 2 2 2" xfId="32422"/>
    <cellStyle name="常规 2 13 2 2 2 2" xfId="32423"/>
    <cellStyle name="常规 2 13 2 3" xfId="32424"/>
    <cellStyle name="常规 2 13 2 3 2" xfId="32425"/>
    <cellStyle name="常规 2 13 2 3 2 2" xfId="32426"/>
    <cellStyle name="常规 2 13 2 4" xfId="32427"/>
    <cellStyle name="常规 2 13 2 4 2" xfId="32428"/>
    <cellStyle name="常规 2 13 2 4 2 2" xfId="32429"/>
    <cellStyle name="常规 2 13 2 5" xfId="32430"/>
    <cellStyle name="常规 2 13 2 5 2" xfId="32431"/>
    <cellStyle name="常规 2 13 2 5 3" xfId="32432"/>
    <cellStyle name="常规 2 13 2 6" xfId="32433"/>
    <cellStyle name="常规 2 13 3" xfId="32434"/>
    <cellStyle name="常规 2 13 3 2" xfId="32435"/>
    <cellStyle name="常规 2 13 3 2 2" xfId="32436"/>
    <cellStyle name="常规 2 13 4" xfId="32437"/>
    <cellStyle name="常规 2 13 4 2" xfId="32438"/>
    <cellStyle name="常规 2 13 4 2 2" xfId="32439"/>
    <cellStyle name="常规 2 13 5" xfId="32440"/>
    <cellStyle name="常规 2 13 5 2" xfId="32441"/>
    <cellStyle name="常规 2 13 5 2 2" xfId="32442"/>
    <cellStyle name="常规 2 13 6" xfId="32443"/>
    <cellStyle name="常规 2 13 7" xfId="32444"/>
    <cellStyle name="常规 2 13 7 2" xfId="32445"/>
    <cellStyle name="常规 2 13 7 3" xfId="32446"/>
    <cellStyle name="常规 2 13 8" xfId="32447"/>
    <cellStyle name="常规 2 13 8 2" xfId="32448"/>
    <cellStyle name="常规 2 14" xfId="32449"/>
    <cellStyle name="常规 2 14 2" xfId="32450"/>
    <cellStyle name="常规 2 14 2 2" xfId="32451"/>
    <cellStyle name="常规 2 14 2 2 2" xfId="32452"/>
    <cellStyle name="常规 2 14 2 2 2 2" xfId="32453"/>
    <cellStyle name="常规 2 14 2 3" xfId="32454"/>
    <cellStyle name="常规 2 14 2 4" xfId="32455"/>
    <cellStyle name="常规 2 14 2 5" xfId="32456"/>
    <cellStyle name="常规 2 14 2 5 2" xfId="32457"/>
    <cellStyle name="常规 2 14 3" xfId="32458"/>
    <cellStyle name="常规 2 14 3 2" xfId="32459"/>
    <cellStyle name="常规 2 14 3 2 2" xfId="32460"/>
    <cellStyle name="常规 2 14 4" xfId="32461"/>
    <cellStyle name="常规 2 14 4 2" xfId="32462"/>
    <cellStyle name="常规 2 14 4 2 2" xfId="32463"/>
    <cellStyle name="常规 2 14 5" xfId="32464"/>
    <cellStyle name="常规 2 14 6" xfId="32465"/>
    <cellStyle name="常规 2 14 6 2" xfId="32466"/>
    <cellStyle name="常规 2 14 7" xfId="32467"/>
    <cellStyle name="常规 2 15" xfId="32468"/>
    <cellStyle name="常规 2 15 2" xfId="32469"/>
    <cellStyle name="常规 2 15 2 2" xfId="32470"/>
    <cellStyle name="常规 2 15 2 2 2" xfId="32471"/>
    <cellStyle name="常规 2 15 2 2 2 2" xfId="32472"/>
    <cellStyle name="常规 2 15 2 3" xfId="32473"/>
    <cellStyle name="常规 2 15 2 3 2" xfId="32474"/>
    <cellStyle name="常规 2 15 2 3 2 2" xfId="32475"/>
    <cellStyle name="常规 2 15 2 4" xfId="32476"/>
    <cellStyle name="常规 2 15 2 4 2" xfId="32477"/>
    <cellStyle name="常规 2 15 2 4 2 2" xfId="32478"/>
    <cellStyle name="常规 2 15 2 5" xfId="32479"/>
    <cellStyle name="常规 2 15 2 5 2" xfId="32480"/>
    <cellStyle name="常规 2 15 2 5 3" xfId="32481"/>
    <cellStyle name="常规 2 15 2 6" xfId="32482"/>
    <cellStyle name="常规 2 15 3" xfId="32483"/>
    <cellStyle name="常规 2 15 3 2" xfId="32484"/>
    <cellStyle name="常规 2 15 3 2 2" xfId="32485"/>
    <cellStyle name="常规 2 15 4" xfId="32486"/>
    <cellStyle name="常规 2 15 4 2" xfId="32487"/>
    <cellStyle name="常规 2 15 4 2 2" xfId="32488"/>
    <cellStyle name="常规 2 15 5" xfId="32489"/>
    <cellStyle name="常规 2 15 5 2" xfId="32490"/>
    <cellStyle name="常规 2 15 5 2 2" xfId="32491"/>
    <cellStyle name="常规 2 15 6" xfId="32492"/>
    <cellStyle name="常规 2 15 6 2" xfId="32493"/>
    <cellStyle name="常规 2 15 6 3" xfId="32494"/>
    <cellStyle name="常规 2 15 7" xfId="32495"/>
    <cellStyle name="常规 2 15 7 2" xfId="32496"/>
    <cellStyle name="常规 2 16" xfId="32497"/>
    <cellStyle name="常规 2 16 2" xfId="32498"/>
    <cellStyle name="常规 2 16 2 2" xfId="32499"/>
    <cellStyle name="常规 2 16 2 2 2" xfId="32500"/>
    <cellStyle name="常规 2 16 2 2 2 2" xfId="32501"/>
    <cellStyle name="常规 2 16 2 2 3" xfId="32502"/>
    <cellStyle name="常规 2 16 2 3" xfId="32503"/>
    <cellStyle name="常规 2 16 2 3 2" xfId="32504"/>
    <cellStyle name="常规 2 16 2 3 2 2" xfId="32505"/>
    <cellStyle name="常规 2 16 2 4" xfId="32506"/>
    <cellStyle name="常规 2 16 2 4 2" xfId="32507"/>
    <cellStyle name="常规 2 16 2 4 3" xfId="32508"/>
    <cellStyle name="常规 2 16 2 5" xfId="32509"/>
    <cellStyle name="常规 2 16 2 5 2" xfId="32510"/>
    <cellStyle name="常规 2 16 2 6" xfId="32511"/>
    <cellStyle name="常规 2 16 3" xfId="32512"/>
    <cellStyle name="常规 2 16 3 2" xfId="32513"/>
    <cellStyle name="常规 2 16 3 2 2" xfId="32514"/>
    <cellStyle name="常规 2 16 4" xfId="32515"/>
    <cellStyle name="常规 2 16 4 2" xfId="32516"/>
    <cellStyle name="常规 2 16 4 2 2" xfId="32517"/>
    <cellStyle name="常规 2 16 5" xfId="32518"/>
    <cellStyle name="常规 2 16 5 2" xfId="32519"/>
    <cellStyle name="常规 2 16 5 3" xfId="32520"/>
    <cellStyle name="常规 2 16 6" xfId="32521"/>
    <cellStyle name="常规 2 16 6 2" xfId="32522"/>
    <cellStyle name="常规 2 16 7" xfId="32523"/>
    <cellStyle name="常规 2 17" xfId="32524"/>
    <cellStyle name="常规 2 17 2" xfId="32525"/>
    <cellStyle name="常规 2 17 2 2" xfId="32526"/>
    <cellStyle name="常规 2 17 2 2 2" xfId="32527"/>
    <cellStyle name="常规 2 17 2 2 2 2" xfId="32528"/>
    <cellStyle name="常规 2 17 2 3" xfId="32529"/>
    <cellStyle name="常规 2 17 2 3 2" xfId="32530"/>
    <cellStyle name="常规 2 17 2 3 2 2" xfId="32531"/>
    <cellStyle name="常规 2 17 2 4" xfId="32532"/>
    <cellStyle name="常规 2 17 2 4 2" xfId="32533"/>
    <cellStyle name="常规 2 17 2 4 3" xfId="32534"/>
    <cellStyle name="常规 2 17 2 5" xfId="32535"/>
    <cellStyle name="常规 2 17 2 5 2" xfId="32536"/>
    <cellStyle name="常规 2 17 2 6" xfId="32537"/>
    <cellStyle name="常规 2 17 3" xfId="32538"/>
    <cellStyle name="常规 2 17 3 2" xfId="32539"/>
    <cellStyle name="常规 2 17 3 2 2" xfId="32540"/>
    <cellStyle name="常规 2 17 4" xfId="32541"/>
    <cellStyle name="常规 2 17 4 2" xfId="32542"/>
    <cellStyle name="常规 2 17 4 2 2" xfId="32543"/>
    <cellStyle name="常规 2 17 5" xfId="32544"/>
    <cellStyle name="常规 2 17 5 2" xfId="32545"/>
    <cellStyle name="常规 2 17 5 3" xfId="32546"/>
    <cellStyle name="常规 2 17 6" xfId="32547"/>
    <cellStyle name="常规 2 17 6 2" xfId="32548"/>
    <cellStyle name="常规 2 17 7" xfId="32549"/>
    <cellStyle name="常规 2 18" xfId="32550"/>
    <cellStyle name="常规 2 18 2" xfId="32551"/>
    <cellStyle name="常规 2 18 2 2" xfId="32552"/>
    <cellStyle name="常规 2 18 2 2 2" xfId="32553"/>
    <cellStyle name="常规 2 18 2 3" xfId="32554"/>
    <cellStyle name="常规 2 18 3" xfId="32555"/>
    <cellStyle name="常规 2 18 3 2" xfId="32556"/>
    <cellStyle name="常规 2 18 3 2 2" xfId="32557"/>
    <cellStyle name="常规 2 18 4" xfId="32558"/>
    <cellStyle name="常规 2 18 4 2" xfId="32559"/>
    <cellStyle name="常规 2 18 4 3" xfId="32560"/>
    <cellStyle name="常规 2 18 5" xfId="32561"/>
    <cellStyle name="常规 2 18 5 2" xfId="32562"/>
    <cellStyle name="常规 2 18 6" xfId="32563"/>
    <cellStyle name="常规 2 19" xfId="32564"/>
    <cellStyle name="常规 2 19 2" xfId="32565"/>
    <cellStyle name="常规 2 19 2 2" xfId="32566"/>
    <cellStyle name="常规 2 19 2 2 2" xfId="32567"/>
    <cellStyle name="常规 2 19 3" xfId="32568"/>
    <cellStyle name="常规 2 19 3 2" xfId="32569"/>
    <cellStyle name="常规 2 19 3 2 2" xfId="32570"/>
    <cellStyle name="常规 2 19 4" xfId="32571"/>
    <cellStyle name="常规 2 19 4 2" xfId="32572"/>
    <cellStyle name="常规 2 19 5" xfId="32573"/>
    <cellStyle name="常规 2 2" xfId="32574"/>
    <cellStyle name="常规 2 2 10" xfId="32575"/>
    <cellStyle name="常规 2 2 10 2" xfId="32576"/>
    <cellStyle name="常规 2 2 10 2 2" xfId="32577"/>
    <cellStyle name="常规 2 2 10 2 3" xfId="32578"/>
    <cellStyle name="常规 2 2 10 2 4" xfId="32579"/>
    <cellStyle name="常规 2 2 10 2 4 2" xfId="32580"/>
    <cellStyle name="常规 2 2 10 2 4 3" xfId="32581"/>
    <cellStyle name="常规 2 2 10 2 5" xfId="32582"/>
    <cellStyle name="常规 2 2 10 2 5 2" xfId="32583"/>
    <cellStyle name="常规 2 2 10 3" xfId="32584"/>
    <cellStyle name="常规 2 2 10 3 2" xfId="32585"/>
    <cellStyle name="常规 2 2 10 3 2 2" xfId="32586"/>
    <cellStyle name="常规 2 2 10 4" xfId="32587"/>
    <cellStyle name="常规 2 2 10 4 2" xfId="32588"/>
    <cellStyle name="常规 2 2 10 4 2 2" xfId="32589"/>
    <cellStyle name="常规 2 2 10 5" xfId="32590"/>
    <cellStyle name="常规 2 2 10 6" xfId="32591"/>
    <cellStyle name="常规 2 2 10 7" xfId="32592"/>
    <cellStyle name="常规 2 2 10 7 2" xfId="32593"/>
    <cellStyle name="常规 2 2 10 7 3" xfId="32594"/>
    <cellStyle name="常规 2 2 10 8" xfId="32595"/>
    <cellStyle name="常规 2 2 10 8 2" xfId="32596"/>
    <cellStyle name="常规 2 2 11" xfId="32597"/>
    <cellStyle name="常规 2 2 11 2" xfId="32598"/>
    <cellStyle name="常规 2 2 11 2 2" xfId="32599"/>
    <cellStyle name="常规 2 2 11 3" xfId="32600"/>
    <cellStyle name="常规 2 2 11 4" xfId="32601"/>
    <cellStyle name="常规 2 2 11 5" xfId="32602"/>
    <cellStyle name="常规 2 2 11 5 2" xfId="32603"/>
    <cellStyle name="常规 2 2 11 6" xfId="32604"/>
    <cellStyle name="常规 2 2 12" xfId="32605"/>
    <cellStyle name="常规 2 2 12 2" xfId="32606"/>
    <cellStyle name="常规 2 2 12 3" xfId="32607"/>
    <cellStyle name="常规 2 2 12 3 2" xfId="32608"/>
    <cellStyle name="常规 2 2 12 3 2 2" xfId="32609"/>
    <cellStyle name="常规 2 2 12 4" xfId="32610"/>
    <cellStyle name="常规 2 2 12 4 2" xfId="32611"/>
    <cellStyle name="常规 2 2 12 4 3" xfId="32612"/>
    <cellStyle name="常规 2 2 13" xfId="32613"/>
    <cellStyle name="常规 2 2 13 2" xfId="32614"/>
    <cellStyle name="常规 2 2 13 2 2" xfId="32615"/>
    <cellStyle name="常规 2 2 13 2 2 2" xfId="32616"/>
    <cellStyle name="常规 2 2 13 2 2 2 2" xfId="32617"/>
    <cellStyle name="常规 2 2 13 2 3" xfId="32618"/>
    <cellStyle name="常规 2 2 13 2 3 2" xfId="32619"/>
    <cellStyle name="常规 2 2 13 2 4" xfId="32620"/>
    <cellStyle name="常规 2 2 13 2 4 2" xfId="32621"/>
    <cellStyle name="常规 2 2 13 2 5" xfId="32622"/>
    <cellStyle name="常规 2 2 13 3" xfId="32623"/>
    <cellStyle name="常规 2 2 13 4" xfId="32624"/>
    <cellStyle name="常规 2 2 13 4 2" xfId="32625"/>
    <cellStyle name="常规 2 2 13 4 2 2" xfId="32626"/>
    <cellStyle name="常规 2 2 13 4 3" xfId="32627"/>
    <cellStyle name="常规 2 2 13 5" xfId="32628"/>
    <cellStyle name="常规 2 2 13 5 2" xfId="32629"/>
    <cellStyle name="常规 2 2 13 5 2 2" xfId="32630"/>
    <cellStyle name="常规 2 2 13 6" xfId="32631"/>
    <cellStyle name="常规 2 2 13 6 2" xfId="32632"/>
    <cellStyle name="常规 2 2 13 7" xfId="32633"/>
    <cellStyle name="常规 2 2 14" xfId="32634"/>
    <cellStyle name="常规 2 2 14 2" xfId="32635"/>
    <cellStyle name="常规 2 2 14 2 2" xfId="32636"/>
    <cellStyle name="常规 2 2 14 2 2 2" xfId="32637"/>
    <cellStyle name="常规 2 2 14 2 2 2 2" xfId="32638"/>
    <cellStyle name="常规 2 2 14 2 3" xfId="32639"/>
    <cellStyle name="常规 2 2 14 2 3 2" xfId="32640"/>
    <cellStyle name="常规 2 2 14 2 4" xfId="32641"/>
    <cellStyle name="常规 2 2 14 2 4 2" xfId="32642"/>
    <cellStyle name="常规 2 2 14 2 5" xfId="32643"/>
    <cellStyle name="常规 2 2 14 3" xfId="32644"/>
    <cellStyle name="常规 2 2 14 3 2" xfId="32645"/>
    <cellStyle name="常规 2 2 14 3 2 2" xfId="32646"/>
    <cellStyle name="常规 2 2 14 4" xfId="32647"/>
    <cellStyle name="常规 2 2 14 4 2" xfId="32648"/>
    <cellStyle name="常规 2 2 14 5" xfId="32649"/>
    <cellStyle name="常规 2 2 14 5 2" xfId="32650"/>
    <cellStyle name="常规 2 2 14 6" xfId="32651"/>
    <cellStyle name="常规 2 2 15" xfId="32652"/>
    <cellStyle name="常规 2 2 15 2" xfId="32653"/>
    <cellStyle name="常规 2 2 15 2 2" xfId="32654"/>
    <cellStyle name="常规 2 2 15 2 2 2" xfId="32655"/>
    <cellStyle name="常规 2 2 15 2 2 2 2" xfId="32656"/>
    <cellStyle name="常规 2 2 15 2 3" xfId="32657"/>
    <cellStyle name="常规 2 2 15 2 3 2" xfId="32658"/>
    <cellStyle name="常规 2 2 15 2 4" xfId="32659"/>
    <cellStyle name="常规 2 2 15 2 4 2" xfId="32660"/>
    <cellStyle name="常规 2 2 15 2 5" xfId="32661"/>
    <cellStyle name="常规 2 2 15 3" xfId="32662"/>
    <cellStyle name="常规 2 2 15 3 2" xfId="32663"/>
    <cellStyle name="常规 2 2 15 3 2 2" xfId="32664"/>
    <cellStyle name="常规 2 2 15 4" xfId="32665"/>
    <cellStyle name="常规 2 2 15 4 2" xfId="32666"/>
    <cellStyle name="常规 2 2 15 4 2 2" xfId="32667"/>
    <cellStyle name="常规 2 2 15 5" xfId="32668"/>
    <cellStyle name="常规 2 2 15 5 2" xfId="32669"/>
    <cellStyle name="常规 2 2 15 6" xfId="32670"/>
    <cellStyle name="常规 2 2 16" xfId="32671"/>
    <cellStyle name="常规 2 2 16 2" xfId="32672"/>
    <cellStyle name="常规 2 2 16 2 2" xfId="32673"/>
    <cellStyle name="常规 2 2 16 2 2 2" xfId="32674"/>
    <cellStyle name="常规 2 2 16 3" xfId="32675"/>
    <cellStyle name="常规 2 2 16 3 2" xfId="32676"/>
    <cellStyle name="常规 2 2 17" xfId="32677"/>
    <cellStyle name="常规 2 2 17 2" xfId="32678"/>
    <cellStyle name="常规 2 2 17 2 2" xfId="32679"/>
    <cellStyle name="常规 2 2 17 3" xfId="32680"/>
    <cellStyle name="常规 2 2 17 3 2" xfId="32681"/>
    <cellStyle name="常规 2 2 17 3 3" xfId="32682"/>
    <cellStyle name="常规 2 2 17 4" xfId="32683"/>
    <cellStyle name="常规 2 2 17 4 2" xfId="32684"/>
    <cellStyle name="常规 2 2 17 5" xfId="32685"/>
    <cellStyle name="常规 2 2 18" xfId="32686"/>
    <cellStyle name="常规 2 2 18 2" xfId="32687"/>
    <cellStyle name="常规 2 2 18 3" xfId="32688"/>
    <cellStyle name="常规 2 2 19" xfId="32689"/>
    <cellStyle name="常规 2 2 19 2" xfId="32690"/>
    <cellStyle name="常规 2 2 19 3" xfId="32691"/>
    <cellStyle name="常规 2 2 2" xfId="32692"/>
    <cellStyle name="常规 2 2 2 10" xfId="32693"/>
    <cellStyle name="常规 2 2 2 10 2" xfId="32694"/>
    <cellStyle name="常规 2 2 2 10 3" xfId="32695"/>
    <cellStyle name="常规 2 2 2 10 4" xfId="32696"/>
    <cellStyle name="常规 2 2 2 11" xfId="32697"/>
    <cellStyle name="常规 2 2 2 12" xfId="32698"/>
    <cellStyle name="常规 2 2 2 12 2" xfId="32699"/>
    <cellStyle name="常规 2 2 2 2" xfId="32700"/>
    <cellStyle name="常规 2 2 2 2 10" xfId="32701"/>
    <cellStyle name="常规 2 2 2 2 2" xfId="32702"/>
    <cellStyle name="常规 2 2 2 2 2 2" xfId="32703"/>
    <cellStyle name="常规 2 2 2 2 2 2 2" xfId="32704"/>
    <cellStyle name="常规 2 2 2 2 2 2 2 2" xfId="32705"/>
    <cellStyle name="常规 2 2 2 2 2 2 2 2 2" xfId="32706"/>
    <cellStyle name="常规 2 2 2 2 2 2 2 2 3" xfId="32707"/>
    <cellStyle name="常规 2 2 2 2 2 2 2 2 4" xfId="32708"/>
    <cellStyle name="常规 2 2 2 2 2 2 2 3" xfId="32709"/>
    <cellStyle name="常规 2 2 2 2 2 2 2 4" xfId="32710"/>
    <cellStyle name="常规 2 2 2 2 2 2 2 5" xfId="32711"/>
    <cellStyle name="常规 2 2 2 2 2 2 2 6" xfId="32712"/>
    <cellStyle name="常规 2 2 2 2 2 2 3" xfId="32713"/>
    <cellStyle name="常规 2 2 2 2 2 2 3 2" xfId="32714"/>
    <cellStyle name="常规 2 2 2 2 2 2 3 2 2" xfId="32715"/>
    <cellStyle name="常规 2 2 2 2 2 2 3 2 3" xfId="32716"/>
    <cellStyle name="常规 2 2 2 2 2 2 3 2 4" xfId="32717"/>
    <cellStyle name="常规 2 2 2 2 2 2 3 3" xfId="32718"/>
    <cellStyle name="常规 2 2 2 2 2 2 3 4" xfId="32719"/>
    <cellStyle name="常规 2 2 2 2 2 2 3 5" xfId="32720"/>
    <cellStyle name="常规 2 2 2 2 2 2 4" xfId="32721"/>
    <cellStyle name="常规 2 2 2 2 2 2 4 2" xfId="32722"/>
    <cellStyle name="常规 2 2 2 2 2 2 4 3" xfId="32723"/>
    <cellStyle name="常规 2 2 2 2 2 2 4 4" xfId="32724"/>
    <cellStyle name="常规 2 2 2 2 2 2 5" xfId="32725"/>
    <cellStyle name="常规 2 2 2 2 2 2 6" xfId="32726"/>
    <cellStyle name="常规 2 2 2 2 2 2 7" xfId="32727"/>
    <cellStyle name="常规 2 2 2 2 2 2 8" xfId="32728"/>
    <cellStyle name="常规 2 2 2 2 2 2 8 2" xfId="32729"/>
    <cellStyle name="常规 2 2 2 2 2 3" xfId="32730"/>
    <cellStyle name="常规 2 2 2 2 2 3 2" xfId="32731"/>
    <cellStyle name="常规 2 2 2 2 2 3 2 2" xfId="32732"/>
    <cellStyle name="常规 2 2 2 2 2 3 2 3" xfId="32733"/>
    <cellStyle name="常规 2 2 2 2 2 3 2 4" xfId="32734"/>
    <cellStyle name="常规 2 2 2 2 2 3 2 5" xfId="32735"/>
    <cellStyle name="常规 2 2 2 2 2 3 3" xfId="32736"/>
    <cellStyle name="常规 2 2 2 2 2 3 4" xfId="32737"/>
    <cellStyle name="常规 2 2 2 2 2 3 5" xfId="32738"/>
    <cellStyle name="常规 2 2 2 2 2 3 6" xfId="32739"/>
    <cellStyle name="常规 2 2 2 2 2 4" xfId="32740"/>
    <cellStyle name="常规 2 2 2 2 2 4 2" xfId="32741"/>
    <cellStyle name="常规 2 2 2 2 2 4 2 2" xfId="32742"/>
    <cellStyle name="常规 2 2 2 2 2 4 2 3" xfId="32743"/>
    <cellStyle name="常规 2 2 2 2 2 4 2 4" xfId="32744"/>
    <cellStyle name="常规 2 2 2 2 2 4 3" xfId="32745"/>
    <cellStyle name="常规 2 2 2 2 2 4 4" xfId="32746"/>
    <cellStyle name="常规 2 2 2 2 2 4 5" xfId="32747"/>
    <cellStyle name="常规 2 2 2 2 2 5" xfId="32748"/>
    <cellStyle name="常规 2 2 2 2 2 5 2" xfId="32749"/>
    <cellStyle name="常规 2 2 2 2 2 5 3" xfId="32750"/>
    <cellStyle name="常规 2 2 2 2 2 5 4" xfId="32751"/>
    <cellStyle name="常规 2 2 2 2 2 6" xfId="32752"/>
    <cellStyle name="常规 2 2 2 2 2 7" xfId="32753"/>
    <cellStyle name="常规 2 2 2 2 2 8" xfId="32754"/>
    <cellStyle name="常规 2 2 2 2 2 9" xfId="32755"/>
    <cellStyle name="常规 2 2 2 2 2 9 2" xfId="32756"/>
    <cellStyle name="常规 2 2 2 2 3" xfId="32757"/>
    <cellStyle name="常规 2 2 2 2 3 2" xfId="32758"/>
    <cellStyle name="常规 2 2 2 2 3 2 2" xfId="32759"/>
    <cellStyle name="常规 2 2 2 2 3 2 3" xfId="32760"/>
    <cellStyle name="常规 2 2 2 2 3 2 4" xfId="32761"/>
    <cellStyle name="常规 2 2 2 2 3 2 5" xfId="32762"/>
    <cellStyle name="常规 2 2 2 2 3 3" xfId="32763"/>
    <cellStyle name="常规 2 2 2 2 3 4" xfId="32764"/>
    <cellStyle name="常规 2 2 2 2 3 5" xfId="32765"/>
    <cellStyle name="常规 2 2 2 2 3 6" xfId="32766"/>
    <cellStyle name="常规 2 2 2 2 3 6 2" xfId="32767"/>
    <cellStyle name="常规 2 2 2 2 4" xfId="32768"/>
    <cellStyle name="常规 2 2 2 2 4 2" xfId="32769"/>
    <cellStyle name="常规 2 2 2 2 4 2 2" xfId="32770"/>
    <cellStyle name="常规 2 2 2 2 4 2 3" xfId="32771"/>
    <cellStyle name="常规 2 2 2 2 4 2 4" xfId="32772"/>
    <cellStyle name="常规 2 2 2 2 4 3" xfId="32773"/>
    <cellStyle name="常规 2 2 2 2 4 4" xfId="32774"/>
    <cellStyle name="常规 2 2 2 2 4 5" xfId="32775"/>
    <cellStyle name="常规 2 2 2 2 4 6" xfId="32776"/>
    <cellStyle name="常规 2 2 2 2 4 6 2" xfId="32777"/>
    <cellStyle name="常规 2 2 2 2 5" xfId="32778"/>
    <cellStyle name="常规 2 2 2 2 5 2" xfId="32779"/>
    <cellStyle name="常规 2 2 2 2 5 2 2" xfId="32780"/>
    <cellStyle name="常规 2 2 2 2 5 3" xfId="32781"/>
    <cellStyle name="常规 2 2 2 2 5 4" xfId="32782"/>
    <cellStyle name="常规 2 2 2 2 5 5" xfId="32783"/>
    <cellStyle name="常规 2 2 2 2 5 6" xfId="32784"/>
    <cellStyle name="常规 2 2 2 2 6" xfId="32785"/>
    <cellStyle name="常规 2 2 2 2 7" xfId="32786"/>
    <cellStyle name="常规 2 2 2 2 8" xfId="32787"/>
    <cellStyle name="常规 2 2 2 2 9" xfId="32788"/>
    <cellStyle name="常规 2 2 2 2 9 2" xfId="32789"/>
    <cellStyle name="常规 2 2 2 3" xfId="32790"/>
    <cellStyle name="常规 2 2 2 3 2" xfId="32791"/>
    <cellStyle name="常规 2 2 2 3 2 2" xfId="32792"/>
    <cellStyle name="常规 2 2 2 3 2 2 2" xfId="32793"/>
    <cellStyle name="常规 2 2 2 3 2 2 3" xfId="32794"/>
    <cellStyle name="常规 2 2 2 3 2 2 4" xfId="32795"/>
    <cellStyle name="常规 2 2 2 3 2 2 5" xfId="32796"/>
    <cellStyle name="常规 2 2 2 3 2 2 5 2" xfId="32797"/>
    <cellStyle name="常规 2 2 2 3 2 3" xfId="32798"/>
    <cellStyle name="常规 2 2 2 3 2 4" xfId="32799"/>
    <cellStyle name="常规 2 2 2 3 2 5" xfId="32800"/>
    <cellStyle name="常规 2 2 2 3 2 6" xfId="32801"/>
    <cellStyle name="常规 2 2 2 3 2 6 2" xfId="32802"/>
    <cellStyle name="常规 2 2 2 3 3" xfId="32803"/>
    <cellStyle name="常规 2 2 2 3 3 2" xfId="32804"/>
    <cellStyle name="常规 2 2 2 3 3 2 2" xfId="32805"/>
    <cellStyle name="常规 2 2 2 3 3 2 3" xfId="32806"/>
    <cellStyle name="常规 2 2 2 3 3 2 4" xfId="32807"/>
    <cellStyle name="常规 2 2 2 3 3 3" xfId="32808"/>
    <cellStyle name="常规 2 2 2 3 3 4" xfId="32809"/>
    <cellStyle name="常规 2 2 2 3 3 5" xfId="32810"/>
    <cellStyle name="常规 2 2 2 3 3 6" xfId="32811"/>
    <cellStyle name="常规 2 2 2 3 3 6 2" xfId="32812"/>
    <cellStyle name="常规 2 2 2 3 4" xfId="32813"/>
    <cellStyle name="常规 2 2 2 3 4 2" xfId="32814"/>
    <cellStyle name="常规 2 2 2 3 4 3" xfId="32815"/>
    <cellStyle name="常规 2 2 2 3 4 4" xfId="32816"/>
    <cellStyle name="常规 2 2 2 3 4 5" xfId="32817"/>
    <cellStyle name="常规 2 2 2 3 4 5 2" xfId="32818"/>
    <cellStyle name="常规 2 2 2 3 5" xfId="32819"/>
    <cellStyle name="常规 2 2 2 3 5 2" xfId="32820"/>
    <cellStyle name="常规 2 2 2 3 6" xfId="32821"/>
    <cellStyle name="常规 2 2 2 3 7" xfId="32822"/>
    <cellStyle name="常规 2 2 2 3 8" xfId="32823"/>
    <cellStyle name="常规 2 2 2 3 8 2" xfId="32824"/>
    <cellStyle name="常规 2 2 2 3 9" xfId="32825"/>
    <cellStyle name="常规 2 2 2 4" xfId="32826"/>
    <cellStyle name="常规 2 2 2 4 2" xfId="32827"/>
    <cellStyle name="常规 2 2 2 4 2 2" xfId="32828"/>
    <cellStyle name="常规 2 2 2 4 2 2 2" xfId="32829"/>
    <cellStyle name="常规 2 2 2 4 2 2 2 2" xfId="32830"/>
    <cellStyle name="常规 2 2 2 4 2 3" xfId="32831"/>
    <cellStyle name="常规 2 2 2 4 2 4" xfId="32832"/>
    <cellStyle name="常规 2 2 2 4 2 5" xfId="32833"/>
    <cellStyle name="常规 2 2 2 4 2 5 2" xfId="32834"/>
    <cellStyle name="常规 2 2 2 4 3" xfId="32835"/>
    <cellStyle name="常规 2 2 2 4 3 2" xfId="32836"/>
    <cellStyle name="常规 2 2 2 4 3 2 2" xfId="32837"/>
    <cellStyle name="常规 2 2 2 4 4" xfId="32838"/>
    <cellStyle name="常规 2 2 2 4 4 2" xfId="32839"/>
    <cellStyle name="常规 2 2 2 4 4 2 2" xfId="32840"/>
    <cellStyle name="常规 2 2 2 4 5" xfId="32841"/>
    <cellStyle name="常规 2 2 2 4 6" xfId="32842"/>
    <cellStyle name="常规 2 2 2 4 6 2" xfId="32843"/>
    <cellStyle name="常规 2 2 2 4 7" xfId="32844"/>
    <cellStyle name="常规 2 2 2 5" xfId="32845"/>
    <cellStyle name="常规 2 2 2 5 2" xfId="32846"/>
    <cellStyle name="常规 2 2 2 5 2 2" xfId="32847"/>
    <cellStyle name="常规 2 2 2 5 2 3" xfId="32848"/>
    <cellStyle name="常规 2 2 2 5 2 4" xfId="32849"/>
    <cellStyle name="常规 2 2 2 5 2 5" xfId="32850"/>
    <cellStyle name="常规 2 2 2 5 2 5 2" xfId="32851"/>
    <cellStyle name="常规 2 2 2 5 3" xfId="32852"/>
    <cellStyle name="常规 2 2 2 5 3 2" xfId="32853"/>
    <cellStyle name="常规 2 2 2 5 3 2 2" xfId="32854"/>
    <cellStyle name="常规 2 2 2 5 3 3" xfId="32855"/>
    <cellStyle name="常规 2 2 2 5 4" xfId="32856"/>
    <cellStyle name="常规 2 2 2 5 4 2" xfId="32857"/>
    <cellStyle name="常规 2 2 2 5 5" xfId="32858"/>
    <cellStyle name="常规 2 2 2 5 6" xfId="32859"/>
    <cellStyle name="常规 2 2 2 5 6 2" xfId="32860"/>
    <cellStyle name="常规 2 2 2 5 7" xfId="32861"/>
    <cellStyle name="常规 2 2 2 6" xfId="32862"/>
    <cellStyle name="常规 2 2 2 6 2" xfId="32863"/>
    <cellStyle name="常规 2 2 2 6 2 2" xfId="32864"/>
    <cellStyle name="常规 2 2 2 6 2 2 2" xfId="32865"/>
    <cellStyle name="常规 2 2 2 6 3" xfId="32866"/>
    <cellStyle name="常规 2 2 2 6 3 2" xfId="32867"/>
    <cellStyle name="常规 2 2 2 6 3 2 2" xfId="32868"/>
    <cellStyle name="常规 2 2 2 6 3 2 3" xfId="32869"/>
    <cellStyle name="常规 2 2 2 6 3 3" xfId="32870"/>
    <cellStyle name="常规 2 2 2 6 3 3 2" xfId="32871"/>
    <cellStyle name="常规 2 2 2 6 4" xfId="32872"/>
    <cellStyle name="常规 2 2 2 6 4 2" xfId="32873"/>
    <cellStyle name="常规 2 2 2 6 4 2 2" xfId="32874"/>
    <cellStyle name="常规 2 2 2 6 5" xfId="32875"/>
    <cellStyle name="常规 2 2 2 6 5 2" xfId="32876"/>
    <cellStyle name="常规 2 2 2 6 5 2 2" xfId="32877"/>
    <cellStyle name="常规 2 2 2 6 5 3" xfId="32878"/>
    <cellStyle name="常规 2 2 2 6 6" xfId="32879"/>
    <cellStyle name="常规 2 2 2 6 6 2" xfId="32880"/>
    <cellStyle name="常规 2 2 2 7" xfId="32881"/>
    <cellStyle name="常规 2 2 2 7 2" xfId="32882"/>
    <cellStyle name="常规 2 2 2 7 2 2" xfId="32883"/>
    <cellStyle name="常规 2 2 2 7 2 2 2" xfId="32884"/>
    <cellStyle name="常规 2 2 2 7 2 3" xfId="32885"/>
    <cellStyle name="常规 2 2 2 7 3" xfId="32886"/>
    <cellStyle name="常规 2 2 2 7 3 2" xfId="32887"/>
    <cellStyle name="常规 2 2 2 7 3 3" xfId="32888"/>
    <cellStyle name="常规 2 2 2 7 4" xfId="32889"/>
    <cellStyle name="常规 2 2 2 8" xfId="32890"/>
    <cellStyle name="常规 2 2 2 8 2" xfId="32891"/>
    <cellStyle name="常规 2 2 2 8 2 2" xfId="32892"/>
    <cellStyle name="常规 2 2 2 9" xfId="32893"/>
    <cellStyle name="常规 2 2 2 9 2" xfId="32894"/>
    <cellStyle name="常规 2 2 2 9 2 2" xfId="32895"/>
    <cellStyle name="常规 2 2 20" xfId="32896"/>
    <cellStyle name="常规 2 2 3" xfId="32897"/>
    <cellStyle name="常规 2 2 3 10" xfId="32898"/>
    <cellStyle name="常规 2 2 3 11" xfId="32899"/>
    <cellStyle name="常规 2 2 3 11 2" xfId="32900"/>
    <cellStyle name="常规 2 2 3 12" xfId="32901"/>
    <cellStyle name="常规 2 2 3 2" xfId="32902"/>
    <cellStyle name="常规 2 2 3 2 2" xfId="32903"/>
    <cellStyle name="常规 2 2 3 2 2 2" xfId="32904"/>
    <cellStyle name="常规 2 2 3 2 2 2 2" xfId="32905"/>
    <cellStyle name="常规 2 2 3 2 2 2 3" xfId="32906"/>
    <cellStyle name="常规 2 2 3 2 2 2 4" xfId="32907"/>
    <cellStyle name="常规 2 2 3 2 2 2 5" xfId="32908"/>
    <cellStyle name="常规 2 2 3 2 2 2 5 2" xfId="32909"/>
    <cellStyle name="常规 2 2 3 2 2 3" xfId="32910"/>
    <cellStyle name="常规 2 2 3 2 2 4" xfId="32911"/>
    <cellStyle name="常规 2 2 3 2 2 5" xfId="32912"/>
    <cellStyle name="常规 2 2 3 2 2 6" xfId="32913"/>
    <cellStyle name="常规 2 2 3 2 2 6 2" xfId="32914"/>
    <cellStyle name="常规 2 2 3 2 3" xfId="32915"/>
    <cellStyle name="常规 2 2 3 2 3 2" xfId="32916"/>
    <cellStyle name="常规 2 2 3 2 3 2 2" xfId="32917"/>
    <cellStyle name="常规 2 2 3 2 3 2 3" xfId="32918"/>
    <cellStyle name="常规 2 2 3 2 3 2 4" xfId="32919"/>
    <cellStyle name="常规 2 2 3 2 3 3" xfId="32920"/>
    <cellStyle name="常规 2 2 3 2 3 4" xfId="32921"/>
    <cellStyle name="常规 2 2 3 2 3 5" xfId="32922"/>
    <cellStyle name="常规 2 2 3 2 3 6" xfId="32923"/>
    <cellStyle name="常规 2 2 3 2 3 6 2" xfId="32924"/>
    <cellStyle name="常规 2 2 3 2 4" xfId="32925"/>
    <cellStyle name="常规 2 2 3 2 4 2" xfId="32926"/>
    <cellStyle name="常规 2 2 3 2 4 3" xfId="32927"/>
    <cellStyle name="常规 2 2 3 2 4 4" xfId="32928"/>
    <cellStyle name="常规 2 2 3 2 4 5" xfId="32929"/>
    <cellStyle name="常规 2 2 3 2 4 5 2" xfId="32930"/>
    <cellStyle name="常规 2 2 3 2 5" xfId="32931"/>
    <cellStyle name="常规 2 2 3 2 5 2" xfId="32932"/>
    <cellStyle name="常规 2 2 3 2 6" xfId="32933"/>
    <cellStyle name="常规 2 2 3 2 7" xfId="32934"/>
    <cellStyle name="常规 2 2 3 2 8" xfId="32935"/>
    <cellStyle name="常规 2 2 3 2 8 2" xfId="32936"/>
    <cellStyle name="常规 2 2 3 2 9" xfId="32937"/>
    <cellStyle name="常规 2 2 3 3" xfId="32938"/>
    <cellStyle name="常规 2 2 3 3 2" xfId="32939"/>
    <cellStyle name="常规 2 2 3 3 2 2" xfId="32940"/>
    <cellStyle name="常规 2 2 3 3 2 2 2" xfId="32941"/>
    <cellStyle name="常规 2 2 3 3 2 2 3" xfId="32942"/>
    <cellStyle name="常规 2 2 3 3 2 2 4" xfId="32943"/>
    <cellStyle name="常规 2 2 3 3 2 2 5" xfId="32944"/>
    <cellStyle name="常规 2 2 3 3 2 2 5 2" xfId="32945"/>
    <cellStyle name="常规 2 2 3 3 2 3" xfId="32946"/>
    <cellStyle name="常规 2 2 3 3 2 4" xfId="32947"/>
    <cellStyle name="常规 2 2 3 3 2 5" xfId="32948"/>
    <cellStyle name="常规 2 2 3 3 2 6" xfId="32949"/>
    <cellStyle name="常规 2 2 3 3 2 6 2" xfId="32950"/>
    <cellStyle name="常规 2 2 3 3 3" xfId="32951"/>
    <cellStyle name="常规 2 2 3 3 3 2" xfId="32952"/>
    <cellStyle name="常规 2 2 3 3 3 2 2" xfId="32953"/>
    <cellStyle name="常规 2 2 3 3 3 2 3" xfId="32954"/>
    <cellStyle name="常规 2 2 3 3 3 2 4" xfId="32955"/>
    <cellStyle name="常规 2 2 3 3 3 3" xfId="32956"/>
    <cellStyle name="常规 2 2 3 3 3 4" xfId="32957"/>
    <cellStyle name="常规 2 2 3 3 3 5" xfId="32958"/>
    <cellStyle name="常规 2 2 3 3 3 6" xfId="32959"/>
    <cellStyle name="常规 2 2 3 3 3 6 2" xfId="32960"/>
    <cellStyle name="常规 2 2 3 3 4" xfId="32961"/>
    <cellStyle name="常规 2 2 3 3 4 2" xfId="32962"/>
    <cellStyle name="常规 2 2 3 3 4 3" xfId="32963"/>
    <cellStyle name="常规 2 2 3 3 4 4" xfId="32964"/>
    <cellStyle name="常规 2 2 3 3 4 5" xfId="32965"/>
    <cellStyle name="常规 2 2 3 3 4 5 2" xfId="32966"/>
    <cellStyle name="常规 2 2 3 3 5" xfId="32967"/>
    <cellStyle name="常规 2 2 3 3 6" xfId="32968"/>
    <cellStyle name="常规 2 2 3 3 7" xfId="32969"/>
    <cellStyle name="常规 2 2 3 3 8" xfId="32970"/>
    <cellStyle name="常规 2 2 3 3 8 2" xfId="32971"/>
    <cellStyle name="常规 2 2 3 3 9" xfId="32972"/>
    <cellStyle name="常规 2 2 3 4" xfId="32973"/>
    <cellStyle name="常规 2 2 3 4 2" xfId="32974"/>
    <cellStyle name="常规 2 2 3 4 2 2" xfId="32975"/>
    <cellStyle name="常规 2 2 3 4 2 2 2" xfId="32976"/>
    <cellStyle name="常规 2 2 3 4 2 2 3" xfId="32977"/>
    <cellStyle name="常规 2 2 3 4 2 2 4" xfId="32978"/>
    <cellStyle name="常规 2 2 3 4 2 3" xfId="32979"/>
    <cellStyle name="常规 2 2 3 4 2 4" xfId="32980"/>
    <cellStyle name="常规 2 2 3 4 2 5" xfId="32981"/>
    <cellStyle name="常规 2 2 3 4 2 6" xfId="32982"/>
    <cellStyle name="常规 2 2 3 4 2 6 2" xfId="32983"/>
    <cellStyle name="常规 2 2 3 4 3" xfId="32984"/>
    <cellStyle name="常规 2 2 3 4 3 2" xfId="32985"/>
    <cellStyle name="常规 2 2 3 4 3 2 2" xfId="32986"/>
    <cellStyle name="常规 2 2 3 4 3 2 3" xfId="32987"/>
    <cellStyle name="常规 2 2 3 4 3 2 4" xfId="32988"/>
    <cellStyle name="常规 2 2 3 4 3 2 5" xfId="32989"/>
    <cellStyle name="常规 2 2 3 4 3 3" xfId="32990"/>
    <cellStyle name="常规 2 2 3 4 3 4" xfId="32991"/>
    <cellStyle name="常规 2 2 3 4 3 5" xfId="32992"/>
    <cellStyle name="常规 2 2 3 4 3 6" xfId="32993"/>
    <cellStyle name="常规 2 2 3 4 3 6 2" xfId="32994"/>
    <cellStyle name="常规 2 2 3 4 3 7" xfId="32995"/>
    <cellStyle name="常规 2 2 3 4 4" xfId="32996"/>
    <cellStyle name="常规 2 2 3 4 4 2" xfId="32997"/>
    <cellStyle name="常规 2 2 3 4 4 3" xfId="32998"/>
    <cellStyle name="常规 2 2 3 4 4 4" xfId="32999"/>
    <cellStyle name="常规 2 2 3 4 4 5" xfId="33000"/>
    <cellStyle name="常规 2 2 3 4 5" xfId="33001"/>
    <cellStyle name="常规 2 2 3 4 6" xfId="33002"/>
    <cellStyle name="常规 2 2 3 4 7" xfId="33003"/>
    <cellStyle name="常规 2 2 3 4 8" xfId="33004"/>
    <cellStyle name="常规 2 2 3 4 8 2" xfId="33005"/>
    <cellStyle name="常规 2 2 3 4 9" xfId="33006"/>
    <cellStyle name="常规 2 2 3 5" xfId="33007"/>
    <cellStyle name="常规 2 2 3 5 2" xfId="33008"/>
    <cellStyle name="常规 2 2 3 5 2 2" xfId="33009"/>
    <cellStyle name="常规 2 2 3 5 2 3" xfId="33010"/>
    <cellStyle name="常规 2 2 3 5 2 4" xfId="33011"/>
    <cellStyle name="常规 2 2 3 5 3" xfId="33012"/>
    <cellStyle name="常规 2 2 3 5 4" xfId="33013"/>
    <cellStyle name="常规 2 2 3 5 5" xfId="33014"/>
    <cellStyle name="常规 2 2 3 5 6" xfId="33015"/>
    <cellStyle name="常规 2 2 3 5 6 2" xfId="33016"/>
    <cellStyle name="常规 2 2 3 6" xfId="33017"/>
    <cellStyle name="常规 2 2 3 6 2" xfId="33018"/>
    <cellStyle name="常规 2 2 3 6 2 2" xfId="33019"/>
    <cellStyle name="常规 2 2 3 6 2 3" xfId="33020"/>
    <cellStyle name="常规 2 2 3 6 2 4" xfId="33021"/>
    <cellStyle name="常规 2 2 3 6 3" xfId="33022"/>
    <cellStyle name="常规 2 2 3 6 4" xfId="33023"/>
    <cellStyle name="常规 2 2 3 6 5" xfId="33024"/>
    <cellStyle name="常规 2 2 3 6 6" xfId="33025"/>
    <cellStyle name="常规 2 2 3 6 6 2" xfId="33026"/>
    <cellStyle name="常规 2 2 3 7" xfId="33027"/>
    <cellStyle name="常规 2 2 3 7 2" xfId="33028"/>
    <cellStyle name="常规 2 2 3 7 2 2" xfId="33029"/>
    <cellStyle name="常规 2 2 3 7 3" xfId="33030"/>
    <cellStyle name="常规 2 2 3 7 4" xfId="33031"/>
    <cellStyle name="常规 2 2 3 7 5" xfId="33032"/>
    <cellStyle name="常规 2 2 3 7 6" xfId="33033"/>
    <cellStyle name="常规 2 2 3 8" xfId="33034"/>
    <cellStyle name="常规 2 2 3 9" xfId="33035"/>
    <cellStyle name="常规 2 2 4" xfId="33036"/>
    <cellStyle name="常规 2 2 4 10" xfId="33037"/>
    <cellStyle name="常规 2 2 4 10 2" xfId="33038"/>
    <cellStyle name="常规 2 2 4 2" xfId="33039"/>
    <cellStyle name="常规 2 2 4 2 2" xfId="33040"/>
    <cellStyle name="常规 2 2 4 2 2 2" xfId="33041"/>
    <cellStyle name="常规 2 2 4 2 2 2 2" xfId="33042"/>
    <cellStyle name="常规 2 2 4 2 2 2 2 2" xfId="33043"/>
    <cellStyle name="常规 2 2 4 2 2 2 2 2 2" xfId="33044"/>
    <cellStyle name="常规 2 2 4 2 2 2 3" xfId="33045"/>
    <cellStyle name="常规 2 2 4 2 2 2 3 2" xfId="33046"/>
    <cellStyle name="常规 2 2 4 2 2 2 3 2 2" xfId="33047"/>
    <cellStyle name="常规 2 2 4 2 2 2 4" xfId="33048"/>
    <cellStyle name="常规 2 2 4 2 2 2 4 2" xfId="33049"/>
    <cellStyle name="常规 2 2 4 2 2 2 4 2 2" xfId="33050"/>
    <cellStyle name="常规 2 2 4 2 2 2 5" xfId="33051"/>
    <cellStyle name="常规 2 2 4 2 2 2 5 2" xfId="33052"/>
    <cellStyle name="常规 2 2 4 2 2 2 5 3" xfId="33053"/>
    <cellStyle name="常规 2 2 4 2 2 2 6" xfId="33054"/>
    <cellStyle name="常规 2 2 4 2 2 3" xfId="33055"/>
    <cellStyle name="常规 2 2 4 2 2 3 2" xfId="33056"/>
    <cellStyle name="常规 2 2 4 2 2 3 2 2" xfId="33057"/>
    <cellStyle name="常规 2 2 4 2 2 3 2 2 2" xfId="33058"/>
    <cellStyle name="常规 2 2 4 2 2 3 3" xfId="33059"/>
    <cellStyle name="常规 2 2 4 2 2 3 3 2" xfId="33060"/>
    <cellStyle name="常规 2 2 4 2 2 3 3 2 2" xfId="33061"/>
    <cellStyle name="常规 2 2 4 2 2 3 4" xfId="33062"/>
    <cellStyle name="常规 2 2 4 2 2 3 4 2" xfId="33063"/>
    <cellStyle name="常规 2 2 4 2 2 3 5" xfId="33064"/>
    <cellStyle name="常规 2 2 4 2 2 4" xfId="33065"/>
    <cellStyle name="常规 2 2 4 2 2 4 2" xfId="33066"/>
    <cellStyle name="常规 2 2 4 2 2 4 2 2" xfId="33067"/>
    <cellStyle name="常规 2 2 4 2 2 5" xfId="33068"/>
    <cellStyle name="常规 2 2 4 2 2 5 2" xfId="33069"/>
    <cellStyle name="常规 2 2 4 2 2 5 2 2" xfId="33070"/>
    <cellStyle name="常规 2 2 4 2 2 6" xfId="33071"/>
    <cellStyle name="常规 2 2 4 2 2 7" xfId="33072"/>
    <cellStyle name="常规 2 2 4 2 2 7 2" xfId="33073"/>
    <cellStyle name="常规 2 2 4 2 2 7 3" xfId="33074"/>
    <cellStyle name="常规 2 2 4 2 2 8" xfId="33075"/>
    <cellStyle name="常规 2 2 4 2 2 8 2" xfId="33076"/>
    <cellStyle name="常规 2 2 4 2 3" xfId="33077"/>
    <cellStyle name="常规 2 2 4 2 3 2" xfId="33078"/>
    <cellStyle name="常规 2 2 4 2 3 2 2" xfId="33079"/>
    <cellStyle name="常规 2 2 4 2 3 2 3" xfId="33080"/>
    <cellStyle name="常规 2 2 4 2 3 2 4" xfId="33081"/>
    <cellStyle name="常规 2 2 4 2 3 2 5" xfId="33082"/>
    <cellStyle name="常规 2 2 4 2 3 2 5 2" xfId="33083"/>
    <cellStyle name="常规 2 2 4 2 3 3" xfId="33084"/>
    <cellStyle name="常规 2 2 4 2 3 3 2" xfId="33085"/>
    <cellStyle name="常规 2 2 4 2 3 3 2 2" xfId="33086"/>
    <cellStyle name="常规 2 2 4 2 3 4" xfId="33087"/>
    <cellStyle name="常规 2 2 4 2 3 4 2" xfId="33088"/>
    <cellStyle name="常规 2 2 4 2 3 4 2 2" xfId="33089"/>
    <cellStyle name="常规 2 2 4 2 3 5" xfId="33090"/>
    <cellStyle name="常规 2 2 4 2 3 5 2" xfId="33091"/>
    <cellStyle name="常规 2 2 4 2 3 5 3" xfId="33092"/>
    <cellStyle name="常规 2 2 4 2 3 6" xfId="33093"/>
    <cellStyle name="常规 2 2 4 2 3 6 2" xfId="33094"/>
    <cellStyle name="常规 2 2 4 2 3 7" xfId="33095"/>
    <cellStyle name="常规 2 2 4 2 4" xfId="33096"/>
    <cellStyle name="常规 2 2 4 2 4 2" xfId="33097"/>
    <cellStyle name="常规 2 2 4 2 4 3" xfId="33098"/>
    <cellStyle name="常规 2 2 4 2 4 4" xfId="33099"/>
    <cellStyle name="常规 2 2 4 2 4 5" xfId="33100"/>
    <cellStyle name="常规 2 2 4 2 4 5 2" xfId="33101"/>
    <cellStyle name="常规 2 2 4 2 5" xfId="33102"/>
    <cellStyle name="常规 2 2 4 2 5 2" xfId="33103"/>
    <cellStyle name="常规 2 2 4 2 5 2 2" xfId="33104"/>
    <cellStyle name="常规 2 2 4 2 6" xfId="33105"/>
    <cellStyle name="常规 2 2 4 2 6 2" xfId="33106"/>
    <cellStyle name="常规 2 2 4 2 6 2 2" xfId="33107"/>
    <cellStyle name="常规 2 2 4 2 7" xfId="33108"/>
    <cellStyle name="常规 2 2 4 2 7 2" xfId="33109"/>
    <cellStyle name="常规 2 2 4 2 7 2 2" xfId="33110"/>
    <cellStyle name="常规 2 2 4 2 8" xfId="33111"/>
    <cellStyle name="常规 2 2 4 2 8 2" xfId="33112"/>
    <cellStyle name="常规 2 2 4 2 8 3" xfId="33113"/>
    <cellStyle name="常规 2 2 4 2 9" xfId="33114"/>
    <cellStyle name="常规 2 2 4 2 9 2" xfId="33115"/>
    <cellStyle name="常规 2 2 4 3" xfId="33116"/>
    <cellStyle name="常规 2 2 4 3 2" xfId="33117"/>
    <cellStyle name="常规 2 2 4 3 2 2" xfId="33118"/>
    <cellStyle name="常规 2 2 4 3 2 2 2" xfId="33119"/>
    <cellStyle name="常规 2 2 4 3 2 2 2 2" xfId="33120"/>
    <cellStyle name="常规 2 2 4 3 2 3" xfId="33121"/>
    <cellStyle name="常规 2 2 4 3 2 3 2" xfId="33122"/>
    <cellStyle name="常规 2 2 4 3 2 3 2 2" xfId="33123"/>
    <cellStyle name="常规 2 2 4 3 2 4" xfId="33124"/>
    <cellStyle name="常规 2 2 4 3 2 4 2" xfId="33125"/>
    <cellStyle name="常规 2 2 4 3 2 4 2 2" xfId="33126"/>
    <cellStyle name="常规 2 2 4 3 2 5" xfId="33127"/>
    <cellStyle name="常规 2 2 4 3 2 5 2" xfId="33128"/>
    <cellStyle name="常规 2 2 4 3 2 5 3" xfId="33129"/>
    <cellStyle name="常规 2 2 4 3 2 6" xfId="33130"/>
    <cellStyle name="常规 2 2 4 3 3" xfId="33131"/>
    <cellStyle name="常规 2 2 4 3 3 2" xfId="33132"/>
    <cellStyle name="常规 2 2 4 3 3 2 2" xfId="33133"/>
    <cellStyle name="常规 2 2 4 3 3 2 2 2" xfId="33134"/>
    <cellStyle name="常规 2 2 4 3 3 3" xfId="33135"/>
    <cellStyle name="常规 2 2 4 3 3 3 2" xfId="33136"/>
    <cellStyle name="常规 2 2 4 3 3 3 2 2" xfId="33137"/>
    <cellStyle name="常规 2 2 4 3 3 4" xfId="33138"/>
    <cellStyle name="常规 2 2 4 3 3 4 2" xfId="33139"/>
    <cellStyle name="常规 2 2 4 3 3 5" xfId="33140"/>
    <cellStyle name="常规 2 2 4 3 4" xfId="33141"/>
    <cellStyle name="常规 2 2 4 3 4 2" xfId="33142"/>
    <cellStyle name="常规 2 2 4 3 4 2 2" xfId="33143"/>
    <cellStyle name="常规 2 2 4 3 5" xfId="33144"/>
    <cellStyle name="常规 2 2 4 3 5 2" xfId="33145"/>
    <cellStyle name="常规 2 2 4 3 5 2 2" xfId="33146"/>
    <cellStyle name="常规 2 2 4 3 6" xfId="33147"/>
    <cellStyle name="常规 2 2 4 3 7" xfId="33148"/>
    <cellStyle name="常规 2 2 4 3 7 2" xfId="33149"/>
    <cellStyle name="常规 2 2 4 3 7 3" xfId="33150"/>
    <cellStyle name="常规 2 2 4 3 8" xfId="33151"/>
    <cellStyle name="常规 2 2 4 3 8 2" xfId="33152"/>
    <cellStyle name="常规 2 2 4 4" xfId="33153"/>
    <cellStyle name="常规 2 2 4 4 2" xfId="33154"/>
    <cellStyle name="常规 2 2 4 4 2 2" xfId="33155"/>
    <cellStyle name="常规 2 2 4 4 2 3" xfId="33156"/>
    <cellStyle name="常规 2 2 4 4 2 4" xfId="33157"/>
    <cellStyle name="常规 2 2 4 4 2 5" xfId="33158"/>
    <cellStyle name="常规 2 2 4 4 2 5 2" xfId="33159"/>
    <cellStyle name="常规 2 2 4 4 3" xfId="33160"/>
    <cellStyle name="常规 2 2 4 4 3 2" xfId="33161"/>
    <cellStyle name="常规 2 2 4 4 3 2 2" xfId="33162"/>
    <cellStyle name="常规 2 2 4 4 4" xfId="33163"/>
    <cellStyle name="常规 2 2 4 4 4 2" xfId="33164"/>
    <cellStyle name="常规 2 2 4 4 4 2 2" xfId="33165"/>
    <cellStyle name="常规 2 2 4 4 5" xfId="33166"/>
    <cellStyle name="常规 2 2 4 4 5 2" xfId="33167"/>
    <cellStyle name="常规 2 2 4 4 5 3" xfId="33168"/>
    <cellStyle name="常规 2 2 4 4 6" xfId="33169"/>
    <cellStyle name="常规 2 2 4 4 6 2" xfId="33170"/>
    <cellStyle name="常规 2 2 4 4 7" xfId="33171"/>
    <cellStyle name="常规 2 2 4 5" xfId="33172"/>
    <cellStyle name="常规 2 2 4 5 2" xfId="33173"/>
    <cellStyle name="常规 2 2 4 5 3" xfId="33174"/>
    <cellStyle name="常规 2 2 4 5 4" xfId="33175"/>
    <cellStyle name="常规 2 2 4 5 5" xfId="33176"/>
    <cellStyle name="常规 2 2 4 5 5 2" xfId="33177"/>
    <cellStyle name="常规 2 2 4 6" xfId="33178"/>
    <cellStyle name="常规 2 2 4 6 2" xfId="33179"/>
    <cellStyle name="常规 2 2 4 6 2 2" xfId="33180"/>
    <cellStyle name="常规 2 2 4 7" xfId="33181"/>
    <cellStyle name="常规 2 2 4 7 2" xfId="33182"/>
    <cellStyle name="常规 2 2 4 7 2 2" xfId="33183"/>
    <cellStyle name="常规 2 2 4 8" xfId="33184"/>
    <cellStyle name="常规 2 2 4 8 2" xfId="33185"/>
    <cellStyle name="常规 2 2 4 8 2 2" xfId="33186"/>
    <cellStyle name="常规 2 2 4 9" xfId="33187"/>
    <cellStyle name="常规 2 2 4 9 2" xfId="33188"/>
    <cellStyle name="常规 2 2 4 9 2 2" xfId="33189"/>
    <cellStyle name="常规 2 2 4 9 3" xfId="33190"/>
    <cellStyle name="常规 2 2 4 9 3 2" xfId="33191"/>
    <cellStyle name="常规 2 2 5" xfId="33192"/>
    <cellStyle name="常规 2 2 5 10" xfId="33193"/>
    <cellStyle name="常规 2 2 5 10 2" xfId="33194"/>
    <cellStyle name="常规 2 2 5 2" xfId="33195"/>
    <cellStyle name="常规 2 2 5 2 2" xfId="33196"/>
    <cellStyle name="常规 2 2 5 2 2 2" xfId="33197"/>
    <cellStyle name="常规 2 2 5 2 2 2 2" xfId="33198"/>
    <cellStyle name="常规 2 2 5 2 2 2 3" xfId="33199"/>
    <cellStyle name="常规 2 2 5 2 2 2 4" xfId="33200"/>
    <cellStyle name="常规 2 2 5 2 2 2 5" xfId="33201"/>
    <cellStyle name="常规 2 2 5 2 2 2 5 2" xfId="33202"/>
    <cellStyle name="常规 2 2 5 2 2 3" xfId="33203"/>
    <cellStyle name="常规 2 2 5 2 2 3 2" xfId="33204"/>
    <cellStyle name="常规 2 2 5 2 2 3 2 2" xfId="33205"/>
    <cellStyle name="常规 2 2 5 2 2 4" xfId="33206"/>
    <cellStyle name="常规 2 2 5 2 2 4 2" xfId="33207"/>
    <cellStyle name="常规 2 2 5 2 2 4 2 2" xfId="33208"/>
    <cellStyle name="常规 2 2 5 2 2 5" xfId="33209"/>
    <cellStyle name="常规 2 2 5 2 2 5 2" xfId="33210"/>
    <cellStyle name="常规 2 2 5 2 2 5 3" xfId="33211"/>
    <cellStyle name="常规 2 2 5 2 2 6" xfId="33212"/>
    <cellStyle name="常规 2 2 5 2 2 6 2" xfId="33213"/>
    <cellStyle name="常规 2 2 5 2 2 7" xfId="33214"/>
    <cellStyle name="常规 2 2 5 2 3" xfId="33215"/>
    <cellStyle name="常规 2 2 5 2 3 2" xfId="33216"/>
    <cellStyle name="常规 2 2 5 2 3 2 2" xfId="33217"/>
    <cellStyle name="常规 2 2 5 2 3 2 3" xfId="33218"/>
    <cellStyle name="常规 2 2 5 2 3 2 4" xfId="33219"/>
    <cellStyle name="常规 2 2 5 2 3 3" xfId="33220"/>
    <cellStyle name="常规 2 2 5 2 3 4" xfId="33221"/>
    <cellStyle name="常规 2 2 5 2 3 5" xfId="33222"/>
    <cellStyle name="常规 2 2 5 2 3 6" xfId="33223"/>
    <cellStyle name="常规 2 2 5 2 3 6 2" xfId="33224"/>
    <cellStyle name="常规 2 2 5 2 4" xfId="33225"/>
    <cellStyle name="常规 2 2 5 2 4 2" xfId="33226"/>
    <cellStyle name="常规 2 2 5 2 4 3" xfId="33227"/>
    <cellStyle name="常规 2 2 5 2 4 4" xfId="33228"/>
    <cellStyle name="常规 2 2 5 2 4 5" xfId="33229"/>
    <cellStyle name="常规 2 2 5 2 4 5 2" xfId="33230"/>
    <cellStyle name="常规 2 2 5 2 5" xfId="33231"/>
    <cellStyle name="常规 2 2 5 2 5 2" xfId="33232"/>
    <cellStyle name="常规 2 2 5 2 5 2 2" xfId="33233"/>
    <cellStyle name="常规 2 2 5 2 6" xfId="33234"/>
    <cellStyle name="常规 2 2 5 2 6 2" xfId="33235"/>
    <cellStyle name="常规 2 2 5 2 6 2 2" xfId="33236"/>
    <cellStyle name="常规 2 2 5 2 7" xfId="33237"/>
    <cellStyle name="常规 2 2 5 2 7 2" xfId="33238"/>
    <cellStyle name="常规 2 2 5 2 7 2 2" xfId="33239"/>
    <cellStyle name="常规 2 2 5 2 8" xfId="33240"/>
    <cellStyle name="常规 2 2 5 2 8 2" xfId="33241"/>
    <cellStyle name="常规 2 2 5 2 8 3" xfId="33242"/>
    <cellStyle name="常规 2 2 5 2 9" xfId="33243"/>
    <cellStyle name="常规 2 2 5 3" xfId="33244"/>
    <cellStyle name="常规 2 2 5 3 2" xfId="33245"/>
    <cellStyle name="常规 2 2 5 3 2 2" xfId="33246"/>
    <cellStyle name="常规 2 2 5 3 2 2 2" xfId="33247"/>
    <cellStyle name="常规 2 2 5 3 2 2 2 2" xfId="33248"/>
    <cellStyle name="常规 2 2 5 3 2 3" xfId="33249"/>
    <cellStyle name="常规 2 2 5 3 2 3 2" xfId="33250"/>
    <cellStyle name="常规 2 2 5 3 2 3 2 2" xfId="33251"/>
    <cellStyle name="常规 2 2 5 3 2 4" xfId="33252"/>
    <cellStyle name="常规 2 2 5 3 2 4 2" xfId="33253"/>
    <cellStyle name="常规 2 2 5 3 2 4 2 2" xfId="33254"/>
    <cellStyle name="常规 2 2 5 3 2 5" xfId="33255"/>
    <cellStyle name="常规 2 2 5 3 2 5 2" xfId="33256"/>
    <cellStyle name="常规 2 2 5 3 2 5 3" xfId="33257"/>
    <cellStyle name="常规 2 2 5 3 2 6" xfId="33258"/>
    <cellStyle name="常规 2 2 5 3 3" xfId="33259"/>
    <cellStyle name="常规 2 2 5 3 3 2" xfId="33260"/>
    <cellStyle name="常规 2 2 5 3 3 2 2" xfId="33261"/>
    <cellStyle name="常规 2 2 5 3 3 2 2 2" xfId="33262"/>
    <cellStyle name="常规 2 2 5 3 3 3" xfId="33263"/>
    <cellStyle name="常规 2 2 5 3 3 3 2" xfId="33264"/>
    <cellStyle name="常规 2 2 5 3 3 3 2 2" xfId="33265"/>
    <cellStyle name="常规 2 2 5 3 3 4" xfId="33266"/>
    <cellStyle name="常规 2 2 5 3 3 4 2" xfId="33267"/>
    <cellStyle name="常规 2 2 5 3 3 5" xfId="33268"/>
    <cellStyle name="常规 2 2 5 3 4" xfId="33269"/>
    <cellStyle name="常规 2 2 5 3 4 2" xfId="33270"/>
    <cellStyle name="常规 2 2 5 3 4 2 2" xfId="33271"/>
    <cellStyle name="常规 2 2 5 3 5" xfId="33272"/>
    <cellStyle name="常规 2 2 5 3 5 2" xfId="33273"/>
    <cellStyle name="常规 2 2 5 3 5 2 2" xfId="33274"/>
    <cellStyle name="常规 2 2 5 3 6" xfId="33275"/>
    <cellStyle name="常规 2 2 5 3 7" xfId="33276"/>
    <cellStyle name="常规 2 2 5 3 7 2" xfId="33277"/>
    <cellStyle name="常规 2 2 5 3 7 3" xfId="33278"/>
    <cellStyle name="常规 2 2 5 3 8" xfId="33279"/>
    <cellStyle name="常规 2 2 5 3 8 2" xfId="33280"/>
    <cellStyle name="常规 2 2 5 4" xfId="33281"/>
    <cellStyle name="常规 2 2 5 4 2" xfId="33282"/>
    <cellStyle name="常规 2 2 5 4 2 2" xfId="33283"/>
    <cellStyle name="常规 2 2 5 4 2 3" xfId="33284"/>
    <cellStyle name="常规 2 2 5 4 2 4" xfId="33285"/>
    <cellStyle name="常规 2 2 5 4 2 5" xfId="33286"/>
    <cellStyle name="常规 2 2 5 4 2 5 2" xfId="33287"/>
    <cellStyle name="常规 2 2 5 4 3" xfId="33288"/>
    <cellStyle name="常规 2 2 5 4 3 2" xfId="33289"/>
    <cellStyle name="常规 2 2 5 4 3 2 2" xfId="33290"/>
    <cellStyle name="常规 2 2 5 4 4" xfId="33291"/>
    <cellStyle name="常规 2 2 5 4 4 2" xfId="33292"/>
    <cellStyle name="常规 2 2 5 4 4 2 2" xfId="33293"/>
    <cellStyle name="常规 2 2 5 4 5" xfId="33294"/>
    <cellStyle name="常规 2 2 5 4 5 2" xfId="33295"/>
    <cellStyle name="常规 2 2 5 4 5 3" xfId="33296"/>
    <cellStyle name="常规 2 2 5 4 6" xfId="33297"/>
    <cellStyle name="常规 2 2 5 4 6 2" xfId="33298"/>
    <cellStyle name="常规 2 2 5 4 7" xfId="33299"/>
    <cellStyle name="常规 2 2 5 5" xfId="33300"/>
    <cellStyle name="常规 2 2 5 5 2" xfId="33301"/>
    <cellStyle name="常规 2 2 5 5 3" xfId="33302"/>
    <cellStyle name="常规 2 2 5 5 4" xfId="33303"/>
    <cellStyle name="常规 2 2 5 5 5" xfId="33304"/>
    <cellStyle name="常规 2 2 5 5 5 2" xfId="33305"/>
    <cellStyle name="常规 2 2 5 6" xfId="33306"/>
    <cellStyle name="常规 2 2 5 6 2" xfId="33307"/>
    <cellStyle name="常规 2 2 5 6 2 2" xfId="33308"/>
    <cellStyle name="常规 2 2 5 7" xfId="33309"/>
    <cellStyle name="常规 2 2 5 7 2" xfId="33310"/>
    <cellStyle name="常规 2 2 5 7 2 2" xfId="33311"/>
    <cellStyle name="常规 2 2 5 8" xfId="33312"/>
    <cellStyle name="常规 2 2 5 8 2" xfId="33313"/>
    <cellStyle name="常规 2 2 5 8 2 2" xfId="33314"/>
    <cellStyle name="常规 2 2 5 9" xfId="33315"/>
    <cellStyle name="常规 2 2 5 9 2" xfId="33316"/>
    <cellStyle name="常规 2 2 5 9 3" xfId="33317"/>
    <cellStyle name="常规 2 2 6" xfId="33318"/>
    <cellStyle name="常规 2 2 6 10" xfId="33319"/>
    <cellStyle name="常规 2 2 6 2" xfId="33320"/>
    <cellStyle name="常规 2 2 6 2 2" xfId="33321"/>
    <cellStyle name="常规 2 2 6 2 2 2" xfId="33322"/>
    <cellStyle name="常规 2 2 6 2 2 2 2" xfId="33323"/>
    <cellStyle name="常规 2 2 6 2 2 2 3" xfId="33324"/>
    <cellStyle name="常规 2 2 6 2 2 2 4" xfId="33325"/>
    <cellStyle name="常规 2 2 6 2 2 2 5" xfId="33326"/>
    <cellStyle name="常规 2 2 6 2 2 2 5 2" xfId="33327"/>
    <cellStyle name="常规 2 2 6 2 2 3" xfId="33328"/>
    <cellStyle name="常规 2 2 6 2 2 4" xfId="33329"/>
    <cellStyle name="常规 2 2 6 2 2 5" xfId="33330"/>
    <cellStyle name="常规 2 2 6 2 2 6" xfId="33331"/>
    <cellStyle name="常规 2 2 6 2 2 6 2" xfId="33332"/>
    <cellStyle name="常规 2 2 6 2 3" xfId="33333"/>
    <cellStyle name="常规 2 2 6 2 3 2" xfId="33334"/>
    <cellStyle name="常规 2 2 6 2 3 2 2" xfId="33335"/>
    <cellStyle name="常规 2 2 6 2 3 2 3" xfId="33336"/>
    <cellStyle name="常规 2 2 6 2 3 2 4" xfId="33337"/>
    <cellStyle name="常规 2 2 6 2 3 3" xfId="33338"/>
    <cellStyle name="常规 2 2 6 2 3 4" xfId="33339"/>
    <cellStyle name="常规 2 2 6 2 3 5" xfId="33340"/>
    <cellStyle name="常规 2 2 6 2 3 6" xfId="33341"/>
    <cellStyle name="常规 2 2 6 2 3 6 2" xfId="33342"/>
    <cellStyle name="常规 2 2 6 2 4" xfId="33343"/>
    <cellStyle name="常规 2 2 6 2 4 2" xfId="33344"/>
    <cellStyle name="常规 2 2 6 2 4 3" xfId="33345"/>
    <cellStyle name="常规 2 2 6 2 4 4" xfId="33346"/>
    <cellStyle name="常规 2 2 6 2 4 5" xfId="33347"/>
    <cellStyle name="常规 2 2 6 2 4 5 2" xfId="33348"/>
    <cellStyle name="常规 2 2 6 2 5" xfId="33349"/>
    <cellStyle name="常规 2 2 6 2 6" xfId="33350"/>
    <cellStyle name="常规 2 2 6 2 7" xfId="33351"/>
    <cellStyle name="常规 2 2 6 2 8" xfId="33352"/>
    <cellStyle name="常规 2 2 6 2 8 2" xfId="33353"/>
    <cellStyle name="常规 2 2 6 2 9" xfId="33354"/>
    <cellStyle name="常规 2 2 6 3" xfId="33355"/>
    <cellStyle name="常规 2 2 6 3 2" xfId="33356"/>
    <cellStyle name="常规 2 2 6 3 2 2" xfId="33357"/>
    <cellStyle name="常规 2 2 6 3 2 3" xfId="33358"/>
    <cellStyle name="常规 2 2 6 3 2 4" xfId="33359"/>
    <cellStyle name="常规 2 2 6 3 2 5" xfId="33360"/>
    <cellStyle name="常规 2 2 6 3 2 5 2" xfId="33361"/>
    <cellStyle name="常规 2 2 6 3 3" xfId="33362"/>
    <cellStyle name="常规 2 2 6 3 4" xfId="33363"/>
    <cellStyle name="常规 2 2 6 3 5" xfId="33364"/>
    <cellStyle name="常规 2 2 6 3 6" xfId="33365"/>
    <cellStyle name="常规 2 2 6 3 6 2" xfId="33366"/>
    <cellStyle name="常规 2 2 6 4" xfId="33367"/>
    <cellStyle name="常规 2 2 6 4 2" xfId="33368"/>
    <cellStyle name="常规 2 2 6 4 2 2" xfId="33369"/>
    <cellStyle name="常规 2 2 6 4 2 3" xfId="33370"/>
    <cellStyle name="常规 2 2 6 4 2 4" xfId="33371"/>
    <cellStyle name="常规 2 2 6 4 3" xfId="33372"/>
    <cellStyle name="常规 2 2 6 4 4" xfId="33373"/>
    <cellStyle name="常规 2 2 6 4 5" xfId="33374"/>
    <cellStyle name="常规 2 2 6 4 6" xfId="33375"/>
    <cellStyle name="常规 2 2 6 4 6 2" xfId="33376"/>
    <cellStyle name="常规 2 2 6 5" xfId="33377"/>
    <cellStyle name="常规 2 2 6 5 2" xfId="33378"/>
    <cellStyle name="常规 2 2 6 5 3" xfId="33379"/>
    <cellStyle name="常规 2 2 6 5 4" xfId="33380"/>
    <cellStyle name="常规 2 2 6 5 5" xfId="33381"/>
    <cellStyle name="常规 2 2 6 5 5 2" xfId="33382"/>
    <cellStyle name="常规 2 2 6 6" xfId="33383"/>
    <cellStyle name="常规 2 2 6 7" xfId="33384"/>
    <cellStyle name="常规 2 2 6 8" xfId="33385"/>
    <cellStyle name="常规 2 2 6 9" xfId="33386"/>
    <cellStyle name="常规 2 2 6 9 2" xfId="33387"/>
    <cellStyle name="常规 2 2 7" xfId="33388"/>
    <cellStyle name="常规 2 2 7 2" xfId="33389"/>
    <cellStyle name="常规 2 2 7 2 2" xfId="33390"/>
    <cellStyle name="常规 2 2 7 2 2 2" xfId="33391"/>
    <cellStyle name="常规 2 2 7 2 2 3" xfId="33392"/>
    <cellStyle name="常规 2 2 7 2 2 4" xfId="33393"/>
    <cellStyle name="常规 2 2 7 2 2 5" xfId="33394"/>
    <cellStyle name="常规 2 2 7 2 2 5 2" xfId="33395"/>
    <cellStyle name="常规 2 2 7 2 3" xfId="33396"/>
    <cellStyle name="常规 2 2 7 2 4" xfId="33397"/>
    <cellStyle name="常规 2 2 7 2 5" xfId="33398"/>
    <cellStyle name="常规 2 2 7 2 6" xfId="33399"/>
    <cellStyle name="常规 2 2 7 2 6 2" xfId="33400"/>
    <cellStyle name="常规 2 2 7 3" xfId="33401"/>
    <cellStyle name="常规 2 2 7 3 2" xfId="33402"/>
    <cellStyle name="常规 2 2 7 3 2 2" xfId="33403"/>
    <cellStyle name="常规 2 2 7 3 2 3" xfId="33404"/>
    <cellStyle name="常规 2 2 7 3 2 4" xfId="33405"/>
    <cellStyle name="常规 2 2 7 3 3" xfId="33406"/>
    <cellStyle name="常规 2 2 7 3 4" xfId="33407"/>
    <cellStyle name="常规 2 2 7 3 5" xfId="33408"/>
    <cellStyle name="常规 2 2 7 3 6" xfId="33409"/>
    <cellStyle name="常规 2 2 7 3 6 2" xfId="33410"/>
    <cellStyle name="常规 2 2 7 4" xfId="33411"/>
    <cellStyle name="常规 2 2 7 4 2" xfId="33412"/>
    <cellStyle name="常规 2 2 7 4 3" xfId="33413"/>
    <cellStyle name="常规 2 2 7 4 4" xfId="33414"/>
    <cellStyle name="常规 2 2 7 4 5" xfId="33415"/>
    <cellStyle name="常规 2 2 7 4 5 2" xfId="33416"/>
    <cellStyle name="常规 2 2 7 5" xfId="33417"/>
    <cellStyle name="常规 2 2 7 6" xfId="33418"/>
    <cellStyle name="常规 2 2 7 7" xfId="33419"/>
    <cellStyle name="常规 2 2 7 8" xfId="33420"/>
    <cellStyle name="常规 2 2 7 8 2" xfId="33421"/>
    <cellStyle name="常规 2 2 7 9" xfId="33422"/>
    <cellStyle name="常规 2 2 8" xfId="33423"/>
    <cellStyle name="常规 2 2 8 2" xfId="33424"/>
    <cellStyle name="常规 2 2 8 2 2" xfId="33425"/>
    <cellStyle name="常规 2 2 8 2 2 2" xfId="33426"/>
    <cellStyle name="常规 2 2 8 2 2 2 2" xfId="33427"/>
    <cellStyle name="常规 2 2 8 2 3" xfId="33428"/>
    <cellStyle name="常规 2 2 8 2 3 2" xfId="33429"/>
    <cellStyle name="常规 2 2 8 2 3 2 2" xfId="33430"/>
    <cellStyle name="常规 2 2 8 2 4" xfId="33431"/>
    <cellStyle name="常规 2 2 8 2 4 2" xfId="33432"/>
    <cellStyle name="常规 2 2 8 2 4 2 2" xfId="33433"/>
    <cellStyle name="常规 2 2 8 2 5" xfId="33434"/>
    <cellStyle name="常规 2 2 8 2 5 2" xfId="33435"/>
    <cellStyle name="常规 2 2 8 2 5 3" xfId="33436"/>
    <cellStyle name="常规 2 2 8 2 6" xfId="33437"/>
    <cellStyle name="常规 2 2 8 3" xfId="33438"/>
    <cellStyle name="常规 2 2 8 3 2" xfId="33439"/>
    <cellStyle name="常规 2 2 8 3 2 2" xfId="33440"/>
    <cellStyle name="常规 2 2 8 4" xfId="33441"/>
    <cellStyle name="常规 2 2 8 4 2" xfId="33442"/>
    <cellStyle name="常规 2 2 8 4 2 2" xfId="33443"/>
    <cellStyle name="常规 2 2 8 5" xfId="33444"/>
    <cellStyle name="常规 2 2 8 5 2" xfId="33445"/>
    <cellStyle name="常规 2 2 8 5 2 2" xfId="33446"/>
    <cellStyle name="常规 2 2 8 6" xfId="33447"/>
    <cellStyle name="常规 2 2 8 7" xfId="33448"/>
    <cellStyle name="常规 2 2 8 7 2" xfId="33449"/>
    <cellStyle name="常规 2 2 8 7 3" xfId="33450"/>
    <cellStyle name="常规 2 2 8 8" xfId="33451"/>
    <cellStyle name="常规 2 2 8 8 2" xfId="33452"/>
    <cellStyle name="常规 2 2 9" xfId="33453"/>
    <cellStyle name="常规 2 2 9 2" xfId="33454"/>
    <cellStyle name="常规 2 2 9 2 2" xfId="33455"/>
    <cellStyle name="常规 2 2 9 2 2 2" xfId="33456"/>
    <cellStyle name="常规 2 2 9 2 2 2 2" xfId="33457"/>
    <cellStyle name="常规 2 2 9 2 3" xfId="33458"/>
    <cellStyle name="常规 2 2 9 2 4" xfId="33459"/>
    <cellStyle name="常规 2 2 9 2 5" xfId="33460"/>
    <cellStyle name="常规 2 2 9 2 5 2" xfId="33461"/>
    <cellStyle name="常规 2 2 9 3" xfId="33462"/>
    <cellStyle name="常规 2 2 9 3 2" xfId="33463"/>
    <cellStyle name="常规 2 2 9 3 2 2" xfId="33464"/>
    <cellStyle name="常规 2 2 9 4" xfId="33465"/>
    <cellStyle name="常规 2 2 9 4 2" xfId="33466"/>
    <cellStyle name="常规 2 2 9 4 2 2" xfId="33467"/>
    <cellStyle name="常规 2 2 9 5" xfId="33468"/>
    <cellStyle name="常规 2 2 9 6" xfId="33469"/>
    <cellStyle name="常规 2 2 9 6 2" xfId="33470"/>
    <cellStyle name="常规 2 2 9 7" xfId="33471"/>
    <cellStyle name="常规 2 20" xfId="33472"/>
    <cellStyle name="常规 2 20 2" xfId="33473"/>
    <cellStyle name="常规 2 20 2 2" xfId="33474"/>
    <cellStyle name="常规 2 20 2 3" xfId="33475"/>
    <cellStyle name="常规 2 20 3" xfId="33476"/>
    <cellStyle name="常规 2 20 3 2" xfId="33477"/>
    <cellStyle name="常规 2 20 4" xfId="33478"/>
    <cellStyle name="常规 2 20 5" xfId="33479"/>
    <cellStyle name="常规 2 21" xfId="33480"/>
    <cellStyle name="常规 2 21 2" xfId="33481"/>
    <cellStyle name="常规 2 21 2 2" xfId="33482"/>
    <cellStyle name="常规 2 21 3" xfId="33483"/>
    <cellStyle name="常规 2 22" xfId="33484"/>
    <cellStyle name="常规 2 22 2" xfId="33485"/>
    <cellStyle name="常规 2 22 3" xfId="33486"/>
    <cellStyle name="常规 2 23" xfId="33487"/>
    <cellStyle name="常规 2 23 2" xfId="33488"/>
    <cellStyle name="常规 2 24" xfId="33489"/>
    <cellStyle name="常规 2 25" xfId="33490"/>
    <cellStyle name="常规 2 26" xfId="33491"/>
    <cellStyle name="常规 2 27" xfId="33492"/>
    <cellStyle name="常规 2 28" xfId="33493"/>
    <cellStyle name="常规 2 3" xfId="33494"/>
    <cellStyle name="常规 2 3 2" xfId="33495"/>
    <cellStyle name="常规 2 3 2 2" xfId="33496"/>
    <cellStyle name="常规 2 3 2 2 2" xfId="33497"/>
    <cellStyle name="常规 2 3 2 2 2 2" xfId="33498"/>
    <cellStyle name="常规 2 3 2 2 2 3" xfId="33499"/>
    <cellStyle name="常规 2 3 2 2 2 4" xfId="33500"/>
    <cellStyle name="常规 2 3 2 2 2 4 2" xfId="33501"/>
    <cellStyle name="常规 2 3 2 2 2 5" xfId="33502"/>
    <cellStyle name="常规 2 3 2 2 2 5 2" xfId="33503"/>
    <cellStyle name="常规 2 3 2 2 3" xfId="33504"/>
    <cellStyle name="常规 2 3 2 2 4" xfId="33505"/>
    <cellStyle name="常规 2 3 2 2 5" xfId="33506"/>
    <cellStyle name="常规 2 3 2 2 6" xfId="33507"/>
    <cellStyle name="常规 2 3 2 2 6 2" xfId="33508"/>
    <cellStyle name="常规 2 3 2 2 7" xfId="33509"/>
    <cellStyle name="常规 2 3 2 2 7 2" xfId="33510"/>
    <cellStyle name="常规 2 3 2 3" xfId="33511"/>
    <cellStyle name="常规 2 3 2 3 2" xfId="33512"/>
    <cellStyle name="常规 2 3 2 3 2 2" xfId="33513"/>
    <cellStyle name="常规 2 3 2 3 2 3" xfId="33514"/>
    <cellStyle name="常规 2 3 2 3 2 4" xfId="33515"/>
    <cellStyle name="常规 2 3 2 3 2 4 2" xfId="33516"/>
    <cellStyle name="常规 2 3 2 3 2 5" xfId="33517"/>
    <cellStyle name="常规 2 3 2 3 2 5 2" xfId="33518"/>
    <cellStyle name="常规 2 3 2 3 3" xfId="33519"/>
    <cellStyle name="常规 2 3 2 3 4" xfId="33520"/>
    <cellStyle name="常规 2 3 2 3 5" xfId="33521"/>
    <cellStyle name="常规 2 3 2 3 6" xfId="33522"/>
    <cellStyle name="常规 2 3 2 3 6 2" xfId="33523"/>
    <cellStyle name="常规 2 3 2 3 7" xfId="33524"/>
    <cellStyle name="常规 2 3 2 3 7 2" xfId="33525"/>
    <cellStyle name="常规 2 3 2 4" xfId="33526"/>
    <cellStyle name="常规 2 3 2 4 2" xfId="33527"/>
    <cellStyle name="常规 2 3 2 5" xfId="33528"/>
    <cellStyle name="常规 2 3 2 6" xfId="33529"/>
    <cellStyle name="常规 2 3 2 7" xfId="33530"/>
    <cellStyle name="常规 2 3 3" xfId="33531"/>
    <cellStyle name="常规 2 3 3 2" xfId="33532"/>
    <cellStyle name="常规 2 3 3 2 2" xfId="33533"/>
    <cellStyle name="常规 2 3 3 3" xfId="33534"/>
    <cellStyle name="常规 2 3 3 4" xfId="33535"/>
    <cellStyle name="常规 2 3 3 5" xfId="33536"/>
    <cellStyle name="常规 2 3 4" xfId="33537"/>
    <cellStyle name="常规 2 3 4 2" xfId="33538"/>
    <cellStyle name="常规 2 3 4 2 2" xfId="33539"/>
    <cellStyle name="常规 2 3 4 3" xfId="33540"/>
    <cellStyle name="常规 2 3 4 4" xfId="33541"/>
    <cellStyle name="常规 2 3 4 5" xfId="33542"/>
    <cellStyle name="常规 2 3 5" xfId="33543"/>
    <cellStyle name="常规 2 3 5 2" xfId="33544"/>
    <cellStyle name="常规 2 3 5 3" xfId="33545"/>
    <cellStyle name="常规 2 3 5 3 2" xfId="33546"/>
    <cellStyle name="常规 2 3 5 3 2 2" xfId="33547"/>
    <cellStyle name="常规 2 3 5 4" xfId="33548"/>
    <cellStyle name="常规 2 3 5 4 2" xfId="33549"/>
    <cellStyle name="常规 2 3 6" xfId="33550"/>
    <cellStyle name="常规 2 3 7" xfId="33551"/>
    <cellStyle name="常规 2 3 8" xfId="33552"/>
    <cellStyle name="常规 2 3 8 2" xfId="33553"/>
    <cellStyle name="常规 2 3 8 3" xfId="33554"/>
    <cellStyle name="常规 2 3 9" xfId="33555"/>
    <cellStyle name="常规 2 4" xfId="33556"/>
    <cellStyle name="常规 2 4 10" xfId="33557"/>
    <cellStyle name="常规 2 4 10 2" xfId="33558"/>
    <cellStyle name="常规 2 4 10 3" xfId="33559"/>
    <cellStyle name="常规 2 4 10 4" xfId="33560"/>
    <cellStyle name="常规 2 4 11" xfId="33561"/>
    <cellStyle name="常规 2 4 12" xfId="33562"/>
    <cellStyle name="常规 2 4 13" xfId="33563"/>
    <cellStyle name="常规 2 4 14" xfId="33564"/>
    <cellStyle name="常规 2 4 14 2" xfId="33565"/>
    <cellStyle name="常规 2 4 15" xfId="33566"/>
    <cellStyle name="常规 2 4 2" xfId="33567"/>
    <cellStyle name="常规 2 4 2 10" xfId="33568"/>
    <cellStyle name="常规 2 4 2 2" xfId="33569"/>
    <cellStyle name="常规 2 4 2 2 2" xfId="33570"/>
    <cellStyle name="常规 2 4 2 2 2 2" xfId="33571"/>
    <cellStyle name="常规 2 4 2 2 2 2 2" xfId="33572"/>
    <cellStyle name="常规 2 4 2 2 2 2 2 2" xfId="33573"/>
    <cellStyle name="常规 2 4 2 2 2 2 2 3" xfId="33574"/>
    <cellStyle name="常规 2 4 2 2 2 2 2 4" xfId="33575"/>
    <cellStyle name="常规 2 4 2 2 2 2 3" xfId="33576"/>
    <cellStyle name="常规 2 4 2 2 2 2 4" xfId="33577"/>
    <cellStyle name="常规 2 4 2 2 2 2 5" xfId="33578"/>
    <cellStyle name="常规 2 4 2 2 2 3" xfId="33579"/>
    <cellStyle name="常规 2 4 2 2 2 3 2" xfId="33580"/>
    <cellStyle name="常规 2 4 2 2 2 3 2 2" xfId="33581"/>
    <cellStyle name="常规 2 4 2 2 2 3 2 3" xfId="33582"/>
    <cellStyle name="常规 2 4 2 2 2 3 2 4" xfId="33583"/>
    <cellStyle name="常规 2 4 2 2 2 3 3" xfId="33584"/>
    <cellStyle name="常规 2 4 2 2 2 3 4" xfId="33585"/>
    <cellStyle name="常规 2 4 2 2 2 3 5" xfId="33586"/>
    <cellStyle name="常规 2 4 2 2 2 4" xfId="33587"/>
    <cellStyle name="常规 2 4 2 2 2 4 2" xfId="33588"/>
    <cellStyle name="常规 2 4 2 2 2 4 3" xfId="33589"/>
    <cellStyle name="常规 2 4 2 2 2 4 4" xfId="33590"/>
    <cellStyle name="常规 2 4 2 2 2 5" xfId="33591"/>
    <cellStyle name="常规 2 4 2 2 2 6" xfId="33592"/>
    <cellStyle name="常规 2 4 2 2 2 7" xfId="33593"/>
    <cellStyle name="常规 2 4 2 2 2 8" xfId="33594"/>
    <cellStyle name="常规 2 4 2 2 2 8 2" xfId="33595"/>
    <cellStyle name="常规 2 4 2 2 3" xfId="33596"/>
    <cellStyle name="常规 2 4 2 2 3 2" xfId="33597"/>
    <cellStyle name="常规 2 4 2 2 3 2 2" xfId="33598"/>
    <cellStyle name="常规 2 4 2 2 3 2 3" xfId="33599"/>
    <cellStyle name="常规 2 4 2 2 3 2 4" xfId="33600"/>
    <cellStyle name="常规 2 4 2 2 3 3" xfId="33601"/>
    <cellStyle name="常规 2 4 2 2 3 4" xfId="33602"/>
    <cellStyle name="常规 2 4 2 2 3 5" xfId="33603"/>
    <cellStyle name="常规 2 4 2 2 4" xfId="33604"/>
    <cellStyle name="常规 2 4 2 2 4 2" xfId="33605"/>
    <cellStyle name="常规 2 4 2 2 4 2 2" xfId="33606"/>
    <cellStyle name="常规 2 4 2 2 4 2 3" xfId="33607"/>
    <cellStyle name="常规 2 4 2 2 4 2 4" xfId="33608"/>
    <cellStyle name="常规 2 4 2 2 4 3" xfId="33609"/>
    <cellStyle name="常规 2 4 2 2 4 4" xfId="33610"/>
    <cellStyle name="常规 2 4 2 2 4 5" xfId="33611"/>
    <cellStyle name="常规 2 4 2 2 5" xfId="33612"/>
    <cellStyle name="常规 2 4 2 2 5 2" xfId="33613"/>
    <cellStyle name="常规 2 4 2 2 5 3" xfId="33614"/>
    <cellStyle name="常规 2 4 2 2 5 4" xfId="33615"/>
    <cellStyle name="常规 2 4 2 2 6" xfId="33616"/>
    <cellStyle name="常规 2 4 2 2 7" xfId="33617"/>
    <cellStyle name="常规 2 4 2 2 8" xfId="33618"/>
    <cellStyle name="常规 2 4 2 2 9" xfId="33619"/>
    <cellStyle name="常规 2 4 2 2 9 2" xfId="33620"/>
    <cellStyle name="常规 2 4 2 3" xfId="33621"/>
    <cellStyle name="常规 2 4 2 3 2" xfId="33622"/>
    <cellStyle name="常规 2 4 2 3 2 2" xfId="33623"/>
    <cellStyle name="常规 2 4 2 3 2 3" xfId="33624"/>
    <cellStyle name="常规 2 4 2 3 2 4" xfId="33625"/>
    <cellStyle name="常规 2 4 2 3 3" xfId="33626"/>
    <cellStyle name="常规 2 4 2 3 4" xfId="33627"/>
    <cellStyle name="常规 2 4 2 3 5" xfId="33628"/>
    <cellStyle name="常规 2 4 2 3 6" xfId="33629"/>
    <cellStyle name="常规 2 4 2 3 6 2" xfId="33630"/>
    <cellStyle name="常规 2 4 2 4" xfId="33631"/>
    <cellStyle name="常规 2 4 2 4 2" xfId="33632"/>
    <cellStyle name="常规 2 4 2 4 2 2" xfId="33633"/>
    <cellStyle name="常规 2 4 2 4 2 3" xfId="33634"/>
    <cellStyle name="常规 2 4 2 4 2 4" xfId="33635"/>
    <cellStyle name="常规 2 4 2 4 3" xfId="33636"/>
    <cellStyle name="常规 2 4 2 4 4" xfId="33637"/>
    <cellStyle name="常规 2 4 2 4 5" xfId="33638"/>
    <cellStyle name="常规 2 4 2 4 6" xfId="33639"/>
    <cellStyle name="常规 2 4 2 4 6 2" xfId="33640"/>
    <cellStyle name="常规 2 4 2 5" xfId="33641"/>
    <cellStyle name="常规 2 4 2 5 2" xfId="33642"/>
    <cellStyle name="常规 2 4 2 5 3" xfId="33643"/>
    <cellStyle name="常规 2 4 2 5 4" xfId="33644"/>
    <cellStyle name="常规 2 4 2 6" xfId="33645"/>
    <cellStyle name="常规 2 4 2 7" xfId="33646"/>
    <cellStyle name="常规 2 4 2 8" xfId="33647"/>
    <cellStyle name="常规 2 4 2 9" xfId="33648"/>
    <cellStyle name="常规 2 4 2 9 2" xfId="33649"/>
    <cellStyle name="常规 2 4 3" xfId="33650"/>
    <cellStyle name="常规 2 4 3 10" xfId="33651"/>
    <cellStyle name="常规 2 4 3 2" xfId="33652"/>
    <cellStyle name="常规 2 4 3 2 2" xfId="33653"/>
    <cellStyle name="常规 2 4 3 2 2 2" xfId="33654"/>
    <cellStyle name="常规 2 4 3 2 2 2 2" xfId="33655"/>
    <cellStyle name="常规 2 4 3 2 2 2 2 2" xfId="33656"/>
    <cellStyle name="常规 2 4 3 2 2 2 2 3" xfId="33657"/>
    <cellStyle name="常规 2 4 3 2 2 2 2 4" xfId="33658"/>
    <cellStyle name="常规 2 4 3 2 2 2 3" xfId="33659"/>
    <cellStyle name="常规 2 4 3 2 2 2 4" xfId="33660"/>
    <cellStyle name="常规 2 4 3 2 2 2 5" xfId="33661"/>
    <cellStyle name="常规 2 4 3 2 2 3" xfId="33662"/>
    <cellStyle name="常规 2 4 3 2 2 3 2" xfId="33663"/>
    <cellStyle name="常规 2 4 3 2 2 3 2 2" xfId="33664"/>
    <cellStyle name="常规 2 4 3 2 2 3 2 3" xfId="33665"/>
    <cellStyle name="常规 2 4 3 2 2 3 2 4" xfId="33666"/>
    <cellStyle name="常规 2 4 3 2 2 3 3" xfId="33667"/>
    <cellStyle name="常规 2 4 3 2 2 3 4" xfId="33668"/>
    <cellStyle name="常规 2 4 3 2 2 3 5" xfId="33669"/>
    <cellStyle name="常规 2 4 3 2 2 4" xfId="33670"/>
    <cellStyle name="常规 2 4 3 2 2 4 2" xfId="33671"/>
    <cellStyle name="常规 2 4 3 2 2 4 3" xfId="33672"/>
    <cellStyle name="常规 2 4 3 2 2 4 4" xfId="33673"/>
    <cellStyle name="常规 2 4 3 2 2 5" xfId="33674"/>
    <cellStyle name="常规 2 4 3 2 2 6" xfId="33675"/>
    <cellStyle name="常规 2 4 3 2 2 7" xfId="33676"/>
    <cellStyle name="常规 2 4 3 2 2 8" xfId="33677"/>
    <cellStyle name="常规 2 4 3 2 2 8 2" xfId="33678"/>
    <cellStyle name="常规 2 4 3 2 3" xfId="33679"/>
    <cellStyle name="常规 2 4 3 2 3 2" xfId="33680"/>
    <cellStyle name="常规 2 4 3 2 3 2 2" xfId="33681"/>
    <cellStyle name="常规 2 4 3 2 3 2 3" xfId="33682"/>
    <cellStyle name="常规 2 4 3 2 3 2 4" xfId="33683"/>
    <cellStyle name="常规 2 4 3 2 3 3" xfId="33684"/>
    <cellStyle name="常规 2 4 3 2 3 4" xfId="33685"/>
    <cellStyle name="常规 2 4 3 2 3 5" xfId="33686"/>
    <cellStyle name="常规 2 4 3 2 4" xfId="33687"/>
    <cellStyle name="常规 2 4 3 2 4 2" xfId="33688"/>
    <cellStyle name="常规 2 4 3 2 4 2 2" xfId="33689"/>
    <cellStyle name="常规 2 4 3 2 4 2 3" xfId="33690"/>
    <cellStyle name="常规 2 4 3 2 4 2 4" xfId="33691"/>
    <cellStyle name="常规 2 4 3 2 4 3" xfId="33692"/>
    <cellStyle name="常规 2 4 3 2 4 4" xfId="33693"/>
    <cellStyle name="常规 2 4 3 2 4 5" xfId="33694"/>
    <cellStyle name="常规 2 4 3 2 5" xfId="33695"/>
    <cellStyle name="常规 2 4 3 2 5 2" xfId="33696"/>
    <cellStyle name="常规 2 4 3 2 5 3" xfId="33697"/>
    <cellStyle name="常规 2 4 3 2 5 4" xfId="33698"/>
    <cellStyle name="常规 2 4 3 2 6" xfId="33699"/>
    <cellStyle name="常规 2 4 3 2 7" xfId="33700"/>
    <cellStyle name="常规 2 4 3 2 8" xfId="33701"/>
    <cellStyle name="常规 2 4 3 2 9" xfId="33702"/>
    <cellStyle name="常规 2 4 3 2 9 2" xfId="33703"/>
    <cellStyle name="常规 2 4 3 3" xfId="33704"/>
    <cellStyle name="常规 2 4 3 3 2" xfId="33705"/>
    <cellStyle name="常规 2 4 3 3 2 2" xfId="33706"/>
    <cellStyle name="常规 2 4 3 3 2 3" xfId="33707"/>
    <cellStyle name="常规 2 4 3 3 2 4" xfId="33708"/>
    <cellStyle name="常规 2 4 3 3 3" xfId="33709"/>
    <cellStyle name="常规 2 4 3 3 4" xfId="33710"/>
    <cellStyle name="常规 2 4 3 3 5" xfId="33711"/>
    <cellStyle name="常规 2 4 3 3 6" xfId="33712"/>
    <cellStyle name="常规 2 4 3 3 6 2" xfId="33713"/>
    <cellStyle name="常规 2 4 3 4" xfId="33714"/>
    <cellStyle name="常规 2 4 3 4 2" xfId="33715"/>
    <cellStyle name="常规 2 4 3 4 2 2" xfId="33716"/>
    <cellStyle name="常规 2 4 3 4 2 3" xfId="33717"/>
    <cellStyle name="常规 2 4 3 4 2 4" xfId="33718"/>
    <cellStyle name="常规 2 4 3 4 3" xfId="33719"/>
    <cellStyle name="常规 2 4 3 4 4" xfId="33720"/>
    <cellStyle name="常规 2 4 3 4 5" xfId="33721"/>
    <cellStyle name="常规 2 4 3 4 6" xfId="33722"/>
    <cellStyle name="常规 2 4 3 4 6 2" xfId="33723"/>
    <cellStyle name="常规 2 4 3 5" xfId="33724"/>
    <cellStyle name="常规 2 4 3 5 2" xfId="33725"/>
    <cellStyle name="常规 2 4 3 5 3" xfId="33726"/>
    <cellStyle name="常规 2 4 3 5 4" xfId="33727"/>
    <cellStyle name="常规 2 4 3 6" xfId="33728"/>
    <cellStyle name="常规 2 4 3 7" xfId="33729"/>
    <cellStyle name="常规 2 4 3 8" xfId="33730"/>
    <cellStyle name="常规 2 4 3 9" xfId="33731"/>
    <cellStyle name="常规 2 4 3 9 2" xfId="33732"/>
    <cellStyle name="常规 2 4 4" xfId="33733"/>
    <cellStyle name="常规 2 4 4 10" xfId="33734"/>
    <cellStyle name="常规 2 4 4 2" xfId="33735"/>
    <cellStyle name="常规 2 4 4 2 2" xfId="33736"/>
    <cellStyle name="常规 2 4 4 2 2 2" xfId="33737"/>
    <cellStyle name="常规 2 4 4 2 2 2 2" xfId="33738"/>
    <cellStyle name="常规 2 4 4 2 2 2 2 2" xfId="33739"/>
    <cellStyle name="常规 2 4 4 2 2 2 2 3" xfId="33740"/>
    <cellStyle name="常规 2 4 4 2 2 2 2 4" xfId="33741"/>
    <cellStyle name="常规 2 4 4 2 2 2 3" xfId="33742"/>
    <cellStyle name="常规 2 4 4 2 2 2 4" xfId="33743"/>
    <cellStyle name="常规 2 4 4 2 2 2 5" xfId="33744"/>
    <cellStyle name="常规 2 4 4 2 2 3" xfId="33745"/>
    <cellStyle name="常规 2 4 4 2 2 3 2" xfId="33746"/>
    <cellStyle name="常规 2 4 4 2 2 3 2 2" xfId="33747"/>
    <cellStyle name="常规 2 4 4 2 2 3 2 3" xfId="33748"/>
    <cellStyle name="常规 2 4 4 2 2 3 2 4" xfId="33749"/>
    <cellStyle name="常规 2 4 4 2 2 3 3" xfId="33750"/>
    <cellStyle name="常规 2 4 4 2 2 3 4" xfId="33751"/>
    <cellStyle name="常规 2 4 4 2 2 3 5" xfId="33752"/>
    <cellStyle name="常规 2 4 4 2 2 4" xfId="33753"/>
    <cellStyle name="常规 2 4 4 2 2 4 2" xfId="33754"/>
    <cellStyle name="常规 2 4 4 2 2 4 3" xfId="33755"/>
    <cellStyle name="常规 2 4 4 2 2 4 4" xfId="33756"/>
    <cellStyle name="常规 2 4 4 2 2 5" xfId="33757"/>
    <cellStyle name="常规 2 4 4 2 2 6" xfId="33758"/>
    <cellStyle name="常规 2 4 4 2 2 7" xfId="33759"/>
    <cellStyle name="常规 2 4 4 2 3" xfId="33760"/>
    <cellStyle name="常规 2 4 4 2 3 2" xfId="33761"/>
    <cellStyle name="常规 2 4 4 2 3 2 2" xfId="33762"/>
    <cellStyle name="常规 2 4 4 2 3 2 3" xfId="33763"/>
    <cellStyle name="常规 2 4 4 2 3 2 4" xfId="33764"/>
    <cellStyle name="常规 2 4 4 2 3 3" xfId="33765"/>
    <cellStyle name="常规 2 4 4 2 3 4" xfId="33766"/>
    <cellStyle name="常规 2 4 4 2 3 5" xfId="33767"/>
    <cellStyle name="常规 2 4 4 2 4" xfId="33768"/>
    <cellStyle name="常规 2 4 4 2 4 2" xfId="33769"/>
    <cellStyle name="常规 2 4 4 2 4 2 2" xfId="33770"/>
    <cellStyle name="常规 2 4 4 2 4 2 3" xfId="33771"/>
    <cellStyle name="常规 2 4 4 2 4 2 4" xfId="33772"/>
    <cellStyle name="常规 2 4 4 2 4 3" xfId="33773"/>
    <cellStyle name="常规 2 4 4 2 4 4" xfId="33774"/>
    <cellStyle name="常规 2 4 4 2 4 5" xfId="33775"/>
    <cellStyle name="常规 2 4 4 2 5" xfId="33776"/>
    <cellStyle name="常规 2 4 4 2 5 2" xfId="33777"/>
    <cellStyle name="常规 2 4 4 2 5 3" xfId="33778"/>
    <cellStyle name="常规 2 4 4 2 5 4" xfId="33779"/>
    <cellStyle name="常规 2 4 4 2 6" xfId="33780"/>
    <cellStyle name="常规 2 4 4 2 7" xfId="33781"/>
    <cellStyle name="常规 2 4 4 2 8" xfId="33782"/>
    <cellStyle name="常规 2 4 4 2 9" xfId="33783"/>
    <cellStyle name="常规 2 4 4 2 9 2" xfId="33784"/>
    <cellStyle name="常规 2 4 4 3" xfId="33785"/>
    <cellStyle name="常规 2 4 4 3 2" xfId="33786"/>
    <cellStyle name="常规 2 4 4 3 2 2" xfId="33787"/>
    <cellStyle name="常规 2 4 4 3 2 3" xfId="33788"/>
    <cellStyle name="常规 2 4 4 3 2 4" xfId="33789"/>
    <cellStyle name="常规 2 4 4 3 2 5" xfId="33790"/>
    <cellStyle name="常规 2 4 4 3 3" xfId="33791"/>
    <cellStyle name="常规 2 4 4 3 4" xfId="33792"/>
    <cellStyle name="常规 2 4 4 3 5" xfId="33793"/>
    <cellStyle name="常规 2 4 4 3 6" xfId="33794"/>
    <cellStyle name="常规 2 4 4 3 6 2" xfId="33795"/>
    <cellStyle name="常规 2 4 4 3 7" xfId="33796"/>
    <cellStyle name="常规 2 4 4 4" xfId="33797"/>
    <cellStyle name="常规 2 4 4 4 2" xfId="33798"/>
    <cellStyle name="常规 2 4 4 4 2 2" xfId="33799"/>
    <cellStyle name="常规 2 4 4 4 2 3" xfId="33800"/>
    <cellStyle name="常规 2 4 4 4 2 4" xfId="33801"/>
    <cellStyle name="常规 2 4 4 4 3" xfId="33802"/>
    <cellStyle name="常规 2 4 4 4 4" xfId="33803"/>
    <cellStyle name="常规 2 4 4 4 5" xfId="33804"/>
    <cellStyle name="常规 2 4 4 4 6" xfId="33805"/>
    <cellStyle name="常规 2 4 4 5" xfId="33806"/>
    <cellStyle name="常规 2 4 4 5 2" xfId="33807"/>
    <cellStyle name="常规 2 4 4 5 3" xfId="33808"/>
    <cellStyle name="常规 2 4 4 5 4" xfId="33809"/>
    <cellStyle name="常规 2 4 4 6" xfId="33810"/>
    <cellStyle name="常规 2 4 4 7" xfId="33811"/>
    <cellStyle name="常规 2 4 4 8" xfId="33812"/>
    <cellStyle name="常规 2 4 4 9" xfId="33813"/>
    <cellStyle name="常规 2 4 4 9 2" xfId="33814"/>
    <cellStyle name="常规 2 4 5" xfId="33815"/>
    <cellStyle name="常规 2 4 5 2" xfId="33816"/>
    <cellStyle name="常规 2 4 5 2 2" xfId="33817"/>
    <cellStyle name="常规 2 4 5 2 2 2" xfId="33818"/>
    <cellStyle name="常规 2 4 5 2 2 2 2" xfId="33819"/>
    <cellStyle name="常规 2 4 5 2 2 2 2 2" xfId="33820"/>
    <cellStyle name="常规 2 4 5 2 2 2 2 3" xfId="33821"/>
    <cellStyle name="常规 2 4 5 2 2 2 2 4" xfId="33822"/>
    <cellStyle name="常规 2 4 5 2 2 2 3" xfId="33823"/>
    <cellStyle name="常规 2 4 5 2 2 2 4" xfId="33824"/>
    <cellStyle name="常规 2 4 5 2 2 2 5" xfId="33825"/>
    <cellStyle name="常规 2 4 5 2 2 3" xfId="33826"/>
    <cellStyle name="常规 2 4 5 2 2 3 2" xfId="33827"/>
    <cellStyle name="常规 2 4 5 2 2 3 2 2" xfId="33828"/>
    <cellStyle name="常规 2 4 5 2 2 3 2 3" xfId="33829"/>
    <cellStyle name="常规 2 4 5 2 2 3 2 4" xfId="33830"/>
    <cellStyle name="常规 2 4 5 2 2 3 3" xfId="33831"/>
    <cellStyle name="常规 2 4 5 2 2 3 4" xfId="33832"/>
    <cellStyle name="常规 2 4 5 2 2 3 5" xfId="33833"/>
    <cellStyle name="常规 2 4 5 2 2 4" xfId="33834"/>
    <cellStyle name="常规 2 4 5 2 2 4 2" xfId="33835"/>
    <cellStyle name="常规 2 4 5 2 2 4 3" xfId="33836"/>
    <cellStyle name="常规 2 4 5 2 2 4 4" xfId="33837"/>
    <cellStyle name="常规 2 4 5 2 2 5" xfId="33838"/>
    <cellStyle name="常规 2 4 5 2 2 6" xfId="33839"/>
    <cellStyle name="常规 2 4 5 2 2 7" xfId="33840"/>
    <cellStyle name="常规 2 4 5 2 3" xfId="33841"/>
    <cellStyle name="常规 2 4 5 2 3 2" xfId="33842"/>
    <cellStyle name="常规 2 4 5 2 3 2 2" xfId="33843"/>
    <cellStyle name="常规 2 4 5 2 3 2 3" xfId="33844"/>
    <cellStyle name="常规 2 4 5 2 3 2 4" xfId="33845"/>
    <cellStyle name="常规 2 4 5 2 3 3" xfId="33846"/>
    <cellStyle name="常规 2 4 5 2 3 4" xfId="33847"/>
    <cellStyle name="常规 2 4 5 2 3 5" xfId="33848"/>
    <cellStyle name="常规 2 4 5 2 4" xfId="33849"/>
    <cellStyle name="常规 2 4 5 2 4 2" xfId="33850"/>
    <cellStyle name="常规 2 4 5 2 4 2 2" xfId="33851"/>
    <cellStyle name="常规 2 4 5 2 4 2 3" xfId="33852"/>
    <cellStyle name="常规 2 4 5 2 4 2 4" xfId="33853"/>
    <cellStyle name="常规 2 4 5 2 4 3" xfId="33854"/>
    <cellStyle name="常规 2 4 5 2 4 4" xfId="33855"/>
    <cellStyle name="常规 2 4 5 2 4 5" xfId="33856"/>
    <cellStyle name="常规 2 4 5 2 5" xfId="33857"/>
    <cellStyle name="常规 2 4 5 2 5 2" xfId="33858"/>
    <cellStyle name="常规 2 4 5 2 5 3" xfId="33859"/>
    <cellStyle name="常规 2 4 5 2 5 4" xfId="33860"/>
    <cellStyle name="常规 2 4 5 2 6" xfId="33861"/>
    <cellStyle name="常规 2 4 5 2 7" xfId="33862"/>
    <cellStyle name="常规 2 4 5 2 8" xfId="33863"/>
    <cellStyle name="常规 2 4 5 3" xfId="33864"/>
    <cellStyle name="常规 2 4 5 3 2" xfId="33865"/>
    <cellStyle name="常规 2 4 5 3 2 2" xfId="33866"/>
    <cellStyle name="常规 2 4 5 3 2 3" xfId="33867"/>
    <cellStyle name="常规 2 4 5 3 2 4" xfId="33868"/>
    <cellStyle name="常规 2 4 5 3 3" xfId="33869"/>
    <cellStyle name="常规 2 4 5 3 4" xfId="33870"/>
    <cellStyle name="常规 2 4 5 3 5" xfId="33871"/>
    <cellStyle name="常规 2 4 5 4" xfId="33872"/>
    <cellStyle name="常规 2 4 5 4 2" xfId="33873"/>
    <cellStyle name="常规 2 4 5 4 2 2" xfId="33874"/>
    <cellStyle name="常规 2 4 5 4 2 3" xfId="33875"/>
    <cellStyle name="常规 2 4 5 4 2 4" xfId="33876"/>
    <cellStyle name="常规 2 4 5 4 3" xfId="33877"/>
    <cellStyle name="常规 2 4 5 4 4" xfId="33878"/>
    <cellStyle name="常规 2 4 5 4 5" xfId="33879"/>
    <cellStyle name="常规 2 4 5 5" xfId="33880"/>
    <cellStyle name="常规 2 4 5 5 2" xfId="33881"/>
    <cellStyle name="常规 2 4 5 5 3" xfId="33882"/>
    <cellStyle name="常规 2 4 5 5 4" xfId="33883"/>
    <cellStyle name="常规 2 4 5 6" xfId="33884"/>
    <cellStyle name="常规 2 4 5 7" xfId="33885"/>
    <cellStyle name="常规 2 4 5 8" xfId="33886"/>
    <cellStyle name="常规 2 4 5 9" xfId="33887"/>
    <cellStyle name="常规 2 4 5 9 2" xfId="33888"/>
    <cellStyle name="常规 2 4 6" xfId="33889"/>
    <cellStyle name="常规 2 4 6 2" xfId="33890"/>
    <cellStyle name="常规 2 4 6 2 2" xfId="33891"/>
    <cellStyle name="常规 2 4 6 2 2 2" xfId="33892"/>
    <cellStyle name="常规 2 4 6 2 2 2 2" xfId="33893"/>
    <cellStyle name="常规 2 4 6 2 2 2 2 2" xfId="33894"/>
    <cellStyle name="常规 2 4 6 2 2 2 2 3" xfId="33895"/>
    <cellStyle name="常规 2 4 6 2 2 2 2 4" xfId="33896"/>
    <cellStyle name="常规 2 4 6 2 2 2 3" xfId="33897"/>
    <cellStyle name="常规 2 4 6 2 2 2 4" xfId="33898"/>
    <cellStyle name="常规 2 4 6 2 2 2 5" xfId="33899"/>
    <cellStyle name="常规 2 4 6 2 2 3" xfId="33900"/>
    <cellStyle name="常规 2 4 6 2 2 3 2" xfId="33901"/>
    <cellStyle name="常规 2 4 6 2 2 3 2 2" xfId="33902"/>
    <cellStyle name="常规 2 4 6 2 2 3 2 3" xfId="33903"/>
    <cellStyle name="常规 2 4 6 2 2 3 2 4" xfId="33904"/>
    <cellStyle name="常规 2 4 6 2 2 3 3" xfId="33905"/>
    <cellStyle name="常规 2 4 6 2 2 3 4" xfId="33906"/>
    <cellStyle name="常规 2 4 6 2 2 3 5" xfId="33907"/>
    <cellStyle name="常规 2 4 6 2 2 4" xfId="33908"/>
    <cellStyle name="常规 2 4 6 2 2 4 2" xfId="33909"/>
    <cellStyle name="常规 2 4 6 2 2 4 3" xfId="33910"/>
    <cellStyle name="常规 2 4 6 2 2 4 4" xfId="33911"/>
    <cellStyle name="常规 2 4 6 2 2 5" xfId="33912"/>
    <cellStyle name="常规 2 4 6 2 2 6" xfId="33913"/>
    <cellStyle name="常规 2 4 6 2 2 7" xfId="33914"/>
    <cellStyle name="常规 2 4 6 2 3" xfId="33915"/>
    <cellStyle name="常规 2 4 6 2 3 2" xfId="33916"/>
    <cellStyle name="常规 2 4 6 2 3 2 2" xfId="33917"/>
    <cellStyle name="常规 2 4 6 2 3 2 3" xfId="33918"/>
    <cellStyle name="常规 2 4 6 2 3 2 4" xfId="33919"/>
    <cellStyle name="常规 2 4 6 2 3 3" xfId="33920"/>
    <cellStyle name="常规 2 4 6 2 3 4" xfId="33921"/>
    <cellStyle name="常规 2 4 6 2 3 5" xfId="33922"/>
    <cellStyle name="常规 2 4 6 2 4" xfId="33923"/>
    <cellStyle name="常规 2 4 6 2 4 2" xfId="33924"/>
    <cellStyle name="常规 2 4 6 2 4 2 2" xfId="33925"/>
    <cellStyle name="常规 2 4 6 2 4 2 3" xfId="33926"/>
    <cellStyle name="常规 2 4 6 2 4 2 4" xfId="33927"/>
    <cellStyle name="常规 2 4 6 2 4 3" xfId="33928"/>
    <cellStyle name="常规 2 4 6 2 4 4" xfId="33929"/>
    <cellStyle name="常规 2 4 6 2 4 5" xfId="33930"/>
    <cellStyle name="常规 2 4 6 2 5" xfId="33931"/>
    <cellStyle name="常规 2 4 6 2 5 2" xfId="33932"/>
    <cellStyle name="常规 2 4 6 2 5 3" xfId="33933"/>
    <cellStyle name="常规 2 4 6 2 5 4" xfId="33934"/>
    <cellStyle name="常规 2 4 6 2 6" xfId="33935"/>
    <cellStyle name="常规 2 4 6 2 7" xfId="33936"/>
    <cellStyle name="常规 2 4 6 2 8" xfId="33937"/>
    <cellStyle name="常规 2 4 6 3" xfId="33938"/>
    <cellStyle name="常规 2 4 6 3 2" xfId="33939"/>
    <cellStyle name="常规 2 4 6 3 2 2" xfId="33940"/>
    <cellStyle name="常规 2 4 6 3 2 3" xfId="33941"/>
    <cellStyle name="常规 2 4 6 3 2 4" xfId="33942"/>
    <cellStyle name="常规 2 4 6 3 3" xfId="33943"/>
    <cellStyle name="常规 2 4 6 3 4" xfId="33944"/>
    <cellStyle name="常规 2 4 6 3 5" xfId="33945"/>
    <cellStyle name="常规 2 4 6 4" xfId="33946"/>
    <cellStyle name="常规 2 4 6 4 2" xfId="33947"/>
    <cellStyle name="常规 2 4 6 4 2 2" xfId="33948"/>
    <cellStyle name="常规 2 4 6 4 2 3" xfId="33949"/>
    <cellStyle name="常规 2 4 6 4 2 4" xfId="33950"/>
    <cellStyle name="常规 2 4 6 4 3" xfId="33951"/>
    <cellStyle name="常规 2 4 6 4 4" xfId="33952"/>
    <cellStyle name="常规 2 4 6 4 5" xfId="33953"/>
    <cellStyle name="常规 2 4 6 5" xfId="33954"/>
    <cellStyle name="常规 2 4 6 5 2" xfId="33955"/>
    <cellStyle name="常规 2 4 6 5 3" xfId="33956"/>
    <cellStyle name="常规 2 4 6 5 4" xfId="33957"/>
    <cellStyle name="常规 2 4 6 6" xfId="33958"/>
    <cellStyle name="常规 2 4 6 7" xfId="33959"/>
    <cellStyle name="常规 2 4 6 8" xfId="33960"/>
    <cellStyle name="常规 2 4 6 9" xfId="33961"/>
    <cellStyle name="常规 2 4 6 9 2" xfId="33962"/>
    <cellStyle name="常规 2 4 7" xfId="33963"/>
    <cellStyle name="常规 2 4 7 2" xfId="33964"/>
    <cellStyle name="常规 2 4 7 2 2" xfId="33965"/>
    <cellStyle name="常规 2 4 7 2 2 2" xfId="33966"/>
    <cellStyle name="常规 2 4 7 2 2 2 2" xfId="33967"/>
    <cellStyle name="常规 2 4 7 2 2 2 3" xfId="33968"/>
    <cellStyle name="常规 2 4 7 2 2 2 4" xfId="33969"/>
    <cellStyle name="常规 2 4 7 2 2 3" xfId="33970"/>
    <cellStyle name="常规 2 4 7 2 2 4" xfId="33971"/>
    <cellStyle name="常规 2 4 7 2 2 5" xfId="33972"/>
    <cellStyle name="常规 2 4 7 2 3" xfId="33973"/>
    <cellStyle name="常规 2 4 7 2 3 2" xfId="33974"/>
    <cellStyle name="常规 2 4 7 2 3 2 2" xfId="33975"/>
    <cellStyle name="常规 2 4 7 2 3 2 3" xfId="33976"/>
    <cellStyle name="常规 2 4 7 2 3 2 4" xfId="33977"/>
    <cellStyle name="常规 2 4 7 2 3 3" xfId="33978"/>
    <cellStyle name="常规 2 4 7 2 3 4" xfId="33979"/>
    <cellStyle name="常规 2 4 7 2 3 5" xfId="33980"/>
    <cellStyle name="常规 2 4 7 2 4" xfId="33981"/>
    <cellStyle name="常规 2 4 7 2 4 2" xfId="33982"/>
    <cellStyle name="常规 2 4 7 2 4 3" xfId="33983"/>
    <cellStyle name="常规 2 4 7 2 4 4" xfId="33984"/>
    <cellStyle name="常规 2 4 7 2 5" xfId="33985"/>
    <cellStyle name="常规 2 4 7 2 6" xfId="33986"/>
    <cellStyle name="常规 2 4 7 2 7" xfId="33987"/>
    <cellStyle name="常规 2 4 7 3" xfId="33988"/>
    <cellStyle name="常规 2 4 7 3 2" xfId="33989"/>
    <cellStyle name="常规 2 4 7 3 2 2" xfId="33990"/>
    <cellStyle name="常规 2 4 7 3 2 3" xfId="33991"/>
    <cellStyle name="常规 2 4 7 3 2 4" xfId="33992"/>
    <cellStyle name="常规 2 4 7 3 3" xfId="33993"/>
    <cellStyle name="常规 2 4 7 3 4" xfId="33994"/>
    <cellStyle name="常规 2 4 7 3 5" xfId="33995"/>
    <cellStyle name="常规 2 4 7 4" xfId="33996"/>
    <cellStyle name="常规 2 4 7 4 2" xfId="33997"/>
    <cellStyle name="常规 2 4 7 4 2 2" xfId="33998"/>
    <cellStyle name="常规 2 4 7 4 2 3" xfId="33999"/>
    <cellStyle name="常规 2 4 7 4 2 4" xfId="34000"/>
    <cellStyle name="常规 2 4 7 4 3" xfId="34001"/>
    <cellStyle name="常规 2 4 7 4 4" xfId="34002"/>
    <cellStyle name="常规 2 4 7 4 5" xfId="34003"/>
    <cellStyle name="常规 2 4 7 5" xfId="34004"/>
    <cellStyle name="常规 2 4 7 5 2" xfId="34005"/>
    <cellStyle name="常规 2 4 7 5 3" xfId="34006"/>
    <cellStyle name="常规 2 4 7 5 4" xfId="34007"/>
    <cellStyle name="常规 2 4 7 6" xfId="34008"/>
    <cellStyle name="常规 2 4 7 7" xfId="34009"/>
    <cellStyle name="常规 2 4 7 8" xfId="34010"/>
    <cellStyle name="常规 2 4 8" xfId="34011"/>
    <cellStyle name="常规 2 4 8 2" xfId="34012"/>
    <cellStyle name="常规 2 4 8 2 2" xfId="34013"/>
    <cellStyle name="常规 2 4 8 2 3" xfId="34014"/>
    <cellStyle name="常规 2 4 8 2 4" xfId="34015"/>
    <cellStyle name="常规 2 4 8 3" xfId="34016"/>
    <cellStyle name="常规 2 4 8 4" xfId="34017"/>
    <cellStyle name="常规 2 4 8 5" xfId="34018"/>
    <cellStyle name="常规 2 4 9" xfId="34019"/>
    <cellStyle name="常规 2 4 9 2" xfId="34020"/>
    <cellStyle name="常规 2 4 9 2 2" xfId="34021"/>
    <cellStyle name="常规 2 4 9 2 3" xfId="34022"/>
    <cellStyle name="常规 2 4 9 2 4" xfId="34023"/>
    <cellStyle name="常规 2 4 9 3" xfId="34024"/>
    <cellStyle name="常规 2 4 9 4" xfId="34025"/>
    <cellStyle name="常规 2 4 9 5" xfId="34026"/>
    <cellStyle name="常规 2 5" xfId="34027"/>
    <cellStyle name="常规 2 5 10" xfId="34028"/>
    <cellStyle name="常规 2 5 10 2" xfId="34029"/>
    <cellStyle name="常规 2 5 10 2 2" xfId="34030"/>
    <cellStyle name="常规 2 5 10 2 2 2" xfId="34031"/>
    <cellStyle name="常规 2 5 10 2 2 2 2" xfId="34032"/>
    <cellStyle name="常规 2 5 10 2 2 2 3" xfId="34033"/>
    <cellStyle name="常规 2 5 10 2 2 2 4" xfId="34034"/>
    <cellStyle name="常规 2 5 10 2 2 3" xfId="34035"/>
    <cellStyle name="常规 2 5 10 2 2 4" xfId="34036"/>
    <cellStyle name="常规 2 5 10 2 2 5" xfId="34037"/>
    <cellStyle name="常规 2 5 10 2 3" xfId="34038"/>
    <cellStyle name="常规 2 5 10 2 3 2" xfId="34039"/>
    <cellStyle name="常规 2 5 10 2 3 2 2" xfId="34040"/>
    <cellStyle name="常规 2 5 10 2 3 2 3" xfId="34041"/>
    <cellStyle name="常规 2 5 10 2 3 2 4" xfId="34042"/>
    <cellStyle name="常规 2 5 10 2 3 3" xfId="34043"/>
    <cellStyle name="常规 2 5 10 2 3 4" xfId="34044"/>
    <cellStyle name="常规 2 5 10 2 3 5" xfId="34045"/>
    <cellStyle name="常规 2 5 10 2 4" xfId="34046"/>
    <cellStyle name="常规 2 5 10 2 4 2" xfId="34047"/>
    <cellStyle name="常规 2 5 10 2 4 3" xfId="34048"/>
    <cellStyle name="常规 2 5 10 2 4 4" xfId="34049"/>
    <cellStyle name="常规 2 5 10 2 5" xfId="34050"/>
    <cellStyle name="常规 2 5 10 2 6" xfId="34051"/>
    <cellStyle name="常规 2 5 10 2 7" xfId="34052"/>
    <cellStyle name="常规 2 5 10 2 8" xfId="34053"/>
    <cellStyle name="常规 2 5 10 3" xfId="34054"/>
    <cellStyle name="常规 2 5 10 3 2" xfId="34055"/>
    <cellStyle name="常规 2 5 10 3 2 2" xfId="34056"/>
    <cellStyle name="常规 2 5 10 3 2 3" xfId="34057"/>
    <cellStyle name="常规 2 5 10 3 2 4" xfId="34058"/>
    <cellStyle name="常规 2 5 10 3 3" xfId="34059"/>
    <cellStyle name="常规 2 5 10 3 4" xfId="34060"/>
    <cellStyle name="常规 2 5 10 3 5" xfId="34061"/>
    <cellStyle name="常规 2 5 10 4" xfId="34062"/>
    <cellStyle name="常规 2 5 10 4 2" xfId="34063"/>
    <cellStyle name="常规 2 5 10 4 2 2" xfId="34064"/>
    <cellStyle name="常规 2 5 10 4 2 3" xfId="34065"/>
    <cellStyle name="常规 2 5 10 4 2 4" xfId="34066"/>
    <cellStyle name="常规 2 5 10 4 3" xfId="34067"/>
    <cellStyle name="常规 2 5 10 4 4" xfId="34068"/>
    <cellStyle name="常规 2 5 10 4 5" xfId="34069"/>
    <cellStyle name="常规 2 5 10 5" xfId="34070"/>
    <cellStyle name="常规 2 5 10 5 2" xfId="34071"/>
    <cellStyle name="常规 2 5 10 5 3" xfId="34072"/>
    <cellStyle name="常规 2 5 10 5 4" xfId="34073"/>
    <cellStyle name="常规 2 5 10 6" xfId="34074"/>
    <cellStyle name="常规 2 5 10 7" xfId="34075"/>
    <cellStyle name="常规 2 5 10 8" xfId="34076"/>
    <cellStyle name="常规 2 5 10 9" xfId="34077"/>
    <cellStyle name="常规 2 5 11" xfId="34078"/>
    <cellStyle name="常规 2 5 11 2" xfId="34079"/>
    <cellStyle name="常规 2 5 11 2 2" xfId="34080"/>
    <cellStyle name="常规 2 5 11 2 2 2" xfId="34081"/>
    <cellStyle name="常规 2 5 11 2 2 2 2" xfId="34082"/>
    <cellStyle name="常规 2 5 11 2 2 2 3" xfId="34083"/>
    <cellStyle name="常规 2 5 11 2 2 2 4" xfId="34084"/>
    <cellStyle name="常规 2 5 11 2 2 3" xfId="34085"/>
    <cellStyle name="常规 2 5 11 2 2 4" xfId="34086"/>
    <cellStyle name="常规 2 5 11 2 2 5" xfId="34087"/>
    <cellStyle name="常规 2 5 11 2 3" xfId="34088"/>
    <cellStyle name="常规 2 5 11 2 3 2" xfId="34089"/>
    <cellStyle name="常规 2 5 11 2 3 2 2" xfId="34090"/>
    <cellStyle name="常规 2 5 11 2 3 2 3" xfId="34091"/>
    <cellStyle name="常规 2 5 11 2 3 2 4" xfId="34092"/>
    <cellStyle name="常规 2 5 11 2 3 3" xfId="34093"/>
    <cellStyle name="常规 2 5 11 2 3 4" xfId="34094"/>
    <cellStyle name="常规 2 5 11 2 3 5" xfId="34095"/>
    <cellStyle name="常规 2 5 11 2 4" xfId="34096"/>
    <cellStyle name="常规 2 5 11 2 4 2" xfId="34097"/>
    <cellStyle name="常规 2 5 11 2 4 3" xfId="34098"/>
    <cellStyle name="常规 2 5 11 2 4 4" xfId="34099"/>
    <cellStyle name="常规 2 5 11 2 5" xfId="34100"/>
    <cellStyle name="常规 2 5 11 2 6" xfId="34101"/>
    <cellStyle name="常规 2 5 11 2 7" xfId="34102"/>
    <cellStyle name="常规 2 5 11 2 8" xfId="34103"/>
    <cellStyle name="常规 2 5 11 3" xfId="34104"/>
    <cellStyle name="常规 2 5 11 3 2" xfId="34105"/>
    <cellStyle name="常规 2 5 11 3 2 2" xfId="34106"/>
    <cellStyle name="常规 2 5 11 3 2 3" xfId="34107"/>
    <cellStyle name="常规 2 5 11 3 2 4" xfId="34108"/>
    <cellStyle name="常规 2 5 11 3 3" xfId="34109"/>
    <cellStyle name="常规 2 5 11 3 4" xfId="34110"/>
    <cellStyle name="常规 2 5 11 3 5" xfId="34111"/>
    <cellStyle name="常规 2 5 11 4" xfId="34112"/>
    <cellStyle name="常规 2 5 11 4 2" xfId="34113"/>
    <cellStyle name="常规 2 5 11 4 2 2" xfId="34114"/>
    <cellStyle name="常规 2 5 11 4 2 3" xfId="34115"/>
    <cellStyle name="常规 2 5 11 4 2 4" xfId="34116"/>
    <cellStyle name="常规 2 5 11 4 3" xfId="34117"/>
    <cellStyle name="常规 2 5 11 4 4" xfId="34118"/>
    <cellStyle name="常规 2 5 11 4 5" xfId="34119"/>
    <cellStyle name="常规 2 5 11 5" xfId="34120"/>
    <cellStyle name="常规 2 5 11 5 2" xfId="34121"/>
    <cellStyle name="常规 2 5 11 5 3" xfId="34122"/>
    <cellStyle name="常规 2 5 11 5 4" xfId="34123"/>
    <cellStyle name="常规 2 5 11 6" xfId="34124"/>
    <cellStyle name="常规 2 5 11 7" xfId="34125"/>
    <cellStyle name="常规 2 5 11 8" xfId="34126"/>
    <cellStyle name="常规 2 5 11 9" xfId="34127"/>
    <cellStyle name="常规 2 5 12" xfId="34128"/>
    <cellStyle name="常规 2 5 12 2" xfId="34129"/>
    <cellStyle name="常规 2 5 12 2 2" xfId="34130"/>
    <cellStyle name="常规 2 5 12 2 2 2" xfId="34131"/>
    <cellStyle name="常规 2 5 12 2 2 2 2" xfId="34132"/>
    <cellStyle name="常规 2 5 12 2 2 2 3" xfId="34133"/>
    <cellStyle name="常规 2 5 12 2 2 2 4" xfId="34134"/>
    <cellStyle name="常规 2 5 12 2 2 3" xfId="34135"/>
    <cellStyle name="常规 2 5 12 2 2 4" xfId="34136"/>
    <cellStyle name="常规 2 5 12 2 2 5" xfId="34137"/>
    <cellStyle name="常规 2 5 12 2 3" xfId="34138"/>
    <cellStyle name="常规 2 5 12 2 3 2" xfId="34139"/>
    <cellStyle name="常规 2 5 12 2 3 2 2" xfId="34140"/>
    <cellStyle name="常规 2 5 12 2 3 2 3" xfId="34141"/>
    <cellStyle name="常规 2 5 12 2 3 2 4" xfId="34142"/>
    <cellStyle name="常规 2 5 12 2 3 3" xfId="34143"/>
    <cellStyle name="常规 2 5 12 2 3 4" xfId="34144"/>
    <cellStyle name="常规 2 5 12 2 3 5" xfId="34145"/>
    <cellStyle name="常规 2 5 12 2 4" xfId="34146"/>
    <cellStyle name="常规 2 5 12 2 4 2" xfId="34147"/>
    <cellStyle name="常规 2 5 12 2 4 3" xfId="34148"/>
    <cellStyle name="常规 2 5 12 2 4 4" xfId="34149"/>
    <cellStyle name="常规 2 5 12 2 5" xfId="34150"/>
    <cellStyle name="常规 2 5 12 2 6" xfId="34151"/>
    <cellStyle name="常规 2 5 12 2 7" xfId="34152"/>
    <cellStyle name="常规 2 5 12 3" xfId="34153"/>
    <cellStyle name="常规 2 5 12 3 2" xfId="34154"/>
    <cellStyle name="常规 2 5 12 3 2 2" xfId="34155"/>
    <cellStyle name="常规 2 5 12 3 2 3" xfId="34156"/>
    <cellStyle name="常规 2 5 12 3 2 4" xfId="34157"/>
    <cellStyle name="常规 2 5 12 3 3" xfId="34158"/>
    <cellStyle name="常规 2 5 12 3 4" xfId="34159"/>
    <cellStyle name="常规 2 5 12 3 5" xfId="34160"/>
    <cellStyle name="常规 2 5 12 4" xfId="34161"/>
    <cellStyle name="常规 2 5 12 4 2" xfId="34162"/>
    <cellStyle name="常规 2 5 12 4 2 2" xfId="34163"/>
    <cellStyle name="常规 2 5 12 4 2 3" xfId="34164"/>
    <cellStyle name="常规 2 5 12 4 2 4" xfId="34165"/>
    <cellStyle name="常规 2 5 12 4 3" xfId="34166"/>
    <cellStyle name="常规 2 5 12 4 4" xfId="34167"/>
    <cellStyle name="常规 2 5 12 4 5" xfId="34168"/>
    <cellStyle name="常规 2 5 12 5" xfId="34169"/>
    <cellStyle name="常规 2 5 12 5 2" xfId="34170"/>
    <cellStyle name="常规 2 5 12 5 3" xfId="34171"/>
    <cellStyle name="常规 2 5 12 5 4" xfId="34172"/>
    <cellStyle name="常规 2 5 12 6" xfId="34173"/>
    <cellStyle name="常规 2 5 12 7" xfId="34174"/>
    <cellStyle name="常规 2 5 12 8" xfId="34175"/>
    <cellStyle name="常规 2 5 13" xfId="34176"/>
    <cellStyle name="常规 2 5 13 2" xfId="34177"/>
    <cellStyle name="常规 2 5 13 2 2" xfId="34178"/>
    <cellStyle name="常规 2 5 13 2 2 2" xfId="34179"/>
    <cellStyle name="常规 2 5 13 2 2 2 2" xfId="34180"/>
    <cellStyle name="常规 2 5 13 2 2 2 3" xfId="34181"/>
    <cellStyle name="常规 2 5 13 2 2 2 4" xfId="34182"/>
    <cellStyle name="常规 2 5 13 2 2 3" xfId="34183"/>
    <cellStyle name="常规 2 5 13 2 2 4" xfId="34184"/>
    <cellStyle name="常规 2 5 13 2 2 5" xfId="34185"/>
    <cellStyle name="常规 2 5 13 2 3" xfId="34186"/>
    <cellStyle name="常规 2 5 13 2 3 2" xfId="34187"/>
    <cellStyle name="常规 2 5 13 2 3 2 2" xfId="34188"/>
    <cellStyle name="常规 2 5 13 2 3 2 3" xfId="34189"/>
    <cellStyle name="常规 2 5 13 2 3 2 4" xfId="34190"/>
    <cellStyle name="常规 2 5 13 2 3 3" xfId="34191"/>
    <cellStyle name="常规 2 5 13 2 3 4" xfId="34192"/>
    <cellStyle name="常规 2 5 13 2 3 5" xfId="34193"/>
    <cellStyle name="常规 2 5 13 2 4" xfId="34194"/>
    <cellStyle name="常规 2 5 13 2 4 2" xfId="34195"/>
    <cellStyle name="常规 2 5 13 2 4 3" xfId="34196"/>
    <cellStyle name="常规 2 5 13 2 4 4" xfId="34197"/>
    <cellStyle name="常规 2 5 13 2 5" xfId="34198"/>
    <cellStyle name="常规 2 5 13 2 6" xfId="34199"/>
    <cellStyle name="常规 2 5 13 2 7" xfId="34200"/>
    <cellStyle name="常规 2 5 13 3" xfId="34201"/>
    <cellStyle name="常规 2 5 13 3 2" xfId="34202"/>
    <cellStyle name="常规 2 5 13 3 2 2" xfId="34203"/>
    <cellStyle name="常规 2 5 13 3 2 3" xfId="34204"/>
    <cellStyle name="常规 2 5 13 3 2 4" xfId="34205"/>
    <cellStyle name="常规 2 5 13 3 3" xfId="34206"/>
    <cellStyle name="常规 2 5 13 3 4" xfId="34207"/>
    <cellStyle name="常规 2 5 13 3 5" xfId="34208"/>
    <cellStyle name="常规 2 5 13 4" xfId="34209"/>
    <cellStyle name="常规 2 5 13 4 2" xfId="34210"/>
    <cellStyle name="常规 2 5 13 4 2 2" xfId="34211"/>
    <cellStyle name="常规 2 5 13 4 2 3" xfId="34212"/>
    <cellStyle name="常规 2 5 13 4 2 4" xfId="34213"/>
    <cellStyle name="常规 2 5 13 4 3" xfId="34214"/>
    <cellStyle name="常规 2 5 13 4 4" xfId="34215"/>
    <cellStyle name="常规 2 5 13 4 5" xfId="34216"/>
    <cellStyle name="常规 2 5 13 5" xfId="34217"/>
    <cellStyle name="常规 2 5 13 5 2" xfId="34218"/>
    <cellStyle name="常规 2 5 13 5 3" xfId="34219"/>
    <cellStyle name="常规 2 5 13 5 4" xfId="34220"/>
    <cellStyle name="常规 2 5 13 6" xfId="34221"/>
    <cellStyle name="常规 2 5 13 7" xfId="34222"/>
    <cellStyle name="常规 2 5 13 8" xfId="34223"/>
    <cellStyle name="常规 2 5 14" xfId="34224"/>
    <cellStyle name="常规 2 5 14 2" xfId="34225"/>
    <cellStyle name="常规 2 5 14 2 2" xfId="34226"/>
    <cellStyle name="常规 2 5 14 2 2 2" xfId="34227"/>
    <cellStyle name="常规 2 5 14 2 2 2 2" xfId="34228"/>
    <cellStyle name="常规 2 5 14 2 2 2 3" xfId="34229"/>
    <cellStyle name="常规 2 5 14 2 2 2 4" xfId="34230"/>
    <cellStyle name="常规 2 5 14 2 2 3" xfId="34231"/>
    <cellStyle name="常规 2 5 14 2 2 4" xfId="34232"/>
    <cellStyle name="常规 2 5 14 2 2 5" xfId="34233"/>
    <cellStyle name="常规 2 5 14 2 3" xfId="34234"/>
    <cellStyle name="常规 2 5 14 2 3 2" xfId="34235"/>
    <cellStyle name="常规 2 5 14 2 3 2 2" xfId="34236"/>
    <cellStyle name="常规 2 5 14 2 3 2 3" xfId="34237"/>
    <cellStyle name="常规 2 5 14 2 3 2 4" xfId="34238"/>
    <cellStyle name="常规 2 5 14 2 3 3" xfId="34239"/>
    <cellStyle name="常规 2 5 14 2 3 4" xfId="34240"/>
    <cellStyle name="常规 2 5 14 2 3 5" xfId="34241"/>
    <cellStyle name="常规 2 5 14 2 4" xfId="34242"/>
    <cellStyle name="常规 2 5 14 2 4 2" xfId="34243"/>
    <cellStyle name="常规 2 5 14 2 4 3" xfId="34244"/>
    <cellStyle name="常规 2 5 14 2 4 4" xfId="34245"/>
    <cellStyle name="常规 2 5 14 2 5" xfId="34246"/>
    <cellStyle name="常规 2 5 14 2 6" xfId="34247"/>
    <cellStyle name="常规 2 5 14 2 7" xfId="34248"/>
    <cellStyle name="常规 2 5 14 3" xfId="34249"/>
    <cellStyle name="常规 2 5 14 3 2" xfId="34250"/>
    <cellStyle name="常规 2 5 14 3 2 2" xfId="34251"/>
    <cellStyle name="常规 2 5 14 3 2 3" xfId="34252"/>
    <cellStyle name="常规 2 5 14 3 2 4" xfId="34253"/>
    <cellStyle name="常规 2 5 14 3 3" xfId="34254"/>
    <cellStyle name="常规 2 5 14 3 4" xfId="34255"/>
    <cellStyle name="常规 2 5 14 3 5" xfId="34256"/>
    <cellStyle name="常规 2 5 14 4" xfId="34257"/>
    <cellStyle name="常规 2 5 14 4 2" xfId="34258"/>
    <cellStyle name="常规 2 5 14 4 2 2" xfId="34259"/>
    <cellStyle name="常规 2 5 14 4 2 3" xfId="34260"/>
    <cellStyle name="常规 2 5 14 4 2 4" xfId="34261"/>
    <cellStyle name="常规 2 5 14 4 3" xfId="34262"/>
    <cellStyle name="常规 2 5 14 4 4" xfId="34263"/>
    <cellStyle name="常规 2 5 14 4 5" xfId="34264"/>
    <cellStyle name="常规 2 5 14 5" xfId="34265"/>
    <cellStyle name="常规 2 5 14 5 2" xfId="34266"/>
    <cellStyle name="常规 2 5 14 5 3" xfId="34267"/>
    <cellStyle name="常规 2 5 14 5 4" xfId="34268"/>
    <cellStyle name="常规 2 5 14 6" xfId="34269"/>
    <cellStyle name="常规 2 5 14 7" xfId="34270"/>
    <cellStyle name="常规 2 5 14 8" xfId="34271"/>
    <cellStyle name="常规 2 5 15" xfId="34272"/>
    <cellStyle name="常规 2 5 15 2" xfId="34273"/>
    <cellStyle name="常规 2 5 15 2 2" xfId="34274"/>
    <cellStyle name="常规 2 5 15 2 3" xfId="34275"/>
    <cellStyle name="常规 2 5 15 2 4" xfId="34276"/>
    <cellStyle name="常规 2 5 15 3" xfId="34277"/>
    <cellStyle name="常规 2 5 15 4" xfId="34278"/>
    <cellStyle name="常规 2 5 15 5" xfId="34279"/>
    <cellStyle name="常规 2 5 16" xfId="34280"/>
    <cellStyle name="常规 2 5 16 2" xfId="34281"/>
    <cellStyle name="常规 2 5 16 2 2" xfId="34282"/>
    <cellStyle name="常规 2 5 16 2 3" xfId="34283"/>
    <cellStyle name="常规 2 5 16 2 4" xfId="34284"/>
    <cellStyle name="常规 2 5 16 3" xfId="34285"/>
    <cellStyle name="常规 2 5 16 4" xfId="34286"/>
    <cellStyle name="常规 2 5 16 5" xfId="34287"/>
    <cellStyle name="常规 2 5 17" xfId="34288"/>
    <cellStyle name="常规 2 5 17 2" xfId="34289"/>
    <cellStyle name="常规 2 5 17 3" xfId="34290"/>
    <cellStyle name="常规 2 5 17 4" xfId="34291"/>
    <cellStyle name="常规 2 5 18" xfId="34292"/>
    <cellStyle name="常规 2 5 19" xfId="34293"/>
    <cellStyle name="常规 2 5 2" xfId="34294"/>
    <cellStyle name="常规 2 5 2 10" xfId="34295"/>
    <cellStyle name="常规 2 5 2 10 2" xfId="34296"/>
    <cellStyle name="常规 2 5 2 11" xfId="34297"/>
    <cellStyle name="常规 2 5 2 12" xfId="34298"/>
    <cellStyle name="常规 2 5 2 12 2" xfId="34299"/>
    <cellStyle name="常规 2 5 2 2" xfId="34300"/>
    <cellStyle name="常规 2 5 2 2 10" xfId="34301"/>
    <cellStyle name="常规 2 5 2 2 11" xfId="34302"/>
    <cellStyle name="常规 2 5 2 2 11 2" xfId="34303"/>
    <cellStyle name="常规 2 5 2 2 2" xfId="34304"/>
    <cellStyle name="常规 2 5 2 2 2 10" xfId="34305"/>
    <cellStyle name="常规 2 5 2 2 2 10 2" xfId="34306"/>
    <cellStyle name="常规 2 5 2 2 2 10 3" xfId="34307"/>
    <cellStyle name="常规 2 5 2 2 2 2" xfId="34308"/>
    <cellStyle name="常规 2 5 2 2 2 2 2" xfId="34309"/>
    <cellStyle name="常规 2 5 2 2 2 2 2 2" xfId="34310"/>
    <cellStyle name="常规 2 5 2 2 2 2 2 3" xfId="34311"/>
    <cellStyle name="常规 2 5 2 2 2 2 2 4" xfId="34312"/>
    <cellStyle name="常规 2 5 2 2 2 2 2 5" xfId="34313"/>
    <cellStyle name="常规 2 5 2 2 2 2 2 5 2" xfId="34314"/>
    <cellStyle name="常规 2 5 2 2 2 2 3" xfId="34315"/>
    <cellStyle name="常规 2 5 2 2 2 2 3 2" xfId="34316"/>
    <cellStyle name="常规 2 5 2 2 2 2 3 2 2" xfId="34317"/>
    <cellStyle name="常规 2 5 2 2 2 2 4" xfId="34318"/>
    <cellStyle name="常规 2 5 2 2 2 2 4 2" xfId="34319"/>
    <cellStyle name="常规 2 5 2 2 2 2 4 2 2" xfId="34320"/>
    <cellStyle name="常规 2 5 2 2 2 2 4 3" xfId="34321"/>
    <cellStyle name="常规 2 5 2 2 2 2 5" xfId="34322"/>
    <cellStyle name="常规 2 5 2 2 2 2 5 2" xfId="34323"/>
    <cellStyle name="常规 2 5 2 2 2 2 5 3" xfId="34324"/>
    <cellStyle name="常规 2 5 2 2 2 2 6" xfId="34325"/>
    <cellStyle name="常规 2 5 2 2 2 2 6 2" xfId="34326"/>
    <cellStyle name="常规 2 5 2 2 2 2 7" xfId="34327"/>
    <cellStyle name="常规 2 5 2 2 2 3" xfId="34328"/>
    <cellStyle name="常规 2 5 2 2 2 3 2" xfId="34329"/>
    <cellStyle name="常规 2 5 2 2 2 3 2 2" xfId="34330"/>
    <cellStyle name="常规 2 5 2 2 2 3 2 2 2" xfId="34331"/>
    <cellStyle name="常规 2 5 2 2 2 3 2 3" xfId="34332"/>
    <cellStyle name="常规 2 5 2 2 2 3 2 4" xfId="34333"/>
    <cellStyle name="常规 2 5 2 2 2 3 2 5" xfId="34334"/>
    <cellStyle name="常规 2 5 2 2 2 3 2 5 2" xfId="34335"/>
    <cellStyle name="常规 2 5 2 2 2 3 2 6" xfId="34336"/>
    <cellStyle name="常规 2 5 2 2 2 3 3" xfId="34337"/>
    <cellStyle name="常规 2 5 2 2 2 3 3 2" xfId="34338"/>
    <cellStyle name="常规 2 5 2 2 2 3 3 2 2" xfId="34339"/>
    <cellStyle name="常规 2 5 2 2 2 3 4" xfId="34340"/>
    <cellStyle name="常规 2 5 2 2 2 3 4 2" xfId="34341"/>
    <cellStyle name="常规 2 5 2 2 2 3 4 3" xfId="34342"/>
    <cellStyle name="常规 2 5 2 2 2 3 5" xfId="34343"/>
    <cellStyle name="常规 2 5 2 2 2 3 5 2" xfId="34344"/>
    <cellStyle name="常规 2 5 2 2 2 3 6" xfId="34345"/>
    <cellStyle name="常规 2 5 2 2 2 3 6 2" xfId="34346"/>
    <cellStyle name="常规 2 5 2 2 2 3 7" xfId="34347"/>
    <cellStyle name="常规 2 5 2 2 2 4" xfId="34348"/>
    <cellStyle name="常规 2 5 2 2 2 4 2" xfId="34349"/>
    <cellStyle name="常规 2 5 2 2 2 4 2 2" xfId="34350"/>
    <cellStyle name="常规 2 5 2 2 2 4 2 2 2" xfId="34351"/>
    <cellStyle name="常规 2 5 2 2 2 4 2 3" xfId="34352"/>
    <cellStyle name="常规 2 5 2 2 2 4 3" xfId="34353"/>
    <cellStyle name="常规 2 5 2 2 2 4 3 2" xfId="34354"/>
    <cellStyle name="常规 2 5 2 2 2 4 3 2 2" xfId="34355"/>
    <cellStyle name="常规 2 5 2 2 2 4 4" xfId="34356"/>
    <cellStyle name="常规 2 5 2 2 2 4 4 2" xfId="34357"/>
    <cellStyle name="常规 2 5 2 2 2 4 4 3" xfId="34358"/>
    <cellStyle name="常规 2 5 2 2 2 4 5" xfId="34359"/>
    <cellStyle name="常规 2 5 2 2 2 4 5 2" xfId="34360"/>
    <cellStyle name="常规 2 5 2 2 2 4 6" xfId="34361"/>
    <cellStyle name="常规 2 5 2 2 2 5" xfId="34362"/>
    <cellStyle name="常规 2 5 2 2 2 5 2" xfId="34363"/>
    <cellStyle name="常规 2 5 2 2 2 5 2 2" xfId="34364"/>
    <cellStyle name="常规 2 5 2 2 2 6" xfId="34365"/>
    <cellStyle name="常规 2 5 2 2 2 6 2" xfId="34366"/>
    <cellStyle name="常规 2 5 2 2 2 6 2 2" xfId="34367"/>
    <cellStyle name="常规 2 5 2 2 2 7" xfId="34368"/>
    <cellStyle name="常规 2 5 2 2 2 7 2" xfId="34369"/>
    <cellStyle name="常规 2 5 2 2 2 7 2 2" xfId="34370"/>
    <cellStyle name="常规 2 5 2 2 2 8" xfId="34371"/>
    <cellStyle name="常规 2 5 2 2 2 8 2" xfId="34372"/>
    <cellStyle name="常规 2 5 2 2 2 8 2 2" xfId="34373"/>
    <cellStyle name="常规 2 5 2 2 2 9" xfId="34374"/>
    <cellStyle name="常规 2 5 2 2 2 9 2" xfId="34375"/>
    <cellStyle name="常规 2 5 2 2 2 9 3" xfId="34376"/>
    <cellStyle name="常规 2 5 2 2 3" xfId="34377"/>
    <cellStyle name="常规 2 5 2 2 3 2" xfId="34378"/>
    <cellStyle name="常规 2 5 2 2 3 2 2" xfId="34379"/>
    <cellStyle name="常规 2 5 2 2 3 2 3" xfId="34380"/>
    <cellStyle name="常规 2 5 2 2 3 2 4" xfId="34381"/>
    <cellStyle name="常规 2 5 2 2 3 2 5" xfId="34382"/>
    <cellStyle name="常规 2 5 2 2 3 2 5 2" xfId="34383"/>
    <cellStyle name="常规 2 5 2 2 3 3" xfId="34384"/>
    <cellStyle name="常规 2 5 2 2 3 3 2" xfId="34385"/>
    <cellStyle name="常规 2 5 2 2 3 3 2 2" xfId="34386"/>
    <cellStyle name="常规 2 5 2 2 3 4" xfId="34387"/>
    <cellStyle name="常规 2 5 2 2 3 4 2" xfId="34388"/>
    <cellStyle name="常规 2 5 2 2 3 4 2 2" xfId="34389"/>
    <cellStyle name="常规 2 5 2 2 3 4 3" xfId="34390"/>
    <cellStyle name="常规 2 5 2 2 3 4 3 2" xfId="34391"/>
    <cellStyle name="常规 2 5 2 2 3 5" xfId="34392"/>
    <cellStyle name="常规 2 5 2 2 3 5 2" xfId="34393"/>
    <cellStyle name="常规 2 5 2 2 3 5 3" xfId="34394"/>
    <cellStyle name="常规 2 5 2 2 3 6" xfId="34395"/>
    <cellStyle name="常规 2 5 2 2 3 6 2" xfId="34396"/>
    <cellStyle name="常规 2 5 2 2 3 7" xfId="34397"/>
    <cellStyle name="常规 2 5 2 2 4" xfId="34398"/>
    <cellStyle name="常规 2 5 2 2 4 2" xfId="34399"/>
    <cellStyle name="常规 2 5 2 2 4 2 2" xfId="34400"/>
    <cellStyle name="常规 2 5 2 2 4 2 2 2" xfId="34401"/>
    <cellStyle name="常规 2 5 2 2 4 2 3" xfId="34402"/>
    <cellStyle name="常规 2 5 2 2 4 2 4" xfId="34403"/>
    <cellStyle name="常规 2 5 2 2 4 2 5" xfId="34404"/>
    <cellStyle name="常规 2 5 2 2 4 2 5 2" xfId="34405"/>
    <cellStyle name="常规 2 5 2 2 4 2 6" xfId="34406"/>
    <cellStyle name="常规 2 5 2 2 4 3" xfId="34407"/>
    <cellStyle name="常规 2 5 2 2 4 3 2" xfId="34408"/>
    <cellStyle name="常规 2 5 2 2 4 3 2 2" xfId="34409"/>
    <cellStyle name="常规 2 5 2 2 4 3 3" xfId="34410"/>
    <cellStyle name="常规 2 5 2 2 4 4" xfId="34411"/>
    <cellStyle name="常规 2 5 2 2 4 4 2" xfId="34412"/>
    <cellStyle name="常规 2 5 2 2 4 4 3" xfId="34413"/>
    <cellStyle name="常规 2 5 2 2 4 5" xfId="34414"/>
    <cellStyle name="常规 2 5 2 2 4 5 2" xfId="34415"/>
    <cellStyle name="常规 2 5 2 2 4 6" xfId="34416"/>
    <cellStyle name="常规 2 5 2 2 4 6 2" xfId="34417"/>
    <cellStyle name="常规 2 5 2 2 4 7" xfId="34418"/>
    <cellStyle name="常规 2 5 2 2 5" xfId="34419"/>
    <cellStyle name="常规 2 5 2 2 5 2" xfId="34420"/>
    <cellStyle name="常规 2 5 2 2 5 2 2" xfId="34421"/>
    <cellStyle name="常规 2 5 2 2 5 2 2 2" xfId="34422"/>
    <cellStyle name="常规 2 5 2 2 5 2 2 3" xfId="34423"/>
    <cellStyle name="常规 2 5 2 2 5 2 3" xfId="34424"/>
    <cellStyle name="常规 2 5 2 2 5 2 3 2" xfId="34425"/>
    <cellStyle name="常规 2 5 2 2 5 3" xfId="34426"/>
    <cellStyle name="常规 2 5 2 2 5 3 2" xfId="34427"/>
    <cellStyle name="常规 2 5 2 2 5 3 2 2" xfId="34428"/>
    <cellStyle name="常规 2 5 2 2 5 4" xfId="34429"/>
    <cellStyle name="常规 2 5 2 2 5 4 2" xfId="34430"/>
    <cellStyle name="常规 2 5 2 2 5 4 3" xfId="34431"/>
    <cellStyle name="常规 2 5 2 2 5 5" xfId="34432"/>
    <cellStyle name="常规 2 5 2 2 5 5 2" xfId="34433"/>
    <cellStyle name="常规 2 5 2 2 5 5 3" xfId="34434"/>
    <cellStyle name="常规 2 5 2 2 5 6" xfId="34435"/>
    <cellStyle name="常规 2 5 2 2 5 7" xfId="34436"/>
    <cellStyle name="常规 2 5 2 2 6" xfId="34437"/>
    <cellStyle name="常规 2 5 2 2 6 2" xfId="34438"/>
    <cellStyle name="常规 2 5 2 2 6 2 2" xfId="34439"/>
    <cellStyle name="常规 2 5 2 2 7" xfId="34440"/>
    <cellStyle name="常规 2 5 2 2 7 2" xfId="34441"/>
    <cellStyle name="常规 2 5 2 2 7 2 2" xfId="34442"/>
    <cellStyle name="常规 2 5 2 2 8" xfId="34443"/>
    <cellStyle name="常规 2 5 2 2 8 2" xfId="34444"/>
    <cellStyle name="常规 2 5 2 2 8 2 2" xfId="34445"/>
    <cellStyle name="常规 2 5 2 2 9" xfId="34446"/>
    <cellStyle name="常规 2 5 2 2 9 2" xfId="34447"/>
    <cellStyle name="常规 2 5 2 2 9 2 2" xfId="34448"/>
    <cellStyle name="常规 2 5 2 3" xfId="34449"/>
    <cellStyle name="常规 2 5 2 3 10" xfId="34450"/>
    <cellStyle name="常规 2 5 2 3 10 2" xfId="34451"/>
    <cellStyle name="常规 2 5 2 3 11" xfId="34452"/>
    <cellStyle name="常规 2 5 2 3 12" xfId="34453"/>
    <cellStyle name="常规 2 5 2 3 2" xfId="34454"/>
    <cellStyle name="常规 2 5 2 3 2 2" xfId="34455"/>
    <cellStyle name="常规 2 5 2 3 2 2 2" xfId="34456"/>
    <cellStyle name="常规 2 5 2 3 2 2 2 2" xfId="34457"/>
    <cellStyle name="常规 2 5 2 3 2 2 2 3" xfId="34458"/>
    <cellStyle name="常规 2 5 2 3 2 2 2 4" xfId="34459"/>
    <cellStyle name="常规 2 5 2 3 2 2 3" xfId="34460"/>
    <cellStyle name="常规 2 5 2 3 2 2 4" xfId="34461"/>
    <cellStyle name="常规 2 5 2 3 2 2 5" xfId="34462"/>
    <cellStyle name="常规 2 5 2 3 2 2 6" xfId="34463"/>
    <cellStyle name="常规 2 5 2 3 2 2 6 2" xfId="34464"/>
    <cellStyle name="常规 2 5 2 3 2 3" xfId="34465"/>
    <cellStyle name="常规 2 5 2 3 2 3 2" xfId="34466"/>
    <cellStyle name="常规 2 5 2 3 2 3 2 2" xfId="34467"/>
    <cellStyle name="常规 2 5 2 3 2 3 2 3" xfId="34468"/>
    <cellStyle name="常规 2 5 2 3 2 3 2 4" xfId="34469"/>
    <cellStyle name="常规 2 5 2 3 2 3 3" xfId="34470"/>
    <cellStyle name="常规 2 5 2 3 2 3 4" xfId="34471"/>
    <cellStyle name="常规 2 5 2 3 2 3 5" xfId="34472"/>
    <cellStyle name="常规 2 5 2 3 2 3 6" xfId="34473"/>
    <cellStyle name="常规 2 5 2 3 2 3 6 2" xfId="34474"/>
    <cellStyle name="常规 2 5 2 3 2 4" xfId="34475"/>
    <cellStyle name="常规 2 5 2 3 2 4 2" xfId="34476"/>
    <cellStyle name="常规 2 5 2 3 2 4 2 2" xfId="34477"/>
    <cellStyle name="常规 2 5 2 3 2 4 3" xfId="34478"/>
    <cellStyle name="常规 2 5 2 3 2 4 3 2" xfId="34479"/>
    <cellStyle name="常规 2 5 2 3 2 4 4" xfId="34480"/>
    <cellStyle name="常规 2 5 2 3 2 4 5" xfId="34481"/>
    <cellStyle name="常规 2 5 2 3 2 4 6" xfId="34482"/>
    <cellStyle name="常规 2 5 2 3 2 5" xfId="34483"/>
    <cellStyle name="常规 2 5 2 3 2 5 2" xfId="34484"/>
    <cellStyle name="常规 2 5 2 3 2 5 3" xfId="34485"/>
    <cellStyle name="常规 2 5 2 3 2 6" xfId="34486"/>
    <cellStyle name="常规 2 5 2 3 2 7" xfId="34487"/>
    <cellStyle name="常规 2 5 2 3 2 8" xfId="34488"/>
    <cellStyle name="常规 2 5 2 3 2 8 2" xfId="34489"/>
    <cellStyle name="常规 2 5 2 3 2 9" xfId="34490"/>
    <cellStyle name="常规 2 5 2 3 3" xfId="34491"/>
    <cellStyle name="常规 2 5 2 3 3 2" xfId="34492"/>
    <cellStyle name="常规 2 5 2 3 3 2 2" xfId="34493"/>
    <cellStyle name="常规 2 5 2 3 3 2 2 2" xfId="34494"/>
    <cellStyle name="常规 2 5 2 3 3 2 3" xfId="34495"/>
    <cellStyle name="常规 2 5 2 3 3 2 4" xfId="34496"/>
    <cellStyle name="常规 2 5 2 3 3 2 5" xfId="34497"/>
    <cellStyle name="常规 2 5 2 3 3 2 5 2" xfId="34498"/>
    <cellStyle name="常规 2 5 2 3 3 2 6" xfId="34499"/>
    <cellStyle name="常规 2 5 2 3 3 3" xfId="34500"/>
    <cellStyle name="常规 2 5 2 3 3 3 2" xfId="34501"/>
    <cellStyle name="常规 2 5 2 3 3 3 2 2" xfId="34502"/>
    <cellStyle name="常规 2 5 2 3 3 3 3" xfId="34503"/>
    <cellStyle name="常规 2 5 2 3 3 4" xfId="34504"/>
    <cellStyle name="常规 2 5 2 3 3 4 2" xfId="34505"/>
    <cellStyle name="常规 2 5 2 3 3 4 3" xfId="34506"/>
    <cellStyle name="常规 2 5 2 3 3 5" xfId="34507"/>
    <cellStyle name="常规 2 5 2 3 3 5 2" xfId="34508"/>
    <cellStyle name="常规 2 5 2 3 3 6" xfId="34509"/>
    <cellStyle name="常规 2 5 2 3 3 6 2" xfId="34510"/>
    <cellStyle name="常规 2 5 2 3 3 7" xfId="34511"/>
    <cellStyle name="常规 2 5 2 3 4" xfId="34512"/>
    <cellStyle name="常规 2 5 2 3 4 2" xfId="34513"/>
    <cellStyle name="常规 2 5 2 3 4 2 2" xfId="34514"/>
    <cellStyle name="常规 2 5 2 3 4 2 2 2" xfId="34515"/>
    <cellStyle name="常规 2 5 2 3 4 2 3" xfId="34516"/>
    <cellStyle name="常规 2 5 2 3 4 2 4" xfId="34517"/>
    <cellStyle name="常规 2 5 2 3 4 2 5" xfId="34518"/>
    <cellStyle name="常规 2 5 2 3 4 2 5 2" xfId="34519"/>
    <cellStyle name="常规 2 5 2 3 4 2 6" xfId="34520"/>
    <cellStyle name="常规 2 5 2 3 4 3" xfId="34521"/>
    <cellStyle name="常规 2 5 2 3 4 3 2" xfId="34522"/>
    <cellStyle name="常规 2 5 2 3 4 3 2 2" xfId="34523"/>
    <cellStyle name="常规 2 5 2 3 4 4" xfId="34524"/>
    <cellStyle name="常规 2 5 2 3 4 4 2" xfId="34525"/>
    <cellStyle name="常规 2 5 2 3 4 4 3" xfId="34526"/>
    <cellStyle name="常规 2 5 2 3 4 5" xfId="34527"/>
    <cellStyle name="常规 2 5 2 3 4 5 2" xfId="34528"/>
    <cellStyle name="常规 2 5 2 3 4 6" xfId="34529"/>
    <cellStyle name="常规 2 5 2 3 4 6 2" xfId="34530"/>
    <cellStyle name="常规 2 5 2 3 4 7" xfId="34531"/>
    <cellStyle name="常规 2 5 2 3 5" xfId="34532"/>
    <cellStyle name="常规 2 5 2 3 5 2" xfId="34533"/>
    <cellStyle name="常规 2 5 2 3 5 3" xfId="34534"/>
    <cellStyle name="常规 2 5 2 3 5 4" xfId="34535"/>
    <cellStyle name="常规 2 5 2 3 5 5" xfId="34536"/>
    <cellStyle name="常规 2 5 2 3 5 5 2" xfId="34537"/>
    <cellStyle name="常规 2 5 2 3 6" xfId="34538"/>
    <cellStyle name="常规 2 5 2 3 6 2" xfId="34539"/>
    <cellStyle name="常规 2 5 2 3 6 2 2" xfId="34540"/>
    <cellStyle name="常规 2 5 2 3 7" xfId="34541"/>
    <cellStyle name="常规 2 5 2 3 7 2" xfId="34542"/>
    <cellStyle name="常规 2 5 2 3 7 2 2" xfId="34543"/>
    <cellStyle name="常规 2 5 2 3 8" xfId="34544"/>
    <cellStyle name="常规 2 5 2 3 8 2" xfId="34545"/>
    <cellStyle name="常规 2 5 2 3 9" xfId="34546"/>
    <cellStyle name="常规 2 5 2 3 9 2" xfId="34547"/>
    <cellStyle name="常规 2 5 2 4" xfId="34548"/>
    <cellStyle name="常规 2 5 2 4 2" xfId="34549"/>
    <cellStyle name="常规 2 5 2 4 2 2" xfId="34550"/>
    <cellStyle name="常规 2 5 2 4 2 3" xfId="34551"/>
    <cellStyle name="常规 2 5 2 4 2 4" xfId="34552"/>
    <cellStyle name="常规 2 5 2 4 2 5" xfId="34553"/>
    <cellStyle name="常规 2 5 2 4 2 5 2" xfId="34554"/>
    <cellStyle name="常规 2 5 2 4 3" xfId="34555"/>
    <cellStyle name="常规 2 5 2 4 3 2" xfId="34556"/>
    <cellStyle name="常规 2 5 2 4 3 2 2" xfId="34557"/>
    <cellStyle name="常规 2 5 2 4 4" xfId="34558"/>
    <cellStyle name="常规 2 5 2 4 4 2" xfId="34559"/>
    <cellStyle name="常规 2 5 2 4 4 2 2" xfId="34560"/>
    <cellStyle name="常规 2 5 2 4 4 3" xfId="34561"/>
    <cellStyle name="常规 2 5 2 4 5" xfId="34562"/>
    <cellStyle name="常规 2 5 2 4 5 2" xfId="34563"/>
    <cellStyle name="常规 2 5 2 4 5 3" xfId="34564"/>
    <cellStyle name="常规 2 5 2 4 6" xfId="34565"/>
    <cellStyle name="常规 2 5 2 4 6 2" xfId="34566"/>
    <cellStyle name="常规 2 5 2 4 7" xfId="34567"/>
    <cellStyle name="常规 2 5 2 5" xfId="34568"/>
    <cellStyle name="常规 2 5 2 5 2" xfId="34569"/>
    <cellStyle name="常规 2 5 2 5 2 2" xfId="34570"/>
    <cellStyle name="常规 2 5 2 5 2 3" xfId="34571"/>
    <cellStyle name="常规 2 5 2 5 2 4" xfId="34572"/>
    <cellStyle name="常规 2 5 2 5 2 5" xfId="34573"/>
    <cellStyle name="常规 2 5 2 5 2 5 2" xfId="34574"/>
    <cellStyle name="常规 2 5 2 5 3" xfId="34575"/>
    <cellStyle name="常规 2 5 2 5 3 2" xfId="34576"/>
    <cellStyle name="常规 2 5 2 5 3 2 2" xfId="34577"/>
    <cellStyle name="常规 2 5 2 5 4" xfId="34578"/>
    <cellStyle name="常规 2 5 2 5 4 2" xfId="34579"/>
    <cellStyle name="常规 2 5 2 5 4 2 2" xfId="34580"/>
    <cellStyle name="常规 2 5 2 5 5" xfId="34581"/>
    <cellStyle name="常规 2 5 2 5 5 2" xfId="34582"/>
    <cellStyle name="常规 2 5 2 5 5 3" xfId="34583"/>
    <cellStyle name="常规 2 5 2 5 6" xfId="34584"/>
    <cellStyle name="常规 2 5 2 5 6 2" xfId="34585"/>
    <cellStyle name="常规 2 5 2 5 7" xfId="34586"/>
    <cellStyle name="常规 2 5 2 6" xfId="34587"/>
    <cellStyle name="常规 2 5 2 6 2" xfId="34588"/>
    <cellStyle name="常规 2 5 2 6 2 2" xfId="34589"/>
    <cellStyle name="常规 2 5 2 6 2 2 2" xfId="34590"/>
    <cellStyle name="常规 2 5 2 6 3" xfId="34591"/>
    <cellStyle name="常规 2 5 2 6 3 2" xfId="34592"/>
    <cellStyle name="常规 2 5 2 6 3 2 2" xfId="34593"/>
    <cellStyle name="常规 2 5 2 6 3 3" xfId="34594"/>
    <cellStyle name="常规 2 5 2 6 4" xfId="34595"/>
    <cellStyle name="常规 2 5 2 6 4 2" xfId="34596"/>
    <cellStyle name="常规 2 5 2 6 4 2 2" xfId="34597"/>
    <cellStyle name="常规 2 5 2 6 5" xfId="34598"/>
    <cellStyle name="常规 2 5 2 6 5 2" xfId="34599"/>
    <cellStyle name="常规 2 5 2 6 5 3" xfId="34600"/>
    <cellStyle name="常规 2 5 2 6 6" xfId="34601"/>
    <cellStyle name="常规 2 5 2 6 6 2" xfId="34602"/>
    <cellStyle name="常规 2 5 2 7" xfId="34603"/>
    <cellStyle name="常规 2 5 2 7 2" xfId="34604"/>
    <cellStyle name="常规 2 5 2 7 2 2" xfId="34605"/>
    <cellStyle name="常规 2 5 2 8" xfId="34606"/>
    <cellStyle name="常规 2 5 2 8 2" xfId="34607"/>
    <cellStyle name="常规 2 5 2 8 2 2" xfId="34608"/>
    <cellStyle name="常规 2 5 2 9" xfId="34609"/>
    <cellStyle name="常规 2 5 20" xfId="34610"/>
    <cellStyle name="常规 2 5 21" xfId="34611"/>
    <cellStyle name="常规 2 5 21 2" xfId="34612"/>
    <cellStyle name="常规 2 5 22" xfId="34613"/>
    <cellStyle name="常规 2 5 3" xfId="34614"/>
    <cellStyle name="常规 2 5 3 10" xfId="34615"/>
    <cellStyle name="常规 2 5 3 10 2" xfId="34616"/>
    <cellStyle name="常规 2 5 3 10 2 2" xfId="34617"/>
    <cellStyle name="常规 2 5 3 10 2 2 2" xfId="34618"/>
    <cellStyle name="常规 2 5 3 10 2 2 2 2" xfId="34619"/>
    <cellStyle name="常规 2 5 3 10 2 2 2 3" xfId="34620"/>
    <cellStyle name="常规 2 5 3 10 2 2 2 4" xfId="34621"/>
    <cellStyle name="常规 2 5 3 10 2 2 3" xfId="34622"/>
    <cellStyle name="常规 2 5 3 10 2 2 4" xfId="34623"/>
    <cellStyle name="常规 2 5 3 10 2 2 5" xfId="34624"/>
    <cellStyle name="常规 2 5 3 10 2 3" xfId="34625"/>
    <cellStyle name="常规 2 5 3 10 2 3 2" xfId="34626"/>
    <cellStyle name="常规 2 5 3 10 2 3 2 2" xfId="34627"/>
    <cellStyle name="常规 2 5 3 10 2 3 2 3" xfId="34628"/>
    <cellStyle name="常规 2 5 3 10 2 3 2 4" xfId="34629"/>
    <cellStyle name="常规 2 5 3 10 2 3 3" xfId="34630"/>
    <cellStyle name="常规 2 5 3 10 2 3 4" xfId="34631"/>
    <cellStyle name="常规 2 5 3 10 2 3 5" xfId="34632"/>
    <cellStyle name="常规 2 5 3 10 2 4" xfId="34633"/>
    <cellStyle name="常规 2 5 3 10 2 4 2" xfId="34634"/>
    <cellStyle name="常规 2 5 3 10 2 4 3" xfId="34635"/>
    <cellStyle name="常规 2 5 3 10 2 4 4" xfId="34636"/>
    <cellStyle name="常规 2 5 3 10 2 5" xfId="34637"/>
    <cellStyle name="常规 2 5 3 10 2 6" xfId="34638"/>
    <cellStyle name="常规 2 5 3 10 2 7" xfId="34639"/>
    <cellStyle name="常规 2 5 3 10 3" xfId="34640"/>
    <cellStyle name="常规 2 5 3 10 3 2" xfId="34641"/>
    <cellStyle name="常规 2 5 3 10 3 2 2" xfId="34642"/>
    <cellStyle name="常规 2 5 3 10 3 2 3" xfId="34643"/>
    <cellStyle name="常规 2 5 3 10 3 2 4" xfId="34644"/>
    <cellStyle name="常规 2 5 3 10 3 3" xfId="34645"/>
    <cellStyle name="常规 2 5 3 10 3 4" xfId="34646"/>
    <cellStyle name="常规 2 5 3 10 3 5" xfId="34647"/>
    <cellStyle name="常规 2 5 3 10 4" xfId="34648"/>
    <cellStyle name="常规 2 5 3 10 4 2" xfId="34649"/>
    <cellStyle name="常规 2 5 3 10 4 2 2" xfId="34650"/>
    <cellStyle name="常规 2 5 3 10 4 2 3" xfId="34651"/>
    <cellStyle name="常规 2 5 3 10 4 2 4" xfId="34652"/>
    <cellStyle name="常规 2 5 3 10 4 3" xfId="34653"/>
    <cellStyle name="常规 2 5 3 10 4 4" xfId="34654"/>
    <cellStyle name="常规 2 5 3 10 4 5" xfId="34655"/>
    <cellStyle name="常规 2 5 3 10 5" xfId="34656"/>
    <cellStyle name="常规 2 5 3 10 5 2" xfId="34657"/>
    <cellStyle name="常规 2 5 3 10 5 3" xfId="34658"/>
    <cellStyle name="常规 2 5 3 10 5 4" xfId="34659"/>
    <cellStyle name="常规 2 5 3 10 6" xfId="34660"/>
    <cellStyle name="常规 2 5 3 10 7" xfId="34661"/>
    <cellStyle name="常规 2 5 3 10 8" xfId="34662"/>
    <cellStyle name="常规 2 5 3 11" xfId="34663"/>
    <cellStyle name="常规 2 5 3 11 2" xfId="34664"/>
    <cellStyle name="常规 2 5 3 11 2 2" xfId="34665"/>
    <cellStyle name="常规 2 5 3 11 2 2 2" xfId="34666"/>
    <cellStyle name="常规 2 5 3 11 2 2 2 2" xfId="34667"/>
    <cellStyle name="常规 2 5 3 11 2 2 2 3" xfId="34668"/>
    <cellStyle name="常规 2 5 3 11 2 2 2 4" xfId="34669"/>
    <cellStyle name="常规 2 5 3 11 2 2 3" xfId="34670"/>
    <cellStyle name="常规 2 5 3 11 2 2 4" xfId="34671"/>
    <cellStyle name="常规 2 5 3 11 2 2 5" xfId="34672"/>
    <cellStyle name="常规 2 5 3 11 2 3" xfId="34673"/>
    <cellStyle name="常规 2 5 3 11 2 3 2" xfId="34674"/>
    <cellStyle name="常规 2 5 3 11 2 3 2 2" xfId="34675"/>
    <cellStyle name="常规 2 5 3 11 2 3 2 3" xfId="34676"/>
    <cellStyle name="常规 2 5 3 11 2 3 2 4" xfId="34677"/>
    <cellStyle name="常规 2 5 3 11 2 3 3" xfId="34678"/>
    <cellStyle name="常规 2 5 3 11 2 3 4" xfId="34679"/>
    <cellStyle name="常规 2 5 3 11 2 3 5" xfId="34680"/>
    <cellStyle name="常规 2 5 3 11 2 4" xfId="34681"/>
    <cellStyle name="常规 2 5 3 11 2 4 2" xfId="34682"/>
    <cellStyle name="常规 2 5 3 11 2 4 3" xfId="34683"/>
    <cellStyle name="常规 2 5 3 11 2 4 4" xfId="34684"/>
    <cellStyle name="常规 2 5 3 11 2 5" xfId="34685"/>
    <cellStyle name="常规 2 5 3 11 2 6" xfId="34686"/>
    <cellStyle name="常规 2 5 3 11 2 7" xfId="34687"/>
    <cellStyle name="常规 2 5 3 11 3" xfId="34688"/>
    <cellStyle name="常规 2 5 3 11 3 2" xfId="34689"/>
    <cellStyle name="常规 2 5 3 11 3 2 2" xfId="34690"/>
    <cellStyle name="常规 2 5 3 11 3 2 3" xfId="34691"/>
    <cellStyle name="常规 2 5 3 11 3 2 4" xfId="34692"/>
    <cellStyle name="常规 2 5 3 11 3 3" xfId="34693"/>
    <cellStyle name="常规 2 5 3 11 3 4" xfId="34694"/>
    <cellStyle name="常规 2 5 3 11 3 5" xfId="34695"/>
    <cellStyle name="常规 2 5 3 11 4" xfId="34696"/>
    <cellStyle name="常规 2 5 3 11 4 2" xfId="34697"/>
    <cellStyle name="常规 2 5 3 11 4 2 2" xfId="34698"/>
    <cellStyle name="常规 2 5 3 11 4 2 3" xfId="34699"/>
    <cellStyle name="常规 2 5 3 11 4 2 4" xfId="34700"/>
    <cellStyle name="常规 2 5 3 11 4 3" xfId="34701"/>
    <cellStyle name="常规 2 5 3 11 4 4" xfId="34702"/>
    <cellStyle name="常规 2 5 3 11 4 5" xfId="34703"/>
    <cellStyle name="常规 2 5 3 11 5" xfId="34704"/>
    <cellStyle name="常规 2 5 3 11 5 2" xfId="34705"/>
    <cellStyle name="常规 2 5 3 11 5 3" xfId="34706"/>
    <cellStyle name="常规 2 5 3 11 5 4" xfId="34707"/>
    <cellStyle name="常规 2 5 3 11 6" xfId="34708"/>
    <cellStyle name="常规 2 5 3 11 7" xfId="34709"/>
    <cellStyle name="常规 2 5 3 11 8" xfId="34710"/>
    <cellStyle name="常规 2 5 3 12" xfId="34711"/>
    <cellStyle name="常规 2 5 3 12 2" xfId="34712"/>
    <cellStyle name="常规 2 5 3 12 2 2" xfId="34713"/>
    <cellStyle name="常规 2 5 3 12 2 2 2" xfId="34714"/>
    <cellStyle name="常规 2 5 3 12 2 2 2 2" xfId="34715"/>
    <cellStyle name="常规 2 5 3 12 2 2 2 3" xfId="34716"/>
    <cellStyle name="常规 2 5 3 12 2 2 2 4" xfId="34717"/>
    <cellStyle name="常规 2 5 3 12 2 2 3" xfId="34718"/>
    <cellStyle name="常规 2 5 3 12 2 2 4" xfId="34719"/>
    <cellStyle name="常规 2 5 3 12 2 2 5" xfId="34720"/>
    <cellStyle name="常规 2 5 3 12 2 3" xfId="34721"/>
    <cellStyle name="常规 2 5 3 12 2 3 2" xfId="34722"/>
    <cellStyle name="常规 2 5 3 12 2 3 2 2" xfId="34723"/>
    <cellStyle name="常规 2 5 3 12 2 3 2 3" xfId="34724"/>
    <cellStyle name="常规 2 5 3 12 2 3 2 4" xfId="34725"/>
    <cellStyle name="常规 2 5 3 12 2 3 3" xfId="34726"/>
    <cellStyle name="常规 2 5 3 12 2 3 4" xfId="34727"/>
    <cellStyle name="常规 2 5 3 12 2 3 5" xfId="34728"/>
    <cellStyle name="常规 2 5 3 12 2 4" xfId="34729"/>
    <cellStyle name="常规 2 5 3 12 2 4 2" xfId="34730"/>
    <cellStyle name="常规 2 5 3 12 2 4 3" xfId="34731"/>
    <cellStyle name="常规 2 5 3 12 2 4 4" xfId="34732"/>
    <cellStyle name="常规 2 5 3 12 2 5" xfId="34733"/>
    <cellStyle name="常规 2 5 3 12 2 6" xfId="34734"/>
    <cellStyle name="常规 2 5 3 12 2 7" xfId="34735"/>
    <cellStyle name="常规 2 5 3 12 3" xfId="34736"/>
    <cellStyle name="常规 2 5 3 12 3 2" xfId="34737"/>
    <cellStyle name="常规 2 5 3 12 3 2 2" xfId="34738"/>
    <cellStyle name="常规 2 5 3 12 3 2 3" xfId="34739"/>
    <cellStyle name="常规 2 5 3 12 3 2 4" xfId="34740"/>
    <cellStyle name="常规 2 5 3 12 3 3" xfId="34741"/>
    <cellStyle name="常规 2 5 3 12 3 4" xfId="34742"/>
    <cellStyle name="常规 2 5 3 12 3 5" xfId="34743"/>
    <cellStyle name="常规 2 5 3 12 4" xfId="34744"/>
    <cellStyle name="常规 2 5 3 12 4 2" xfId="34745"/>
    <cellStyle name="常规 2 5 3 12 4 2 2" xfId="34746"/>
    <cellStyle name="常规 2 5 3 12 4 2 3" xfId="34747"/>
    <cellStyle name="常规 2 5 3 12 4 2 4" xfId="34748"/>
    <cellStyle name="常规 2 5 3 12 4 3" xfId="34749"/>
    <cellStyle name="常规 2 5 3 12 4 4" xfId="34750"/>
    <cellStyle name="常规 2 5 3 12 4 5" xfId="34751"/>
    <cellStyle name="常规 2 5 3 12 5" xfId="34752"/>
    <cellStyle name="常规 2 5 3 12 5 2" xfId="34753"/>
    <cellStyle name="常规 2 5 3 12 5 3" xfId="34754"/>
    <cellStyle name="常规 2 5 3 12 5 4" xfId="34755"/>
    <cellStyle name="常规 2 5 3 12 6" xfId="34756"/>
    <cellStyle name="常规 2 5 3 12 7" xfId="34757"/>
    <cellStyle name="常规 2 5 3 12 8" xfId="34758"/>
    <cellStyle name="常规 2 5 3 13" xfId="34759"/>
    <cellStyle name="常规 2 5 3 13 2" xfId="34760"/>
    <cellStyle name="常规 2 5 3 13 2 2" xfId="34761"/>
    <cellStyle name="常规 2 5 3 13 2 2 2" xfId="34762"/>
    <cellStyle name="常规 2 5 3 13 2 2 2 2" xfId="34763"/>
    <cellStyle name="常规 2 5 3 13 2 2 2 3" xfId="34764"/>
    <cellStyle name="常规 2 5 3 13 2 2 2 4" xfId="34765"/>
    <cellStyle name="常规 2 5 3 13 2 2 3" xfId="34766"/>
    <cellStyle name="常规 2 5 3 13 2 2 4" xfId="34767"/>
    <cellStyle name="常规 2 5 3 13 2 2 5" xfId="34768"/>
    <cellStyle name="常规 2 5 3 13 2 3" xfId="34769"/>
    <cellStyle name="常规 2 5 3 13 2 3 2" xfId="34770"/>
    <cellStyle name="常规 2 5 3 13 2 3 2 2" xfId="34771"/>
    <cellStyle name="常规 2 5 3 13 2 3 2 3" xfId="34772"/>
    <cellStyle name="常规 2 5 3 13 2 3 2 4" xfId="34773"/>
    <cellStyle name="常规 2 5 3 13 2 3 3" xfId="34774"/>
    <cellStyle name="常规 2 5 3 13 2 3 4" xfId="34775"/>
    <cellStyle name="常规 2 5 3 13 2 3 5" xfId="34776"/>
    <cellStyle name="常规 2 5 3 13 2 4" xfId="34777"/>
    <cellStyle name="常规 2 5 3 13 2 4 2" xfId="34778"/>
    <cellStyle name="常规 2 5 3 13 2 4 3" xfId="34779"/>
    <cellStyle name="常规 2 5 3 13 2 4 4" xfId="34780"/>
    <cellStyle name="常规 2 5 3 13 2 5" xfId="34781"/>
    <cellStyle name="常规 2 5 3 13 2 6" xfId="34782"/>
    <cellStyle name="常规 2 5 3 13 2 7" xfId="34783"/>
    <cellStyle name="常规 2 5 3 13 3" xfId="34784"/>
    <cellStyle name="常规 2 5 3 13 3 2" xfId="34785"/>
    <cellStyle name="常规 2 5 3 13 3 2 2" xfId="34786"/>
    <cellStyle name="常规 2 5 3 13 3 2 3" xfId="34787"/>
    <cellStyle name="常规 2 5 3 13 3 2 4" xfId="34788"/>
    <cellStyle name="常规 2 5 3 13 3 3" xfId="34789"/>
    <cellStyle name="常规 2 5 3 13 3 4" xfId="34790"/>
    <cellStyle name="常规 2 5 3 13 3 5" xfId="34791"/>
    <cellStyle name="常规 2 5 3 13 4" xfId="34792"/>
    <cellStyle name="常规 2 5 3 13 4 2" xfId="34793"/>
    <cellStyle name="常规 2 5 3 13 4 2 2" xfId="34794"/>
    <cellStyle name="常规 2 5 3 13 4 2 3" xfId="34795"/>
    <cellStyle name="常规 2 5 3 13 4 2 4" xfId="34796"/>
    <cellStyle name="常规 2 5 3 13 4 3" xfId="34797"/>
    <cellStyle name="常规 2 5 3 13 4 4" xfId="34798"/>
    <cellStyle name="常规 2 5 3 13 4 5" xfId="34799"/>
    <cellStyle name="常规 2 5 3 13 5" xfId="34800"/>
    <cellStyle name="常规 2 5 3 13 5 2" xfId="34801"/>
    <cellStyle name="常规 2 5 3 13 5 3" xfId="34802"/>
    <cellStyle name="常规 2 5 3 13 5 4" xfId="34803"/>
    <cellStyle name="常规 2 5 3 13 6" xfId="34804"/>
    <cellStyle name="常规 2 5 3 13 7" xfId="34805"/>
    <cellStyle name="常规 2 5 3 13 8" xfId="34806"/>
    <cellStyle name="常规 2 5 3 14" xfId="34807"/>
    <cellStyle name="常规 2 5 3 14 2" xfId="34808"/>
    <cellStyle name="常规 2 5 3 14 2 2" xfId="34809"/>
    <cellStyle name="常规 2 5 3 14 2 2 2" xfId="34810"/>
    <cellStyle name="常规 2 5 3 14 2 2 2 2" xfId="34811"/>
    <cellStyle name="常规 2 5 3 14 2 2 2 3" xfId="34812"/>
    <cellStyle name="常规 2 5 3 14 2 2 2 4" xfId="34813"/>
    <cellStyle name="常规 2 5 3 14 2 2 3" xfId="34814"/>
    <cellStyle name="常规 2 5 3 14 2 2 4" xfId="34815"/>
    <cellStyle name="常规 2 5 3 14 2 2 5" xfId="34816"/>
    <cellStyle name="常规 2 5 3 14 2 3" xfId="34817"/>
    <cellStyle name="常规 2 5 3 14 2 3 2" xfId="34818"/>
    <cellStyle name="常规 2 5 3 14 2 3 2 2" xfId="34819"/>
    <cellStyle name="常规 2 5 3 14 2 3 2 3" xfId="34820"/>
    <cellStyle name="常规 2 5 3 14 2 3 2 4" xfId="34821"/>
    <cellStyle name="常规 2 5 3 14 2 3 3" xfId="34822"/>
    <cellStyle name="常规 2 5 3 14 2 3 4" xfId="34823"/>
    <cellStyle name="常规 2 5 3 14 2 3 5" xfId="34824"/>
    <cellStyle name="常规 2 5 3 14 2 4" xfId="34825"/>
    <cellStyle name="常规 2 5 3 14 2 4 2" xfId="34826"/>
    <cellStyle name="常规 2 5 3 14 2 4 3" xfId="34827"/>
    <cellStyle name="常规 2 5 3 14 2 4 4" xfId="34828"/>
    <cellStyle name="常规 2 5 3 14 2 5" xfId="34829"/>
    <cellStyle name="常规 2 5 3 14 2 6" xfId="34830"/>
    <cellStyle name="常规 2 5 3 14 2 7" xfId="34831"/>
    <cellStyle name="常规 2 5 3 14 3" xfId="34832"/>
    <cellStyle name="常规 2 5 3 14 3 2" xfId="34833"/>
    <cellStyle name="常规 2 5 3 14 3 2 2" xfId="34834"/>
    <cellStyle name="常规 2 5 3 14 3 2 3" xfId="34835"/>
    <cellStyle name="常规 2 5 3 14 3 2 4" xfId="34836"/>
    <cellStyle name="常规 2 5 3 14 3 3" xfId="34837"/>
    <cellStyle name="常规 2 5 3 14 3 4" xfId="34838"/>
    <cellStyle name="常规 2 5 3 14 3 5" xfId="34839"/>
    <cellStyle name="常规 2 5 3 14 4" xfId="34840"/>
    <cellStyle name="常规 2 5 3 14 4 2" xfId="34841"/>
    <cellStyle name="常规 2 5 3 14 4 2 2" xfId="34842"/>
    <cellStyle name="常规 2 5 3 14 4 2 3" xfId="34843"/>
    <cellStyle name="常规 2 5 3 14 4 2 4" xfId="34844"/>
    <cellStyle name="常规 2 5 3 14 4 3" xfId="34845"/>
    <cellStyle name="常规 2 5 3 14 4 4" xfId="34846"/>
    <cellStyle name="常规 2 5 3 14 4 5" xfId="34847"/>
    <cellStyle name="常规 2 5 3 14 5" xfId="34848"/>
    <cellStyle name="常规 2 5 3 14 5 2" xfId="34849"/>
    <cellStyle name="常规 2 5 3 14 5 3" xfId="34850"/>
    <cellStyle name="常规 2 5 3 14 5 4" xfId="34851"/>
    <cellStyle name="常规 2 5 3 14 6" xfId="34852"/>
    <cellStyle name="常规 2 5 3 14 7" xfId="34853"/>
    <cellStyle name="常规 2 5 3 14 8" xfId="34854"/>
    <cellStyle name="常规 2 5 3 15" xfId="34855"/>
    <cellStyle name="常规 2 5 3 15 2" xfId="34856"/>
    <cellStyle name="常规 2 5 3 15 2 2" xfId="34857"/>
    <cellStyle name="常规 2 5 3 15 2 3" xfId="34858"/>
    <cellStyle name="常规 2 5 3 15 2 4" xfId="34859"/>
    <cellStyle name="常规 2 5 3 15 3" xfId="34860"/>
    <cellStyle name="常规 2 5 3 15 4" xfId="34861"/>
    <cellStyle name="常规 2 5 3 15 5" xfId="34862"/>
    <cellStyle name="常规 2 5 3 16" xfId="34863"/>
    <cellStyle name="常规 2 5 3 16 2" xfId="34864"/>
    <cellStyle name="常规 2 5 3 16 2 2" xfId="34865"/>
    <cellStyle name="常规 2 5 3 16 2 3" xfId="34866"/>
    <cellStyle name="常规 2 5 3 16 2 4" xfId="34867"/>
    <cellStyle name="常规 2 5 3 16 3" xfId="34868"/>
    <cellStyle name="常规 2 5 3 16 4" xfId="34869"/>
    <cellStyle name="常规 2 5 3 16 5" xfId="34870"/>
    <cellStyle name="常规 2 5 3 17" xfId="34871"/>
    <cellStyle name="常规 2 5 3 17 2" xfId="34872"/>
    <cellStyle name="常规 2 5 3 17 3" xfId="34873"/>
    <cellStyle name="常规 2 5 3 17 4" xfId="34874"/>
    <cellStyle name="常规 2 5 3 18" xfId="34875"/>
    <cellStyle name="常规 2 5 3 19" xfId="34876"/>
    <cellStyle name="常规 2 5 3 2" xfId="34877"/>
    <cellStyle name="常规 2 5 3 2 10" xfId="34878"/>
    <cellStyle name="常规 2 5 3 2 2" xfId="34879"/>
    <cellStyle name="常规 2 5 3 2 2 2" xfId="34880"/>
    <cellStyle name="常规 2 5 3 2 2 2 2" xfId="34881"/>
    <cellStyle name="常规 2 5 3 2 2 2 2 2" xfId="34882"/>
    <cellStyle name="常规 2 5 3 2 2 2 2 2 2" xfId="34883"/>
    <cellStyle name="常规 2 5 3 2 2 2 2 2 3" xfId="34884"/>
    <cellStyle name="常规 2 5 3 2 2 2 2 2 4" xfId="34885"/>
    <cellStyle name="常规 2 5 3 2 2 2 2 3" xfId="34886"/>
    <cellStyle name="常规 2 5 3 2 2 2 2 4" xfId="34887"/>
    <cellStyle name="常规 2 5 3 2 2 2 2 5" xfId="34888"/>
    <cellStyle name="常规 2 5 3 2 2 2 3" xfId="34889"/>
    <cellStyle name="常规 2 5 3 2 2 2 3 2" xfId="34890"/>
    <cellStyle name="常规 2 5 3 2 2 2 3 2 2" xfId="34891"/>
    <cellStyle name="常规 2 5 3 2 2 2 3 2 3" xfId="34892"/>
    <cellStyle name="常规 2 5 3 2 2 2 3 2 4" xfId="34893"/>
    <cellStyle name="常规 2 5 3 2 2 2 3 3" xfId="34894"/>
    <cellStyle name="常规 2 5 3 2 2 2 3 4" xfId="34895"/>
    <cellStyle name="常规 2 5 3 2 2 2 3 5" xfId="34896"/>
    <cellStyle name="常规 2 5 3 2 2 2 4" xfId="34897"/>
    <cellStyle name="常规 2 5 3 2 2 2 4 2" xfId="34898"/>
    <cellStyle name="常规 2 5 3 2 2 2 4 3" xfId="34899"/>
    <cellStyle name="常规 2 5 3 2 2 2 4 4" xfId="34900"/>
    <cellStyle name="常规 2 5 3 2 2 2 5" xfId="34901"/>
    <cellStyle name="常规 2 5 3 2 2 2 6" xfId="34902"/>
    <cellStyle name="常规 2 5 3 2 2 2 7" xfId="34903"/>
    <cellStyle name="常规 2 5 3 2 2 3" xfId="34904"/>
    <cellStyle name="常规 2 5 3 2 2 3 2" xfId="34905"/>
    <cellStyle name="常规 2 5 3 2 2 3 2 2" xfId="34906"/>
    <cellStyle name="常规 2 5 3 2 2 3 2 3" xfId="34907"/>
    <cellStyle name="常规 2 5 3 2 2 3 2 4" xfId="34908"/>
    <cellStyle name="常规 2 5 3 2 2 3 3" xfId="34909"/>
    <cellStyle name="常规 2 5 3 2 2 3 4" xfId="34910"/>
    <cellStyle name="常规 2 5 3 2 2 3 5" xfId="34911"/>
    <cellStyle name="常规 2 5 3 2 2 4" xfId="34912"/>
    <cellStyle name="常规 2 5 3 2 2 4 2" xfId="34913"/>
    <cellStyle name="常规 2 5 3 2 2 4 2 2" xfId="34914"/>
    <cellStyle name="常规 2 5 3 2 2 4 2 3" xfId="34915"/>
    <cellStyle name="常规 2 5 3 2 2 4 2 4" xfId="34916"/>
    <cellStyle name="常规 2 5 3 2 2 4 3" xfId="34917"/>
    <cellStyle name="常规 2 5 3 2 2 4 4" xfId="34918"/>
    <cellStyle name="常规 2 5 3 2 2 4 5" xfId="34919"/>
    <cellStyle name="常规 2 5 3 2 2 5" xfId="34920"/>
    <cellStyle name="常规 2 5 3 2 2 5 2" xfId="34921"/>
    <cellStyle name="常规 2 5 3 2 2 5 3" xfId="34922"/>
    <cellStyle name="常规 2 5 3 2 2 5 4" xfId="34923"/>
    <cellStyle name="常规 2 5 3 2 2 6" xfId="34924"/>
    <cellStyle name="常规 2 5 3 2 2 7" xfId="34925"/>
    <cellStyle name="常规 2 5 3 2 2 8" xfId="34926"/>
    <cellStyle name="常规 2 5 3 2 2 9" xfId="34927"/>
    <cellStyle name="常规 2 5 3 2 2 9 2" xfId="34928"/>
    <cellStyle name="常规 2 5 3 2 3" xfId="34929"/>
    <cellStyle name="常规 2 5 3 2 3 2" xfId="34930"/>
    <cellStyle name="常规 2 5 3 2 3 2 2" xfId="34931"/>
    <cellStyle name="常规 2 5 3 2 3 2 3" xfId="34932"/>
    <cellStyle name="常规 2 5 3 2 3 2 4" xfId="34933"/>
    <cellStyle name="常规 2 5 3 2 3 3" xfId="34934"/>
    <cellStyle name="常规 2 5 3 2 3 4" xfId="34935"/>
    <cellStyle name="常规 2 5 3 2 3 5" xfId="34936"/>
    <cellStyle name="常规 2 5 3 2 3 6" xfId="34937"/>
    <cellStyle name="常规 2 5 3 2 3 6 2" xfId="34938"/>
    <cellStyle name="常规 2 5 3 2 4" xfId="34939"/>
    <cellStyle name="常规 2 5 3 2 4 2" xfId="34940"/>
    <cellStyle name="常规 2 5 3 2 4 2 2" xfId="34941"/>
    <cellStyle name="常规 2 5 3 2 4 2 3" xfId="34942"/>
    <cellStyle name="常规 2 5 3 2 4 2 4" xfId="34943"/>
    <cellStyle name="常规 2 5 3 2 4 2 5" xfId="34944"/>
    <cellStyle name="常规 2 5 3 2 4 3" xfId="34945"/>
    <cellStyle name="常规 2 5 3 2 4 4" xfId="34946"/>
    <cellStyle name="常规 2 5 3 2 4 5" xfId="34947"/>
    <cellStyle name="常规 2 5 3 2 4 6" xfId="34948"/>
    <cellStyle name="常规 2 5 3 2 5" xfId="34949"/>
    <cellStyle name="常规 2 5 3 2 5 2" xfId="34950"/>
    <cellStyle name="常规 2 5 3 2 5 2 2" xfId="34951"/>
    <cellStyle name="常规 2 5 3 2 5 3" xfId="34952"/>
    <cellStyle name="常规 2 5 3 2 5 4" xfId="34953"/>
    <cellStyle name="常规 2 5 3 2 5 5" xfId="34954"/>
    <cellStyle name="常规 2 5 3 2 6" xfId="34955"/>
    <cellStyle name="常规 2 5 3 2 7" xfId="34956"/>
    <cellStyle name="常规 2 5 3 2 8" xfId="34957"/>
    <cellStyle name="常规 2 5 3 2 9" xfId="34958"/>
    <cellStyle name="常规 2 5 3 2 9 2" xfId="34959"/>
    <cellStyle name="常规 2 5 3 20" xfId="34960"/>
    <cellStyle name="常规 2 5 3 21" xfId="34961"/>
    <cellStyle name="常规 2 5 3 21 2" xfId="34962"/>
    <cellStyle name="常规 2 5 3 22" xfId="34963"/>
    <cellStyle name="常规 2 5 3 3" xfId="34964"/>
    <cellStyle name="常规 2 5 3 3 10" xfId="34965"/>
    <cellStyle name="常规 2 5 3 3 2" xfId="34966"/>
    <cellStyle name="常规 2 5 3 3 2 10" xfId="34967"/>
    <cellStyle name="常规 2 5 3 3 2 2" xfId="34968"/>
    <cellStyle name="常规 2 5 3 3 2 2 2" xfId="34969"/>
    <cellStyle name="常规 2 5 3 3 2 2 2 2" xfId="34970"/>
    <cellStyle name="常规 2 5 3 3 2 2 2 2 2" xfId="34971"/>
    <cellStyle name="常规 2 5 3 3 2 2 2 2 3" xfId="34972"/>
    <cellStyle name="常规 2 5 3 3 2 2 2 2 4" xfId="34973"/>
    <cellStyle name="常规 2 5 3 3 2 2 2 3" xfId="34974"/>
    <cellStyle name="常规 2 5 3 3 2 2 2 4" xfId="34975"/>
    <cellStyle name="常规 2 5 3 3 2 2 2 5" xfId="34976"/>
    <cellStyle name="常规 2 5 3 3 2 2 3" xfId="34977"/>
    <cellStyle name="常规 2 5 3 3 2 2 3 2" xfId="34978"/>
    <cellStyle name="常规 2 5 3 3 2 2 3 2 2" xfId="34979"/>
    <cellStyle name="常规 2 5 3 3 2 2 3 2 3" xfId="34980"/>
    <cellStyle name="常规 2 5 3 3 2 2 3 2 4" xfId="34981"/>
    <cellStyle name="常规 2 5 3 3 2 2 3 3" xfId="34982"/>
    <cellStyle name="常规 2 5 3 3 2 2 3 4" xfId="34983"/>
    <cellStyle name="常规 2 5 3 3 2 2 3 5" xfId="34984"/>
    <cellStyle name="常规 2 5 3 3 2 2 4" xfId="34985"/>
    <cellStyle name="常规 2 5 3 3 2 2 4 2" xfId="34986"/>
    <cellStyle name="常规 2 5 3 3 2 2 4 3" xfId="34987"/>
    <cellStyle name="常规 2 5 3 3 2 2 4 4" xfId="34988"/>
    <cellStyle name="常规 2 5 3 3 2 2 5" xfId="34989"/>
    <cellStyle name="常规 2 5 3 3 2 2 6" xfId="34990"/>
    <cellStyle name="常规 2 5 3 3 2 2 7" xfId="34991"/>
    <cellStyle name="常规 2 5 3 3 2 2 8" xfId="34992"/>
    <cellStyle name="常规 2 5 3 3 2 3" xfId="34993"/>
    <cellStyle name="常规 2 5 3 3 2 3 2" xfId="34994"/>
    <cellStyle name="常规 2 5 3 3 2 3 2 2" xfId="34995"/>
    <cellStyle name="常规 2 5 3 3 2 3 2 3" xfId="34996"/>
    <cellStyle name="常规 2 5 3 3 2 3 2 4" xfId="34997"/>
    <cellStyle name="常规 2 5 3 3 2 3 3" xfId="34998"/>
    <cellStyle name="常规 2 5 3 3 2 3 4" xfId="34999"/>
    <cellStyle name="常规 2 5 3 3 2 3 5" xfId="35000"/>
    <cellStyle name="常规 2 5 3 3 2 4" xfId="35001"/>
    <cellStyle name="常规 2 5 3 3 2 4 2" xfId="35002"/>
    <cellStyle name="常规 2 5 3 3 2 4 2 2" xfId="35003"/>
    <cellStyle name="常规 2 5 3 3 2 4 2 3" xfId="35004"/>
    <cellStyle name="常规 2 5 3 3 2 4 2 4" xfId="35005"/>
    <cellStyle name="常规 2 5 3 3 2 4 3" xfId="35006"/>
    <cellStyle name="常规 2 5 3 3 2 4 4" xfId="35007"/>
    <cellStyle name="常规 2 5 3 3 2 4 5" xfId="35008"/>
    <cellStyle name="常规 2 5 3 3 2 5" xfId="35009"/>
    <cellStyle name="常规 2 5 3 3 2 5 2" xfId="35010"/>
    <cellStyle name="常规 2 5 3 3 2 5 3" xfId="35011"/>
    <cellStyle name="常规 2 5 3 3 2 5 4" xfId="35012"/>
    <cellStyle name="常规 2 5 3 3 2 6" xfId="35013"/>
    <cellStyle name="常规 2 5 3 3 2 7" xfId="35014"/>
    <cellStyle name="常规 2 5 3 3 2 8" xfId="35015"/>
    <cellStyle name="常规 2 5 3 3 2 9" xfId="35016"/>
    <cellStyle name="常规 2 5 3 3 2 9 2" xfId="35017"/>
    <cellStyle name="常规 2 5 3 3 3" xfId="35018"/>
    <cellStyle name="常规 2 5 3 3 3 2" xfId="35019"/>
    <cellStyle name="常规 2 5 3 3 3 2 2" xfId="35020"/>
    <cellStyle name="常规 2 5 3 3 3 2 3" xfId="35021"/>
    <cellStyle name="常规 2 5 3 3 3 2 4" xfId="35022"/>
    <cellStyle name="常规 2 5 3 3 3 2 5" xfId="35023"/>
    <cellStyle name="常规 2 5 3 3 3 3" xfId="35024"/>
    <cellStyle name="常规 2 5 3 3 3 4" xfId="35025"/>
    <cellStyle name="常规 2 5 3 3 3 5" xfId="35026"/>
    <cellStyle name="常规 2 5 3 3 3 6" xfId="35027"/>
    <cellStyle name="常规 2 5 3 3 4" xfId="35028"/>
    <cellStyle name="常规 2 5 3 3 4 2" xfId="35029"/>
    <cellStyle name="常规 2 5 3 3 4 2 2" xfId="35030"/>
    <cellStyle name="常规 2 5 3 3 4 2 3" xfId="35031"/>
    <cellStyle name="常规 2 5 3 3 4 2 4" xfId="35032"/>
    <cellStyle name="常规 2 5 3 3 4 2 5" xfId="35033"/>
    <cellStyle name="常规 2 5 3 3 4 3" xfId="35034"/>
    <cellStyle name="常规 2 5 3 3 4 4" xfId="35035"/>
    <cellStyle name="常规 2 5 3 3 4 5" xfId="35036"/>
    <cellStyle name="常规 2 5 3 3 4 6" xfId="35037"/>
    <cellStyle name="常规 2 5 3 3 5" xfId="35038"/>
    <cellStyle name="常规 2 5 3 3 5 2" xfId="35039"/>
    <cellStyle name="常规 2 5 3 3 5 3" xfId="35040"/>
    <cellStyle name="常规 2 5 3 3 5 4" xfId="35041"/>
    <cellStyle name="常规 2 5 3 3 5 5" xfId="35042"/>
    <cellStyle name="常规 2 5 3 3 6" xfId="35043"/>
    <cellStyle name="常规 2 5 3 3 7" xfId="35044"/>
    <cellStyle name="常规 2 5 3 3 8" xfId="35045"/>
    <cellStyle name="常规 2 5 3 3 9" xfId="35046"/>
    <cellStyle name="常规 2 5 3 3 9 2" xfId="35047"/>
    <cellStyle name="常规 2 5 3 4" xfId="35048"/>
    <cellStyle name="常规 2 5 3 4 2" xfId="35049"/>
    <cellStyle name="常规 2 5 3 4 2 2" xfId="35050"/>
    <cellStyle name="常规 2 5 3 4 2 2 2" xfId="35051"/>
    <cellStyle name="常规 2 5 3 4 2 2 2 2" xfId="35052"/>
    <cellStyle name="常规 2 5 3 4 2 2 2 2 2" xfId="35053"/>
    <cellStyle name="常规 2 5 3 4 2 2 2 2 3" xfId="35054"/>
    <cellStyle name="常规 2 5 3 4 2 2 2 2 4" xfId="35055"/>
    <cellStyle name="常规 2 5 3 4 2 2 2 3" xfId="35056"/>
    <cellStyle name="常规 2 5 3 4 2 2 2 4" xfId="35057"/>
    <cellStyle name="常规 2 5 3 4 2 2 2 5" xfId="35058"/>
    <cellStyle name="常规 2 5 3 4 2 2 3" xfId="35059"/>
    <cellStyle name="常规 2 5 3 4 2 2 3 2" xfId="35060"/>
    <cellStyle name="常规 2 5 3 4 2 2 3 2 2" xfId="35061"/>
    <cellStyle name="常规 2 5 3 4 2 2 3 2 3" xfId="35062"/>
    <cellStyle name="常规 2 5 3 4 2 2 3 2 4" xfId="35063"/>
    <cellStyle name="常规 2 5 3 4 2 2 3 3" xfId="35064"/>
    <cellStyle name="常规 2 5 3 4 2 2 3 4" xfId="35065"/>
    <cellStyle name="常规 2 5 3 4 2 2 3 5" xfId="35066"/>
    <cellStyle name="常规 2 5 3 4 2 2 4" xfId="35067"/>
    <cellStyle name="常规 2 5 3 4 2 2 4 2" xfId="35068"/>
    <cellStyle name="常规 2 5 3 4 2 2 4 3" xfId="35069"/>
    <cellStyle name="常规 2 5 3 4 2 2 4 4" xfId="35070"/>
    <cellStyle name="常规 2 5 3 4 2 2 5" xfId="35071"/>
    <cellStyle name="常规 2 5 3 4 2 2 6" xfId="35072"/>
    <cellStyle name="常规 2 5 3 4 2 2 7" xfId="35073"/>
    <cellStyle name="常规 2 5 3 4 2 3" xfId="35074"/>
    <cellStyle name="常规 2 5 3 4 2 3 2" xfId="35075"/>
    <cellStyle name="常规 2 5 3 4 2 3 2 2" xfId="35076"/>
    <cellStyle name="常规 2 5 3 4 2 3 2 3" xfId="35077"/>
    <cellStyle name="常规 2 5 3 4 2 3 2 4" xfId="35078"/>
    <cellStyle name="常规 2 5 3 4 2 3 3" xfId="35079"/>
    <cellStyle name="常规 2 5 3 4 2 3 4" xfId="35080"/>
    <cellStyle name="常规 2 5 3 4 2 3 5" xfId="35081"/>
    <cellStyle name="常规 2 5 3 4 2 4" xfId="35082"/>
    <cellStyle name="常规 2 5 3 4 2 4 2" xfId="35083"/>
    <cellStyle name="常规 2 5 3 4 2 4 2 2" xfId="35084"/>
    <cellStyle name="常规 2 5 3 4 2 4 2 3" xfId="35085"/>
    <cellStyle name="常规 2 5 3 4 2 4 2 4" xfId="35086"/>
    <cellStyle name="常规 2 5 3 4 2 4 3" xfId="35087"/>
    <cellStyle name="常规 2 5 3 4 2 4 4" xfId="35088"/>
    <cellStyle name="常规 2 5 3 4 2 4 5" xfId="35089"/>
    <cellStyle name="常规 2 5 3 4 2 5" xfId="35090"/>
    <cellStyle name="常规 2 5 3 4 2 5 2" xfId="35091"/>
    <cellStyle name="常规 2 5 3 4 2 5 3" xfId="35092"/>
    <cellStyle name="常规 2 5 3 4 2 5 4" xfId="35093"/>
    <cellStyle name="常规 2 5 3 4 2 6" xfId="35094"/>
    <cellStyle name="常规 2 5 3 4 2 7" xfId="35095"/>
    <cellStyle name="常规 2 5 3 4 2 8" xfId="35096"/>
    <cellStyle name="常规 2 5 3 4 3" xfId="35097"/>
    <cellStyle name="常规 2 5 3 4 3 2" xfId="35098"/>
    <cellStyle name="常规 2 5 3 4 3 2 2" xfId="35099"/>
    <cellStyle name="常规 2 5 3 4 3 2 3" xfId="35100"/>
    <cellStyle name="常规 2 5 3 4 3 2 4" xfId="35101"/>
    <cellStyle name="常规 2 5 3 4 3 3" xfId="35102"/>
    <cellStyle name="常规 2 5 3 4 3 4" xfId="35103"/>
    <cellStyle name="常规 2 5 3 4 3 5" xfId="35104"/>
    <cellStyle name="常规 2 5 3 4 4" xfId="35105"/>
    <cellStyle name="常规 2 5 3 4 4 2" xfId="35106"/>
    <cellStyle name="常规 2 5 3 4 4 2 2" xfId="35107"/>
    <cellStyle name="常规 2 5 3 4 4 2 3" xfId="35108"/>
    <cellStyle name="常规 2 5 3 4 4 2 4" xfId="35109"/>
    <cellStyle name="常规 2 5 3 4 4 3" xfId="35110"/>
    <cellStyle name="常规 2 5 3 4 4 4" xfId="35111"/>
    <cellStyle name="常规 2 5 3 4 4 5" xfId="35112"/>
    <cellStyle name="常规 2 5 3 4 5" xfId="35113"/>
    <cellStyle name="常规 2 5 3 4 5 2" xfId="35114"/>
    <cellStyle name="常规 2 5 3 4 5 3" xfId="35115"/>
    <cellStyle name="常规 2 5 3 4 5 4" xfId="35116"/>
    <cellStyle name="常规 2 5 3 4 6" xfId="35117"/>
    <cellStyle name="常规 2 5 3 4 7" xfId="35118"/>
    <cellStyle name="常规 2 5 3 4 8" xfId="35119"/>
    <cellStyle name="常规 2 5 3 4 9" xfId="35120"/>
    <cellStyle name="常规 2 5 3 4 9 2" xfId="35121"/>
    <cellStyle name="常规 2 5 3 5" xfId="35122"/>
    <cellStyle name="常规 2 5 3 5 2" xfId="35123"/>
    <cellStyle name="常规 2 5 3 5 2 2" xfId="35124"/>
    <cellStyle name="常规 2 5 3 5 2 2 2" xfId="35125"/>
    <cellStyle name="常规 2 5 3 5 2 2 2 2" xfId="35126"/>
    <cellStyle name="常规 2 5 3 5 2 2 2 2 2" xfId="35127"/>
    <cellStyle name="常规 2 5 3 5 2 2 2 2 3" xfId="35128"/>
    <cellStyle name="常规 2 5 3 5 2 2 2 2 4" xfId="35129"/>
    <cellStyle name="常规 2 5 3 5 2 2 2 3" xfId="35130"/>
    <cellStyle name="常规 2 5 3 5 2 2 2 4" xfId="35131"/>
    <cellStyle name="常规 2 5 3 5 2 2 2 5" xfId="35132"/>
    <cellStyle name="常规 2 5 3 5 2 2 3" xfId="35133"/>
    <cellStyle name="常规 2 5 3 5 2 2 3 2" xfId="35134"/>
    <cellStyle name="常规 2 5 3 5 2 2 3 2 2" xfId="35135"/>
    <cellStyle name="常规 2 5 3 5 2 2 3 2 3" xfId="35136"/>
    <cellStyle name="常规 2 5 3 5 2 2 3 2 4" xfId="35137"/>
    <cellStyle name="常规 2 5 3 5 2 2 3 3" xfId="35138"/>
    <cellStyle name="常规 2 5 3 5 2 2 3 4" xfId="35139"/>
    <cellStyle name="常规 2 5 3 5 2 2 3 5" xfId="35140"/>
    <cellStyle name="常规 2 5 3 5 2 2 4" xfId="35141"/>
    <cellStyle name="常规 2 5 3 5 2 2 4 2" xfId="35142"/>
    <cellStyle name="常规 2 5 3 5 2 2 4 3" xfId="35143"/>
    <cellStyle name="常规 2 5 3 5 2 2 4 4" xfId="35144"/>
    <cellStyle name="常规 2 5 3 5 2 2 5" xfId="35145"/>
    <cellStyle name="常规 2 5 3 5 2 2 6" xfId="35146"/>
    <cellStyle name="常规 2 5 3 5 2 2 7" xfId="35147"/>
    <cellStyle name="常规 2 5 3 5 2 3" xfId="35148"/>
    <cellStyle name="常规 2 5 3 5 2 3 2" xfId="35149"/>
    <cellStyle name="常规 2 5 3 5 2 3 2 2" xfId="35150"/>
    <cellStyle name="常规 2 5 3 5 2 3 2 3" xfId="35151"/>
    <cellStyle name="常规 2 5 3 5 2 3 2 4" xfId="35152"/>
    <cellStyle name="常规 2 5 3 5 2 3 3" xfId="35153"/>
    <cellStyle name="常规 2 5 3 5 2 3 4" xfId="35154"/>
    <cellStyle name="常规 2 5 3 5 2 3 5" xfId="35155"/>
    <cellStyle name="常规 2 5 3 5 2 4" xfId="35156"/>
    <cellStyle name="常规 2 5 3 5 2 4 2" xfId="35157"/>
    <cellStyle name="常规 2 5 3 5 2 4 2 2" xfId="35158"/>
    <cellStyle name="常规 2 5 3 5 2 4 2 3" xfId="35159"/>
    <cellStyle name="常规 2 5 3 5 2 4 2 4" xfId="35160"/>
    <cellStyle name="常规 2 5 3 5 2 4 3" xfId="35161"/>
    <cellStyle name="常规 2 5 3 5 2 4 4" xfId="35162"/>
    <cellStyle name="常规 2 5 3 5 2 4 5" xfId="35163"/>
    <cellStyle name="常规 2 5 3 5 2 5" xfId="35164"/>
    <cellStyle name="常规 2 5 3 5 2 5 2" xfId="35165"/>
    <cellStyle name="常规 2 5 3 5 2 5 3" xfId="35166"/>
    <cellStyle name="常规 2 5 3 5 2 5 4" xfId="35167"/>
    <cellStyle name="常规 2 5 3 5 2 6" xfId="35168"/>
    <cellStyle name="常规 2 5 3 5 2 7" xfId="35169"/>
    <cellStyle name="常规 2 5 3 5 2 8" xfId="35170"/>
    <cellStyle name="常规 2 5 3 5 3" xfId="35171"/>
    <cellStyle name="常规 2 5 3 5 3 2" xfId="35172"/>
    <cellStyle name="常规 2 5 3 5 3 2 2" xfId="35173"/>
    <cellStyle name="常规 2 5 3 5 3 2 3" xfId="35174"/>
    <cellStyle name="常规 2 5 3 5 3 2 4" xfId="35175"/>
    <cellStyle name="常规 2 5 3 5 3 3" xfId="35176"/>
    <cellStyle name="常规 2 5 3 5 3 4" xfId="35177"/>
    <cellStyle name="常规 2 5 3 5 3 5" xfId="35178"/>
    <cellStyle name="常规 2 5 3 5 4" xfId="35179"/>
    <cellStyle name="常规 2 5 3 5 4 2" xfId="35180"/>
    <cellStyle name="常规 2 5 3 5 4 2 2" xfId="35181"/>
    <cellStyle name="常规 2 5 3 5 4 2 3" xfId="35182"/>
    <cellStyle name="常规 2 5 3 5 4 2 4" xfId="35183"/>
    <cellStyle name="常规 2 5 3 5 4 3" xfId="35184"/>
    <cellStyle name="常规 2 5 3 5 4 4" xfId="35185"/>
    <cellStyle name="常规 2 5 3 5 4 5" xfId="35186"/>
    <cellStyle name="常规 2 5 3 5 5" xfId="35187"/>
    <cellStyle name="常规 2 5 3 5 5 2" xfId="35188"/>
    <cellStyle name="常规 2 5 3 5 5 3" xfId="35189"/>
    <cellStyle name="常规 2 5 3 5 5 4" xfId="35190"/>
    <cellStyle name="常规 2 5 3 5 6" xfId="35191"/>
    <cellStyle name="常规 2 5 3 5 7" xfId="35192"/>
    <cellStyle name="常规 2 5 3 5 8" xfId="35193"/>
    <cellStyle name="常规 2 5 3 5 9" xfId="35194"/>
    <cellStyle name="常规 2 5 3 5 9 2" xfId="35195"/>
    <cellStyle name="常规 2 5 3 6" xfId="35196"/>
    <cellStyle name="常规 2 5 3 6 2" xfId="35197"/>
    <cellStyle name="常规 2 5 3 6 2 2" xfId="35198"/>
    <cellStyle name="常规 2 5 3 6 2 2 2" xfId="35199"/>
    <cellStyle name="常规 2 5 3 6 2 2 2 2" xfId="35200"/>
    <cellStyle name="常规 2 5 3 6 2 2 2 2 2" xfId="35201"/>
    <cellStyle name="常规 2 5 3 6 2 2 2 2 3" xfId="35202"/>
    <cellStyle name="常规 2 5 3 6 2 2 2 2 4" xfId="35203"/>
    <cellStyle name="常规 2 5 3 6 2 2 2 3" xfId="35204"/>
    <cellStyle name="常规 2 5 3 6 2 2 2 4" xfId="35205"/>
    <cellStyle name="常规 2 5 3 6 2 2 2 5" xfId="35206"/>
    <cellStyle name="常规 2 5 3 6 2 2 3" xfId="35207"/>
    <cellStyle name="常规 2 5 3 6 2 2 3 2" xfId="35208"/>
    <cellStyle name="常规 2 5 3 6 2 2 3 2 2" xfId="35209"/>
    <cellStyle name="常规 2 5 3 6 2 2 3 2 3" xfId="35210"/>
    <cellStyle name="常规 2 5 3 6 2 2 3 2 4" xfId="35211"/>
    <cellStyle name="常规 2 5 3 6 2 2 3 3" xfId="35212"/>
    <cellStyle name="常规 2 5 3 6 2 2 3 4" xfId="35213"/>
    <cellStyle name="常规 2 5 3 6 2 2 3 5" xfId="35214"/>
    <cellStyle name="常规 2 5 3 6 2 2 4" xfId="35215"/>
    <cellStyle name="常规 2 5 3 6 2 2 4 2" xfId="35216"/>
    <cellStyle name="常规 2 5 3 6 2 2 4 3" xfId="35217"/>
    <cellStyle name="常规 2 5 3 6 2 2 4 4" xfId="35218"/>
    <cellStyle name="常规 2 5 3 6 2 2 5" xfId="35219"/>
    <cellStyle name="常规 2 5 3 6 2 2 6" xfId="35220"/>
    <cellStyle name="常规 2 5 3 6 2 2 7" xfId="35221"/>
    <cellStyle name="常规 2 5 3 6 2 3" xfId="35222"/>
    <cellStyle name="常规 2 5 3 6 2 3 2" xfId="35223"/>
    <cellStyle name="常规 2 5 3 6 2 3 2 2" xfId="35224"/>
    <cellStyle name="常规 2 5 3 6 2 3 2 3" xfId="35225"/>
    <cellStyle name="常规 2 5 3 6 2 3 2 4" xfId="35226"/>
    <cellStyle name="常规 2 5 3 6 2 3 3" xfId="35227"/>
    <cellStyle name="常规 2 5 3 6 2 3 4" xfId="35228"/>
    <cellStyle name="常规 2 5 3 6 2 3 5" xfId="35229"/>
    <cellStyle name="常规 2 5 3 6 2 4" xfId="35230"/>
    <cellStyle name="常规 2 5 3 6 2 4 2" xfId="35231"/>
    <cellStyle name="常规 2 5 3 6 2 4 2 2" xfId="35232"/>
    <cellStyle name="常规 2 5 3 6 2 4 2 3" xfId="35233"/>
    <cellStyle name="常规 2 5 3 6 2 4 2 4" xfId="35234"/>
    <cellStyle name="常规 2 5 3 6 2 4 3" xfId="35235"/>
    <cellStyle name="常规 2 5 3 6 2 4 4" xfId="35236"/>
    <cellStyle name="常规 2 5 3 6 2 4 5" xfId="35237"/>
    <cellStyle name="常规 2 5 3 6 2 5" xfId="35238"/>
    <cellStyle name="常规 2 5 3 6 2 5 2" xfId="35239"/>
    <cellStyle name="常规 2 5 3 6 2 5 3" xfId="35240"/>
    <cellStyle name="常规 2 5 3 6 2 5 4" xfId="35241"/>
    <cellStyle name="常规 2 5 3 6 2 6" xfId="35242"/>
    <cellStyle name="常规 2 5 3 6 2 7" xfId="35243"/>
    <cellStyle name="常规 2 5 3 6 2 8" xfId="35244"/>
    <cellStyle name="常规 2 5 3 6 3" xfId="35245"/>
    <cellStyle name="常规 2 5 3 6 3 2" xfId="35246"/>
    <cellStyle name="常规 2 5 3 6 3 2 2" xfId="35247"/>
    <cellStyle name="常规 2 5 3 6 3 2 3" xfId="35248"/>
    <cellStyle name="常规 2 5 3 6 3 2 4" xfId="35249"/>
    <cellStyle name="常规 2 5 3 6 3 3" xfId="35250"/>
    <cellStyle name="常规 2 5 3 6 3 4" xfId="35251"/>
    <cellStyle name="常规 2 5 3 6 3 5" xfId="35252"/>
    <cellStyle name="常规 2 5 3 6 4" xfId="35253"/>
    <cellStyle name="常规 2 5 3 6 4 2" xfId="35254"/>
    <cellStyle name="常规 2 5 3 6 4 2 2" xfId="35255"/>
    <cellStyle name="常规 2 5 3 6 4 2 3" xfId="35256"/>
    <cellStyle name="常规 2 5 3 6 4 2 4" xfId="35257"/>
    <cellStyle name="常规 2 5 3 6 4 3" xfId="35258"/>
    <cellStyle name="常规 2 5 3 6 4 4" xfId="35259"/>
    <cellStyle name="常规 2 5 3 6 4 5" xfId="35260"/>
    <cellStyle name="常规 2 5 3 6 5" xfId="35261"/>
    <cellStyle name="常规 2 5 3 6 5 2" xfId="35262"/>
    <cellStyle name="常规 2 5 3 6 5 3" xfId="35263"/>
    <cellStyle name="常规 2 5 3 6 5 4" xfId="35264"/>
    <cellStyle name="常规 2 5 3 6 6" xfId="35265"/>
    <cellStyle name="常规 2 5 3 6 7" xfId="35266"/>
    <cellStyle name="常规 2 5 3 6 8" xfId="35267"/>
    <cellStyle name="常规 2 5 3 6 9" xfId="35268"/>
    <cellStyle name="常规 2 5 3 6 9 2" xfId="35269"/>
    <cellStyle name="常规 2 5 3 7" xfId="35270"/>
    <cellStyle name="常规 2 5 3 7 2" xfId="35271"/>
    <cellStyle name="常规 2 5 3 7 2 2" xfId="35272"/>
    <cellStyle name="常规 2 5 3 7 2 2 2" xfId="35273"/>
    <cellStyle name="常规 2 5 3 7 2 2 2 2" xfId="35274"/>
    <cellStyle name="常规 2 5 3 7 2 2 2 3" xfId="35275"/>
    <cellStyle name="常规 2 5 3 7 2 2 2 4" xfId="35276"/>
    <cellStyle name="常规 2 5 3 7 2 2 3" xfId="35277"/>
    <cellStyle name="常规 2 5 3 7 2 2 4" xfId="35278"/>
    <cellStyle name="常规 2 5 3 7 2 2 5" xfId="35279"/>
    <cellStyle name="常规 2 5 3 7 2 3" xfId="35280"/>
    <cellStyle name="常规 2 5 3 7 2 3 2" xfId="35281"/>
    <cellStyle name="常规 2 5 3 7 2 3 2 2" xfId="35282"/>
    <cellStyle name="常规 2 5 3 7 2 3 2 3" xfId="35283"/>
    <cellStyle name="常规 2 5 3 7 2 3 2 4" xfId="35284"/>
    <cellStyle name="常规 2 5 3 7 2 3 3" xfId="35285"/>
    <cellStyle name="常规 2 5 3 7 2 3 4" xfId="35286"/>
    <cellStyle name="常规 2 5 3 7 2 3 5" xfId="35287"/>
    <cellStyle name="常规 2 5 3 7 2 4" xfId="35288"/>
    <cellStyle name="常规 2 5 3 7 2 4 2" xfId="35289"/>
    <cellStyle name="常规 2 5 3 7 2 4 3" xfId="35290"/>
    <cellStyle name="常规 2 5 3 7 2 4 4" xfId="35291"/>
    <cellStyle name="常规 2 5 3 7 2 5" xfId="35292"/>
    <cellStyle name="常规 2 5 3 7 2 6" xfId="35293"/>
    <cellStyle name="常规 2 5 3 7 2 7" xfId="35294"/>
    <cellStyle name="常规 2 5 3 7 2 8" xfId="35295"/>
    <cellStyle name="常规 2 5 3 7 3" xfId="35296"/>
    <cellStyle name="常规 2 5 3 7 3 2" xfId="35297"/>
    <cellStyle name="常规 2 5 3 7 3 2 2" xfId="35298"/>
    <cellStyle name="常规 2 5 3 7 3 2 3" xfId="35299"/>
    <cellStyle name="常规 2 5 3 7 3 2 4" xfId="35300"/>
    <cellStyle name="常规 2 5 3 7 3 3" xfId="35301"/>
    <cellStyle name="常规 2 5 3 7 3 4" xfId="35302"/>
    <cellStyle name="常规 2 5 3 7 3 5" xfId="35303"/>
    <cellStyle name="常规 2 5 3 7 4" xfId="35304"/>
    <cellStyle name="常规 2 5 3 7 4 2" xfId="35305"/>
    <cellStyle name="常规 2 5 3 7 4 2 2" xfId="35306"/>
    <cellStyle name="常规 2 5 3 7 4 2 3" xfId="35307"/>
    <cellStyle name="常规 2 5 3 7 4 2 4" xfId="35308"/>
    <cellStyle name="常规 2 5 3 7 4 3" xfId="35309"/>
    <cellStyle name="常规 2 5 3 7 4 4" xfId="35310"/>
    <cellStyle name="常规 2 5 3 7 4 5" xfId="35311"/>
    <cellStyle name="常规 2 5 3 7 5" xfId="35312"/>
    <cellStyle name="常规 2 5 3 7 5 2" xfId="35313"/>
    <cellStyle name="常规 2 5 3 7 5 3" xfId="35314"/>
    <cellStyle name="常规 2 5 3 7 5 4" xfId="35315"/>
    <cellStyle name="常规 2 5 3 7 6" xfId="35316"/>
    <cellStyle name="常规 2 5 3 7 7" xfId="35317"/>
    <cellStyle name="常规 2 5 3 7 8" xfId="35318"/>
    <cellStyle name="常规 2 5 3 7 9" xfId="35319"/>
    <cellStyle name="常规 2 5 3 8" xfId="35320"/>
    <cellStyle name="常规 2 5 3 8 2" xfId="35321"/>
    <cellStyle name="常规 2 5 3 8 2 2" xfId="35322"/>
    <cellStyle name="常规 2 5 3 8 2 2 2" xfId="35323"/>
    <cellStyle name="常规 2 5 3 8 2 2 2 2" xfId="35324"/>
    <cellStyle name="常规 2 5 3 8 2 2 2 3" xfId="35325"/>
    <cellStyle name="常规 2 5 3 8 2 2 2 4" xfId="35326"/>
    <cellStyle name="常规 2 5 3 8 2 2 3" xfId="35327"/>
    <cellStyle name="常规 2 5 3 8 2 2 4" xfId="35328"/>
    <cellStyle name="常规 2 5 3 8 2 2 5" xfId="35329"/>
    <cellStyle name="常规 2 5 3 8 2 3" xfId="35330"/>
    <cellStyle name="常规 2 5 3 8 2 3 2" xfId="35331"/>
    <cellStyle name="常规 2 5 3 8 2 3 2 2" xfId="35332"/>
    <cellStyle name="常规 2 5 3 8 2 3 2 3" xfId="35333"/>
    <cellStyle name="常规 2 5 3 8 2 3 2 4" xfId="35334"/>
    <cellStyle name="常规 2 5 3 8 2 3 3" xfId="35335"/>
    <cellStyle name="常规 2 5 3 8 2 3 4" xfId="35336"/>
    <cellStyle name="常规 2 5 3 8 2 3 5" xfId="35337"/>
    <cellStyle name="常规 2 5 3 8 2 4" xfId="35338"/>
    <cellStyle name="常规 2 5 3 8 2 4 2" xfId="35339"/>
    <cellStyle name="常规 2 5 3 8 2 4 3" xfId="35340"/>
    <cellStyle name="常规 2 5 3 8 2 4 4" xfId="35341"/>
    <cellStyle name="常规 2 5 3 8 2 5" xfId="35342"/>
    <cellStyle name="常规 2 5 3 8 2 6" xfId="35343"/>
    <cellStyle name="常规 2 5 3 8 2 7" xfId="35344"/>
    <cellStyle name="常规 2 5 3 8 2 8" xfId="35345"/>
    <cellStyle name="常规 2 5 3 8 3" xfId="35346"/>
    <cellStyle name="常规 2 5 3 8 3 2" xfId="35347"/>
    <cellStyle name="常规 2 5 3 8 3 2 2" xfId="35348"/>
    <cellStyle name="常规 2 5 3 8 3 2 3" xfId="35349"/>
    <cellStyle name="常规 2 5 3 8 3 2 4" xfId="35350"/>
    <cellStyle name="常规 2 5 3 8 3 3" xfId="35351"/>
    <cellStyle name="常规 2 5 3 8 3 4" xfId="35352"/>
    <cellStyle name="常规 2 5 3 8 3 5" xfId="35353"/>
    <cellStyle name="常规 2 5 3 8 4" xfId="35354"/>
    <cellStyle name="常规 2 5 3 8 4 2" xfId="35355"/>
    <cellStyle name="常规 2 5 3 8 4 2 2" xfId="35356"/>
    <cellStyle name="常规 2 5 3 8 4 2 3" xfId="35357"/>
    <cellStyle name="常规 2 5 3 8 4 2 4" xfId="35358"/>
    <cellStyle name="常规 2 5 3 8 4 3" xfId="35359"/>
    <cellStyle name="常规 2 5 3 8 4 4" xfId="35360"/>
    <cellStyle name="常规 2 5 3 8 4 5" xfId="35361"/>
    <cellStyle name="常规 2 5 3 8 5" xfId="35362"/>
    <cellStyle name="常规 2 5 3 8 5 2" xfId="35363"/>
    <cellStyle name="常规 2 5 3 8 5 3" xfId="35364"/>
    <cellStyle name="常规 2 5 3 8 5 4" xfId="35365"/>
    <cellStyle name="常规 2 5 3 8 6" xfId="35366"/>
    <cellStyle name="常规 2 5 3 8 7" xfId="35367"/>
    <cellStyle name="常规 2 5 3 8 8" xfId="35368"/>
    <cellStyle name="常规 2 5 3 8 9" xfId="35369"/>
    <cellStyle name="常规 2 5 3 9" xfId="35370"/>
    <cellStyle name="常规 2 5 3 9 2" xfId="35371"/>
    <cellStyle name="常规 2 5 3 9 2 2" xfId="35372"/>
    <cellStyle name="常规 2 5 3 9 2 2 2" xfId="35373"/>
    <cellStyle name="常规 2 5 3 9 2 2 2 2" xfId="35374"/>
    <cellStyle name="常规 2 5 3 9 2 2 2 3" xfId="35375"/>
    <cellStyle name="常规 2 5 3 9 2 2 2 4" xfId="35376"/>
    <cellStyle name="常规 2 5 3 9 2 2 3" xfId="35377"/>
    <cellStyle name="常规 2 5 3 9 2 2 4" xfId="35378"/>
    <cellStyle name="常规 2 5 3 9 2 2 5" xfId="35379"/>
    <cellStyle name="常规 2 5 3 9 2 3" xfId="35380"/>
    <cellStyle name="常规 2 5 3 9 2 3 2" xfId="35381"/>
    <cellStyle name="常规 2 5 3 9 2 3 2 2" xfId="35382"/>
    <cellStyle name="常规 2 5 3 9 2 3 2 3" xfId="35383"/>
    <cellStyle name="常规 2 5 3 9 2 3 2 4" xfId="35384"/>
    <cellStyle name="常规 2 5 3 9 2 3 3" xfId="35385"/>
    <cellStyle name="常规 2 5 3 9 2 3 4" xfId="35386"/>
    <cellStyle name="常规 2 5 3 9 2 3 5" xfId="35387"/>
    <cellStyle name="常规 2 5 3 9 2 4" xfId="35388"/>
    <cellStyle name="常规 2 5 3 9 2 4 2" xfId="35389"/>
    <cellStyle name="常规 2 5 3 9 2 4 3" xfId="35390"/>
    <cellStyle name="常规 2 5 3 9 2 4 4" xfId="35391"/>
    <cellStyle name="常规 2 5 3 9 2 5" xfId="35392"/>
    <cellStyle name="常规 2 5 3 9 2 6" xfId="35393"/>
    <cellStyle name="常规 2 5 3 9 2 7" xfId="35394"/>
    <cellStyle name="常规 2 5 3 9 3" xfId="35395"/>
    <cellStyle name="常规 2 5 3 9 3 2" xfId="35396"/>
    <cellStyle name="常规 2 5 3 9 3 2 2" xfId="35397"/>
    <cellStyle name="常规 2 5 3 9 3 2 3" xfId="35398"/>
    <cellStyle name="常规 2 5 3 9 3 2 4" xfId="35399"/>
    <cellStyle name="常规 2 5 3 9 3 3" xfId="35400"/>
    <cellStyle name="常规 2 5 3 9 3 4" xfId="35401"/>
    <cellStyle name="常规 2 5 3 9 3 5" xfId="35402"/>
    <cellStyle name="常规 2 5 3 9 4" xfId="35403"/>
    <cellStyle name="常规 2 5 3 9 4 2" xfId="35404"/>
    <cellStyle name="常规 2 5 3 9 4 2 2" xfId="35405"/>
    <cellStyle name="常规 2 5 3 9 4 2 3" xfId="35406"/>
    <cellStyle name="常规 2 5 3 9 4 2 4" xfId="35407"/>
    <cellStyle name="常规 2 5 3 9 4 3" xfId="35408"/>
    <cellStyle name="常规 2 5 3 9 4 4" xfId="35409"/>
    <cellStyle name="常规 2 5 3 9 4 5" xfId="35410"/>
    <cellStyle name="常规 2 5 3 9 5" xfId="35411"/>
    <cellStyle name="常规 2 5 3 9 5 2" xfId="35412"/>
    <cellStyle name="常规 2 5 3 9 5 3" xfId="35413"/>
    <cellStyle name="常规 2 5 3 9 5 4" xfId="35414"/>
    <cellStyle name="常规 2 5 3 9 6" xfId="35415"/>
    <cellStyle name="常规 2 5 3 9 7" xfId="35416"/>
    <cellStyle name="常规 2 5 3 9 8" xfId="35417"/>
    <cellStyle name="常规 2 5 4" xfId="35418"/>
    <cellStyle name="常规 2 5 4 10" xfId="35419"/>
    <cellStyle name="常规 2 5 4 10 2" xfId="35420"/>
    <cellStyle name="常规 2 5 4 10 2 2" xfId="35421"/>
    <cellStyle name="常规 2 5 4 10 2 2 2" xfId="35422"/>
    <cellStyle name="常规 2 5 4 10 2 2 2 2" xfId="35423"/>
    <cellStyle name="常规 2 5 4 10 2 2 2 2 2" xfId="35424"/>
    <cellStyle name="常规 2 5 4 10 2 2 2 2 3" xfId="35425"/>
    <cellStyle name="常规 2 5 4 10 2 2 2 2 4" xfId="35426"/>
    <cellStyle name="常规 2 5 4 10 2 2 2 3" xfId="35427"/>
    <cellStyle name="常规 2 5 4 10 2 2 2 4" xfId="35428"/>
    <cellStyle name="常规 2 5 4 10 2 2 2 5" xfId="35429"/>
    <cellStyle name="常规 2 5 4 10 2 2 3" xfId="35430"/>
    <cellStyle name="常规 2 5 4 10 2 2 3 2" xfId="35431"/>
    <cellStyle name="常规 2 5 4 10 2 2 3 2 2" xfId="35432"/>
    <cellStyle name="常规 2 5 4 10 2 2 3 2 3" xfId="35433"/>
    <cellStyle name="常规 2 5 4 10 2 2 3 2 4" xfId="35434"/>
    <cellStyle name="常规 2 5 4 10 2 2 3 3" xfId="35435"/>
    <cellStyle name="常规 2 5 4 10 2 2 3 4" xfId="35436"/>
    <cellStyle name="常规 2 5 4 10 2 2 3 5" xfId="35437"/>
    <cellStyle name="常规 2 5 4 10 2 2 4" xfId="35438"/>
    <cellStyle name="常规 2 5 4 10 2 2 4 2" xfId="35439"/>
    <cellStyle name="常规 2 5 4 10 2 2 4 3" xfId="35440"/>
    <cellStyle name="常规 2 5 4 10 2 2 4 4" xfId="35441"/>
    <cellStyle name="常规 2 5 4 10 2 2 5" xfId="35442"/>
    <cellStyle name="常规 2 5 4 10 2 2 6" xfId="35443"/>
    <cellStyle name="常规 2 5 4 10 2 2 7" xfId="35444"/>
    <cellStyle name="常规 2 5 4 10 2 3" xfId="35445"/>
    <cellStyle name="常规 2 5 4 10 2 3 2" xfId="35446"/>
    <cellStyle name="常规 2 5 4 10 2 3 2 2" xfId="35447"/>
    <cellStyle name="常规 2 5 4 10 2 3 2 3" xfId="35448"/>
    <cellStyle name="常规 2 5 4 10 2 3 2 4" xfId="35449"/>
    <cellStyle name="常规 2 5 4 10 2 3 3" xfId="35450"/>
    <cellStyle name="常规 2 5 4 10 2 3 4" xfId="35451"/>
    <cellStyle name="常规 2 5 4 10 2 3 5" xfId="35452"/>
    <cellStyle name="常规 2 5 4 10 2 4" xfId="35453"/>
    <cellStyle name="常规 2 5 4 10 2 4 2" xfId="35454"/>
    <cellStyle name="常规 2 5 4 10 2 4 2 2" xfId="35455"/>
    <cellStyle name="常规 2 5 4 10 2 4 2 3" xfId="35456"/>
    <cellStyle name="常规 2 5 4 10 2 4 2 4" xfId="35457"/>
    <cellStyle name="常规 2 5 4 10 2 4 3" xfId="35458"/>
    <cellStyle name="常规 2 5 4 10 2 4 4" xfId="35459"/>
    <cellStyle name="常规 2 5 4 10 2 4 5" xfId="35460"/>
    <cellStyle name="常规 2 5 4 10 2 5" xfId="35461"/>
    <cellStyle name="常规 2 5 4 10 2 5 2" xfId="35462"/>
    <cellStyle name="常规 2 5 4 10 2 5 3" xfId="35463"/>
    <cellStyle name="常规 2 5 4 10 2 5 4" xfId="35464"/>
    <cellStyle name="常规 2 5 4 10 2 6" xfId="35465"/>
    <cellStyle name="常规 2 5 4 10 2 7" xfId="35466"/>
    <cellStyle name="常规 2 5 4 10 2 8" xfId="35467"/>
    <cellStyle name="常规 2 5 4 10 3" xfId="35468"/>
    <cellStyle name="常规 2 5 4 10 3 2" xfId="35469"/>
    <cellStyle name="常规 2 5 4 10 3 2 2" xfId="35470"/>
    <cellStyle name="常规 2 5 4 10 3 2 3" xfId="35471"/>
    <cellStyle name="常规 2 5 4 10 3 2 4" xfId="35472"/>
    <cellStyle name="常规 2 5 4 10 3 3" xfId="35473"/>
    <cellStyle name="常规 2 5 4 10 3 4" xfId="35474"/>
    <cellStyle name="常规 2 5 4 10 3 5" xfId="35475"/>
    <cellStyle name="常规 2 5 4 10 4" xfId="35476"/>
    <cellStyle name="常规 2 5 4 10 4 2" xfId="35477"/>
    <cellStyle name="常规 2 5 4 10 4 2 2" xfId="35478"/>
    <cellStyle name="常规 2 5 4 10 4 2 3" xfId="35479"/>
    <cellStyle name="常规 2 5 4 10 4 2 4" xfId="35480"/>
    <cellStyle name="常规 2 5 4 10 4 3" xfId="35481"/>
    <cellStyle name="常规 2 5 4 10 4 4" xfId="35482"/>
    <cellStyle name="常规 2 5 4 10 4 5" xfId="35483"/>
    <cellStyle name="常规 2 5 4 10 5" xfId="35484"/>
    <cellStyle name="常规 2 5 4 10 5 2" xfId="35485"/>
    <cellStyle name="常规 2 5 4 10 5 3" xfId="35486"/>
    <cellStyle name="常规 2 5 4 10 5 4" xfId="35487"/>
    <cellStyle name="常规 2 5 4 10 6" xfId="35488"/>
    <cellStyle name="常规 2 5 4 10 7" xfId="35489"/>
    <cellStyle name="常规 2 5 4 10 8" xfId="35490"/>
    <cellStyle name="常规 2 5 4 11" xfId="35491"/>
    <cellStyle name="常规 2 5 4 11 2" xfId="35492"/>
    <cellStyle name="常规 2 5 4 11 2 2" xfId="35493"/>
    <cellStyle name="常规 2 5 4 11 2 2 2" xfId="35494"/>
    <cellStyle name="常规 2 5 4 11 2 2 2 2" xfId="35495"/>
    <cellStyle name="常规 2 5 4 11 2 2 2 2 2" xfId="35496"/>
    <cellStyle name="常规 2 5 4 11 2 2 2 2 3" xfId="35497"/>
    <cellStyle name="常规 2 5 4 11 2 2 2 2 4" xfId="35498"/>
    <cellStyle name="常规 2 5 4 11 2 2 2 3" xfId="35499"/>
    <cellStyle name="常规 2 5 4 11 2 2 2 4" xfId="35500"/>
    <cellStyle name="常规 2 5 4 11 2 2 2 5" xfId="35501"/>
    <cellStyle name="常规 2 5 4 11 2 2 3" xfId="35502"/>
    <cellStyle name="常规 2 5 4 11 2 2 3 2" xfId="35503"/>
    <cellStyle name="常规 2 5 4 11 2 2 3 2 2" xfId="35504"/>
    <cellStyle name="常规 2 5 4 11 2 2 3 2 3" xfId="35505"/>
    <cellStyle name="常规 2 5 4 11 2 2 3 2 4" xfId="35506"/>
    <cellStyle name="常规 2 5 4 11 2 2 3 3" xfId="35507"/>
    <cellStyle name="常规 2 5 4 11 2 2 3 4" xfId="35508"/>
    <cellStyle name="常规 2 5 4 11 2 2 3 5" xfId="35509"/>
    <cellStyle name="常规 2 5 4 11 2 2 4" xfId="35510"/>
    <cellStyle name="常规 2 5 4 11 2 2 4 2" xfId="35511"/>
    <cellStyle name="常规 2 5 4 11 2 2 4 3" xfId="35512"/>
    <cellStyle name="常规 2 5 4 11 2 2 4 4" xfId="35513"/>
    <cellStyle name="常规 2 5 4 11 2 2 5" xfId="35514"/>
    <cellStyle name="常规 2 5 4 11 2 2 6" xfId="35515"/>
    <cellStyle name="常规 2 5 4 11 2 2 7" xfId="35516"/>
    <cellStyle name="常规 2 5 4 11 2 3" xfId="35517"/>
    <cellStyle name="常规 2 5 4 11 2 3 2" xfId="35518"/>
    <cellStyle name="常规 2 5 4 11 2 3 2 2" xfId="35519"/>
    <cellStyle name="常规 2 5 4 11 2 3 2 3" xfId="35520"/>
    <cellStyle name="常规 2 5 4 11 2 3 2 4" xfId="35521"/>
    <cellStyle name="常规 2 5 4 11 2 3 3" xfId="35522"/>
    <cellStyle name="常规 2 5 4 11 2 3 4" xfId="35523"/>
    <cellStyle name="常规 2 5 4 11 2 3 5" xfId="35524"/>
    <cellStyle name="常规 2 5 4 11 2 4" xfId="35525"/>
    <cellStyle name="常规 2 5 4 11 2 4 2" xfId="35526"/>
    <cellStyle name="常规 2 5 4 11 2 4 2 2" xfId="35527"/>
    <cellStyle name="常规 2 5 4 11 2 4 2 3" xfId="35528"/>
    <cellStyle name="常规 2 5 4 11 2 4 2 4" xfId="35529"/>
    <cellStyle name="常规 2 5 4 11 2 4 3" xfId="35530"/>
    <cellStyle name="常规 2 5 4 11 2 4 4" xfId="35531"/>
    <cellStyle name="常规 2 5 4 11 2 4 5" xfId="35532"/>
    <cellStyle name="常规 2 5 4 11 2 5" xfId="35533"/>
    <cellStyle name="常规 2 5 4 11 2 5 2" xfId="35534"/>
    <cellStyle name="常规 2 5 4 11 2 5 3" xfId="35535"/>
    <cellStyle name="常规 2 5 4 11 2 5 4" xfId="35536"/>
    <cellStyle name="常规 2 5 4 11 2 6" xfId="35537"/>
    <cellStyle name="常规 2 5 4 11 2 7" xfId="35538"/>
    <cellStyle name="常规 2 5 4 11 2 8" xfId="35539"/>
    <cellStyle name="常规 2 5 4 11 3" xfId="35540"/>
    <cellStyle name="常规 2 5 4 11 3 2" xfId="35541"/>
    <cellStyle name="常规 2 5 4 11 3 2 2" xfId="35542"/>
    <cellStyle name="常规 2 5 4 11 3 2 3" xfId="35543"/>
    <cellStyle name="常规 2 5 4 11 3 2 4" xfId="35544"/>
    <cellStyle name="常规 2 5 4 11 3 3" xfId="35545"/>
    <cellStyle name="常规 2 5 4 11 3 4" xfId="35546"/>
    <cellStyle name="常规 2 5 4 11 3 5" xfId="35547"/>
    <cellStyle name="常规 2 5 4 11 4" xfId="35548"/>
    <cellStyle name="常规 2 5 4 11 4 2" xfId="35549"/>
    <cellStyle name="常规 2 5 4 11 4 2 2" xfId="35550"/>
    <cellStyle name="常规 2 5 4 11 4 2 3" xfId="35551"/>
    <cellStyle name="常规 2 5 4 11 4 2 4" xfId="35552"/>
    <cellStyle name="常规 2 5 4 11 4 3" xfId="35553"/>
    <cellStyle name="常规 2 5 4 11 4 4" xfId="35554"/>
    <cellStyle name="常规 2 5 4 11 4 5" xfId="35555"/>
    <cellStyle name="常规 2 5 4 11 5" xfId="35556"/>
    <cellStyle name="常规 2 5 4 11 5 2" xfId="35557"/>
    <cellStyle name="常规 2 5 4 11 5 3" xfId="35558"/>
    <cellStyle name="常规 2 5 4 11 5 4" xfId="35559"/>
    <cellStyle name="常规 2 5 4 11 6" xfId="35560"/>
    <cellStyle name="常规 2 5 4 11 7" xfId="35561"/>
    <cellStyle name="常规 2 5 4 11 8" xfId="35562"/>
    <cellStyle name="常规 2 5 4 12" xfId="35563"/>
    <cellStyle name="常规 2 5 4 12 2" xfId="35564"/>
    <cellStyle name="常规 2 5 4 12 2 2" xfId="35565"/>
    <cellStyle name="常规 2 5 4 12 2 2 2" xfId="35566"/>
    <cellStyle name="常规 2 5 4 12 2 2 2 2" xfId="35567"/>
    <cellStyle name="常规 2 5 4 12 2 2 2 2 2" xfId="35568"/>
    <cellStyle name="常规 2 5 4 12 2 2 2 2 3" xfId="35569"/>
    <cellStyle name="常规 2 5 4 12 2 2 2 2 4" xfId="35570"/>
    <cellStyle name="常规 2 5 4 12 2 2 2 3" xfId="35571"/>
    <cellStyle name="常规 2 5 4 12 2 2 2 4" xfId="35572"/>
    <cellStyle name="常规 2 5 4 12 2 2 2 5" xfId="35573"/>
    <cellStyle name="常规 2 5 4 12 2 2 3" xfId="35574"/>
    <cellStyle name="常规 2 5 4 12 2 2 3 2" xfId="35575"/>
    <cellStyle name="常规 2 5 4 12 2 2 3 2 2" xfId="35576"/>
    <cellStyle name="常规 2 5 4 12 2 2 3 2 3" xfId="35577"/>
    <cellStyle name="常规 2 5 4 12 2 2 3 2 4" xfId="35578"/>
    <cellStyle name="常规 2 5 4 12 2 2 3 3" xfId="35579"/>
    <cellStyle name="常规 2 5 4 12 2 2 3 4" xfId="35580"/>
    <cellStyle name="常规 2 5 4 12 2 2 3 5" xfId="35581"/>
    <cellStyle name="常规 2 5 4 12 2 2 4" xfId="35582"/>
    <cellStyle name="常规 2 5 4 12 2 2 4 2" xfId="35583"/>
    <cellStyle name="常规 2 5 4 12 2 2 4 3" xfId="35584"/>
    <cellStyle name="常规 2 5 4 12 2 2 4 4" xfId="35585"/>
    <cellStyle name="常规 2 5 4 12 2 2 5" xfId="35586"/>
    <cellStyle name="常规 2 5 4 12 2 2 6" xfId="35587"/>
    <cellStyle name="常规 2 5 4 12 2 2 7" xfId="35588"/>
    <cellStyle name="常规 2 5 4 12 2 3" xfId="35589"/>
    <cellStyle name="常规 2 5 4 12 2 3 2" xfId="35590"/>
    <cellStyle name="常规 2 5 4 12 2 3 2 2" xfId="35591"/>
    <cellStyle name="常规 2 5 4 12 2 3 2 3" xfId="35592"/>
    <cellStyle name="常规 2 5 4 12 2 3 2 4" xfId="35593"/>
    <cellStyle name="常规 2 5 4 12 2 3 3" xfId="35594"/>
    <cellStyle name="常规 2 5 4 12 2 3 4" xfId="35595"/>
    <cellStyle name="常规 2 5 4 12 2 3 5" xfId="35596"/>
    <cellStyle name="常规 2 5 4 12 2 4" xfId="35597"/>
    <cellStyle name="常规 2 5 4 12 2 4 2" xfId="35598"/>
    <cellStyle name="常规 2 5 4 12 2 4 2 2" xfId="35599"/>
    <cellStyle name="常规 2 5 4 12 2 4 2 3" xfId="35600"/>
    <cellStyle name="常规 2 5 4 12 2 4 2 4" xfId="35601"/>
    <cellStyle name="常规 2 5 4 12 2 4 3" xfId="35602"/>
    <cellStyle name="常规 2 5 4 12 2 4 4" xfId="35603"/>
    <cellStyle name="常规 2 5 4 12 2 4 5" xfId="35604"/>
    <cellStyle name="常规 2 5 4 12 2 5" xfId="35605"/>
    <cellStyle name="常规 2 5 4 12 2 5 2" xfId="35606"/>
    <cellStyle name="常规 2 5 4 12 2 5 3" xfId="35607"/>
    <cellStyle name="常规 2 5 4 12 2 5 4" xfId="35608"/>
    <cellStyle name="常规 2 5 4 12 2 6" xfId="35609"/>
    <cellStyle name="常规 2 5 4 12 2 7" xfId="35610"/>
    <cellStyle name="常规 2 5 4 12 2 8" xfId="35611"/>
    <cellStyle name="常规 2 5 4 12 3" xfId="35612"/>
    <cellStyle name="常规 2 5 4 12 3 2" xfId="35613"/>
    <cellStyle name="常规 2 5 4 12 3 2 2" xfId="35614"/>
    <cellStyle name="常规 2 5 4 12 3 2 3" xfId="35615"/>
    <cellStyle name="常规 2 5 4 12 3 2 4" xfId="35616"/>
    <cellStyle name="常规 2 5 4 12 3 3" xfId="35617"/>
    <cellStyle name="常规 2 5 4 12 3 4" xfId="35618"/>
    <cellStyle name="常规 2 5 4 12 3 5" xfId="35619"/>
    <cellStyle name="常规 2 5 4 12 4" xfId="35620"/>
    <cellStyle name="常规 2 5 4 12 4 2" xfId="35621"/>
    <cellStyle name="常规 2 5 4 12 4 2 2" xfId="35622"/>
    <cellStyle name="常规 2 5 4 12 4 2 3" xfId="35623"/>
    <cellStyle name="常规 2 5 4 12 4 2 4" xfId="35624"/>
    <cellStyle name="常规 2 5 4 12 4 3" xfId="35625"/>
    <cellStyle name="常规 2 5 4 12 4 4" xfId="35626"/>
    <cellStyle name="常规 2 5 4 12 4 5" xfId="35627"/>
    <cellStyle name="常规 2 5 4 12 5" xfId="35628"/>
    <cellStyle name="常规 2 5 4 12 5 2" xfId="35629"/>
    <cellStyle name="常规 2 5 4 12 5 3" xfId="35630"/>
    <cellStyle name="常规 2 5 4 12 5 4" xfId="35631"/>
    <cellStyle name="常规 2 5 4 12 6" xfId="35632"/>
    <cellStyle name="常规 2 5 4 12 7" xfId="35633"/>
    <cellStyle name="常规 2 5 4 12 8" xfId="35634"/>
    <cellStyle name="常规 2 5 4 13" xfId="35635"/>
    <cellStyle name="常规 2 5 4 13 2" xfId="35636"/>
    <cellStyle name="常规 2 5 4 13 2 2" xfId="35637"/>
    <cellStyle name="常规 2 5 4 13 2 2 2" xfId="35638"/>
    <cellStyle name="常规 2 5 4 13 2 2 2 2" xfId="35639"/>
    <cellStyle name="常规 2 5 4 13 2 2 2 2 2" xfId="35640"/>
    <cellStyle name="常规 2 5 4 13 2 2 2 2 3" xfId="35641"/>
    <cellStyle name="常规 2 5 4 13 2 2 2 2 4" xfId="35642"/>
    <cellStyle name="常规 2 5 4 13 2 2 2 3" xfId="35643"/>
    <cellStyle name="常规 2 5 4 13 2 2 2 4" xfId="35644"/>
    <cellStyle name="常规 2 5 4 13 2 2 2 5" xfId="35645"/>
    <cellStyle name="常规 2 5 4 13 2 2 3" xfId="35646"/>
    <cellStyle name="常规 2 5 4 13 2 2 3 2" xfId="35647"/>
    <cellStyle name="常规 2 5 4 13 2 2 3 2 2" xfId="35648"/>
    <cellStyle name="常规 2 5 4 13 2 2 3 2 3" xfId="35649"/>
    <cellStyle name="常规 2 5 4 13 2 2 3 2 4" xfId="35650"/>
    <cellStyle name="常规 2 5 4 13 2 2 3 3" xfId="35651"/>
    <cellStyle name="常规 2 5 4 13 2 2 3 4" xfId="35652"/>
    <cellStyle name="常规 2 5 4 13 2 2 3 5" xfId="35653"/>
    <cellStyle name="常规 2 5 4 13 2 2 4" xfId="35654"/>
    <cellStyle name="常规 2 5 4 13 2 2 4 2" xfId="35655"/>
    <cellStyle name="常规 2 5 4 13 2 2 4 3" xfId="35656"/>
    <cellStyle name="常规 2 5 4 13 2 2 4 4" xfId="35657"/>
    <cellStyle name="常规 2 5 4 13 2 2 5" xfId="35658"/>
    <cellStyle name="常规 2 5 4 13 2 2 6" xfId="35659"/>
    <cellStyle name="常规 2 5 4 13 2 2 7" xfId="35660"/>
    <cellStyle name="常规 2 5 4 13 2 3" xfId="35661"/>
    <cellStyle name="常规 2 5 4 13 2 3 2" xfId="35662"/>
    <cellStyle name="常规 2 5 4 13 2 3 2 2" xfId="35663"/>
    <cellStyle name="常规 2 5 4 13 2 3 2 3" xfId="35664"/>
    <cellStyle name="常规 2 5 4 13 2 3 2 4" xfId="35665"/>
    <cellStyle name="常规 2 5 4 13 2 3 3" xfId="35666"/>
    <cellStyle name="常规 2 5 4 13 2 3 4" xfId="35667"/>
    <cellStyle name="常规 2 5 4 13 2 3 5" xfId="35668"/>
    <cellStyle name="常规 2 5 4 13 2 4" xfId="35669"/>
    <cellStyle name="常规 2 5 4 13 2 4 2" xfId="35670"/>
    <cellStyle name="常规 2 5 4 13 2 4 2 2" xfId="35671"/>
    <cellStyle name="常规 2 5 4 13 2 4 2 3" xfId="35672"/>
    <cellStyle name="常规 2 5 4 13 2 4 2 4" xfId="35673"/>
    <cellStyle name="常规 2 5 4 13 2 4 3" xfId="35674"/>
    <cellStyle name="常规 2 5 4 13 2 4 4" xfId="35675"/>
    <cellStyle name="常规 2 5 4 13 2 4 5" xfId="35676"/>
    <cellStyle name="常规 2 5 4 13 2 5" xfId="35677"/>
    <cellStyle name="常规 2 5 4 13 2 5 2" xfId="35678"/>
    <cellStyle name="常规 2 5 4 13 2 5 3" xfId="35679"/>
    <cellStyle name="常规 2 5 4 13 2 5 4" xfId="35680"/>
    <cellStyle name="常规 2 5 4 13 2 6" xfId="35681"/>
    <cellStyle name="常规 2 5 4 13 2 7" xfId="35682"/>
    <cellStyle name="常规 2 5 4 13 2 8" xfId="35683"/>
    <cellStyle name="常规 2 5 4 13 3" xfId="35684"/>
    <cellStyle name="常规 2 5 4 13 3 2" xfId="35685"/>
    <cellStyle name="常规 2 5 4 13 3 2 2" xfId="35686"/>
    <cellStyle name="常规 2 5 4 13 3 2 3" xfId="35687"/>
    <cellStyle name="常规 2 5 4 13 3 2 4" xfId="35688"/>
    <cellStyle name="常规 2 5 4 13 3 3" xfId="35689"/>
    <cellStyle name="常规 2 5 4 13 3 4" xfId="35690"/>
    <cellStyle name="常规 2 5 4 13 3 5" xfId="35691"/>
    <cellStyle name="常规 2 5 4 13 4" xfId="35692"/>
    <cellStyle name="常规 2 5 4 13 4 2" xfId="35693"/>
    <cellStyle name="常规 2 5 4 13 4 2 2" xfId="35694"/>
    <cellStyle name="常规 2 5 4 13 4 2 3" xfId="35695"/>
    <cellStyle name="常规 2 5 4 13 4 2 4" xfId="35696"/>
    <cellStyle name="常规 2 5 4 13 4 3" xfId="35697"/>
    <cellStyle name="常规 2 5 4 13 4 4" xfId="35698"/>
    <cellStyle name="常规 2 5 4 13 4 5" xfId="35699"/>
    <cellStyle name="常规 2 5 4 13 5" xfId="35700"/>
    <cellStyle name="常规 2 5 4 13 5 2" xfId="35701"/>
    <cellStyle name="常规 2 5 4 13 5 3" xfId="35702"/>
    <cellStyle name="常规 2 5 4 13 5 4" xfId="35703"/>
    <cellStyle name="常规 2 5 4 13 6" xfId="35704"/>
    <cellStyle name="常规 2 5 4 13 7" xfId="35705"/>
    <cellStyle name="常规 2 5 4 13 8" xfId="35706"/>
    <cellStyle name="常规 2 5 4 14" xfId="35707"/>
    <cellStyle name="常规 2 5 4 14 2" xfId="35708"/>
    <cellStyle name="常规 2 5 4 14 2 2" xfId="35709"/>
    <cellStyle name="常规 2 5 4 14 2 2 2" xfId="35710"/>
    <cellStyle name="常规 2 5 4 14 2 2 2 2" xfId="35711"/>
    <cellStyle name="常规 2 5 4 14 2 2 2 2 2" xfId="35712"/>
    <cellStyle name="常规 2 5 4 14 2 2 2 2 3" xfId="35713"/>
    <cellStyle name="常规 2 5 4 14 2 2 2 2 4" xfId="35714"/>
    <cellStyle name="常规 2 5 4 14 2 2 2 3" xfId="35715"/>
    <cellStyle name="常规 2 5 4 14 2 2 2 4" xfId="35716"/>
    <cellStyle name="常规 2 5 4 14 2 2 2 5" xfId="35717"/>
    <cellStyle name="常规 2 5 4 14 2 2 3" xfId="35718"/>
    <cellStyle name="常规 2 5 4 14 2 2 3 2" xfId="35719"/>
    <cellStyle name="常规 2 5 4 14 2 2 3 2 2" xfId="35720"/>
    <cellStyle name="常规 2 5 4 14 2 2 3 2 3" xfId="35721"/>
    <cellStyle name="常规 2 5 4 14 2 2 3 2 4" xfId="35722"/>
    <cellStyle name="常规 2 5 4 14 2 2 3 3" xfId="35723"/>
    <cellStyle name="常规 2 5 4 14 2 2 3 4" xfId="35724"/>
    <cellStyle name="常规 2 5 4 14 2 2 3 5" xfId="35725"/>
    <cellStyle name="常规 2 5 4 14 2 2 4" xfId="35726"/>
    <cellStyle name="常规 2 5 4 14 2 2 4 2" xfId="35727"/>
    <cellStyle name="常规 2 5 4 14 2 2 4 3" xfId="35728"/>
    <cellStyle name="常规 2 5 4 14 2 2 4 4" xfId="35729"/>
    <cellStyle name="常规 2 5 4 14 2 2 5" xfId="35730"/>
    <cellStyle name="常规 2 5 4 14 2 2 6" xfId="35731"/>
    <cellStyle name="常规 2 5 4 14 2 2 7" xfId="35732"/>
    <cellStyle name="常规 2 5 4 14 2 3" xfId="35733"/>
    <cellStyle name="常规 2 5 4 14 2 3 2" xfId="35734"/>
    <cellStyle name="常规 2 5 4 14 2 3 2 2" xfId="35735"/>
    <cellStyle name="常规 2 5 4 14 2 3 2 3" xfId="35736"/>
    <cellStyle name="常规 2 5 4 14 2 3 2 4" xfId="35737"/>
    <cellStyle name="常规 2 5 4 14 2 3 3" xfId="35738"/>
    <cellStyle name="常规 2 5 4 14 2 3 4" xfId="35739"/>
    <cellStyle name="常规 2 5 4 14 2 3 5" xfId="35740"/>
    <cellStyle name="常规 2 5 4 14 2 4" xfId="35741"/>
    <cellStyle name="常规 2 5 4 14 2 4 2" xfId="35742"/>
    <cellStyle name="常规 2 5 4 14 2 4 2 2" xfId="35743"/>
    <cellStyle name="常规 2 5 4 14 2 4 2 3" xfId="35744"/>
    <cellStyle name="常规 2 5 4 14 2 4 2 4" xfId="35745"/>
    <cellStyle name="常规 2 5 4 14 2 4 3" xfId="35746"/>
    <cellStyle name="常规 2 5 4 14 2 4 4" xfId="35747"/>
    <cellStyle name="常规 2 5 4 14 2 4 5" xfId="35748"/>
    <cellStyle name="常规 2 5 4 14 2 5" xfId="35749"/>
    <cellStyle name="常规 2 5 4 14 2 5 2" xfId="35750"/>
    <cellStyle name="常规 2 5 4 14 2 5 3" xfId="35751"/>
    <cellStyle name="常规 2 5 4 14 2 5 4" xfId="35752"/>
    <cellStyle name="常规 2 5 4 14 2 6" xfId="35753"/>
    <cellStyle name="常规 2 5 4 14 2 7" xfId="35754"/>
    <cellStyle name="常规 2 5 4 14 2 8" xfId="35755"/>
    <cellStyle name="常规 2 5 4 14 3" xfId="35756"/>
    <cellStyle name="常规 2 5 4 14 3 2" xfId="35757"/>
    <cellStyle name="常规 2 5 4 14 3 2 2" xfId="35758"/>
    <cellStyle name="常规 2 5 4 14 3 2 3" xfId="35759"/>
    <cellStyle name="常规 2 5 4 14 3 2 4" xfId="35760"/>
    <cellStyle name="常规 2 5 4 14 3 3" xfId="35761"/>
    <cellStyle name="常规 2 5 4 14 3 4" xfId="35762"/>
    <cellStyle name="常规 2 5 4 14 3 5" xfId="35763"/>
    <cellStyle name="常规 2 5 4 14 4" xfId="35764"/>
    <cellStyle name="常规 2 5 4 14 4 2" xfId="35765"/>
    <cellStyle name="常规 2 5 4 14 4 2 2" xfId="35766"/>
    <cellStyle name="常规 2 5 4 14 4 2 3" xfId="35767"/>
    <cellStyle name="常规 2 5 4 14 4 2 4" xfId="35768"/>
    <cellStyle name="常规 2 5 4 14 4 3" xfId="35769"/>
    <cellStyle name="常规 2 5 4 14 4 4" xfId="35770"/>
    <cellStyle name="常规 2 5 4 14 4 5" xfId="35771"/>
    <cellStyle name="常规 2 5 4 14 5" xfId="35772"/>
    <cellStyle name="常规 2 5 4 14 5 2" xfId="35773"/>
    <cellStyle name="常规 2 5 4 14 5 3" xfId="35774"/>
    <cellStyle name="常规 2 5 4 14 5 4" xfId="35775"/>
    <cellStyle name="常规 2 5 4 14 6" xfId="35776"/>
    <cellStyle name="常规 2 5 4 14 7" xfId="35777"/>
    <cellStyle name="常规 2 5 4 14 8" xfId="35778"/>
    <cellStyle name="常规 2 5 4 15" xfId="35779"/>
    <cellStyle name="常规 2 5 4 15 2" xfId="35780"/>
    <cellStyle name="常规 2 5 4 15 2 2" xfId="35781"/>
    <cellStyle name="常规 2 5 4 15 2 2 2" xfId="35782"/>
    <cellStyle name="常规 2 5 4 15 2 2 2 2" xfId="35783"/>
    <cellStyle name="常规 2 5 4 15 2 2 2 3" xfId="35784"/>
    <cellStyle name="常规 2 5 4 15 2 2 2 4" xfId="35785"/>
    <cellStyle name="常规 2 5 4 15 2 2 3" xfId="35786"/>
    <cellStyle name="常规 2 5 4 15 2 2 4" xfId="35787"/>
    <cellStyle name="常规 2 5 4 15 2 2 5" xfId="35788"/>
    <cellStyle name="常规 2 5 4 15 2 3" xfId="35789"/>
    <cellStyle name="常规 2 5 4 15 2 3 2" xfId="35790"/>
    <cellStyle name="常规 2 5 4 15 2 3 2 2" xfId="35791"/>
    <cellStyle name="常规 2 5 4 15 2 3 2 3" xfId="35792"/>
    <cellStyle name="常规 2 5 4 15 2 3 2 4" xfId="35793"/>
    <cellStyle name="常规 2 5 4 15 2 3 3" xfId="35794"/>
    <cellStyle name="常规 2 5 4 15 2 3 4" xfId="35795"/>
    <cellStyle name="常规 2 5 4 15 2 3 5" xfId="35796"/>
    <cellStyle name="常规 2 5 4 15 2 4" xfId="35797"/>
    <cellStyle name="常规 2 5 4 15 2 4 2" xfId="35798"/>
    <cellStyle name="常规 2 5 4 15 2 4 3" xfId="35799"/>
    <cellStyle name="常规 2 5 4 15 2 4 4" xfId="35800"/>
    <cellStyle name="常规 2 5 4 15 2 5" xfId="35801"/>
    <cellStyle name="常规 2 5 4 15 2 6" xfId="35802"/>
    <cellStyle name="常规 2 5 4 15 2 7" xfId="35803"/>
    <cellStyle name="常规 2 5 4 15 3" xfId="35804"/>
    <cellStyle name="常规 2 5 4 15 3 2" xfId="35805"/>
    <cellStyle name="常规 2 5 4 15 3 2 2" xfId="35806"/>
    <cellStyle name="常规 2 5 4 15 3 2 3" xfId="35807"/>
    <cellStyle name="常规 2 5 4 15 3 2 4" xfId="35808"/>
    <cellStyle name="常规 2 5 4 15 3 3" xfId="35809"/>
    <cellStyle name="常规 2 5 4 15 3 4" xfId="35810"/>
    <cellStyle name="常规 2 5 4 15 3 5" xfId="35811"/>
    <cellStyle name="常规 2 5 4 15 4" xfId="35812"/>
    <cellStyle name="常规 2 5 4 15 4 2" xfId="35813"/>
    <cellStyle name="常规 2 5 4 15 4 2 2" xfId="35814"/>
    <cellStyle name="常规 2 5 4 15 4 2 3" xfId="35815"/>
    <cellStyle name="常规 2 5 4 15 4 2 4" xfId="35816"/>
    <cellStyle name="常规 2 5 4 15 4 3" xfId="35817"/>
    <cellStyle name="常规 2 5 4 15 4 4" xfId="35818"/>
    <cellStyle name="常规 2 5 4 15 4 5" xfId="35819"/>
    <cellStyle name="常规 2 5 4 15 5" xfId="35820"/>
    <cellStyle name="常规 2 5 4 15 5 2" xfId="35821"/>
    <cellStyle name="常规 2 5 4 15 5 3" xfId="35822"/>
    <cellStyle name="常规 2 5 4 15 5 4" xfId="35823"/>
    <cellStyle name="常规 2 5 4 15 6" xfId="35824"/>
    <cellStyle name="常规 2 5 4 15 7" xfId="35825"/>
    <cellStyle name="常规 2 5 4 15 8" xfId="35826"/>
    <cellStyle name="常规 2 5 4 16" xfId="35827"/>
    <cellStyle name="常规 2 5 4 16 2" xfId="35828"/>
    <cellStyle name="常规 2 5 4 16 2 2" xfId="35829"/>
    <cellStyle name="常规 2 5 4 16 2 3" xfId="35830"/>
    <cellStyle name="常规 2 5 4 16 2 4" xfId="35831"/>
    <cellStyle name="常规 2 5 4 16 3" xfId="35832"/>
    <cellStyle name="常规 2 5 4 16 4" xfId="35833"/>
    <cellStyle name="常规 2 5 4 16 5" xfId="35834"/>
    <cellStyle name="常规 2 5 4 17" xfId="35835"/>
    <cellStyle name="常规 2 5 4 17 2" xfId="35836"/>
    <cellStyle name="常规 2 5 4 17 2 2" xfId="35837"/>
    <cellStyle name="常规 2 5 4 17 2 3" xfId="35838"/>
    <cellStyle name="常规 2 5 4 17 2 4" xfId="35839"/>
    <cellStyle name="常规 2 5 4 17 3" xfId="35840"/>
    <cellStyle name="常规 2 5 4 17 4" xfId="35841"/>
    <cellStyle name="常规 2 5 4 17 5" xfId="35842"/>
    <cellStyle name="常规 2 5 4 18" xfId="35843"/>
    <cellStyle name="常规 2 5 4 18 2" xfId="35844"/>
    <cellStyle name="常规 2 5 4 18 3" xfId="35845"/>
    <cellStyle name="常规 2 5 4 18 4" xfId="35846"/>
    <cellStyle name="常规 2 5 4 19" xfId="35847"/>
    <cellStyle name="常规 2 5 4 2" xfId="35848"/>
    <cellStyle name="常规 2 5 4 2 10" xfId="35849"/>
    <cellStyle name="常规 2 5 4 2 2" xfId="35850"/>
    <cellStyle name="常规 2 5 4 2 2 2" xfId="35851"/>
    <cellStyle name="常规 2 5 4 2 2 2 2" xfId="35852"/>
    <cellStyle name="常规 2 5 4 2 2 2 2 2" xfId="35853"/>
    <cellStyle name="常规 2 5 4 2 2 2 2 2 2" xfId="35854"/>
    <cellStyle name="常规 2 5 4 2 2 2 2 2 3" xfId="35855"/>
    <cellStyle name="常规 2 5 4 2 2 2 2 2 4" xfId="35856"/>
    <cellStyle name="常规 2 5 4 2 2 2 2 3" xfId="35857"/>
    <cellStyle name="常规 2 5 4 2 2 2 2 4" xfId="35858"/>
    <cellStyle name="常规 2 5 4 2 2 2 2 5" xfId="35859"/>
    <cellStyle name="常规 2 5 4 2 2 2 3" xfId="35860"/>
    <cellStyle name="常规 2 5 4 2 2 2 3 2" xfId="35861"/>
    <cellStyle name="常规 2 5 4 2 2 2 3 2 2" xfId="35862"/>
    <cellStyle name="常规 2 5 4 2 2 2 3 2 3" xfId="35863"/>
    <cellStyle name="常规 2 5 4 2 2 2 3 2 4" xfId="35864"/>
    <cellStyle name="常规 2 5 4 2 2 2 3 3" xfId="35865"/>
    <cellStyle name="常规 2 5 4 2 2 2 3 4" xfId="35866"/>
    <cellStyle name="常规 2 5 4 2 2 2 3 5" xfId="35867"/>
    <cellStyle name="常规 2 5 4 2 2 2 4" xfId="35868"/>
    <cellStyle name="常规 2 5 4 2 2 2 4 2" xfId="35869"/>
    <cellStyle name="常规 2 5 4 2 2 2 4 3" xfId="35870"/>
    <cellStyle name="常规 2 5 4 2 2 2 4 4" xfId="35871"/>
    <cellStyle name="常规 2 5 4 2 2 2 5" xfId="35872"/>
    <cellStyle name="常规 2 5 4 2 2 2 6" xfId="35873"/>
    <cellStyle name="常规 2 5 4 2 2 2 7" xfId="35874"/>
    <cellStyle name="常规 2 5 4 2 2 3" xfId="35875"/>
    <cellStyle name="常规 2 5 4 2 2 3 2" xfId="35876"/>
    <cellStyle name="常规 2 5 4 2 2 3 2 2" xfId="35877"/>
    <cellStyle name="常规 2 5 4 2 2 3 2 3" xfId="35878"/>
    <cellStyle name="常规 2 5 4 2 2 3 2 4" xfId="35879"/>
    <cellStyle name="常规 2 5 4 2 2 3 3" xfId="35880"/>
    <cellStyle name="常规 2 5 4 2 2 3 4" xfId="35881"/>
    <cellStyle name="常规 2 5 4 2 2 3 5" xfId="35882"/>
    <cellStyle name="常规 2 5 4 2 2 4" xfId="35883"/>
    <cellStyle name="常规 2 5 4 2 2 4 2" xfId="35884"/>
    <cellStyle name="常规 2 5 4 2 2 4 2 2" xfId="35885"/>
    <cellStyle name="常规 2 5 4 2 2 4 2 3" xfId="35886"/>
    <cellStyle name="常规 2 5 4 2 2 4 2 4" xfId="35887"/>
    <cellStyle name="常规 2 5 4 2 2 4 3" xfId="35888"/>
    <cellStyle name="常规 2 5 4 2 2 4 4" xfId="35889"/>
    <cellStyle name="常规 2 5 4 2 2 4 5" xfId="35890"/>
    <cellStyle name="常规 2 5 4 2 2 5" xfId="35891"/>
    <cellStyle name="常规 2 5 4 2 2 5 2" xfId="35892"/>
    <cellStyle name="常规 2 5 4 2 2 5 3" xfId="35893"/>
    <cellStyle name="常规 2 5 4 2 2 5 4" xfId="35894"/>
    <cellStyle name="常规 2 5 4 2 2 6" xfId="35895"/>
    <cellStyle name="常规 2 5 4 2 2 7" xfId="35896"/>
    <cellStyle name="常规 2 5 4 2 2 8" xfId="35897"/>
    <cellStyle name="常规 2 5 4 2 2 9" xfId="35898"/>
    <cellStyle name="常规 2 5 4 2 2 9 2" xfId="35899"/>
    <cellStyle name="常规 2 5 4 2 3" xfId="35900"/>
    <cellStyle name="常规 2 5 4 2 3 2" xfId="35901"/>
    <cellStyle name="常规 2 5 4 2 3 2 2" xfId="35902"/>
    <cellStyle name="常规 2 5 4 2 3 2 3" xfId="35903"/>
    <cellStyle name="常规 2 5 4 2 3 2 4" xfId="35904"/>
    <cellStyle name="常规 2 5 4 2 3 3" xfId="35905"/>
    <cellStyle name="常规 2 5 4 2 3 4" xfId="35906"/>
    <cellStyle name="常规 2 5 4 2 3 5" xfId="35907"/>
    <cellStyle name="常规 2 5 4 2 3 6" xfId="35908"/>
    <cellStyle name="常规 2 5 4 2 3 6 2" xfId="35909"/>
    <cellStyle name="常规 2 5 4 2 4" xfId="35910"/>
    <cellStyle name="常规 2 5 4 2 4 2" xfId="35911"/>
    <cellStyle name="常规 2 5 4 2 4 2 2" xfId="35912"/>
    <cellStyle name="常规 2 5 4 2 4 2 3" xfId="35913"/>
    <cellStyle name="常规 2 5 4 2 4 2 4" xfId="35914"/>
    <cellStyle name="常规 2 5 4 2 4 2 5" xfId="35915"/>
    <cellStyle name="常规 2 5 4 2 4 3" xfId="35916"/>
    <cellStyle name="常规 2 5 4 2 4 4" xfId="35917"/>
    <cellStyle name="常规 2 5 4 2 4 5" xfId="35918"/>
    <cellStyle name="常规 2 5 4 2 4 6" xfId="35919"/>
    <cellStyle name="常规 2 5 4 2 5" xfId="35920"/>
    <cellStyle name="常规 2 5 4 2 5 2" xfId="35921"/>
    <cellStyle name="常规 2 5 4 2 5 2 2" xfId="35922"/>
    <cellStyle name="常规 2 5 4 2 5 3" xfId="35923"/>
    <cellStyle name="常规 2 5 4 2 5 4" xfId="35924"/>
    <cellStyle name="常规 2 5 4 2 5 5" xfId="35925"/>
    <cellStyle name="常规 2 5 4 2 6" xfId="35926"/>
    <cellStyle name="常规 2 5 4 2 7" xfId="35927"/>
    <cellStyle name="常规 2 5 4 2 8" xfId="35928"/>
    <cellStyle name="常规 2 5 4 2 9" xfId="35929"/>
    <cellStyle name="常规 2 5 4 2 9 2" xfId="35930"/>
    <cellStyle name="常规 2 5 4 20" xfId="35931"/>
    <cellStyle name="常规 2 5 4 21" xfId="35932"/>
    <cellStyle name="常规 2 5 4 22" xfId="35933"/>
    <cellStyle name="常规 2 5 4 22 2" xfId="35934"/>
    <cellStyle name="常规 2 5 4 23" xfId="35935"/>
    <cellStyle name="常规 2 5 4 3" xfId="35936"/>
    <cellStyle name="常规 2 5 4 3 2" xfId="35937"/>
    <cellStyle name="常规 2 5 4 3 2 2" xfId="35938"/>
    <cellStyle name="常规 2 5 4 3 2 2 2" xfId="35939"/>
    <cellStyle name="常规 2 5 4 3 2 2 2 2" xfId="35940"/>
    <cellStyle name="常规 2 5 4 3 2 2 2 2 2" xfId="35941"/>
    <cellStyle name="常规 2 5 4 3 2 2 2 2 3" xfId="35942"/>
    <cellStyle name="常规 2 5 4 3 2 2 2 2 4" xfId="35943"/>
    <cellStyle name="常规 2 5 4 3 2 2 2 3" xfId="35944"/>
    <cellStyle name="常规 2 5 4 3 2 2 2 4" xfId="35945"/>
    <cellStyle name="常规 2 5 4 3 2 2 2 5" xfId="35946"/>
    <cellStyle name="常规 2 5 4 3 2 2 3" xfId="35947"/>
    <cellStyle name="常规 2 5 4 3 2 2 3 2" xfId="35948"/>
    <cellStyle name="常规 2 5 4 3 2 2 3 2 2" xfId="35949"/>
    <cellStyle name="常规 2 5 4 3 2 2 3 2 3" xfId="35950"/>
    <cellStyle name="常规 2 5 4 3 2 2 3 2 4" xfId="35951"/>
    <cellStyle name="常规 2 5 4 3 2 2 3 3" xfId="35952"/>
    <cellStyle name="常规 2 5 4 3 2 2 3 4" xfId="35953"/>
    <cellStyle name="常规 2 5 4 3 2 2 3 5" xfId="35954"/>
    <cellStyle name="常规 2 5 4 3 2 2 4" xfId="35955"/>
    <cellStyle name="常规 2 5 4 3 2 2 4 2" xfId="35956"/>
    <cellStyle name="常规 2 5 4 3 2 2 4 3" xfId="35957"/>
    <cellStyle name="常规 2 5 4 3 2 2 4 4" xfId="35958"/>
    <cellStyle name="常规 2 5 4 3 2 2 5" xfId="35959"/>
    <cellStyle name="常规 2 5 4 3 2 2 6" xfId="35960"/>
    <cellStyle name="常规 2 5 4 3 2 2 7" xfId="35961"/>
    <cellStyle name="常规 2 5 4 3 2 3" xfId="35962"/>
    <cellStyle name="常规 2 5 4 3 2 3 2" xfId="35963"/>
    <cellStyle name="常规 2 5 4 3 2 3 2 2" xfId="35964"/>
    <cellStyle name="常规 2 5 4 3 2 3 2 3" xfId="35965"/>
    <cellStyle name="常规 2 5 4 3 2 3 2 4" xfId="35966"/>
    <cellStyle name="常规 2 5 4 3 2 3 3" xfId="35967"/>
    <cellStyle name="常规 2 5 4 3 2 3 4" xfId="35968"/>
    <cellStyle name="常规 2 5 4 3 2 3 5" xfId="35969"/>
    <cellStyle name="常规 2 5 4 3 2 4" xfId="35970"/>
    <cellStyle name="常规 2 5 4 3 2 4 2" xfId="35971"/>
    <cellStyle name="常规 2 5 4 3 2 4 2 2" xfId="35972"/>
    <cellStyle name="常规 2 5 4 3 2 4 2 3" xfId="35973"/>
    <cellStyle name="常规 2 5 4 3 2 4 2 4" xfId="35974"/>
    <cellStyle name="常规 2 5 4 3 2 4 3" xfId="35975"/>
    <cellStyle name="常规 2 5 4 3 2 4 4" xfId="35976"/>
    <cellStyle name="常规 2 5 4 3 2 4 5" xfId="35977"/>
    <cellStyle name="常规 2 5 4 3 2 5" xfId="35978"/>
    <cellStyle name="常规 2 5 4 3 2 5 2" xfId="35979"/>
    <cellStyle name="常规 2 5 4 3 2 5 3" xfId="35980"/>
    <cellStyle name="常规 2 5 4 3 2 5 4" xfId="35981"/>
    <cellStyle name="常规 2 5 4 3 2 6" xfId="35982"/>
    <cellStyle name="常规 2 5 4 3 2 7" xfId="35983"/>
    <cellStyle name="常规 2 5 4 3 2 8" xfId="35984"/>
    <cellStyle name="常规 2 5 4 3 3" xfId="35985"/>
    <cellStyle name="常规 2 5 4 3 3 2" xfId="35986"/>
    <cellStyle name="常规 2 5 4 3 3 2 2" xfId="35987"/>
    <cellStyle name="常规 2 5 4 3 3 2 3" xfId="35988"/>
    <cellStyle name="常规 2 5 4 3 3 2 4" xfId="35989"/>
    <cellStyle name="常规 2 5 4 3 3 3" xfId="35990"/>
    <cellStyle name="常规 2 5 4 3 3 4" xfId="35991"/>
    <cellStyle name="常规 2 5 4 3 3 5" xfId="35992"/>
    <cellStyle name="常规 2 5 4 3 4" xfId="35993"/>
    <cellStyle name="常规 2 5 4 3 4 2" xfId="35994"/>
    <cellStyle name="常规 2 5 4 3 4 2 2" xfId="35995"/>
    <cellStyle name="常规 2 5 4 3 4 2 3" xfId="35996"/>
    <cellStyle name="常规 2 5 4 3 4 2 4" xfId="35997"/>
    <cellStyle name="常规 2 5 4 3 4 3" xfId="35998"/>
    <cellStyle name="常规 2 5 4 3 4 4" xfId="35999"/>
    <cellStyle name="常规 2 5 4 3 4 5" xfId="36000"/>
    <cellStyle name="常规 2 5 4 3 5" xfId="36001"/>
    <cellStyle name="常规 2 5 4 3 5 2" xfId="36002"/>
    <cellStyle name="常规 2 5 4 3 5 3" xfId="36003"/>
    <cellStyle name="常规 2 5 4 3 5 4" xfId="36004"/>
    <cellStyle name="常规 2 5 4 3 6" xfId="36005"/>
    <cellStyle name="常规 2 5 4 3 7" xfId="36006"/>
    <cellStyle name="常规 2 5 4 3 8" xfId="36007"/>
    <cellStyle name="常规 2 5 4 3 9" xfId="36008"/>
    <cellStyle name="常规 2 5 4 3 9 2" xfId="36009"/>
    <cellStyle name="常规 2 5 4 4" xfId="36010"/>
    <cellStyle name="常规 2 5 4 4 2" xfId="36011"/>
    <cellStyle name="常规 2 5 4 4 2 2" xfId="36012"/>
    <cellStyle name="常规 2 5 4 4 2 2 2" xfId="36013"/>
    <cellStyle name="常规 2 5 4 4 2 2 2 2" xfId="36014"/>
    <cellStyle name="常规 2 5 4 4 2 2 2 2 2" xfId="36015"/>
    <cellStyle name="常规 2 5 4 4 2 2 2 2 3" xfId="36016"/>
    <cellStyle name="常规 2 5 4 4 2 2 2 2 4" xfId="36017"/>
    <cellStyle name="常规 2 5 4 4 2 2 2 3" xfId="36018"/>
    <cellStyle name="常规 2 5 4 4 2 2 2 4" xfId="36019"/>
    <cellStyle name="常规 2 5 4 4 2 2 2 5" xfId="36020"/>
    <cellStyle name="常规 2 5 4 4 2 2 3" xfId="36021"/>
    <cellStyle name="常规 2 5 4 4 2 2 3 2" xfId="36022"/>
    <cellStyle name="常规 2 5 4 4 2 2 3 2 2" xfId="36023"/>
    <cellStyle name="常规 2 5 4 4 2 2 3 2 3" xfId="36024"/>
    <cellStyle name="常规 2 5 4 4 2 2 3 2 4" xfId="36025"/>
    <cellStyle name="常规 2 5 4 4 2 2 3 3" xfId="36026"/>
    <cellStyle name="常规 2 5 4 4 2 2 3 4" xfId="36027"/>
    <cellStyle name="常规 2 5 4 4 2 2 3 5" xfId="36028"/>
    <cellStyle name="常规 2 5 4 4 2 2 4" xfId="36029"/>
    <cellStyle name="常规 2 5 4 4 2 2 4 2" xfId="36030"/>
    <cellStyle name="常规 2 5 4 4 2 2 4 3" xfId="36031"/>
    <cellStyle name="常规 2 5 4 4 2 2 4 4" xfId="36032"/>
    <cellStyle name="常规 2 5 4 4 2 2 5" xfId="36033"/>
    <cellStyle name="常规 2 5 4 4 2 2 6" xfId="36034"/>
    <cellStyle name="常规 2 5 4 4 2 2 7" xfId="36035"/>
    <cellStyle name="常规 2 5 4 4 2 3" xfId="36036"/>
    <cellStyle name="常规 2 5 4 4 2 3 2" xfId="36037"/>
    <cellStyle name="常规 2 5 4 4 2 3 2 2" xfId="36038"/>
    <cellStyle name="常规 2 5 4 4 2 3 2 3" xfId="36039"/>
    <cellStyle name="常规 2 5 4 4 2 3 2 4" xfId="36040"/>
    <cellStyle name="常规 2 5 4 4 2 3 3" xfId="36041"/>
    <cellStyle name="常规 2 5 4 4 2 3 4" xfId="36042"/>
    <cellStyle name="常规 2 5 4 4 2 3 5" xfId="36043"/>
    <cellStyle name="常规 2 5 4 4 2 4" xfId="36044"/>
    <cellStyle name="常规 2 5 4 4 2 4 2" xfId="36045"/>
    <cellStyle name="常规 2 5 4 4 2 4 2 2" xfId="36046"/>
    <cellStyle name="常规 2 5 4 4 2 4 2 3" xfId="36047"/>
    <cellStyle name="常规 2 5 4 4 2 4 2 4" xfId="36048"/>
    <cellStyle name="常规 2 5 4 4 2 4 3" xfId="36049"/>
    <cellStyle name="常规 2 5 4 4 2 4 4" xfId="36050"/>
    <cellStyle name="常规 2 5 4 4 2 4 5" xfId="36051"/>
    <cellStyle name="常规 2 5 4 4 2 5" xfId="36052"/>
    <cellStyle name="常规 2 5 4 4 2 5 2" xfId="36053"/>
    <cellStyle name="常规 2 5 4 4 2 5 3" xfId="36054"/>
    <cellStyle name="常规 2 5 4 4 2 5 4" xfId="36055"/>
    <cellStyle name="常规 2 5 4 4 2 6" xfId="36056"/>
    <cellStyle name="常规 2 5 4 4 2 7" xfId="36057"/>
    <cellStyle name="常规 2 5 4 4 2 8" xfId="36058"/>
    <cellStyle name="常规 2 5 4 4 3" xfId="36059"/>
    <cellStyle name="常规 2 5 4 4 3 2" xfId="36060"/>
    <cellStyle name="常规 2 5 4 4 3 2 2" xfId="36061"/>
    <cellStyle name="常规 2 5 4 4 3 2 3" xfId="36062"/>
    <cellStyle name="常规 2 5 4 4 3 2 4" xfId="36063"/>
    <cellStyle name="常规 2 5 4 4 3 3" xfId="36064"/>
    <cellStyle name="常规 2 5 4 4 3 4" xfId="36065"/>
    <cellStyle name="常规 2 5 4 4 3 5" xfId="36066"/>
    <cellStyle name="常规 2 5 4 4 4" xfId="36067"/>
    <cellStyle name="常规 2 5 4 4 4 2" xfId="36068"/>
    <cellStyle name="常规 2 5 4 4 4 2 2" xfId="36069"/>
    <cellStyle name="常规 2 5 4 4 4 2 3" xfId="36070"/>
    <cellStyle name="常规 2 5 4 4 4 2 4" xfId="36071"/>
    <cellStyle name="常规 2 5 4 4 4 3" xfId="36072"/>
    <cellStyle name="常规 2 5 4 4 4 4" xfId="36073"/>
    <cellStyle name="常规 2 5 4 4 4 5" xfId="36074"/>
    <cellStyle name="常规 2 5 4 4 5" xfId="36075"/>
    <cellStyle name="常规 2 5 4 4 5 2" xfId="36076"/>
    <cellStyle name="常规 2 5 4 4 5 3" xfId="36077"/>
    <cellStyle name="常规 2 5 4 4 5 4" xfId="36078"/>
    <cellStyle name="常规 2 5 4 4 6" xfId="36079"/>
    <cellStyle name="常规 2 5 4 4 7" xfId="36080"/>
    <cellStyle name="常规 2 5 4 4 8" xfId="36081"/>
    <cellStyle name="常规 2 5 4 4 9" xfId="36082"/>
    <cellStyle name="常规 2 5 4 4 9 2" xfId="36083"/>
    <cellStyle name="常规 2 5 4 5" xfId="36084"/>
    <cellStyle name="常规 2 5 4 5 2" xfId="36085"/>
    <cellStyle name="常规 2 5 4 5 2 2" xfId="36086"/>
    <cellStyle name="常规 2 5 4 5 2 2 2" xfId="36087"/>
    <cellStyle name="常规 2 5 4 5 2 2 2 2" xfId="36088"/>
    <cellStyle name="常规 2 5 4 5 2 2 2 2 2" xfId="36089"/>
    <cellStyle name="常规 2 5 4 5 2 2 2 2 3" xfId="36090"/>
    <cellStyle name="常规 2 5 4 5 2 2 2 2 4" xfId="36091"/>
    <cellStyle name="常规 2 5 4 5 2 2 2 3" xfId="36092"/>
    <cellStyle name="常规 2 5 4 5 2 2 2 4" xfId="36093"/>
    <cellStyle name="常规 2 5 4 5 2 2 2 5" xfId="36094"/>
    <cellStyle name="常规 2 5 4 5 2 2 3" xfId="36095"/>
    <cellStyle name="常规 2 5 4 5 2 2 3 2" xfId="36096"/>
    <cellStyle name="常规 2 5 4 5 2 2 3 2 2" xfId="36097"/>
    <cellStyle name="常规 2 5 4 5 2 2 3 2 3" xfId="36098"/>
    <cellStyle name="常规 2 5 4 5 2 2 3 2 4" xfId="36099"/>
    <cellStyle name="常规 2 5 4 5 2 2 3 3" xfId="36100"/>
    <cellStyle name="常规 2 5 4 5 2 2 3 4" xfId="36101"/>
    <cellStyle name="常规 2 5 4 5 2 2 3 5" xfId="36102"/>
    <cellStyle name="常规 2 5 4 5 2 2 4" xfId="36103"/>
    <cellStyle name="常规 2 5 4 5 2 2 4 2" xfId="36104"/>
    <cellStyle name="常规 2 5 4 5 2 2 4 3" xfId="36105"/>
    <cellStyle name="常规 2 5 4 5 2 2 4 4" xfId="36106"/>
    <cellStyle name="常规 2 5 4 5 2 2 5" xfId="36107"/>
    <cellStyle name="常规 2 5 4 5 2 2 6" xfId="36108"/>
    <cellStyle name="常规 2 5 4 5 2 2 7" xfId="36109"/>
    <cellStyle name="常规 2 5 4 5 2 3" xfId="36110"/>
    <cellStyle name="常规 2 5 4 5 2 3 2" xfId="36111"/>
    <cellStyle name="常规 2 5 4 5 2 3 2 2" xfId="36112"/>
    <cellStyle name="常规 2 5 4 5 2 3 2 3" xfId="36113"/>
    <cellStyle name="常规 2 5 4 5 2 3 2 4" xfId="36114"/>
    <cellStyle name="常规 2 5 4 5 2 3 3" xfId="36115"/>
    <cellStyle name="常规 2 5 4 5 2 3 4" xfId="36116"/>
    <cellStyle name="常规 2 5 4 5 2 3 5" xfId="36117"/>
    <cellStyle name="常规 2 5 4 5 2 4" xfId="36118"/>
    <cellStyle name="常规 2 5 4 5 2 4 2" xfId="36119"/>
    <cellStyle name="常规 2 5 4 5 2 4 2 2" xfId="36120"/>
    <cellStyle name="常规 2 5 4 5 2 4 2 3" xfId="36121"/>
    <cellStyle name="常规 2 5 4 5 2 4 2 4" xfId="36122"/>
    <cellStyle name="常规 2 5 4 5 2 4 3" xfId="36123"/>
    <cellStyle name="常规 2 5 4 5 2 4 4" xfId="36124"/>
    <cellStyle name="常规 2 5 4 5 2 4 5" xfId="36125"/>
    <cellStyle name="常规 2 5 4 5 2 5" xfId="36126"/>
    <cellStyle name="常规 2 5 4 5 2 5 2" xfId="36127"/>
    <cellStyle name="常规 2 5 4 5 2 5 3" xfId="36128"/>
    <cellStyle name="常规 2 5 4 5 2 5 4" xfId="36129"/>
    <cellStyle name="常规 2 5 4 5 2 6" xfId="36130"/>
    <cellStyle name="常规 2 5 4 5 2 7" xfId="36131"/>
    <cellStyle name="常规 2 5 4 5 2 8" xfId="36132"/>
    <cellStyle name="常规 2 5 4 5 3" xfId="36133"/>
    <cellStyle name="常规 2 5 4 5 3 2" xfId="36134"/>
    <cellStyle name="常规 2 5 4 5 3 2 2" xfId="36135"/>
    <cellStyle name="常规 2 5 4 5 3 2 3" xfId="36136"/>
    <cellStyle name="常规 2 5 4 5 3 2 4" xfId="36137"/>
    <cellStyle name="常规 2 5 4 5 3 3" xfId="36138"/>
    <cellStyle name="常规 2 5 4 5 3 4" xfId="36139"/>
    <cellStyle name="常规 2 5 4 5 3 5" xfId="36140"/>
    <cellStyle name="常规 2 5 4 5 4" xfId="36141"/>
    <cellStyle name="常规 2 5 4 5 4 2" xfId="36142"/>
    <cellStyle name="常规 2 5 4 5 4 2 2" xfId="36143"/>
    <cellStyle name="常规 2 5 4 5 4 2 3" xfId="36144"/>
    <cellStyle name="常规 2 5 4 5 4 2 4" xfId="36145"/>
    <cellStyle name="常规 2 5 4 5 4 3" xfId="36146"/>
    <cellStyle name="常规 2 5 4 5 4 4" xfId="36147"/>
    <cellStyle name="常规 2 5 4 5 4 5" xfId="36148"/>
    <cellStyle name="常规 2 5 4 5 5" xfId="36149"/>
    <cellStyle name="常规 2 5 4 5 5 2" xfId="36150"/>
    <cellStyle name="常规 2 5 4 5 5 3" xfId="36151"/>
    <cellStyle name="常规 2 5 4 5 5 4" xfId="36152"/>
    <cellStyle name="常规 2 5 4 5 6" xfId="36153"/>
    <cellStyle name="常规 2 5 4 5 7" xfId="36154"/>
    <cellStyle name="常规 2 5 4 5 8" xfId="36155"/>
    <cellStyle name="常规 2 5 4 5 9" xfId="36156"/>
    <cellStyle name="常规 2 5 4 5 9 2" xfId="36157"/>
    <cellStyle name="常规 2 5 4 6" xfId="36158"/>
    <cellStyle name="常规 2 5 4 6 2" xfId="36159"/>
    <cellStyle name="常规 2 5 4 6 2 2" xfId="36160"/>
    <cellStyle name="常规 2 5 4 6 2 2 2" xfId="36161"/>
    <cellStyle name="常规 2 5 4 6 2 2 2 2" xfId="36162"/>
    <cellStyle name="常规 2 5 4 6 2 2 2 2 2" xfId="36163"/>
    <cellStyle name="常规 2 5 4 6 2 2 2 2 3" xfId="36164"/>
    <cellStyle name="常规 2 5 4 6 2 2 2 2 4" xfId="36165"/>
    <cellStyle name="常规 2 5 4 6 2 2 2 3" xfId="36166"/>
    <cellStyle name="常规 2 5 4 6 2 2 2 4" xfId="36167"/>
    <cellStyle name="常规 2 5 4 6 2 2 2 5" xfId="36168"/>
    <cellStyle name="常规 2 5 4 6 2 2 3" xfId="36169"/>
    <cellStyle name="常规 2 5 4 6 2 2 3 2" xfId="36170"/>
    <cellStyle name="常规 2 5 4 6 2 2 3 2 2" xfId="36171"/>
    <cellStyle name="常规 2 5 4 6 2 2 3 2 3" xfId="36172"/>
    <cellStyle name="常规 2 5 4 6 2 2 3 2 4" xfId="36173"/>
    <cellStyle name="常规 2 5 4 6 2 2 3 3" xfId="36174"/>
    <cellStyle name="常规 2 5 4 6 2 2 3 4" xfId="36175"/>
    <cellStyle name="常规 2 5 4 6 2 2 3 5" xfId="36176"/>
    <cellStyle name="常规 2 5 4 6 2 2 4" xfId="36177"/>
    <cellStyle name="常规 2 5 4 6 2 2 4 2" xfId="36178"/>
    <cellStyle name="常规 2 5 4 6 2 2 4 3" xfId="36179"/>
    <cellStyle name="常规 2 5 4 6 2 2 4 4" xfId="36180"/>
    <cellStyle name="常规 2 5 4 6 2 2 5" xfId="36181"/>
    <cellStyle name="常规 2 5 4 6 2 2 6" xfId="36182"/>
    <cellStyle name="常规 2 5 4 6 2 2 7" xfId="36183"/>
    <cellStyle name="常规 2 5 4 6 2 3" xfId="36184"/>
    <cellStyle name="常规 2 5 4 6 2 3 2" xfId="36185"/>
    <cellStyle name="常规 2 5 4 6 2 3 2 2" xfId="36186"/>
    <cellStyle name="常规 2 5 4 6 2 3 2 3" xfId="36187"/>
    <cellStyle name="常规 2 5 4 6 2 3 2 4" xfId="36188"/>
    <cellStyle name="常规 2 5 4 6 2 3 3" xfId="36189"/>
    <cellStyle name="常规 2 5 4 6 2 3 4" xfId="36190"/>
    <cellStyle name="常规 2 5 4 6 2 3 5" xfId="36191"/>
    <cellStyle name="常规 2 5 4 6 2 4" xfId="36192"/>
    <cellStyle name="常规 2 5 4 6 2 4 2" xfId="36193"/>
    <cellStyle name="常规 2 5 4 6 2 4 2 2" xfId="36194"/>
    <cellStyle name="常规 2 5 4 6 2 4 2 3" xfId="36195"/>
    <cellStyle name="常规 2 5 4 6 2 4 2 4" xfId="36196"/>
    <cellStyle name="常规 2 5 4 6 2 4 3" xfId="36197"/>
    <cellStyle name="常规 2 5 4 6 2 4 4" xfId="36198"/>
    <cellStyle name="常规 2 5 4 6 2 4 5" xfId="36199"/>
    <cellStyle name="常规 2 5 4 6 2 5" xfId="36200"/>
    <cellStyle name="常规 2 5 4 6 2 5 2" xfId="36201"/>
    <cellStyle name="常规 2 5 4 6 2 5 3" xfId="36202"/>
    <cellStyle name="常规 2 5 4 6 2 5 4" xfId="36203"/>
    <cellStyle name="常规 2 5 4 6 2 6" xfId="36204"/>
    <cellStyle name="常规 2 5 4 6 2 7" xfId="36205"/>
    <cellStyle name="常规 2 5 4 6 2 8" xfId="36206"/>
    <cellStyle name="常规 2 5 4 6 3" xfId="36207"/>
    <cellStyle name="常规 2 5 4 6 3 2" xfId="36208"/>
    <cellStyle name="常规 2 5 4 6 3 2 2" xfId="36209"/>
    <cellStyle name="常规 2 5 4 6 3 2 3" xfId="36210"/>
    <cellStyle name="常规 2 5 4 6 3 2 4" xfId="36211"/>
    <cellStyle name="常规 2 5 4 6 3 3" xfId="36212"/>
    <cellStyle name="常规 2 5 4 6 3 4" xfId="36213"/>
    <cellStyle name="常规 2 5 4 6 3 5" xfId="36214"/>
    <cellStyle name="常规 2 5 4 6 4" xfId="36215"/>
    <cellStyle name="常规 2 5 4 6 4 2" xfId="36216"/>
    <cellStyle name="常规 2 5 4 6 4 2 2" xfId="36217"/>
    <cellStyle name="常规 2 5 4 6 4 2 3" xfId="36218"/>
    <cellStyle name="常规 2 5 4 6 4 2 4" xfId="36219"/>
    <cellStyle name="常规 2 5 4 6 4 3" xfId="36220"/>
    <cellStyle name="常规 2 5 4 6 4 4" xfId="36221"/>
    <cellStyle name="常规 2 5 4 6 4 5" xfId="36222"/>
    <cellStyle name="常规 2 5 4 6 5" xfId="36223"/>
    <cellStyle name="常规 2 5 4 6 5 2" xfId="36224"/>
    <cellStyle name="常规 2 5 4 6 5 3" xfId="36225"/>
    <cellStyle name="常规 2 5 4 6 5 4" xfId="36226"/>
    <cellStyle name="常规 2 5 4 6 6" xfId="36227"/>
    <cellStyle name="常规 2 5 4 6 7" xfId="36228"/>
    <cellStyle name="常规 2 5 4 6 8" xfId="36229"/>
    <cellStyle name="常规 2 5 4 6 9" xfId="36230"/>
    <cellStyle name="常规 2 5 4 6 9 2" xfId="36231"/>
    <cellStyle name="常规 2 5 4 7" xfId="36232"/>
    <cellStyle name="常规 2 5 4 7 2" xfId="36233"/>
    <cellStyle name="常规 2 5 4 7 2 2" xfId="36234"/>
    <cellStyle name="常规 2 5 4 7 2 2 2" xfId="36235"/>
    <cellStyle name="常规 2 5 4 7 2 2 2 2" xfId="36236"/>
    <cellStyle name="常规 2 5 4 7 2 2 2 2 2" xfId="36237"/>
    <cellStyle name="常规 2 5 4 7 2 2 2 2 3" xfId="36238"/>
    <cellStyle name="常规 2 5 4 7 2 2 2 2 4" xfId="36239"/>
    <cellStyle name="常规 2 5 4 7 2 2 2 3" xfId="36240"/>
    <cellStyle name="常规 2 5 4 7 2 2 2 4" xfId="36241"/>
    <cellStyle name="常规 2 5 4 7 2 2 2 5" xfId="36242"/>
    <cellStyle name="常规 2 5 4 7 2 2 3" xfId="36243"/>
    <cellStyle name="常规 2 5 4 7 2 2 3 2" xfId="36244"/>
    <cellStyle name="常规 2 5 4 7 2 2 3 2 2" xfId="36245"/>
    <cellStyle name="常规 2 5 4 7 2 2 3 2 3" xfId="36246"/>
    <cellStyle name="常规 2 5 4 7 2 2 3 2 4" xfId="36247"/>
    <cellStyle name="常规 2 5 4 7 2 2 3 3" xfId="36248"/>
    <cellStyle name="常规 2 5 4 7 2 2 3 4" xfId="36249"/>
    <cellStyle name="常规 2 5 4 7 2 2 3 5" xfId="36250"/>
    <cellStyle name="常规 2 5 4 7 2 2 4" xfId="36251"/>
    <cellStyle name="常规 2 5 4 7 2 2 4 2" xfId="36252"/>
    <cellStyle name="常规 2 5 4 7 2 2 4 3" xfId="36253"/>
    <cellStyle name="常规 2 5 4 7 2 2 4 4" xfId="36254"/>
    <cellStyle name="常规 2 5 4 7 2 2 5" xfId="36255"/>
    <cellStyle name="常规 2 5 4 7 2 2 6" xfId="36256"/>
    <cellStyle name="常规 2 5 4 7 2 2 7" xfId="36257"/>
    <cellStyle name="常规 2 5 4 7 2 3" xfId="36258"/>
    <cellStyle name="常规 2 5 4 7 2 3 2" xfId="36259"/>
    <cellStyle name="常规 2 5 4 7 2 3 2 2" xfId="36260"/>
    <cellStyle name="常规 2 5 4 7 2 3 2 3" xfId="36261"/>
    <cellStyle name="常规 2 5 4 7 2 3 2 4" xfId="36262"/>
    <cellStyle name="常规 2 5 4 7 2 3 3" xfId="36263"/>
    <cellStyle name="常规 2 5 4 7 2 3 4" xfId="36264"/>
    <cellStyle name="常规 2 5 4 7 2 3 5" xfId="36265"/>
    <cellStyle name="常规 2 5 4 7 2 4" xfId="36266"/>
    <cellStyle name="常规 2 5 4 7 2 4 2" xfId="36267"/>
    <cellStyle name="常规 2 5 4 7 2 4 2 2" xfId="36268"/>
    <cellStyle name="常规 2 5 4 7 2 4 2 3" xfId="36269"/>
    <cellStyle name="常规 2 5 4 7 2 4 2 4" xfId="36270"/>
    <cellStyle name="常规 2 5 4 7 2 4 3" xfId="36271"/>
    <cellStyle name="常规 2 5 4 7 2 4 4" xfId="36272"/>
    <cellStyle name="常规 2 5 4 7 2 4 5" xfId="36273"/>
    <cellStyle name="常规 2 5 4 7 2 5" xfId="36274"/>
    <cellStyle name="常规 2 5 4 7 2 5 2" xfId="36275"/>
    <cellStyle name="常规 2 5 4 7 2 5 3" xfId="36276"/>
    <cellStyle name="常规 2 5 4 7 2 5 4" xfId="36277"/>
    <cellStyle name="常规 2 5 4 7 2 6" xfId="36278"/>
    <cellStyle name="常规 2 5 4 7 2 7" xfId="36279"/>
    <cellStyle name="常规 2 5 4 7 2 8" xfId="36280"/>
    <cellStyle name="常规 2 5 4 7 2 9" xfId="36281"/>
    <cellStyle name="常规 2 5 4 7 3" xfId="36282"/>
    <cellStyle name="常规 2 5 4 7 3 2" xfId="36283"/>
    <cellStyle name="常规 2 5 4 7 3 2 2" xfId="36284"/>
    <cellStyle name="常规 2 5 4 7 3 2 3" xfId="36285"/>
    <cellStyle name="常规 2 5 4 7 3 2 4" xfId="36286"/>
    <cellStyle name="常规 2 5 4 7 3 3" xfId="36287"/>
    <cellStyle name="常规 2 5 4 7 3 4" xfId="36288"/>
    <cellStyle name="常规 2 5 4 7 3 5" xfId="36289"/>
    <cellStyle name="常规 2 5 4 7 4" xfId="36290"/>
    <cellStyle name="常规 2 5 4 7 4 2" xfId="36291"/>
    <cellStyle name="常规 2 5 4 7 4 2 2" xfId="36292"/>
    <cellStyle name="常规 2 5 4 7 4 2 3" xfId="36293"/>
    <cellStyle name="常规 2 5 4 7 4 2 4" xfId="36294"/>
    <cellStyle name="常规 2 5 4 7 4 3" xfId="36295"/>
    <cellStyle name="常规 2 5 4 7 4 4" xfId="36296"/>
    <cellStyle name="常规 2 5 4 7 4 5" xfId="36297"/>
    <cellStyle name="常规 2 5 4 7 5" xfId="36298"/>
    <cellStyle name="常规 2 5 4 7 5 2" xfId="36299"/>
    <cellStyle name="常规 2 5 4 7 5 3" xfId="36300"/>
    <cellStyle name="常规 2 5 4 7 5 4" xfId="36301"/>
    <cellStyle name="常规 2 5 4 7 6" xfId="36302"/>
    <cellStyle name="常规 2 5 4 7 7" xfId="36303"/>
    <cellStyle name="常规 2 5 4 7 8" xfId="36304"/>
    <cellStyle name="常规 2 5 4 7 9" xfId="36305"/>
    <cellStyle name="常规 2 5 4 8" xfId="36306"/>
    <cellStyle name="常规 2 5 4 8 2" xfId="36307"/>
    <cellStyle name="常规 2 5 4 8 2 2" xfId="36308"/>
    <cellStyle name="常规 2 5 4 8 2 2 2" xfId="36309"/>
    <cellStyle name="常规 2 5 4 8 2 2 2 2" xfId="36310"/>
    <cellStyle name="常规 2 5 4 8 2 2 2 2 2" xfId="36311"/>
    <cellStyle name="常规 2 5 4 8 2 2 2 2 3" xfId="36312"/>
    <cellStyle name="常规 2 5 4 8 2 2 2 2 4" xfId="36313"/>
    <cellStyle name="常规 2 5 4 8 2 2 2 3" xfId="36314"/>
    <cellStyle name="常规 2 5 4 8 2 2 2 4" xfId="36315"/>
    <cellStyle name="常规 2 5 4 8 2 2 2 5" xfId="36316"/>
    <cellStyle name="常规 2 5 4 8 2 2 3" xfId="36317"/>
    <cellStyle name="常规 2 5 4 8 2 2 3 2" xfId="36318"/>
    <cellStyle name="常规 2 5 4 8 2 2 3 2 2" xfId="36319"/>
    <cellStyle name="常规 2 5 4 8 2 2 3 2 3" xfId="36320"/>
    <cellStyle name="常规 2 5 4 8 2 2 3 2 4" xfId="36321"/>
    <cellStyle name="常规 2 5 4 8 2 2 3 3" xfId="36322"/>
    <cellStyle name="常规 2 5 4 8 2 2 3 4" xfId="36323"/>
    <cellStyle name="常规 2 5 4 8 2 2 3 5" xfId="36324"/>
    <cellStyle name="常规 2 5 4 8 2 2 4" xfId="36325"/>
    <cellStyle name="常规 2 5 4 8 2 2 4 2" xfId="36326"/>
    <cellStyle name="常规 2 5 4 8 2 2 4 3" xfId="36327"/>
    <cellStyle name="常规 2 5 4 8 2 2 4 4" xfId="36328"/>
    <cellStyle name="常规 2 5 4 8 2 2 5" xfId="36329"/>
    <cellStyle name="常规 2 5 4 8 2 2 6" xfId="36330"/>
    <cellStyle name="常规 2 5 4 8 2 2 7" xfId="36331"/>
    <cellStyle name="常规 2 5 4 8 2 3" xfId="36332"/>
    <cellStyle name="常规 2 5 4 8 2 3 2" xfId="36333"/>
    <cellStyle name="常规 2 5 4 8 2 3 2 2" xfId="36334"/>
    <cellStyle name="常规 2 5 4 8 2 3 2 3" xfId="36335"/>
    <cellStyle name="常规 2 5 4 8 2 3 2 4" xfId="36336"/>
    <cellStyle name="常规 2 5 4 8 2 3 3" xfId="36337"/>
    <cellStyle name="常规 2 5 4 8 2 3 4" xfId="36338"/>
    <cellStyle name="常规 2 5 4 8 2 3 5" xfId="36339"/>
    <cellStyle name="常规 2 5 4 8 2 4" xfId="36340"/>
    <cellStyle name="常规 2 5 4 8 2 4 2" xfId="36341"/>
    <cellStyle name="常规 2 5 4 8 2 4 2 2" xfId="36342"/>
    <cellStyle name="常规 2 5 4 8 2 4 2 3" xfId="36343"/>
    <cellStyle name="常规 2 5 4 8 2 4 2 4" xfId="36344"/>
    <cellStyle name="常规 2 5 4 8 2 4 3" xfId="36345"/>
    <cellStyle name="常规 2 5 4 8 2 4 4" xfId="36346"/>
    <cellStyle name="常规 2 5 4 8 2 4 5" xfId="36347"/>
    <cellStyle name="常规 2 5 4 8 2 5" xfId="36348"/>
    <cellStyle name="常规 2 5 4 8 2 5 2" xfId="36349"/>
    <cellStyle name="常规 2 5 4 8 2 5 3" xfId="36350"/>
    <cellStyle name="常规 2 5 4 8 2 5 4" xfId="36351"/>
    <cellStyle name="常规 2 5 4 8 2 6" xfId="36352"/>
    <cellStyle name="常规 2 5 4 8 2 7" xfId="36353"/>
    <cellStyle name="常规 2 5 4 8 2 8" xfId="36354"/>
    <cellStyle name="常规 2 5 4 8 2 9" xfId="36355"/>
    <cellStyle name="常规 2 5 4 8 3" xfId="36356"/>
    <cellStyle name="常规 2 5 4 8 3 2" xfId="36357"/>
    <cellStyle name="常规 2 5 4 8 3 2 2" xfId="36358"/>
    <cellStyle name="常规 2 5 4 8 3 2 3" xfId="36359"/>
    <cellStyle name="常规 2 5 4 8 3 2 4" xfId="36360"/>
    <cellStyle name="常规 2 5 4 8 3 3" xfId="36361"/>
    <cellStyle name="常规 2 5 4 8 3 4" xfId="36362"/>
    <cellStyle name="常规 2 5 4 8 3 5" xfId="36363"/>
    <cellStyle name="常规 2 5 4 8 4" xfId="36364"/>
    <cellStyle name="常规 2 5 4 8 4 2" xfId="36365"/>
    <cellStyle name="常规 2 5 4 8 4 2 2" xfId="36366"/>
    <cellStyle name="常规 2 5 4 8 4 2 3" xfId="36367"/>
    <cellStyle name="常规 2 5 4 8 4 2 4" xfId="36368"/>
    <cellStyle name="常规 2 5 4 8 4 3" xfId="36369"/>
    <cellStyle name="常规 2 5 4 8 4 4" xfId="36370"/>
    <cellStyle name="常规 2 5 4 8 4 5" xfId="36371"/>
    <cellStyle name="常规 2 5 4 8 5" xfId="36372"/>
    <cellStyle name="常规 2 5 4 8 5 2" xfId="36373"/>
    <cellStyle name="常规 2 5 4 8 5 3" xfId="36374"/>
    <cellStyle name="常规 2 5 4 8 5 4" xfId="36375"/>
    <cellStyle name="常规 2 5 4 8 6" xfId="36376"/>
    <cellStyle name="常规 2 5 4 8 7" xfId="36377"/>
    <cellStyle name="常规 2 5 4 8 8" xfId="36378"/>
    <cellStyle name="常规 2 5 4 8 9" xfId="36379"/>
    <cellStyle name="常规 2 5 4 9" xfId="36380"/>
    <cellStyle name="常规 2 5 4 9 2" xfId="36381"/>
    <cellStyle name="常规 2 5 4 9 2 2" xfId="36382"/>
    <cellStyle name="常规 2 5 4 9 2 2 2" xfId="36383"/>
    <cellStyle name="常规 2 5 4 9 2 2 2 2" xfId="36384"/>
    <cellStyle name="常规 2 5 4 9 2 2 2 2 2" xfId="36385"/>
    <cellStyle name="常规 2 5 4 9 2 2 2 2 3" xfId="36386"/>
    <cellStyle name="常规 2 5 4 9 2 2 2 2 4" xfId="36387"/>
    <cellStyle name="常规 2 5 4 9 2 2 2 3" xfId="36388"/>
    <cellStyle name="常规 2 5 4 9 2 2 2 4" xfId="36389"/>
    <cellStyle name="常规 2 5 4 9 2 2 2 5" xfId="36390"/>
    <cellStyle name="常规 2 5 4 9 2 2 3" xfId="36391"/>
    <cellStyle name="常规 2 5 4 9 2 2 3 2" xfId="36392"/>
    <cellStyle name="常规 2 5 4 9 2 2 3 2 2" xfId="36393"/>
    <cellStyle name="常规 2 5 4 9 2 2 3 2 3" xfId="36394"/>
    <cellStyle name="常规 2 5 4 9 2 2 3 2 4" xfId="36395"/>
    <cellStyle name="常规 2 5 4 9 2 2 3 3" xfId="36396"/>
    <cellStyle name="常规 2 5 4 9 2 2 3 4" xfId="36397"/>
    <cellStyle name="常规 2 5 4 9 2 2 3 5" xfId="36398"/>
    <cellStyle name="常规 2 5 4 9 2 2 4" xfId="36399"/>
    <cellStyle name="常规 2 5 4 9 2 2 4 2" xfId="36400"/>
    <cellStyle name="常规 2 5 4 9 2 2 4 3" xfId="36401"/>
    <cellStyle name="常规 2 5 4 9 2 2 4 4" xfId="36402"/>
    <cellStyle name="常规 2 5 4 9 2 2 5" xfId="36403"/>
    <cellStyle name="常规 2 5 4 9 2 2 6" xfId="36404"/>
    <cellStyle name="常规 2 5 4 9 2 2 7" xfId="36405"/>
    <cellStyle name="常规 2 5 4 9 2 3" xfId="36406"/>
    <cellStyle name="常规 2 5 4 9 2 3 2" xfId="36407"/>
    <cellStyle name="常规 2 5 4 9 2 3 2 2" xfId="36408"/>
    <cellStyle name="常规 2 5 4 9 2 3 2 3" xfId="36409"/>
    <cellStyle name="常规 2 5 4 9 2 3 2 4" xfId="36410"/>
    <cellStyle name="常规 2 5 4 9 2 3 3" xfId="36411"/>
    <cellStyle name="常规 2 5 4 9 2 3 4" xfId="36412"/>
    <cellStyle name="常规 2 5 4 9 2 3 5" xfId="36413"/>
    <cellStyle name="常规 2 5 4 9 2 4" xfId="36414"/>
    <cellStyle name="常规 2 5 4 9 2 4 2" xfId="36415"/>
    <cellStyle name="常规 2 5 4 9 2 4 2 2" xfId="36416"/>
    <cellStyle name="常规 2 5 4 9 2 4 2 3" xfId="36417"/>
    <cellStyle name="常规 2 5 4 9 2 4 2 4" xfId="36418"/>
    <cellStyle name="常规 2 5 4 9 2 4 3" xfId="36419"/>
    <cellStyle name="常规 2 5 4 9 2 4 4" xfId="36420"/>
    <cellStyle name="常规 2 5 4 9 2 4 5" xfId="36421"/>
    <cellStyle name="常规 2 5 4 9 2 5" xfId="36422"/>
    <cellStyle name="常规 2 5 4 9 2 5 2" xfId="36423"/>
    <cellStyle name="常规 2 5 4 9 2 5 3" xfId="36424"/>
    <cellStyle name="常规 2 5 4 9 2 5 4" xfId="36425"/>
    <cellStyle name="常规 2 5 4 9 2 6" xfId="36426"/>
    <cellStyle name="常规 2 5 4 9 2 7" xfId="36427"/>
    <cellStyle name="常规 2 5 4 9 2 8" xfId="36428"/>
    <cellStyle name="常规 2 5 4 9 3" xfId="36429"/>
    <cellStyle name="常规 2 5 4 9 3 2" xfId="36430"/>
    <cellStyle name="常规 2 5 4 9 3 2 2" xfId="36431"/>
    <cellStyle name="常规 2 5 4 9 3 2 3" xfId="36432"/>
    <cellStyle name="常规 2 5 4 9 3 2 4" xfId="36433"/>
    <cellStyle name="常规 2 5 4 9 3 3" xfId="36434"/>
    <cellStyle name="常规 2 5 4 9 3 4" xfId="36435"/>
    <cellStyle name="常规 2 5 4 9 3 5" xfId="36436"/>
    <cellStyle name="常规 2 5 4 9 4" xfId="36437"/>
    <cellStyle name="常规 2 5 4 9 4 2" xfId="36438"/>
    <cellStyle name="常规 2 5 4 9 4 2 2" xfId="36439"/>
    <cellStyle name="常规 2 5 4 9 4 2 3" xfId="36440"/>
    <cellStyle name="常规 2 5 4 9 4 2 4" xfId="36441"/>
    <cellStyle name="常规 2 5 4 9 4 3" xfId="36442"/>
    <cellStyle name="常规 2 5 4 9 4 4" xfId="36443"/>
    <cellStyle name="常规 2 5 4 9 4 5" xfId="36444"/>
    <cellStyle name="常规 2 5 4 9 5" xfId="36445"/>
    <cellStyle name="常规 2 5 4 9 5 2" xfId="36446"/>
    <cellStyle name="常规 2 5 4 9 5 3" xfId="36447"/>
    <cellStyle name="常规 2 5 4 9 5 4" xfId="36448"/>
    <cellStyle name="常规 2 5 4 9 6" xfId="36449"/>
    <cellStyle name="常规 2 5 4 9 7" xfId="36450"/>
    <cellStyle name="常规 2 5 4 9 8" xfId="36451"/>
    <cellStyle name="常规 2 5 5" xfId="36452"/>
    <cellStyle name="常规 2 5 5 10" xfId="36453"/>
    <cellStyle name="常规 2 5 5 2" xfId="36454"/>
    <cellStyle name="常规 2 5 5 2 10" xfId="36455"/>
    <cellStyle name="常规 2 5 5 2 2" xfId="36456"/>
    <cellStyle name="常规 2 5 5 2 2 2" xfId="36457"/>
    <cellStyle name="常规 2 5 5 2 2 2 2" xfId="36458"/>
    <cellStyle name="常规 2 5 5 2 2 2 2 2" xfId="36459"/>
    <cellStyle name="常规 2 5 5 2 2 2 2 3" xfId="36460"/>
    <cellStyle name="常规 2 5 5 2 2 2 2 4" xfId="36461"/>
    <cellStyle name="常规 2 5 5 2 2 2 3" xfId="36462"/>
    <cellStyle name="常规 2 5 5 2 2 2 4" xfId="36463"/>
    <cellStyle name="常规 2 5 5 2 2 2 5" xfId="36464"/>
    <cellStyle name="常规 2 5 5 2 2 2 6" xfId="36465"/>
    <cellStyle name="常规 2 5 5 2 2 3" xfId="36466"/>
    <cellStyle name="常规 2 5 5 2 2 3 2" xfId="36467"/>
    <cellStyle name="常规 2 5 5 2 2 3 2 2" xfId="36468"/>
    <cellStyle name="常规 2 5 5 2 2 3 2 3" xfId="36469"/>
    <cellStyle name="常规 2 5 5 2 2 3 2 4" xfId="36470"/>
    <cellStyle name="常规 2 5 5 2 2 3 3" xfId="36471"/>
    <cellStyle name="常规 2 5 5 2 2 3 4" xfId="36472"/>
    <cellStyle name="常规 2 5 5 2 2 3 5" xfId="36473"/>
    <cellStyle name="常规 2 5 5 2 2 4" xfId="36474"/>
    <cellStyle name="常规 2 5 5 2 2 4 2" xfId="36475"/>
    <cellStyle name="常规 2 5 5 2 2 4 3" xfId="36476"/>
    <cellStyle name="常规 2 5 5 2 2 4 4" xfId="36477"/>
    <cellStyle name="常规 2 5 5 2 2 5" xfId="36478"/>
    <cellStyle name="常规 2 5 5 2 2 6" xfId="36479"/>
    <cellStyle name="常规 2 5 5 2 2 7" xfId="36480"/>
    <cellStyle name="常规 2 5 5 2 2 8" xfId="36481"/>
    <cellStyle name="常规 2 5 5 2 2 8 2" xfId="36482"/>
    <cellStyle name="常规 2 5 5 2 2 9" xfId="36483"/>
    <cellStyle name="常规 2 5 5 2 3" xfId="36484"/>
    <cellStyle name="常规 2 5 5 2 3 2" xfId="36485"/>
    <cellStyle name="常规 2 5 5 2 3 2 2" xfId="36486"/>
    <cellStyle name="常规 2 5 5 2 3 2 3" xfId="36487"/>
    <cellStyle name="常规 2 5 5 2 3 2 4" xfId="36488"/>
    <cellStyle name="常规 2 5 5 2 3 2 5" xfId="36489"/>
    <cellStyle name="常规 2 5 5 2 3 3" xfId="36490"/>
    <cellStyle name="常规 2 5 5 2 3 4" xfId="36491"/>
    <cellStyle name="常规 2 5 5 2 3 5" xfId="36492"/>
    <cellStyle name="常规 2 5 5 2 3 6" xfId="36493"/>
    <cellStyle name="常规 2 5 5 2 4" xfId="36494"/>
    <cellStyle name="常规 2 5 5 2 4 2" xfId="36495"/>
    <cellStyle name="常规 2 5 5 2 4 2 2" xfId="36496"/>
    <cellStyle name="常规 2 5 5 2 4 2 3" xfId="36497"/>
    <cellStyle name="常规 2 5 5 2 4 2 4" xfId="36498"/>
    <cellStyle name="常规 2 5 5 2 4 2 5" xfId="36499"/>
    <cellStyle name="常规 2 5 5 2 4 3" xfId="36500"/>
    <cellStyle name="常规 2 5 5 2 4 4" xfId="36501"/>
    <cellStyle name="常规 2 5 5 2 4 5" xfId="36502"/>
    <cellStyle name="常规 2 5 5 2 4 6" xfId="36503"/>
    <cellStyle name="常规 2 5 5 2 5" xfId="36504"/>
    <cellStyle name="常规 2 5 5 2 5 2" xfId="36505"/>
    <cellStyle name="常规 2 5 5 2 5 3" xfId="36506"/>
    <cellStyle name="常规 2 5 5 2 5 4" xfId="36507"/>
    <cellStyle name="常规 2 5 5 2 5 5" xfId="36508"/>
    <cellStyle name="常规 2 5 5 2 6" xfId="36509"/>
    <cellStyle name="常规 2 5 5 2 7" xfId="36510"/>
    <cellStyle name="常规 2 5 5 2 8" xfId="36511"/>
    <cellStyle name="常规 2 5 5 2 9" xfId="36512"/>
    <cellStyle name="常规 2 5 5 2 9 2" xfId="36513"/>
    <cellStyle name="常规 2 5 5 3" xfId="36514"/>
    <cellStyle name="常规 2 5 5 3 2" xfId="36515"/>
    <cellStyle name="常规 2 5 5 3 2 2" xfId="36516"/>
    <cellStyle name="常规 2 5 5 3 2 3" xfId="36517"/>
    <cellStyle name="常规 2 5 5 3 2 4" xfId="36518"/>
    <cellStyle name="常规 2 5 5 3 3" xfId="36519"/>
    <cellStyle name="常规 2 5 5 3 4" xfId="36520"/>
    <cellStyle name="常规 2 5 5 3 5" xfId="36521"/>
    <cellStyle name="常规 2 5 5 3 6" xfId="36522"/>
    <cellStyle name="常规 2 5 5 3 6 2" xfId="36523"/>
    <cellStyle name="常规 2 5 5 4" xfId="36524"/>
    <cellStyle name="常规 2 5 5 4 2" xfId="36525"/>
    <cellStyle name="常规 2 5 5 4 2 2" xfId="36526"/>
    <cellStyle name="常规 2 5 5 4 2 3" xfId="36527"/>
    <cellStyle name="常规 2 5 5 4 2 4" xfId="36528"/>
    <cellStyle name="常规 2 5 5 4 2 5" xfId="36529"/>
    <cellStyle name="常规 2 5 5 4 3" xfId="36530"/>
    <cellStyle name="常规 2 5 5 4 4" xfId="36531"/>
    <cellStyle name="常规 2 5 5 4 5" xfId="36532"/>
    <cellStyle name="常规 2 5 5 4 6" xfId="36533"/>
    <cellStyle name="常规 2 5 5 5" xfId="36534"/>
    <cellStyle name="常规 2 5 5 5 2" xfId="36535"/>
    <cellStyle name="常规 2 5 5 5 2 2" xfId="36536"/>
    <cellStyle name="常规 2 5 5 5 3" xfId="36537"/>
    <cellStyle name="常规 2 5 5 5 4" xfId="36538"/>
    <cellStyle name="常规 2 5 5 5 5" xfId="36539"/>
    <cellStyle name="常规 2 5 5 6" xfId="36540"/>
    <cellStyle name="常规 2 5 5 7" xfId="36541"/>
    <cellStyle name="常规 2 5 5 8" xfId="36542"/>
    <cellStyle name="常规 2 5 5 9" xfId="36543"/>
    <cellStyle name="常规 2 5 5 9 2" xfId="36544"/>
    <cellStyle name="常规 2 5 6" xfId="36545"/>
    <cellStyle name="常规 2 5 6 10" xfId="36546"/>
    <cellStyle name="常规 2 5 6 2" xfId="36547"/>
    <cellStyle name="常规 2 5 6 2 10" xfId="36548"/>
    <cellStyle name="常规 2 5 6 2 2" xfId="36549"/>
    <cellStyle name="常规 2 5 6 2 2 2" xfId="36550"/>
    <cellStyle name="常规 2 5 6 2 2 2 2" xfId="36551"/>
    <cellStyle name="常规 2 5 6 2 2 2 2 2" xfId="36552"/>
    <cellStyle name="常规 2 5 6 2 2 2 2 3" xfId="36553"/>
    <cellStyle name="常规 2 5 6 2 2 2 2 4" xfId="36554"/>
    <cellStyle name="常规 2 5 6 2 2 2 3" xfId="36555"/>
    <cellStyle name="常规 2 5 6 2 2 2 4" xfId="36556"/>
    <cellStyle name="常规 2 5 6 2 2 2 5" xfId="36557"/>
    <cellStyle name="常规 2 5 6 2 2 3" xfId="36558"/>
    <cellStyle name="常规 2 5 6 2 2 3 2" xfId="36559"/>
    <cellStyle name="常规 2 5 6 2 2 3 2 2" xfId="36560"/>
    <cellStyle name="常规 2 5 6 2 2 3 2 3" xfId="36561"/>
    <cellStyle name="常规 2 5 6 2 2 3 2 4" xfId="36562"/>
    <cellStyle name="常规 2 5 6 2 2 3 3" xfId="36563"/>
    <cellStyle name="常规 2 5 6 2 2 3 4" xfId="36564"/>
    <cellStyle name="常规 2 5 6 2 2 3 5" xfId="36565"/>
    <cellStyle name="常规 2 5 6 2 2 4" xfId="36566"/>
    <cellStyle name="常规 2 5 6 2 2 4 2" xfId="36567"/>
    <cellStyle name="常规 2 5 6 2 2 4 3" xfId="36568"/>
    <cellStyle name="常规 2 5 6 2 2 4 4" xfId="36569"/>
    <cellStyle name="常规 2 5 6 2 2 5" xfId="36570"/>
    <cellStyle name="常规 2 5 6 2 2 6" xfId="36571"/>
    <cellStyle name="常规 2 5 6 2 2 7" xfId="36572"/>
    <cellStyle name="常规 2 5 6 2 2 8" xfId="36573"/>
    <cellStyle name="常规 2 5 6 2 3" xfId="36574"/>
    <cellStyle name="常规 2 5 6 2 3 2" xfId="36575"/>
    <cellStyle name="常规 2 5 6 2 3 2 2" xfId="36576"/>
    <cellStyle name="常规 2 5 6 2 3 2 3" xfId="36577"/>
    <cellStyle name="常规 2 5 6 2 3 2 4" xfId="36578"/>
    <cellStyle name="常规 2 5 6 2 3 3" xfId="36579"/>
    <cellStyle name="常规 2 5 6 2 3 4" xfId="36580"/>
    <cellStyle name="常规 2 5 6 2 3 5" xfId="36581"/>
    <cellStyle name="常规 2 5 6 2 4" xfId="36582"/>
    <cellStyle name="常规 2 5 6 2 4 2" xfId="36583"/>
    <cellStyle name="常规 2 5 6 2 4 2 2" xfId="36584"/>
    <cellStyle name="常规 2 5 6 2 4 2 3" xfId="36585"/>
    <cellStyle name="常规 2 5 6 2 4 2 4" xfId="36586"/>
    <cellStyle name="常规 2 5 6 2 4 3" xfId="36587"/>
    <cellStyle name="常规 2 5 6 2 4 4" xfId="36588"/>
    <cellStyle name="常规 2 5 6 2 4 5" xfId="36589"/>
    <cellStyle name="常规 2 5 6 2 5" xfId="36590"/>
    <cellStyle name="常规 2 5 6 2 5 2" xfId="36591"/>
    <cellStyle name="常规 2 5 6 2 5 3" xfId="36592"/>
    <cellStyle name="常规 2 5 6 2 5 4" xfId="36593"/>
    <cellStyle name="常规 2 5 6 2 6" xfId="36594"/>
    <cellStyle name="常规 2 5 6 2 7" xfId="36595"/>
    <cellStyle name="常规 2 5 6 2 8" xfId="36596"/>
    <cellStyle name="常规 2 5 6 2 9" xfId="36597"/>
    <cellStyle name="常规 2 5 6 2 9 2" xfId="36598"/>
    <cellStyle name="常规 2 5 6 3" xfId="36599"/>
    <cellStyle name="常规 2 5 6 3 2" xfId="36600"/>
    <cellStyle name="常规 2 5 6 3 2 2" xfId="36601"/>
    <cellStyle name="常规 2 5 6 3 2 3" xfId="36602"/>
    <cellStyle name="常规 2 5 6 3 2 4" xfId="36603"/>
    <cellStyle name="常规 2 5 6 3 2 5" xfId="36604"/>
    <cellStyle name="常规 2 5 6 3 3" xfId="36605"/>
    <cellStyle name="常规 2 5 6 3 4" xfId="36606"/>
    <cellStyle name="常规 2 5 6 3 5" xfId="36607"/>
    <cellStyle name="常规 2 5 6 3 6" xfId="36608"/>
    <cellStyle name="常规 2 5 6 4" xfId="36609"/>
    <cellStyle name="常规 2 5 6 4 2" xfId="36610"/>
    <cellStyle name="常规 2 5 6 4 2 2" xfId="36611"/>
    <cellStyle name="常规 2 5 6 4 2 3" xfId="36612"/>
    <cellStyle name="常规 2 5 6 4 2 4" xfId="36613"/>
    <cellStyle name="常规 2 5 6 4 2 5" xfId="36614"/>
    <cellStyle name="常规 2 5 6 4 3" xfId="36615"/>
    <cellStyle name="常规 2 5 6 4 4" xfId="36616"/>
    <cellStyle name="常规 2 5 6 4 5" xfId="36617"/>
    <cellStyle name="常规 2 5 6 4 6" xfId="36618"/>
    <cellStyle name="常规 2 5 6 5" xfId="36619"/>
    <cellStyle name="常规 2 5 6 5 2" xfId="36620"/>
    <cellStyle name="常规 2 5 6 5 3" xfId="36621"/>
    <cellStyle name="常规 2 5 6 5 4" xfId="36622"/>
    <cellStyle name="常规 2 5 6 5 5" xfId="36623"/>
    <cellStyle name="常规 2 5 6 6" xfId="36624"/>
    <cellStyle name="常规 2 5 6 7" xfId="36625"/>
    <cellStyle name="常规 2 5 6 8" xfId="36626"/>
    <cellStyle name="常规 2 5 6 9" xfId="36627"/>
    <cellStyle name="常规 2 5 6 9 2" xfId="36628"/>
    <cellStyle name="常规 2 5 7" xfId="36629"/>
    <cellStyle name="常规 2 5 7 2" xfId="36630"/>
    <cellStyle name="常规 2 5 7 2 2" xfId="36631"/>
    <cellStyle name="常规 2 5 7 2 2 2" xfId="36632"/>
    <cellStyle name="常规 2 5 7 2 2 2 2" xfId="36633"/>
    <cellStyle name="常规 2 5 7 2 2 2 2 2" xfId="36634"/>
    <cellStyle name="常规 2 5 7 2 2 2 2 3" xfId="36635"/>
    <cellStyle name="常规 2 5 7 2 2 2 2 4" xfId="36636"/>
    <cellStyle name="常规 2 5 7 2 2 2 3" xfId="36637"/>
    <cellStyle name="常规 2 5 7 2 2 2 4" xfId="36638"/>
    <cellStyle name="常规 2 5 7 2 2 2 5" xfId="36639"/>
    <cellStyle name="常规 2 5 7 2 2 3" xfId="36640"/>
    <cellStyle name="常规 2 5 7 2 2 3 2" xfId="36641"/>
    <cellStyle name="常规 2 5 7 2 2 3 2 2" xfId="36642"/>
    <cellStyle name="常规 2 5 7 2 2 3 2 3" xfId="36643"/>
    <cellStyle name="常规 2 5 7 2 2 3 2 4" xfId="36644"/>
    <cellStyle name="常规 2 5 7 2 2 3 3" xfId="36645"/>
    <cellStyle name="常规 2 5 7 2 2 3 4" xfId="36646"/>
    <cellStyle name="常规 2 5 7 2 2 3 5" xfId="36647"/>
    <cellStyle name="常规 2 5 7 2 2 4" xfId="36648"/>
    <cellStyle name="常规 2 5 7 2 2 4 2" xfId="36649"/>
    <cellStyle name="常规 2 5 7 2 2 4 3" xfId="36650"/>
    <cellStyle name="常规 2 5 7 2 2 4 4" xfId="36651"/>
    <cellStyle name="常规 2 5 7 2 2 5" xfId="36652"/>
    <cellStyle name="常规 2 5 7 2 2 6" xfId="36653"/>
    <cellStyle name="常规 2 5 7 2 2 7" xfId="36654"/>
    <cellStyle name="常规 2 5 7 2 3" xfId="36655"/>
    <cellStyle name="常规 2 5 7 2 3 2" xfId="36656"/>
    <cellStyle name="常规 2 5 7 2 3 2 2" xfId="36657"/>
    <cellStyle name="常规 2 5 7 2 3 2 3" xfId="36658"/>
    <cellStyle name="常规 2 5 7 2 3 2 4" xfId="36659"/>
    <cellStyle name="常规 2 5 7 2 3 3" xfId="36660"/>
    <cellStyle name="常规 2 5 7 2 3 4" xfId="36661"/>
    <cellStyle name="常规 2 5 7 2 3 5" xfId="36662"/>
    <cellStyle name="常规 2 5 7 2 4" xfId="36663"/>
    <cellStyle name="常规 2 5 7 2 4 2" xfId="36664"/>
    <cellStyle name="常规 2 5 7 2 4 2 2" xfId="36665"/>
    <cellStyle name="常规 2 5 7 2 4 2 3" xfId="36666"/>
    <cellStyle name="常规 2 5 7 2 4 2 4" xfId="36667"/>
    <cellStyle name="常规 2 5 7 2 4 3" xfId="36668"/>
    <cellStyle name="常规 2 5 7 2 4 4" xfId="36669"/>
    <cellStyle name="常规 2 5 7 2 4 5" xfId="36670"/>
    <cellStyle name="常规 2 5 7 2 5" xfId="36671"/>
    <cellStyle name="常规 2 5 7 2 5 2" xfId="36672"/>
    <cellStyle name="常规 2 5 7 2 5 3" xfId="36673"/>
    <cellStyle name="常规 2 5 7 2 5 4" xfId="36674"/>
    <cellStyle name="常规 2 5 7 2 6" xfId="36675"/>
    <cellStyle name="常规 2 5 7 2 7" xfId="36676"/>
    <cellStyle name="常规 2 5 7 2 8" xfId="36677"/>
    <cellStyle name="常规 2 5 7 3" xfId="36678"/>
    <cellStyle name="常规 2 5 7 3 2" xfId="36679"/>
    <cellStyle name="常规 2 5 7 3 2 2" xfId="36680"/>
    <cellStyle name="常规 2 5 7 3 2 3" xfId="36681"/>
    <cellStyle name="常规 2 5 7 3 2 4" xfId="36682"/>
    <cellStyle name="常规 2 5 7 3 3" xfId="36683"/>
    <cellStyle name="常规 2 5 7 3 4" xfId="36684"/>
    <cellStyle name="常规 2 5 7 3 5" xfId="36685"/>
    <cellStyle name="常规 2 5 7 4" xfId="36686"/>
    <cellStyle name="常规 2 5 7 4 2" xfId="36687"/>
    <cellStyle name="常规 2 5 7 4 2 2" xfId="36688"/>
    <cellStyle name="常规 2 5 7 4 2 3" xfId="36689"/>
    <cellStyle name="常规 2 5 7 4 2 4" xfId="36690"/>
    <cellStyle name="常规 2 5 7 4 3" xfId="36691"/>
    <cellStyle name="常规 2 5 7 4 4" xfId="36692"/>
    <cellStyle name="常规 2 5 7 4 5" xfId="36693"/>
    <cellStyle name="常规 2 5 7 5" xfId="36694"/>
    <cellStyle name="常规 2 5 7 5 2" xfId="36695"/>
    <cellStyle name="常规 2 5 7 5 3" xfId="36696"/>
    <cellStyle name="常规 2 5 7 5 4" xfId="36697"/>
    <cellStyle name="常规 2 5 7 6" xfId="36698"/>
    <cellStyle name="常规 2 5 7 7" xfId="36699"/>
    <cellStyle name="常规 2 5 7 8" xfId="36700"/>
    <cellStyle name="常规 2 5 7 9" xfId="36701"/>
    <cellStyle name="常规 2 5 7 9 2" xfId="36702"/>
    <cellStyle name="常规 2 5 8" xfId="36703"/>
    <cellStyle name="常规 2 5 8 2" xfId="36704"/>
    <cellStyle name="常规 2 5 8 2 2" xfId="36705"/>
    <cellStyle name="常规 2 5 8 2 2 2" xfId="36706"/>
    <cellStyle name="常规 2 5 8 2 2 2 2" xfId="36707"/>
    <cellStyle name="常规 2 5 8 2 2 2 2 2" xfId="36708"/>
    <cellStyle name="常规 2 5 8 2 2 2 2 3" xfId="36709"/>
    <cellStyle name="常规 2 5 8 2 2 2 2 4" xfId="36710"/>
    <cellStyle name="常规 2 5 8 2 2 2 3" xfId="36711"/>
    <cellStyle name="常规 2 5 8 2 2 2 4" xfId="36712"/>
    <cellStyle name="常规 2 5 8 2 2 2 5" xfId="36713"/>
    <cellStyle name="常规 2 5 8 2 2 3" xfId="36714"/>
    <cellStyle name="常规 2 5 8 2 2 3 2" xfId="36715"/>
    <cellStyle name="常规 2 5 8 2 2 3 2 2" xfId="36716"/>
    <cellStyle name="常规 2 5 8 2 2 3 2 3" xfId="36717"/>
    <cellStyle name="常规 2 5 8 2 2 3 2 4" xfId="36718"/>
    <cellStyle name="常规 2 5 8 2 2 3 3" xfId="36719"/>
    <cellStyle name="常规 2 5 8 2 2 3 4" xfId="36720"/>
    <cellStyle name="常规 2 5 8 2 2 3 5" xfId="36721"/>
    <cellStyle name="常规 2 5 8 2 2 4" xfId="36722"/>
    <cellStyle name="常规 2 5 8 2 2 4 2" xfId="36723"/>
    <cellStyle name="常规 2 5 8 2 2 4 3" xfId="36724"/>
    <cellStyle name="常规 2 5 8 2 2 4 4" xfId="36725"/>
    <cellStyle name="常规 2 5 8 2 2 5" xfId="36726"/>
    <cellStyle name="常规 2 5 8 2 2 6" xfId="36727"/>
    <cellStyle name="常规 2 5 8 2 2 7" xfId="36728"/>
    <cellStyle name="常规 2 5 8 2 3" xfId="36729"/>
    <cellStyle name="常规 2 5 8 2 3 2" xfId="36730"/>
    <cellStyle name="常规 2 5 8 2 3 2 2" xfId="36731"/>
    <cellStyle name="常规 2 5 8 2 3 2 3" xfId="36732"/>
    <cellStyle name="常规 2 5 8 2 3 2 4" xfId="36733"/>
    <cellStyle name="常规 2 5 8 2 3 3" xfId="36734"/>
    <cellStyle name="常规 2 5 8 2 3 4" xfId="36735"/>
    <cellStyle name="常规 2 5 8 2 3 5" xfId="36736"/>
    <cellStyle name="常规 2 5 8 2 4" xfId="36737"/>
    <cellStyle name="常规 2 5 8 2 4 2" xfId="36738"/>
    <cellStyle name="常规 2 5 8 2 4 2 2" xfId="36739"/>
    <cellStyle name="常规 2 5 8 2 4 2 3" xfId="36740"/>
    <cellStyle name="常规 2 5 8 2 4 2 4" xfId="36741"/>
    <cellStyle name="常规 2 5 8 2 4 3" xfId="36742"/>
    <cellStyle name="常规 2 5 8 2 4 4" xfId="36743"/>
    <cellStyle name="常规 2 5 8 2 4 5" xfId="36744"/>
    <cellStyle name="常规 2 5 8 2 5" xfId="36745"/>
    <cellStyle name="常规 2 5 8 2 5 2" xfId="36746"/>
    <cellStyle name="常规 2 5 8 2 5 3" xfId="36747"/>
    <cellStyle name="常规 2 5 8 2 5 4" xfId="36748"/>
    <cellStyle name="常规 2 5 8 2 6" xfId="36749"/>
    <cellStyle name="常规 2 5 8 2 7" xfId="36750"/>
    <cellStyle name="常规 2 5 8 2 8" xfId="36751"/>
    <cellStyle name="常规 2 5 8 3" xfId="36752"/>
    <cellStyle name="常规 2 5 8 3 2" xfId="36753"/>
    <cellStyle name="常规 2 5 8 3 2 2" xfId="36754"/>
    <cellStyle name="常规 2 5 8 3 2 3" xfId="36755"/>
    <cellStyle name="常规 2 5 8 3 2 4" xfId="36756"/>
    <cellStyle name="常规 2 5 8 3 3" xfId="36757"/>
    <cellStyle name="常规 2 5 8 3 4" xfId="36758"/>
    <cellStyle name="常规 2 5 8 3 5" xfId="36759"/>
    <cellStyle name="常规 2 5 8 4" xfId="36760"/>
    <cellStyle name="常规 2 5 8 4 2" xfId="36761"/>
    <cellStyle name="常规 2 5 8 4 2 2" xfId="36762"/>
    <cellStyle name="常规 2 5 8 4 2 3" xfId="36763"/>
    <cellStyle name="常规 2 5 8 4 2 4" xfId="36764"/>
    <cellStyle name="常规 2 5 8 4 3" xfId="36765"/>
    <cellStyle name="常规 2 5 8 4 4" xfId="36766"/>
    <cellStyle name="常规 2 5 8 4 5" xfId="36767"/>
    <cellStyle name="常规 2 5 8 5" xfId="36768"/>
    <cellStyle name="常规 2 5 8 5 2" xfId="36769"/>
    <cellStyle name="常规 2 5 8 5 3" xfId="36770"/>
    <cellStyle name="常规 2 5 8 5 4" xfId="36771"/>
    <cellStyle name="常规 2 5 8 6" xfId="36772"/>
    <cellStyle name="常规 2 5 8 7" xfId="36773"/>
    <cellStyle name="常规 2 5 8 8" xfId="36774"/>
    <cellStyle name="常规 2 5 8 9" xfId="36775"/>
    <cellStyle name="常规 2 5 8 9 2" xfId="36776"/>
    <cellStyle name="常规 2 5 9" xfId="36777"/>
    <cellStyle name="常规 2 5 9 2" xfId="36778"/>
    <cellStyle name="常规 2 5 9 2 2" xfId="36779"/>
    <cellStyle name="常规 2 5 9 2 2 2" xfId="36780"/>
    <cellStyle name="常规 2 5 9 2 2 2 2" xfId="36781"/>
    <cellStyle name="常规 2 5 9 2 2 2 3" xfId="36782"/>
    <cellStyle name="常规 2 5 9 2 2 2 4" xfId="36783"/>
    <cellStyle name="常规 2 5 9 2 2 3" xfId="36784"/>
    <cellStyle name="常规 2 5 9 2 2 4" xfId="36785"/>
    <cellStyle name="常规 2 5 9 2 2 5" xfId="36786"/>
    <cellStyle name="常规 2 5 9 2 3" xfId="36787"/>
    <cellStyle name="常规 2 5 9 2 3 2" xfId="36788"/>
    <cellStyle name="常规 2 5 9 2 3 2 2" xfId="36789"/>
    <cellStyle name="常规 2 5 9 2 3 2 3" xfId="36790"/>
    <cellStyle name="常规 2 5 9 2 3 2 4" xfId="36791"/>
    <cellStyle name="常规 2 5 9 2 3 3" xfId="36792"/>
    <cellStyle name="常规 2 5 9 2 3 4" xfId="36793"/>
    <cellStyle name="常规 2 5 9 2 3 5" xfId="36794"/>
    <cellStyle name="常规 2 5 9 2 4" xfId="36795"/>
    <cellStyle name="常规 2 5 9 2 4 2" xfId="36796"/>
    <cellStyle name="常规 2 5 9 2 4 3" xfId="36797"/>
    <cellStyle name="常规 2 5 9 2 4 4" xfId="36798"/>
    <cellStyle name="常规 2 5 9 2 5" xfId="36799"/>
    <cellStyle name="常规 2 5 9 2 6" xfId="36800"/>
    <cellStyle name="常规 2 5 9 2 7" xfId="36801"/>
    <cellStyle name="常规 2 5 9 3" xfId="36802"/>
    <cellStyle name="常规 2 5 9 3 2" xfId="36803"/>
    <cellStyle name="常规 2 5 9 3 2 2" xfId="36804"/>
    <cellStyle name="常规 2 5 9 3 2 3" xfId="36805"/>
    <cellStyle name="常规 2 5 9 3 2 4" xfId="36806"/>
    <cellStyle name="常规 2 5 9 3 3" xfId="36807"/>
    <cellStyle name="常规 2 5 9 3 4" xfId="36808"/>
    <cellStyle name="常规 2 5 9 3 5" xfId="36809"/>
    <cellStyle name="常规 2 5 9 4" xfId="36810"/>
    <cellStyle name="常规 2 5 9 4 2" xfId="36811"/>
    <cellStyle name="常规 2 5 9 4 2 2" xfId="36812"/>
    <cellStyle name="常规 2 5 9 4 2 3" xfId="36813"/>
    <cellStyle name="常规 2 5 9 4 2 4" xfId="36814"/>
    <cellStyle name="常规 2 5 9 4 3" xfId="36815"/>
    <cellStyle name="常规 2 5 9 4 4" xfId="36816"/>
    <cellStyle name="常规 2 5 9 4 5" xfId="36817"/>
    <cellStyle name="常规 2 5 9 5" xfId="36818"/>
    <cellStyle name="常规 2 5 9 5 2" xfId="36819"/>
    <cellStyle name="常规 2 5 9 5 3" xfId="36820"/>
    <cellStyle name="常规 2 5 9 5 4" xfId="36821"/>
    <cellStyle name="常规 2 5 9 6" xfId="36822"/>
    <cellStyle name="常规 2 5 9 7" xfId="36823"/>
    <cellStyle name="常规 2 5 9 8" xfId="36824"/>
    <cellStyle name="常规 2 5 9 9" xfId="36825"/>
    <cellStyle name="常规 2 5 9 9 2" xfId="36826"/>
    <cellStyle name="常规 2 6" xfId="36827"/>
    <cellStyle name="常规 2 6 10" xfId="36828"/>
    <cellStyle name="常规 2 6 10 2" xfId="36829"/>
    <cellStyle name="常规 2 6 10 2 2" xfId="36830"/>
    <cellStyle name="常规 2 6 10 3" xfId="36831"/>
    <cellStyle name="常规 2 6 10 4" xfId="36832"/>
    <cellStyle name="常规 2 6 10 5" xfId="36833"/>
    <cellStyle name="常规 2 6 11" xfId="36834"/>
    <cellStyle name="常规 2 6 12" xfId="36835"/>
    <cellStyle name="常规 2 6 13" xfId="36836"/>
    <cellStyle name="常规 2 6 14" xfId="36837"/>
    <cellStyle name="常规 2 6 14 2" xfId="36838"/>
    <cellStyle name="常规 2 6 15" xfId="36839"/>
    <cellStyle name="常规 2 6 2" xfId="36840"/>
    <cellStyle name="常规 2 6 2 10" xfId="36841"/>
    <cellStyle name="常规 2 6 2 10 2" xfId="36842"/>
    <cellStyle name="常规 2 6 2 2" xfId="36843"/>
    <cellStyle name="常规 2 6 2 2 10" xfId="36844"/>
    <cellStyle name="常规 2 6 2 2 2" xfId="36845"/>
    <cellStyle name="常规 2 6 2 2 2 2" xfId="36846"/>
    <cellStyle name="常规 2 6 2 2 2 2 2" xfId="36847"/>
    <cellStyle name="常规 2 6 2 2 2 2 2 2" xfId="36848"/>
    <cellStyle name="常规 2 6 2 2 2 2 2 3" xfId="36849"/>
    <cellStyle name="常规 2 6 2 2 2 2 2 4" xfId="36850"/>
    <cellStyle name="常规 2 6 2 2 2 2 2 5" xfId="36851"/>
    <cellStyle name="常规 2 6 2 2 2 2 2 5 2" xfId="36852"/>
    <cellStyle name="常规 2 6 2 2 2 2 3" xfId="36853"/>
    <cellStyle name="常规 2 6 2 2 2 2 3 2" xfId="36854"/>
    <cellStyle name="常规 2 6 2 2 2 2 3 2 2" xfId="36855"/>
    <cellStyle name="常规 2 6 2 2 2 2 4" xfId="36856"/>
    <cellStyle name="常规 2 6 2 2 2 2 4 2" xfId="36857"/>
    <cellStyle name="常规 2 6 2 2 2 2 4 2 2" xfId="36858"/>
    <cellStyle name="常规 2 6 2 2 2 2 5" xfId="36859"/>
    <cellStyle name="常规 2 6 2 2 2 2 5 2" xfId="36860"/>
    <cellStyle name="常规 2 6 2 2 2 2 5 3" xfId="36861"/>
    <cellStyle name="常规 2 6 2 2 2 2 6" xfId="36862"/>
    <cellStyle name="常规 2 6 2 2 2 2 6 2" xfId="36863"/>
    <cellStyle name="常规 2 6 2 2 2 2 7" xfId="36864"/>
    <cellStyle name="常规 2 6 2 2 2 3" xfId="36865"/>
    <cellStyle name="常规 2 6 2 2 2 3 2" xfId="36866"/>
    <cellStyle name="常规 2 6 2 2 2 3 2 2" xfId="36867"/>
    <cellStyle name="常规 2 6 2 2 2 3 2 2 2" xfId="36868"/>
    <cellStyle name="常规 2 6 2 2 2 3 2 3" xfId="36869"/>
    <cellStyle name="常规 2 6 2 2 2 3 2 4" xfId="36870"/>
    <cellStyle name="常规 2 6 2 2 2 3 2 5" xfId="36871"/>
    <cellStyle name="常规 2 6 2 2 2 3 2 5 2" xfId="36872"/>
    <cellStyle name="常规 2 6 2 2 2 3 2 6" xfId="36873"/>
    <cellStyle name="常规 2 6 2 2 2 3 3" xfId="36874"/>
    <cellStyle name="常规 2 6 2 2 2 3 3 2" xfId="36875"/>
    <cellStyle name="常规 2 6 2 2 2 3 3 2 2" xfId="36876"/>
    <cellStyle name="常规 2 6 2 2 2 3 4" xfId="36877"/>
    <cellStyle name="常规 2 6 2 2 2 3 4 2" xfId="36878"/>
    <cellStyle name="常规 2 6 2 2 2 3 4 3" xfId="36879"/>
    <cellStyle name="常规 2 6 2 2 2 3 5" xfId="36880"/>
    <cellStyle name="常规 2 6 2 2 2 3 5 2" xfId="36881"/>
    <cellStyle name="常规 2 6 2 2 2 3 6" xfId="36882"/>
    <cellStyle name="常规 2 6 2 2 2 3 6 2" xfId="36883"/>
    <cellStyle name="常规 2 6 2 2 2 3 7" xfId="36884"/>
    <cellStyle name="常规 2 6 2 2 2 4" xfId="36885"/>
    <cellStyle name="常规 2 6 2 2 2 4 2" xfId="36886"/>
    <cellStyle name="常规 2 6 2 2 2 4 3" xfId="36887"/>
    <cellStyle name="常规 2 6 2 2 2 4 4" xfId="36888"/>
    <cellStyle name="常规 2 6 2 2 2 4 5" xfId="36889"/>
    <cellStyle name="常规 2 6 2 2 2 4 5 2" xfId="36890"/>
    <cellStyle name="常规 2 6 2 2 2 5" xfId="36891"/>
    <cellStyle name="常规 2 6 2 2 2 5 2" xfId="36892"/>
    <cellStyle name="常规 2 6 2 2 2 5 2 2" xfId="36893"/>
    <cellStyle name="常规 2 6 2 2 2 6" xfId="36894"/>
    <cellStyle name="常规 2 6 2 2 2 6 2" xfId="36895"/>
    <cellStyle name="常规 2 6 2 2 2 6 2 2" xfId="36896"/>
    <cellStyle name="常规 2 6 2 2 2 7" xfId="36897"/>
    <cellStyle name="常规 2 6 2 2 2 7 2" xfId="36898"/>
    <cellStyle name="常规 2 6 2 2 2 7 2 2" xfId="36899"/>
    <cellStyle name="常规 2 6 2 2 2 8" xfId="36900"/>
    <cellStyle name="常规 2 6 2 2 2 8 2" xfId="36901"/>
    <cellStyle name="常规 2 6 2 2 2 8 3" xfId="36902"/>
    <cellStyle name="常规 2 6 2 2 2 9" xfId="36903"/>
    <cellStyle name="常规 2 6 2 2 3" xfId="36904"/>
    <cellStyle name="常规 2 6 2 2 3 2" xfId="36905"/>
    <cellStyle name="常规 2 6 2 2 3 2 2" xfId="36906"/>
    <cellStyle name="常规 2 6 2 2 3 2 3" xfId="36907"/>
    <cellStyle name="常规 2 6 2 2 3 2 4" xfId="36908"/>
    <cellStyle name="常规 2 6 2 2 3 2 5" xfId="36909"/>
    <cellStyle name="常规 2 6 2 2 3 2 5 2" xfId="36910"/>
    <cellStyle name="常规 2 6 2 2 3 3" xfId="36911"/>
    <cellStyle name="常规 2 6 2 2 3 3 2" xfId="36912"/>
    <cellStyle name="常规 2 6 2 2 3 3 2 2" xfId="36913"/>
    <cellStyle name="常规 2 6 2 2 3 4" xfId="36914"/>
    <cellStyle name="常规 2 6 2 2 3 4 2" xfId="36915"/>
    <cellStyle name="常规 2 6 2 2 3 4 2 2" xfId="36916"/>
    <cellStyle name="常规 2 6 2 2 3 5" xfId="36917"/>
    <cellStyle name="常规 2 6 2 2 3 5 2" xfId="36918"/>
    <cellStyle name="常规 2 6 2 2 3 5 3" xfId="36919"/>
    <cellStyle name="常规 2 6 2 2 3 6" xfId="36920"/>
    <cellStyle name="常规 2 6 2 2 3 6 2" xfId="36921"/>
    <cellStyle name="常规 2 6 2 2 3 7" xfId="36922"/>
    <cellStyle name="常规 2 6 2 2 4" xfId="36923"/>
    <cellStyle name="常规 2 6 2 2 4 2" xfId="36924"/>
    <cellStyle name="常规 2 6 2 2 4 2 2" xfId="36925"/>
    <cellStyle name="常规 2 6 2 2 4 2 3" xfId="36926"/>
    <cellStyle name="常规 2 6 2 2 4 2 4" xfId="36927"/>
    <cellStyle name="常规 2 6 2 2 4 3" xfId="36928"/>
    <cellStyle name="常规 2 6 2 2 4 4" xfId="36929"/>
    <cellStyle name="常规 2 6 2 2 4 5" xfId="36930"/>
    <cellStyle name="常规 2 6 2 2 4 6" xfId="36931"/>
    <cellStyle name="常规 2 6 2 2 4 6 2" xfId="36932"/>
    <cellStyle name="常规 2 6 2 2 5" xfId="36933"/>
    <cellStyle name="常规 2 6 2 2 5 2" xfId="36934"/>
    <cellStyle name="常规 2 6 2 2 5 3" xfId="36935"/>
    <cellStyle name="常规 2 6 2 2 5 4" xfId="36936"/>
    <cellStyle name="常规 2 6 2 2 5 5" xfId="36937"/>
    <cellStyle name="常规 2 6 2 2 5 5 2" xfId="36938"/>
    <cellStyle name="常规 2 6 2 2 6" xfId="36939"/>
    <cellStyle name="常规 2 6 2 2 6 2" xfId="36940"/>
    <cellStyle name="常规 2 6 2 2 6 2 2" xfId="36941"/>
    <cellStyle name="常规 2 6 2 2 7" xfId="36942"/>
    <cellStyle name="常规 2 6 2 2 7 2" xfId="36943"/>
    <cellStyle name="常规 2 6 2 2 7 2 2" xfId="36944"/>
    <cellStyle name="常规 2 6 2 2 8" xfId="36945"/>
    <cellStyle name="常规 2 6 2 2 8 2" xfId="36946"/>
    <cellStyle name="常规 2 6 2 2 8 2 2" xfId="36947"/>
    <cellStyle name="常规 2 6 2 2 9" xfId="36948"/>
    <cellStyle name="常规 2 6 2 2 9 2" xfId="36949"/>
    <cellStyle name="常规 2 6 2 2 9 3" xfId="36950"/>
    <cellStyle name="常规 2 6 2 3" xfId="36951"/>
    <cellStyle name="常规 2 6 2 3 2" xfId="36952"/>
    <cellStyle name="常规 2 6 2 3 2 2" xfId="36953"/>
    <cellStyle name="常规 2 6 2 3 2 2 2" xfId="36954"/>
    <cellStyle name="常规 2 6 2 3 2 2 2 2" xfId="36955"/>
    <cellStyle name="常规 2 6 2 3 2 3" xfId="36956"/>
    <cellStyle name="常规 2 6 2 3 2 3 2" xfId="36957"/>
    <cellStyle name="常规 2 6 2 3 2 3 2 2" xfId="36958"/>
    <cellStyle name="常规 2 6 2 3 2 4" xfId="36959"/>
    <cellStyle name="常规 2 6 2 3 2 4 2" xfId="36960"/>
    <cellStyle name="常规 2 6 2 3 2 4 2 2" xfId="36961"/>
    <cellStyle name="常规 2 6 2 3 2 5" xfId="36962"/>
    <cellStyle name="常规 2 6 2 3 2 5 2" xfId="36963"/>
    <cellStyle name="常规 2 6 2 3 2 5 3" xfId="36964"/>
    <cellStyle name="常规 2 6 2 3 2 6" xfId="36965"/>
    <cellStyle name="常规 2 6 2 3 3" xfId="36966"/>
    <cellStyle name="常规 2 6 2 3 3 2" xfId="36967"/>
    <cellStyle name="常规 2 6 2 3 3 2 2" xfId="36968"/>
    <cellStyle name="常规 2 6 2 3 3 2 2 2" xfId="36969"/>
    <cellStyle name="常规 2 6 2 3 3 3" xfId="36970"/>
    <cellStyle name="常规 2 6 2 3 3 3 2" xfId="36971"/>
    <cellStyle name="常规 2 6 2 3 3 3 2 2" xfId="36972"/>
    <cellStyle name="常规 2 6 2 3 3 4" xfId="36973"/>
    <cellStyle name="常规 2 6 2 3 3 4 2" xfId="36974"/>
    <cellStyle name="常规 2 6 2 3 3 5" xfId="36975"/>
    <cellStyle name="常规 2 6 2 3 4" xfId="36976"/>
    <cellStyle name="常规 2 6 2 3 4 2" xfId="36977"/>
    <cellStyle name="常规 2 6 2 3 4 2 2" xfId="36978"/>
    <cellStyle name="常规 2 6 2 3 5" xfId="36979"/>
    <cellStyle name="常规 2 6 2 3 5 2" xfId="36980"/>
    <cellStyle name="常规 2 6 2 3 5 2 2" xfId="36981"/>
    <cellStyle name="常规 2 6 2 3 6" xfId="36982"/>
    <cellStyle name="常规 2 6 2 3 7" xfId="36983"/>
    <cellStyle name="常规 2 6 2 3 7 2" xfId="36984"/>
    <cellStyle name="常规 2 6 2 3 7 3" xfId="36985"/>
    <cellStyle name="常规 2 6 2 3 8" xfId="36986"/>
    <cellStyle name="常规 2 6 2 3 8 2" xfId="36987"/>
    <cellStyle name="常规 2 6 2 4" xfId="36988"/>
    <cellStyle name="常规 2 6 2 4 2" xfId="36989"/>
    <cellStyle name="常规 2 6 2 4 2 2" xfId="36990"/>
    <cellStyle name="常规 2 6 2 4 2 3" xfId="36991"/>
    <cellStyle name="常规 2 6 2 4 2 4" xfId="36992"/>
    <cellStyle name="常规 2 6 2 4 2 5" xfId="36993"/>
    <cellStyle name="常规 2 6 2 4 2 5 2" xfId="36994"/>
    <cellStyle name="常规 2 6 2 4 3" xfId="36995"/>
    <cellStyle name="常规 2 6 2 4 3 2" xfId="36996"/>
    <cellStyle name="常规 2 6 2 4 3 2 2" xfId="36997"/>
    <cellStyle name="常规 2 6 2 4 4" xfId="36998"/>
    <cellStyle name="常规 2 6 2 4 4 2" xfId="36999"/>
    <cellStyle name="常规 2 6 2 4 4 2 2" xfId="37000"/>
    <cellStyle name="常规 2 6 2 4 5" xfId="37001"/>
    <cellStyle name="常规 2 6 2 4 5 2" xfId="37002"/>
    <cellStyle name="常规 2 6 2 4 5 3" xfId="37003"/>
    <cellStyle name="常规 2 6 2 4 6" xfId="37004"/>
    <cellStyle name="常规 2 6 2 4 6 2" xfId="37005"/>
    <cellStyle name="常规 2 6 2 4 7" xfId="37006"/>
    <cellStyle name="常规 2 6 2 5" xfId="37007"/>
    <cellStyle name="常规 2 6 2 5 2" xfId="37008"/>
    <cellStyle name="常规 2 6 2 5 3" xfId="37009"/>
    <cellStyle name="常规 2 6 2 5 4" xfId="37010"/>
    <cellStyle name="常规 2 6 2 5 5" xfId="37011"/>
    <cellStyle name="常规 2 6 2 5 5 2" xfId="37012"/>
    <cellStyle name="常规 2 6 2 6" xfId="37013"/>
    <cellStyle name="常规 2 6 2 6 2" xfId="37014"/>
    <cellStyle name="常规 2 6 2 6 2 2" xfId="37015"/>
    <cellStyle name="常规 2 6 2 7" xfId="37016"/>
    <cellStyle name="常规 2 6 2 7 2" xfId="37017"/>
    <cellStyle name="常规 2 6 2 7 2 2" xfId="37018"/>
    <cellStyle name="常规 2 6 2 8" xfId="37019"/>
    <cellStyle name="常规 2 6 2 8 2" xfId="37020"/>
    <cellStyle name="常规 2 6 2 8 2 2" xfId="37021"/>
    <cellStyle name="常规 2 6 2 9" xfId="37022"/>
    <cellStyle name="常规 2 6 2 9 2" xfId="37023"/>
    <cellStyle name="常规 2 6 2 9 3" xfId="37024"/>
    <cellStyle name="常规 2 6 3" xfId="37025"/>
    <cellStyle name="常规 2 6 3 10" xfId="37026"/>
    <cellStyle name="常规 2 6 3 2" xfId="37027"/>
    <cellStyle name="常规 2 6 3 2 10" xfId="37028"/>
    <cellStyle name="常规 2 6 3 2 2" xfId="37029"/>
    <cellStyle name="常规 2 6 3 2 2 2" xfId="37030"/>
    <cellStyle name="常规 2 6 3 2 2 2 2" xfId="37031"/>
    <cellStyle name="常规 2 6 3 2 2 2 2 2" xfId="37032"/>
    <cellStyle name="常规 2 6 3 2 2 2 2 3" xfId="37033"/>
    <cellStyle name="常规 2 6 3 2 2 2 2 4" xfId="37034"/>
    <cellStyle name="常规 2 6 3 2 2 2 3" xfId="37035"/>
    <cellStyle name="常规 2 6 3 2 2 2 4" xfId="37036"/>
    <cellStyle name="常规 2 6 3 2 2 2 5" xfId="37037"/>
    <cellStyle name="常规 2 6 3 2 2 3" xfId="37038"/>
    <cellStyle name="常规 2 6 3 2 2 3 2" xfId="37039"/>
    <cellStyle name="常规 2 6 3 2 2 3 2 2" xfId="37040"/>
    <cellStyle name="常规 2 6 3 2 2 3 2 3" xfId="37041"/>
    <cellStyle name="常规 2 6 3 2 2 3 2 4" xfId="37042"/>
    <cellStyle name="常规 2 6 3 2 2 3 3" xfId="37043"/>
    <cellStyle name="常规 2 6 3 2 2 3 4" xfId="37044"/>
    <cellStyle name="常规 2 6 3 2 2 3 5" xfId="37045"/>
    <cellStyle name="常规 2 6 3 2 2 4" xfId="37046"/>
    <cellStyle name="常规 2 6 3 2 2 4 2" xfId="37047"/>
    <cellStyle name="常规 2 6 3 2 2 4 3" xfId="37048"/>
    <cellStyle name="常规 2 6 3 2 2 4 4" xfId="37049"/>
    <cellStyle name="常规 2 6 3 2 2 5" xfId="37050"/>
    <cellStyle name="常规 2 6 3 2 2 6" xfId="37051"/>
    <cellStyle name="常规 2 6 3 2 2 7" xfId="37052"/>
    <cellStyle name="常规 2 6 3 2 2 8" xfId="37053"/>
    <cellStyle name="常规 2 6 3 2 2 8 2" xfId="37054"/>
    <cellStyle name="常规 2 6 3 2 3" xfId="37055"/>
    <cellStyle name="常规 2 6 3 2 3 2" xfId="37056"/>
    <cellStyle name="常规 2 6 3 2 3 2 2" xfId="37057"/>
    <cellStyle name="常规 2 6 3 2 3 2 3" xfId="37058"/>
    <cellStyle name="常规 2 6 3 2 3 2 4" xfId="37059"/>
    <cellStyle name="常规 2 6 3 2 3 3" xfId="37060"/>
    <cellStyle name="常规 2 6 3 2 3 4" xfId="37061"/>
    <cellStyle name="常规 2 6 3 2 3 5" xfId="37062"/>
    <cellStyle name="常规 2 6 3 2 3 6" xfId="37063"/>
    <cellStyle name="常规 2 6 3 2 3 6 2" xfId="37064"/>
    <cellStyle name="常规 2 6 3 2 4" xfId="37065"/>
    <cellStyle name="常规 2 6 3 2 4 2" xfId="37066"/>
    <cellStyle name="常规 2 6 3 2 4 2 2" xfId="37067"/>
    <cellStyle name="常规 2 6 3 2 4 2 3" xfId="37068"/>
    <cellStyle name="常规 2 6 3 2 4 2 4" xfId="37069"/>
    <cellStyle name="常规 2 6 3 2 4 2 5" xfId="37070"/>
    <cellStyle name="常规 2 6 3 2 4 3" xfId="37071"/>
    <cellStyle name="常规 2 6 3 2 4 4" xfId="37072"/>
    <cellStyle name="常规 2 6 3 2 4 5" xfId="37073"/>
    <cellStyle name="常规 2 6 3 2 4 6" xfId="37074"/>
    <cellStyle name="常规 2 6 3 2 5" xfId="37075"/>
    <cellStyle name="常规 2 6 3 2 5 2" xfId="37076"/>
    <cellStyle name="常规 2 6 3 2 5 2 2" xfId="37077"/>
    <cellStyle name="常规 2 6 3 2 5 3" xfId="37078"/>
    <cellStyle name="常规 2 6 3 2 5 4" xfId="37079"/>
    <cellStyle name="常规 2 6 3 2 5 5" xfId="37080"/>
    <cellStyle name="常规 2 6 3 2 6" xfId="37081"/>
    <cellStyle name="常规 2 6 3 2 7" xfId="37082"/>
    <cellStyle name="常规 2 6 3 2 8" xfId="37083"/>
    <cellStyle name="常规 2 6 3 2 9" xfId="37084"/>
    <cellStyle name="常规 2 6 3 2 9 2" xfId="37085"/>
    <cellStyle name="常规 2 6 3 3" xfId="37086"/>
    <cellStyle name="常规 2 6 3 3 2" xfId="37087"/>
    <cellStyle name="常规 2 6 3 3 2 2" xfId="37088"/>
    <cellStyle name="常规 2 6 3 3 2 2 2" xfId="37089"/>
    <cellStyle name="常规 2 6 3 3 2 3" xfId="37090"/>
    <cellStyle name="常规 2 6 3 3 2 4" xfId="37091"/>
    <cellStyle name="常规 2 6 3 3 2 5" xfId="37092"/>
    <cellStyle name="常规 2 6 3 3 2 5 2" xfId="37093"/>
    <cellStyle name="常规 2 6 3 3 2 6" xfId="37094"/>
    <cellStyle name="常规 2 6 3 3 3" xfId="37095"/>
    <cellStyle name="常规 2 6 3 3 3 2" xfId="37096"/>
    <cellStyle name="常规 2 6 3 3 3 2 2" xfId="37097"/>
    <cellStyle name="常规 2 6 3 3 4" xfId="37098"/>
    <cellStyle name="常规 2 6 3 3 4 2" xfId="37099"/>
    <cellStyle name="常规 2 6 3 3 4 3" xfId="37100"/>
    <cellStyle name="常规 2 6 3 3 5" xfId="37101"/>
    <cellStyle name="常规 2 6 3 3 5 2" xfId="37102"/>
    <cellStyle name="常规 2 6 3 3 6" xfId="37103"/>
    <cellStyle name="常规 2 6 3 3 6 2" xfId="37104"/>
    <cellStyle name="常规 2 6 3 3 7" xfId="37105"/>
    <cellStyle name="常规 2 6 3 4" xfId="37106"/>
    <cellStyle name="常规 2 6 3 4 2" xfId="37107"/>
    <cellStyle name="常规 2 6 3 4 2 2" xfId="37108"/>
    <cellStyle name="常规 2 6 3 4 2 3" xfId="37109"/>
    <cellStyle name="常规 2 6 3 4 2 4" xfId="37110"/>
    <cellStyle name="常规 2 6 3 4 3" xfId="37111"/>
    <cellStyle name="常规 2 6 3 4 4" xfId="37112"/>
    <cellStyle name="常规 2 6 3 4 5" xfId="37113"/>
    <cellStyle name="常规 2 6 3 4 6" xfId="37114"/>
    <cellStyle name="常规 2 6 3 4 6 2" xfId="37115"/>
    <cellStyle name="常规 2 6 3 5" xfId="37116"/>
    <cellStyle name="常规 2 6 3 5 2" xfId="37117"/>
    <cellStyle name="常规 2 6 3 5 3" xfId="37118"/>
    <cellStyle name="常规 2 6 3 5 4" xfId="37119"/>
    <cellStyle name="常规 2 6 3 5 5" xfId="37120"/>
    <cellStyle name="常规 2 6 3 5 5 2" xfId="37121"/>
    <cellStyle name="常规 2 6 3 6" xfId="37122"/>
    <cellStyle name="常规 2 6 3 6 2" xfId="37123"/>
    <cellStyle name="常规 2 6 3 6 2 2" xfId="37124"/>
    <cellStyle name="常规 2 6 3 7" xfId="37125"/>
    <cellStyle name="常规 2 6 3 7 2" xfId="37126"/>
    <cellStyle name="常规 2 6 3 7 2 2" xfId="37127"/>
    <cellStyle name="常规 2 6 3 8" xfId="37128"/>
    <cellStyle name="常规 2 6 3 8 2" xfId="37129"/>
    <cellStyle name="常规 2 6 3 8 3" xfId="37130"/>
    <cellStyle name="常规 2 6 3 9" xfId="37131"/>
    <cellStyle name="常规 2 6 3 9 2" xfId="37132"/>
    <cellStyle name="常规 2 6 4" xfId="37133"/>
    <cellStyle name="常规 2 6 4 10" xfId="37134"/>
    <cellStyle name="常规 2 6 4 2" xfId="37135"/>
    <cellStyle name="常规 2 6 4 2 10" xfId="37136"/>
    <cellStyle name="常规 2 6 4 2 2" xfId="37137"/>
    <cellStyle name="常规 2 6 4 2 2 2" xfId="37138"/>
    <cellStyle name="常规 2 6 4 2 2 2 2" xfId="37139"/>
    <cellStyle name="常规 2 6 4 2 2 2 2 2" xfId="37140"/>
    <cellStyle name="常规 2 6 4 2 2 2 2 3" xfId="37141"/>
    <cellStyle name="常规 2 6 4 2 2 2 2 4" xfId="37142"/>
    <cellStyle name="常规 2 6 4 2 2 2 3" xfId="37143"/>
    <cellStyle name="常规 2 6 4 2 2 2 4" xfId="37144"/>
    <cellStyle name="常规 2 6 4 2 2 2 5" xfId="37145"/>
    <cellStyle name="常规 2 6 4 2 2 3" xfId="37146"/>
    <cellStyle name="常规 2 6 4 2 2 3 2" xfId="37147"/>
    <cellStyle name="常规 2 6 4 2 2 3 2 2" xfId="37148"/>
    <cellStyle name="常规 2 6 4 2 2 3 2 3" xfId="37149"/>
    <cellStyle name="常规 2 6 4 2 2 3 2 4" xfId="37150"/>
    <cellStyle name="常规 2 6 4 2 2 3 3" xfId="37151"/>
    <cellStyle name="常规 2 6 4 2 2 3 4" xfId="37152"/>
    <cellStyle name="常规 2 6 4 2 2 3 5" xfId="37153"/>
    <cellStyle name="常规 2 6 4 2 2 4" xfId="37154"/>
    <cellStyle name="常规 2 6 4 2 2 4 2" xfId="37155"/>
    <cellStyle name="常规 2 6 4 2 2 4 3" xfId="37156"/>
    <cellStyle name="常规 2 6 4 2 2 4 4" xfId="37157"/>
    <cellStyle name="常规 2 6 4 2 2 5" xfId="37158"/>
    <cellStyle name="常规 2 6 4 2 2 6" xfId="37159"/>
    <cellStyle name="常规 2 6 4 2 2 7" xfId="37160"/>
    <cellStyle name="常规 2 6 4 2 2 8" xfId="37161"/>
    <cellStyle name="常规 2 6 4 2 2 8 2" xfId="37162"/>
    <cellStyle name="常规 2 6 4 2 3" xfId="37163"/>
    <cellStyle name="常规 2 6 4 2 3 2" xfId="37164"/>
    <cellStyle name="常规 2 6 4 2 3 2 2" xfId="37165"/>
    <cellStyle name="常规 2 6 4 2 3 2 3" xfId="37166"/>
    <cellStyle name="常规 2 6 4 2 3 2 4" xfId="37167"/>
    <cellStyle name="常规 2 6 4 2 3 3" xfId="37168"/>
    <cellStyle name="常规 2 6 4 2 3 4" xfId="37169"/>
    <cellStyle name="常规 2 6 4 2 3 5" xfId="37170"/>
    <cellStyle name="常规 2 6 4 2 3 6" xfId="37171"/>
    <cellStyle name="常规 2 6 4 2 3 6 2" xfId="37172"/>
    <cellStyle name="常规 2 6 4 2 4" xfId="37173"/>
    <cellStyle name="常规 2 6 4 2 4 2" xfId="37174"/>
    <cellStyle name="常规 2 6 4 2 4 2 2" xfId="37175"/>
    <cellStyle name="常规 2 6 4 2 4 2 3" xfId="37176"/>
    <cellStyle name="常规 2 6 4 2 4 2 4" xfId="37177"/>
    <cellStyle name="常规 2 6 4 2 4 2 5" xfId="37178"/>
    <cellStyle name="常规 2 6 4 2 4 3" xfId="37179"/>
    <cellStyle name="常规 2 6 4 2 4 4" xfId="37180"/>
    <cellStyle name="常规 2 6 4 2 4 5" xfId="37181"/>
    <cellStyle name="常规 2 6 4 2 4 6" xfId="37182"/>
    <cellStyle name="常规 2 6 4 2 5" xfId="37183"/>
    <cellStyle name="常规 2 6 4 2 5 2" xfId="37184"/>
    <cellStyle name="常规 2 6 4 2 5 2 2" xfId="37185"/>
    <cellStyle name="常规 2 6 4 2 5 3" xfId="37186"/>
    <cellStyle name="常规 2 6 4 2 5 4" xfId="37187"/>
    <cellStyle name="常规 2 6 4 2 5 5" xfId="37188"/>
    <cellStyle name="常规 2 6 4 2 6" xfId="37189"/>
    <cellStyle name="常规 2 6 4 2 7" xfId="37190"/>
    <cellStyle name="常规 2 6 4 2 8" xfId="37191"/>
    <cellStyle name="常规 2 6 4 2 9" xfId="37192"/>
    <cellStyle name="常规 2 6 4 2 9 2" xfId="37193"/>
    <cellStyle name="常规 2 6 4 3" xfId="37194"/>
    <cellStyle name="常规 2 6 4 3 2" xfId="37195"/>
    <cellStyle name="常规 2 6 4 3 2 2" xfId="37196"/>
    <cellStyle name="常规 2 6 4 3 2 3" xfId="37197"/>
    <cellStyle name="常规 2 6 4 3 2 4" xfId="37198"/>
    <cellStyle name="常规 2 6 4 3 3" xfId="37199"/>
    <cellStyle name="常规 2 6 4 3 4" xfId="37200"/>
    <cellStyle name="常规 2 6 4 3 5" xfId="37201"/>
    <cellStyle name="常规 2 6 4 3 6" xfId="37202"/>
    <cellStyle name="常规 2 6 4 3 6 2" xfId="37203"/>
    <cellStyle name="常规 2 6 4 4" xfId="37204"/>
    <cellStyle name="常规 2 6 4 4 2" xfId="37205"/>
    <cellStyle name="常规 2 6 4 4 2 2" xfId="37206"/>
    <cellStyle name="常规 2 6 4 4 2 3" xfId="37207"/>
    <cellStyle name="常规 2 6 4 4 2 4" xfId="37208"/>
    <cellStyle name="常规 2 6 4 4 3" xfId="37209"/>
    <cellStyle name="常规 2 6 4 4 4" xfId="37210"/>
    <cellStyle name="常规 2 6 4 4 5" xfId="37211"/>
    <cellStyle name="常规 2 6 4 4 6" xfId="37212"/>
    <cellStyle name="常规 2 6 4 4 6 2" xfId="37213"/>
    <cellStyle name="常规 2 6 4 5" xfId="37214"/>
    <cellStyle name="常规 2 6 4 5 2" xfId="37215"/>
    <cellStyle name="常规 2 6 4 5 3" xfId="37216"/>
    <cellStyle name="常规 2 6 4 5 4" xfId="37217"/>
    <cellStyle name="常规 2 6 4 5 5" xfId="37218"/>
    <cellStyle name="常规 2 6 4 5 5 2" xfId="37219"/>
    <cellStyle name="常规 2 6 4 6" xfId="37220"/>
    <cellStyle name="常规 2 6 4 6 2" xfId="37221"/>
    <cellStyle name="常规 2 6 4 6 2 2" xfId="37222"/>
    <cellStyle name="常规 2 6 4 7" xfId="37223"/>
    <cellStyle name="常规 2 6 4 7 2" xfId="37224"/>
    <cellStyle name="常规 2 6 4 7 2 2" xfId="37225"/>
    <cellStyle name="常规 2 6 4 8" xfId="37226"/>
    <cellStyle name="常规 2 6 4 8 2" xfId="37227"/>
    <cellStyle name="常规 2 6 4 8 3" xfId="37228"/>
    <cellStyle name="常规 2 6 4 9" xfId="37229"/>
    <cellStyle name="常规 2 6 4 9 2" xfId="37230"/>
    <cellStyle name="常规 2 6 5" xfId="37231"/>
    <cellStyle name="常规 2 6 5 10" xfId="37232"/>
    <cellStyle name="常规 2 6 5 2" xfId="37233"/>
    <cellStyle name="常规 2 6 5 2 10" xfId="37234"/>
    <cellStyle name="常规 2 6 5 2 2" xfId="37235"/>
    <cellStyle name="常规 2 6 5 2 2 2" xfId="37236"/>
    <cellStyle name="常规 2 6 5 2 2 2 2" xfId="37237"/>
    <cellStyle name="常规 2 6 5 2 2 2 2 2" xfId="37238"/>
    <cellStyle name="常规 2 6 5 2 2 2 2 3" xfId="37239"/>
    <cellStyle name="常规 2 6 5 2 2 2 2 4" xfId="37240"/>
    <cellStyle name="常规 2 6 5 2 2 2 3" xfId="37241"/>
    <cellStyle name="常规 2 6 5 2 2 2 4" xfId="37242"/>
    <cellStyle name="常规 2 6 5 2 2 2 5" xfId="37243"/>
    <cellStyle name="常规 2 6 5 2 2 2 6" xfId="37244"/>
    <cellStyle name="常规 2 6 5 2 2 3" xfId="37245"/>
    <cellStyle name="常规 2 6 5 2 2 3 2" xfId="37246"/>
    <cellStyle name="常规 2 6 5 2 2 3 2 2" xfId="37247"/>
    <cellStyle name="常规 2 6 5 2 2 3 2 3" xfId="37248"/>
    <cellStyle name="常规 2 6 5 2 2 3 2 4" xfId="37249"/>
    <cellStyle name="常规 2 6 5 2 2 3 3" xfId="37250"/>
    <cellStyle name="常规 2 6 5 2 2 3 4" xfId="37251"/>
    <cellStyle name="常规 2 6 5 2 2 3 5" xfId="37252"/>
    <cellStyle name="常规 2 6 5 2 2 4" xfId="37253"/>
    <cellStyle name="常规 2 6 5 2 2 4 2" xfId="37254"/>
    <cellStyle name="常规 2 6 5 2 2 4 3" xfId="37255"/>
    <cellStyle name="常规 2 6 5 2 2 4 4" xfId="37256"/>
    <cellStyle name="常规 2 6 5 2 2 5" xfId="37257"/>
    <cellStyle name="常规 2 6 5 2 2 6" xfId="37258"/>
    <cellStyle name="常规 2 6 5 2 2 7" xfId="37259"/>
    <cellStyle name="常规 2 6 5 2 2 8" xfId="37260"/>
    <cellStyle name="常规 2 6 5 2 2 8 2" xfId="37261"/>
    <cellStyle name="常规 2 6 5 2 2 9" xfId="37262"/>
    <cellStyle name="常规 2 6 5 2 3" xfId="37263"/>
    <cellStyle name="常规 2 6 5 2 3 2" xfId="37264"/>
    <cellStyle name="常规 2 6 5 2 3 2 2" xfId="37265"/>
    <cellStyle name="常规 2 6 5 2 3 2 3" xfId="37266"/>
    <cellStyle name="常规 2 6 5 2 3 2 4" xfId="37267"/>
    <cellStyle name="常规 2 6 5 2 3 2 5" xfId="37268"/>
    <cellStyle name="常规 2 6 5 2 3 3" xfId="37269"/>
    <cellStyle name="常规 2 6 5 2 3 4" xfId="37270"/>
    <cellStyle name="常规 2 6 5 2 3 5" xfId="37271"/>
    <cellStyle name="常规 2 6 5 2 3 6" xfId="37272"/>
    <cellStyle name="常规 2 6 5 2 4" xfId="37273"/>
    <cellStyle name="常规 2 6 5 2 4 2" xfId="37274"/>
    <cellStyle name="常规 2 6 5 2 4 2 2" xfId="37275"/>
    <cellStyle name="常规 2 6 5 2 4 2 3" xfId="37276"/>
    <cellStyle name="常规 2 6 5 2 4 2 4" xfId="37277"/>
    <cellStyle name="常规 2 6 5 2 4 2 5" xfId="37278"/>
    <cellStyle name="常规 2 6 5 2 4 3" xfId="37279"/>
    <cellStyle name="常规 2 6 5 2 4 4" xfId="37280"/>
    <cellStyle name="常规 2 6 5 2 4 5" xfId="37281"/>
    <cellStyle name="常规 2 6 5 2 4 6" xfId="37282"/>
    <cellStyle name="常规 2 6 5 2 5" xfId="37283"/>
    <cellStyle name="常规 2 6 5 2 5 2" xfId="37284"/>
    <cellStyle name="常规 2 6 5 2 5 3" xfId="37285"/>
    <cellStyle name="常规 2 6 5 2 5 4" xfId="37286"/>
    <cellStyle name="常规 2 6 5 2 5 5" xfId="37287"/>
    <cellStyle name="常规 2 6 5 2 6" xfId="37288"/>
    <cellStyle name="常规 2 6 5 2 7" xfId="37289"/>
    <cellStyle name="常规 2 6 5 2 8" xfId="37290"/>
    <cellStyle name="常规 2 6 5 2 9" xfId="37291"/>
    <cellStyle name="常规 2 6 5 2 9 2" xfId="37292"/>
    <cellStyle name="常规 2 6 5 3" xfId="37293"/>
    <cellStyle name="常规 2 6 5 3 2" xfId="37294"/>
    <cellStyle name="常规 2 6 5 3 2 2" xfId="37295"/>
    <cellStyle name="常规 2 6 5 3 2 3" xfId="37296"/>
    <cellStyle name="常规 2 6 5 3 2 4" xfId="37297"/>
    <cellStyle name="常规 2 6 5 3 3" xfId="37298"/>
    <cellStyle name="常规 2 6 5 3 4" xfId="37299"/>
    <cellStyle name="常规 2 6 5 3 5" xfId="37300"/>
    <cellStyle name="常规 2 6 5 3 6" xfId="37301"/>
    <cellStyle name="常规 2 6 5 3 6 2" xfId="37302"/>
    <cellStyle name="常规 2 6 5 4" xfId="37303"/>
    <cellStyle name="常规 2 6 5 4 2" xfId="37304"/>
    <cellStyle name="常规 2 6 5 4 2 2" xfId="37305"/>
    <cellStyle name="常规 2 6 5 4 2 3" xfId="37306"/>
    <cellStyle name="常规 2 6 5 4 2 4" xfId="37307"/>
    <cellStyle name="常规 2 6 5 4 2 5" xfId="37308"/>
    <cellStyle name="常规 2 6 5 4 3" xfId="37309"/>
    <cellStyle name="常规 2 6 5 4 4" xfId="37310"/>
    <cellStyle name="常规 2 6 5 4 5" xfId="37311"/>
    <cellStyle name="常规 2 6 5 4 6" xfId="37312"/>
    <cellStyle name="常规 2 6 5 5" xfId="37313"/>
    <cellStyle name="常规 2 6 5 5 2" xfId="37314"/>
    <cellStyle name="常规 2 6 5 5 2 2" xfId="37315"/>
    <cellStyle name="常规 2 6 5 5 3" xfId="37316"/>
    <cellStyle name="常规 2 6 5 5 4" xfId="37317"/>
    <cellStyle name="常规 2 6 5 5 5" xfId="37318"/>
    <cellStyle name="常规 2 6 5 6" xfId="37319"/>
    <cellStyle name="常规 2 6 5 7" xfId="37320"/>
    <cellStyle name="常规 2 6 5 8" xfId="37321"/>
    <cellStyle name="常规 2 6 5 9" xfId="37322"/>
    <cellStyle name="常规 2 6 5 9 2" xfId="37323"/>
    <cellStyle name="常规 2 6 6" xfId="37324"/>
    <cellStyle name="常规 2 6 6 10" xfId="37325"/>
    <cellStyle name="常规 2 6 6 2" xfId="37326"/>
    <cellStyle name="常规 2 6 6 2 10" xfId="37327"/>
    <cellStyle name="常规 2 6 6 2 2" xfId="37328"/>
    <cellStyle name="常规 2 6 6 2 2 2" xfId="37329"/>
    <cellStyle name="常规 2 6 6 2 2 2 2" xfId="37330"/>
    <cellStyle name="常规 2 6 6 2 2 2 2 2" xfId="37331"/>
    <cellStyle name="常规 2 6 6 2 2 2 2 3" xfId="37332"/>
    <cellStyle name="常规 2 6 6 2 2 2 2 4" xfId="37333"/>
    <cellStyle name="常规 2 6 6 2 2 2 3" xfId="37334"/>
    <cellStyle name="常规 2 6 6 2 2 2 4" xfId="37335"/>
    <cellStyle name="常规 2 6 6 2 2 2 5" xfId="37336"/>
    <cellStyle name="常规 2 6 6 2 2 3" xfId="37337"/>
    <cellStyle name="常规 2 6 6 2 2 3 2" xfId="37338"/>
    <cellStyle name="常规 2 6 6 2 2 3 2 2" xfId="37339"/>
    <cellStyle name="常规 2 6 6 2 2 3 2 3" xfId="37340"/>
    <cellStyle name="常规 2 6 6 2 2 3 2 4" xfId="37341"/>
    <cellStyle name="常规 2 6 6 2 2 3 3" xfId="37342"/>
    <cellStyle name="常规 2 6 6 2 2 3 4" xfId="37343"/>
    <cellStyle name="常规 2 6 6 2 2 3 5" xfId="37344"/>
    <cellStyle name="常规 2 6 6 2 2 4" xfId="37345"/>
    <cellStyle name="常规 2 6 6 2 2 4 2" xfId="37346"/>
    <cellStyle name="常规 2 6 6 2 2 4 3" xfId="37347"/>
    <cellStyle name="常规 2 6 6 2 2 4 4" xfId="37348"/>
    <cellStyle name="常规 2 6 6 2 2 5" xfId="37349"/>
    <cellStyle name="常规 2 6 6 2 2 6" xfId="37350"/>
    <cellStyle name="常规 2 6 6 2 2 7" xfId="37351"/>
    <cellStyle name="常规 2 6 6 2 2 8" xfId="37352"/>
    <cellStyle name="常规 2 6 6 2 3" xfId="37353"/>
    <cellStyle name="常规 2 6 6 2 3 2" xfId="37354"/>
    <cellStyle name="常规 2 6 6 2 3 2 2" xfId="37355"/>
    <cellStyle name="常规 2 6 6 2 3 2 3" xfId="37356"/>
    <cellStyle name="常规 2 6 6 2 3 2 4" xfId="37357"/>
    <cellStyle name="常规 2 6 6 2 3 3" xfId="37358"/>
    <cellStyle name="常规 2 6 6 2 3 4" xfId="37359"/>
    <cellStyle name="常规 2 6 6 2 3 5" xfId="37360"/>
    <cellStyle name="常规 2 6 6 2 4" xfId="37361"/>
    <cellStyle name="常规 2 6 6 2 4 2" xfId="37362"/>
    <cellStyle name="常规 2 6 6 2 4 2 2" xfId="37363"/>
    <cellStyle name="常规 2 6 6 2 4 2 3" xfId="37364"/>
    <cellStyle name="常规 2 6 6 2 4 2 4" xfId="37365"/>
    <cellStyle name="常规 2 6 6 2 4 3" xfId="37366"/>
    <cellStyle name="常规 2 6 6 2 4 4" xfId="37367"/>
    <cellStyle name="常规 2 6 6 2 4 5" xfId="37368"/>
    <cellStyle name="常规 2 6 6 2 5" xfId="37369"/>
    <cellStyle name="常规 2 6 6 2 5 2" xfId="37370"/>
    <cellStyle name="常规 2 6 6 2 5 3" xfId="37371"/>
    <cellStyle name="常规 2 6 6 2 5 4" xfId="37372"/>
    <cellStyle name="常规 2 6 6 2 6" xfId="37373"/>
    <cellStyle name="常规 2 6 6 2 7" xfId="37374"/>
    <cellStyle name="常规 2 6 6 2 8" xfId="37375"/>
    <cellStyle name="常规 2 6 6 2 9" xfId="37376"/>
    <cellStyle name="常规 2 6 6 2 9 2" xfId="37377"/>
    <cellStyle name="常规 2 6 6 3" xfId="37378"/>
    <cellStyle name="常规 2 6 6 3 2" xfId="37379"/>
    <cellStyle name="常规 2 6 6 3 2 2" xfId="37380"/>
    <cellStyle name="常规 2 6 6 3 2 3" xfId="37381"/>
    <cellStyle name="常规 2 6 6 3 2 4" xfId="37382"/>
    <cellStyle name="常规 2 6 6 3 2 5" xfId="37383"/>
    <cellStyle name="常规 2 6 6 3 3" xfId="37384"/>
    <cellStyle name="常规 2 6 6 3 4" xfId="37385"/>
    <cellStyle name="常规 2 6 6 3 5" xfId="37386"/>
    <cellStyle name="常规 2 6 6 3 6" xfId="37387"/>
    <cellStyle name="常规 2 6 6 4" xfId="37388"/>
    <cellStyle name="常规 2 6 6 4 2" xfId="37389"/>
    <cellStyle name="常规 2 6 6 4 2 2" xfId="37390"/>
    <cellStyle name="常规 2 6 6 4 2 3" xfId="37391"/>
    <cellStyle name="常规 2 6 6 4 2 4" xfId="37392"/>
    <cellStyle name="常规 2 6 6 4 2 5" xfId="37393"/>
    <cellStyle name="常规 2 6 6 4 3" xfId="37394"/>
    <cellStyle name="常规 2 6 6 4 4" xfId="37395"/>
    <cellStyle name="常规 2 6 6 4 5" xfId="37396"/>
    <cellStyle name="常规 2 6 6 4 6" xfId="37397"/>
    <cellStyle name="常规 2 6 6 5" xfId="37398"/>
    <cellStyle name="常规 2 6 6 5 2" xfId="37399"/>
    <cellStyle name="常规 2 6 6 5 3" xfId="37400"/>
    <cellStyle name="常规 2 6 6 5 4" xfId="37401"/>
    <cellStyle name="常规 2 6 6 5 5" xfId="37402"/>
    <cellStyle name="常规 2 6 6 6" xfId="37403"/>
    <cellStyle name="常规 2 6 6 7" xfId="37404"/>
    <cellStyle name="常规 2 6 6 8" xfId="37405"/>
    <cellStyle name="常规 2 6 6 9" xfId="37406"/>
    <cellStyle name="常规 2 6 6 9 2" xfId="37407"/>
    <cellStyle name="常规 2 6 7" xfId="37408"/>
    <cellStyle name="常规 2 6 7 2" xfId="37409"/>
    <cellStyle name="常规 2 6 7 2 2" xfId="37410"/>
    <cellStyle name="常规 2 6 7 2 2 2" xfId="37411"/>
    <cellStyle name="常规 2 6 7 2 2 2 2" xfId="37412"/>
    <cellStyle name="常规 2 6 7 2 2 2 3" xfId="37413"/>
    <cellStyle name="常规 2 6 7 2 2 2 4" xfId="37414"/>
    <cellStyle name="常规 2 6 7 2 2 3" xfId="37415"/>
    <cellStyle name="常规 2 6 7 2 2 4" xfId="37416"/>
    <cellStyle name="常规 2 6 7 2 2 5" xfId="37417"/>
    <cellStyle name="常规 2 6 7 2 3" xfId="37418"/>
    <cellStyle name="常规 2 6 7 2 3 2" xfId="37419"/>
    <cellStyle name="常规 2 6 7 2 3 2 2" xfId="37420"/>
    <cellStyle name="常规 2 6 7 2 3 2 3" xfId="37421"/>
    <cellStyle name="常规 2 6 7 2 3 2 4" xfId="37422"/>
    <cellStyle name="常规 2 6 7 2 3 3" xfId="37423"/>
    <cellStyle name="常规 2 6 7 2 3 4" xfId="37424"/>
    <cellStyle name="常规 2 6 7 2 3 5" xfId="37425"/>
    <cellStyle name="常规 2 6 7 2 4" xfId="37426"/>
    <cellStyle name="常规 2 6 7 2 4 2" xfId="37427"/>
    <cellStyle name="常规 2 6 7 2 4 3" xfId="37428"/>
    <cellStyle name="常规 2 6 7 2 4 4" xfId="37429"/>
    <cellStyle name="常规 2 6 7 2 5" xfId="37430"/>
    <cellStyle name="常规 2 6 7 2 6" xfId="37431"/>
    <cellStyle name="常规 2 6 7 2 7" xfId="37432"/>
    <cellStyle name="常规 2 6 7 3" xfId="37433"/>
    <cellStyle name="常规 2 6 7 3 2" xfId="37434"/>
    <cellStyle name="常规 2 6 7 3 2 2" xfId="37435"/>
    <cellStyle name="常规 2 6 7 3 2 3" xfId="37436"/>
    <cellStyle name="常规 2 6 7 3 2 4" xfId="37437"/>
    <cellStyle name="常规 2 6 7 3 3" xfId="37438"/>
    <cellStyle name="常规 2 6 7 3 4" xfId="37439"/>
    <cellStyle name="常规 2 6 7 3 5" xfId="37440"/>
    <cellStyle name="常规 2 6 7 4" xfId="37441"/>
    <cellStyle name="常规 2 6 7 4 2" xfId="37442"/>
    <cellStyle name="常规 2 6 7 4 2 2" xfId="37443"/>
    <cellStyle name="常规 2 6 7 4 2 3" xfId="37444"/>
    <cellStyle name="常规 2 6 7 4 2 4" xfId="37445"/>
    <cellStyle name="常规 2 6 7 4 3" xfId="37446"/>
    <cellStyle name="常规 2 6 7 4 4" xfId="37447"/>
    <cellStyle name="常规 2 6 7 4 5" xfId="37448"/>
    <cellStyle name="常规 2 6 7 5" xfId="37449"/>
    <cellStyle name="常规 2 6 7 5 2" xfId="37450"/>
    <cellStyle name="常规 2 6 7 5 3" xfId="37451"/>
    <cellStyle name="常规 2 6 7 5 4" xfId="37452"/>
    <cellStyle name="常规 2 6 7 6" xfId="37453"/>
    <cellStyle name="常规 2 6 7 7" xfId="37454"/>
    <cellStyle name="常规 2 6 7 8" xfId="37455"/>
    <cellStyle name="常规 2 6 7 9" xfId="37456"/>
    <cellStyle name="常规 2 6 7 9 2" xfId="37457"/>
    <cellStyle name="常规 2 6 8" xfId="37458"/>
    <cellStyle name="常规 2 6 8 2" xfId="37459"/>
    <cellStyle name="常规 2 6 8 2 2" xfId="37460"/>
    <cellStyle name="常规 2 6 8 2 3" xfId="37461"/>
    <cellStyle name="常规 2 6 8 2 4" xfId="37462"/>
    <cellStyle name="常规 2 6 8 3" xfId="37463"/>
    <cellStyle name="常规 2 6 8 4" xfId="37464"/>
    <cellStyle name="常规 2 6 8 5" xfId="37465"/>
    <cellStyle name="常规 2 6 8 6" xfId="37466"/>
    <cellStyle name="常规 2 6 8 6 2" xfId="37467"/>
    <cellStyle name="常规 2 6 9" xfId="37468"/>
    <cellStyle name="常规 2 6 9 2" xfId="37469"/>
    <cellStyle name="常规 2 6 9 2 2" xfId="37470"/>
    <cellStyle name="常规 2 6 9 2 3" xfId="37471"/>
    <cellStyle name="常规 2 6 9 2 4" xfId="37472"/>
    <cellStyle name="常规 2 6 9 2 5" xfId="37473"/>
    <cellStyle name="常规 2 6 9 3" xfId="37474"/>
    <cellStyle name="常规 2 6 9 4" xfId="37475"/>
    <cellStyle name="常规 2 6 9 5" xfId="37476"/>
    <cellStyle name="常规 2 6 9 6" xfId="37477"/>
    <cellStyle name="常规 2 7" xfId="37478"/>
    <cellStyle name="常规 2 7 10" xfId="37479"/>
    <cellStyle name="常规 2 7 10 2" xfId="37480"/>
    <cellStyle name="常规 2 7 10 3" xfId="37481"/>
    <cellStyle name="常规 2 7 11" xfId="37482"/>
    <cellStyle name="常规 2 7 11 2" xfId="37483"/>
    <cellStyle name="常规 2 7 2" xfId="37484"/>
    <cellStyle name="常规 2 7 2 10" xfId="37485"/>
    <cellStyle name="常规 2 7 2 10 2" xfId="37486"/>
    <cellStyle name="常规 2 7 2 2" xfId="37487"/>
    <cellStyle name="常规 2 7 2 2 2" xfId="37488"/>
    <cellStyle name="常规 2 7 2 2 2 2" xfId="37489"/>
    <cellStyle name="常规 2 7 2 2 2 2 2" xfId="37490"/>
    <cellStyle name="常规 2 7 2 2 2 2 3" xfId="37491"/>
    <cellStyle name="常规 2 7 2 2 2 2 4" xfId="37492"/>
    <cellStyle name="常规 2 7 2 2 2 2 4 2" xfId="37493"/>
    <cellStyle name="常规 2 7 2 2 2 2 4 3" xfId="37494"/>
    <cellStyle name="常规 2 7 2 2 2 2 5" xfId="37495"/>
    <cellStyle name="常规 2 7 2 2 2 2 5 2" xfId="37496"/>
    <cellStyle name="常规 2 7 2 2 2 3" xfId="37497"/>
    <cellStyle name="常规 2 7 2 2 2 3 2" xfId="37498"/>
    <cellStyle name="常规 2 7 2 2 2 3 2 2" xfId="37499"/>
    <cellStyle name="常规 2 7 2 2 2 3 2 2 2" xfId="37500"/>
    <cellStyle name="常规 2 7 2 2 2 3 3" xfId="37501"/>
    <cellStyle name="常规 2 7 2 2 2 3 3 2" xfId="37502"/>
    <cellStyle name="常规 2 7 2 2 2 3 3 2 2" xfId="37503"/>
    <cellStyle name="常规 2 7 2 2 2 3 4" xfId="37504"/>
    <cellStyle name="常规 2 7 2 2 2 3 4 2" xfId="37505"/>
    <cellStyle name="常规 2 7 2 2 2 3 5" xfId="37506"/>
    <cellStyle name="常规 2 7 2 2 2 4" xfId="37507"/>
    <cellStyle name="常规 2 7 2 2 2 4 2" xfId="37508"/>
    <cellStyle name="常规 2 7 2 2 2 4 2 2" xfId="37509"/>
    <cellStyle name="常规 2 7 2 2 2 5" xfId="37510"/>
    <cellStyle name="常规 2 7 2 2 2 6" xfId="37511"/>
    <cellStyle name="常规 2 7 2 2 2 7" xfId="37512"/>
    <cellStyle name="常规 2 7 2 2 2 7 2" xfId="37513"/>
    <cellStyle name="常规 2 7 2 2 2 7 3" xfId="37514"/>
    <cellStyle name="常规 2 7 2 2 2 8" xfId="37515"/>
    <cellStyle name="常规 2 7 2 2 2 8 2" xfId="37516"/>
    <cellStyle name="常规 2 7 2 2 3" xfId="37517"/>
    <cellStyle name="常规 2 7 2 2 3 2" xfId="37518"/>
    <cellStyle name="常规 2 7 2 2 3 3" xfId="37519"/>
    <cellStyle name="常规 2 7 2 2 3 4" xfId="37520"/>
    <cellStyle name="常规 2 7 2 2 3 4 2" xfId="37521"/>
    <cellStyle name="常规 2 7 2 2 3 4 3" xfId="37522"/>
    <cellStyle name="常规 2 7 2 2 3 5" xfId="37523"/>
    <cellStyle name="常规 2 7 2 2 3 5 2" xfId="37524"/>
    <cellStyle name="常规 2 7 2 2 4" xfId="37525"/>
    <cellStyle name="常规 2 7 2 2 4 2" xfId="37526"/>
    <cellStyle name="常规 2 7 2 2 4 2 2" xfId="37527"/>
    <cellStyle name="常规 2 7 2 2 5" xfId="37528"/>
    <cellStyle name="常规 2 7 2 2 5 2" xfId="37529"/>
    <cellStyle name="常规 2 7 2 2 5 2 2" xfId="37530"/>
    <cellStyle name="常规 2 7 2 2 6" xfId="37531"/>
    <cellStyle name="常规 2 7 2 2 7" xfId="37532"/>
    <cellStyle name="常规 2 7 2 2 8" xfId="37533"/>
    <cellStyle name="常规 2 7 2 2 8 2" xfId="37534"/>
    <cellStyle name="常规 2 7 2 2 8 3" xfId="37535"/>
    <cellStyle name="常规 2 7 2 2 9" xfId="37536"/>
    <cellStyle name="常规 2 7 2 2 9 2" xfId="37537"/>
    <cellStyle name="常规 2 7 2 3" xfId="37538"/>
    <cellStyle name="常规 2 7 2 3 2" xfId="37539"/>
    <cellStyle name="常规 2 7 2 3 2 2" xfId="37540"/>
    <cellStyle name="常规 2 7 2 3 2 2 2" xfId="37541"/>
    <cellStyle name="常规 2 7 2 3 2 2 2 2" xfId="37542"/>
    <cellStyle name="常规 2 7 2 3 2 3" xfId="37543"/>
    <cellStyle name="常规 2 7 2 3 2 3 2" xfId="37544"/>
    <cellStyle name="常规 2 7 2 3 2 3 2 2" xfId="37545"/>
    <cellStyle name="常规 2 7 2 3 2 4" xfId="37546"/>
    <cellStyle name="常规 2 7 2 3 2 4 2" xfId="37547"/>
    <cellStyle name="常规 2 7 2 3 2 4 2 2" xfId="37548"/>
    <cellStyle name="常规 2 7 2 3 2 5" xfId="37549"/>
    <cellStyle name="常规 2 7 2 3 2 5 2" xfId="37550"/>
    <cellStyle name="常规 2 7 2 3 2 5 3" xfId="37551"/>
    <cellStyle name="常规 2 7 2 3 2 6" xfId="37552"/>
    <cellStyle name="常规 2 7 2 3 3" xfId="37553"/>
    <cellStyle name="常规 2 7 2 3 3 2" xfId="37554"/>
    <cellStyle name="常规 2 7 2 3 3 2 2" xfId="37555"/>
    <cellStyle name="常规 2 7 2 3 3 2 2 2" xfId="37556"/>
    <cellStyle name="常规 2 7 2 3 3 3" xfId="37557"/>
    <cellStyle name="常规 2 7 2 3 3 3 2" xfId="37558"/>
    <cellStyle name="常规 2 7 2 3 3 3 2 2" xfId="37559"/>
    <cellStyle name="常规 2 7 2 3 3 4" xfId="37560"/>
    <cellStyle name="常规 2 7 2 3 3 4 2" xfId="37561"/>
    <cellStyle name="常规 2 7 2 3 3 5" xfId="37562"/>
    <cellStyle name="常规 2 7 2 3 4" xfId="37563"/>
    <cellStyle name="常规 2 7 2 3 4 2" xfId="37564"/>
    <cellStyle name="常规 2 7 2 3 4 2 2" xfId="37565"/>
    <cellStyle name="常规 2 7 2 3 5" xfId="37566"/>
    <cellStyle name="常规 2 7 2 3 5 2" xfId="37567"/>
    <cellStyle name="常规 2 7 2 3 5 2 2" xfId="37568"/>
    <cellStyle name="常规 2 7 2 3 6" xfId="37569"/>
    <cellStyle name="常规 2 7 2 3 7" xfId="37570"/>
    <cellStyle name="常规 2 7 2 3 7 2" xfId="37571"/>
    <cellStyle name="常规 2 7 2 3 7 3" xfId="37572"/>
    <cellStyle name="常规 2 7 2 3 8" xfId="37573"/>
    <cellStyle name="常规 2 7 2 3 8 2" xfId="37574"/>
    <cellStyle name="常规 2 7 2 4" xfId="37575"/>
    <cellStyle name="常规 2 7 2 4 2" xfId="37576"/>
    <cellStyle name="常规 2 7 2 4 2 2" xfId="37577"/>
    <cellStyle name="常规 2 7 2 4 2 2 2" xfId="37578"/>
    <cellStyle name="常规 2 7 2 4 3" xfId="37579"/>
    <cellStyle name="常规 2 7 2 4 3 2" xfId="37580"/>
    <cellStyle name="常规 2 7 2 4 3 2 2" xfId="37581"/>
    <cellStyle name="常规 2 7 2 4 4" xfId="37582"/>
    <cellStyle name="常规 2 7 2 4 4 2" xfId="37583"/>
    <cellStyle name="常规 2 7 2 4 4 2 2" xfId="37584"/>
    <cellStyle name="常规 2 7 2 4 5" xfId="37585"/>
    <cellStyle name="常规 2 7 2 4 5 2" xfId="37586"/>
    <cellStyle name="常规 2 7 2 4 5 3" xfId="37587"/>
    <cellStyle name="常规 2 7 2 4 6" xfId="37588"/>
    <cellStyle name="常规 2 7 2 5" xfId="37589"/>
    <cellStyle name="常规 2 7 2 5 2" xfId="37590"/>
    <cellStyle name="常规 2 7 2 5 2 2" xfId="37591"/>
    <cellStyle name="常规 2 7 2 6" xfId="37592"/>
    <cellStyle name="常规 2 7 2 6 2" xfId="37593"/>
    <cellStyle name="常规 2 7 2 6 2 2" xfId="37594"/>
    <cellStyle name="常规 2 7 2 7" xfId="37595"/>
    <cellStyle name="常规 2 7 2 7 2" xfId="37596"/>
    <cellStyle name="常规 2 7 2 7 2 2" xfId="37597"/>
    <cellStyle name="常规 2 7 2 8" xfId="37598"/>
    <cellStyle name="常规 2 7 2 9" xfId="37599"/>
    <cellStyle name="常规 2 7 2 9 2" xfId="37600"/>
    <cellStyle name="常规 2 7 2 9 3" xfId="37601"/>
    <cellStyle name="常规 2 7 3" xfId="37602"/>
    <cellStyle name="常规 2 7 3 2" xfId="37603"/>
    <cellStyle name="常规 2 7 3 2 2" xfId="37604"/>
    <cellStyle name="常规 2 7 3 2 2 2" xfId="37605"/>
    <cellStyle name="常规 2 7 3 2 2 2 2" xfId="37606"/>
    <cellStyle name="常规 2 7 3 2 3" xfId="37607"/>
    <cellStyle name="常规 2 7 3 2 3 2" xfId="37608"/>
    <cellStyle name="常规 2 7 3 2 3 2 2" xfId="37609"/>
    <cellStyle name="常规 2 7 3 2 4" xfId="37610"/>
    <cellStyle name="常规 2 7 3 2 4 2" xfId="37611"/>
    <cellStyle name="常规 2 7 3 2 4 2 2" xfId="37612"/>
    <cellStyle name="常规 2 7 3 2 5" xfId="37613"/>
    <cellStyle name="常规 2 7 3 2 5 2" xfId="37614"/>
    <cellStyle name="常规 2 7 3 2 5 3" xfId="37615"/>
    <cellStyle name="常规 2 7 3 2 6" xfId="37616"/>
    <cellStyle name="常规 2 7 3 3" xfId="37617"/>
    <cellStyle name="常规 2 7 3 3 2" xfId="37618"/>
    <cellStyle name="常规 2 7 3 3 2 2" xfId="37619"/>
    <cellStyle name="常规 2 7 3 3 2 2 2" xfId="37620"/>
    <cellStyle name="常规 2 7 3 3 3" xfId="37621"/>
    <cellStyle name="常规 2 7 3 3 3 2" xfId="37622"/>
    <cellStyle name="常规 2 7 3 3 3 2 2" xfId="37623"/>
    <cellStyle name="常规 2 7 3 3 4" xfId="37624"/>
    <cellStyle name="常规 2 7 3 3 4 2" xfId="37625"/>
    <cellStyle name="常规 2 7 3 3 5" xfId="37626"/>
    <cellStyle name="常规 2 7 3 4" xfId="37627"/>
    <cellStyle name="常规 2 7 3 4 2" xfId="37628"/>
    <cellStyle name="常规 2 7 3 4 2 2" xfId="37629"/>
    <cellStyle name="常规 2 7 3 5" xfId="37630"/>
    <cellStyle name="常规 2 7 3 5 2" xfId="37631"/>
    <cellStyle name="常规 2 7 3 5 2 2" xfId="37632"/>
    <cellStyle name="常规 2 7 3 6" xfId="37633"/>
    <cellStyle name="常规 2 7 3 7" xfId="37634"/>
    <cellStyle name="常规 2 7 3 7 2" xfId="37635"/>
    <cellStyle name="常规 2 7 3 7 3" xfId="37636"/>
    <cellStyle name="常规 2 7 3 8" xfId="37637"/>
    <cellStyle name="常规 2 7 3 8 2" xfId="37638"/>
    <cellStyle name="常规 2 7 4" xfId="37639"/>
    <cellStyle name="常规 2 7 4 2" xfId="37640"/>
    <cellStyle name="常规 2 7 4 2 2" xfId="37641"/>
    <cellStyle name="常规 2 7 4 2 2 2" xfId="37642"/>
    <cellStyle name="常规 2 7 4 2 2 2 2" xfId="37643"/>
    <cellStyle name="常规 2 7 4 2 3" xfId="37644"/>
    <cellStyle name="常规 2 7 4 2 3 2" xfId="37645"/>
    <cellStyle name="常规 2 7 4 2 3 2 2" xfId="37646"/>
    <cellStyle name="常规 2 7 4 2 4" xfId="37647"/>
    <cellStyle name="常规 2 7 4 2 4 2" xfId="37648"/>
    <cellStyle name="常规 2 7 4 2 4 2 2" xfId="37649"/>
    <cellStyle name="常规 2 7 4 2 5" xfId="37650"/>
    <cellStyle name="常规 2 7 4 2 5 2" xfId="37651"/>
    <cellStyle name="常规 2 7 4 2 5 3" xfId="37652"/>
    <cellStyle name="常规 2 7 4 2 6" xfId="37653"/>
    <cellStyle name="常规 2 7 4 3" xfId="37654"/>
    <cellStyle name="常规 2 7 4 3 2" xfId="37655"/>
    <cellStyle name="常规 2 7 4 3 2 2" xfId="37656"/>
    <cellStyle name="常规 2 7 4 4" xfId="37657"/>
    <cellStyle name="常规 2 7 4 4 2" xfId="37658"/>
    <cellStyle name="常规 2 7 4 4 2 2" xfId="37659"/>
    <cellStyle name="常规 2 7 4 5" xfId="37660"/>
    <cellStyle name="常规 2 7 4 5 2" xfId="37661"/>
    <cellStyle name="常规 2 7 4 5 2 2" xfId="37662"/>
    <cellStyle name="常规 2 7 4 6" xfId="37663"/>
    <cellStyle name="常规 2 7 4 7" xfId="37664"/>
    <cellStyle name="常规 2 7 4 7 2" xfId="37665"/>
    <cellStyle name="常规 2 7 4 7 3" xfId="37666"/>
    <cellStyle name="常规 2 7 4 8" xfId="37667"/>
    <cellStyle name="常规 2 7 4 8 2" xfId="37668"/>
    <cellStyle name="常规 2 7 5" xfId="37669"/>
    <cellStyle name="常规 2 7 5 2" xfId="37670"/>
    <cellStyle name="常规 2 7 5 2 2" xfId="37671"/>
    <cellStyle name="常规 2 7 5 2 2 2" xfId="37672"/>
    <cellStyle name="常规 2 7 5 2 2 2 2" xfId="37673"/>
    <cellStyle name="常规 2 7 5 2 3" xfId="37674"/>
    <cellStyle name="常规 2 7 5 2 3 2" xfId="37675"/>
    <cellStyle name="常规 2 7 5 2 3 2 2" xfId="37676"/>
    <cellStyle name="常规 2 7 5 2 4" xfId="37677"/>
    <cellStyle name="常规 2 7 5 2 4 2" xfId="37678"/>
    <cellStyle name="常规 2 7 5 2 5" xfId="37679"/>
    <cellStyle name="常规 2 7 5 3" xfId="37680"/>
    <cellStyle name="常规 2 7 5 3 2" xfId="37681"/>
    <cellStyle name="常规 2 7 5 3 2 2" xfId="37682"/>
    <cellStyle name="常规 2 7 5 4" xfId="37683"/>
    <cellStyle name="常规 2 7 5 4 2" xfId="37684"/>
    <cellStyle name="常规 2 7 5 4 2 2" xfId="37685"/>
    <cellStyle name="常规 2 7 5 5" xfId="37686"/>
    <cellStyle name="常规 2 7 5 5 2" xfId="37687"/>
    <cellStyle name="常规 2 7 5 5 3" xfId="37688"/>
    <cellStyle name="常规 2 7 5 6" xfId="37689"/>
    <cellStyle name="常规 2 7 6" xfId="37690"/>
    <cellStyle name="常规 2 7 6 2" xfId="37691"/>
    <cellStyle name="常规 2 7 6 2 2" xfId="37692"/>
    <cellStyle name="常规 2 7 6 2 2 2" xfId="37693"/>
    <cellStyle name="常规 2 7 6 3" xfId="37694"/>
    <cellStyle name="常规 2 7 6 3 2" xfId="37695"/>
    <cellStyle name="常规 2 7 6 3 2 2" xfId="37696"/>
    <cellStyle name="常规 2 7 6 4" xfId="37697"/>
    <cellStyle name="常规 2 7 6 4 2" xfId="37698"/>
    <cellStyle name="常规 2 7 6 5" xfId="37699"/>
    <cellStyle name="常规 2 7 7" xfId="37700"/>
    <cellStyle name="常规 2 7 7 2" xfId="37701"/>
    <cellStyle name="常规 2 7 7 2 2" xfId="37702"/>
    <cellStyle name="常规 2 7 8" xfId="37703"/>
    <cellStyle name="常规 2 7 8 2" xfId="37704"/>
    <cellStyle name="常规 2 7 8 2 2" xfId="37705"/>
    <cellStyle name="常规 2 7 9" xfId="37706"/>
    <cellStyle name="常规 2 8" xfId="37707"/>
    <cellStyle name="常规 2 8 10" xfId="37708"/>
    <cellStyle name="常规 2 8 10 2" xfId="37709"/>
    <cellStyle name="常规 2 8 2" xfId="37710"/>
    <cellStyle name="常规 2 8 2 2" xfId="37711"/>
    <cellStyle name="常规 2 8 2 2 2" xfId="37712"/>
    <cellStyle name="常规 2 8 2 2 2 2" xfId="37713"/>
    <cellStyle name="常规 2 8 2 2 2 3" xfId="37714"/>
    <cellStyle name="常规 2 8 2 2 2 4" xfId="37715"/>
    <cellStyle name="常规 2 8 2 2 2 5" xfId="37716"/>
    <cellStyle name="常规 2 8 2 2 2 5 2" xfId="37717"/>
    <cellStyle name="常规 2 8 2 2 3" xfId="37718"/>
    <cellStyle name="常规 2 8 2 2 3 2" xfId="37719"/>
    <cellStyle name="常规 2 8 2 2 3 2 2" xfId="37720"/>
    <cellStyle name="常规 2 8 2 2 4" xfId="37721"/>
    <cellStyle name="常规 2 8 2 2 4 2" xfId="37722"/>
    <cellStyle name="常规 2 8 2 2 4 2 2" xfId="37723"/>
    <cellStyle name="常规 2 8 2 2 5" xfId="37724"/>
    <cellStyle name="常规 2 8 2 2 5 2" xfId="37725"/>
    <cellStyle name="常规 2 8 2 2 5 3" xfId="37726"/>
    <cellStyle name="常规 2 8 2 2 6" xfId="37727"/>
    <cellStyle name="常规 2 8 2 2 6 2" xfId="37728"/>
    <cellStyle name="常规 2 8 2 2 7" xfId="37729"/>
    <cellStyle name="常规 2 8 2 3" xfId="37730"/>
    <cellStyle name="常规 2 8 2 3 2" xfId="37731"/>
    <cellStyle name="常规 2 8 2 3 2 2" xfId="37732"/>
    <cellStyle name="常规 2 8 2 3 2 3" xfId="37733"/>
    <cellStyle name="常规 2 8 2 3 2 4" xfId="37734"/>
    <cellStyle name="常规 2 8 2 3 3" xfId="37735"/>
    <cellStyle name="常规 2 8 2 3 4" xfId="37736"/>
    <cellStyle name="常规 2 8 2 3 5" xfId="37737"/>
    <cellStyle name="常规 2 8 2 3 6" xfId="37738"/>
    <cellStyle name="常规 2 8 2 3 6 2" xfId="37739"/>
    <cellStyle name="常规 2 8 2 4" xfId="37740"/>
    <cellStyle name="常规 2 8 2 4 2" xfId="37741"/>
    <cellStyle name="常规 2 8 2 4 3" xfId="37742"/>
    <cellStyle name="常规 2 8 2 4 4" xfId="37743"/>
    <cellStyle name="常规 2 8 2 4 5" xfId="37744"/>
    <cellStyle name="常规 2 8 2 4 5 2" xfId="37745"/>
    <cellStyle name="常规 2 8 2 5" xfId="37746"/>
    <cellStyle name="常规 2 8 2 5 2" xfId="37747"/>
    <cellStyle name="常规 2 8 2 5 2 2" xfId="37748"/>
    <cellStyle name="常规 2 8 2 6" xfId="37749"/>
    <cellStyle name="常规 2 8 2 6 2" xfId="37750"/>
    <cellStyle name="常规 2 8 2 6 2 2" xfId="37751"/>
    <cellStyle name="常规 2 8 2 7" xfId="37752"/>
    <cellStyle name="常规 2 8 2 7 2" xfId="37753"/>
    <cellStyle name="常规 2 8 2 7 2 2" xfId="37754"/>
    <cellStyle name="常规 2 8 2 8" xfId="37755"/>
    <cellStyle name="常规 2 8 2 8 2" xfId="37756"/>
    <cellStyle name="常规 2 8 2 8 3" xfId="37757"/>
    <cellStyle name="常规 2 8 2 9" xfId="37758"/>
    <cellStyle name="常规 2 8 3" xfId="37759"/>
    <cellStyle name="常规 2 8 3 2" xfId="37760"/>
    <cellStyle name="常规 2 8 3 2 2" xfId="37761"/>
    <cellStyle name="常规 2 8 3 2 2 2" xfId="37762"/>
    <cellStyle name="常规 2 8 3 2 2 2 2" xfId="37763"/>
    <cellStyle name="常规 2 8 3 2 3" xfId="37764"/>
    <cellStyle name="常规 2 8 3 2 3 2" xfId="37765"/>
    <cellStyle name="常规 2 8 3 2 3 2 2" xfId="37766"/>
    <cellStyle name="常规 2 8 3 2 4" xfId="37767"/>
    <cellStyle name="常规 2 8 3 2 4 2" xfId="37768"/>
    <cellStyle name="常规 2 8 3 2 4 2 2" xfId="37769"/>
    <cellStyle name="常规 2 8 3 2 5" xfId="37770"/>
    <cellStyle name="常规 2 8 3 2 5 2" xfId="37771"/>
    <cellStyle name="常规 2 8 3 2 5 3" xfId="37772"/>
    <cellStyle name="常规 2 8 3 2 6" xfId="37773"/>
    <cellStyle name="常规 2 8 3 3" xfId="37774"/>
    <cellStyle name="常规 2 8 3 3 2" xfId="37775"/>
    <cellStyle name="常规 2 8 3 3 2 2" xfId="37776"/>
    <cellStyle name="常规 2 8 3 3 2 2 2" xfId="37777"/>
    <cellStyle name="常规 2 8 3 3 3" xfId="37778"/>
    <cellStyle name="常规 2 8 3 3 3 2" xfId="37779"/>
    <cellStyle name="常规 2 8 3 3 3 2 2" xfId="37780"/>
    <cellStyle name="常规 2 8 3 3 4" xfId="37781"/>
    <cellStyle name="常规 2 8 3 3 4 2" xfId="37782"/>
    <cellStyle name="常规 2 8 3 3 5" xfId="37783"/>
    <cellStyle name="常规 2 8 3 4" xfId="37784"/>
    <cellStyle name="常规 2 8 3 4 2" xfId="37785"/>
    <cellStyle name="常规 2 8 3 4 2 2" xfId="37786"/>
    <cellStyle name="常规 2 8 3 5" xfId="37787"/>
    <cellStyle name="常规 2 8 3 5 2" xfId="37788"/>
    <cellStyle name="常规 2 8 3 5 2 2" xfId="37789"/>
    <cellStyle name="常规 2 8 3 6" xfId="37790"/>
    <cellStyle name="常规 2 8 3 7" xfId="37791"/>
    <cellStyle name="常规 2 8 3 7 2" xfId="37792"/>
    <cellStyle name="常规 2 8 3 7 3" xfId="37793"/>
    <cellStyle name="常规 2 8 3 8" xfId="37794"/>
    <cellStyle name="常规 2 8 3 8 2" xfId="37795"/>
    <cellStyle name="常规 2 8 4" xfId="37796"/>
    <cellStyle name="常规 2 8 4 2" xfId="37797"/>
    <cellStyle name="常规 2 8 4 2 2" xfId="37798"/>
    <cellStyle name="常规 2 8 4 2 3" xfId="37799"/>
    <cellStyle name="常规 2 8 4 2 4" xfId="37800"/>
    <cellStyle name="常规 2 8 4 2 5" xfId="37801"/>
    <cellStyle name="常规 2 8 4 2 5 2" xfId="37802"/>
    <cellStyle name="常规 2 8 4 3" xfId="37803"/>
    <cellStyle name="常规 2 8 4 3 2" xfId="37804"/>
    <cellStyle name="常规 2 8 4 3 2 2" xfId="37805"/>
    <cellStyle name="常规 2 8 4 4" xfId="37806"/>
    <cellStyle name="常规 2 8 4 4 2" xfId="37807"/>
    <cellStyle name="常规 2 8 4 4 2 2" xfId="37808"/>
    <cellStyle name="常规 2 8 4 5" xfId="37809"/>
    <cellStyle name="常规 2 8 4 5 2" xfId="37810"/>
    <cellStyle name="常规 2 8 4 5 3" xfId="37811"/>
    <cellStyle name="常规 2 8 4 6" xfId="37812"/>
    <cellStyle name="常规 2 8 4 6 2" xfId="37813"/>
    <cellStyle name="常规 2 8 4 7" xfId="37814"/>
    <cellStyle name="常规 2 8 5" xfId="37815"/>
    <cellStyle name="常规 2 8 5 2" xfId="37816"/>
    <cellStyle name="常规 2 8 5 3" xfId="37817"/>
    <cellStyle name="常规 2 8 5 4" xfId="37818"/>
    <cellStyle name="常规 2 8 5 5" xfId="37819"/>
    <cellStyle name="常规 2 8 5 5 2" xfId="37820"/>
    <cellStyle name="常规 2 8 6" xfId="37821"/>
    <cellStyle name="常规 2 8 6 2" xfId="37822"/>
    <cellStyle name="常规 2 8 6 2 2" xfId="37823"/>
    <cellStyle name="常规 2 8 7" xfId="37824"/>
    <cellStyle name="常规 2 8 7 2" xfId="37825"/>
    <cellStyle name="常规 2 8 7 2 2" xfId="37826"/>
    <cellStyle name="常规 2 8 8" xfId="37827"/>
    <cellStyle name="常规 2 8 8 2" xfId="37828"/>
    <cellStyle name="常规 2 8 8 2 2" xfId="37829"/>
    <cellStyle name="常规 2 8 9" xfId="37830"/>
    <cellStyle name="常规 2 8 9 2" xfId="37831"/>
    <cellStyle name="常规 2 8 9 3" xfId="37832"/>
    <cellStyle name="常规 2 9" xfId="37833"/>
    <cellStyle name="常规 2 9 10" xfId="37834"/>
    <cellStyle name="常规 2 9 10 2" xfId="37835"/>
    <cellStyle name="常规 2 9 2" xfId="37836"/>
    <cellStyle name="常规 2 9 2 2" xfId="37837"/>
    <cellStyle name="常规 2 9 2 2 2" xfId="37838"/>
    <cellStyle name="常规 2 9 2 2 2 2" xfId="37839"/>
    <cellStyle name="常规 2 9 2 2 2 2 2" xfId="37840"/>
    <cellStyle name="常规 2 9 2 2 2 2 2 2" xfId="37841"/>
    <cellStyle name="常规 2 9 2 2 2 3" xfId="37842"/>
    <cellStyle name="常规 2 9 2 2 2 3 2" xfId="37843"/>
    <cellStyle name="常规 2 9 2 2 2 3 2 2" xfId="37844"/>
    <cellStyle name="常规 2 9 2 2 2 4" xfId="37845"/>
    <cellStyle name="常规 2 9 2 2 2 4 2" xfId="37846"/>
    <cellStyle name="常规 2 9 2 2 2 4 2 2" xfId="37847"/>
    <cellStyle name="常规 2 9 2 2 2 5" xfId="37848"/>
    <cellStyle name="常规 2 9 2 2 2 5 2" xfId="37849"/>
    <cellStyle name="常规 2 9 2 2 2 5 3" xfId="37850"/>
    <cellStyle name="常规 2 9 2 2 2 6" xfId="37851"/>
    <cellStyle name="常规 2 9 2 2 3" xfId="37852"/>
    <cellStyle name="常规 2 9 2 2 3 2" xfId="37853"/>
    <cellStyle name="常规 2 9 2 2 3 2 2" xfId="37854"/>
    <cellStyle name="常规 2 9 2 2 3 2 2 2" xfId="37855"/>
    <cellStyle name="常规 2 9 2 2 3 3" xfId="37856"/>
    <cellStyle name="常规 2 9 2 2 3 3 2" xfId="37857"/>
    <cellStyle name="常规 2 9 2 2 3 3 2 2" xfId="37858"/>
    <cellStyle name="常规 2 9 2 2 3 4" xfId="37859"/>
    <cellStyle name="常规 2 9 2 2 3 4 2" xfId="37860"/>
    <cellStyle name="常规 2 9 2 2 3 5" xfId="37861"/>
    <cellStyle name="常规 2 9 2 2 4" xfId="37862"/>
    <cellStyle name="常规 2 9 2 2 4 2" xfId="37863"/>
    <cellStyle name="常规 2 9 2 2 4 2 2" xfId="37864"/>
    <cellStyle name="常规 2 9 2 2 5" xfId="37865"/>
    <cellStyle name="常规 2 9 2 2 5 2" xfId="37866"/>
    <cellStyle name="常规 2 9 2 2 5 2 2" xfId="37867"/>
    <cellStyle name="常规 2 9 2 2 6" xfId="37868"/>
    <cellStyle name="常规 2 9 2 2 7" xfId="37869"/>
    <cellStyle name="常规 2 9 2 2 7 2" xfId="37870"/>
    <cellStyle name="常规 2 9 2 2 7 3" xfId="37871"/>
    <cellStyle name="常规 2 9 2 2 8" xfId="37872"/>
    <cellStyle name="常规 2 9 2 2 8 2" xfId="37873"/>
    <cellStyle name="常规 2 9 2 3" xfId="37874"/>
    <cellStyle name="常规 2 9 2 3 2" xfId="37875"/>
    <cellStyle name="常规 2 9 2 3 2 2" xfId="37876"/>
    <cellStyle name="常规 2 9 2 3 2 3" xfId="37877"/>
    <cellStyle name="常规 2 9 2 3 2 4" xfId="37878"/>
    <cellStyle name="常规 2 9 2 3 2 5" xfId="37879"/>
    <cellStyle name="常规 2 9 2 3 2 5 2" xfId="37880"/>
    <cellStyle name="常规 2 9 2 3 3" xfId="37881"/>
    <cellStyle name="常规 2 9 2 3 3 2" xfId="37882"/>
    <cellStyle name="常规 2 9 2 3 3 2 2" xfId="37883"/>
    <cellStyle name="常规 2 9 2 3 4" xfId="37884"/>
    <cellStyle name="常规 2 9 2 3 4 2" xfId="37885"/>
    <cellStyle name="常规 2 9 2 3 4 2 2" xfId="37886"/>
    <cellStyle name="常规 2 9 2 3 5" xfId="37887"/>
    <cellStyle name="常规 2 9 2 3 5 2" xfId="37888"/>
    <cellStyle name="常规 2 9 2 3 5 3" xfId="37889"/>
    <cellStyle name="常规 2 9 2 3 6" xfId="37890"/>
    <cellStyle name="常规 2 9 2 3 6 2" xfId="37891"/>
    <cellStyle name="常规 2 9 2 3 7" xfId="37892"/>
    <cellStyle name="常规 2 9 2 4" xfId="37893"/>
    <cellStyle name="常规 2 9 2 4 2" xfId="37894"/>
    <cellStyle name="常规 2 9 2 4 3" xfId="37895"/>
    <cellStyle name="常规 2 9 2 4 4" xfId="37896"/>
    <cellStyle name="常规 2 9 2 4 5" xfId="37897"/>
    <cellStyle name="常规 2 9 2 4 5 2" xfId="37898"/>
    <cellStyle name="常规 2 9 2 5" xfId="37899"/>
    <cellStyle name="常规 2 9 2 5 2" xfId="37900"/>
    <cellStyle name="常规 2 9 2 5 2 2" xfId="37901"/>
    <cellStyle name="常规 2 9 2 6" xfId="37902"/>
    <cellStyle name="常规 2 9 2 6 2" xfId="37903"/>
    <cellStyle name="常规 2 9 2 6 2 2" xfId="37904"/>
    <cellStyle name="常规 2 9 2 7" xfId="37905"/>
    <cellStyle name="常规 2 9 2 7 2" xfId="37906"/>
    <cellStyle name="常规 2 9 2 7 2 2" xfId="37907"/>
    <cellStyle name="常规 2 9 2 8" xfId="37908"/>
    <cellStyle name="常规 2 9 2 8 2" xfId="37909"/>
    <cellStyle name="常规 2 9 2 8 3" xfId="37910"/>
    <cellStyle name="常规 2 9 2 9" xfId="37911"/>
    <cellStyle name="常规 2 9 2 9 2" xfId="37912"/>
    <cellStyle name="常规 2 9 3" xfId="37913"/>
    <cellStyle name="常规 2 9 3 2" xfId="37914"/>
    <cellStyle name="常规 2 9 3 2 2" xfId="37915"/>
    <cellStyle name="常规 2 9 3 2 2 2" xfId="37916"/>
    <cellStyle name="常规 2 9 3 2 2 2 2" xfId="37917"/>
    <cellStyle name="常规 2 9 3 2 3" xfId="37918"/>
    <cellStyle name="常规 2 9 3 2 3 2" xfId="37919"/>
    <cellStyle name="常规 2 9 3 2 3 2 2" xfId="37920"/>
    <cellStyle name="常规 2 9 3 2 4" xfId="37921"/>
    <cellStyle name="常规 2 9 3 2 4 2" xfId="37922"/>
    <cellStyle name="常规 2 9 3 2 4 2 2" xfId="37923"/>
    <cellStyle name="常规 2 9 3 2 5" xfId="37924"/>
    <cellStyle name="常规 2 9 3 2 5 2" xfId="37925"/>
    <cellStyle name="常规 2 9 3 2 5 3" xfId="37926"/>
    <cellStyle name="常规 2 9 3 2 6" xfId="37927"/>
    <cellStyle name="常规 2 9 3 3" xfId="37928"/>
    <cellStyle name="常规 2 9 3 3 2" xfId="37929"/>
    <cellStyle name="常规 2 9 3 3 2 2" xfId="37930"/>
    <cellStyle name="常规 2 9 3 3 2 2 2" xfId="37931"/>
    <cellStyle name="常规 2 9 3 3 3" xfId="37932"/>
    <cellStyle name="常规 2 9 3 3 3 2" xfId="37933"/>
    <cellStyle name="常规 2 9 3 3 3 2 2" xfId="37934"/>
    <cellStyle name="常规 2 9 3 3 4" xfId="37935"/>
    <cellStyle name="常规 2 9 3 3 4 2" xfId="37936"/>
    <cellStyle name="常规 2 9 3 3 5" xfId="37937"/>
    <cellStyle name="常规 2 9 3 4" xfId="37938"/>
    <cellStyle name="常规 2 9 3 4 2" xfId="37939"/>
    <cellStyle name="常规 2 9 3 4 2 2" xfId="37940"/>
    <cellStyle name="常规 2 9 3 5" xfId="37941"/>
    <cellStyle name="常规 2 9 3 5 2" xfId="37942"/>
    <cellStyle name="常规 2 9 3 5 2 2" xfId="37943"/>
    <cellStyle name="常规 2 9 3 6" xfId="37944"/>
    <cellStyle name="常规 2 9 3 7" xfId="37945"/>
    <cellStyle name="常规 2 9 3 7 2" xfId="37946"/>
    <cellStyle name="常规 2 9 3 7 3" xfId="37947"/>
    <cellStyle name="常规 2 9 3 8" xfId="37948"/>
    <cellStyle name="常规 2 9 3 8 2" xfId="37949"/>
    <cellStyle name="常规 2 9 4" xfId="37950"/>
    <cellStyle name="常规 2 9 4 2" xfId="37951"/>
    <cellStyle name="常规 2 9 4 2 2" xfId="37952"/>
    <cellStyle name="常规 2 9 4 2 3" xfId="37953"/>
    <cellStyle name="常规 2 9 4 2 4" xfId="37954"/>
    <cellStyle name="常规 2 9 4 2 5" xfId="37955"/>
    <cellStyle name="常规 2 9 4 2 5 2" xfId="37956"/>
    <cellStyle name="常规 2 9 4 3" xfId="37957"/>
    <cellStyle name="常规 2 9 4 3 2" xfId="37958"/>
    <cellStyle name="常规 2 9 4 3 2 2" xfId="37959"/>
    <cellStyle name="常规 2 9 4 4" xfId="37960"/>
    <cellStyle name="常规 2 9 4 4 2" xfId="37961"/>
    <cellStyle name="常规 2 9 4 4 2 2" xfId="37962"/>
    <cellStyle name="常规 2 9 4 5" xfId="37963"/>
    <cellStyle name="常规 2 9 4 5 2" xfId="37964"/>
    <cellStyle name="常规 2 9 4 5 3" xfId="37965"/>
    <cellStyle name="常规 2 9 4 6" xfId="37966"/>
    <cellStyle name="常规 2 9 4 6 2" xfId="37967"/>
    <cellStyle name="常规 2 9 4 7" xfId="37968"/>
    <cellStyle name="常规 2 9 5" xfId="37969"/>
    <cellStyle name="常规 2 9 5 2" xfId="37970"/>
    <cellStyle name="常规 2 9 5 3" xfId="37971"/>
    <cellStyle name="常规 2 9 5 4" xfId="37972"/>
    <cellStyle name="常规 2 9 5 5" xfId="37973"/>
    <cellStyle name="常规 2 9 5 5 2" xfId="37974"/>
    <cellStyle name="常规 2 9 6" xfId="37975"/>
    <cellStyle name="常规 2 9 6 2" xfId="37976"/>
    <cellStyle name="常规 2 9 6 2 2" xfId="37977"/>
    <cellStyle name="常规 2 9 7" xfId="37978"/>
    <cellStyle name="常规 2 9 7 2" xfId="37979"/>
    <cellStyle name="常规 2 9 7 2 2" xfId="37980"/>
    <cellStyle name="常规 2 9 8" xfId="37981"/>
    <cellStyle name="常规 2 9 8 2" xfId="37982"/>
    <cellStyle name="常规 2 9 8 2 2" xfId="37983"/>
    <cellStyle name="常规 2 9 9" xfId="37984"/>
    <cellStyle name="常规 2 9 9 2" xfId="37985"/>
    <cellStyle name="常规 2 9 9 3" xfId="37986"/>
    <cellStyle name="常规 20" xfId="37987"/>
    <cellStyle name="常规 20 2" xfId="37988"/>
    <cellStyle name="常规 20 3" xfId="37989"/>
    <cellStyle name="常规 20 3 2" xfId="37990"/>
    <cellStyle name="常规 20 3 2 2" xfId="37991"/>
    <cellStyle name="常规 20 3 3" xfId="37992"/>
    <cellStyle name="常规 20 4" xfId="37993"/>
    <cellStyle name="常规 20 4 2" xfId="37994"/>
    <cellStyle name="常规 20 4 2 2" xfId="37995"/>
    <cellStyle name="常规 20 5" xfId="37996"/>
    <cellStyle name="常规 20 5 2" xfId="37997"/>
    <cellStyle name="常规 20 6" xfId="37998"/>
    <cellStyle name="常规 21" xfId="37999"/>
    <cellStyle name="常规 21 2" xfId="38000"/>
    <cellStyle name="常规 21 2 2" xfId="38001"/>
    <cellStyle name="常规 22" xfId="38002"/>
    <cellStyle name="常规 22 10" xfId="38003"/>
    <cellStyle name="常规 22 10 2" xfId="38004"/>
    <cellStyle name="常规 22 11" xfId="38005"/>
    <cellStyle name="常规 22 11 2" xfId="38006"/>
    <cellStyle name="常规 22 12" xfId="38007"/>
    <cellStyle name="常规 22 12 2" xfId="38008"/>
    <cellStyle name="常规 22 13" xfId="38009"/>
    <cellStyle name="常规 22 14" xfId="38010"/>
    <cellStyle name="常规 22 2" xfId="38011"/>
    <cellStyle name="常规 22 2 10" xfId="38012"/>
    <cellStyle name="常规 22 2 11" xfId="38013"/>
    <cellStyle name="常规 22 2 2" xfId="38014"/>
    <cellStyle name="常规 22 2 2 2" xfId="38015"/>
    <cellStyle name="常规 22 2 2 3" xfId="38016"/>
    <cellStyle name="常规 22 2 3" xfId="38017"/>
    <cellStyle name="常规 22 2 3 2" xfId="38018"/>
    <cellStyle name="常规 22 2 3 3" xfId="38019"/>
    <cellStyle name="常规 22 2 4" xfId="38020"/>
    <cellStyle name="常规 22 2 4 2" xfId="38021"/>
    <cellStyle name="常规 22 2 4 3" xfId="38022"/>
    <cellStyle name="常规 22 2 5" xfId="38023"/>
    <cellStyle name="常规 22 2 5 2" xfId="38024"/>
    <cellStyle name="常规 22 2 6" xfId="38025"/>
    <cellStyle name="常规 22 2 6 2" xfId="38026"/>
    <cellStyle name="常规 22 2 7" xfId="38027"/>
    <cellStyle name="常规 22 2 7 2" xfId="38028"/>
    <cellStyle name="常规 22 2 8" xfId="38029"/>
    <cellStyle name="常规 22 2 8 2" xfId="38030"/>
    <cellStyle name="常规 22 2 9" xfId="38031"/>
    <cellStyle name="常规 22 2 9 2" xfId="38032"/>
    <cellStyle name="常规 22 3" xfId="38033"/>
    <cellStyle name="常规 22 3 2" xfId="38034"/>
    <cellStyle name="常规 22 3 2 2" xfId="38035"/>
    <cellStyle name="常规 22 3 3" xfId="38036"/>
    <cellStyle name="常规 22 3 3 2" xfId="38037"/>
    <cellStyle name="常规 22 3 4" xfId="38038"/>
    <cellStyle name="常规 22 3 5" xfId="38039"/>
    <cellStyle name="常规 22 4" xfId="38040"/>
    <cellStyle name="常规 22 4 2" xfId="38041"/>
    <cellStyle name="常规 22 4 2 2" xfId="38042"/>
    <cellStyle name="常规 22 4 3" xfId="38043"/>
    <cellStyle name="常规 22 4 4" xfId="38044"/>
    <cellStyle name="常规 22 5" xfId="38045"/>
    <cellStyle name="常规 22 5 2" xfId="38046"/>
    <cellStyle name="常规 22 5 2 2" xfId="38047"/>
    <cellStyle name="常规 22 5 3" xfId="38048"/>
    <cellStyle name="常规 22 5 4" xfId="38049"/>
    <cellStyle name="常规 22 6" xfId="38050"/>
    <cellStyle name="常规 22 6 2" xfId="38051"/>
    <cellStyle name="常规 22 6 3" xfId="38052"/>
    <cellStyle name="常规 22 7" xfId="38053"/>
    <cellStyle name="常规 22 7 2" xfId="38054"/>
    <cellStyle name="常规 22 7 3" xfId="38055"/>
    <cellStyle name="常规 22 8" xfId="38056"/>
    <cellStyle name="常规 22 8 2" xfId="38057"/>
    <cellStyle name="常规 22 9" xfId="38058"/>
    <cellStyle name="常规 22 9 2" xfId="38059"/>
    <cellStyle name="常规 23" xfId="38060"/>
    <cellStyle name="常规 23 2" xfId="38061"/>
    <cellStyle name="常规 24" xfId="38062"/>
    <cellStyle name="常规 24 2" xfId="38063"/>
    <cellStyle name="常规 24 3" xfId="38064"/>
    <cellStyle name="常规 29" xfId="38065"/>
    <cellStyle name="常规 3" xfId="38066"/>
    <cellStyle name="常规 3 10" xfId="38067"/>
    <cellStyle name="常规 3 10 2" xfId="38068"/>
    <cellStyle name="常规 3 10 2 2" xfId="38069"/>
    <cellStyle name="常规 3 10 2 3" xfId="38070"/>
    <cellStyle name="常规 3 10 2 4" xfId="38071"/>
    <cellStyle name="常规 3 10 2 4 2" xfId="38072"/>
    <cellStyle name="常规 3 10 2 4 3" xfId="38073"/>
    <cellStyle name="常规 3 10 2 5" xfId="38074"/>
    <cellStyle name="常规 3 10 2 5 2" xfId="38075"/>
    <cellStyle name="常规 3 10 3" xfId="38076"/>
    <cellStyle name="常规 3 10 3 2" xfId="38077"/>
    <cellStyle name="常规 3 10 3 2 2" xfId="38078"/>
    <cellStyle name="常规 3 10 4" xfId="38079"/>
    <cellStyle name="常规 3 10 4 2" xfId="38080"/>
    <cellStyle name="常规 3 10 4 2 2" xfId="38081"/>
    <cellStyle name="常规 3 10 5" xfId="38082"/>
    <cellStyle name="常规 3 10 6" xfId="38083"/>
    <cellStyle name="常规 3 10 7" xfId="38084"/>
    <cellStyle name="常规 3 10 7 2" xfId="38085"/>
    <cellStyle name="常规 3 10 7 3" xfId="38086"/>
    <cellStyle name="常规 3 10 8" xfId="38087"/>
    <cellStyle name="常规 3 10 8 2" xfId="38088"/>
    <cellStyle name="常规 3 11" xfId="38089"/>
    <cellStyle name="常规 3 11 2" xfId="38090"/>
    <cellStyle name="常规 3 11 2 2" xfId="38091"/>
    <cellStyle name="常规 3 11 2 3" xfId="38092"/>
    <cellStyle name="常规 3 11 2 4" xfId="38093"/>
    <cellStyle name="常规 3 11 2 4 2" xfId="38094"/>
    <cellStyle name="常规 3 11 2 5" xfId="38095"/>
    <cellStyle name="常规 3 11 2 5 2" xfId="38096"/>
    <cellStyle name="常规 3 11 3" xfId="38097"/>
    <cellStyle name="常规 3 11 4" xfId="38098"/>
    <cellStyle name="常规 3 11 5" xfId="38099"/>
    <cellStyle name="常规 3 11 6" xfId="38100"/>
    <cellStyle name="常规 3 11 7" xfId="38101"/>
    <cellStyle name="常规 3 11 7 2" xfId="38102"/>
    <cellStyle name="常规 3 11 7 3" xfId="38103"/>
    <cellStyle name="常规 3 11 8" xfId="38104"/>
    <cellStyle name="常规 3 11 8 2" xfId="38105"/>
    <cellStyle name="常规 3 12" xfId="38106"/>
    <cellStyle name="常规 3 12 2" xfId="38107"/>
    <cellStyle name="常规 3 12 2 2" xfId="38108"/>
    <cellStyle name="常规 3 12 2 3" xfId="38109"/>
    <cellStyle name="常规 3 12 2 4" xfId="38110"/>
    <cellStyle name="常规 3 12 2 4 2" xfId="38111"/>
    <cellStyle name="常规 3 12 2 5" xfId="38112"/>
    <cellStyle name="常规 3 12 2 5 2" xfId="38113"/>
    <cellStyle name="常规 3 12 3" xfId="38114"/>
    <cellStyle name="常规 3 12 4" xfId="38115"/>
    <cellStyle name="常规 3 12 5" xfId="38116"/>
    <cellStyle name="常规 3 12 6" xfId="38117"/>
    <cellStyle name="常规 3 12 6 2" xfId="38118"/>
    <cellStyle name="常规 3 12 6 3" xfId="38119"/>
    <cellStyle name="常规 3 12 7" xfId="38120"/>
    <cellStyle name="常规 3 12 7 2" xfId="38121"/>
    <cellStyle name="常规 3 13" xfId="38122"/>
    <cellStyle name="常规 3 13 2" xfId="38123"/>
    <cellStyle name="常规 3 13 2 2" xfId="38124"/>
    <cellStyle name="常规 3 13 2 3" xfId="38125"/>
    <cellStyle name="常规 3 13 2 4" xfId="38126"/>
    <cellStyle name="常规 3 13 2 4 2" xfId="38127"/>
    <cellStyle name="常规 3 13 2 5" xfId="38128"/>
    <cellStyle name="常规 3 13 2 5 2" xfId="38129"/>
    <cellStyle name="常规 3 13 3" xfId="38130"/>
    <cellStyle name="常规 3 13 4" xfId="38131"/>
    <cellStyle name="常规 3 13 5" xfId="38132"/>
    <cellStyle name="常规 3 13 6" xfId="38133"/>
    <cellStyle name="常规 3 13 6 2" xfId="38134"/>
    <cellStyle name="常规 3 13 6 3" xfId="38135"/>
    <cellStyle name="常规 3 13 7" xfId="38136"/>
    <cellStyle name="常规 3 13 7 2" xfId="38137"/>
    <cellStyle name="常规 3 14" xfId="38138"/>
    <cellStyle name="常规 3 14 2" xfId="38139"/>
    <cellStyle name="常规 3 14 2 2" xfId="38140"/>
    <cellStyle name="常规 3 14 2 2 2" xfId="38141"/>
    <cellStyle name="常规 3 14 2 2 2 2" xfId="38142"/>
    <cellStyle name="常规 3 14 2 3" xfId="38143"/>
    <cellStyle name="常规 3 14 2 3 2" xfId="38144"/>
    <cellStyle name="常规 3 14 2 4" xfId="38145"/>
    <cellStyle name="常规 3 14 2 4 2" xfId="38146"/>
    <cellStyle name="常规 3 14 2 5" xfId="38147"/>
    <cellStyle name="常规 3 14 3" xfId="38148"/>
    <cellStyle name="常规 3 14 4" xfId="38149"/>
    <cellStyle name="常规 3 14 4 2" xfId="38150"/>
    <cellStyle name="常规 3 14 4 3" xfId="38151"/>
    <cellStyle name="常规 3 14 5" xfId="38152"/>
    <cellStyle name="常规 3 14 5 2" xfId="38153"/>
    <cellStyle name="常规 3 15" xfId="38154"/>
    <cellStyle name="常规 3 15 2" xfId="38155"/>
    <cellStyle name="常规 3 15 2 2" xfId="38156"/>
    <cellStyle name="常规 3 15 2 2 2" xfId="38157"/>
    <cellStyle name="常规 3 15 2 2 2 2" xfId="38158"/>
    <cellStyle name="常规 3 15 2 3" xfId="38159"/>
    <cellStyle name="常规 3 15 2 3 2" xfId="38160"/>
    <cellStyle name="常规 3 15 2 4" xfId="38161"/>
    <cellStyle name="常规 3 15 2 4 2" xfId="38162"/>
    <cellStyle name="常规 3 15 2 5" xfId="38163"/>
    <cellStyle name="常规 3 15 3" xfId="38164"/>
    <cellStyle name="常规 3 15 3 2" xfId="38165"/>
    <cellStyle name="常规 3 15 3 2 2" xfId="38166"/>
    <cellStyle name="常规 3 15 4" xfId="38167"/>
    <cellStyle name="常规 3 15 4 2" xfId="38168"/>
    <cellStyle name="常规 3 15 4 2 2" xfId="38169"/>
    <cellStyle name="常规 3 15 5" xfId="38170"/>
    <cellStyle name="常规 3 15 5 2" xfId="38171"/>
    <cellStyle name="常规 3 15 6" xfId="38172"/>
    <cellStyle name="常规 3 16" xfId="38173"/>
    <cellStyle name="常规 3 16 2" xfId="38174"/>
    <cellStyle name="常规 3 16 2 2" xfId="38175"/>
    <cellStyle name="常规 3 16 2 2 2" xfId="38176"/>
    <cellStyle name="常规 3 16 2 2 2 2" xfId="38177"/>
    <cellStyle name="常规 3 16 2 3" xfId="38178"/>
    <cellStyle name="常规 3 16 2 3 2" xfId="38179"/>
    <cellStyle name="常规 3 16 2 4" xfId="38180"/>
    <cellStyle name="常规 3 16 2 4 2" xfId="38181"/>
    <cellStyle name="常规 3 16 2 5" xfId="38182"/>
    <cellStyle name="常规 3 16 3" xfId="38183"/>
    <cellStyle name="常规 3 16 3 2" xfId="38184"/>
    <cellStyle name="常规 3 16 3 2 2" xfId="38185"/>
    <cellStyle name="常规 3 16 4" xfId="38186"/>
    <cellStyle name="常规 3 16 4 2" xfId="38187"/>
    <cellStyle name="常规 3 16 5" xfId="38188"/>
    <cellStyle name="常规 3 16 5 2" xfId="38189"/>
    <cellStyle name="常规 3 16 6" xfId="38190"/>
    <cellStyle name="常规 3 17" xfId="38191"/>
    <cellStyle name="常规 3 17 2" xfId="38192"/>
    <cellStyle name="常规 3 17 2 2" xfId="38193"/>
    <cellStyle name="常规 3 17 2 2 2" xfId="38194"/>
    <cellStyle name="常规 3 17 3" xfId="38195"/>
    <cellStyle name="常规 3 17 3 2" xfId="38196"/>
    <cellStyle name="常规 3 17 4" xfId="38197"/>
    <cellStyle name="常规 3 17 4 2" xfId="38198"/>
    <cellStyle name="常规 3 17 5" xfId="38199"/>
    <cellStyle name="常规 3 18" xfId="38200"/>
    <cellStyle name="常规 3 19" xfId="38201"/>
    <cellStyle name="常规 3 19 2" xfId="38202"/>
    <cellStyle name="常规 3 19 2 2" xfId="38203"/>
    <cellStyle name="常规 3 19 3" xfId="38204"/>
    <cellStyle name="常规 3 19 3 2" xfId="38205"/>
    <cellStyle name="常规 3 19 3 3" xfId="38206"/>
    <cellStyle name="常规 3 19 4" xfId="38207"/>
    <cellStyle name="常规 3 19 5" xfId="38208"/>
    <cellStyle name="常规 3 2" xfId="38209"/>
    <cellStyle name="常规 3 2 10" xfId="38210"/>
    <cellStyle name="常规 3 2 10 2" xfId="38211"/>
    <cellStyle name="常规 3 2 10 2 2" xfId="38212"/>
    <cellStyle name="常规 3 2 10 2 2 2" xfId="38213"/>
    <cellStyle name="常规 3 2 10 2 2 2 2" xfId="38214"/>
    <cellStyle name="常规 3 2 10 2 3" xfId="38215"/>
    <cellStyle name="常规 3 2 10 2 3 2" xfId="38216"/>
    <cellStyle name="常规 3 2 10 2 4" xfId="38217"/>
    <cellStyle name="常规 3 2 10 2 4 2" xfId="38218"/>
    <cellStyle name="常规 3 2 10 2 5" xfId="38219"/>
    <cellStyle name="常规 3 2 10 3" xfId="38220"/>
    <cellStyle name="常规 3 2 10 3 2" xfId="38221"/>
    <cellStyle name="常规 3 2 10 3 2 2" xfId="38222"/>
    <cellStyle name="常规 3 2 10 4" xfId="38223"/>
    <cellStyle name="常规 3 2 10 4 2" xfId="38224"/>
    <cellStyle name="常规 3 2 10 5" xfId="38225"/>
    <cellStyle name="常规 3 2 10 5 2" xfId="38226"/>
    <cellStyle name="常规 3 2 10 6" xfId="38227"/>
    <cellStyle name="常规 3 2 11" xfId="38228"/>
    <cellStyle name="常规 3 2 11 2" xfId="38229"/>
    <cellStyle name="常规 3 2 11 2 2" xfId="38230"/>
    <cellStyle name="常规 3 2 11 2 2 2" xfId="38231"/>
    <cellStyle name="常规 3 2 11 3" xfId="38232"/>
    <cellStyle name="常规 3 2 11 3 2" xfId="38233"/>
    <cellStyle name="常规 3 2 11 4" xfId="38234"/>
    <cellStyle name="常规 3 2 11 4 2" xfId="38235"/>
    <cellStyle name="常规 3 2 11 5" xfId="38236"/>
    <cellStyle name="常规 3 2 12" xfId="38237"/>
    <cellStyle name="常规 3 2 13" xfId="38238"/>
    <cellStyle name="常规 3 2 13 2" xfId="38239"/>
    <cellStyle name="常规 3 2 13 2 2" xfId="38240"/>
    <cellStyle name="常规 3 2 13 3" xfId="38241"/>
    <cellStyle name="常规 3 2 13 3 2" xfId="38242"/>
    <cellStyle name="常规 3 2 14" xfId="38243"/>
    <cellStyle name="常规 3 2 14 2" xfId="38244"/>
    <cellStyle name="常规 3 2 2" xfId="38245"/>
    <cellStyle name="常规 3 2 2 10" xfId="38246"/>
    <cellStyle name="常规 3 2 2 2" xfId="38247"/>
    <cellStyle name="常规 3 2 2 2 2" xfId="38248"/>
    <cellStyle name="常规 3 2 2 2 2 2" xfId="38249"/>
    <cellStyle name="常规 3 2 2 2 2 2 2" xfId="38250"/>
    <cellStyle name="常规 3 2 2 2 2 2 3" xfId="38251"/>
    <cellStyle name="常规 3 2 2 2 2 2 4" xfId="38252"/>
    <cellStyle name="常规 3 2 2 2 2 2 5" xfId="38253"/>
    <cellStyle name="常规 3 2 2 2 2 2 5 2" xfId="38254"/>
    <cellStyle name="常规 3 2 2 2 2 3" xfId="38255"/>
    <cellStyle name="常规 3 2 2 2 2 3 2" xfId="38256"/>
    <cellStyle name="常规 3 2 2 2 2 3 2 2" xfId="38257"/>
    <cellStyle name="常规 3 2 2 2 2 4" xfId="38258"/>
    <cellStyle name="常规 3 2 2 2 2 4 2" xfId="38259"/>
    <cellStyle name="常规 3 2 2 2 2 4 2 2" xfId="38260"/>
    <cellStyle name="常规 3 2 2 2 2 5" xfId="38261"/>
    <cellStyle name="常规 3 2 2 2 2 5 2" xfId="38262"/>
    <cellStyle name="常规 3 2 2 2 2 5 3" xfId="38263"/>
    <cellStyle name="常规 3 2 2 2 2 6" xfId="38264"/>
    <cellStyle name="常规 3 2 2 2 2 6 2" xfId="38265"/>
    <cellStyle name="常规 3 2 2 2 2 7" xfId="38266"/>
    <cellStyle name="常规 3 2 2 2 3" xfId="38267"/>
    <cellStyle name="常规 3 2 2 2 3 2" xfId="38268"/>
    <cellStyle name="常规 3 2 2 2 3 2 2" xfId="38269"/>
    <cellStyle name="常规 3 2 2 2 3 2 2 2" xfId="38270"/>
    <cellStyle name="常规 3 2 2 2 3 2 3" xfId="38271"/>
    <cellStyle name="常规 3 2 2 2 3 2 4" xfId="38272"/>
    <cellStyle name="常规 3 2 2 2 3 2 5" xfId="38273"/>
    <cellStyle name="常规 3 2 2 2 3 2 5 2" xfId="38274"/>
    <cellStyle name="常规 3 2 2 2 3 2 6" xfId="38275"/>
    <cellStyle name="常规 3 2 2 2 3 3" xfId="38276"/>
    <cellStyle name="常规 3 2 2 2 3 3 2" xfId="38277"/>
    <cellStyle name="常规 3 2 2 2 3 3 2 2" xfId="38278"/>
    <cellStyle name="常规 3 2 2 2 3 4" xfId="38279"/>
    <cellStyle name="常规 3 2 2 2 3 4 2" xfId="38280"/>
    <cellStyle name="常规 3 2 2 2 3 4 3" xfId="38281"/>
    <cellStyle name="常规 3 2 2 2 3 5" xfId="38282"/>
    <cellStyle name="常规 3 2 2 2 3 5 2" xfId="38283"/>
    <cellStyle name="常规 3 2 2 2 3 6" xfId="38284"/>
    <cellStyle name="常规 3 2 2 2 3 6 2" xfId="38285"/>
    <cellStyle name="常规 3 2 2 2 3 7" xfId="38286"/>
    <cellStyle name="常规 3 2 2 2 4" xfId="38287"/>
    <cellStyle name="常规 3 2 2 2 4 2" xfId="38288"/>
    <cellStyle name="常规 3 2 2 2 4 3" xfId="38289"/>
    <cellStyle name="常规 3 2 2 2 4 4" xfId="38290"/>
    <cellStyle name="常规 3 2 2 2 4 5" xfId="38291"/>
    <cellStyle name="常规 3 2 2 2 4 5 2" xfId="38292"/>
    <cellStyle name="常规 3 2 2 2 5" xfId="38293"/>
    <cellStyle name="常规 3 2 2 2 5 2" xfId="38294"/>
    <cellStyle name="常规 3 2 2 2 5 2 2" xfId="38295"/>
    <cellStyle name="常规 3 2 2 2 6" xfId="38296"/>
    <cellStyle name="常规 3 2 2 2 6 2" xfId="38297"/>
    <cellStyle name="常规 3 2 2 2 6 2 2" xfId="38298"/>
    <cellStyle name="常规 3 2 2 2 7" xfId="38299"/>
    <cellStyle name="常规 3 2 2 2 7 2" xfId="38300"/>
    <cellStyle name="常规 3 2 2 2 7 2 2" xfId="38301"/>
    <cellStyle name="常规 3 2 2 2 8" xfId="38302"/>
    <cellStyle name="常规 3 2 2 2 8 2" xfId="38303"/>
    <cellStyle name="常规 3 2 2 2 8 3" xfId="38304"/>
    <cellStyle name="常规 3 2 2 2 9" xfId="38305"/>
    <cellStyle name="常规 3 2 2 3" xfId="38306"/>
    <cellStyle name="常规 3 2 2 3 2" xfId="38307"/>
    <cellStyle name="常规 3 2 2 3 2 2" xfId="38308"/>
    <cellStyle name="常规 3 2 2 3 2 3" xfId="38309"/>
    <cellStyle name="常规 3 2 2 3 2 4" xfId="38310"/>
    <cellStyle name="常规 3 2 2 3 2 5" xfId="38311"/>
    <cellStyle name="常规 3 2 2 3 2 5 2" xfId="38312"/>
    <cellStyle name="常规 3 2 2 3 3" xfId="38313"/>
    <cellStyle name="常规 3 2 2 3 3 2" xfId="38314"/>
    <cellStyle name="常规 3 2 2 3 3 2 2" xfId="38315"/>
    <cellStyle name="常规 3 2 2 3 4" xfId="38316"/>
    <cellStyle name="常规 3 2 2 3 4 2" xfId="38317"/>
    <cellStyle name="常规 3 2 2 3 4 2 2" xfId="38318"/>
    <cellStyle name="常规 3 2 2 3 5" xfId="38319"/>
    <cellStyle name="常规 3 2 2 3 5 2" xfId="38320"/>
    <cellStyle name="常规 3 2 2 3 5 3" xfId="38321"/>
    <cellStyle name="常规 3 2 2 3 6" xfId="38322"/>
    <cellStyle name="常规 3 2 2 3 6 2" xfId="38323"/>
    <cellStyle name="常规 3 2 2 3 7" xfId="38324"/>
    <cellStyle name="常规 3 2 2 4" xfId="38325"/>
    <cellStyle name="常规 3 2 2 4 2" xfId="38326"/>
    <cellStyle name="常规 3 2 2 4 2 2" xfId="38327"/>
    <cellStyle name="常规 3 2 2 4 2 3" xfId="38328"/>
    <cellStyle name="常规 3 2 2 4 2 4" xfId="38329"/>
    <cellStyle name="常规 3 2 2 4 3" xfId="38330"/>
    <cellStyle name="常规 3 2 2 4 4" xfId="38331"/>
    <cellStyle name="常规 3 2 2 4 5" xfId="38332"/>
    <cellStyle name="常规 3 2 2 4 6" xfId="38333"/>
    <cellStyle name="常规 3 2 2 4 6 2" xfId="38334"/>
    <cellStyle name="常规 3 2 2 5" xfId="38335"/>
    <cellStyle name="常规 3 2 2 5 2" xfId="38336"/>
    <cellStyle name="常规 3 2 2 5 3" xfId="38337"/>
    <cellStyle name="常规 3 2 2 5 4" xfId="38338"/>
    <cellStyle name="常规 3 2 2 5 5" xfId="38339"/>
    <cellStyle name="常规 3 2 2 5 5 2" xfId="38340"/>
    <cellStyle name="常规 3 2 2 6" xfId="38341"/>
    <cellStyle name="常规 3 2 2 6 2" xfId="38342"/>
    <cellStyle name="常规 3 2 2 6 2 2" xfId="38343"/>
    <cellStyle name="常规 3 2 2 7" xfId="38344"/>
    <cellStyle name="常规 3 2 2 7 2" xfId="38345"/>
    <cellStyle name="常规 3 2 2 7 2 2" xfId="38346"/>
    <cellStyle name="常规 3 2 2 8" xfId="38347"/>
    <cellStyle name="常规 3 2 2 8 2" xfId="38348"/>
    <cellStyle name="常规 3 2 2 8 2 2" xfId="38349"/>
    <cellStyle name="常规 3 2 2 9" xfId="38350"/>
    <cellStyle name="常规 3 2 2 9 2" xfId="38351"/>
    <cellStyle name="常规 3 2 2 9 3" xfId="38352"/>
    <cellStyle name="常规 3 2 3" xfId="38353"/>
    <cellStyle name="常规 3 2 3 10" xfId="38354"/>
    <cellStyle name="常规 3 2 3 2" xfId="38355"/>
    <cellStyle name="常规 3 2 3 2 2" xfId="38356"/>
    <cellStyle name="常规 3 2 3 2 2 2" xfId="38357"/>
    <cellStyle name="常规 3 2 3 2 2 2 2" xfId="38358"/>
    <cellStyle name="常规 3 2 3 2 2 2 3" xfId="38359"/>
    <cellStyle name="常规 3 2 3 2 2 2 4" xfId="38360"/>
    <cellStyle name="常规 3 2 3 2 2 3" xfId="38361"/>
    <cellStyle name="常规 3 2 3 2 2 4" xfId="38362"/>
    <cellStyle name="常规 3 2 3 2 2 5" xfId="38363"/>
    <cellStyle name="常规 3 2 3 2 2 6" xfId="38364"/>
    <cellStyle name="常规 3 2 3 2 2 6 2" xfId="38365"/>
    <cellStyle name="常规 3 2 3 2 3" xfId="38366"/>
    <cellStyle name="常规 3 2 3 2 3 2" xfId="38367"/>
    <cellStyle name="常规 3 2 3 2 3 2 2" xfId="38368"/>
    <cellStyle name="常规 3 2 3 2 3 2 3" xfId="38369"/>
    <cellStyle name="常规 3 2 3 2 3 2 4" xfId="38370"/>
    <cellStyle name="常规 3 2 3 2 3 3" xfId="38371"/>
    <cellStyle name="常规 3 2 3 2 3 4" xfId="38372"/>
    <cellStyle name="常规 3 2 3 2 3 5" xfId="38373"/>
    <cellStyle name="常规 3 2 3 2 3 6" xfId="38374"/>
    <cellStyle name="常规 3 2 3 2 3 6 2" xfId="38375"/>
    <cellStyle name="常规 3 2 3 2 4" xfId="38376"/>
    <cellStyle name="常规 3 2 3 2 4 2" xfId="38377"/>
    <cellStyle name="常规 3 2 3 2 4 2 2" xfId="38378"/>
    <cellStyle name="常规 3 2 3 2 4 3" xfId="38379"/>
    <cellStyle name="常规 3 2 3 2 4 4" xfId="38380"/>
    <cellStyle name="常规 3 2 3 2 4 5" xfId="38381"/>
    <cellStyle name="常规 3 2 3 2 5" xfId="38382"/>
    <cellStyle name="常规 3 2 3 2 5 2" xfId="38383"/>
    <cellStyle name="常规 3 2 3 2 5 3" xfId="38384"/>
    <cellStyle name="常规 3 2 3 2 6" xfId="38385"/>
    <cellStyle name="常规 3 2 3 2 7" xfId="38386"/>
    <cellStyle name="常规 3 2 3 2 8" xfId="38387"/>
    <cellStyle name="常规 3 2 3 2 8 2" xfId="38388"/>
    <cellStyle name="常规 3 2 3 2 9" xfId="38389"/>
    <cellStyle name="常规 3 2 3 3" xfId="38390"/>
    <cellStyle name="常规 3 2 3 3 2" xfId="38391"/>
    <cellStyle name="常规 3 2 3 3 2 2" xfId="38392"/>
    <cellStyle name="常规 3 2 3 3 2 2 2" xfId="38393"/>
    <cellStyle name="常规 3 2 3 3 2 3" xfId="38394"/>
    <cellStyle name="常规 3 2 3 3 2 4" xfId="38395"/>
    <cellStyle name="常规 3 2 3 3 2 5" xfId="38396"/>
    <cellStyle name="常规 3 2 3 3 2 5 2" xfId="38397"/>
    <cellStyle name="常规 3 2 3 3 2 6" xfId="38398"/>
    <cellStyle name="常规 3 2 3 3 3" xfId="38399"/>
    <cellStyle name="常规 3 2 3 3 3 2" xfId="38400"/>
    <cellStyle name="常规 3 2 3 3 3 2 2" xfId="38401"/>
    <cellStyle name="常规 3 2 3 3 4" xfId="38402"/>
    <cellStyle name="常规 3 2 3 3 4 2" xfId="38403"/>
    <cellStyle name="常规 3 2 3 3 4 3" xfId="38404"/>
    <cellStyle name="常规 3 2 3 3 5" xfId="38405"/>
    <cellStyle name="常规 3 2 3 3 5 2" xfId="38406"/>
    <cellStyle name="常规 3 2 3 3 6" xfId="38407"/>
    <cellStyle name="常规 3 2 3 3 6 2" xfId="38408"/>
    <cellStyle name="常规 3 2 3 3 7" xfId="38409"/>
    <cellStyle name="常规 3 2 3 4" xfId="38410"/>
    <cellStyle name="常规 3 2 3 4 2" xfId="38411"/>
    <cellStyle name="常规 3 2 3 4 2 2" xfId="38412"/>
    <cellStyle name="常规 3 2 3 4 2 3" xfId="38413"/>
    <cellStyle name="常规 3 2 3 4 2 4" xfId="38414"/>
    <cellStyle name="常规 3 2 3 4 3" xfId="38415"/>
    <cellStyle name="常规 3 2 3 4 4" xfId="38416"/>
    <cellStyle name="常规 3 2 3 4 5" xfId="38417"/>
    <cellStyle name="常规 3 2 3 4 6" xfId="38418"/>
    <cellStyle name="常规 3 2 3 4 6 2" xfId="38419"/>
    <cellStyle name="常规 3 2 3 5" xfId="38420"/>
    <cellStyle name="常规 3 2 3 5 2" xfId="38421"/>
    <cellStyle name="常规 3 2 3 5 3" xfId="38422"/>
    <cellStyle name="常规 3 2 3 5 4" xfId="38423"/>
    <cellStyle name="常规 3 2 3 5 5" xfId="38424"/>
    <cellStyle name="常规 3 2 3 5 5 2" xfId="38425"/>
    <cellStyle name="常规 3 2 3 6" xfId="38426"/>
    <cellStyle name="常规 3 2 3 6 2" xfId="38427"/>
    <cellStyle name="常规 3 2 3 6 2 2" xfId="38428"/>
    <cellStyle name="常规 3 2 3 7" xfId="38429"/>
    <cellStyle name="常规 3 2 3 7 2" xfId="38430"/>
    <cellStyle name="常规 3 2 3 7 2 2" xfId="38431"/>
    <cellStyle name="常规 3 2 3 8" xfId="38432"/>
    <cellStyle name="常规 3 2 3 8 2" xfId="38433"/>
    <cellStyle name="常规 3 2 3 8 3" xfId="38434"/>
    <cellStyle name="常规 3 2 3 9" xfId="38435"/>
    <cellStyle name="常规 3 2 3 9 2" xfId="38436"/>
    <cellStyle name="常规 3 2 4" xfId="38437"/>
    <cellStyle name="常规 3 2 4 2" xfId="38438"/>
    <cellStyle name="常规 3 2 4 2 2" xfId="38439"/>
    <cellStyle name="常规 3 2 4 2 2 2" xfId="38440"/>
    <cellStyle name="常规 3 2 4 2 2 2 2" xfId="38441"/>
    <cellStyle name="常规 3 2 4 2 3" xfId="38442"/>
    <cellStyle name="常规 3 2 4 2 3 2" xfId="38443"/>
    <cellStyle name="常规 3 2 4 2 3 2 2" xfId="38444"/>
    <cellStyle name="常规 3 2 4 2 4" xfId="38445"/>
    <cellStyle name="常规 3 2 4 2 4 2" xfId="38446"/>
    <cellStyle name="常规 3 2 4 2 4 2 2" xfId="38447"/>
    <cellStyle name="常规 3 2 4 2 5" xfId="38448"/>
    <cellStyle name="常规 3 2 4 2 5 2" xfId="38449"/>
    <cellStyle name="常规 3 2 4 2 5 3" xfId="38450"/>
    <cellStyle name="常规 3 2 4 2 6" xfId="38451"/>
    <cellStyle name="常规 3 2 4 3" xfId="38452"/>
    <cellStyle name="常规 3 2 4 3 2" xfId="38453"/>
    <cellStyle name="常规 3 2 4 3 2 2" xfId="38454"/>
    <cellStyle name="常规 3 2 4 4" xfId="38455"/>
    <cellStyle name="常规 3 2 4 4 2" xfId="38456"/>
    <cellStyle name="常规 3 2 4 4 2 2" xfId="38457"/>
    <cellStyle name="常规 3 2 4 5" xfId="38458"/>
    <cellStyle name="常规 3 2 4 5 2" xfId="38459"/>
    <cellStyle name="常规 3 2 4 5 2 2" xfId="38460"/>
    <cellStyle name="常规 3 2 4 6" xfId="38461"/>
    <cellStyle name="常规 3 2 4 7" xfId="38462"/>
    <cellStyle name="常规 3 2 4 7 2" xfId="38463"/>
    <cellStyle name="常规 3 2 4 7 3" xfId="38464"/>
    <cellStyle name="常规 3 2 4 8" xfId="38465"/>
    <cellStyle name="常规 3 2 4 8 2" xfId="38466"/>
    <cellStyle name="常规 3 2 5" xfId="38467"/>
    <cellStyle name="常规 3 2 5 2" xfId="38468"/>
    <cellStyle name="常规 3 2 5 2 2" xfId="38469"/>
    <cellStyle name="常规 3 2 5 2 2 2" xfId="38470"/>
    <cellStyle name="常规 3 2 5 2 2 2 2" xfId="38471"/>
    <cellStyle name="常规 3 2 5 2 3" xfId="38472"/>
    <cellStyle name="常规 3 2 5 2 3 2" xfId="38473"/>
    <cellStyle name="常规 3 2 5 2 3 2 2" xfId="38474"/>
    <cellStyle name="常规 3 2 5 2 4" xfId="38475"/>
    <cellStyle name="常规 3 2 5 2 4 2" xfId="38476"/>
    <cellStyle name="常规 3 2 5 2 4 2 2" xfId="38477"/>
    <cellStyle name="常规 3 2 5 2 5" xfId="38478"/>
    <cellStyle name="常规 3 2 5 2 5 2" xfId="38479"/>
    <cellStyle name="常规 3 2 5 2 5 3" xfId="38480"/>
    <cellStyle name="常规 3 2 5 2 6" xfId="38481"/>
    <cellStyle name="常规 3 2 5 3" xfId="38482"/>
    <cellStyle name="常规 3 2 5 3 2" xfId="38483"/>
    <cellStyle name="常规 3 2 5 3 2 2" xfId="38484"/>
    <cellStyle name="常规 3 2 5 4" xfId="38485"/>
    <cellStyle name="常规 3 2 5 4 2" xfId="38486"/>
    <cellStyle name="常规 3 2 5 4 2 2" xfId="38487"/>
    <cellStyle name="常规 3 2 5 5" xfId="38488"/>
    <cellStyle name="常规 3 2 5 5 2" xfId="38489"/>
    <cellStyle name="常规 3 2 5 5 2 2" xfId="38490"/>
    <cellStyle name="常规 3 2 5 6" xfId="38491"/>
    <cellStyle name="常规 3 2 5 7" xfId="38492"/>
    <cellStyle name="常规 3 2 5 7 2" xfId="38493"/>
    <cellStyle name="常规 3 2 5 7 3" xfId="38494"/>
    <cellStyle name="常规 3 2 5 8" xfId="38495"/>
    <cellStyle name="常规 3 2 5 8 2" xfId="38496"/>
    <cellStyle name="常规 3 2 6" xfId="38497"/>
    <cellStyle name="常规 3 2 6 2" xfId="38498"/>
    <cellStyle name="常规 3 2 6 2 2" xfId="38499"/>
    <cellStyle name="常规 3 2 6 2 3" xfId="38500"/>
    <cellStyle name="常规 3 2 6 2 3 2" xfId="38501"/>
    <cellStyle name="常规 3 2 6 3" xfId="38502"/>
    <cellStyle name="常规 3 2 6 3 2" xfId="38503"/>
    <cellStyle name="常规 3 2 6 3 2 2" xfId="38504"/>
    <cellStyle name="常规 3 2 6 4" xfId="38505"/>
    <cellStyle name="常规 3 2 6 4 2" xfId="38506"/>
    <cellStyle name="常规 3 2 6 4 2 2" xfId="38507"/>
    <cellStyle name="常规 3 2 6 5" xfId="38508"/>
    <cellStyle name="常规 3 2 6 5 2" xfId="38509"/>
    <cellStyle name="常规 3 2 6 6" xfId="38510"/>
    <cellStyle name="常规 3 2 7" xfId="38511"/>
    <cellStyle name="常规 3 2 7 2" xfId="38512"/>
    <cellStyle name="常规 3 2 7 2 2" xfId="38513"/>
    <cellStyle name="常规 3 2 7 3" xfId="38514"/>
    <cellStyle name="常规 3 2 7 4" xfId="38515"/>
    <cellStyle name="常规 3 2 7 5" xfId="38516"/>
    <cellStyle name="常规 3 2 7 5 2" xfId="38517"/>
    <cellStyle name="常规 3 2 7 6" xfId="38518"/>
    <cellStyle name="常规 3 2 8" xfId="38519"/>
    <cellStyle name="常规 3 2 8 2" xfId="38520"/>
    <cellStyle name="常规 3 2 8 2 2" xfId="38521"/>
    <cellStyle name="常规 3 2 8 2 2 2" xfId="38522"/>
    <cellStyle name="常规 3 2 8 2 2 2 2" xfId="38523"/>
    <cellStyle name="常规 3 2 8 2 3" xfId="38524"/>
    <cellStyle name="常规 3 2 8 2 3 2" xfId="38525"/>
    <cellStyle name="常规 3 2 8 2 4" xfId="38526"/>
    <cellStyle name="常规 3 2 8 2 4 2" xfId="38527"/>
    <cellStyle name="常规 3 2 8 2 5" xfId="38528"/>
    <cellStyle name="常规 3 2 8 3" xfId="38529"/>
    <cellStyle name="常规 3 2 8 4" xfId="38530"/>
    <cellStyle name="常规 3 2 8 4 2" xfId="38531"/>
    <cellStyle name="常规 3 2 8 4 3" xfId="38532"/>
    <cellStyle name="常规 3 2 8 5" xfId="38533"/>
    <cellStyle name="常规 3 2 8 5 2" xfId="38534"/>
    <cellStyle name="常规 3 2 9" xfId="38535"/>
    <cellStyle name="常规 3 2 9 2" xfId="38536"/>
    <cellStyle name="常规 3 2 9 2 2" xfId="38537"/>
    <cellStyle name="常规 3 2 9 2 2 2" xfId="38538"/>
    <cellStyle name="常规 3 2 9 2 2 2 2" xfId="38539"/>
    <cellStyle name="常规 3 2 9 2 3" xfId="38540"/>
    <cellStyle name="常规 3 2 9 2 3 2" xfId="38541"/>
    <cellStyle name="常规 3 2 9 2 4" xfId="38542"/>
    <cellStyle name="常规 3 2 9 2 4 2" xfId="38543"/>
    <cellStyle name="常规 3 2 9 2 5" xfId="38544"/>
    <cellStyle name="常规 3 2 9 3" xfId="38545"/>
    <cellStyle name="常规 3 2 9 3 2" xfId="38546"/>
    <cellStyle name="常规 3 2 9 3 2 2" xfId="38547"/>
    <cellStyle name="常规 3 2 9 4" xfId="38548"/>
    <cellStyle name="常规 3 2 9 4 2" xfId="38549"/>
    <cellStyle name="常规 3 2 9 4 2 2" xfId="38550"/>
    <cellStyle name="常规 3 2 9 5" xfId="38551"/>
    <cellStyle name="常规 3 2 9 5 2" xfId="38552"/>
    <cellStyle name="常规 3 2 9 6" xfId="38553"/>
    <cellStyle name="常规 3 20" xfId="38554"/>
    <cellStyle name="常规 3 20 2" xfId="38555"/>
    <cellStyle name="常规 3 20 3" xfId="38556"/>
    <cellStyle name="常规 3 21" xfId="38557"/>
    <cellStyle name="常规 3 21 2" xfId="38558"/>
    <cellStyle name="常规 3 21 3" xfId="38559"/>
    <cellStyle name="常规 3 3" xfId="38560"/>
    <cellStyle name="常规 3 3 10" xfId="38561"/>
    <cellStyle name="常规 3 3 11" xfId="38562"/>
    <cellStyle name="常规 3 3 11 2" xfId="38563"/>
    <cellStyle name="常规 3 3 11 3" xfId="38564"/>
    <cellStyle name="常规 3 3 12" xfId="38565"/>
    <cellStyle name="常规 3 3 12 2" xfId="38566"/>
    <cellStyle name="常规 3 3 2" xfId="38567"/>
    <cellStyle name="常规 3 3 2 10" xfId="38568"/>
    <cellStyle name="常规 3 3 2 10 2" xfId="38569"/>
    <cellStyle name="常规 3 3 2 2" xfId="38570"/>
    <cellStyle name="常规 3 3 2 2 2" xfId="38571"/>
    <cellStyle name="常规 3 3 2 2 2 2" xfId="38572"/>
    <cellStyle name="常规 3 3 2 2 2 2 2" xfId="38573"/>
    <cellStyle name="常规 3 3 2 2 2 2 2 2" xfId="38574"/>
    <cellStyle name="常规 3 3 2 2 2 2 2 2 2" xfId="38575"/>
    <cellStyle name="常规 3 3 2 2 2 2 3" xfId="38576"/>
    <cellStyle name="常规 3 3 2 2 2 2 3 2" xfId="38577"/>
    <cellStyle name="常规 3 3 2 2 2 2 3 2 2" xfId="38578"/>
    <cellStyle name="常规 3 3 2 2 2 2 4" xfId="38579"/>
    <cellStyle name="常规 3 3 2 2 2 2 4 2" xfId="38580"/>
    <cellStyle name="常规 3 3 2 2 2 2 4 2 2" xfId="38581"/>
    <cellStyle name="常规 3 3 2 2 2 2 5" xfId="38582"/>
    <cellStyle name="常规 3 3 2 2 2 2 5 2" xfId="38583"/>
    <cellStyle name="常规 3 3 2 2 2 2 5 3" xfId="38584"/>
    <cellStyle name="常规 3 3 2 2 2 2 6" xfId="38585"/>
    <cellStyle name="常规 3 3 2 2 2 3" xfId="38586"/>
    <cellStyle name="常规 3 3 2 2 2 3 2" xfId="38587"/>
    <cellStyle name="常规 3 3 2 2 2 3 2 2" xfId="38588"/>
    <cellStyle name="常规 3 3 2 2 2 3 2 2 2" xfId="38589"/>
    <cellStyle name="常规 3 3 2 2 2 3 3" xfId="38590"/>
    <cellStyle name="常规 3 3 2 2 2 3 3 2" xfId="38591"/>
    <cellStyle name="常规 3 3 2 2 2 3 3 2 2" xfId="38592"/>
    <cellStyle name="常规 3 3 2 2 2 3 4" xfId="38593"/>
    <cellStyle name="常规 3 3 2 2 2 3 4 2" xfId="38594"/>
    <cellStyle name="常规 3 3 2 2 2 3 5" xfId="38595"/>
    <cellStyle name="常规 3 3 2 2 2 4" xfId="38596"/>
    <cellStyle name="常规 3 3 2 2 2 4 2" xfId="38597"/>
    <cellStyle name="常规 3 3 2 2 2 4 2 2" xfId="38598"/>
    <cellStyle name="常规 3 3 2 2 2 5" xfId="38599"/>
    <cellStyle name="常规 3 3 2 2 2 5 2" xfId="38600"/>
    <cellStyle name="常规 3 3 2 2 2 5 2 2" xfId="38601"/>
    <cellStyle name="常规 3 3 2 2 2 6" xfId="38602"/>
    <cellStyle name="常规 3 3 2 2 2 7" xfId="38603"/>
    <cellStyle name="常规 3 3 2 2 2 7 2" xfId="38604"/>
    <cellStyle name="常规 3 3 2 2 2 7 3" xfId="38605"/>
    <cellStyle name="常规 3 3 2 2 2 8" xfId="38606"/>
    <cellStyle name="常规 3 3 2 2 2 8 2" xfId="38607"/>
    <cellStyle name="常规 3 3 2 2 3" xfId="38608"/>
    <cellStyle name="常规 3 3 2 2 3 2" xfId="38609"/>
    <cellStyle name="常规 3 3 2 2 3 2 2" xfId="38610"/>
    <cellStyle name="常规 3 3 2 2 3 2 3" xfId="38611"/>
    <cellStyle name="常规 3 3 2 2 3 2 4" xfId="38612"/>
    <cellStyle name="常规 3 3 2 2 3 2 5" xfId="38613"/>
    <cellStyle name="常规 3 3 2 2 3 2 5 2" xfId="38614"/>
    <cellStyle name="常规 3 3 2 2 3 3" xfId="38615"/>
    <cellStyle name="常规 3 3 2 2 3 3 2" xfId="38616"/>
    <cellStyle name="常规 3 3 2 2 3 3 2 2" xfId="38617"/>
    <cellStyle name="常规 3 3 2 2 3 4" xfId="38618"/>
    <cellStyle name="常规 3 3 2 2 3 4 2" xfId="38619"/>
    <cellStyle name="常规 3 3 2 2 3 4 2 2" xfId="38620"/>
    <cellStyle name="常规 3 3 2 2 3 5" xfId="38621"/>
    <cellStyle name="常规 3 3 2 2 3 5 2" xfId="38622"/>
    <cellStyle name="常规 3 3 2 2 3 5 3" xfId="38623"/>
    <cellStyle name="常规 3 3 2 2 3 6" xfId="38624"/>
    <cellStyle name="常规 3 3 2 2 3 6 2" xfId="38625"/>
    <cellStyle name="常规 3 3 2 2 3 7" xfId="38626"/>
    <cellStyle name="常规 3 3 2 2 4" xfId="38627"/>
    <cellStyle name="常规 3 3 2 2 4 2" xfId="38628"/>
    <cellStyle name="常规 3 3 2 2 4 3" xfId="38629"/>
    <cellStyle name="常规 3 3 2 2 4 4" xfId="38630"/>
    <cellStyle name="常规 3 3 2 2 4 5" xfId="38631"/>
    <cellStyle name="常规 3 3 2 2 4 5 2" xfId="38632"/>
    <cellStyle name="常规 3 3 2 2 5" xfId="38633"/>
    <cellStyle name="常规 3 3 2 2 5 2" xfId="38634"/>
    <cellStyle name="常规 3 3 2 2 5 2 2" xfId="38635"/>
    <cellStyle name="常规 3 3 2 2 6" xfId="38636"/>
    <cellStyle name="常规 3 3 2 2 6 2" xfId="38637"/>
    <cellStyle name="常规 3 3 2 2 6 2 2" xfId="38638"/>
    <cellStyle name="常规 3 3 2 2 7" xfId="38639"/>
    <cellStyle name="常规 3 3 2 2 7 2" xfId="38640"/>
    <cellStyle name="常规 3 3 2 2 7 2 2" xfId="38641"/>
    <cellStyle name="常规 3 3 2 2 8" xfId="38642"/>
    <cellStyle name="常规 3 3 2 2 8 2" xfId="38643"/>
    <cellStyle name="常规 3 3 2 2 8 3" xfId="38644"/>
    <cellStyle name="常规 3 3 2 2 9" xfId="38645"/>
    <cellStyle name="常规 3 3 2 2 9 2" xfId="38646"/>
    <cellStyle name="常规 3 3 2 3" xfId="38647"/>
    <cellStyle name="常规 3 3 2 3 2" xfId="38648"/>
    <cellStyle name="常规 3 3 2 3 2 2" xfId="38649"/>
    <cellStyle name="常规 3 3 2 3 2 2 2" xfId="38650"/>
    <cellStyle name="常规 3 3 2 3 2 2 2 2" xfId="38651"/>
    <cellStyle name="常规 3 3 2 3 2 3" xfId="38652"/>
    <cellStyle name="常规 3 3 2 3 2 3 2" xfId="38653"/>
    <cellStyle name="常规 3 3 2 3 2 3 2 2" xfId="38654"/>
    <cellStyle name="常规 3 3 2 3 2 4" xfId="38655"/>
    <cellStyle name="常规 3 3 2 3 2 4 2" xfId="38656"/>
    <cellStyle name="常规 3 3 2 3 2 4 2 2" xfId="38657"/>
    <cellStyle name="常规 3 3 2 3 2 5" xfId="38658"/>
    <cellStyle name="常规 3 3 2 3 2 5 2" xfId="38659"/>
    <cellStyle name="常规 3 3 2 3 2 5 3" xfId="38660"/>
    <cellStyle name="常规 3 3 2 3 2 6" xfId="38661"/>
    <cellStyle name="常规 3 3 2 3 3" xfId="38662"/>
    <cellStyle name="常规 3 3 2 3 3 2" xfId="38663"/>
    <cellStyle name="常规 3 3 2 3 3 2 2" xfId="38664"/>
    <cellStyle name="常规 3 3 2 3 3 2 2 2" xfId="38665"/>
    <cellStyle name="常规 3 3 2 3 3 3" xfId="38666"/>
    <cellStyle name="常规 3 3 2 3 3 3 2" xfId="38667"/>
    <cellStyle name="常规 3 3 2 3 3 3 2 2" xfId="38668"/>
    <cellStyle name="常规 3 3 2 3 3 4" xfId="38669"/>
    <cellStyle name="常规 3 3 2 3 3 4 2" xfId="38670"/>
    <cellStyle name="常规 3 3 2 3 3 5" xfId="38671"/>
    <cellStyle name="常规 3 3 2 3 4" xfId="38672"/>
    <cellStyle name="常规 3 3 2 3 4 2" xfId="38673"/>
    <cellStyle name="常规 3 3 2 3 4 2 2" xfId="38674"/>
    <cellStyle name="常规 3 3 2 3 5" xfId="38675"/>
    <cellStyle name="常规 3 3 2 3 5 2" xfId="38676"/>
    <cellStyle name="常规 3 3 2 3 5 2 2" xfId="38677"/>
    <cellStyle name="常规 3 3 2 3 6" xfId="38678"/>
    <cellStyle name="常规 3 3 2 3 7" xfId="38679"/>
    <cellStyle name="常规 3 3 2 3 7 2" xfId="38680"/>
    <cellStyle name="常规 3 3 2 3 7 3" xfId="38681"/>
    <cellStyle name="常规 3 3 2 3 8" xfId="38682"/>
    <cellStyle name="常规 3 3 2 3 8 2" xfId="38683"/>
    <cellStyle name="常规 3 3 2 4" xfId="38684"/>
    <cellStyle name="常规 3 3 2 4 2" xfId="38685"/>
    <cellStyle name="常规 3 3 2 4 2 2" xfId="38686"/>
    <cellStyle name="常规 3 3 2 4 2 3" xfId="38687"/>
    <cellStyle name="常规 3 3 2 4 2 4" xfId="38688"/>
    <cellStyle name="常规 3 3 2 4 2 5" xfId="38689"/>
    <cellStyle name="常规 3 3 2 4 2 5 2" xfId="38690"/>
    <cellStyle name="常规 3 3 2 4 3" xfId="38691"/>
    <cellStyle name="常规 3 3 2 4 3 2" xfId="38692"/>
    <cellStyle name="常规 3 3 2 4 3 2 2" xfId="38693"/>
    <cellStyle name="常规 3 3 2 4 4" xfId="38694"/>
    <cellStyle name="常规 3 3 2 4 4 2" xfId="38695"/>
    <cellStyle name="常规 3 3 2 4 4 2 2" xfId="38696"/>
    <cellStyle name="常规 3 3 2 4 5" xfId="38697"/>
    <cellStyle name="常规 3 3 2 4 5 2" xfId="38698"/>
    <cellStyle name="常规 3 3 2 4 5 3" xfId="38699"/>
    <cellStyle name="常规 3 3 2 4 6" xfId="38700"/>
    <cellStyle name="常规 3 3 2 4 6 2" xfId="38701"/>
    <cellStyle name="常规 3 3 2 4 7" xfId="38702"/>
    <cellStyle name="常规 3 3 2 5" xfId="38703"/>
    <cellStyle name="常规 3 3 2 5 2" xfId="38704"/>
    <cellStyle name="常规 3 3 2 5 3" xfId="38705"/>
    <cellStyle name="常规 3 3 2 5 4" xfId="38706"/>
    <cellStyle name="常规 3 3 2 5 5" xfId="38707"/>
    <cellStyle name="常规 3 3 2 5 5 2" xfId="38708"/>
    <cellStyle name="常规 3 3 2 6" xfId="38709"/>
    <cellStyle name="常规 3 3 2 6 2" xfId="38710"/>
    <cellStyle name="常规 3 3 2 6 2 2" xfId="38711"/>
    <cellStyle name="常规 3 3 2 7" xfId="38712"/>
    <cellStyle name="常规 3 3 2 7 2" xfId="38713"/>
    <cellStyle name="常规 3 3 2 7 2 2" xfId="38714"/>
    <cellStyle name="常规 3 3 2 8" xfId="38715"/>
    <cellStyle name="常规 3 3 2 8 2" xfId="38716"/>
    <cellStyle name="常规 3 3 2 8 2 2" xfId="38717"/>
    <cellStyle name="常规 3 3 2 9" xfId="38718"/>
    <cellStyle name="常规 3 3 2 9 2" xfId="38719"/>
    <cellStyle name="常规 3 3 2 9 3" xfId="38720"/>
    <cellStyle name="常规 3 3 3" xfId="38721"/>
    <cellStyle name="常规 3 3 3 2" xfId="38722"/>
    <cellStyle name="常规 3 3 3 2 2" xfId="38723"/>
    <cellStyle name="常规 3 3 3 2 2 2" xfId="38724"/>
    <cellStyle name="常规 3 3 3 2 2 2 2" xfId="38725"/>
    <cellStyle name="常规 3 3 3 2 3" xfId="38726"/>
    <cellStyle name="常规 3 3 3 2 3 2" xfId="38727"/>
    <cellStyle name="常规 3 3 3 2 3 2 2" xfId="38728"/>
    <cellStyle name="常规 3 3 3 2 4" xfId="38729"/>
    <cellStyle name="常规 3 3 3 2 4 2" xfId="38730"/>
    <cellStyle name="常规 3 3 3 2 4 2 2" xfId="38731"/>
    <cellStyle name="常规 3 3 3 2 5" xfId="38732"/>
    <cellStyle name="常规 3 3 3 2 5 2" xfId="38733"/>
    <cellStyle name="常规 3 3 3 2 5 3" xfId="38734"/>
    <cellStyle name="常规 3 3 3 2 6" xfId="38735"/>
    <cellStyle name="常规 3 3 3 3" xfId="38736"/>
    <cellStyle name="常规 3 3 3 3 2" xfId="38737"/>
    <cellStyle name="常规 3 3 3 3 2 2" xfId="38738"/>
    <cellStyle name="常规 3 3 3 3 2 2 2" xfId="38739"/>
    <cellStyle name="常规 3 3 3 3 3" xfId="38740"/>
    <cellStyle name="常规 3 3 3 3 3 2" xfId="38741"/>
    <cellStyle name="常规 3 3 3 3 3 2 2" xfId="38742"/>
    <cellStyle name="常规 3 3 3 3 4" xfId="38743"/>
    <cellStyle name="常规 3 3 3 3 4 2" xfId="38744"/>
    <cellStyle name="常规 3 3 3 3 5" xfId="38745"/>
    <cellStyle name="常规 3 3 3 4" xfId="38746"/>
    <cellStyle name="常规 3 3 3 4 2" xfId="38747"/>
    <cellStyle name="常规 3 3 3 4 2 2" xfId="38748"/>
    <cellStyle name="常规 3 3 3 5" xfId="38749"/>
    <cellStyle name="常规 3 3 3 5 2" xfId="38750"/>
    <cellStyle name="常规 3 3 3 5 2 2" xfId="38751"/>
    <cellStyle name="常规 3 3 3 6" xfId="38752"/>
    <cellStyle name="常规 3 3 3 7" xfId="38753"/>
    <cellStyle name="常规 3 3 3 7 2" xfId="38754"/>
    <cellStyle name="常规 3 3 3 7 3" xfId="38755"/>
    <cellStyle name="常规 3 3 3 8" xfId="38756"/>
    <cellStyle name="常规 3 3 3 8 2" xfId="38757"/>
    <cellStyle name="常规 3 3 4" xfId="38758"/>
    <cellStyle name="常规 3 3 4 2" xfId="38759"/>
    <cellStyle name="常规 3 3 4 2 2" xfId="38760"/>
    <cellStyle name="常规 3 3 4 2 2 2" xfId="38761"/>
    <cellStyle name="常规 3 3 4 2 2 2 2" xfId="38762"/>
    <cellStyle name="常规 3 3 4 2 3" xfId="38763"/>
    <cellStyle name="常规 3 3 4 2 3 2" xfId="38764"/>
    <cellStyle name="常规 3 3 4 2 3 2 2" xfId="38765"/>
    <cellStyle name="常规 3 3 4 2 4" xfId="38766"/>
    <cellStyle name="常规 3 3 4 2 4 2" xfId="38767"/>
    <cellStyle name="常规 3 3 4 2 4 2 2" xfId="38768"/>
    <cellStyle name="常规 3 3 4 2 5" xfId="38769"/>
    <cellStyle name="常规 3 3 4 2 5 2" xfId="38770"/>
    <cellStyle name="常规 3 3 4 2 5 3" xfId="38771"/>
    <cellStyle name="常规 3 3 4 2 6" xfId="38772"/>
    <cellStyle name="常规 3 3 4 3" xfId="38773"/>
    <cellStyle name="常规 3 3 4 3 2" xfId="38774"/>
    <cellStyle name="常规 3 3 4 3 2 2" xfId="38775"/>
    <cellStyle name="常规 3 3 4 4" xfId="38776"/>
    <cellStyle name="常规 3 3 4 4 2" xfId="38777"/>
    <cellStyle name="常规 3 3 4 4 2 2" xfId="38778"/>
    <cellStyle name="常规 3 3 4 5" xfId="38779"/>
    <cellStyle name="常规 3 3 4 5 2" xfId="38780"/>
    <cellStyle name="常规 3 3 4 5 2 2" xfId="38781"/>
    <cellStyle name="常规 3 3 4 6" xfId="38782"/>
    <cellStyle name="常规 3 3 4 7" xfId="38783"/>
    <cellStyle name="常规 3 3 4 7 2" xfId="38784"/>
    <cellStyle name="常规 3 3 4 7 3" xfId="38785"/>
    <cellStyle name="常规 3 3 4 8" xfId="38786"/>
    <cellStyle name="常规 3 3 4 8 2" xfId="38787"/>
    <cellStyle name="常规 3 3 5" xfId="38788"/>
    <cellStyle name="常规 3 3 5 2" xfId="38789"/>
    <cellStyle name="常规 3 3 5 2 2" xfId="38790"/>
    <cellStyle name="常规 3 3 5 2 3" xfId="38791"/>
    <cellStyle name="常规 3 3 5 2 4" xfId="38792"/>
    <cellStyle name="常规 3 3 5 2 4 2" xfId="38793"/>
    <cellStyle name="常规 3 3 5 2 4 3" xfId="38794"/>
    <cellStyle name="常规 3 3 5 2 5" xfId="38795"/>
    <cellStyle name="常规 3 3 5 2 5 2" xfId="38796"/>
    <cellStyle name="常规 3 3 5 3" xfId="38797"/>
    <cellStyle name="常规 3 3 5 3 2" xfId="38798"/>
    <cellStyle name="常规 3 3 5 3 2 2" xfId="38799"/>
    <cellStyle name="常规 3 3 5 4" xfId="38800"/>
    <cellStyle name="常规 3 3 5 4 2" xfId="38801"/>
    <cellStyle name="常规 3 3 5 4 2 2" xfId="38802"/>
    <cellStyle name="常规 3 3 5 5" xfId="38803"/>
    <cellStyle name="常规 3 3 5 6" xfId="38804"/>
    <cellStyle name="常规 3 3 5 6 2" xfId="38805"/>
    <cellStyle name="常规 3 3 5 6 3" xfId="38806"/>
    <cellStyle name="常规 3 3 5 7" xfId="38807"/>
    <cellStyle name="常规 3 3 5 7 2" xfId="38808"/>
    <cellStyle name="常规 3 3 6" xfId="38809"/>
    <cellStyle name="常规 3 3 6 2" xfId="38810"/>
    <cellStyle name="常规 3 3 6 2 2" xfId="38811"/>
    <cellStyle name="常规 3 3 6 2 2 2" xfId="38812"/>
    <cellStyle name="常规 3 3 6 2 2 2 2" xfId="38813"/>
    <cellStyle name="常规 3 3 6 2 3" xfId="38814"/>
    <cellStyle name="常规 3 3 6 2 3 2" xfId="38815"/>
    <cellStyle name="常规 3 3 6 2 4" xfId="38816"/>
    <cellStyle name="常规 3 3 6 2 4 2" xfId="38817"/>
    <cellStyle name="常规 3 3 6 2 5" xfId="38818"/>
    <cellStyle name="常规 3 3 6 3" xfId="38819"/>
    <cellStyle name="常规 3 3 6 4" xfId="38820"/>
    <cellStyle name="常规 3 3 6 4 2" xfId="38821"/>
    <cellStyle name="常规 3 3 6 4 3" xfId="38822"/>
    <cellStyle name="常规 3 3 6 5" xfId="38823"/>
    <cellStyle name="常规 3 3 6 5 2" xfId="38824"/>
    <cellStyle name="常规 3 3 7" xfId="38825"/>
    <cellStyle name="常规 3 3 7 2" xfId="38826"/>
    <cellStyle name="常规 3 3 7 2 2" xfId="38827"/>
    <cellStyle name="常规 3 3 7 2 2 2" xfId="38828"/>
    <cellStyle name="常规 3 3 7 3" xfId="38829"/>
    <cellStyle name="常规 3 3 7 3 2" xfId="38830"/>
    <cellStyle name="常规 3 3 7 3 2 2" xfId="38831"/>
    <cellStyle name="常规 3 3 7 4" xfId="38832"/>
    <cellStyle name="常规 3 3 7 4 2" xfId="38833"/>
    <cellStyle name="常规 3 3 7 5" xfId="38834"/>
    <cellStyle name="常规 3 3 8" xfId="38835"/>
    <cellStyle name="常规 3 3 8 2" xfId="38836"/>
    <cellStyle name="常规 3 3 8 2 2" xfId="38837"/>
    <cellStyle name="常规 3 3 9" xfId="38838"/>
    <cellStyle name="常规 3 4" xfId="38839"/>
    <cellStyle name="常规 3 4 10" xfId="38840"/>
    <cellStyle name="常规 3 4 10 2" xfId="38841"/>
    <cellStyle name="常规 3 4 10 3" xfId="38842"/>
    <cellStyle name="常规 3 4 11" xfId="38843"/>
    <cellStyle name="常规 3 4 11 2" xfId="38844"/>
    <cellStyle name="常规 3 4 2" xfId="38845"/>
    <cellStyle name="常规 3 4 2 10" xfId="38846"/>
    <cellStyle name="常规 3 4 2 10 2" xfId="38847"/>
    <cellStyle name="常规 3 4 2 2" xfId="38848"/>
    <cellStyle name="常规 3 4 2 2 2" xfId="38849"/>
    <cellStyle name="常规 3 4 2 2 2 2" xfId="38850"/>
    <cellStyle name="常规 3 4 2 2 2 2 2" xfId="38851"/>
    <cellStyle name="常规 3 4 2 2 2 2 2 2" xfId="38852"/>
    <cellStyle name="常规 3 4 2 2 2 2 2 2 2" xfId="38853"/>
    <cellStyle name="常规 3 4 2 2 2 2 3" xfId="38854"/>
    <cellStyle name="常规 3 4 2 2 2 2 3 2" xfId="38855"/>
    <cellStyle name="常规 3 4 2 2 2 2 3 2 2" xfId="38856"/>
    <cellStyle name="常规 3 4 2 2 2 2 4" xfId="38857"/>
    <cellStyle name="常规 3 4 2 2 2 2 4 2" xfId="38858"/>
    <cellStyle name="常规 3 4 2 2 2 2 4 2 2" xfId="38859"/>
    <cellStyle name="常规 3 4 2 2 2 2 5" xfId="38860"/>
    <cellStyle name="常规 3 4 2 2 2 2 5 2" xfId="38861"/>
    <cellStyle name="常规 3 4 2 2 2 2 5 3" xfId="38862"/>
    <cellStyle name="常规 3 4 2 2 2 2 6" xfId="38863"/>
    <cellStyle name="常规 3 4 2 2 2 3" xfId="38864"/>
    <cellStyle name="常规 3 4 2 2 2 3 2" xfId="38865"/>
    <cellStyle name="常规 3 4 2 2 2 3 2 2" xfId="38866"/>
    <cellStyle name="常规 3 4 2 2 2 3 2 2 2" xfId="38867"/>
    <cellStyle name="常规 3 4 2 2 2 3 3" xfId="38868"/>
    <cellStyle name="常规 3 4 2 2 2 3 3 2" xfId="38869"/>
    <cellStyle name="常规 3 4 2 2 2 3 3 2 2" xfId="38870"/>
    <cellStyle name="常规 3 4 2 2 2 3 4" xfId="38871"/>
    <cellStyle name="常规 3 4 2 2 2 3 4 2" xfId="38872"/>
    <cellStyle name="常规 3 4 2 2 2 3 5" xfId="38873"/>
    <cellStyle name="常规 3 4 2 2 2 4" xfId="38874"/>
    <cellStyle name="常规 3 4 2 2 2 4 2" xfId="38875"/>
    <cellStyle name="常规 3 4 2 2 2 4 2 2" xfId="38876"/>
    <cellStyle name="常规 3 4 2 2 2 5" xfId="38877"/>
    <cellStyle name="常规 3 4 2 2 2 5 2" xfId="38878"/>
    <cellStyle name="常规 3 4 2 2 2 5 2 2" xfId="38879"/>
    <cellStyle name="常规 3 4 2 2 2 6" xfId="38880"/>
    <cellStyle name="常规 3 4 2 2 2 7" xfId="38881"/>
    <cellStyle name="常规 3 4 2 2 2 7 2" xfId="38882"/>
    <cellStyle name="常规 3 4 2 2 2 7 3" xfId="38883"/>
    <cellStyle name="常规 3 4 2 2 2 8" xfId="38884"/>
    <cellStyle name="常规 3 4 2 2 2 8 2" xfId="38885"/>
    <cellStyle name="常规 3 4 2 2 3" xfId="38886"/>
    <cellStyle name="常规 3 4 2 2 3 2" xfId="38887"/>
    <cellStyle name="常规 3 4 2 2 3 2 2" xfId="38888"/>
    <cellStyle name="常规 3 4 2 2 3 2 3" xfId="38889"/>
    <cellStyle name="常规 3 4 2 2 3 2 4" xfId="38890"/>
    <cellStyle name="常规 3 4 2 2 3 2 5" xfId="38891"/>
    <cellStyle name="常规 3 4 2 2 3 2 5 2" xfId="38892"/>
    <cellStyle name="常规 3 4 2 2 3 3" xfId="38893"/>
    <cellStyle name="常规 3 4 2 2 3 3 2" xfId="38894"/>
    <cellStyle name="常规 3 4 2 2 3 3 2 2" xfId="38895"/>
    <cellStyle name="常规 3 4 2 2 3 4" xfId="38896"/>
    <cellStyle name="常规 3 4 2 2 3 4 2" xfId="38897"/>
    <cellStyle name="常规 3 4 2 2 3 4 2 2" xfId="38898"/>
    <cellStyle name="常规 3 4 2 2 3 5" xfId="38899"/>
    <cellStyle name="常规 3 4 2 2 3 5 2" xfId="38900"/>
    <cellStyle name="常规 3 4 2 2 3 5 3" xfId="38901"/>
    <cellStyle name="常规 3 4 2 2 3 6" xfId="38902"/>
    <cellStyle name="常规 3 4 2 2 3 6 2" xfId="38903"/>
    <cellStyle name="常规 3 4 2 2 3 7" xfId="38904"/>
    <cellStyle name="常规 3 4 2 2 4" xfId="38905"/>
    <cellStyle name="常规 3 4 2 2 4 2" xfId="38906"/>
    <cellStyle name="常规 3 4 2 2 4 3" xfId="38907"/>
    <cellStyle name="常规 3 4 2 2 4 4" xfId="38908"/>
    <cellStyle name="常规 3 4 2 2 4 5" xfId="38909"/>
    <cellStyle name="常规 3 4 2 2 4 5 2" xfId="38910"/>
    <cellStyle name="常规 3 4 2 2 5" xfId="38911"/>
    <cellStyle name="常规 3 4 2 2 5 2" xfId="38912"/>
    <cellStyle name="常规 3 4 2 2 5 2 2" xfId="38913"/>
    <cellStyle name="常规 3 4 2 2 6" xfId="38914"/>
    <cellStyle name="常规 3 4 2 2 6 2" xfId="38915"/>
    <cellStyle name="常规 3 4 2 2 6 2 2" xfId="38916"/>
    <cellStyle name="常规 3 4 2 2 7" xfId="38917"/>
    <cellStyle name="常规 3 4 2 2 7 2" xfId="38918"/>
    <cellStyle name="常规 3 4 2 2 7 2 2" xfId="38919"/>
    <cellStyle name="常规 3 4 2 2 8" xfId="38920"/>
    <cellStyle name="常规 3 4 2 2 8 2" xfId="38921"/>
    <cellStyle name="常规 3 4 2 2 8 3" xfId="38922"/>
    <cellStyle name="常规 3 4 2 2 9" xfId="38923"/>
    <cellStyle name="常规 3 4 2 2 9 2" xfId="38924"/>
    <cellStyle name="常规 3 4 2 3" xfId="38925"/>
    <cellStyle name="常规 3 4 2 3 2" xfId="38926"/>
    <cellStyle name="常规 3 4 2 3 2 2" xfId="38927"/>
    <cellStyle name="常规 3 4 2 3 2 2 2" xfId="38928"/>
    <cellStyle name="常规 3 4 2 3 2 2 2 2" xfId="38929"/>
    <cellStyle name="常规 3 4 2 3 2 3" xfId="38930"/>
    <cellStyle name="常规 3 4 2 3 2 3 2" xfId="38931"/>
    <cellStyle name="常规 3 4 2 3 2 3 2 2" xfId="38932"/>
    <cellStyle name="常规 3 4 2 3 2 4" xfId="38933"/>
    <cellStyle name="常规 3 4 2 3 2 4 2" xfId="38934"/>
    <cellStyle name="常规 3 4 2 3 2 4 2 2" xfId="38935"/>
    <cellStyle name="常规 3 4 2 3 2 5" xfId="38936"/>
    <cellStyle name="常规 3 4 2 3 2 5 2" xfId="38937"/>
    <cellStyle name="常规 3 4 2 3 2 5 3" xfId="38938"/>
    <cellStyle name="常规 3 4 2 3 2 6" xfId="38939"/>
    <cellStyle name="常规 3 4 2 3 3" xfId="38940"/>
    <cellStyle name="常规 3 4 2 3 3 2" xfId="38941"/>
    <cellStyle name="常规 3 4 2 3 3 2 2" xfId="38942"/>
    <cellStyle name="常规 3 4 2 3 3 2 2 2" xfId="38943"/>
    <cellStyle name="常规 3 4 2 3 3 3" xfId="38944"/>
    <cellStyle name="常规 3 4 2 3 3 3 2" xfId="38945"/>
    <cellStyle name="常规 3 4 2 3 3 3 2 2" xfId="38946"/>
    <cellStyle name="常规 3 4 2 3 3 4" xfId="38947"/>
    <cellStyle name="常规 3 4 2 3 3 4 2" xfId="38948"/>
    <cellStyle name="常规 3 4 2 3 3 5" xfId="38949"/>
    <cellStyle name="常规 3 4 2 3 4" xfId="38950"/>
    <cellStyle name="常规 3 4 2 3 4 2" xfId="38951"/>
    <cellStyle name="常规 3 4 2 3 4 2 2" xfId="38952"/>
    <cellStyle name="常规 3 4 2 3 5" xfId="38953"/>
    <cellStyle name="常规 3 4 2 3 5 2" xfId="38954"/>
    <cellStyle name="常规 3 4 2 3 5 2 2" xfId="38955"/>
    <cellStyle name="常规 3 4 2 3 6" xfId="38956"/>
    <cellStyle name="常规 3 4 2 3 7" xfId="38957"/>
    <cellStyle name="常规 3 4 2 3 7 2" xfId="38958"/>
    <cellStyle name="常规 3 4 2 3 7 3" xfId="38959"/>
    <cellStyle name="常规 3 4 2 3 8" xfId="38960"/>
    <cellStyle name="常规 3 4 2 3 8 2" xfId="38961"/>
    <cellStyle name="常规 3 4 2 4" xfId="38962"/>
    <cellStyle name="常规 3 4 2 4 2" xfId="38963"/>
    <cellStyle name="常规 3 4 2 4 2 2" xfId="38964"/>
    <cellStyle name="常规 3 4 2 4 2 3" xfId="38965"/>
    <cellStyle name="常规 3 4 2 4 2 4" xfId="38966"/>
    <cellStyle name="常规 3 4 2 4 2 5" xfId="38967"/>
    <cellStyle name="常规 3 4 2 4 2 5 2" xfId="38968"/>
    <cellStyle name="常规 3 4 2 4 3" xfId="38969"/>
    <cellStyle name="常规 3 4 2 4 3 2" xfId="38970"/>
    <cellStyle name="常规 3 4 2 4 3 2 2" xfId="38971"/>
    <cellStyle name="常规 3 4 2 4 4" xfId="38972"/>
    <cellStyle name="常规 3 4 2 4 4 2" xfId="38973"/>
    <cellStyle name="常规 3 4 2 4 4 2 2" xfId="38974"/>
    <cellStyle name="常规 3 4 2 4 5" xfId="38975"/>
    <cellStyle name="常规 3 4 2 4 5 2" xfId="38976"/>
    <cellStyle name="常规 3 4 2 4 5 3" xfId="38977"/>
    <cellStyle name="常规 3 4 2 4 6" xfId="38978"/>
    <cellStyle name="常规 3 4 2 4 6 2" xfId="38979"/>
    <cellStyle name="常规 3 4 2 4 7" xfId="38980"/>
    <cellStyle name="常规 3 4 2 5" xfId="38981"/>
    <cellStyle name="常规 3 4 2 5 2" xfId="38982"/>
    <cellStyle name="常规 3 4 2 5 3" xfId="38983"/>
    <cellStyle name="常规 3 4 2 5 4" xfId="38984"/>
    <cellStyle name="常规 3 4 2 5 5" xfId="38985"/>
    <cellStyle name="常规 3 4 2 5 5 2" xfId="38986"/>
    <cellStyle name="常规 3 4 2 6" xfId="38987"/>
    <cellStyle name="常规 3 4 2 6 2" xfId="38988"/>
    <cellStyle name="常规 3 4 2 6 2 2" xfId="38989"/>
    <cellStyle name="常规 3 4 2 7" xfId="38990"/>
    <cellStyle name="常规 3 4 2 7 2" xfId="38991"/>
    <cellStyle name="常规 3 4 2 7 2 2" xfId="38992"/>
    <cellStyle name="常规 3 4 2 8" xfId="38993"/>
    <cellStyle name="常规 3 4 2 8 2" xfId="38994"/>
    <cellStyle name="常规 3 4 2 8 2 2" xfId="38995"/>
    <cellStyle name="常规 3 4 2 9" xfId="38996"/>
    <cellStyle name="常规 3 4 2 9 2" xfId="38997"/>
    <cellStyle name="常规 3 4 2 9 3" xfId="38998"/>
    <cellStyle name="常规 3 4 3" xfId="38999"/>
    <cellStyle name="常规 3 4 3 2" xfId="39000"/>
    <cellStyle name="常规 3 4 3 2 2" xfId="39001"/>
    <cellStyle name="常规 3 4 3 2 2 2" xfId="39002"/>
    <cellStyle name="常规 3 4 3 2 2 2 2" xfId="39003"/>
    <cellStyle name="常规 3 4 3 2 3" xfId="39004"/>
    <cellStyle name="常规 3 4 3 2 3 2" xfId="39005"/>
    <cellStyle name="常规 3 4 3 2 3 2 2" xfId="39006"/>
    <cellStyle name="常规 3 4 3 2 4" xfId="39007"/>
    <cellStyle name="常规 3 4 3 2 4 2" xfId="39008"/>
    <cellStyle name="常规 3 4 3 2 4 2 2" xfId="39009"/>
    <cellStyle name="常规 3 4 3 2 5" xfId="39010"/>
    <cellStyle name="常规 3 4 3 2 5 2" xfId="39011"/>
    <cellStyle name="常规 3 4 3 2 5 3" xfId="39012"/>
    <cellStyle name="常规 3 4 3 2 6" xfId="39013"/>
    <cellStyle name="常规 3 4 3 3" xfId="39014"/>
    <cellStyle name="常规 3 4 3 3 2" xfId="39015"/>
    <cellStyle name="常规 3 4 3 3 2 2" xfId="39016"/>
    <cellStyle name="常规 3 4 3 3 2 2 2" xfId="39017"/>
    <cellStyle name="常规 3 4 3 3 3" xfId="39018"/>
    <cellStyle name="常规 3 4 3 3 3 2" xfId="39019"/>
    <cellStyle name="常规 3 4 3 3 3 2 2" xfId="39020"/>
    <cellStyle name="常规 3 4 3 3 4" xfId="39021"/>
    <cellStyle name="常规 3 4 3 3 4 2" xfId="39022"/>
    <cellStyle name="常规 3 4 3 3 5" xfId="39023"/>
    <cellStyle name="常规 3 4 3 4" xfId="39024"/>
    <cellStyle name="常规 3 4 3 4 2" xfId="39025"/>
    <cellStyle name="常规 3 4 3 4 2 2" xfId="39026"/>
    <cellStyle name="常规 3 4 3 5" xfId="39027"/>
    <cellStyle name="常规 3 4 3 5 2" xfId="39028"/>
    <cellStyle name="常规 3 4 3 5 2 2" xfId="39029"/>
    <cellStyle name="常规 3 4 3 6" xfId="39030"/>
    <cellStyle name="常规 3 4 3 7" xfId="39031"/>
    <cellStyle name="常规 3 4 3 7 2" xfId="39032"/>
    <cellStyle name="常规 3 4 3 7 3" xfId="39033"/>
    <cellStyle name="常规 3 4 3 8" xfId="39034"/>
    <cellStyle name="常规 3 4 3 8 2" xfId="39035"/>
    <cellStyle name="常规 3 4 4" xfId="39036"/>
    <cellStyle name="常规 3 4 4 2" xfId="39037"/>
    <cellStyle name="常规 3 4 4 2 2" xfId="39038"/>
    <cellStyle name="常规 3 4 4 2 2 2" xfId="39039"/>
    <cellStyle name="常规 3 4 4 2 2 2 2" xfId="39040"/>
    <cellStyle name="常规 3 4 4 2 3" xfId="39041"/>
    <cellStyle name="常规 3 4 4 2 3 2" xfId="39042"/>
    <cellStyle name="常规 3 4 4 2 3 2 2" xfId="39043"/>
    <cellStyle name="常规 3 4 4 2 4" xfId="39044"/>
    <cellStyle name="常规 3 4 4 2 4 2" xfId="39045"/>
    <cellStyle name="常规 3 4 4 2 4 2 2" xfId="39046"/>
    <cellStyle name="常规 3 4 4 2 5" xfId="39047"/>
    <cellStyle name="常规 3 4 4 2 5 2" xfId="39048"/>
    <cellStyle name="常规 3 4 4 2 5 3" xfId="39049"/>
    <cellStyle name="常规 3 4 4 2 6" xfId="39050"/>
    <cellStyle name="常规 3 4 4 3" xfId="39051"/>
    <cellStyle name="常规 3 4 4 3 2" xfId="39052"/>
    <cellStyle name="常规 3 4 4 3 2 2" xfId="39053"/>
    <cellStyle name="常规 3 4 4 4" xfId="39054"/>
    <cellStyle name="常规 3 4 4 4 2" xfId="39055"/>
    <cellStyle name="常规 3 4 4 4 2 2" xfId="39056"/>
    <cellStyle name="常规 3 4 4 5" xfId="39057"/>
    <cellStyle name="常规 3 4 4 5 2" xfId="39058"/>
    <cellStyle name="常规 3 4 4 5 2 2" xfId="39059"/>
    <cellStyle name="常规 3 4 4 6" xfId="39060"/>
    <cellStyle name="常规 3 4 4 7" xfId="39061"/>
    <cellStyle name="常规 3 4 4 7 2" xfId="39062"/>
    <cellStyle name="常规 3 4 4 7 3" xfId="39063"/>
    <cellStyle name="常规 3 4 4 8" xfId="39064"/>
    <cellStyle name="常规 3 4 4 8 2" xfId="39065"/>
    <cellStyle name="常规 3 4 5" xfId="39066"/>
    <cellStyle name="常规 3 4 5 2" xfId="39067"/>
    <cellStyle name="常规 3 4 5 2 2" xfId="39068"/>
    <cellStyle name="常规 3 4 5 2 2 2" xfId="39069"/>
    <cellStyle name="常规 3 4 5 2 2 2 2" xfId="39070"/>
    <cellStyle name="常规 3 4 5 2 3" xfId="39071"/>
    <cellStyle name="常规 3 4 5 2 3 2" xfId="39072"/>
    <cellStyle name="常规 3 4 5 2 3 2 2" xfId="39073"/>
    <cellStyle name="常规 3 4 5 2 4" xfId="39074"/>
    <cellStyle name="常规 3 4 5 2 4 2" xfId="39075"/>
    <cellStyle name="常规 3 4 5 2 5" xfId="39076"/>
    <cellStyle name="常规 3 4 5 3" xfId="39077"/>
    <cellStyle name="常规 3 4 5 3 2" xfId="39078"/>
    <cellStyle name="常规 3 4 5 3 2 2" xfId="39079"/>
    <cellStyle name="常规 3 4 5 4" xfId="39080"/>
    <cellStyle name="常规 3 4 5 4 2" xfId="39081"/>
    <cellStyle name="常规 3 4 5 4 2 2" xfId="39082"/>
    <cellStyle name="常规 3 4 5 5" xfId="39083"/>
    <cellStyle name="常规 3 4 5 5 2" xfId="39084"/>
    <cellStyle name="常规 3 4 5 5 3" xfId="39085"/>
    <cellStyle name="常规 3 4 5 6" xfId="39086"/>
    <cellStyle name="常规 3 4 6" xfId="39087"/>
    <cellStyle name="常规 3 4 6 2" xfId="39088"/>
    <cellStyle name="常规 3 4 6 2 2" xfId="39089"/>
    <cellStyle name="常规 3 4 6 2 2 2" xfId="39090"/>
    <cellStyle name="常规 3 4 6 3" xfId="39091"/>
    <cellStyle name="常规 3 4 6 3 2" xfId="39092"/>
    <cellStyle name="常规 3 4 6 3 2 2" xfId="39093"/>
    <cellStyle name="常规 3 4 6 4" xfId="39094"/>
    <cellStyle name="常规 3 4 6 4 2" xfId="39095"/>
    <cellStyle name="常规 3 4 6 5" xfId="39096"/>
    <cellStyle name="常规 3 4 7" xfId="39097"/>
    <cellStyle name="常规 3 4 7 2" xfId="39098"/>
    <cellStyle name="常规 3 4 7 2 2" xfId="39099"/>
    <cellStyle name="常规 3 4 8" xfId="39100"/>
    <cellStyle name="常规 3 4 8 2" xfId="39101"/>
    <cellStyle name="常规 3 4 8 2 2" xfId="39102"/>
    <cellStyle name="常规 3 4 9" xfId="39103"/>
    <cellStyle name="常规 3 5" xfId="39104"/>
    <cellStyle name="常规 3 5 10" xfId="39105"/>
    <cellStyle name="常规 3 5 10 2" xfId="39106"/>
    <cellStyle name="常规 3 5 2" xfId="39107"/>
    <cellStyle name="常规 3 5 2 10" xfId="39108"/>
    <cellStyle name="常规 3 5 2 10 2" xfId="39109"/>
    <cellStyle name="常规 3 5 2 2" xfId="39110"/>
    <cellStyle name="常规 3 5 2 2 2" xfId="39111"/>
    <cellStyle name="常规 3 5 2 2 2 2" xfId="39112"/>
    <cellStyle name="常规 3 5 2 2 2 2 2" xfId="39113"/>
    <cellStyle name="常规 3 5 2 2 2 2 2 2" xfId="39114"/>
    <cellStyle name="常规 3 5 2 2 2 2 2 2 2" xfId="39115"/>
    <cellStyle name="常规 3 5 2 2 2 2 3" xfId="39116"/>
    <cellStyle name="常规 3 5 2 2 2 2 3 2" xfId="39117"/>
    <cellStyle name="常规 3 5 2 2 2 2 3 2 2" xfId="39118"/>
    <cellStyle name="常规 3 5 2 2 2 2 4" xfId="39119"/>
    <cellStyle name="常规 3 5 2 2 2 2 4 2" xfId="39120"/>
    <cellStyle name="常规 3 5 2 2 2 2 4 2 2" xfId="39121"/>
    <cellStyle name="常规 3 5 2 2 2 2 5" xfId="39122"/>
    <cellStyle name="常规 3 5 2 2 2 2 5 2" xfId="39123"/>
    <cellStyle name="常规 3 5 2 2 2 2 5 3" xfId="39124"/>
    <cellStyle name="常规 3 5 2 2 2 2 6" xfId="39125"/>
    <cellStyle name="常规 3 5 2 2 2 3" xfId="39126"/>
    <cellStyle name="常规 3 5 2 2 2 3 2" xfId="39127"/>
    <cellStyle name="常规 3 5 2 2 2 3 2 2" xfId="39128"/>
    <cellStyle name="常规 3 5 2 2 2 3 2 2 2" xfId="39129"/>
    <cellStyle name="常规 3 5 2 2 2 3 3" xfId="39130"/>
    <cellStyle name="常规 3 5 2 2 2 3 3 2" xfId="39131"/>
    <cellStyle name="常规 3 5 2 2 2 3 3 2 2" xfId="39132"/>
    <cellStyle name="常规 3 5 2 2 2 3 4" xfId="39133"/>
    <cellStyle name="常规 3 5 2 2 2 3 4 2" xfId="39134"/>
    <cellStyle name="常规 3 5 2 2 2 3 5" xfId="39135"/>
    <cellStyle name="常规 3 5 2 2 2 4" xfId="39136"/>
    <cellStyle name="常规 3 5 2 2 2 4 2" xfId="39137"/>
    <cellStyle name="常规 3 5 2 2 2 4 2 2" xfId="39138"/>
    <cellStyle name="常规 3 5 2 2 2 5" xfId="39139"/>
    <cellStyle name="常规 3 5 2 2 2 5 2" xfId="39140"/>
    <cellStyle name="常规 3 5 2 2 2 5 2 2" xfId="39141"/>
    <cellStyle name="常规 3 5 2 2 2 6" xfId="39142"/>
    <cellStyle name="常规 3 5 2 2 2 7" xfId="39143"/>
    <cellStyle name="常规 3 5 2 2 2 7 2" xfId="39144"/>
    <cellStyle name="常规 3 5 2 2 2 7 3" xfId="39145"/>
    <cellStyle name="常规 3 5 2 2 2 8" xfId="39146"/>
    <cellStyle name="常规 3 5 2 2 2 8 2" xfId="39147"/>
    <cellStyle name="常规 3 5 2 2 3" xfId="39148"/>
    <cellStyle name="常规 3 5 2 2 3 2" xfId="39149"/>
    <cellStyle name="常规 3 5 2 2 3 2 2" xfId="39150"/>
    <cellStyle name="常规 3 5 2 2 3 2 3" xfId="39151"/>
    <cellStyle name="常规 3 5 2 2 3 2 4" xfId="39152"/>
    <cellStyle name="常规 3 5 2 2 3 2 5" xfId="39153"/>
    <cellStyle name="常规 3 5 2 2 3 2 5 2" xfId="39154"/>
    <cellStyle name="常规 3 5 2 2 3 3" xfId="39155"/>
    <cellStyle name="常规 3 5 2 2 3 3 2" xfId="39156"/>
    <cellStyle name="常规 3 5 2 2 3 3 2 2" xfId="39157"/>
    <cellStyle name="常规 3 5 2 2 3 4" xfId="39158"/>
    <cellStyle name="常规 3 5 2 2 3 4 2" xfId="39159"/>
    <cellStyle name="常规 3 5 2 2 3 4 2 2" xfId="39160"/>
    <cellStyle name="常规 3 5 2 2 3 5" xfId="39161"/>
    <cellStyle name="常规 3 5 2 2 3 5 2" xfId="39162"/>
    <cellStyle name="常规 3 5 2 2 3 5 3" xfId="39163"/>
    <cellStyle name="常规 3 5 2 2 3 6" xfId="39164"/>
    <cellStyle name="常规 3 5 2 2 3 6 2" xfId="39165"/>
    <cellStyle name="常规 3 5 2 2 3 7" xfId="39166"/>
    <cellStyle name="常规 3 5 2 2 4" xfId="39167"/>
    <cellStyle name="常规 3 5 2 2 4 2" xfId="39168"/>
    <cellStyle name="常规 3 5 2 2 4 3" xfId="39169"/>
    <cellStyle name="常规 3 5 2 2 4 4" xfId="39170"/>
    <cellStyle name="常规 3 5 2 2 4 5" xfId="39171"/>
    <cellStyle name="常规 3 5 2 2 4 5 2" xfId="39172"/>
    <cellStyle name="常规 3 5 2 2 5" xfId="39173"/>
    <cellStyle name="常规 3 5 2 2 5 2" xfId="39174"/>
    <cellStyle name="常规 3 5 2 2 5 2 2" xfId="39175"/>
    <cellStyle name="常规 3 5 2 2 6" xfId="39176"/>
    <cellStyle name="常规 3 5 2 2 6 2" xfId="39177"/>
    <cellStyle name="常规 3 5 2 2 6 2 2" xfId="39178"/>
    <cellStyle name="常规 3 5 2 2 7" xfId="39179"/>
    <cellStyle name="常规 3 5 2 2 7 2" xfId="39180"/>
    <cellStyle name="常规 3 5 2 2 7 2 2" xfId="39181"/>
    <cellStyle name="常规 3 5 2 2 8" xfId="39182"/>
    <cellStyle name="常规 3 5 2 2 8 2" xfId="39183"/>
    <cellStyle name="常规 3 5 2 2 8 3" xfId="39184"/>
    <cellStyle name="常规 3 5 2 2 9" xfId="39185"/>
    <cellStyle name="常规 3 5 2 2 9 2" xfId="39186"/>
    <cellStyle name="常规 3 5 2 3" xfId="39187"/>
    <cellStyle name="常规 3 5 2 3 2" xfId="39188"/>
    <cellStyle name="常规 3 5 2 3 2 2" xfId="39189"/>
    <cellStyle name="常规 3 5 2 3 2 2 2" xfId="39190"/>
    <cellStyle name="常规 3 5 2 3 2 2 2 2" xfId="39191"/>
    <cellStyle name="常规 3 5 2 3 2 3" xfId="39192"/>
    <cellStyle name="常规 3 5 2 3 2 3 2" xfId="39193"/>
    <cellStyle name="常规 3 5 2 3 2 3 2 2" xfId="39194"/>
    <cellStyle name="常规 3 5 2 3 2 4" xfId="39195"/>
    <cellStyle name="常规 3 5 2 3 2 4 2" xfId="39196"/>
    <cellStyle name="常规 3 5 2 3 2 4 2 2" xfId="39197"/>
    <cellStyle name="常规 3 5 2 3 2 5" xfId="39198"/>
    <cellStyle name="常规 3 5 2 3 2 5 2" xfId="39199"/>
    <cellStyle name="常规 3 5 2 3 2 5 3" xfId="39200"/>
    <cellStyle name="常规 3 5 2 3 2 6" xfId="39201"/>
    <cellStyle name="常规 3 5 2 3 3" xfId="39202"/>
    <cellStyle name="常规 3 5 2 3 3 2" xfId="39203"/>
    <cellStyle name="常规 3 5 2 3 3 2 2" xfId="39204"/>
    <cellStyle name="常规 3 5 2 3 3 2 2 2" xfId="39205"/>
    <cellStyle name="常规 3 5 2 3 3 3" xfId="39206"/>
    <cellStyle name="常规 3 5 2 3 3 3 2" xfId="39207"/>
    <cellStyle name="常规 3 5 2 3 3 3 2 2" xfId="39208"/>
    <cellStyle name="常规 3 5 2 3 3 4" xfId="39209"/>
    <cellStyle name="常规 3 5 2 3 3 4 2" xfId="39210"/>
    <cellStyle name="常规 3 5 2 3 3 5" xfId="39211"/>
    <cellStyle name="常规 3 5 2 3 4" xfId="39212"/>
    <cellStyle name="常规 3 5 2 3 4 2" xfId="39213"/>
    <cellStyle name="常规 3 5 2 3 4 2 2" xfId="39214"/>
    <cellStyle name="常规 3 5 2 3 5" xfId="39215"/>
    <cellStyle name="常规 3 5 2 3 5 2" xfId="39216"/>
    <cellStyle name="常规 3 5 2 3 5 2 2" xfId="39217"/>
    <cellStyle name="常规 3 5 2 3 6" xfId="39218"/>
    <cellStyle name="常规 3 5 2 3 7" xfId="39219"/>
    <cellStyle name="常规 3 5 2 3 7 2" xfId="39220"/>
    <cellStyle name="常规 3 5 2 3 7 3" xfId="39221"/>
    <cellStyle name="常规 3 5 2 3 8" xfId="39222"/>
    <cellStyle name="常规 3 5 2 3 8 2" xfId="39223"/>
    <cellStyle name="常规 3 5 2 4" xfId="39224"/>
    <cellStyle name="常规 3 5 2 4 2" xfId="39225"/>
    <cellStyle name="常规 3 5 2 4 2 2" xfId="39226"/>
    <cellStyle name="常规 3 5 2 4 2 3" xfId="39227"/>
    <cellStyle name="常规 3 5 2 4 2 4" xfId="39228"/>
    <cellStyle name="常规 3 5 2 4 2 5" xfId="39229"/>
    <cellStyle name="常规 3 5 2 4 2 5 2" xfId="39230"/>
    <cellStyle name="常规 3 5 2 4 3" xfId="39231"/>
    <cellStyle name="常规 3 5 2 4 3 2" xfId="39232"/>
    <cellStyle name="常规 3 5 2 4 3 2 2" xfId="39233"/>
    <cellStyle name="常规 3 5 2 4 4" xfId="39234"/>
    <cellStyle name="常规 3 5 2 4 4 2" xfId="39235"/>
    <cellStyle name="常规 3 5 2 4 4 2 2" xfId="39236"/>
    <cellStyle name="常规 3 5 2 4 5" xfId="39237"/>
    <cellStyle name="常规 3 5 2 4 5 2" xfId="39238"/>
    <cellStyle name="常规 3 5 2 4 5 3" xfId="39239"/>
    <cellStyle name="常规 3 5 2 4 6" xfId="39240"/>
    <cellStyle name="常规 3 5 2 4 6 2" xfId="39241"/>
    <cellStyle name="常规 3 5 2 4 7" xfId="39242"/>
    <cellStyle name="常规 3 5 2 5" xfId="39243"/>
    <cellStyle name="常规 3 5 2 5 2" xfId="39244"/>
    <cellStyle name="常规 3 5 2 5 3" xfId="39245"/>
    <cellStyle name="常规 3 5 2 5 4" xfId="39246"/>
    <cellStyle name="常规 3 5 2 5 5" xfId="39247"/>
    <cellStyle name="常规 3 5 2 5 5 2" xfId="39248"/>
    <cellStyle name="常规 3 5 2 6" xfId="39249"/>
    <cellStyle name="常规 3 5 2 6 2" xfId="39250"/>
    <cellStyle name="常规 3 5 2 6 2 2" xfId="39251"/>
    <cellStyle name="常规 3 5 2 7" xfId="39252"/>
    <cellStyle name="常规 3 5 2 7 2" xfId="39253"/>
    <cellStyle name="常规 3 5 2 7 2 2" xfId="39254"/>
    <cellStyle name="常规 3 5 2 8" xfId="39255"/>
    <cellStyle name="常规 3 5 2 8 2" xfId="39256"/>
    <cellStyle name="常规 3 5 2 8 2 2" xfId="39257"/>
    <cellStyle name="常规 3 5 2 9" xfId="39258"/>
    <cellStyle name="常规 3 5 2 9 2" xfId="39259"/>
    <cellStyle name="常规 3 5 2 9 3" xfId="39260"/>
    <cellStyle name="常规 3 5 3" xfId="39261"/>
    <cellStyle name="常规 3 5 3 2" xfId="39262"/>
    <cellStyle name="常规 3 5 3 2 2" xfId="39263"/>
    <cellStyle name="常规 3 5 3 2 2 2" xfId="39264"/>
    <cellStyle name="常规 3 5 3 2 2 2 2" xfId="39265"/>
    <cellStyle name="常规 3 5 3 2 3" xfId="39266"/>
    <cellStyle name="常规 3 5 3 2 3 2" xfId="39267"/>
    <cellStyle name="常规 3 5 3 2 3 2 2" xfId="39268"/>
    <cellStyle name="常规 3 5 3 2 4" xfId="39269"/>
    <cellStyle name="常规 3 5 3 2 4 2" xfId="39270"/>
    <cellStyle name="常规 3 5 3 2 4 2 2" xfId="39271"/>
    <cellStyle name="常规 3 5 3 2 5" xfId="39272"/>
    <cellStyle name="常规 3 5 3 2 5 2" xfId="39273"/>
    <cellStyle name="常规 3 5 3 2 5 3" xfId="39274"/>
    <cellStyle name="常规 3 5 3 2 6" xfId="39275"/>
    <cellStyle name="常规 3 5 3 3" xfId="39276"/>
    <cellStyle name="常规 3 5 3 3 2" xfId="39277"/>
    <cellStyle name="常规 3 5 3 3 2 2" xfId="39278"/>
    <cellStyle name="常规 3 5 3 3 2 2 2" xfId="39279"/>
    <cellStyle name="常规 3 5 3 3 3" xfId="39280"/>
    <cellStyle name="常规 3 5 3 3 3 2" xfId="39281"/>
    <cellStyle name="常规 3 5 3 3 3 2 2" xfId="39282"/>
    <cellStyle name="常规 3 5 3 3 4" xfId="39283"/>
    <cellStyle name="常规 3 5 3 3 4 2" xfId="39284"/>
    <cellStyle name="常规 3 5 3 3 5" xfId="39285"/>
    <cellStyle name="常规 3 5 3 4" xfId="39286"/>
    <cellStyle name="常规 3 5 3 4 2" xfId="39287"/>
    <cellStyle name="常规 3 5 3 4 2 2" xfId="39288"/>
    <cellStyle name="常规 3 5 3 5" xfId="39289"/>
    <cellStyle name="常规 3 5 3 5 2" xfId="39290"/>
    <cellStyle name="常规 3 5 3 5 2 2" xfId="39291"/>
    <cellStyle name="常规 3 5 3 6" xfId="39292"/>
    <cellStyle name="常规 3 5 3 7" xfId="39293"/>
    <cellStyle name="常规 3 5 3 7 2" xfId="39294"/>
    <cellStyle name="常规 3 5 3 7 3" xfId="39295"/>
    <cellStyle name="常规 3 5 3 8" xfId="39296"/>
    <cellStyle name="常规 3 5 3 8 2" xfId="39297"/>
    <cellStyle name="常规 3 5 4" xfId="39298"/>
    <cellStyle name="常规 3 5 4 2" xfId="39299"/>
    <cellStyle name="常规 3 5 4 2 2" xfId="39300"/>
    <cellStyle name="常规 3 5 4 2 2 2" xfId="39301"/>
    <cellStyle name="常规 3 5 4 2 2 2 2" xfId="39302"/>
    <cellStyle name="常规 3 5 4 2 3" xfId="39303"/>
    <cellStyle name="常规 3 5 4 2 3 2" xfId="39304"/>
    <cellStyle name="常规 3 5 4 2 3 2 2" xfId="39305"/>
    <cellStyle name="常规 3 5 4 2 4" xfId="39306"/>
    <cellStyle name="常规 3 5 4 2 4 2" xfId="39307"/>
    <cellStyle name="常规 3 5 4 2 4 2 2" xfId="39308"/>
    <cellStyle name="常规 3 5 4 2 5" xfId="39309"/>
    <cellStyle name="常规 3 5 4 2 5 2" xfId="39310"/>
    <cellStyle name="常规 3 5 4 2 5 3" xfId="39311"/>
    <cellStyle name="常规 3 5 4 2 6" xfId="39312"/>
    <cellStyle name="常规 3 5 4 3" xfId="39313"/>
    <cellStyle name="常规 3 5 4 3 2" xfId="39314"/>
    <cellStyle name="常规 3 5 4 3 2 2" xfId="39315"/>
    <cellStyle name="常规 3 5 4 4" xfId="39316"/>
    <cellStyle name="常规 3 5 4 4 2" xfId="39317"/>
    <cellStyle name="常规 3 5 4 4 2 2" xfId="39318"/>
    <cellStyle name="常规 3 5 4 5" xfId="39319"/>
    <cellStyle name="常规 3 5 4 5 2" xfId="39320"/>
    <cellStyle name="常规 3 5 4 5 2 2" xfId="39321"/>
    <cellStyle name="常规 3 5 4 6" xfId="39322"/>
    <cellStyle name="常规 3 5 4 7" xfId="39323"/>
    <cellStyle name="常规 3 5 4 7 2" xfId="39324"/>
    <cellStyle name="常规 3 5 4 7 3" xfId="39325"/>
    <cellStyle name="常规 3 5 4 8" xfId="39326"/>
    <cellStyle name="常规 3 5 4 8 2" xfId="39327"/>
    <cellStyle name="常规 3 5 5" xfId="39328"/>
    <cellStyle name="常规 3 5 5 2" xfId="39329"/>
    <cellStyle name="常规 3 5 5 2 2" xfId="39330"/>
    <cellStyle name="常规 3 5 5 2 2 2" xfId="39331"/>
    <cellStyle name="常规 3 5 5 2 2 2 2" xfId="39332"/>
    <cellStyle name="常规 3 5 5 2 3" xfId="39333"/>
    <cellStyle name="常规 3 5 5 2 3 2" xfId="39334"/>
    <cellStyle name="常规 3 5 5 2 3 2 2" xfId="39335"/>
    <cellStyle name="常规 3 5 5 2 4" xfId="39336"/>
    <cellStyle name="常规 3 5 5 2 4 2" xfId="39337"/>
    <cellStyle name="常规 3 5 5 2 5" xfId="39338"/>
    <cellStyle name="常规 3 5 5 3" xfId="39339"/>
    <cellStyle name="常规 3 5 5 3 2" xfId="39340"/>
    <cellStyle name="常规 3 5 5 3 2 2" xfId="39341"/>
    <cellStyle name="常规 3 5 5 4" xfId="39342"/>
    <cellStyle name="常规 3 5 5 4 2" xfId="39343"/>
    <cellStyle name="常规 3 5 5 4 2 2" xfId="39344"/>
    <cellStyle name="常规 3 5 5 5" xfId="39345"/>
    <cellStyle name="常规 3 5 5 5 2" xfId="39346"/>
    <cellStyle name="常规 3 5 5 5 3" xfId="39347"/>
    <cellStyle name="常规 3 5 5 6" xfId="39348"/>
    <cellStyle name="常规 3 5 6" xfId="39349"/>
    <cellStyle name="常规 3 5 6 2" xfId="39350"/>
    <cellStyle name="常规 3 5 6 2 2" xfId="39351"/>
    <cellStyle name="常规 3 5 6 2 2 2" xfId="39352"/>
    <cellStyle name="常规 3 5 6 3" xfId="39353"/>
    <cellStyle name="常规 3 5 6 3 2" xfId="39354"/>
    <cellStyle name="常规 3 5 6 3 2 2" xfId="39355"/>
    <cellStyle name="常规 3 5 6 4" xfId="39356"/>
    <cellStyle name="常规 3 5 6 4 2" xfId="39357"/>
    <cellStyle name="常规 3 5 6 5" xfId="39358"/>
    <cellStyle name="常规 3 5 7" xfId="39359"/>
    <cellStyle name="常规 3 5 7 2" xfId="39360"/>
    <cellStyle name="常规 3 5 7 2 2" xfId="39361"/>
    <cellStyle name="常规 3 5 8" xfId="39362"/>
    <cellStyle name="常规 3 5 8 2" xfId="39363"/>
    <cellStyle name="常规 3 5 8 2 2" xfId="39364"/>
    <cellStyle name="常规 3 5 9" xfId="39365"/>
    <cellStyle name="常规 3 5 9 2" xfId="39366"/>
    <cellStyle name="常规 3 5 9 3" xfId="39367"/>
    <cellStyle name="常规 3 6" xfId="39368"/>
    <cellStyle name="常规 3 6 10" xfId="39369"/>
    <cellStyle name="常规 3 6 10 2" xfId="39370"/>
    <cellStyle name="常规 3 6 10 3" xfId="39371"/>
    <cellStyle name="常规 3 6 11" xfId="39372"/>
    <cellStyle name="常规 3 6 11 2" xfId="39373"/>
    <cellStyle name="常规 3 6 2" xfId="39374"/>
    <cellStyle name="常规 3 6 2 10" xfId="39375"/>
    <cellStyle name="常规 3 6 2 10 2" xfId="39376"/>
    <cellStyle name="常规 3 6 2 2" xfId="39377"/>
    <cellStyle name="常规 3 6 2 2 2" xfId="39378"/>
    <cellStyle name="常规 3 6 2 2 2 2" xfId="39379"/>
    <cellStyle name="常规 3 6 2 2 2 2 2" xfId="39380"/>
    <cellStyle name="常规 3 6 2 2 2 2 2 2" xfId="39381"/>
    <cellStyle name="常规 3 6 2 2 2 2 2 2 2" xfId="39382"/>
    <cellStyle name="常规 3 6 2 2 2 2 3" xfId="39383"/>
    <cellStyle name="常规 3 6 2 2 2 2 3 2" xfId="39384"/>
    <cellStyle name="常规 3 6 2 2 2 2 3 2 2" xfId="39385"/>
    <cellStyle name="常规 3 6 2 2 2 2 4" xfId="39386"/>
    <cellStyle name="常规 3 6 2 2 2 2 4 2" xfId="39387"/>
    <cellStyle name="常规 3 6 2 2 2 2 4 2 2" xfId="39388"/>
    <cellStyle name="常规 3 6 2 2 2 2 5" xfId="39389"/>
    <cellStyle name="常规 3 6 2 2 2 2 5 2" xfId="39390"/>
    <cellStyle name="常规 3 6 2 2 2 2 5 3" xfId="39391"/>
    <cellStyle name="常规 3 6 2 2 2 2 6" xfId="39392"/>
    <cellStyle name="常规 3 6 2 2 2 3" xfId="39393"/>
    <cellStyle name="常规 3 6 2 2 2 3 2" xfId="39394"/>
    <cellStyle name="常规 3 6 2 2 2 3 2 2" xfId="39395"/>
    <cellStyle name="常规 3 6 2 2 2 3 2 2 2" xfId="39396"/>
    <cellStyle name="常规 3 6 2 2 2 3 3" xfId="39397"/>
    <cellStyle name="常规 3 6 2 2 2 3 3 2" xfId="39398"/>
    <cellStyle name="常规 3 6 2 2 2 3 3 2 2" xfId="39399"/>
    <cellStyle name="常规 3 6 2 2 2 3 4" xfId="39400"/>
    <cellStyle name="常规 3 6 2 2 2 3 4 2" xfId="39401"/>
    <cellStyle name="常规 3 6 2 2 2 3 5" xfId="39402"/>
    <cellStyle name="常规 3 6 2 2 2 4" xfId="39403"/>
    <cellStyle name="常规 3 6 2 2 2 4 2" xfId="39404"/>
    <cellStyle name="常规 3 6 2 2 2 4 2 2" xfId="39405"/>
    <cellStyle name="常规 3 6 2 2 2 5" xfId="39406"/>
    <cellStyle name="常规 3 6 2 2 2 5 2" xfId="39407"/>
    <cellStyle name="常规 3 6 2 2 2 5 2 2" xfId="39408"/>
    <cellStyle name="常规 3 6 2 2 2 6" xfId="39409"/>
    <cellStyle name="常规 3 6 2 2 2 7" xfId="39410"/>
    <cellStyle name="常规 3 6 2 2 2 7 2" xfId="39411"/>
    <cellStyle name="常规 3 6 2 2 2 7 3" xfId="39412"/>
    <cellStyle name="常规 3 6 2 2 2 8" xfId="39413"/>
    <cellStyle name="常规 3 6 2 2 2 8 2" xfId="39414"/>
    <cellStyle name="常规 3 6 2 2 3" xfId="39415"/>
    <cellStyle name="常规 3 6 2 2 3 2" xfId="39416"/>
    <cellStyle name="常规 3 6 2 2 3 2 2" xfId="39417"/>
    <cellStyle name="常规 3 6 2 2 3 2 3" xfId="39418"/>
    <cellStyle name="常规 3 6 2 2 3 2 4" xfId="39419"/>
    <cellStyle name="常规 3 6 2 2 3 2 5" xfId="39420"/>
    <cellStyle name="常规 3 6 2 2 3 2 5 2" xfId="39421"/>
    <cellStyle name="常规 3 6 2 2 3 3" xfId="39422"/>
    <cellStyle name="常规 3 6 2 2 3 3 2" xfId="39423"/>
    <cellStyle name="常规 3 6 2 2 3 3 2 2" xfId="39424"/>
    <cellStyle name="常规 3 6 2 2 3 4" xfId="39425"/>
    <cellStyle name="常规 3 6 2 2 3 4 2" xfId="39426"/>
    <cellStyle name="常规 3 6 2 2 3 4 2 2" xfId="39427"/>
    <cellStyle name="常规 3 6 2 2 3 5" xfId="39428"/>
    <cellStyle name="常规 3 6 2 2 3 5 2" xfId="39429"/>
    <cellStyle name="常规 3 6 2 2 3 5 3" xfId="39430"/>
    <cellStyle name="常规 3 6 2 2 3 6" xfId="39431"/>
    <cellStyle name="常规 3 6 2 2 3 6 2" xfId="39432"/>
    <cellStyle name="常规 3 6 2 2 3 7" xfId="39433"/>
    <cellStyle name="常规 3 6 2 2 4" xfId="39434"/>
    <cellStyle name="常规 3 6 2 2 4 2" xfId="39435"/>
    <cellStyle name="常规 3 6 2 2 4 3" xfId="39436"/>
    <cellStyle name="常规 3 6 2 2 4 4" xfId="39437"/>
    <cellStyle name="常规 3 6 2 2 4 5" xfId="39438"/>
    <cellStyle name="常规 3 6 2 2 4 5 2" xfId="39439"/>
    <cellStyle name="常规 3 6 2 2 5" xfId="39440"/>
    <cellStyle name="常规 3 6 2 2 5 2" xfId="39441"/>
    <cellStyle name="常规 3 6 2 2 5 2 2" xfId="39442"/>
    <cellStyle name="常规 3 6 2 2 6" xfId="39443"/>
    <cellStyle name="常规 3 6 2 2 6 2" xfId="39444"/>
    <cellStyle name="常规 3 6 2 2 6 2 2" xfId="39445"/>
    <cellStyle name="常规 3 6 2 2 7" xfId="39446"/>
    <cellStyle name="常规 3 6 2 2 7 2" xfId="39447"/>
    <cellStyle name="常规 3 6 2 2 7 2 2" xfId="39448"/>
    <cellStyle name="常规 3 6 2 2 8" xfId="39449"/>
    <cellStyle name="常规 3 6 2 2 8 2" xfId="39450"/>
    <cellStyle name="常规 3 6 2 2 8 3" xfId="39451"/>
    <cellStyle name="常规 3 6 2 2 9" xfId="39452"/>
    <cellStyle name="常规 3 6 2 2 9 2" xfId="39453"/>
    <cellStyle name="常规 3 6 2 3" xfId="39454"/>
    <cellStyle name="常规 3 6 2 3 2" xfId="39455"/>
    <cellStyle name="常规 3 6 2 3 2 2" xfId="39456"/>
    <cellStyle name="常规 3 6 2 3 2 2 2" xfId="39457"/>
    <cellStyle name="常规 3 6 2 3 2 2 2 2" xfId="39458"/>
    <cellStyle name="常规 3 6 2 3 2 3" xfId="39459"/>
    <cellStyle name="常规 3 6 2 3 2 3 2" xfId="39460"/>
    <cellStyle name="常规 3 6 2 3 2 3 2 2" xfId="39461"/>
    <cellStyle name="常规 3 6 2 3 2 4" xfId="39462"/>
    <cellStyle name="常规 3 6 2 3 2 4 2" xfId="39463"/>
    <cellStyle name="常规 3 6 2 3 2 4 2 2" xfId="39464"/>
    <cellStyle name="常规 3 6 2 3 2 5" xfId="39465"/>
    <cellStyle name="常规 3 6 2 3 2 5 2" xfId="39466"/>
    <cellStyle name="常规 3 6 2 3 2 5 3" xfId="39467"/>
    <cellStyle name="常规 3 6 2 3 2 6" xfId="39468"/>
    <cellStyle name="常规 3 6 2 3 3" xfId="39469"/>
    <cellStyle name="常规 3 6 2 3 3 2" xfId="39470"/>
    <cellStyle name="常规 3 6 2 3 3 2 2" xfId="39471"/>
    <cellStyle name="常规 3 6 2 3 3 2 2 2" xfId="39472"/>
    <cellStyle name="常规 3 6 2 3 3 3" xfId="39473"/>
    <cellStyle name="常规 3 6 2 3 3 3 2" xfId="39474"/>
    <cellStyle name="常规 3 6 2 3 3 3 2 2" xfId="39475"/>
    <cellStyle name="常规 3 6 2 3 3 4" xfId="39476"/>
    <cellStyle name="常规 3 6 2 3 3 4 2" xfId="39477"/>
    <cellStyle name="常规 3 6 2 3 3 5" xfId="39478"/>
    <cellStyle name="常规 3 6 2 3 4" xfId="39479"/>
    <cellStyle name="常规 3 6 2 3 4 2" xfId="39480"/>
    <cellStyle name="常规 3 6 2 3 4 2 2" xfId="39481"/>
    <cellStyle name="常规 3 6 2 3 5" xfId="39482"/>
    <cellStyle name="常规 3 6 2 3 5 2" xfId="39483"/>
    <cellStyle name="常规 3 6 2 3 5 2 2" xfId="39484"/>
    <cellStyle name="常规 3 6 2 3 6" xfId="39485"/>
    <cellStyle name="常规 3 6 2 3 7" xfId="39486"/>
    <cellStyle name="常规 3 6 2 3 7 2" xfId="39487"/>
    <cellStyle name="常规 3 6 2 3 7 3" xfId="39488"/>
    <cellStyle name="常规 3 6 2 3 8" xfId="39489"/>
    <cellStyle name="常规 3 6 2 3 8 2" xfId="39490"/>
    <cellStyle name="常规 3 6 2 4" xfId="39491"/>
    <cellStyle name="常规 3 6 2 4 2" xfId="39492"/>
    <cellStyle name="常规 3 6 2 4 2 2" xfId="39493"/>
    <cellStyle name="常规 3 6 2 4 2 3" xfId="39494"/>
    <cellStyle name="常规 3 6 2 4 2 4" xfId="39495"/>
    <cellStyle name="常规 3 6 2 4 2 5" xfId="39496"/>
    <cellStyle name="常规 3 6 2 4 2 5 2" xfId="39497"/>
    <cellStyle name="常规 3 6 2 4 3" xfId="39498"/>
    <cellStyle name="常规 3 6 2 4 3 2" xfId="39499"/>
    <cellStyle name="常规 3 6 2 4 3 2 2" xfId="39500"/>
    <cellStyle name="常规 3 6 2 4 4" xfId="39501"/>
    <cellStyle name="常规 3 6 2 4 4 2" xfId="39502"/>
    <cellStyle name="常规 3 6 2 4 4 2 2" xfId="39503"/>
    <cellStyle name="常规 3 6 2 4 5" xfId="39504"/>
    <cellStyle name="常规 3 6 2 4 5 2" xfId="39505"/>
    <cellStyle name="常规 3 6 2 4 5 3" xfId="39506"/>
    <cellStyle name="常规 3 6 2 4 6" xfId="39507"/>
    <cellStyle name="常规 3 6 2 4 6 2" xfId="39508"/>
    <cellStyle name="常规 3 6 2 4 7" xfId="39509"/>
    <cellStyle name="常规 3 6 2 5" xfId="39510"/>
    <cellStyle name="常规 3 6 2 5 2" xfId="39511"/>
    <cellStyle name="常规 3 6 2 5 3" xfId="39512"/>
    <cellStyle name="常规 3 6 2 5 4" xfId="39513"/>
    <cellStyle name="常规 3 6 2 5 5" xfId="39514"/>
    <cellStyle name="常规 3 6 2 5 5 2" xfId="39515"/>
    <cellStyle name="常规 3 6 2 6" xfId="39516"/>
    <cellStyle name="常规 3 6 2 6 2" xfId="39517"/>
    <cellStyle name="常规 3 6 2 6 2 2" xfId="39518"/>
    <cellStyle name="常规 3 6 2 7" xfId="39519"/>
    <cellStyle name="常规 3 6 2 7 2" xfId="39520"/>
    <cellStyle name="常规 3 6 2 7 2 2" xfId="39521"/>
    <cellStyle name="常规 3 6 2 8" xfId="39522"/>
    <cellStyle name="常规 3 6 2 8 2" xfId="39523"/>
    <cellStyle name="常规 3 6 2 8 2 2" xfId="39524"/>
    <cellStyle name="常规 3 6 2 9" xfId="39525"/>
    <cellStyle name="常规 3 6 2 9 2" xfId="39526"/>
    <cellStyle name="常规 3 6 2 9 3" xfId="39527"/>
    <cellStyle name="常规 3 6 3" xfId="39528"/>
    <cellStyle name="常规 3 6 3 2" xfId="39529"/>
    <cellStyle name="常规 3 6 3 2 2" xfId="39530"/>
    <cellStyle name="常规 3 6 3 2 2 2" xfId="39531"/>
    <cellStyle name="常规 3 6 3 2 2 2 2" xfId="39532"/>
    <cellStyle name="常规 3 6 3 2 3" xfId="39533"/>
    <cellStyle name="常规 3 6 3 2 3 2" xfId="39534"/>
    <cellStyle name="常规 3 6 3 2 3 2 2" xfId="39535"/>
    <cellStyle name="常规 3 6 3 2 4" xfId="39536"/>
    <cellStyle name="常规 3 6 3 2 4 2" xfId="39537"/>
    <cellStyle name="常规 3 6 3 2 4 2 2" xfId="39538"/>
    <cellStyle name="常规 3 6 3 2 5" xfId="39539"/>
    <cellStyle name="常规 3 6 3 2 5 2" xfId="39540"/>
    <cellStyle name="常规 3 6 3 2 5 3" xfId="39541"/>
    <cellStyle name="常规 3 6 3 2 6" xfId="39542"/>
    <cellStyle name="常规 3 6 3 3" xfId="39543"/>
    <cellStyle name="常规 3 6 3 3 2" xfId="39544"/>
    <cellStyle name="常规 3 6 3 3 2 2" xfId="39545"/>
    <cellStyle name="常规 3 6 3 3 2 2 2" xfId="39546"/>
    <cellStyle name="常规 3 6 3 3 3" xfId="39547"/>
    <cellStyle name="常规 3 6 3 3 3 2" xfId="39548"/>
    <cellStyle name="常规 3 6 3 3 3 2 2" xfId="39549"/>
    <cellStyle name="常规 3 6 3 3 4" xfId="39550"/>
    <cellStyle name="常规 3 6 3 3 4 2" xfId="39551"/>
    <cellStyle name="常规 3 6 3 3 5" xfId="39552"/>
    <cellStyle name="常规 3 6 3 4" xfId="39553"/>
    <cellStyle name="常规 3 6 3 4 2" xfId="39554"/>
    <cellStyle name="常规 3 6 3 4 2 2" xfId="39555"/>
    <cellStyle name="常规 3 6 3 5" xfId="39556"/>
    <cellStyle name="常规 3 6 3 5 2" xfId="39557"/>
    <cellStyle name="常规 3 6 3 5 2 2" xfId="39558"/>
    <cellStyle name="常规 3 6 3 6" xfId="39559"/>
    <cellStyle name="常规 3 6 3 7" xfId="39560"/>
    <cellStyle name="常规 3 6 3 7 2" xfId="39561"/>
    <cellStyle name="常规 3 6 3 7 3" xfId="39562"/>
    <cellStyle name="常规 3 6 3 8" xfId="39563"/>
    <cellStyle name="常规 3 6 3 8 2" xfId="39564"/>
    <cellStyle name="常规 3 6 4" xfId="39565"/>
    <cellStyle name="常规 3 6 4 2" xfId="39566"/>
    <cellStyle name="常规 3 6 4 2 2" xfId="39567"/>
    <cellStyle name="常规 3 6 4 2 2 2" xfId="39568"/>
    <cellStyle name="常规 3 6 4 2 2 2 2" xfId="39569"/>
    <cellStyle name="常规 3 6 4 2 3" xfId="39570"/>
    <cellStyle name="常规 3 6 4 2 3 2" xfId="39571"/>
    <cellStyle name="常规 3 6 4 2 3 2 2" xfId="39572"/>
    <cellStyle name="常规 3 6 4 2 4" xfId="39573"/>
    <cellStyle name="常规 3 6 4 2 4 2" xfId="39574"/>
    <cellStyle name="常规 3 6 4 2 4 2 2" xfId="39575"/>
    <cellStyle name="常规 3 6 4 2 5" xfId="39576"/>
    <cellStyle name="常规 3 6 4 2 5 2" xfId="39577"/>
    <cellStyle name="常规 3 6 4 2 5 3" xfId="39578"/>
    <cellStyle name="常规 3 6 4 2 6" xfId="39579"/>
    <cellStyle name="常规 3 6 4 3" xfId="39580"/>
    <cellStyle name="常规 3 6 4 3 2" xfId="39581"/>
    <cellStyle name="常规 3 6 4 3 2 2" xfId="39582"/>
    <cellStyle name="常规 3 6 4 4" xfId="39583"/>
    <cellStyle name="常规 3 6 4 4 2" xfId="39584"/>
    <cellStyle name="常规 3 6 4 4 2 2" xfId="39585"/>
    <cellStyle name="常规 3 6 4 5" xfId="39586"/>
    <cellStyle name="常规 3 6 4 5 2" xfId="39587"/>
    <cellStyle name="常规 3 6 4 5 2 2" xfId="39588"/>
    <cellStyle name="常规 3 6 4 6" xfId="39589"/>
    <cellStyle name="常规 3 6 4 7" xfId="39590"/>
    <cellStyle name="常规 3 6 4 7 2" xfId="39591"/>
    <cellStyle name="常规 3 6 4 7 3" xfId="39592"/>
    <cellStyle name="常规 3 6 4 8" xfId="39593"/>
    <cellStyle name="常规 3 6 4 8 2" xfId="39594"/>
    <cellStyle name="常规 3 6 5" xfId="39595"/>
    <cellStyle name="常规 3 6 5 2" xfId="39596"/>
    <cellStyle name="常规 3 6 5 2 2" xfId="39597"/>
    <cellStyle name="常规 3 6 5 2 2 2" xfId="39598"/>
    <cellStyle name="常规 3 6 5 2 2 2 2" xfId="39599"/>
    <cellStyle name="常规 3 6 5 2 3" xfId="39600"/>
    <cellStyle name="常规 3 6 5 2 3 2" xfId="39601"/>
    <cellStyle name="常规 3 6 5 2 3 2 2" xfId="39602"/>
    <cellStyle name="常规 3 6 5 2 4" xfId="39603"/>
    <cellStyle name="常规 3 6 5 2 4 2" xfId="39604"/>
    <cellStyle name="常规 3 6 5 2 5" xfId="39605"/>
    <cellStyle name="常规 3 6 5 3" xfId="39606"/>
    <cellStyle name="常规 3 6 5 3 2" xfId="39607"/>
    <cellStyle name="常规 3 6 5 3 2 2" xfId="39608"/>
    <cellStyle name="常规 3 6 5 4" xfId="39609"/>
    <cellStyle name="常规 3 6 5 4 2" xfId="39610"/>
    <cellStyle name="常规 3 6 5 4 2 2" xfId="39611"/>
    <cellStyle name="常规 3 6 5 5" xfId="39612"/>
    <cellStyle name="常规 3 6 5 5 2" xfId="39613"/>
    <cellStyle name="常规 3 6 5 5 3" xfId="39614"/>
    <cellStyle name="常规 3 6 5 6" xfId="39615"/>
    <cellStyle name="常规 3 6 6" xfId="39616"/>
    <cellStyle name="常规 3 6 6 2" xfId="39617"/>
    <cellStyle name="常规 3 6 6 2 2" xfId="39618"/>
    <cellStyle name="常规 3 6 6 2 2 2" xfId="39619"/>
    <cellStyle name="常规 3 6 6 3" xfId="39620"/>
    <cellStyle name="常规 3 6 6 3 2" xfId="39621"/>
    <cellStyle name="常规 3 6 6 3 2 2" xfId="39622"/>
    <cellStyle name="常规 3 6 6 4" xfId="39623"/>
    <cellStyle name="常规 3 6 6 4 2" xfId="39624"/>
    <cellStyle name="常规 3 6 6 5" xfId="39625"/>
    <cellStyle name="常规 3 6 7" xfId="39626"/>
    <cellStyle name="常规 3 6 7 2" xfId="39627"/>
    <cellStyle name="常规 3 6 7 2 2" xfId="39628"/>
    <cellStyle name="常规 3 6 8" xfId="39629"/>
    <cellStyle name="常规 3 6 8 2" xfId="39630"/>
    <cellStyle name="常规 3 6 8 2 2" xfId="39631"/>
    <cellStyle name="常规 3 6 9" xfId="39632"/>
    <cellStyle name="常规 3 7" xfId="39633"/>
    <cellStyle name="常规 3 7 10" xfId="39634"/>
    <cellStyle name="常规 3 7 10 2" xfId="39635"/>
    <cellStyle name="常规 3 7 2" xfId="39636"/>
    <cellStyle name="常规 3 7 2 2" xfId="39637"/>
    <cellStyle name="常规 3 7 2 2 2" xfId="39638"/>
    <cellStyle name="常规 3 7 2 2 2 2" xfId="39639"/>
    <cellStyle name="常规 3 7 2 2 2 2 2" xfId="39640"/>
    <cellStyle name="常规 3 7 2 2 3" xfId="39641"/>
    <cellStyle name="常规 3 7 2 2 3 2" xfId="39642"/>
    <cellStyle name="常规 3 7 2 2 3 2 2" xfId="39643"/>
    <cellStyle name="常规 3 7 2 2 4" xfId="39644"/>
    <cellStyle name="常规 3 7 2 2 4 2" xfId="39645"/>
    <cellStyle name="常规 3 7 2 2 4 2 2" xfId="39646"/>
    <cellStyle name="常规 3 7 2 2 5" xfId="39647"/>
    <cellStyle name="常规 3 7 2 2 5 2" xfId="39648"/>
    <cellStyle name="常规 3 7 2 2 5 3" xfId="39649"/>
    <cellStyle name="常规 3 7 2 2 6" xfId="39650"/>
    <cellStyle name="常规 3 7 2 3" xfId="39651"/>
    <cellStyle name="常规 3 7 2 3 2" xfId="39652"/>
    <cellStyle name="常规 3 7 2 3 2 2" xfId="39653"/>
    <cellStyle name="常规 3 7 2 4" xfId="39654"/>
    <cellStyle name="常规 3 7 2 4 2" xfId="39655"/>
    <cellStyle name="常规 3 7 2 4 2 2" xfId="39656"/>
    <cellStyle name="常规 3 7 2 5" xfId="39657"/>
    <cellStyle name="常规 3 7 2 5 2" xfId="39658"/>
    <cellStyle name="常规 3 7 2 5 2 2" xfId="39659"/>
    <cellStyle name="常规 3 7 2 6" xfId="39660"/>
    <cellStyle name="常规 3 7 2 7" xfId="39661"/>
    <cellStyle name="常规 3 7 2 7 2" xfId="39662"/>
    <cellStyle name="常规 3 7 2 7 3" xfId="39663"/>
    <cellStyle name="常规 3 7 2 8" xfId="39664"/>
    <cellStyle name="常规 3 7 2 8 2" xfId="39665"/>
    <cellStyle name="常规 3 7 3" xfId="39666"/>
    <cellStyle name="常规 3 7 3 2" xfId="39667"/>
    <cellStyle name="常规 3 7 3 2 2" xfId="39668"/>
    <cellStyle name="常规 3 7 3 2 2 2" xfId="39669"/>
    <cellStyle name="常规 3 7 3 2 2 2 2" xfId="39670"/>
    <cellStyle name="常规 3 7 3 2 3" xfId="39671"/>
    <cellStyle name="常规 3 7 3 2 3 2" xfId="39672"/>
    <cellStyle name="常规 3 7 3 2 3 2 2" xfId="39673"/>
    <cellStyle name="常规 3 7 3 2 4" xfId="39674"/>
    <cellStyle name="常规 3 7 3 2 4 2" xfId="39675"/>
    <cellStyle name="常规 3 7 3 2 4 2 2" xfId="39676"/>
    <cellStyle name="常规 3 7 3 2 5" xfId="39677"/>
    <cellStyle name="常规 3 7 3 2 5 2" xfId="39678"/>
    <cellStyle name="常规 3 7 3 2 5 3" xfId="39679"/>
    <cellStyle name="常规 3 7 3 2 6" xfId="39680"/>
    <cellStyle name="常规 3 7 3 3" xfId="39681"/>
    <cellStyle name="常规 3 7 3 3 2" xfId="39682"/>
    <cellStyle name="常规 3 7 3 3 2 2" xfId="39683"/>
    <cellStyle name="常规 3 7 3 3 2 2 2" xfId="39684"/>
    <cellStyle name="常规 3 7 3 3 3" xfId="39685"/>
    <cellStyle name="常规 3 7 3 3 3 2" xfId="39686"/>
    <cellStyle name="常规 3 7 3 3 3 2 2" xfId="39687"/>
    <cellStyle name="常规 3 7 3 3 4" xfId="39688"/>
    <cellStyle name="常规 3 7 3 3 4 2" xfId="39689"/>
    <cellStyle name="常规 3 7 3 3 5" xfId="39690"/>
    <cellStyle name="常规 3 7 3 4" xfId="39691"/>
    <cellStyle name="常规 3 7 3 4 2" xfId="39692"/>
    <cellStyle name="常规 3 7 3 4 2 2" xfId="39693"/>
    <cellStyle name="常规 3 7 3 5" xfId="39694"/>
    <cellStyle name="常规 3 7 3 5 2" xfId="39695"/>
    <cellStyle name="常规 3 7 3 5 2 2" xfId="39696"/>
    <cellStyle name="常规 3 7 3 6" xfId="39697"/>
    <cellStyle name="常规 3 7 3 7" xfId="39698"/>
    <cellStyle name="常规 3 7 3 7 2" xfId="39699"/>
    <cellStyle name="常规 3 7 3 7 3" xfId="39700"/>
    <cellStyle name="常规 3 7 3 8" xfId="39701"/>
    <cellStyle name="常规 3 7 3 8 2" xfId="39702"/>
    <cellStyle name="常规 3 7 4" xfId="39703"/>
    <cellStyle name="常规 3 7 4 2" xfId="39704"/>
    <cellStyle name="常规 3 7 4 2 2" xfId="39705"/>
    <cellStyle name="常规 3 7 4 2 2 2" xfId="39706"/>
    <cellStyle name="常规 3 7 4 3" xfId="39707"/>
    <cellStyle name="常规 3 7 4 3 2" xfId="39708"/>
    <cellStyle name="常规 3 7 4 3 2 2" xfId="39709"/>
    <cellStyle name="常规 3 7 4 4" xfId="39710"/>
    <cellStyle name="常规 3 7 4 4 2" xfId="39711"/>
    <cellStyle name="常规 3 7 4 4 2 2" xfId="39712"/>
    <cellStyle name="常规 3 7 4 5" xfId="39713"/>
    <cellStyle name="常规 3 7 4 5 2" xfId="39714"/>
    <cellStyle name="常规 3 7 4 5 3" xfId="39715"/>
    <cellStyle name="常规 3 7 4 6" xfId="39716"/>
    <cellStyle name="常规 3 7 5" xfId="39717"/>
    <cellStyle name="常规 3 7 5 2" xfId="39718"/>
    <cellStyle name="常规 3 7 5 2 2" xfId="39719"/>
    <cellStyle name="常规 3 7 6" xfId="39720"/>
    <cellStyle name="常规 3 7 6 2" xfId="39721"/>
    <cellStyle name="常规 3 7 6 2 2" xfId="39722"/>
    <cellStyle name="常规 3 7 7" xfId="39723"/>
    <cellStyle name="常规 3 7 7 2" xfId="39724"/>
    <cellStyle name="常规 3 7 7 2 2" xfId="39725"/>
    <cellStyle name="常规 3 7 8" xfId="39726"/>
    <cellStyle name="常规 3 7 9" xfId="39727"/>
    <cellStyle name="常规 3 7 9 2" xfId="39728"/>
    <cellStyle name="常规 3 7 9 3" xfId="39729"/>
    <cellStyle name="常规 3 8" xfId="39730"/>
    <cellStyle name="常规 3 8 2" xfId="39731"/>
    <cellStyle name="常规 3 8 2 2" xfId="39732"/>
    <cellStyle name="常规 3 8 2 2 2" xfId="39733"/>
    <cellStyle name="常规 3 8 2 2 3" xfId="39734"/>
    <cellStyle name="常规 3 8 2 2 4" xfId="39735"/>
    <cellStyle name="常规 3 8 2 2 4 2" xfId="39736"/>
    <cellStyle name="常规 3 8 2 2 4 3" xfId="39737"/>
    <cellStyle name="常规 3 8 2 2 5" xfId="39738"/>
    <cellStyle name="常规 3 8 2 2 5 2" xfId="39739"/>
    <cellStyle name="常规 3 8 2 3" xfId="39740"/>
    <cellStyle name="常规 3 8 2 3 2" xfId="39741"/>
    <cellStyle name="常规 3 8 2 3 2 2" xfId="39742"/>
    <cellStyle name="常规 3 8 2 3 2 2 2" xfId="39743"/>
    <cellStyle name="常规 3 8 2 3 3" xfId="39744"/>
    <cellStyle name="常规 3 8 2 3 3 2" xfId="39745"/>
    <cellStyle name="常规 3 8 2 3 3 2 2" xfId="39746"/>
    <cellStyle name="常规 3 8 2 3 4" xfId="39747"/>
    <cellStyle name="常规 3 8 2 3 4 2" xfId="39748"/>
    <cellStyle name="常规 3 8 2 3 5" xfId="39749"/>
    <cellStyle name="常规 3 8 2 4" xfId="39750"/>
    <cellStyle name="常规 3 8 2 4 2" xfId="39751"/>
    <cellStyle name="常规 3 8 2 4 2 2" xfId="39752"/>
    <cellStyle name="常规 3 8 2 5" xfId="39753"/>
    <cellStyle name="常规 3 8 2 6" xfId="39754"/>
    <cellStyle name="常规 3 8 2 7" xfId="39755"/>
    <cellStyle name="常规 3 8 2 7 2" xfId="39756"/>
    <cellStyle name="常规 3 8 2 7 3" xfId="39757"/>
    <cellStyle name="常规 3 8 2 8" xfId="39758"/>
    <cellStyle name="常规 3 8 2 8 2" xfId="39759"/>
    <cellStyle name="常规 3 8 3" xfId="39760"/>
    <cellStyle name="常规 3 8 3 2" xfId="39761"/>
    <cellStyle name="常规 3 8 3 3" xfId="39762"/>
    <cellStyle name="常规 3 8 3 4" xfId="39763"/>
    <cellStyle name="常规 3 8 3 4 2" xfId="39764"/>
    <cellStyle name="常规 3 8 3 4 3" xfId="39765"/>
    <cellStyle name="常规 3 8 3 5" xfId="39766"/>
    <cellStyle name="常规 3 8 3 5 2" xfId="39767"/>
    <cellStyle name="常规 3 8 4" xfId="39768"/>
    <cellStyle name="常规 3 8 4 2" xfId="39769"/>
    <cellStyle name="常规 3 8 4 2 2" xfId="39770"/>
    <cellStyle name="常规 3 8 5" xfId="39771"/>
    <cellStyle name="常规 3 8 5 2" xfId="39772"/>
    <cellStyle name="常规 3 8 5 2 2" xfId="39773"/>
    <cellStyle name="常规 3 8 6" xfId="39774"/>
    <cellStyle name="常规 3 8 7" xfId="39775"/>
    <cellStyle name="常规 3 8 8" xfId="39776"/>
    <cellStyle name="常规 3 8 8 2" xfId="39777"/>
    <cellStyle name="常规 3 8 8 3" xfId="39778"/>
    <cellStyle name="常规 3 8 9" xfId="39779"/>
    <cellStyle name="常规 3 8 9 2" xfId="39780"/>
    <cellStyle name="常规 3 9" xfId="39781"/>
    <cellStyle name="常规 3 9 2" xfId="39782"/>
    <cellStyle name="常规 3 9 2 2" xfId="39783"/>
    <cellStyle name="常规 3 9 2 2 2" xfId="39784"/>
    <cellStyle name="常规 3 9 2 2 2 2" xfId="39785"/>
    <cellStyle name="常规 3 9 2 3" xfId="39786"/>
    <cellStyle name="常规 3 9 2 3 2" xfId="39787"/>
    <cellStyle name="常规 3 9 2 3 2 2" xfId="39788"/>
    <cellStyle name="常规 3 9 2 4" xfId="39789"/>
    <cellStyle name="常规 3 9 2 4 2" xfId="39790"/>
    <cellStyle name="常规 3 9 2 4 2 2" xfId="39791"/>
    <cellStyle name="常规 3 9 2 5" xfId="39792"/>
    <cellStyle name="常规 3 9 2 5 2" xfId="39793"/>
    <cellStyle name="常规 3 9 2 5 3" xfId="39794"/>
    <cellStyle name="常规 3 9 2 6" xfId="39795"/>
    <cellStyle name="常规 3 9 3" xfId="39796"/>
    <cellStyle name="常规 3 9 3 2" xfId="39797"/>
    <cellStyle name="常规 3 9 3 2 2" xfId="39798"/>
    <cellStyle name="常规 3 9 3 2 2 2" xfId="39799"/>
    <cellStyle name="常规 3 9 3 3" xfId="39800"/>
    <cellStyle name="常规 3 9 3 3 2" xfId="39801"/>
    <cellStyle name="常规 3 9 3 3 2 2" xfId="39802"/>
    <cellStyle name="常规 3 9 3 4" xfId="39803"/>
    <cellStyle name="常规 3 9 3 4 2" xfId="39804"/>
    <cellStyle name="常规 3 9 3 5" xfId="39805"/>
    <cellStyle name="常规 3 9 4" xfId="39806"/>
    <cellStyle name="常规 3 9 4 2" xfId="39807"/>
    <cellStyle name="常规 3 9 4 2 2" xfId="39808"/>
    <cellStyle name="常规 3 9 5" xfId="39809"/>
    <cellStyle name="常规 3 9 5 2" xfId="39810"/>
    <cellStyle name="常规 3 9 5 2 2" xfId="39811"/>
    <cellStyle name="常规 3 9 6" xfId="39812"/>
    <cellStyle name="常规 3 9 7" xfId="39813"/>
    <cellStyle name="常规 3 9 7 2" xfId="39814"/>
    <cellStyle name="常规 3 9 7 3" xfId="39815"/>
    <cellStyle name="常规 3 9 8" xfId="39816"/>
    <cellStyle name="常规 3 9 8 2" xfId="39817"/>
    <cellStyle name="常规 4" xfId="39818"/>
    <cellStyle name="常规 4 10" xfId="39819"/>
    <cellStyle name="常规 4 10 2" xfId="39820"/>
    <cellStyle name="常规 4 10 2 2" xfId="39821"/>
    <cellStyle name="常规 4 10 2 2 2" xfId="39822"/>
    <cellStyle name="常规 4 10 2 2 2 2" xfId="39823"/>
    <cellStyle name="常规 4 10 2 2 3" xfId="39824"/>
    <cellStyle name="常规 4 10 2 3" xfId="39825"/>
    <cellStyle name="常规 4 10 2 3 2" xfId="39826"/>
    <cellStyle name="常规 4 10 2 3 2 2" xfId="39827"/>
    <cellStyle name="常规 4 10 2 4" xfId="39828"/>
    <cellStyle name="常规 4 10 2 4 2" xfId="39829"/>
    <cellStyle name="常规 4 10 2 4 3" xfId="39830"/>
    <cellStyle name="常规 4 10 2 5" xfId="39831"/>
    <cellStyle name="常规 4 10 2 5 2" xfId="39832"/>
    <cellStyle name="常规 4 10 2 6" xfId="39833"/>
    <cellStyle name="常规 4 10 3" xfId="39834"/>
    <cellStyle name="常规 4 10 3 2" xfId="39835"/>
    <cellStyle name="常规 4 10 3 2 2" xfId="39836"/>
    <cellStyle name="常规 4 10 3 3" xfId="39837"/>
    <cellStyle name="常规 4 10 4" xfId="39838"/>
    <cellStyle name="常规 4 10 4 2" xfId="39839"/>
    <cellStyle name="常规 4 10 4 2 2" xfId="39840"/>
    <cellStyle name="常规 4 10 5" xfId="39841"/>
    <cellStyle name="常规 4 10 5 2" xfId="39842"/>
    <cellStyle name="常规 4 10 5 3" xfId="39843"/>
    <cellStyle name="常规 4 10 6" xfId="39844"/>
    <cellStyle name="常规 4 10 6 2" xfId="39845"/>
    <cellStyle name="常规 4 10 7" xfId="39846"/>
    <cellStyle name="常规 4 11" xfId="39847"/>
    <cellStyle name="常规 4 11 2" xfId="39848"/>
    <cellStyle name="常规 4 11 2 2" xfId="39849"/>
    <cellStyle name="常规 4 11 2 2 2" xfId="39850"/>
    <cellStyle name="常规 4 11 2 2 2 2" xfId="39851"/>
    <cellStyle name="常规 4 11 2 2 3" xfId="39852"/>
    <cellStyle name="常规 4 11 2 3" xfId="39853"/>
    <cellStyle name="常规 4 11 2 3 2" xfId="39854"/>
    <cellStyle name="常规 4 11 2 3 2 2" xfId="39855"/>
    <cellStyle name="常规 4 11 2 4" xfId="39856"/>
    <cellStyle name="常规 4 11 2 4 2" xfId="39857"/>
    <cellStyle name="常规 4 11 2 4 3" xfId="39858"/>
    <cellStyle name="常规 4 11 2 5" xfId="39859"/>
    <cellStyle name="常规 4 11 2 5 2" xfId="39860"/>
    <cellStyle name="常规 4 11 2 6" xfId="39861"/>
    <cellStyle name="常规 4 11 3" xfId="39862"/>
    <cellStyle name="常规 4 11 3 2" xfId="39863"/>
    <cellStyle name="常规 4 11 3 2 2" xfId="39864"/>
    <cellStyle name="常规 4 11 3 3" xfId="39865"/>
    <cellStyle name="常规 4 11 4" xfId="39866"/>
    <cellStyle name="常规 4 11 4 2" xfId="39867"/>
    <cellStyle name="常规 4 11 4 2 2" xfId="39868"/>
    <cellStyle name="常规 4 11 5" xfId="39869"/>
    <cellStyle name="常规 4 11 5 2" xfId="39870"/>
    <cellStyle name="常规 4 11 5 3" xfId="39871"/>
    <cellStyle name="常规 4 11 6" xfId="39872"/>
    <cellStyle name="常规 4 11 6 2" xfId="39873"/>
    <cellStyle name="常规 4 11 7" xfId="39874"/>
    <cellStyle name="常规 4 12" xfId="39875"/>
    <cellStyle name="常规 4 12 2" xfId="39876"/>
    <cellStyle name="常规 4 12 2 2" xfId="39877"/>
    <cellStyle name="常规 4 12 2 2 2" xfId="39878"/>
    <cellStyle name="常规 4 12 2 2 2 2" xfId="39879"/>
    <cellStyle name="常规 4 12 2 3" xfId="39880"/>
    <cellStyle name="常规 4 12 2 3 2" xfId="39881"/>
    <cellStyle name="常规 4 12 2 3 2 2" xfId="39882"/>
    <cellStyle name="常规 4 12 2 4" xfId="39883"/>
    <cellStyle name="常规 4 12 2 4 2" xfId="39884"/>
    <cellStyle name="常规 4 12 2 5" xfId="39885"/>
    <cellStyle name="常规 4 12 3" xfId="39886"/>
    <cellStyle name="常规 4 12 3 2" xfId="39887"/>
    <cellStyle name="常规 4 12 3 2 2" xfId="39888"/>
    <cellStyle name="常规 4 12 3 3" xfId="39889"/>
    <cellStyle name="常规 4 12 4" xfId="39890"/>
    <cellStyle name="常规 4 12 4 2" xfId="39891"/>
    <cellStyle name="常规 4 12 4 2 2" xfId="39892"/>
    <cellStyle name="常规 4 12 5" xfId="39893"/>
    <cellStyle name="常规 4 12 5 2" xfId="39894"/>
    <cellStyle name="常规 4 12 5 3" xfId="39895"/>
    <cellStyle name="常规 4 12 6" xfId="39896"/>
    <cellStyle name="常规 4 12 6 2" xfId="39897"/>
    <cellStyle name="常规 4 13" xfId="39898"/>
    <cellStyle name="常规 4 13 2" xfId="39899"/>
    <cellStyle name="常规 4 13 2 2" xfId="39900"/>
    <cellStyle name="常规 4 13 2 2 2" xfId="39901"/>
    <cellStyle name="常规 4 13 3" xfId="39902"/>
    <cellStyle name="常规 4 13 3 2" xfId="39903"/>
    <cellStyle name="常规 4 13 3 2 2" xfId="39904"/>
    <cellStyle name="常规 4 13 4" xfId="39905"/>
    <cellStyle name="常规 4 13 4 2" xfId="39906"/>
    <cellStyle name="常规 4 13 5" xfId="39907"/>
    <cellStyle name="常规 4 14" xfId="39908"/>
    <cellStyle name="常规 4 14 2" xfId="39909"/>
    <cellStyle name="常规 4 14 2 2" xfId="39910"/>
    <cellStyle name="常规 4 14 2 2 2" xfId="39911"/>
    <cellStyle name="常规 4 14 3" xfId="39912"/>
    <cellStyle name="常规 4 14 3 2" xfId="39913"/>
    <cellStyle name="常规 4 14 3 2 2" xfId="39914"/>
    <cellStyle name="常规 4 14 4" xfId="39915"/>
    <cellStyle name="常规 4 14 4 2" xfId="39916"/>
    <cellStyle name="常规 4 14 5" xfId="39917"/>
    <cellStyle name="常规 4 15" xfId="39918"/>
    <cellStyle name="常规 4 15 2" xfId="39919"/>
    <cellStyle name="常规 4 15 2 2" xfId="39920"/>
    <cellStyle name="常规 4 15 2 3" xfId="39921"/>
    <cellStyle name="常规 4 15 3" xfId="39922"/>
    <cellStyle name="常规 4 15 3 2" xfId="39923"/>
    <cellStyle name="常规 4 15 4" xfId="39924"/>
    <cellStyle name="常规 4 15 5" xfId="39925"/>
    <cellStyle name="常规 4 16" xfId="39926"/>
    <cellStyle name="常规 4 16 2" xfId="39927"/>
    <cellStyle name="常规 4 16 2 2" xfId="39928"/>
    <cellStyle name="常规 4 16 3" xfId="39929"/>
    <cellStyle name="常规 4 17" xfId="39930"/>
    <cellStyle name="常规 4 17 2" xfId="39931"/>
    <cellStyle name="常规 4 18" xfId="39932"/>
    <cellStyle name="常规 4 2" xfId="39933"/>
    <cellStyle name="常规 4 2 10" xfId="39934"/>
    <cellStyle name="常规 4 2 10 2" xfId="39935"/>
    <cellStyle name="常规 4 2 10 2 2" xfId="39936"/>
    <cellStyle name="常规 4 2 11" xfId="39937"/>
    <cellStyle name="常规 4 2 11 2" xfId="39938"/>
    <cellStyle name="常规 4 2 11 3" xfId="39939"/>
    <cellStyle name="常规 4 2 12" xfId="39940"/>
    <cellStyle name="常规 4 2 2" xfId="39941"/>
    <cellStyle name="常规 4 2 2 10" xfId="39942"/>
    <cellStyle name="常规 4 2 2 10 2" xfId="39943"/>
    <cellStyle name="常规 4 2 2 2" xfId="39944"/>
    <cellStyle name="常规 4 2 2 2 2" xfId="39945"/>
    <cellStyle name="常规 4 2 2 2 2 2" xfId="39946"/>
    <cellStyle name="常规 4 2 2 2 2 2 2" xfId="39947"/>
    <cellStyle name="常规 4 2 2 2 2 2 3" xfId="39948"/>
    <cellStyle name="常规 4 2 2 2 2 2 4" xfId="39949"/>
    <cellStyle name="常规 4 2 2 2 2 2 4 2" xfId="39950"/>
    <cellStyle name="常规 4 2 2 2 2 2 4 3" xfId="39951"/>
    <cellStyle name="常规 4 2 2 2 2 2 5" xfId="39952"/>
    <cellStyle name="常规 4 2 2 2 2 2 5 2" xfId="39953"/>
    <cellStyle name="常规 4 2 2 2 2 3" xfId="39954"/>
    <cellStyle name="常规 4 2 2 2 2 3 2" xfId="39955"/>
    <cellStyle name="常规 4 2 2 2 2 3 2 2" xfId="39956"/>
    <cellStyle name="常规 4 2 2 2 2 3 2 2 2" xfId="39957"/>
    <cellStyle name="常规 4 2 2 2 2 3 3" xfId="39958"/>
    <cellStyle name="常规 4 2 2 2 2 3 3 2" xfId="39959"/>
    <cellStyle name="常规 4 2 2 2 2 3 3 2 2" xfId="39960"/>
    <cellStyle name="常规 4 2 2 2 2 3 4" xfId="39961"/>
    <cellStyle name="常规 4 2 2 2 2 3 4 2" xfId="39962"/>
    <cellStyle name="常规 4 2 2 2 2 3 5" xfId="39963"/>
    <cellStyle name="常规 4 2 2 2 2 4" xfId="39964"/>
    <cellStyle name="常规 4 2 2 2 2 4 2" xfId="39965"/>
    <cellStyle name="常规 4 2 2 2 2 4 2 2" xfId="39966"/>
    <cellStyle name="常规 4 2 2 2 2 5" xfId="39967"/>
    <cellStyle name="常规 4 2 2 2 2 6" xfId="39968"/>
    <cellStyle name="常规 4 2 2 2 2 7" xfId="39969"/>
    <cellStyle name="常规 4 2 2 2 2 7 2" xfId="39970"/>
    <cellStyle name="常规 4 2 2 2 2 7 3" xfId="39971"/>
    <cellStyle name="常规 4 2 2 2 2 8" xfId="39972"/>
    <cellStyle name="常规 4 2 2 2 2 8 2" xfId="39973"/>
    <cellStyle name="常规 4 2 2 2 3" xfId="39974"/>
    <cellStyle name="常规 4 2 2 2 3 2" xfId="39975"/>
    <cellStyle name="常规 4 2 2 2 3 3" xfId="39976"/>
    <cellStyle name="常规 4 2 2 2 3 4" xfId="39977"/>
    <cellStyle name="常规 4 2 2 2 3 4 2" xfId="39978"/>
    <cellStyle name="常规 4 2 2 2 3 4 3" xfId="39979"/>
    <cellStyle name="常规 4 2 2 2 3 5" xfId="39980"/>
    <cellStyle name="常规 4 2 2 2 3 5 2" xfId="39981"/>
    <cellStyle name="常规 4 2 2 2 4" xfId="39982"/>
    <cellStyle name="常规 4 2 2 2 4 2" xfId="39983"/>
    <cellStyle name="常规 4 2 2 2 4 2 2" xfId="39984"/>
    <cellStyle name="常规 4 2 2 2 5" xfId="39985"/>
    <cellStyle name="常规 4 2 2 2 5 2" xfId="39986"/>
    <cellStyle name="常规 4 2 2 2 5 2 2" xfId="39987"/>
    <cellStyle name="常规 4 2 2 2 6" xfId="39988"/>
    <cellStyle name="常规 4 2 2 2 7" xfId="39989"/>
    <cellStyle name="常规 4 2 2 2 8" xfId="39990"/>
    <cellStyle name="常规 4 2 2 2 8 2" xfId="39991"/>
    <cellStyle name="常规 4 2 2 2 8 3" xfId="39992"/>
    <cellStyle name="常规 4 2 2 2 9" xfId="39993"/>
    <cellStyle name="常规 4 2 2 2 9 2" xfId="39994"/>
    <cellStyle name="常规 4 2 2 3" xfId="39995"/>
    <cellStyle name="常规 4 2 2 3 2" xfId="39996"/>
    <cellStyle name="常规 4 2 2 3 2 2" xfId="39997"/>
    <cellStyle name="常规 4 2 2 3 2 2 2" xfId="39998"/>
    <cellStyle name="常规 4 2 2 3 2 2 2 2" xfId="39999"/>
    <cellStyle name="常规 4 2 2 3 2 3" xfId="40000"/>
    <cellStyle name="常规 4 2 2 3 2 3 2" xfId="40001"/>
    <cellStyle name="常规 4 2 2 3 2 3 2 2" xfId="40002"/>
    <cellStyle name="常规 4 2 2 3 2 4" xfId="40003"/>
    <cellStyle name="常规 4 2 2 3 2 4 2" xfId="40004"/>
    <cellStyle name="常规 4 2 2 3 2 4 2 2" xfId="40005"/>
    <cellStyle name="常规 4 2 2 3 2 5" xfId="40006"/>
    <cellStyle name="常规 4 2 2 3 2 5 2" xfId="40007"/>
    <cellStyle name="常规 4 2 2 3 2 5 3" xfId="40008"/>
    <cellStyle name="常规 4 2 2 3 2 6" xfId="40009"/>
    <cellStyle name="常规 4 2 2 3 3" xfId="40010"/>
    <cellStyle name="常规 4 2 2 3 3 2" xfId="40011"/>
    <cellStyle name="常规 4 2 2 3 3 2 2" xfId="40012"/>
    <cellStyle name="常规 4 2 2 3 3 2 2 2" xfId="40013"/>
    <cellStyle name="常规 4 2 2 3 3 3" xfId="40014"/>
    <cellStyle name="常规 4 2 2 3 3 3 2" xfId="40015"/>
    <cellStyle name="常规 4 2 2 3 3 3 2 2" xfId="40016"/>
    <cellStyle name="常规 4 2 2 3 3 4" xfId="40017"/>
    <cellStyle name="常规 4 2 2 3 3 4 2" xfId="40018"/>
    <cellStyle name="常规 4 2 2 3 3 5" xfId="40019"/>
    <cellStyle name="常规 4 2 2 3 4" xfId="40020"/>
    <cellStyle name="常规 4 2 2 3 4 2" xfId="40021"/>
    <cellStyle name="常规 4 2 2 3 4 2 2" xfId="40022"/>
    <cellStyle name="常规 4 2 2 3 5" xfId="40023"/>
    <cellStyle name="常规 4 2 2 3 5 2" xfId="40024"/>
    <cellStyle name="常规 4 2 2 3 5 2 2" xfId="40025"/>
    <cellStyle name="常规 4 2 2 3 6" xfId="40026"/>
    <cellStyle name="常规 4 2 2 3 7" xfId="40027"/>
    <cellStyle name="常规 4 2 2 3 7 2" xfId="40028"/>
    <cellStyle name="常规 4 2 2 3 7 3" xfId="40029"/>
    <cellStyle name="常规 4 2 2 3 8" xfId="40030"/>
    <cellStyle name="常规 4 2 2 3 8 2" xfId="40031"/>
    <cellStyle name="常规 4 2 2 4" xfId="40032"/>
    <cellStyle name="常规 4 2 2 4 2" xfId="40033"/>
    <cellStyle name="常规 4 2 2 4 2 2" xfId="40034"/>
    <cellStyle name="常规 4 2 2 4 2 2 2" xfId="40035"/>
    <cellStyle name="常规 4 2 2 4 3" xfId="40036"/>
    <cellStyle name="常规 4 2 2 4 3 2" xfId="40037"/>
    <cellStyle name="常规 4 2 2 4 3 2 2" xfId="40038"/>
    <cellStyle name="常规 4 2 2 4 4" xfId="40039"/>
    <cellStyle name="常规 4 2 2 4 4 2" xfId="40040"/>
    <cellStyle name="常规 4 2 2 4 4 2 2" xfId="40041"/>
    <cellStyle name="常规 4 2 2 4 5" xfId="40042"/>
    <cellStyle name="常规 4 2 2 4 5 2" xfId="40043"/>
    <cellStyle name="常规 4 2 2 4 5 3" xfId="40044"/>
    <cellStyle name="常规 4 2 2 4 6" xfId="40045"/>
    <cellStyle name="常规 4 2 2 5" xfId="40046"/>
    <cellStyle name="常规 4 2 2 5 2" xfId="40047"/>
    <cellStyle name="常规 4 2 2 5 2 2" xfId="40048"/>
    <cellStyle name="常规 4 2 2 6" xfId="40049"/>
    <cellStyle name="常规 4 2 2 6 2" xfId="40050"/>
    <cellStyle name="常规 4 2 2 6 2 2" xfId="40051"/>
    <cellStyle name="常规 4 2 2 7" xfId="40052"/>
    <cellStyle name="常规 4 2 2 7 2" xfId="40053"/>
    <cellStyle name="常规 4 2 2 7 2 2" xfId="40054"/>
    <cellStyle name="常规 4 2 2 8" xfId="40055"/>
    <cellStyle name="常规 4 2 2 9" xfId="40056"/>
    <cellStyle name="常规 4 2 2 9 2" xfId="40057"/>
    <cellStyle name="常规 4 2 2 9 3" xfId="40058"/>
    <cellStyle name="常规 4 2 3" xfId="40059"/>
    <cellStyle name="常规 4 2 3 2" xfId="40060"/>
    <cellStyle name="常规 4 2 3 2 2" xfId="40061"/>
    <cellStyle name="常规 4 2 3 2 2 2" xfId="40062"/>
    <cellStyle name="常规 4 2 3 2 2 3" xfId="40063"/>
    <cellStyle name="常规 4 2 3 2 2 4" xfId="40064"/>
    <cellStyle name="常规 4 2 3 2 2 5" xfId="40065"/>
    <cellStyle name="常规 4 2 3 2 2 5 2" xfId="40066"/>
    <cellStyle name="常规 4 2 3 2 3" xfId="40067"/>
    <cellStyle name="常规 4 2 3 2 3 2" xfId="40068"/>
    <cellStyle name="常规 4 2 3 2 3 2 2" xfId="40069"/>
    <cellStyle name="常规 4 2 3 2 4" xfId="40070"/>
    <cellStyle name="常规 4 2 3 2 4 2" xfId="40071"/>
    <cellStyle name="常规 4 2 3 2 4 2 2" xfId="40072"/>
    <cellStyle name="常规 4 2 3 2 5" xfId="40073"/>
    <cellStyle name="常规 4 2 3 2 5 2" xfId="40074"/>
    <cellStyle name="常规 4 2 3 2 5 3" xfId="40075"/>
    <cellStyle name="常规 4 2 3 2 6" xfId="40076"/>
    <cellStyle name="常规 4 2 3 2 6 2" xfId="40077"/>
    <cellStyle name="常规 4 2 3 2 7" xfId="40078"/>
    <cellStyle name="常规 4 2 3 3" xfId="40079"/>
    <cellStyle name="常规 4 2 3 3 2" xfId="40080"/>
    <cellStyle name="常规 4 2 3 3 2 2" xfId="40081"/>
    <cellStyle name="常规 4 2 3 3 2 2 2" xfId="40082"/>
    <cellStyle name="常规 4 2 3 3 2 3" xfId="40083"/>
    <cellStyle name="常规 4 2 3 3 2 4" xfId="40084"/>
    <cellStyle name="常规 4 2 3 3 2 5" xfId="40085"/>
    <cellStyle name="常规 4 2 3 3 2 5 2" xfId="40086"/>
    <cellStyle name="常规 4 2 3 3 2 6" xfId="40087"/>
    <cellStyle name="常规 4 2 3 3 3" xfId="40088"/>
    <cellStyle name="常规 4 2 3 3 3 2" xfId="40089"/>
    <cellStyle name="常规 4 2 3 3 3 2 2" xfId="40090"/>
    <cellStyle name="常规 4 2 3 3 4" xfId="40091"/>
    <cellStyle name="常规 4 2 3 3 4 2" xfId="40092"/>
    <cellStyle name="常规 4 2 3 3 4 3" xfId="40093"/>
    <cellStyle name="常规 4 2 3 3 5" xfId="40094"/>
    <cellStyle name="常规 4 2 3 3 5 2" xfId="40095"/>
    <cellStyle name="常规 4 2 3 3 6" xfId="40096"/>
    <cellStyle name="常规 4 2 3 3 6 2" xfId="40097"/>
    <cellStyle name="常规 4 2 3 3 7" xfId="40098"/>
    <cellStyle name="常规 4 2 3 4" xfId="40099"/>
    <cellStyle name="常规 4 2 3 4 2" xfId="40100"/>
    <cellStyle name="常规 4 2 3 4 3" xfId="40101"/>
    <cellStyle name="常规 4 2 3 4 4" xfId="40102"/>
    <cellStyle name="常规 4 2 3 4 5" xfId="40103"/>
    <cellStyle name="常规 4 2 3 4 5 2" xfId="40104"/>
    <cellStyle name="常规 4 2 3 5" xfId="40105"/>
    <cellStyle name="常规 4 2 3 5 2" xfId="40106"/>
    <cellStyle name="常规 4 2 3 5 2 2" xfId="40107"/>
    <cellStyle name="常规 4 2 3 6" xfId="40108"/>
    <cellStyle name="常规 4 2 3 6 2" xfId="40109"/>
    <cellStyle name="常规 4 2 3 6 2 2" xfId="40110"/>
    <cellStyle name="常规 4 2 3 7" xfId="40111"/>
    <cellStyle name="常规 4 2 3 7 2" xfId="40112"/>
    <cellStyle name="常规 4 2 3 7 2 2" xfId="40113"/>
    <cellStyle name="常规 4 2 3 8" xfId="40114"/>
    <cellStyle name="常规 4 2 3 8 2" xfId="40115"/>
    <cellStyle name="常规 4 2 3 8 3" xfId="40116"/>
    <cellStyle name="常规 4 2 3 9" xfId="40117"/>
    <cellStyle name="常规 4 2 4" xfId="40118"/>
    <cellStyle name="常规 4 2 4 10" xfId="40119"/>
    <cellStyle name="常规 4 2 4 2" xfId="40120"/>
    <cellStyle name="常规 4 2 4 2 2" xfId="40121"/>
    <cellStyle name="常规 4 2 4 2 2 2" xfId="40122"/>
    <cellStyle name="常规 4 2 4 2 2 2 2" xfId="40123"/>
    <cellStyle name="常规 4 2 4 2 2 2 3" xfId="40124"/>
    <cellStyle name="常规 4 2 4 2 2 2 4" xfId="40125"/>
    <cellStyle name="常规 4 2 4 2 2 3" xfId="40126"/>
    <cellStyle name="常规 4 2 4 2 2 4" xfId="40127"/>
    <cellStyle name="常规 4 2 4 2 2 5" xfId="40128"/>
    <cellStyle name="常规 4 2 4 2 2 6" xfId="40129"/>
    <cellStyle name="常规 4 2 4 2 2 6 2" xfId="40130"/>
    <cellStyle name="常规 4 2 4 2 3" xfId="40131"/>
    <cellStyle name="常规 4 2 4 2 3 2" xfId="40132"/>
    <cellStyle name="常规 4 2 4 2 3 2 2" xfId="40133"/>
    <cellStyle name="常规 4 2 4 2 3 2 3" xfId="40134"/>
    <cellStyle name="常规 4 2 4 2 3 2 4" xfId="40135"/>
    <cellStyle name="常规 4 2 4 2 3 3" xfId="40136"/>
    <cellStyle name="常规 4 2 4 2 3 4" xfId="40137"/>
    <cellStyle name="常规 4 2 4 2 3 5" xfId="40138"/>
    <cellStyle name="常规 4 2 4 2 3 6" xfId="40139"/>
    <cellStyle name="常规 4 2 4 2 3 6 2" xfId="40140"/>
    <cellStyle name="常规 4 2 4 2 4" xfId="40141"/>
    <cellStyle name="常规 4 2 4 2 4 2" xfId="40142"/>
    <cellStyle name="常规 4 2 4 2 4 2 2" xfId="40143"/>
    <cellStyle name="常规 4 2 4 2 4 3" xfId="40144"/>
    <cellStyle name="常规 4 2 4 2 4 4" xfId="40145"/>
    <cellStyle name="常规 4 2 4 2 4 5" xfId="40146"/>
    <cellStyle name="常规 4 2 4 2 5" xfId="40147"/>
    <cellStyle name="常规 4 2 4 2 5 2" xfId="40148"/>
    <cellStyle name="常规 4 2 4 2 5 3" xfId="40149"/>
    <cellStyle name="常规 4 2 4 2 6" xfId="40150"/>
    <cellStyle name="常规 4 2 4 2 7" xfId="40151"/>
    <cellStyle name="常规 4 2 4 2 8" xfId="40152"/>
    <cellStyle name="常规 4 2 4 2 8 2" xfId="40153"/>
    <cellStyle name="常规 4 2 4 2 9" xfId="40154"/>
    <cellStyle name="常规 4 2 4 3" xfId="40155"/>
    <cellStyle name="常规 4 2 4 3 2" xfId="40156"/>
    <cellStyle name="常规 4 2 4 3 2 2" xfId="40157"/>
    <cellStyle name="常规 4 2 4 3 2 3" xfId="40158"/>
    <cellStyle name="常规 4 2 4 3 2 4" xfId="40159"/>
    <cellStyle name="常规 4 2 4 3 3" xfId="40160"/>
    <cellStyle name="常规 4 2 4 3 4" xfId="40161"/>
    <cellStyle name="常规 4 2 4 3 5" xfId="40162"/>
    <cellStyle name="常规 4 2 4 3 6" xfId="40163"/>
    <cellStyle name="常规 4 2 4 3 6 2" xfId="40164"/>
    <cellStyle name="常规 4 2 4 4" xfId="40165"/>
    <cellStyle name="常规 4 2 4 4 2" xfId="40166"/>
    <cellStyle name="常规 4 2 4 4 2 2" xfId="40167"/>
    <cellStyle name="常规 4 2 4 4 2 3" xfId="40168"/>
    <cellStyle name="常规 4 2 4 4 2 4" xfId="40169"/>
    <cellStyle name="常规 4 2 4 4 3" xfId="40170"/>
    <cellStyle name="常规 4 2 4 4 4" xfId="40171"/>
    <cellStyle name="常规 4 2 4 4 5" xfId="40172"/>
    <cellStyle name="常规 4 2 4 4 6" xfId="40173"/>
    <cellStyle name="常规 4 2 4 4 6 2" xfId="40174"/>
    <cellStyle name="常规 4 2 4 5" xfId="40175"/>
    <cellStyle name="常规 4 2 4 5 2" xfId="40176"/>
    <cellStyle name="常规 4 2 4 5 3" xfId="40177"/>
    <cellStyle name="常规 4 2 4 5 4" xfId="40178"/>
    <cellStyle name="常规 4 2 4 5 5" xfId="40179"/>
    <cellStyle name="常规 4 2 4 5 5 2" xfId="40180"/>
    <cellStyle name="常规 4 2 4 6" xfId="40181"/>
    <cellStyle name="常规 4 2 4 6 2" xfId="40182"/>
    <cellStyle name="常规 4 2 4 6 2 2" xfId="40183"/>
    <cellStyle name="常规 4 2 4 7" xfId="40184"/>
    <cellStyle name="常规 4 2 4 7 2" xfId="40185"/>
    <cellStyle name="常规 4 2 4 7 2 2" xfId="40186"/>
    <cellStyle name="常规 4 2 4 8" xfId="40187"/>
    <cellStyle name="常规 4 2 4 8 2" xfId="40188"/>
    <cellStyle name="常规 4 2 4 8 3" xfId="40189"/>
    <cellStyle name="常规 4 2 4 9" xfId="40190"/>
    <cellStyle name="常规 4 2 4 9 2" xfId="40191"/>
    <cellStyle name="常规 4 2 5" xfId="40192"/>
    <cellStyle name="常规 4 2 5 2" xfId="40193"/>
    <cellStyle name="常规 4 2 5 2 2" xfId="40194"/>
    <cellStyle name="常规 4 2 5 2 2 2" xfId="40195"/>
    <cellStyle name="常规 4 2 5 2 2 2 2" xfId="40196"/>
    <cellStyle name="常规 4 2 5 2 2 3" xfId="40197"/>
    <cellStyle name="常规 4 2 5 2 3" xfId="40198"/>
    <cellStyle name="常规 4 2 5 2 3 2" xfId="40199"/>
    <cellStyle name="常规 4 2 5 2 3 2 2" xfId="40200"/>
    <cellStyle name="常规 4 2 5 2 4" xfId="40201"/>
    <cellStyle name="常规 4 2 5 2 4 2" xfId="40202"/>
    <cellStyle name="常规 4 2 5 2 4 3" xfId="40203"/>
    <cellStyle name="常规 4 2 5 2 5" xfId="40204"/>
    <cellStyle name="常规 4 2 5 2 5 2" xfId="40205"/>
    <cellStyle name="常规 4 2 5 2 6" xfId="40206"/>
    <cellStyle name="常规 4 2 5 3" xfId="40207"/>
    <cellStyle name="常规 4 2 5 3 2" xfId="40208"/>
    <cellStyle name="常规 4 2 5 3 2 2" xfId="40209"/>
    <cellStyle name="常规 4 2 5 4" xfId="40210"/>
    <cellStyle name="常规 4 2 5 4 2" xfId="40211"/>
    <cellStyle name="常规 4 2 5 4 2 2" xfId="40212"/>
    <cellStyle name="常规 4 2 5 5" xfId="40213"/>
    <cellStyle name="常规 4 2 5 5 2" xfId="40214"/>
    <cellStyle name="常规 4 2 5 5 3" xfId="40215"/>
    <cellStyle name="常规 4 2 5 6" xfId="40216"/>
    <cellStyle name="常规 4 2 5 6 2" xfId="40217"/>
    <cellStyle name="常规 4 2 5 7" xfId="40218"/>
    <cellStyle name="常规 4 2 6" xfId="40219"/>
    <cellStyle name="常规 4 2 6 2" xfId="40220"/>
    <cellStyle name="常规 4 2 6 2 2" xfId="40221"/>
    <cellStyle name="常规 4 2 6 2 2 2" xfId="40222"/>
    <cellStyle name="常规 4 2 6 2 2 2 2" xfId="40223"/>
    <cellStyle name="常规 4 2 6 2 2 3" xfId="40224"/>
    <cellStyle name="常规 4 2 6 2 3" xfId="40225"/>
    <cellStyle name="常规 4 2 6 2 3 2" xfId="40226"/>
    <cellStyle name="常规 4 2 6 2 3 2 2" xfId="40227"/>
    <cellStyle name="常规 4 2 6 2 4" xfId="40228"/>
    <cellStyle name="常规 4 2 6 2 4 2" xfId="40229"/>
    <cellStyle name="常规 4 2 6 2 4 3" xfId="40230"/>
    <cellStyle name="常规 4 2 6 2 5" xfId="40231"/>
    <cellStyle name="常规 4 2 6 2 5 2" xfId="40232"/>
    <cellStyle name="常规 4 2 6 2 6" xfId="40233"/>
    <cellStyle name="常规 4 2 6 3" xfId="40234"/>
    <cellStyle name="常规 4 2 6 3 2" xfId="40235"/>
    <cellStyle name="常规 4 2 6 3 2 2" xfId="40236"/>
    <cellStyle name="常规 4 2 6 3 3" xfId="40237"/>
    <cellStyle name="常规 4 2 6 4" xfId="40238"/>
    <cellStyle name="常规 4 2 6 4 2" xfId="40239"/>
    <cellStyle name="常规 4 2 6 4 2 2" xfId="40240"/>
    <cellStyle name="常规 4 2 6 5" xfId="40241"/>
    <cellStyle name="常规 4 2 6 5 2" xfId="40242"/>
    <cellStyle name="常规 4 2 6 5 3" xfId="40243"/>
    <cellStyle name="常规 4 2 6 6" xfId="40244"/>
    <cellStyle name="常规 4 2 6 6 2" xfId="40245"/>
    <cellStyle name="常规 4 2 6 7" xfId="40246"/>
    <cellStyle name="常规 4 2 7" xfId="40247"/>
    <cellStyle name="常规 4 2 7 2" xfId="40248"/>
    <cellStyle name="常规 4 2 7 2 2" xfId="40249"/>
    <cellStyle name="常规 4 2 7 2 2 2" xfId="40250"/>
    <cellStyle name="常规 4 2 7 2 2 2 2" xfId="40251"/>
    <cellStyle name="常规 4 2 7 2 3" xfId="40252"/>
    <cellStyle name="常规 4 2 7 2 3 2" xfId="40253"/>
    <cellStyle name="常规 4 2 7 2 3 2 2" xfId="40254"/>
    <cellStyle name="常规 4 2 7 2 4" xfId="40255"/>
    <cellStyle name="常规 4 2 7 2 4 2" xfId="40256"/>
    <cellStyle name="常规 4 2 7 2 5" xfId="40257"/>
    <cellStyle name="常规 4 2 7 3" xfId="40258"/>
    <cellStyle name="常规 4 2 7 3 2" xfId="40259"/>
    <cellStyle name="常规 4 2 7 3 2 2" xfId="40260"/>
    <cellStyle name="常规 4 2 7 3 3" xfId="40261"/>
    <cellStyle name="常规 4 2 7 4" xfId="40262"/>
    <cellStyle name="常规 4 2 7 4 2" xfId="40263"/>
    <cellStyle name="常规 4 2 7 4 2 2" xfId="40264"/>
    <cellStyle name="常规 4 2 7 5" xfId="40265"/>
    <cellStyle name="常规 4 2 7 5 2" xfId="40266"/>
    <cellStyle name="常规 4 2 7 5 3" xfId="40267"/>
    <cellStyle name="常规 4 2 7 6" xfId="40268"/>
    <cellStyle name="常规 4 2 7 6 2" xfId="40269"/>
    <cellStyle name="常规 4 2 8" xfId="40270"/>
    <cellStyle name="常规 4 2 8 2" xfId="40271"/>
    <cellStyle name="常规 4 2 8 2 2" xfId="40272"/>
    <cellStyle name="常规 4 2 8 2 2 2" xfId="40273"/>
    <cellStyle name="常规 4 2 8 3" xfId="40274"/>
    <cellStyle name="常规 4 2 8 3 2" xfId="40275"/>
    <cellStyle name="常规 4 2 8 3 2 2" xfId="40276"/>
    <cellStyle name="常规 4 2 8 4" xfId="40277"/>
    <cellStyle name="常规 4 2 8 4 2" xfId="40278"/>
    <cellStyle name="常规 4 2 8 5" xfId="40279"/>
    <cellStyle name="常规 4 2 9" xfId="40280"/>
    <cellStyle name="常规 4 2 9 2" xfId="40281"/>
    <cellStyle name="常规 4 2 9 2 2" xfId="40282"/>
    <cellStyle name="常规 4 3" xfId="40283"/>
    <cellStyle name="常规 4 3 10" xfId="40284"/>
    <cellStyle name="常规 4 3 10 2" xfId="40285"/>
    <cellStyle name="常规 4 3 10 3" xfId="40286"/>
    <cellStyle name="常规 4 3 10 4" xfId="40287"/>
    <cellStyle name="常规 4 3 11" xfId="40288"/>
    <cellStyle name="常规 4 3 12" xfId="40289"/>
    <cellStyle name="常规 4 3 13" xfId="40290"/>
    <cellStyle name="常规 4 3 14" xfId="40291"/>
    <cellStyle name="常规 4 3 14 2" xfId="40292"/>
    <cellStyle name="常规 4 3 2" xfId="40293"/>
    <cellStyle name="常规 4 3 2 2" xfId="40294"/>
    <cellStyle name="常规 4 3 2 2 2" xfId="40295"/>
    <cellStyle name="常规 4 3 2 2 2 2" xfId="40296"/>
    <cellStyle name="常规 4 3 2 2 2 3" xfId="40297"/>
    <cellStyle name="常规 4 3 2 2 2 4" xfId="40298"/>
    <cellStyle name="常规 4 3 2 2 3" xfId="40299"/>
    <cellStyle name="常规 4 3 2 2 4" xfId="40300"/>
    <cellStyle name="常规 4 3 2 2 5" xfId="40301"/>
    <cellStyle name="常规 4 3 2 3" xfId="40302"/>
    <cellStyle name="常规 4 3 2 3 2" xfId="40303"/>
    <cellStyle name="常规 4 3 2 3 2 2" xfId="40304"/>
    <cellStyle name="常规 4 3 2 3 2 3" xfId="40305"/>
    <cellStyle name="常规 4 3 2 3 2 4" xfId="40306"/>
    <cellStyle name="常规 4 3 2 3 3" xfId="40307"/>
    <cellStyle name="常规 4 3 2 3 4" xfId="40308"/>
    <cellStyle name="常规 4 3 2 3 5" xfId="40309"/>
    <cellStyle name="常规 4 3 2 4" xfId="40310"/>
    <cellStyle name="常规 4 3 2 4 2" xfId="40311"/>
    <cellStyle name="常规 4 3 2 4 3" xfId="40312"/>
    <cellStyle name="常规 4 3 2 4 4" xfId="40313"/>
    <cellStyle name="常规 4 3 2 5" xfId="40314"/>
    <cellStyle name="常规 4 3 2 6" xfId="40315"/>
    <cellStyle name="常规 4 3 2 7" xfId="40316"/>
    <cellStyle name="常规 4 3 3" xfId="40317"/>
    <cellStyle name="常规 4 3 3 2" xfId="40318"/>
    <cellStyle name="常规 4 3 3 2 2" xfId="40319"/>
    <cellStyle name="常规 4 3 3 2 2 2" xfId="40320"/>
    <cellStyle name="常规 4 3 3 2 2 3" xfId="40321"/>
    <cellStyle name="常规 4 3 3 2 2 4" xfId="40322"/>
    <cellStyle name="常规 4 3 3 2 3" xfId="40323"/>
    <cellStyle name="常规 4 3 3 2 4" xfId="40324"/>
    <cellStyle name="常规 4 3 3 2 5" xfId="40325"/>
    <cellStyle name="常规 4 3 3 3" xfId="40326"/>
    <cellStyle name="常规 4 3 3 3 2" xfId="40327"/>
    <cellStyle name="常规 4 3 3 3 2 2" xfId="40328"/>
    <cellStyle name="常规 4 3 3 3 2 3" xfId="40329"/>
    <cellStyle name="常规 4 3 3 3 2 4" xfId="40330"/>
    <cellStyle name="常规 4 3 3 3 3" xfId="40331"/>
    <cellStyle name="常规 4 3 3 3 4" xfId="40332"/>
    <cellStyle name="常规 4 3 3 3 5" xfId="40333"/>
    <cellStyle name="常规 4 3 3 4" xfId="40334"/>
    <cellStyle name="常规 4 3 3 4 2" xfId="40335"/>
    <cellStyle name="常规 4 3 3 4 3" xfId="40336"/>
    <cellStyle name="常规 4 3 3 4 4" xfId="40337"/>
    <cellStyle name="常规 4 3 3 5" xfId="40338"/>
    <cellStyle name="常规 4 3 3 6" xfId="40339"/>
    <cellStyle name="常规 4 3 3 7" xfId="40340"/>
    <cellStyle name="常规 4 3 4" xfId="40341"/>
    <cellStyle name="常规 4 3 4 2" xfId="40342"/>
    <cellStyle name="常规 4 3 4 2 2" xfId="40343"/>
    <cellStyle name="常规 4 3 4 2 2 2" xfId="40344"/>
    <cellStyle name="常规 4 3 4 2 2 3" xfId="40345"/>
    <cellStyle name="常规 4 3 4 2 2 4" xfId="40346"/>
    <cellStyle name="常规 4 3 4 2 3" xfId="40347"/>
    <cellStyle name="常规 4 3 4 2 4" xfId="40348"/>
    <cellStyle name="常规 4 3 4 2 5" xfId="40349"/>
    <cellStyle name="常规 4 3 4 3" xfId="40350"/>
    <cellStyle name="常规 4 3 4 3 2" xfId="40351"/>
    <cellStyle name="常规 4 3 4 3 2 2" xfId="40352"/>
    <cellStyle name="常规 4 3 4 3 2 3" xfId="40353"/>
    <cellStyle name="常规 4 3 4 3 2 4" xfId="40354"/>
    <cellStyle name="常规 4 3 4 3 3" xfId="40355"/>
    <cellStyle name="常规 4 3 4 3 4" xfId="40356"/>
    <cellStyle name="常规 4 3 4 3 5" xfId="40357"/>
    <cellStyle name="常规 4 3 4 4" xfId="40358"/>
    <cellStyle name="常规 4 3 4 4 2" xfId="40359"/>
    <cellStyle name="常规 4 3 4 4 3" xfId="40360"/>
    <cellStyle name="常规 4 3 4 4 4" xfId="40361"/>
    <cellStyle name="常规 4 3 4 5" xfId="40362"/>
    <cellStyle name="常规 4 3 4 6" xfId="40363"/>
    <cellStyle name="常规 4 3 4 7" xfId="40364"/>
    <cellStyle name="常规 4 3 5" xfId="40365"/>
    <cellStyle name="常规 4 3 5 2" xfId="40366"/>
    <cellStyle name="常规 4 3 5 2 2" xfId="40367"/>
    <cellStyle name="常规 4 3 5 2 2 2" xfId="40368"/>
    <cellStyle name="常规 4 3 5 2 2 3" xfId="40369"/>
    <cellStyle name="常规 4 3 5 2 2 4" xfId="40370"/>
    <cellStyle name="常规 4 3 5 2 3" xfId="40371"/>
    <cellStyle name="常规 4 3 5 2 4" xfId="40372"/>
    <cellStyle name="常规 4 3 5 2 5" xfId="40373"/>
    <cellStyle name="常规 4 3 5 3" xfId="40374"/>
    <cellStyle name="常规 4 3 5 3 2" xfId="40375"/>
    <cellStyle name="常规 4 3 5 3 2 2" xfId="40376"/>
    <cellStyle name="常规 4 3 5 3 2 3" xfId="40377"/>
    <cellStyle name="常规 4 3 5 3 2 4" xfId="40378"/>
    <cellStyle name="常规 4 3 5 3 3" xfId="40379"/>
    <cellStyle name="常规 4 3 5 3 4" xfId="40380"/>
    <cellStyle name="常规 4 3 5 3 5" xfId="40381"/>
    <cellStyle name="常规 4 3 5 4" xfId="40382"/>
    <cellStyle name="常规 4 3 5 4 2" xfId="40383"/>
    <cellStyle name="常规 4 3 5 4 3" xfId="40384"/>
    <cellStyle name="常规 4 3 5 4 4" xfId="40385"/>
    <cellStyle name="常规 4 3 5 5" xfId="40386"/>
    <cellStyle name="常规 4 3 5 6" xfId="40387"/>
    <cellStyle name="常规 4 3 5 7" xfId="40388"/>
    <cellStyle name="常规 4 3 6" xfId="40389"/>
    <cellStyle name="常规 4 3 6 2" xfId="40390"/>
    <cellStyle name="常规 4 3 6 2 2" xfId="40391"/>
    <cellStyle name="常规 4 3 6 2 2 2" xfId="40392"/>
    <cellStyle name="常规 4 3 6 2 2 3" xfId="40393"/>
    <cellStyle name="常规 4 3 6 2 2 4" xfId="40394"/>
    <cellStyle name="常规 4 3 6 2 3" xfId="40395"/>
    <cellStyle name="常规 4 3 6 2 4" xfId="40396"/>
    <cellStyle name="常规 4 3 6 2 5" xfId="40397"/>
    <cellStyle name="常规 4 3 6 3" xfId="40398"/>
    <cellStyle name="常规 4 3 6 3 2" xfId="40399"/>
    <cellStyle name="常规 4 3 6 3 2 2" xfId="40400"/>
    <cellStyle name="常规 4 3 6 3 2 3" xfId="40401"/>
    <cellStyle name="常规 4 3 6 3 2 4" xfId="40402"/>
    <cellStyle name="常规 4 3 6 3 3" xfId="40403"/>
    <cellStyle name="常规 4 3 6 3 4" xfId="40404"/>
    <cellStyle name="常规 4 3 6 3 5" xfId="40405"/>
    <cellStyle name="常规 4 3 6 4" xfId="40406"/>
    <cellStyle name="常规 4 3 6 4 2" xfId="40407"/>
    <cellStyle name="常规 4 3 6 4 3" xfId="40408"/>
    <cellStyle name="常规 4 3 6 4 4" xfId="40409"/>
    <cellStyle name="常规 4 3 6 5" xfId="40410"/>
    <cellStyle name="常规 4 3 6 6" xfId="40411"/>
    <cellStyle name="常规 4 3 6 7" xfId="40412"/>
    <cellStyle name="常规 4 3 7" xfId="40413"/>
    <cellStyle name="常规 4 3 7 2" xfId="40414"/>
    <cellStyle name="常规 4 3 7 2 2" xfId="40415"/>
    <cellStyle name="常规 4 3 7 2 2 2" xfId="40416"/>
    <cellStyle name="常规 4 3 7 2 2 2 2" xfId="40417"/>
    <cellStyle name="常规 4 3 7 2 2 2 3" xfId="40418"/>
    <cellStyle name="常规 4 3 7 2 2 2 4" xfId="40419"/>
    <cellStyle name="常规 4 3 7 2 2 3" xfId="40420"/>
    <cellStyle name="常规 4 3 7 2 2 4" xfId="40421"/>
    <cellStyle name="常规 4 3 7 2 2 5" xfId="40422"/>
    <cellStyle name="常规 4 3 7 2 3" xfId="40423"/>
    <cellStyle name="常规 4 3 7 2 3 2" xfId="40424"/>
    <cellStyle name="常规 4 3 7 2 3 2 2" xfId="40425"/>
    <cellStyle name="常规 4 3 7 2 3 2 3" xfId="40426"/>
    <cellStyle name="常规 4 3 7 2 3 2 4" xfId="40427"/>
    <cellStyle name="常规 4 3 7 2 3 3" xfId="40428"/>
    <cellStyle name="常规 4 3 7 2 3 4" xfId="40429"/>
    <cellStyle name="常规 4 3 7 2 3 5" xfId="40430"/>
    <cellStyle name="常规 4 3 7 2 4" xfId="40431"/>
    <cellStyle name="常规 4 3 7 2 4 2" xfId="40432"/>
    <cellStyle name="常规 4 3 7 2 4 3" xfId="40433"/>
    <cellStyle name="常规 4 3 7 2 4 4" xfId="40434"/>
    <cellStyle name="常规 4 3 7 2 5" xfId="40435"/>
    <cellStyle name="常规 4 3 7 2 6" xfId="40436"/>
    <cellStyle name="常规 4 3 7 2 7" xfId="40437"/>
    <cellStyle name="常规 4 3 7 3" xfId="40438"/>
    <cellStyle name="常规 4 3 7 3 2" xfId="40439"/>
    <cellStyle name="常规 4 3 7 3 2 2" xfId="40440"/>
    <cellStyle name="常规 4 3 7 3 2 3" xfId="40441"/>
    <cellStyle name="常规 4 3 7 3 2 4" xfId="40442"/>
    <cellStyle name="常规 4 3 7 3 3" xfId="40443"/>
    <cellStyle name="常规 4 3 7 3 4" xfId="40444"/>
    <cellStyle name="常规 4 3 7 3 5" xfId="40445"/>
    <cellStyle name="常规 4 3 7 4" xfId="40446"/>
    <cellStyle name="常规 4 3 7 4 2" xfId="40447"/>
    <cellStyle name="常规 4 3 7 4 2 2" xfId="40448"/>
    <cellStyle name="常规 4 3 7 4 2 3" xfId="40449"/>
    <cellStyle name="常规 4 3 7 4 2 4" xfId="40450"/>
    <cellStyle name="常规 4 3 7 4 3" xfId="40451"/>
    <cellStyle name="常规 4 3 7 4 4" xfId="40452"/>
    <cellStyle name="常规 4 3 7 4 5" xfId="40453"/>
    <cellStyle name="常规 4 3 7 5" xfId="40454"/>
    <cellStyle name="常规 4 3 7 5 2" xfId="40455"/>
    <cellStyle name="常规 4 3 7 5 3" xfId="40456"/>
    <cellStyle name="常规 4 3 7 5 4" xfId="40457"/>
    <cellStyle name="常规 4 3 7 6" xfId="40458"/>
    <cellStyle name="常规 4 3 7 7" xfId="40459"/>
    <cellStyle name="常规 4 3 7 8" xfId="40460"/>
    <cellStyle name="常规 4 3 8" xfId="40461"/>
    <cellStyle name="常规 4 3 8 2" xfId="40462"/>
    <cellStyle name="常规 4 3 8 2 2" xfId="40463"/>
    <cellStyle name="常规 4 3 8 2 3" xfId="40464"/>
    <cellStyle name="常规 4 3 8 2 4" xfId="40465"/>
    <cellStyle name="常规 4 3 8 3" xfId="40466"/>
    <cellStyle name="常规 4 3 8 4" xfId="40467"/>
    <cellStyle name="常规 4 3 8 5" xfId="40468"/>
    <cellStyle name="常规 4 3 9" xfId="40469"/>
    <cellStyle name="常规 4 3 9 2" xfId="40470"/>
    <cellStyle name="常规 4 3 9 2 2" xfId="40471"/>
    <cellStyle name="常规 4 3 9 2 3" xfId="40472"/>
    <cellStyle name="常规 4 3 9 2 4" xfId="40473"/>
    <cellStyle name="常规 4 3 9 3" xfId="40474"/>
    <cellStyle name="常规 4 3 9 4" xfId="40475"/>
    <cellStyle name="常规 4 3 9 5" xfId="40476"/>
    <cellStyle name="常规 4 4" xfId="40477"/>
    <cellStyle name="常规 4 4 10" xfId="40478"/>
    <cellStyle name="常规 4 4 10 2" xfId="40479"/>
    <cellStyle name="常规 4 4 10 3" xfId="40480"/>
    <cellStyle name="常规 4 4 11" xfId="40481"/>
    <cellStyle name="常规 4 4 2" xfId="40482"/>
    <cellStyle name="常规 4 4 2 2" xfId="40483"/>
    <cellStyle name="常规 4 4 2 2 2" xfId="40484"/>
    <cellStyle name="常规 4 4 2 2 2 2" xfId="40485"/>
    <cellStyle name="常规 4 4 2 2 2 2 2" xfId="40486"/>
    <cellStyle name="常规 4 4 2 2 2 2 2 2" xfId="40487"/>
    <cellStyle name="常规 4 4 2 2 2 3" xfId="40488"/>
    <cellStyle name="常规 4 4 2 2 2 3 2" xfId="40489"/>
    <cellStyle name="常规 4 4 2 2 2 3 2 2" xfId="40490"/>
    <cellStyle name="常规 4 4 2 2 2 4" xfId="40491"/>
    <cellStyle name="常规 4 4 2 2 2 4 2" xfId="40492"/>
    <cellStyle name="常规 4 4 2 2 2 4 2 2" xfId="40493"/>
    <cellStyle name="常规 4 4 2 2 2 5" xfId="40494"/>
    <cellStyle name="常规 4 4 2 2 2 5 2" xfId="40495"/>
    <cellStyle name="常规 4 4 2 2 2 5 3" xfId="40496"/>
    <cellStyle name="常规 4 4 2 2 2 6" xfId="40497"/>
    <cellStyle name="常规 4 4 2 2 3" xfId="40498"/>
    <cellStyle name="常规 4 4 2 2 3 2" xfId="40499"/>
    <cellStyle name="常规 4 4 2 2 3 2 2" xfId="40500"/>
    <cellStyle name="常规 4 4 2 2 3 2 2 2" xfId="40501"/>
    <cellStyle name="常规 4 4 2 2 3 3" xfId="40502"/>
    <cellStyle name="常规 4 4 2 2 3 3 2" xfId="40503"/>
    <cellStyle name="常规 4 4 2 2 3 3 2 2" xfId="40504"/>
    <cellStyle name="常规 4 4 2 2 3 4" xfId="40505"/>
    <cellStyle name="常规 4 4 2 2 3 4 2" xfId="40506"/>
    <cellStyle name="常规 4 4 2 2 3 5" xfId="40507"/>
    <cellStyle name="常规 4 4 2 2 4" xfId="40508"/>
    <cellStyle name="常规 4 4 2 2 4 2" xfId="40509"/>
    <cellStyle name="常规 4 4 2 2 4 2 2" xfId="40510"/>
    <cellStyle name="常规 4 4 2 2 5" xfId="40511"/>
    <cellStyle name="常规 4 4 2 2 5 2" xfId="40512"/>
    <cellStyle name="常规 4 4 2 2 5 2 2" xfId="40513"/>
    <cellStyle name="常规 4 4 2 2 6" xfId="40514"/>
    <cellStyle name="常规 4 4 2 2 7" xfId="40515"/>
    <cellStyle name="常规 4 4 2 2 7 2" xfId="40516"/>
    <cellStyle name="常规 4 4 2 2 7 3" xfId="40517"/>
    <cellStyle name="常规 4 4 2 2 8" xfId="40518"/>
    <cellStyle name="常规 4 4 2 2 8 2" xfId="40519"/>
    <cellStyle name="常规 4 4 2 3" xfId="40520"/>
    <cellStyle name="常规 4 4 2 3 2" xfId="40521"/>
    <cellStyle name="常规 4 4 2 3 2 2" xfId="40522"/>
    <cellStyle name="常规 4 4 2 3 2 3" xfId="40523"/>
    <cellStyle name="常规 4 4 2 3 2 4" xfId="40524"/>
    <cellStyle name="常规 4 4 2 3 2 5" xfId="40525"/>
    <cellStyle name="常规 4 4 2 3 2 5 2" xfId="40526"/>
    <cellStyle name="常规 4 4 2 3 3" xfId="40527"/>
    <cellStyle name="常规 4 4 2 3 3 2" xfId="40528"/>
    <cellStyle name="常规 4 4 2 3 3 2 2" xfId="40529"/>
    <cellStyle name="常规 4 4 2 3 4" xfId="40530"/>
    <cellStyle name="常规 4 4 2 3 4 2" xfId="40531"/>
    <cellStyle name="常规 4 4 2 3 4 2 2" xfId="40532"/>
    <cellStyle name="常规 4 4 2 3 5" xfId="40533"/>
    <cellStyle name="常规 4 4 2 3 5 2" xfId="40534"/>
    <cellStyle name="常规 4 4 2 3 5 3" xfId="40535"/>
    <cellStyle name="常规 4 4 2 3 6" xfId="40536"/>
    <cellStyle name="常规 4 4 2 3 6 2" xfId="40537"/>
    <cellStyle name="常规 4 4 2 3 7" xfId="40538"/>
    <cellStyle name="常规 4 4 2 4" xfId="40539"/>
    <cellStyle name="常规 4 4 2 4 2" xfId="40540"/>
    <cellStyle name="常规 4 4 2 4 3" xfId="40541"/>
    <cellStyle name="常规 4 4 2 4 4" xfId="40542"/>
    <cellStyle name="常规 4 4 2 4 5" xfId="40543"/>
    <cellStyle name="常规 4 4 2 4 5 2" xfId="40544"/>
    <cellStyle name="常规 4 4 2 5" xfId="40545"/>
    <cellStyle name="常规 4 4 2 5 2" xfId="40546"/>
    <cellStyle name="常规 4 4 2 5 2 2" xfId="40547"/>
    <cellStyle name="常规 4 4 2 6" xfId="40548"/>
    <cellStyle name="常规 4 4 2 6 2" xfId="40549"/>
    <cellStyle name="常规 4 4 2 6 2 2" xfId="40550"/>
    <cellStyle name="常规 4 4 2 7" xfId="40551"/>
    <cellStyle name="常规 4 4 2 7 2" xfId="40552"/>
    <cellStyle name="常规 4 4 2 7 2 2" xfId="40553"/>
    <cellStyle name="常规 4 4 2 8" xfId="40554"/>
    <cellStyle name="常规 4 4 2 8 2" xfId="40555"/>
    <cellStyle name="常规 4 4 2 8 3" xfId="40556"/>
    <cellStyle name="常规 4 4 2 9" xfId="40557"/>
    <cellStyle name="常规 4 4 2 9 2" xfId="40558"/>
    <cellStyle name="常规 4 4 3" xfId="40559"/>
    <cellStyle name="常规 4 4 3 10" xfId="40560"/>
    <cellStyle name="常规 4 4 3 2" xfId="40561"/>
    <cellStyle name="常规 4 4 3 2 2" xfId="40562"/>
    <cellStyle name="常规 4 4 3 2 2 2" xfId="40563"/>
    <cellStyle name="常规 4 4 3 2 2 2 2" xfId="40564"/>
    <cellStyle name="常规 4 4 3 2 2 2 3" xfId="40565"/>
    <cellStyle name="常规 4 4 3 2 2 2 4" xfId="40566"/>
    <cellStyle name="常规 4 4 3 2 2 3" xfId="40567"/>
    <cellStyle name="常规 4 4 3 2 2 4" xfId="40568"/>
    <cellStyle name="常规 4 4 3 2 2 5" xfId="40569"/>
    <cellStyle name="常规 4 4 3 2 2 6" xfId="40570"/>
    <cellStyle name="常规 4 4 3 2 2 6 2" xfId="40571"/>
    <cellStyle name="常规 4 4 3 2 3" xfId="40572"/>
    <cellStyle name="常规 4 4 3 2 3 2" xfId="40573"/>
    <cellStyle name="常规 4 4 3 2 3 2 2" xfId="40574"/>
    <cellStyle name="常规 4 4 3 2 3 2 3" xfId="40575"/>
    <cellStyle name="常规 4 4 3 2 3 2 4" xfId="40576"/>
    <cellStyle name="常规 4 4 3 2 3 3" xfId="40577"/>
    <cellStyle name="常规 4 4 3 2 3 4" xfId="40578"/>
    <cellStyle name="常规 4 4 3 2 3 5" xfId="40579"/>
    <cellStyle name="常规 4 4 3 2 3 6" xfId="40580"/>
    <cellStyle name="常规 4 4 3 2 3 6 2" xfId="40581"/>
    <cellStyle name="常规 4 4 3 2 4" xfId="40582"/>
    <cellStyle name="常规 4 4 3 2 4 2" xfId="40583"/>
    <cellStyle name="常规 4 4 3 2 4 2 2" xfId="40584"/>
    <cellStyle name="常规 4 4 3 2 4 3" xfId="40585"/>
    <cellStyle name="常规 4 4 3 2 4 4" xfId="40586"/>
    <cellStyle name="常规 4 4 3 2 4 5" xfId="40587"/>
    <cellStyle name="常规 4 4 3 2 5" xfId="40588"/>
    <cellStyle name="常规 4 4 3 2 5 2" xfId="40589"/>
    <cellStyle name="常规 4 4 3 2 5 3" xfId="40590"/>
    <cellStyle name="常规 4 4 3 2 6" xfId="40591"/>
    <cellStyle name="常规 4 4 3 2 7" xfId="40592"/>
    <cellStyle name="常规 4 4 3 2 8" xfId="40593"/>
    <cellStyle name="常规 4 4 3 2 8 2" xfId="40594"/>
    <cellStyle name="常规 4 4 3 2 9" xfId="40595"/>
    <cellStyle name="常规 4 4 3 3" xfId="40596"/>
    <cellStyle name="常规 4 4 3 3 2" xfId="40597"/>
    <cellStyle name="常规 4 4 3 3 2 2" xfId="40598"/>
    <cellStyle name="常规 4 4 3 3 2 2 2" xfId="40599"/>
    <cellStyle name="常规 4 4 3 3 2 3" xfId="40600"/>
    <cellStyle name="常规 4 4 3 3 2 4" xfId="40601"/>
    <cellStyle name="常规 4 4 3 3 2 5" xfId="40602"/>
    <cellStyle name="常规 4 4 3 3 2 5 2" xfId="40603"/>
    <cellStyle name="常规 4 4 3 3 2 6" xfId="40604"/>
    <cellStyle name="常规 4 4 3 3 3" xfId="40605"/>
    <cellStyle name="常规 4 4 3 3 3 2" xfId="40606"/>
    <cellStyle name="常规 4 4 3 3 3 2 2" xfId="40607"/>
    <cellStyle name="常规 4 4 3 3 4" xfId="40608"/>
    <cellStyle name="常规 4 4 3 3 4 2" xfId="40609"/>
    <cellStyle name="常规 4 4 3 3 4 3" xfId="40610"/>
    <cellStyle name="常规 4 4 3 3 5" xfId="40611"/>
    <cellStyle name="常规 4 4 3 3 5 2" xfId="40612"/>
    <cellStyle name="常规 4 4 3 3 6" xfId="40613"/>
    <cellStyle name="常规 4 4 3 3 6 2" xfId="40614"/>
    <cellStyle name="常规 4 4 3 3 7" xfId="40615"/>
    <cellStyle name="常规 4 4 3 4" xfId="40616"/>
    <cellStyle name="常规 4 4 3 4 2" xfId="40617"/>
    <cellStyle name="常规 4 4 3 4 2 2" xfId="40618"/>
    <cellStyle name="常规 4 4 3 4 2 3" xfId="40619"/>
    <cellStyle name="常规 4 4 3 4 2 4" xfId="40620"/>
    <cellStyle name="常规 4 4 3 4 3" xfId="40621"/>
    <cellStyle name="常规 4 4 3 4 4" xfId="40622"/>
    <cellStyle name="常规 4 4 3 4 5" xfId="40623"/>
    <cellStyle name="常规 4 4 3 4 6" xfId="40624"/>
    <cellStyle name="常规 4 4 3 4 6 2" xfId="40625"/>
    <cellStyle name="常规 4 4 3 5" xfId="40626"/>
    <cellStyle name="常规 4 4 3 5 2" xfId="40627"/>
    <cellStyle name="常规 4 4 3 5 3" xfId="40628"/>
    <cellStyle name="常规 4 4 3 5 4" xfId="40629"/>
    <cellStyle name="常规 4 4 3 5 5" xfId="40630"/>
    <cellStyle name="常规 4 4 3 5 5 2" xfId="40631"/>
    <cellStyle name="常规 4 4 3 6" xfId="40632"/>
    <cellStyle name="常规 4 4 3 6 2" xfId="40633"/>
    <cellStyle name="常规 4 4 3 6 2 2" xfId="40634"/>
    <cellStyle name="常规 4 4 3 7" xfId="40635"/>
    <cellStyle name="常规 4 4 3 7 2" xfId="40636"/>
    <cellStyle name="常规 4 4 3 7 2 2" xfId="40637"/>
    <cellStyle name="常规 4 4 3 8" xfId="40638"/>
    <cellStyle name="常规 4 4 3 8 2" xfId="40639"/>
    <cellStyle name="常规 4 4 3 8 3" xfId="40640"/>
    <cellStyle name="常规 4 4 3 9" xfId="40641"/>
    <cellStyle name="常规 4 4 3 9 2" xfId="40642"/>
    <cellStyle name="常规 4 4 4" xfId="40643"/>
    <cellStyle name="常规 4 4 4 2" xfId="40644"/>
    <cellStyle name="常规 4 4 4 2 2" xfId="40645"/>
    <cellStyle name="常规 4 4 4 2 3" xfId="40646"/>
    <cellStyle name="常规 4 4 4 2 4" xfId="40647"/>
    <cellStyle name="常规 4 4 4 2 5" xfId="40648"/>
    <cellStyle name="常规 4 4 4 2 5 2" xfId="40649"/>
    <cellStyle name="常规 4 4 4 3" xfId="40650"/>
    <cellStyle name="常规 4 4 4 3 2" xfId="40651"/>
    <cellStyle name="常规 4 4 4 3 2 2" xfId="40652"/>
    <cellStyle name="常规 4 4 4 4" xfId="40653"/>
    <cellStyle name="常规 4 4 4 4 2" xfId="40654"/>
    <cellStyle name="常规 4 4 4 4 2 2" xfId="40655"/>
    <cellStyle name="常规 4 4 4 5" xfId="40656"/>
    <cellStyle name="常规 4 4 4 5 2" xfId="40657"/>
    <cellStyle name="常规 4 4 4 5 3" xfId="40658"/>
    <cellStyle name="常规 4 4 4 6" xfId="40659"/>
    <cellStyle name="常规 4 4 4 6 2" xfId="40660"/>
    <cellStyle name="常规 4 4 4 7" xfId="40661"/>
    <cellStyle name="常规 4 4 5" xfId="40662"/>
    <cellStyle name="常规 4 4 5 2" xfId="40663"/>
    <cellStyle name="常规 4 4 5 2 2" xfId="40664"/>
    <cellStyle name="常规 4 4 5 2 3" xfId="40665"/>
    <cellStyle name="常规 4 4 5 2 4" xfId="40666"/>
    <cellStyle name="常规 4 4 5 3" xfId="40667"/>
    <cellStyle name="常规 4 4 5 4" xfId="40668"/>
    <cellStyle name="常规 4 4 5 5" xfId="40669"/>
    <cellStyle name="常规 4 4 5 6" xfId="40670"/>
    <cellStyle name="常规 4 4 5 6 2" xfId="40671"/>
    <cellStyle name="常规 4 4 6" xfId="40672"/>
    <cellStyle name="常规 4 4 6 2" xfId="40673"/>
    <cellStyle name="常规 4 4 6 3" xfId="40674"/>
    <cellStyle name="常规 4 4 6 4" xfId="40675"/>
    <cellStyle name="常规 4 4 6 5" xfId="40676"/>
    <cellStyle name="常规 4 4 6 5 2" xfId="40677"/>
    <cellStyle name="常规 4 4 7" xfId="40678"/>
    <cellStyle name="常规 4 4 7 2" xfId="40679"/>
    <cellStyle name="常规 4 4 7 2 2" xfId="40680"/>
    <cellStyle name="常规 4 4 8" xfId="40681"/>
    <cellStyle name="常规 4 4 8 2" xfId="40682"/>
    <cellStyle name="常规 4 4 8 2 2" xfId="40683"/>
    <cellStyle name="常规 4 4 9" xfId="40684"/>
    <cellStyle name="常规 4 4 9 2" xfId="40685"/>
    <cellStyle name="常规 4 4 9 2 2" xfId="40686"/>
    <cellStyle name="常规 4 5" xfId="40687"/>
    <cellStyle name="常规 4 5 10" xfId="40688"/>
    <cellStyle name="常规 4 5 10 2" xfId="40689"/>
    <cellStyle name="常规 4 5 2" xfId="40690"/>
    <cellStyle name="常规 4 5 2 10" xfId="40691"/>
    <cellStyle name="常规 4 5 2 2" xfId="40692"/>
    <cellStyle name="常规 4 5 2 2 2" xfId="40693"/>
    <cellStyle name="常规 4 5 2 2 2 2" xfId="40694"/>
    <cellStyle name="常规 4 5 2 2 2 2 2" xfId="40695"/>
    <cellStyle name="常规 4 5 2 2 2 2 3" xfId="40696"/>
    <cellStyle name="常规 4 5 2 2 2 2 4" xfId="40697"/>
    <cellStyle name="常规 4 5 2 2 2 3" xfId="40698"/>
    <cellStyle name="常规 4 5 2 2 2 4" xfId="40699"/>
    <cellStyle name="常规 4 5 2 2 2 5" xfId="40700"/>
    <cellStyle name="常规 4 5 2 2 2 6" xfId="40701"/>
    <cellStyle name="常规 4 5 2 2 2 6 2" xfId="40702"/>
    <cellStyle name="常规 4 5 2 2 3" xfId="40703"/>
    <cellStyle name="常规 4 5 2 2 3 2" xfId="40704"/>
    <cellStyle name="常规 4 5 2 2 3 2 2" xfId="40705"/>
    <cellStyle name="常规 4 5 2 2 3 2 3" xfId="40706"/>
    <cellStyle name="常规 4 5 2 2 3 2 4" xfId="40707"/>
    <cellStyle name="常规 4 5 2 2 3 3" xfId="40708"/>
    <cellStyle name="常规 4 5 2 2 3 4" xfId="40709"/>
    <cellStyle name="常规 4 5 2 2 3 5" xfId="40710"/>
    <cellStyle name="常规 4 5 2 2 3 6" xfId="40711"/>
    <cellStyle name="常规 4 5 2 2 3 6 2" xfId="40712"/>
    <cellStyle name="常规 4 5 2 2 4" xfId="40713"/>
    <cellStyle name="常规 4 5 2 2 4 2" xfId="40714"/>
    <cellStyle name="常规 4 5 2 2 4 2 2" xfId="40715"/>
    <cellStyle name="常规 4 5 2 2 4 3" xfId="40716"/>
    <cellStyle name="常规 4 5 2 2 4 4" xfId="40717"/>
    <cellStyle name="常规 4 5 2 2 4 5" xfId="40718"/>
    <cellStyle name="常规 4 5 2 2 5" xfId="40719"/>
    <cellStyle name="常规 4 5 2 2 5 2" xfId="40720"/>
    <cellStyle name="常规 4 5 2 2 5 3" xfId="40721"/>
    <cellStyle name="常规 4 5 2 2 6" xfId="40722"/>
    <cellStyle name="常规 4 5 2 2 7" xfId="40723"/>
    <cellStyle name="常规 4 5 2 2 8" xfId="40724"/>
    <cellStyle name="常规 4 5 2 2 8 2" xfId="40725"/>
    <cellStyle name="常规 4 5 2 2 9" xfId="40726"/>
    <cellStyle name="常规 4 5 2 3" xfId="40727"/>
    <cellStyle name="常规 4 5 2 3 2" xfId="40728"/>
    <cellStyle name="常规 4 5 2 3 2 2" xfId="40729"/>
    <cellStyle name="常规 4 5 2 3 2 3" xfId="40730"/>
    <cellStyle name="常规 4 5 2 3 2 4" xfId="40731"/>
    <cellStyle name="常规 4 5 2 3 3" xfId="40732"/>
    <cellStyle name="常规 4 5 2 3 4" xfId="40733"/>
    <cellStyle name="常规 4 5 2 3 5" xfId="40734"/>
    <cellStyle name="常规 4 5 2 3 6" xfId="40735"/>
    <cellStyle name="常规 4 5 2 3 6 2" xfId="40736"/>
    <cellStyle name="常规 4 5 2 4" xfId="40737"/>
    <cellStyle name="常规 4 5 2 4 2" xfId="40738"/>
    <cellStyle name="常规 4 5 2 4 2 2" xfId="40739"/>
    <cellStyle name="常规 4 5 2 4 2 3" xfId="40740"/>
    <cellStyle name="常规 4 5 2 4 2 4" xfId="40741"/>
    <cellStyle name="常规 4 5 2 4 3" xfId="40742"/>
    <cellStyle name="常规 4 5 2 4 4" xfId="40743"/>
    <cellStyle name="常规 4 5 2 4 5" xfId="40744"/>
    <cellStyle name="常规 4 5 2 4 6" xfId="40745"/>
    <cellStyle name="常规 4 5 2 4 6 2" xfId="40746"/>
    <cellStyle name="常规 4 5 2 5" xfId="40747"/>
    <cellStyle name="常规 4 5 2 5 2" xfId="40748"/>
    <cellStyle name="常规 4 5 2 5 3" xfId="40749"/>
    <cellStyle name="常规 4 5 2 5 4" xfId="40750"/>
    <cellStyle name="常规 4 5 2 5 5" xfId="40751"/>
    <cellStyle name="常规 4 5 2 5 5 2" xfId="40752"/>
    <cellStyle name="常规 4 5 2 6" xfId="40753"/>
    <cellStyle name="常规 4 5 2 6 2" xfId="40754"/>
    <cellStyle name="常规 4 5 2 6 2 2" xfId="40755"/>
    <cellStyle name="常规 4 5 2 7" xfId="40756"/>
    <cellStyle name="常规 4 5 2 7 2" xfId="40757"/>
    <cellStyle name="常规 4 5 2 7 2 2" xfId="40758"/>
    <cellStyle name="常规 4 5 2 8" xfId="40759"/>
    <cellStyle name="常规 4 5 2 8 2" xfId="40760"/>
    <cellStyle name="常规 4 5 2 8 3" xfId="40761"/>
    <cellStyle name="常规 4 5 2 9" xfId="40762"/>
    <cellStyle name="常规 4 5 2 9 2" xfId="40763"/>
    <cellStyle name="常规 4 5 3" xfId="40764"/>
    <cellStyle name="常规 4 5 3 2" xfId="40765"/>
    <cellStyle name="常规 4 5 3 2 2" xfId="40766"/>
    <cellStyle name="常规 4 5 3 2 2 2" xfId="40767"/>
    <cellStyle name="常规 4 5 3 2 2 2 2" xfId="40768"/>
    <cellStyle name="常规 4 5 3 2 3" xfId="40769"/>
    <cellStyle name="常规 4 5 3 2 3 2" xfId="40770"/>
    <cellStyle name="常规 4 5 3 2 3 2 2" xfId="40771"/>
    <cellStyle name="常规 4 5 3 2 4" xfId="40772"/>
    <cellStyle name="常规 4 5 3 2 4 2" xfId="40773"/>
    <cellStyle name="常规 4 5 3 2 4 2 2" xfId="40774"/>
    <cellStyle name="常规 4 5 3 2 5" xfId="40775"/>
    <cellStyle name="常规 4 5 3 2 5 2" xfId="40776"/>
    <cellStyle name="常规 4 5 3 2 5 3" xfId="40777"/>
    <cellStyle name="常规 4 5 3 2 6" xfId="40778"/>
    <cellStyle name="常规 4 5 3 3" xfId="40779"/>
    <cellStyle name="常规 4 5 3 3 2" xfId="40780"/>
    <cellStyle name="常规 4 5 3 3 2 2" xfId="40781"/>
    <cellStyle name="常规 4 5 3 3 2 2 2" xfId="40782"/>
    <cellStyle name="常规 4 5 3 3 3" xfId="40783"/>
    <cellStyle name="常规 4 5 3 3 3 2" xfId="40784"/>
    <cellStyle name="常规 4 5 3 3 3 2 2" xfId="40785"/>
    <cellStyle name="常规 4 5 3 3 4" xfId="40786"/>
    <cellStyle name="常规 4 5 3 3 4 2" xfId="40787"/>
    <cellStyle name="常规 4 5 3 3 5" xfId="40788"/>
    <cellStyle name="常规 4 5 3 4" xfId="40789"/>
    <cellStyle name="常规 4 5 3 4 2" xfId="40790"/>
    <cellStyle name="常规 4 5 3 4 2 2" xfId="40791"/>
    <cellStyle name="常规 4 5 3 5" xfId="40792"/>
    <cellStyle name="常规 4 5 3 5 2" xfId="40793"/>
    <cellStyle name="常规 4 5 3 5 2 2" xfId="40794"/>
    <cellStyle name="常规 4 5 3 6" xfId="40795"/>
    <cellStyle name="常规 4 5 3 7" xfId="40796"/>
    <cellStyle name="常规 4 5 3 7 2" xfId="40797"/>
    <cellStyle name="常规 4 5 3 7 3" xfId="40798"/>
    <cellStyle name="常规 4 5 3 8" xfId="40799"/>
    <cellStyle name="常规 4 5 3 8 2" xfId="40800"/>
    <cellStyle name="常规 4 5 4" xfId="40801"/>
    <cellStyle name="常规 4 5 4 2" xfId="40802"/>
    <cellStyle name="常规 4 5 4 2 2" xfId="40803"/>
    <cellStyle name="常规 4 5 4 2 3" xfId="40804"/>
    <cellStyle name="常规 4 5 4 2 4" xfId="40805"/>
    <cellStyle name="常规 4 5 4 2 5" xfId="40806"/>
    <cellStyle name="常规 4 5 4 2 5 2" xfId="40807"/>
    <cellStyle name="常规 4 5 4 3" xfId="40808"/>
    <cellStyle name="常规 4 5 4 3 2" xfId="40809"/>
    <cellStyle name="常规 4 5 4 3 2 2" xfId="40810"/>
    <cellStyle name="常规 4 5 4 4" xfId="40811"/>
    <cellStyle name="常规 4 5 4 4 2" xfId="40812"/>
    <cellStyle name="常规 4 5 4 4 2 2" xfId="40813"/>
    <cellStyle name="常规 4 5 4 5" xfId="40814"/>
    <cellStyle name="常规 4 5 4 5 2" xfId="40815"/>
    <cellStyle name="常规 4 5 4 5 3" xfId="40816"/>
    <cellStyle name="常规 4 5 4 6" xfId="40817"/>
    <cellStyle name="常规 4 5 4 6 2" xfId="40818"/>
    <cellStyle name="常规 4 5 4 7" xfId="40819"/>
    <cellStyle name="常规 4 5 5" xfId="40820"/>
    <cellStyle name="常规 4 5 5 2" xfId="40821"/>
    <cellStyle name="常规 4 5 5 3" xfId="40822"/>
    <cellStyle name="常规 4 5 5 4" xfId="40823"/>
    <cellStyle name="常规 4 5 5 5" xfId="40824"/>
    <cellStyle name="常规 4 5 5 5 2" xfId="40825"/>
    <cellStyle name="常规 4 5 6" xfId="40826"/>
    <cellStyle name="常规 4 5 6 2" xfId="40827"/>
    <cellStyle name="常规 4 5 6 2 2" xfId="40828"/>
    <cellStyle name="常规 4 5 7" xfId="40829"/>
    <cellStyle name="常规 4 5 7 2" xfId="40830"/>
    <cellStyle name="常规 4 5 7 2 2" xfId="40831"/>
    <cellStyle name="常规 4 5 8" xfId="40832"/>
    <cellStyle name="常规 4 5 8 2" xfId="40833"/>
    <cellStyle name="常规 4 5 8 2 2" xfId="40834"/>
    <cellStyle name="常规 4 5 9" xfId="40835"/>
    <cellStyle name="常规 4 5 9 2" xfId="40836"/>
    <cellStyle name="常规 4 5 9 3" xfId="40837"/>
    <cellStyle name="常规 4 6" xfId="40838"/>
    <cellStyle name="常规 4 6 10" xfId="40839"/>
    <cellStyle name="常规 4 6 2" xfId="40840"/>
    <cellStyle name="常规 4 6 2 10" xfId="40841"/>
    <cellStyle name="常规 4 6 2 2" xfId="40842"/>
    <cellStyle name="常规 4 6 2 2 2" xfId="40843"/>
    <cellStyle name="常规 4 6 2 2 2 2" xfId="40844"/>
    <cellStyle name="常规 4 6 2 2 2 2 2" xfId="40845"/>
    <cellStyle name="常规 4 6 2 2 2 2 3" xfId="40846"/>
    <cellStyle name="常规 4 6 2 2 2 2 4" xfId="40847"/>
    <cellStyle name="常规 4 6 2 2 2 3" xfId="40848"/>
    <cellStyle name="常规 4 6 2 2 2 4" xfId="40849"/>
    <cellStyle name="常规 4 6 2 2 2 5" xfId="40850"/>
    <cellStyle name="常规 4 6 2 2 3" xfId="40851"/>
    <cellStyle name="常规 4 6 2 2 3 2" xfId="40852"/>
    <cellStyle name="常规 4 6 2 2 3 2 2" xfId="40853"/>
    <cellStyle name="常规 4 6 2 2 3 2 3" xfId="40854"/>
    <cellStyle name="常规 4 6 2 2 3 2 4" xfId="40855"/>
    <cellStyle name="常规 4 6 2 2 3 3" xfId="40856"/>
    <cellStyle name="常规 4 6 2 2 3 4" xfId="40857"/>
    <cellStyle name="常规 4 6 2 2 3 5" xfId="40858"/>
    <cellStyle name="常规 4 6 2 2 4" xfId="40859"/>
    <cellStyle name="常规 4 6 2 2 4 2" xfId="40860"/>
    <cellStyle name="常规 4 6 2 2 4 3" xfId="40861"/>
    <cellStyle name="常规 4 6 2 2 4 4" xfId="40862"/>
    <cellStyle name="常规 4 6 2 2 5" xfId="40863"/>
    <cellStyle name="常规 4 6 2 2 6" xfId="40864"/>
    <cellStyle name="常规 4 6 2 2 7" xfId="40865"/>
    <cellStyle name="常规 4 6 2 2 8" xfId="40866"/>
    <cellStyle name="常规 4 6 2 2 8 2" xfId="40867"/>
    <cellStyle name="常规 4 6 2 3" xfId="40868"/>
    <cellStyle name="常规 4 6 2 3 2" xfId="40869"/>
    <cellStyle name="常规 4 6 2 3 2 2" xfId="40870"/>
    <cellStyle name="常规 4 6 2 3 2 3" xfId="40871"/>
    <cellStyle name="常规 4 6 2 3 2 4" xfId="40872"/>
    <cellStyle name="常规 4 6 2 3 3" xfId="40873"/>
    <cellStyle name="常规 4 6 2 3 4" xfId="40874"/>
    <cellStyle name="常规 4 6 2 3 5" xfId="40875"/>
    <cellStyle name="常规 4 6 2 3 6" xfId="40876"/>
    <cellStyle name="常规 4 6 2 3 6 2" xfId="40877"/>
    <cellStyle name="常规 4 6 2 4" xfId="40878"/>
    <cellStyle name="常规 4 6 2 4 2" xfId="40879"/>
    <cellStyle name="常规 4 6 2 4 2 2" xfId="40880"/>
    <cellStyle name="常规 4 6 2 4 2 3" xfId="40881"/>
    <cellStyle name="常规 4 6 2 4 2 4" xfId="40882"/>
    <cellStyle name="常规 4 6 2 4 2 5" xfId="40883"/>
    <cellStyle name="常规 4 6 2 4 3" xfId="40884"/>
    <cellStyle name="常规 4 6 2 4 4" xfId="40885"/>
    <cellStyle name="常规 4 6 2 4 5" xfId="40886"/>
    <cellStyle name="常规 4 6 2 4 6" xfId="40887"/>
    <cellStyle name="常规 4 6 2 5" xfId="40888"/>
    <cellStyle name="常规 4 6 2 5 2" xfId="40889"/>
    <cellStyle name="常规 4 6 2 5 2 2" xfId="40890"/>
    <cellStyle name="常规 4 6 2 5 3" xfId="40891"/>
    <cellStyle name="常规 4 6 2 5 4" xfId="40892"/>
    <cellStyle name="常规 4 6 2 5 5" xfId="40893"/>
    <cellStyle name="常规 4 6 2 6" xfId="40894"/>
    <cellStyle name="常规 4 6 2 7" xfId="40895"/>
    <cellStyle name="常规 4 6 2 8" xfId="40896"/>
    <cellStyle name="常规 4 6 2 9" xfId="40897"/>
    <cellStyle name="常规 4 6 2 9 2" xfId="40898"/>
    <cellStyle name="常规 4 6 3" xfId="40899"/>
    <cellStyle name="常规 4 6 3 2" xfId="40900"/>
    <cellStyle name="常规 4 6 3 2 2" xfId="40901"/>
    <cellStyle name="常规 4 6 3 2 2 2" xfId="40902"/>
    <cellStyle name="常规 4 6 3 2 3" xfId="40903"/>
    <cellStyle name="常规 4 6 3 2 4" xfId="40904"/>
    <cellStyle name="常规 4 6 3 2 5" xfId="40905"/>
    <cellStyle name="常规 4 6 3 2 5 2" xfId="40906"/>
    <cellStyle name="常规 4 6 3 2 6" xfId="40907"/>
    <cellStyle name="常规 4 6 3 3" xfId="40908"/>
    <cellStyle name="常规 4 6 3 3 2" xfId="40909"/>
    <cellStyle name="常规 4 6 3 3 2 2" xfId="40910"/>
    <cellStyle name="常规 4 6 3 4" xfId="40911"/>
    <cellStyle name="常规 4 6 3 4 2" xfId="40912"/>
    <cellStyle name="常规 4 6 3 4 3" xfId="40913"/>
    <cellStyle name="常规 4 6 3 5" xfId="40914"/>
    <cellStyle name="常规 4 6 3 5 2" xfId="40915"/>
    <cellStyle name="常规 4 6 3 6" xfId="40916"/>
    <cellStyle name="常规 4 6 3 6 2" xfId="40917"/>
    <cellStyle name="常规 4 6 3 7" xfId="40918"/>
    <cellStyle name="常规 4 6 4" xfId="40919"/>
    <cellStyle name="常规 4 6 4 2" xfId="40920"/>
    <cellStyle name="常规 4 6 4 2 2" xfId="40921"/>
    <cellStyle name="常规 4 6 4 2 3" xfId="40922"/>
    <cellStyle name="常规 4 6 4 2 4" xfId="40923"/>
    <cellStyle name="常规 4 6 4 3" xfId="40924"/>
    <cellStyle name="常规 4 6 4 4" xfId="40925"/>
    <cellStyle name="常规 4 6 4 5" xfId="40926"/>
    <cellStyle name="常规 4 6 4 6" xfId="40927"/>
    <cellStyle name="常规 4 6 4 6 2" xfId="40928"/>
    <cellStyle name="常规 4 6 5" xfId="40929"/>
    <cellStyle name="常规 4 6 5 2" xfId="40930"/>
    <cellStyle name="常规 4 6 5 3" xfId="40931"/>
    <cellStyle name="常规 4 6 5 4" xfId="40932"/>
    <cellStyle name="常规 4 6 5 5" xfId="40933"/>
    <cellStyle name="常规 4 6 5 5 2" xfId="40934"/>
    <cellStyle name="常规 4 6 6" xfId="40935"/>
    <cellStyle name="常规 4 6 6 2" xfId="40936"/>
    <cellStyle name="常规 4 6 6 2 2" xfId="40937"/>
    <cellStyle name="常规 4 6 7" xfId="40938"/>
    <cellStyle name="常规 4 6 7 2" xfId="40939"/>
    <cellStyle name="常规 4 6 7 2 2" xfId="40940"/>
    <cellStyle name="常规 4 6 8" xfId="40941"/>
    <cellStyle name="常规 4 6 8 2" xfId="40942"/>
    <cellStyle name="常规 4 6 8 3" xfId="40943"/>
    <cellStyle name="常规 4 6 9" xfId="40944"/>
    <cellStyle name="常规 4 6 9 2" xfId="40945"/>
    <cellStyle name="常规 4 7" xfId="40946"/>
    <cellStyle name="常规 4 7 10" xfId="40947"/>
    <cellStyle name="常规 4 7 2" xfId="40948"/>
    <cellStyle name="常规 4 7 2 2" xfId="40949"/>
    <cellStyle name="常规 4 7 2 2 2" xfId="40950"/>
    <cellStyle name="常规 4 7 2 2 2 2" xfId="40951"/>
    <cellStyle name="常规 4 7 2 2 2 3" xfId="40952"/>
    <cellStyle name="常规 4 7 2 2 2 4" xfId="40953"/>
    <cellStyle name="常规 4 7 2 2 3" xfId="40954"/>
    <cellStyle name="常规 4 7 2 2 4" xfId="40955"/>
    <cellStyle name="常规 4 7 2 2 5" xfId="40956"/>
    <cellStyle name="常规 4 7 2 2 6" xfId="40957"/>
    <cellStyle name="常规 4 7 2 2 6 2" xfId="40958"/>
    <cellStyle name="常规 4 7 2 3" xfId="40959"/>
    <cellStyle name="常规 4 7 2 3 2" xfId="40960"/>
    <cellStyle name="常规 4 7 2 3 2 2" xfId="40961"/>
    <cellStyle name="常规 4 7 2 3 2 3" xfId="40962"/>
    <cellStyle name="常规 4 7 2 3 2 4" xfId="40963"/>
    <cellStyle name="常规 4 7 2 3 3" xfId="40964"/>
    <cellStyle name="常规 4 7 2 3 4" xfId="40965"/>
    <cellStyle name="常规 4 7 2 3 5" xfId="40966"/>
    <cellStyle name="常规 4 7 2 3 6" xfId="40967"/>
    <cellStyle name="常规 4 7 2 3 6 2" xfId="40968"/>
    <cellStyle name="常规 4 7 2 4" xfId="40969"/>
    <cellStyle name="常规 4 7 2 4 2" xfId="40970"/>
    <cellStyle name="常规 4 7 2 4 2 2" xfId="40971"/>
    <cellStyle name="常规 4 7 2 4 3" xfId="40972"/>
    <cellStyle name="常规 4 7 2 4 4" xfId="40973"/>
    <cellStyle name="常规 4 7 2 4 5" xfId="40974"/>
    <cellStyle name="常规 4 7 2 5" xfId="40975"/>
    <cellStyle name="常规 4 7 2 5 2" xfId="40976"/>
    <cellStyle name="常规 4 7 2 5 3" xfId="40977"/>
    <cellStyle name="常规 4 7 2 6" xfId="40978"/>
    <cellStyle name="常规 4 7 2 7" xfId="40979"/>
    <cellStyle name="常规 4 7 2 8" xfId="40980"/>
    <cellStyle name="常规 4 7 2 8 2" xfId="40981"/>
    <cellStyle name="常规 4 7 2 9" xfId="40982"/>
    <cellStyle name="常规 4 7 3" xfId="40983"/>
    <cellStyle name="常规 4 7 3 2" xfId="40984"/>
    <cellStyle name="常规 4 7 3 2 2" xfId="40985"/>
    <cellStyle name="常规 4 7 3 2 3" xfId="40986"/>
    <cellStyle name="常规 4 7 3 2 4" xfId="40987"/>
    <cellStyle name="常规 4 7 3 3" xfId="40988"/>
    <cellStyle name="常规 4 7 3 4" xfId="40989"/>
    <cellStyle name="常规 4 7 3 5" xfId="40990"/>
    <cellStyle name="常规 4 7 3 6" xfId="40991"/>
    <cellStyle name="常规 4 7 3 6 2" xfId="40992"/>
    <cellStyle name="常规 4 7 4" xfId="40993"/>
    <cellStyle name="常规 4 7 4 2" xfId="40994"/>
    <cellStyle name="常规 4 7 4 2 2" xfId="40995"/>
    <cellStyle name="常规 4 7 4 2 3" xfId="40996"/>
    <cellStyle name="常规 4 7 4 2 4" xfId="40997"/>
    <cellStyle name="常规 4 7 4 3" xfId="40998"/>
    <cellStyle name="常规 4 7 4 4" xfId="40999"/>
    <cellStyle name="常规 4 7 4 5" xfId="41000"/>
    <cellStyle name="常规 4 7 4 6" xfId="41001"/>
    <cellStyle name="常规 4 7 4 6 2" xfId="41002"/>
    <cellStyle name="常规 4 7 5" xfId="41003"/>
    <cellStyle name="常规 4 7 5 2" xfId="41004"/>
    <cellStyle name="常规 4 7 5 3" xfId="41005"/>
    <cellStyle name="常规 4 7 5 4" xfId="41006"/>
    <cellStyle name="常规 4 7 5 5" xfId="41007"/>
    <cellStyle name="常规 4 7 5 5 2" xfId="41008"/>
    <cellStyle name="常规 4 7 6" xfId="41009"/>
    <cellStyle name="常规 4 7 6 2" xfId="41010"/>
    <cellStyle name="常规 4 7 6 2 2" xfId="41011"/>
    <cellStyle name="常规 4 7 7" xfId="41012"/>
    <cellStyle name="常规 4 7 7 2" xfId="41013"/>
    <cellStyle name="常规 4 7 7 2 2" xfId="41014"/>
    <cellStyle name="常规 4 7 8" xfId="41015"/>
    <cellStyle name="常规 4 7 8 2" xfId="41016"/>
    <cellStyle name="常规 4 7 8 3" xfId="41017"/>
    <cellStyle name="常规 4 7 9" xfId="41018"/>
    <cellStyle name="常规 4 7 9 2" xfId="41019"/>
    <cellStyle name="常规 4 8" xfId="41020"/>
    <cellStyle name="常规 4 8 2" xfId="41021"/>
    <cellStyle name="常规 4 8 2 2" xfId="41022"/>
    <cellStyle name="常规 4 8 2 2 2" xfId="41023"/>
    <cellStyle name="常规 4 8 2 2 3" xfId="41024"/>
    <cellStyle name="常规 4 8 2 2 4" xfId="41025"/>
    <cellStyle name="常规 4 8 2 2 5" xfId="41026"/>
    <cellStyle name="常规 4 8 2 2 5 2" xfId="41027"/>
    <cellStyle name="常规 4 8 2 3" xfId="41028"/>
    <cellStyle name="常规 4 8 2 3 2" xfId="41029"/>
    <cellStyle name="常规 4 8 2 3 2 2" xfId="41030"/>
    <cellStyle name="常规 4 8 2 4" xfId="41031"/>
    <cellStyle name="常规 4 8 2 4 2" xfId="41032"/>
    <cellStyle name="常规 4 8 2 4 2 2" xfId="41033"/>
    <cellStyle name="常规 4 8 2 5" xfId="41034"/>
    <cellStyle name="常规 4 8 2 5 2" xfId="41035"/>
    <cellStyle name="常规 4 8 2 5 3" xfId="41036"/>
    <cellStyle name="常规 4 8 2 6" xfId="41037"/>
    <cellStyle name="常规 4 8 2 6 2" xfId="41038"/>
    <cellStyle name="常规 4 8 2 7" xfId="41039"/>
    <cellStyle name="常规 4 8 3" xfId="41040"/>
    <cellStyle name="常规 4 8 3 2" xfId="41041"/>
    <cellStyle name="常规 4 8 3 2 2" xfId="41042"/>
    <cellStyle name="常规 4 8 3 2 3" xfId="41043"/>
    <cellStyle name="常规 4 8 3 2 4" xfId="41044"/>
    <cellStyle name="常规 4 8 3 3" xfId="41045"/>
    <cellStyle name="常规 4 8 3 4" xfId="41046"/>
    <cellStyle name="常规 4 8 3 5" xfId="41047"/>
    <cellStyle name="常规 4 8 3 6" xfId="41048"/>
    <cellStyle name="常规 4 8 3 6 2" xfId="41049"/>
    <cellStyle name="常规 4 8 4" xfId="41050"/>
    <cellStyle name="常规 4 8 4 2" xfId="41051"/>
    <cellStyle name="常规 4 8 4 3" xfId="41052"/>
    <cellStyle name="常规 4 8 4 4" xfId="41053"/>
    <cellStyle name="常规 4 8 4 5" xfId="41054"/>
    <cellStyle name="常规 4 8 4 5 2" xfId="41055"/>
    <cellStyle name="常规 4 8 5" xfId="41056"/>
    <cellStyle name="常规 4 8 5 2" xfId="41057"/>
    <cellStyle name="常规 4 8 5 2 2" xfId="41058"/>
    <cellStyle name="常规 4 8 6" xfId="41059"/>
    <cellStyle name="常规 4 8 6 2" xfId="41060"/>
    <cellStyle name="常规 4 8 6 2 2" xfId="41061"/>
    <cellStyle name="常规 4 8 7" xfId="41062"/>
    <cellStyle name="常规 4 8 7 2" xfId="41063"/>
    <cellStyle name="常规 4 8 7 3" xfId="41064"/>
    <cellStyle name="常规 4 8 8" xfId="41065"/>
    <cellStyle name="常规 4 8 8 2" xfId="41066"/>
    <cellStyle name="常规 4 8 9" xfId="41067"/>
    <cellStyle name="常规 4 9" xfId="41068"/>
    <cellStyle name="常规 4 9 2" xfId="41069"/>
    <cellStyle name="常规 4 9 2 2" xfId="41070"/>
    <cellStyle name="常规 4 9 2 2 2" xfId="41071"/>
    <cellStyle name="常规 4 9 2 2 2 2" xfId="41072"/>
    <cellStyle name="常规 4 9 2 2 3" xfId="41073"/>
    <cellStyle name="常规 4 9 2 2 4" xfId="41074"/>
    <cellStyle name="常规 4 9 2 2 5" xfId="41075"/>
    <cellStyle name="常规 4 9 2 2 5 2" xfId="41076"/>
    <cellStyle name="常规 4 9 2 2 6" xfId="41077"/>
    <cellStyle name="常规 4 9 2 3" xfId="41078"/>
    <cellStyle name="常规 4 9 2 3 2" xfId="41079"/>
    <cellStyle name="常规 4 9 2 3 2 2" xfId="41080"/>
    <cellStyle name="常规 4 9 2 4" xfId="41081"/>
    <cellStyle name="常规 4 9 2 4 2" xfId="41082"/>
    <cellStyle name="常规 4 9 2 4 3" xfId="41083"/>
    <cellStyle name="常规 4 9 2 5" xfId="41084"/>
    <cellStyle name="常规 4 9 2 5 2" xfId="41085"/>
    <cellStyle name="常规 4 9 2 6" xfId="41086"/>
    <cellStyle name="常规 4 9 2 6 2" xfId="41087"/>
    <cellStyle name="常规 4 9 2 7" xfId="41088"/>
    <cellStyle name="常规 4 9 3" xfId="41089"/>
    <cellStyle name="常规 4 9 3 2" xfId="41090"/>
    <cellStyle name="常规 4 9 3 2 2" xfId="41091"/>
    <cellStyle name="常规 4 9 3 2 3" xfId="41092"/>
    <cellStyle name="常规 4 9 3 2 4" xfId="41093"/>
    <cellStyle name="常规 4 9 3 3" xfId="41094"/>
    <cellStyle name="常规 4 9 3 4" xfId="41095"/>
    <cellStyle name="常规 4 9 3 5" xfId="41096"/>
    <cellStyle name="常规 4 9 3 6" xfId="41097"/>
    <cellStyle name="常规 4 9 3 6 2" xfId="41098"/>
    <cellStyle name="常规 4 9 4" xfId="41099"/>
    <cellStyle name="常规 4 9 4 2" xfId="41100"/>
    <cellStyle name="常规 4 9 4 2 2" xfId="41101"/>
    <cellStyle name="常规 4 9 4 3" xfId="41102"/>
    <cellStyle name="常规 4 9 4 4" xfId="41103"/>
    <cellStyle name="常规 4 9 4 5" xfId="41104"/>
    <cellStyle name="常规 4 9 5" xfId="41105"/>
    <cellStyle name="常规 4 9 5 2" xfId="41106"/>
    <cellStyle name="常规 4 9 5 3" xfId="41107"/>
    <cellStyle name="常规 4 9 6" xfId="41108"/>
    <cellStyle name="常规 4 9 7" xfId="41109"/>
    <cellStyle name="常规 4 9 8" xfId="41110"/>
    <cellStyle name="常规 4 9 8 2" xfId="41111"/>
    <cellStyle name="常规 4 9 9" xfId="41112"/>
    <cellStyle name="常规 5" xfId="41113"/>
    <cellStyle name="常规 5 10" xfId="41114"/>
    <cellStyle name="常规 5 10 2" xfId="41115"/>
    <cellStyle name="常规 5 10 2 2" xfId="41116"/>
    <cellStyle name="常规 5 10 2 2 2" xfId="41117"/>
    <cellStyle name="常规 5 10 3" xfId="41118"/>
    <cellStyle name="常规 5 10 3 2" xfId="41119"/>
    <cellStyle name="常规 5 10 4" xfId="41120"/>
    <cellStyle name="常规 5 10 4 2" xfId="41121"/>
    <cellStyle name="常规 5 10 5" xfId="41122"/>
    <cellStyle name="常规 5 11" xfId="41123"/>
    <cellStyle name="常规 5 12" xfId="41124"/>
    <cellStyle name="常规 5 12 2" xfId="41125"/>
    <cellStyle name="常规 5 12 2 2" xfId="41126"/>
    <cellStyle name="常规 5 12 3" xfId="41127"/>
    <cellStyle name="常规 5 12 3 2" xfId="41128"/>
    <cellStyle name="常规 5 13" xfId="41129"/>
    <cellStyle name="常规 5 13 2" xfId="41130"/>
    <cellStyle name="常规 5 2" xfId="41131"/>
    <cellStyle name="常规 5 2 10" xfId="41132"/>
    <cellStyle name="常规 5 2 10 2" xfId="41133"/>
    <cellStyle name="常规 5 2 2" xfId="41134"/>
    <cellStyle name="常规 5 2 2 2" xfId="41135"/>
    <cellStyle name="常规 5 2 2 2 2" xfId="41136"/>
    <cellStyle name="常规 5 2 2 2 2 2" xfId="41137"/>
    <cellStyle name="常规 5 2 2 2 2 2 2" xfId="41138"/>
    <cellStyle name="常规 5 2 2 2 2 2 2 2" xfId="41139"/>
    <cellStyle name="常规 5 2 2 2 2 3" xfId="41140"/>
    <cellStyle name="常规 5 2 2 2 2 3 2" xfId="41141"/>
    <cellStyle name="常规 5 2 2 2 2 3 2 2" xfId="41142"/>
    <cellStyle name="常规 5 2 2 2 2 4" xfId="41143"/>
    <cellStyle name="常规 5 2 2 2 2 4 2" xfId="41144"/>
    <cellStyle name="常规 5 2 2 2 2 4 2 2" xfId="41145"/>
    <cellStyle name="常规 5 2 2 2 2 5" xfId="41146"/>
    <cellStyle name="常规 5 2 2 2 2 5 2" xfId="41147"/>
    <cellStyle name="常规 5 2 2 2 2 5 3" xfId="41148"/>
    <cellStyle name="常规 5 2 2 2 2 6" xfId="41149"/>
    <cellStyle name="常规 5 2 2 2 3" xfId="41150"/>
    <cellStyle name="常规 5 2 2 2 3 2" xfId="41151"/>
    <cellStyle name="常规 5 2 2 2 3 2 2" xfId="41152"/>
    <cellStyle name="常规 5 2 2 2 3 2 2 2" xfId="41153"/>
    <cellStyle name="常规 5 2 2 2 3 3" xfId="41154"/>
    <cellStyle name="常规 5 2 2 2 3 3 2" xfId="41155"/>
    <cellStyle name="常规 5 2 2 2 3 3 2 2" xfId="41156"/>
    <cellStyle name="常规 5 2 2 2 3 4" xfId="41157"/>
    <cellStyle name="常规 5 2 2 2 3 4 2" xfId="41158"/>
    <cellStyle name="常规 5 2 2 2 3 5" xfId="41159"/>
    <cellStyle name="常规 5 2 2 2 4" xfId="41160"/>
    <cellStyle name="常规 5 2 2 2 4 2" xfId="41161"/>
    <cellStyle name="常规 5 2 2 2 4 2 2" xfId="41162"/>
    <cellStyle name="常规 5 2 2 2 5" xfId="41163"/>
    <cellStyle name="常规 5 2 2 2 5 2" xfId="41164"/>
    <cellStyle name="常规 5 2 2 2 5 2 2" xfId="41165"/>
    <cellStyle name="常规 5 2 2 2 6" xfId="41166"/>
    <cellStyle name="常规 5 2 2 2 7" xfId="41167"/>
    <cellStyle name="常规 5 2 2 2 7 2" xfId="41168"/>
    <cellStyle name="常规 5 2 2 2 7 3" xfId="41169"/>
    <cellStyle name="常规 5 2 2 2 8" xfId="41170"/>
    <cellStyle name="常规 5 2 2 2 8 2" xfId="41171"/>
    <cellStyle name="常规 5 2 2 3" xfId="41172"/>
    <cellStyle name="常规 5 2 2 3 2" xfId="41173"/>
    <cellStyle name="常规 5 2 2 3 2 2" xfId="41174"/>
    <cellStyle name="常规 5 2 2 3 2 3" xfId="41175"/>
    <cellStyle name="常规 5 2 2 3 2 4" xfId="41176"/>
    <cellStyle name="常规 5 2 2 3 2 5" xfId="41177"/>
    <cellStyle name="常规 5 2 2 3 2 5 2" xfId="41178"/>
    <cellStyle name="常规 5 2 2 3 3" xfId="41179"/>
    <cellStyle name="常规 5 2 2 3 3 2" xfId="41180"/>
    <cellStyle name="常规 5 2 2 3 3 2 2" xfId="41181"/>
    <cellStyle name="常规 5 2 2 3 4" xfId="41182"/>
    <cellStyle name="常规 5 2 2 3 4 2" xfId="41183"/>
    <cellStyle name="常规 5 2 2 3 4 2 2" xfId="41184"/>
    <cellStyle name="常规 5 2 2 3 5" xfId="41185"/>
    <cellStyle name="常规 5 2 2 3 5 2" xfId="41186"/>
    <cellStyle name="常规 5 2 2 3 5 3" xfId="41187"/>
    <cellStyle name="常规 5 2 2 3 6" xfId="41188"/>
    <cellStyle name="常规 5 2 2 3 6 2" xfId="41189"/>
    <cellStyle name="常规 5 2 2 3 7" xfId="41190"/>
    <cellStyle name="常规 5 2 2 4" xfId="41191"/>
    <cellStyle name="常规 5 2 2 4 2" xfId="41192"/>
    <cellStyle name="常规 5 2 2 4 3" xfId="41193"/>
    <cellStyle name="常规 5 2 2 4 4" xfId="41194"/>
    <cellStyle name="常规 5 2 2 4 5" xfId="41195"/>
    <cellStyle name="常规 5 2 2 4 5 2" xfId="41196"/>
    <cellStyle name="常规 5 2 2 5" xfId="41197"/>
    <cellStyle name="常规 5 2 2 5 2" xfId="41198"/>
    <cellStyle name="常规 5 2 2 5 2 2" xfId="41199"/>
    <cellStyle name="常规 5 2 2 6" xfId="41200"/>
    <cellStyle name="常规 5 2 2 6 2" xfId="41201"/>
    <cellStyle name="常规 5 2 2 6 2 2" xfId="41202"/>
    <cellStyle name="常规 5 2 2 7" xfId="41203"/>
    <cellStyle name="常规 5 2 2 7 2" xfId="41204"/>
    <cellStyle name="常规 5 2 2 7 2 2" xfId="41205"/>
    <cellStyle name="常规 5 2 2 8" xfId="41206"/>
    <cellStyle name="常规 5 2 2 8 2" xfId="41207"/>
    <cellStyle name="常规 5 2 2 8 3" xfId="41208"/>
    <cellStyle name="常规 5 2 2 9" xfId="41209"/>
    <cellStyle name="常规 5 2 2 9 2" xfId="41210"/>
    <cellStyle name="常规 5 2 3" xfId="41211"/>
    <cellStyle name="常规 5 2 3 2" xfId="41212"/>
    <cellStyle name="常规 5 2 3 2 2" xfId="41213"/>
    <cellStyle name="常规 5 2 3 2 2 2" xfId="41214"/>
    <cellStyle name="常规 5 2 3 2 2 2 2" xfId="41215"/>
    <cellStyle name="常规 5 2 3 2 3" xfId="41216"/>
    <cellStyle name="常规 5 2 3 2 3 2" xfId="41217"/>
    <cellStyle name="常规 5 2 3 2 3 2 2" xfId="41218"/>
    <cellStyle name="常规 5 2 3 2 4" xfId="41219"/>
    <cellStyle name="常规 5 2 3 2 4 2" xfId="41220"/>
    <cellStyle name="常规 5 2 3 2 4 2 2" xfId="41221"/>
    <cellStyle name="常规 5 2 3 2 5" xfId="41222"/>
    <cellStyle name="常规 5 2 3 2 5 2" xfId="41223"/>
    <cellStyle name="常规 5 2 3 2 5 3" xfId="41224"/>
    <cellStyle name="常规 5 2 3 2 6" xfId="41225"/>
    <cellStyle name="常规 5 2 3 3" xfId="41226"/>
    <cellStyle name="常规 5 2 3 3 2" xfId="41227"/>
    <cellStyle name="常规 5 2 3 3 2 2" xfId="41228"/>
    <cellStyle name="常规 5 2 3 3 2 2 2" xfId="41229"/>
    <cellStyle name="常规 5 2 3 3 3" xfId="41230"/>
    <cellStyle name="常规 5 2 3 3 3 2" xfId="41231"/>
    <cellStyle name="常规 5 2 3 3 3 2 2" xfId="41232"/>
    <cellStyle name="常规 5 2 3 3 4" xfId="41233"/>
    <cellStyle name="常规 5 2 3 3 4 2" xfId="41234"/>
    <cellStyle name="常规 5 2 3 3 5" xfId="41235"/>
    <cellStyle name="常规 5 2 3 4" xfId="41236"/>
    <cellStyle name="常规 5 2 3 4 2" xfId="41237"/>
    <cellStyle name="常规 5 2 3 4 2 2" xfId="41238"/>
    <cellStyle name="常规 5 2 3 5" xfId="41239"/>
    <cellStyle name="常规 5 2 3 5 2" xfId="41240"/>
    <cellStyle name="常规 5 2 3 5 2 2" xfId="41241"/>
    <cellStyle name="常规 5 2 3 6" xfId="41242"/>
    <cellStyle name="常规 5 2 3 7" xfId="41243"/>
    <cellStyle name="常规 5 2 3 7 2" xfId="41244"/>
    <cellStyle name="常规 5 2 3 7 3" xfId="41245"/>
    <cellStyle name="常规 5 2 3 8" xfId="41246"/>
    <cellStyle name="常规 5 2 3 8 2" xfId="41247"/>
    <cellStyle name="常规 5 2 4" xfId="41248"/>
    <cellStyle name="常规 5 2 4 2" xfId="41249"/>
    <cellStyle name="常规 5 2 4 2 2" xfId="41250"/>
    <cellStyle name="常规 5 2 4 2 3" xfId="41251"/>
    <cellStyle name="常规 5 2 4 2 4" xfId="41252"/>
    <cellStyle name="常规 5 2 4 2 5" xfId="41253"/>
    <cellStyle name="常规 5 2 4 2 5 2" xfId="41254"/>
    <cellStyle name="常规 5 2 4 3" xfId="41255"/>
    <cellStyle name="常规 5 2 4 3 2" xfId="41256"/>
    <cellStyle name="常规 5 2 4 3 2 2" xfId="41257"/>
    <cellStyle name="常规 5 2 4 4" xfId="41258"/>
    <cellStyle name="常规 5 2 4 4 2" xfId="41259"/>
    <cellStyle name="常规 5 2 4 4 2 2" xfId="41260"/>
    <cellStyle name="常规 5 2 4 5" xfId="41261"/>
    <cellStyle name="常规 5 2 4 5 2" xfId="41262"/>
    <cellStyle name="常规 5 2 4 5 3" xfId="41263"/>
    <cellStyle name="常规 5 2 4 6" xfId="41264"/>
    <cellStyle name="常规 5 2 4 6 2" xfId="41265"/>
    <cellStyle name="常规 5 2 4 7" xfId="41266"/>
    <cellStyle name="常规 5 2 5" xfId="41267"/>
    <cellStyle name="常规 5 2 5 2" xfId="41268"/>
    <cellStyle name="常规 5 2 5 3" xfId="41269"/>
    <cellStyle name="常规 5 2 5 4" xfId="41270"/>
    <cellStyle name="常规 5 2 5 5" xfId="41271"/>
    <cellStyle name="常规 5 2 5 5 2" xfId="41272"/>
    <cellStyle name="常规 5 2 6" xfId="41273"/>
    <cellStyle name="常规 5 2 6 2" xfId="41274"/>
    <cellStyle name="常规 5 2 6 2 2" xfId="41275"/>
    <cellStyle name="常规 5 2 7" xfId="41276"/>
    <cellStyle name="常规 5 2 7 2" xfId="41277"/>
    <cellStyle name="常规 5 2 7 2 2" xfId="41278"/>
    <cellStyle name="常规 5 2 8" xfId="41279"/>
    <cellStyle name="常规 5 2 8 2" xfId="41280"/>
    <cellStyle name="常规 5 2 8 2 2" xfId="41281"/>
    <cellStyle name="常规 5 2 9" xfId="41282"/>
    <cellStyle name="常规 5 2 9 2" xfId="41283"/>
    <cellStyle name="常规 5 2 9 3" xfId="41284"/>
    <cellStyle name="常规 5 3" xfId="41285"/>
    <cellStyle name="常规 5 3 2" xfId="41286"/>
    <cellStyle name="常规 5 3 2 2" xfId="41287"/>
    <cellStyle name="常规 5 3 2 2 2" xfId="41288"/>
    <cellStyle name="常规 5 3 2 2 2 2" xfId="41289"/>
    <cellStyle name="常规 5 3 2 3" xfId="41290"/>
    <cellStyle name="常规 5 3 2 3 2" xfId="41291"/>
    <cellStyle name="常规 5 3 2 3 2 2" xfId="41292"/>
    <cellStyle name="常规 5 3 2 4" xfId="41293"/>
    <cellStyle name="常规 5 3 2 4 2" xfId="41294"/>
    <cellStyle name="常规 5 3 2 4 2 2" xfId="41295"/>
    <cellStyle name="常规 5 3 2 5" xfId="41296"/>
    <cellStyle name="常规 5 3 2 5 2" xfId="41297"/>
    <cellStyle name="常规 5 3 2 5 3" xfId="41298"/>
    <cellStyle name="常规 5 3 2 6" xfId="41299"/>
    <cellStyle name="常规 5 3 3" xfId="41300"/>
    <cellStyle name="常规 5 3 3 2" xfId="41301"/>
    <cellStyle name="常规 5 3 3 2 2" xfId="41302"/>
    <cellStyle name="常规 5 3 3 2 2 2" xfId="41303"/>
    <cellStyle name="常规 5 3 3 3" xfId="41304"/>
    <cellStyle name="常规 5 3 3 3 2" xfId="41305"/>
    <cellStyle name="常规 5 3 3 3 2 2" xfId="41306"/>
    <cellStyle name="常规 5 3 3 4" xfId="41307"/>
    <cellStyle name="常规 5 3 3 4 2" xfId="41308"/>
    <cellStyle name="常规 5 3 3 5" xfId="41309"/>
    <cellStyle name="常规 5 3 4" xfId="41310"/>
    <cellStyle name="常规 5 3 4 2" xfId="41311"/>
    <cellStyle name="常规 5 3 4 2 2" xfId="41312"/>
    <cellStyle name="常规 5 3 5" xfId="41313"/>
    <cellStyle name="常规 5 3 5 2" xfId="41314"/>
    <cellStyle name="常规 5 3 5 2 2" xfId="41315"/>
    <cellStyle name="常规 5 3 6" xfId="41316"/>
    <cellStyle name="常规 5 3 7" xfId="41317"/>
    <cellStyle name="常规 5 3 7 2" xfId="41318"/>
    <cellStyle name="常规 5 3 7 3" xfId="41319"/>
    <cellStyle name="常规 5 3 8" xfId="41320"/>
    <cellStyle name="常规 5 3 8 2" xfId="41321"/>
    <cellStyle name="常规 5 4" xfId="41322"/>
    <cellStyle name="常规 5 4 2" xfId="41323"/>
    <cellStyle name="常规 5 4 2 2" xfId="41324"/>
    <cellStyle name="常规 5 4 2 2 2" xfId="41325"/>
    <cellStyle name="常规 5 4 2 2 2 2" xfId="41326"/>
    <cellStyle name="常规 5 4 2 3" xfId="41327"/>
    <cellStyle name="常规 5 4 2 3 2" xfId="41328"/>
    <cellStyle name="常规 5 4 2 3 2 2" xfId="41329"/>
    <cellStyle name="常规 5 4 2 4" xfId="41330"/>
    <cellStyle name="常规 5 4 2 4 2" xfId="41331"/>
    <cellStyle name="常规 5 4 2 4 2 2" xfId="41332"/>
    <cellStyle name="常规 5 4 2 5" xfId="41333"/>
    <cellStyle name="常规 5 4 2 5 2" xfId="41334"/>
    <cellStyle name="常规 5 4 2 5 3" xfId="41335"/>
    <cellStyle name="常规 5 4 2 6" xfId="41336"/>
    <cellStyle name="常规 5 4 3" xfId="41337"/>
    <cellStyle name="常规 5 4 3 2" xfId="41338"/>
    <cellStyle name="常规 5 4 3 2 2" xfId="41339"/>
    <cellStyle name="常规 5 4 4" xfId="41340"/>
    <cellStyle name="常规 5 4 4 2" xfId="41341"/>
    <cellStyle name="常规 5 4 4 2 2" xfId="41342"/>
    <cellStyle name="常规 5 4 5" xfId="41343"/>
    <cellStyle name="常规 5 4 5 2" xfId="41344"/>
    <cellStyle name="常规 5 4 5 2 2" xfId="41345"/>
    <cellStyle name="常规 5 4 6" xfId="41346"/>
    <cellStyle name="常规 5 4 7" xfId="41347"/>
    <cellStyle name="常规 5 4 7 2" xfId="41348"/>
    <cellStyle name="常规 5 4 7 3" xfId="41349"/>
    <cellStyle name="常规 5 4 8" xfId="41350"/>
    <cellStyle name="常规 5 4 8 2" xfId="41351"/>
    <cellStyle name="常规 5 5" xfId="41352"/>
    <cellStyle name="常规 5 5 2" xfId="41353"/>
    <cellStyle name="常规 5 5 2 2" xfId="41354"/>
    <cellStyle name="常规 5 5 2 3" xfId="41355"/>
    <cellStyle name="常规 5 5 2 3 2" xfId="41356"/>
    <cellStyle name="常规 5 5 3" xfId="41357"/>
    <cellStyle name="常规 5 5 3 2" xfId="41358"/>
    <cellStyle name="常规 5 5 3 2 2" xfId="41359"/>
    <cellStyle name="常规 5 5 4" xfId="41360"/>
    <cellStyle name="常规 5 5 4 2" xfId="41361"/>
    <cellStyle name="常规 5 5 4 2 2" xfId="41362"/>
    <cellStyle name="常规 5 5 5" xfId="41363"/>
    <cellStyle name="常规 5 5 5 2" xfId="41364"/>
    <cellStyle name="常规 5 5 6" xfId="41365"/>
    <cellStyle name="常规 5 6" xfId="41366"/>
    <cellStyle name="常规 5 6 2" xfId="41367"/>
    <cellStyle name="常规 5 6 2 2" xfId="41368"/>
    <cellStyle name="常规 5 6 3" xfId="41369"/>
    <cellStyle name="常规 5 6 4" xfId="41370"/>
    <cellStyle name="常规 5 6 5" xfId="41371"/>
    <cellStyle name="常规 5 6 5 2" xfId="41372"/>
    <cellStyle name="常规 5 6 6" xfId="41373"/>
    <cellStyle name="常规 5 7" xfId="41374"/>
    <cellStyle name="常规 5 7 2" xfId="41375"/>
    <cellStyle name="常规 5 7 2 2" xfId="41376"/>
    <cellStyle name="常规 5 7 2 2 2" xfId="41377"/>
    <cellStyle name="常规 5 7 2 2 2 2" xfId="41378"/>
    <cellStyle name="常规 5 7 2 3" xfId="41379"/>
    <cellStyle name="常规 5 7 2 3 2" xfId="41380"/>
    <cellStyle name="常规 5 7 2 4" xfId="41381"/>
    <cellStyle name="常规 5 7 2 4 2" xfId="41382"/>
    <cellStyle name="常规 5 7 2 5" xfId="41383"/>
    <cellStyle name="常规 5 7 3" xfId="41384"/>
    <cellStyle name="常规 5 7 4" xfId="41385"/>
    <cellStyle name="常规 5 7 4 2" xfId="41386"/>
    <cellStyle name="常规 5 7 4 3" xfId="41387"/>
    <cellStyle name="常规 5 7 5" xfId="41388"/>
    <cellStyle name="常规 5 7 5 2" xfId="41389"/>
    <cellStyle name="常规 5 8" xfId="41390"/>
    <cellStyle name="常规 5 8 2" xfId="41391"/>
    <cellStyle name="常规 5 8 2 2" xfId="41392"/>
    <cellStyle name="常规 5 8 2 2 2" xfId="41393"/>
    <cellStyle name="常规 5 8 2 2 2 2" xfId="41394"/>
    <cellStyle name="常规 5 8 2 3" xfId="41395"/>
    <cellStyle name="常规 5 8 2 3 2" xfId="41396"/>
    <cellStyle name="常规 5 8 2 4" xfId="41397"/>
    <cellStyle name="常规 5 8 2 4 2" xfId="41398"/>
    <cellStyle name="常规 5 8 2 5" xfId="41399"/>
    <cellStyle name="常规 5 8 3" xfId="41400"/>
    <cellStyle name="常规 5 8 3 2" xfId="41401"/>
    <cellStyle name="常规 5 8 3 2 2" xfId="41402"/>
    <cellStyle name="常规 5 8 4" xfId="41403"/>
    <cellStyle name="常规 5 8 4 2" xfId="41404"/>
    <cellStyle name="常规 5 8 4 2 2" xfId="41405"/>
    <cellStyle name="常规 5 8 5" xfId="41406"/>
    <cellStyle name="常规 5 8 5 2" xfId="41407"/>
    <cellStyle name="常规 5 8 6" xfId="41408"/>
    <cellStyle name="常规 5 9" xfId="41409"/>
    <cellStyle name="常规 5 9 2" xfId="41410"/>
    <cellStyle name="常规 5 9 2 2" xfId="41411"/>
    <cellStyle name="常规 5 9 2 2 2" xfId="41412"/>
    <cellStyle name="常规 5 9 2 2 2 2" xfId="41413"/>
    <cellStyle name="常规 5 9 2 3" xfId="41414"/>
    <cellStyle name="常规 5 9 2 3 2" xfId="41415"/>
    <cellStyle name="常规 5 9 2 4" xfId="41416"/>
    <cellStyle name="常规 5 9 2 4 2" xfId="41417"/>
    <cellStyle name="常规 5 9 2 5" xfId="41418"/>
    <cellStyle name="常规 5 9 3" xfId="41419"/>
    <cellStyle name="常规 5 9 3 2" xfId="41420"/>
    <cellStyle name="常规 5 9 3 2 2" xfId="41421"/>
    <cellStyle name="常规 5 9 4" xfId="41422"/>
    <cellStyle name="常规 5 9 4 2" xfId="41423"/>
    <cellStyle name="常规 5 9 5" xfId="41424"/>
    <cellStyle name="常规 5 9 5 2" xfId="41425"/>
    <cellStyle name="常规 5 9 6" xfId="41426"/>
    <cellStyle name="常规 5_Profit Statement  072610" xfId="41427"/>
    <cellStyle name="常规 6" xfId="41428"/>
    <cellStyle name="常规 6 10" xfId="41429"/>
    <cellStyle name="常规 6 10 2" xfId="41430"/>
    <cellStyle name="常规 6 2" xfId="41431"/>
    <cellStyle name="常规 6 2 10" xfId="41432"/>
    <cellStyle name="常规 6 2 10 2" xfId="41433"/>
    <cellStyle name="常规 6 2 2" xfId="41434"/>
    <cellStyle name="常规 6 2 2 2" xfId="41435"/>
    <cellStyle name="常规 6 2 2 2 2" xfId="41436"/>
    <cellStyle name="常规 6 2 2 2 2 2" xfId="41437"/>
    <cellStyle name="常规 6 2 2 2 2 3" xfId="41438"/>
    <cellStyle name="常规 6 2 2 2 2 4" xfId="41439"/>
    <cellStyle name="常规 6 2 2 2 2 4 2" xfId="41440"/>
    <cellStyle name="常规 6 2 2 2 2 4 3" xfId="41441"/>
    <cellStyle name="常规 6 2 2 2 2 5" xfId="41442"/>
    <cellStyle name="常规 6 2 2 2 2 5 2" xfId="41443"/>
    <cellStyle name="常规 6 2 2 2 3" xfId="41444"/>
    <cellStyle name="常规 6 2 2 2 3 2" xfId="41445"/>
    <cellStyle name="常规 6 2 2 2 3 2 2" xfId="41446"/>
    <cellStyle name="常规 6 2 2 2 3 2 2 2" xfId="41447"/>
    <cellStyle name="常规 6 2 2 2 3 3" xfId="41448"/>
    <cellStyle name="常规 6 2 2 2 3 3 2" xfId="41449"/>
    <cellStyle name="常规 6 2 2 2 3 3 2 2" xfId="41450"/>
    <cellStyle name="常规 6 2 2 2 3 4" xfId="41451"/>
    <cellStyle name="常规 6 2 2 2 3 4 2" xfId="41452"/>
    <cellStyle name="常规 6 2 2 2 3 5" xfId="41453"/>
    <cellStyle name="常规 6 2 2 2 4" xfId="41454"/>
    <cellStyle name="常规 6 2 2 2 5" xfId="41455"/>
    <cellStyle name="常规 6 2 2 2 6" xfId="41456"/>
    <cellStyle name="常规 6 2 2 2 7" xfId="41457"/>
    <cellStyle name="常规 6 2 2 2 7 2" xfId="41458"/>
    <cellStyle name="常规 6 2 2 2 7 3" xfId="41459"/>
    <cellStyle name="常规 6 2 2 2 8" xfId="41460"/>
    <cellStyle name="常规 6 2 2 2 8 2" xfId="41461"/>
    <cellStyle name="常规 6 2 2 3" xfId="41462"/>
    <cellStyle name="常规 6 2 2 3 2" xfId="41463"/>
    <cellStyle name="常规 6 2 2 3 3" xfId="41464"/>
    <cellStyle name="常规 6 2 2 3 4" xfId="41465"/>
    <cellStyle name="常规 6 2 2 3 4 2" xfId="41466"/>
    <cellStyle name="常规 6 2 2 3 4 3" xfId="41467"/>
    <cellStyle name="常规 6 2 2 3 5" xfId="41468"/>
    <cellStyle name="常规 6 2 2 3 5 2" xfId="41469"/>
    <cellStyle name="常规 6 2 2 4" xfId="41470"/>
    <cellStyle name="常规 6 2 2 4 2" xfId="41471"/>
    <cellStyle name="常规 6 2 2 4 2 2" xfId="41472"/>
    <cellStyle name="常规 6 2 2 5" xfId="41473"/>
    <cellStyle name="常规 6 2 2 6" xfId="41474"/>
    <cellStyle name="常规 6 2 2 7" xfId="41475"/>
    <cellStyle name="常规 6 2 2 8" xfId="41476"/>
    <cellStyle name="常规 6 2 2 8 2" xfId="41477"/>
    <cellStyle name="常规 6 2 2 8 3" xfId="41478"/>
    <cellStyle name="常规 6 2 2 9" xfId="41479"/>
    <cellStyle name="常规 6 2 2 9 2" xfId="41480"/>
    <cellStyle name="常规 6 2 3" xfId="41481"/>
    <cellStyle name="常规 6 2 3 2" xfId="41482"/>
    <cellStyle name="常规 6 2 3 2 2" xfId="41483"/>
    <cellStyle name="常规 6 2 3 2 3" xfId="41484"/>
    <cellStyle name="常规 6 2 3 2 4" xfId="41485"/>
    <cellStyle name="常规 6 2 3 2 4 2" xfId="41486"/>
    <cellStyle name="常规 6 2 3 2 4 3" xfId="41487"/>
    <cellStyle name="常规 6 2 3 2 5" xfId="41488"/>
    <cellStyle name="常规 6 2 3 2 5 2" xfId="41489"/>
    <cellStyle name="常规 6 2 3 3" xfId="41490"/>
    <cellStyle name="常规 6 2 3 3 2" xfId="41491"/>
    <cellStyle name="常规 6 2 3 3 2 2" xfId="41492"/>
    <cellStyle name="常规 6 2 3 3 2 2 2" xfId="41493"/>
    <cellStyle name="常规 6 2 3 3 3" xfId="41494"/>
    <cellStyle name="常规 6 2 3 3 3 2" xfId="41495"/>
    <cellStyle name="常规 6 2 3 3 3 2 2" xfId="41496"/>
    <cellStyle name="常规 6 2 3 3 4" xfId="41497"/>
    <cellStyle name="常规 6 2 3 3 4 2" xfId="41498"/>
    <cellStyle name="常规 6 2 3 3 5" xfId="41499"/>
    <cellStyle name="常规 6 2 3 4" xfId="41500"/>
    <cellStyle name="常规 6 2 3 5" xfId="41501"/>
    <cellStyle name="常规 6 2 3 6" xfId="41502"/>
    <cellStyle name="常规 6 2 3 7" xfId="41503"/>
    <cellStyle name="常规 6 2 3 7 2" xfId="41504"/>
    <cellStyle name="常规 6 2 3 7 3" xfId="41505"/>
    <cellStyle name="常规 6 2 3 8" xfId="41506"/>
    <cellStyle name="常规 6 2 3 8 2" xfId="41507"/>
    <cellStyle name="常规 6 2 4" xfId="41508"/>
    <cellStyle name="常规 6 2 4 2" xfId="41509"/>
    <cellStyle name="常规 6 2 4 3" xfId="41510"/>
    <cellStyle name="常规 6 2 4 4" xfId="41511"/>
    <cellStyle name="常规 6 2 4 4 2" xfId="41512"/>
    <cellStyle name="常规 6 2 4 4 3" xfId="41513"/>
    <cellStyle name="常规 6 2 4 5" xfId="41514"/>
    <cellStyle name="常规 6 2 4 5 2" xfId="41515"/>
    <cellStyle name="常规 6 2 5" xfId="41516"/>
    <cellStyle name="常规 6 2 5 2" xfId="41517"/>
    <cellStyle name="常规 6 2 5 2 2" xfId="41518"/>
    <cellStyle name="常规 6 2 6" xfId="41519"/>
    <cellStyle name="常规 6 2 7" xfId="41520"/>
    <cellStyle name="常规 6 2 8" xfId="41521"/>
    <cellStyle name="常规 6 2 9" xfId="41522"/>
    <cellStyle name="常规 6 2 9 2" xfId="41523"/>
    <cellStyle name="常规 6 2 9 3" xfId="41524"/>
    <cellStyle name="常规 6 3" xfId="41525"/>
    <cellStyle name="常规 6 3 2" xfId="41526"/>
    <cellStyle name="常规 6 3 2 2" xfId="41527"/>
    <cellStyle name="常规 6 3 2 2 2" xfId="41528"/>
    <cellStyle name="常规 6 3 2 2 3" xfId="41529"/>
    <cellStyle name="常规 6 3 2 2 4" xfId="41530"/>
    <cellStyle name="常规 6 3 2 2 4 2" xfId="41531"/>
    <cellStyle name="常规 6 3 2 3" xfId="41532"/>
    <cellStyle name="常规 6 3 2 3 2" xfId="41533"/>
    <cellStyle name="常规 6 3 2 3 2 2" xfId="41534"/>
    <cellStyle name="常规 6 3 2 4" xfId="41535"/>
    <cellStyle name="常规 6 3 2 4 2" xfId="41536"/>
    <cellStyle name="常规 6 3 2 4 2 2" xfId="41537"/>
    <cellStyle name="常规 6 3 2 5" xfId="41538"/>
    <cellStyle name="常规 6 3 2 5 2" xfId="41539"/>
    <cellStyle name="常规 6 3 2 5 3" xfId="41540"/>
    <cellStyle name="常规 6 3 2 6" xfId="41541"/>
    <cellStyle name="常规 6 3 2 7" xfId="41542"/>
    <cellStyle name="常规 6 3 2 7 2" xfId="41543"/>
    <cellStyle name="常规 6 3 2 8" xfId="41544"/>
    <cellStyle name="常规 6 3 3" xfId="41545"/>
    <cellStyle name="常规 6 3 3 2" xfId="41546"/>
    <cellStyle name="常规 6 3 3 2 2" xfId="41547"/>
    <cellStyle name="常规 6 3 3 2 2 2" xfId="41548"/>
    <cellStyle name="常规 6 3 3 2 3" xfId="41549"/>
    <cellStyle name="常规 6 3 3 3" xfId="41550"/>
    <cellStyle name="常规 6 3 3 3 2" xfId="41551"/>
    <cellStyle name="常规 6 3 3 3 2 2" xfId="41552"/>
    <cellStyle name="常规 6 3 3 4" xfId="41553"/>
    <cellStyle name="常规 6 3 3 4 2" xfId="41554"/>
    <cellStyle name="常规 6 3 3 4 3" xfId="41555"/>
    <cellStyle name="常规 6 3 3 5" xfId="41556"/>
    <cellStyle name="常规 6 3 3 5 2" xfId="41557"/>
    <cellStyle name="常规 6 3 4" xfId="41558"/>
    <cellStyle name="常规 6 3 4 2" xfId="41559"/>
    <cellStyle name="常规 6 3 4 2 2" xfId="41560"/>
    <cellStyle name="常规 6 3 5" xfId="41561"/>
    <cellStyle name="常规 6 3 5 2" xfId="41562"/>
    <cellStyle name="常规 6 3 5 2 2" xfId="41563"/>
    <cellStyle name="常规 6 3 6" xfId="41564"/>
    <cellStyle name="常规 6 3 6 2" xfId="41565"/>
    <cellStyle name="常规 6 3 6 2 2" xfId="41566"/>
    <cellStyle name="常规 6 3 7" xfId="41567"/>
    <cellStyle name="常规 6 3 7 2" xfId="41568"/>
    <cellStyle name="常规 6 3 7 2 2" xfId="41569"/>
    <cellStyle name="常规 6 3 8" xfId="41570"/>
    <cellStyle name="常规 6 3 8 2" xfId="41571"/>
    <cellStyle name="常规 6 3 8 3" xfId="41572"/>
    <cellStyle name="常规 6 3 9" xfId="41573"/>
    <cellStyle name="常规 6 4" xfId="41574"/>
    <cellStyle name="常规 6 4 2" xfId="41575"/>
    <cellStyle name="常规 6 4 2 2" xfId="41576"/>
    <cellStyle name="常规 6 4 2 2 2" xfId="41577"/>
    <cellStyle name="常规 6 4 2 2 2 2" xfId="41578"/>
    <cellStyle name="常规 6 4 2 3" xfId="41579"/>
    <cellStyle name="常规 6 4 2 3 2" xfId="41580"/>
    <cellStyle name="常规 6 4 2 3 2 2" xfId="41581"/>
    <cellStyle name="常规 6 4 2 4" xfId="41582"/>
    <cellStyle name="常规 6 4 2 4 2" xfId="41583"/>
    <cellStyle name="常规 6 4 2 4 3" xfId="41584"/>
    <cellStyle name="常规 6 4 2 5" xfId="41585"/>
    <cellStyle name="常规 6 4 2 5 2" xfId="41586"/>
    <cellStyle name="常规 6 4 3" xfId="41587"/>
    <cellStyle name="常规 6 4 3 2" xfId="41588"/>
    <cellStyle name="常规 6 4 3 2 2" xfId="41589"/>
    <cellStyle name="常规 6 4 4" xfId="41590"/>
    <cellStyle name="常规 6 4 4 2" xfId="41591"/>
    <cellStyle name="常规 6 4 4 2 2" xfId="41592"/>
    <cellStyle name="常规 6 4 5" xfId="41593"/>
    <cellStyle name="常规 6 4 5 2" xfId="41594"/>
    <cellStyle name="常规 6 4 5 2 2" xfId="41595"/>
    <cellStyle name="常规 6 4 6" xfId="41596"/>
    <cellStyle name="常规 6 4 6 2" xfId="41597"/>
    <cellStyle name="常规 6 4 6 2 2" xfId="41598"/>
    <cellStyle name="常规 6 4 7" xfId="41599"/>
    <cellStyle name="常规 6 4 7 2" xfId="41600"/>
    <cellStyle name="常规 6 4 7 3" xfId="41601"/>
    <cellStyle name="常规 6 4 8" xfId="41602"/>
    <cellStyle name="常规 6 4 8 2" xfId="41603"/>
    <cellStyle name="常规 6 5" xfId="41604"/>
    <cellStyle name="常规 6 5 2" xfId="41605"/>
    <cellStyle name="常规 6 5 2 2" xfId="41606"/>
    <cellStyle name="常规 6 5 2 2 2" xfId="41607"/>
    <cellStyle name="常规 6 5 2 2 2 2" xfId="41608"/>
    <cellStyle name="常规 6 5 2 3" xfId="41609"/>
    <cellStyle name="常规 6 5 2 3 2" xfId="41610"/>
    <cellStyle name="常规 6 5 2 3 2 2" xfId="41611"/>
    <cellStyle name="常规 6 5 2 4" xfId="41612"/>
    <cellStyle name="常规 6 5 2 4 2" xfId="41613"/>
    <cellStyle name="常规 6 5 2 5" xfId="41614"/>
    <cellStyle name="常规 6 5 3" xfId="41615"/>
    <cellStyle name="常规 6 5 3 2" xfId="41616"/>
    <cellStyle name="常规 6 5 3 2 2" xfId="41617"/>
    <cellStyle name="常规 6 5 4" xfId="41618"/>
    <cellStyle name="常规 6 5 4 2" xfId="41619"/>
    <cellStyle name="常规 6 5 4 3" xfId="41620"/>
    <cellStyle name="常规 6 5 5" xfId="41621"/>
    <cellStyle name="常规 6 5 5 2" xfId="41622"/>
    <cellStyle name="常规 6 6" xfId="41623"/>
    <cellStyle name="常规 6 6 2" xfId="41624"/>
    <cellStyle name="常规 6 6 2 2" xfId="41625"/>
    <cellStyle name="常规 6 6 2 2 2" xfId="41626"/>
    <cellStyle name="常规 6 6 3" xfId="41627"/>
    <cellStyle name="常规 6 6 3 2" xfId="41628"/>
    <cellStyle name="常规 6 6 3 2 2" xfId="41629"/>
    <cellStyle name="常规 6 6 4" xfId="41630"/>
    <cellStyle name="常规 6 6 4 2" xfId="41631"/>
    <cellStyle name="常规 6 6 5" xfId="41632"/>
    <cellStyle name="常规 6 7" xfId="41633"/>
    <cellStyle name="常规 6 7 2" xfId="41634"/>
    <cellStyle name="常规 6 7 2 2" xfId="41635"/>
    <cellStyle name="常规 6 8" xfId="41636"/>
    <cellStyle name="常规 6 9" xfId="41637"/>
    <cellStyle name="常规 6 9 2" xfId="41638"/>
    <cellStyle name="常规 6 9 2 2" xfId="41639"/>
    <cellStyle name="常规 6 9 3" xfId="41640"/>
    <cellStyle name="常规 6 9 3 2" xfId="41641"/>
    <cellStyle name="常规 7" xfId="41642"/>
    <cellStyle name="常规 7 10" xfId="41643"/>
    <cellStyle name="常规 7 10 2" xfId="41644"/>
    <cellStyle name="常规 7 10 3" xfId="41645"/>
    <cellStyle name="常规 7 11" xfId="41646"/>
    <cellStyle name="常规 7 2" xfId="41647"/>
    <cellStyle name="常规 7 2 10" xfId="41648"/>
    <cellStyle name="常规 7 2 10 2" xfId="41649"/>
    <cellStyle name="常规 7 2 2" xfId="41650"/>
    <cellStyle name="常规 7 2 2 2" xfId="41651"/>
    <cellStyle name="常规 7 2 2 2 2" xfId="41652"/>
    <cellStyle name="常规 7 2 2 2 2 2" xfId="41653"/>
    <cellStyle name="常规 7 2 2 2 2 3" xfId="41654"/>
    <cellStyle name="常规 7 2 2 2 2 4" xfId="41655"/>
    <cellStyle name="常规 7 2 2 2 2 4 2" xfId="41656"/>
    <cellStyle name="常规 7 2 2 2 2 4 3" xfId="41657"/>
    <cellStyle name="常规 7 2 2 2 2 5" xfId="41658"/>
    <cellStyle name="常规 7 2 2 2 2 5 2" xfId="41659"/>
    <cellStyle name="常规 7 2 2 2 3" xfId="41660"/>
    <cellStyle name="常规 7 2 2 2 3 2" xfId="41661"/>
    <cellStyle name="常规 7 2 2 2 3 2 2" xfId="41662"/>
    <cellStyle name="常规 7 2 2 2 3 2 2 2" xfId="41663"/>
    <cellStyle name="常规 7 2 2 2 3 3" xfId="41664"/>
    <cellStyle name="常规 7 2 2 2 3 3 2" xfId="41665"/>
    <cellStyle name="常规 7 2 2 2 3 3 2 2" xfId="41666"/>
    <cellStyle name="常规 7 2 2 2 3 4" xfId="41667"/>
    <cellStyle name="常规 7 2 2 2 3 4 2" xfId="41668"/>
    <cellStyle name="常规 7 2 2 2 3 5" xfId="41669"/>
    <cellStyle name="常规 7 2 2 2 4" xfId="41670"/>
    <cellStyle name="常规 7 2 2 2 5" xfId="41671"/>
    <cellStyle name="常规 7 2 2 2 6" xfId="41672"/>
    <cellStyle name="常规 7 2 2 2 7" xfId="41673"/>
    <cellStyle name="常规 7 2 2 2 7 2" xfId="41674"/>
    <cellStyle name="常规 7 2 2 2 7 3" xfId="41675"/>
    <cellStyle name="常规 7 2 2 2 8" xfId="41676"/>
    <cellStyle name="常规 7 2 2 2 8 2" xfId="41677"/>
    <cellStyle name="常规 7 2 2 3" xfId="41678"/>
    <cellStyle name="常规 7 2 2 3 2" xfId="41679"/>
    <cellStyle name="常规 7 2 2 3 3" xfId="41680"/>
    <cellStyle name="常规 7 2 2 3 4" xfId="41681"/>
    <cellStyle name="常规 7 2 2 3 4 2" xfId="41682"/>
    <cellStyle name="常规 7 2 2 3 4 3" xfId="41683"/>
    <cellStyle name="常规 7 2 2 3 5" xfId="41684"/>
    <cellStyle name="常规 7 2 2 3 5 2" xfId="41685"/>
    <cellStyle name="常规 7 2 2 4" xfId="41686"/>
    <cellStyle name="常规 7 2 2 4 2" xfId="41687"/>
    <cellStyle name="常规 7 2 2 4 2 2" xfId="41688"/>
    <cellStyle name="常规 7 2 2 5" xfId="41689"/>
    <cellStyle name="常规 7 2 2 5 2" xfId="41690"/>
    <cellStyle name="常规 7 2 2 5 2 2" xfId="41691"/>
    <cellStyle name="常规 7 2 2 6" xfId="41692"/>
    <cellStyle name="常规 7 2 2 6 2" xfId="41693"/>
    <cellStyle name="常规 7 2 2 6 2 2" xfId="41694"/>
    <cellStyle name="常规 7 2 2 7" xfId="41695"/>
    <cellStyle name="常规 7 2 2 8" xfId="41696"/>
    <cellStyle name="常规 7 2 2 8 2" xfId="41697"/>
    <cellStyle name="常规 7 2 2 8 3" xfId="41698"/>
    <cellStyle name="常规 7 2 2 9" xfId="41699"/>
    <cellStyle name="常规 7 2 2 9 2" xfId="41700"/>
    <cellStyle name="常规 7 2 3" xfId="41701"/>
    <cellStyle name="常规 7 2 3 2" xfId="41702"/>
    <cellStyle name="常规 7 2 3 2 2" xfId="41703"/>
    <cellStyle name="常规 7 2 3 2 3" xfId="41704"/>
    <cellStyle name="常规 7 2 3 2 4" xfId="41705"/>
    <cellStyle name="常规 7 2 3 2 4 2" xfId="41706"/>
    <cellStyle name="常规 7 2 3 2 4 3" xfId="41707"/>
    <cellStyle name="常规 7 2 3 2 5" xfId="41708"/>
    <cellStyle name="常规 7 2 3 2 5 2" xfId="41709"/>
    <cellStyle name="常规 7 2 3 3" xfId="41710"/>
    <cellStyle name="常规 7 2 3 3 2" xfId="41711"/>
    <cellStyle name="常规 7 2 3 3 2 2" xfId="41712"/>
    <cellStyle name="常规 7 2 3 3 2 2 2" xfId="41713"/>
    <cellStyle name="常规 7 2 3 3 3" xfId="41714"/>
    <cellStyle name="常规 7 2 3 3 3 2" xfId="41715"/>
    <cellStyle name="常规 7 2 3 3 3 2 2" xfId="41716"/>
    <cellStyle name="常规 7 2 3 3 4" xfId="41717"/>
    <cellStyle name="常规 7 2 3 3 4 2" xfId="41718"/>
    <cellStyle name="常规 7 2 3 3 5" xfId="41719"/>
    <cellStyle name="常规 7 2 3 4" xfId="41720"/>
    <cellStyle name="常规 7 2 3 5" xfId="41721"/>
    <cellStyle name="常规 7 2 3 6" xfId="41722"/>
    <cellStyle name="常规 7 2 3 7" xfId="41723"/>
    <cellStyle name="常规 7 2 3 7 2" xfId="41724"/>
    <cellStyle name="常规 7 2 3 7 3" xfId="41725"/>
    <cellStyle name="常规 7 2 3 8" xfId="41726"/>
    <cellStyle name="常规 7 2 3 8 2" xfId="41727"/>
    <cellStyle name="常规 7 2 4" xfId="41728"/>
    <cellStyle name="常规 7 2 4 2" xfId="41729"/>
    <cellStyle name="常规 7 2 4 3" xfId="41730"/>
    <cellStyle name="常规 7 2 4 4" xfId="41731"/>
    <cellStyle name="常规 7 2 4 4 2" xfId="41732"/>
    <cellStyle name="常规 7 2 4 4 3" xfId="41733"/>
    <cellStyle name="常规 7 2 4 5" xfId="41734"/>
    <cellStyle name="常规 7 2 4 5 2" xfId="41735"/>
    <cellStyle name="常规 7 2 5" xfId="41736"/>
    <cellStyle name="常规 7 2 5 2" xfId="41737"/>
    <cellStyle name="常规 7 2 5 2 2" xfId="41738"/>
    <cellStyle name="常规 7 2 6" xfId="41739"/>
    <cellStyle name="常规 7 2 6 2" xfId="41740"/>
    <cellStyle name="常规 7 2 6 2 2" xfId="41741"/>
    <cellStyle name="常规 7 2 7" xfId="41742"/>
    <cellStyle name="常规 7 2 7 2" xfId="41743"/>
    <cellStyle name="常规 7 2 7 2 2" xfId="41744"/>
    <cellStyle name="常规 7 2 8" xfId="41745"/>
    <cellStyle name="常规 7 2 9" xfId="41746"/>
    <cellStyle name="常规 7 2 9 2" xfId="41747"/>
    <cellStyle name="常规 7 2 9 3" xfId="41748"/>
    <cellStyle name="常规 7 3" xfId="41749"/>
    <cellStyle name="常规 7 3 2" xfId="41750"/>
    <cellStyle name="常规 7 3 2 2" xfId="41751"/>
    <cellStyle name="常规 7 3 2 2 2" xfId="41752"/>
    <cellStyle name="常规 7 3 2 2 3" xfId="41753"/>
    <cellStyle name="常规 7 3 2 2 4" xfId="41754"/>
    <cellStyle name="常规 7 3 2 2 4 2" xfId="41755"/>
    <cellStyle name="常规 7 3 2 3" xfId="41756"/>
    <cellStyle name="常规 7 3 2 3 2" xfId="41757"/>
    <cellStyle name="常规 7 3 2 3 2 2" xfId="41758"/>
    <cellStyle name="常规 7 3 2 4" xfId="41759"/>
    <cellStyle name="常规 7 3 2 4 2" xfId="41760"/>
    <cellStyle name="常规 7 3 2 4 2 2" xfId="41761"/>
    <cellStyle name="常规 7 3 2 5" xfId="41762"/>
    <cellStyle name="常规 7 3 2 5 2" xfId="41763"/>
    <cellStyle name="常规 7 3 2 5 3" xfId="41764"/>
    <cellStyle name="常规 7 3 2 6" xfId="41765"/>
    <cellStyle name="常规 7 3 2 7" xfId="41766"/>
    <cellStyle name="常规 7 3 2 7 2" xfId="41767"/>
    <cellStyle name="常规 7 3 2 8" xfId="41768"/>
    <cellStyle name="常规 7 3 3" xfId="41769"/>
    <cellStyle name="常规 7 3 3 2" xfId="41770"/>
    <cellStyle name="常规 7 3 3 2 2" xfId="41771"/>
    <cellStyle name="常规 7 3 3 2 2 2" xfId="41772"/>
    <cellStyle name="常规 7 3 3 2 3" xfId="41773"/>
    <cellStyle name="常规 7 3 3 3" xfId="41774"/>
    <cellStyle name="常规 7 3 3 3 2" xfId="41775"/>
    <cellStyle name="常规 7 3 3 3 2 2" xfId="41776"/>
    <cellStyle name="常规 7 3 3 4" xfId="41777"/>
    <cellStyle name="常规 7 3 3 4 2" xfId="41778"/>
    <cellStyle name="常规 7 3 3 4 3" xfId="41779"/>
    <cellStyle name="常规 7 3 3 5" xfId="41780"/>
    <cellStyle name="常规 7 3 3 5 2" xfId="41781"/>
    <cellStyle name="常规 7 3 4" xfId="41782"/>
    <cellStyle name="常规 7 3 4 2" xfId="41783"/>
    <cellStyle name="常规 7 3 4 2 2" xfId="41784"/>
    <cellStyle name="常规 7 3 5" xfId="41785"/>
    <cellStyle name="常规 7 3 5 2" xfId="41786"/>
    <cellStyle name="常规 7 3 5 2 2" xfId="41787"/>
    <cellStyle name="常规 7 3 6" xfId="41788"/>
    <cellStyle name="常规 7 3 6 2" xfId="41789"/>
    <cellStyle name="常规 7 3 6 2 2" xfId="41790"/>
    <cellStyle name="常规 7 3 7" xfId="41791"/>
    <cellStyle name="常规 7 3 7 2" xfId="41792"/>
    <cellStyle name="常规 7 3 7 2 2" xfId="41793"/>
    <cellStyle name="常规 7 3 8" xfId="41794"/>
    <cellStyle name="常规 7 3 8 2" xfId="41795"/>
    <cellStyle name="常规 7 3 8 3" xfId="41796"/>
    <cellStyle name="常规 7 3 9" xfId="41797"/>
    <cellStyle name="常规 7 4" xfId="41798"/>
    <cellStyle name="常规 7 4 2" xfId="41799"/>
    <cellStyle name="常规 7 4 2 2" xfId="41800"/>
    <cellStyle name="常规 7 4 2 2 2" xfId="41801"/>
    <cellStyle name="常规 7 4 2 2 2 2" xfId="41802"/>
    <cellStyle name="常规 7 4 2 3" xfId="41803"/>
    <cellStyle name="常规 7 4 2 3 2" xfId="41804"/>
    <cellStyle name="常规 7 4 2 3 2 2" xfId="41805"/>
    <cellStyle name="常规 7 4 2 4" xfId="41806"/>
    <cellStyle name="常规 7 4 2 4 2" xfId="41807"/>
    <cellStyle name="常规 7 4 2 4 3" xfId="41808"/>
    <cellStyle name="常规 7 4 2 5" xfId="41809"/>
    <cellStyle name="常规 7 4 2 5 2" xfId="41810"/>
    <cellStyle name="常规 7 4 3" xfId="41811"/>
    <cellStyle name="常规 7 4 3 2" xfId="41812"/>
    <cellStyle name="常规 7 4 3 2 2" xfId="41813"/>
    <cellStyle name="常规 7 4 4" xfId="41814"/>
    <cellStyle name="常规 7 4 4 2" xfId="41815"/>
    <cellStyle name="常规 7 4 4 2 2" xfId="41816"/>
    <cellStyle name="常规 7 4 5" xfId="41817"/>
    <cellStyle name="常规 7 4 5 2" xfId="41818"/>
    <cellStyle name="常规 7 4 5 2 2" xfId="41819"/>
    <cellStyle name="常规 7 4 6" xfId="41820"/>
    <cellStyle name="常规 7 4 6 2" xfId="41821"/>
    <cellStyle name="常规 7 4 6 2 2" xfId="41822"/>
    <cellStyle name="常规 7 4 7" xfId="41823"/>
    <cellStyle name="常规 7 4 7 2" xfId="41824"/>
    <cellStyle name="常规 7 4 7 3" xfId="41825"/>
    <cellStyle name="常规 7 4 8" xfId="41826"/>
    <cellStyle name="常规 7 4 8 2" xfId="41827"/>
    <cellStyle name="常规 7 5" xfId="41828"/>
    <cellStyle name="常规 7 5 2" xfId="41829"/>
    <cellStyle name="常规 7 5 2 2" xfId="41830"/>
    <cellStyle name="常规 7 5 2 2 2" xfId="41831"/>
    <cellStyle name="常规 7 5 2 2 2 2" xfId="41832"/>
    <cellStyle name="常规 7 5 2 3" xfId="41833"/>
    <cellStyle name="常规 7 5 2 3 2" xfId="41834"/>
    <cellStyle name="常规 7 5 2 3 2 2" xfId="41835"/>
    <cellStyle name="常规 7 5 2 4" xfId="41836"/>
    <cellStyle name="常规 7 5 2 4 2" xfId="41837"/>
    <cellStyle name="常规 7 5 2 5" xfId="41838"/>
    <cellStyle name="常规 7 5 3" xfId="41839"/>
    <cellStyle name="常规 7 5 3 2" xfId="41840"/>
    <cellStyle name="常规 7 5 3 2 2" xfId="41841"/>
    <cellStyle name="常规 7 5 4" xfId="41842"/>
    <cellStyle name="常规 7 5 4 2" xfId="41843"/>
    <cellStyle name="常规 7 5 4 3" xfId="41844"/>
    <cellStyle name="常规 7 5 5" xfId="41845"/>
    <cellStyle name="常规 7 5 5 2" xfId="41846"/>
    <cellStyle name="常规 7 6" xfId="41847"/>
    <cellStyle name="常规 7 6 2" xfId="41848"/>
    <cellStyle name="常规 7 6 2 2" xfId="41849"/>
    <cellStyle name="常规 7 6 2 2 2" xfId="41850"/>
    <cellStyle name="常规 7 6 3" xfId="41851"/>
    <cellStyle name="常规 7 6 3 2" xfId="41852"/>
    <cellStyle name="常规 7 6 3 2 2" xfId="41853"/>
    <cellStyle name="常规 7 6 4" xfId="41854"/>
    <cellStyle name="常规 7 6 4 2" xfId="41855"/>
    <cellStyle name="常规 7 6 5" xfId="41856"/>
    <cellStyle name="常规 7 7" xfId="41857"/>
    <cellStyle name="常规 7 7 2" xfId="41858"/>
    <cellStyle name="常规 7 7 2 2" xfId="41859"/>
    <cellStyle name="常规 7 8" xfId="41860"/>
    <cellStyle name="常规 7 8 2" xfId="41861"/>
    <cellStyle name="常规 7 8 2 2" xfId="41862"/>
    <cellStyle name="常规 7 9" xfId="41863"/>
    <cellStyle name="常规 7 9 2" xfId="41864"/>
    <cellStyle name="常规 7 9 2 2" xfId="41865"/>
    <cellStyle name="常规 8" xfId="41866"/>
    <cellStyle name="常规 8 10" xfId="41867"/>
    <cellStyle name="常规 8 10 2" xfId="41868"/>
    <cellStyle name="常规 8 10 2 2" xfId="41869"/>
    <cellStyle name="常规 8 11" xfId="41870"/>
    <cellStyle name="常规 8 11 2" xfId="41871"/>
    <cellStyle name="常规 8 11 3" xfId="41872"/>
    <cellStyle name="常规 8 12" xfId="41873"/>
    <cellStyle name="常规 8 2" xfId="41874"/>
    <cellStyle name="常规 8 2 10" xfId="41875"/>
    <cellStyle name="常规 8 2 10 2" xfId="41876"/>
    <cellStyle name="常规 8 2 10 3" xfId="41877"/>
    <cellStyle name="常规 8 2 11" xfId="41878"/>
    <cellStyle name="常规 8 2 2" xfId="41879"/>
    <cellStyle name="常规 8 2 2 2" xfId="41880"/>
    <cellStyle name="常规 8 2 2 2 2" xfId="41881"/>
    <cellStyle name="常规 8 2 2 2 2 2" xfId="41882"/>
    <cellStyle name="常规 8 2 2 2 2 2 2" xfId="41883"/>
    <cellStyle name="常规 8 2 2 2 2 2 2 2" xfId="41884"/>
    <cellStyle name="常规 8 2 2 2 2 3" xfId="41885"/>
    <cellStyle name="常规 8 2 2 2 2 3 2" xfId="41886"/>
    <cellStyle name="常规 8 2 2 2 2 3 2 2" xfId="41887"/>
    <cellStyle name="常规 8 2 2 2 2 4" xfId="41888"/>
    <cellStyle name="常规 8 2 2 2 2 4 2" xfId="41889"/>
    <cellStyle name="常规 8 2 2 2 2 4 3" xfId="41890"/>
    <cellStyle name="常规 8 2 2 2 2 5" xfId="41891"/>
    <cellStyle name="常规 8 2 2 2 2 5 2" xfId="41892"/>
    <cellStyle name="常规 8 2 2 2 3" xfId="41893"/>
    <cellStyle name="常规 8 2 2 2 3 2" xfId="41894"/>
    <cellStyle name="常规 8 2 2 2 3 2 2" xfId="41895"/>
    <cellStyle name="常规 8 2 2 2 3 2 2 2" xfId="41896"/>
    <cellStyle name="常规 8 2 2 2 3 3" xfId="41897"/>
    <cellStyle name="常规 8 2 2 2 3 3 2" xfId="41898"/>
    <cellStyle name="常规 8 2 2 2 3 3 2 2" xfId="41899"/>
    <cellStyle name="常规 8 2 2 2 3 4" xfId="41900"/>
    <cellStyle name="常规 8 2 2 2 3 4 2" xfId="41901"/>
    <cellStyle name="常规 8 2 2 2 3 5" xfId="41902"/>
    <cellStyle name="常规 8 2 2 2 4" xfId="41903"/>
    <cellStyle name="常规 8 2 2 2 4 2" xfId="41904"/>
    <cellStyle name="常规 8 2 2 2 4 2 2" xfId="41905"/>
    <cellStyle name="常规 8 2 2 2 5" xfId="41906"/>
    <cellStyle name="常规 8 2 2 2 5 2" xfId="41907"/>
    <cellStyle name="常规 8 2 2 2 5 2 2" xfId="41908"/>
    <cellStyle name="常规 8 2 2 2 6" xfId="41909"/>
    <cellStyle name="常规 8 2 2 2 6 2" xfId="41910"/>
    <cellStyle name="常规 8 2 2 2 6 2 2" xfId="41911"/>
    <cellStyle name="常规 8 2 2 2 7" xfId="41912"/>
    <cellStyle name="常规 8 2 2 2 7 2" xfId="41913"/>
    <cellStyle name="常规 8 2 2 2 7 3" xfId="41914"/>
    <cellStyle name="常规 8 2 2 2 8" xfId="41915"/>
    <cellStyle name="常规 8 2 2 2 8 2" xfId="41916"/>
    <cellStyle name="常规 8 2 2 3" xfId="41917"/>
    <cellStyle name="常规 8 2 2 3 2" xfId="41918"/>
    <cellStyle name="常规 8 2 2 3 2 2" xfId="41919"/>
    <cellStyle name="常规 8 2 2 3 2 2 2" xfId="41920"/>
    <cellStyle name="常规 8 2 2 3 3" xfId="41921"/>
    <cellStyle name="常规 8 2 2 3 3 2" xfId="41922"/>
    <cellStyle name="常规 8 2 2 3 3 2 2" xfId="41923"/>
    <cellStyle name="常规 8 2 2 3 4" xfId="41924"/>
    <cellStyle name="常规 8 2 2 3 4 2" xfId="41925"/>
    <cellStyle name="常规 8 2 2 3 4 3" xfId="41926"/>
    <cellStyle name="常规 8 2 2 3 5" xfId="41927"/>
    <cellStyle name="常规 8 2 2 3 5 2" xfId="41928"/>
    <cellStyle name="常规 8 2 2 4" xfId="41929"/>
    <cellStyle name="常规 8 2 2 4 2" xfId="41930"/>
    <cellStyle name="常规 8 2 2 4 2 2" xfId="41931"/>
    <cellStyle name="常规 8 2 2 5" xfId="41932"/>
    <cellStyle name="常规 8 2 2 5 2" xfId="41933"/>
    <cellStyle name="常规 8 2 2 5 2 2" xfId="41934"/>
    <cellStyle name="常规 8 2 2 6" xfId="41935"/>
    <cellStyle name="常规 8 2 2 6 2" xfId="41936"/>
    <cellStyle name="常规 8 2 2 6 2 2" xfId="41937"/>
    <cellStyle name="常规 8 2 2 7" xfId="41938"/>
    <cellStyle name="常规 8 2 2 7 2" xfId="41939"/>
    <cellStyle name="常规 8 2 2 7 2 2" xfId="41940"/>
    <cellStyle name="常规 8 2 2 8" xfId="41941"/>
    <cellStyle name="常规 8 2 2 8 2" xfId="41942"/>
    <cellStyle name="常规 8 2 2 8 3" xfId="41943"/>
    <cellStyle name="常规 8 2 2 9" xfId="41944"/>
    <cellStyle name="常规 8 2 2 9 2" xfId="41945"/>
    <cellStyle name="常规 8 2 3" xfId="41946"/>
    <cellStyle name="常规 8 2 3 2" xfId="41947"/>
    <cellStyle name="常规 8 2 3 2 2" xfId="41948"/>
    <cellStyle name="常规 8 2 3 2 2 2" xfId="41949"/>
    <cellStyle name="常规 8 2 3 2 2 3" xfId="41950"/>
    <cellStyle name="常规 8 2 3 2 2 4" xfId="41951"/>
    <cellStyle name="常规 8 2 3 2 2 4 2" xfId="41952"/>
    <cellStyle name="常规 8 2 3 2 3" xfId="41953"/>
    <cellStyle name="常规 8 2 3 2 3 2" xfId="41954"/>
    <cellStyle name="常规 8 2 3 2 3 2 2" xfId="41955"/>
    <cellStyle name="常规 8 2 3 2 4" xfId="41956"/>
    <cellStyle name="常规 8 2 3 2 4 2" xfId="41957"/>
    <cellStyle name="常规 8 2 3 2 4 2 2" xfId="41958"/>
    <cellStyle name="常规 8 2 3 2 5" xfId="41959"/>
    <cellStyle name="常规 8 2 3 2 5 2" xfId="41960"/>
    <cellStyle name="常规 8 2 3 2 5 3" xfId="41961"/>
    <cellStyle name="常规 8 2 3 2 6" xfId="41962"/>
    <cellStyle name="常规 8 2 3 2 7" xfId="41963"/>
    <cellStyle name="常规 8 2 3 2 7 2" xfId="41964"/>
    <cellStyle name="常规 8 2 3 2 8" xfId="41965"/>
    <cellStyle name="常规 8 2 3 3" xfId="41966"/>
    <cellStyle name="常规 8 2 3 3 2" xfId="41967"/>
    <cellStyle name="常规 8 2 3 3 2 2" xfId="41968"/>
    <cellStyle name="常规 8 2 3 3 2 2 2" xfId="41969"/>
    <cellStyle name="常规 8 2 3 3 2 3" xfId="41970"/>
    <cellStyle name="常规 8 2 3 3 3" xfId="41971"/>
    <cellStyle name="常规 8 2 3 3 3 2" xfId="41972"/>
    <cellStyle name="常规 8 2 3 3 3 2 2" xfId="41973"/>
    <cellStyle name="常规 8 2 3 3 4" xfId="41974"/>
    <cellStyle name="常规 8 2 3 3 4 2" xfId="41975"/>
    <cellStyle name="常规 8 2 3 3 4 3" xfId="41976"/>
    <cellStyle name="常规 8 2 3 3 5" xfId="41977"/>
    <cellStyle name="常规 8 2 3 3 5 2" xfId="41978"/>
    <cellStyle name="常规 8 2 3 4" xfId="41979"/>
    <cellStyle name="常规 8 2 3 4 2" xfId="41980"/>
    <cellStyle name="常规 8 2 3 4 2 2" xfId="41981"/>
    <cellStyle name="常规 8 2 3 5" xfId="41982"/>
    <cellStyle name="常规 8 2 3 5 2" xfId="41983"/>
    <cellStyle name="常规 8 2 3 5 2 2" xfId="41984"/>
    <cellStyle name="常规 8 2 3 6" xfId="41985"/>
    <cellStyle name="常规 8 2 3 6 2" xfId="41986"/>
    <cellStyle name="常规 8 2 3 6 2 2" xfId="41987"/>
    <cellStyle name="常规 8 2 3 7" xfId="41988"/>
    <cellStyle name="常规 8 2 3 7 2" xfId="41989"/>
    <cellStyle name="常规 8 2 3 7 2 2" xfId="41990"/>
    <cellStyle name="常规 8 2 3 8" xfId="41991"/>
    <cellStyle name="常规 8 2 3 8 2" xfId="41992"/>
    <cellStyle name="常规 8 2 3 8 3" xfId="41993"/>
    <cellStyle name="常规 8 2 3 9" xfId="41994"/>
    <cellStyle name="常规 8 2 4" xfId="41995"/>
    <cellStyle name="常规 8 2 4 2" xfId="41996"/>
    <cellStyle name="常规 8 2 4 2 2" xfId="41997"/>
    <cellStyle name="常规 8 2 4 2 3" xfId="41998"/>
    <cellStyle name="常规 8 2 4 2 4" xfId="41999"/>
    <cellStyle name="常规 8 2 4 2 4 2" xfId="42000"/>
    <cellStyle name="常规 8 2 4 3" xfId="42001"/>
    <cellStyle name="常规 8 2 4 3 2" xfId="42002"/>
    <cellStyle name="常规 8 2 4 3 2 2" xfId="42003"/>
    <cellStyle name="常规 8 2 4 4" xfId="42004"/>
    <cellStyle name="常规 8 2 4 4 2" xfId="42005"/>
    <cellStyle name="常规 8 2 4 4 2 2" xfId="42006"/>
    <cellStyle name="常规 8 2 4 5" xfId="42007"/>
    <cellStyle name="常规 8 2 4 5 2" xfId="42008"/>
    <cellStyle name="常规 8 2 4 5 3" xfId="42009"/>
    <cellStyle name="常规 8 2 4 6" xfId="42010"/>
    <cellStyle name="常规 8 2 4 7" xfId="42011"/>
    <cellStyle name="常规 8 2 4 7 2" xfId="42012"/>
    <cellStyle name="常规 8 2 4 8" xfId="42013"/>
    <cellStyle name="常规 8 2 5" xfId="42014"/>
    <cellStyle name="常规 8 2 5 2" xfId="42015"/>
    <cellStyle name="常规 8 2 5 3" xfId="42016"/>
    <cellStyle name="常规 8 2 5 4" xfId="42017"/>
    <cellStyle name="常规 8 2 5 4 2" xfId="42018"/>
    <cellStyle name="常规 8 2 6" xfId="42019"/>
    <cellStyle name="常规 8 2 6 2" xfId="42020"/>
    <cellStyle name="常规 8 2 6 2 2" xfId="42021"/>
    <cellStyle name="常规 8 2 7" xfId="42022"/>
    <cellStyle name="常规 8 2 7 2" xfId="42023"/>
    <cellStyle name="常规 8 2 7 2 2" xfId="42024"/>
    <cellStyle name="常规 8 2 8" xfId="42025"/>
    <cellStyle name="常规 8 2 8 2" xfId="42026"/>
    <cellStyle name="常规 8 2 8 2 2" xfId="42027"/>
    <cellStyle name="常规 8 2 9" xfId="42028"/>
    <cellStyle name="常规 8 2 9 2" xfId="42029"/>
    <cellStyle name="常规 8 2 9 2 2" xfId="42030"/>
    <cellStyle name="常规 8 3" xfId="42031"/>
    <cellStyle name="常规 8 3 2" xfId="42032"/>
    <cellStyle name="常规 8 3 2 2" xfId="42033"/>
    <cellStyle name="常规 8 3 2 2 2" xfId="42034"/>
    <cellStyle name="常规 8 3 2 2 3" xfId="42035"/>
    <cellStyle name="常规 8 3 2 2 4" xfId="42036"/>
    <cellStyle name="常规 8 3 2 2 4 2" xfId="42037"/>
    <cellStyle name="常规 8 3 2 3" xfId="42038"/>
    <cellStyle name="常规 8 3 2 3 2" xfId="42039"/>
    <cellStyle name="常规 8 3 2 3 2 2" xfId="42040"/>
    <cellStyle name="常规 8 3 2 4" xfId="42041"/>
    <cellStyle name="常规 8 3 2 4 2" xfId="42042"/>
    <cellStyle name="常规 8 3 2 4 2 2" xfId="42043"/>
    <cellStyle name="常规 8 3 2 5" xfId="42044"/>
    <cellStyle name="常规 8 3 2 5 2" xfId="42045"/>
    <cellStyle name="常规 8 3 2 5 3" xfId="42046"/>
    <cellStyle name="常规 8 3 2 6" xfId="42047"/>
    <cellStyle name="常规 8 3 2 7" xfId="42048"/>
    <cellStyle name="常规 8 3 2 7 2" xfId="42049"/>
    <cellStyle name="常规 8 3 2 8" xfId="42050"/>
    <cellStyle name="常规 8 3 3" xfId="42051"/>
    <cellStyle name="常规 8 3 3 2" xfId="42052"/>
    <cellStyle name="常规 8 3 3 2 2" xfId="42053"/>
    <cellStyle name="常规 8 3 3 2 2 2" xfId="42054"/>
    <cellStyle name="常规 8 3 3 2 3" xfId="42055"/>
    <cellStyle name="常规 8 3 3 3" xfId="42056"/>
    <cellStyle name="常规 8 3 3 3 2" xfId="42057"/>
    <cellStyle name="常规 8 3 3 3 2 2" xfId="42058"/>
    <cellStyle name="常规 8 3 3 4" xfId="42059"/>
    <cellStyle name="常规 8 3 3 4 2" xfId="42060"/>
    <cellStyle name="常规 8 3 3 4 3" xfId="42061"/>
    <cellStyle name="常规 8 3 3 5" xfId="42062"/>
    <cellStyle name="常规 8 3 3 5 2" xfId="42063"/>
    <cellStyle name="常规 8 3 4" xfId="42064"/>
    <cellStyle name="常规 8 3 4 2" xfId="42065"/>
    <cellStyle name="常规 8 3 4 2 2" xfId="42066"/>
    <cellStyle name="常规 8 3 5" xfId="42067"/>
    <cellStyle name="常规 8 3 5 2" xfId="42068"/>
    <cellStyle name="常规 8 3 5 2 2" xfId="42069"/>
    <cellStyle name="常规 8 3 6" xfId="42070"/>
    <cellStyle name="常规 8 3 6 2" xfId="42071"/>
    <cellStyle name="常规 8 3 6 2 2" xfId="42072"/>
    <cellStyle name="常规 8 3 7" xfId="42073"/>
    <cellStyle name="常规 8 3 7 2" xfId="42074"/>
    <cellStyle name="常规 8 3 7 2 2" xfId="42075"/>
    <cellStyle name="常规 8 3 8" xfId="42076"/>
    <cellStyle name="常规 8 3 8 2" xfId="42077"/>
    <cellStyle name="常规 8 3 8 3" xfId="42078"/>
    <cellStyle name="常规 8 3 9" xfId="42079"/>
    <cellStyle name="常规 8 4" xfId="42080"/>
    <cellStyle name="常规 8 4 2" xfId="42081"/>
    <cellStyle name="常规 8 4 2 2" xfId="42082"/>
    <cellStyle name="常规 8 4 2 2 2" xfId="42083"/>
    <cellStyle name="常规 8 4 2 2 3" xfId="42084"/>
    <cellStyle name="常规 8 4 2 2 4" xfId="42085"/>
    <cellStyle name="常规 8 4 2 2 4 2" xfId="42086"/>
    <cellStyle name="常规 8 4 2 3" xfId="42087"/>
    <cellStyle name="常规 8 4 2 3 2" xfId="42088"/>
    <cellStyle name="常规 8 4 2 3 2 2" xfId="42089"/>
    <cellStyle name="常规 8 4 2 4" xfId="42090"/>
    <cellStyle name="常规 8 4 2 4 2" xfId="42091"/>
    <cellStyle name="常规 8 4 2 4 2 2" xfId="42092"/>
    <cellStyle name="常规 8 4 2 5" xfId="42093"/>
    <cellStyle name="常规 8 4 2 5 2" xfId="42094"/>
    <cellStyle name="常规 8 4 2 5 3" xfId="42095"/>
    <cellStyle name="常规 8 4 2 6" xfId="42096"/>
    <cellStyle name="常规 8 4 2 7" xfId="42097"/>
    <cellStyle name="常规 8 4 2 7 2" xfId="42098"/>
    <cellStyle name="常规 8 4 2 8" xfId="42099"/>
    <cellStyle name="常规 8 4 3" xfId="42100"/>
    <cellStyle name="常规 8 4 3 2" xfId="42101"/>
    <cellStyle name="常规 8 4 3 3" xfId="42102"/>
    <cellStyle name="常规 8 4 3 4" xfId="42103"/>
    <cellStyle name="常规 8 4 3 4 2" xfId="42104"/>
    <cellStyle name="常规 8 4 4" xfId="42105"/>
    <cellStyle name="常规 8 4 4 2" xfId="42106"/>
    <cellStyle name="常规 8 4 4 2 2" xfId="42107"/>
    <cellStyle name="常规 8 4 5" xfId="42108"/>
    <cellStyle name="常规 8 4 5 2" xfId="42109"/>
    <cellStyle name="常规 8 4 5 2 2" xfId="42110"/>
    <cellStyle name="常规 8 4 6" xfId="42111"/>
    <cellStyle name="常规 8 4 6 2" xfId="42112"/>
    <cellStyle name="常规 8 4 6 2 2" xfId="42113"/>
    <cellStyle name="常规 8 4 7" xfId="42114"/>
    <cellStyle name="常规 8 4 7 2" xfId="42115"/>
    <cellStyle name="常规 8 4 7 2 2" xfId="42116"/>
    <cellStyle name="常规 8 4 8" xfId="42117"/>
    <cellStyle name="常规 8 4 8 2" xfId="42118"/>
    <cellStyle name="常规 8 4 8 3" xfId="42119"/>
    <cellStyle name="常规 8 4 9" xfId="42120"/>
    <cellStyle name="常规 8 5" xfId="42121"/>
    <cellStyle name="常规 8 5 2" xfId="42122"/>
    <cellStyle name="常规 8 5 2 2" xfId="42123"/>
    <cellStyle name="常规 8 5 2 2 2" xfId="42124"/>
    <cellStyle name="常规 8 5 2 2 2 2" xfId="42125"/>
    <cellStyle name="常规 8 5 2 2 3" xfId="42126"/>
    <cellStyle name="常规 8 5 2 3" xfId="42127"/>
    <cellStyle name="常规 8 5 2 3 2" xfId="42128"/>
    <cellStyle name="常规 8 5 2 3 2 2" xfId="42129"/>
    <cellStyle name="常规 8 5 2 4" xfId="42130"/>
    <cellStyle name="常规 8 5 2 4 2" xfId="42131"/>
    <cellStyle name="常规 8 5 2 4 3" xfId="42132"/>
    <cellStyle name="常规 8 5 2 5" xfId="42133"/>
    <cellStyle name="常规 8 5 2 5 2" xfId="42134"/>
    <cellStyle name="常规 8 5 3" xfId="42135"/>
    <cellStyle name="常规 8 5 3 2" xfId="42136"/>
    <cellStyle name="常规 8 5 3 2 2" xfId="42137"/>
    <cellStyle name="常规 8 5 4" xfId="42138"/>
    <cellStyle name="常规 8 5 4 2" xfId="42139"/>
    <cellStyle name="常规 8 5 4 2 2" xfId="42140"/>
    <cellStyle name="常规 8 5 5" xfId="42141"/>
    <cellStyle name="常规 8 5 5 2" xfId="42142"/>
    <cellStyle name="常规 8 5 5 3" xfId="42143"/>
    <cellStyle name="常规 8 5 6" xfId="42144"/>
    <cellStyle name="常规 8 5 7" xfId="42145"/>
    <cellStyle name="常规 8 5 7 2" xfId="42146"/>
    <cellStyle name="常规 8 5 8" xfId="42147"/>
    <cellStyle name="常规 8 6" xfId="42148"/>
    <cellStyle name="常规 8 6 2" xfId="42149"/>
    <cellStyle name="常规 8 6 2 2" xfId="42150"/>
    <cellStyle name="常规 8 6 2 2 2" xfId="42151"/>
    <cellStyle name="常规 8 6 2 3" xfId="42152"/>
    <cellStyle name="常规 8 6 3" xfId="42153"/>
    <cellStyle name="常规 8 6 3 2" xfId="42154"/>
    <cellStyle name="常规 8 6 3 2 2" xfId="42155"/>
    <cellStyle name="常规 8 6 4" xfId="42156"/>
    <cellStyle name="常规 8 6 4 2" xfId="42157"/>
    <cellStyle name="常规 8 6 4 3" xfId="42158"/>
    <cellStyle name="常规 8 6 5" xfId="42159"/>
    <cellStyle name="常规 8 6 5 2" xfId="42160"/>
    <cellStyle name="常规 8 7" xfId="42161"/>
    <cellStyle name="常规 8 7 2" xfId="42162"/>
    <cellStyle name="常规 8 7 2 2" xfId="42163"/>
    <cellStyle name="常规 8 8" xfId="42164"/>
    <cellStyle name="常规 8 8 2" xfId="42165"/>
    <cellStyle name="常规 8 8 2 2" xfId="42166"/>
    <cellStyle name="常规 8 9" xfId="42167"/>
    <cellStyle name="常规 8 9 2" xfId="42168"/>
    <cellStyle name="常规 8 9 2 2" xfId="42169"/>
    <cellStyle name="常规 9" xfId="42170"/>
    <cellStyle name="常规 9 10" xfId="42171"/>
    <cellStyle name="常规 9 10 2" xfId="42172"/>
    <cellStyle name="常规 9 10 3" xfId="42173"/>
    <cellStyle name="常规 9 11" xfId="42174"/>
    <cellStyle name="常规 9 11 2" xfId="42175"/>
    <cellStyle name="常规 9 12" xfId="42176"/>
    <cellStyle name="常规 9 2" xfId="42177"/>
    <cellStyle name="常规 9 2 10" xfId="42178"/>
    <cellStyle name="常规 9 2 10 2" xfId="42179"/>
    <cellStyle name="常规 9 2 11" xfId="42180"/>
    <cellStyle name="常规 9 2 2" xfId="42181"/>
    <cellStyle name="常规 9 2 2 2" xfId="42182"/>
    <cellStyle name="常规 9 2 2 2 2" xfId="42183"/>
    <cellStyle name="常规 9 2 2 2 2 2" xfId="42184"/>
    <cellStyle name="常规 9 2 2 2 2 3" xfId="42185"/>
    <cellStyle name="常规 9 2 2 2 3" xfId="42186"/>
    <cellStyle name="常规 9 2 2 2 4" xfId="42187"/>
    <cellStyle name="常规 9 2 2 2 5" xfId="42188"/>
    <cellStyle name="常规 9 2 2 2 6" xfId="42189"/>
    <cellStyle name="常规 9 2 2 2 7" xfId="42190"/>
    <cellStyle name="常规 9 2 2 2 7 2" xfId="42191"/>
    <cellStyle name="常规 9 2 2 3" xfId="42192"/>
    <cellStyle name="常规 9 2 2 3 2" xfId="42193"/>
    <cellStyle name="常规 9 2 2 3 3" xfId="42194"/>
    <cellStyle name="常规 9 2 2 3 4" xfId="42195"/>
    <cellStyle name="常规 9 2 2 3 4 2" xfId="42196"/>
    <cellStyle name="常规 9 2 2 4" xfId="42197"/>
    <cellStyle name="常规 9 2 2 4 2" xfId="42198"/>
    <cellStyle name="常规 9 2 2 4 2 2" xfId="42199"/>
    <cellStyle name="常规 9 2 2 5" xfId="42200"/>
    <cellStyle name="常规 9 2 2 5 2" xfId="42201"/>
    <cellStyle name="常规 9 2 2 5 3" xfId="42202"/>
    <cellStyle name="常规 9 2 2 6" xfId="42203"/>
    <cellStyle name="常规 9 2 2 7" xfId="42204"/>
    <cellStyle name="常规 9 2 2 8" xfId="42205"/>
    <cellStyle name="常规 9 2 2 8 2" xfId="42206"/>
    <cellStyle name="常规 9 2 2 9" xfId="42207"/>
    <cellStyle name="常规 9 2 3" xfId="42208"/>
    <cellStyle name="常规 9 2 3 2" xfId="42209"/>
    <cellStyle name="常规 9 2 3 2 2" xfId="42210"/>
    <cellStyle name="常规 9 2 3 2 2 2" xfId="42211"/>
    <cellStyle name="常规 9 2 3 2 2 3" xfId="42212"/>
    <cellStyle name="常规 9 2 3 2 3" xfId="42213"/>
    <cellStyle name="常规 9 2 3 2 4" xfId="42214"/>
    <cellStyle name="常规 9 2 3 2 5" xfId="42215"/>
    <cellStyle name="常规 9 2 3 2 6" xfId="42216"/>
    <cellStyle name="常规 9 2 3 3" xfId="42217"/>
    <cellStyle name="常规 9 2 3 3 2" xfId="42218"/>
    <cellStyle name="常规 9 2 3 3 3" xfId="42219"/>
    <cellStyle name="常规 9 2 3 4" xfId="42220"/>
    <cellStyle name="常规 9 2 3 5" xfId="42221"/>
    <cellStyle name="常规 9 2 3 6" xfId="42222"/>
    <cellStyle name="常规 9 2 3 7" xfId="42223"/>
    <cellStyle name="常规 9 2 3 8" xfId="42224"/>
    <cellStyle name="常规 9 2 3 8 2" xfId="42225"/>
    <cellStyle name="常规 9 2 4" xfId="42226"/>
    <cellStyle name="常规 9 2 4 2" xfId="42227"/>
    <cellStyle name="常规 9 2 4 2 2" xfId="42228"/>
    <cellStyle name="常规 9 2 4 2 3" xfId="42229"/>
    <cellStyle name="常规 9 2 4 3" xfId="42230"/>
    <cellStyle name="常规 9 2 4 4" xfId="42231"/>
    <cellStyle name="常规 9 2 4 5" xfId="42232"/>
    <cellStyle name="常规 9 2 4 6" xfId="42233"/>
    <cellStyle name="常规 9 2 4 7" xfId="42234"/>
    <cellStyle name="常规 9 2 4 7 2" xfId="42235"/>
    <cellStyle name="常规 9 2 5" xfId="42236"/>
    <cellStyle name="常规 9 2 5 2" xfId="42237"/>
    <cellStyle name="常规 9 2 5 3" xfId="42238"/>
    <cellStyle name="常规 9 2 5 4" xfId="42239"/>
    <cellStyle name="常规 9 2 5 4 2" xfId="42240"/>
    <cellStyle name="常规 9 2 6" xfId="42241"/>
    <cellStyle name="常规 9 2 6 2" xfId="42242"/>
    <cellStyle name="常规 9 2 6 2 2" xfId="42243"/>
    <cellStyle name="常规 9 2 7" xfId="42244"/>
    <cellStyle name="常规 9 2 7 2" xfId="42245"/>
    <cellStyle name="常规 9 2 7 2 2" xfId="42246"/>
    <cellStyle name="常规 9 2 8" xfId="42247"/>
    <cellStyle name="常规 9 2 8 2" xfId="42248"/>
    <cellStyle name="常规 9 2 8 3" xfId="42249"/>
    <cellStyle name="常规 9 2 9" xfId="42250"/>
    <cellStyle name="常规 9 3" xfId="42251"/>
    <cellStyle name="常规 9 3 2" xfId="42252"/>
    <cellStyle name="常规 9 3 2 2" xfId="42253"/>
    <cellStyle name="常规 9 3 2 2 2" xfId="42254"/>
    <cellStyle name="常规 9 3 2 2 3" xfId="42255"/>
    <cellStyle name="常规 9 3 2 2 4" xfId="42256"/>
    <cellStyle name="常规 9 3 2 2 4 2" xfId="42257"/>
    <cellStyle name="常规 9 3 2 3" xfId="42258"/>
    <cellStyle name="常规 9 3 2 3 2" xfId="42259"/>
    <cellStyle name="常规 9 3 2 3 2 2" xfId="42260"/>
    <cellStyle name="常规 9 3 2 4" xfId="42261"/>
    <cellStyle name="常规 9 3 2 4 2" xfId="42262"/>
    <cellStyle name="常规 9 3 2 4 2 2" xfId="42263"/>
    <cellStyle name="常规 9 3 2 5" xfId="42264"/>
    <cellStyle name="常规 9 3 2 5 2" xfId="42265"/>
    <cellStyle name="常规 9 3 2 5 3" xfId="42266"/>
    <cellStyle name="常规 9 3 2 6" xfId="42267"/>
    <cellStyle name="常规 9 3 2 7" xfId="42268"/>
    <cellStyle name="常规 9 3 2 7 2" xfId="42269"/>
    <cellStyle name="常规 9 3 2 8" xfId="42270"/>
    <cellStyle name="常规 9 3 3" xfId="42271"/>
    <cellStyle name="常规 9 3 3 2" xfId="42272"/>
    <cellStyle name="常规 9 3 3 2 2" xfId="42273"/>
    <cellStyle name="常规 9 3 3 2 2 2" xfId="42274"/>
    <cellStyle name="常规 9 3 3 2 3" xfId="42275"/>
    <cellStyle name="常规 9 3 3 3" xfId="42276"/>
    <cellStyle name="常规 9 3 3 3 2" xfId="42277"/>
    <cellStyle name="常规 9 3 3 3 2 2" xfId="42278"/>
    <cellStyle name="常规 9 3 3 4" xfId="42279"/>
    <cellStyle name="常规 9 3 3 4 2" xfId="42280"/>
    <cellStyle name="常规 9 3 3 4 3" xfId="42281"/>
    <cellStyle name="常规 9 3 3 5" xfId="42282"/>
    <cellStyle name="常规 9 3 3 5 2" xfId="42283"/>
    <cellStyle name="常规 9 3 4" xfId="42284"/>
    <cellStyle name="常规 9 3 4 2" xfId="42285"/>
    <cellStyle name="常规 9 3 4 2 2" xfId="42286"/>
    <cellStyle name="常规 9 3 5" xfId="42287"/>
    <cellStyle name="常规 9 3 5 2" xfId="42288"/>
    <cellStyle name="常规 9 3 5 2 2" xfId="42289"/>
    <cellStyle name="常规 9 3 6" xfId="42290"/>
    <cellStyle name="常规 9 3 6 2" xfId="42291"/>
    <cellStyle name="常规 9 3 6 2 2" xfId="42292"/>
    <cellStyle name="常规 9 3 7" xfId="42293"/>
    <cellStyle name="常规 9 3 7 2" xfId="42294"/>
    <cellStyle name="常规 9 3 7 2 2" xfId="42295"/>
    <cellStyle name="常规 9 3 8" xfId="42296"/>
    <cellStyle name="常规 9 3 8 2" xfId="42297"/>
    <cellStyle name="常规 9 3 8 3" xfId="42298"/>
    <cellStyle name="常规 9 3 9" xfId="42299"/>
    <cellStyle name="常规 9 4" xfId="42300"/>
    <cellStyle name="常规 9 4 2" xfId="42301"/>
    <cellStyle name="常规 9 4 2 2" xfId="42302"/>
    <cellStyle name="常规 9 4 2 2 2" xfId="42303"/>
    <cellStyle name="常规 9 4 2 2 3" xfId="42304"/>
    <cellStyle name="常规 9 4 2 3" xfId="42305"/>
    <cellStyle name="常规 9 4 2 4" xfId="42306"/>
    <cellStyle name="常规 9 4 2 5" xfId="42307"/>
    <cellStyle name="常规 9 4 2 6" xfId="42308"/>
    <cellStyle name="常规 9 4 2 7" xfId="42309"/>
    <cellStyle name="常规 9 4 2 7 2" xfId="42310"/>
    <cellStyle name="常规 9 4 3" xfId="42311"/>
    <cellStyle name="常规 9 4 3 2" xfId="42312"/>
    <cellStyle name="常规 9 4 3 3" xfId="42313"/>
    <cellStyle name="常规 9 4 3 4" xfId="42314"/>
    <cellStyle name="常规 9 4 3 4 2" xfId="42315"/>
    <cellStyle name="常规 9 4 4" xfId="42316"/>
    <cellStyle name="常规 9 4 4 2" xfId="42317"/>
    <cellStyle name="常规 9 4 4 2 2" xfId="42318"/>
    <cellStyle name="常规 9 4 5" xfId="42319"/>
    <cellStyle name="常规 9 4 5 2" xfId="42320"/>
    <cellStyle name="常规 9 4 5 3" xfId="42321"/>
    <cellStyle name="常规 9 4 6" xfId="42322"/>
    <cellStyle name="常规 9 4 7" xfId="42323"/>
    <cellStyle name="常规 9 4 8" xfId="42324"/>
    <cellStyle name="常规 9 4 8 2" xfId="42325"/>
    <cellStyle name="常规 9 4 9" xfId="42326"/>
    <cellStyle name="常规 9 5" xfId="42327"/>
    <cellStyle name="常规 9 5 2" xfId="42328"/>
    <cellStyle name="常规 9 5 2 2" xfId="42329"/>
    <cellStyle name="常规 9 5 2 3" xfId="42330"/>
    <cellStyle name="常规 9 5 3" xfId="42331"/>
    <cellStyle name="常规 9 5 4" xfId="42332"/>
    <cellStyle name="常规 9 5 5" xfId="42333"/>
    <cellStyle name="常规 9 5 6" xfId="42334"/>
    <cellStyle name="常规 9 5 7" xfId="42335"/>
    <cellStyle name="常规 9 5 7 2" xfId="42336"/>
    <cellStyle name="常规 9 6" xfId="42337"/>
    <cellStyle name="常规 9 6 2" xfId="42338"/>
    <cellStyle name="常规 9 6 3" xfId="42339"/>
    <cellStyle name="常规 9 6 4" xfId="42340"/>
    <cellStyle name="常规 9 6 4 2" xfId="42341"/>
    <cellStyle name="常规 9 7" xfId="42342"/>
    <cellStyle name="常规 9 7 2" xfId="42343"/>
    <cellStyle name="常规 9 7 2 2" xfId="42344"/>
    <cellStyle name="常规 9 8" xfId="42345"/>
    <cellStyle name="常规 9 8 2" xfId="42346"/>
    <cellStyle name="常规 9 8 2 2" xfId="42347"/>
    <cellStyle name="常规 9 9" xfId="42348"/>
    <cellStyle name="常规 9 9 2" xfId="42349"/>
    <cellStyle name="常规 9 9 2 2" xfId="42350"/>
    <cellStyle name="常规_061 explanation" xfId="42351"/>
    <cellStyle name="强调文字颜色 1 2" xfId="42352"/>
    <cellStyle name="强调文字颜色 1 2 10" xfId="42353"/>
    <cellStyle name="强调文字颜色 1 2 11" xfId="42354"/>
    <cellStyle name="强调文字颜色 1 2 2" xfId="42355"/>
    <cellStyle name="强调文字颜色 1 2 2 10" xfId="42356"/>
    <cellStyle name="强调文字颜色 1 2 2 11" xfId="42357"/>
    <cellStyle name="强调文字颜色 1 2 2 2" xfId="42358"/>
    <cellStyle name="强调文字颜色 1 2 2 2 2" xfId="42359"/>
    <cellStyle name="强调文字颜色 1 2 2 2 2 2" xfId="42360"/>
    <cellStyle name="强调文字颜色 1 2 2 2 2 2 2" xfId="42361"/>
    <cellStyle name="强调文字颜色 1 2 2 2 2 2 3" xfId="42362"/>
    <cellStyle name="强调文字颜色 1 2 2 2 2 2 3 2" xfId="42363"/>
    <cellStyle name="强调文字颜色 1 2 2 2 2 2 3 2 2" xfId="42364"/>
    <cellStyle name="强调文字颜色 1 2 2 2 2 2 4" xfId="42365"/>
    <cellStyle name="强调文字颜色 1 2 2 2 2 2 4 2" xfId="42366"/>
    <cellStyle name="强调文字颜色 1 2 2 2 2 3" xfId="42367"/>
    <cellStyle name="强调文字颜色 1 2 2 2 2 3 2" xfId="42368"/>
    <cellStyle name="强调文字颜色 1 2 2 2 2 3 2 2" xfId="42369"/>
    <cellStyle name="强调文字颜色 1 2 2 2 2 3 2 2 2" xfId="42370"/>
    <cellStyle name="强调文字颜色 1 2 2 2 2 3 3" xfId="42371"/>
    <cellStyle name="强调文字颜色 1 2 2 2 2 3 3 2" xfId="42372"/>
    <cellStyle name="强调文字颜色 1 2 2 2 2 4" xfId="42373"/>
    <cellStyle name="强调文字颜色 1 2 2 2 2 5" xfId="42374"/>
    <cellStyle name="强调文字颜色 1 2 2 2 2 6" xfId="42375"/>
    <cellStyle name="强调文字颜色 1 2 2 2 3" xfId="42376"/>
    <cellStyle name="强调文字颜色 1 2 2 2 3 2" xfId="42377"/>
    <cellStyle name="强调文字颜色 1 2 2 2 3 3" xfId="42378"/>
    <cellStyle name="强调文字颜色 1 2 2 2 3 3 2" xfId="42379"/>
    <cellStyle name="强调文字颜色 1 2 2 2 3 3 2 2" xfId="42380"/>
    <cellStyle name="强调文字颜色 1 2 2 2 3 4" xfId="42381"/>
    <cellStyle name="强调文字颜色 1 2 2 2 3 4 2" xfId="42382"/>
    <cellStyle name="强调文字颜色 1 2 2 2 4" xfId="42383"/>
    <cellStyle name="强调文字颜色 1 2 2 2 4 2" xfId="42384"/>
    <cellStyle name="强调文字颜色 1 2 2 2 4 2 2" xfId="42385"/>
    <cellStyle name="强调文字颜色 1 2 2 2 4 2 2 2" xfId="42386"/>
    <cellStyle name="强调文字颜色 1 2 2 2 4 3" xfId="42387"/>
    <cellStyle name="强调文字颜色 1 2 2 2 4 3 2" xfId="42388"/>
    <cellStyle name="强调文字颜色 1 2 2 2 5" xfId="42389"/>
    <cellStyle name="强调文字颜色 1 2 2 2 6" xfId="42390"/>
    <cellStyle name="强调文字颜色 1 2 2 2 7" xfId="42391"/>
    <cellStyle name="强调文字颜色 1 2 2 3" xfId="42392"/>
    <cellStyle name="强调文字颜色 1 2 2 3 2" xfId="42393"/>
    <cellStyle name="强调文字颜色 1 2 2 3 2 2" xfId="42394"/>
    <cellStyle name="强调文字颜色 1 2 2 3 2 3" xfId="42395"/>
    <cellStyle name="强调文字颜色 1 2 2 3 2 3 2" xfId="42396"/>
    <cellStyle name="强调文字颜色 1 2 2 3 2 3 2 2" xfId="42397"/>
    <cellStyle name="强调文字颜色 1 2 2 3 2 4" xfId="42398"/>
    <cellStyle name="强调文字颜色 1 2 2 3 2 4 2" xfId="42399"/>
    <cellStyle name="强调文字颜色 1 2 2 3 3" xfId="42400"/>
    <cellStyle name="强调文字颜色 1 2 2 3 3 2" xfId="42401"/>
    <cellStyle name="强调文字颜色 1 2 2 3 3 2 2" xfId="42402"/>
    <cellStyle name="强调文字颜色 1 2 2 3 3 2 2 2" xfId="42403"/>
    <cellStyle name="强调文字颜色 1 2 2 3 3 3" xfId="42404"/>
    <cellStyle name="强调文字颜色 1 2 2 3 3 3 2" xfId="42405"/>
    <cellStyle name="强调文字颜色 1 2 2 3 4" xfId="42406"/>
    <cellStyle name="强调文字颜色 1 2 2 3 5" xfId="42407"/>
    <cellStyle name="强调文字颜色 1 2 2 3 6" xfId="42408"/>
    <cellStyle name="强调文字颜色 1 2 2 4" xfId="42409"/>
    <cellStyle name="强调文字颜色 1 2 2 4 2" xfId="42410"/>
    <cellStyle name="强调文字颜色 1 2 2 4 2 2" xfId="42411"/>
    <cellStyle name="强调文字颜色 1 2 2 4 2 3" xfId="42412"/>
    <cellStyle name="强调文字颜色 1 2 2 4 2 3 2" xfId="42413"/>
    <cellStyle name="强调文字颜色 1 2 2 4 2 3 2 2" xfId="42414"/>
    <cellStyle name="强调文字颜色 1 2 2 4 2 4" xfId="42415"/>
    <cellStyle name="强调文字颜色 1 2 2 4 2 4 2" xfId="42416"/>
    <cellStyle name="强调文字颜色 1 2 2 4 3" xfId="42417"/>
    <cellStyle name="强调文字颜色 1 2 2 4 4" xfId="42418"/>
    <cellStyle name="强调文字颜色 1 2 2 4 5" xfId="42419"/>
    <cellStyle name="强调文字颜色 1 2 2 4 6" xfId="42420"/>
    <cellStyle name="强调文字颜色 1 2 2 5" xfId="42421"/>
    <cellStyle name="强调文字颜色 1 2 2 5 2" xfId="42422"/>
    <cellStyle name="强调文字颜色 1 2 2 5 2 2" xfId="42423"/>
    <cellStyle name="强调文字颜色 1 2 2 5 2 2 2" xfId="42424"/>
    <cellStyle name="强调文字颜色 1 2 2 5 2 2 2 2" xfId="42425"/>
    <cellStyle name="强调文字颜色 1 2 2 5 2 3" xfId="42426"/>
    <cellStyle name="强调文字颜色 1 2 2 5 2 3 2" xfId="42427"/>
    <cellStyle name="强调文字颜色 1 2 2 5 3" xfId="42428"/>
    <cellStyle name="强调文字颜色 1 2 2 5 3 2" xfId="42429"/>
    <cellStyle name="强调文字颜色 1 2 2 5 3 2 2" xfId="42430"/>
    <cellStyle name="强调文字颜色 1 2 2 5 4" xfId="42431"/>
    <cellStyle name="强调文字颜色 1 2 2 5 4 2" xfId="42432"/>
    <cellStyle name="强调文字颜色 1 2 2 6" xfId="42433"/>
    <cellStyle name="强调文字颜色 1 2 2 6 2" xfId="42434"/>
    <cellStyle name="强调文字颜色 1 2 2 6 2 2" xfId="42435"/>
    <cellStyle name="强调文字颜色 1 2 2 6 2 2 2" xfId="42436"/>
    <cellStyle name="强调文字颜色 1 2 2 6 2 2 2 2" xfId="42437"/>
    <cellStyle name="强调文字颜色 1 2 2 6 2 3" xfId="42438"/>
    <cellStyle name="强调文字颜色 1 2 2 6 2 3 2" xfId="42439"/>
    <cellStyle name="强调文字颜色 1 2 2 6 3" xfId="42440"/>
    <cellStyle name="强调文字颜色 1 2 2 6 3 2" xfId="42441"/>
    <cellStyle name="强调文字颜色 1 2 2 6 3 2 2" xfId="42442"/>
    <cellStyle name="强调文字颜色 1 2 2 6 4" xfId="42443"/>
    <cellStyle name="强调文字颜色 1 2 2 6 4 2" xfId="42444"/>
    <cellStyle name="强调文字颜色 1 2 2 7" xfId="42445"/>
    <cellStyle name="强调文字颜色 1 2 2 7 2" xfId="42446"/>
    <cellStyle name="强调文字颜色 1 2 2 7 2 2" xfId="42447"/>
    <cellStyle name="强调文字颜色 1 2 2 7 2 2 2" xfId="42448"/>
    <cellStyle name="强调文字颜色 1 2 2 7 2 2 2 2" xfId="42449"/>
    <cellStyle name="强调文字颜色 1 2 2 7 2 3" xfId="42450"/>
    <cellStyle name="强调文字颜色 1 2 2 7 2 3 2" xfId="42451"/>
    <cellStyle name="强调文字颜色 1 2 2 7 3" xfId="42452"/>
    <cellStyle name="强调文字颜色 1 2 2 7 3 2" xfId="42453"/>
    <cellStyle name="强调文字颜色 1 2 2 7 3 2 2" xfId="42454"/>
    <cellStyle name="强调文字颜色 1 2 2 7 4" xfId="42455"/>
    <cellStyle name="强调文字颜色 1 2 2 7 4 2" xfId="42456"/>
    <cellStyle name="强调文字颜色 1 2 2 8" xfId="42457"/>
    <cellStyle name="强调文字颜色 1 2 2 8 2" xfId="42458"/>
    <cellStyle name="强调文字颜色 1 2 2 8 2 2" xfId="42459"/>
    <cellStyle name="强调文字颜色 1 2 2 8 2 2 2" xfId="42460"/>
    <cellStyle name="强调文字颜色 1 2 2 8 3" xfId="42461"/>
    <cellStyle name="强调文字颜色 1 2 2 8 3 2" xfId="42462"/>
    <cellStyle name="强调文字颜色 1 2 2 9" xfId="42463"/>
    <cellStyle name="强调文字颜色 1 2 2 9 2" xfId="42464"/>
    <cellStyle name="强调文字颜色 1 2 2 9 2 2" xfId="42465"/>
    <cellStyle name="强调文字颜色 1 2 2 9 2 2 2" xfId="42466"/>
    <cellStyle name="强调文字颜色 1 2 2 9 3" xfId="42467"/>
    <cellStyle name="强调文字颜色 1 2 2 9 3 2" xfId="42468"/>
    <cellStyle name="强调文字颜色 1 2 3" xfId="42469"/>
    <cellStyle name="强调文字颜色 1 2 3 2" xfId="42470"/>
    <cellStyle name="强调文字颜色 1 2 3 2 2" xfId="42471"/>
    <cellStyle name="强调文字颜色 1 2 3 2 2 2" xfId="42472"/>
    <cellStyle name="强调文字颜色 1 2 3 2 2 2 2" xfId="42473"/>
    <cellStyle name="强调文字颜色 1 2 3 2 2 2 3" xfId="42474"/>
    <cellStyle name="强调文字颜色 1 2 3 2 2 2 3 2" xfId="42475"/>
    <cellStyle name="强调文字颜色 1 2 3 2 2 2 3 2 2" xfId="42476"/>
    <cellStyle name="强调文字颜色 1 2 3 2 2 2 4" xfId="42477"/>
    <cellStyle name="强调文字颜色 1 2 3 2 2 2 4 2" xfId="42478"/>
    <cellStyle name="强调文字颜色 1 2 3 2 2 3" xfId="42479"/>
    <cellStyle name="强调文字颜色 1 2 3 2 2 3 2" xfId="42480"/>
    <cellStyle name="强调文字颜色 1 2 3 2 2 3 2 2" xfId="42481"/>
    <cellStyle name="强调文字颜色 1 2 3 2 2 3 2 2 2" xfId="42482"/>
    <cellStyle name="强调文字颜色 1 2 3 2 2 3 3" xfId="42483"/>
    <cellStyle name="强调文字颜色 1 2 3 2 2 3 3 2" xfId="42484"/>
    <cellStyle name="强调文字颜色 1 2 3 2 2 4" xfId="42485"/>
    <cellStyle name="强调文字颜色 1 2 3 2 2 5" xfId="42486"/>
    <cellStyle name="强调文字颜色 1 2 3 2 2 6" xfId="42487"/>
    <cellStyle name="强调文字颜色 1 2 3 2 3" xfId="42488"/>
    <cellStyle name="强调文字颜色 1 2 3 2 3 2" xfId="42489"/>
    <cellStyle name="强调文字颜色 1 2 3 2 3 3" xfId="42490"/>
    <cellStyle name="强调文字颜色 1 2 3 2 3 3 2" xfId="42491"/>
    <cellStyle name="强调文字颜色 1 2 3 2 3 3 2 2" xfId="42492"/>
    <cellStyle name="强调文字颜色 1 2 3 2 3 4" xfId="42493"/>
    <cellStyle name="强调文字颜色 1 2 3 2 3 4 2" xfId="42494"/>
    <cellStyle name="强调文字颜色 1 2 3 2 4" xfId="42495"/>
    <cellStyle name="强调文字颜色 1 2 3 2 4 2" xfId="42496"/>
    <cellStyle name="强调文字颜色 1 2 3 2 4 2 2" xfId="42497"/>
    <cellStyle name="强调文字颜色 1 2 3 2 4 2 2 2" xfId="42498"/>
    <cellStyle name="强调文字颜色 1 2 3 2 4 3" xfId="42499"/>
    <cellStyle name="强调文字颜色 1 2 3 2 4 3 2" xfId="42500"/>
    <cellStyle name="强调文字颜色 1 2 3 2 5" xfId="42501"/>
    <cellStyle name="强调文字颜色 1 2 3 2 6" xfId="42502"/>
    <cellStyle name="强调文字颜色 1 2 3 2 7" xfId="42503"/>
    <cellStyle name="强调文字颜色 1 2 3 3" xfId="42504"/>
    <cellStyle name="强调文字颜色 1 2 3 3 2" xfId="42505"/>
    <cellStyle name="强调文字颜色 1 2 3 3 2 2" xfId="42506"/>
    <cellStyle name="强调文字颜色 1 2 3 3 2 3" xfId="42507"/>
    <cellStyle name="强调文字颜色 1 2 3 3 2 3 2" xfId="42508"/>
    <cellStyle name="强调文字颜色 1 2 3 3 2 3 2 2" xfId="42509"/>
    <cellStyle name="强调文字颜色 1 2 3 3 2 4" xfId="42510"/>
    <cellStyle name="强调文字颜色 1 2 3 3 2 4 2" xfId="42511"/>
    <cellStyle name="强调文字颜色 1 2 3 3 3" xfId="42512"/>
    <cellStyle name="强调文字颜色 1 2 3 3 3 2" xfId="42513"/>
    <cellStyle name="强调文字颜色 1 2 3 3 3 2 2" xfId="42514"/>
    <cellStyle name="强调文字颜色 1 2 3 3 3 2 2 2" xfId="42515"/>
    <cellStyle name="强调文字颜色 1 2 3 3 3 3" xfId="42516"/>
    <cellStyle name="强调文字颜色 1 2 3 3 3 3 2" xfId="42517"/>
    <cellStyle name="强调文字颜色 1 2 3 3 4" xfId="42518"/>
    <cellStyle name="强调文字颜色 1 2 3 3 5" xfId="42519"/>
    <cellStyle name="强调文字颜色 1 2 3 3 6" xfId="42520"/>
    <cellStyle name="强调文字颜色 1 2 3 4" xfId="42521"/>
    <cellStyle name="强调文字颜色 1 2 3 4 2" xfId="42522"/>
    <cellStyle name="强调文字颜色 1 2 3 4 2 2" xfId="42523"/>
    <cellStyle name="强调文字颜色 1 2 3 4 2 3" xfId="42524"/>
    <cellStyle name="强调文字颜色 1 2 3 4 2 3 2" xfId="42525"/>
    <cellStyle name="强调文字颜色 1 2 3 4 2 3 2 2" xfId="42526"/>
    <cellStyle name="强调文字颜色 1 2 3 4 2 4" xfId="42527"/>
    <cellStyle name="强调文字颜色 1 2 3 4 2 4 2" xfId="42528"/>
    <cellStyle name="强调文字颜色 1 2 3 4 3" xfId="42529"/>
    <cellStyle name="强调文字颜色 1 2 3 4 4" xfId="42530"/>
    <cellStyle name="强调文字颜色 1 2 3 4 5" xfId="42531"/>
    <cellStyle name="强调文字颜色 1 2 3 4 6" xfId="42532"/>
    <cellStyle name="强调文字颜色 1 2 3 5" xfId="42533"/>
    <cellStyle name="强调文字颜色 1 2 3 5 2" xfId="42534"/>
    <cellStyle name="强调文字颜色 1 2 3 5 2 2" xfId="42535"/>
    <cellStyle name="强调文字颜色 1 2 3 5 2 2 2" xfId="42536"/>
    <cellStyle name="强调文字颜色 1 2 3 5 2 2 2 2" xfId="42537"/>
    <cellStyle name="强调文字颜色 1 2 3 5 2 3" xfId="42538"/>
    <cellStyle name="强调文字颜色 1 2 3 5 2 3 2" xfId="42539"/>
    <cellStyle name="强调文字颜色 1 2 3 5 3" xfId="42540"/>
    <cellStyle name="强调文字颜色 1 2 3 5 3 2" xfId="42541"/>
    <cellStyle name="强调文字颜色 1 2 3 5 3 2 2" xfId="42542"/>
    <cellStyle name="强调文字颜色 1 2 3 5 4" xfId="42543"/>
    <cellStyle name="强调文字颜色 1 2 3 5 4 2" xfId="42544"/>
    <cellStyle name="强调文字颜色 1 2 3 6" xfId="42545"/>
    <cellStyle name="强调文字颜色 1 2 3 6 2" xfId="42546"/>
    <cellStyle name="强调文字颜色 1 2 3 6 2 2" xfId="42547"/>
    <cellStyle name="强调文字颜色 1 2 3 6 2 2 2" xfId="42548"/>
    <cellStyle name="强调文字颜色 1 2 3 6 3" xfId="42549"/>
    <cellStyle name="强调文字颜色 1 2 3 6 3 2" xfId="42550"/>
    <cellStyle name="强调文字颜色 1 2 3 7" xfId="42551"/>
    <cellStyle name="强调文字颜色 1 2 3 7 2" xfId="42552"/>
    <cellStyle name="强调文字颜色 1 2 3 7 2 2" xfId="42553"/>
    <cellStyle name="强调文字颜色 1 2 3 7 2 2 2" xfId="42554"/>
    <cellStyle name="强调文字颜色 1 2 3 7 3" xfId="42555"/>
    <cellStyle name="强调文字颜色 1 2 3 7 3 2" xfId="42556"/>
    <cellStyle name="强调文字颜色 1 2 3 8" xfId="42557"/>
    <cellStyle name="强调文字颜色 1 2 3 9" xfId="42558"/>
    <cellStyle name="强调文字颜色 1 2 4" xfId="42559"/>
    <cellStyle name="强调文字颜色 1 2 4 2" xfId="42560"/>
    <cellStyle name="强调文字颜色 1 2 4 2 2" xfId="42561"/>
    <cellStyle name="强调文字颜色 1 2 4 2 3" xfId="42562"/>
    <cellStyle name="强调文字颜色 1 2 4 2 3 2" xfId="42563"/>
    <cellStyle name="强调文字颜色 1 2 4 2 3 2 2" xfId="42564"/>
    <cellStyle name="强调文字颜色 1 2 4 2 4" xfId="42565"/>
    <cellStyle name="强调文字颜色 1 2 4 2 4 2" xfId="42566"/>
    <cellStyle name="强调文字颜色 1 2 4 3" xfId="42567"/>
    <cellStyle name="强调文字颜色 1 2 4 3 2" xfId="42568"/>
    <cellStyle name="强调文字颜色 1 2 4 3 2 2" xfId="42569"/>
    <cellStyle name="强调文字颜色 1 2 4 3 2 2 2" xfId="42570"/>
    <cellStyle name="强调文字颜色 1 2 4 3 3" xfId="42571"/>
    <cellStyle name="强调文字颜色 1 2 4 3 3 2" xfId="42572"/>
    <cellStyle name="强调文字颜色 1 2 4 4" xfId="42573"/>
    <cellStyle name="强调文字颜色 1 2 4 5" xfId="42574"/>
    <cellStyle name="强调文字颜色 1 2 4 6" xfId="42575"/>
    <cellStyle name="强调文字颜色 1 2 5" xfId="42576"/>
    <cellStyle name="强调文字颜色 1 2 5 2" xfId="42577"/>
    <cellStyle name="强调文字颜色 1 2 5 2 2" xfId="42578"/>
    <cellStyle name="强调文字颜色 1 2 5 2 3" xfId="42579"/>
    <cellStyle name="强调文字颜色 1 2 5 2 3 2" xfId="42580"/>
    <cellStyle name="强调文字颜色 1 2 5 2 3 2 2" xfId="42581"/>
    <cellStyle name="强调文字颜色 1 2 5 2 4" xfId="42582"/>
    <cellStyle name="强调文字颜色 1 2 5 2 4 2" xfId="42583"/>
    <cellStyle name="强调文字颜色 1 2 5 3" xfId="42584"/>
    <cellStyle name="强调文字颜色 1 2 5 4" xfId="42585"/>
    <cellStyle name="强调文字颜色 1 2 5 5" xfId="42586"/>
    <cellStyle name="强调文字颜色 1 2 5 6" xfId="42587"/>
    <cellStyle name="强调文字颜色 1 2 6" xfId="42588"/>
    <cellStyle name="强调文字颜色 1 2 6 2" xfId="42589"/>
    <cellStyle name="强调文字颜色 1 2 6 2 2" xfId="42590"/>
    <cellStyle name="强调文字颜色 1 2 6 2 2 2" xfId="42591"/>
    <cellStyle name="强调文字颜色 1 2 6 2 2 2 2" xfId="42592"/>
    <cellStyle name="强调文字颜色 1 2 6 2 3" xfId="42593"/>
    <cellStyle name="强调文字颜色 1 2 6 2 3 2" xfId="42594"/>
    <cellStyle name="强调文字颜色 1 2 6 3" xfId="42595"/>
    <cellStyle name="强调文字颜色 1 2 6 3 2" xfId="42596"/>
    <cellStyle name="强调文字颜色 1 2 6 3 2 2" xfId="42597"/>
    <cellStyle name="强调文字颜色 1 2 6 4" xfId="42598"/>
    <cellStyle name="强调文字颜色 1 2 6 4 2" xfId="42599"/>
    <cellStyle name="强调文字颜色 1 2 7" xfId="42600"/>
    <cellStyle name="强调文字颜色 1 2 7 2" xfId="42601"/>
    <cellStyle name="强调文字颜色 1 2 7 2 2" xfId="42602"/>
    <cellStyle name="强调文字颜色 1 2 7 2 2 2" xfId="42603"/>
    <cellStyle name="强调文字颜色 1 2 7 2 2 2 2" xfId="42604"/>
    <cellStyle name="强调文字颜色 1 2 7 2 3" xfId="42605"/>
    <cellStyle name="强调文字颜色 1 2 7 2 3 2" xfId="42606"/>
    <cellStyle name="强调文字颜色 1 2 7 3" xfId="42607"/>
    <cellStyle name="强调文字颜色 1 2 7 3 2" xfId="42608"/>
    <cellStyle name="强调文字颜色 1 2 7 3 2 2" xfId="42609"/>
    <cellStyle name="强调文字颜色 1 2 7 4" xfId="42610"/>
    <cellStyle name="强调文字颜色 1 2 7 4 2" xfId="42611"/>
    <cellStyle name="强调文字颜色 1 2 8" xfId="42612"/>
    <cellStyle name="强调文字颜色 1 2 8 2" xfId="42613"/>
    <cellStyle name="强调文字颜色 1 2 8 2 2" xfId="42614"/>
    <cellStyle name="强调文字颜色 1 2 8 2 2 2" xfId="42615"/>
    <cellStyle name="强调文字颜色 1 2 8 2 2 2 2" xfId="42616"/>
    <cellStyle name="强调文字颜色 1 2 8 2 3" xfId="42617"/>
    <cellStyle name="强调文字颜色 1 2 8 2 3 2" xfId="42618"/>
    <cellStyle name="强调文字颜色 1 2 8 3" xfId="42619"/>
    <cellStyle name="强调文字颜色 1 2 8 3 2" xfId="42620"/>
    <cellStyle name="强调文字颜色 1 2 8 3 2 2" xfId="42621"/>
    <cellStyle name="强调文字颜色 1 2 8 4" xfId="42622"/>
    <cellStyle name="强调文字颜色 1 2 8 4 2" xfId="42623"/>
    <cellStyle name="强调文字颜色 1 2 9" xfId="42624"/>
    <cellStyle name="强调文字颜色 1 2 9 2" xfId="42625"/>
    <cellStyle name="强调文字颜色 1 2 9 2 2" xfId="42626"/>
    <cellStyle name="强调文字颜色 1 2 9 2 2 2" xfId="42627"/>
    <cellStyle name="强调文字颜色 1 2 9 3" xfId="42628"/>
    <cellStyle name="强调文字颜色 1 2 9 3 2" xfId="42629"/>
    <cellStyle name="强调文字颜色 1 3" xfId="42630"/>
    <cellStyle name="强调文字颜色 1 3 2" xfId="42631"/>
    <cellStyle name="强调文字颜色 1 3 2 2" xfId="42632"/>
    <cellStyle name="强调文字颜色 1 3 2 2 2" xfId="42633"/>
    <cellStyle name="强调文字颜色 1 3 2 2 2 2" xfId="42634"/>
    <cellStyle name="强调文字颜色 1 3 2 2 2 3" xfId="42635"/>
    <cellStyle name="强调文字颜色 1 3 2 2 2 3 2" xfId="42636"/>
    <cellStyle name="强调文字颜色 1 3 2 2 2 3 2 2" xfId="42637"/>
    <cellStyle name="强调文字颜色 1 3 2 2 2 4" xfId="42638"/>
    <cellStyle name="强调文字颜色 1 3 2 2 2 4 2" xfId="42639"/>
    <cellStyle name="强调文字颜色 1 3 2 2 3" xfId="42640"/>
    <cellStyle name="强调文字颜色 1 3 2 2 3 2" xfId="42641"/>
    <cellStyle name="强调文字颜色 1 3 2 2 3 2 2" xfId="42642"/>
    <cellStyle name="强调文字颜色 1 3 2 2 3 2 2 2" xfId="42643"/>
    <cellStyle name="强调文字颜色 1 3 2 2 3 3" xfId="42644"/>
    <cellStyle name="强调文字颜色 1 3 2 2 3 3 2" xfId="42645"/>
    <cellStyle name="强调文字颜色 1 3 2 2 4" xfId="42646"/>
    <cellStyle name="强调文字颜色 1 3 2 2 5" xfId="42647"/>
    <cellStyle name="强调文字颜色 1 3 2 2 6" xfId="42648"/>
    <cellStyle name="强调文字颜色 1 3 2 3" xfId="42649"/>
    <cellStyle name="强调文字颜色 1 3 2 3 2" xfId="42650"/>
    <cellStyle name="强调文字颜色 1 3 2 3 3" xfId="42651"/>
    <cellStyle name="强调文字颜色 1 3 2 3 3 2" xfId="42652"/>
    <cellStyle name="强调文字颜色 1 3 2 3 3 2 2" xfId="42653"/>
    <cellStyle name="强调文字颜色 1 3 2 3 4" xfId="42654"/>
    <cellStyle name="强调文字颜色 1 3 2 3 4 2" xfId="42655"/>
    <cellStyle name="强调文字颜色 1 3 2 4" xfId="42656"/>
    <cellStyle name="强调文字颜色 1 3 2 4 2" xfId="42657"/>
    <cellStyle name="强调文字颜色 1 3 2 4 2 2" xfId="42658"/>
    <cellStyle name="强调文字颜色 1 3 2 4 2 2 2" xfId="42659"/>
    <cellStyle name="强调文字颜色 1 3 2 4 3" xfId="42660"/>
    <cellStyle name="强调文字颜色 1 3 2 4 3 2" xfId="42661"/>
    <cellStyle name="强调文字颜色 1 3 2 5" xfId="42662"/>
    <cellStyle name="强调文字颜色 1 3 2 6" xfId="42663"/>
    <cellStyle name="强调文字颜色 1 3 2 7" xfId="42664"/>
    <cellStyle name="强调文字颜色 1 3 3" xfId="42665"/>
    <cellStyle name="强调文字颜色 1 3 3 2" xfId="42666"/>
    <cellStyle name="强调文字颜色 1 3 3 2 2" xfId="42667"/>
    <cellStyle name="强调文字颜色 1 3 3 2 3" xfId="42668"/>
    <cellStyle name="强调文字颜色 1 3 3 2 3 2" xfId="42669"/>
    <cellStyle name="强调文字颜色 1 3 3 2 3 2 2" xfId="42670"/>
    <cellStyle name="强调文字颜色 1 3 3 2 4" xfId="42671"/>
    <cellStyle name="强调文字颜色 1 3 3 2 4 2" xfId="42672"/>
    <cellStyle name="强调文字颜色 1 3 3 3" xfId="42673"/>
    <cellStyle name="强调文字颜色 1 3 3 3 2" xfId="42674"/>
    <cellStyle name="强调文字颜色 1 3 3 3 2 2" xfId="42675"/>
    <cellStyle name="强调文字颜色 1 3 3 3 2 2 2" xfId="42676"/>
    <cellStyle name="强调文字颜色 1 3 3 3 3" xfId="42677"/>
    <cellStyle name="强调文字颜色 1 3 3 3 3 2" xfId="42678"/>
    <cellStyle name="强调文字颜色 1 3 3 4" xfId="42679"/>
    <cellStyle name="强调文字颜色 1 3 3 5" xfId="42680"/>
    <cellStyle name="强调文字颜色 1 3 3 6" xfId="42681"/>
    <cellStyle name="强调文字颜色 1 3 4" xfId="42682"/>
    <cellStyle name="强调文字颜色 1 3 4 2" xfId="42683"/>
    <cellStyle name="强调文字颜色 1 3 4 2 2" xfId="42684"/>
    <cellStyle name="强调文字颜色 1 3 4 2 3" xfId="42685"/>
    <cellStyle name="强调文字颜色 1 3 4 2 3 2" xfId="42686"/>
    <cellStyle name="强调文字颜色 1 3 4 2 3 2 2" xfId="42687"/>
    <cellStyle name="强调文字颜色 1 3 4 2 4" xfId="42688"/>
    <cellStyle name="强调文字颜色 1 3 4 2 4 2" xfId="42689"/>
    <cellStyle name="强调文字颜色 1 3 4 3" xfId="42690"/>
    <cellStyle name="强调文字颜色 1 3 4 4" xfId="42691"/>
    <cellStyle name="强调文字颜色 1 3 4 5" xfId="42692"/>
    <cellStyle name="强调文字颜色 1 3 4 6" xfId="42693"/>
    <cellStyle name="强调文字颜色 1 3 5" xfId="42694"/>
    <cellStyle name="强调文字颜色 1 3 5 2" xfId="42695"/>
    <cellStyle name="强调文字颜色 1 3 5 2 2" xfId="42696"/>
    <cellStyle name="强调文字颜色 1 3 5 2 2 2" xfId="42697"/>
    <cellStyle name="强调文字颜色 1 3 5 2 2 2 2" xfId="42698"/>
    <cellStyle name="强调文字颜色 1 3 5 2 3" xfId="42699"/>
    <cellStyle name="强调文字颜色 1 3 5 2 3 2" xfId="42700"/>
    <cellStyle name="强调文字颜色 1 3 5 3" xfId="42701"/>
    <cellStyle name="强调文字颜色 1 3 5 3 2" xfId="42702"/>
    <cellStyle name="强调文字颜色 1 3 5 3 2 2" xfId="42703"/>
    <cellStyle name="强调文字颜色 1 3 5 4" xfId="42704"/>
    <cellStyle name="强调文字颜色 1 3 5 4 2" xfId="42705"/>
    <cellStyle name="强调文字颜色 1 3 6" xfId="42706"/>
    <cellStyle name="强调文字颜色 1 3 6 2" xfId="42707"/>
    <cellStyle name="强调文字颜色 1 3 6 2 2" xfId="42708"/>
    <cellStyle name="强调文字颜色 1 3 6 2 2 2" xfId="42709"/>
    <cellStyle name="强调文字颜色 1 3 6 3" xfId="42710"/>
    <cellStyle name="强调文字颜色 1 3 6 3 2" xfId="42711"/>
    <cellStyle name="强调文字颜色 1 3 7" xfId="42712"/>
    <cellStyle name="强调文字颜色 1 3 8" xfId="42713"/>
    <cellStyle name="强调文字颜色 2 2" xfId="42714"/>
    <cellStyle name="强调文字颜色 2 2 10" xfId="42715"/>
    <cellStyle name="强调文字颜色 2 2 11" xfId="42716"/>
    <cellStyle name="强调文字颜色 2 2 2" xfId="42717"/>
    <cellStyle name="强调文字颜色 2 2 2 10" xfId="42718"/>
    <cellStyle name="强调文字颜色 2 2 2 11" xfId="42719"/>
    <cellStyle name="强调文字颜色 2 2 2 2" xfId="42720"/>
    <cellStyle name="强调文字颜色 2 2 2 2 2" xfId="42721"/>
    <cellStyle name="强调文字颜色 2 2 2 2 2 2" xfId="42722"/>
    <cellStyle name="强调文字颜色 2 2 2 2 2 2 2" xfId="42723"/>
    <cellStyle name="强调文字颜色 2 2 2 2 2 2 3" xfId="42724"/>
    <cellStyle name="强调文字颜色 2 2 2 2 2 2 3 2" xfId="42725"/>
    <cellStyle name="强调文字颜色 2 2 2 2 2 2 3 2 2" xfId="42726"/>
    <cellStyle name="强调文字颜色 2 2 2 2 2 2 4" xfId="42727"/>
    <cellStyle name="强调文字颜色 2 2 2 2 2 2 4 2" xfId="42728"/>
    <cellStyle name="强调文字颜色 2 2 2 2 2 3" xfId="42729"/>
    <cellStyle name="强调文字颜色 2 2 2 2 2 3 2" xfId="42730"/>
    <cellStyle name="强调文字颜色 2 2 2 2 2 3 2 2" xfId="42731"/>
    <cellStyle name="强调文字颜色 2 2 2 2 2 3 2 2 2" xfId="42732"/>
    <cellStyle name="强调文字颜色 2 2 2 2 2 3 3" xfId="42733"/>
    <cellStyle name="强调文字颜色 2 2 2 2 2 3 3 2" xfId="42734"/>
    <cellStyle name="强调文字颜色 2 2 2 2 2 4" xfId="42735"/>
    <cellStyle name="强调文字颜色 2 2 2 2 2 5" xfId="42736"/>
    <cellStyle name="强调文字颜色 2 2 2 2 2 6" xfId="42737"/>
    <cellStyle name="强调文字颜色 2 2 2 2 3" xfId="42738"/>
    <cellStyle name="强调文字颜色 2 2 2 2 3 2" xfId="42739"/>
    <cellStyle name="强调文字颜色 2 2 2 2 3 3" xfId="42740"/>
    <cellStyle name="强调文字颜色 2 2 2 2 3 3 2" xfId="42741"/>
    <cellStyle name="强调文字颜色 2 2 2 2 3 3 2 2" xfId="42742"/>
    <cellStyle name="强调文字颜色 2 2 2 2 3 4" xfId="42743"/>
    <cellStyle name="强调文字颜色 2 2 2 2 3 4 2" xfId="42744"/>
    <cellStyle name="强调文字颜色 2 2 2 2 4" xfId="42745"/>
    <cellStyle name="强调文字颜色 2 2 2 2 4 2" xfId="42746"/>
    <cellStyle name="强调文字颜色 2 2 2 2 4 2 2" xfId="42747"/>
    <cellStyle name="强调文字颜色 2 2 2 2 4 2 2 2" xfId="42748"/>
    <cellStyle name="强调文字颜色 2 2 2 2 4 3" xfId="42749"/>
    <cellStyle name="强调文字颜色 2 2 2 2 4 3 2" xfId="42750"/>
    <cellStyle name="强调文字颜色 2 2 2 2 5" xfId="42751"/>
    <cellStyle name="强调文字颜色 2 2 2 2 6" xfId="42752"/>
    <cellStyle name="强调文字颜色 2 2 2 2 7" xfId="42753"/>
    <cellStyle name="强调文字颜色 2 2 2 3" xfId="42754"/>
    <cellStyle name="强调文字颜色 2 2 2 3 2" xfId="42755"/>
    <cellStyle name="强调文字颜色 2 2 2 3 2 2" xfId="42756"/>
    <cellStyle name="强调文字颜色 2 2 2 3 2 3" xfId="42757"/>
    <cellStyle name="强调文字颜色 2 2 2 3 2 3 2" xfId="42758"/>
    <cellStyle name="强调文字颜色 2 2 2 3 2 3 2 2" xfId="42759"/>
    <cellStyle name="强调文字颜色 2 2 2 3 2 4" xfId="42760"/>
    <cellStyle name="强调文字颜色 2 2 2 3 2 4 2" xfId="42761"/>
    <cellStyle name="强调文字颜色 2 2 2 3 3" xfId="42762"/>
    <cellStyle name="强调文字颜色 2 2 2 3 3 2" xfId="42763"/>
    <cellStyle name="强调文字颜色 2 2 2 3 3 2 2" xfId="42764"/>
    <cellStyle name="强调文字颜色 2 2 2 3 3 2 2 2" xfId="42765"/>
    <cellStyle name="强调文字颜色 2 2 2 3 3 3" xfId="42766"/>
    <cellStyle name="强调文字颜色 2 2 2 3 3 3 2" xfId="42767"/>
    <cellStyle name="强调文字颜色 2 2 2 3 4" xfId="42768"/>
    <cellStyle name="强调文字颜色 2 2 2 3 5" xfId="42769"/>
    <cellStyle name="强调文字颜色 2 2 2 3 6" xfId="42770"/>
    <cellStyle name="强调文字颜色 2 2 2 4" xfId="42771"/>
    <cellStyle name="强调文字颜色 2 2 2 4 2" xfId="42772"/>
    <cellStyle name="强调文字颜色 2 2 2 4 2 2" xfId="42773"/>
    <cellStyle name="强调文字颜色 2 2 2 4 2 3" xfId="42774"/>
    <cellStyle name="强调文字颜色 2 2 2 4 2 3 2" xfId="42775"/>
    <cellStyle name="强调文字颜色 2 2 2 4 2 3 2 2" xfId="42776"/>
    <cellStyle name="强调文字颜色 2 2 2 4 2 4" xfId="42777"/>
    <cellStyle name="强调文字颜色 2 2 2 4 2 4 2" xfId="42778"/>
    <cellStyle name="强调文字颜色 2 2 2 4 3" xfId="42779"/>
    <cellStyle name="强调文字颜色 2 2 2 4 4" xfId="42780"/>
    <cellStyle name="强调文字颜色 2 2 2 4 5" xfId="42781"/>
    <cellStyle name="强调文字颜色 2 2 2 4 6" xfId="42782"/>
    <cellStyle name="强调文字颜色 2 2 2 5" xfId="42783"/>
    <cellStyle name="强调文字颜色 2 2 2 5 2" xfId="42784"/>
    <cellStyle name="强调文字颜色 2 2 2 5 2 2" xfId="42785"/>
    <cellStyle name="强调文字颜色 2 2 2 5 2 2 2" xfId="42786"/>
    <cellStyle name="强调文字颜色 2 2 2 5 2 2 2 2" xfId="42787"/>
    <cellStyle name="强调文字颜色 2 2 2 5 2 3" xfId="42788"/>
    <cellStyle name="强调文字颜色 2 2 2 5 2 3 2" xfId="42789"/>
    <cellStyle name="强调文字颜色 2 2 2 5 3" xfId="42790"/>
    <cellStyle name="强调文字颜色 2 2 2 5 3 2" xfId="42791"/>
    <cellStyle name="强调文字颜色 2 2 2 5 3 2 2" xfId="42792"/>
    <cellStyle name="强调文字颜色 2 2 2 5 4" xfId="42793"/>
    <cellStyle name="强调文字颜色 2 2 2 5 4 2" xfId="42794"/>
    <cellStyle name="强调文字颜色 2 2 2 6" xfId="42795"/>
    <cellStyle name="强调文字颜色 2 2 2 6 2" xfId="42796"/>
    <cellStyle name="强调文字颜色 2 2 2 6 2 2" xfId="42797"/>
    <cellStyle name="强调文字颜色 2 2 2 6 2 2 2" xfId="42798"/>
    <cellStyle name="强调文字颜色 2 2 2 6 2 2 2 2" xfId="42799"/>
    <cellStyle name="强调文字颜色 2 2 2 6 2 3" xfId="42800"/>
    <cellStyle name="强调文字颜色 2 2 2 6 2 3 2" xfId="42801"/>
    <cellStyle name="强调文字颜色 2 2 2 6 3" xfId="42802"/>
    <cellStyle name="强调文字颜色 2 2 2 6 3 2" xfId="42803"/>
    <cellStyle name="强调文字颜色 2 2 2 6 3 2 2" xfId="42804"/>
    <cellStyle name="强调文字颜色 2 2 2 6 4" xfId="42805"/>
    <cellStyle name="强调文字颜色 2 2 2 6 4 2" xfId="42806"/>
    <cellStyle name="强调文字颜色 2 2 2 7" xfId="42807"/>
    <cellStyle name="强调文字颜色 2 2 2 7 2" xfId="42808"/>
    <cellStyle name="强调文字颜色 2 2 2 7 2 2" xfId="42809"/>
    <cellStyle name="强调文字颜色 2 2 2 7 2 2 2" xfId="42810"/>
    <cellStyle name="强调文字颜色 2 2 2 7 2 2 2 2" xfId="42811"/>
    <cellStyle name="强调文字颜色 2 2 2 7 2 3" xfId="42812"/>
    <cellStyle name="强调文字颜色 2 2 2 7 2 3 2" xfId="42813"/>
    <cellStyle name="强调文字颜色 2 2 2 7 3" xfId="42814"/>
    <cellStyle name="强调文字颜色 2 2 2 7 3 2" xfId="42815"/>
    <cellStyle name="强调文字颜色 2 2 2 7 3 2 2" xfId="42816"/>
    <cellStyle name="强调文字颜色 2 2 2 7 4" xfId="42817"/>
    <cellStyle name="强调文字颜色 2 2 2 7 4 2" xfId="42818"/>
    <cellStyle name="强调文字颜色 2 2 2 8" xfId="42819"/>
    <cellStyle name="强调文字颜色 2 2 2 8 2" xfId="42820"/>
    <cellStyle name="强调文字颜色 2 2 2 8 2 2" xfId="42821"/>
    <cellStyle name="强调文字颜色 2 2 2 8 2 2 2" xfId="42822"/>
    <cellStyle name="强调文字颜色 2 2 2 8 3" xfId="42823"/>
    <cellStyle name="强调文字颜色 2 2 2 8 3 2" xfId="42824"/>
    <cellStyle name="强调文字颜色 2 2 2 9" xfId="42825"/>
    <cellStyle name="强调文字颜色 2 2 2 9 2" xfId="42826"/>
    <cellStyle name="强调文字颜色 2 2 2 9 2 2" xfId="42827"/>
    <cellStyle name="强调文字颜色 2 2 2 9 2 2 2" xfId="42828"/>
    <cellStyle name="强调文字颜色 2 2 2 9 3" xfId="42829"/>
    <cellStyle name="强调文字颜色 2 2 2 9 3 2" xfId="42830"/>
    <cellStyle name="强调文字颜色 2 2 3" xfId="42831"/>
    <cellStyle name="强调文字颜色 2 2 3 2" xfId="42832"/>
    <cellStyle name="强调文字颜色 2 2 3 2 2" xfId="42833"/>
    <cellStyle name="强调文字颜色 2 2 3 2 2 2" xfId="42834"/>
    <cellStyle name="强调文字颜色 2 2 3 2 2 2 2" xfId="42835"/>
    <cellStyle name="强调文字颜色 2 2 3 2 2 2 3" xfId="42836"/>
    <cellStyle name="强调文字颜色 2 2 3 2 2 2 3 2" xfId="42837"/>
    <cellStyle name="强调文字颜色 2 2 3 2 2 2 3 2 2" xfId="42838"/>
    <cellStyle name="强调文字颜色 2 2 3 2 2 2 4" xfId="42839"/>
    <cellStyle name="强调文字颜色 2 2 3 2 2 2 4 2" xfId="42840"/>
    <cellStyle name="强调文字颜色 2 2 3 2 2 3" xfId="42841"/>
    <cellStyle name="强调文字颜色 2 2 3 2 2 3 2" xfId="42842"/>
    <cellStyle name="强调文字颜色 2 2 3 2 2 3 2 2" xfId="42843"/>
    <cellStyle name="强调文字颜色 2 2 3 2 2 3 2 2 2" xfId="42844"/>
    <cellStyle name="强调文字颜色 2 2 3 2 2 3 3" xfId="42845"/>
    <cellStyle name="强调文字颜色 2 2 3 2 2 3 3 2" xfId="42846"/>
    <cellStyle name="强调文字颜色 2 2 3 2 2 4" xfId="42847"/>
    <cellStyle name="强调文字颜色 2 2 3 2 2 5" xfId="42848"/>
    <cellStyle name="强调文字颜色 2 2 3 2 2 6" xfId="42849"/>
    <cellStyle name="强调文字颜色 2 2 3 2 3" xfId="42850"/>
    <cellStyle name="强调文字颜色 2 2 3 2 3 2" xfId="42851"/>
    <cellStyle name="强调文字颜色 2 2 3 2 3 3" xfId="42852"/>
    <cellStyle name="强调文字颜色 2 2 3 2 3 3 2" xfId="42853"/>
    <cellStyle name="强调文字颜色 2 2 3 2 3 3 2 2" xfId="42854"/>
    <cellStyle name="强调文字颜色 2 2 3 2 3 4" xfId="42855"/>
    <cellStyle name="强调文字颜色 2 2 3 2 3 4 2" xfId="42856"/>
    <cellStyle name="强调文字颜色 2 2 3 2 4" xfId="42857"/>
    <cellStyle name="强调文字颜色 2 2 3 2 4 2" xfId="42858"/>
    <cellStyle name="强调文字颜色 2 2 3 2 4 2 2" xfId="42859"/>
    <cellStyle name="强调文字颜色 2 2 3 2 4 2 2 2" xfId="42860"/>
    <cellStyle name="强调文字颜色 2 2 3 2 4 3" xfId="42861"/>
    <cellStyle name="强调文字颜色 2 2 3 2 4 3 2" xfId="42862"/>
    <cellStyle name="强调文字颜色 2 2 3 2 5" xfId="42863"/>
    <cellStyle name="强调文字颜色 2 2 3 2 6" xfId="42864"/>
    <cellStyle name="强调文字颜色 2 2 3 2 7" xfId="42865"/>
    <cellStyle name="强调文字颜色 2 2 3 3" xfId="42866"/>
    <cellStyle name="强调文字颜色 2 2 3 3 2" xfId="42867"/>
    <cellStyle name="强调文字颜色 2 2 3 3 2 2" xfId="42868"/>
    <cellStyle name="强调文字颜色 2 2 3 3 2 3" xfId="42869"/>
    <cellStyle name="强调文字颜色 2 2 3 3 2 3 2" xfId="42870"/>
    <cellStyle name="强调文字颜色 2 2 3 3 2 3 2 2" xfId="42871"/>
    <cellStyle name="强调文字颜色 2 2 3 3 2 4" xfId="42872"/>
    <cellStyle name="强调文字颜色 2 2 3 3 2 4 2" xfId="42873"/>
    <cellStyle name="强调文字颜色 2 2 3 3 3" xfId="42874"/>
    <cellStyle name="强调文字颜色 2 2 3 3 3 2" xfId="42875"/>
    <cellStyle name="强调文字颜色 2 2 3 3 3 2 2" xfId="42876"/>
    <cellStyle name="强调文字颜色 2 2 3 3 3 2 2 2" xfId="42877"/>
    <cellStyle name="强调文字颜色 2 2 3 3 3 3" xfId="42878"/>
    <cellStyle name="强调文字颜色 2 2 3 3 3 3 2" xfId="42879"/>
    <cellStyle name="强调文字颜色 2 2 3 3 4" xfId="42880"/>
    <cellStyle name="强调文字颜色 2 2 3 3 5" xfId="42881"/>
    <cellStyle name="强调文字颜色 2 2 3 3 6" xfId="42882"/>
    <cellStyle name="强调文字颜色 2 2 3 4" xfId="42883"/>
    <cellStyle name="强调文字颜色 2 2 3 4 2" xfId="42884"/>
    <cellStyle name="强调文字颜色 2 2 3 4 2 2" xfId="42885"/>
    <cellStyle name="强调文字颜色 2 2 3 4 2 3" xfId="42886"/>
    <cellStyle name="强调文字颜色 2 2 3 4 2 3 2" xfId="42887"/>
    <cellStyle name="强调文字颜色 2 2 3 4 2 3 2 2" xfId="42888"/>
    <cellStyle name="强调文字颜色 2 2 3 4 2 4" xfId="42889"/>
    <cellStyle name="强调文字颜色 2 2 3 4 2 4 2" xfId="42890"/>
    <cellStyle name="强调文字颜色 2 2 3 4 3" xfId="42891"/>
    <cellStyle name="强调文字颜色 2 2 3 4 4" xfId="42892"/>
    <cellStyle name="强调文字颜色 2 2 3 4 5" xfId="42893"/>
    <cellStyle name="强调文字颜色 2 2 3 4 6" xfId="42894"/>
    <cellStyle name="强调文字颜色 2 2 3 5" xfId="42895"/>
    <cellStyle name="强调文字颜色 2 2 3 5 2" xfId="42896"/>
    <cellStyle name="强调文字颜色 2 2 3 5 2 2" xfId="42897"/>
    <cellStyle name="强调文字颜色 2 2 3 5 2 2 2" xfId="42898"/>
    <cellStyle name="强调文字颜色 2 2 3 5 2 2 2 2" xfId="42899"/>
    <cellStyle name="强调文字颜色 2 2 3 5 2 3" xfId="42900"/>
    <cellStyle name="强调文字颜色 2 2 3 5 2 3 2" xfId="42901"/>
    <cellStyle name="强调文字颜色 2 2 3 5 3" xfId="42902"/>
    <cellStyle name="强调文字颜色 2 2 3 5 3 2" xfId="42903"/>
    <cellStyle name="强调文字颜色 2 2 3 5 3 2 2" xfId="42904"/>
    <cellStyle name="强调文字颜色 2 2 3 5 4" xfId="42905"/>
    <cellStyle name="强调文字颜色 2 2 3 5 4 2" xfId="42906"/>
    <cellStyle name="强调文字颜色 2 2 3 6" xfId="42907"/>
    <cellStyle name="强调文字颜色 2 2 3 6 2" xfId="42908"/>
    <cellStyle name="强调文字颜色 2 2 3 6 2 2" xfId="42909"/>
    <cellStyle name="强调文字颜色 2 2 3 6 2 2 2" xfId="42910"/>
    <cellStyle name="强调文字颜色 2 2 3 6 3" xfId="42911"/>
    <cellStyle name="强调文字颜色 2 2 3 6 3 2" xfId="42912"/>
    <cellStyle name="强调文字颜色 2 2 3 7" xfId="42913"/>
    <cellStyle name="强调文字颜色 2 2 3 7 2" xfId="42914"/>
    <cellStyle name="强调文字颜色 2 2 3 7 2 2" xfId="42915"/>
    <cellStyle name="强调文字颜色 2 2 3 7 2 2 2" xfId="42916"/>
    <cellStyle name="强调文字颜色 2 2 3 7 3" xfId="42917"/>
    <cellStyle name="强调文字颜色 2 2 3 7 3 2" xfId="42918"/>
    <cellStyle name="强调文字颜色 2 2 3 8" xfId="42919"/>
    <cellStyle name="强调文字颜色 2 2 3 9" xfId="42920"/>
    <cellStyle name="强调文字颜色 2 2 4" xfId="42921"/>
    <cellStyle name="强调文字颜色 2 2 4 2" xfId="42922"/>
    <cellStyle name="强调文字颜色 2 2 4 2 2" xfId="42923"/>
    <cellStyle name="强调文字颜色 2 2 4 2 3" xfId="42924"/>
    <cellStyle name="强调文字颜色 2 2 4 2 3 2" xfId="42925"/>
    <cellStyle name="强调文字颜色 2 2 4 2 3 2 2" xfId="42926"/>
    <cellStyle name="强调文字颜色 2 2 4 2 4" xfId="42927"/>
    <cellStyle name="强调文字颜色 2 2 4 2 4 2" xfId="42928"/>
    <cellStyle name="强调文字颜色 2 2 4 3" xfId="42929"/>
    <cellStyle name="强调文字颜色 2 2 4 3 2" xfId="42930"/>
    <cellStyle name="强调文字颜色 2 2 4 3 2 2" xfId="42931"/>
    <cellStyle name="强调文字颜色 2 2 4 3 2 2 2" xfId="42932"/>
    <cellStyle name="强调文字颜色 2 2 4 3 3" xfId="42933"/>
    <cellStyle name="强调文字颜色 2 2 4 3 3 2" xfId="42934"/>
    <cellStyle name="强调文字颜色 2 2 4 4" xfId="42935"/>
    <cellStyle name="强调文字颜色 2 2 4 5" xfId="42936"/>
    <cellStyle name="强调文字颜色 2 2 4 6" xfId="42937"/>
    <cellStyle name="强调文字颜色 2 2 5" xfId="42938"/>
    <cellStyle name="强调文字颜色 2 2 5 2" xfId="42939"/>
    <cellStyle name="强调文字颜色 2 2 5 2 2" xfId="42940"/>
    <cellStyle name="强调文字颜色 2 2 5 2 3" xfId="42941"/>
    <cellStyle name="强调文字颜色 2 2 5 2 3 2" xfId="42942"/>
    <cellStyle name="强调文字颜色 2 2 5 2 3 2 2" xfId="42943"/>
    <cellStyle name="强调文字颜色 2 2 5 2 4" xfId="42944"/>
    <cellStyle name="强调文字颜色 2 2 5 2 4 2" xfId="42945"/>
    <cellStyle name="强调文字颜色 2 2 5 3" xfId="42946"/>
    <cellStyle name="强调文字颜色 2 2 5 4" xfId="42947"/>
    <cellStyle name="强调文字颜色 2 2 5 5" xfId="42948"/>
    <cellStyle name="强调文字颜色 2 2 5 6" xfId="42949"/>
    <cellStyle name="强调文字颜色 2 2 6" xfId="42950"/>
    <cellStyle name="强调文字颜色 2 2 6 2" xfId="42951"/>
    <cellStyle name="强调文字颜色 2 2 6 2 2" xfId="42952"/>
    <cellStyle name="强调文字颜色 2 2 6 2 2 2" xfId="42953"/>
    <cellStyle name="强调文字颜色 2 2 6 2 2 2 2" xfId="42954"/>
    <cellStyle name="强调文字颜色 2 2 6 2 3" xfId="42955"/>
    <cellStyle name="强调文字颜色 2 2 6 2 3 2" xfId="42956"/>
    <cellStyle name="强调文字颜色 2 2 6 3" xfId="42957"/>
    <cellStyle name="强调文字颜色 2 2 6 3 2" xfId="42958"/>
    <cellStyle name="强调文字颜色 2 2 6 3 2 2" xfId="42959"/>
    <cellStyle name="强调文字颜色 2 2 6 4" xfId="42960"/>
    <cellStyle name="强调文字颜色 2 2 6 4 2" xfId="42961"/>
    <cellStyle name="强调文字颜色 2 2 7" xfId="42962"/>
    <cellStyle name="强调文字颜色 2 2 7 2" xfId="42963"/>
    <cellStyle name="强调文字颜色 2 2 7 2 2" xfId="42964"/>
    <cellStyle name="强调文字颜色 2 2 7 2 2 2" xfId="42965"/>
    <cellStyle name="强调文字颜色 2 2 7 2 2 2 2" xfId="42966"/>
    <cellStyle name="强调文字颜色 2 2 7 2 3" xfId="42967"/>
    <cellStyle name="强调文字颜色 2 2 7 2 3 2" xfId="42968"/>
    <cellStyle name="强调文字颜色 2 2 7 3" xfId="42969"/>
    <cellStyle name="强调文字颜色 2 2 7 3 2" xfId="42970"/>
    <cellStyle name="强调文字颜色 2 2 7 3 2 2" xfId="42971"/>
    <cellStyle name="强调文字颜色 2 2 7 4" xfId="42972"/>
    <cellStyle name="强调文字颜色 2 2 7 4 2" xfId="42973"/>
    <cellStyle name="强调文字颜色 2 2 8" xfId="42974"/>
    <cellStyle name="强调文字颜色 2 2 8 2" xfId="42975"/>
    <cellStyle name="强调文字颜色 2 2 8 2 2" xfId="42976"/>
    <cellStyle name="强调文字颜色 2 2 8 2 2 2" xfId="42977"/>
    <cellStyle name="强调文字颜色 2 2 8 2 2 2 2" xfId="42978"/>
    <cellStyle name="强调文字颜色 2 2 8 2 3" xfId="42979"/>
    <cellStyle name="强调文字颜色 2 2 8 2 3 2" xfId="42980"/>
    <cellStyle name="强调文字颜色 2 2 8 3" xfId="42981"/>
    <cellStyle name="强调文字颜色 2 2 8 3 2" xfId="42982"/>
    <cellStyle name="强调文字颜色 2 2 8 3 2 2" xfId="42983"/>
    <cellStyle name="强调文字颜色 2 2 8 4" xfId="42984"/>
    <cellStyle name="强调文字颜色 2 2 8 4 2" xfId="42985"/>
    <cellStyle name="强调文字颜色 2 2 9" xfId="42986"/>
    <cellStyle name="强调文字颜色 2 2 9 2" xfId="42987"/>
    <cellStyle name="强调文字颜色 2 2 9 2 2" xfId="42988"/>
    <cellStyle name="强调文字颜色 2 2 9 2 2 2" xfId="42989"/>
    <cellStyle name="强调文字颜色 2 2 9 3" xfId="42990"/>
    <cellStyle name="强调文字颜色 2 2 9 3 2" xfId="42991"/>
    <cellStyle name="强调文字颜色 2 3" xfId="42992"/>
    <cellStyle name="强调文字颜色 2 3 2" xfId="42993"/>
    <cellStyle name="强调文字颜色 2 3 2 2" xfId="42994"/>
    <cellStyle name="强调文字颜色 2 3 2 2 2" xfId="42995"/>
    <cellStyle name="强调文字颜色 2 3 2 2 2 2" xfId="42996"/>
    <cellStyle name="强调文字颜色 2 3 2 2 2 3" xfId="42997"/>
    <cellStyle name="强调文字颜色 2 3 2 2 2 3 2" xfId="42998"/>
    <cellStyle name="强调文字颜色 2 3 2 2 2 3 2 2" xfId="42999"/>
    <cellStyle name="强调文字颜色 2 3 2 2 2 4" xfId="43000"/>
    <cellStyle name="强调文字颜色 2 3 2 2 2 4 2" xfId="43001"/>
    <cellStyle name="强调文字颜色 2 3 2 2 3" xfId="43002"/>
    <cellStyle name="强调文字颜色 2 3 2 2 3 2" xfId="43003"/>
    <cellStyle name="强调文字颜色 2 3 2 2 3 2 2" xfId="43004"/>
    <cellStyle name="强调文字颜色 2 3 2 2 3 2 2 2" xfId="43005"/>
    <cellStyle name="强调文字颜色 2 3 2 2 3 3" xfId="43006"/>
    <cellStyle name="强调文字颜色 2 3 2 2 3 3 2" xfId="43007"/>
    <cellStyle name="强调文字颜色 2 3 2 2 4" xfId="43008"/>
    <cellStyle name="强调文字颜色 2 3 2 2 5" xfId="43009"/>
    <cellStyle name="强调文字颜色 2 3 2 2 6" xfId="43010"/>
    <cellStyle name="强调文字颜色 2 3 2 3" xfId="43011"/>
    <cellStyle name="强调文字颜色 2 3 2 3 2" xfId="43012"/>
    <cellStyle name="强调文字颜色 2 3 2 3 3" xfId="43013"/>
    <cellStyle name="强调文字颜色 2 3 2 3 3 2" xfId="43014"/>
    <cellStyle name="强调文字颜色 2 3 2 3 3 2 2" xfId="43015"/>
    <cellStyle name="强调文字颜色 2 3 2 3 4" xfId="43016"/>
    <cellStyle name="强调文字颜色 2 3 2 3 4 2" xfId="43017"/>
    <cellStyle name="强调文字颜色 2 3 2 4" xfId="43018"/>
    <cellStyle name="强调文字颜色 2 3 2 4 2" xfId="43019"/>
    <cellStyle name="强调文字颜色 2 3 2 4 2 2" xfId="43020"/>
    <cellStyle name="强调文字颜色 2 3 2 4 2 2 2" xfId="43021"/>
    <cellStyle name="强调文字颜色 2 3 2 4 3" xfId="43022"/>
    <cellStyle name="强调文字颜色 2 3 2 4 3 2" xfId="43023"/>
    <cellStyle name="强调文字颜色 2 3 2 5" xfId="43024"/>
    <cellStyle name="强调文字颜色 2 3 2 6" xfId="43025"/>
    <cellStyle name="强调文字颜色 2 3 2 7" xfId="43026"/>
    <cellStyle name="强调文字颜色 2 3 3" xfId="43027"/>
    <cellStyle name="强调文字颜色 2 3 3 2" xfId="43028"/>
    <cellStyle name="强调文字颜色 2 3 3 2 2" xfId="43029"/>
    <cellStyle name="强调文字颜色 2 3 3 2 3" xfId="43030"/>
    <cellStyle name="强调文字颜色 2 3 3 2 3 2" xfId="43031"/>
    <cellStyle name="强调文字颜色 2 3 3 2 3 2 2" xfId="43032"/>
    <cellStyle name="强调文字颜色 2 3 3 2 4" xfId="43033"/>
    <cellStyle name="强调文字颜色 2 3 3 2 4 2" xfId="43034"/>
    <cellStyle name="强调文字颜色 2 3 3 3" xfId="43035"/>
    <cellStyle name="强调文字颜色 2 3 3 3 2" xfId="43036"/>
    <cellStyle name="强调文字颜色 2 3 3 3 2 2" xfId="43037"/>
    <cellStyle name="强调文字颜色 2 3 3 3 2 2 2" xfId="43038"/>
    <cellStyle name="强调文字颜色 2 3 3 3 3" xfId="43039"/>
    <cellStyle name="强调文字颜色 2 3 3 3 3 2" xfId="43040"/>
    <cellStyle name="强调文字颜色 2 3 3 4" xfId="43041"/>
    <cellStyle name="强调文字颜色 2 3 3 5" xfId="43042"/>
    <cellStyle name="强调文字颜色 2 3 3 6" xfId="43043"/>
    <cellStyle name="强调文字颜色 2 3 4" xfId="43044"/>
    <cellStyle name="强调文字颜色 2 3 4 2" xfId="43045"/>
    <cellStyle name="强调文字颜色 2 3 4 2 2" xfId="43046"/>
    <cellStyle name="强调文字颜色 2 3 4 2 3" xfId="43047"/>
    <cellStyle name="强调文字颜色 2 3 4 2 3 2" xfId="43048"/>
    <cellStyle name="强调文字颜色 2 3 4 2 3 2 2" xfId="43049"/>
    <cellStyle name="强调文字颜色 2 3 4 2 4" xfId="43050"/>
    <cellStyle name="强调文字颜色 2 3 4 2 4 2" xfId="43051"/>
    <cellStyle name="强调文字颜色 2 3 4 3" xfId="43052"/>
    <cellStyle name="强调文字颜色 2 3 4 4" xfId="43053"/>
    <cellStyle name="强调文字颜色 2 3 4 5" xfId="43054"/>
    <cellStyle name="强调文字颜色 2 3 4 6" xfId="43055"/>
    <cellStyle name="强调文字颜色 2 3 5" xfId="43056"/>
    <cellStyle name="强调文字颜色 2 3 5 2" xfId="43057"/>
    <cellStyle name="强调文字颜色 2 3 5 2 2" xfId="43058"/>
    <cellStyle name="强调文字颜色 2 3 5 2 2 2" xfId="43059"/>
    <cellStyle name="强调文字颜色 2 3 5 2 2 2 2" xfId="43060"/>
    <cellStyle name="强调文字颜色 2 3 5 2 3" xfId="43061"/>
    <cellStyle name="强调文字颜色 2 3 5 2 3 2" xfId="43062"/>
    <cellStyle name="强调文字颜色 2 3 5 3" xfId="43063"/>
    <cellStyle name="强调文字颜色 2 3 5 3 2" xfId="43064"/>
    <cellStyle name="强调文字颜色 2 3 5 3 2 2" xfId="43065"/>
    <cellStyle name="强调文字颜色 2 3 5 4" xfId="43066"/>
    <cellStyle name="强调文字颜色 2 3 5 4 2" xfId="43067"/>
    <cellStyle name="强调文字颜色 2 3 6" xfId="43068"/>
    <cellStyle name="强调文字颜色 2 3 6 2" xfId="43069"/>
    <cellStyle name="强调文字颜色 2 3 6 2 2" xfId="43070"/>
    <cellStyle name="强调文字颜色 2 3 6 2 2 2" xfId="43071"/>
    <cellStyle name="强调文字颜色 2 3 6 3" xfId="43072"/>
    <cellStyle name="强调文字颜色 2 3 6 3 2" xfId="43073"/>
    <cellStyle name="强调文字颜色 2 3 7" xfId="43074"/>
    <cellStyle name="强调文字颜色 2 3 8" xfId="43075"/>
    <cellStyle name="强调文字颜色 3 2" xfId="43076"/>
    <cellStyle name="强调文字颜色 3 2 10" xfId="43077"/>
    <cellStyle name="强调文字颜色 3 2 11" xfId="43078"/>
    <cellStyle name="强调文字颜色 3 2 2" xfId="43079"/>
    <cellStyle name="强调文字颜色 3 2 2 10" xfId="43080"/>
    <cellStyle name="强调文字颜色 3 2 2 11" xfId="43081"/>
    <cellStyle name="强调文字颜色 3 2 2 2" xfId="43082"/>
    <cellStyle name="强调文字颜色 3 2 2 2 2" xfId="43083"/>
    <cellStyle name="强调文字颜色 3 2 2 2 2 2" xfId="43084"/>
    <cellStyle name="强调文字颜色 3 2 2 2 2 2 2" xfId="43085"/>
    <cellStyle name="强调文字颜色 3 2 2 2 2 2 3" xfId="43086"/>
    <cellStyle name="强调文字颜色 3 2 2 2 2 2 3 2" xfId="43087"/>
    <cellStyle name="强调文字颜色 3 2 2 2 2 2 3 2 2" xfId="43088"/>
    <cellStyle name="强调文字颜色 3 2 2 2 2 2 4" xfId="43089"/>
    <cellStyle name="强调文字颜色 3 2 2 2 2 2 4 2" xfId="43090"/>
    <cellStyle name="强调文字颜色 3 2 2 2 2 3" xfId="43091"/>
    <cellStyle name="强调文字颜色 3 2 2 2 2 3 2" xfId="43092"/>
    <cellStyle name="强调文字颜色 3 2 2 2 2 3 2 2" xfId="43093"/>
    <cellStyle name="强调文字颜色 3 2 2 2 2 3 2 2 2" xfId="43094"/>
    <cellStyle name="强调文字颜色 3 2 2 2 2 3 3" xfId="43095"/>
    <cellStyle name="强调文字颜色 3 2 2 2 2 3 3 2" xfId="43096"/>
    <cellStyle name="强调文字颜色 3 2 2 2 2 4" xfId="43097"/>
    <cellStyle name="强调文字颜色 3 2 2 2 2 5" xfId="43098"/>
    <cellStyle name="强调文字颜色 3 2 2 2 2 6" xfId="43099"/>
    <cellStyle name="强调文字颜色 3 2 2 2 3" xfId="43100"/>
    <cellStyle name="强调文字颜色 3 2 2 2 3 2" xfId="43101"/>
    <cellStyle name="强调文字颜色 3 2 2 2 3 3" xfId="43102"/>
    <cellStyle name="强调文字颜色 3 2 2 2 3 3 2" xfId="43103"/>
    <cellStyle name="强调文字颜色 3 2 2 2 3 3 2 2" xfId="43104"/>
    <cellStyle name="强调文字颜色 3 2 2 2 3 4" xfId="43105"/>
    <cellStyle name="强调文字颜色 3 2 2 2 3 4 2" xfId="43106"/>
    <cellStyle name="强调文字颜色 3 2 2 2 4" xfId="43107"/>
    <cellStyle name="强调文字颜色 3 2 2 2 4 2" xfId="43108"/>
    <cellStyle name="强调文字颜色 3 2 2 2 4 2 2" xfId="43109"/>
    <cellStyle name="强调文字颜色 3 2 2 2 4 2 2 2" xfId="43110"/>
    <cellStyle name="强调文字颜色 3 2 2 2 4 3" xfId="43111"/>
    <cellStyle name="强调文字颜色 3 2 2 2 4 3 2" xfId="43112"/>
    <cellStyle name="强调文字颜色 3 2 2 2 5" xfId="43113"/>
    <cellStyle name="强调文字颜色 3 2 2 2 6" xfId="43114"/>
    <cellStyle name="强调文字颜色 3 2 2 2 7" xfId="43115"/>
    <cellStyle name="强调文字颜色 3 2 2 3" xfId="43116"/>
    <cellStyle name="强调文字颜色 3 2 2 3 2" xfId="43117"/>
    <cellStyle name="强调文字颜色 3 2 2 3 2 2" xfId="43118"/>
    <cellStyle name="强调文字颜色 3 2 2 3 2 3" xfId="43119"/>
    <cellStyle name="强调文字颜色 3 2 2 3 2 3 2" xfId="43120"/>
    <cellStyle name="强调文字颜色 3 2 2 3 2 3 2 2" xfId="43121"/>
    <cellStyle name="强调文字颜色 3 2 2 3 2 4" xfId="43122"/>
    <cellStyle name="强调文字颜色 3 2 2 3 2 4 2" xfId="43123"/>
    <cellStyle name="强调文字颜色 3 2 2 3 3" xfId="43124"/>
    <cellStyle name="强调文字颜色 3 2 2 3 3 2" xfId="43125"/>
    <cellStyle name="强调文字颜色 3 2 2 3 3 2 2" xfId="43126"/>
    <cellStyle name="强调文字颜色 3 2 2 3 3 2 2 2" xfId="43127"/>
    <cellStyle name="强调文字颜色 3 2 2 3 3 3" xfId="43128"/>
    <cellStyle name="强调文字颜色 3 2 2 3 3 3 2" xfId="43129"/>
    <cellStyle name="强调文字颜色 3 2 2 3 4" xfId="43130"/>
    <cellStyle name="强调文字颜色 3 2 2 3 5" xfId="43131"/>
    <cellStyle name="强调文字颜色 3 2 2 3 6" xfId="43132"/>
    <cellStyle name="强调文字颜色 3 2 2 4" xfId="43133"/>
    <cellStyle name="强调文字颜色 3 2 2 4 2" xfId="43134"/>
    <cellStyle name="强调文字颜色 3 2 2 4 2 2" xfId="43135"/>
    <cellStyle name="强调文字颜色 3 2 2 4 2 3" xfId="43136"/>
    <cellStyle name="强调文字颜色 3 2 2 4 2 3 2" xfId="43137"/>
    <cellStyle name="强调文字颜色 3 2 2 4 2 3 2 2" xfId="43138"/>
    <cellStyle name="强调文字颜色 3 2 2 4 2 4" xfId="43139"/>
    <cellStyle name="强调文字颜色 3 2 2 4 2 4 2" xfId="43140"/>
    <cellStyle name="强调文字颜色 3 2 2 4 3" xfId="43141"/>
    <cellStyle name="强调文字颜色 3 2 2 4 4" xfId="43142"/>
    <cellStyle name="强调文字颜色 3 2 2 4 5" xfId="43143"/>
    <cellStyle name="强调文字颜色 3 2 2 4 6" xfId="43144"/>
    <cellStyle name="强调文字颜色 3 2 2 5" xfId="43145"/>
    <cellStyle name="强调文字颜色 3 2 2 5 2" xfId="43146"/>
    <cellStyle name="强调文字颜色 3 2 2 5 2 2" xfId="43147"/>
    <cellStyle name="强调文字颜色 3 2 2 5 2 2 2" xfId="43148"/>
    <cellStyle name="强调文字颜色 3 2 2 5 2 2 2 2" xfId="43149"/>
    <cellStyle name="强调文字颜色 3 2 2 5 2 3" xfId="43150"/>
    <cellStyle name="强调文字颜色 3 2 2 5 2 3 2" xfId="43151"/>
    <cellStyle name="强调文字颜色 3 2 2 5 3" xfId="43152"/>
    <cellStyle name="强调文字颜色 3 2 2 5 3 2" xfId="43153"/>
    <cellStyle name="强调文字颜色 3 2 2 5 3 2 2" xfId="43154"/>
    <cellStyle name="强调文字颜色 3 2 2 5 4" xfId="43155"/>
    <cellStyle name="强调文字颜色 3 2 2 5 4 2" xfId="43156"/>
    <cellStyle name="强调文字颜色 3 2 2 6" xfId="43157"/>
    <cellStyle name="强调文字颜色 3 2 2 6 2" xfId="43158"/>
    <cellStyle name="强调文字颜色 3 2 2 6 2 2" xfId="43159"/>
    <cellStyle name="强调文字颜色 3 2 2 6 2 2 2" xfId="43160"/>
    <cellStyle name="强调文字颜色 3 2 2 6 2 2 2 2" xfId="43161"/>
    <cellStyle name="强调文字颜色 3 2 2 6 2 3" xfId="43162"/>
    <cellStyle name="强调文字颜色 3 2 2 6 2 3 2" xfId="43163"/>
    <cellStyle name="强调文字颜色 3 2 2 6 3" xfId="43164"/>
    <cellStyle name="强调文字颜色 3 2 2 6 3 2" xfId="43165"/>
    <cellStyle name="强调文字颜色 3 2 2 6 3 2 2" xfId="43166"/>
    <cellStyle name="强调文字颜色 3 2 2 6 4" xfId="43167"/>
    <cellStyle name="强调文字颜色 3 2 2 6 4 2" xfId="43168"/>
    <cellStyle name="强调文字颜色 3 2 2 7" xfId="43169"/>
    <cellStyle name="强调文字颜色 3 2 2 7 2" xfId="43170"/>
    <cellStyle name="强调文字颜色 3 2 2 7 2 2" xfId="43171"/>
    <cellStyle name="强调文字颜色 3 2 2 7 2 2 2" xfId="43172"/>
    <cellStyle name="强调文字颜色 3 2 2 7 2 2 2 2" xfId="43173"/>
    <cellStyle name="强调文字颜色 3 2 2 7 2 3" xfId="43174"/>
    <cellStyle name="强调文字颜色 3 2 2 7 2 3 2" xfId="43175"/>
    <cellStyle name="强调文字颜色 3 2 2 7 3" xfId="43176"/>
    <cellStyle name="强调文字颜色 3 2 2 7 3 2" xfId="43177"/>
    <cellStyle name="强调文字颜色 3 2 2 7 3 2 2" xfId="43178"/>
    <cellStyle name="强调文字颜色 3 2 2 7 4" xfId="43179"/>
    <cellStyle name="强调文字颜色 3 2 2 7 4 2" xfId="43180"/>
    <cellStyle name="强调文字颜色 3 2 2 8" xfId="43181"/>
    <cellStyle name="强调文字颜色 3 2 2 8 2" xfId="43182"/>
    <cellStyle name="强调文字颜色 3 2 2 8 2 2" xfId="43183"/>
    <cellStyle name="强调文字颜色 3 2 2 8 2 2 2" xfId="43184"/>
    <cellStyle name="强调文字颜色 3 2 2 8 3" xfId="43185"/>
    <cellStyle name="强调文字颜色 3 2 2 8 3 2" xfId="43186"/>
    <cellStyle name="强调文字颜色 3 2 2 9" xfId="43187"/>
    <cellStyle name="强调文字颜色 3 2 2 9 2" xfId="43188"/>
    <cellStyle name="强调文字颜色 3 2 2 9 2 2" xfId="43189"/>
    <cellStyle name="强调文字颜色 3 2 2 9 2 2 2" xfId="43190"/>
    <cellStyle name="强调文字颜色 3 2 2 9 3" xfId="43191"/>
    <cellStyle name="强调文字颜色 3 2 2 9 3 2" xfId="43192"/>
    <cellStyle name="强调文字颜色 3 2 3" xfId="43193"/>
    <cellStyle name="强调文字颜色 3 2 3 2" xfId="43194"/>
    <cellStyle name="强调文字颜色 3 2 3 2 2" xfId="43195"/>
    <cellStyle name="强调文字颜色 3 2 3 2 2 2" xfId="43196"/>
    <cellStyle name="强调文字颜色 3 2 3 2 2 2 2" xfId="43197"/>
    <cellStyle name="强调文字颜色 3 2 3 2 2 2 3" xfId="43198"/>
    <cellStyle name="强调文字颜色 3 2 3 2 2 2 3 2" xfId="43199"/>
    <cellStyle name="强调文字颜色 3 2 3 2 2 2 3 2 2" xfId="43200"/>
    <cellStyle name="强调文字颜色 3 2 3 2 2 2 4" xfId="43201"/>
    <cellStyle name="强调文字颜色 3 2 3 2 2 2 4 2" xfId="43202"/>
    <cellStyle name="强调文字颜色 3 2 3 2 2 3" xfId="43203"/>
    <cellStyle name="强调文字颜色 3 2 3 2 2 3 2" xfId="43204"/>
    <cellStyle name="强调文字颜色 3 2 3 2 2 3 2 2" xfId="43205"/>
    <cellStyle name="强调文字颜色 3 2 3 2 2 3 2 2 2" xfId="43206"/>
    <cellStyle name="强调文字颜色 3 2 3 2 2 3 3" xfId="43207"/>
    <cellStyle name="强调文字颜色 3 2 3 2 2 3 3 2" xfId="43208"/>
    <cellStyle name="强调文字颜色 3 2 3 2 2 4" xfId="43209"/>
    <cellStyle name="强调文字颜色 3 2 3 2 2 5" xfId="43210"/>
    <cellStyle name="强调文字颜色 3 2 3 2 2 6" xfId="43211"/>
    <cellStyle name="强调文字颜色 3 2 3 2 3" xfId="43212"/>
    <cellStyle name="强调文字颜色 3 2 3 2 3 2" xfId="43213"/>
    <cellStyle name="强调文字颜色 3 2 3 2 3 3" xfId="43214"/>
    <cellStyle name="强调文字颜色 3 2 3 2 3 3 2" xfId="43215"/>
    <cellStyle name="强调文字颜色 3 2 3 2 3 3 2 2" xfId="43216"/>
    <cellStyle name="强调文字颜色 3 2 3 2 3 4" xfId="43217"/>
    <cellStyle name="强调文字颜色 3 2 3 2 3 4 2" xfId="43218"/>
    <cellStyle name="强调文字颜色 3 2 3 2 4" xfId="43219"/>
    <cellStyle name="强调文字颜色 3 2 3 2 4 2" xfId="43220"/>
    <cellStyle name="强调文字颜色 3 2 3 2 4 2 2" xfId="43221"/>
    <cellStyle name="强调文字颜色 3 2 3 2 4 2 2 2" xfId="43222"/>
    <cellStyle name="强调文字颜色 3 2 3 2 4 3" xfId="43223"/>
    <cellStyle name="强调文字颜色 3 2 3 2 4 3 2" xfId="43224"/>
    <cellStyle name="强调文字颜色 3 2 3 2 5" xfId="43225"/>
    <cellStyle name="强调文字颜色 3 2 3 2 6" xfId="43226"/>
    <cellStyle name="强调文字颜色 3 2 3 2 7" xfId="43227"/>
    <cellStyle name="强调文字颜色 3 2 3 3" xfId="43228"/>
    <cellStyle name="强调文字颜色 3 2 3 3 2" xfId="43229"/>
    <cellStyle name="强调文字颜色 3 2 3 3 2 2" xfId="43230"/>
    <cellStyle name="强调文字颜色 3 2 3 3 2 3" xfId="43231"/>
    <cellStyle name="强调文字颜色 3 2 3 3 2 3 2" xfId="43232"/>
    <cellStyle name="强调文字颜色 3 2 3 3 2 3 2 2" xfId="43233"/>
    <cellStyle name="强调文字颜色 3 2 3 3 2 4" xfId="43234"/>
    <cellStyle name="强调文字颜色 3 2 3 3 2 4 2" xfId="43235"/>
    <cellStyle name="强调文字颜色 3 2 3 3 3" xfId="43236"/>
    <cellStyle name="强调文字颜色 3 2 3 3 3 2" xfId="43237"/>
    <cellStyle name="强调文字颜色 3 2 3 3 3 2 2" xfId="43238"/>
    <cellStyle name="强调文字颜色 3 2 3 3 3 2 2 2" xfId="43239"/>
    <cellStyle name="强调文字颜色 3 2 3 3 3 3" xfId="43240"/>
    <cellStyle name="强调文字颜色 3 2 3 3 3 3 2" xfId="43241"/>
    <cellStyle name="强调文字颜色 3 2 3 3 4" xfId="43242"/>
    <cellStyle name="强调文字颜色 3 2 3 3 5" xfId="43243"/>
    <cellStyle name="强调文字颜色 3 2 3 3 6" xfId="43244"/>
    <cellStyle name="强调文字颜色 3 2 3 4" xfId="43245"/>
    <cellStyle name="强调文字颜色 3 2 3 4 2" xfId="43246"/>
    <cellStyle name="强调文字颜色 3 2 3 4 2 2" xfId="43247"/>
    <cellStyle name="强调文字颜色 3 2 3 4 2 3" xfId="43248"/>
    <cellStyle name="强调文字颜色 3 2 3 4 2 3 2" xfId="43249"/>
    <cellStyle name="强调文字颜色 3 2 3 4 2 3 2 2" xfId="43250"/>
    <cellStyle name="强调文字颜色 3 2 3 4 2 4" xfId="43251"/>
    <cellStyle name="强调文字颜色 3 2 3 4 2 4 2" xfId="43252"/>
    <cellStyle name="强调文字颜色 3 2 3 4 3" xfId="43253"/>
    <cellStyle name="强调文字颜色 3 2 3 4 4" xfId="43254"/>
    <cellStyle name="强调文字颜色 3 2 3 4 5" xfId="43255"/>
    <cellStyle name="强调文字颜色 3 2 3 4 6" xfId="43256"/>
    <cellStyle name="强调文字颜色 3 2 3 5" xfId="43257"/>
    <cellStyle name="强调文字颜色 3 2 3 5 2" xfId="43258"/>
    <cellStyle name="强调文字颜色 3 2 3 5 2 2" xfId="43259"/>
    <cellStyle name="强调文字颜色 3 2 3 5 2 2 2" xfId="43260"/>
    <cellStyle name="强调文字颜色 3 2 3 5 2 2 2 2" xfId="43261"/>
    <cellStyle name="强调文字颜色 3 2 3 5 2 3" xfId="43262"/>
    <cellStyle name="强调文字颜色 3 2 3 5 2 3 2" xfId="43263"/>
    <cellStyle name="强调文字颜色 3 2 3 5 3" xfId="43264"/>
    <cellStyle name="强调文字颜色 3 2 3 5 3 2" xfId="43265"/>
    <cellStyle name="强调文字颜色 3 2 3 5 3 2 2" xfId="43266"/>
    <cellStyle name="强调文字颜色 3 2 3 5 4" xfId="43267"/>
    <cellStyle name="强调文字颜色 3 2 3 5 4 2" xfId="43268"/>
    <cellStyle name="强调文字颜色 3 2 3 6" xfId="43269"/>
    <cellStyle name="强调文字颜色 3 2 3 6 2" xfId="43270"/>
    <cellStyle name="强调文字颜色 3 2 3 6 2 2" xfId="43271"/>
    <cellStyle name="强调文字颜色 3 2 3 6 2 2 2" xfId="43272"/>
    <cellStyle name="强调文字颜色 3 2 3 6 3" xfId="43273"/>
    <cellStyle name="强调文字颜色 3 2 3 6 3 2" xfId="43274"/>
    <cellStyle name="强调文字颜色 3 2 3 7" xfId="43275"/>
    <cellStyle name="强调文字颜色 3 2 3 7 2" xfId="43276"/>
    <cellStyle name="强调文字颜色 3 2 3 7 2 2" xfId="43277"/>
    <cellStyle name="强调文字颜色 3 2 3 7 2 2 2" xfId="43278"/>
    <cellStyle name="强调文字颜色 3 2 3 7 3" xfId="43279"/>
    <cellStyle name="强调文字颜色 3 2 3 7 3 2" xfId="43280"/>
    <cellStyle name="强调文字颜色 3 2 3 8" xfId="43281"/>
    <cellStyle name="强调文字颜色 3 2 3 9" xfId="43282"/>
    <cellStyle name="强调文字颜色 3 2 4" xfId="43283"/>
    <cellStyle name="强调文字颜色 3 2 4 2" xfId="43284"/>
    <cellStyle name="强调文字颜色 3 2 4 2 2" xfId="43285"/>
    <cellStyle name="强调文字颜色 3 2 4 2 3" xfId="43286"/>
    <cellStyle name="强调文字颜色 3 2 4 2 3 2" xfId="43287"/>
    <cellStyle name="强调文字颜色 3 2 4 2 3 2 2" xfId="43288"/>
    <cellStyle name="强调文字颜色 3 2 4 2 4" xfId="43289"/>
    <cellStyle name="强调文字颜色 3 2 4 2 4 2" xfId="43290"/>
    <cellStyle name="强调文字颜色 3 2 4 3" xfId="43291"/>
    <cellStyle name="强调文字颜色 3 2 4 3 2" xfId="43292"/>
    <cellStyle name="强调文字颜色 3 2 4 3 2 2" xfId="43293"/>
    <cellStyle name="强调文字颜色 3 2 4 3 2 2 2" xfId="43294"/>
    <cellStyle name="强调文字颜色 3 2 4 3 3" xfId="43295"/>
    <cellStyle name="强调文字颜色 3 2 4 3 3 2" xfId="43296"/>
    <cellStyle name="强调文字颜色 3 2 4 4" xfId="43297"/>
    <cellStyle name="强调文字颜色 3 2 4 5" xfId="43298"/>
    <cellStyle name="强调文字颜色 3 2 4 6" xfId="43299"/>
    <cellStyle name="强调文字颜色 3 2 5" xfId="43300"/>
    <cellStyle name="强调文字颜色 3 2 5 2" xfId="43301"/>
    <cellStyle name="强调文字颜色 3 2 5 2 2" xfId="43302"/>
    <cellStyle name="强调文字颜色 3 2 5 2 3" xfId="43303"/>
    <cellStyle name="强调文字颜色 3 2 5 2 3 2" xfId="43304"/>
    <cellStyle name="强调文字颜色 3 2 5 2 3 2 2" xfId="43305"/>
    <cellStyle name="强调文字颜色 3 2 5 2 4" xfId="43306"/>
    <cellStyle name="强调文字颜色 3 2 5 2 4 2" xfId="43307"/>
    <cellStyle name="强调文字颜色 3 2 5 3" xfId="43308"/>
    <cellStyle name="强调文字颜色 3 2 5 4" xfId="43309"/>
    <cellStyle name="强调文字颜色 3 2 5 5" xfId="43310"/>
    <cellStyle name="强调文字颜色 3 2 5 6" xfId="43311"/>
    <cellStyle name="强调文字颜色 3 2 6" xfId="43312"/>
    <cellStyle name="强调文字颜色 3 2 6 2" xfId="43313"/>
    <cellStyle name="强调文字颜色 3 2 6 2 2" xfId="43314"/>
    <cellStyle name="强调文字颜色 3 2 6 2 2 2" xfId="43315"/>
    <cellStyle name="强调文字颜色 3 2 6 2 2 2 2" xfId="43316"/>
    <cellStyle name="强调文字颜色 3 2 6 2 3" xfId="43317"/>
    <cellStyle name="强调文字颜色 3 2 6 2 3 2" xfId="43318"/>
    <cellStyle name="强调文字颜色 3 2 6 3" xfId="43319"/>
    <cellStyle name="强调文字颜色 3 2 6 3 2" xfId="43320"/>
    <cellStyle name="强调文字颜色 3 2 6 3 2 2" xfId="43321"/>
    <cellStyle name="强调文字颜色 3 2 6 4" xfId="43322"/>
    <cellStyle name="强调文字颜色 3 2 6 4 2" xfId="43323"/>
    <cellStyle name="强调文字颜色 3 2 7" xfId="43324"/>
    <cellStyle name="强调文字颜色 3 2 7 2" xfId="43325"/>
    <cellStyle name="强调文字颜色 3 2 7 2 2" xfId="43326"/>
    <cellStyle name="强调文字颜色 3 2 7 2 2 2" xfId="43327"/>
    <cellStyle name="强调文字颜色 3 2 7 2 2 2 2" xfId="43328"/>
    <cellStyle name="强调文字颜色 3 2 7 2 3" xfId="43329"/>
    <cellStyle name="强调文字颜色 3 2 7 2 3 2" xfId="43330"/>
    <cellStyle name="强调文字颜色 3 2 7 3" xfId="43331"/>
    <cellStyle name="强调文字颜色 3 2 7 3 2" xfId="43332"/>
    <cellStyle name="强调文字颜色 3 2 7 3 2 2" xfId="43333"/>
    <cellStyle name="强调文字颜色 3 2 7 4" xfId="43334"/>
    <cellStyle name="强调文字颜色 3 2 7 4 2" xfId="43335"/>
    <cellStyle name="强调文字颜色 3 2 8" xfId="43336"/>
    <cellStyle name="强调文字颜色 3 2 8 2" xfId="43337"/>
    <cellStyle name="强调文字颜色 3 2 8 2 2" xfId="43338"/>
    <cellStyle name="强调文字颜色 3 2 8 2 2 2" xfId="43339"/>
    <cellStyle name="强调文字颜色 3 2 8 2 2 2 2" xfId="43340"/>
    <cellStyle name="强调文字颜色 3 2 8 2 3" xfId="43341"/>
    <cellStyle name="强调文字颜色 3 2 8 2 3 2" xfId="43342"/>
    <cellStyle name="强调文字颜色 3 2 8 3" xfId="43343"/>
    <cellStyle name="强调文字颜色 3 2 8 3 2" xfId="43344"/>
    <cellStyle name="强调文字颜色 3 2 8 3 2 2" xfId="43345"/>
    <cellStyle name="强调文字颜色 3 2 8 4" xfId="43346"/>
    <cellStyle name="强调文字颜色 3 2 8 4 2" xfId="43347"/>
    <cellStyle name="强调文字颜色 3 2 9" xfId="43348"/>
    <cellStyle name="强调文字颜色 3 2 9 2" xfId="43349"/>
    <cellStyle name="强调文字颜色 3 2 9 2 2" xfId="43350"/>
    <cellStyle name="强调文字颜色 3 2 9 2 2 2" xfId="43351"/>
    <cellStyle name="强调文字颜色 3 2 9 3" xfId="43352"/>
    <cellStyle name="强调文字颜色 3 2 9 3 2" xfId="43353"/>
    <cellStyle name="强调文字颜色 3 3" xfId="43354"/>
    <cellStyle name="强调文字颜色 3 3 2" xfId="43355"/>
    <cellStyle name="强调文字颜色 3 3 2 2" xfId="43356"/>
    <cellStyle name="强调文字颜色 3 3 2 2 2" xfId="43357"/>
    <cellStyle name="强调文字颜色 3 3 2 2 2 2" xfId="43358"/>
    <cellStyle name="强调文字颜色 3 3 2 2 2 3" xfId="43359"/>
    <cellStyle name="强调文字颜色 3 3 2 2 2 3 2" xfId="43360"/>
    <cellStyle name="强调文字颜色 3 3 2 2 2 3 2 2" xfId="43361"/>
    <cellStyle name="强调文字颜色 3 3 2 2 2 4" xfId="43362"/>
    <cellStyle name="强调文字颜色 3 3 2 2 2 4 2" xfId="43363"/>
    <cellStyle name="强调文字颜色 3 3 2 2 3" xfId="43364"/>
    <cellStyle name="强调文字颜色 3 3 2 2 3 2" xfId="43365"/>
    <cellStyle name="强调文字颜色 3 3 2 2 3 2 2" xfId="43366"/>
    <cellStyle name="强调文字颜色 3 3 2 2 3 2 2 2" xfId="43367"/>
    <cellStyle name="强调文字颜色 3 3 2 2 3 3" xfId="43368"/>
    <cellStyle name="强调文字颜色 3 3 2 2 3 3 2" xfId="43369"/>
    <cellStyle name="强调文字颜色 3 3 2 2 4" xfId="43370"/>
    <cellStyle name="强调文字颜色 3 3 2 2 5" xfId="43371"/>
    <cellStyle name="强调文字颜色 3 3 2 2 6" xfId="43372"/>
    <cellStyle name="强调文字颜色 3 3 2 3" xfId="43373"/>
    <cellStyle name="强调文字颜色 3 3 2 3 2" xfId="43374"/>
    <cellStyle name="强调文字颜色 3 3 2 3 3" xfId="43375"/>
    <cellStyle name="强调文字颜色 3 3 2 3 3 2" xfId="43376"/>
    <cellStyle name="强调文字颜色 3 3 2 3 3 2 2" xfId="43377"/>
    <cellStyle name="强调文字颜色 3 3 2 3 4" xfId="43378"/>
    <cellStyle name="强调文字颜色 3 3 2 3 4 2" xfId="43379"/>
    <cellStyle name="强调文字颜色 3 3 2 4" xfId="43380"/>
    <cellStyle name="强调文字颜色 3 3 2 4 2" xfId="43381"/>
    <cellStyle name="强调文字颜色 3 3 2 4 2 2" xfId="43382"/>
    <cellStyle name="强调文字颜色 3 3 2 4 2 2 2" xfId="43383"/>
    <cellStyle name="强调文字颜色 3 3 2 4 3" xfId="43384"/>
    <cellStyle name="强调文字颜色 3 3 2 4 3 2" xfId="43385"/>
    <cellStyle name="强调文字颜色 3 3 2 5" xfId="43386"/>
    <cellStyle name="强调文字颜色 3 3 2 6" xfId="43387"/>
    <cellStyle name="强调文字颜色 3 3 2 7" xfId="43388"/>
    <cellStyle name="强调文字颜色 3 3 3" xfId="43389"/>
    <cellStyle name="强调文字颜色 3 3 3 2" xfId="43390"/>
    <cellStyle name="强调文字颜色 3 3 3 2 2" xfId="43391"/>
    <cellStyle name="强调文字颜色 3 3 3 2 3" xfId="43392"/>
    <cellStyle name="强调文字颜色 3 3 3 2 3 2" xfId="43393"/>
    <cellStyle name="强调文字颜色 3 3 3 2 3 2 2" xfId="43394"/>
    <cellStyle name="强调文字颜色 3 3 3 2 4" xfId="43395"/>
    <cellStyle name="强调文字颜色 3 3 3 2 4 2" xfId="43396"/>
    <cellStyle name="强调文字颜色 3 3 3 3" xfId="43397"/>
    <cellStyle name="强调文字颜色 3 3 3 3 2" xfId="43398"/>
    <cellStyle name="强调文字颜色 3 3 3 3 2 2" xfId="43399"/>
    <cellStyle name="强调文字颜色 3 3 3 3 2 2 2" xfId="43400"/>
    <cellStyle name="强调文字颜色 3 3 3 3 3" xfId="43401"/>
    <cellStyle name="强调文字颜色 3 3 3 3 3 2" xfId="43402"/>
    <cellStyle name="强调文字颜色 3 3 3 4" xfId="43403"/>
    <cellStyle name="强调文字颜色 3 3 3 5" xfId="43404"/>
    <cellStyle name="强调文字颜色 3 3 3 6" xfId="43405"/>
    <cellStyle name="强调文字颜色 3 3 4" xfId="43406"/>
    <cellStyle name="强调文字颜色 3 3 4 2" xfId="43407"/>
    <cellStyle name="强调文字颜色 3 3 4 2 2" xfId="43408"/>
    <cellStyle name="强调文字颜色 3 3 4 2 3" xfId="43409"/>
    <cellStyle name="强调文字颜色 3 3 4 2 3 2" xfId="43410"/>
    <cellStyle name="强调文字颜色 3 3 4 2 3 2 2" xfId="43411"/>
    <cellStyle name="强调文字颜色 3 3 4 2 4" xfId="43412"/>
    <cellStyle name="强调文字颜色 3 3 4 2 4 2" xfId="43413"/>
    <cellStyle name="强调文字颜色 3 3 4 3" xfId="43414"/>
    <cellStyle name="强调文字颜色 3 3 4 4" xfId="43415"/>
    <cellStyle name="强调文字颜色 3 3 4 5" xfId="43416"/>
    <cellStyle name="强调文字颜色 3 3 4 6" xfId="43417"/>
    <cellStyle name="强调文字颜色 3 3 5" xfId="43418"/>
    <cellStyle name="强调文字颜色 3 3 5 2" xfId="43419"/>
    <cellStyle name="强调文字颜色 3 3 5 2 2" xfId="43420"/>
    <cellStyle name="强调文字颜色 3 3 5 2 2 2" xfId="43421"/>
    <cellStyle name="强调文字颜色 3 3 5 2 2 2 2" xfId="43422"/>
    <cellStyle name="强调文字颜色 3 3 5 2 3" xfId="43423"/>
    <cellStyle name="强调文字颜色 3 3 5 2 3 2" xfId="43424"/>
    <cellStyle name="强调文字颜色 3 3 5 3" xfId="43425"/>
    <cellStyle name="强调文字颜色 3 3 5 3 2" xfId="43426"/>
    <cellStyle name="强调文字颜色 3 3 5 3 2 2" xfId="43427"/>
    <cellStyle name="强调文字颜色 3 3 5 4" xfId="43428"/>
    <cellStyle name="强调文字颜色 3 3 5 4 2" xfId="43429"/>
    <cellStyle name="强调文字颜色 3 3 6" xfId="43430"/>
    <cellStyle name="强调文字颜色 3 3 6 2" xfId="43431"/>
    <cellStyle name="强调文字颜色 3 3 6 2 2" xfId="43432"/>
    <cellStyle name="强调文字颜色 3 3 6 2 2 2" xfId="43433"/>
    <cellStyle name="强调文字颜色 3 3 6 3" xfId="43434"/>
    <cellStyle name="强调文字颜色 3 3 6 3 2" xfId="43435"/>
    <cellStyle name="强调文字颜色 3 3 7" xfId="43436"/>
    <cellStyle name="强调文字颜色 3 3 8" xfId="43437"/>
    <cellStyle name="强调文字颜色 4 2" xfId="43438"/>
    <cellStyle name="强调文字颜色 4 2 10" xfId="43439"/>
    <cellStyle name="强调文字颜色 4 2 11" xfId="43440"/>
    <cellStyle name="强调文字颜色 4 2 2" xfId="43441"/>
    <cellStyle name="强调文字颜色 4 2 2 10" xfId="43442"/>
    <cellStyle name="强调文字颜色 4 2 2 11" xfId="43443"/>
    <cellStyle name="强调文字颜色 4 2 2 2" xfId="43444"/>
    <cellStyle name="强调文字颜色 4 2 2 2 2" xfId="43445"/>
    <cellStyle name="强调文字颜色 4 2 2 2 2 2" xfId="43446"/>
    <cellStyle name="强调文字颜色 4 2 2 2 2 2 2" xfId="43447"/>
    <cellStyle name="强调文字颜色 4 2 2 2 2 2 3" xfId="43448"/>
    <cellStyle name="强调文字颜色 4 2 2 2 2 2 3 2" xfId="43449"/>
    <cellStyle name="强调文字颜色 4 2 2 2 2 2 3 2 2" xfId="43450"/>
    <cellStyle name="强调文字颜色 4 2 2 2 2 2 4" xfId="43451"/>
    <cellStyle name="强调文字颜色 4 2 2 2 2 2 4 2" xfId="43452"/>
    <cellStyle name="强调文字颜色 4 2 2 2 2 3" xfId="43453"/>
    <cellStyle name="强调文字颜色 4 2 2 2 2 3 2" xfId="43454"/>
    <cellStyle name="强调文字颜色 4 2 2 2 2 3 2 2" xfId="43455"/>
    <cellStyle name="强调文字颜色 4 2 2 2 2 3 2 2 2" xfId="43456"/>
    <cellStyle name="强调文字颜色 4 2 2 2 2 3 3" xfId="43457"/>
    <cellStyle name="强调文字颜色 4 2 2 2 2 3 3 2" xfId="43458"/>
    <cellStyle name="强调文字颜色 4 2 2 2 2 4" xfId="43459"/>
    <cellStyle name="强调文字颜色 4 2 2 2 2 5" xfId="43460"/>
    <cellStyle name="强调文字颜色 4 2 2 2 2 6" xfId="43461"/>
    <cellStyle name="强调文字颜色 4 2 2 2 3" xfId="43462"/>
    <cellStyle name="强调文字颜色 4 2 2 2 3 2" xfId="43463"/>
    <cellStyle name="强调文字颜色 4 2 2 2 3 3" xfId="43464"/>
    <cellStyle name="强调文字颜色 4 2 2 2 3 3 2" xfId="43465"/>
    <cellStyle name="强调文字颜色 4 2 2 2 3 3 2 2" xfId="43466"/>
    <cellStyle name="强调文字颜色 4 2 2 2 3 4" xfId="43467"/>
    <cellStyle name="强调文字颜色 4 2 2 2 3 4 2" xfId="43468"/>
    <cellStyle name="强调文字颜色 4 2 2 2 4" xfId="43469"/>
    <cellStyle name="强调文字颜色 4 2 2 2 4 2" xfId="43470"/>
    <cellStyle name="强调文字颜色 4 2 2 2 4 2 2" xfId="43471"/>
    <cellStyle name="强调文字颜色 4 2 2 2 4 2 2 2" xfId="43472"/>
    <cellStyle name="强调文字颜色 4 2 2 2 4 3" xfId="43473"/>
    <cellStyle name="强调文字颜色 4 2 2 2 4 3 2" xfId="43474"/>
    <cellStyle name="强调文字颜色 4 2 2 2 5" xfId="43475"/>
    <cellStyle name="强调文字颜色 4 2 2 2 6" xfId="43476"/>
    <cellStyle name="强调文字颜色 4 2 2 2 7" xfId="43477"/>
    <cellStyle name="强调文字颜色 4 2 2 3" xfId="43478"/>
    <cellStyle name="强调文字颜色 4 2 2 3 2" xfId="43479"/>
    <cellStyle name="强调文字颜色 4 2 2 3 2 2" xfId="43480"/>
    <cellStyle name="强调文字颜色 4 2 2 3 2 3" xfId="43481"/>
    <cellStyle name="强调文字颜色 4 2 2 3 2 3 2" xfId="43482"/>
    <cellStyle name="强调文字颜色 4 2 2 3 2 3 2 2" xfId="43483"/>
    <cellStyle name="强调文字颜色 4 2 2 3 2 4" xfId="43484"/>
    <cellStyle name="强调文字颜色 4 2 2 3 2 4 2" xfId="43485"/>
    <cellStyle name="强调文字颜色 4 2 2 3 3" xfId="43486"/>
    <cellStyle name="强调文字颜色 4 2 2 3 3 2" xfId="43487"/>
    <cellStyle name="强调文字颜色 4 2 2 3 3 2 2" xfId="43488"/>
    <cellStyle name="强调文字颜色 4 2 2 3 3 2 2 2" xfId="43489"/>
    <cellStyle name="强调文字颜色 4 2 2 3 3 3" xfId="43490"/>
    <cellStyle name="强调文字颜色 4 2 2 3 3 3 2" xfId="43491"/>
    <cellStyle name="强调文字颜色 4 2 2 3 4" xfId="43492"/>
    <cellStyle name="强调文字颜色 4 2 2 3 5" xfId="43493"/>
    <cellStyle name="强调文字颜色 4 2 2 3 6" xfId="43494"/>
    <cellStyle name="强调文字颜色 4 2 2 4" xfId="43495"/>
    <cellStyle name="强调文字颜色 4 2 2 4 2" xfId="43496"/>
    <cellStyle name="强调文字颜色 4 2 2 4 2 2" xfId="43497"/>
    <cellStyle name="强调文字颜色 4 2 2 4 2 3" xfId="43498"/>
    <cellStyle name="强调文字颜色 4 2 2 4 2 3 2" xfId="43499"/>
    <cellStyle name="强调文字颜色 4 2 2 4 2 3 2 2" xfId="43500"/>
    <cellStyle name="强调文字颜色 4 2 2 4 2 4" xfId="43501"/>
    <cellStyle name="强调文字颜色 4 2 2 4 2 4 2" xfId="43502"/>
    <cellStyle name="强调文字颜色 4 2 2 4 3" xfId="43503"/>
    <cellStyle name="强调文字颜色 4 2 2 4 4" xfId="43504"/>
    <cellStyle name="强调文字颜色 4 2 2 4 5" xfId="43505"/>
    <cellStyle name="强调文字颜色 4 2 2 4 6" xfId="43506"/>
    <cellStyle name="强调文字颜色 4 2 2 5" xfId="43507"/>
    <cellStyle name="强调文字颜色 4 2 2 5 2" xfId="43508"/>
    <cellStyle name="强调文字颜色 4 2 2 5 2 2" xfId="43509"/>
    <cellStyle name="强调文字颜色 4 2 2 5 2 2 2" xfId="43510"/>
    <cellStyle name="强调文字颜色 4 2 2 5 2 2 2 2" xfId="43511"/>
    <cellStyle name="强调文字颜色 4 2 2 5 2 3" xfId="43512"/>
    <cellStyle name="强调文字颜色 4 2 2 5 2 3 2" xfId="43513"/>
    <cellStyle name="强调文字颜色 4 2 2 5 3" xfId="43514"/>
    <cellStyle name="强调文字颜色 4 2 2 5 3 2" xfId="43515"/>
    <cellStyle name="强调文字颜色 4 2 2 5 3 2 2" xfId="43516"/>
    <cellStyle name="强调文字颜色 4 2 2 5 4" xfId="43517"/>
    <cellStyle name="强调文字颜色 4 2 2 5 4 2" xfId="43518"/>
    <cellStyle name="强调文字颜色 4 2 2 6" xfId="43519"/>
    <cellStyle name="强调文字颜色 4 2 2 6 2" xfId="43520"/>
    <cellStyle name="强调文字颜色 4 2 2 6 2 2" xfId="43521"/>
    <cellStyle name="强调文字颜色 4 2 2 6 2 2 2" xfId="43522"/>
    <cellStyle name="强调文字颜色 4 2 2 6 2 2 2 2" xfId="43523"/>
    <cellStyle name="强调文字颜色 4 2 2 6 2 3" xfId="43524"/>
    <cellStyle name="强调文字颜色 4 2 2 6 2 3 2" xfId="43525"/>
    <cellStyle name="强调文字颜色 4 2 2 6 3" xfId="43526"/>
    <cellStyle name="强调文字颜色 4 2 2 6 3 2" xfId="43527"/>
    <cellStyle name="强调文字颜色 4 2 2 6 3 2 2" xfId="43528"/>
    <cellStyle name="强调文字颜色 4 2 2 6 4" xfId="43529"/>
    <cellStyle name="强调文字颜色 4 2 2 6 4 2" xfId="43530"/>
    <cellStyle name="强调文字颜色 4 2 2 7" xfId="43531"/>
    <cellStyle name="强调文字颜色 4 2 2 7 2" xfId="43532"/>
    <cellStyle name="强调文字颜色 4 2 2 7 2 2" xfId="43533"/>
    <cellStyle name="强调文字颜色 4 2 2 7 2 2 2" xfId="43534"/>
    <cellStyle name="强调文字颜色 4 2 2 7 2 2 2 2" xfId="43535"/>
    <cellStyle name="强调文字颜色 4 2 2 7 2 3" xfId="43536"/>
    <cellStyle name="强调文字颜色 4 2 2 7 2 3 2" xfId="43537"/>
    <cellStyle name="强调文字颜色 4 2 2 7 3" xfId="43538"/>
    <cellStyle name="强调文字颜色 4 2 2 7 3 2" xfId="43539"/>
    <cellStyle name="强调文字颜色 4 2 2 7 3 2 2" xfId="43540"/>
    <cellStyle name="强调文字颜色 4 2 2 7 4" xfId="43541"/>
    <cellStyle name="强调文字颜色 4 2 2 7 4 2" xfId="43542"/>
    <cellStyle name="强调文字颜色 4 2 2 8" xfId="43543"/>
    <cellStyle name="强调文字颜色 4 2 2 8 2" xfId="43544"/>
    <cellStyle name="强调文字颜色 4 2 2 8 2 2" xfId="43545"/>
    <cellStyle name="强调文字颜色 4 2 2 8 2 2 2" xfId="43546"/>
    <cellStyle name="强调文字颜色 4 2 2 8 3" xfId="43547"/>
    <cellStyle name="强调文字颜色 4 2 2 8 3 2" xfId="43548"/>
    <cellStyle name="强调文字颜色 4 2 2 9" xfId="43549"/>
    <cellStyle name="强调文字颜色 4 2 2 9 2" xfId="43550"/>
    <cellStyle name="强调文字颜色 4 2 2 9 2 2" xfId="43551"/>
    <cellStyle name="强调文字颜色 4 2 2 9 2 2 2" xfId="43552"/>
    <cellStyle name="强调文字颜色 4 2 2 9 3" xfId="43553"/>
    <cellStyle name="强调文字颜色 4 2 2 9 3 2" xfId="43554"/>
    <cellStyle name="强调文字颜色 4 2 3" xfId="43555"/>
    <cellStyle name="强调文字颜色 4 2 3 2" xfId="43556"/>
    <cellStyle name="强调文字颜色 4 2 3 2 2" xfId="43557"/>
    <cellStyle name="强调文字颜色 4 2 3 2 2 2" xfId="43558"/>
    <cellStyle name="强调文字颜色 4 2 3 2 2 2 2" xfId="43559"/>
    <cellStyle name="强调文字颜色 4 2 3 2 2 2 3" xfId="43560"/>
    <cellStyle name="强调文字颜色 4 2 3 2 2 2 3 2" xfId="43561"/>
    <cellStyle name="强调文字颜色 4 2 3 2 2 2 3 2 2" xfId="43562"/>
    <cellStyle name="强调文字颜色 4 2 3 2 2 2 4" xfId="43563"/>
    <cellStyle name="强调文字颜色 4 2 3 2 2 2 4 2" xfId="43564"/>
    <cellStyle name="强调文字颜色 4 2 3 2 2 3" xfId="43565"/>
    <cellStyle name="强调文字颜色 4 2 3 2 2 3 2" xfId="43566"/>
    <cellStyle name="强调文字颜色 4 2 3 2 2 3 2 2" xfId="43567"/>
    <cellStyle name="强调文字颜色 4 2 3 2 2 3 2 2 2" xfId="43568"/>
    <cellStyle name="强调文字颜色 4 2 3 2 2 3 3" xfId="43569"/>
    <cellStyle name="强调文字颜色 4 2 3 2 2 3 3 2" xfId="43570"/>
    <cellStyle name="强调文字颜色 4 2 3 2 2 4" xfId="43571"/>
    <cellStyle name="强调文字颜色 4 2 3 2 2 5" xfId="43572"/>
    <cellStyle name="强调文字颜色 4 2 3 2 2 6" xfId="43573"/>
    <cellStyle name="强调文字颜色 4 2 3 2 3" xfId="43574"/>
    <cellStyle name="强调文字颜色 4 2 3 2 3 2" xfId="43575"/>
    <cellStyle name="强调文字颜色 4 2 3 2 3 3" xfId="43576"/>
    <cellStyle name="强调文字颜色 4 2 3 2 3 3 2" xfId="43577"/>
    <cellStyle name="强调文字颜色 4 2 3 2 3 3 2 2" xfId="43578"/>
    <cellStyle name="强调文字颜色 4 2 3 2 3 4" xfId="43579"/>
    <cellStyle name="强调文字颜色 4 2 3 2 3 4 2" xfId="43580"/>
    <cellStyle name="强调文字颜色 4 2 3 2 4" xfId="43581"/>
    <cellStyle name="强调文字颜色 4 2 3 2 4 2" xfId="43582"/>
    <cellStyle name="强调文字颜色 4 2 3 2 4 2 2" xfId="43583"/>
    <cellStyle name="强调文字颜色 4 2 3 2 4 2 2 2" xfId="43584"/>
    <cellStyle name="强调文字颜色 4 2 3 2 4 3" xfId="43585"/>
    <cellStyle name="强调文字颜色 4 2 3 2 4 3 2" xfId="43586"/>
    <cellStyle name="强调文字颜色 4 2 3 2 5" xfId="43587"/>
    <cellStyle name="强调文字颜色 4 2 3 2 6" xfId="43588"/>
    <cellStyle name="强调文字颜色 4 2 3 2 7" xfId="43589"/>
    <cellStyle name="强调文字颜色 4 2 3 3" xfId="43590"/>
    <cellStyle name="强调文字颜色 4 2 3 3 2" xfId="43591"/>
    <cellStyle name="强调文字颜色 4 2 3 3 2 2" xfId="43592"/>
    <cellStyle name="强调文字颜色 4 2 3 3 2 3" xfId="43593"/>
    <cellStyle name="强调文字颜色 4 2 3 3 2 3 2" xfId="43594"/>
    <cellStyle name="强调文字颜色 4 2 3 3 2 3 2 2" xfId="43595"/>
    <cellStyle name="强调文字颜色 4 2 3 3 2 4" xfId="43596"/>
    <cellStyle name="强调文字颜色 4 2 3 3 2 4 2" xfId="43597"/>
    <cellStyle name="强调文字颜色 4 2 3 3 3" xfId="43598"/>
    <cellStyle name="强调文字颜色 4 2 3 3 3 2" xfId="43599"/>
    <cellStyle name="强调文字颜色 4 2 3 3 3 2 2" xfId="43600"/>
    <cellStyle name="强调文字颜色 4 2 3 3 3 2 2 2" xfId="43601"/>
    <cellStyle name="强调文字颜色 4 2 3 3 3 3" xfId="43602"/>
    <cellStyle name="强调文字颜色 4 2 3 3 3 3 2" xfId="43603"/>
    <cellStyle name="强调文字颜色 4 2 3 3 4" xfId="43604"/>
    <cellStyle name="强调文字颜色 4 2 3 3 5" xfId="43605"/>
    <cellStyle name="强调文字颜色 4 2 3 3 6" xfId="43606"/>
    <cellStyle name="强调文字颜色 4 2 3 4" xfId="43607"/>
    <cellStyle name="强调文字颜色 4 2 3 4 2" xfId="43608"/>
    <cellStyle name="强调文字颜色 4 2 3 4 2 2" xfId="43609"/>
    <cellStyle name="强调文字颜色 4 2 3 4 2 3" xfId="43610"/>
    <cellStyle name="强调文字颜色 4 2 3 4 2 3 2" xfId="43611"/>
    <cellStyle name="强调文字颜色 4 2 3 4 2 3 2 2" xfId="43612"/>
    <cellStyle name="强调文字颜色 4 2 3 4 2 4" xfId="43613"/>
    <cellStyle name="强调文字颜色 4 2 3 4 2 4 2" xfId="43614"/>
    <cellStyle name="强调文字颜色 4 2 3 4 3" xfId="43615"/>
    <cellStyle name="强调文字颜色 4 2 3 4 4" xfId="43616"/>
    <cellStyle name="强调文字颜色 4 2 3 4 5" xfId="43617"/>
    <cellStyle name="强调文字颜色 4 2 3 4 6" xfId="43618"/>
    <cellStyle name="强调文字颜色 4 2 3 5" xfId="43619"/>
    <cellStyle name="强调文字颜色 4 2 3 5 2" xfId="43620"/>
    <cellStyle name="强调文字颜色 4 2 3 5 2 2" xfId="43621"/>
    <cellStyle name="强调文字颜色 4 2 3 5 2 2 2" xfId="43622"/>
    <cellStyle name="强调文字颜色 4 2 3 5 2 2 2 2" xfId="43623"/>
    <cellStyle name="强调文字颜色 4 2 3 5 2 3" xfId="43624"/>
    <cellStyle name="强调文字颜色 4 2 3 5 2 3 2" xfId="43625"/>
    <cellStyle name="强调文字颜色 4 2 3 5 3" xfId="43626"/>
    <cellStyle name="强调文字颜色 4 2 3 5 3 2" xfId="43627"/>
    <cellStyle name="强调文字颜色 4 2 3 5 3 2 2" xfId="43628"/>
    <cellStyle name="强调文字颜色 4 2 3 5 4" xfId="43629"/>
    <cellStyle name="强调文字颜色 4 2 3 5 4 2" xfId="43630"/>
    <cellStyle name="强调文字颜色 4 2 3 6" xfId="43631"/>
    <cellStyle name="强调文字颜色 4 2 3 6 2" xfId="43632"/>
    <cellStyle name="强调文字颜色 4 2 3 6 2 2" xfId="43633"/>
    <cellStyle name="强调文字颜色 4 2 3 6 2 2 2" xfId="43634"/>
    <cellStyle name="强调文字颜色 4 2 3 6 3" xfId="43635"/>
    <cellStyle name="强调文字颜色 4 2 3 6 3 2" xfId="43636"/>
    <cellStyle name="强调文字颜色 4 2 3 7" xfId="43637"/>
    <cellStyle name="强调文字颜色 4 2 3 7 2" xfId="43638"/>
    <cellStyle name="强调文字颜色 4 2 3 7 2 2" xfId="43639"/>
    <cellStyle name="强调文字颜色 4 2 3 7 2 2 2" xfId="43640"/>
    <cellStyle name="强调文字颜色 4 2 3 7 3" xfId="43641"/>
    <cellStyle name="强调文字颜色 4 2 3 7 3 2" xfId="43642"/>
    <cellStyle name="强调文字颜色 4 2 3 8" xfId="43643"/>
    <cellStyle name="强调文字颜色 4 2 3 9" xfId="43644"/>
    <cellStyle name="强调文字颜色 4 2 4" xfId="43645"/>
    <cellStyle name="强调文字颜色 4 2 4 2" xfId="43646"/>
    <cellStyle name="强调文字颜色 4 2 4 2 2" xfId="43647"/>
    <cellStyle name="强调文字颜色 4 2 4 2 3" xfId="43648"/>
    <cellStyle name="强调文字颜色 4 2 4 2 3 2" xfId="43649"/>
    <cellStyle name="强调文字颜色 4 2 4 2 3 2 2" xfId="43650"/>
    <cellStyle name="强调文字颜色 4 2 4 2 4" xfId="43651"/>
    <cellStyle name="强调文字颜色 4 2 4 2 4 2" xfId="43652"/>
    <cellStyle name="强调文字颜色 4 2 4 3" xfId="43653"/>
    <cellStyle name="强调文字颜色 4 2 4 3 2" xfId="43654"/>
    <cellStyle name="强调文字颜色 4 2 4 3 2 2" xfId="43655"/>
    <cellStyle name="强调文字颜色 4 2 4 3 2 2 2" xfId="43656"/>
    <cellStyle name="强调文字颜色 4 2 4 3 3" xfId="43657"/>
    <cellStyle name="强调文字颜色 4 2 4 3 3 2" xfId="43658"/>
    <cellStyle name="强调文字颜色 4 2 4 4" xfId="43659"/>
    <cellStyle name="强调文字颜色 4 2 4 5" xfId="43660"/>
    <cellStyle name="强调文字颜色 4 2 4 6" xfId="43661"/>
    <cellStyle name="强调文字颜色 4 2 5" xfId="43662"/>
    <cellStyle name="强调文字颜色 4 2 5 2" xfId="43663"/>
    <cellStyle name="强调文字颜色 4 2 5 2 2" xfId="43664"/>
    <cellStyle name="强调文字颜色 4 2 5 2 3" xfId="43665"/>
    <cellStyle name="强调文字颜色 4 2 5 2 3 2" xfId="43666"/>
    <cellStyle name="强调文字颜色 4 2 5 2 3 2 2" xfId="43667"/>
    <cellStyle name="强调文字颜色 4 2 5 2 4" xfId="43668"/>
    <cellStyle name="强调文字颜色 4 2 5 2 4 2" xfId="43669"/>
    <cellStyle name="强调文字颜色 4 2 5 3" xfId="43670"/>
    <cellStyle name="强调文字颜色 4 2 5 4" xfId="43671"/>
    <cellStyle name="强调文字颜色 4 2 5 5" xfId="43672"/>
    <cellStyle name="强调文字颜色 4 2 5 6" xfId="43673"/>
    <cellStyle name="强调文字颜色 4 2 6" xfId="43674"/>
    <cellStyle name="强调文字颜色 4 2 6 2" xfId="43675"/>
    <cellStyle name="强调文字颜色 4 2 6 2 2" xfId="43676"/>
    <cellStyle name="强调文字颜色 4 2 6 2 2 2" xfId="43677"/>
    <cellStyle name="强调文字颜色 4 2 6 2 2 2 2" xfId="43678"/>
    <cellStyle name="强调文字颜色 4 2 6 2 3" xfId="43679"/>
    <cellStyle name="强调文字颜色 4 2 6 2 3 2" xfId="43680"/>
    <cellStyle name="强调文字颜色 4 2 6 3" xfId="43681"/>
    <cellStyle name="强调文字颜色 4 2 6 3 2" xfId="43682"/>
    <cellStyle name="强调文字颜色 4 2 6 3 2 2" xfId="43683"/>
    <cellStyle name="强调文字颜色 4 2 6 4" xfId="43684"/>
    <cellStyle name="强调文字颜色 4 2 6 4 2" xfId="43685"/>
    <cellStyle name="强调文字颜色 4 2 7" xfId="43686"/>
    <cellStyle name="强调文字颜色 4 2 7 2" xfId="43687"/>
    <cellStyle name="强调文字颜色 4 2 7 2 2" xfId="43688"/>
    <cellStyle name="强调文字颜色 4 2 7 2 2 2" xfId="43689"/>
    <cellStyle name="强调文字颜色 4 2 7 2 2 2 2" xfId="43690"/>
    <cellStyle name="强调文字颜色 4 2 7 2 3" xfId="43691"/>
    <cellStyle name="强调文字颜色 4 2 7 2 3 2" xfId="43692"/>
    <cellStyle name="强调文字颜色 4 2 7 3" xfId="43693"/>
    <cellStyle name="强调文字颜色 4 2 7 3 2" xfId="43694"/>
    <cellStyle name="强调文字颜色 4 2 7 3 2 2" xfId="43695"/>
    <cellStyle name="强调文字颜色 4 2 7 4" xfId="43696"/>
    <cellStyle name="强调文字颜色 4 2 7 4 2" xfId="43697"/>
    <cellStyle name="强调文字颜色 4 2 8" xfId="43698"/>
    <cellStyle name="强调文字颜色 4 2 8 2" xfId="43699"/>
    <cellStyle name="强调文字颜色 4 2 8 2 2" xfId="43700"/>
    <cellStyle name="强调文字颜色 4 2 8 2 2 2" xfId="43701"/>
    <cellStyle name="强调文字颜色 4 2 8 2 2 2 2" xfId="43702"/>
    <cellStyle name="强调文字颜色 4 2 8 2 3" xfId="43703"/>
    <cellStyle name="强调文字颜色 4 2 8 2 3 2" xfId="43704"/>
    <cellStyle name="强调文字颜色 4 2 8 3" xfId="43705"/>
    <cellStyle name="强调文字颜色 4 2 8 3 2" xfId="43706"/>
    <cellStyle name="强调文字颜色 4 2 8 3 2 2" xfId="43707"/>
    <cellStyle name="强调文字颜色 4 2 8 4" xfId="43708"/>
    <cellStyle name="强调文字颜色 4 2 8 4 2" xfId="43709"/>
    <cellStyle name="强调文字颜色 4 2 9" xfId="43710"/>
    <cellStyle name="强调文字颜色 4 2 9 2" xfId="43711"/>
    <cellStyle name="强调文字颜色 4 2 9 2 2" xfId="43712"/>
    <cellStyle name="强调文字颜色 4 2 9 2 2 2" xfId="43713"/>
    <cellStyle name="强调文字颜色 4 2 9 3" xfId="43714"/>
    <cellStyle name="强调文字颜色 4 2 9 3 2" xfId="43715"/>
    <cellStyle name="强调文字颜色 4 3" xfId="43716"/>
    <cellStyle name="强调文字颜色 4 3 2" xfId="43717"/>
    <cellStyle name="强调文字颜色 4 3 2 2" xfId="43718"/>
    <cellStyle name="强调文字颜色 4 3 2 2 2" xfId="43719"/>
    <cellStyle name="强调文字颜色 4 3 2 2 2 2" xfId="43720"/>
    <cellStyle name="强调文字颜色 4 3 2 2 2 3" xfId="43721"/>
    <cellStyle name="强调文字颜色 4 3 2 2 2 3 2" xfId="43722"/>
    <cellStyle name="强调文字颜色 4 3 2 2 2 3 2 2" xfId="43723"/>
    <cellStyle name="强调文字颜色 4 3 2 2 2 4" xfId="43724"/>
    <cellStyle name="强调文字颜色 4 3 2 2 2 4 2" xfId="43725"/>
    <cellStyle name="强调文字颜色 4 3 2 2 3" xfId="43726"/>
    <cellStyle name="强调文字颜色 4 3 2 2 3 2" xfId="43727"/>
    <cellStyle name="强调文字颜色 4 3 2 2 3 2 2" xfId="43728"/>
    <cellStyle name="强调文字颜色 4 3 2 2 3 2 2 2" xfId="43729"/>
    <cellStyle name="强调文字颜色 4 3 2 2 3 3" xfId="43730"/>
    <cellStyle name="强调文字颜色 4 3 2 2 3 3 2" xfId="43731"/>
    <cellStyle name="强调文字颜色 4 3 2 2 4" xfId="43732"/>
    <cellStyle name="强调文字颜色 4 3 2 2 5" xfId="43733"/>
    <cellStyle name="强调文字颜色 4 3 2 2 6" xfId="43734"/>
    <cellStyle name="强调文字颜色 4 3 2 3" xfId="43735"/>
    <cellStyle name="强调文字颜色 4 3 2 3 2" xfId="43736"/>
    <cellStyle name="强调文字颜色 4 3 2 3 3" xfId="43737"/>
    <cellStyle name="强调文字颜色 4 3 2 3 3 2" xfId="43738"/>
    <cellStyle name="强调文字颜色 4 3 2 3 3 2 2" xfId="43739"/>
    <cellStyle name="强调文字颜色 4 3 2 3 4" xfId="43740"/>
    <cellStyle name="强调文字颜色 4 3 2 3 4 2" xfId="43741"/>
    <cellStyle name="强调文字颜色 4 3 2 4" xfId="43742"/>
    <cellStyle name="强调文字颜色 4 3 2 4 2" xfId="43743"/>
    <cellStyle name="强调文字颜色 4 3 2 4 2 2" xfId="43744"/>
    <cellStyle name="强调文字颜色 4 3 2 4 2 2 2" xfId="43745"/>
    <cellStyle name="强调文字颜色 4 3 2 4 3" xfId="43746"/>
    <cellStyle name="强调文字颜色 4 3 2 4 3 2" xfId="43747"/>
    <cellStyle name="强调文字颜色 4 3 2 5" xfId="43748"/>
    <cellStyle name="强调文字颜色 4 3 2 6" xfId="43749"/>
    <cellStyle name="强调文字颜色 4 3 2 7" xfId="43750"/>
    <cellStyle name="强调文字颜色 4 3 3" xfId="43751"/>
    <cellStyle name="强调文字颜色 4 3 3 2" xfId="43752"/>
    <cellStyle name="强调文字颜色 4 3 3 2 2" xfId="43753"/>
    <cellStyle name="强调文字颜色 4 3 3 2 3" xfId="43754"/>
    <cellStyle name="强调文字颜色 4 3 3 2 3 2" xfId="43755"/>
    <cellStyle name="强调文字颜色 4 3 3 2 3 2 2" xfId="43756"/>
    <cellStyle name="强调文字颜色 4 3 3 2 4" xfId="43757"/>
    <cellStyle name="强调文字颜色 4 3 3 2 4 2" xfId="43758"/>
    <cellStyle name="强调文字颜色 4 3 3 3" xfId="43759"/>
    <cellStyle name="强调文字颜色 4 3 3 3 2" xfId="43760"/>
    <cellStyle name="强调文字颜色 4 3 3 3 2 2" xfId="43761"/>
    <cellStyle name="强调文字颜色 4 3 3 3 2 2 2" xfId="43762"/>
    <cellStyle name="强调文字颜色 4 3 3 3 3" xfId="43763"/>
    <cellStyle name="强调文字颜色 4 3 3 3 3 2" xfId="43764"/>
    <cellStyle name="强调文字颜色 4 3 3 4" xfId="43765"/>
    <cellStyle name="强调文字颜色 4 3 3 5" xfId="43766"/>
    <cellStyle name="强调文字颜色 4 3 3 6" xfId="43767"/>
    <cellStyle name="强调文字颜色 4 3 4" xfId="43768"/>
    <cellStyle name="强调文字颜色 4 3 4 2" xfId="43769"/>
    <cellStyle name="强调文字颜色 4 3 4 2 2" xfId="43770"/>
    <cellStyle name="强调文字颜色 4 3 4 2 3" xfId="43771"/>
    <cellStyle name="强调文字颜色 4 3 4 2 3 2" xfId="43772"/>
    <cellStyle name="强调文字颜色 4 3 4 2 3 2 2" xfId="43773"/>
    <cellStyle name="强调文字颜色 4 3 4 2 4" xfId="43774"/>
    <cellStyle name="强调文字颜色 4 3 4 2 4 2" xfId="43775"/>
    <cellStyle name="强调文字颜色 4 3 4 3" xfId="43776"/>
    <cellStyle name="强调文字颜色 4 3 4 4" xfId="43777"/>
    <cellStyle name="强调文字颜色 4 3 4 5" xfId="43778"/>
    <cellStyle name="强调文字颜色 4 3 4 6" xfId="43779"/>
    <cellStyle name="强调文字颜色 4 3 5" xfId="43780"/>
    <cellStyle name="强调文字颜色 4 3 5 2" xfId="43781"/>
    <cellStyle name="强调文字颜色 4 3 5 2 2" xfId="43782"/>
    <cellStyle name="强调文字颜色 4 3 5 2 2 2" xfId="43783"/>
    <cellStyle name="强调文字颜色 4 3 5 2 2 2 2" xfId="43784"/>
    <cellStyle name="强调文字颜色 4 3 5 2 3" xfId="43785"/>
    <cellStyle name="强调文字颜色 4 3 5 2 3 2" xfId="43786"/>
    <cellStyle name="强调文字颜色 4 3 5 3" xfId="43787"/>
    <cellStyle name="强调文字颜色 4 3 5 3 2" xfId="43788"/>
    <cellStyle name="强调文字颜色 4 3 5 3 2 2" xfId="43789"/>
    <cellStyle name="强调文字颜色 4 3 5 4" xfId="43790"/>
    <cellStyle name="强调文字颜色 4 3 5 4 2" xfId="43791"/>
    <cellStyle name="强调文字颜色 4 3 6" xfId="43792"/>
    <cellStyle name="强调文字颜色 4 3 6 2" xfId="43793"/>
    <cellStyle name="强调文字颜色 4 3 6 2 2" xfId="43794"/>
    <cellStyle name="强调文字颜色 4 3 6 2 2 2" xfId="43795"/>
    <cellStyle name="强调文字颜色 4 3 6 3" xfId="43796"/>
    <cellStyle name="强调文字颜色 4 3 6 3 2" xfId="43797"/>
    <cellStyle name="强调文字颜色 4 3 7" xfId="43798"/>
    <cellStyle name="强调文字颜色 4 3 8" xfId="43799"/>
    <cellStyle name="强调文字颜色 5 2" xfId="43800"/>
    <cellStyle name="强调文字颜色 5 2 10" xfId="43801"/>
    <cellStyle name="强调文字颜色 5 2 11" xfId="43802"/>
    <cellStyle name="强调文字颜色 5 2 2" xfId="43803"/>
    <cellStyle name="强调文字颜色 5 2 2 10" xfId="43804"/>
    <cellStyle name="强调文字颜色 5 2 2 11" xfId="43805"/>
    <cellStyle name="强调文字颜色 5 2 2 2" xfId="43806"/>
    <cellStyle name="强调文字颜色 5 2 2 2 2" xfId="43807"/>
    <cellStyle name="强调文字颜色 5 2 2 2 2 2" xfId="43808"/>
    <cellStyle name="强调文字颜色 5 2 2 2 2 2 2" xfId="43809"/>
    <cellStyle name="强调文字颜色 5 2 2 2 2 2 3" xfId="43810"/>
    <cellStyle name="强调文字颜色 5 2 2 2 2 2 3 2" xfId="43811"/>
    <cellStyle name="强调文字颜色 5 2 2 2 2 2 3 2 2" xfId="43812"/>
    <cellStyle name="强调文字颜色 5 2 2 2 2 2 4" xfId="43813"/>
    <cellStyle name="强调文字颜色 5 2 2 2 2 2 4 2" xfId="43814"/>
    <cellStyle name="强调文字颜色 5 2 2 2 2 3" xfId="43815"/>
    <cellStyle name="强调文字颜色 5 2 2 2 2 3 2" xfId="43816"/>
    <cellStyle name="强调文字颜色 5 2 2 2 2 3 2 2" xfId="43817"/>
    <cellStyle name="强调文字颜色 5 2 2 2 2 3 2 2 2" xfId="43818"/>
    <cellStyle name="强调文字颜色 5 2 2 2 2 3 3" xfId="43819"/>
    <cellStyle name="强调文字颜色 5 2 2 2 2 3 3 2" xfId="43820"/>
    <cellStyle name="强调文字颜色 5 2 2 2 2 4" xfId="43821"/>
    <cellStyle name="强调文字颜色 5 2 2 2 2 5" xfId="43822"/>
    <cellStyle name="强调文字颜色 5 2 2 2 2 6" xfId="43823"/>
    <cellStyle name="强调文字颜色 5 2 2 2 3" xfId="43824"/>
    <cellStyle name="强调文字颜色 5 2 2 2 3 2" xfId="43825"/>
    <cellStyle name="强调文字颜色 5 2 2 2 3 3" xfId="43826"/>
    <cellStyle name="强调文字颜色 5 2 2 2 3 3 2" xfId="43827"/>
    <cellStyle name="强调文字颜色 5 2 2 2 3 3 2 2" xfId="43828"/>
    <cellStyle name="强调文字颜色 5 2 2 2 3 4" xfId="43829"/>
    <cellStyle name="强调文字颜色 5 2 2 2 3 4 2" xfId="43830"/>
    <cellStyle name="强调文字颜色 5 2 2 2 4" xfId="43831"/>
    <cellStyle name="强调文字颜色 5 2 2 2 4 2" xfId="43832"/>
    <cellStyle name="强调文字颜色 5 2 2 2 4 2 2" xfId="43833"/>
    <cellStyle name="强调文字颜色 5 2 2 2 4 2 2 2" xfId="43834"/>
    <cellStyle name="强调文字颜色 5 2 2 2 4 3" xfId="43835"/>
    <cellStyle name="强调文字颜色 5 2 2 2 4 3 2" xfId="43836"/>
    <cellStyle name="强调文字颜色 5 2 2 2 5" xfId="43837"/>
    <cellStyle name="强调文字颜色 5 2 2 2 6" xfId="43838"/>
    <cellStyle name="强调文字颜色 5 2 2 2 7" xfId="43839"/>
    <cellStyle name="强调文字颜色 5 2 2 3" xfId="43840"/>
    <cellStyle name="强调文字颜色 5 2 2 3 2" xfId="43841"/>
    <cellStyle name="强调文字颜色 5 2 2 3 2 2" xfId="43842"/>
    <cellStyle name="强调文字颜色 5 2 2 3 2 3" xfId="43843"/>
    <cellStyle name="强调文字颜色 5 2 2 3 2 3 2" xfId="43844"/>
    <cellStyle name="强调文字颜色 5 2 2 3 2 3 2 2" xfId="43845"/>
    <cellStyle name="强调文字颜色 5 2 2 3 2 4" xfId="43846"/>
    <cellStyle name="强调文字颜色 5 2 2 3 2 4 2" xfId="43847"/>
    <cellStyle name="强调文字颜色 5 2 2 3 3" xfId="43848"/>
    <cellStyle name="强调文字颜色 5 2 2 3 3 2" xfId="43849"/>
    <cellStyle name="强调文字颜色 5 2 2 3 3 2 2" xfId="43850"/>
    <cellStyle name="强调文字颜色 5 2 2 3 3 2 2 2" xfId="43851"/>
    <cellStyle name="强调文字颜色 5 2 2 3 3 3" xfId="43852"/>
    <cellStyle name="强调文字颜色 5 2 2 3 3 3 2" xfId="43853"/>
    <cellStyle name="强调文字颜色 5 2 2 3 4" xfId="43854"/>
    <cellStyle name="强调文字颜色 5 2 2 3 5" xfId="43855"/>
    <cellStyle name="强调文字颜色 5 2 2 3 6" xfId="43856"/>
    <cellStyle name="强调文字颜色 5 2 2 4" xfId="43857"/>
    <cellStyle name="强调文字颜色 5 2 2 4 2" xfId="43858"/>
    <cellStyle name="强调文字颜色 5 2 2 4 2 2" xfId="43859"/>
    <cellStyle name="强调文字颜色 5 2 2 4 2 3" xfId="43860"/>
    <cellStyle name="强调文字颜色 5 2 2 4 2 3 2" xfId="43861"/>
    <cellStyle name="强调文字颜色 5 2 2 4 2 3 2 2" xfId="43862"/>
    <cellStyle name="强调文字颜色 5 2 2 4 2 4" xfId="43863"/>
    <cellStyle name="强调文字颜色 5 2 2 4 2 4 2" xfId="43864"/>
    <cellStyle name="强调文字颜色 5 2 2 4 3" xfId="43865"/>
    <cellStyle name="强调文字颜色 5 2 2 4 4" xfId="43866"/>
    <cellStyle name="强调文字颜色 5 2 2 4 5" xfId="43867"/>
    <cellStyle name="强调文字颜色 5 2 2 4 6" xfId="43868"/>
    <cellStyle name="强调文字颜色 5 2 2 5" xfId="43869"/>
    <cellStyle name="强调文字颜色 5 2 2 5 2" xfId="43870"/>
    <cellStyle name="强调文字颜色 5 2 2 5 2 2" xfId="43871"/>
    <cellStyle name="强调文字颜色 5 2 2 5 2 2 2" xfId="43872"/>
    <cellStyle name="强调文字颜色 5 2 2 5 2 2 2 2" xfId="43873"/>
    <cellStyle name="强调文字颜色 5 2 2 5 2 3" xfId="43874"/>
    <cellStyle name="强调文字颜色 5 2 2 5 2 3 2" xfId="43875"/>
    <cellStyle name="强调文字颜色 5 2 2 5 3" xfId="43876"/>
    <cellStyle name="强调文字颜色 5 2 2 5 3 2" xfId="43877"/>
    <cellStyle name="强调文字颜色 5 2 2 5 3 2 2" xfId="43878"/>
    <cellStyle name="强调文字颜色 5 2 2 5 4" xfId="43879"/>
    <cellStyle name="强调文字颜色 5 2 2 5 4 2" xfId="43880"/>
    <cellStyle name="强调文字颜色 5 2 2 6" xfId="43881"/>
    <cellStyle name="强调文字颜色 5 2 2 6 2" xfId="43882"/>
    <cellStyle name="强调文字颜色 5 2 2 6 2 2" xfId="43883"/>
    <cellStyle name="强调文字颜色 5 2 2 6 2 2 2" xfId="43884"/>
    <cellStyle name="强调文字颜色 5 2 2 6 2 2 2 2" xfId="43885"/>
    <cellStyle name="强调文字颜色 5 2 2 6 2 3" xfId="43886"/>
    <cellStyle name="强调文字颜色 5 2 2 6 2 3 2" xfId="43887"/>
    <cellStyle name="强调文字颜色 5 2 2 6 3" xfId="43888"/>
    <cellStyle name="强调文字颜色 5 2 2 6 3 2" xfId="43889"/>
    <cellStyle name="强调文字颜色 5 2 2 6 3 2 2" xfId="43890"/>
    <cellStyle name="强调文字颜色 5 2 2 6 4" xfId="43891"/>
    <cellStyle name="强调文字颜色 5 2 2 6 4 2" xfId="43892"/>
    <cellStyle name="强调文字颜色 5 2 2 7" xfId="43893"/>
    <cellStyle name="强调文字颜色 5 2 2 7 2" xfId="43894"/>
    <cellStyle name="强调文字颜色 5 2 2 7 2 2" xfId="43895"/>
    <cellStyle name="强调文字颜色 5 2 2 7 2 2 2" xfId="43896"/>
    <cellStyle name="强调文字颜色 5 2 2 7 2 2 2 2" xfId="43897"/>
    <cellStyle name="强调文字颜色 5 2 2 7 2 3" xfId="43898"/>
    <cellStyle name="强调文字颜色 5 2 2 7 2 3 2" xfId="43899"/>
    <cellStyle name="强调文字颜色 5 2 2 7 3" xfId="43900"/>
    <cellStyle name="强调文字颜色 5 2 2 7 3 2" xfId="43901"/>
    <cellStyle name="强调文字颜色 5 2 2 7 3 2 2" xfId="43902"/>
    <cellStyle name="强调文字颜色 5 2 2 7 4" xfId="43903"/>
    <cellStyle name="强调文字颜色 5 2 2 7 4 2" xfId="43904"/>
    <cellStyle name="强调文字颜色 5 2 2 8" xfId="43905"/>
    <cellStyle name="强调文字颜色 5 2 2 8 2" xfId="43906"/>
    <cellStyle name="强调文字颜色 5 2 2 8 2 2" xfId="43907"/>
    <cellStyle name="强调文字颜色 5 2 2 8 2 2 2" xfId="43908"/>
    <cellStyle name="强调文字颜色 5 2 2 8 3" xfId="43909"/>
    <cellStyle name="强调文字颜色 5 2 2 8 3 2" xfId="43910"/>
    <cellStyle name="强调文字颜色 5 2 2 9" xfId="43911"/>
    <cellStyle name="强调文字颜色 5 2 2 9 2" xfId="43912"/>
    <cellStyle name="强调文字颜色 5 2 2 9 2 2" xfId="43913"/>
    <cellStyle name="强调文字颜色 5 2 2 9 2 2 2" xfId="43914"/>
    <cellStyle name="强调文字颜色 5 2 2 9 3" xfId="43915"/>
    <cellStyle name="强调文字颜色 5 2 2 9 3 2" xfId="43916"/>
    <cellStyle name="强调文字颜色 5 2 3" xfId="43917"/>
    <cellStyle name="强调文字颜色 5 2 3 2" xfId="43918"/>
    <cellStyle name="强调文字颜色 5 2 3 2 2" xfId="43919"/>
    <cellStyle name="强调文字颜色 5 2 3 2 2 2" xfId="43920"/>
    <cellStyle name="强调文字颜色 5 2 3 2 2 2 2" xfId="43921"/>
    <cellStyle name="强调文字颜色 5 2 3 2 2 2 3" xfId="43922"/>
    <cellStyle name="强调文字颜色 5 2 3 2 2 2 3 2" xfId="43923"/>
    <cellStyle name="强调文字颜色 5 2 3 2 2 2 3 2 2" xfId="43924"/>
    <cellStyle name="强调文字颜色 5 2 3 2 2 2 4" xfId="43925"/>
    <cellStyle name="强调文字颜色 5 2 3 2 2 2 4 2" xfId="43926"/>
    <cellStyle name="强调文字颜色 5 2 3 2 2 3" xfId="43927"/>
    <cellStyle name="强调文字颜色 5 2 3 2 2 3 2" xfId="43928"/>
    <cellStyle name="强调文字颜色 5 2 3 2 2 3 2 2" xfId="43929"/>
    <cellStyle name="强调文字颜色 5 2 3 2 2 3 2 2 2" xfId="43930"/>
    <cellStyle name="强调文字颜色 5 2 3 2 2 3 3" xfId="43931"/>
    <cellStyle name="强调文字颜色 5 2 3 2 2 3 3 2" xfId="43932"/>
    <cellStyle name="强调文字颜色 5 2 3 2 2 4" xfId="43933"/>
    <cellStyle name="强调文字颜色 5 2 3 2 2 5" xfId="43934"/>
    <cellStyle name="强调文字颜色 5 2 3 2 2 6" xfId="43935"/>
    <cellStyle name="强调文字颜色 5 2 3 2 3" xfId="43936"/>
    <cellStyle name="强调文字颜色 5 2 3 2 3 2" xfId="43937"/>
    <cellStyle name="强调文字颜色 5 2 3 2 3 3" xfId="43938"/>
    <cellStyle name="强调文字颜色 5 2 3 2 3 3 2" xfId="43939"/>
    <cellStyle name="强调文字颜色 5 2 3 2 3 3 2 2" xfId="43940"/>
    <cellStyle name="强调文字颜色 5 2 3 2 3 4" xfId="43941"/>
    <cellStyle name="强调文字颜色 5 2 3 2 3 4 2" xfId="43942"/>
    <cellStyle name="强调文字颜色 5 2 3 2 4" xfId="43943"/>
    <cellStyle name="强调文字颜色 5 2 3 2 4 2" xfId="43944"/>
    <cellStyle name="强调文字颜色 5 2 3 2 4 2 2" xfId="43945"/>
    <cellStyle name="强调文字颜色 5 2 3 2 4 2 2 2" xfId="43946"/>
    <cellStyle name="强调文字颜色 5 2 3 2 4 3" xfId="43947"/>
    <cellStyle name="强调文字颜色 5 2 3 2 4 3 2" xfId="43948"/>
    <cellStyle name="强调文字颜色 5 2 3 2 5" xfId="43949"/>
    <cellStyle name="强调文字颜色 5 2 3 2 6" xfId="43950"/>
    <cellStyle name="强调文字颜色 5 2 3 2 7" xfId="43951"/>
    <cellStyle name="强调文字颜色 5 2 3 3" xfId="43952"/>
    <cellStyle name="强调文字颜色 5 2 3 3 2" xfId="43953"/>
    <cellStyle name="强调文字颜色 5 2 3 3 2 2" xfId="43954"/>
    <cellStyle name="强调文字颜色 5 2 3 3 2 3" xfId="43955"/>
    <cellStyle name="强调文字颜色 5 2 3 3 2 3 2" xfId="43956"/>
    <cellStyle name="强调文字颜色 5 2 3 3 2 3 2 2" xfId="43957"/>
    <cellStyle name="强调文字颜色 5 2 3 3 2 4" xfId="43958"/>
    <cellStyle name="强调文字颜色 5 2 3 3 2 4 2" xfId="43959"/>
    <cellStyle name="强调文字颜色 5 2 3 3 3" xfId="43960"/>
    <cellStyle name="强调文字颜色 5 2 3 3 3 2" xfId="43961"/>
    <cellStyle name="强调文字颜色 5 2 3 3 3 2 2" xfId="43962"/>
    <cellStyle name="强调文字颜色 5 2 3 3 3 2 2 2" xfId="43963"/>
    <cellStyle name="强调文字颜色 5 2 3 3 3 3" xfId="43964"/>
    <cellStyle name="强调文字颜色 5 2 3 3 3 3 2" xfId="43965"/>
    <cellStyle name="强调文字颜色 5 2 3 3 4" xfId="43966"/>
    <cellStyle name="强调文字颜色 5 2 3 3 5" xfId="43967"/>
    <cellStyle name="强调文字颜色 5 2 3 3 6" xfId="43968"/>
    <cellStyle name="强调文字颜色 5 2 3 4" xfId="43969"/>
    <cellStyle name="强调文字颜色 5 2 3 4 2" xfId="43970"/>
    <cellStyle name="强调文字颜色 5 2 3 4 2 2" xfId="43971"/>
    <cellStyle name="强调文字颜色 5 2 3 4 2 3" xfId="43972"/>
    <cellStyle name="强调文字颜色 5 2 3 4 2 3 2" xfId="43973"/>
    <cellStyle name="强调文字颜色 5 2 3 4 2 3 2 2" xfId="43974"/>
    <cellStyle name="强调文字颜色 5 2 3 4 2 4" xfId="43975"/>
    <cellStyle name="强调文字颜色 5 2 3 4 2 4 2" xfId="43976"/>
    <cellStyle name="强调文字颜色 5 2 3 4 3" xfId="43977"/>
    <cellStyle name="强调文字颜色 5 2 3 4 4" xfId="43978"/>
    <cellStyle name="强调文字颜色 5 2 3 4 5" xfId="43979"/>
    <cellStyle name="强调文字颜色 5 2 3 4 6" xfId="43980"/>
    <cellStyle name="强调文字颜色 5 2 3 5" xfId="43981"/>
    <cellStyle name="强调文字颜色 5 2 3 5 2" xfId="43982"/>
    <cellStyle name="强调文字颜色 5 2 3 5 2 2" xfId="43983"/>
    <cellStyle name="强调文字颜色 5 2 3 5 2 2 2" xfId="43984"/>
    <cellStyle name="强调文字颜色 5 2 3 5 2 2 2 2" xfId="43985"/>
    <cellStyle name="强调文字颜色 5 2 3 5 2 3" xfId="43986"/>
    <cellStyle name="强调文字颜色 5 2 3 5 2 3 2" xfId="43987"/>
    <cellStyle name="强调文字颜色 5 2 3 5 3" xfId="43988"/>
    <cellStyle name="强调文字颜色 5 2 3 5 3 2" xfId="43989"/>
    <cellStyle name="强调文字颜色 5 2 3 5 3 2 2" xfId="43990"/>
    <cellStyle name="强调文字颜色 5 2 3 5 4" xfId="43991"/>
    <cellStyle name="强调文字颜色 5 2 3 5 4 2" xfId="43992"/>
    <cellStyle name="强调文字颜色 5 2 3 6" xfId="43993"/>
    <cellStyle name="强调文字颜色 5 2 3 6 2" xfId="43994"/>
    <cellStyle name="强调文字颜色 5 2 3 6 2 2" xfId="43995"/>
    <cellStyle name="强调文字颜色 5 2 3 6 2 2 2" xfId="43996"/>
    <cellStyle name="强调文字颜色 5 2 3 6 3" xfId="43997"/>
    <cellStyle name="强调文字颜色 5 2 3 6 3 2" xfId="43998"/>
    <cellStyle name="强调文字颜色 5 2 3 7" xfId="43999"/>
    <cellStyle name="强调文字颜色 5 2 3 7 2" xfId="44000"/>
    <cellStyle name="强调文字颜色 5 2 3 7 2 2" xfId="44001"/>
    <cellStyle name="强调文字颜色 5 2 3 7 2 2 2" xfId="44002"/>
    <cellStyle name="强调文字颜色 5 2 3 7 3" xfId="44003"/>
    <cellStyle name="强调文字颜色 5 2 3 7 3 2" xfId="44004"/>
    <cellStyle name="强调文字颜色 5 2 3 8" xfId="44005"/>
    <cellStyle name="强调文字颜色 5 2 3 9" xfId="44006"/>
    <cellStyle name="强调文字颜色 5 2 4" xfId="44007"/>
    <cellStyle name="强调文字颜色 5 2 4 2" xfId="44008"/>
    <cellStyle name="强调文字颜色 5 2 4 2 2" xfId="44009"/>
    <cellStyle name="强调文字颜色 5 2 4 2 3" xfId="44010"/>
    <cellStyle name="强调文字颜色 5 2 4 2 3 2" xfId="44011"/>
    <cellStyle name="强调文字颜色 5 2 4 2 3 2 2" xfId="44012"/>
    <cellStyle name="强调文字颜色 5 2 4 2 4" xfId="44013"/>
    <cellStyle name="强调文字颜色 5 2 4 2 4 2" xfId="44014"/>
    <cellStyle name="强调文字颜色 5 2 4 3" xfId="44015"/>
    <cellStyle name="强调文字颜色 5 2 4 3 2" xfId="44016"/>
    <cellStyle name="强调文字颜色 5 2 4 3 2 2" xfId="44017"/>
    <cellStyle name="强调文字颜色 5 2 4 3 2 2 2" xfId="44018"/>
    <cellStyle name="强调文字颜色 5 2 4 3 3" xfId="44019"/>
    <cellStyle name="强调文字颜色 5 2 4 3 3 2" xfId="44020"/>
    <cellStyle name="强调文字颜色 5 2 4 4" xfId="44021"/>
    <cellStyle name="强调文字颜色 5 2 4 5" xfId="44022"/>
    <cellStyle name="强调文字颜色 5 2 4 6" xfId="44023"/>
    <cellStyle name="强调文字颜色 5 2 5" xfId="44024"/>
    <cellStyle name="强调文字颜色 5 2 5 2" xfId="44025"/>
    <cellStyle name="强调文字颜色 5 2 5 2 2" xfId="44026"/>
    <cellStyle name="强调文字颜色 5 2 5 2 3" xfId="44027"/>
    <cellStyle name="强调文字颜色 5 2 5 2 3 2" xfId="44028"/>
    <cellStyle name="强调文字颜色 5 2 5 2 3 2 2" xfId="44029"/>
    <cellStyle name="强调文字颜色 5 2 5 2 4" xfId="44030"/>
    <cellStyle name="强调文字颜色 5 2 5 2 4 2" xfId="44031"/>
    <cellStyle name="强调文字颜色 5 2 5 3" xfId="44032"/>
    <cellStyle name="强调文字颜色 5 2 5 4" xfId="44033"/>
    <cellStyle name="强调文字颜色 5 2 5 5" xfId="44034"/>
    <cellStyle name="强调文字颜色 5 2 5 6" xfId="44035"/>
    <cellStyle name="强调文字颜色 5 2 6" xfId="44036"/>
    <cellStyle name="强调文字颜色 5 2 6 2" xfId="44037"/>
    <cellStyle name="强调文字颜色 5 2 6 2 2" xfId="44038"/>
    <cellStyle name="强调文字颜色 5 2 6 2 2 2" xfId="44039"/>
    <cellStyle name="强调文字颜色 5 2 6 2 2 2 2" xfId="44040"/>
    <cellStyle name="强调文字颜色 5 2 6 2 3" xfId="44041"/>
    <cellStyle name="强调文字颜色 5 2 6 2 3 2" xfId="44042"/>
    <cellStyle name="强调文字颜色 5 2 6 3" xfId="44043"/>
    <cellStyle name="强调文字颜色 5 2 6 3 2" xfId="44044"/>
    <cellStyle name="强调文字颜色 5 2 6 3 2 2" xfId="44045"/>
    <cellStyle name="强调文字颜色 5 2 6 4" xfId="44046"/>
    <cellStyle name="强调文字颜色 5 2 6 4 2" xfId="44047"/>
    <cellStyle name="强调文字颜色 5 2 7" xfId="44048"/>
    <cellStyle name="强调文字颜色 5 2 7 2" xfId="44049"/>
    <cellStyle name="强调文字颜色 5 2 7 2 2" xfId="44050"/>
    <cellStyle name="强调文字颜色 5 2 7 2 2 2" xfId="44051"/>
    <cellStyle name="强调文字颜色 5 2 7 2 2 2 2" xfId="44052"/>
    <cellStyle name="强调文字颜色 5 2 7 2 3" xfId="44053"/>
    <cellStyle name="强调文字颜色 5 2 7 2 3 2" xfId="44054"/>
    <cellStyle name="强调文字颜色 5 2 7 3" xfId="44055"/>
    <cellStyle name="强调文字颜色 5 2 7 3 2" xfId="44056"/>
    <cellStyle name="强调文字颜色 5 2 7 3 2 2" xfId="44057"/>
    <cellStyle name="强调文字颜色 5 2 7 4" xfId="44058"/>
    <cellStyle name="强调文字颜色 5 2 7 4 2" xfId="44059"/>
    <cellStyle name="强调文字颜色 5 2 8" xfId="44060"/>
    <cellStyle name="强调文字颜色 5 2 8 2" xfId="44061"/>
    <cellStyle name="强调文字颜色 5 2 8 2 2" xfId="44062"/>
    <cellStyle name="强调文字颜色 5 2 8 2 2 2" xfId="44063"/>
    <cellStyle name="强调文字颜色 5 2 8 2 2 2 2" xfId="44064"/>
    <cellStyle name="强调文字颜色 5 2 8 2 3" xfId="44065"/>
    <cellStyle name="强调文字颜色 5 2 8 2 3 2" xfId="44066"/>
    <cellStyle name="强调文字颜色 5 2 8 3" xfId="44067"/>
    <cellStyle name="强调文字颜色 5 2 8 3 2" xfId="44068"/>
    <cellStyle name="强调文字颜色 5 2 8 3 2 2" xfId="44069"/>
    <cellStyle name="强调文字颜色 5 2 8 4" xfId="44070"/>
    <cellStyle name="强调文字颜色 5 2 8 4 2" xfId="44071"/>
    <cellStyle name="强调文字颜色 5 2 9" xfId="44072"/>
    <cellStyle name="强调文字颜色 5 2 9 2" xfId="44073"/>
    <cellStyle name="强调文字颜色 5 2 9 2 2" xfId="44074"/>
    <cellStyle name="强调文字颜色 5 2 9 2 2 2" xfId="44075"/>
    <cellStyle name="强调文字颜色 5 2 9 3" xfId="44076"/>
    <cellStyle name="强调文字颜色 5 2 9 3 2" xfId="44077"/>
    <cellStyle name="强调文字颜色 5 3" xfId="44078"/>
    <cellStyle name="强调文字颜色 5 3 2" xfId="44079"/>
    <cellStyle name="强调文字颜色 5 3 2 2" xfId="44080"/>
    <cellStyle name="强调文字颜色 5 3 2 2 2" xfId="44081"/>
    <cellStyle name="强调文字颜色 5 3 2 2 2 2" xfId="44082"/>
    <cellStyle name="强调文字颜色 5 3 2 2 2 3" xfId="44083"/>
    <cellStyle name="强调文字颜色 5 3 2 2 2 3 2" xfId="44084"/>
    <cellStyle name="强调文字颜色 5 3 2 2 2 3 2 2" xfId="44085"/>
    <cellStyle name="强调文字颜色 5 3 2 2 2 4" xfId="44086"/>
    <cellStyle name="强调文字颜色 5 3 2 2 2 4 2" xfId="44087"/>
    <cellStyle name="强调文字颜色 5 3 2 2 3" xfId="44088"/>
    <cellStyle name="强调文字颜色 5 3 2 2 3 2" xfId="44089"/>
    <cellStyle name="强调文字颜色 5 3 2 2 3 2 2" xfId="44090"/>
    <cellStyle name="强调文字颜色 5 3 2 2 3 2 2 2" xfId="44091"/>
    <cellStyle name="强调文字颜色 5 3 2 2 3 3" xfId="44092"/>
    <cellStyle name="强调文字颜色 5 3 2 2 3 3 2" xfId="44093"/>
    <cellStyle name="强调文字颜色 5 3 2 2 4" xfId="44094"/>
    <cellStyle name="强调文字颜色 5 3 2 2 5" xfId="44095"/>
    <cellStyle name="强调文字颜色 5 3 2 2 6" xfId="44096"/>
    <cellStyle name="强调文字颜色 5 3 2 3" xfId="44097"/>
    <cellStyle name="强调文字颜色 5 3 2 3 2" xfId="44098"/>
    <cellStyle name="强调文字颜色 5 3 2 3 3" xfId="44099"/>
    <cellStyle name="强调文字颜色 5 3 2 3 3 2" xfId="44100"/>
    <cellStyle name="强调文字颜色 5 3 2 3 3 2 2" xfId="44101"/>
    <cellStyle name="强调文字颜色 5 3 2 3 4" xfId="44102"/>
    <cellStyle name="强调文字颜色 5 3 2 3 4 2" xfId="44103"/>
    <cellStyle name="强调文字颜色 5 3 2 4" xfId="44104"/>
    <cellStyle name="强调文字颜色 5 3 2 4 2" xfId="44105"/>
    <cellStyle name="强调文字颜色 5 3 2 4 2 2" xfId="44106"/>
    <cellStyle name="强调文字颜色 5 3 2 4 2 2 2" xfId="44107"/>
    <cellStyle name="强调文字颜色 5 3 2 4 3" xfId="44108"/>
    <cellStyle name="强调文字颜色 5 3 2 4 3 2" xfId="44109"/>
    <cellStyle name="强调文字颜色 5 3 2 5" xfId="44110"/>
    <cellStyle name="强调文字颜色 5 3 2 6" xfId="44111"/>
    <cellStyle name="强调文字颜色 5 3 2 7" xfId="44112"/>
    <cellStyle name="强调文字颜色 5 3 3" xfId="44113"/>
    <cellStyle name="强调文字颜色 5 3 3 2" xfId="44114"/>
    <cellStyle name="强调文字颜色 5 3 3 2 2" xfId="44115"/>
    <cellStyle name="强调文字颜色 5 3 3 2 3" xfId="44116"/>
    <cellStyle name="强调文字颜色 5 3 3 2 3 2" xfId="44117"/>
    <cellStyle name="强调文字颜色 5 3 3 2 3 2 2" xfId="44118"/>
    <cellStyle name="强调文字颜色 5 3 3 2 4" xfId="44119"/>
    <cellStyle name="强调文字颜色 5 3 3 2 4 2" xfId="44120"/>
    <cellStyle name="强调文字颜色 5 3 3 3" xfId="44121"/>
    <cellStyle name="强调文字颜色 5 3 3 3 2" xfId="44122"/>
    <cellStyle name="强调文字颜色 5 3 3 3 2 2" xfId="44123"/>
    <cellStyle name="强调文字颜色 5 3 3 3 2 2 2" xfId="44124"/>
    <cellStyle name="强调文字颜色 5 3 3 3 3" xfId="44125"/>
    <cellStyle name="强调文字颜色 5 3 3 3 3 2" xfId="44126"/>
    <cellStyle name="强调文字颜色 5 3 3 4" xfId="44127"/>
    <cellStyle name="强调文字颜色 5 3 3 5" xfId="44128"/>
    <cellStyle name="强调文字颜色 5 3 3 6" xfId="44129"/>
    <cellStyle name="强调文字颜色 5 3 4" xfId="44130"/>
    <cellStyle name="强调文字颜色 5 3 4 2" xfId="44131"/>
    <cellStyle name="强调文字颜色 5 3 4 2 2" xfId="44132"/>
    <cellStyle name="强调文字颜色 5 3 4 2 3" xfId="44133"/>
    <cellStyle name="强调文字颜色 5 3 4 2 3 2" xfId="44134"/>
    <cellStyle name="强调文字颜色 5 3 4 2 3 2 2" xfId="44135"/>
    <cellStyle name="强调文字颜色 5 3 4 2 4" xfId="44136"/>
    <cellStyle name="强调文字颜色 5 3 4 2 4 2" xfId="44137"/>
    <cellStyle name="强调文字颜色 5 3 4 3" xfId="44138"/>
    <cellStyle name="强调文字颜色 5 3 4 4" xfId="44139"/>
    <cellStyle name="强调文字颜色 5 3 4 5" xfId="44140"/>
    <cellStyle name="强调文字颜色 5 3 4 6" xfId="44141"/>
    <cellStyle name="强调文字颜色 5 3 5" xfId="44142"/>
    <cellStyle name="强调文字颜色 5 3 5 2" xfId="44143"/>
    <cellStyle name="强调文字颜色 5 3 5 2 2" xfId="44144"/>
    <cellStyle name="强调文字颜色 5 3 5 2 2 2" xfId="44145"/>
    <cellStyle name="强调文字颜色 5 3 5 2 2 2 2" xfId="44146"/>
    <cellStyle name="强调文字颜色 5 3 5 2 3" xfId="44147"/>
    <cellStyle name="强调文字颜色 5 3 5 2 3 2" xfId="44148"/>
    <cellStyle name="强调文字颜色 5 3 5 3" xfId="44149"/>
    <cellStyle name="强调文字颜色 5 3 5 3 2" xfId="44150"/>
    <cellStyle name="强调文字颜色 5 3 5 3 2 2" xfId="44151"/>
    <cellStyle name="强调文字颜色 5 3 5 4" xfId="44152"/>
    <cellStyle name="强调文字颜色 5 3 5 4 2" xfId="44153"/>
    <cellStyle name="强调文字颜色 5 3 6" xfId="44154"/>
    <cellStyle name="强调文字颜色 5 3 6 2" xfId="44155"/>
    <cellStyle name="强调文字颜色 5 3 6 2 2" xfId="44156"/>
    <cellStyle name="强调文字颜色 5 3 6 2 2 2" xfId="44157"/>
    <cellStyle name="强调文字颜色 5 3 6 3" xfId="44158"/>
    <cellStyle name="强调文字颜色 5 3 6 3 2" xfId="44159"/>
    <cellStyle name="强调文字颜色 5 3 7" xfId="44160"/>
    <cellStyle name="强调文字颜色 5 3 8" xfId="44161"/>
    <cellStyle name="强调文字颜色 6 2" xfId="44162"/>
    <cellStyle name="强调文字颜色 6 2 10" xfId="44163"/>
    <cellStyle name="强调文字颜色 6 2 11" xfId="44164"/>
    <cellStyle name="强调文字颜色 6 2 2" xfId="44165"/>
    <cellStyle name="强调文字颜色 6 2 2 10" xfId="44166"/>
    <cellStyle name="强调文字颜色 6 2 2 11" xfId="44167"/>
    <cellStyle name="强调文字颜色 6 2 2 2" xfId="44168"/>
    <cellStyle name="强调文字颜色 6 2 2 2 2" xfId="44169"/>
    <cellStyle name="强调文字颜色 6 2 2 2 2 2" xfId="44170"/>
    <cellStyle name="强调文字颜色 6 2 2 2 2 2 2" xfId="44171"/>
    <cellStyle name="强调文字颜色 6 2 2 2 2 2 3" xfId="44172"/>
    <cellStyle name="强调文字颜色 6 2 2 2 2 2 3 2" xfId="44173"/>
    <cellStyle name="强调文字颜色 6 2 2 2 2 2 3 2 2" xfId="44174"/>
    <cellStyle name="强调文字颜色 6 2 2 2 2 2 4" xfId="44175"/>
    <cellStyle name="强调文字颜色 6 2 2 2 2 2 4 2" xfId="44176"/>
    <cellStyle name="强调文字颜色 6 2 2 2 2 3" xfId="44177"/>
    <cellStyle name="强调文字颜色 6 2 2 2 2 3 2" xfId="44178"/>
    <cellStyle name="强调文字颜色 6 2 2 2 2 3 2 2" xfId="44179"/>
    <cellStyle name="强调文字颜色 6 2 2 2 2 3 2 2 2" xfId="44180"/>
    <cellStyle name="强调文字颜色 6 2 2 2 2 3 3" xfId="44181"/>
    <cellStyle name="强调文字颜色 6 2 2 2 2 3 3 2" xfId="44182"/>
    <cellStyle name="强调文字颜色 6 2 2 2 2 4" xfId="44183"/>
    <cellStyle name="强调文字颜色 6 2 2 2 2 5" xfId="44184"/>
    <cellStyle name="强调文字颜色 6 2 2 2 2 6" xfId="44185"/>
    <cellStyle name="强调文字颜色 6 2 2 2 3" xfId="44186"/>
    <cellStyle name="强调文字颜色 6 2 2 2 3 2" xfId="44187"/>
    <cellStyle name="强调文字颜色 6 2 2 2 3 3" xfId="44188"/>
    <cellStyle name="强调文字颜色 6 2 2 2 3 3 2" xfId="44189"/>
    <cellStyle name="强调文字颜色 6 2 2 2 3 3 2 2" xfId="44190"/>
    <cellStyle name="强调文字颜色 6 2 2 2 3 4" xfId="44191"/>
    <cellStyle name="强调文字颜色 6 2 2 2 3 4 2" xfId="44192"/>
    <cellStyle name="强调文字颜色 6 2 2 2 4" xfId="44193"/>
    <cellStyle name="强调文字颜色 6 2 2 2 4 2" xfId="44194"/>
    <cellStyle name="强调文字颜色 6 2 2 2 4 2 2" xfId="44195"/>
    <cellStyle name="强调文字颜色 6 2 2 2 4 2 2 2" xfId="44196"/>
    <cellStyle name="强调文字颜色 6 2 2 2 4 3" xfId="44197"/>
    <cellStyle name="强调文字颜色 6 2 2 2 4 3 2" xfId="44198"/>
    <cellStyle name="强调文字颜色 6 2 2 2 5" xfId="44199"/>
    <cellStyle name="强调文字颜色 6 2 2 2 6" xfId="44200"/>
    <cellStyle name="强调文字颜色 6 2 2 2 7" xfId="44201"/>
    <cellStyle name="强调文字颜色 6 2 2 3" xfId="44202"/>
    <cellStyle name="强调文字颜色 6 2 2 3 2" xfId="44203"/>
    <cellStyle name="强调文字颜色 6 2 2 3 2 2" xfId="44204"/>
    <cellStyle name="强调文字颜色 6 2 2 3 2 3" xfId="44205"/>
    <cellStyle name="强调文字颜色 6 2 2 3 2 3 2" xfId="44206"/>
    <cellStyle name="强调文字颜色 6 2 2 3 2 3 2 2" xfId="44207"/>
    <cellStyle name="强调文字颜色 6 2 2 3 2 4" xfId="44208"/>
    <cellStyle name="强调文字颜色 6 2 2 3 2 4 2" xfId="44209"/>
    <cellStyle name="强调文字颜色 6 2 2 3 3" xfId="44210"/>
    <cellStyle name="强调文字颜色 6 2 2 3 3 2" xfId="44211"/>
    <cellStyle name="强调文字颜色 6 2 2 3 3 2 2" xfId="44212"/>
    <cellStyle name="强调文字颜色 6 2 2 3 3 2 2 2" xfId="44213"/>
    <cellStyle name="强调文字颜色 6 2 2 3 3 3" xfId="44214"/>
    <cellStyle name="强调文字颜色 6 2 2 3 3 3 2" xfId="44215"/>
    <cellStyle name="强调文字颜色 6 2 2 3 4" xfId="44216"/>
    <cellStyle name="强调文字颜色 6 2 2 3 5" xfId="44217"/>
    <cellStyle name="强调文字颜色 6 2 2 3 6" xfId="44218"/>
    <cellStyle name="强调文字颜色 6 2 2 4" xfId="44219"/>
    <cellStyle name="强调文字颜色 6 2 2 4 2" xfId="44220"/>
    <cellStyle name="强调文字颜色 6 2 2 4 2 2" xfId="44221"/>
    <cellStyle name="强调文字颜色 6 2 2 4 2 3" xfId="44222"/>
    <cellStyle name="强调文字颜色 6 2 2 4 2 3 2" xfId="44223"/>
    <cellStyle name="强调文字颜色 6 2 2 4 2 3 2 2" xfId="44224"/>
    <cellStyle name="强调文字颜色 6 2 2 4 2 4" xfId="44225"/>
    <cellStyle name="强调文字颜色 6 2 2 4 2 4 2" xfId="44226"/>
    <cellStyle name="强调文字颜色 6 2 2 4 3" xfId="44227"/>
    <cellStyle name="强调文字颜色 6 2 2 4 4" xfId="44228"/>
    <cellStyle name="强调文字颜色 6 2 2 4 5" xfId="44229"/>
    <cellStyle name="强调文字颜色 6 2 2 4 6" xfId="44230"/>
    <cellStyle name="强调文字颜色 6 2 2 5" xfId="44231"/>
    <cellStyle name="强调文字颜色 6 2 2 5 2" xfId="44232"/>
    <cellStyle name="强调文字颜色 6 2 2 5 2 2" xfId="44233"/>
    <cellStyle name="强调文字颜色 6 2 2 5 2 2 2" xfId="44234"/>
    <cellStyle name="强调文字颜色 6 2 2 5 2 2 2 2" xfId="44235"/>
    <cellStyle name="强调文字颜色 6 2 2 5 2 3" xfId="44236"/>
    <cellStyle name="强调文字颜色 6 2 2 5 2 3 2" xfId="44237"/>
    <cellStyle name="强调文字颜色 6 2 2 5 3" xfId="44238"/>
    <cellStyle name="强调文字颜色 6 2 2 5 3 2" xfId="44239"/>
    <cellStyle name="强调文字颜色 6 2 2 5 3 2 2" xfId="44240"/>
    <cellStyle name="强调文字颜色 6 2 2 5 4" xfId="44241"/>
    <cellStyle name="强调文字颜色 6 2 2 5 4 2" xfId="44242"/>
    <cellStyle name="强调文字颜色 6 2 2 6" xfId="44243"/>
    <cellStyle name="强调文字颜色 6 2 2 6 2" xfId="44244"/>
    <cellStyle name="强调文字颜色 6 2 2 6 2 2" xfId="44245"/>
    <cellStyle name="强调文字颜色 6 2 2 6 2 2 2" xfId="44246"/>
    <cellStyle name="强调文字颜色 6 2 2 6 2 2 2 2" xfId="44247"/>
    <cellStyle name="强调文字颜色 6 2 2 6 2 3" xfId="44248"/>
    <cellStyle name="强调文字颜色 6 2 2 6 2 3 2" xfId="44249"/>
    <cellStyle name="强调文字颜色 6 2 2 6 3" xfId="44250"/>
    <cellStyle name="强调文字颜色 6 2 2 6 3 2" xfId="44251"/>
    <cellStyle name="强调文字颜色 6 2 2 6 3 2 2" xfId="44252"/>
    <cellStyle name="强调文字颜色 6 2 2 6 4" xfId="44253"/>
    <cellStyle name="强调文字颜色 6 2 2 6 4 2" xfId="44254"/>
    <cellStyle name="强调文字颜色 6 2 2 7" xfId="44255"/>
    <cellStyle name="强调文字颜色 6 2 2 7 2" xfId="44256"/>
    <cellStyle name="强调文字颜色 6 2 2 7 2 2" xfId="44257"/>
    <cellStyle name="强调文字颜色 6 2 2 7 2 2 2" xfId="44258"/>
    <cellStyle name="强调文字颜色 6 2 2 7 2 2 2 2" xfId="44259"/>
    <cellStyle name="强调文字颜色 6 2 2 7 2 3" xfId="44260"/>
    <cellStyle name="强调文字颜色 6 2 2 7 2 3 2" xfId="44261"/>
    <cellStyle name="强调文字颜色 6 2 2 7 3" xfId="44262"/>
    <cellStyle name="强调文字颜色 6 2 2 7 3 2" xfId="44263"/>
    <cellStyle name="强调文字颜色 6 2 2 7 3 2 2" xfId="44264"/>
    <cellStyle name="强调文字颜色 6 2 2 7 4" xfId="44265"/>
    <cellStyle name="强调文字颜色 6 2 2 7 4 2" xfId="44266"/>
    <cellStyle name="强调文字颜色 6 2 2 8" xfId="44267"/>
    <cellStyle name="强调文字颜色 6 2 2 8 2" xfId="44268"/>
    <cellStyle name="强调文字颜色 6 2 2 8 2 2" xfId="44269"/>
    <cellStyle name="强调文字颜色 6 2 2 8 2 2 2" xfId="44270"/>
    <cellStyle name="强调文字颜色 6 2 2 8 3" xfId="44271"/>
    <cellStyle name="强调文字颜色 6 2 2 8 3 2" xfId="44272"/>
    <cellStyle name="强调文字颜色 6 2 2 9" xfId="44273"/>
    <cellStyle name="强调文字颜色 6 2 2 9 2" xfId="44274"/>
    <cellStyle name="强调文字颜色 6 2 2 9 2 2" xfId="44275"/>
    <cellStyle name="强调文字颜色 6 2 2 9 2 2 2" xfId="44276"/>
    <cellStyle name="强调文字颜色 6 2 2 9 3" xfId="44277"/>
    <cellStyle name="强调文字颜色 6 2 2 9 3 2" xfId="44278"/>
    <cellStyle name="强调文字颜色 6 2 3" xfId="44279"/>
    <cellStyle name="强调文字颜色 6 2 3 2" xfId="44280"/>
    <cellStyle name="强调文字颜色 6 2 3 2 2" xfId="44281"/>
    <cellStyle name="强调文字颜色 6 2 3 2 2 2" xfId="44282"/>
    <cellStyle name="强调文字颜色 6 2 3 2 2 2 2" xfId="44283"/>
    <cellStyle name="强调文字颜色 6 2 3 2 2 2 3" xfId="44284"/>
    <cellStyle name="强调文字颜色 6 2 3 2 2 2 3 2" xfId="44285"/>
    <cellStyle name="强调文字颜色 6 2 3 2 2 2 3 2 2" xfId="44286"/>
    <cellStyle name="强调文字颜色 6 2 3 2 2 2 4" xfId="44287"/>
    <cellStyle name="强调文字颜色 6 2 3 2 2 2 4 2" xfId="44288"/>
    <cellStyle name="强调文字颜色 6 2 3 2 2 3" xfId="44289"/>
    <cellStyle name="强调文字颜色 6 2 3 2 2 3 2" xfId="44290"/>
    <cellStyle name="强调文字颜色 6 2 3 2 2 3 2 2" xfId="44291"/>
    <cellStyle name="强调文字颜色 6 2 3 2 2 3 2 2 2" xfId="44292"/>
    <cellStyle name="强调文字颜色 6 2 3 2 2 3 3" xfId="44293"/>
    <cellStyle name="强调文字颜色 6 2 3 2 2 3 3 2" xfId="44294"/>
    <cellStyle name="强调文字颜色 6 2 3 2 2 4" xfId="44295"/>
    <cellStyle name="强调文字颜色 6 2 3 2 2 5" xfId="44296"/>
    <cellStyle name="强调文字颜色 6 2 3 2 2 6" xfId="44297"/>
    <cellStyle name="强调文字颜色 6 2 3 2 3" xfId="44298"/>
    <cellStyle name="强调文字颜色 6 2 3 2 3 2" xfId="44299"/>
    <cellStyle name="强调文字颜色 6 2 3 2 3 3" xfId="44300"/>
    <cellStyle name="强调文字颜色 6 2 3 2 3 3 2" xfId="44301"/>
    <cellStyle name="强调文字颜色 6 2 3 2 3 3 2 2" xfId="44302"/>
    <cellStyle name="强调文字颜色 6 2 3 2 3 4" xfId="44303"/>
    <cellStyle name="强调文字颜色 6 2 3 2 3 4 2" xfId="44304"/>
    <cellStyle name="强调文字颜色 6 2 3 2 4" xfId="44305"/>
    <cellStyle name="强调文字颜色 6 2 3 2 4 2" xfId="44306"/>
    <cellStyle name="强调文字颜色 6 2 3 2 4 2 2" xfId="44307"/>
    <cellStyle name="强调文字颜色 6 2 3 2 4 2 2 2" xfId="44308"/>
    <cellStyle name="强调文字颜色 6 2 3 2 4 3" xfId="44309"/>
    <cellStyle name="强调文字颜色 6 2 3 2 4 3 2" xfId="44310"/>
    <cellStyle name="强调文字颜色 6 2 3 2 5" xfId="44311"/>
    <cellStyle name="强调文字颜色 6 2 3 2 6" xfId="44312"/>
    <cellStyle name="强调文字颜色 6 2 3 2 7" xfId="44313"/>
    <cellStyle name="强调文字颜色 6 2 3 3" xfId="44314"/>
    <cellStyle name="强调文字颜色 6 2 3 3 2" xfId="44315"/>
    <cellStyle name="强调文字颜色 6 2 3 3 2 2" xfId="44316"/>
    <cellStyle name="强调文字颜色 6 2 3 3 2 3" xfId="44317"/>
    <cellStyle name="强调文字颜色 6 2 3 3 2 3 2" xfId="44318"/>
    <cellStyle name="强调文字颜色 6 2 3 3 2 3 2 2" xfId="44319"/>
    <cellStyle name="强调文字颜色 6 2 3 3 2 4" xfId="44320"/>
    <cellStyle name="强调文字颜色 6 2 3 3 2 4 2" xfId="44321"/>
    <cellStyle name="强调文字颜色 6 2 3 3 3" xfId="44322"/>
    <cellStyle name="强调文字颜色 6 2 3 3 3 2" xfId="44323"/>
    <cellStyle name="强调文字颜色 6 2 3 3 3 2 2" xfId="44324"/>
    <cellStyle name="强调文字颜色 6 2 3 3 3 2 2 2" xfId="44325"/>
    <cellStyle name="强调文字颜色 6 2 3 3 3 3" xfId="44326"/>
    <cellStyle name="强调文字颜色 6 2 3 3 3 3 2" xfId="44327"/>
    <cellStyle name="强调文字颜色 6 2 3 3 4" xfId="44328"/>
    <cellStyle name="强调文字颜色 6 2 3 3 5" xfId="44329"/>
    <cellStyle name="强调文字颜色 6 2 3 3 6" xfId="44330"/>
    <cellStyle name="强调文字颜色 6 2 3 4" xfId="44331"/>
    <cellStyle name="强调文字颜色 6 2 3 4 2" xfId="44332"/>
    <cellStyle name="强调文字颜色 6 2 3 4 2 2" xfId="44333"/>
    <cellStyle name="强调文字颜色 6 2 3 4 2 3" xfId="44334"/>
    <cellStyle name="强调文字颜色 6 2 3 4 2 3 2" xfId="44335"/>
    <cellStyle name="强调文字颜色 6 2 3 4 2 3 2 2" xfId="44336"/>
    <cellStyle name="强调文字颜色 6 2 3 4 2 4" xfId="44337"/>
    <cellStyle name="强调文字颜色 6 2 3 4 2 4 2" xfId="44338"/>
    <cellStyle name="强调文字颜色 6 2 3 4 3" xfId="44339"/>
    <cellStyle name="强调文字颜色 6 2 3 4 4" xfId="44340"/>
    <cellStyle name="强调文字颜色 6 2 3 4 5" xfId="44341"/>
    <cellStyle name="强调文字颜色 6 2 3 4 6" xfId="44342"/>
    <cellStyle name="强调文字颜色 6 2 3 5" xfId="44343"/>
    <cellStyle name="强调文字颜色 6 2 3 5 2" xfId="44344"/>
    <cellStyle name="强调文字颜色 6 2 3 5 2 2" xfId="44345"/>
    <cellStyle name="强调文字颜色 6 2 3 5 2 2 2" xfId="44346"/>
    <cellStyle name="强调文字颜色 6 2 3 5 2 2 2 2" xfId="44347"/>
    <cellStyle name="强调文字颜色 6 2 3 5 2 3" xfId="44348"/>
    <cellStyle name="强调文字颜色 6 2 3 5 2 3 2" xfId="44349"/>
    <cellStyle name="强调文字颜色 6 2 3 5 3" xfId="44350"/>
    <cellStyle name="强调文字颜色 6 2 3 5 3 2" xfId="44351"/>
    <cellStyle name="强调文字颜色 6 2 3 5 3 2 2" xfId="44352"/>
    <cellStyle name="强调文字颜色 6 2 3 5 4" xfId="44353"/>
    <cellStyle name="强调文字颜色 6 2 3 5 4 2" xfId="44354"/>
    <cellStyle name="强调文字颜色 6 2 3 6" xfId="44355"/>
    <cellStyle name="强调文字颜色 6 2 3 6 2" xfId="44356"/>
    <cellStyle name="强调文字颜色 6 2 3 6 2 2" xfId="44357"/>
    <cellStyle name="强调文字颜色 6 2 3 6 2 2 2" xfId="44358"/>
    <cellStyle name="强调文字颜色 6 2 3 6 3" xfId="44359"/>
    <cellStyle name="强调文字颜色 6 2 3 6 3 2" xfId="44360"/>
    <cellStyle name="强调文字颜色 6 2 3 7" xfId="44361"/>
    <cellStyle name="强调文字颜色 6 2 3 7 2" xfId="44362"/>
    <cellStyle name="强调文字颜色 6 2 3 7 2 2" xfId="44363"/>
    <cellStyle name="强调文字颜色 6 2 3 7 2 2 2" xfId="44364"/>
    <cellStyle name="强调文字颜色 6 2 3 7 3" xfId="44365"/>
    <cellStyle name="强调文字颜色 6 2 3 7 3 2" xfId="44366"/>
    <cellStyle name="强调文字颜色 6 2 3 8" xfId="44367"/>
    <cellStyle name="强调文字颜色 6 2 3 9" xfId="44368"/>
    <cellStyle name="强调文字颜色 6 2 4" xfId="44369"/>
    <cellStyle name="强调文字颜色 6 2 4 2" xfId="44370"/>
    <cellStyle name="强调文字颜色 6 2 4 2 2" xfId="44371"/>
    <cellStyle name="强调文字颜色 6 2 4 2 3" xfId="44372"/>
    <cellStyle name="强调文字颜色 6 2 4 2 3 2" xfId="44373"/>
    <cellStyle name="强调文字颜色 6 2 4 2 3 2 2" xfId="44374"/>
    <cellStyle name="强调文字颜色 6 2 4 2 4" xfId="44375"/>
    <cellStyle name="强调文字颜色 6 2 4 2 4 2" xfId="44376"/>
    <cellStyle name="强调文字颜色 6 2 4 3" xfId="44377"/>
    <cellStyle name="强调文字颜色 6 2 4 3 2" xfId="44378"/>
    <cellStyle name="强调文字颜色 6 2 4 3 2 2" xfId="44379"/>
    <cellStyle name="强调文字颜色 6 2 4 3 2 2 2" xfId="44380"/>
    <cellStyle name="强调文字颜色 6 2 4 3 3" xfId="44381"/>
    <cellStyle name="强调文字颜色 6 2 4 3 3 2" xfId="44382"/>
    <cellStyle name="强调文字颜色 6 2 4 4" xfId="44383"/>
    <cellStyle name="强调文字颜色 6 2 4 5" xfId="44384"/>
    <cellStyle name="强调文字颜色 6 2 4 6" xfId="44385"/>
    <cellStyle name="强调文字颜色 6 2 5" xfId="44386"/>
    <cellStyle name="强调文字颜色 6 2 5 2" xfId="44387"/>
    <cellStyle name="强调文字颜色 6 2 5 2 2" xfId="44388"/>
    <cellStyle name="强调文字颜色 6 2 5 2 3" xfId="44389"/>
    <cellStyle name="强调文字颜色 6 2 5 2 3 2" xfId="44390"/>
    <cellStyle name="强调文字颜色 6 2 5 2 3 2 2" xfId="44391"/>
    <cellStyle name="强调文字颜色 6 2 5 2 4" xfId="44392"/>
    <cellStyle name="强调文字颜色 6 2 5 2 4 2" xfId="44393"/>
    <cellStyle name="强调文字颜色 6 2 5 3" xfId="44394"/>
    <cellStyle name="强调文字颜色 6 2 5 4" xfId="44395"/>
    <cellStyle name="强调文字颜色 6 2 5 5" xfId="44396"/>
    <cellStyle name="强调文字颜色 6 2 5 6" xfId="44397"/>
    <cellStyle name="强调文字颜色 6 2 6" xfId="44398"/>
    <cellStyle name="强调文字颜色 6 2 6 2" xfId="44399"/>
    <cellStyle name="强调文字颜色 6 2 6 2 2" xfId="44400"/>
    <cellStyle name="强调文字颜色 6 2 6 2 2 2" xfId="44401"/>
    <cellStyle name="强调文字颜色 6 2 6 2 2 2 2" xfId="44402"/>
    <cellStyle name="强调文字颜色 6 2 6 2 3" xfId="44403"/>
    <cellStyle name="强调文字颜色 6 2 6 2 3 2" xfId="44404"/>
    <cellStyle name="强调文字颜色 6 2 6 3" xfId="44405"/>
    <cellStyle name="强调文字颜色 6 2 6 3 2" xfId="44406"/>
    <cellStyle name="强调文字颜色 6 2 6 3 2 2" xfId="44407"/>
    <cellStyle name="强调文字颜色 6 2 6 4" xfId="44408"/>
    <cellStyle name="强调文字颜色 6 2 6 4 2" xfId="44409"/>
    <cellStyle name="强调文字颜色 6 2 7" xfId="44410"/>
    <cellStyle name="强调文字颜色 6 2 7 2" xfId="44411"/>
    <cellStyle name="强调文字颜色 6 2 7 2 2" xfId="44412"/>
    <cellStyle name="强调文字颜色 6 2 7 2 2 2" xfId="44413"/>
    <cellStyle name="强调文字颜色 6 2 7 2 2 2 2" xfId="44414"/>
    <cellStyle name="强调文字颜色 6 2 7 2 3" xfId="44415"/>
    <cellStyle name="强调文字颜色 6 2 7 2 3 2" xfId="44416"/>
    <cellStyle name="强调文字颜色 6 2 7 3" xfId="44417"/>
    <cellStyle name="强调文字颜色 6 2 7 3 2" xfId="44418"/>
    <cellStyle name="强调文字颜色 6 2 7 3 2 2" xfId="44419"/>
    <cellStyle name="强调文字颜色 6 2 7 4" xfId="44420"/>
    <cellStyle name="强调文字颜色 6 2 7 4 2" xfId="44421"/>
    <cellStyle name="强调文字颜色 6 2 8" xfId="44422"/>
    <cellStyle name="强调文字颜色 6 2 8 2" xfId="44423"/>
    <cellStyle name="强调文字颜色 6 2 8 2 2" xfId="44424"/>
    <cellStyle name="强调文字颜色 6 2 8 2 2 2" xfId="44425"/>
    <cellStyle name="强调文字颜色 6 2 8 2 2 2 2" xfId="44426"/>
    <cellStyle name="强调文字颜色 6 2 8 2 3" xfId="44427"/>
    <cellStyle name="强调文字颜色 6 2 8 2 3 2" xfId="44428"/>
    <cellStyle name="强调文字颜色 6 2 8 3" xfId="44429"/>
    <cellStyle name="强调文字颜色 6 2 8 3 2" xfId="44430"/>
    <cellStyle name="强调文字颜色 6 2 8 3 2 2" xfId="44431"/>
    <cellStyle name="强调文字颜色 6 2 8 4" xfId="44432"/>
    <cellStyle name="强调文字颜色 6 2 8 4 2" xfId="44433"/>
    <cellStyle name="强调文字颜色 6 2 9" xfId="44434"/>
    <cellStyle name="强调文字颜色 6 2 9 2" xfId="44435"/>
    <cellStyle name="强调文字颜色 6 2 9 2 2" xfId="44436"/>
    <cellStyle name="强调文字颜色 6 2 9 2 2 2" xfId="44437"/>
    <cellStyle name="强调文字颜色 6 2 9 3" xfId="44438"/>
    <cellStyle name="强调文字颜色 6 2 9 3 2" xfId="44439"/>
    <cellStyle name="强调文字颜色 6 3" xfId="44440"/>
    <cellStyle name="强调文字颜色 6 3 2" xfId="44441"/>
    <cellStyle name="强调文字颜色 6 3 2 2" xfId="44442"/>
    <cellStyle name="强调文字颜色 6 3 2 2 2" xfId="44443"/>
    <cellStyle name="强调文字颜色 6 3 2 2 2 2" xfId="44444"/>
    <cellStyle name="强调文字颜色 6 3 2 2 2 3" xfId="44445"/>
    <cellStyle name="强调文字颜色 6 3 2 2 2 3 2" xfId="44446"/>
    <cellStyle name="强调文字颜色 6 3 2 2 2 3 2 2" xfId="44447"/>
    <cellStyle name="强调文字颜色 6 3 2 2 2 4" xfId="44448"/>
    <cellStyle name="强调文字颜色 6 3 2 2 2 4 2" xfId="44449"/>
    <cellStyle name="强调文字颜色 6 3 2 2 3" xfId="44450"/>
    <cellStyle name="强调文字颜色 6 3 2 2 3 2" xfId="44451"/>
    <cellStyle name="强调文字颜色 6 3 2 2 3 2 2" xfId="44452"/>
    <cellStyle name="强调文字颜色 6 3 2 2 3 2 2 2" xfId="44453"/>
    <cellStyle name="强调文字颜色 6 3 2 2 3 3" xfId="44454"/>
    <cellStyle name="强调文字颜色 6 3 2 2 3 3 2" xfId="44455"/>
    <cellStyle name="强调文字颜色 6 3 2 2 4" xfId="44456"/>
    <cellStyle name="强调文字颜色 6 3 2 2 5" xfId="44457"/>
    <cellStyle name="强调文字颜色 6 3 2 2 6" xfId="44458"/>
    <cellStyle name="强调文字颜色 6 3 2 3" xfId="44459"/>
    <cellStyle name="强调文字颜色 6 3 2 3 2" xfId="44460"/>
    <cellStyle name="强调文字颜色 6 3 2 3 3" xfId="44461"/>
    <cellStyle name="强调文字颜色 6 3 2 3 3 2" xfId="44462"/>
    <cellStyle name="强调文字颜色 6 3 2 3 3 2 2" xfId="44463"/>
    <cellStyle name="强调文字颜色 6 3 2 3 4" xfId="44464"/>
    <cellStyle name="强调文字颜色 6 3 2 3 4 2" xfId="44465"/>
    <cellStyle name="强调文字颜色 6 3 2 4" xfId="44466"/>
    <cellStyle name="强调文字颜色 6 3 2 4 2" xfId="44467"/>
    <cellStyle name="强调文字颜色 6 3 2 4 2 2" xfId="44468"/>
    <cellStyle name="强调文字颜色 6 3 2 4 2 2 2" xfId="44469"/>
    <cellStyle name="强调文字颜色 6 3 2 4 3" xfId="44470"/>
    <cellStyle name="强调文字颜色 6 3 2 4 3 2" xfId="44471"/>
    <cellStyle name="强调文字颜色 6 3 2 5" xfId="44472"/>
    <cellStyle name="强调文字颜色 6 3 2 6" xfId="44473"/>
    <cellStyle name="强调文字颜色 6 3 2 7" xfId="44474"/>
    <cellStyle name="强调文字颜色 6 3 3" xfId="44475"/>
    <cellStyle name="强调文字颜色 6 3 3 2" xfId="44476"/>
    <cellStyle name="强调文字颜色 6 3 3 2 2" xfId="44477"/>
    <cellStyle name="强调文字颜色 6 3 3 2 3" xfId="44478"/>
    <cellStyle name="强调文字颜色 6 3 3 2 3 2" xfId="44479"/>
    <cellStyle name="强调文字颜色 6 3 3 2 3 2 2" xfId="44480"/>
    <cellStyle name="强调文字颜色 6 3 3 2 4" xfId="44481"/>
    <cellStyle name="强调文字颜色 6 3 3 2 4 2" xfId="44482"/>
    <cellStyle name="强调文字颜色 6 3 3 3" xfId="44483"/>
    <cellStyle name="强调文字颜色 6 3 3 3 2" xfId="44484"/>
    <cellStyle name="强调文字颜色 6 3 3 3 2 2" xfId="44485"/>
    <cellStyle name="强调文字颜色 6 3 3 3 2 2 2" xfId="44486"/>
    <cellStyle name="强调文字颜色 6 3 3 3 3" xfId="44487"/>
    <cellStyle name="强调文字颜色 6 3 3 3 3 2" xfId="44488"/>
    <cellStyle name="强调文字颜色 6 3 3 4" xfId="44489"/>
    <cellStyle name="强调文字颜色 6 3 3 5" xfId="44490"/>
    <cellStyle name="强调文字颜色 6 3 3 6" xfId="44491"/>
    <cellStyle name="强调文字颜色 6 3 4" xfId="44492"/>
    <cellStyle name="强调文字颜色 6 3 4 2" xfId="44493"/>
    <cellStyle name="强调文字颜色 6 3 4 2 2" xfId="44494"/>
    <cellStyle name="强调文字颜色 6 3 4 2 3" xfId="44495"/>
    <cellStyle name="强调文字颜色 6 3 4 2 3 2" xfId="44496"/>
    <cellStyle name="强调文字颜色 6 3 4 2 3 2 2" xfId="44497"/>
    <cellStyle name="强调文字颜色 6 3 4 2 4" xfId="44498"/>
    <cellStyle name="强调文字颜色 6 3 4 2 4 2" xfId="44499"/>
    <cellStyle name="强调文字颜色 6 3 4 3" xfId="44500"/>
    <cellStyle name="强调文字颜色 6 3 4 4" xfId="44501"/>
    <cellStyle name="强调文字颜色 6 3 4 5" xfId="44502"/>
    <cellStyle name="强调文字颜色 6 3 4 6" xfId="44503"/>
    <cellStyle name="强调文字颜色 6 3 5" xfId="44504"/>
    <cellStyle name="强调文字颜色 6 3 5 2" xfId="44505"/>
    <cellStyle name="强调文字颜色 6 3 5 2 2" xfId="44506"/>
    <cellStyle name="强调文字颜色 6 3 5 2 2 2" xfId="44507"/>
    <cellStyle name="强调文字颜色 6 3 5 2 2 2 2" xfId="44508"/>
    <cellStyle name="强调文字颜色 6 3 5 2 3" xfId="44509"/>
    <cellStyle name="强调文字颜色 6 3 5 2 3 2" xfId="44510"/>
    <cellStyle name="强调文字颜色 6 3 5 3" xfId="44511"/>
    <cellStyle name="强调文字颜色 6 3 5 3 2" xfId="44512"/>
    <cellStyle name="强调文字颜色 6 3 5 3 2 2" xfId="44513"/>
    <cellStyle name="强调文字颜色 6 3 5 4" xfId="44514"/>
    <cellStyle name="强调文字颜色 6 3 5 4 2" xfId="44515"/>
    <cellStyle name="强调文字颜色 6 3 6" xfId="44516"/>
    <cellStyle name="强调文字颜色 6 3 6 2" xfId="44517"/>
    <cellStyle name="强调文字颜色 6 3 6 2 2" xfId="44518"/>
    <cellStyle name="强调文字颜色 6 3 6 2 2 2" xfId="44519"/>
    <cellStyle name="强调文字颜色 6 3 6 3" xfId="44520"/>
    <cellStyle name="强调文字颜色 6 3 6 3 2" xfId="44521"/>
    <cellStyle name="强调文字颜色 6 3 7" xfId="44522"/>
    <cellStyle name="强调文字颜色 6 3 8" xfId="44523"/>
    <cellStyle name="數字一" xfId="44524"/>
    <cellStyle name="未定义" xfId="44525"/>
    <cellStyle name="标题 1 2" xfId="44526"/>
    <cellStyle name="标题 1 2 10" xfId="44527"/>
    <cellStyle name="标题 1 2 11" xfId="44528"/>
    <cellStyle name="标题 1 2 2" xfId="44529"/>
    <cellStyle name="标题 1 2 2 10" xfId="44530"/>
    <cellStyle name="标题 1 2 2 11" xfId="44531"/>
    <cellStyle name="标题 1 2 2 2" xfId="44532"/>
    <cellStyle name="标题 1 2 2 2 2" xfId="44533"/>
    <cellStyle name="标题 1 2 2 2 2 2" xfId="44534"/>
    <cellStyle name="标题 1 2 2 2 2 2 2" xfId="44535"/>
    <cellStyle name="标题 1 2 2 2 2 2 3" xfId="44536"/>
    <cellStyle name="标题 1 2 2 2 2 2 3 2" xfId="44537"/>
    <cellStyle name="标题 1 2 2 2 2 2 3 2 2" xfId="44538"/>
    <cellStyle name="标题 1 2 2 2 2 2 4" xfId="44539"/>
    <cellStyle name="标题 1 2 2 2 2 2 4 2" xfId="44540"/>
    <cellStyle name="标题 1 2 2 2 2 3" xfId="44541"/>
    <cellStyle name="标题 1 2 2 2 2 3 2" xfId="44542"/>
    <cellStyle name="标题 1 2 2 2 2 3 2 2" xfId="44543"/>
    <cellStyle name="标题 1 2 2 2 2 3 2 2 2" xfId="44544"/>
    <cellStyle name="标题 1 2 2 2 2 3 3" xfId="44545"/>
    <cellStyle name="标题 1 2 2 2 2 3 3 2" xfId="44546"/>
    <cellStyle name="标题 1 2 2 2 2 4" xfId="44547"/>
    <cellStyle name="标题 1 2 2 2 2 5" xfId="44548"/>
    <cellStyle name="标题 1 2 2 2 2 6" xfId="44549"/>
    <cellStyle name="标题 1 2 2 2 3" xfId="44550"/>
    <cellStyle name="标题 1 2 2 2 3 2" xfId="44551"/>
    <cellStyle name="标题 1 2 2 2 3 3" xfId="44552"/>
    <cellStyle name="标题 1 2 2 2 3 3 2" xfId="44553"/>
    <cellStyle name="标题 1 2 2 2 3 3 2 2" xfId="44554"/>
    <cellStyle name="标题 1 2 2 2 3 4" xfId="44555"/>
    <cellStyle name="标题 1 2 2 2 3 4 2" xfId="44556"/>
    <cellStyle name="标题 1 2 2 2 4" xfId="44557"/>
    <cellStyle name="标题 1 2 2 2 4 2" xfId="44558"/>
    <cellStyle name="标题 1 2 2 2 4 2 2" xfId="44559"/>
    <cellStyle name="标题 1 2 2 2 4 2 2 2" xfId="44560"/>
    <cellStyle name="标题 1 2 2 2 4 3" xfId="44561"/>
    <cellStyle name="标题 1 2 2 2 4 3 2" xfId="44562"/>
    <cellStyle name="标题 1 2 2 2 5" xfId="44563"/>
    <cellStyle name="标题 1 2 2 2 6" xfId="44564"/>
    <cellStyle name="标题 1 2 2 2 7" xfId="44565"/>
    <cellStyle name="标题 1 2 2 3" xfId="44566"/>
    <cellStyle name="标题 1 2 2 3 2" xfId="44567"/>
    <cellStyle name="标题 1 2 2 3 2 2" xfId="44568"/>
    <cellStyle name="标题 1 2 2 3 2 3" xfId="44569"/>
    <cellStyle name="标题 1 2 2 3 2 3 2" xfId="44570"/>
    <cellStyle name="标题 1 2 2 3 2 3 2 2" xfId="44571"/>
    <cellStyle name="标题 1 2 2 3 2 4" xfId="44572"/>
    <cellStyle name="标题 1 2 2 3 2 4 2" xfId="44573"/>
    <cellStyle name="标题 1 2 2 3 3" xfId="44574"/>
    <cellStyle name="标题 1 2 2 3 3 2" xfId="44575"/>
    <cellStyle name="标题 1 2 2 3 3 2 2" xfId="44576"/>
    <cellStyle name="标题 1 2 2 3 3 2 2 2" xfId="44577"/>
    <cellStyle name="标题 1 2 2 3 3 3" xfId="44578"/>
    <cellStyle name="标题 1 2 2 3 3 3 2" xfId="44579"/>
    <cellStyle name="标题 1 2 2 3 4" xfId="44580"/>
    <cellStyle name="标题 1 2 2 3 5" xfId="44581"/>
    <cellStyle name="标题 1 2 2 3 6" xfId="44582"/>
    <cellStyle name="标题 1 2 2 4" xfId="44583"/>
    <cellStyle name="标题 1 2 2 4 2" xfId="44584"/>
    <cellStyle name="标题 1 2 2 4 2 2" xfId="44585"/>
    <cellStyle name="标题 1 2 2 4 2 3" xfId="44586"/>
    <cellStyle name="标题 1 2 2 4 2 3 2" xfId="44587"/>
    <cellStyle name="标题 1 2 2 4 2 3 2 2" xfId="44588"/>
    <cellStyle name="标题 1 2 2 4 2 4" xfId="44589"/>
    <cellStyle name="标题 1 2 2 4 2 4 2" xfId="44590"/>
    <cellStyle name="标题 1 2 2 4 3" xfId="44591"/>
    <cellStyle name="标题 1 2 2 4 4" xfId="44592"/>
    <cellStyle name="标题 1 2 2 4 5" xfId="44593"/>
    <cellStyle name="标题 1 2 2 4 6" xfId="44594"/>
    <cellStyle name="标题 1 2 2 5" xfId="44595"/>
    <cellStyle name="标题 1 2 2 5 2" xfId="44596"/>
    <cellStyle name="标题 1 2 2 5 2 2" xfId="44597"/>
    <cellStyle name="标题 1 2 2 5 2 2 2" xfId="44598"/>
    <cellStyle name="标题 1 2 2 5 2 2 2 2" xfId="44599"/>
    <cellStyle name="标题 1 2 2 5 2 3" xfId="44600"/>
    <cellStyle name="标题 1 2 2 5 2 3 2" xfId="44601"/>
    <cellStyle name="标题 1 2 2 5 3" xfId="44602"/>
    <cellStyle name="标题 1 2 2 5 3 2" xfId="44603"/>
    <cellStyle name="标题 1 2 2 5 3 2 2" xfId="44604"/>
    <cellStyle name="标题 1 2 2 5 4" xfId="44605"/>
    <cellStyle name="标题 1 2 2 5 4 2" xfId="44606"/>
    <cellStyle name="标题 1 2 2 6" xfId="44607"/>
    <cellStyle name="标题 1 2 2 6 2" xfId="44608"/>
    <cellStyle name="标题 1 2 2 6 2 2" xfId="44609"/>
    <cellStyle name="标题 1 2 2 6 2 2 2" xfId="44610"/>
    <cellStyle name="标题 1 2 2 6 2 2 2 2" xfId="44611"/>
    <cellStyle name="标题 1 2 2 6 2 3" xfId="44612"/>
    <cellStyle name="标题 1 2 2 6 2 3 2" xfId="44613"/>
    <cellStyle name="标题 1 2 2 6 3" xfId="44614"/>
    <cellStyle name="标题 1 2 2 6 3 2" xfId="44615"/>
    <cellStyle name="标题 1 2 2 6 3 2 2" xfId="44616"/>
    <cellStyle name="标题 1 2 2 6 4" xfId="44617"/>
    <cellStyle name="标题 1 2 2 6 4 2" xfId="44618"/>
    <cellStyle name="标题 1 2 2 7" xfId="44619"/>
    <cellStyle name="标题 1 2 2 7 2" xfId="44620"/>
    <cellStyle name="标题 1 2 2 7 2 2" xfId="44621"/>
    <cellStyle name="标题 1 2 2 7 2 2 2" xfId="44622"/>
    <cellStyle name="标题 1 2 2 7 2 2 2 2" xfId="44623"/>
    <cellStyle name="标题 1 2 2 7 2 3" xfId="44624"/>
    <cellStyle name="标题 1 2 2 7 2 3 2" xfId="44625"/>
    <cellStyle name="标题 1 2 2 7 3" xfId="44626"/>
    <cellStyle name="标题 1 2 2 7 3 2" xfId="44627"/>
    <cellStyle name="标题 1 2 2 7 3 2 2" xfId="44628"/>
    <cellStyle name="标题 1 2 2 7 4" xfId="44629"/>
    <cellStyle name="标题 1 2 2 7 4 2" xfId="44630"/>
    <cellStyle name="标题 1 2 2 8" xfId="44631"/>
    <cellStyle name="标题 1 2 2 8 2" xfId="44632"/>
    <cellStyle name="标题 1 2 2 8 2 2" xfId="44633"/>
    <cellStyle name="标题 1 2 2 8 2 2 2" xfId="44634"/>
    <cellStyle name="标题 1 2 2 8 3" xfId="44635"/>
    <cellStyle name="标题 1 2 2 8 3 2" xfId="44636"/>
    <cellStyle name="标题 1 2 2 9" xfId="44637"/>
    <cellStyle name="标题 1 2 2 9 2" xfId="44638"/>
    <cellStyle name="标题 1 2 2 9 2 2" xfId="44639"/>
    <cellStyle name="标题 1 2 2 9 2 2 2" xfId="44640"/>
    <cellStyle name="标题 1 2 2 9 3" xfId="44641"/>
    <cellStyle name="标题 1 2 2 9 3 2" xfId="44642"/>
    <cellStyle name="标题 1 2 3" xfId="44643"/>
    <cellStyle name="标题 1 2 3 2" xfId="44644"/>
    <cellStyle name="标题 1 2 3 2 2" xfId="44645"/>
    <cellStyle name="标题 1 2 3 2 2 2" xfId="44646"/>
    <cellStyle name="标题 1 2 3 2 2 2 2" xfId="44647"/>
    <cellStyle name="标题 1 2 3 2 2 2 3" xfId="44648"/>
    <cellStyle name="标题 1 2 3 2 2 2 3 2" xfId="44649"/>
    <cellStyle name="标题 1 2 3 2 2 2 3 2 2" xfId="44650"/>
    <cellStyle name="标题 1 2 3 2 2 2 4" xfId="44651"/>
    <cellStyle name="标题 1 2 3 2 2 2 4 2" xfId="44652"/>
    <cellStyle name="标题 1 2 3 2 2 3" xfId="44653"/>
    <cellStyle name="标题 1 2 3 2 2 3 2" xfId="44654"/>
    <cellStyle name="标题 1 2 3 2 2 3 2 2" xfId="44655"/>
    <cellStyle name="标题 1 2 3 2 2 3 2 2 2" xfId="44656"/>
    <cellStyle name="标题 1 2 3 2 2 3 3" xfId="44657"/>
    <cellStyle name="标题 1 2 3 2 2 3 3 2" xfId="44658"/>
    <cellStyle name="标题 1 2 3 2 2 4" xfId="44659"/>
    <cellStyle name="标题 1 2 3 2 2 5" xfId="44660"/>
    <cellStyle name="标题 1 2 3 2 2 6" xfId="44661"/>
    <cellStyle name="标题 1 2 3 2 3" xfId="44662"/>
    <cellStyle name="标题 1 2 3 2 3 2" xfId="44663"/>
    <cellStyle name="标题 1 2 3 2 3 3" xfId="44664"/>
    <cellStyle name="标题 1 2 3 2 3 3 2" xfId="44665"/>
    <cellStyle name="标题 1 2 3 2 3 3 2 2" xfId="44666"/>
    <cellStyle name="标题 1 2 3 2 3 4" xfId="44667"/>
    <cellStyle name="标题 1 2 3 2 3 4 2" xfId="44668"/>
    <cellStyle name="标题 1 2 3 2 4" xfId="44669"/>
    <cellStyle name="标题 1 2 3 2 4 2" xfId="44670"/>
    <cellStyle name="标题 1 2 3 2 4 2 2" xfId="44671"/>
    <cellStyle name="标题 1 2 3 2 4 2 2 2" xfId="44672"/>
    <cellStyle name="标题 1 2 3 2 4 3" xfId="44673"/>
    <cellStyle name="标题 1 2 3 2 4 3 2" xfId="44674"/>
    <cellStyle name="标题 1 2 3 2 5" xfId="44675"/>
    <cellStyle name="标题 1 2 3 2 6" xfId="44676"/>
    <cellStyle name="标题 1 2 3 2 7" xfId="44677"/>
    <cellStyle name="标题 1 2 3 3" xfId="44678"/>
    <cellStyle name="标题 1 2 3 3 2" xfId="44679"/>
    <cellStyle name="标题 1 2 3 3 2 2" xfId="44680"/>
    <cellStyle name="标题 1 2 3 3 2 3" xfId="44681"/>
    <cellStyle name="标题 1 2 3 3 2 3 2" xfId="44682"/>
    <cellStyle name="标题 1 2 3 3 2 3 2 2" xfId="44683"/>
    <cellStyle name="标题 1 2 3 3 2 4" xfId="44684"/>
    <cellStyle name="标题 1 2 3 3 2 4 2" xfId="44685"/>
    <cellStyle name="标题 1 2 3 3 3" xfId="44686"/>
    <cellStyle name="标题 1 2 3 3 3 2" xfId="44687"/>
    <cellStyle name="标题 1 2 3 3 3 2 2" xfId="44688"/>
    <cellStyle name="标题 1 2 3 3 3 2 2 2" xfId="44689"/>
    <cellStyle name="标题 1 2 3 3 3 3" xfId="44690"/>
    <cellStyle name="标题 1 2 3 3 3 3 2" xfId="44691"/>
    <cellStyle name="标题 1 2 3 3 4" xfId="44692"/>
    <cellStyle name="标题 1 2 3 3 5" xfId="44693"/>
    <cellStyle name="标题 1 2 3 3 6" xfId="44694"/>
    <cellStyle name="标题 1 2 3 4" xfId="44695"/>
    <cellStyle name="标题 1 2 3 4 2" xfId="44696"/>
    <cellStyle name="标题 1 2 3 4 2 2" xfId="44697"/>
    <cellStyle name="标题 1 2 3 4 2 3" xfId="44698"/>
    <cellStyle name="标题 1 2 3 4 2 3 2" xfId="44699"/>
    <cellStyle name="标题 1 2 3 4 2 3 2 2" xfId="44700"/>
    <cellStyle name="标题 1 2 3 4 2 4" xfId="44701"/>
    <cellStyle name="标题 1 2 3 4 2 4 2" xfId="44702"/>
    <cellStyle name="标题 1 2 3 4 3" xfId="44703"/>
    <cellStyle name="标题 1 2 3 4 4" xfId="44704"/>
    <cellStyle name="标题 1 2 3 4 5" xfId="44705"/>
    <cellStyle name="标题 1 2 3 4 6" xfId="44706"/>
    <cellStyle name="标题 1 2 3 5" xfId="44707"/>
    <cellStyle name="标题 1 2 3 5 2" xfId="44708"/>
    <cellStyle name="标题 1 2 3 5 2 2" xfId="44709"/>
    <cellStyle name="标题 1 2 3 5 2 2 2" xfId="44710"/>
    <cellStyle name="标题 1 2 3 5 2 2 2 2" xfId="44711"/>
    <cellStyle name="标题 1 2 3 5 2 3" xfId="44712"/>
    <cellStyle name="标题 1 2 3 5 2 3 2" xfId="44713"/>
    <cellStyle name="标题 1 2 3 5 3" xfId="44714"/>
    <cellStyle name="标题 1 2 3 5 3 2" xfId="44715"/>
    <cellStyle name="标题 1 2 3 5 3 2 2" xfId="44716"/>
    <cellStyle name="标题 1 2 3 5 4" xfId="44717"/>
    <cellStyle name="标题 1 2 3 5 4 2" xfId="44718"/>
    <cellStyle name="标题 1 2 3 6" xfId="44719"/>
    <cellStyle name="标题 1 2 3 6 2" xfId="44720"/>
    <cellStyle name="标题 1 2 3 6 2 2" xfId="44721"/>
    <cellStyle name="标题 1 2 3 6 2 2 2" xfId="44722"/>
    <cellStyle name="标题 1 2 3 6 3" xfId="44723"/>
    <cellStyle name="标题 1 2 3 6 3 2" xfId="44724"/>
    <cellStyle name="标题 1 2 3 7" xfId="44725"/>
    <cellStyle name="标题 1 2 3 7 2" xfId="44726"/>
    <cellStyle name="标题 1 2 3 7 2 2" xfId="44727"/>
    <cellStyle name="标题 1 2 3 7 2 2 2" xfId="44728"/>
    <cellStyle name="标题 1 2 3 7 3" xfId="44729"/>
    <cellStyle name="标题 1 2 3 7 3 2" xfId="44730"/>
    <cellStyle name="标题 1 2 3 8" xfId="44731"/>
    <cellStyle name="标题 1 2 3 9" xfId="44732"/>
    <cellStyle name="标题 1 2 4" xfId="44733"/>
    <cellStyle name="标题 1 2 4 2" xfId="44734"/>
    <cellStyle name="标题 1 2 4 2 2" xfId="44735"/>
    <cellStyle name="标题 1 2 4 2 3" xfId="44736"/>
    <cellStyle name="标题 1 2 4 2 3 2" xfId="44737"/>
    <cellStyle name="标题 1 2 4 2 3 2 2" xfId="44738"/>
    <cellStyle name="标题 1 2 4 2 4" xfId="44739"/>
    <cellStyle name="标题 1 2 4 2 4 2" xfId="44740"/>
    <cellStyle name="标题 1 2 4 3" xfId="44741"/>
    <cellStyle name="标题 1 2 4 3 2" xfId="44742"/>
    <cellStyle name="标题 1 2 4 3 2 2" xfId="44743"/>
    <cellStyle name="标题 1 2 4 3 2 2 2" xfId="44744"/>
    <cellStyle name="标题 1 2 4 3 3" xfId="44745"/>
    <cellStyle name="标题 1 2 4 3 3 2" xfId="44746"/>
    <cellStyle name="标题 1 2 4 4" xfId="44747"/>
    <cellStyle name="标题 1 2 4 5" xfId="44748"/>
    <cellStyle name="标题 1 2 4 6" xfId="44749"/>
    <cellStyle name="标题 1 2 5" xfId="44750"/>
    <cellStyle name="标题 1 2 5 2" xfId="44751"/>
    <cellStyle name="标题 1 2 5 2 2" xfId="44752"/>
    <cellStyle name="标题 1 2 5 2 3" xfId="44753"/>
    <cellStyle name="标题 1 2 5 2 3 2" xfId="44754"/>
    <cellStyle name="标题 1 2 5 2 3 2 2" xfId="44755"/>
    <cellStyle name="标题 1 2 5 2 4" xfId="44756"/>
    <cellStyle name="标题 1 2 5 2 4 2" xfId="44757"/>
    <cellStyle name="标题 1 2 5 3" xfId="44758"/>
    <cellStyle name="标题 1 2 5 4" xfId="44759"/>
    <cellStyle name="标题 1 2 5 5" xfId="44760"/>
    <cellStyle name="标题 1 2 5 6" xfId="44761"/>
    <cellStyle name="标题 1 2 6" xfId="44762"/>
    <cellStyle name="标题 1 2 6 2" xfId="44763"/>
    <cellStyle name="标题 1 2 6 2 2" xfId="44764"/>
    <cellStyle name="标题 1 2 6 2 2 2" xfId="44765"/>
    <cellStyle name="标题 1 2 6 2 2 2 2" xfId="44766"/>
    <cellStyle name="标题 1 2 6 2 3" xfId="44767"/>
    <cellStyle name="标题 1 2 6 2 3 2" xfId="44768"/>
    <cellStyle name="标题 1 2 6 3" xfId="44769"/>
    <cellStyle name="标题 1 2 6 3 2" xfId="44770"/>
    <cellStyle name="标题 1 2 6 3 2 2" xfId="44771"/>
    <cellStyle name="标题 1 2 6 4" xfId="44772"/>
    <cellStyle name="标题 1 2 6 4 2" xfId="44773"/>
    <cellStyle name="标题 1 2 7" xfId="44774"/>
    <cellStyle name="标题 1 2 7 2" xfId="44775"/>
    <cellStyle name="标题 1 2 7 2 2" xfId="44776"/>
    <cellStyle name="标题 1 2 7 2 2 2" xfId="44777"/>
    <cellStyle name="标题 1 2 7 2 2 2 2" xfId="44778"/>
    <cellStyle name="标题 1 2 7 2 3" xfId="44779"/>
    <cellStyle name="标题 1 2 7 2 3 2" xfId="44780"/>
    <cellStyle name="标题 1 2 7 3" xfId="44781"/>
    <cellStyle name="标题 1 2 7 3 2" xfId="44782"/>
    <cellStyle name="标题 1 2 7 3 2 2" xfId="44783"/>
    <cellStyle name="标题 1 2 7 4" xfId="44784"/>
    <cellStyle name="标题 1 2 7 4 2" xfId="44785"/>
    <cellStyle name="标题 1 2 8" xfId="44786"/>
    <cellStyle name="标题 1 2 8 2" xfId="44787"/>
    <cellStyle name="标题 1 2 8 2 2" xfId="44788"/>
    <cellStyle name="标题 1 2 8 2 2 2" xfId="44789"/>
    <cellStyle name="标题 1 2 8 2 2 2 2" xfId="44790"/>
    <cellStyle name="标题 1 2 8 2 3" xfId="44791"/>
    <cellStyle name="标题 1 2 8 2 3 2" xfId="44792"/>
    <cellStyle name="标题 1 2 8 3" xfId="44793"/>
    <cellStyle name="标题 1 2 8 3 2" xfId="44794"/>
    <cellStyle name="标题 1 2 8 3 2 2" xfId="44795"/>
    <cellStyle name="标题 1 2 8 4" xfId="44796"/>
    <cellStyle name="标题 1 2 8 4 2" xfId="44797"/>
    <cellStyle name="标题 1 2 9" xfId="44798"/>
    <cellStyle name="标题 1 2 9 2" xfId="44799"/>
    <cellStyle name="标题 1 2 9 2 2" xfId="44800"/>
    <cellStyle name="标题 1 2 9 2 2 2" xfId="44801"/>
    <cellStyle name="标题 1 2 9 3" xfId="44802"/>
    <cellStyle name="标题 1 2 9 3 2" xfId="44803"/>
    <cellStyle name="标题 1 3" xfId="44804"/>
    <cellStyle name="标题 1 3 2" xfId="44805"/>
    <cellStyle name="标题 1 3 2 2" xfId="44806"/>
    <cellStyle name="标题 1 3 2 2 2" xfId="44807"/>
    <cellStyle name="标题 1 3 2 2 2 2" xfId="44808"/>
    <cellStyle name="标题 1 3 2 2 2 3" xfId="44809"/>
    <cellStyle name="标题 1 3 2 2 2 3 2" xfId="44810"/>
    <cellStyle name="标题 1 3 2 2 2 3 2 2" xfId="44811"/>
    <cellStyle name="标题 1 3 2 2 2 4" xfId="44812"/>
    <cellStyle name="标题 1 3 2 2 2 4 2" xfId="44813"/>
    <cellStyle name="标题 1 3 2 2 3" xfId="44814"/>
    <cellStyle name="标题 1 3 2 2 3 2" xfId="44815"/>
    <cellStyle name="标题 1 3 2 2 3 2 2" xfId="44816"/>
    <cellStyle name="标题 1 3 2 2 3 2 2 2" xfId="44817"/>
    <cellStyle name="标题 1 3 2 2 3 3" xfId="44818"/>
    <cellStyle name="标题 1 3 2 2 3 3 2" xfId="44819"/>
    <cellStyle name="标题 1 3 2 2 4" xfId="44820"/>
    <cellStyle name="标题 1 3 2 2 5" xfId="44821"/>
    <cellStyle name="标题 1 3 2 2 6" xfId="44822"/>
    <cellStyle name="标题 1 3 2 3" xfId="44823"/>
    <cellStyle name="标题 1 3 2 3 2" xfId="44824"/>
    <cellStyle name="标题 1 3 2 3 3" xfId="44825"/>
    <cellStyle name="标题 1 3 2 3 3 2" xfId="44826"/>
    <cellStyle name="标题 1 3 2 3 3 2 2" xfId="44827"/>
    <cellStyle name="标题 1 3 2 3 4" xfId="44828"/>
    <cellStyle name="标题 1 3 2 3 4 2" xfId="44829"/>
    <cellStyle name="标题 1 3 2 4" xfId="44830"/>
    <cellStyle name="标题 1 3 2 4 2" xfId="44831"/>
    <cellStyle name="标题 1 3 2 4 2 2" xfId="44832"/>
    <cellStyle name="标题 1 3 2 4 2 2 2" xfId="44833"/>
    <cellStyle name="标题 1 3 2 4 3" xfId="44834"/>
    <cellStyle name="标题 1 3 2 4 3 2" xfId="44835"/>
    <cellStyle name="标题 1 3 2 5" xfId="44836"/>
    <cellStyle name="标题 1 3 2 6" xfId="44837"/>
    <cellStyle name="标题 1 3 2 7" xfId="44838"/>
    <cellStyle name="标题 1 3 3" xfId="44839"/>
    <cellStyle name="标题 1 3 3 2" xfId="44840"/>
    <cellStyle name="标题 1 3 3 2 2" xfId="44841"/>
    <cellStyle name="标题 1 3 3 2 3" xfId="44842"/>
    <cellStyle name="标题 1 3 3 2 3 2" xfId="44843"/>
    <cellStyle name="标题 1 3 3 2 3 2 2" xfId="44844"/>
    <cellStyle name="标题 1 3 3 2 4" xfId="44845"/>
    <cellStyle name="标题 1 3 3 2 4 2" xfId="44846"/>
    <cellStyle name="标题 1 3 3 3" xfId="44847"/>
    <cellStyle name="标题 1 3 3 3 2" xfId="44848"/>
    <cellStyle name="标题 1 3 3 3 2 2" xfId="44849"/>
    <cellStyle name="标题 1 3 3 3 2 2 2" xfId="44850"/>
    <cellStyle name="标题 1 3 3 3 3" xfId="44851"/>
    <cellStyle name="标题 1 3 3 3 3 2" xfId="44852"/>
    <cellStyle name="标题 1 3 3 4" xfId="44853"/>
    <cellStyle name="标题 1 3 3 5" xfId="44854"/>
    <cellStyle name="标题 1 3 3 6" xfId="44855"/>
    <cellStyle name="标题 1 3 4" xfId="44856"/>
    <cellStyle name="标题 1 3 4 2" xfId="44857"/>
    <cellStyle name="标题 1 3 4 2 2" xfId="44858"/>
    <cellStyle name="标题 1 3 4 2 3" xfId="44859"/>
    <cellStyle name="标题 1 3 4 2 3 2" xfId="44860"/>
    <cellStyle name="标题 1 3 4 2 3 2 2" xfId="44861"/>
    <cellStyle name="标题 1 3 4 2 4" xfId="44862"/>
    <cellStyle name="标题 1 3 4 2 4 2" xfId="44863"/>
    <cellStyle name="标题 1 3 4 3" xfId="44864"/>
    <cellStyle name="标题 1 3 4 4" xfId="44865"/>
    <cellStyle name="标题 1 3 4 5" xfId="44866"/>
    <cellStyle name="标题 1 3 4 6" xfId="44867"/>
    <cellStyle name="标题 1 3 5" xfId="44868"/>
    <cellStyle name="标题 1 3 5 2" xfId="44869"/>
    <cellStyle name="标题 1 3 5 2 2" xfId="44870"/>
    <cellStyle name="标题 1 3 5 2 2 2" xfId="44871"/>
    <cellStyle name="标题 1 3 5 2 2 2 2" xfId="44872"/>
    <cellStyle name="标题 1 3 5 2 3" xfId="44873"/>
    <cellStyle name="标题 1 3 5 2 3 2" xfId="44874"/>
    <cellStyle name="标题 1 3 5 3" xfId="44875"/>
    <cellStyle name="标题 1 3 5 3 2" xfId="44876"/>
    <cellStyle name="标题 1 3 5 3 2 2" xfId="44877"/>
    <cellStyle name="标题 1 3 5 4" xfId="44878"/>
    <cellStyle name="标题 1 3 5 4 2" xfId="44879"/>
    <cellStyle name="标题 1 3 6" xfId="44880"/>
    <cellStyle name="标题 1 3 6 2" xfId="44881"/>
    <cellStyle name="标题 1 3 6 2 2" xfId="44882"/>
    <cellStyle name="标题 1 3 6 2 2 2" xfId="44883"/>
    <cellStyle name="标题 1 3 6 3" xfId="44884"/>
    <cellStyle name="标题 1 3 6 3 2" xfId="44885"/>
    <cellStyle name="标题 1 3 7" xfId="44886"/>
    <cellStyle name="标题 1 3 8" xfId="44887"/>
    <cellStyle name="标题 2 2" xfId="44888"/>
    <cellStyle name="标题 2 2 10" xfId="44889"/>
    <cellStyle name="标题 2 2 11" xfId="44890"/>
    <cellStyle name="标题 2 2 2" xfId="44891"/>
    <cellStyle name="标题 2 2 2 10" xfId="44892"/>
    <cellStyle name="标题 2 2 2 11" xfId="44893"/>
    <cellStyle name="标题 2 2 2 2" xfId="44894"/>
    <cellStyle name="标题 2 2 2 2 2" xfId="44895"/>
    <cellStyle name="标题 2 2 2 2 2 2" xfId="44896"/>
    <cellStyle name="标题 2 2 2 2 2 2 2" xfId="44897"/>
    <cellStyle name="标题 2 2 2 2 2 2 3" xfId="44898"/>
    <cellStyle name="标题 2 2 2 2 2 2 3 2" xfId="44899"/>
    <cellStyle name="标题 2 2 2 2 2 2 3 2 2" xfId="44900"/>
    <cellStyle name="标题 2 2 2 2 2 2 4" xfId="44901"/>
    <cellStyle name="标题 2 2 2 2 2 2 4 2" xfId="44902"/>
    <cellStyle name="标题 2 2 2 2 2 3" xfId="44903"/>
    <cellStyle name="标题 2 2 2 2 2 3 2" xfId="44904"/>
    <cellStyle name="标题 2 2 2 2 2 3 2 2" xfId="44905"/>
    <cellStyle name="标题 2 2 2 2 2 3 2 2 2" xfId="44906"/>
    <cellStyle name="标题 2 2 2 2 2 3 3" xfId="44907"/>
    <cellStyle name="标题 2 2 2 2 2 3 3 2" xfId="44908"/>
    <cellStyle name="标题 2 2 2 2 2 4" xfId="44909"/>
    <cellStyle name="标题 2 2 2 2 2 5" xfId="44910"/>
    <cellStyle name="标题 2 2 2 2 2 6" xfId="44911"/>
    <cellStyle name="标题 2 2 2 2 3" xfId="44912"/>
    <cellStyle name="标题 2 2 2 2 3 2" xfId="44913"/>
    <cellStyle name="标题 2 2 2 2 3 3" xfId="44914"/>
    <cellStyle name="标题 2 2 2 2 3 3 2" xfId="44915"/>
    <cellStyle name="标题 2 2 2 2 3 3 2 2" xfId="44916"/>
    <cellStyle name="标题 2 2 2 2 3 4" xfId="44917"/>
    <cellStyle name="标题 2 2 2 2 3 4 2" xfId="44918"/>
    <cellStyle name="标题 2 2 2 2 4" xfId="44919"/>
    <cellStyle name="标题 2 2 2 2 4 2" xfId="44920"/>
    <cellStyle name="标题 2 2 2 2 4 2 2" xfId="44921"/>
    <cellStyle name="标题 2 2 2 2 4 2 2 2" xfId="44922"/>
    <cellStyle name="标题 2 2 2 2 4 3" xfId="44923"/>
    <cellStyle name="标题 2 2 2 2 4 3 2" xfId="44924"/>
    <cellStyle name="标题 2 2 2 2 5" xfId="44925"/>
    <cellStyle name="标题 2 2 2 2 6" xfId="44926"/>
    <cellStyle name="标题 2 2 2 2 7" xfId="44927"/>
    <cellStyle name="标题 2 2 2 3" xfId="44928"/>
    <cellStyle name="标题 2 2 2 3 2" xfId="44929"/>
    <cellStyle name="标题 2 2 2 3 2 2" xfId="44930"/>
    <cellStyle name="标题 2 2 2 3 2 3" xfId="44931"/>
    <cellStyle name="标题 2 2 2 3 2 3 2" xfId="44932"/>
    <cellStyle name="标题 2 2 2 3 2 3 2 2" xfId="44933"/>
    <cellStyle name="标题 2 2 2 3 2 4" xfId="44934"/>
    <cellStyle name="标题 2 2 2 3 2 4 2" xfId="44935"/>
    <cellStyle name="标题 2 2 2 3 3" xfId="44936"/>
    <cellStyle name="标题 2 2 2 3 3 2" xfId="44937"/>
    <cellStyle name="标题 2 2 2 3 3 2 2" xfId="44938"/>
    <cellStyle name="标题 2 2 2 3 3 2 2 2" xfId="44939"/>
    <cellStyle name="标题 2 2 2 3 3 3" xfId="44940"/>
    <cellStyle name="标题 2 2 2 3 3 3 2" xfId="44941"/>
    <cellStyle name="标题 2 2 2 3 4" xfId="44942"/>
    <cellStyle name="标题 2 2 2 3 5" xfId="44943"/>
    <cellStyle name="标题 2 2 2 3 6" xfId="44944"/>
    <cellStyle name="标题 2 2 2 4" xfId="44945"/>
    <cellStyle name="标题 2 2 2 4 2" xfId="44946"/>
    <cellStyle name="标题 2 2 2 4 2 2" xfId="44947"/>
    <cellStyle name="标题 2 2 2 4 2 3" xfId="44948"/>
    <cellStyle name="标题 2 2 2 4 2 3 2" xfId="44949"/>
    <cellStyle name="标题 2 2 2 4 2 3 2 2" xfId="44950"/>
    <cellStyle name="标题 2 2 2 4 2 4" xfId="44951"/>
    <cellStyle name="标题 2 2 2 4 2 4 2" xfId="44952"/>
    <cellStyle name="标题 2 2 2 4 3" xfId="44953"/>
    <cellStyle name="标题 2 2 2 4 4" xfId="44954"/>
    <cellStyle name="标题 2 2 2 4 5" xfId="44955"/>
    <cellStyle name="标题 2 2 2 4 6" xfId="44956"/>
    <cellStyle name="标题 2 2 2 5" xfId="44957"/>
    <cellStyle name="标题 2 2 2 5 2" xfId="44958"/>
    <cellStyle name="标题 2 2 2 5 2 2" xfId="44959"/>
    <cellStyle name="标题 2 2 2 5 2 2 2" xfId="44960"/>
    <cellStyle name="标题 2 2 2 5 2 2 2 2" xfId="44961"/>
    <cellStyle name="标题 2 2 2 5 2 3" xfId="44962"/>
    <cellStyle name="标题 2 2 2 5 2 3 2" xfId="44963"/>
    <cellStyle name="标题 2 2 2 5 3" xfId="44964"/>
    <cellStyle name="标题 2 2 2 5 3 2" xfId="44965"/>
    <cellStyle name="标题 2 2 2 5 3 2 2" xfId="44966"/>
    <cellStyle name="标题 2 2 2 5 4" xfId="44967"/>
    <cellStyle name="标题 2 2 2 5 4 2" xfId="44968"/>
    <cellStyle name="标题 2 2 2 6" xfId="44969"/>
    <cellStyle name="标题 2 2 2 6 2" xfId="44970"/>
    <cellStyle name="标题 2 2 2 6 2 2" xfId="44971"/>
    <cellStyle name="标题 2 2 2 6 2 2 2" xfId="44972"/>
    <cellStyle name="标题 2 2 2 6 2 2 2 2" xfId="44973"/>
    <cellStyle name="标题 2 2 2 6 2 3" xfId="44974"/>
    <cellStyle name="标题 2 2 2 6 2 3 2" xfId="44975"/>
    <cellStyle name="标题 2 2 2 6 3" xfId="44976"/>
    <cellStyle name="标题 2 2 2 6 3 2" xfId="44977"/>
    <cellStyle name="标题 2 2 2 6 3 2 2" xfId="44978"/>
    <cellStyle name="标题 2 2 2 6 4" xfId="44979"/>
    <cellStyle name="标题 2 2 2 6 4 2" xfId="44980"/>
    <cellStyle name="标题 2 2 2 7" xfId="44981"/>
    <cellStyle name="标题 2 2 2 7 2" xfId="44982"/>
    <cellStyle name="标题 2 2 2 7 2 2" xfId="44983"/>
    <cellStyle name="标题 2 2 2 7 2 2 2" xfId="44984"/>
    <cellStyle name="标题 2 2 2 7 2 2 2 2" xfId="44985"/>
    <cellStyle name="标题 2 2 2 7 2 3" xfId="44986"/>
    <cellStyle name="标题 2 2 2 7 2 3 2" xfId="44987"/>
    <cellStyle name="标题 2 2 2 7 3" xfId="44988"/>
    <cellStyle name="标题 2 2 2 7 3 2" xfId="44989"/>
    <cellStyle name="标题 2 2 2 7 3 2 2" xfId="44990"/>
    <cellStyle name="标题 2 2 2 7 4" xfId="44991"/>
    <cellStyle name="标题 2 2 2 7 4 2" xfId="44992"/>
    <cellStyle name="标题 2 2 2 8" xfId="44993"/>
    <cellStyle name="标题 2 2 2 8 2" xfId="44994"/>
    <cellStyle name="标题 2 2 2 8 2 2" xfId="44995"/>
    <cellStyle name="标题 2 2 2 8 2 2 2" xfId="44996"/>
    <cellStyle name="标题 2 2 2 8 3" xfId="44997"/>
    <cellStyle name="标题 2 2 2 8 3 2" xfId="44998"/>
    <cellStyle name="标题 2 2 2 9" xfId="44999"/>
    <cellStyle name="标题 2 2 2 9 2" xfId="45000"/>
    <cellStyle name="标题 2 2 2 9 2 2" xfId="45001"/>
    <cellStyle name="标题 2 2 2 9 2 2 2" xfId="45002"/>
    <cellStyle name="标题 2 2 2 9 3" xfId="45003"/>
    <cellStyle name="标题 2 2 2 9 3 2" xfId="45004"/>
    <cellStyle name="标题 2 2 3" xfId="45005"/>
    <cellStyle name="标题 2 2 3 2" xfId="45006"/>
    <cellStyle name="标题 2 2 3 2 2" xfId="45007"/>
    <cellStyle name="标题 2 2 3 2 2 2" xfId="45008"/>
    <cellStyle name="标题 2 2 3 2 2 2 2" xfId="45009"/>
    <cellStyle name="标题 2 2 3 2 2 2 3" xfId="45010"/>
    <cellStyle name="标题 2 2 3 2 2 2 3 2" xfId="45011"/>
    <cellStyle name="标题 2 2 3 2 2 2 3 2 2" xfId="45012"/>
    <cellStyle name="标题 2 2 3 2 2 2 4" xfId="45013"/>
    <cellStyle name="标题 2 2 3 2 2 2 4 2" xfId="45014"/>
    <cellStyle name="标题 2 2 3 2 2 3" xfId="45015"/>
    <cellStyle name="标题 2 2 3 2 2 3 2" xfId="45016"/>
    <cellStyle name="标题 2 2 3 2 2 3 2 2" xfId="45017"/>
    <cellStyle name="标题 2 2 3 2 2 3 2 2 2" xfId="45018"/>
    <cellStyle name="标题 2 2 3 2 2 3 3" xfId="45019"/>
    <cellStyle name="标题 2 2 3 2 2 3 3 2" xfId="45020"/>
    <cellStyle name="标题 2 2 3 2 2 4" xfId="45021"/>
    <cellStyle name="标题 2 2 3 2 2 5" xfId="45022"/>
    <cellStyle name="标题 2 2 3 2 2 6" xfId="45023"/>
    <cellStyle name="标题 2 2 3 2 3" xfId="45024"/>
    <cellStyle name="标题 2 2 3 2 3 2" xfId="45025"/>
    <cellStyle name="标题 2 2 3 2 3 3" xfId="45026"/>
    <cellStyle name="标题 2 2 3 2 3 3 2" xfId="45027"/>
    <cellStyle name="标题 2 2 3 2 3 3 2 2" xfId="45028"/>
    <cellStyle name="标题 2 2 3 2 3 4" xfId="45029"/>
    <cellStyle name="标题 2 2 3 2 3 4 2" xfId="45030"/>
    <cellStyle name="标题 2 2 3 2 4" xfId="45031"/>
    <cellStyle name="标题 2 2 3 2 4 2" xfId="45032"/>
    <cellStyle name="标题 2 2 3 2 4 2 2" xfId="45033"/>
    <cellStyle name="标题 2 2 3 2 4 2 2 2" xfId="45034"/>
    <cellStyle name="标题 2 2 3 2 4 3" xfId="45035"/>
    <cellStyle name="标题 2 2 3 2 4 3 2" xfId="45036"/>
    <cellStyle name="标题 2 2 3 2 5" xfId="45037"/>
    <cellStyle name="标题 2 2 3 2 6" xfId="45038"/>
    <cellStyle name="标题 2 2 3 2 7" xfId="45039"/>
    <cellStyle name="标题 2 2 3 3" xfId="45040"/>
    <cellStyle name="标题 2 2 3 3 2" xfId="45041"/>
    <cellStyle name="标题 2 2 3 3 2 2" xfId="45042"/>
    <cellStyle name="标题 2 2 3 3 2 3" xfId="45043"/>
    <cellStyle name="标题 2 2 3 3 2 3 2" xfId="45044"/>
    <cellStyle name="标题 2 2 3 3 2 3 2 2" xfId="45045"/>
    <cellStyle name="标题 2 2 3 3 2 4" xfId="45046"/>
    <cellStyle name="标题 2 2 3 3 2 4 2" xfId="45047"/>
    <cellStyle name="标题 2 2 3 3 3" xfId="45048"/>
    <cellStyle name="标题 2 2 3 3 3 2" xfId="45049"/>
    <cellStyle name="标题 2 2 3 3 3 2 2" xfId="45050"/>
    <cellStyle name="标题 2 2 3 3 3 2 2 2" xfId="45051"/>
    <cellStyle name="标题 2 2 3 3 3 3" xfId="45052"/>
    <cellStyle name="标题 2 2 3 3 3 3 2" xfId="45053"/>
    <cellStyle name="标题 2 2 3 3 4" xfId="45054"/>
    <cellStyle name="标题 2 2 3 3 5" xfId="45055"/>
    <cellStyle name="标题 2 2 3 3 6" xfId="45056"/>
    <cellStyle name="标题 2 2 3 4" xfId="45057"/>
    <cellStyle name="标题 2 2 3 4 2" xfId="45058"/>
    <cellStyle name="标题 2 2 3 4 2 2" xfId="45059"/>
    <cellStyle name="标题 2 2 3 4 2 3" xfId="45060"/>
    <cellStyle name="标题 2 2 3 4 2 3 2" xfId="45061"/>
    <cellStyle name="标题 2 2 3 4 2 3 2 2" xfId="45062"/>
    <cellStyle name="标题 2 2 3 4 2 4" xfId="45063"/>
    <cellStyle name="标题 2 2 3 4 2 4 2" xfId="45064"/>
    <cellStyle name="标题 2 2 3 4 3" xfId="45065"/>
    <cellStyle name="标题 2 2 3 4 4" xfId="45066"/>
    <cellStyle name="标题 2 2 3 4 5" xfId="45067"/>
    <cellStyle name="标题 2 2 3 4 6" xfId="45068"/>
    <cellStyle name="标题 2 2 3 5" xfId="45069"/>
    <cellStyle name="标题 2 2 3 5 2" xfId="45070"/>
    <cellStyle name="标题 2 2 3 5 2 2" xfId="45071"/>
    <cellStyle name="标题 2 2 3 5 2 2 2" xfId="45072"/>
    <cellStyle name="标题 2 2 3 5 2 2 2 2" xfId="45073"/>
    <cellStyle name="标题 2 2 3 5 2 3" xfId="45074"/>
    <cellStyle name="标题 2 2 3 5 2 3 2" xfId="45075"/>
    <cellStyle name="标题 2 2 3 5 3" xfId="45076"/>
    <cellStyle name="标题 2 2 3 5 3 2" xfId="45077"/>
    <cellStyle name="标题 2 2 3 5 3 2 2" xfId="45078"/>
    <cellStyle name="标题 2 2 3 5 4" xfId="45079"/>
    <cellStyle name="标题 2 2 3 5 4 2" xfId="45080"/>
    <cellStyle name="标题 2 2 3 6" xfId="45081"/>
    <cellStyle name="标题 2 2 3 6 2" xfId="45082"/>
    <cellStyle name="标题 2 2 3 6 2 2" xfId="45083"/>
    <cellStyle name="标题 2 2 3 6 2 2 2" xfId="45084"/>
    <cellStyle name="标题 2 2 3 6 3" xfId="45085"/>
    <cellStyle name="标题 2 2 3 6 3 2" xfId="45086"/>
    <cellStyle name="标题 2 2 3 7" xfId="45087"/>
    <cellStyle name="标题 2 2 3 7 2" xfId="45088"/>
    <cellStyle name="标题 2 2 3 7 2 2" xfId="45089"/>
    <cellStyle name="标题 2 2 3 7 2 2 2" xfId="45090"/>
    <cellStyle name="标题 2 2 3 7 3" xfId="45091"/>
    <cellStyle name="标题 2 2 3 7 3 2" xfId="45092"/>
    <cellStyle name="标题 2 2 3 8" xfId="45093"/>
    <cellStyle name="标题 2 2 3 9" xfId="45094"/>
    <cellStyle name="标题 2 2 4" xfId="45095"/>
    <cellStyle name="标题 2 2 4 2" xfId="45096"/>
    <cellStyle name="标题 2 2 4 2 2" xfId="45097"/>
    <cellStyle name="标题 2 2 4 2 3" xfId="45098"/>
    <cellStyle name="标题 2 2 4 2 3 2" xfId="45099"/>
    <cellStyle name="标题 2 2 4 2 3 2 2" xfId="45100"/>
    <cellStyle name="标题 2 2 4 2 4" xfId="45101"/>
    <cellStyle name="标题 2 2 4 2 4 2" xfId="45102"/>
    <cellStyle name="标题 2 2 4 3" xfId="45103"/>
    <cellStyle name="标题 2 2 4 3 2" xfId="45104"/>
    <cellStyle name="标题 2 2 4 3 2 2" xfId="45105"/>
    <cellStyle name="标题 2 2 4 3 2 2 2" xfId="45106"/>
    <cellStyle name="标题 2 2 4 3 3" xfId="45107"/>
    <cellStyle name="标题 2 2 4 3 3 2" xfId="45108"/>
    <cellStyle name="标题 2 2 4 4" xfId="45109"/>
    <cellStyle name="标题 2 2 4 5" xfId="45110"/>
    <cellStyle name="标题 2 2 4 6" xfId="45111"/>
    <cellStyle name="标题 2 2 5" xfId="45112"/>
    <cellStyle name="标题 2 2 5 2" xfId="45113"/>
    <cellStyle name="标题 2 2 5 2 2" xfId="45114"/>
    <cellStyle name="标题 2 2 5 2 3" xfId="45115"/>
    <cellStyle name="标题 2 2 5 2 3 2" xfId="45116"/>
    <cellStyle name="标题 2 2 5 2 3 2 2" xfId="45117"/>
    <cellStyle name="标题 2 2 5 2 4" xfId="45118"/>
    <cellStyle name="标题 2 2 5 2 4 2" xfId="45119"/>
    <cellStyle name="标题 2 2 5 3" xfId="45120"/>
    <cellStyle name="标题 2 2 5 4" xfId="45121"/>
    <cellStyle name="标题 2 2 5 5" xfId="45122"/>
    <cellStyle name="标题 2 2 5 6" xfId="45123"/>
    <cellStyle name="标题 2 2 6" xfId="45124"/>
    <cellStyle name="标题 2 2 6 2" xfId="45125"/>
    <cellStyle name="标题 2 2 6 2 2" xfId="45126"/>
    <cellStyle name="标题 2 2 6 2 2 2" xfId="45127"/>
    <cellStyle name="标题 2 2 6 2 2 2 2" xfId="45128"/>
    <cellStyle name="标题 2 2 6 2 3" xfId="45129"/>
    <cellStyle name="标题 2 2 6 2 3 2" xfId="45130"/>
    <cellStyle name="标题 2 2 6 3" xfId="45131"/>
    <cellStyle name="标题 2 2 6 3 2" xfId="45132"/>
    <cellStyle name="标题 2 2 6 3 2 2" xfId="45133"/>
    <cellStyle name="标题 2 2 6 4" xfId="45134"/>
    <cellStyle name="标题 2 2 6 4 2" xfId="45135"/>
    <cellStyle name="标题 2 2 7" xfId="45136"/>
    <cellStyle name="标题 2 2 7 2" xfId="45137"/>
    <cellStyle name="标题 2 2 7 2 2" xfId="45138"/>
    <cellStyle name="标题 2 2 7 2 2 2" xfId="45139"/>
    <cellStyle name="标题 2 2 7 2 2 2 2" xfId="45140"/>
    <cellStyle name="标题 2 2 7 2 3" xfId="45141"/>
    <cellStyle name="标题 2 2 7 2 3 2" xfId="45142"/>
    <cellStyle name="标题 2 2 7 3" xfId="45143"/>
    <cellStyle name="标题 2 2 7 3 2" xfId="45144"/>
    <cellStyle name="标题 2 2 7 3 2 2" xfId="45145"/>
    <cellStyle name="标题 2 2 7 4" xfId="45146"/>
    <cellStyle name="标题 2 2 7 4 2" xfId="45147"/>
    <cellStyle name="标题 2 2 8" xfId="45148"/>
    <cellStyle name="标题 2 2 8 2" xfId="45149"/>
    <cellStyle name="标题 2 2 8 2 2" xfId="45150"/>
    <cellStyle name="标题 2 2 8 2 2 2" xfId="45151"/>
    <cellStyle name="标题 2 2 8 2 2 2 2" xfId="45152"/>
    <cellStyle name="标题 2 2 8 2 3" xfId="45153"/>
    <cellStyle name="标题 2 2 8 2 3 2" xfId="45154"/>
    <cellStyle name="标题 2 2 8 3" xfId="45155"/>
    <cellStyle name="标题 2 2 8 3 2" xfId="45156"/>
    <cellStyle name="标题 2 2 8 3 2 2" xfId="45157"/>
    <cellStyle name="标题 2 2 8 4" xfId="45158"/>
    <cellStyle name="标题 2 2 8 4 2" xfId="45159"/>
    <cellStyle name="标题 2 2 9" xfId="45160"/>
    <cellStyle name="标题 2 2 9 2" xfId="45161"/>
    <cellStyle name="标题 2 2 9 2 2" xfId="45162"/>
    <cellStyle name="标题 2 2 9 2 2 2" xfId="45163"/>
    <cellStyle name="标题 2 2 9 3" xfId="45164"/>
    <cellStyle name="标题 2 2 9 3 2" xfId="45165"/>
    <cellStyle name="标题 2 3" xfId="45166"/>
    <cellStyle name="标题 2 3 2" xfId="45167"/>
    <cellStyle name="标题 2 3 2 2" xfId="45168"/>
    <cellStyle name="标题 2 3 2 2 2" xfId="45169"/>
    <cellStyle name="标题 2 3 2 2 2 2" xfId="45170"/>
    <cellStyle name="标题 2 3 2 2 2 3" xfId="45171"/>
    <cellStyle name="标题 2 3 2 2 2 3 2" xfId="45172"/>
    <cellStyle name="标题 2 3 2 2 2 3 2 2" xfId="45173"/>
    <cellStyle name="标题 2 3 2 2 2 4" xfId="45174"/>
    <cellStyle name="标题 2 3 2 2 2 4 2" xfId="45175"/>
    <cellStyle name="标题 2 3 2 2 3" xfId="45176"/>
    <cellStyle name="标题 2 3 2 2 3 2" xfId="45177"/>
    <cellStyle name="标题 2 3 2 2 3 2 2" xfId="45178"/>
    <cellStyle name="标题 2 3 2 2 3 2 2 2" xfId="45179"/>
    <cellStyle name="标题 2 3 2 2 3 3" xfId="45180"/>
    <cellStyle name="标题 2 3 2 2 3 3 2" xfId="45181"/>
    <cellStyle name="标题 2 3 2 2 4" xfId="45182"/>
    <cellStyle name="标题 2 3 2 2 5" xfId="45183"/>
    <cellStyle name="标题 2 3 2 2 6" xfId="45184"/>
    <cellStyle name="标题 2 3 2 3" xfId="45185"/>
    <cellStyle name="标题 2 3 2 3 2" xfId="45186"/>
    <cellStyle name="标题 2 3 2 3 3" xfId="45187"/>
    <cellStyle name="标题 2 3 2 3 3 2" xfId="45188"/>
    <cellStyle name="标题 2 3 2 3 3 2 2" xfId="45189"/>
    <cellStyle name="标题 2 3 2 3 4" xfId="45190"/>
    <cellStyle name="标题 2 3 2 3 4 2" xfId="45191"/>
    <cellStyle name="标题 2 3 2 4" xfId="45192"/>
    <cellStyle name="标题 2 3 2 4 2" xfId="45193"/>
    <cellStyle name="标题 2 3 2 4 2 2" xfId="45194"/>
    <cellStyle name="标题 2 3 2 4 2 2 2" xfId="45195"/>
    <cellStyle name="标题 2 3 2 4 3" xfId="45196"/>
    <cellStyle name="标题 2 3 2 4 3 2" xfId="45197"/>
    <cellStyle name="标题 2 3 2 5" xfId="45198"/>
    <cellStyle name="标题 2 3 2 6" xfId="45199"/>
    <cellStyle name="标题 2 3 2 7" xfId="45200"/>
    <cellStyle name="标题 2 3 3" xfId="45201"/>
    <cellStyle name="标题 2 3 3 2" xfId="45202"/>
    <cellStyle name="标题 2 3 3 2 2" xfId="45203"/>
    <cellStyle name="标题 2 3 3 2 3" xfId="45204"/>
    <cellStyle name="标题 2 3 3 2 3 2" xfId="45205"/>
    <cellStyle name="标题 2 3 3 2 3 2 2" xfId="45206"/>
    <cellStyle name="标题 2 3 3 2 4" xfId="45207"/>
    <cellStyle name="标题 2 3 3 2 4 2" xfId="45208"/>
    <cellStyle name="标题 2 3 3 3" xfId="45209"/>
    <cellStyle name="标题 2 3 3 3 2" xfId="45210"/>
    <cellStyle name="标题 2 3 3 3 2 2" xfId="45211"/>
    <cellStyle name="标题 2 3 3 3 2 2 2" xfId="45212"/>
    <cellStyle name="标题 2 3 3 3 3" xfId="45213"/>
    <cellStyle name="标题 2 3 3 3 3 2" xfId="45214"/>
    <cellStyle name="标题 2 3 3 4" xfId="45215"/>
    <cellStyle name="标题 2 3 3 5" xfId="45216"/>
    <cellStyle name="标题 2 3 3 6" xfId="45217"/>
    <cellStyle name="标题 2 3 4" xfId="45218"/>
    <cellStyle name="标题 2 3 4 2" xfId="45219"/>
    <cellStyle name="标题 2 3 4 2 2" xfId="45220"/>
    <cellStyle name="标题 2 3 4 2 3" xfId="45221"/>
    <cellStyle name="标题 2 3 4 2 3 2" xfId="45222"/>
    <cellStyle name="标题 2 3 4 2 3 2 2" xfId="45223"/>
    <cellStyle name="标题 2 3 4 2 4" xfId="45224"/>
    <cellStyle name="标题 2 3 4 2 4 2" xfId="45225"/>
    <cellStyle name="标题 2 3 4 3" xfId="45226"/>
    <cellStyle name="标题 2 3 4 4" xfId="45227"/>
    <cellStyle name="标题 2 3 4 5" xfId="45228"/>
    <cellStyle name="标题 2 3 4 6" xfId="45229"/>
    <cellStyle name="标题 2 3 5" xfId="45230"/>
    <cellStyle name="标题 2 3 5 2" xfId="45231"/>
    <cellStyle name="标题 2 3 5 2 2" xfId="45232"/>
    <cellStyle name="标题 2 3 5 2 2 2" xfId="45233"/>
    <cellStyle name="标题 2 3 5 2 2 2 2" xfId="45234"/>
    <cellStyle name="标题 2 3 5 2 3" xfId="45235"/>
    <cellStyle name="标题 2 3 5 2 3 2" xfId="45236"/>
    <cellStyle name="标题 2 3 5 3" xfId="45237"/>
    <cellStyle name="标题 2 3 5 3 2" xfId="45238"/>
    <cellStyle name="标题 2 3 5 3 2 2" xfId="45239"/>
    <cellStyle name="标题 2 3 5 4" xfId="45240"/>
    <cellStyle name="标题 2 3 5 4 2" xfId="45241"/>
    <cellStyle name="标题 2 3 6" xfId="45242"/>
    <cellStyle name="标题 2 3 6 2" xfId="45243"/>
    <cellStyle name="标题 2 3 6 2 2" xfId="45244"/>
    <cellStyle name="标题 2 3 6 2 2 2" xfId="45245"/>
    <cellStyle name="标题 2 3 6 3" xfId="45246"/>
    <cellStyle name="标题 2 3 6 3 2" xfId="45247"/>
    <cellStyle name="标题 2 3 7" xfId="45248"/>
    <cellStyle name="标题 2 3 8" xfId="45249"/>
    <cellStyle name="标题 3 2" xfId="45250"/>
    <cellStyle name="标题 3 2 10" xfId="45251"/>
    <cellStyle name="标题 3 2 11" xfId="45252"/>
    <cellStyle name="标题 3 2 2" xfId="45253"/>
    <cellStyle name="标题 3 2 2 10" xfId="45254"/>
    <cellStyle name="标题 3 2 2 11" xfId="45255"/>
    <cellStyle name="标题 3 2 2 2" xfId="45256"/>
    <cellStyle name="标题 3 2 2 2 2" xfId="45257"/>
    <cellStyle name="标题 3 2 2 2 2 2" xfId="45258"/>
    <cellStyle name="标题 3 2 2 2 2 2 2" xfId="45259"/>
    <cellStyle name="标题 3 2 2 2 2 2 3" xfId="45260"/>
    <cellStyle name="标题 3 2 2 2 2 2 3 2" xfId="45261"/>
    <cellStyle name="标题 3 2 2 2 2 2 3 2 2" xfId="45262"/>
    <cellStyle name="标题 3 2 2 2 2 2 4" xfId="45263"/>
    <cellStyle name="标题 3 2 2 2 2 2 4 2" xfId="45264"/>
    <cellStyle name="标题 3 2 2 2 2 3" xfId="45265"/>
    <cellStyle name="标题 3 2 2 2 2 3 2" xfId="45266"/>
    <cellStyle name="标题 3 2 2 2 2 3 2 2" xfId="45267"/>
    <cellStyle name="标题 3 2 2 2 2 3 2 2 2" xfId="45268"/>
    <cellStyle name="标题 3 2 2 2 2 3 3" xfId="45269"/>
    <cellStyle name="标题 3 2 2 2 2 3 3 2" xfId="45270"/>
    <cellStyle name="标题 3 2 2 2 2 4" xfId="45271"/>
    <cellStyle name="标题 3 2 2 2 2 5" xfId="45272"/>
    <cellStyle name="标题 3 2 2 2 2 6" xfId="45273"/>
    <cellStyle name="标题 3 2 2 2 3" xfId="45274"/>
    <cellStyle name="标题 3 2 2 2 3 2" xfId="45275"/>
    <cellStyle name="标题 3 2 2 2 3 3" xfId="45276"/>
    <cellStyle name="标题 3 2 2 2 3 3 2" xfId="45277"/>
    <cellStyle name="标题 3 2 2 2 3 3 2 2" xfId="45278"/>
    <cellStyle name="标题 3 2 2 2 3 4" xfId="45279"/>
    <cellStyle name="标题 3 2 2 2 3 4 2" xfId="45280"/>
    <cellStyle name="标题 3 2 2 2 4" xfId="45281"/>
    <cellStyle name="标题 3 2 2 2 4 2" xfId="45282"/>
    <cellStyle name="标题 3 2 2 2 4 2 2" xfId="45283"/>
    <cellStyle name="标题 3 2 2 2 4 2 2 2" xfId="45284"/>
    <cellStyle name="标题 3 2 2 2 4 3" xfId="45285"/>
    <cellStyle name="标题 3 2 2 2 4 3 2" xfId="45286"/>
    <cellStyle name="标题 3 2 2 2 5" xfId="45287"/>
    <cellStyle name="标题 3 2 2 2 6" xfId="45288"/>
    <cellStyle name="标题 3 2 2 2 7" xfId="45289"/>
    <cellStyle name="标题 3 2 2 3" xfId="45290"/>
    <cellStyle name="标题 3 2 2 3 2" xfId="45291"/>
    <cellStyle name="标题 3 2 2 3 2 2" xfId="45292"/>
    <cellStyle name="标题 3 2 2 3 2 3" xfId="45293"/>
    <cellStyle name="标题 3 2 2 3 2 3 2" xfId="45294"/>
    <cellStyle name="标题 3 2 2 3 2 3 2 2" xfId="45295"/>
    <cellStyle name="标题 3 2 2 3 2 4" xfId="45296"/>
    <cellStyle name="标题 3 2 2 3 2 4 2" xfId="45297"/>
    <cellStyle name="标题 3 2 2 3 3" xfId="45298"/>
    <cellStyle name="标题 3 2 2 3 3 2" xfId="45299"/>
    <cellStyle name="标题 3 2 2 3 3 2 2" xfId="45300"/>
    <cellStyle name="标题 3 2 2 3 3 2 2 2" xfId="45301"/>
    <cellStyle name="标题 3 2 2 3 3 3" xfId="45302"/>
    <cellStyle name="标题 3 2 2 3 3 3 2" xfId="45303"/>
    <cellStyle name="标题 3 2 2 3 4" xfId="45304"/>
    <cellStyle name="标题 3 2 2 3 5" xfId="45305"/>
    <cellStyle name="标题 3 2 2 3 6" xfId="45306"/>
    <cellStyle name="标题 3 2 2 4" xfId="45307"/>
    <cellStyle name="标题 3 2 2 4 2" xfId="45308"/>
    <cellStyle name="标题 3 2 2 4 2 2" xfId="45309"/>
    <cellStyle name="标题 3 2 2 4 2 3" xfId="45310"/>
    <cellStyle name="标题 3 2 2 4 2 3 2" xfId="45311"/>
    <cellStyle name="标题 3 2 2 4 2 3 2 2" xfId="45312"/>
    <cellStyle name="标题 3 2 2 4 2 4" xfId="45313"/>
    <cellStyle name="标题 3 2 2 4 2 4 2" xfId="45314"/>
    <cellStyle name="标题 3 2 2 4 3" xfId="45315"/>
    <cellStyle name="标题 3 2 2 4 4" xfId="45316"/>
    <cellStyle name="标题 3 2 2 4 5" xfId="45317"/>
    <cellStyle name="标题 3 2 2 4 6" xfId="45318"/>
    <cellStyle name="标题 3 2 2 5" xfId="45319"/>
    <cellStyle name="标题 3 2 2 5 2" xfId="45320"/>
    <cellStyle name="标题 3 2 2 5 2 2" xfId="45321"/>
    <cellStyle name="标题 3 2 2 5 2 2 2" xfId="45322"/>
    <cellStyle name="标题 3 2 2 5 2 2 2 2" xfId="45323"/>
    <cellStyle name="标题 3 2 2 5 2 3" xfId="45324"/>
    <cellStyle name="标题 3 2 2 5 2 3 2" xfId="45325"/>
    <cellStyle name="标题 3 2 2 5 3" xfId="45326"/>
    <cellStyle name="标题 3 2 2 5 3 2" xfId="45327"/>
    <cellStyle name="标题 3 2 2 5 3 2 2" xfId="45328"/>
    <cellStyle name="标题 3 2 2 5 4" xfId="45329"/>
    <cellStyle name="标题 3 2 2 5 4 2" xfId="45330"/>
    <cellStyle name="标题 3 2 2 6" xfId="45331"/>
    <cellStyle name="标题 3 2 2 6 2" xfId="45332"/>
    <cellStyle name="标题 3 2 2 6 2 2" xfId="45333"/>
    <cellStyle name="标题 3 2 2 6 2 2 2" xfId="45334"/>
    <cellStyle name="标题 3 2 2 6 2 2 2 2" xfId="45335"/>
    <cellStyle name="标题 3 2 2 6 2 3" xfId="45336"/>
    <cellStyle name="标题 3 2 2 6 2 3 2" xfId="45337"/>
    <cellStyle name="标题 3 2 2 6 3" xfId="45338"/>
    <cellStyle name="标题 3 2 2 6 3 2" xfId="45339"/>
    <cellStyle name="标题 3 2 2 6 3 2 2" xfId="45340"/>
    <cellStyle name="标题 3 2 2 6 4" xfId="45341"/>
    <cellStyle name="标题 3 2 2 6 4 2" xfId="45342"/>
    <cellStyle name="标题 3 2 2 7" xfId="45343"/>
    <cellStyle name="标题 3 2 2 7 2" xfId="45344"/>
    <cellStyle name="标题 3 2 2 7 2 2" xfId="45345"/>
    <cellStyle name="标题 3 2 2 7 2 2 2" xfId="45346"/>
    <cellStyle name="标题 3 2 2 7 2 2 2 2" xfId="45347"/>
    <cellStyle name="标题 3 2 2 7 2 3" xfId="45348"/>
    <cellStyle name="标题 3 2 2 7 2 3 2" xfId="45349"/>
    <cellStyle name="标题 3 2 2 7 3" xfId="45350"/>
    <cellStyle name="标题 3 2 2 7 3 2" xfId="45351"/>
    <cellStyle name="标题 3 2 2 7 3 2 2" xfId="45352"/>
    <cellStyle name="标题 3 2 2 7 4" xfId="45353"/>
    <cellStyle name="标题 3 2 2 7 4 2" xfId="45354"/>
    <cellStyle name="标题 3 2 2 8" xfId="45355"/>
    <cellStyle name="标题 3 2 2 8 2" xfId="45356"/>
    <cellStyle name="标题 3 2 2 8 2 2" xfId="45357"/>
    <cellStyle name="标题 3 2 2 8 2 2 2" xfId="45358"/>
    <cellStyle name="标题 3 2 2 8 3" xfId="45359"/>
    <cellStyle name="标题 3 2 2 8 3 2" xfId="45360"/>
    <cellStyle name="标题 3 2 2 9" xfId="45361"/>
    <cellStyle name="标题 3 2 2 9 2" xfId="45362"/>
    <cellStyle name="标题 3 2 2 9 2 2" xfId="45363"/>
    <cellStyle name="标题 3 2 2 9 2 2 2" xfId="45364"/>
    <cellStyle name="标题 3 2 2 9 3" xfId="45365"/>
    <cellStyle name="标题 3 2 2 9 3 2" xfId="45366"/>
    <cellStyle name="标题 3 2 3" xfId="45367"/>
    <cellStyle name="标题 3 2 3 2" xfId="45368"/>
    <cellStyle name="标题 3 2 3 2 2" xfId="45369"/>
    <cellStyle name="标题 3 2 3 2 2 2" xfId="45370"/>
    <cellStyle name="标题 3 2 3 2 2 2 2" xfId="45371"/>
    <cellStyle name="标题 3 2 3 2 2 2 3" xfId="45372"/>
    <cellStyle name="标题 3 2 3 2 2 2 3 2" xfId="45373"/>
    <cellStyle name="标题 3 2 3 2 2 2 3 2 2" xfId="45374"/>
    <cellStyle name="标题 3 2 3 2 2 2 4" xfId="45375"/>
    <cellStyle name="标题 3 2 3 2 2 2 4 2" xfId="45376"/>
    <cellStyle name="标题 3 2 3 2 2 3" xfId="45377"/>
    <cellStyle name="标题 3 2 3 2 2 3 2" xfId="45378"/>
    <cellStyle name="标题 3 2 3 2 2 3 2 2" xfId="45379"/>
    <cellStyle name="标题 3 2 3 2 2 3 2 2 2" xfId="45380"/>
    <cellStyle name="标题 3 2 3 2 2 3 3" xfId="45381"/>
    <cellStyle name="标题 3 2 3 2 2 3 3 2" xfId="45382"/>
    <cellStyle name="标题 3 2 3 2 2 4" xfId="45383"/>
    <cellStyle name="标题 3 2 3 2 2 5" xfId="45384"/>
    <cellStyle name="标题 3 2 3 2 2 6" xfId="45385"/>
    <cellStyle name="标题 3 2 3 2 3" xfId="45386"/>
    <cellStyle name="标题 3 2 3 2 3 2" xfId="45387"/>
    <cellStyle name="标题 3 2 3 2 3 3" xfId="45388"/>
    <cellStyle name="标题 3 2 3 2 3 3 2" xfId="45389"/>
    <cellStyle name="标题 3 2 3 2 3 3 2 2" xfId="45390"/>
    <cellStyle name="标题 3 2 3 2 3 4" xfId="45391"/>
    <cellStyle name="标题 3 2 3 2 3 4 2" xfId="45392"/>
    <cellStyle name="标题 3 2 3 2 4" xfId="45393"/>
    <cellStyle name="标题 3 2 3 2 4 2" xfId="45394"/>
    <cellStyle name="标题 3 2 3 2 4 2 2" xfId="45395"/>
    <cellStyle name="标题 3 2 3 2 4 2 2 2" xfId="45396"/>
    <cellStyle name="标题 3 2 3 2 4 3" xfId="45397"/>
    <cellStyle name="标题 3 2 3 2 4 3 2" xfId="45398"/>
    <cellStyle name="标题 3 2 3 2 5" xfId="45399"/>
    <cellStyle name="标题 3 2 3 2 6" xfId="45400"/>
    <cellStyle name="标题 3 2 3 2 7" xfId="45401"/>
    <cellStyle name="标题 3 2 3 3" xfId="45402"/>
    <cellStyle name="标题 3 2 3 3 2" xfId="45403"/>
    <cellStyle name="标题 3 2 3 3 2 2" xfId="45404"/>
    <cellStyle name="标题 3 2 3 3 2 3" xfId="45405"/>
    <cellStyle name="标题 3 2 3 3 2 3 2" xfId="45406"/>
    <cellStyle name="标题 3 2 3 3 2 3 2 2" xfId="45407"/>
    <cellStyle name="标题 3 2 3 3 2 4" xfId="45408"/>
    <cellStyle name="标题 3 2 3 3 2 4 2" xfId="45409"/>
    <cellStyle name="标题 3 2 3 3 3" xfId="45410"/>
    <cellStyle name="标题 3 2 3 3 3 2" xfId="45411"/>
    <cellStyle name="标题 3 2 3 3 3 2 2" xfId="45412"/>
    <cellStyle name="标题 3 2 3 3 3 2 2 2" xfId="45413"/>
    <cellStyle name="标题 3 2 3 3 3 3" xfId="45414"/>
    <cellStyle name="标题 3 2 3 3 3 3 2" xfId="45415"/>
    <cellStyle name="标题 3 2 3 3 4" xfId="45416"/>
    <cellStyle name="标题 3 2 3 3 5" xfId="45417"/>
    <cellStyle name="标题 3 2 3 3 6" xfId="45418"/>
    <cellStyle name="标题 3 2 3 4" xfId="45419"/>
    <cellStyle name="标题 3 2 3 4 2" xfId="45420"/>
    <cellStyle name="标题 3 2 3 4 2 2" xfId="45421"/>
    <cellStyle name="标题 3 2 3 4 2 3" xfId="45422"/>
    <cellStyle name="标题 3 2 3 4 2 3 2" xfId="45423"/>
    <cellStyle name="标题 3 2 3 4 2 3 2 2" xfId="45424"/>
    <cellStyle name="标题 3 2 3 4 2 4" xfId="45425"/>
    <cellStyle name="标题 3 2 3 4 2 4 2" xfId="45426"/>
    <cellStyle name="标题 3 2 3 4 3" xfId="45427"/>
    <cellStyle name="标题 3 2 3 4 4" xfId="45428"/>
    <cellStyle name="标题 3 2 3 4 5" xfId="45429"/>
    <cellStyle name="标题 3 2 3 4 6" xfId="45430"/>
    <cellStyle name="标题 3 2 3 5" xfId="45431"/>
    <cellStyle name="标题 3 2 3 5 2" xfId="45432"/>
    <cellStyle name="标题 3 2 3 5 2 2" xfId="45433"/>
    <cellStyle name="标题 3 2 3 5 2 2 2" xfId="45434"/>
    <cellStyle name="标题 3 2 3 5 2 2 2 2" xfId="45435"/>
    <cellStyle name="标题 3 2 3 5 2 3" xfId="45436"/>
    <cellStyle name="标题 3 2 3 5 2 3 2" xfId="45437"/>
    <cellStyle name="标题 3 2 3 5 3" xfId="45438"/>
    <cellStyle name="标题 3 2 3 5 3 2" xfId="45439"/>
    <cellStyle name="标题 3 2 3 5 3 2 2" xfId="45440"/>
    <cellStyle name="标题 3 2 3 5 4" xfId="45441"/>
    <cellStyle name="标题 3 2 3 5 4 2" xfId="45442"/>
    <cellStyle name="标题 3 2 3 6" xfId="45443"/>
    <cellStyle name="标题 3 2 3 6 2" xfId="45444"/>
    <cellStyle name="标题 3 2 3 6 2 2" xfId="45445"/>
    <cellStyle name="标题 3 2 3 6 2 2 2" xfId="45446"/>
    <cellStyle name="标题 3 2 3 6 3" xfId="45447"/>
    <cellStyle name="标题 3 2 3 6 3 2" xfId="45448"/>
    <cellStyle name="标题 3 2 3 7" xfId="45449"/>
    <cellStyle name="标题 3 2 3 7 2" xfId="45450"/>
    <cellStyle name="标题 3 2 3 7 2 2" xfId="45451"/>
    <cellStyle name="标题 3 2 3 7 2 2 2" xfId="45452"/>
    <cellStyle name="标题 3 2 3 7 3" xfId="45453"/>
    <cellStyle name="标题 3 2 3 7 3 2" xfId="45454"/>
    <cellStyle name="标题 3 2 3 8" xfId="45455"/>
    <cellStyle name="标题 3 2 3 9" xfId="45456"/>
    <cellStyle name="标题 3 2 4" xfId="45457"/>
    <cellStyle name="标题 3 2 4 2" xfId="45458"/>
    <cellStyle name="标题 3 2 4 2 2" xfId="45459"/>
    <cellStyle name="标题 3 2 4 2 3" xfId="45460"/>
    <cellStyle name="标题 3 2 4 2 3 2" xfId="45461"/>
    <cellStyle name="标题 3 2 4 2 3 2 2" xfId="45462"/>
    <cellStyle name="标题 3 2 4 2 4" xfId="45463"/>
    <cellStyle name="标题 3 2 4 2 4 2" xfId="45464"/>
    <cellStyle name="标题 3 2 4 3" xfId="45465"/>
    <cellStyle name="标题 3 2 4 3 2" xfId="45466"/>
    <cellStyle name="标题 3 2 4 3 2 2" xfId="45467"/>
    <cellStyle name="标题 3 2 4 3 2 2 2" xfId="45468"/>
    <cellStyle name="标题 3 2 4 3 3" xfId="45469"/>
    <cellStyle name="标题 3 2 4 3 3 2" xfId="45470"/>
    <cellStyle name="标题 3 2 4 4" xfId="45471"/>
    <cellStyle name="标题 3 2 4 5" xfId="45472"/>
    <cellStyle name="标题 3 2 4 6" xfId="45473"/>
    <cellStyle name="标题 3 2 5" xfId="45474"/>
    <cellStyle name="标题 3 2 5 2" xfId="45475"/>
    <cellStyle name="标题 3 2 5 2 2" xfId="45476"/>
    <cellStyle name="标题 3 2 5 2 3" xfId="45477"/>
    <cellStyle name="标题 3 2 5 2 3 2" xfId="45478"/>
    <cellStyle name="标题 3 2 5 2 3 2 2" xfId="45479"/>
    <cellStyle name="标题 3 2 5 2 4" xfId="45480"/>
    <cellStyle name="标题 3 2 5 2 4 2" xfId="45481"/>
    <cellStyle name="标题 3 2 5 3" xfId="45482"/>
    <cellStyle name="标题 3 2 5 4" xfId="45483"/>
    <cellStyle name="标题 3 2 5 5" xfId="45484"/>
    <cellStyle name="标题 3 2 5 6" xfId="45485"/>
    <cellStyle name="标题 3 2 6" xfId="45486"/>
    <cellStyle name="标题 3 2 6 2" xfId="45487"/>
    <cellStyle name="标题 3 2 6 2 2" xfId="45488"/>
    <cellStyle name="标题 3 2 6 2 2 2" xfId="45489"/>
    <cellStyle name="标题 3 2 6 2 2 2 2" xfId="45490"/>
    <cellStyle name="标题 3 2 6 2 3" xfId="45491"/>
    <cellStyle name="标题 3 2 6 2 3 2" xfId="45492"/>
    <cellStyle name="标题 3 2 6 3" xfId="45493"/>
    <cellStyle name="标题 3 2 6 3 2" xfId="45494"/>
    <cellStyle name="标题 3 2 6 3 2 2" xfId="45495"/>
    <cellStyle name="标题 3 2 6 4" xfId="45496"/>
    <cellStyle name="标题 3 2 6 4 2" xfId="45497"/>
    <cellStyle name="标题 3 2 7" xfId="45498"/>
    <cellStyle name="标题 3 2 7 2" xfId="45499"/>
    <cellStyle name="标题 3 2 7 2 2" xfId="45500"/>
    <cellStyle name="标题 3 2 7 2 2 2" xfId="45501"/>
    <cellStyle name="标题 3 2 7 2 2 2 2" xfId="45502"/>
    <cellStyle name="标题 3 2 7 2 3" xfId="45503"/>
    <cellStyle name="标题 3 2 7 2 3 2" xfId="45504"/>
    <cellStyle name="标题 3 2 7 3" xfId="45505"/>
    <cellStyle name="标题 3 2 7 3 2" xfId="45506"/>
    <cellStyle name="标题 3 2 7 3 2 2" xfId="45507"/>
    <cellStyle name="标题 3 2 7 4" xfId="45508"/>
    <cellStyle name="标题 3 2 7 4 2" xfId="45509"/>
    <cellStyle name="标题 3 2 8" xfId="45510"/>
    <cellStyle name="标题 3 2 8 2" xfId="45511"/>
    <cellStyle name="标题 3 2 8 2 2" xfId="45512"/>
    <cellStyle name="标题 3 2 8 2 2 2" xfId="45513"/>
    <cellStyle name="标题 3 2 8 2 2 2 2" xfId="45514"/>
    <cellStyle name="标题 3 2 8 2 3" xfId="45515"/>
    <cellStyle name="标题 3 2 8 2 3 2" xfId="45516"/>
    <cellStyle name="标题 3 2 8 3" xfId="45517"/>
    <cellStyle name="标题 3 2 8 3 2" xfId="45518"/>
    <cellStyle name="标题 3 2 8 3 2 2" xfId="45519"/>
    <cellStyle name="标题 3 2 8 4" xfId="45520"/>
    <cellStyle name="标题 3 2 8 4 2" xfId="45521"/>
    <cellStyle name="标题 3 2 9" xfId="45522"/>
    <cellStyle name="标题 3 2 9 2" xfId="45523"/>
    <cellStyle name="标题 3 2 9 2 2" xfId="45524"/>
    <cellStyle name="标题 3 2 9 2 2 2" xfId="45525"/>
    <cellStyle name="标题 3 2 9 3" xfId="45526"/>
    <cellStyle name="标题 3 2 9 3 2" xfId="45527"/>
    <cellStyle name="标题 3 3" xfId="45528"/>
    <cellStyle name="标题 3 3 2" xfId="45529"/>
    <cellStyle name="标题 3 3 2 2" xfId="45530"/>
    <cellStyle name="标题 3 3 2 2 2" xfId="45531"/>
    <cellStyle name="标题 3 3 2 2 2 2" xfId="45532"/>
    <cellStyle name="标题 3 3 2 2 2 3" xfId="45533"/>
    <cellStyle name="标题 3 3 2 2 2 3 2" xfId="45534"/>
    <cellStyle name="标题 3 3 2 2 2 3 2 2" xfId="45535"/>
    <cellStyle name="标题 3 3 2 2 2 4" xfId="45536"/>
    <cellStyle name="标题 3 3 2 2 2 4 2" xfId="45537"/>
    <cellStyle name="标题 3 3 2 2 3" xfId="45538"/>
    <cellStyle name="标题 3 3 2 2 3 2" xfId="45539"/>
    <cellStyle name="标题 3 3 2 2 3 2 2" xfId="45540"/>
    <cellStyle name="标题 3 3 2 2 3 2 2 2" xfId="45541"/>
    <cellStyle name="标题 3 3 2 2 3 3" xfId="45542"/>
    <cellStyle name="标题 3 3 2 2 3 3 2" xfId="45543"/>
    <cellStyle name="标题 3 3 2 2 4" xfId="45544"/>
    <cellStyle name="标题 3 3 2 2 5" xfId="45545"/>
    <cellStyle name="标题 3 3 2 2 6" xfId="45546"/>
    <cellStyle name="标题 3 3 2 3" xfId="45547"/>
    <cellStyle name="标题 3 3 2 3 2" xfId="45548"/>
    <cellStyle name="标题 3 3 2 3 3" xfId="45549"/>
    <cellStyle name="标题 3 3 2 3 3 2" xfId="45550"/>
    <cellStyle name="标题 3 3 2 3 3 2 2" xfId="45551"/>
    <cellStyle name="标题 3 3 2 3 4" xfId="45552"/>
    <cellStyle name="标题 3 3 2 3 4 2" xfId="45553"/>
    <cellStyle name="标题 3 3 2 4" xfId="45554"/>
    <cellStyle name="标题 3 3 2 4 2" xfId="45555"/>
    <cellStyle name="标题 3 3 2 4 2 2" xfId="45556"/>
    <cellStyle name="标题 3 3 2 4 2 2 2" xfId="45557"/>
    <cellStyle name="标题 3 3 2 4 3" xfId="45558"/>
    <cellStyle name="标题 3 3 2 4 3 2" xfId="45559"/>
    <cellStyle name="标题 3 3 2 5" xfId="45560"/>
    <cellStyle name="标题 3 3 2 6" xfId="45561"/>
    <cellStyle name="标题 3 3 2 7" xfId="45562"/>
    <cellStyle name="标题 3 3 3" xfId="45563"/>
    <cellStyle name="标题 3 3 3 2" xfId="45564"/>
    <cellStyle name="标题 3 3 3 2 2" xfId="45565"/>
    <cellStyle name="标题 3 3 3 2 3" xfId="45566"/>
    <cellStyle name="标题 3 3 3 2 3 2" xfId="45567"/>
    <cellStyle name="标题 3 3 3 2 3 2 2" xfId="45568"/>
    <cellStyle name="标题 3 3 3 2 4" xfId="45569"/>
    <cellStyle name="标题 3 3 3 2 4 2" xfId="45570"/>
    <cellStyle name="标题 3 3 3 3" xfId="45571"/>
    <cellStyle name="标题 3 3 3 3 2" xfId="45572"/>
    <cellStyle name="标题 3 3 3 3 2 2" xfId="45573"/>
    <cellStyle name="标题 3 3 3 3 2 2 2" xfId="45574"/>
    <cellStyle name="标题 3 3 3 3 3" xfId="45575"/>
    <cellStyle name="标题 3 3 3 3 3 2" xfId="45576"/>
    <cellStyle name="标题 3 3 3 4" xfId="45577"/>
    <cellStyle name="标题 3 3 3 5" xfId="45578"/>
    <cellStyle name="标题 3 3 3 6" xfId="45579"/>
    <cellStyle name="标题 3 3 4" xfId="45580"/>
    <cellStyle name="标题 3 3 4 2" xfId="45581"/>
    <cellStyle name="标题 3 3 4 2 2" xfId="45582"/>
    <cellStyle name="标题 3 3 4 2 3" xfId="45583"/>
    <cellStyle name="标题 3 3 4 2 3 2" xfId="45584"/>
    <cellStyle name="标题 3 3 4 2 3 2 2" xfId="45585"/>
    <cellStyle name="标题 3 3 4 2 4" xfId="45586"/>
    <cellStyle name="标题 3 3 4 2 4 2" xfId="45587"/>
    <cellStyle name="标题 3 3 4 3" xfId="45588"/>
    <cellStyle name="标题 3 3 4 4" xfId="45589"/>
    <cellStyle name="标题 3 3 4 5" xfId="45590"/>
    <cellStyle name="标题 3 3 4 6" xfId="45591"/>
    <cellStyle name="标题 3 3 5" xfId="45592"/>
    <cellStyle name="标题 3 3 5 2" xfId="45593"/>
    <cellStyle name="标题 3 3 5 2 2" xfId="45594"/>
    <cellStyle name="标题 3 3 5 2 2 2" xfId="45595"/>
    <cellStyle name="标题 3 3 5 2 2 2 2" xfId="45596"/>
    <cellStyle name="标题 3 3 5 2 3" xfId="45597"/>
    <cellStyle name="标题 3 3 5 2 3 2" xfId="45598"/>
    <cellStyle name="标题 3 3 5 3" xfId="45599"/>
    <cellStyle name="标题 3 3 5 3 2" xfId="45600"/>
    <cellStyle name="标题 3 3 5 3 2 2" xfId="45601"/>
    <cellStyle name="标题 3 3 5 4" xfId="45602"/>
    <cellStyle name="标题 3 3 5 4 2" xfId="45603"/>
    <cellStyle name="标题 3 3 6" xfId="45604"/>
    <cellStyle name="标题 3 3 6 2" xfId="45605"/>
    <cellStyle name="标题 3 3 6 2 2" xfId="45606"/>
    <cellStyle name="标题 3 3 6 2 2 2" xfId="45607"/>
    <cellStyle name="标题 3 3 6 3" xfId="45608"/>
    <cellStyle name="标题 3 3 6 3 2" xfId="45609"/>
    <cellStyle name="标题 3 3 7" xfId="45610"/>
    <cellStyle name="标题 3 3 8" xfId="45611"/>
    <cellStyle name="标题 4 2" xfId="45612"/>
    <cellStyle name="标题 4 2 10" xfId="45613"/>
    <cellStyle name="标题 4 2 11" xfId="45614"/>
    <cellStyle name="标题 4 2 2" xfId="45615"/>
    <cellStyle name="标题 4 2 2 10" xfId="45616"/>
    <cellStyle name="标题 4 2 2 11" xfId="45617"/>
    <cellStyle name="标题 4 2 2 2" xfId="45618"/>
    <cellStyle name="标题 4 2 2 2 2" xfId="45619"/>
    <cellStyle name="标题 4 2 2 2 2 2" xfId="45620"/>
    <cellStyle name="标题 4 2 2 2 2 2 2" xfId="45621"/>
    <cellStyle name="标题 4 2 2 2 2 2 3" xfId="45622"/>
    <cellStyle name="标题 4 2 2 2 2 2 3 2" xfId="45623"/>
    <cellStyle name="标题 4 2 2 2 2 2 3 2 2" xfId="45624"/>
    <cellStyle name="标题 4 2 2 2 2 2 4" xfId="45625"/>
    <cellStyle name="标题 4 2 2 2 2 2 4 2" xfId="45626"/>
    <cellStyle name="标题 4 2 2 2 2 3" xfId="45627"/>
    <cellStyle name="标题 4 2 2 2 2 3 2" xfId="45628"/>
    <cellStyle name="标题 4 2 2 2 2 3 2 2" xfId="45629"/>
    <cellStyle name="标题 4 2 2 2 2 3 2 2 2" xfId="45630"/>
    <cellStyle name="标题 4 2 2 2 2 3 3" xfId="45631"/>
    <cellStyle name="标题 4 2 2 2 2 3 3 2" xfId="45632"/>
    <cellStyle name="标题 4 2 2 2 2 4" xfId="45633"/>
    <cellStyle name="标题 4 2 2 2 2 5" xfId="45634"/>
    <cellStyle name="标题 4 2 2 2 2 6" xfId="45635"/>
    <cellStyle name="标题 4 2 2 2 3" xfId="45636"/>
    <cellStyle name="标题 4 2 2 2 3 2" xfId="45637"/>
    <cellStyle name="标题 4 2 2 2 3 3" xfId="45638"/>
    <cellStyle name="标题 4 2 2 2 3 3 2" xfId="45639"/>
    <cellStyle name="标题 4 2 2 2 3 3 2 2" xfId="45640"/>
    <cellStyle name="标题 4 2 2 2 3 4" xfId="45641"/>
    <cellStyle name="标题 4 2 2 2 3 4 2" xfId="45642"/>
    <cellStyle name="标题 4 2 2 2 4" xfId="45643"/>
    <cellStyle name="标题 4 2 2 2 4 2" xfId="45644"/>
    <cellStyle name="标题 4 2 2 2 4 2 2" xfId="45645"/>
    <cellStyle name="标题 4 2 2 2 4 2 2 2" xfId="45646"/>
    <cellStyle name="标题 4 2 2 2 4 3" xfId="45647"/>
    <cellStyle name="标题 4 2 2 2 4 3 2" xfId="45648"/>
    <cellStyle name="标题 4 2 2 2 5" xfId="45649"/>
    <cellStyle name="标题 4 2 2 2 6" xfId="45650"/>
    <cellStyle name="标题 4 2 2 2 7" xfId="45651"/>
    <cellStyle name="标题 4 2 2 3" xfId="45652"/>
    <cellStyle name="标题 4 2 2 3 2" xfId="45653"/>
    <cellStyle name="标题 4 2 2 3 2 2" xfId="45654"/>
    <cellStyle name="标题 4 2 2 3 2 3" xfId="45655"/>
    <cellStyle name="标题 4 2 2 3 2 3 2" xfId="45656"/>
    <cellStyle name="标题 4 2 2 3 2 3 2 2" xfId="45657"/>
    <cellStyle name="标题 4 2 2 3 2 4" xfId="45658"/>
    <cellStyle name="标题 4 2 2 3 2 4 2" xfId="45659"/>
    <cellStyle name="标题 4 2 2 3 3" xfId="45660"/>
    <cellStyle name="标题 4 2 2 3 3 2" xfId="45661"/>
    <cellStyle name="标题 4 2 2 3 3 2 2" xfId="45662"/>
    <cellStyle name="标题 4 2 2 3 3 2 2 2" xfId="45663"/>
    <cellStyle name="标题 4 2 2 3 3 3" xfId="45664"/>
    <cellStyle name="标题 4 2 2 3 3 3 2" xfId="45665"/>
    <cellStyle name="标题 4 2 2 3 4" xfId="45666"/>
    <cellStyle name="标题 4 2 2 3 5" xfId="45667"/>
    <cellStyle name="标题 4 2 2 3 6" xfId="45668"/>
    <cellStyle name="标题 4 2 2 4" xfId="45669"/>
    <cellStyle name="标题 4 2 2 4 2" xfId="45670"/>
    <cellStyle name="标题 4 2 2 4 2 2" xfId="45671"/>
    <cellStyle name="标题 4 2 2 4 2 3" xfId="45672"/>
    <cellStyle name="标题 4 2 2 4 2 3 2" xfId="45673"/>
    <cellStyle name="标题 4 2 2 4 2 3 2 2" xfId="45674"/>
    <cellStyle name="标题 4 2 2 4 2 4" xfId="45675"/>
    <cellStyle name="标题 4 2 2 4 2 4 2" xfId="45676"/>
    <cellStyle name="标题 4 2 2 4 3" xfId="45677"/>
    <cellStyle name="标题 4 2 2 4 4" xfId="45678"/>
    <cellStyle name="标题 4 2 2 4 5" xfId="45679"/>
    <cellStyle name="标题 4 2 2 4 6" xfId="45680"/>
    <cellStyle name="标题 4 2 2 5" xfId="45681"/>
    <cellStyle name="标题 4 2 2 5 2" xfId="45682"/>
    <cellStyle name="标题 4 2 2 5 2 2" xfId="45683"/>
    <cellStyle name="标题 4 2 2 5 2 2 2" xfId="45684"/>
    <cellStyle name="标题 4 2 2 5 2 2 2 2" xfId="45685"/>
    <cellStyle name="标题 4 2 2 5 2 3" xfId="45686"/>
    <cellStyle name="标题 4 2 2 5 2 3 2" xfId="45687"/>
    <cellStyle name="标题 4 2 2 5 3" xfId="45688"/>
    <cellStyle name="标题 4 2 2 5 3 2" xfId="45689"/>
    <cellStyle name="标题 4 2 2 5 3 2 2" xfId="45690"/>
    <cellStyle name="标题 4 2 2 5 4" xfId="45691"/>
    <cellStyle name="标题 4 2 2 5 4 2" xfId="45692"/>
    <cellStyle name="标题 4 2 2 6" xfId="45693"/>
    <cellStyle name="标题 4 2 2 6 2" xfId="45694"/>
    <cellStyle name="标题 4 2 2 6 2 2" xfId="45695"/>
    <cellStyle name="标题 4 2 2 6 2 2 2" xfId="45696"/>
    <cellStyle name="标题 4 2 2 6 2 2 2 2" xfId="45697"/>
    <cellStyle name="标题 4 2 2 6 2 3" xfId="45698"/>
    <cellStyle name="标题 4 2 2 6 2 3 2" xfId="45699"/>
    <cellStyle name="标题 4 2 2 6 3" xfId="45700"/>
    <cellStyle name="标题 4 2 2 6 3 2" xfId="45701"/>
    <cellStyle name="标题 4 2 2 6 3 2 2" xfId="45702"/>
    <cellStyle name="标题 4 2 2 6 4" xfId="45703"/>
    <cellStyle name="标题 4 2 2 6 4 2" xfId="45704"/>
    <cellStyle name="标题 4 2 2 7" xfId="45705"/>
    <cellStyle name="标题 4 2 2 7 2" xfId="45706"/>
    <cellStyle name="标题 4 2 2 7 2 2" xfId="45707"/>
    <cellStyle name="标题 4 2 2 7 2 2 2" xfId="45708"/>
    <cellStyle name="标题 4 2 2 7 2 2 2 2" xfId="45709"/>
    <cellStyle name="标题 4 2 2 7 2 3" xfId="45710"/>
    <cellStyle name="标题 4 2 2 7 2 3 2" xfId="45711"/>
    <cellStyle name="标题 4 2 2 7 3" xfId="45712"/>
    <cellStyle name="标题 4 2 2 7 3 2" xfId="45713"/>
    <cellStyle name="标题 4 2 2 7 3 2 2" xfId="45714"/>
    <cellStyle name="标题 4 2 2 7 4" xfId="45715"/>
    <cellStyle name="标题 4 2 2 7 4 2" xfId="45716"/>
    <cellStyle name="标题 4 2 2 8" xfId="45717"/>
    <cellStyle name="标题 4 2 2 8 2" xfId="45718"/>
    <cellStyle name="标题 4 2 2 8 2 2" xfId="45719"/>
    <cellStyle name="标题 4 2 2 8 2 2 2" xfId="45720"/>
    <cellStyle name="标题 4 2 2 8 3" xfId="45721"/>
    <cellStyle name="标题 4 2 2 8 3 2" xfId="45722"/>
    <cellStyle name="标题 4 2 2 9" xfId="45723"/>
    <cellStyle name="标题 4 2 2 9 2" xfId="45724"/>
    <cellStyle name="标题 4 2 2 9 2 2" xfId="45725"/>
    <cellStyle name="标题 4 2 2 9 2 2 2" xfId="45726"/>
    <cellStyle name="标题 4 2 2 9 3" xfId="45727"/>
    <cellStyle name="标题 4 2 2 9 3 2" xfId="45728"/>
    <cellStyle name="标题 4 2 3" xfId="45729"/>
    <cellStyle name="标题 4 2 3 2" xfId="45730"/>
    <cellStyle name="标题 4 2 3 2 2" xfId="45731"/>
    <cellStyle name="标题 4 2 3 2 2 2" xfId="45732"/>
    <cellStyle name="标题 4 2 3 2 2 2 2" xfId="45733"/>
    <cellStyle name="标题 4 2 3 2 2 2 3" xfId="45734"/>
    <cellStyle name="标题 4 2 3 2 2 2 3 2" xfId="45735"/>
    <cellStyle name="标题 4 2 3 2 2 2 3 2 2" xfId="45736"/>
    <cellStyle name="标题 4 2 3 2 2 2 4" xfId="45737"/>
    <cellStyle name="标题 4 2 3 2 2 2 4 2" xfId="45738"/>
    <cellStyle name="标题 4 2 3 2 2 3" xfId="45739"/>
    <cellStyle name="标题 4 2 3 2 2 3 2" xfId="45740"/>
    <cellStyle name="标题 4 2 3 2 2 3 2 2" xfId="45741"/>
    <cellStyle name="标题 4 2 3 2 2 3 2 2 2" xfId="45742"/>
    <cellStyle name="标题 4 2 3 2 2 3 3" xfId="45743"/>
    <cellStyle name="标题 4 2 3 2 2 3 3 2" xfId="45744"/>
    <cellStyle name="标题 4 2 3 2 2 4" xfId="45745"/>
    <cellStyle name="标题 4 2 3 2 2 5" xfId="45746"/>
    <cellStyle name="标题 4 2 3 2 2 6" xfId="45747"/>
    <cellStyle name="标题 4 2 3 2 3" xfId="45748"/>
    <cellStyle name="标题 4 2 3 2 3 2" xfId="45749"/>
    <cellStyle name="标题 4 2 3 2 3 3" xfId="45750"/>
    <cellStyle name="标题 4 2 3 2 3 3 2" xfId="45751"/>
    <cellStyle name="标题 4 2 3 2 3 3 2 2" xfId="45752"/>
    <cellStyle name="标题 4 2 3 2 3 4" xfId="45753"/>
    <cellStyle name="标题 4 2 3 2 3 4 2" xfId="45754"/>
    <cellStyle name="标题 4 2 3 2 4" xfId="45755"/>
    <cellStyle name="标题 4 2 3 2 4 2" xfId="45756"/>
    <cellStyle name="标题 4 2 3 2 4 2 2" xfId="45757"/>
    <cellStyle name="标题 4 2 3 2 4 2 2 2" xfId="45758"/>
    <cellStyle name="标题 4 2 3 2 4 3" xfId="45759"/>
    <cellStyle name="标题 4 2 3 2 4 3 2" xfId="45760"/>
    <cellStyle name="标题 4 2 3 2 5" xfId="45761"/>
    <cellStyle name="标题 4 2 3 2 6" xfId="45762"/>
    <cellStyle name="标题 4 2 3 2 7" xfId="45763"/>
    <cellStyle name="标题 4 2 3 3" xfId="45764"/>
    <cellStyle name="标题 4 2 3 3 2" xfId="45765"/>
    <cellStyle name="标题 4 2 3 3 2 2" xfId="45766"/>
    <cellStyle name="标题 4 2 3 3 2 3" xfId="45767"/>
    <cellStyle name="标题 4 2 3 3 2 3 2" xfId="45768"/>
    <cellStyle name="标题 4 2 3 3 2 3 2 2" xfId="45769"/>
    <cellStyle name="标题 4 2 3 3 2 4" xfId="45770"/>
    <cellStyle name="标题 4 2 3 3 2 4 2" xfId="45771"/>
    <cellStyle name="标题 4 2 3 3 3" xfId="45772"/>
    <cellStyle name="标题 4 2 3 3 3 2" xfId="45773"/>
    <cellStyle name="标题 4 2 3 3 3 2 2" xfId="45774"/>
    <cellStyle name="标题 4 2 3 3 3 2 2 2" xfId="45775"/>
    <cellStyle name="标题 4 2 3 3 3 3" xfId="45776"/>
    <cellStyle name="标题 4 2 3 3 3 3 2" xfId="45777"/>
    <cellStyle name="标题 4 2 3 3 4" xfId="45778"/>
    <cellStyle name="标题 4 2 3 3 5" xfId="45779"/>
    <cellStyle name="标题 4 2 3 3 6" xfId="45780"/>
    <cellStyle name="标题 4 2 3 4" xfId="45781"/>
    <cellStyle name="标题 4 2 3 4 2" xfId="45782"/>
    <cellStyle name="标题 4 2 3 4 2 2" xfId="45783"/>
    <cellStyle name="标题 4 2 3 4 2 3" xfId="45784"/>
    <cellStyle name="标题 4 2 3 4 2 3 2" xfId="45785"/>
    <cellStyle name="标题 4 2 3 4 2 3 2 2" xfId="45786"/>
    <cellStyle name="标题 4 2 3 4 2 4" xfId="45787"/>
    <cellStyle name="标题 4 2 3 4 2 4 2" xfId="45788"/>
    <cellStyle name="标题 4 2 3 4 3" xfId="45789"/>
    <cellStyle name="标题 4 2 3 4 4" xfId="45790"/>
    <cellStyle name="标题 4 2 3 4 5" xfId="45791"/>
    <cellStyle name="标题 4 2 3 4 6" xfId="45792"/>
    <cellStyle name="标题 4 2 3 5" xfId="45793"/>
    <cellStyle name="标题 4 2 3 5 2" xfId="45794"/>
    <cellStyle name="标题 4 2 3 5 2 2" xfId="45795"/>
    <cellStyle name="标题 4 2 3 5 2 2 2" xfId="45796"/>
    <cellStyle name="标题 4 2 3 5 2 2 2 2" xfId="45797"/>
    <cellStyle name="标题 4 2 3 5 2 3" xfId="45798"/>
    <cellStyle name="标题 4 2 3 5 2 3 2" xfId="45799"/>
    <cellStyle name="标题 4 2 3 5 3" xfId="45800"/>
    <cellStyle name="标题 4 2 3 5 3 2" xfId="45801"/>
    <cellStyle name="标题 4 2 3 5 3 2 2" xfId="45802"/>
    <cellStyle name="标题 4 2 3 5 4" xfId="45803"/>
    <cellStyle name="标题 4 2 3 5 4 2" xfId="45804"/>
    <cellStyle name="标题 4 2 3 6" xfId="45805"/>
    <cellStyle name="标题 4 2 3 6 2" xfId="45806"/>
    <cellStyle name="标题 4 2 3 6 2 2" xfId="45807"/>
    <cellStyle name="标题 4 2 3 6 2 2 2" xfId="45808"/>
    <cellStyle name="标题 4 2 3 6 3" xfId="45809"/>
    <cellStyle name="标题 4 2 3 6 3 2" xfId="45810"/>
    <cellStyle name="标题 4 2 3 7" xfId="45811"/>
    <cellStyle name="标题 4 2 3 7 2" xfId="45812"/>
    <cellStyle name="标题 4 2 3 7 2 2" xfId="45813"/>
    <cellStyle name="标题 4 2 3 7 2 2 2" xfId="45814"/>
    <cellStyle name="标题 4 2 3 7 3" xfId="45815"/>
    <cellStyle name="标题 4 2 3 7 3 2" xfId="45816"/>
    <cellStyle name="标题 4 2 3 8" xfId="45817"/>
    <cellStyle name="标题 4 2 3 9" xfId="45818"/>
    <cellStyle name="标题 4 2 4" xfId="45819"/>
    <cellStyle name="标题 4 2 4 2" xfId="45820"/>
    <cellStyle name="标题 4 2 4 2 2" xfId="45821"/>
    <cellStyle name="标题 4 2 4 2 3" xfId="45822"/>
    <cellStyle name="标题 4 2 4 2 3 2" xfId="45823"/>
    <cellStyle name="标题 4 2 4 2 3 2 2" xfId="45824"/>
    <cellStyle name="标题 4 2 4 2 4" xfId="45825"/>
    <cellStyle name="标题 4 2 4 2 4 2" xfId="45826"/>
    <cellStyle name="标题 4 2 4 3" xfId="45827"/>
    <cellStyle name="标题 4 2 4 3 2" xfId="45828"/>
    <cellStyle name="标题 4 2 4 3 2 2" xfId="45829"/>
    <cellStyle name="标题 4 2 4 3 2 2 2" xfId="45830"/>
    <cellStyle name="标题 4 2 4 3 3" xfId="45831"/>
    <cellStyle name="标题 4 2 4 3 3 2" xfId="45832"/>
    <cellStyle name="标题 4 2 4 4" xfId="45833"/>
    <cellStyle name="标题 4 2 4 5" xfId="45834"/>
    <cellStyle name="标题 4 2 4 6" xfId="45835"/>
    <cellStyle name="标题 4 2 5" xfId="45836"/>
    <cellStyle name="标题 4 2 5 2" xfId="45837"/>
    <cellStyle name="标题 4 2 5 2 2" xfId="45838"/>
    <cellStyle name="标题 4 2 5 2 3" xfId="45839"/>
    <cellStyle name="标题 4 2 5 2 3 2" xfId="45840"/>
    <cellStyle name="标题 4 2 5 2 3 2 2" xfId="45841"/>
    <cellStyle name="标题 4 2 5 2 4" xfId="45842"/>
    <cellStyle name="标题 4 2 5 2 4 2" xfId="45843"/>
    <cellStyle name="标题 4 2 5 3" xfId="45844"/>
    <cellStyle name="标题 4 2 5 4" xfId="45845"/>
    <cellStyle name="标题 4 2 5 5" xfId="45846"/>
    <cellStyle name="标题 4 2 5 6" xfId="45847"/>
    <cellStyle name="标题 4 2 6" xfId="45848"/>
    <cellStyle name="标题 4 2 6 2" xfId="45849"/>
    <cellStyle name="标题 4 2 6 2 2" xfId="45850"/>
    <cellStyle name="标题 4 2 6 2 2 2" xfId="45851"/>
    <cellStyle name="标题 4 2 6 2 2 2 2" xfId="45852"/>
    <cellStyle name="标题 4 2 6 2 3" xfId="45853"/>
    <cellStyle name="标题 4 2 6 2 3 2" xfId="45854"/>
    <cellStyle name="标题 4 2 6 3" xfId="45855"/>
    <cellStyle name="标题 4 2 6 3 2" xfId="45856"/>
    <cellStyle name="标题 4 2 6 3 2 2" xfId="45857"/>
    <cellStyle name="标题 4 2 6 4" xfId="45858"/>
    <cellStyle name="标题 4 2 6 4 2" xfId="45859"/>
    <cellStyle name="标题 4 2 7" xfId="45860"/>
    <cellStyle name="标题 4 2 7 2" xfId="45861"/>
    <cellStyle name="标题 4 2 7 2 2" xfId="45862"/>
    <cellStyle name="标题 4 2 7 2 2 2" xfId="45863"/>
    <cellStyle name="标题 4 2 7 2 2 2 2" xfId="45864"/>
    <cellStyle name="标题 4 2 7 2 3" xfId="45865"/>
    <cellStyle name="标题 4 2 7 2 3 2" xfId="45866"/>
    <cellStyle name="标题 4 2 7 3" xfId="45867"/>
    <cellStyle name="标题 4 2 7 3 2" xfId="45868"/>
    <cellStyle name="标题 4 2 7 3 2 2" xfId="45869"/>
    <cellStyle name="标题 4 2 7 4" xfId="45870"/>
    <cellStyle name="标题 4 2 7 4 2" xfId="45871"/>
    <cellStyle name="标题 4 2 8" xfId="45872"/>
    <cellStyle name="标题 4 2 8 2" xfId="45873"/>
    <cellStyle name="标题 4 2 8 2 2" xfId="45874"/>
    <cellStyle name="标题 4 2 8 2 2 2" xfId="45875"/>
    <cellStyle name="标题 4 2 8 2 2 2 2" xfId="45876"/>
    <cellStyle name="标题 4 2 8 2 3" xfId="45877"/>
    <cellStyle name="标题 4 2 8 2 3 2" xfId="45878"/>
    <cellStyle name="标题 4 2 8 3" xfId="45879"/>
    <cellStyle name="标题 4 2 8 3 2" xfId="45880"/>
    <cellStyle name="标题 4 2 8 3 2 2" xfId="45881"/>
    <cellStyle name="标题 4 2 8 4" xfId="45882"/>
    <cellStyle name="标题 4 2 8 4 2" xfId="45883"/>
    <cellStyle name="标题 4 2 9" xfId="45884"/>
    <cellStyle name="标题 4 2 9 2" xfId="45885"/>
    <cellStyle name="标题 4 2 9 2 2" xfId="45886"/>
    <cellStyle name="标题 4 2 9 2 2 2" xfId="45887"/>
    <cellStyle name="标题 4 2 9 3" xfId="45888"/>
    <cellStyle name="标题 4 2 9 3 2" xfId="45889"/>
    <cellStyle name="标题 4 3" xfId="45890"/>
    <cellStyle name="标题 4 3 2" xfId="45891"/>
    <cellStyle name="标题 4 3 2 2" xfId="45892"/>
    <cellStyle name="标题 4 3 2 2 2" xfId="45893"/>
    <cellStyle name="标题 4 3 2 2 2 2" xfId="45894"/>
    <cellStyle name="标题 4 3 2 2 2 3" xfId="45895"/>
    <cellStyle name="标题 4 3 2 2 2 3 2" xfId="45896"/>
    <cellStyle name="标题 4 3 2 2 2 3 2 2" xfId="45897"/>
    <cellStyle name="标题 4 3 2 2 2 4" xfId="45898"/>
    <cellStyle name="标题 4 3 2 2 2 4 2" xfId="45899"/>
    <cellStyle name="标题 4 3 2 2 3" xfId="45900"/>
    <cellStyle name="标题 4 3 2 2 3 2" xfId="45901"/>
    <cellStyle name="标题 4 3 2 2 3 2 2" xfId="45902"/>
    <cellStyle name="标题 4 3 2 2 3 2 2 2" xfId="45903"/>
    <cellStyle name="标题 4 3 2 2 3 3" xfId="45904"/>
    <cellStyle name="标题 4 3 2 2 3 3 2" xfId="45905"/>
    <cellStyle name="标题 4 3 2 2 4" xfId="45906"/>
    <cellStyle name="标题 4 3 2 2 5" xfId="45907"/>
    <cellStyle name="标题 4 3 2 2 6" xfId="45908"/>
    <cellStyle name="标题 4 3 2 3" xfId="45909"/>
    <cellStyle name="标题 4 3 2 3 2" xfId="45910"/>
    <cellStyle name="标题 4 3 2 3 3" xfId="45911"/>
    <cellStyle name="标题 4 3 2 3 3 2" xfId="45912"/>
    <cellStyle name="标题 4 3 2 3 3 2 2" xfId="45913"/>
    <cellStyle name="标题 4 3 2 3 4" xfId="45914"/>
    <cellStyle name="标题 4 3 2 3 4 2" xfId="45915"/>
    <cellStyle name="标题 4 3 2 4" xfId="45916"/>
    <cellStyle name="标题 4 3 2 4 2" xfId="45917"/>
    <cellStyle name="标题 4 3 2 4 2 2" xfId="45918"/>
    <cellStyle name="标题 4 3 2 4 2 2 2" xfId="45919"/>
    <cellStyle name="标题 4 3 2 4 3" xfId="45920"/>
    <cellStyle name="标题 4 3 2 4 3 2" xfId="45921"/>
    <cellStyle name="标题 4 3 2 5" xfId="45922"/>
    <cellStyle name="标题 4 3 2 6" xfId="45923"/>
    <cellStyle name="标题 4 3 2 7" xfId="45924"/>
    <cellStyle name="标题 4 3 3" xfId="45925"/>
    <cellStyle name="标题 4 3 3 2" xfId="45926"/>
    <cellStyle name="标题 4 3 3 2 2" xfId="45927"/>
    <cellStyle name="标题 4 3 3 2 3" xfId="45928"/>
    <cellStyle name="标题 4 3 3 2 3 2" xfId="45929"/>
    <cellStyle name="标题 4 3 3 2 3 2 2" xfId="45930"/>
    <cellStyle name="标题 4 3 3 2 4" xfId="45931"/>
    <cellStyle name="标题 4 3 3 2 4 2" xfId="45932"/>
    <cellStyle name="标题 4 3 3 3" xfId="45933"/>
    <cellStyle name="标题 4 3 3 3 2" xfId="45934"/>
    <cellStyle name="标题 4 3 3 3 2 2" xfId="45935"/>
    <cellStyle name="标题 4 3 3 3 2 2 2" xfId="45936"/>
    <cellStyle name="标题 4 3 3 3 3" xfId="45937"/>
    <cellStyle name="标题 4 3 3 3 3 2" xfId="45938"/>
    <cellStyle name="标题 4 3 3 4" xfId="45939"/>
    <cellStyle name="标题 4 3 3 5" xfId="45940"/>
    <cellStyle name="标题 4 3 3 6" xfId="45941"/>
    <cellStyle name="标题 4 3 4" xfId="45942"/>
    <cellStyle name="标题 4 3 4 2" xfId="45943"/>
    <cellStyle name="标题 4 3 4 2 2" xfId="45944"/>
    <cellStyle name="标题 4 3 4 2 3" xfId="45945"/>
    <cellStyle name="标题 4 3 4 2 3 2" xfId="45946"/>
    <cellStyle name="标题 4 3 4 2 3 2 2" xfId="45947"/>
    <cellStyle name="标题 4 3 4 2 4" xfId="45948"/>
    <cellStyle name="标题 4 3 4 2 4 2" xfId="45949"/>
    <cellStyle name="标题 4 3 4 3" xfId="45950"/>
    <cellStyle name="标题 4 3 4 4" xfId="45951"/>
    <cellStyle name="标题 4 3 4 5" xfId="45952"/>
    <cellStyle name="标题 4 3 4 6" xfId="45953"/>
    <cellStyle name="标题 4 3 5" xfId="45954"/>
    <cellStyle name="标题 4 3 5 2" xfId="45955"/>
    <cellStyle name="标题 4 3 5 2 2" xfId="45956"/>
    <cellStyle name="标题 4 3 5 2 2 2" xfId="45957"/>
    <cellStyle name="标题 4 3 5 2 2 2 2" xfId="45958"/>
    <cellStyle name="标题 4 3 5 2 3" xfId="45959"/>
    <cellStyle name="标题 4 3 5 2 3 2" xfId="45960"/>
    <cellStyle name="标题 4 3 5 3" xfId="45961"/>
    <cellStyle name="标题 4 3 5 3 2" xfId="45962"/>
    <cellStyle name="标题 4 3 5 3 2 2" xfId="45963"/>
    <cellStyle name="标题 4 3 5 4" xfId="45964"/>
    <cellStyle name="标题 4 3 5 4 2" xfId="45965"/>
    <cellStyle name="标题 4 3 6" xfId="45966"/>
    <cellStyle name="标题 4 3 6 2" xfId="45967"/>
    <cellStyle name="标题 4 3 6 2 2" xfId="45968"/>
    <cellStyle name="标题 4 3 6 2 2 2" xfId="45969"/>
    <cellStyle name="标题 4 3 6 3" xfId="45970"/>
    <cellStyle name="标题 4 3 6 3 2" xfId="45971"/>
    <cellStyle name="标题 4 3 7" xfId="45972"/>
    <cellStyle name="标题 4 3 8" xfId="45973"/>
    <cellStyle name="标题 5" xfId="45974"/>
    <cellStyle name="标题 5 10" xfId="45975"/>
    <cellStyle name="标题 5 11" xfId="45976"/>
    <cellStyle name="标题 5 2" xfId="45977"/>
    <cellStyle name="标题 5 2 10" xfId="45978"/>
    <cellStyle name="标题 5 2 11" xfId="45979"/>
    <cellStyle name="标题 5 2 2" xfId="45980"/>
    <cellStyle name="标题 5 2 2 2" xfId="45981"/>
    <cellStyle name="标题 5 2 2 2 2" xfId="45982"/>
    <cellStyle name="标题 5 2 2 2 2 2" xfId="45983"/>
    <cellStyle name="标题 5 2 2 2 2 3" xfId="45984"/>
    <cellStyle name="标题 5 2 2 2 2 3 2" xfId="45985"/>
    <cellStyle name="标题 5 2 2 2 2 3 2 2" xfId="45986"/>
    <cellStyle name="标题 5 2 2 2 2 4" xfId="45987"/>
    <cellStyle name="标题 5 2 2 2 2 4 2" xfId="45988"/>
    <cellStyle name="标题 5 2 2 2 3" xfId="45989"/>
    <cellStyle name="标题 5 2 2 2 3 2" xfId="45990"/>
    <cellStyle name="标题 5 2 2 2 3 2 2" xfId="45991"/>
    <cellStyle name="标题 5 2 2 2 3 2 2 2" xfId="45992"/>
    <cellStyle name="标题 5 2 2 2 3 3" xfId="45993"/>
    <cellStyle name="标题 5 2 2 2 3 3 2" xfId="45994"/>
    <cellStyle name="标题 5 2 2 2 4" xfId="45995"/>
    <cellStyle name="标题 5 2 2 2 5" xfId="45996"/>
    <cellStyle name="标题 5 2 2 2 6" xfId="45997"/>
    <cellStyle name="标题 5 2 2 3" xfId="45998"/>
    <cellStyle name="标题 5 2 2 3 2" xfId="45999"/>
    <cellStyle name="标题 5 2 2 3 3" xfId="46000"/>
    <cellStyle name="标题 5 2 2 3 3 2" xfId="46001"/>
    <cellStyle name="标题 5 2 2 3 3 2 2" xfId="46002"/>
    <cellStyle name="标题 5 2 2 3 4" xfId="46003"/>
    <cellStyle name="标题 5 2 2 3 4 2" xfId="46004"/>
    <cellStyle name="标题 5 2 2 4" xfId="46005"/>
    <cellStyle name="标题 5 2 2 4 2" xfId="46006"/>
    <cellStyle name="标题 5 2 2 4 2 2" xfId="46007"/>
    <cellStyle name="标题 5 2 2 4 2 2 2" xfId="46008"/>
    <cellStyle name="标题 5 2 2 4 3" xfId="46009"/>
    <cellStyle name="标题 5 2 2 4 3 2" xfId="46010"/>
    <cellStyle name="标题 5 2 2 5" xfId="46011"/>
    <cellStyle name="标题 5 2 2 6" xfId="46012"/>
    <cellStyle name="标题 5 2 2 7" xfId="46013"/>
    <cellStyle name="标题 5 2 3" xfId="46014"/>
    <cellStyle name="标题 5 2 3 2" xfId="46015"/>
    <cellStyle name="标题 5 2 3 2 2" xfId="46016"/>
    <cellStyle name="标题 5 2 3 2 3" xfId="46017"/>
    <cellStyle name="标题 5 2 3 2 3 2" xfId="46018"/>
    <cellStyle name="标题 5 2 3 2 3 2 2" xfId="46019"/>
    <cellStyle name="标题 5 2 3 2 4" xfId="46020"/>
    <cellStyle name="标题 5 2 3 2 4 2" xfId="46021"/>
    <cellStyle name="标题 5 2 3 3" xfId="46022"/>
    <cellStyle name="标题 5 2 3 3 2" xfId="46023"/>
    <cellStyle name="标题 5 2 3 3 2 2" xfId="46024"/>
    <cellStyle name="标题 5 2 3 3 2 2 2" xfId="46025"/>
    <cellStyle name="标题 5 2 3 3 3" xfId="46026"/>
    <cellStyle name="标题 5 2 3 3 3 2" xfId="46027"/>
    <cellStyle name="标题 5 2 3 4" xfId="46028"/>
    <cellStyle name="标题 5 2 3 5" xfId="46029"/>
    <cellStyle name="标题 5 2 3 6" xfId="46030"/>
    <cellStyle name="标题 5 2 4" xfId="46031"/>
    <cellStyle name="标题 5 2 4 2" xfId="46032"/>
    <cellStyle name="标题 5 2 4 2 2" xfId="46033"/>
    <cellStyle name="标题 5 2 4 2 3" xfId="46034"/>
    <cellStyle name="标题 5 2 4 2 3 2" xfId="46035"/>
    <cellStyle name="标题 5 2 4 2 3 2 2" xfId="46036"/>
    <cellStyle name="标题 5 2 4 2 4" xfId="46037"/>
    <cellStyle name="标题 5 2 4 2 4 2" xfId="46038"/>
    <cellStyle name="标题 5 2 4 3" xfId="46039"/>
    <cellStyle name="标题 5 2 4 4" xfId="46040"/>
    <cellStyle name="标题 5 2 4 5" xfId="46041"/>
    <cellStyle name="标题 5 2 4 6" xfId="46042"/>
    <cellStyle name="标题 5 2 5" xfId="46043"/>
    <cellStyle name="标题 5 2 5 2" xfId="46044"/>
    <cellStyle name="标题 5 2 5 2 2" xfId="46045"/>
    <cellStyle name="标题 5 2 5 2 2 2" xfId="46046"/>
    <cellStyle name="标题 5 2 5 2 2 2 2" xfId="46047"/>
    <cellStyle name="标题 5 2 5 2 3" xfId="46048"/>
    <cellStyle name="标题 5 2 5 2 3 2" xfId="46049"/>
    <cellStyle name="标题 5 2 5 3" xfId="46050"/>
    <cellStyle name="标题 5 2 5 3 2" xfId="46051"/>
    <cellStyle name="标题 5 2 5 3 2 2" xfId="46052"/>
    <cellStyle name="标题 5 2 5 4" xfId="46053"/>
    <cellStyle name="标题 5 2 5 4 2" xfId="46054"/>
    <cellStyle name="标题 5 2 6" xfId="46055"/>
    <cellStyle name="标题 5 2 6 2" xfId="46056"/>
    <cellStyle name="标题 5 2 6 2 2" xfId="46057"/>
    <cellStyle name="标题 5 2 6 2 2 2" xfId="46058"/>
    <cellStyle name="标题 5 2 6 2 2 2 2" xfId="46059"/>
    <cellStyle name="标题 5 2 6 2 3" xfId="46060"/>
    <cellStyle name="标题 5 2 6 2 3 2" xfId="46061"/>
    <cellStyle name="标题 5 2 6 3" xfId="46062"/>
    <cellStyle name="标题 5 2 6 3 2" xfId="46063"/>
    <cellStyle name="标题 5 2 6 3 2 2" xfId="46064"/>
    <cellStyle name="标题 5 2 6 4" xfId="46065"/>
    <cellStyle name="标题 5 2 6 4 2" xfId="46066"/>
    <cellStyle name="标题 5 2 7" xfId="46067"/>
    <cellStyle name="标题 5 2 7 2" xfId="46068"/>
    <cellStyle name="标题 5 2 7 2 2" xfId="46069"/>
    <cellStyle name="标题 5 2 7 2 2 2" xfId="46070"/>
    <cellStyle name="标题 5 2 7 2 2 2 2" xfId="46071"/>
    <cellStyle name="标题 5 2 7 2 3" xfId="46072"/>
    <cellStyle name="标题 5 2 7 2 3 2" xfId="46073"/>
    <cellStyle name="标题 5 2 7 3" xfId="46074"/>
    <cellStyle name="标题 5 2 7 3 2" xfId="46075"/>
    <cellStyle name="标题 5 2 7 3 2 2" xfId="46076"/>
    <cellStyle name="标题 5 2 7 4" xfId="46077"/>
    <cellStyle name="标题 5 2 7 4 2" xfId="46078"/>
    <cellStyle name="标题 5 2 8" xfId="46079"/>
    <cellStyle name="标题 5 2 8 2" xfId="46080"/>
    <cellStyle name="标题 5 2 8 2 2" xfId="46081"/>
    <cellStyle name="标题 5 2 8 2 2 2" xfId="46082"/>
    <cellStyle name="标题 5 2 8 3" xfId="46083"/>
    <cellStyle name="标题 5 2 8 3 2" xfId="46084"/>
    <cellStyle name="标题 5 2 9" xfId="46085"/>
    <cellStyle name="标题 5 2 9 2" xfId="46086"/>
    <cellStyle name="标题 5 2 9 2 2" xfId="46087"/>
    <cellStyle name="标题 5 2 9 2 2 2" xfId="46088"/>
    <cellStyle name="标题 5 2 9 3" xfId="46089"/>
    <cellStyle name="标题 5 2 9 3 2" xfId="46090"/>
    <cellStyle name="标题 5 3" xfId="46091"/>
    <cellStyle name="标题 5 3 2" xfId="46092"/>
    <cellStyle name="标题 5 3 2 2" xfId="46093"/>
    <cellStyle name="标题 5 3 2 2 2" xfId="46094"/>
    <cellStyle name="标题 5 3 2 2 2 2" xfId="46095"/>
    <cellStyle name="标题 5 3 2 2 2 3" xfId="46096"/>
    <cellStyle name="标题 5 3 2 2 2 3 2" xfId="46097"/>
    <cellStyle name="标题 5 3 2 2 2 3 2 2" xfId="46098"/>
    <cellStyle name="标题 5 3 2 2 2 4" xfId="46099"/>
    <cellStyle name="标题 5 3 2 2 2 4 2" xfId="46100"/>
    <cellStyle name="标题 5 3 2 2 3" xfId="46101"/>
    <cellStyle name="标题 5 3 2 2 3 2" xfId="46102"/>
    <cellStyle name="标题 5 3 2 2 3 2 2" xfId="46103"/>
    <cellStyle name="标题 5 3 2 2 3 2 2 2" xfId="46104"/>
    <cellStyle name="标题 5 3 2 2 3 3" xfId="46105"/>
    <cellStyle name="标题 5 3 2 2 3 3 2" xfId="46106"/>
    <cellStyle name="标题 5 3 2 2 4" xfId="46107"/>
    <cellStyle name="标题 5 3 2 2 5" xfId="46108"/>
    <cellStyle name="标题 5 3 2 2 6" xfId="46109"/>
    <cellStyle name="标题 5 3 2 3" xfId="46110"/>
    <cellStyle name="标题 5 3 2 3 2" xfId="46111"/>
    <cellStyle name="标题 5 3 2 3 3" xfId="46112"/>
    <cellStyle name="标题 5 3 2 3 3 2" xfId="46113"/>
    <cellStyle name="标题 5 3 2 3 3 2 2" xfId="46114"/>
    <cellStyle name="标题 5 3 2 3 4" xfId="46115"/>
    <cellStyle name="标题 5 3 2 3 4 2" xfId="46116"/>
    <cellStyle name="标题 5 3 2 4" xfId="46117"/>
    <cellStyle name="标题 5 3 2 4 2" xfId="46118"/>
    <cellStyle name="标题 5 3 2 4 2 2" xfId="46119"/>
    <cellStyle name="标题 5 3 2 4 2 2 2" xfId="46120"/>
    <cellStyle name="标题 5 3 2 4 3" xfId="46121"/>
    <cellStyle name="标题 5 3 2 4 3 2" xfId="46122"/>
    <cellStyle name="标题 5 3 2 5" xfId="46123"/>
    <cellStyle name="标题 5 3 2 6" xfId="46124"/>
    <cellStyle name="标题 5 3 2 7" xfId="46125"/>
    <cellStyle name="标题 5 3 3" xfId="46126"/>
    <cellStyle name="标题 5 3 3 2" xfId="46127"/>
    <cellStyle name="标题 5 3 3 2 2" xfId="46128"/>
    <cellStyle name="标题 5 3 3 2 3" xfId="46129"/>
    <cellStyle name="标题 5 3 3 2 3 2" xfId="46130"/>
    <cellStyle name="标题 5 3 3 2 3 2 2" xfId="46131"/>
    <cellStyle name="标题 5 3 3 2 4" xfId="46132"/>
    <cellStyle name="标题 5 3 3 2 4 2" xfId="46133"/>
    <cellStyle name="标题 5 3 3 3" xfId="46134"/>
    <cellStyle name="标题 5 3 3 3 2" xfId="46135"/>
    <cellStyle name="标题 5 3 3 3 2 2" xfId="46136"/>
    <cellStyle name="标题 5 3 3 3 2 2 2" xfId="46137"/>
    <cellStyle name="标题 5 3 3 3 3" xfId="46138"/>
    <cellStyle name="标题 5 3 3 3 3 2" xfId="46139"/>
    <cellStyle name="标题 5 3 3 4" xfId="46140"/>
    <cellStyle name="标题 5 3 3 5" xfId="46141"/>
    <cellStyle name="标题 5 3 3 6" xfId="46142"/>
    <cellStyle name="标题 5 3 4" xfId="46143"/>
    <cellStyle name="标题 5 3 4 2" xfId="46144"/>
    <cellStyle name="标题 5 3 4 2 2" xfId="46145"/>
    <cellStyle name="标题 5 3 4 2 3" xfId="46146"/>
    <cellStyle name="标题 5 3 4 2 3 2" xfId="46147"/>
    <cellStyle name="标题 5 3 4 2 3 2 2" xfId="46148"/>
    <cellStyle name="标题 5 3 4 2 4" xfId="46149"/>
    <cellStyle name="标题 5 3 4 2 4 2" xfId="46150"/>
    <cellStyle name="标题 5 3 4 3" xfId="46151"/>
    <cellStyle name="标题 5 3 4 4" xfId="46152"/>
    <cellStyle name="标题 5 3 4 5" xfId="46153"/>
    <cellStyle name="标题 5 3 4 6" xfId="46154"/>
    <cellStyle name="标题 5 3 5" xfId="46155"/>
    <cellStyle name="标题 5 3 5 2" xfId="46156"/>
    <cellStyle name="标题 5 3 5 2 2" xfId="46157"/>
    <cellStyle name="标题 5 3 5 2 2 2" xfId="46158"/>
    <cellStyle name="标题 5 3 5 2 2 2 2" xfId="46159"/>
    <cellStyle name="标题 5 3 5 2 3" xfId="46160"/>
    <cellStyle name="标题 5 3 5 2 3 2" xfId="46161"/>
    <cellStyle name="标题 5 3 5 3" xfId="46162"/>
    <cellStyle name="标题 5 3 5 3 2" xfId="46163"/>
    <cellStyle name="标题 5 3 5 3 2 2" xfId="46164"/>
    <cellStyle name="标题 5 3 5 4" xfId="46165"/>
    <cellStyle name="标题 5 3 5 4 2" xfId="46166"/>
    <cellStyle name="标题 5 3 6" xfId="46167"/>
    <cellStyle name="标题 5 3 6 2" xfId="46168"/>
    <cellStyle name="标题 5 3 6 2 2" xfId="46169"/>
    <cellStyle name="标题 5 3 6 2 2 2" xfId="46170"/>
    <cellStyle name="标题 5 3 6 3" xfId="46171"/>
    <cellStyle name="标题 5 3 6 3 2" xfId="46172"/>
    <cellStyle name="标题 5 3 7" xfId="46173"/>
    <cellStyle name="标题 5 3 7 2" xfId="46174"/>
    <cellStyle name="标题 5 3 7 2 2" xfId="46175"/>
    <cellStyle name="标题 5 3 7 2 2 2" xfId="46176"/>
    <cellStyle name="标题 5 3 7 3" xfId="46177"/>
    <cellStyle name="标题 5 3 7 3 2" xfId="46178"/>
    <cellStyle name="标题 5 3 8" xfId="46179"/>
    <cellStyle name="标题 5 3 9" xfId="46180"/>
    <cellStyle name="标题 5 4" xfId="46181"/>
    <cellStyle name="标题 5 4 2" xfId="46182"/>
    <cellStyle name="标题 5 4 2 2" xfId="46183"/>
    <cellStyle name="标题 5 4 2 3" xfId="46184"/>
    <cellStyle name="标题 5 4 2 3 2" xfId="46185"/>
    <cellStyle name="标题 5 4 2 3 2 2" xfId="46186"/>
    <cellStyle name="标题 5 4 2 4" xfId="46187"/>
    <cellStyle name="标题 5 4 2 4 2" xfId="46188"/>
    <cellStyle name="标题 5 4 3" xfId="46189"/>
    <cellStyle name="标题 5 4 3 2" xfId="46190"/>
    <cellStyle name="标题 5 4 3 2 2" xfId="46191"/>
    <cellStyle name="标题 5 4 3 2 2 2" xfId="46192"/>
    <cellStyle name="标题 5 4 3 3" xfId="46193"/>
    <cellStyle name="标题 5 4 3 3 2" xfId="46194"/>
    <cellStyle name="标题 5 4 4" xfId="46195"/>
    <cellStyle name="标题 5 4 5" xfId="46196"/>
    <cellStyle name="标题 5 4 6" xfId="46197"/>
    <cellStyle name="标题 5 5" xfId="46198"/>
    <cellStyle name="标题 5 5 2" xfId="46199"/>
    <cellStyle name="标题 5 5 2 2" xfId="46200"/>
    <cellStyle name="标题 5 5 2 3" xfId="46201"/>
    <cellStyle name="标题 5 5 2 3 2" xfId="46202"/>
    <cellStyle name="标题 5 5 2 3 2 2" xfId="46203"/>
    <cellStyle name="标题 5 5 2 4" xfId="46204"/>
    <cellStyle name="标题 5 5 2 4 2" xfId="46205"/>
    <cellStyle name="标题 5 5 3" xfId="46206"/>
    <cellStyle name="标题 5 5 4" xfId="46207"/>
    <cellStyle name="标题 5 5 5" xfId="46208"/>
    <cellStyle name="标题 5 5 6" xfId="46209"/>
    <cellStyle name="标题 5 6" xfId="46210"/>
    <cellStyle name="标题 5 6 2" xfId="46211"/>
    <cellStyle name="标题 5 6 2 2" xfId="46212"/>
    <cellStyle name="标题 5 6 2 2 2" xfId="46213"/>
    <cellStyle name="标题 5 6 2 2 2 2" xfId="46214"/>
    <cellStyle name="标题 5 6 2 3" xfId="46215"/>
    <cellStyle name="标题 5 6 2 3 2" xfId="46216"/>
    <cellStyle name="标题 5 6 3" xfId="46217"/>
    <cellStyle name="标题 5 6 3 2" xfId="46218"/>
    <cellStyle name="标题 5 6 3 2 2" xfId="46219"/>
    <cellStyle name="标题 5 6 4" xfId="46220"/>
    <cellStyle name="标题 5 6 4 2" xfId="46221"/>
    <cellStyle name="标题 5 7" xfId="46222"/>
    <cellStyle name="标题 5 7 2" xfId="46223"/>
    <cellStyle name="标题 5 7 2 2" xfId="46224"/>
    <cellStyle name="标题 5 7 2 2 2" xfId="46225"/>
    <cellStyle name="标题 5 7 2 2 2 2" xfId="46226"/>
    <cellStyle name="标题 5 7 2 3" xfId="46227"/>
    <cellStyle name="标题 5 7 2 3 2" xfId="46228"/>
    <cellStyle name="标题 5 7 3" xfId="46229"/>
    <cellStyle name="标题 5 7 3 2" xfId="46230"/>
    <cellStyle name="标题 5 7 3 2 2" xfId="46231"/>
    <cellStyle name="标题 5 7 4" xfId="46232"/>
    <cellStyle name="标题 5 7 4 2" xfId="46233"/>
    <cellStyle name="标题 5 8" xfId="46234"/>
    <cellStyle name="标题 5 8 2" xfId="46235"/>
    <cellStyle name="标题 5 8 2 2" xfId="46236"/>
    <cellStyle name="标题 5 8 2 2 2" xfId="46237"/>
    <cellStyle name="标题 5 8 2 2 2 2" xfId="46238"/>
    <cellStyle name="标题 5 8 2 3" xfId="46239"/>
    <cellStyle name="标题 5 8 2 3 2" xfId="46240"/>
    <cellStyle name="标题 5 8 3" xfId="46241"/>
    <cellStyle name="标题 5 8 3 2" xfId="46242"/>
    <cellStyle name="标题 5 8 3 2 2" xfId="46243"/>
    <cellStyle name="标题 5 8 4" xfId="46244"/>
    <cellStyle name="标题 5 8 4 2" xfId="46245"/>
    <cellStyle name="标题 5 9" xfId="46246"/>
    <cellStyle name="标题 5 9 2" xfId="46247"/>
    <cellStyle name="标题 5 9 2 2" xfId="46248"/>
    <cellStyle name="标题 5 9 2 2 2" xfId="46249"/>
    <cellStyle name="标题 5 9 3" xfId="46250"/>
    <cellStyle name="标题 5 9 3 2" xfId="46251"/>
    <cellStyle name="标题 6" xfId="46252"/>
    <cellStyle name="标题 6 2" xfId="46253"/>
    <cellStyle name="标题 6 2 2" xfId="46254"/>
    <cellStyle name="标题 6 2 2 2" xfId="46255"/>
    <cellStyle name="标题 6 2 2 2 2" xfId="46256"/>
    <cellStyle name="标题 6 2 2 2 3" xfId="46257"/>
    <cellStyle name="标题 6 2 2 2 3 2" xfId="46258"/>
    <cellStyle name="标题 6 2 2 2 3 2 2" xfId="46259"/>
    <cellStyle name="标题 6 2 2 2 4" xfId="46260"/>
    <cellStyle name="标题 6 2 2 2 4 2" xfId="46261"/>
    <cellStyle name="标题 6 2 2 3" xfId="46262"/>
    <cellStyle name="标题 6 2 2 3 2" xfId="46263"/>
    <cellStyle name="标题 6 2 2 3 2 2" xfId="46264"/>
    <cellStyle name="标题 6 2 2 3 2 2 2" xfId="46265"/>
    <cellStyle name="标题 6 2 2 3 3" xfId="46266"/>
    <cellStyle name="标题 6 2 2 3 3 2" xfId="46267"/>
    <cellStyle name="标题 6 2 2 4" xfId="46268"/>
    <cellStyle name="标题 6 2 2 5" xfId="46269"/>
    <cellStyle name="标题 6 2 2 6" xfId="46270"/>
    <cellStyle name="标题 6 2 3" xfId="46271"/>
    <cellStyle name="标题 6 2 3 2" xfId="46272"/>
    <cellStyle name="标题 6 2 3 3" xfId="46273"/>
    <cellStyle name="标题 6 2 3 3 2" xfId="46274"/>
    <cellStyle name="标题 6 2 3 3 2 2" xfId="46275"/>
    <cellStyle name="标题 6 2 3 4" xfId="46276"/>
    <cellStyle name="标题 6 2 3 4 2" xfId="46277"/>
    <cellStyle name="标题 6 2 4" xfId="46278"/>
    <cellStyle name="标题 6 2 4 2" xfId="46279"/>
    <cellStyle name="标题 6 2 4 2 2" xfId="46280"/>
    <cellStyle name="标题 6 2 4 2 2 2" xfId="46281"/>
    <cellStyle name="标题 6 2 4 3" xfId="46282"/>
    <cellStyle name="标题 6 2 4 3 2" xfId="46283"/>
    <cellStyle name="标题 6 2 5" xfId="46284"/>
    <cellStyle name="标题 6 2 6" xfId="46285"/>
    <cellStyle name="标题 6 2 7" xfId="46286"/>
    <cellStyle name="标题 6 3" xfId="46287"/>
    <cellStyle name="标题 6 3 2" xfId="46288"/>
    <cellStyle name="标题 6 3 2 2" xfId="46289"/>
    <cellStyle name="标题 6 3 2 3" xfId="46290"/>
    <cellStyle name="标题 6 3 2 3 2" xfId="46291"/>
    <cellStyle name="标题 6 3 2 3 2 2" xfId="46292"/>
    <cellStyle name="标题 6 3 2 4" xfId="46293"/>
    <cellStyle name="标题 6 3 2 4 2" xfId="46294"/>
    <cellStyle name="标题 6 3 3" xfId="46295"/>
    <cellStyle name="标题 6 3 3 2" xfId="46296"/>
    <cellStyle name="标题 6 3 3 2 2" xfId="46297"/>
    <cellStyle name="标题 6 3 3 2 2 2" xfId="46298"/>
    <cellStyle name="标题 6 3 3 3" xfId="46299"/>
    <cellStyle name="标题 6 3 3 3 2" xfId="46300"/>
    <cellStyle name="标题 6 3 4" xfId="46301"/>
    <cellStyle name="标题 6 3 5" xfId="46302"/>
    <cellStyle name="标题 6 3 6" xfId="46303"/>
    <cellStyle name="标题 6 4" xfId="46304"/>
    <cellStyle name="标题 6 4 2" xfId="46305"/>
    <cellStyle name="标题 6 4 2 2" xfId="46306"/>
    <cellStyle name="标题 6 4 2 3" xfId="46307"/>
    <cellStyle name="标题 6 4 2 3 2" xfId="46308"/>
    <cellStyle name="标题 6 4 2 3 2 2" xfId="46309"/>
    <cellStyle name="标题 6 4 2 4" xfId="46310"/>
    <cellStyle name="标题 6 4 2 4 2" xfId="46311"/>
    <cellStyle name="标题 6 4 3" xfId="46312"/>
    <cellStyle name="标题 6 4 4" xfId="46313"/>
    <cellStyle name="标题 6 4 5" xfId="46314"/>
    <cellStyle name="标题 6 4 6" xfId="46315"/>
    <cellStyle name="标题 6 5" xfId="46316"/>
    <cellStyle name="标题 6 5 2" xfId="46317"/>
    <cellStyle name="标题 6 5 2 2" xfId="46318"/>
    <cellStyle name="标题 6 5 2 2 2" xfId="46319"/>
    <cellStyle name="标题 6 5 2 2 2 2" xfId="46320"/>
    <cellStyle name="标题 6 5 2 3" xfId="46321"/>
    <cellStyle name="标题 6 5 2 3 2" xfId="46322"/>
    <cellStyle name="标题 6 5 3" xfId="46323"/>
    <cellStyle name="标题 6 5 3 2" xfId="46324"/>
    <cellStyle name="标题 6 5 3 2 2" xfId="46325"/>
    <cellStyle name="标题 6 5 4" xfId="46326"/>
    <cellStyle name="标题 6 5 4 2" xfId="46327"/>
    <cellStyle name="标题 6 6" xfId="46328"/>
    <cellStyle name="标题 6 6 2" xfId="46329"/>
    <cellStyle name="标题 6 6 2 2" xfId="46330"/>
    <cellStyle name="标题 6 6 2 2 2" xfId="46331"/>
    <cellStyle name="标题 6 6 3" xfId="46332"/>
    <cellStyle name="标题 6 6 3 2" xfId="46333"/>
    <cellStyle name="标题 6 7" xfId="46334"/>
    <cellStyle name="标题 6 8" xfId="46335"/>
    <cellStyle name="桁区切り [0.00]_WJP_Marketing Expense_2009 AOP_V2 (2)" xfId="46336"/>
    <cellStyle name="检查单元格 2" xfId="46337"/>
    <cellStyle name="检查单元格 2 10" xfId="46338"/>
    <cellStyle name="检查单元格 2 11" xfId="46339"/>
    <cellStyle name="检查单元格 2 2" xfId="46340"/>
    <cellStyle name="检查单元格 2 2 10" xfId="46341"/>
    <cellStyle name="检查单元格 2 2 11" xfId="46342"/>
    <cellStyle name="检查单元格 2 2 2" xfId="46343"/>
    <cellStyle name="检查单元格 2 2 2 2" xfId="46344"/>
    <cellStyle name="检查单元格 2 2 2 2 2" xfId="46345"/>
    <cellStyle name="检查单元格 2 2 2 2 2 2" xfId="46346"/>
    <cellStyle name="检查单元格 2 2 2 2 2 3" xfId="46347"/>
    <cellStyle name="检查单元格 2 2 2 2 2 3 2" xfId="46348"/>
    <cellStyle name="检查单元格 2 2 2 2 2 3 2 2" xfId="46349"/>
    <cellStyle name="检查单元格 2 2 2 2 2 4" xfId="46350"/>
    <cellStyle name="检查单元格 2 2 2 2 2 4 2" xfId="46351"/>
    <cellStyle name="检查单元格 2 2 2 2 3" xfId="46352"/>
    <cellStyle name="检查单元格 2 2 2 2 3 2" xfId="46353"/>
    <cellStyle name="检查单元格 2 2 2 2 3 2 2" xfId="46354"/>
    <cellStyle name="检查单元格 2 2 2 2 3 2 2 2" xfId="46355"/>
    <cellStyle name="检查单元格 2 2 2 2 3 3" xfId="46356"/>
    <cellStyle name="检查单元格 2 2 2 2 3 3 2" xfId="46357"/>
    <cellStyle name="检查单元格 2 2 2 2 4" xfId="46358"/>
    <cellStyle name="检查单元格 2 2 2 2 5" xfId="46359"/>
    <cellStyle name="检查单元格 2 2 2 2 6" xfId="46360"/>
    <cellStyle name="检查单元格 2 2 2 3" xfId="46361"/>
    <cellStyle name="检查单元格 2 2 2 3 2" xfId="46362"/>
    <cellStyle name="检查单元格 2 2 2 3 3" xfId="46363"/>
    <cellStyle name="检查单元格 2 2 2 3 3 2" xfId="46364"/>
    <cellStyle name="检查单元格 2 2 2 3 3 2 2" xfId="46365"/>
    <cellStyle name="检查单元格 2 2 2 3 4" xfId="46366"/>
    <cellStyle name="检查单元格 2 2 2 3 4 2" xfId="46367"/>
    <cellStyle name="检查单元格 2 2 2 4" xfId="46368"/>
    <cellStyle name="检查单元格 2 2 2 4 2" xfId="46369"/>
    <cellStyle name="检查单元格 2 2 2 4 2 2" xfId="46370"/>
    <cellStyle name="检查单元格 2 2 2 4 2 2 2" xfId="46371"/>
    <cellStyle name="检查单元格 2 2 2 4 3" xfId="46372"/>
    <cellStyle name="检查单元格 2 2 2 4 3 2" xfId="46373"/>
    <cellStyle name="检查单元格 2 2 2 5" xfId="46374"/>
    <cellStyle name="检查单元格 2 2 2 6" xfId="46375"/>
    <cellStyle name="检查单元格 2 2 2 7" xfId="46376"/>
    <cellStyle name="检查单元格 2 2 3" xfId="46377"/>
    <cellStyle name="检查单元格 2 2 3 2" xfId="46378"/>
    <cellStyle name="检查单元格 2 2 3 2 2" xfId="46379"/>
    <cellStyle name="检查单元格 2 2 3 2 3" xfId="46380"/>
    <cellStyle name="检查单元格 2 2 3 2 3 2" xfId="46381"/>
    <cellStyle name="检查单元格 2 2 3 2 3 2 2" xfId="46382"/>
    <cellStyle name="检查单元格 2 2 3 2 4" xfId="46383"/>
    <cellStyle name="检查单元格 2 2 3 2 4 2" xfId="46384"/>
    <cellStyle name="检查单元格 2 2 3 3" xfId="46385"/>
    <cellStyle name="检查单元格 2 2 3 3 2" xfId="46386"/>
    <cellStyle name="检查单元格 2 2 3 3 2 2" xfId="46387"/>
    <cellStyle name="检查单元格 2 2 3 3 2 2 2" xfId="46388"/>
    <cellStyle name="检查单元格 2 2 3 3 3" xfId="46389"/>
    <cellStyle name="检查单元格 2 2 3 3 3 2" xfId="46390"/>
    <cellStyle name="检查单元格 2 2 3 4" xfId="46391"/>
    <cellStyle name="检查单元格 2 2 3 5" xfId="46392"/>
    <cellStyle name="检查单元格 2 2 3 6" xfId="46393"/>
    <cellStyle name="检查单元格 2 2 4" xfId="46394"/>
    <cellStyle name="检查单元格 2 2 4 2" xfId="46395"/>
    <cellStyle name="检查单元格 2 2 4 2 2" xfId="46396"/>
    <cellStyle name="检查单元格 2 2 4 2 3" xfId="46397"/>
    <cellStyle name="检查单元格 2 2 4 2 3 2" xfId="46398"/>
    <cellStyle name="检查单元格 2 2 4 2 3 2 2" xfId="46399"/>
    <cellStyle name="检查单元格 2 2 4 2 4" xfId="46400"/>
    <cellStyle name="检查单元格 2 2 4 2 4 2" xfId="46401"/>
    <cellStyle name="检查单元格 2 2 4 3" xfId="46402"/>
    <cellStyle name="检查单元格 2 2 4 4" xfId="46403"/>
    <cellStyle name="检查单元格 2 2 4 5" xfId="46404"/>
    <cellStyle name="检查单元格 2 2 4 6" xfId="46405"/>
    <cellStyle name="检查单元格 2 2 5" xfId="46406"/>
    <cellStyle name="检查单元格 2 2 5 2" xfId="46407"/>
    <cellStyle name="检查单元格 2 2 5 2 2" xfId="46408"/>
    <cellStyle name="检查单元格 2 2 5 2 2 2" xfId="46409"/>
    <cellStyle name="检查单元格 2 2 5 2 2 2 2" xfId="46410"/>
    <cellStyle name="检查单元格 2 2 5 2 3" xfId="46411"/>
    <cellStyle name="检查单元格 2 2 5 2 3 2" xfId="46412"/>
    <cellStyle name="检查单元格 2 2 5 3" xfId="46413"/>
    <cellStyle name="检查单元格 2 2 5 3 2" xfId="46414"/>
    <cellStyle name="检查单元格 2 2 5 3 2 2" xfId="46415"/>
    <cellStyle name="检查单元格 2 2 5 4" xfId="46416"/>
    <cellStyle name="检查单元格 2 2 5 4 2" xfId="46417"/>
    <cellStyle name="检查单元格 2 2 6" xfId="46418"/>
    <cellStyle name="检查单元格 2 2 6 2" xfId="46419"/>
    <cellStyle name="检查单元格 2 2 6 2 2" xfId="46420"/>
    <cellStyle name="检查单元格 2 2 6 2 2 2" xfId="46421"/>
    <cellStyle name="检查单元格 2 2 6 2 2 2 2" xfId="46422"/>
    <cellStyle name="检查单元格 2 2 6 2 3" xfId="46423"/>
    <cellStyle name="检查单元格 2 2 6 2 3 2" xfId="46424"/>
    <cellStyle name="检查单元格 2 2 6 3" xfId="46425"/>
    <cellStyle name="检查单元格 2 2 6 3 2" xfId="46426"/>
    <cellStyle name="检查单元格 2 2 6 3 2 2" xfId="46427"/>
    <cellStyle name="检查单元格 2 2 6 4" xfId="46428"/>
    <cellStyle name="检查单元格 2 2 6 4 2" xfId="46429"/>
    <cellStyle name="检查单元格 2 2 7" xfId="46430"/>
    <cellStyle name="检查单元格 2 2 7 2" xfId="46431"/>
    <cellStyle name="检查单元格 2 2 7 2 2" xfId="46432"/>
    <cellStyle name="检查单元格 2 2 7 2 2 2" xfId="46433"/>
    <cellStyle name="检查单元格 2 2 7 2 2 2 2" xfId="46434"/>
    <cellStyle name="检查单元格 2 2 7 2 3" xfId="46435"/>
    <cellStyle name="检查单元格 2 2 7 2 3 2" xfId="46436"/>
    <cellStyle name="检查单元格 2 2 7 3" xfId="46437"/>
    <cellStyle name="检查单元格 2 2 7 3 2" xfId="46438"/>
    <cellStyle name="检查单元格 2 2 7 3 2 2" xfId="46439"/>
    <cellStyle name="检查单元格 2 2 7 4" xfId="46440"/>
    <cellStyle name="检查单元格 2 2 7 4 2" xfId="46441"/>
    <cellStyle name="检查单元格 2 2 8" xfId="46442"/>
    <cellStyle name="检查单元格 2 2 8 2" xfId="46443"/>
    <cellStyle name="检查单元格 2 2 8 2 2" xfId="46444"/>
    <cellStyle name="检查单元格 2 2 8 2 2 2" xfId="46445"/>
    <cellStyle name="检查单元格 2 2 8 3" xfId="46446"/>
    <cellStyle name="检查单元格 2 2 8 3 2" xfId="46447"/>
    <cellStyle name="检查单元格 2 2 9" xfId="46448"/>
    <cellStyle name="检查单元格 2 2 9 2" xfId="46449"/>
    <cellStyle name="检查单元格 2 2 9 2 2" xfId="46450"/>
    <cellStyle name="检查单元格 2 2 9 2 2 2" xfId="46451"/>
    <cellStyle name="检查单元格 2 2 9 3" xfId="46452"/>
    <cellStyle name="检查单元格 2 2 9 3 2" xfId="46453"/>
    <cellStyle name="检查单元格 2 3" xfId="46454"/>
    <cellStyle name="检查单元格 2 3 2" xfId="46455"/>
    <cellStyle name="检查单元格 2 3 2 2" xfId="46456"/>
    <cellStyle name="检查单元格 2 3 2 2 2" xfId="46457"/>
    <cellStyle name="检查单元格 2 3 2 2 2 2" xfId="46458"/>
    <cellStyle name="检查单元格 2 3 2 2 2 3" xfId="46459"/>
    <cellStyle name="检查单元格 2 3 2 2 2 3 2" xfId="46460"/>
    <cellStyle name="检查单元格 2 3 2 2 2 3 2 2" xfId="46461"/>
    <cellStyle name="检查单元格 2 3 2 2 2 4" xfId="46462"/>
    <cellStyle name="检查单元格 2 3 2 2 2 4 2" xfId="46463"/>
    <cellStyle name="检查单元格 2 3 2 2 3" xfId="46464"/>
    <cellStyle name="检查单元格 2 3 2 2 3 2" xfId="46465"/>
    <cellStyle name="检查单元格 2 3 2 2 3 2 2" xfId="46466"/>
    <cellStyle name="检查单元格 2 3 2 2 3 2 2 2" xfId="46467"/>
    <cellStyle name="检查单元格 2 3 2 2 3 3" xfId="46468"/>
    <cellStyle name="检查单元格 2 3 2 2 3 3 2" xfId="46469"/>
    <cellStyle name="检查单元格 2 3 2 2 4" xfId="46470"/>
    <cellStyle name="检查单元格 2 3 2 2 5" xfId="46471"/>
    <cellStyle name="检查单元格 2 3 2 2 6" xfId="46472"/>
    <cellStyle name="检查单元格 2 3 2 3" xfId="46473"/>
    <cellStyle name="检查单元格 2 3 2 3 2" xfId="46474"/>
    <cellStyle name="检查单元格 2 3 2 3 3" xfId="46475"/>
    <cellStyle name="检查单元格 2 3 2 3 3 2" xfId="46476"/>
    <cellStyle name="检查单元格 2 3 2 3 3 2 2" xfId="46477"/>
    <cellStyle name="检查单元格 2 3 2 3 4" xfId="46478"/>
    <cellStyle name="检查单元格 2 3 2 3 4 2" xfId="46479"/>
    <cellStyle name="检查单元格 2 3 2 4" xfId="46480"/>
    <cellStyle name="检查单元格 2 3 2 4 2" xfId="46481"/>
    <cellStyle name="检查单元格 2 3 2 4 2 2" xfId="46482"/>
    <cellStyle name="检查单元格 2 3 2 4 2 2 2" xfId="46483"/>
    <cellStyle name="检查单元格 2 3 2 4 3" xfId="46484"/>
    <cellStyle name="检查单元格 2 3 2 4 3 2" xfId="46485"/>
    <cellStyle name="检查单元格 2 3 2 5" xfId="46486"/>
    <cellStyle name="检查单元格 2 3 2 6" xfId="46487"/>
    <cellStyle name="检查单元格 2 3 2 7" xfId="46488"/>
    <cellStyle name="检查单元格 2 3 3" xfId="46489"/>
    <cellStyle name="检查单元格 2 3 3 2" xfId="46490"/>
    <cellStyle name="检查单元格 2 3 3 2 2" xfId="46491"/>
    <cellStyle name="检查单元格 2 3 3 2 3" xfId="46492"/>
    <cellStyle name="检查单元格 2 3 3 2 3 2" xfId="46493"/>
    <cellStyle name="检查单元格 2 3 3 2 3 2 2" xfId="46494"/>
    <cellStyle name="检查单元格 2 3 3 2 4" xfId="46495"/>
    <cellStyle name="检查单元格 2 3 3 2 4 2" xfId="46496"/>
    <cellStyle name="检查单元格 2 3 3 3" xfId="46497"/>
    <cellStyle name="检查单元格 2 3 3 3 2" xfId="46498"/>
    <cellStyle name="检查单元格 2 3 3 3 2 2" xfId="46499"/>
    <cellStyle name="检查单元格 2 3 3 3 2 2 2" xfId="46500"/>
    <cellStyle name="检查单元格 2 3 3 3 3" xfId="46501"/>
    <cellStyle name="检查单元格 2 3 3 3 3 2" xfId="46502"/>
    <cellStyle name="检查单元格 2 3 3 4" xfId="46503"/>
    <cellStyle name="检查单元格 2 3 3 5" xfId="46504"/>
    <cellStyle name="检查单元格 2 3 3 6" xfId="46505"/>
    <cellStyle name="检查单元格 2 3 4" xfId="46506"/>
    <cellStyle name="检查单元格 2 3 4 2" xfId="46507"/>
    <cellStyle name="检查单元格 2 3 4 2 2" xfId="46508"/>
    <cellStyle name="检查单元格 2 3 4 2 3" xfId="46509"/>
    <cellStyle name="检查单元格 2 3 4 2 3 2" xfId="46510"/>
    <cellStyle name="检查单元格 2 3 4 2 3 2 2" xfId="46511"/>
    <cellStyle name="检查单元格 2 3 4 2 4" xfId="46512"/>
    <cellStyle name="检查单元格 2 3 4 2 4 2" xfId="46513"/>
    <cellStyle name="检查单元格 2 3 4 3" xfId="46514"/>
    <cellStyle name="检查单元格 2 3 4 4" xfId="46515"/>
    <cellStyle name="检查单元格 2 3 4 5" xfId="46516"/>
    <cellStyle name="检查单元格 2 3 4 6" xfId="46517"/>
    <cellStyle name="检查单元格 2 3 5" xfId="46518"/>
    <cellStyle name="检查单元格 2 3 5 2" xfId="46519"/>
    <cellStyle name="检查单元格 2 3 5 2 2" xfId="46520"/>
    <cellStyle name="检查单元格 2 3 5 2 2 2" xfId="46521"/>
    <cellStyle name="检查单元格 2 3 5 2 2 2 2" xfId="46522"/>
    <cellStyle name="检查单元格 2 3 5 2 3" xfId="46523"/>
    <cellStyle name="检查单元格 2 3 5 2 3 2" xfId="46524"/>
    <cellStyle name="检查单元格 2 3 5 3" xfId="46525"/>
    <cellStyle name="检查单元格 2 3 5 3 2" xfId="46526"/>
    <cellStyle name="检查单元格 2 3 5 3 2 2" xfId="46527"/>
    <cellStyle name="检查单元格 2 3 5 4" xfId="46528"/>
    <cellStyle name="检查单元格 2 3 5 4 2" xfId="46529"/>
    <cellStyle name="检查单元格 2 3 6" xfId="46530"/>
    <cellStyle name="检查单元格 2 3 6 2" xfId="46531"/>
    <cellStyle name="检查单元格 2 3 6 2 2" xfId="46532"/>
    <cellStyle name="检查单元格 2 3 6 2 2 2" xfId="46533"/>
    <cellStyle name="检查单元格 2 3 6 3" xfId="46534"/>
    <cellStyle name="检查单元格 2 3 6 3 2" xfId="46535"/>
    <cellStyle name="检查单元格 2 3 7" xfId="46536"/>
    <cellStyle name="检查单元格 2 3 7 2" xfId="46537"/>
    <cellStyle name="检查单元格 2 3 7 2 2" xfId="46538"/>
    <cellStyle name="检查单元格 2 3 7 2 2 2" xfId="46539"/>
    <cellStyle name="检查单元格 2 3 7 3" xfId="46540"/>
    <cellStyle name="检查单元格 2 3 7 3 2" xfId="46541"/>
    <cellStyle name="检查单元格 2 3 8" xfId="46542"/>
    <cellStyle name="检查单元格 2 3 9" xfId="46543"/>
    <cellStyle name="检查单元格 2 4" xfId="46544"/>
    <cellStyle name="检查单元格 2 4 2" xfId="46545"/>
    <cellStyle name="检查单元格 2 4 2 2" xfId="46546"/>
    <cellStyle name="检查单元格 2 4 2 3" xfId="46547"/>
    <cellStyle name="检查单元格 2 4 2 3 2" xfId="46548"/>
    <cellStyle name="检查单元格 2 4 2 3 2 2" xfId="46549"/>
    <cellStyle name="检查单元格 2 4 2 4" xfId="46550"/>
    <cellStyle name="检查单元格 2 4 2 4 2" xfId="46551"/>
    <cellStyle name="检查单元格 2 4 3" xfId="46552"/>
    <cellStyle name="检查单元格 2 4 3 2" xfId="46553"/>
    <cellStyle name="检查单元格 2 4 3 2 2" xfId="46554"/>
    <cellStyle name="检查单元格 2 4 3 2 2 2" xfId="46555"/>
    <cellStyle name="检查单元格 2 4 3 3" xfId="46556"/>
    <cellStyle name="检查单元格 2 4 3 3 2" xfId="46557"/>
    <cellStyle name="检查单元格 2 4 4" xfId="46558"/>
    <cellStyle name="检查单元格 2 4 5" xfId="46559"/>
    <cellStyle name="检查单元格 2 4 6" xfId="46560"/>
    <cellStyle name="检查单元格 2 5" xfId="46561"/>
    <cellStyle name="检查单元格 2 5 2" xfId="46562"/>
    <cellStyle name="检查单元格 2 5 2 2" xfId="46563"/>
    <cellStyle name="检查单元格 2 5 2 3" xfId="46564"/>
    <cellStyle name="检查单元格 2 5 2 3 2" xfId="46565"/>
    <cellStyle name="检查单元格 2 5 2 3 2 2" xfId="46566"/>
    <cellStyle name="检查单元格 2 5 2 4" xfId="46567"/>
    <cellStyle name="检查单元格 2 5 2 4 2" xfId="46568"/>
    <cellStyle name="检查单元格 2 5 3" xfId="46569"/>
    <cellStyle name="检查单元格 2 5 4" xfId="46570"/>
    <cellStyle name="检查单元格 2 5 5" xfId="46571"/>
    <cellStyle name="检查单元格 2 5 6" xfId="46572"/>
    <cellStyle name="检查单元格 2 6" xfId="46573"/>
    <cellStyle name="检查单元格 2 6 2" xfId="46574"/>
    <cellStyle name="检查单元格 2 6 2 2" xfId="46575"/>
    <cellStyle name="检查单元格 2 6 2 2 2" xfId="46576"/>
    <cellStyle name="检查单元格 2 6 2 2 2 2" xfId="46577"/>
    <cellStyle name="检查单元格 2 6 2 3" xfId="46578"/>
    <cellStyle name="检查单元格 2 6 2 3 2" xfId="46579"/>
    <cellStyle name="检查单元格 2 6 3" xfId="46580"/>
    <cellStyle name="检查单元格 2 6 3 2" xfId="46581"/>
    <cellStyle name="检查单元格 2 6 3 2 2" xfId="46582"/>
    <cellStyle name="检查单元格 2 6 4" xfId="46583"/>
    <cellStyle name="检查单元格 2 6 4 2" xfId="46584"/>
    <cellStyle name="检查单元格 2 7" xfId="46585"/>
    <cellStyle name="检查单元格 2 7 2" xfId="46586"/>
    <cellStyle name="检查单元格 2 7 2 2" xfId="46587"/>
    <cellStyle name="检查单元格 2 7 2 2 2" xfId="46588"/>
    <cellStyle name="检查单元格 2 7 2 2 2 2" xfId="46589"/>
    <cellStyle name="检查单元格 2 7 2 3" xfId="46590"/>
    <cellStyle name="检查单元格 2 7 2 3 2" xfId="46591"/>
    <cellStyle name="检查单元格 2 7 3" xfId="46592"/>
    <cellStyle name="检查单元格 2 7 3 2" xfId="46593"/>
    <cellStyle name="检查单元格 2 7 3 2 2" xfId="46594"/>
    <cellStyle name="检查单元格 2 7 4" xfId="46595"/>
    <cellStyle name="检查单元格 2 7 4 2" xfId="46596"/>
    <cellStyle name="检查单元格 2 8" xfId="46597"/>
    <cellStyle name="检查单元格 2 8 2" xfId="46598"/>
    <cellStyle name="检查单元格 2 8 2 2" xfId="46599"/>
    <cellStyle name="检查单元格 2 8 2 2 2" xfId="46600"/>
    <cellStyle name="检查单元格 2 8 2 2 2 2" xfId="46601"/>
    <cellStyle name="检查单元格 2 8 2 3" xfId="46602"/>
    <cellStyle name="检查单元格 2 8 2 3 2" xfId="46603"/>
    <cellStyle name="检查单元格 2 8 3" xfId="46604"/>
    <cellStyle name="检查单元格 2 8 3 2" xfId="46605"/>
    <cellStyle name="检查单元格 2 8 3 2 2" xfId="46606"/>
    <cellStyle name="检查单元格 2 8 4" xfId="46607"/>
    <cellStyle name="检查单元格 2 8 4 2" xfId="46608"/>
    <cellStyle name="检查单元格 2 9" xfId="46609"/>
    <cellStyle name="检查单元格 2 9 2" xfId="46610"/>
    <cellStyle name="检查单元格 2 9 2 2" xfId="46611"/>
    <cellStyle name="检查单元格 2 9 2 2 2" xfId="46612"/>
    <cellStyle name="检查单元格 2 9 3" xfId="46613"/>
    <cellStyle name="检查单元格 2 9 3 2" xfId="46614"/>
    <cellStyle name="检查单元格 3" xfId="46615"/>
    <cellStyle name="检查单元格 3 2" xfId="46616"/>
    <cellStyle name="检查单元格 3 2 2" xfId="46617"/>
    <cellStyle name="检查单元格 3 2 2 2" xfId="46618"/>
    <cellStyle name="检查单元格 3 2 2 2 2" xfId="46619"/>
    <cellStyle name="检查单元格 3 2 2 2 3" xfId="46620"/>
    <cellStyle name="检查单元格 3 2 2 2 3 2" xfId="46621"/>
    <cellStyle name="检查单元格 3 2 2 2 3 2 2" xfId="46622"/>
    <cellStyle name="检查单元格 3 2 2 2 4" xfId="46623"/>
    <cellStyle name="检查单元格 3 2 2 2 4 2" xfId="46624"/>
    <cellStyle name="检查单元格 3 2 2 3" xfId="46625"/>
    <cellStyle name="检查单元格 3 2 2 3 2" xfId="46626"/>
    <cellStyle name="检查单元格 3 2 2 3 2 2" xfId="46627"/>
    <cellStyle name="检查单元格 3 2 2 3 2 2 2" xfId="46628"/>
    <cellStyle name="检查单元格 3 2 2 3 3" xfId="46629"/>
    <cellStyle name="检查单元格 3 2 2 3 3 2" xfId="46630"/>
    <cellStyle name="检查单元格 3 2 2 4" xfId="46631"/>
    <cellStyle name="检查单元格 3 2 2 5" xfId="46632"/>
    <cellStyle name="检查单元格 3 2 2 6" xfId="46633"/>
    <cellStyle name="检查单元格 3 2 3" xfId="46634"/>
    <cellStyle name="检查单元格 3 2 3 2" xfId="46635"/>
    <cellStyle name="检查单元格 3 2 3 3" xfId="46636"/>
    <cellStyle name="检查单元格 3 2 3 3 2" xfId="46637"/>
    <cellStyle name="检查单元格 3 2 3 3 2 2" xfId="46638"/>
    <cellStyle name="检查单元格 3 2 3 4" xfId="46639"/>
    <cellStyle name="检查单元格 3 2 3 4 2" xfId="46640"/>
    <cellStyle name="检查单元格 3 2 4" xfId="46641"/>
    <cellStyle name="检查单元格 3 2 4 2" xfId="46642"/>
    <cellStyle name="检查单元格 3 2 4 2 2" xfId="46643"/>
    <cellStyle name="检查单元格 3 2 4 2 2 2" xfId="46644"/>
    <cellStyle name="检查单元格 3 2 4 3" xfId="46645"/>
    <cellStyle name="检查单元格 3 2 4 3 2" xfId="46646"/>
    <cellStyle name="检查单元格 3 2 5" xfId="46647"/>
    <cellStyle name="检查单元格 3 2 6" xfId="46648"/>
    <cellStyle name="检查单元格 3 2 7" xfId="46649"/>
    <cellStyle name="检查单元格 3 3" xfId="46650"/>
    <cellStyle name="检查单元格 3 3 2" xfId="46651"/>
    <cellStyle name="检查单元格 3 3 2 2" xfId="46652"/>
    <cellStyle name="检查单元格 3 3 2 3" xfId="46653"/>
    <cellStyle name="检查单元格 3 3 2 3 2" xfId="46654"/>
    <cellStyle name="检查单元格 3 3 2 3 2 2" xfId="46655"/>
    <cellStyle name="检查单元格 3 3 2 4" xfId="46656"/>
    <cellStyle name="检查单元格 3 3 2 4 2" xfId="46657"/>
    <cellStyle name="检查单元格 3 3 3" xfId="46658"/>
    <cellStyle name="检查单元格 3 3 3 2" xfId="46659"/>
    <cellStyle name="检查单元格 3 3 3 2 2" xfId="46660"/>
    <cellStyle name="检查单元格 3 3 3 2 2 2" xfId="46661"/>
    <cellStyle name="检查单元格 3 3 3 3" xfId="46662"/>
    <cellStyle name="检查单元格 3 3 3 3 2" xfId="46663"/>
    <cellStyle name="检查单元格 3 3 4" xfId="46664"/>
    <cellStyle name="检查单元格 3 3 5" xfId="46665"/>
    <cellStyle name="检查单元格 3 3 6" xfId="46666"/>
    <cellStyle name="检查单元格 3 4" xfId="46667"/>
    <cellStyle name="检查单元格 3 4 2" xfId="46668"/>
    <cellStyle name="检查单元格 3 4 2 2" xfId="46669"/>
    <cellStyle name="检查单元格 3 4 2 3" xfId="46670"/>
    <cellStyle name="检查单元格 3 4 2 3 2" xfId="46671"/>
    <cellStyle name="检查单元格 3 4 2 3 2 2" xfId="46672"/>
    <cellStyle name="检查单元格 3 4 2 4" xfId="46673"/>
    <cellStyle name="检查单元格 3 4 2 4 2" xfId="46674"/>
    <cellStyle name="检查单元格 3 4 3" xfId="46675"/>
    <cellStyle name="检查单元格 3 4 4" xfId="46676"/>
    <cellStyle name="检查单元格 3 4 5" xfId="46677"/>
    <cellStyle name="检查单元格 3 4 6" xfId="46678"/>
    <cellStyle name="检查单元格 3 5" xfId="46679"/>
    <cellStyle name="检查单元格 3 5 2" xfId="46680"/>
    <cellStyle name="检查单元格 3 5 2 2" xfId="46681"/>
    <cellStyle name="检查单元格 3 5 2 2 2" xfId="46682"/>
    <cellStyle name="检查单元格 3 5 2 2 2 2" xfId="46683"/>
    <cellStyle name="检查单元格 3 5 2 3" xfId="46684"/>
    <cellStyle name="检查单元格 3 5 2 3 2" xfId="46685"/>
    <cellStyle name="检查单元格 3 5 3" xfId="46686"/>
    <cellStyle name="检查单元格 3 5 3 2" xfId="46687"/>
    <cellStyle name="检查单元格 3 5 3 2 2" xfId="46688"/>
    <cellStyle name="检查单元格 3 5 4" xfId="46689"/>
    <cellStyle name="检查单元格 3 5 4 2" xfId="46690"/>
    <cellStyle name="检查单元格 3 6" xfId="46691"/>
    <cellStyle name="检查单元格 3 6 2" xfId="46692"/>
    <cellStyle name="检查单元格 3 6 2 2" xfId="46693"/>
    <cellStyle name="检查单元格 3 6 2 2 2" xfId="46694"/>
    <cellStyle name="检查单元格 3 6 3" xfId="46695"/>
    <cellStyle name="检查单元格 3 6 3 2" xfId="46696"/>
    <cellStyle name="检查单元格 3 7" xfId="46697"/>
    <cellStyle name="检查单元格 3 8" xfId="46698"/>
    <cellStyle name="標準 2" xfId="46699"/>
    <cellStyle name="標準_2007AOP CAPEX WRC" xfId="46700"/>
    <cellStyle name="汇总 2" xfId="46701"/>
    <cellStyle name="汇总 2 10" xfId="46702"/>
    <cellStyle name="汇总 2 11" xfId="46703"/>
    <cellStyle name="汇总 2 2" xfId="46704"/>
    <cellStyle name="汇总 2 2 10" xfId="46705"/>
    <cellStyle name="汇总 2 2 11" xfId="46706"/>
    <cellStyle name="汇总 2 2 2" xfId="46707"/>
    <cellStyle name="汇总 2 2 2 2" xfId="46708"/>
    <cellStyle name="汇总 2 2 2 2 2" xfId="46709"/>
    <cellStyle name="汇总 2 2 2 2 2 2" xfId="46710"/>
    <cellStyle name="汇总 2 2 2 2 2 3" xfId="46711"/>
    <cellStyle name="汇总 2 2 2 2 2 3 2" xfId="46712"/>
    <cellStyle name="汇总 2 2 2 2 2 3 2 2" xfId="46713"/>
    <cellStyle name="汇总 2 2 2 2 2 4" xfId="46714"/>
    <cellStyle name="汇总 2 2 2 2 2 4 2" xfId="46715"/>
    <cellStyle name="汇总 2 2 2 2 3" xfId="46716"/>
    <cellStyle name="汇总 2 2 2 2 3 2" xfId="46717"/>
    <cellStyle name="汇总 2 2 2 2 3 2 2" xfId="46718"/>
    <cellStyle name="汇总 2 2 2 2 3 2 2 2" xfId="46719"/>
    <cellStyle name="汇总 2 2 2 2 3 3" xfId="46720"/>
    <cellStyle name="汇总 2 2 2 2 3 3 2" xfId="46721"/>
    <cellStyle name="汇总 2 2 2 2 4" xfId="46722"/>
    <cellStyle name="汇总 2 2 2 2 5" xfId="46723"/>
    <cellStyle name="汇总 2 2 2 2 6" xfId="46724"/>
    <cellStyle name="汇总 2 2 2 3" xfId="46725"/>
    <cellStyle name="汇总 2 2 2 3 2" xfId="46726"/>
    <cellStyle name="汇总 2 2 2 3 3" xfId="46727"/>
    <cellStyle name="汇总 2 2 2 3 3 2" xfId="46728"/>
    <cellStyle name="汇总 2 2 2 3 3 2 2" xfId="46729"/>
    <cellStyle name="汇总 2 2 2 3 4" xfId="46730"/>
    <cellStyle name="汇总 2 2 2 3 4 2" xfId="46731"/>
    <cellStyle name="汇总 2 2 2 4" xfId="46732"/>
    <cellStyle name="汇总 2 2 2 4 2" xfId="46733"/>
    <cellStyle name="汇总 2 2 2 4 2 2" xfId="46734"/>
    <cellStyle name="汇总 2 2 2 4 2 2 2" xfId="46735"/>
    <cellStyle name="汇总 2 2 2 4 3" xfId="46736"/>
    <cellStyle name="汇总 2 2 2 4 3 2" xfId="46737"/>
    <cellStyle name="汇总 2 2 2 5" xfId="46738"/>
    <cellStyle name="汇总 2 2 2 6" xfId="46739"/>
    <cellStyle name="汇总 2 2 2 7" xfId="46740"/>
    <cellStyle name="汇总 2 2 3" xfId="46741"/>
    <cellStyle name="汇总 2 2 3 2" xfId="46742"/>
    <cellStyle name="汇总 2 2 3 2 2" xfId="46743"/>
    <cellStyle name="汇总 2 2 3 2 3" xfId="46744"/>
    <cellStyle name="汇总 2 2 3 2 3 2" xfId="46745"/>
    <cellStyle name="汇总 2 2 3 2 3 2 2" xfId="46746"/>
    <cellStyle name="汇总 2 2 3 2 4" xfId="46747"/>
    <cellStyle name="汇总 2 2 3 2 4 2" xfId="46748"/>
    <cellStyle name="汇总 2 2 3 3" xfId="46749"/>
    <cellStyle name="汇总 2 2 3 3 2" xfId="46750"/>
    <cellStyle name="汇总 2 2 3 3 2 2" xfId="46751"/>
    <cellStyle name="汇总 2 2 3 3 2 2 2" xfId="46752"/>
    <cellStyle name="汇总 2 2 3 3 3" xfId="46753"/>
    <cellStyle name="汇总 2 2 3 3 3 2" xfId="46754"/>
    <cellStyle name="汇总 2 2 3 4" xfId="46755"/>
    <cellStyle name="汇总 2 2 3 5" xfId="46756"/>
    <cellStyle name="汇总 2 2 3 6" xfId="46757"/>
    <cellStyle name="汇总 2 2 4" xfId="46758"/>
    <cellStyle name="汇总 2 2 4 2" xfId="46759"/>
    <cellStyle name="汇总 2 2 4 2 2" xfId="46760"/>
    <cellStyle name="汇总 2 2 4 2 3" xfId="46761"/>
    <cellStyle name="汇总 2 2 4 2 3 2" xfId="46762"/>
    <cellStyle name="汇总 2 2 4 2 3 2 2" xfId="46763"/>
    <cellStyle name="汇总 2 2 4 2 4" xfId="46764"/>
    <cellStyle name="汇总 2 2 4 2 4 2" xfId="46765"/>
    <cellStyle name="汇总 2 2 4 3" xfId="46766"/>
    <cellStyle name="汇总 2 2 4 4" xfId="46767"/>
    <cellStyle name="汇总 2 2 4 5" xfId="46768"/>
    <cellStyle name="汇总 2 2 4 6" xfId="46769"/>
    <cellStyle name="汇总 2 2 5" xfId="46770"/>
    <cellStyle name="汇总 2 2 5 2" xfId="46771"/>
    <cellStyle name="汇总 2 2 5 2 2" xfId="46772"/>
    <cellStyle name="汇总 2 2 5 2 2 2" xfId="46773"/>
    <cellStyle name="汇总 2 2 5 2 2 2 2" xfId="46774"/>
    <cellStyle name="汇总 2 2 5 2 3" xfId="46775"/>
    <cellStyle name="汇总 2 2 5 2 3 2" xfId="46776"/>
    <cellStyle name="汇总 2 2 5 3" xfId="46777"/>
    <cellStyle name="汇总 2 2 5 3 2" xfId="46778"/>
    <cellStyle name="汇总 2 2 5 3 2 2" xfId="46779"/>
    <cellStyle name="汇总 2 2 5 4" xfId="46780"/>
    <cellStyle name="汇总 2 2 5 4 2" xfId="46781"/>
    <cellStyle name="汇总 2 2 6" xfId="46782"/>
    <cellStyle name="汇总 2 2 6 2" xfId="46783"/>
    <cellStyle name="汇总 2 2 6 2 2" xfId="46784"/>
    <cellStyle name="汇总 2 2 6 2 2 2" xfId="46785"/>
    <cellStyle name="汇总 2 2 6 2 2 2 2" xfId="46786"/>
    <cellStyle name="汇总 2 2 6 2 3" xfId="46787"/>
    <cellStyle name="汇总 2 2 6 2 3 2" xfId="46788"/>
    <cellStyle name="汇总 2 2 6 3" xfId="46789"/>
    <cellStyle name="汇总 2 2 6 3 2" xfId="46790"/>
    <cellStyle name="汇总 2 2 6 3 2 2" xfId="46791"/>
    <cellStyle name="汇总 2 2 6 4" xfId="46792"/>
    <cellStyle name="汇总 2 2 6 4 2" xfId="46793"/>
    <cellStyle name="汇总 2 2 7" xfId="46794"/>
    <cellStyle name="汇总 2 2 7 2" xfId="46795"/>
    <cellStyle name="汇总 2 2 7 2 2" xfId="46796"/>
    <cellStyle name="汇总 2 2 7 2 2 2" xfId="46797"/>
    <cellStyle name="汇总 2 2 7 2 2 2 2" xfId="46798"/>
    <cellStyle name="汇总 2 2 7 2 3" xfId="46799"/>
    <cellStyle name="汇总 2 2 7 2 3 2" xfId="46800"/>
    <cellStyle name="汇总 2 2 7 3" xfId="46801"/>
    <cellStyle name="汇总 2 2 7 3 2" xfId="46802"/>
    <cellStyle name="汇总 2 2 7 3 2 2" xfId="46803"/>
    <cellStyle name="汇总 2 2 7 4" xfId="46804"/>
    <cellStyle name="汇总 2 2 7 4 2" xfId="46805"/>
    <cellStyle name="汇总 2 2 8" xfId="46806"/>
    <cellStyle name="汇总 2 2 8 2" xfId="46807"/>
    <cellStyle name="汇总 2 2 8 2 2" xfId="46808"/>
    <cellStyle name="汇总 2 2 8 2 2 2" xfId="46809"/>
    <cellStyle name="汇总 2 2 8 3" xfId="46810"/>
    <cellStyle name="汇总 2 2 8 3 2" xfId="46811"/>
    <cellStyle name="汇总 2 2 9" xfId="46812"/>
    <cellStyle name="汇总 2 2 9 2" xfId="46813"/>
    <cellStyle name="汇总 2 2 9 2 2" xfId="46814"/>
    <cellStyle name="汇总 2 2 9 2 2 2" xfId="46815"/>
    <cellStyle name="汇总 2 2 9 3" xfId="46816"/>
    <cellStyle name="汇总 2 2 9 3 2" xfId="46817"/>
    <cellStyle name="汇总 2 3" xfId="46818"/>
    <cellStyle name="汇总 2 3 2" xfId="46819"/>
    <cellStyle name="汇总 2 3 2 2" xfId="46820"/>
    <cellStyle name="汇总 2 3 2 2 2" xfId="46821"/>
    <cellStyle name="汇总 2 3 2 2 2 2" xfId="46822"/>
    <cellStyle name="汇总 2 3 2 2 2 3" xfId="46823"/>
    <cellStyle name="汇总 2 3 2 2 2 3 2" xfId="46824"/>
    <cellStyle name="汇总 2 3 2 2 2 3 2 2" xfId="46825"/>
    <cellStyle name="汇总 2 3 2 2 2 4" xfId="46826"/>
    <cellStyle name="汇总 2 3 2 2 2 4 2" xfId="46827"/>
    <cellStyle name="汇总 2 3 2 2 3" xfId="46828"/>
    <cellStyle name="汇总 2 3 2 2 3 2" xfId="46829"/>
    <cellStyle name="汇总 2 3 2 2 3 2 2" xfId="46830"/>
    <cellStyle name="汇总 2 3 2 2 3 2 2 2" xfId="46831"/>
    <cellStyle name="汇总 2 3 2 2 3 3" xfId="46832"/>
    <cellStyle name="汇总 2 3 2 2 3 3 2" xfId="46833"/>
    <cellStyle name="汇总 2 3 2 2 4" xfId="46834"/>
    <cellStyle name="汇总 2 3 2 2 5" xfId="46835"/>
    <cellStyle name="汇总 2 3 2 2 6" xfId="46836"/>
    <cellStyle name="汇总 2 3 2 3" xfId="46837"/>
    <cellStyle name="汇总 2 3 2 3 2" xfId="46838"/>
    <cellStyle name="汇总 2 3 2 3 3" xfId="46839"/>
    <cellStyle name="汇总 2 3 2 3 3 2" xfId="46840"/>
    <cellStyle name="汇总 2 3 2 3 3 2 2" xfId="46841"/>
    <cellStyle name="汇总 2 3 2 3 4" xfId="46842"/>
    <cellStyle name="汇总 2 3 2 3 4 2" xfId="46843"/>
    <cellStyle name="汇总 2 3 2 4" xfId="46844"/>
    <cellStyle name="汇总 2 3 2 4 2" xfId="46845"/>
    <cellStyle name="汇总 2 3 2 4 2 2" xfId="46846"/>
    <cellStyle name="汇总 2 3 2 4 2 2 2" xfId="46847"/>
    <cellStyle name="汇总 2 3 2 4 3" xfId="46848"/>
    <cellStyle name="汇总 2 3 2 4 3 2" xfId="46849"/>
    <cellStyle name="汇总 2 3 2 5" xfId="46850"/>
    <cellStyle name="汇总 2 3 2 6" xfId="46851"/>
    <cellStyle name="汇总 2 3 2 7" xfId="46852"/>
    <cellStyle name="汇总 2 3 3" xfId="46853"/>
    <cellStyle name="汇总 2 3 3 2" xfId="46854"/>
    <cellStyle name="汇总 2 3 3 2 2" xfId="46855"/>
    <cellStyle name="汇总 2 3 3 2 3" xfId="46856"/>
    <cellStyle name="汇总 2 3 3 2 3 2" xfId="46857"/>
    <cellStyle name="汇总 2 3 3 2 3 2 2" xfId="46858"/>
    <cellStyle name="汇总 2 3 3 2 4" xfId="46859"/>
    <cellStyle name="汇总 2 3 3 2 4 2" xfId="46860"/>
    <cellStyle name="汇总 2 3 3 3" xfId="46861"/>
    <cellStyle name="汇总 2 3 3 3 2" xfId="46862"/>
    <cellStyle name="汇总 2 3 3 3 2 2" xfId="46863"/>
    <cellStyle name="汇总 2 3 3 3 2 2 2" xfId="46864"/>
    <cellStyle name="汇总 2 3 3 3 3" xfId="46865"/>
    <cellStyle name="汇总 2 3 3 3 3 2" xfId="46866"/>
    <cellStyle name="汇总 2 3 3 4" xfId="46867"/>
    <cellStyle name="汇总 2 3 3 5" xfId="46868"/>
    <cellStyle name="汇总 2 3 3 6" xfId="46869"/>
    <cellStyle name="汇总 2 3 4" xfId="46870"/>
    <cellStyle name="汇总 2 3 4 2" xfId="46871"/>
    <cellStyle name="汇总 2 3 4 2 2" xfId="46872"/>
    <cellStyle name="汇总 2 3 4 2 3" xfId="46873"/>
    <cellStyle name="汇总 2 3 4 2 3 2" xfId="46874"/>
    <cellStyle name="汇总 2 3 4 2 3 2 2" xfId="46875"/>
    <cellStyle name="汇总 2 3 4 2 4" xfId="46876"/>
    <cellStyle name="汇总 2 3 4 2 4 2" xfId="46877"/>
    <cellStyle name="汇总 2 3 4 3" xfId="46878"/>
    <cellStyle name="汇总 2 3 4 4" xfId="46879"/>
    <cellStyle name="汇总 2 3 4 5" xfId="46880"/>
    <cellStyle name="汇总 2 3 4 6" xfId="46881"/>
    <cellStyle name="汇总 2 3 5" xfId="46882"/>
    <cellStyle name="汇总 2 3 5 2" xfId="46883"/>
    <cellStyle name="汇总 2 3 5 2 2" xfId="46884"/>
    <cellStyle name="汇总 2 3 5 2 2 2" xfId="46885"/>
    <cellStyle name="汇总 2 3 5 2 2 2 2" xfId="46886"/>
    <cellStyle name="汇总 2 3 5 2 3" xfId="46887"/>
    <cellStyle name="汇总 2 3 5 2 3 2" xfId="46888"/>
    <cellStyle name="汇总 2 3 5 3" xfId="46889"/>
    <cellStyle name="汇总 2 3 5 3 2" xfId="46890"/>
    <cellStyle name="汇总 2 3 5 3 2 2" xfId="46891"/>
    <cellStyle name="汇总 2 3 5 4" xfId="46892"/>
    <cellStyle name="汇总 2 3 5 4 2" xfId="46893"/>
    <cellStyle name="汇总 2 3 6" xfId="46894"/>
    <cellStyle name="汇总 2 3 6 2" xfId="46895"/>
    <cellStyle name="汇总 2 3 6 2 2" xfId="46896"/>
    <cellStyle name="汇总 2 3 6 2 2 2" xfId="46897"/>
    <cellStyle name="汇总 2 3 6 3" xfId="46898"/>
    <cellStyle name="汇总 2 3 6 3 2" xfId="46899"/>
    <cellStyle name="汇总 2 3 7" xfId="46900"/>
    <cellStyle name="汇总 2 3 7 2" xfId="46901"/>
    <cellStyle name="汇总 2 3 7 2 2" xfId="46902"/>
    <cellStyle name="汇总 2 3 7 2 2 2" xfId="46903"/>
    <cellStyle name="汇总 2 3 7 3" xfId="46904"/>
    <cellStyle name="汇总 2 3 7 3 2" xfId="46905"/>
    <cellStyle name="汇总 2 3 8" xfId="46906"/>
    <cellStyle name="汇总 2 3 9" xfId="46907"/>
    <cellStyle name="汇总 2 4" xfId="46908"/>
    <cellStyle name="汇总 2 4 2" xfId="46909"/>
    <cellStyle name="汇总 2 4 2 2" xfId="46910"/>
    <cellStyle name="汇总 2 4 2 3" xfId="46911"/>
    <cellStyle name="汇总 2 4 2 3 2" xfId="46912"/>
    <cellStyle name="汇总 2 4 2 3 2 2" xfId="46913"/>
    <cellStyle name="汇总 2 4 2 4" xfId="46914"/>
    <cellStyle name="汇总 2 4 2 4 2" xfId="46915"/>
    <cellStyle name="汇总 2 4 3" xfId="46916"/>
    <cellStyle name="汇总 2 4 3 2" xfId="46917"/>
    <cellStyle name="汇总 2 4 3 2 2" xfId="46918"/>
    <cellStyle name="汇总 2 4 3 2 2 2" xfId="46919"/>
    <cellStyle name="汇总 2 4 3 3" xfId="46920"/>
    <cellStyle name="汇总 2 4 3 3 2" xfId="46921"/>
    <cellStyle name="汇总 2 4 4" xfId="46922"/>
    <cellStyle name="汇总 2 4 5" xfId="46923"/>
    <cellStyle name="汇总 2 4 6" xfId="46924"/>
    <cellStyle name="汇总 2 5" xfId="46925"/>
    <cellStyle name="汇总 2 5 2" xfId="46926"/>
    <cellStyle name="汇总 2 5 2 2" xfId="46927"/>
    <cellStyle name="汇总 2 5 2 3" xfId="46928"/>
    <cellStyle name="汇总 2 5 2 3 2" xfId="46929"/>
    <cellStyle name="汇总 2 5 2 3 2 2" xfId="46930"/>
    <cellStyle name="汇总 2 5 2 4" xfId="46931"/>
    <cellStyle name="汇总 2 5 2 4 2" xfId="46932"/>
    <cellStyle name="汇总 2 5 3" xfId="46933"/>
    <cellStyle name="汇总 2 5 4" xfId="46934"/>
    <cellStyle name="汇总 2 5 5" xfId="46935"/>
    <cellStyle name="汇总 2 5 6" xfId="46936"/>
    <cellStyle name="汇总 2 6" xfId="46937"/>
    <cellStyle name="汇总 2 6 2" xfId="46938"/>
    <cellStyle name="汇总 2 6 2 2" xfId="46939"/>
    <cellStyle name="汇总 2 6 2 2 2" xfId="46940"/>
    <cellStyle name="汇总 2 6 2 2 2 2" xfId="46941"/>
    <cellStyle name="汇总 2 6 2 3" xfId="46942"/>
    <cellStyle name="汇总 2 6 2 3 2" xfId="46943"/>
    <cellStyle name="汇总 2 6 3" xfId="46944"/>
    <cellStyle name="汇总 2 6 3 2" xfId="46945"/>
    <cellStyle name="汇总 2 6 3 2 2" xfId="46946"/>
    <cellStyle name="汇总 2 6 4" xfId="46947"/>
    <cellStyle name="汇总 2 6 4 2" xfId="46948"/>
    <cellStyle name="汇总 2 7" xfId="46949"/>
    <cellStyle name="汇总 2 7 2" xfId="46950"/>
    <cellStyle name="汇总 2 7 2 2" xfId="46951"/>
    <cellStyle name="汇总 2 7 2 2 2" xfId="46952"/>
    <cellStyle name="汇总 2 7 2 2 2 2" xfId="46953"/>
    <cellStyle name="汇总 2 7 2 3" xfId="46954"/>
    <cellStyle name="汇总 2 7 2 3 2" xfId="46955"/>
    <cellStyle name="汇总 2 7 3" xfId="46956"/>
    <cellStyle name="汇总 2 7 3 2" xfId="46957"/>
    <cellStyle name="汇总 2 7 3 2 2" xfId="46958"/>
    <cellStyle name="汇总 2 7 4" xfId="46959"/>
    <cellStyle name="汇总 2 7 4 2" xfId="46960"/>
    <cellStyle name="汇总 2 8" xfId="46961"/>
    <cellStyle name="汇总 2 8 2" xfId="46962"/>
    <cellStyle name="汇总 2 8 2 2" xfId="46963"/>
    <cellStyle name="汇总 2 8 2 2 2" xfId="46964"/>
    <cellStyle name="汇总 2 8 2 2 2 2" xfId="46965"/>
    <cellStyle name="汇总 2 8 2 3" xfId="46966"/>
    <cellStyle name="汇总 2 8 2 3 2" xfId="46967"/>
    <cellStyle name="汇总 2 8 3" xfId="46968"/>
    <cellStyle name="汇总 2 8 3 2" xfId="46969"/>
    <cellStyle name="汇总 2 8 3 2 2" xfId="46970"/>
    <cellStyle name="汇总 2 8 4" xfId="46971"/>
    <cellStyle name="汇总 2 8 4 2" xfId="46972"/>
    <cellStyle name="汇总 2 9" xfId="46973"/>
    <cellStyle name="汇总 2 9 2" xfId="46974"/>
    <cellStyle name="汇总 2 9 2 2" xfId="46975"/>
    <cellStyle name="汇总 2 9 2 2 2" xfId="46976"/>
    <cellStyle name="汇总 2 9 3" xfId="46977"/>
    <cellStyle name="汇总 2 9 3 2" xfId="46978"/>
    <cellStyle name="汇总 3" xfId="46979"/>
    <cellStyle name="汇总 3 2" xfId="46980"/>
    <cellStyle name="汇总 3 2 2" xfId="46981"/>
    <cellStyle name="汇总 3 2 2 2" xfId="46982"/>
    <cellStyle name="汇总 3 2 2 2 2" xfId="46983"/>
    <cellStyle name="汇总 3 2 2 2 3" xfId="46984"/>
    <cellStyle name="汇总 3 2 2 2 3 2" xfId="46985"/>
    <cellStyle name="汇总 3 2 2 2 3 2 2" xfId="46986"/>
    <cellStyle name="汇总 3 2 2 2 4" xfId="46987"/>
    <cellStyle name="汇总 3 2 2 2 4 2" xfId="46988"/>
    <cellStyle name="汇总 3 2 2 3" xfId="46989"/>
    <cellStyle name="汇总 3 2 2 3 2" xfId="46990"/>
    <cellStyle name="汇总 3 2 2 3 2 2" xfId="46991"/>
    <cellStyle name="汇总 3 2 2 3 2 2 2" xfId="46992"/>
    <cellStyle name="汇总 3 2 2 3 3" xfId="46993"/>
    <cellStyle name="汇总 3 2 2 3 3 2" xfId="46994"/>
    <cellStyle name="汇总 3 2 2 4" xfId="46995"/>
    <cellStyle name="汇总 3 2 2 5" xfId="46996"/>
    <cellStyle name="汇总 3 2 2 6" xfId="46997"/>
    <cellStyle name="汇总 3 2 3" xfId="46998"/>
    <cellStyle name="汇总 3 2 3 2" xfId="46999"/>
    <cellStyle name="汇总 3 2 3 3" xfId="47000"/>
    <cellStyle name="汇总 3 2 3 3 2" xfId="47001"/>
    <cellStyle name="汇总 3 2 3 3 2 2" xfId="47002"/>
    <cellStyle name="汇总 3 2 3 4" xfId="47003"/>
    <cellStyle name="汇总 3 2 3 4 2" xfId="47004"/>
    <cellStyle name="汇总 3 2 4" xfId="47005"/>
    <cellStyle name="汇总 3 2 4 2" xfId="47006"/>
    <cellStyle name="汇总 3 2 4 2 2" xfId="47007"/>
    <cellStyle name="汇总 3 2 4 2 2 2" xfId="47008"/>
    <cellStyle name="汇总 3 2 4 3" xfId="47009"/>
    <cellStyle name="汇总 3 2 4 3 2" xfId="47010"/>
    <cellStyle name="汇总 3 2 5" xfId="47011"/>
    <cellStyle name="汇总 3 2 6" xfId="47012"/>
    <cellStyle name="汇总 3 2 7" xfId="47013"/>
    <cellStyle name="汇总 3 3" xfId="47014"/>
    <cellStyle name="汇总 3 3 2" xfId="47015"/>
    <cellStyle name="汇总 3 3 2 2" xfId="47016"/>
    <cellStyle name="汇总 3 3 2 3" xfId="47017"/>
    <cellStyle name="汇总 3 3 2 3 2" xfId="47018"/>
    <cellStyle name="汇总 3 3 2 3 2 2" xfId="47019"/>
    <cellStyle name="汇总 3 3 2 4" xfId="47020"/>
    <cellStyle name="汇总 3 3 2 4 2" xfId="47021"/>
    <cellStyle name="汇总 3 3 3" xfId="47022"/>
    <cellStyle name="汇总 3 3 3 2" xfId="47023"/>
    <cellStyle name="汇总 3 3 3 2 2" xfId="47024"/>
    <cellStyle name="汇总 3 3 3 2 2 2" xfId="47025"/>
    <cellStyle name="汇总 3 3 3 3" xfId="47026"/>
    <cellStyle name="汇总 3 3 3 3 2" xfId="47027"/>
    <cellStyle name="汇总 3 3 4" xfId="47028"/>
    <cellStyle name="汇总 3 3 5" xfId="47029"/>
    <cellStyle name="汇总 3 3 6" xfId="47030"/>
    <cellStyle name="汇总 3 4" xfId="47031"/>
    <cellStyle name="汇总 3 4 2" xfId="47032"/>
    <cellStyle name="汇总 3 4 2 2" xfId="47033"/>
    <cellStyle name="汇总 3 4 2 3" xfId="47034"/>
    <cellStyle name="汇总 3 4 2 3 2" xfId="47035"/>
    <cellStyle name="汇总 3 4 2 3 2 2" xfId="47036"/>
    <cellStyle name="汇总 3 4 2 4" xfId="47037"/>
    <cellStyle name="汇总 3 4 2 4 2" xfId="47038"/>
    <cellStyle name="汇总 3 4 3" xfId="47039"/>
    <cellStyle name="汇总 3 4 4" xfId="47040"/>
    <cellStyle name="汇总 3 4 5" xfId="47041"/>
    <cellStyle name="汇总 3 4 6" xfId="47042"/>
    <cellStyle name="汇总 3 5" xfId="47043"/>
    <cellStyle name="汇总 3 5 2" xfId="47044"/>
    <cellStyle name="汇总 3 5 2 2" xfId="47045"/>
    <cellStyle name="汇总 3 5 2 2 2" xfId="47046"/>
    <cellStyle name="汇总 3 5 2 2 2 2" xfId="47047"/>
    <cellStyle name="汇总 3 5 2 3" xfId="47048"/>
    <cellStyle name="汇总 3 5 2 3 2" xfId="47049"/>
    <cellStyle name="汇总 3 5 3" xfId="47050"/>
    <cellStyle name="汇总 3 5 3 2" xfId="47051"/>
    <cellStyle name="汇总 3 5 3 2 2" xfId="47052"/>
    <cellStyle name="汇总 3 5 4" xfId="47053"/>
    <cellStyle name="汇总 3 5 4 2" xfId="47054"/>
    <cellStyle name="汇总 3 6" xfId="47055"/>
    <cellStyle name="汇总 3 6 2" xfId="47056"/>
    <cellStyle name="汇总 3 6 2 2" xfId="47057"/>
    <cellStyle name="汇总 3 6 2 2 2" xfId="47058"/>
    <cellStyle name="汇总 3 6 3" xfId="47059"/>
    <cellStyle name="汇总 3 6 3 2" xfId="47060"/>
    <cellStyle name="汇总 3 7" xfId="47061"/>
    <cellStyle name="汇总 3 8" xfId="47062"/>
    <cellStyle name="注释 2" xfId="47063"/>
    <cellStyle name="注释 2 10" xfId="47064"/>
    <cellStyle name="注释 2 10 2" xfId="47065"/>
    <cellStyle name="注释 2 11" xfId="47066"/>
    <cellStyle name="注释 2 11 2" xfId="47067"/>
    <cellStyle name="注释 2 2" xfId="47068"/>
    <cellStyle name="注释 2 2 10" xfId="47069"/>
    <cellStyle name="注释 2 2 10 2" xfId="47070"/>
    <cellStyle name="注释 2 2 11" xfId="47071"/>
    <cellStyle name="注释 2 2 11 2" xfId="47072"/>
    <cellStyle name="注释 2 2 2" xfId="47073"/>
    <cellStyle name="注释 2 2 2 10" xfId="47074"/>
    <cellStyle name="注释 2 2 2 10 2" xfId="47075"/>
    <cellStyle name="注释 2 2 2 2" xfId="47076"/>
    <cellStyle name="注释 2 2 2 2 2" xfId="47077"/>
    <cellStyle name="注释 2 2 2 2 2 2" xfId="47078"/>
    <cellStyle name="注释 2 2 2 2 2 2 2" xfId="47079"/>
    <cellStyle name="注释 2 2 2 2 2 2 3" xfId="47080"/>
    <cellStyle name="注释 2 2 2 2 2 2 4" xfId="47081"/>
    <cellStyle name="注释 2 2 2 2 2 2 4 2" xfId="47082"/>
    <cellStyle name="注释 2 2 2 2 2 2 5" xfId="47083"/>
    <cellStyle name="注释 2 2 2 2 2 2 5 2" xfId="47084"/>
    <cellStyle name="注释 2 2 2 2 2 3" xfId="47085"/>
    <cellStyle name="注释 2 2 2 2 2 3 2" xfId="47086"/>
    <cellStyle name="注释 2 2 2 2 2 3 2 2" xfId="47087"/>
    <cellStyle name="注释 2 2 2 2 2 3 2 2 2" xfId="47088"/>
    <cellStyle name="注释 2 2 2 2 2 3 3" xfId="47089"/>
    <cellStyle name="注释 2 2 2 2 2 3 3 2" xfId="47090"/>
    <cellStyle name="注释 2 2 2 2 2 3 4" xfId="47091"/>
    <cellStyle name="注释 2 2 2 2 2 3 4 2" xfId="47092"/>
    <cellStyle name="注释 2 2 2 2 2 3 5" xfId="47093"/>
    <cellStyle name="注释 2 2 2 2 2 4" xfId="47094"/>
    <cellStyle name="注释 2 2 2 2 2 5" xfId="47095"/>
    <cellStyle name="注释 2 2 2 2 2 6" xfId="47096"/>
    <cellStyle name="注释 2 2 2 2 2 7" xfId="47097"/>
    <cellStyle name="注释 2 2 2 2 2 7 2" xfId="47098"/>
    <cellStyle name="注释 2 2 2 2 2 8" xfId="47099"/>
    <cellStyle name="注释 2 2 2 2 2 8 2" xfId="47100"/>
    <cellStyle name="注释 2 2 2 2 3" xfId="47101"/>
    <cellStyle name="注释 2 2 2 2 3 2" xfId="47102"/>
    <cellStyle name="注释 2 2 2 2 3 3" xfId="47103"/>
    <cellStyle name="注释 2 2 2 2 3 4" xfId="47104"/>
    <cellStyle name="注释 2 2 2 2 3 4 2" xfId="47105"/>
    <cellStyle name="注释 2 2 2 2 3 5" xfId="47106"/>
    <cellStyle name="注释 2 2 2 2 3 5 2" xfId="47107"/>
    <cellStyle name="注释 2 2 2 2 4" xfId="47108"/>
    <cellStyle name="注释 2 2 2 2 5" xfId="47109"/>
    <cellStyle name="注释 2 2 2 2 6" xfId="47110"/>
    <cellStyle name="注释 2 2 2 2 7" xfId="47111"/>
    <cellStyle name="注释 2 2 2 2 8" xfId="47112"/>
    <cellStyle name="注释 2 2 2 2 8 2" xfId="47113"/>
    <cellStyle name="注释 2 2 2 2 9" xfId="47114"/>
    <cellStyle name="注释 2 2 2 2 9 2" xfId="47115"/>
    <cellStyle name="注释 2 2 2 3" xfId="47116"/>
    <cellStyle name="注释 2 2 2 3 2" xfId="47117"/>
    <cellStyle name="注释 2 2 2 3 2 2" xfId="47118"/>
    <cellStyle name="注释 2 2 2 3 2 3" xfId="47119"/>
    <cellStyle name="注释 2 2 2 3 2 4" xfId="47120"/>
    <cellStyle name="注释 2 2 2 3 2 4 2" xfId="47121"/>
    <cellStyle name="注释 2 2 2 3 2 5" xfId="47122"/>
    <cellStyle name="注释 2 2 2 3 2 5 2" xfId="47123"/>
    <cellStyle name="注释 2 2 2 3 3" xfId="47124"/>
    <cellStyle name="注释 2 2 2 3 3 2" xfId="47125"/>
    <cellStyle name="注释 2 2 2 3 3 2 2" xfId="47126"/>
    <cellStyle name="注释 2 2 2 3 3 2 2 2" xfId="47127"/>
    <cellStyle name="注释 2 2 2 3 3 3" xfId="47128"/>
    <cellStyle name="注释 2 2 2 3 3 3 2" xfId="47129"/>
    <cellStyle name="注释 2 2 2 3 3 4" xfId="47130"/>
    <cellStyle name="注释 2 2 2 3 3 4 2" xfId="47131"/>
    <cellStyle name="注释 2 2 2 3 3 5" xfId="47132"/>
    <cellStyle name="注释 2 2 2 3 4" xfId="47133"/>
    <cellStyle name="注释 2 2 2 3 5" xfId="47134"/>
    <cellStyle name="注释 2 2 2 3 6" xfId="47135"/>
    <cellStyle name="注释 2 2 2 3 7" xfId="47136"/>
    <cellStyle name="注释 2 2 2 3 7 2" xfId="47137"/>
    <cellStyle name="注释 2 2 2 3 8" xfId="47138"/>
    <cellStyle name="注释 2 2 2 3 8 2" xfId="47139"/>
    <cellStyle name="注释 2 2 2 4" xfId="47140"/>
    <cellStyle name="注释 2 2 2 4 2" xfId="47141"/>
    <cellStyle name="注释 2 2 2 4 3" xfId="47142"/>
    <cellStyle name="注释 2 2 2 4 4" xfId="47143"/>
    <cellStyle name="注释 2 2 2 4 4 2" xfId="47144"/>
    <cellStyle name="注释 2 2 2 4 5" xfId="47145"/>
    <cellStyle name="注释 2 2 2 4 5 2" xfId="47146"/>
    <cellStyle name="注释 2 2 2 5" xfId="47147"/>
    <cellStyle name="注释 2 2 2 6" xfId="47148"/>
    <cellStyle name="注释 2 2 2 7" xfId="47149"/>
    <cellStyle name="注释 2 2 2 8" xfId="47150"/>
    <cellStyle name="注释 2 2 2 9" xfId="47151"/>
    <cellStyle name="注释 2 2 2 9 2" xfId="47152"/>
    <cellStyle name="注释 2 2 3" xfId="47153"/>
    <cellStyle name="注释 2 2 3 2" xfId="47154"/>
    <cellStyle name="注释 2 2 3 2 2" xfId="47155"/>
    <cellStyle name="注释 2 2 3 2 3" xfId="47156"/>
    <cellStyle name="注释 2 2 3 2 4" xfId="47157"/>
    <cellStyle name="注释 2 2 3 2 4 2" xfId="47158"/>
    <cellStyle name="注释 2 2 3 2 5" xfId="47159"/>
    <cellStyle name="注释 2 2 3 2 5 2" xfId="47160"/>
    <cellStyle name="注释 2 2 3 3" xfId="47161"/>
    <cellStyle name="注释 2 2 3 3 2" xfId="47162"/>
    <cellStyle name="注释 2 2 3 3 2 2" xfId="47163"/>
    <cellStyle name="注释 2 2 3 3 2 2 2" xfId="47164"/>
    <cellStyle name="注释 2 2 3 3 3" xfId="47165"/>
    <cellStyle name="注释 2 2 3 3 3 2" xfId="47166"/>
    <cellStyle name="注释 2 2 3 3 4" xfId="47167"/>
    <cellStyle name="注释 2 2 3 3 4 2" xfId="47168"/>
    <cellStyle name="注释 2 2 3 3 5" xfId="47169"/>
    <cellStyle name="注释 2 2 3 4" xfId="47170"/>
    <cellStyle name="注释 2 2 3 5" xfId="47171"/>
    <cellStyle name="注释 2 2 3 6" xfId="47172"/>
    <cellStyle name="注释 2 2 3 7" xfId="47173"/>
    <cellStyle name="注释 2 2 3 7 2" xfId="47174"/>
    <cellStyle name="注释 2 2 3 8" xfId="47175"/>
    <cellStyle name="注释 2 2 3 8 2" xfId="47176"/>
    <cellStyle name="注释 2 2 4" xfId="47177"/>
    <cellStyle name="注释 2 2 4 2" xfId="47178"/>
    <cellStyle name="注释 2 2 4 2 2" xfId="47179"/>
    <cellStyle name="注释 2 2 4 2 3" xfId="47180"/>
    <cellStyle name="注释 2 2 4 2 4" xfId="47181"/>
    <cellStyle name="注释 2 2 4 2 4 2" xfId="47182"/>
    <cellStyle name="注释 2 2 4 2 5" xfId="47183"/>
    <cellStyle name="注释 2 2 4 2 5 2" xfId="47184"/>
    <cellStyle name="注释 2 2 4 3" xfId="47185"/>
    <cellStyle name="注释 2 2 4 4" xfId="47186"/>
    <cellStyle name="注释 2 2 4 5" xfId="47187"/>
    <cellStyle name="注释 2 2 4 6" xfId="47188"/>
    <cellStyle name="注释 2 2 4 7" xfId="47189"/>
    <cellStyle name="注释 2 2 4 7 2" xfId="47190"/>
    <cellStyle name="注释 2 2 4 8" xfId="47191"/>
    <cellStyle name="注释 2 2 4 8 2" xfId="47192"/>
    <cellStyle name="注释 2 2 5" xfId="47193"/>
    <cellStyle name="注释 2 2 5 2" xfId="47194"/>
    <cellStyle name="注释 2 2 5 2 2" xfId="47195"/>
    <cellStyle name="注释 2 2 5 2 2 2" xfId="47196"/>
    <cellStyle name="注释 2 2 5 2 2 2 2" xfId="47197"/>
    <cellStyle name="注释 2 2 5 2 3" xfId="47198"/>
    <cellStyle name="注释 2 2 5 2 3 2" xfId="47199"/>
    <cellStyle name="注释 2 2 5 2 4" xfId="47200"/>
    <cellStyle name="注释 2 2 5 2 4 2" xfId="47201"/>
    <cellStyle name="注释 2 2 5 2 5" xfId="47202"/>
    <cellStyle name="注释 2 2 5 3" xfId="47203"/>
    <cellStyle name="注释 2 2 5 4" xfId="47204"/>
    <cellStyle name="注释 2 2 5 4 2" xfId="47205"/>
    <cellStyle name="注释 2 2 5 5" xfId="47206"/>
    <cellStyle name="注释 2 2 5 5 2" xfId="47207"/>
    <cellStyle name="注释 2 2 6" xfId="47208"/>
    <cellStyle name="注释 2 2 6 2" xfId="47209"/>
    <cellStyle name="注释 2 2 6 2 2" xfId="47210"/>
    <cellStyle name="注释 2 2 6 2 2 2" xfId="47211"/>
    <cellStyle name="注释 2 2 6 2 2 2 2" xfId="47212"/>
    <cellStyle name="注释 2 2 6 2 3" xfId="47213"/>
    <cellStyle name="注释 2 2 6 2 3 2" xfId="47214"/>
    <cellStyle name="注释 2 2 6 2 4" xfId="47215"/>
    <cellStyle name="注释 2 2 6 2 4 2" xfId="47216"/>
    <cellStyle name="注释 2 2 6 2 5" xfId="47217"/>
    <cellStyle name="注释 2 2 6 3" xfId="47218"/>
    <cellStyle name="注释 2 2 6 3 2" xfId="47219"/>
    <cellStyle name="注释 2 2 6 3 2 2" xfId="47220"/>
    <cellStyle name="注释 2 2 6 4" xfId="47221"/>
    <cellStyle name="注释 2 2 6 4 2" xfId="47222"/>
    <cellStyle name="注释 2 2 6 5" xfId="47223"/>
    <cellStyle name="注释 2 2 6 5 2" xfId="47224"/>
    <cellStyle name="注释 2 2 6 6" xfId="47225"/>
    <cellStyle name="注释 2 2 7" xfId="47226"/>
    <cellStyle name="注释 2 2 7 2" xfId="47227"/>
    <cellStyle name="注释 2 2 7 2 2" xfId="47228"/>
    <cellStyle name="注释 2 2 7 2 2 2" xfId="47229"/>
    <cellStyle name="注释 2 2 7 2 2 2 2" xfId="47230"/>
    <cellStyle name="注释 2 2 7 2 3" xfId="47231"/>
    <cellStyle name="注释 2 2 7 2 3 2" xfId="47232"/>
    <cellStyle name="注释 2 2 7 2 4" xfId="47233"/>
    <cellStyle name="注释 2 2 7 2 4 2" xfId="47234"/>
    <cellStyle name="注释 2 2 7 2 5" xfId="47235"/>
    <cellStyle name="注释 2 2 7 3" xfId="47236"/>
    <cellStyle name="注释 2 2 7 3 2" xfId="47237"/>
    <cellStyle name="注释 2 2 7 3 2 2" xfId="47238"/>
    <cellStyle name="注释 2 2 7 4" xfId="47239"/>
    <cellStyle name="注释 2 2 7 4 2" xfId="47240"/>
    <cellStyle name="注释 2 2 7 5" xfId="47241"/>
    <cellStyle name="注释 2 2 7 5 2" xfId="47242"/>
    <cellStyle name="注释 2 2 7 6" xfId="47243"/>
    <cellStyle name="注释 2 2 8" xfId="47244"/>
    <cellStyle name="注释 2 2 8 2" xfId="47245"/>
    <cellStyle name="注释 2 2 8 2 2" xfId="47246"/>
    <cellStyle name="注释 2 2 8 2 2 2" xfId="47247"/>
    <cellStyle name="注释 2 2 8 3" xfId="47248"/>
    <cellStyle name="注释 2 2 8 3 2" xfId="47249"/>
    <cellStyle name="注释 2 2 8 4" xfId="47250"/>
    <cellStyle name="注释 2 2 8 4 2" xfId="47251"/>
    <cellStyle name="注释 2 2 8 5" xfId="47252"/>
    <cellStyle name="注释 2 2 9" xfId="47253"/>
    <cellStyle name="注释 2 3" xfId="47254"/>
    <cellStyle name="注释 2 3 10" xfId="47255"/>
    <cellStyle name="注释 2 3 10 2" xfId="47256"/>
    <cellStyle name="注释 2 3 2" xfId="47257"/>
    <cellStyle name="注释 2 3 2 10" xfId="47258"/>
    <cellStyle name="注释 2 3 2 10 2" xfId="47259"/>
    <cellStyle name="注释 2 3 2 2" xfId="47260"/>
    <cellStyle name="注释 2 3 2 2 2" xfId="47261"/>
    <cellStyle name="注释 2 3 2 2 2 2" xfId="47262"/>
    <cellStyle name="注释 2 3 2 2 2 2 2" xfId="47263"/>
    <cellStyle name="注释 2 3 2 2 2 2 3" xfId="47264"/>
    <cellStyle name="注释 2 3 2 2 2 2 4" xfId="47265"/>
    <cellStyle name="注释 2 3 2 2 2 2 4 2" xfId="47266"/>
    <cellStyle name="注释 2 3 2 2 2 2 5" xfId="47267"/>
    <cellStyle name="注释 2 3 2 2 2 2 5 2" xfId="47268"/>
    <cellStyle name="注释 2 3 2 2 2 3" xfId="47269"/>
    <cellStyle name="注释 2 3 2 2 2 3 2" xfId="47270"/>
    <cellStyle name="注释 2 3 2 2 2 3 2 2" xfId="47271"/>
    <cellStyle name="注释 2 3 2 2 2 3 2 2 2" xfId="47272"/>
    <cellStyle name="注释 2 3 2 2 2 3 3" xfId="47273"/>
    <cellStyle name="注释 2 3 2 2 2 3 3 2" xfId="47274"/>
    <cellStyle name="注释 2 3 2 2 2 3 4" xfId="47275"/>
    <cellStyle name="注释 2 3 2 2 2 3 4 2" xfId="47276"/>
    <cellStyle name="注释 2 3 2 2 2 3 5" xfId="47277"/>
    <cellStyle name="注释 2 3 2 2 2 4" xfId="47278"/>
    <cellStyle name="注释 2 3 2 2 2 5" xfId="47279"/>
    <cellStyle name="注释 2 3 2 2 2 6" xfId="47280"/>
    <cellStyle name="注释 2 3 2 2 2 7" xfId="47281"/>
    <cellStyle name="注释 2 3 2 2 2 7 2" xfId="47282"/>
    <cellStyle name="注释 2 3 2 2 2 8" xfId="47283"/>
    <cellStyle name="注释 2 3 2 2 2 8 2" xfId="47284"/>
    <cellStyle name="注释 2 3 2 2 3" xfId="47285"/>
    <cellStyle name="注释 2 3 2 2 3 2" xfId="47286"/>
    <cellStyle name="注释 2 3 2 2 3 3" xfId="47287"/>
    <cellStyle name="注释 2 3 2 2 3 4" xfId="47288"/>
    <cellStyle name="注释 2 3 2 2 3 4 2" xfId="47289"/>
    <cellStyle name="注释 2 3 2 2 3 5" xfId="47290"/>
    <cellStyle name="注释 2 3 2 2 3 5 2" xfId="47291"/>
    <cellStyle name="注释 2 3 2 2 4" xfId="47292"/>
    <cellStyle name="注释 2 3 2 2 5" xfId="47293"/>
    <cellStyle name="注释 2 3 2 2 6" xfId="47294"/>
    <cellStyle name="注释 2 3 2 2 7" xfId="47295"/>
    <cellStyle name="注释 2 3 2 2 8" xfId="47296"/>
    <cellStyle name="注释 2 3 2 2 8 2" xfId="47297"/>
    <cellStyle name="注释 2 3 2 2 9" xfId="47298"/>
    <cellStyle name="注释 2 3 2 2 9 2" xfId="47299"/>
    <cellStyle name="注释 2 3 2 3" xfId="47300"/>
    <cellStyle name="注释 2 3 2 3 2" xfId="47301"/>
    <cellStyle name="注释 2 3 2 3 2 2" xfId="47302"/>
    <cellStyle name="注释 2 3 2 3 2 3" xfId="47303"/>
    <cellStyle name="注释 2 3 2 3 2 4" xfId="47304"/>
    <cellStyle name="注释 2 3 2 3 2 4 2" xfId="47305"/>
    <cellStyle name="注释 2 3 2 3 2 5" xfId="47306"/>
    <cellStyle name="注释 2 3 2 3 2 5 2" xfId="47307"/>
    <cellStyle name="注释 2 3 2 3 3" xfId="47308"/>
    <cellStyle name="注释 2 3 2 3 3 2" xfId="47309"/>
    <cellStyle name="注释 2 3 2 3 3 2 2" xfId="47310"/>
    <cellStyle name="注释 2 3 2 3 3 2 2 2" xfId="47311"/>
    <cellStyle name="注释 2 3 2 3 3 3" xfId="47312"/>
    <cellStyle name="注释 2 3 2 3 3 3 2" xfId="47313"/>
    <cellStyle name="注释 2 3 2 3 3 4" xfId="47314"/>
    <cellStyle name="注释 2 3 2 3 3 4 2" xfId="47315"/>
    <cellStyle name="注释 2 3 2 3 3 5" xfId="47316"/>
    <cellStyle name="注释 2 3 2 3 4" xfId="47317"/>
    <cellStyle name="注释 2 3 2 3 5" xfId="47318"/>
    <cellStyle name="注释 2 3 2 3 6" xfId="47319"/>
    <cellStyle name="注释 2 3 2 3 7" xfId="47320"/>
    <cellStyle name="注释 2 3 2 3 7 2" xfId="47321"/>
    <cellStyle name="注释 2 3 2 3 8" xfId="47322"/>
    <cellStyle name="注释 2 3 2 3 8 2" xfId="47323"/>
    <cellStyle name="注释 2 3 2 4" xfId="47324"/>
    <cellStyle name="注释 2 3 2 4 2" xfId="47325"/>
    <cellStyle name="注释 2 3 2 4 3" xfId="47326"/>
    <cellStyle name="注释 2 3 2 4 4" xfId="47327"/>
    <cellStyle name="注释 2 3 2 4 4 2" xfId="47328"/>
    <cellStyle name="注释 2 3 2 4 5" xfId="47329"/>
    <cellStyle name="注释 2 3 2 4 5 2" xfId="47330"/>
    <cellStyle name="注释 2 3 2 5" xfId="47331"/>
    <cellStyle name="注释 2 3 2 6" xfId="47332"/>
    <cellStyle name="注释 2 3 2 7" xfId="47333"/>
    <cellStyle name="注释 2 3 2 8" xfId="47334"/>
    <cellStyle name="注释 2 3 2 9" xfId="47335"/>
    <cellStyle name="注释 2 3 2 9 2" xfId="47336"/>
    <cellStyle name="注释 2 3 3" xfId="47337"/>
    <cellStyle name="注释 2 3 3 2" xfId="47338"/>
    <cellStyle name="注释 2 3 3 2 2" xfId="47339"/>
    <cellStyle name="注释 2 3 3 2 3" xfId="47340"/>
    <cellStyle name="注释 2 3 3 2 4" xfId="47341"/>
    <cellStyle name="注释 2 3 3 2 4 2" xfId="47342"/>
    <cellStyle name="注释 2 3 3 2 5" xfId="47343"/>
    <cellStyle name="注释 2 3 3 2 5 2" xfId="47344"/>
    <cellStyle name="注释 2 3 3 3" xfId="47345"/>
    <cellStyle name="注释 2 3 3 3 2" xfId="47346"/>
    <cellStyle name="注释 2 3 3 3 2 2" xfId="47347"/>
    <cellStyle name="注释 2 3 3 3 2 2 2" xfId="47348"/>
    <cellStyle name="注释 2 3 3 3 3" xfId="47349"/>
    <cellStyle name="注释 2 3 3 3 3 2" xfId="47350"/>
    <cellStyle name="注释 2 3 3 3 4" xfId="47351"/>
    <cellStyle name="注释 2 3 3 3 4 2" xfId="47352"/>
    <cellStyle name="注释 2 3 3 3 5" xfId="47353"/>
    <cellStyle name="注释 2 3 3 4" xfId="47354"/>
    <cellStyle name="注释 2 3 3 5" xfId="47355"/>
    <cellStyle name="注释 2 3 3 6" xfId="47356"/>
    <cellStyle name="注释 2 3 3 7" xfId="47357"/>
    <cellStyle name="注释 2 3 3 7 2" xfId="47358"/>
    <cellStyle name="注释 2 3 3 8" xfId="47359"/>
    <cellStyle name="注释 2 3 3 8 2" xfId="47360"/>
    <cellStyle name="注释 2 3 4" xfId="47361"/>
    <cellStyle name="注释 2 3 4 2" xfId="47362"/>
    <cellStyle name="注释 2 3 4 2 2" xfId="47363"/>
    <cellStyle name="注释 2 3 4 2 3" xfId="47364"/>
    <cellStyle name="注释 2 3 4 2 4" xfId="47365"/>
    <cellStyle name="注释 2 3 4 2 4 2" xfId="47366"/>
    <cellStyle name="注释 2 3 4 2 5" xfId="47367"/>
    <cellStyle name="注释 2 3 4 2 5 2" xfId="47368"/>
    <cellStyle name="注释 2 3 4 3" xfId="47369"/>
    <cellStyle name="注释 2 3 4 4" xfId="47370"/>
    <cellStyle name="注释 2 3 4 5" xfId="47371"/>
    <cellStyle name="注释 2 3 4 6" xfId="47372"/>
    <cellStyle name="注释 2 3 4 7" xfId="47373"/>
    <cellStyle name="注释 2 3 4 7 2" xfId="47374"/>
    <cellStyle name="注释 2 3 4 8" xfId="47375"/>
    <cellStyle name="注释 2 3 4 8 2" xfId="47376"/>
    <cellStyle name="注释 2 3 5" xfId="47377"/>
    <cellStyle name="注释 2 3 5 2" xfId="47378"/>
    <cellStyle name="注释 2 3 5 2 2" xfId="47379"/>
    <cellStyle name="注释 2 3 5 2 2 2" xfId="47380"/>
    <cellStyle name="注释 2 3 5 2 2 2 2" xfId="47381"/>
    <cellStyle name="注释 2 3 5 2 3" xfId="47382"/>
    <cellStyle name="注释 2 3 5 2 3 2" xfId="47383"/>
    <cellStyle name="注释 2 3 5 2 4" xfId="47384"/>
    <cellStyle name="注释 2 3 5 2 4 2" xfId="47385"/>
    <cellStyle name="注释 2 3 5 2 5" xfId="47386"/>
    <cellStyle name="注释 2 3 5 3" xfId="47387"/>
    <cellStyle name="注释 2 3 5 4" xfId="47388"/>
    <cellStyle name="注释 2 3 5 4 2" xfId="47389"/>
    <cellStyle name="注释 2 3 5 5" xfId="47390"/>
    <cellStyle name="注释 2 3 5 5 2" xfId="47391"/>
    <cellStyle name="注释 2 3 6" xfId="47392"/>
    <cellStyle name="注释 2 3 6 2" xfId="47393"/>
    <cellStyle name="注释 2 3 6 2 2" xfId="47394"/>
    <cellStyle name="注释 2 3 6 2 2 2" xfId="47395"/>
    <cellStyle name="注释 2 3 6 3" xfId="47396"/>
    <cellStyle name="注释 2 3 6 3 2" xfId="47397"/>
    <cellStyle name="注释 2 3 6 4" xfId="47398"/>
    <cellStyle name="注释 2 3 6 4 2" xfId="47399"/>
    <cellStyle name="注释 2 3 6 5" xfId="47400"/>
    <cellStyle name="注释 2 3 7" xfId="47401"/>
    <cellStyle name="注释 2 3 8" xfId="47402"/>
    <cellStyle name="注释 2 3 9" xfId="47403"/>
    <cellStyle name="注释 2 3 9 2" xfId="47404"/>
    <cellStyle name="注释 2 4" xfId="47405"/>
    <cellStyle name="注释 2 4 2" xfId="47406"/>
    <cellStyle name="注释 2 4 2 2" xfId="47407"/>
    <cellStyle name="注释 2 4 2 3" xfId="47408"/>
    <cellStyle name="注释 2 4 2 4" xfId="47409"/>
    <cellStyle name="注释 2 4 2 4 2" xfId="47410"/>
    <cellStyle name="注释 2 4 2 5" xfId="47411"/>
    <cellStyle name="注释 2 4 2 5 2" xfId="47412"/>
    <cellStyle name="注释 2 4 3" xfId="47413"/>
    <cellStyle name="注释 2 4 3 2" xfId="47414"/>
    <cellStyle name="注释 2 4 3 2 2" xfId="47415"/>
    <cellStyle name="注释 2 4 3 2 2 2" xfId="47416"/>
    <cellStyle name="注释 2 4 3 3" xfId="47417"/>
    <cellStyle name="注释 2 4 3 3 2" xfId="47418"/>
    <cellStyle name="注释 2 4 3 4" xfId="47419"/>
    <cellStyle name="注释 2 4 3 4 2" xfId="47420"/>
    <cellStyle name="注释 2 4 3 5" xfId="47421"/>
    <cellStyle name="注释 2 4 4" xfId="47422"/>
    <cellStyle name="注释 2 4 5" xfId="47423"/>
    <cellStyle name="注释 2 4 6" xfId="47424"/>
    <cellStyle name="注释 2 4 7" xfId="47425"/>
    <cellStyle name="注释 2 4 7 2" xfId="47426"/>
    <cellStyle name="注释 2 4 8" xfId="47427"/>
    <cellStyle name="注释 2 4 8 2" xfId="47428"/>
    <cellStyle name="注释 2 5" xfId="47429"/>
    <cellStyle name="注释 2 5 2" xfId="47430"/>
    <cellStyle name="注释 2 5 2 2" xfId="47431"/>
    <cellStyle name="注释 2 5 2 3" xfId="47432"/>
    <cellStyle name="注释 2 5 2 4" xfId="47433"/>
    <cellStyle name="注释 2 5 2 4 2" xfId="47434"/>
    <cellStyle name="注释 2 5 2 5" xfId="47435"/>
    <cellStyle name="注释 2 5 2 5 2" xfId="47436"/>
    <cellStyle name="注释 2 5 3" xfId="47437"/>
    <cellStyle name="注释 2 5 4" xfId="47438"/>
    <cellStyle name="注释 2 5 5" xfId="47439"/>
    <cellStyle name="注释 2 5 6" xfId="47440"/>
    <cellStyle name="注释 2 5 7" xfId="47441"/>
    <cellStyle name="注释 2 5 7 2" xfId="47442"/>
    <cellStyle name="注释 2 5 8" xfId="47443"/>
    <cellStyle name="注释 2 5 8 2" xfId="47444"/>
    <cellStyle name="注释 2 6" xfId="47445"/>
    <cellStyle name="注释 2 6 2" xfId="47446"/>
    <cellStyle name="注释 2 6 2 2" xfId="47447"/>
    <cellStyle name="注释 2 6 2 2 2" xfId="47448"/>
    <cellStyle name="注释 2 6 2 2 2 2" xfId="47449"/>
    <cellStyle name="注释 2 6 2 3" xfId="47450"/>
    <cellStyle name="注释 2 6 2 3 2" xfId="47451"/>
    <cellStyle name="注释 2 6 2 4" xfId="47452"/>
    <cellStyle name="注释 2 6 2 4 2" xfId="47453"/>
    <cellStyle name="注释 2 6 2 5" xfId="47454"/>
    <cellStyle name="注释 2 6 3" xfId="47455"/>
    <cellStyle name="注释 2 6 4" xfId="47456"/>
    <cellStyle name="注释 2 6 4 2" xfId="47457"/>
    <cellStyle name="注释 2 6 5" xfId="47458"/>
    <cellStyle name="注释 2 6 5 2" xfId="47459"/>
    <cellStyle name="注释 2 7" xfId="47460"/>
    <cellStyle name="注释 2 7 2" xfId="47461"/>
    <cellStyle name="注释 2 7 2 2" xfId="47462"/>
    <cellStyle name="注释 2 7 2 2 2" xfId="47463"/>
    <cellStyle name="注释 2 7 2 2 2 2" xfId="47464"/>
    <cellStyle name="注释 2 7 2 3" xfId="47465"/>
    <cellStyle name="注释 2 7 2 3 2" xfId="47466"/>
    <cellStyle name="注释 2 7 2 4" xfId="47467"/>
    <cellStyle name="注释 2 7 2 4 2" xfId="47468"/>
    <cellStyle name="注释 2 7 2 5" xfId="47469"/>
    <cellStyle name="注释 2 7 3" xfId="47470"/>
    <cellStyle name="注释 2 7 3 2" xfId="47471"/>
    <cellStyle name="注释 2 7 3 2 2" xfId="47472"/>
    <cellStyle name="注释 2 7 4" xfId="47473"/>
    <cellStyle name="注释 2 7 4 2" xfId="47474"/>
    <cellStyle name="注释 2 7 5" xfId="47475"/>
    <cellStyle name="注释 2 7 5 2" xfId="47476"/>
    <cellStyle name="注释 2 7 6" xfId="47477"/>
    <cellStyle name="注释 2 8" xfId="47478"/>
    <cellStyle name="注释 2 8 2" xfId="47479"/>
    <cellStyle name="注释 2 8 2 2" xfId="47480"/>
    <cellStyle name="注释 2 8 2 2 2" xfId="47481"/>
    <cellStyle name="注释 2 8 3" xfId="47482"/>
    <cellStyle name="注释 2 8 3 2" xfId="47483"/>
    <cellStyle name="注释 2 8 4" xfId="47484"/>
    <cellStyle name="注释 2 8 4 2" xfId="47485"/>
    <cellStyle name="注释 2 8 5" xfId="47486"/>
    <cellStyle name="注释 2 9" xfId="47487"/>
    <cellStyle name="注释 3" xfId="47488"/>
    <cellStyle name="注释 3 10" xfId="47489"/>
    <cellStyle name="注释 3 10 2" xfId="47490"/>
    <cellStyle name="注释 3 2" xfId="47491"/>
    <cellStyle name="注释 3 2 10" xfId="47492"/>
    <cellStyle name="注释 3 2 10 2" xfId="47493"/>
    <cellStyle name="注释 3 2 2" xfId="47494"/>
    <cellStyle name="注释 3 2 2 2" xfId="47495"/>
    <cellStyle name="注释 3 2 2 2 2" xfId="47496"/>
    <cellStyle name="注释 3 2 2 2 2 2" xfId="47497"/>
    <cellStyle name="注释 3 2 2 2 2 3" xfId="47498"/>
    <cellStyle name="注释 3 2 2 2 2 4" xfId="47499"/>
    <cellStyle name="注释 3 2 2 2 2 4 2" xfId="47500"/>
    <cellStyle name="注释 3 2 2 2 2 5" xfId="47501"/>
    <cellStyle name="注释 3 2 2 2 2 5 2" xfId="47502"/>
    <cellStyle name="注释 3 2 2 2 3" xfId="47503"/>
    <cellStyle name="注释 3 2 2 2 3 2" xfId="47504"/>
    <cellStyle name="注释 3 2 2 2 3 2 2" xfId="47505"/>
    <cellStyle name="注释 3 2 2 2 3 2 2 2" xfId="47506"/>
    <cellStyle name="注释 3 2 2 2 3 3" xfId="47507"/>
    <cellStyle name="注释 3 2 2 2 3 3 2" xfId="47508"/>
    <cellStyle name="注释 3 2 2 2 3 4" xfId="47509"/>
    <cellStyle name="注释 3 2 2 2 3 4 2" xfId="47510"/>
    <cellStyle name="注释 3 2 2 2 3 5" xfId="47511"/>
    <cellStyle name="注释 3 2 2 2 4" xfId="47512"/>
    <cellStyle name="注释 3 2 2 2 5" xfId="47513"/>
    <cellStyle name="注释 3 2 2 2 6" xfId="47514"/>
    <cellStyle name="注释 3 2 2 2 7" xfId="47515"/>
    <cellStyle name="注释 3 2 2 2 7 2" xfId="47516"/>
    <cellStyle name="注释 3 2 2 2 8" xfId="47517"/>
    <cellStyle name="注释 3 2 2 2 8 2" xfId="47518"/>
    <cellStyle name="注释 3 2 2 3" xfId="47519"/>
    <cellStyle name="注释 3 2 2 3 2" xfId="47520"/>
    <cellStyle name="注释 3 2 2 3 3" xfId="47521"/>
    <cellStyle name="注释 3 2 2 3 4" xfId="47522"/>
    <cellStyle name="注释 3 2 2 3 4 2" xfId="47523"/>
    <cellStyle name="注释 3 2 2 3 5" xfId="47524"/>
    <cellStyle name="注释 3 2 2 3 5 2" xfId="47525"/>
    <cellStyle name="注释 3 2 2 4" xfId="47526"/>
    <cellStyle name="注释 3 2 2 5" xfId="47527"/>
    <cellStyle name="注释 3 2 2 6" xfId="47528"/>
    <cellStyle name="注释 3 2 2 7" xfId="47529"/>
    <cellStyle name="注释 3 2 2 8" xfId="47530"/>
    <cellStyle name="注释 3 2 2 8 2" xfId="47531"/>
    <cellStyle name="注释 3 2 2 9" xfId="47532"/>
    <cellStyle name="注释 3 2 2 9 2" xfId="47533"/>
    <cellStyle name="注释 3 2 3" xfId="47534"/>
    <cellStyle name="注释 3 2 3 2" xfId="47535"/>
    <cellStyle name="注释 3 2 3 2 2" xfId="47536"/>
    <cellStyle name="注释 3 2 3 2 3" xfId="47537"/>
    <cellStyle name="注释 3 2 3 2 4" xfId="47538"/>
    <cellStyle name="注释 3 2 3 2 4 2" xfId="47539"/>
    <cellStyle name="注释 3 2 3 2 5" xfId="47540"/>
    <cellStyle name="注释 3 2 3 2 5 2" xfId="47541"/>
    <cellStyle name="注释 3 2 3 3" xfId="47542"/>
    <cellStyle name="注释 3 2 3 3 2" xfId="47543"/>
    <cellStyle name="注释 3 2 3 3 2 2" xfId="47544"/>
    <cellStyle name="注释 3 2 3 3 2 2 2" xfId="47545"/>
    <cellStyle name="注释 3 2 3 3 3" xfId="47546"/>
    <cellStyle name="注释 3 2 3 3 3 2" xfId="47547"/>
    <cellStyle name="注释 3 2 3 3 4" xfId="47548"/>
    <cellStyle name="注释 3 2 3 3 4 2" xfId="47549"/>
    <cellStyle name="注释 3 2 3 3 5" xfId="47550"/>
    <cellStyle name="注释 3 2 3 4" xfId="47551"/>
    <cellStyle name="注释 3 2 3 5" xfId="47552"/>
    <cellStyle name="注释 3 2 3 6" xfId="47553"/>
    <cellStyle name="注释 3 2 3 7" xfId="47554"/>
    <cellStyle name="注释 3 2 3 7 2" xfId="47555"/>
    <cellStyle name="注释 3 2 3 8" xfId="47556"/>
    <cellStyle name="注释 3 2 3 8 2" xfId="47557"/>
    <cellStyle name="注释 3 2 4" xfId="47558"/>
    <cellStyle name="注释 3 2 4 2" xfId="47559"/>
    <cellStyle name="注释 3 2 4 3" xfId="47560"/>
    <cellStyle name="注释 3 2 4 4" xfId="47561"/>
    <cellStyle name="注释 3 2 4 4 2" xfId="47562"/>
    <cellStyle name="注释 3 2 4 5" xfId="47563"/>
    <cellStyle name="注释 3 2 4 5 2" xfId="47564"/>
    <cellStyle name="注释 3 2 5" xfId="47565"/>
    <cellStyle name="注释 3 2 6" xfId="47566"/>
    <cellStyle name="注释 3 2 7" xfId="47567"/>
    <cellStyle name="注释 3 2 8" xfId="47568"/>
    <cellStyle name="注释 3 2 9" xfId="47569"/>
    <cellStyle name="注释 3 2 9 2" xfId="47570"/>
    <cellStyle name="注释 3 3" xfId="47571"/>
    <cellStyle name="注释 3 3 2" xfId="47572"/>
    <cellStyle name="注释 3 3 2 2" xfId="47573"/>
    <cellStyle name="注释 3 3 2 3" xfId="47574"/>
    <cellStyle name="注释 3 3 2 4" xfId="47575"/>
    <cellStyle name="注释 3 3 2 4 2" xfId="47576"/>
    <cellStyle name="注释 3 3 2 5" xfId="47577"/>
    <cellStyle name="注释 3 3 2 5 2" xfId="47578"/>
    <cellStyle name="注释 3 3 3" xfId="47579"/>
    <cellStyle name="注释 3 3 3 2" xfId="47580"/>
    <cellStyle name="注释 3 3 3 2 2" xfId="47581"/>
    <cellStyle name="注释 3 3 3 2 2 2" xfId="47582"/>
    <cellStyle name="注释 3 3 3 3" xfId="47583"/>
    <cellStyle name="注释 3 3 3 3 2" xfId="47584"/>
    <cellStyle name="注释 3 3 3 4" xfId="47585"/>
    <cellStyle name="注释 3 3 3 4 2" xfId="47586"/>
    <cellStyle name="注释 3 3 3 5" xfId="47587"/>
    <cellStyle name="注释 3 3 4" xfId="47588"/>
    <cellStyle name="注释 3 3 5" xfId="47589"/>
    <cellStyle name="注释 3 3 6" xfId="47590"/>
    <cellStyle name="注释 3 3 7" xfId="47591"/>
    <cellStyle name="注释 3 3 7 2" xfId="47592"/>
    <cellStyle name="注释 3 3 8" xfId="47593"/>
    <cellStyle name="注释 3 3 8 2" xfId="47594"/>
    <cellStyle name="注释 3 4" xfId="47595"/>
    <cellStyle name="注释 3 4 2" xfId="47596"/>
    <cellStyle name="注释 3 4 2 2" xfId="47597"/>
    <cellStyle name="注释 3 4 2 3" xfId="47598"/>
    <cellStyle name="注释 3 4 2 4" xfId="47599"/>
    <cellStyle name="注释 3 4 2 4 2" xfId="47600"/>
    <cellStyle name="注释 3 4 2 5" xfId="47601"/>
    <cellStyle name="注释 3 4 2 5 2" xfId="47602"/>
    <cellStyle name="注释 3 4 3" xfId="47603"/>
    <cellStyle name="注释 3 4 4" xfId="47604"/>
    <cellStyle name="注释 3 4 5" xfId="47605"/>
    <cellStyle name="注释 3 4 6" xfId="47606"/>
    <cellStyle name="注释 3 4 7" xfId="47607"/>
    <cellStyle name="注释 3 4 7 2" xfId="47608"/>
    <cellStyle name="注释 3 4 8" xfId="47609"/>
    <cellStyle name="注释 3 4 8 2" xfId="47610"/>
    <cellStyle name="注释 3 5" xfId="47611"/>
    <cellStyle name="注释 3 5 2" xfId="47612"/>
    <cellStyle name="注释 3 5 2 2" xfId="47613"/>
    <cellStyle name="注释 3 5 2 2 2" xfId="47614"/>
    <cellStyle name="注释 3 5 2 2 2 2" xfId="47615"/>
    <cellStyle name="注释 3 5 2 3" xfId="47616"/>
    <cellStyle name="注释 3 5 2 3 2" xfId="47617"/>
    <cellStyle name="注释 3 5 2 4" xfId="47618"/>
    <cellStyle name="注释 3 5 2 4 2" xfId="47619"/>
    <cellStyle name="注释 3 5 2 5" xfId="47620"/>
    <cellStyle name="注释 3 5 3" xfId="47621"/>
    <cellStyle name="注释 3 5 4" xfId="47622"/>
    <cellStyle name="注释 3 5 4 2" xfId="47623"/>
    <cellStyle name="注释 3 5 5" xfId="47624"/>
    <cellStyle name="注释 3 5 5 2" xfId="47625"/>
    <cellStyle name="注释 3 6" xfId="47626"/>
    <cellStyle name="注释 3 6 2" xfId="47627"/>
    <cellStyle name="注释 3 6 2 2" xfId="47628"/>
    <cellStyle name="注释 3 6 2 2 2" xfId="47629"/>
    <cellStyle name="注释 3 6 3" xfId="47630"/>
    <cellStyle name="注释 3 6 3 2" xfId="47631"/>
    <cellStyle name="注释 3 6 4" xfId="47632"/>
    <cellStyle name="注释 3 6 4 2" xfId="47633"/>
    <cellStyle name="注释 3 6 5" xfId="47634"/>
    <cellStyle name="注释 3 7" xfId="47635"/>
    <cellStyle name="注释 3 8" xfId="47636"/>
    <cellStyle name="注释 3 9" xfId="47637"/>
    <cellStyle name="注释 3 9 2" xfId="47638"/>
    <cellStyle name="百分比 10" xfId="47639"/>
    <cellStyle name="百分比 2" xfId="47640"/>
    <cellStyle name="百分比 2 10" xfId="47641"/>
    <cellStyle name="百分比 2 10 2" xfId="47642"/>
    <cellStyle name="百分比 2 10 2 2" xfId="47643"/>
    <cellStyle name="百分比 2 10 2 3" xfId="47644"/>
    <cellStyle name="百分比 2 10 2 4" xfId="47645"/>
    <cellStyle name="百分比 2 10 3" xfId="47646"/>
    <cellStyle name="百分比 2 10 4" xfId="47647"/>
    <cellStyle name="百分比 2 10 5" xfId="47648"/>
    <cellStyle name="百分比 2 10 6" xfId="47649"/>
    <cellStyle name="百分比 2 11" xfId="47650"/>
    <cellStyle name="百分比 2 11 2" xfId="47651"/>
    <cellStyle name="百分比 2 11 2 2" xfId="47652"/>
    <cellStyle name="百分比 2 11 2 3" xfId="47653"/>
    <cellStyle name="百分比 2 11 2 4" xfId="47654"/>
    <cellStyle name="百分比 2 11 3" xfId="47655"/>
    <cellStyle name="百分比 2 11 4" xfId="47656"/>
    <cellStyle name="百分比 2 11 5" xfId="47657"/>
    <cellStyle name="百分比 2 12" xfId="47658"/>
    <cellStyle name="百分比 2 12 2" xfId="47659"/>
    <cellStyle name="百分比 2 12 2 2" xfId="47660"/>
    <cellStyle name="百分比 2 12 2 3" xfId="47661"/>
    <cellStyle name="百分比 2 12 2 4" xfId="47662"/>
    <cellStyle name="百分比 2 12 3" xfId="47663"/>
    <cellStyle name="百分比 2 12 4" xfId="47664"/>
    <cellStyle name="百分比 2 12 5" xfId="47665"/>
    <cellStyle name="百分比 2 13" xfId="47666"/>
    <cellStyle name="百分比 2 13 2" xfId="47667"/>
    <cellStyle name="百分比 2 13 3" xfId="47668"/>
    <cellStyle name="百分比 2 13 4" xfId="47669"/>
    <cellStyle name="百分比 2 14" xfId="47670"/>
    <cellStyle name="百分比 2 15" xfId="47671"/>
    <cellStyle name="百分比 2 16" xfId="47672"/>
    <cellStyle name="百分比 2 17" xfId="47673"/>
    <cellStyle name="百分比 2 18" xfId="47674"/>
    <cellStyle name="百分比 2 19" xfId="47675"/>
    <cellStyle name="百分比 2 19 2" xfId="47676"/>
    <cellStyle name="百分比 2 2" xfId="47677"/>
    <cellStyle name="百分比 2 2 10" xfId="47678"/>
    <cellStyle name="百分比 2 2 11" xfId="47679"/>
    <cellStyle name="百分比 2 2 2" xfId="47680"/>
    <cellStyle name="百分比 2 2 2 10" xfId="47681"/>
    <cellStyle name="百分比 2 2 2 2" xfId="47682"/>
    <cellStyle name="百分比 2 2 2 2 2" xfId="47683"/>
    <cellStyle name="百分比 2 2 2 2 2 2" xfId="47684"/>
    <cellStyle name="百分比 2 2 2 2 2 2 2" xfId="47685"/>
    <cellStyle name="百分比 2 2 2 2 2 2 3" xfId="47686"/>
    <cellStyle name="百分比 2 2 2 2 2 2 4" xfId="47687"/>
    <cellStyle name="百分比 2 2 2 2 2 3" xfId="47688"/>
    <cellStyle name="百分比 2 2 2 2 2 4" xfId="47689"/>
    <cellStyle name="百分比 2 2 2 2 2 5" xfId="47690"/>
    <cellStyle name="百分比 2 2 2 2 3" xfId="47691"/>
    <cellStyle name="百分比 2 2 2 2 3 2" xfId="47692"/>
    <cellStyle name="百分比 2 2 2 2 3 2 2" xfId="47693"/>
    <cellStyle name="百分比 2 2 2 2 3 2 3" xfId="47694"/>
    <cellStyle name="百分比 2 2 2 2 3 2 4" xfId="47695"/>
    <cellStyle name="百分比 2 2 2 2 3 3" xfId="47696"/>
    <cellStyle name="百分比 2 2 2 2 3 4" xfId="47697"/>
    <cellStyle name="百分比 2 2 2 2 3 5" xfId="47698"/>
    <cellStyle name="百分比 2 2 2 2 4" xfId="47699"/>
    <cellStyle name="百分比 2 2 2 2 4 2" xfId="47700"/>
    <cellStyle name="百分比 2 2 2 2 4 3" xfId="47701"/>
    <cellStyle name="百分比 2 2 2 2 4 4" xfId="47702"/>
    <cellStyle name="百分比 2 2 2 2 5" xfId="47703"/>
    <cellStyle name="百分比 2 2 2 2 6" xfId="47704"/>
    <cellStyle name="百分比 2 2 2 2 7" xfId="47705"/>
    <cellStyle name="百分比 2 2 2 2 8" xfId="47706"/>
    <cellStyle name="百分比 2 2 2 2 8 2" xfId="47707"/>
    <cellStyle name="百分比 2 2 2 3" xfId="47708"/>
    <cellStyle name="百分比 2 2 2 3 2" xfId="47709"/>
    <cellStyle name="百分比 2 2 2 3 2 2" xfId="47710"/>
    <cellStyle name="百分比 2 2 2 3 2 3" xfId="47711"/>
    <cellStyle name="百分比 2 2 2 3 2 4" xfId="47712"/>
    <cellStyle name="百分比 2 2 2 3 3" xfId="47713"/>
    <cellStyle name="百分比 2 2 2 3 4" xfId="47714"/>
    <cellStyle name="百分比 2 2 2 3 5" xfId="47715"/>
    <cellStyle name="百分比 2 2 2 3 6" xfId="47716"/>
    <cellStyle name="百分比 2 2 2 3 6 2" xfId="47717"/>
    <cellStyle name="百分比 2 2 2 4" xfId="47718"/>
    <cellStyle name="百分比 2 2 2 4 2" xfId="47719"/>
    <cellStyle name="百分比 2 2 2 4 2 2" xfId="47720"/>
    <cellStyle name="百分比 2 2 2 4 2 3" xfId="47721"/>
    <cellStyle name="百分比 2 2 2 4 2 4" xfId="47722"/>
    <cellStyle name="百分比 2 2 2 4 2 5" xfId="47723"/>
    <cellStyle name="百分比 2 2 2 4 3" xfId="47724"/>
    <cellStyle name="百分比 2 2 2 4 4" xfId="47725"/>
    <cellStyle name="百分比 2 2 2 4 5" xfId="47726"/>
    <cellStyle name="百分比 2 2 2 4 6" xfId="47727"/>
    <cellStyle name="百分比 2 2 2 5" xfId="47728"/>
    <cellStyle name="百分比 2 2 2 5 2" xfId="47729"/>
    <cellStyle name="百分比 2 2 2 5 2 2" xfId="47730"/>
    <cellStyle name="百分比 2 2 2 5 3" xfId="47731"/>
    <cellStyle name="百分比 2 2 2 5 4" xfId="47732"/>
    <cellStyle name="百分比 2 2 2 5 5" xfId="47733"/>
    <cellStyle name="百分比 2 2 2 6" xfId="47734"/>
    <cellStyle name="百分比 2 2 2 7" xfId="47735"/>
    <cellStyle name="百分比 2 2 2 8" xfId="47736"/>
    <cellStyle name="百分比 2 2 2 9" xfId="47737"/>
    <cellStyle name="百分比 2 2 2 9 2" xfId="47738"/>
    <cellStyle name="百分比 2 2 3" xfId="47739"/>
    <cellStyle name="百分比 2 2 3 2" xfId="47740"/>
    <cellStyle name="百分比 2 2 3 2 2" xfId="47741"/>
    <cellStyle name="百分比 2 2 3 2 3" xfId="47742"/>
    <cellStyle name="百分比 2 2 3 2 4" xfId="47743"/>
    <cellStyle name="百分比 2 2 3 3" xfId="47744"/>
    <cellStyle name="百分比 2 2 3 4" xfId="47745"/>
    <cellStyle name="百分比 2 2 3 5" xfId="47746"/>
    <cellStyle name="百分比 2 2 3 6" xfId="47747"/>
    <cellStyle name="百分比 2 2 3 6 2" xfId="47748"/>
    <cellStyle name="百分比 2 2 4" xfId="47749"/>
    <cellStyle name="百分比 2 2 4 2" xfId="47750"/>
    <cellStyle name="百分比 2 2 4 2 2" xfId="47751"/>
    <cellStyle name="百分比 2 2 4 2 3" xfId="47752"/>
    <cellStyle name="百分比 2 2 4 2 4" xfId="47753"/>
    <cellStyle name="百分比 2 2 4 3" xfId="47754"/>
    <cellStyle name="百分比 2 2 4 4" xfId="47755"/>
    <cellStyle name="百分比 2 2 4 5" xfId="47756"/>
    <cellStyle name="百分比 2 2 4 6" xfId="47757"/>
    <cellStyle name="百分比 2 2 4 6 2" xfId="47758"/>
    <cellStyle name="百分比 2 2 5" xfId="47759"/>
    <cellStyle name="百分比 2 2 5 2" xfId="47760"/>
    <cellStyle name="百分比 2 2 5 3" xfId="47761"/>
    <cellStyle name="百分比 2 2 5 4" xfId="47762"/>
    <cellStyle name="百分比 2 2 5 5" xfId="47763"/>
    <cellStyle name="百分比 2 2 5 5 2" xfId="47764"/>
    <cellStyle name="百分比 2 2 6" xfId="47765"/>
    <cellStyle name="百分比 2 2 6 2" xfId="47766"/>
    <cellStyle name="百分比 2 2 6 2 2" xfId="47767"/>
    <cellStyle name="百分比 2 2 7" xfId="47768"/>
    <cellStyle name="百分比 2 2 7 2" xfId="47769"/>
    <cellStyle name="百分比 2 2 7 3" xfId="47770"/>
    <cellStyle name="百分比 2 2 8" xfId="47771"/>
    <cellStyle name="百分比 2 2 9" xfId="47772"/>
    <cellStyle name="百分比 2 2 9 2" xfId="47773"/>
    <cellStyle name="百分比 2 20" xfId="47774"/>
    <cellStyle name="百分比 2 3" xfId="47775"/>
    <cellStyle name="百分比 2 3 10" xfId="47776"/>
    <cellStyle name="百分比 2 3 2" xfId="47777"/>
    <cellStyle name="百分比 2 3 2 2" xfId="47778"/>
    <cellStyle name="百分比 2 3 2 2 2" xfId="47779"/>
    <cellStyle name="百分比 2 3 2 2 2 2" xfId="47780"/>
    <cellStyle name="百分比 2 3 2 2 2 2 2" xfId="47781"/>
    <cellStyle name="百分比 2 3 2 2 2 2 3" xfId="47782"/>
    <cellStyle name="百分比 2 3 2 2 2 2 4" xfId="47783"/>
    <cellStyle name="百分比 2 3 2 2 2 3" xfId="47784"/>
    <cellStyle name="百分比 2 3 2 2 2 4" xfId="47785"/>
    <cellStyle name="百分比 2 3 2 2 2 5" xfId="47786"/>
    <cellStyle name="百分比 2 3 2 2 3" xfId="47787"/>
    <cellStyle name="百分比 2 3 2 2 3 2" xfId="47788"/>
    <cellStyle name="百分比 2 3 2 2 3 2 2" xfId="47789"/>
    <cellStyle name="百分比 2 3 2 2 3 2 3" xfId="47790"/>
    <cellStyle name="百分比 2 3 2 2 3 2 4" xfId="47791"/>
    <cellStyle name="百分比 2 3 2 2 3 3" xfId="47792"/>
    <cellStyle name="百分比 2 3 2 2 3 4" xfId="47793"/>
    <cellStyle name="百分比 2 3 2 2 3 5" xfId="47794"/>
    <cellStyle name="百分比 2 3 2 2 4" xfId="47795"/>
    <cellStyle name="百分比 2 3 2 2 4 2" xfId="47796"/>
    <cellStyle name="百分比 2 3 2 2 4 3" xfId="47797"/>
    <cellStyle name="百分比 2 3 2 2 4 4" xfId="47798"/>
    <cellStyle name="百分比 2 3 2 2 5" xfId="47799"/>
    <cellStyle name="百分比 2 3 2 2 6" xfId="47800"/>
    <cellStyle name="百分比 2 3 2 2 7" xfId="47801"/>
    <cellStyle name="百分比 2 3 2 3" xfId="47802"/>
    <cellStyle name="百分比 2 3 2 3 2" xfId="47803"/>
    <cellStyle name="百分比 2 3 2 3 2 2" xfId="47804"/>
    <cellStyle name="百分比 2 3 2 3 2 3" xfId="47805"/>
    <cellStyle name="百分比 2 3 2 3 2 4" xfId="47806"/>
    <cellStyle name="百分比 2 3 2 3 3" xfId="47807"/>
    <cellStyle name="百分比 2 3 2 3 4" xfId="47808"/>
    <cellStyle name="百分比 2 3 2 3 5" xfId="47809"/>
    <cellStyle name="百分比 2 3 2 4" xfId="47810"/>
    <cellStyle name="百分比 2 3 2 4 2" xfId="47811"/>
    <cellStyle name="百分比 2 3 2 4 2 2" xfId="47812"/>
    <cellStyle name="百分比 2 3 2 4 2 3" xfId="47813"/>
    <cellStyle name="百分比 2 3 2 4 2 4" xfId="47814"/>
    <cellStyle name="百分比 2 3 2 4 3" xfId="47815"/>
    <cellStyle name="百分比 2 3 2 4 4" xfId="47816"/>
    <cellStyle name="百分比 2 3 2 4 5" xfId="47817"/>
    <cellStyle name="百分比 2 3 2 5" xfId="47818"/>
    <cellStyle name="百分比 2 3 2 5 2" xfId="47819"/>
    <cellStyle name="百分比 2 3 2 5 3" xfId="47820"/>
    <cellStyle name="百分比 2 3 2 5 4" xfId="47821"/>
    <cellStyle name="百分比 2 3 2 6" xfId="47822"/>
    <cellStyle name="百分比 2 3 2 7" xfId="47823"/>
    <cellStyle name="百分比 2 3 2 8" xfId="47824"/>
    <cellStyle name="百分比 2 3 2 9" xfId="47825"/>
    <cellStyle name="百分比 2 3 2 9 2" xfId="47826"/>
    <cellStyle name="百分比 2 3 3" xfId="47827"/>
    <cellStyle name="百分比 2 3 3 2" xfId="47828"/>
    <cellStyle name="百分比 2 3 3 2 2" xfId="47829"/>
    <cellStyle name="百分比 2 3 3 2 3" xfId="47830"/>
    <cellStyle name="百分比 2 3 3 2 4" xfId="47831"/>
    <cellStyle name="百分比 2 3 3 3" xfId="47832"/>
    <cellStyle name="百分比 2 3 3 4" xfId="47833"/>
    <cellStyle name="百分比 2 3 3 5" xfId="47834"/>
    <cellStyle name="百分比 2 3 3 6" xfId="47835"/>
    <cellStyle name="百分比 2 3 3 6 2" xfId="47836"/>
    <cellStyle name="百分比 2 3 4" xfId="47837"/>
    <cellStyle name="百分比 2 3 4 2" xfId="47838"/>
    <cellStyle name="百分比 2 3 4 2 2" xfId="47839"/>
    <cellStyle name="百分比 2 3 4 2 3" xfId="47840"/>
    <cellStyle name="百分比 2 3 4 2 4" xfId="47841"/>
    <cellStyle name="百分比 2 3 4 2 5" xfId="47842"/>
    <cellStyle name="百分比 2 3 4 3" xfId="47843"/>
    <cellStyle name="百分比 2 3 4 4" xfId="47844"/>
    <cellStyle name="百分比 2 3 4 5" xfId="47845"/>
    <cellStyle name="百分比 2 3 4 6" xfId="47846"/>
    <cellStyle name="百分比 2 3 5" xfId="47847"/>
    <cellStyle name="百分比 2 3 5 2" xfId="47848"/>
    <cellStyle name="百分比 2 3 5 2 2" xfId="47849"/>
    <cellStyle name="百分比 2 3 5 3" xfId="47850"/>
    <cellStyle name="百分比 2 3 5 4" xfId="47851"/>
    <cellStyle name="百分比 2 3 5 5" xfId="47852"/>
    <cellStyle name="百分比 2 3 6" xfId="47853"/>
    <cellStyle name="百分比 2 3 7" xfId="47854"/>
    <cellStyle name="百分比 2 3 8" xfId="47855"/>
    <cellStyle name="百分比 2 3 9" xfId="47856"/>
    <cellStyle name="百分比 2 3 9 2" xfId="47857"/>
    <cellStyle name="百分比 2 4" xfId="47858"/>
    <cellStyle name="百分比 2 4 2" xfId="47859"/>
    <cellStyle name="百分比 2 4 2 2" xfId="47860"/>
    <cellStyle name="百分比 2 4 2 2 2" xfId="47861"/>
    <cellStyle name="百分比 2 4 2 2 2 2" xfId="47862"/>
    <cellStyle name="百分比 2 4 2 2 2 2 2" xfId="47863"/>
    <cellStyle name="百分比 2 4 2 2 2 2 3" xfId="47864"/>
    <cellStyle name="百分比 2 4 2 2 2 2 4" xfId="47865"/>
    <cellStyle name="百分比 2 4 2 2 2 3" xfId="47866"/>
    <cellStyle name="百分比 2 4 2 2 2 4" xfId="47867"/>
    <cellStyle name="百分比 2 4 2 2 2 5" xfId="47868"/>
    <cellStyle name="百分比 2 4 2 2 3" xfId="47869"/>
    <cellStyle name="百分比 2 4 2 2 3 2" xfId="47870"/>
    <cellStyle name="百分比 2 4 2 2 3 2 2" xfId="47871"/>
    <cellStyle name="百分比 2 4 2 2 3 2 3" xfId="47872"/>
    <cellStyle name="百分比 2 4 2 2 3 2 4" xfId="47873"/>
    <cellStyle name="百分比 2 4 2 2 3 3" xfId="47874"/>
    <cellStyle name="百分比 2 4 2 2 3 4" xfId="47875"/>
    <cellStyle name="百分比 2 4 2 2 3 5" xfId="47876"/>
    <cellStyle name="百分比 2 4 2 2 4" xfId="47877"/>
    <cellStyle name="百分比 2 4 2 2 4 2" xfId="47878"/>
    <cellStyle name="百分比 2 4 2 2 4 3" xfId="47879"/>
    <cellStyle name="百分比 2 4 2 2 4 4" xfId="47880"/>
    <cellStyle name="百分比 2 4 2 2 5" xfId="47881"/>
    <cellStyle name="百分比 2 4 2 2 6" xfId="47882"/>
    <cellStyle name="百分比 2 4 2 2 7" xfId="47883"/>
    <cellStyle name="百分比 2 4 2 3" xfId="47884"/>
    <cellStyle name="百分比 2 4 2 3 2" xfId="47885"/>
    <cellStyle name="百分比 2 4 2 3 2 2" xfId="47886"/>
    <cellStyle name="百分比 2 4 2 3 2 3" xfId="47887"/>
    <cellStyle name="百分比 2 4 2 3 2 4" xfId="47888"/>
    <cellStyle name="百分比 2 4 2 3 3" xfId="47889"/>
    <cellStyle name="百分比 2 4 2 3 4" xfId="47890"/>
    <cellStyle name="百分比 2 4 2 3 5" xfId="47891"/>
    <cellStyle name="百分比 2 4 2 4" xfId="47892"/>
    <cellStyle name="百分比 2 4 2 4 2" xfId="47893"/>
    <cellStyle name="百分比 2 4 2 4 2 2" xfId="47894"/>
    <cellStyle name="百分比 2 4 2 4 2 3" xfId="47895"/>
    <cellStyle name="百分比 2 4 2 4 2 4" xfId="47896"/>
    <cellStyle name="百分比 2 4 2 4 3" xfId="47897"/>
    <cellStyle name="百分比 2 4 2 4 4" xfId="47898"/>
    <cellStyle name="百分比 2 4 2 4 5" xfId="47899"/>
    <cellStyle name="百分比 2 4 2 5" xfId="47900"/>
    <cellStyle name="百分比 2 4 2 5 2" xfId="47901"/>
    <cellStyle name="百分比 2 4 2 5 3" xfId="47902"/>
    <cellStyle name="百分比 2 4 2 5 4" xfId="47903"/>
    <cellStyle name="百分比 2 4 2 6" xfId="47904"/>
    <cellStyle name="百分比 2 4 2 7" xfId="47905"/>
    <cellStyle name="百分比 2 4 2 8" xfId="47906"/>
    <cellStyle name="百分比 2 4 3" xfId="47907"/>
    <cellStyle name="百分比 2 4 3 2" xfId="47908"/>
    <cellStyle name="百分比 2 4 3 2 2" xfId="47909"/>
    <cellStyle name="百分比 2 4 3 2 3" xfId="47910"/>
    <cellStyle name="百分比 2 4 3 2 4" xfId="47911"/>
    <cellStyle name="百分比 2 4 3 3" xfId="47912"/>
    <cellStyle name="百分比 2 4 3 4" xfId="47913"/>
    <cellStyle name="百分比 2 4 3 5" xfId="47914"/>
    <cellStyle name="百分比 2 4 4" xfId="47915"/>
    <cellStyle name="百分比 2 4 4 2" xfId="47916"/>
    <cellStyle name="百分比 2 4 4 2 2" xfId="47917"/>
    <cellStyle name="百分比 2 4 4 2 3" xfId="47918"/>
    <cellStyle name="百分比 2 4 4 2 4" xfId="47919"/>
    <cellStyle name="百分比 2 4 4 3" xfId="47920"/>
    <cellStyle name="百分比 2 4 4 4" xfId="47921"/>
    <cellStyle name="百分比 2 4 4 5" xfId="47922"/>
    <cellStyle name="百分比 2 4 5" xfId="47923"/>
    <cellStyle name="百分比 2 4 5 2" xfId="47924"/>
    <cellStyle name="百分比 2 4 5 3" xfId="47925"/>
    <cellStyle name="百分比 2 4 5 4" xfId="47926"/>
    <cellStyle name="百分比 2 4 6" xfId="47927"/>
    <cellStyle name="百分比 2 4 7" xfId="47928"/>
    <cellStyle name="百分比 2 4 8" xfId="47929"/>
    <cellStyle name="百分比 2 4 9" xfId="47930"/>
    <cellStyle name="百分比 2 4 9 2" xfId="47931"/>
    <cellStyle name="百分比 2 5" xfId="47932"/>
    <cellStyle name="百分比 2 5 2" xfId="47933"/>
    <cellStyle name="百分比 2 5 2 2" xfId="47934"/>
    <cellStyle name="百分比 2 5 2 2 2" xfId="47935"/>
    <cellStyle name="百分比 2 5 2 2 2 2" xfId="47936"/>
    <cellStyle name="百分比 2 5 2 2 2 2 2" xfId="47937"/>
    <cellStyle name="百分比 2 5 2 2 2 2 3" xfId="47938"/>
    <cellStyle name="百分比 2 5 2 2 2 2 4" xfId="47939"/>
    <cellStyle name="百分比 2 5 2 2 2 3" xfId="47940"/>
    <cellStyle name="百分比 2 5 2 2 2 4" xfId="47941"/>
    <cellStyle name="百分比 2 5 2 2 2 5" xfId="47942"/>
    <cellStyle name="百分比 2 5 2 2 3" xfId="47943"/>
    <cellStyle name="百分比 2 5 2 2 3 2" xfId="47944"/>
    <cellStyle name="百分比 2 5 2 2 3 2 2" xfId="47945"/>
    <cellStyle name="百分比 2 5 2 2 3 2 3" xfId="47946"/>
    <cellStyle name="百分比 2 5 2 2 3 2 4" xfId="47947"/>
    <cellStyle name="百分比 2 5 2 2 3 3" xfId="47948"/>
    <cellStyle name="百分比 2 5 2 2 3 4" xfId="47949"/>
    <cellStyle name="百分比 2 5 2 2 3 5" xfId="47950"/>
    <cellStyle name="百分比 2 5 2 2 4" xfId="47951"/>
    <cellStyle name="百分比 2 5 2 2 4 2" xfId="47952"/>
    <cellStyle name="百分比 2 5 2 2 4 3" xfId="47953"/>
    <cellStyle name="百分比 2 5 2 2 4 4" xfId="47954"/>
    <cellStyle name="百分比 2 5 2 2 5" xfId="47955"/>
    <cellStyle name="百分比 2 5 2 2 6" xfId="47956"/>
    <cellStyle name="百分比 2 5 2 2 7" xfId="47957"/>
    <cellStyle name="百分比 2 5 2 3" xfId="47958"/>
    <cellStyle name="百分比 2 5 2 3 2" xfId="47959"/>
    <cellStyle name="百分比 2 5 2 3 2 2" xfId="47960"/>
    <cellStyle name="百分比 2 5 2 3 2 3" xfId="47961"/>
    <cellStyle name="百分比 2 5 2 3 2 4" xfId="47962"/>
    <cellStyle name="百分比 2 5 2 3 3" xfId="47963"/>
    <cellStyle name="百分比 2 5 2 3 4" xfId="47964"/>
    <cellStyle name="百分比 2 5 2 3 5" xfId="47965"/>
    <cellStyle name="百分比 2 5 2 4" xfId="47966"/>
    <cellStyle name="百分比 2 5 2 4 2" xfId="47967"/>
    <cellStyle name="百分比 2 5 2 4 2 2" xfId="47968"/>
    <cellStyle name="百分比 2 5 2 4 2 3" xfId="47969"/>
    <cellStyle name="百分比 2 5 2 4 2 4" xfId="47970"/>
    <cellStyle name="百分比 2 5 2 4 3" xfId="47971"/>
    <cellStyle name="百分比 2 5 2 4 4" xfId="47972"/>
    <cellStyle name="百分比 2 5 2 4 5" xfId="47973"/>
    <cellStyle name="百分比 2 5 2 5" xfId="47974"/>
    <cellStyle name="百分比 2 5 2 5 2" xfId="47975"/>
    <cellStyle name="百分比 2 5 2 5 3" xfId="47976"/>
    <cellStyle name="百分比 2 5 2 5 4" xfId="47977"/>
    <cellStyle name="百分比 2 5 2 6" xfId="47978"/>
    <cellStyle name="百分比 2 5 2 7" xfId="47979"/>
    <cellStyle name="百分比 2 5 2 8" xfId="47980"/>
    <cellStyle name="百分比 2 5 3" xfId="47981"/>
    <cellStyle name="百分比 2 5 3 2" xfId="47982"/>
    <cellStyle name="百分比 2 5 3 2 2" xfId="47983"/>
    <cellStyle name="百分比 2 5 3 2 3" xfId="47984"/>
    <cellStyle name="百分比 2 5 3 2 4" xfId="47985"/>
    <cellStyle name="百分比 2 5 3 3" xfId="47986"/>
    <cellStyle name="百分比 2 5 3 4" xfId="47987"/>
    <cellStyle name="百分比 2 5 3 5" xfId="47988"/>
    <cellStyle name="百分比 2 5 4" xfId="47989"/>
    <cellStyle name="百分比 2 5 4 2" xfId="47990"/>
    <cellStyle name="百分比 2 5 4 2 2" xfId="47991"/>
    <cellStyle name="百分比 2 5 4 2 3" xfId="47992"/>
    <cellStyle name="百分比 2 5 4 2 4" xfId="47993"/>
    <cellStyle name="百分比 2 5 4 3" xfId="47994"/>
    <cellStyle name="百分比 2 5 4 4" xfId="47995"/>
    <cellStyle name="百分比 2 5 4 5" xfId="47996"/>
    <cellStyle name="百分比 2 5 5" xfId="47997"/>
    <cellStyle name="百分比 2 5 5 2" xfId="47998"/>
    <cellStyle name="百分比 2 5 5 3" xfId="47999"/>
    <cellStyle name="百分比 2 5 5 4" xfId="48000"/>
    <cellStyle name="百分比 2 5 6" xfId="48001"/>
    <cellStyle name="百分比 2 5 7" xfId="48002"/>
    <cellStyle name="百分比 2 5 8" xfId="48003"/>
    <cellStyle name="百分比 2 5 9" xfId="48004"/>
    <cellStyle name="百分比 2 5 9 2" xfId="48005"/>
    <cellStyle name="百分比 2 6" xfId="48006"/>
    <cellStyle name="百分比 2 6 2" xfId="48007"/>
    <cellStyle name="百分比 2 6 2 2" xfId="48008"/>
    <cellStyle name="百分比 2 6 2 2 2" xfId="48009"/>
    <cellStyle name="百分比 2 6 2 2 2 2" xfId="48010"/>
    <cellStyle name="百分比 2 6 2 2 2 2 2" xfId="48011"/>
    <cellStyle name="百分比 2 6 2 2 2 2 3" xfId="48012"/>
    <cellStyle name="百分比 2 6 2 2 2 2 4" xfId="48013"/>
    <cellStyle name="百分比 2 6 2 2 2 3" xfId="48014"/>
    <cellStyle name="百分比 2 6 2 2 2 4" xfId="48015"/>
    <cellStyle name="百分比 2 6 2 2 2 5" xfId="48016"/>
    <cellStyle name="百分比 2 6 2 2 3" xfId="48017"/>
    <cellStyle name="百分比 2 6 2 2 3 2" xfId="48018"/>
    <cellStyle name="百分比 2 6 2 2 3 2 2" xfId="48019"/>
    <cellStyle name="百分比 2 6 2 2 3 2 3" xfId="48020"/>
    <cellStyle name="百分比 2 6 2 2 3 2 4" xfId="48021"/>
    <cellStyle name="百分比 2 6 2 2 3 3" xfId="48022"/>
    <cellStyle name="百分比 2 6 2 2 3 4" xfId="48023"/>
    <cellStyle name="百分比 2 6 2 2 3 5" xfId="48024"/>
    <cellStyle name="百分比 2 6 2 2 4" xfId="48025"/>
    <cellStyle name="百分比 2 6 2 2 4 2" xfId="48026"/>
    <cellStyle name="百分比 2 6 2 2 4 3" xfId="48027"/>
    <cellStyle name="百分比 2 6 2 2 4 4" xfId="48028"/>
    <cellStyle name="百分比 2 6 2 2 5" xfId="48029"/>
    <cellStyle name="百分比 2 6 2 2 6" xfId="48030"/>
    <cellStyle name="百分比 2 6 2 2 7" xfId="48031"/>
    <cellStyle name="百分比 2 6 2 3" xfId="48032"/>
    <cellStyle name="百分比 2 6 2 3 2" xfId="48033"/>
    <cellStyle name="百分比 2 6 2 3 2 2" xfId="48034"/>
    <cellStyle name="百分比 2 6 2 3 2 3" xfId="48035"/>
    <cellStyle name="百分比 2 6 2 3 2 4" xfId="48036"/>
    <cellStyle name="百分比 2 6 2 3 3" xfId="48037"/>
    <cellStyle name="百分比 2 6 2 3 4" xfId="48038"/>
    <cellStyle name="百分比 2 6 2 3 5" xfId="48039"/>
    <cellStyle name="百分比 2 6 2 4" xfId="48040"/>
    <cellStyle name="百分比 2 6 2 4 2" xfId="48041"/>
    <cellStyle name="百分比 2 6 2 4 2 2" xfId="48042"/>
    <cellStyle name="百分比 2 6 2 4 2 3" xfId="48043"/>
    <cellStyle name="百分比 2 6 2 4 2 4" xfId="48044"/>
    <cellStyle name="百分比 2 6 2 4 3" xfId="48045"/>
    <cellStyle name="百分比 2 6 2 4 4" xfId="48046"/>
    <cellStyle name="百分比 2 6 2 4 5" xfId="48047"/>
    <cellStyle name="百分比 2 6 2 5" xfId="48048"/>
    <cellStyle name="百分比 2 6 2 5 2" xfId="48049"/>
    <cellStyle name="百分比 2 6 2 5 3" xfId="48050"/>
    <cellStyle name="百分比 2 6 2 5 4" xfId="48051"/>
    <cellStyle name="百分比 2 6 2 6" xfId="48052"/>
    <cellStyle name="百分比 2 6 2 7" xfId="48053"/>
    <cellStyle name="百分比 2 6 2 8" xfId="48054"/>
    <cellStyle name="百分比 2 6 3" xfId="48055"/>
    <cellStyle name="百分比 2 6 3 2" xfId="48056"/>
    <cellStyle name="百分比 2 6 3 2 2" xfId="48057"/>
    <cellStyle name="百分比 2 6 3 2 3" xfId="48058"/>
    <cellStyle name="百分比 2 6 3 2 4" xfId="48059"/>
    <cellStyle name="百分比 2 6 3 3" xfId="48060"/>
    <cellStyle name="百分比 2 6 3 4" xfId="48061"/>
    <cellStyle name="百分比 2 6 3 5" xfId="48062"/>
    <cellStyle name="百分比 2 6 4" xfId="48063"/>
    <cellStyle name="百分比 2 6 4 2" xfId="48064"/>
    <cellStyle name="百分比 2 6 4 2 2" xfId="48065"/>
    <cellStyle name="百分比 2 6 4 2 3" xfId="48066"/>
    <cellStyle name="百分比 2 6 4 2 4" xfId="48067"/>
    <cellStyle name="百分比 2 6 4 3" xfId="48068"/>
    <cellStyle name="百分比 2 6 4 4" xfId="48069"/>
    <cellStyle name="百分比 2 6 4 5" xfId="48070"/>
    <cellStyle name="百分比 2 6 5" xfId="48071"/>
    <cellStyle name="百分比 2 6 5 2" xfId="48072"/>
    <cellStyle name="百分比 2 6 5 3" xfId="48073"/>
    <cellStyle name="百分比 2 6 5 4" xfId="48074"/>
    <cellStyle name="百分比 2 6 6" xfId="48075"/>
    <cellStyle name="百分比 2 6 7" xfId="48076"/>
    <cellStyle name="百分比 2 6 8" xfId="48077"/>
    <cellStyle name="百分比 2 6 9" xfId="48078"/>
    <cellStyle name="百分比 2 6 9 2" xfId="48079"/>
    <cellStyle name="百分比 2 7" xfId="48080"/>
    <cellStyle name="百分比 2 7 2" xfId="48081"/>
    <cellStyle name="百分比 2 7 2 2" xfId="48082"/>
    <cellStyle name="百分比 2 7 2 2 2" xfId="48083"/>
    <cellStyle name="百分比 2 7 2 2 2 2" xfId="48084"/>
    <cellStyle name="百分比 2 7 2 2 2 3" xfId="48085"/>
    <cellStyle name="百分比 2 7 2 2 2 4" xfId="48086"/>
    <cellStyle name="百分比 2 7 2 2 3" xfId="48087"/>
    <cellStyle name="百分比 2 7 2 2 4" xfId="48088"/>
    <cellStyle name="百分比 2 7 2 2 5" xfId="48089"/>
    <cellStyle name="百分比 2 7 2 3" xfId="48090"/>
    <cellStyle name="百分比 2 7 2 3 2" xfId="48091"/>
    <cellStyle name="百分比 2 7 2 3 2 2" xfId="48092"/>
    <cellStyle name="百分比 2 7 2 3 2 3" xfId="48093"/>
    <cellStyle name="百分比 2 7 2 3 2 4" xfId="48094"/>
    <cellStyle name="百分比 2 7 2 3 3" xfId="48095"/>
    <cellStyle name="百分比 2 7 2 3 4" xfId="48096"/>
    <cellStyle name="百分比 2 7 2 3 5" xfId="48097"/>
    <cellStyle name="百分比 2 7 2 4" xfId="48098"/>
    <cellStyle name="百分比 2 7 2 4 2" xfId="48099"/>
    <cellStyle name="百分比 2 7 2 4 3" xfId="48100"/>
    <cellStyle name="百分比 2 7 2 4 4" xfId="48101"/>
    <cellStyle name="百分比 2 7 2 5" xfId="48102"/>
    <cellStyle name="百分比 2 7 2 6" xfId="48103"/>
    <cellStyle name="百分比 2 7 2 7" xfId="48104"/>
    <cellStyle name="百分比 2 7 2 8" xfId="48105"/>
    <cellStyle name="百分比 2 7 3" xfId="48106"/>
    <cellStyle name="百分比 2 7 3 2" xfId="48107"/>
    <cellStyle name="百分比 2 7 3 2 2" xfId="48108"/>
    <cellStyle name="百分比 2 7 3 2 3" xfId="48109"/>
    <cellStyle name="百分比 2 7 3 2 4" xfId="48110"/>
    <cellStyle name="百分比 2 7 3 3" xfId="48111"/>
    <cellStyle name="百分比 2 7 3 4" xfId="48112"/>
    <cellStyle name="百分比 2 7 3 5" xfId="48113"/>
    <cellStyle name="百分比 2 7 4" xfId="48114"/>
    <cellStyle name="百分比 2 7 4 2" xfId="48115"/>
    <cellStyle name="百分比 2 7 4 2 2" xfId="48116"/>
    <cellStyle name="百分比 2 7 4 2 3" xfId="48117"/>
    <cellStyle name="百分比 2 7 4 2 4" xfId="48118"/>
    <cellStyle name="百分比 2 7 4 3" xfId="48119"/>
    <cellStyle name="百分比 2 7 4 4" xfId="48120"/>
    <cellStyle name="百分比 2 7 4 5" xfId="48121"/>
    <cellStyle name="百分比 2 7 5" xfId="48122"/>
    <cellStyle name="百分比 2 7 5 2" xfId="48123"/>
    <cellStyle name="百分比 2 7 5 3" xfId="48124"/>
    <cellStyle name="百分比 2 7 5 4" xfId="48125"/>
    <cellStyle name="百分比 2 7 6" xfId="48126"/>
    <cellStyle name="百分比 2 7 7" xfId="48127"/>
    <cellStyle name="百分比 2 7 8" xfId="48128"/>
    <cellStyle name="百分比 2 7 9" xfId="48129"/>
    <cellStyle name="百分比 2 8" xfId="48130"/>
    <cellStyle name="百分比 2 8 2" xfId="48131"/>
    <cellStyle name="百分比 2 8 2 2" xfId="48132"/>
    <cellStyle name="百分比 2 8 2 3" xfId="48133"/>
    <cellStyle name="百分比 2 8 2 4" xfId="48134"/>
    <cellStyle name="百分比 2 8 2 5" xfId="48135"/>
    <cellStyle name="百分比 2 8 3" xfId="48136"/>
    <cellStyle name="百分比 2 8 4" xfId="48137"/>
    <cellStyle name="百分比 2 8 5" xfId="48138"/>
    <cellStyle name="百分比 2 8 6" xfId="48139"/>
    <cellStyle name="百分比 2 9" xfId="48140"/>
    <cellStyle name="百分比 2 9 2" xfId="48141"/>
    <cellStyle name="百分比 2 9 2 2" xfId="48142"/>
    <cellStyle name="百分比 2 9 2 3" xfId="48143"/>
    <cellStyle name="百分比 2 9 2 4" xfId="48144"/>
    <cellStyle name="百分比 2 9 3" xfId="48145"/>
    <cellStyle name="百分比 2 9 4" xfId="48146"/>
    <cellStyle name="百分比 2 9 5" xfId="48147"/>
    <cellStyle name="百分比 3" xfId="48148"/>
    <cellStyle name="百分比 3 10" xfId="48149"/>
    <cellStyle name="百分比 3 10 2" xfId="48150"/>
    <cellStyle name="百分比 3 10 3" xfId="48151"/>
    <cellStyle name="百分比 3 10 4" xfId="48152"/>
    <cellStyle name="百分比 3 11" xfId="48153"/>
    <cellStyle name="百分比 3 12" xfId="48154"/>
    <cellStyle name="百分比 3 13" xfId="48155"/>
    <cellStyle name="百分比 3 14" xfId="48156"/>
    <cellStyle name="百分比 3 15" xfId="48157"/>
    <cellStyle name="百分比 3 2" xfId="48158"/>
    <cellStyle name="百分比 3 2 2" xfId="48159"/>
    <cellStyle name="百分比 3 2 2 2" xfId="48160"/>
    <cellStyle name="百分比 3 2 2 2 2" xfId="48161"/>
    <cellStyle name="百分比 3 2 2 2 2 2" xfId="48162"/>
    <cellStyle name="百分比 3 2 2 2 2 2 2" xfId="48163"/>
    <cellStyle name="百分比 3 2 2 2 2 2 3" xfId="48164"/>
    <cellStyle name="百分比 3 2 2 2 2 2 4" xfId="48165"/>
    <cellStyle name="百分比 3 2 2 2 2 3" xfId="48166"/>
    <cellStyle name="百分比 3 2 2 2 2 4" xfId="48167"/>
    <cellStyle name="百分比 3 2 2 2 2 5" xfId="48168"/>
    <cellStyle name="百分比 3 2 2 2 3" xfId="48169"/>
    <cellStyle name="百分比 3 2 2 2 3 2" xfId="48170"/>
    <cellStyle name="百分比 3 2 2 2 3 2 2" xfId="48171"/>
    <cellStyle name="百分比 3 2 2 2 3 2 3" xfId="48172"/>
    <cellStyle name="百分比 3 2 2 2 3 2 4" xfId="48173"/>
    <cellStyle name="百分比 3 2 2 2 3 3" xfId="48174"/>
    <cellStyle name="百分比 3 2 2 2 3 4" xfId="48175"/>
    <cellStyle name="百分比 3 2 2 2 3 5" xfId="48176"/>
    <cellStyle name="百分比 3 2 2 2 4" xfId="48177"/>
    <cellStyle name="百分比 3 2 2 2 4 2" xfId="48178"/>
    <cellStyle name="百分比 3 2 2 2 4 3" xfId="48179"/>
    <cellStyle name="百分比 3 2 2 2 4 4" xfId="48180"/>
    <cellStyle name="百分比 3 2 2 2 5" xfId="48181"/>
    <cellStyle name="百分比 3 2 2 2 6" xfId="48182"/>
    <cellStyle name="百分比 3 2 2 2 7" xfId="48183"/>
    <cellStyle name="百分比 3 2 2 3" xfId="48184"/>
    <cellStyle name="百分比 3 2 2 3 2" xfId="48185"/>
    <cellStyle name="百分比 3 2 2 3 2 2" xfId="48186"/>
    <cellStyle name="百分比 3 2 2 3 2 3" xfId="48187"/>
    <cellStyle name="百分比 3 2 2 3 2 4" xfId="48188"/>
    <cellStyle name="百分比 3 2 2 3 3" xfId="48189"/>
    <cellStyle name="百分比 3 2 2 3 4" xfId="48190"/>
    <cellStyle name="百分比 3 2 2 3 5" xfId="48191"/>
    <cellStyle name="百分比 3 2 2 4" xfId="48192"/>
    <cellStyle name="百分比 3 2 2 4 2" xfId="48193"/>
    <cellStyle name="百分比 3 2 2 4 2 2" xfId="48194"/>
    <cellStyle name="百分比 3 2 2 4 2 3" xfId="48195"/>
    <cellStyle name="百分比 3 2 2 4 2 4" xfId="48196"/>
    <cellStyle name="百分比 3 2 2 4 3" xfId="48197"/>
    <cellStyle name="百分比 3 2 2 4 4" xfId="48198"/>
    <cellStyle name="百分比 3 2 2 4 5" xfId="48199"/>
    <cellStyle name="百分比 3 2 2 5" xfId="48200"/>
    <cellStyle name="百分比 3 2 2 5 2" xfId="48201"/>
    <cellStyle name="百分比 3 2 2 5 3" xfId="48202"/>
    <cellStyle name="百分比 3 2 2 5 4" xfId="48203"/>
    <cellStyle name="百分比 3 2 2 6" xfId="48204"/>
    <cellStyle name="百分比 3 2 2 7" xfId="48205"/>
    <cellStyle name="百分比 3 2 2 8" xfId="48206"/>
    <cellStyle name="百分比 3 2 3" xfId="48207"/>
    <cellStyle name="百分比 3 2 3 2" xfId="48208"/>
    <cellStyle name="百分比 3 2 3 2 2" xfId="48209"/>
    <cellStyle name="百分比 3 2 3 2 3" xfId="48210"/>
    <cellStyle name="百分比 3 2 3 2 4" xfId="48211"/>
    <cellStyle name="百分比 3 2 3 3" xfId="48212"/>
    <cellStyle name="百分比 3 2 3 4" xfId="48213"/>
    <cellStyle name="百分比 3 2 3 5" xfId="48214"/>
    <cellStyle name="百分比 3 2 4" xfId="48215"/>
    <cellStyle name="百分比 3 2 4 2" xfId="48216"/>
    <cellStyle name="百分比 3 2 4 2 2" xfId="48217"/>
    <cellStyle name="百分比 3 2 4 2 3" xfId="48218"/>
    <cellStyle name="百分比 3 2 4 2 4" xfId="48219"/>
    <cellStyle name="百分比 3 2 4 3" xfId="48220"/>
    <cellStyle name="百分比 3 2 4 4" xfId="48221"/>
    <cellStyle name="百分比 3 2 4 5" xfId="48222"/>
    <cellStyle name="百分比 3 2 5" xfId="48223"/>
    <cellStyle name="百分比 3 2 5 2" xfId="48224"/>
    <cellStyle name="百分比 3 2 5 3" xfId="48225"/>
    <cellStyle name="百分比 3 2 5 4" xfId="48226"/>
    <cellStyle name="百分比 3 2 6" xfId="48227"/>
    <cellStyle name="百分比 3 2 7" xfId="48228"/>
    <cellStyle name="百分比 3 2 8" xfId="48229"/>
    <cellStyle name="百分比 3 3" xfId="48230"/>
    <cellStyle name="百分比 3 3 2" xfId="48231"/>
    <cellStyle name="百分比 3 3 2 2" xfId="48232"/>
    <cellStyle name="百分比 3 3 2 2 2" xfId="48233"/>
    <cellStyle name="百分比 3 3 2 2 2 2" xfId="48234"/>
    <cellStyle name="百分比 3 3 2 2 2 2 2" xfId="48235"/>
    <cellStyle name="百分比 3 3 2 2 2 2 3" xfId="48236"/>
    <cellStyle name="百分比 3 3 2 2 2 2 4" xfId="48237"/>
    <cellStyle name="百分比 3 3 2 2 2 3" xfId="48238"/>
    <cellStyle name="百分比 3 3 2 2 2 4" xfId="48239"/>
    <cellStyle name="百分比 3 3 2 2 2 5" xfId="48240"/>
    <cellStyle name="百分比 3 3 2 2 3" xfId="48241"/>
    <cellStyle name="百分比 3 3 2 2 3 2" xfId="48242"/>
    <cellStyle name="百分比 3 3 2 2 3 2 2" xfId="48243"/>
    <cellStyle name="百分比 3 3 2 2 3 2 3" xfId="48244"/>
    <cellStyle name="百分比 3 3 2 2 3 2 4" xfId="48245"/>
    <cellStyle name="百分比 3 3 2 2 3 3" xfId="48246"/>
    <cellStyle name="百分比 3 3 2 2 3 4" xfId="48247"/>
    <cellStyle name="百分比 3 3 2 2 3 5" xfId="48248"/>
    <cellStyle name="百分比 3 3 2 2 4" xfId="48249"/>
    <cellStyle name="百分比 3 3 2 2 4 2" xfId="48250"/>
    <cellStyle name="百分比 3 3 2 2 4 3" xfId="48251"/>
    <cellStyle name="百分比 3 3 2 2 4 4" xfId="48252"/>
    <cellStyle name="百分比 3 3 2 2 5" xfId="48253"/>
    <cellStyle name="百分比 3 3 2 2 6" xfId="48254"/>
    <cellStyle name="百分比 3 3 2 2 7" xfId="48255"/>
    <cellStyle name="百分比 3 3 2 3" xfId="48256"/>
    <cellStyle name="百分比 3 3 2 3 2" xfId="48257"/>
    <cellStyle name="百分比 3 3 2 3 2 2" xfId="48258"/>
    <cellStyle name="百分比 3 3 2 3 2 3" xfId="48259"/>
    <cellStyle name="百分比 3 3 2 3 2 4" xfId="48260"/>
    <cellStyle name="百分比 3 3 2 3 3" xfId="48261"/>
    <cellStyle name="百分比 3 3 2 3 4" xfId="48262"/>
    <cellStyle name="百分比 3 3 2 3 5" xfId="48263"/>
    <cellStyle name="百分比 3 3 2 4" xfId="48264"/>
    <cellStyle name="百分比 3 3 2 4 2" xfId="48265"/>
    <cellStyle name="百分比 3 3 2 4 2 2" xfId="48266"/>
    <cellStyle name="百分比 3 3 2 4 2 3" xfId="48267"/>
    <cellStyle name="百分比 3 3 2 4 2 4" xfId="48268"/>
    <cellStyle name="百分比 3 3 2 4 3" xfId="48269"/>
    <cellStyle name="百分比 3 3 2 4 4" xfId="48270"/>
    <cellStyle name="百分比 3 3 2 4 5" xfId="48271"/>
    <cellStyle name="百分比 3 3 2 5" xfId="48272"/>
    <cellStyle name="百分比 3 3 2 5 2" xfId="48273"/>
    <cellStyle name="百分比 3 3 2 5 3" xfId="48274"/>
    <cellStyle name="百分比 3 3 2 5 4" xfId="48275"/>
    <cellStyle name="百分比 3 3 2 6" xfId="48276"/>
    <cellStyle name="百分比 3 3 2 7" xfId="48277"/>
    <cellStyle name="百分比 3 3 2 8" xfId="48278"/>
    <cellStyle name="百分比 3 3 3" xfId="48279"/>
    <cellStyle name="百分比 3 3 3 2" xfId="48280"/>
    <cellStyle name="百分比 3 3 3 2 2" xfId="48281"/>
    <cellStyle name="百分比 3 3 3 2 3" xfId="48282"/>
    <cellStyle name="百分比 3 3 3 2 4" xfId="48283"/>
    <cellStyle name="百分比 3 3 3 3" xfId="48284"/>
    <cellStyle name="百分比 3 3 3 4" xfId="48285"/>
    <cellStyle name="百分比 3 3 3 5" xfId="48286"/>
    <cellStyle name="百分比 3 3 4" xfId="48287"/>
    <cellStyle name="百分比 3 3 4 2" xfId="48288"/>
    <cellStyle name="百分比 3 3 4 2 2" xfId="48289"/>
    <cellStyle name="百分比 3 3 4 2 3" xfId="48290"/>
    <cellStyle name="百分比 3 3 4 2 4" xfId="48291"/>
    <cellStyle name="百分比 3 3 4 3" xfId="48292"/>
    <cellStyle name="百分比 3 3 4 4" xfId="48293"/>
    <cellStyle name="百分比 3 3 4 5" xfId="48294"/>
    <cellStyle name="百分比 3 3 5" xfId="48295"/>
    <cellStyle name="百分比 3 3 5 2" xfId="48296"/>
    <cellStyle name="百分比 3 3 5 3" xfId="48297"/>
    <cellStyle name="百分比 3 3 5 4" xfId="48298"/>
    <cellStyle name="百分比 3 3 6" xfId="48299"/>
    <cellStyle name="百分比 3 3 7" xfId="48300"/>
    <cellStyle name="百分比 3 3 8" xfId="48301"/>
    <cellStyle name="百分比 3 4" xfId="48302"/>
    <cellStyle name="百分比 3 4 2" xfId="48303"/>
    <cellStyle name="百分比 3 4 2 2" xfId="48304"/>
    <cellStyle name="百分比 3 4 2 2 2" xfId="48305"/>
    <cellStyle name="百分比 3 4 2 2 2 2" xfId="48306"/>
    <cellStyle name="百分比 3 4 2 2 2 2 2" xfId="48307"/>
    <cellStyle name="百分比 3 4 2 2 2 2 3" xfId="48308"/>
    <cellStyle name="百分比 3 4 2 2 2 2 4" xfId="48309"/>
    <cellStyle name="百分比 3 4 2 2 2 3" xfId="48310"/>
    <cellStyle name="百分比 3 4 2 2 2 4" xfId="48311"/>
    <cellStyle name="百分比 3 4 2 2 2 5" xfId="48312"/>
    <cellStyle name="百分比 3 4 2 2 3" xfId="48313"/>
    <cellStyle name="百分比 3 4 2 2 3 2" xfId="48314"/>
    <cellStyle name="百分比 3 4 2 2 3 2 2" xfId="48315"/>
    <cellStyle name="百分比 3 4 2 2 3 2 3" xfId="48316"/>
    <cellStyle name="百分比 3 4 2 2 3 2 4" xfId="48317"/>
    <cellStyle name="百分比 3 4 2 2 3 3" xfId="48318"/>
    <cellStyle name="百分比 3 4 2 2 3 4" xfId="48319"/>
    <cellStyle name="百分比 3 4 2 2 3 5" xfId="48320"/>
    <cellStyle name="百分比 3 4 2 2 4" xfId="48321"/>
    <cellStyle name="百分比 3 4 2 2 4 2" xfId="48322"/>
    <cellStyle name="百分比 3 4 2 2 4 3" xfId="48323"/>
    <cellStyle name="百分比 3 4 2 2 4 4" xfId="48324"/>
    <cellStyle name="百分比 3 4 2 2 5" xfId="48325"/>
    <cellStyle name="百分比 3 4 2 2 6" xfId="48326"/>
    <cellStyle name="百分比 3 4 2 2 7" xfId="48327"/>
    <cellStyle name="百分比 3 4 2 3" xfId="48328"/>
    <cellStyle name="百分比 3 4 2 3 2" xfId="48329"/>
    <cellStyle name="百分比 3 4 2 3 2 2" xfId="48330"/>
    <cellStyle name="百分比 3 4 2 3 2 3" xfId="48331"/>
    <cellStyle name="百分比 3 4 2 3 2 4" xfId="48332"/>
    <cellStyle name="百分比 3 4 2 3 3" xfId="48333"/>
    <cellStyle name="百分比 3 4 2 3 4" xfId="48334"/>
    <cellStyle name="百分比 3 4 2 3 5" xfId="48335"/>
    <cellStyle name="百分比 3 4 2 4" xfId="48336"/>
    <cellStyle name="百分比 3 4 2 4 2" xfId="48337"/>
    <cellStyle name="百分比 3 4 2 4 2 2" xfId="48338"/>
    <cellStyle name="百分比 3 4 2 4 2 3" xfId="48339"/>
    <cellStyle name="百分比 3 4 2 4 2 4" xfId="48340"/>
    <cellStyle name="百分比 3 4 2 4 3" xfId="48341"/>
    <cellStyle name="百分比 3 4 2 4 4" xfId="48342"/>
    <cellStyle name="百分比 3 4 2 4 5" xfId="48343"/>
    <cellStyle name="百分比 3 4 2 5" xfId="48344"/>
    <cellStyle name="百分比 3 4 2 5 2" xfId="48345"/>
    <cellStyle name="百分比 3 4 2 5 3" xfId="48346"/>
    <cellStyle name="百分比 3 4 2 5 4" xfId="48347"/>
    <cellStyle name="百分比 3 4 2 6" xfId="48348"/>
    <cellStyle name="百分比 3 4 2 7" xfId="48349"/>
    <cellStyle name="百分比 3 4 2 8" xfId="48350"/>
    <cellStyle name="百分比 3 4 3" xfId="48351"/>
    <cellStyle name="百分比 3 4 3 2" xfId="48352"/>
    <cellStyle name="百分比 3 4 3 2 2" xfId="48353"/>
    <cellStyle name="百分比 3 4 3 2 3" xfId="48354"/>
    <cellStyle name="百分比 3 4 3 2 4" xfId="48355"/>
    <cellStyle name="百分比 3 4 3 3" xfId="48356"/>
    <cellStyle name="百分比 3 4 3 4" xfId="48357"/>
    <cellStyle name="百分比 3 4 3 5" xfId="48358"/>
    <cellStyle name="百分比 3 4 4" xfId="48359"/>
    <cellStyle name="百分比 3 4 4 2" xfId="48360"/>
    <cellStyle name="百分比 3 4 4 2 2" xfId="48361"/>
    <cellStyle name="百分比 3 4 4 2 3" xfId="48362"/>
    <cellStyle name="百分比 3 4 4 2 4" xfId="48363"/>
    <cellStyle name="百分比 3 4 4 3" xfId="48364"/>
    <cellStyle name="百分比 3 4 4 4" xfId="48365"/>
    <cellStyle name="百分比 3 4 4 5" xfId="48366"/>
    <cellStyle name="百分比 3 4 5" xfId="48367"/>
    <cellStyle name="百分比 3 4 5 2" xfId="48368"/>
    <cellStyle name="百分比 3 4 5 3" xfId="48369"/>
    <cellStyle name="百分比 3 4 5 4" xfId="48370"/>
    <cellStyle name="百分比 3 4 6" xfId="48371"/>
    <cellStyle name="百分比 3 4 7" xfId="48372"/>
    <cellStyle name="百分比 3 4 8" xfId="48373"/>
    <cellStyle name="百分比 3 5" xfId="48374"/>
    <cellStyle name="百分比 3 5 2" xfId="48375"/>
    <cellStyle name="百分比 3 5 2 2" xfId="48376"/>
    <cellStyle name="百分比 3 5 2 2 2" xfId="48377"/>
    <cellStyle name="百分比 3 5 2 2 2 2" xfId="48378"/>
    <cellStyle name="百分比 3 5 2 2 2 2 2" xfId="48379"/>
    <cellStyle name="百分比 3 5 2 2 2 2 3" xfId="48380"/>
    <cellStyle name="百分比 3 5 2 2 2 2 4" xfId="48381"/>
    <cellStyle name="百分比 3 5 2 2 2 3" xfId="48382"/>
    <cellStyle name="百分比 3 5 2 2 2 4" xfId="48383"/>
    <cellStyle name="百分比 3 5 2 2 2 5" xfId="48384"/>
    <cellStyle name="百分比 3 5 2 2 3" xfId="48385"/>
    <cellStyle name="百分比 3 5 2 2 3 2" xfId="48386"/>
    <cellStyle name="百分比 3 5 2 2 3 2 2" xfId="48387"/>
    <cellStyle name="百分比 3 5 2 2 3 2 3" xfId="48388"/>
    <cellStyle name="百分比 3 5 2 2 3 2 4" xfId="48389"/>
    <cellStyle name="百分比 3 5 2 2 3 3" xfId="48390"/>
    <cellStyle name="百分比 3 5 2 2 3 4" xfId="48391"/>
    <cellStyle name="百分比 3 5 2 2 3 5" xfId="48392"/>
    <cellStyle name="百分比 3 5 2 2 4" xfId="48393"/>
    <cellStyle name="百分比 3 5 2 2 4 2" xfId="48394"/>
    <cellStyle name="百分比 3 5 2 2 4 3" xfId="48395"/>
    <cellStyle name="百分比 3 5 2 2 4 4" xfId="48396"/>
    <cellStyle name="百分比 3 5 2 2 5" xfId="48397"/>
    <cellStyle name="百分比 3 5 2 2 6" xfId="48398"/>
    <cellStyle name="百分比 3 5 2 2 7" xfId="48399"/>
    <cellStyle name="百分比 3 5 2 3" xfId="48400"/>
    <cellStyle name="百分比 3 5 2 3 2" xfId="48401"/>
    <cellStyle name="百分比 3 5 2 3 2 2" xfId="48402"/>
    <cellStyle name="百分比 3 5 2 3 2 3" xfId="48403"/>
    <cellStyle name="百分比 3 5 2 3 2 4" xfId="48404"/>
    <cellStyle name="百分比 3 5 2 3 3" xfId="48405"/>
    <cellStyle name="百分比 3 5 2 3 4" xfId="48406"/>
    <cellStyle name="百分比 3 5 2 3 5" xfId="48407"/>
    <cellStyle name="百分比 3 5 2 4" xfId="48408"/>
    <cellStyle name="百分比 3 5 2 4 2" xfId="48409"/>
    <cellStyle name="百分比 3 5 2 4 2 2" xfId="48410"/>
    <cellStyle name="百分比 3 5 2 4 2 3" xfId="48411"/>
    <cellStyle name="百分比 3 5 2 4 2 4" xfId="48412"/>
    <cellStyle name="百分比 3 5 2 4 3" xfId="48413"/>
    <cellStyle name="百分比 3 5 2 4 4" xfId="48414"/>
    <cellStyle name="百分比 3 5 2 4 5" xfId="48415"/>
    <cellStyle name="百分比 3 5 2 5" xfId="48416"/>
    <cellStyle name="百分比 3 5 2 5 2" xfId="48417"/>
    <cellStyle name="百分比 3 5 2 5 3" xfId="48418"/>
    <cellStyle name="百分比 3 5 2 5 4" xfId="48419"/>
    <cellStyle name="百分比 3 5 2 6" xfId="48420"/>
    <cellStyle name="百分比 3 5 2 7" xfId="48421"/>
    <cellStyle name="百分比 3 5 2 8" xfId="48422"/>
    <cellStyle name="百分比 3 5 3" xfId="48423"/>
    <cellStyle name="百分比 3 5 3 2" xfId="48424"/>
    <cellStyle name="百分比 3 5 3 2 2" xfId="48425"/>
    <cellStyle name="百分比 3 5 3 2 3" xfId="48426"/>
    <cellStyle name="百分比 3 5 3 2 4" xfId="48427"/>
    <cellStyle name="百分比 3 5 3 3" xfId="48428"/>
    <cellStyle name="百分比 3 5 3 4" xfId="48429"/>
    <cellStyle name="百分比 3 5 3 5" xfId="48430"/>
    <cellStyle name="百分比 3 5 4" xfId="48431"/>
    <cellStyle name="百分比 3 5 4 2" xfId="48432"/>
    <cellStyle name="百分比 3 5 4 2 2" xfId="48433"/>
    <cellStyle name="百分比 3 5 4 2 3" xfId="48434"/>
    <cellStyle name="百分比 3 5 4 2 4" xfId="48435"/>
    <cellStyle name="百分比 3 5 4 3" xfId="48436"/>
    <cellStyle name="百分比 3 5 4 4" xfId="48437"/>
    <cellStyle name="百分比 3 5 4 5" xfId="48438"/>
    <cellStyle name="百分比 3 5 5" xfId="48439"/>
    <cellStyle name="百分比 3 5 5 2" xfId="48440"/>
    <cellStyle name="百分比 3 5 5 3" xfId="48441"/>
    <cellStyle name="百分比 3 5 5 4" xfId="48442"/>
    <cellStyle name="百分比 3 5 6" xfId="48443"/>
    <cellStyle name="百分比 3 5 7" xfId="48444"/>
    <cellStyle name="百分比 3 5 8" xfId="48445"/>
    <cellStyle name="百分比 3 6" xfId="48446"/>
    <cellStyle name="百分比 3 6 2" xfId="48447"/>
    <cellStyle name="百分比 3 6 2 2" xfId="48448"/>
    <cellStyle name="百分比 3 6 2 2 2" xfId="48449"/>
    <cellStyle name="百分比 3 6 2 2 2 2" xfId="48450"/>
    <cellStyle name="百分比 3 6 2 2 2 2 2" xfId="48451"/>
    <cellStyle name="百分比 3 6 2 2 2 2 3" xfId="48452"/>
    <cellStyle name="百分比 3 6 2 2 2 2 4" xfId="48453"/>
    <cellStyle name="百分比 3 6 2 2 2 3" xfId="48454"/>
    <cellStyle name="百分比 3 6 2 2 2 4" xfId="48455"/>
    <cellStyle name="百分比 3 6 2 2 2 5" xfId="48456"/>
    <cellStyle name="百分比 3 6 2 2 3" xfId="48457"/>
    <cellStyle name="百分比 3 6 2 2 3 2" xfId="48458"/>
    <cellStyle name="百分比 3 6 2 2 3 2 2" xfId="48459"/>
    <cellStyle name="百分比 3 6 2 2 3 2 3" xfId="48460"/>
    <cellStyle name="百分比 3 6 2 2 3 2 4" xfId="48461"/>
    <cellStyle name="百分比 3 6 2 2 3 3" xfId="48462"/>
    <cellStyle name="百分比 3 6 2 2 3 4" xfId="48463"/>
    <cellStyle name="百分比 3 6 2 2 3 5" xfId="48464"/>
    <cellStyle name="百分比 3 6 2 2 4" xfId="48465"/>
    <cellStyle name="百分比 3 6 2 2 4 2" xfId="48466"/>
    <cellStyle name="百分比 3 6 2 2 4 3" xfId="48467"/>
    <cellStyle name="百分比 3 6 2 2 4 4" xfId="48468"/>
    <cellStyle name="百分比 3 6 2 2 5" xfId="48469"/>
    <cellStyle name="百分比 3 6 2 2 6" xfId="48470"/>
    <cellStyle name="百分比 3 6 2 2 7" xfId="48471"/>
    <cellStyle name="百分比 3 6 2 3" xfId="48472"/>
    <cellStyle name="百分比 3 6 2 3 2" xfId="48473"/>
    <cellStyle name="百分比 3 6 2 3 2 2" xfId="48474"/>
    <cellStyle name="百分比 3 6 2 3 2 3" xfId="48475"/>
    <cellStyle name="百分比 3 6 2 3 2 4" xfId="48476"/>
    <cellStyle name="百分比 3 6 2 3 3" xfId="48477"/>
    <cellStyle name="百分比 3 6 2 3 4" xfId="48478"/>
    <cellStyle name="百分比 3 6 2 3 5" xfId="48479"/>
    <cellStyle name="百分比 3 6 2 4" xfId="48480"/>
    <cellStyle name="百分比 3 6 2 4 2" xfId="48481"/>
    <cellStyle name="百分比 3 6 2 4 2 2" xfId="48482"/>
    <cellStyle name="百分比 3 6 2 4 2 3" xfId="48483"/>
    <cellStyle name="百分比 3 6 2 4 2 4" xfId="48484"/>
    <cellStyle name="百分比 3 6 2 4 3" xfId="48485"/>
    <cellStyle name="百分比 3 6 2 4 4" xfId="48486"/>
    <cellStyle name="百分比 3 6 2 4 5" xfId="48487"/>
    <cellStyle name="百分比 3 6 2 5" xfId="48488"/>
    <cellStyle name="百分比 3 6 2 5 2" xfId="48489"/>
    <cellStyle name="百分比 3 6 2 5 3" xfId="48490"/>
    <cellStyle name="百分比 3 6 2 5 4" xfId="48491"/>
    <cellStyle name="百分比 3 6 2 6" xfId="48492"/>
    <cellStyle name="百分比 3 6 2 7" xfId="48493"/>
    <cellStyle name="百分比 3 6 2 8" xfId="48494"/>
    <cellStyle name="百分比 3 6 3" xfId="48495"/>
    <cellStyle name="百分比 3 6 3 2" xfId="48496"/>
    <cellStyle name="百分比 3 6 3 2 2" xfId="48497"/>
    <cellStyle name="百分比 3 6 3 2 3" xfId="48498"/>
    <cellStyle name="百分比 3 6 3 2 4" xfId="48499"/>
    <cellStyle name="百分比 3 6 3 3" xfId="48500"/>
    <cellStyle name="百分比 3 6 3 4" xfId="48501"/>
    <cellStyle name="百分比 3 6 3 5" xfId="48502"/>
    <cellStyle name="百分比 3 6 4" xfId="48503"/>
    <cellStyle name="百分比 3 6 4 2" xfId="48504"/>
    <cellStyle name="百分比 3 6 4 2 2" xfId="48505"/>
    <cellStyle name="百分比 3 6 4 2 3" xfId="48506"/>
    <cellStyle name="百分比 3 6 4 2 4" xfId="48507"/>
    <cellStyle name="百分比 3 6 4 3" xfId="48508"/>
    <cellStyle name="百分比 3 6 4 4" xfId="48509"/>
    <cellStyle name="百分比 3 6 4 5" xfId="48510"/>
    <cellStyle name="百分比 3 6 5" xfId="48511"/>
    <cellStyle name="百分比 3 6 5 2" xfId="48512"/>
    <cellStyle name="百分比 3 6 5 3" xfId="48513"/>
    <cellStyle name="百分比 3 6 5 4" xfId="48514"/>
    <cellStyle name="百分比 3 6 6" xfId="48515"/>
    <cellStyle name="百分比 3 6 7" xfId="48516"/>
    <cellStyle name="百分比 3 6 8" xfId="48517"/>
    <cellStyle name="百分比 3 7" xfId="48518"/>
    <cellStyle name="百分比 3 7 2" xfId="48519"/>
    <cellStyle name="百分比 3 7 2 2" xfId="48520"/>
    <cellStyle name="百分比 3 7 2 2 2" xfId="48521"/>
    <cellStyle name="百分比 3 7 2 2 2 2" xfId="48522"/>
    <cellStyle name="百分比 3 7 2 2 2 3" xfId="48523"/>
    <cellStyle name="百分比 3 7 2 2 2 4" xfId="48524"/>
    <cellStyle name="百分比 3 7 2 2 3" xfId="48525"/>
    <cellStyle name="百分比 3 7 2 2 4" xfId="48526"/>
    <cellStyle name="百分比 3 7 2 2 5" xfId="48527"/>
    <cellStyle name="百分比 3 7 2 3" xfId="48528"/>
    <cellStyle name="百分比 3 7 2 3 2" xfId="48529"/>
    <cellStyle name="百分比 3 7 2 3 2 2" xfId="48530"/>
    <cellStyle name="百分比 3 7 2 3 2 3" xfId="48531"/>
    <cellStyle name="百分比 3 7 2 3 2 4" xfId="48532"/>
    <cellStyle name="百分比 3 7 2 3 3" xfId="48533"/>
    <cellStyle name="百分比 3 7 2 3 4" xfId="48534"/>
    <cellStyle name="百分比 3 7 2 3 5" xfId="48535"/>
    <cellStyle name="百分比 3 7 2 4" xfId="48536"/>
    <cellStyle name="百分比 3 7 2 4 2" xfId="48537"/>
    <cellStyle name="百分比 3 7 2 4 3" xfId="48538"/>
    <cellStyle name="百分比 3 7 2 4 4" xfId="48539"/>
    <cellStyle name="百分比 3 7 2 5" xfId="48540"/>
    <cellStyle name="百分比 3 7 2 6" xfId="48541"/>
    <cellStyle name="百分比 3 7 2 7" xfId="48542"/>
    <cellStyle name="百分比 3 7 3" xfId="48543"/>
    <cellStyle name="百分比 3 7 3 2" xfId="48544"/>
    <cellStyle name="百分比 3 7 3 2 2" xfId="48545"/>
    <cellStyle name="百分比 3 7 3 2 3" xfId="48546"/>
    <cellStyle name="百分比 3 7 3 2 4" xfId="48547"/>
    <cellStyle name="百分比 3 7 3 3" xfId="48548"/>
    <cellStyle name="百分比 3 7 3 4" xfId="48549"/>
    <cellStyle name="百分比 3 7 3 5" xfId="48550"/>
    <cellStyle name="百分比 3 7 4" xfId="48551"/>
    <cellStyle name="百分比 3 7 4 2" xfId="48552"/>
    <cellStyle name="百分比 3 7 4 2 2" xfId="48553"/>
    <cellStyle name="百分比 3 7 4 2 3" xfId="48554"/>
    <cellStyle name="百分比 3 7 4 2 4" xfId="48555"/>
    <cellStyle name="百分比 3 7 4 3" xfId="48556"/>
    <cellStyle name="百分比 3 7 4 4" xfId="48557"/>
    <cellStyle name="百分比 3 7 4 5" xfId="48558"/>
    <cellStyle name="百分比 3 7 5" xfId="48559"/>
    <cellStyle name="百分比 3 7 5 2" xfId="48560"/>
    <cellStyle name="百分比 3 7 5 3" xfId="48561"/>
    <cellStyle name="百分比 3 7 5 4" xfId="48562"/>
    <cellStyle name="百分比 3 7 6" xfId="48563"/>
    <cellStyle name="百分比 3 7 7" xfId="48564"/>
    <cellStyle name="百分比 3 7 8" xfId="48565"/>
    <cellStyle name="百分比 3 8" xfId="48566"/>
    <cellStyle name="百分比 3 8 2" xfId="48567"/>
    <cellStyle name="百分比 3 8 2 2" xfId="48568"/>
    <cellStyle name="百分比 3 8 2 3" xfId="48569"/>
    <cellStyle name="百分比 3 8 2 4" xfId="48570"/>
    <cellStyle name="百分比 3 8 3" xfId="48571"/>
    <cellStyle name="百分比 3 8 4" xfId="48572"/>
    <cellStyle name="百分比 3 8 5" xfId="48573"/>
    <cellStyle name="百分比 3 9" xfId="48574"/>
    <cellStyle name="百分比 3 9 2" xfId="48575"/>
    <cellStyle name="百分比 3 9 2 2" xfId="48576"/>
    <cellStyle name="百分比 3 9 2 3" xfId="48577"/>
    <cellStyle name="百分比 3 9 2 4" xfId="48578"/>
    <cellStyle name="百分比 3 9 3" xfId="48579"/>
    <cellStyle name="百分比 3 9 4" xfId="48580"/>
    <cellStyle name="百分比 3 9 5" xfId="48581"/>
    <cellStyle name="百分比 4" xfId="48582"/>
    <cellStyle name="百分比 4 10" xfId="48583"/>
    <cellStyle name="百分比 4 10 2" xfId="48584"/>
    <cellStyle name="百分比 4 10 3" xfId="48585"/>
    <cellStyle name="百分比 4 10 4" xfId="48586"/>
    <cellStyle name="百分比 4 11" xfId="48587"/>
    <cellStyle name="百分比 4 12" xfId="48588"/>
    <cellStyle name="百分比 4 13" xfId="48589"/>
    <cellStyle name="百分比 4 2" xfId="48590"/>
    <cellStyle name="百分比 4 2 2" xfId="48591"/>
    <cellStyle name="百分比 4 2 2 2" xfId="48592"/>
    <cellStyle name="百分比 4 2 2 2 2" xfId="48593"/>
    <cellStyle name="百分比 4 2 2 2 2 2" xfId="48594"/>
    <cellStyle name="百分比 4 2 2 2 2 2 2" xfId="48595"/>
    <cellStyle name="百分比 4 2 2 2 2 2 3" xfId="48596"/>
    <cellStyle name="百分比 4 2 2 2 2 2 4" xfId="48597"/>
    <cellStyle name="百分比 4 2 2 2 2 3" xfId="48598"/>
    <cellStyle name="百分比 4 2 2 2 2 4" xfId="48599"/>
    <cellStyle name="百分比 4 2 2 2 2 5" xfId="48600"/>
    <cellStyle name="百分比 4 2 2 2 3" xfId="48601"/>
    <cellStyle name="百分比 4 2 2 2 3 2" xfId="48602"/>
    <cellStyle name="百分比 4 2 2 2 3 2 2" xfId="48603"/>
    <cellStyle name="百分比 4 2 2 2 3 2 3" xfId="48604"/>
    <cellStyle name="百分比 4 2 2 2 3 2 4" xfId="48605"/>
    <cellStyle name="百分比 4 2 2 2 3 3" xfId="48606"/>
    <cellStyle name="百分比 4 2 2 2 3 4" xfId="48607"/>
    <cellStyle name="百分比 4 2 2 2 3 5" xfId="48608"/>
    <cellStyle name="百分比 4 2 2 2 4" xfId="48609"/>
    <cellStyle name="百分比 4 2 2 2 4 2" xfId="48610"/>
    <cellStyle name="百分比 4 2 2 2 4 3" xfId="48611"/>
    <cellStyle name="百分比 4 2 2 2 4 4" xfId="48612"/>
    <cellStyle name="百分比 4 2 2 2 5" xfId="48613"/>
    <cellStyle name="百分比 4 2 2 2 6" xfId="48614"/>
    <cellStyle name="百分比 4 2 2 2 7" xfId="48615"/>
    <cellStyle name="百分比 4 2 2 3" xfId="48616"/>
    <cellStyle name="百分比 4 2 2 3 2" xfId="48617"/>
    <cellStyle name="百分比 4 2 2 3 2 2" xfId="48618"/>
    <cellStyle name="百分比 4 2 2 3 2 3" xfId="48619"/>
    <cellStyle name="百分比 4 2 2 3 2 4" xfId="48620"/>
    <cellStyle name="百分比 4 2 2 3 3" xfId="48621"/>
    <cellStyle name="百分比 4 2 2 3 4" xfId="48622"/>
    <cellStyle name="百分比 4 2 2 3 5" xfId="48623"/>
    <cellStyle name="百分比 4 2 2 4" xfId="48624"/>
    <cellStyle name="百分比 4 2 2 4 2" xfId="48625"/>
    <cellStyle name="百分比 4 2 2 4 2 2" xfId="48626"/>
    <cellStyle name="百分比 4 2 2 4 2 3" xfId="48627"/>
    <cellStyle name="百分比 4 2 2 4 2 4" xfId="48628"/>
    <cellStyle name="百分比 4 2 2 4 3" xfId="48629"/>
    <cellStyle name="百分比 4 2 2 4 4" xfId="48630"/>
    <cellStyle name="百分比 4 2 2 4 5" xfId="48631"/>
    <cellStyle name="百分比 4 2 2 5" xfId="48632"/>
    <cellStyle name="百分比 4 2 2 5 2" xfId="48633"/>
    <cellStyle name="百分比 4 2 2 5 3" xfId="48634"/>
    <cellStyle name="百分比 4 2 2 5 4" xfId="48635"/>
    <cellStyle name="百分比 4 2 2 6" xfId="48636"/>
    <cellStyle name="百分比 4 2 2 7" xfId="48637"/>
    <cellStyle name="百分比 4 2 2 8" xfId="48638"/>
    <cellStyle name="百分比 4 2 3" xfId="48639"/>
    <cellStyle name="百分比 4 2 3 2" xfId="48640"/>
    <cellStyle name="百分比 4 2 3 2 2" xfId="48641"/>
    <cellStyle name="百分比 4 2 3 2 3" xfId="48642"/>
    <cellStyle name="百分比 4 2 3 2 4" xfId="48643"/>
    <cellStyle name="百分比 4 2 3 3" xfId="48644"/>
    <cellStyle name="百分比 4 2 3 4" xfId="48645"/>
    <cellStyle name="百分比 4 2 3 5" xfId="48646"/>
    <cellStyle name="百分比 4 2 4" xfId="48647"/>
    <cellStyle name="百分比 4 2 4 2" xfId="48648"/>
    <cellStyle name="百分比 4 2 4 2 2" xfId="48649"/>
    <cellStyle name="百分比 4 2 4 2 3" xfId="48650"/>
    <cellStyle name="百分比 4 2 4 2 4" xfId="48651"/>
    <cellStyle name="百分比 4 2 4 3" xfId="48652"/>
    <cellStyle name="百分比 4 2 4 4" xfId="48653"/>
    <cellStyle name="百分比 4 2 4 5" xfId="48654"/>
    <cellStyle name="百分比 4 2 5" xfId="48655"/>
    <cellStyle name="百分比 4 2 5 2" xfId="48656"/>
    <cellStyle name="百分比 4 2 5 3" xfId="48657"/>
    <cellStyle name="百分比 4 2 5 4" xfId="48658"/>
    <cellStyle name="百分比 4 2 6" xfId="48659"/>
    <cellStyle name="百分比 4 2 7" xfId="48660"/>
    <cellStyle name="百分比 4 2 8" xfId="48661"/>
    <cellStyle name="百分比 4 3" xfId="48662"/>
    <cellStyle name="百分比 4 3 2" xfId="48663"/>
    <cellStyle name="百分比 4 3 2 2" xfId="48664"/>
    <cellStyle name="百分比 4 3 2 2 2" xfId="48665"/>
    <cellStyle name="百分比 4 3 2 2 2 2" xfId="48666"/>
    <cellStyle name="百分比 4 3 2 2 2 2 2" xfId="48667"/>
    <cellStyle name="百分比 4 3 2 2 2 2 3" xfId="48668"/>
    <cellStyle name="百分比 4 3 2 2 2 2 4" xfId="48669"/>
    <cellStyle name="百分比 4 3 2 2 2 3" xfId="48670"/>
    <cellStyle name="百分比 4 3 2 2 2 4" xfId="48671"/>
    <cellStyle name="百分比 4 3 2 2 2 5" xfId="48672"/>
    <cellStyle name="百分比 4 3 2 2 3" xfId="48673"/>
    <cellStyle name="百分比 4 3 2 2 3 2" xfId="48674"/>
    <cellStyle name="百分比 4 3 2 2 3 2 2" xfId="48675"/>
    <cellStyle name="百分比 4 3 2 2 3 2 3" xfId="48676"/>
    <cellStyle name="百分比 4 3 2 2 3 2 4" xfId="48677"/>
    <cellStyle name="百分比 4 3 2 2 3 3" xfId="48678"/>
    <cellStyle name="百分比 4 3 2 2 3 4" xfId="48679"/>
    <cellStyle name="百分比 4 3 2 2 3 5" xfId="48680"/>
    <cellStyle name="百分比 4 3 2 2 4" xfId="48681"/>
    <cellStyle name="百分比 4 3 2 2 4 2" xfId="48682"/>
    <cellStyle name="百分比 4 3 2 2 4 3" xfId="48683"/>
    <cellStyle name="百分比 4 3 2 2 4 4" xfId="48684"/>
    <cellStyle name="百分比 4 3 2 2 5" xfId="48685"/>
    <cellStyle name="百分比 4 3 2 2 6" xfId="48686"/>
    <cellStyle name="百分比 4 3 2 2 7" xfId="48687"/>
    <cellStyle name="百分比 4 3 2 3" xfId="48688"/>
    <cellStyle name="百分比 4 3 2 3 2" xfId="48689"/>
    <cellStyle name="百分比 4 3 2 3 2 2" xfId="48690"/>
    <cellStyle name="百分比 4 3 2 3 2 3" xfId="48691"/>
    <cellStyle name="百分比 4 3 2 3 2 4" xfId="48692"/>
    <cellStyle name="百分比 4 3 2 3 3" xfId="48693"/>
    <cellStyle name="百分比 4 3 2 3 4" xfId="48694"/>
    <cellStyle name="百分比 4 3 2 3 5" xfId="48695"/>
    <cellStyle name="百分比 4 3 2 4" xfId="48696"/>
    <cellStyle name="百分比 4 3 2 4 2" xfId="48697"/>
    <cellStyle name="百分比 4 3 2 4 2 2" xfId="48698"/>
    <cellStyle name="百分比 4 3 2 4 2 3" xfId="48699"/>
    <cellStyle name="百分比 4 3 2 4 2 4" xfId="48700"/>
    <cellStyle name="百分比 4 3 2 4 3" xfId="48701"/>
    <cellStyle name="百分比 4 3 2 4 4" xfId="48702"/>
    <cellStyle name="百分比 4 3 2 4 5" xfId="48703"/>
    <cellStyle name="百分比 4 3 2 5" xfId="48704"/>
    <cellStyle name="百分比 4 3 2 5 2" xfId="48705"/>
    <cellStyle name="百分比 4 3 2 5 3" xfId="48706"/>
    <cellStyle name="百分比 4 3 2 5 4" xfId="48707"/>
    <cellStyle name="百分比 4 3 2 6" xfId="48708"/>
    <cellStyle name="百分比 4 3 2 7" xfId="48709"/>
    <cellStyle name="百分比 4 3 2 8" xfId="48710"/>
    <cellStyle name="百分比 4 3 3" xfId="48711"/>
    <cellStyle name="百分比 4 3 3 2" xfId="48712"/>
    <cellStyle name="百分比 4 3 3 2 2" xfId="48713"/>
    <cellStyle name="百分比 4 3 3 2 3" xfId="48714"/>
    <cellStyle name="百分比 4 3 3 2 4" xfId="48715"/>
    <cellStyle name="百分比 4 3 3 3" xfId="48716"/>
    <cellStyle name="百分比 4 3 3 4" xfId="48717"/>
    <cellStyle name="百分比 4 3 3 5" xfId="48718"/>
    <cellStyle name="百分比 4 3 4" xfId="48719"/>
    <cellStyle name="百分比 4 3 4 2" xfId="48720"/>
    <cellStyle name="百分比 4 3 4 2 2" xfId="48721"/>
    <cellStyle name="百分比 4 3 4 2 3" xfId="48722"/>
    <cellStyle name="百分比 4 3 4 2 4" xfId="48723"/>
    <cellStyle name="百分比 4 3 4 3" xfId="48724"/>
    <cellStyle name="百分比 4 3 4 4" xfId="48725"/>
    <cellStyle name="百分比 4 3 4 5" xfId="48726"/>
    <cellStyle name="百分比 4 3 5" xfId="48727"/>
    <cellStyle name="百分比 4 3 5 2" xfId="48728"/>
    <cellStyle name="百分比 4 3 5 3" xfId="48729"/>
    <cellStyle name="百分比 4 3 5 4" xfId="48730"/>
    <cellStyle name="百分比 4 3 6" xfId="48731"/>
    <cellStyle name="百分比 4 3 7" xfId="48732"/>
    <cellStyle name="百分比 4 3 8" xfId="48733"/>
    <cellStyle name="百分比 4 4" xfId="48734"/>
    <cellStyle name="百分比 4 4 2" xfId="48735"/>
    <cellStyle name="百分比 4 4 2 2" xfId="48736"/>
    <cellStyle name="百分比 4 4 2 2 2" xfId="48737"/>
    <cellStyle name="百分比 4 4 2 2 2 2" xfId="48738"/>
    <cellStyle name="百分比 4 4 2 2 2 2 2" xfId="48739"/>
    <cellStyle name="百分比 4 4 2 2 2 2 3" xfId="48740"/>
    <cellStyle name="百分比 4 4 2 2 2 2 4" xfId="48741"/>
    <cellStyle name="百分比 4 4 2 2 2 3" xfId="48742"/>
    <cellStyle name="百分比 4 4 2 2 2 4" xfId="48743"/>
    <cellStyle name="百分比 4 4 2 2 2 5" xfId="48744"/>
    <cellStyle name="百分比 4 4 2 2 3" xfId="48745"/>
    <cellStyle name="百分比 4 4 2 2 3 2" xfId="48746"/>
    <cellStyle name="百分比 4 4 2 2 3 2 2" xfId="48747"/>
    <cellStyle name="百分比 4 4 2 2 3 2 3" xfId="48748"/>
    <cellStyle name="百分比 4 4 2 2 3 2 4" xfId="48749"/>
    <cellStyle name="百分比 4 4 2 2 3 3" xfId="48750"/>
    <cellStyle name="百分比 4 4 2 2 3 4" xfId="48751"/>
    <cellStyle name="百分比 4 4 2 2 3 5" xfId="48752"/>
    <cellStyle name="百分比 4 4 2 2 4" xfId="48753"/>
    <cellStyle name="百分比 4 4 2 2 4 2" xfId="48754"/>
    <cellStyle name="百分比 4 4 2 2 4 3" xfId="48755"/>
    <cellStyle name="百分比 4 4 2 2 4 4" xfId="48756"/>
    <cellStyle name="百分比 4 4 2 2 5" xfId="48757"/>
    <cellStyle name="百分比 4 4 2 2 6" xfId="48758"/>
    <cellStyle name="百分比 4 4 2 2 7" xfId="48759"/>
    <cellStyle name="百分比 4 4 2 3" xfId="48760"/>
    <cellStyle name="百分比 4 4 2 3 2" xfId="48761"/>
    <cellStyle name="百分比 4 4 2 3 2 2" xfId="48762"/>
    <cellStyle name="百分比 4 4 2 3 2 3" xfId="48763"/>
    <cellStyle name="百分比 4 4 2 3 2 4" xfId="48764"/>
    <cellStyle name="百分比 4 4 2 3 3" xfId="48765"/>
    <cellStyle name="百分比 4 4 2 3 4" xfId="48766"/>
    <cellStyle name="百分比 4 4 2 3 5" xfId="48767"/>
    <cellStyle name="百分比 4 4 2 4" xfId="48768"/>
    <cellStyle name="百分比 4 4 2 4 2" xfId="48769"/>
    <cellStyle name="百分比 4 4 2 4 2 2" xfId="48770"/>
    <cellStyle name="百分比 4 4 2 4 2 3" xfId="48771"/>
    <cellStyle name="百分比 4 4 2 4 2 4" xfId="48772"/>
    <cellStyle name="百分比 4 4 2 4 3" xfId="48773"/>
    <cellStyle name="百分比 4 4 2 4 4" xfId="48774"/>
    <cellStyle name="百分比 4 4 2 4 5" xfId="48775"/>
    <cellStyle name="百分比 4 4 2 5" xfId="48776"/>
    <cellStyle name="百分比 4 4 2 5 2" xfId="48777"/>
    <cellStyle name="百分比 4 4 2 5 3" xfId="48778"/>
    <cellStyle name="百分比 4 4 2 5 4" xfId="48779"/>
    <cellStyle name="百分比 4 4 2 6" xfId="48780"/>
    <cellStyle name="百分比 4 4 2 7" xfId="48781"/>
    <cellStyle name="百分比 4 4 2 8" xfId="48782"/>
    <cellStyle name="百分比 4 4 3" xfId="48783"/>
    <cellStyle name="百分比 4 4 3 2" xfId="48784"/>
    <cellStyle name="百分比 4 4 3 2 2" xfId="48785"/>
    <cellStyle name="百分比 4 4 3 2 3" xfId="48786"/>
    <cellStyle name="百分比 4 4 3 2 4" xfId="48787"/>
    <cellStyle name="百分比 4 4 3 3" xfId="48788"/>
    <cellStyle name="百分比 4 4 3 4" xfId="48789"/>
    <cellStyle name="百分比 4 4 3 5" xfId="48790"/>
    <cellStyle name="百分比 4 4 4" xfId="48791"/>
    <cellStyle name="百分比 4 4 4 2" xfId="48792"/>
    <cellStyle name="百分比 4 4 4 2 2" xfId="48793"/>
    <cellStyle name="百分比 4 4 4 2 3" xfId="48794"/>
    <cellStyle name="百分比 4 4 4 2 4" xfId="48795"/>
    <cellStyle name="百分比 4 4 4 3" xfId="48796"/>
    <cellStyle name="百分比 4 4 4 4" xfId="48797"/>
    <cellStyle name="百分比 4 4 4 5" xfId="48798"/>
    <cellStyle name="百分比 4 4 5" xfId="48799"/>
    <cellStyle name="百分比 4 4 5 2" xfId="48800"/>
    <cellStyle name="百分比 4 4 5 3" xfId="48801"/>
    <cellStyle name="百分比 4 4 5 4" xfId="48802"/>
    <cellStyle name="百分比 4 4 6" xfId="48803"/>
    <cellStyle name="百分比 4 4 7" xfId="48804"/>
    <cellStyle name="百分比 4 4 8" xfId="48805"/>
    <cellStyle name="百分比 4 5" xfId="48806"/>
    <cellStyle name="百分比 4 5 2" xfId="48807"/>
    <cellStyle name="百分比 4 5 2 2" xfId="48808"/>
    <cellStyle name="百分比 4 5 2 2 2" xfId="48809"/>
    <cellStyle name="百分比 4 5 2 2 2 2" xfId="48810"/>
    <cellStyle name="百分比 4 5 2 2 2 2 2" xfId="48811"/>
    <cellStyle name="百分比 4 5 2 2 2 2 3" xfId="48812"/>
    <cellStyle name="百分比 4 5 2 2 2 2 4" xfId="48813"/>
    <cellStyle name="百分比 4 5 2 2 2 3" xfId="48814"/>
    <cellStyle name="百分比 4 5 2 2 2 4" xfId="48815"/>
    <cellStyle name="百分比 4 5 2 2 2 5" xfId="48816"/>
    <cellStyle name="百分比 4 5 2 2 3" xfId="48817"/>
    <cellStyle name="百分比 4 5 2 2 3 2" xfId="48818"/>
    <cellStyle name="百分比 4 5 2 2 3 2 2" xfId="48819"/>
    <cellStyle name="百分比 4 5 2 2 3 2 3" xfId="48820"/>
    <cellStyle name="百分比 4 5 2 2 3 2 4" xfId="48821"/>
    <cellStyle name="百分比 4 5 2 2 3 3" xfId="48822"/>
    <cellStyle name="百分比 4 5 2 2 3 4" xfId="48823"/>
    <cellStyle name="百分比 4 5 2 2 3 5" xfId="48824"/>
    <cellStyle name="百分比 4 5 2 2 4" xfId="48825"/>
    <cellStyle name="百分比 4 5 2 2 4 2" xfId="48826"/>
    <cellStyle name="百分比 4 5 2 2 4 3" xfId="48827"/>
    <cellStyle name="百分比 4 5 2 2 4 4" xfId="48828"/>
    <cellStyle name="百分比 4 5 2 2 5" xfId="48829"/>
    <cellStyle name="百分比 4 5 2 2 6" xfId="48830"/>
    <cellStyle name="百分比 4 5 2 2 7" xfId="48831"/>
    <cellStyle name="百分比 4 5 2 3" xfId="48832"/>
    <cellStyle name="百分比 4 5 2 3 2" xfId="48833"/>
    <cellStyle name="百分比 4 5 2 3 2 2" xfId="48834"/>
    <cellStyle name="百分比 4 5 2 3 2 3" xfId="48835"/>
    <cellStyle name="百分比 4 5 2 3 2 4" xfId="48836"/>
    <cellStyle name="百分比 4 5 2 3 3" xfId="48837"/>
    <cellStyle name="百分比 4 5 2 3 4" xfId="48838"/>
    <cellStyle name="百分比 4 5 2 3 5" xfId="48839"/>
    <cellStyle name="百分比 4 5 2 4" xfId="48840"/>
    <cellStyle name="百分比 4 5 2 4 2" xfId="48841"/>
    <cellStyle name="百分比 4 5 2 4 2 2" xfId="48842"/>
    <cellStyle name="百分比 4 5 2 4 2 3" xfId="48843"/>
    <cellStyle name="百分比 4 5 2 4 2 4" xfId="48844"/>
    <cellStyle name="百分比 4 5 2 4 3" xfId="48845"/>
    <cellStyle name="百分比 4 5 2 4 4" xfId="48846"/>
    <cellStyle name="百分比 4 5 2 4 5" xfId="48847"/>
    <cellStyle name="百分比 4 5 2 5" xfId="48848"/>
    <cellStyle name="百分比 4 5 2 5 2" xfId="48849"/>
    <cellStyle name="百分比 4 5 2 5 3" xfId="48850"/>
    <cellStyle name="百分比 4 5 2 5 4" xfId="48851"/>
    <cellStyle name="百分比 4 5 2 6" xfId="48852"/>
    <cellStyle name="百分比 4 5 2 7" xfId="48853"/>
    <cellStyle name="百分比 4 5 2 8" xfId="48854"/>
    <cellStyle name="百分比 4 5 3" xfId="48855"/>
    <cellStyle name="百分比 4 5 3 2" xfId="48856"/>
    <cellStyle name="百分比 4 5 3 2 2" xfId="48857"/>
    <cellStyle name="百分比 4 5 3 2 3" xfId="48858"/>
    <cellStyle name="百分比 4 5 3 2 4" xfId="48859"/>
    <cellStyle name="百分比 4 5 3 3" xfId="48860"/>
    <cellStyle name="百分比 4 5 3 4" xfId="48861"/>
    <cellStyle name="百分比 4 5 3 5" xfId="48862"/>
    <cellStyle name="百分比 4 5 4" xfId="48863"/>
    <cellStyle name="百分比 4 5 4 2" xfId="48864"/>
    <cellStyle name="百分比 4 5 4 2 2" xfId="48865"/>
    <cellStyle name="百分比 4 5 4 2 3" xfId="48866"/>
    <cellStyle name="百分比 4 5 4 2 4" xfId="48867"/>
    <cellStyle name="百分比 4 5 4 3" xfId="48868"/>
    <cellStyle name="百分比 4 5 4 4" xfId="48869"/>
    <cellStyle name="百分比 4 5 4 5" xfId="48870"/>
    <cellStyle name="百分比 4 5 5" xfId="48871"/>
    <cellStyle name="百分比 4 5 5 2" xfId="48872"/>
    <cellStyle name="百分比 4 5 5 3" xfId="48873"/>
    <cellStyle name="百分比 4 5 5 4" xfId="48874"/>
    <cellStyle name="百分比 4 5 6" xfId="48875"/>
    <cellStyle name="百分比 4 5 7" xfId="48876"/>
    <cellStyle name="百分比 4 5 8" xfId="48877"/>
    <cellStyle name="百分比 4 6" xfId="48878"/>
    <cellStyle name="百分比 4 6 2" xfId="48879"/>
    <cellStyle name="百分比 4 6 2 2" xfId="48880"/>
    <cellStyle name="百分比 4 6 2 2 2" xfId="48881"/>
    <cellStyle name="百分比 4 6 2 2 2 2" xfId="48882"/>
    <cellStyle name="百分比 4 6 2 2 2 2 2" xfId="48883"/>
    <cellStyle name="百分比 4 6 2 2 2 2 3" xfId="48884"/>
    <cellStyle name="百分比 4 6 2 2 2 2 4" xfId="48885"/>
    <cellStyle name="百分比 4 6 2 2 2 3" xfId="48886"/>
    <cellStyle name="百分比 4 6 2 2 2 4" xfId="48887"/>
    <cellStyle name="百分比 4 6 2 2 2 5" xfId="48888"/>
    <cellStyle name="百分比 4 6 2 2 3" xfId="48889"/>
    <cellStyle name="百分比 4 6 2 2 3 2" xfId="48890"/>
    <cellStyle name="百分比 4 6 2 2 3 2 2" xfId="48891"/>
    <cellStyle name="百分比 4 6 2 2 3 2 3" xfId="48892"/>
    <cellStyle name="百分比 4 6 2 2 3 2 4" xfId="48893"/>
    <cellStyle name="百分比 4 6 2 2 3 3" xfId="48894"/>
    <cellStyle name="百分比 4 6 2 2 3 4" xfId="48895"/>
    <cellStyle name="百分比 4 6 2 2 3 5" xfId="48896"/>
    <cellStyle name="百分比 4 6 2 2 4" xfId="48897"/>
    <cellStyle name="百分比 4 6 2 2 4 2" xfId="48898"/>
    <cellStyle name="百分比 4 6 2 2 4 3" xfId="48899"/>
    <cellStyle name="百分比 4 6 2 2 4 4" xfId="48900"/>
    <cellStyle name="百分比 4 6 2 2 5" xfId="48901"/>
    <cellStyle name="百分比 4 6 2 2 6" xfId="48902"/>
    <cellStyle name="百分比 4 6 2 2 7" xfId="48903"/>
    <cellStyle name="百分比 4 6 2 3" xfId="48904"/>
    <cellStyle name="百分比 4 6 2 3 2" xfId="48905"/>
    <cellStyle name="百分比 4 6 2 3 2 2" xfId="48906"/>
    <cellStyle name="百分比 4 6 2 3 2 3" xfId="48907"/>
    <cellStyle name="百分比 4 6 2 3 2 4" xfId="48908"/>
    <cellStyle name="百分比 4 6 2 3 3" xfId="48909"/>
    <cellStyle name="百分比 4 6 2 3 4" xfId="48910"/>
    <cellStyle name="百分比 4 6 2 3 5" xfId="48911"/>
    <cellStyle name="百分比 4 6 2 4" xfId="48912"/>
    <cellStyle name="百分比 4 6 2 4 2" xfId="48913"/>
    <cellStyle name="百分比 4 6 2 4 2 2" xfId="48914"/>
    <cellStyle name="百分比 4 6 2 4 2 3" xfId="48915"/>
    <cellStyle name="百分比 4 6 2 4 2 4" xfId="48916"/>
    <cellStyle name="百分比 4 6 2 4 3" xfId="48917"/>
    <cellStyle name="百分比 4 6 2 4 4" xfId="48918"/>
    <cellStyle name="百分比 4 6 2 4 5" xfId="48919"/>
    <cellStyle name="百分比 4 6 2 5" xfId="48920"/>
    <cellStyle name="百分比 4 6 2 5 2" xfId="48921"/>
    <cellStyle name="百分比 4 6 2 5 3" xfId="48922"/>
    <cellStyle name="百分比 4 6 2 5 4" xfId="48923"/>
    <cellStyle name="百分比 4 6 2 6" xfId="48924"/>
    <cellStyle name="百分比 4 6 2 7" xfId="48925"/>
    <cellStyle name="百分比 4 6 2 8" xfId="48926"/>
    <cellStyle name="百分比 4 6 3" xfId="48927"/>
    <cellStyle name="百分比 4 6 3 2" xfId="48928"/>
    <cellStyle name="百分比 4 6 3 2 2" xfId="48929"/>
    <cellStyle name="百分比 4 6 3 2 3" xfId="48930"/>
    <cellStyle name="百分比 4 6 3 2 4" xfId="48931"/>
    <cellStyle name="百分比 4 6 3 3" xfId="48932"/>
    <cellStyle name="百分比 4 6 3 4" xfId="48933"/>
    <cellStyle name="百分比 4 6 3 5" xfId="48934"/>
    <cellStyle name="百分比 4 6 4" xfId="48935"/>
    <cellStyle name="百分比 4 6 4 2" xfId="48936"/>
    <cellStyle name="百分比 4 6 4 2 2" xfId="48937"/>
    <cellStyle name="百分比 4 6 4 2 3" xfId="48938"/>
    <cellStyle name="百分比 4 6 4 2 4" xfId="48939"/>
    <cellStyle name="百分比 4 6 4 3" xfId="48940"/>
    <cellStyle name="百分比 4 6 4 4" xfId="48941"/>
    <cellStyle name="百分比 4 6 4 5" xfId="48942"/>
    <cellStyle name="百分比 4 6 5" xfId="48943"/>
    <cellStyle name="百分比 4 6 5 2" xfId="48944"/>
    <cellStyle name="百分比 4 6 5 3" xfId="48945"/>
    <cellStyle name="百分比 4 6 5 4" xfId="48946"/>
    <cellStyle name="百分比 4 6 6" xfId="48947"/>
    <cellStyle name="百分比 4 6 7" xfId="48948"/>
    <cellStyle name="百分比 4 6 8" xfId="48949"/>
    <cellStyle name="百分比 4 7" xfId="48950"/>
    <cellStyle name="百分比 4 7 2" xfId="48951"/>
    <cellStyle name="百分比 4 7 2 2" xfId="48952"/>
    <cellStyle name="百分比 4 7 2 2 2" xfId="48953"/>
    <cellStyle name="百分比 4 7 2 2 2 2" xfId="48954"/>
    <cellStyle name="百分比 4 7 2 2 2 3" xfId="48955"/>
    <cellStyle name="百分比 4 7 2 2 2 4" xfId="48956"/>
    <cellStyle name="百分比 4 7 2 2 3" xfId="48957"/>
    <cellStyle name="百分比 4 7 2 2 4" xfId="48958"/>
    <cellStyle name="百分比 4 7 2 2 5" xfId="48959"/>
    <cellStyle name="百分比 4 7 2 3" xfId="48960"/>
    <cellStyle name="百分比 4 7 2 3 2" xfId="48961"/>
    <cellStyle name="百分比 4 7 2 3 2 2" xfId="48962"/>
    <cellStyle name="百分比 4 7 2 3 2 3" xfId="48963"/>
    <cellStyle name="百分比 4 7 2 3 2 4" xfId="48964"/>
    <cellStyle name="百分比 4 7 2 3 3" xfId="48965"/>
    <cellStyle name="百分比 4 7 2 3 4" xfId="48966"/>
    <cellStyle name="百分比 4 7 2 3 5" xfId="48967"/>
    <cellStyle name="百分比 4 7 2 4" xfId="48968"/>
    <cellStyle name="百分比 4 7 2 4 2" xfId="48969"/>
    <cellStyle name="百分比 4 7 2 4 3" xfId="48970"/>
    <cellStyle name="百分比 4 7 2 4 4" xfId="48971"/>
    <cellStyle name="百分比 4 7 2 5" xfId="48972"/>
    <cellStyle name="百分比 4 7 2 6" xfId="48973"/>
    <cellStyle name="百分比 4 7 2 7" xfId="48974"/>
    <cellStyle name="百分比 4 7 3" xfId="48975"/>
    <cellStyle name="百分比 4 7 3 2" xfId="48976"/>
    <cellStyle name="百分比 4 7 3 2 2" xfId="48977"/>
    <cellStyle name="百分比 4 7 3 2 3" xfId="48978"/>
    <cellStyle name="百分比 4 7 3 2 4" xfId="48979"/>
    <cellStyle name="百分比 4 7 3 3" xfId="48980"/>
    <cellStyle name="百分比 4 7 3 4" xfId="48981"/>
    <cellStyle name="百分比 4 7 3 5" xfId="48982"/>
    <cellStyle name="百分比 4 7 4" xfId="48983"/>
    <cellStyle name="百分比 4 7 4 2" xfId="48984"/>
    <cellStyle name="百分比 4 7 4 2 2" xfId="48985"/>
    <cellStyle name="百分比 4 7 4 2 3" xfId="48986"/>
    <cellStyle name="百分比 4 7 4 2 4" xfId="48987"/>
    <cellStyle name="百分比 4 7 4 3" xfId="48988"/>
    <cellStyle name="百分比 4 7 4 4" xfId="48989"/>
    <cellStyle name="百分比 4 7 4 5" xfId="48990"/>
    <cellStyle name="百分比 4 7 5" xfId="48991"/>
    <cellStyle name="百分比 4 7 5 2" xfId="48992"/>
    <cellStyle name="百分比 4 7 5 3" xfId="48993"/>
    <cellStyle name="百分比 4 7 5 4" xfId="48994"/>
    <cellStyle name="百分比 4 7 6" xfId="48995"/>
    <cellStyle name="百分比 4 7 7" xfId="48996"/>
    <cellStyle name="百分比 4 7 8" xfId="48997"/>
    <cellStyle name="百分比 4 8" xfId="48998"/>
    <cellStyle name="百分比 4 8 2" xfId="48999"/>
    <cellStyle name="百分比 4 8 2 2" xfId="49000"/>
    <cellStyle name="百分比 4 8 2 3" xfId="49001"/>
    <cellStyle name="百分比 4 8 2 4" xfId="49002"/>
    <cellStyle name="百分比 4 8 3" xfId="49003"/>
    <cellStyle name="百分比 4 8 4" xfId="49004"/>
    <cellStyle name="百分比 4 8 5" xfId="49005"/>
    <cellStyle name="百分比 4 9" xfId="49006"/>
    <cellStyle name="百分比 4 9 2" xfId="49007"/>
    <cellStyle name="百分比 4 9 2 2" xfId="49008"/>
    <cellStyle name="百分比 4 9 2 3" xfId="49009"/>
    <cellStyle name="百分比 4 9 2 4" xfId="49010"/>
    <cellStyle name="百分比 4 9 3" xfId="49011"/>
    <cellStyle name="百分比 4 9 4" xfId="49012"/>
    <cellStyle name="百分比 4 9 5" xfId="49013"/>
    <cellStyle name="百分比 5" xfId="49014"/>
    <cellStyle name="百分比 5 2" xfId="49015"/>
    <cellStyle name="百分比 5 2 2" xfId="49016"/>
    <cellStyle name="百分比 5 2 3" xfId="49017"/>
    <cellStyle name="百分比 5 2 4" xfId="49018"/>
    <cellStyle name="百分比 5 3" xfId="49019"/>
    <cellStyle name="百分比 5 4" xfId="49020"/>
    <cellStyle name="百分比 5 5" xfId="49021"/>
    <cellStyle name="百分比 6" xfId="49022"/>
    <cellStyle name="百分比 6 2" xfId="49023"/>
    <cellStyle name="百分比 6 3" xfId="49024"/>
    <cellStyle name="解释性文本 2" xfId="49025"/>
    <cellStyle name="解释性文本 2 10" xfId="49026"/>
    <cellStyle name="解释性文本 2 11" xfId="49027"/>
    <cellStyle name="解释性文本 2 2" xfId="49028"/>
    <cellStyle name="解释性文本 2 2 10" xfId="49029"/>
    <cellStyle name="解释性文本 2 2 11" xfId="49030"/>
    <cellStyle name="解释性文本 2 2 2" xfId="49031"/>
    <cellStyle name="解释性文本 2 2 2 2" xfId="49032"/>
    <cellStyle name="解释性文本 2 2 2 2 2" xfId="49033"/>
    <cellStyle name="解释性文本 2 2 2 2 2 2" xfId="49034"/>
    <cellStyle name="解释性文本 2 2 2 2 2 3" xfId="49035"/>
    <cellStyle name="解释性文本 2 2 2 2 2 3 2" xfId="49036"/>
    <cellStyle name="解释性文本 2 2 2 2 2 3 2 2" xfId="49037"/>
    <cellStyle name="解释性文本 2 2 2 2 2 4" xfId="49038"/>
    <cellStyle name="解释性文本 2 2 2 2 2 4 2" xfId="49039"/>
    <cellStyle name="解释性文本 2 2 2 2 3" xfId="49040"/>
    <cellStyle name="解释性文本 2 2 2 2 3 2" xfId="49041"/>
    <cellStyle name="解释性文本 2 2 2 2 3 2 2" xfId="49042"/>
    <cellStyle name="解释性文本 2 2 2 2 3 2 2 2" xfId="49043"/>
    <cellStyle name="解释性文本 2 2 2 2 3 3" xfId="49044"/>
    <cellStyle name="解释性文本 2 2 2 2 3 3 2" xfId="49045"/>
    <cellStyle name="解释性文本 2 2 2 2 4" xfId="49046"/>
    <cellStyle name="解释性文本 2 2 2 2 5" xfId="49047"/>
    <cellStyle name="解释性文本 2 2 2 2 6" xfId="49048"/>
    <cellStyle name="解释性文本 2 2 2 3" xfId="49049"/>
    <cellStyle name="解释性文本 2 2 2 3 2" xfId="49050"/>
    <cellStyle name="解释性文本 2 2 2 3 3" xfId="49051"/>
    <cellStyle name="解释性文本 2 2 2 3 3 2" xfId="49052"/>
    <cellStyle name="解释性文本 2 2 2 3 3 2 2" xfId="49053"/>
    <cellStyle name="解释性文本 2 2 2 3 4" xfId="49054"/>
    <cellStyle name="解释性文本 2 2 2 3 4 2" xfId="49055"/>
    <cellStyle name="解释性文本 2 2 2 4" xfId="49056"/>
    <cellStyle name="解释性文本 2 2 2 4 2" xfId="49057"/>
    <cellStyle name="解释性文本 2 2 2 4 2 2" xfId="49058"/>
    <cellStyle name="解释性文本 2 2 2 4 2 2 2" xfId="49059"/>
    <cellStyle name="解释性文本 2 2 2 4 3" xfId="49060"/>
    <cellStyle name="解释性文本 2 2 2 4 3 2" xfId="49061"/>
    <cellStyle name="解释性文本 2 2 2 5" xfId="49062"/>
    <cellStyle name="解释性文本 2 2 2 6" xfId="49063"/>
    <cellStyle name="解释性文本 2 2 2 7" xfId="49064"/>
    <cellStyle name="解释性文本 2 2 3" xfId="49065"/>
    <cellStyle name="解释性文本 2 2 3 2" xfId="49066"/>
    <cellStyle name="解释性文本 2 2 3 2 2" xfId="49067"/>
    <cellStyle name="解释性文本 2 2 3 2 3" xfId="49068"/>
    <cellStyle name="解释性文本 2 2 3 2 3 2" xfId="49069"/>
    <cellStyle name="解释性文本 2 2 3 2 3 2 2" xfId="49070"/>
    <cellStyle name="解释性文本 2 2 3 2 4" xfId="49071"/>
    <cellStyle name="解释性文本 2 2 3 2 4 2" xfId="49072"/>
    <cellStyle name="解释性文本 2 2 3 3" xfId="49073"/>
    <cellStyle name="解释性文本 2 2 3 3 2" xfId="49074"/>
    <cellStyle name="解释性文本 2 2 3 3 2 2" xfId="49075"/>
    <cellStyle name="解释性文本 2 2 3 3 2 2 2" xfId="49076"/>
    <cellStyle name="解释性文本 2 2 3 3 3" xfId="49077"/>
    <cellStyle name="解释性文本 2 2 3 3 3 2" xfId="49078"/>
    <cellStyle name="解释性文本 2 2 3 4" xfId="49079"/>
    <cellStyle name="解释性文本 2 2 3 5" xfId="49080"/>
    <cellStyle name="解释性文本 2 2 3 6" xfId="49081"/>
    <cellStyle name="解释性文本 2 2 4" xfId="49082"/>
    <cellStyle name="解释性文本 2 2 4 2" xfId="49083"/>
    <cellStyle name="解释性文本 2 2 4 2 2" xfId="49084"/>
    <cellStyle name="解释性文本 2 2 4 2 3" xfId="49085"/>
    <cellStyle name="解释性文本 2 2 4 2 3 2" xfId="49086"/>
    <cellStyle name="解释性文本 2 2 4 2 3 2 2" xfId="49087"/>
    <cellStyle name="解释性文本 2 2 4 2 4" xfId="49088"/>
    <cellStyle name="解释性文本 2 2 4 2 4 2" xfId="49089"/>
    <cellStyle name="解释性文本 2 2 4 3" xfId="49090"/>
    <cellStyle name="解释性文本 2 2 4 4" xfId="49091"/>
    <cellStyle name="解释性文本 2 2 4 5" xfId="49092"/>
    <cellStyle name="解释性文本 2 2 4 6" xfId="49093"/>
    <cellStyle name="解释性文本 2 2 5" xfId="49094"/>
    <cellStyle name="解释性文本 2 2 5 2" xfId="49095"/>
    <cellStyle name="解释性文本 2 2 5 2 2" xfId="49096"/>
    <cellStyle name="解释性文本 2 2 5 2 2 2" xfId="49097"/>
    <cellStyle name="解释性文本 2 2 5 2 2 2 2" xfId="49098"/>
    <cellStyle name="解释性文本 2 2 5 2 3" xfId="49099"/>
    <cellStyle name="解释性文本 2 2 5 2 3 2" xfId="49100"/>
    <cellStyle name="解释性文本 2 2 5 3" xfId="49101"/>
    <cellStyle name="解释性文本 2 2 5 3 2" xfId="49102"/>
    <cellStyle name="解释性文本 2 2 5 3 2 2" xfId="49103"/>
    <cellStyle name="解释性文本 2 2 5 4" xfId="49104"/>
    <cellStyle name="解释性文本 2 2 5 4 2" xfId="49105"/>
    <cellStyle name="解释性文本 2 2 6" xfId="49106"/>
    <cellStyle name="解释性文本 2 2 6 2" xfId="49107"/>
    <cellStyle name="解释性文本 2 2 6 2 2" xfId="49108"/>
    <cellStyle name="解释性文本 2 2 6 2 2 2" xfId="49109"/>
    <cellStyle name="解释性文本 2 2 6 2 2 2 2" xfId="49110"/>
    <cellStyle name="解释性文本 2 2 6 2 3" xfId="49111"/>
    <cellStyle name="解释性文本 2 2 6 2 3 2" xfId="49112"/>
    <cellStyle name="解释性文本 2 2 6 3" xfId="49113"/>
    <cellStyle name="解释性文本 2 2 6 3 2" xfId="49114"/>
    <cellStyle name="解释性文本 2 2 6 3 2 2" xfId="49115"/>
    <cellStyle name="解释性文本 2 2 6 4" xfId="49116"/>
    <cellStyle name="解释性文本 2 2 6 4 2" xfId="49117"/>
    <cellStyle name="解释性文本 2 2 7" xfId="49118"/>
    <cellStyle name="解释性文本 2 2 7 2" xfId="49119"/>
    <cellStyle name="解释性文本 2 2 7 2 2" xfId="49120"/>
    <cellStyle name="解释性文本 2 2 7 2 2 2" xfId="49121"/>
    <cellStyle name="解释性文本 2 2 7 2 2 2 2" xfId="49122"/>
    <cellStyle name="解释性文本 2 2 7 2 3" xfId="49123"/>
    <cellStyle name="解释性文本 2 2 7 2 3 2" xfId="49124"/>
    <cellStyle name="解释性文本 2 2 7 3" xfId="49125"/>
    <cellStyle name="解释性文本 2 2 7 3 2" xfId="49126"/>
    <cellStyle name="解释性文本 2 2 7 3 2 2" xfId="49127"/>
    <cellStyle name="解释性文本 2 2 7 4" xfId="49128"/>
    <cellStyle name="解释性文本 2 2 7 4 2" xfId="49129"/>
    <cellStyle name="解释性文本 2 2 8" xfId="49130"/>
    <cellStyle name="解释性文本 2 2 8 2" xfId="49131"/>
    <cellStyle name="解释性文本 2 2 8 2 2" xfId="49132"/>
    <cellStyle name="解释性文本 2 2 8 2 2 2" xfId="49133"/>
    <cellStyle name="解释性文本 2 2 8 3" xfId="49134"/>
    <cellStyle name="解释性文本 2 2 8 3 2" xfId="49135"/>
    <cellStyle name="解释性文本 2 2 9" xfId="49136"/>
    <cellStyle name="解释性文本 2 2 9 2" xfId="49137"/>
    <cellStyle name="解释性文本 2 2 9 2 2" xfId="49138"/>
    <cellStyle name="解释性文本 2 2 9 2 2 2" xfId="49139"/>
    <cellStyle name="解释性文本 2 2 9 3" xfId="49140"/>
    <cellStyle name="解释性文本 2 2 9 3 2" xfId="49141"/>
    <cellStyle name="解释性文本 2 3" xfId="49142"/>
    <cellStyle name="解释性文本 2 3 2" xfId="49143"/>
    <cellStyle name="解释性文本 2 3 2 2" xfId="49144"/>
    <cellStyle name="解释性文本 2 3 2 2 2" xfId="49145"/>
    <cellStyle name="解释性文本 2 3 2 2 2 2" xfId="49146"/>
    <cellStyle name="解释性文本 2 3 2 2 2 3" xfId="49147"/>
    <cellStyle name="解释性文本 2 3 2 2 2 3 2" xfId="49148"/>
    <cellStyle name="解释性文本 2 3 2 2 2 3 2 2" xfId="49149"/>
    <cellStyle name="解释性文本 2 3 2 2 2 4" xfId="49150"/>
    <cellStyle name="解释性文本 2 3 2 2 2 4 2" xfId="49151"/>
    <cellStyle name="解释性文本 2 3 2 2 3" xfId="49152"/>
    <cellStyle name="解释性文本 2 3 2 2 3 2" xfId="49153"/>
    <cellStyle name="解释性文本 2 3 2 2 3 2 2" xfId="49154"/>
    <cellStyle name="解释性文本 2 3 2 2 3 2 2 2" xfId="49155"/>
    <cellStyle name="解释性文本 2 3 2 2 3 3" xfId="49156"/>
    <cellStyle name="解释性文本 2 3 2 2 3 3 2" xfId="49157"/>
    <cellStyle name="解释性文本 2 3 2 2 4" xfId="49158"/>
    <cellStyle name="解释性文本 2 3 2 2 5" xfId="49159"/>
    <cellStyle name="解释性文本 2 3 2 2 6" xfId="49160"/>
    <cellStyle name="解释性文本 2 3 2 3" xfId="49161"/>
    <cellStyle name="解释性文本 2 3 2 3 2" xfId="49162"/>
    <cellStyle name="解释性文本 2 3 2 3 3" xfId="49163"/>
    <cellStyle name="解释性文本 2 3 2 3 3 2" xfId="49164"/>
    <cellStyle name="解释性文本 2 3 2 3 3 2 2" xfId="49165"/>
    <cellStyle name="解释性文本 2 3 2 3 4" xfId="49166"/>
    <cellStyle name="解释性文本 2 3 2 3 4 2" xfId="49167"/>
    <cellStyle name="解释性文本 2 3 2 4" xfId="49168"/>
    <cellStyle name="解释性文本 2 3 2 4 2" xfId="49169"/>
    <cellStyle name="解释性文本 2 3 2 4 2 2" xfId="49170"/>
    <cellStyle name="解释性文本 2 3 2 4 2 2 2" xfId="49171"/>
    <cellStyle name="解释性文本 2 3 2 4 3" xfId="49172"/>
    <cellStyle name="解释性文本 2 3 2 4 3 2" xfId="49173"/>
    <cellStyle name="解释性文本 2 3 2 5" xfId="49174"/>
    <cellStyle name="解释性文本 2 3 2 6" xfId="49175"/>
    <cellStyle name="解释性文本 2 3 2 7" xfId="49176"/>
    <cellStyle name="解释性文本 2 3 3" xfId="49177"/>
    <cellStyle name="解释性文本 2 3 3 2" xfId="49178"/>
    <cellStyle name="解释性文本 2 3 3 2 2" xfId="49179"/>
    <cellStyle name="解释性文本 2 3 3 2 3" xfId="49180"/>
    <cellStyle name="解释性文本 2 3 3 2 3 2" xfId="49181"/>
    <cellStyle name="解释性文本 2 3 3 2 3 2 2" xfId="49182"/>
    <cellStyle name="解释性文本 2 3 3 2 4" xfId="49183"/>
    <cellStyle name="解释性文本 2 3 3 2 4 2" xfId="49184"/>
    <cellStyle name="解释性文本 2 3 3 3" xfId="49185"/>
    <cellStyle name="解释性文本 2 3 3 3 2" xfId="49186"/>
    <cellStyle name="解释性文本 2 3 3 3 2 2" xfId="49187"/>
    <cellStyle name="解释性文本 2 3 3 3 2 2 2" xfId="49188"/>
    <cellStyle name="解释性文本 2 3 3 3 3" xfId="49189"/>
    <cellStyle name="解释性文本 2 3 3 3 3 2" xfId="49190"/>
    <cellStyle name="解释性文本 2 3 3 4" xfId="49191"/>
    <cellStyle name="解释性文本 2 3 3 5" xfId="49192"/>
    <cellStyle name="解释性文本 2 3 3 6" xfId="49193"/>
    <cellStyle name="解释性文本 2 3 4" xfId="49194"/>
    <cellStyle name="解释性文本 2 3 4 2" xfId="49195"/>
    <cellStyle name="解释性文本 2 3 4 2 2" xfId="49196"/>
    <cellStyle name="解释性文本 2 3 4 2 3" xfId="49197"/>
    <cellStyle name="解释性文本 2 3 4 2 3 2" xfId="49198"/>
    <cellStyle name="解释性文本 2 3 4 2 3 2 2" xfId="49199"/>
    <cellStyle name="解释性文本 2 3 4 2 4" xfId="49200"/>
    <cellStyle name="解释性文本 2 3 4 2 4 2" xfId="49201"/>
    <cellStyle name="解释性文本 2 3 4 3" xfId="49202"/>
    <cellStyle name="解释性文本 2 3 4 4" xfId="49203"/>
    <cellStyle name="解释性文本 2 3 4 5" xfId="49204"/>
    <cellStyle name="解释性文本 2 3 4 6" xfId="49205"/>
    <cellStyle name="解释性文本 2 3 5" xfId="49206"/>
    <cellStyle name="解释性文本 2 3 5 2" xfId="49207"/>
    <cellStyle name="解释性文本 2 3 5 2 2" xfId="49208"/>
    <cellStyle name="解释性文本 2 3 5 2 2 2" xfId="49209"/>
    <cellStyle name="解释性文本 2 3 5 2 2 2 2" xfId="49210"/>
    <cellStyle name="解释性文本 2 3 5 2 3" xfId="49211"/>
    <cellStyle name="解释性文本 2 3 5 2 3 2" xfId="49212"/>
    <cellStyle name="解释性文本 2 3 5 3" xfId="49213"/>
    <cellStyle name="解释性文本 2 3 5 3 2" xfId="49214"/>
    <cellStyle name="解释性文本 2 3 5 3 2 2" xfId="49215"/>
    <cellStyle name="解释性文本 2 3 5 4" xfId="49216"/>
    <cellStyle name="解释性文本 2 3 5 4 2" xfId="49217"/>
    <cellStyle name="解释性文本 2 3 6" xfId="49218"/>
    <cellStyle name="解释性文本 2 3 6 2" xfId="49219"/>
    <cellStyle name="解释性文本 2 3 6 2 2" xfId="49220"/>
    <cellStyle name="解释性文本 2 3 6 2 2 2" xfId="49221"/>
    <cellStyle name="解释性文本 2 3 6 3" xfId="49222"/>
    <cellStyle name="解释性文本 2 3 6 3 2" xfId="49223"/>
    <cellStyle name="解释性文本 2 3 7" xfId="49224"/>
    <cellStyle name="解释性文本 2 3 7 2" xfId="49225"/>
    <cellStyle name="解释性文本 2 3 7 2 2" xfId="49226"/>
    <cellStyle name="解释性文本 2 3 7 2 2 2" xfId="49227"/>
    <cellStyle name="解释性文本 2 3 7 3" xfId="49228"/>
    <cellStyle name="解释性文本 2 3 7 3 2" xfId="49229"/>
    <cellStyle name="解释性文本 2 3 8" xfId="49230"/>
    <cellStyle name="解释性文本 2 3 9" xfId="49231"/>
    <cellStyle name="解释性文本 2 4" xfId="49232"/>
    <cellStyle name="解释性文本 2 4 2" xfId="49233"/>
    <cellStyle name="解释性文本 2 4 2 2" xfId="49234"/>
    <cellStyle name="解释性文本 2 4 2 3" xfId="49235"/>
    <cellStyle name="解释性文本 2 4 2 3 2" xfId="49236"/>
    <cellStyle name="解释性文本 2 4 2 3 2 2" xfId="49237"/>
    <cellStyle name="解释性文本 2 4 2 4" xfId="49238"/>
    <cellStyle name="解释性文本 2 4 2 4 2" xfId="49239"/>
    <cellStyle name="解释性文本 2 4 3" xfId="49240"/>
    <cellStyle name="解释性文本 2 4 3 2" xfId="49241"/>
    <cellStyle name="解释性文本 2 4 3 2 2" xfId="49242"/>
    <cellStyle name="解释性文本 2 4 3 2 2 2" xfId="49243"/>
    <cellStyle name="解释性文本 2 4 3 3" xfId="49244"/>
    <cellStyle name="解释性文本 2 4 3 3 2" xfId="49245"/>
    <cellStyle name="解释性文本 2 4 4" xfId="49246"/>
    <cellStyle name="解释性文本 2 4 5" xfId="49247"/>
    <cellStyle name="解释性文本 2 4 6" xfId="49248"/>
    <cellStyle name="解释性文本 2 5" xfId="49249"/>
    <cellStyle name="解释性文本 2 5 2" xfId="49250"/>
    <cellStyle name="解释性文本 2 5 2 2" xfId="49251"/>
    <cellStyle name="解释性文本 2 5 2 3" xfId="49252"/>
    <cellStyle name="解释性文本 2 5 2 3 2" xfId="49253"/>
    <cellStyle name="解释性文本 2 5 2 3 2 2" xfId="49254"/>
    <cellStyle name="解释性文本 2 5 2 4" xfId="49255"/>
    <cellStyle name="解释性文本 2 5 2 4 2" xfId="49256"/>
    <cellStyle name="解释性文本 2 5 3" xfId="49257"/>
    <cellStyle name="解释性文本 2 5 4" xfId="49258"/>
    <cellStyle name="解释性文本 2 5 5" xfId="49259"/>
    <cellStyle name="解释性文本 2 5 6" xfId="49260"/>
    <cellStyle name="解释性文本 2 6" xfId="49261"/>
    <cellStyle name="解释性文本 2 6 2" xfId="49262"/>
    <cellStyle name="解释性文本 2 6 2 2" xfId="49263"/>
    <cellStyle name="解释性文本 2 6 2 2 2" xfId="49264"/>
    <cellStyle name="解释性文本 2 6 2 2 2 2" xfId="49265"/>
    <cellStyle name="解释性文本 2 6 2 3" xfId="49266"/>
    <cellStyle name="解释性文本 2 6 2 3 2" xfId="49267"/>
    <cellStyle name="解释性文本 2 6 3" xfId="49268"/>
    <cellStyle name="解释性文本 2 6 3 2" xfId="49269"/>
    <cellStyle name="解释性文本 2 6 3 2 2" xfId="49270"/>
    <cellStyle name="解释性文本 2 6 4" xfId="49271"/>
    <cellStyle name="解释性文本 2 6 4 2" xfId="49272"/>
    <cellStyle name="解释性文本 2 7" xfId="49273"/>
    <cellStyle name="解释性文本 2 7 2" xfId="49274"/>
    <cellStyle name="解释性文本 2 7 2 2" xfId="49275"/>
    <cellStyle name="解释性文本 2 7 2 2 2" xfId="49276"/>
    <cellStyle name="解释性文本 2 7 2 2 2 2" xfId="49277"/>
    <cellStyle name="解释性文本 2 7 2 3" xfId="49278"/>
    <cellStyle name="解释性文本 2 7 2 3 2" xfId="49279"/>
    <cellStyle name="解释性文本 2 7 3" xfId="49280"/>
    <cellStyle name="解释性文本 2 7 3 2" xfId="49281"/>
    <cellStyle name="解释性文本 2 7 3 2 2" xfId="49282"/>
    <cellStyle name="解释性文本 2 7 4" xfId="49283"/>
    <cellStyle name="解释性文本 2 7 4 2" xfId="49284"/>
    <cellStyle name="解释性文本 2 8" xfId="49285"/>
    <cellStyle name="解释性文本 2 8 2" xfId="49286"/>
    <cellStyle name="解释性文本 2 8 2 2" xfId="49287"/>
    <cellStyle name="解释性文本 2 8 2 2 2" xfId="49288"/>
    <cellStyle name="解释性文本 2 8 2 2 2 2" xfId="49289"/>
    <cellStyle name="解释性文本 2 8 2 3" xfId="49290"/>
    <cellStyle name="解释性文本 2 8 2 3 2" xfId="49291"/>
    <cellStyle name="解释性文本 2 8 3" xfId="49292"/>
    <cellStyle name="解释性文本 2 8 3 2" xfId="49293"/>
    <cellStyle name="解释性文本 2 8 3 2 2" xfId="49294"/>
    <cellStyle name="解释性文本 2 8 4" xfId="49295"/>
    <cellStyle name="解释性文本 2 8 4 2" xfId="49296"/>
    <cellStyle name="解释性文本 2 9" xfId="49297"/>
    <cellStyle name="解释性文本 2 9 2" xfId="49298"/>
    <cellStyle name="解释性文本 2 9 2 2" xfId="49299"/>
    <cellStyle name="解释性文本 2 9 2 2 2" xfId="49300"/>
    <cellStyle name="解释性文本 2 9 3" xfId="49301"/>
    <cellStyle name="解释性文本 2 9 3 2" xfId="49302"/>
    <cellStyle name="解释性文本 3" xfId="49303"/>
    <cellStyle name="解释性文本 3 2" xfId="49304"/>
    <cellStyle name="解释性文本 3 2 2" xfId="49305"/>
    <cellStyle name="解释性文本 3 2 2 2" xfId="49306"/>
    <cellStyle name="解释性文本 3 2 2 2 2" xfId="49307"/>
    <cellStyle name="解释性文本 3 2 2 2 3" xfId="49308"/>
    <cellStyle name="解释性文本 3 2 2 2 3 2" xfId="49309"/>
    <cellStyle name="解释性文本 3 2 2 2 3 2 2" xfId="49310"/>
    <cellStyle name="解释性文本 3 2 2 2 4" xfId="49311"/>
    <cellStyle name="解释性文本 3 2 2 2 4 2" xfId="49312"/>
    <cellStyle name="解释性文本 3 2 2 3" xfId="49313"/>
    <cellStyle name="解释性文本 3 2 2 3 2" xfId="49314"/>
    <cellStyle name="解释性文本 3 2 2 3 2 2" xfId="49315"/>
    <cellStyle name="解释性文本 3 2 2 3 2 2 2" xfId="49316"/>
    <cellStyle name="解释性文本 3 2 2 3 3" xfId="49317"/>
    <cellStyle name="解释性文本 3 2 2 3 3 2" xfId="49318"/>
    <cellStyle name="解释性文本 3 2 2 4" xfId="49319"/>
    <cellStyle name="解释性文本 3 2 2 5" xfId="49320"/>
    <cellStyle name="解释性文本 3 2 2 6" xfId="49321"/>
    <cellStyle name="解释性文本 3 2 3" xfId="49322"/>
    <cellStyle name="解释性文本 3 2 3 2" xfId="49323"/>
    <cellStyle name="解释性文本 3 2 3 3" xfId="49324"/>
    <cellStyle name="解释性文本 3 2 3 3 2" xfId="49325"/>
    <cellStyle name="解释性文本 3 2 3 3 2 2" xfId="49326"/>
    <cellStyle name="解释性文本 3 2 3 4" xfId="49327"/>
    <cellStyle name="解释性文本 3 2 3 4 2" xfId="49328"/>
    <cellStyle name="解释性文本 3 2 4" xfId="49329"/>
    <cellStyle name="解释性文本 3 2 4 2" xfId="49330"/>
    <cellStyle name="解释性文本 3 2 4 2 2" xfId="49331"/>
    <cellStyle name="解释性文本 3 2 4 2 2 2" xfId="49332"/>
    <cellStyle name="解释性文本 3 2 4 3" xfId="49333"/>
    <cellStyle name="解释性文本 3 2 4 3 2" xfId="49334"/>
    <cellStyle name="解释性文本 3 2 5" xfId="49335"/>
    <cellStyle name="解释性文本 3 2 6" xfId="49336"/>
    <cellStyle name="解释性文本 3 2 7" xfId="49337"/>
    <cellStyle name="解释性文本 3 3" xfId="49338"/>
    <cellStyle name="解释性文本 3 3 2" xfId="49339"/>
    <cellStyle name="解释性文本 3 3 2 2" xfId="49340"/>
    <cellStyle name="解释性文本 3 3 2 3" xfId="49341"/>
    <cellStyle name="解释性文本 3 3 2 3 2" xfId="49342"/>
    <cellStyle name="解释性文本 3 3 2 3 2 2" xfId="49343"/>
    <cellStyle name="解释性文本 3 3 2 4" xfId="49344"/>
    <cellStyle name="解释性文本 3 3 2 4 2" xfId="49345"/>
    <cellStyle name="解释性文本 3 3 3" xfId="49346"/>
    <cellStyle name="解释性文本 3 3 3 2" xfId="49347"/>
    <cellStyle name="解释性文本 3 3 3 2 2" xfId="49348"/>
    <cellStyle name="解释性文本 3 3 3 2 2 2" xfId="49349"/>
    <cellStyle name="解释性文本 3 3 3 3" xfId="49350"/>
    <cellStyle name="解释性文本 3 3 3 3 2" xfId="49351"/>
    <cellStyle name="解释性文本 3 3 4" xfId="49352"/>
    <cellStyle name="解释性文本 3 3 5" xfId="49353"/>
    <cellStyle name="解释性文本 3 3 6" xfId="49354"/>
    <cellStyle name="解释性文本 3 4" xfId="49355"/>
    <cellStyle name="解释性文本 3 4 2" xfId="49356"/>
    <cellStyle name="解释性文本 3 4 2 2" xfId="49357"/>
    <cellStyle name="解释性文本 3 4 2 3" xfId="49358"/>
    <cellStyle name="解释性文本 3 4 2 3 2" xfId="49359"/>
    <cellStyle name="解释性文本 3 4 2 3 2 2" xfId="49360"/>
    <cellStyle name="解释性文本 3 4 2 4" xfId="49361"/>
    <cellStyle name="解释性文本 3 4 2 4 2" xfId="49362"/>
    <cellStyle name="解释性文本 3 4 3" xfId="49363"/>
    <cellStyle name="解释性文本 3 4 4" xfId="49364"/>
    <cellStyle name="解释性文本 3 4 5" xfId="49365"/>
    <cellStyle name="解释性文本 3 4 6" xfId="49366"/>
    <cellStyle name="解释性文本 3 5" xfId="49367"/>
    <cellStyle name="解释性文本 3 5 2" xfId="49368"/>
    <cellStyle name="解释性文本 3 5 2 2" xfId="49369"/>
    <cellStyle name="解释性文本 3 5 2 2 2" xfId="49370"/>
    <cellStyle name="解释性文本 3 5 2 2 2 2" xfId="49371"/>
    <cellStyle name="解释性文本 3 5 2 3" xfId="49372"/>
    <cellStyle name="解释性文本 3 5 2 3 2" xfId="49373"/>
    <cellStyle name="解释性文本 3 5 3" xfId="49374"/>
    <cellStyle name="解释性文本 3 5 3 2" xfId="49375"/>
    <cellStyle name="解释性文本 3 5 3 2 2" xfId="49376"/>
    <cellStyle name="解释性文本 3 5 4" xfId="49377"/>
    <cellStyle name="解释性文本 3 5 4 2" xfId="49378"/>
    <cellStyle name="解释性文本 3 6" xfId="49379"/>
    <cellStyle name="解释性文本 3 6 2" xfId="49380"/>
    <cellStyle name="解释性文本 3 6 2 2" xfId="49381"/>
    <cellStyle name="解释性文本 3 6 2 2 2" xfId="49382"/>
    <cellStyle name="解释性文本 3 6 3" xfId="49383"/>
    <cellStyle name="解释性文本 3 6 3 2" xfId="49384"/>
    <cellStyle name="解释性文本 3 7" xfId="49385"/>
    <cellStyle name="解释性文本 3 8" xfId="49386"/>
    <cellStyle name="警告文本 2" xfId="49387"/>
    <cellStyle name="警告文本 2 10" xfId="49388"/>
    <cellStyle name="警告文本 2 11" xfId="49389"/>
    <cellStyle name="警告文本 2 2" xfId="49390"/>
    <cellStyle name="警告文本 2 2 10" xfId="49391"/>
    <cellStyle name="警告文本 2 2 11" xfId="49392"/>
    <cellStyle name="警告文本 2 2 2" xfId="49393"/>
    <cellStyle name="警告文本 2 2 2 2" xfId="49394"/>
    <cellStyle name="警告文本 2 2 2 2 2" xfId="49395"/>
    <cellStyle name="警告文本 2 2 2 2 2 2" xfId="49396"/>
    <cellStyle name="警告文本 2 2 2 2 2 3" xfId="49397"/>
    <cellStyle name="警告文本 2 2 2 2 2 3 2" xfId="49398"/>
    <cellStyle name="警告文本 2 2 2 2 2 3 2 2" xfId="49399"/>
    <cellStyle name="警告文本 2 2 2 2 2 4" xfId="49400"/>
    <cellStyle name="警告文本 2 2 2 2 2 4 2" xfId="49401"/>
    <cellStyle name="警告文本 2 2 2 2 3" xfId="49402"/>
    <cellStyle name="警告文本 2 2 2 2 3 2" xfId="49403"/>
    <cellStyle name="警告文本 2 2 2 2 3 2 2" xfId="49404"/>
    <cellStyle name="警告文本 2 2 2 2 3 2 2 2" xfId="49405"/>
    <cellStyle name="警告文本 2 2 2 2 3 3" xfId="49406"/>
    <cellStyle name="警告文本 2 2 2 2 3 3 2" xfId="49407"/>
    <cellStyle name="警告文本 2 2 2 2 4" xfId="49408"/>
    <cellStyle name="警告文本 2 2 2 2 5" xfId="49409"/>
    <cellStyle name="警告文本 2 2 2 2 6" xfId="49410"/>
    <cellStyle name="警告文本 2 2 2 3" xfId="49411"/>
    <cellStyle name="警告文本 2 2 2 3 2" xfId="49412"/>
    <cellStyle name="警告文本 2 2 2 3 3" xfId="49413"/>
    <cellStyle name="警告文本 2 2 2 3 3 2" xfId="49414"/>
    <cellStyle name="警告文本 2 2 2 3 3 2 2" xfId="49415"/>
    <cellStyle name="警告文本 2 2 2 3 4" xfId="49416"/>
    <cellStyle name="警告文本 2 2 2 3 4 2" xfId="49417"/>
    <cellStyle name="警告文本 2 2 2 4" xfId="49418"/>
    <cellStyle name="警告文本 2 2 2 4 2" xfId="49419"/>
    <cellStyle name="警告文本 2 2 2 4 2 2" xfId="49420"/>
    <cellStyle name="警告文本 2 2 2 4 2 2 2" xfId="49421"/>
    <cellStyle name="警告文本 2 2 2 4 3" xfId="49422"/>
    <cellStyle name="警告文本 2 2 2 4 3 2" xfId="49423"/>
    <cellStyle name="警告文本 2 2 2 5" xfId="49424"/>
    <cellStyle name="警告文本 2 2 2 6" xfId="49425"/>
    <cellStyle name="警告文本 2 2 2 7" xfId="49426"/>
    <cellStyle name="警告文本 2 2 3" xfId="49427"/>
    <cellStyle name="警告文本 2 2 3 2" xfId="49428"/>
    <cellStyle name="警告文本 2 2 3 2 2" xfId="49429"/>
    <cellStyle name="警告文本 2 2 3 2 3" xfId="49430"/>
    <cellStyle name="警告文本 2 2 3 2 3 2" xfId="49431"/>
    <cellStyle name="警告文本 2 2 3 2 3 2 2" xfId="49432"/>
    <cellStyle name="警告文本 2 2 3 2 4" xfId="49433"/>
    <cellStyle name="警告文本 2 2 3 2 4 2" xfId="49434"/>
    <cellStyle name="警告文本 2 2 3 3" xfId="49435"/>
    <cellStyle name="警告文本 2 2 3 3 2" xfId="49436"/>
    <cellStyle name="警告文本 2 2 3 3 2 2" xfId="49437"/>
    <cellStyle name="警告文本 2 2 3 3 2 2 2" xfId="49438"/>
    <cellStyle name="警告文本 2 2 3 3 3" xfId="49439"/>
    <cellStyle name="警告文本 2 2 3 3 3 2" xfId="49440"/>
    <cellStyle name="警告文本 2 2 3 4" xfId="49441"/>
    <cellStyle name="警告文本 2 2 3 5" xfId="49442"/>
    <cellStyle name="警告文本 2 2 3 6" xfId="49443"/>
    <cellStyle name="警告文本 2 2 4" xfId="49444"/>
    <cellStyle name="警告文本 2 2 4 2" xfId="49445"/>
    <cellStyle name="警告文本 2 2 4 2 2" xfId="49446"/>
    <cellStyle name="警告文本 2 2 4 2 3" xfId="49447"/>
    <cellStyle name="警告文本 2 2 4 2 3 2" xfId="49448"/>
    <cellStyle name="警告文本 2 2 4 2 3 2 2" xfId="49449"/>
    <cellStyle name="警告文本 2 2 4 2 4" xfId="49450"/>
    <cellStyle name="警告文本 2 2 4 2 4 2" xfId="49451"/>
    <cellStyle name="警告文本 2 2 4 3" xfId="49452"/>
    <cellStyle name="警告文本 2 2 4 4" xfId="49453"/>
    <cellStyle name="警告文本 2 2 4 5" xfId="49454"/>
    <cellStyle name="警告文本 2 2 4 6" xfId="49455"/>
    <cellStyle name="警告文本 2 2 5" xfId="49456"/>
    <cellStyle name="警告文本 2 2 5 2" xfId="49457"/>
    <cellStyle name="警告文本 2 2 5 2 2" xfId="49458"/>
    <cellStyle name="警告文本 2 2 5 2 2 2" xfId="49459"/>
    <cellStyle name="警告文本 2 2 5 2 2 2 2" xfId="49460"/>
    <cellStyle name="警告文本 2 2 5 2 3" xfId="49461"/>
    <cellStyle name="警告文本 2 2 5 2 3 2" xfId="49462"/>
    <cellStyle name="警告文本 2 2 5 3" xfId="49463"/>
    <cellStyle name="警告文本 2 2 5 3 2" xfId="49464"/>
    <cellStyle name="警告文本 2 2 5 3 2 2" xfId="49465"/>
    <cellStyle name="警告文本 2 2 5 4" xfId="49466"/>
    <cellStyle name="警告文本 2 2 5 4 2" xfId="49467"/>
    <cellStyle name="警告文本 2 2 6" xfId="49468"/>
    <cellStyle name="警告文本 2 2 6 2" xfId="49469"/>
    <cellStyle name="警告文本 2 2 6 2 2" xfId="49470"/>
    <cellStyle name="警告文本 2 2 6 2 2 2" xfId="49471"/>
    <cellStyle name="警告文本 2 2 6 2 2 2 2" xfId="49472"/>
    <cellStyle name="警告文本 2 2 6 2 3" xfId="49473"/>
    <cellStyle name="警告文本 2 2 6 2 3 2" xfId="49474"/>
    <cellStyle name="警告文本 2 2 6 3" xfId="49475"/>
    <cellStyle name="警告文本 2 2 6 3 2" xfId="49476"/>
    <cellStyle name="警告文本 2 2 6 3 2 2" xfId="49477"/>
    <cellStyle name="警告文本 2 2 6 4" xfId="49478"/>
    <cellStyle name="警告文本 2 2 6 4 2" xfId="49479"/>
    <cellStyle name="警告文本 2 2 7" xfId="49480"/>
    <cellStyle name="警告文本 2 2 7 2" xfId="49481"/>
    <cellStyle name="警告文本 2 2 7 2 2" xfId="49482"/>
    <cellStyle name="警告文本 2 2 7 2 2 2" xfId="49483"/>
    <cellStyle name="警告文本 2 2 7 2 2 2 2" xfId="49484"/>
    <cellStyle name="警告文本 2 2 7 2 3" xfId="49485"/>
    <cellStyle name="警告文本 2 2 7 2 3 2" xfId="49486"/>
    <cellStyle name="警告文本 2 2 7 3" xfId="49487"/>
    <cellStyle name="警告文本 2 2 7 3 2" xfId="49488"/>
    <cellStyle name="警告文本 2 2 7 3 2 2" xfId="49489"/>
    <cellStyle name="警告文本 2 2 7 4" xfId="49490"/>
    <cellStyle name="警告文本 2 2 7 4 2" xfId="49491"/>
    <cellStyle name="警告文本 2 2 8" xfId="49492"/>
    <cellStyle name="警告文本 2 2 8 2" xfId="49493"/>
    <cellStyle name="警告文本 2 2 8 2 2" xfId="49494"/>
    <cellStyle name="警告文本 2 2 8 2 2 2" xfId="49495"/>
    <cellStyle name="警告文本 2 2 8 3" xfId="49496"/>
    <cellStyle name="警告文本 2 2 8 3 2" xfId="49497"/>
    <cellStyle name="警告文本 2 2 9" xfId="49498"/>
    <cellStyle name="警告文本 2 2 9 2" xfId="49499"/>
    <cellStyle name="警告文本 2 2 9 2 2" xfId="49500"/>
    <cellStyle name="警告文本 2 2 9 2 2 2" xfId="49501"/>
    <cellStyle name="警告文本 2 2 9 3" xfId="49502"/>
    <cellStyle name="警告文本 2 2 9 3 2" xfId="49503"/>
    <cellStyle name="警告文本 2 3" xfId="49504"/>
    <cellStyle name="警告文本 2 3 2" xfId="49505"/>
    <cellStyle name="警告文本 2 3 2 2" xfId="49506"/>
    <cellStyle name="警告文本 2 3 2 2 2" xfId="49507"/>
    <cellStyle name="警告文本 2 3 2 2 2 2" xfId="49508"/>
    <cellStyle name="警告文本 2 3 2 2 2 3" xfId="49509"/>
    <cellStyle name="警告文本 2 3 2 2 2 3 2" xfId="49510"/>
    <cellStyle name="警告文本 2 3 2 2 2 3 2 2" xfId="49511"/>
    <cellStyle name="警告文本 2 3 2 2 2 4" xfId="49512"/>
    <cellStyle name="警告文本 2 3 2 2 2 4 2" xfId="49513"/>
    <cellStyle name="警告文本 2 3 2 2 3" xfId="49514"/>
    <cellStyle name="警告文本 2 3 2 2 3 2" xfId="49515"/>
    <cellStyle name="警告文本 2 3 2 2 3 2 2" xfId="49516"/>
    <cellStyle name="警告文本 2 3 2 2 3 2 2 2" xfId="49517"/>
    <cellStyle name="警告文本 2 3 2 2 3 3" xfId="49518"/>
    <cellStyle name="警告文本 2 3 2 2 3 3 2" xfId="49519"/>
    <cellStyle name="警告文本 2 3 2 2 4" xfId="49520"/>
    <cellStyle name="警告文本 2 3 2 2 5" xfId="49521"/>
    <cellStyle name="警告文本 2 3 2 2 6" xfId="49522"/>
    <cellStyle name="警告文本 2 3 2 3" xfId="49523"/>
    <cellStyle name="警告文本 2 3 2 3 2" xfId="49524"/>
    <cellStyle name="警告文本 2 3 2 3 3" xfId="49525"/>
    <cellStyle name="警告文本 2 3 2 3 3 2" xfId="49526"/>
    <cellStyle name="警告文本 2 3 2 3 3 2 2" xfId="49527"/>
    <cellStyle name="警告文本 2 3 2 3 4" xfId="49528"/>
    <cellStyle name="警告文本 2 3 2 3 4 2" xfId="49529"/>
    <cellStyle name="警告文本 2 3 2 4" xfId="49530"/>
    <cellStyle name="警告文本 2 3 2 4 2" xfId="49531"/>
    <cellStyle name="警告文本 2 3 2 4 2 2" xfId="49532"/>
    <cellStyle name="警告文本 2 3 2 4 2 2 2" xfId="49533"/>
    <cellStyle name="警告文本 2 3 2 4 3" xfId="49534"/>
    <cellStyle name="警告文本 2 3 2 4 3 2" xfId="49535"/>
    <cellStyle name="警告文本 2 3 2 5" xfId="49536"/>
    <cellStyle name="警告文本 2 3 2 6" xfId="49537"/>
    <cellStyle name="警告文本 2 3 2 7" xfId="49538"/>
    <cellStyle name="警告文本 2 3 3" xfId="49539"/>
    <cellStyle name="警告文本 2 3 3 2" xfId="49540"/>
    <cellStyle name="警告文本 2 3 3 2 2" xfId="49541"/>
    <cellStyle name="警告文本 2 3 3 2 3" xfId="49542"/>
    <cellStyle name="警告文本 2 3 3 2 3 2" xfId="49543"/>
    <cellStyle name="警告文本 2 3 3 2 3 2 2" xfId="49544"/>
    <cellStyle name="警告文本 2 3 3 2 4" xfId="49545"/>
    <cellStyle name="警告文本 2 3 3 2 4 2" xfId="49546"/>
    <cellStyle name="警告文本 2 3 3 3" xfId="49547"/>
    <cellStyle name="警告文本 2 3 3 3 2" xfId="49548"/>
    <cellStyle name="警告文本 2 3 3 3 2 2" xfId="49549"/>
    <cellStyle name="警告文本 2 3 3 3 2 2 2" xfId="49550"/>
    <cellStyle name="警告文本 2 3 3 3 3" xfId="49551"/>
    <cellStyle name="警告文本 2 3 3 3 3 2" xfId="49552"/>
    <cellStyle name="警告文本 2 3 3 4" xfId="49553"/>
    <cellStyle name="警告文本 2 3 3 5" xfId="49554"/>
    <cellStyle name="警告文本 2 3 3 6" xfId="49555"/>
    <cellStyle name="警告文本 2 3 4" xfId="49556"/>
    <cellStyle name="警告文本 2 3 4 2" xfId="49557"/>
    <cellStyle name="警告文本 2 3 4 2 2" xfId="49558"/>
    <cellStyle name="警告文本 2 3 4 2 3" xfId="49559"/>
    <cellStyle name="警告文本 2 3 4 2 3 2" xfId="49560"/>
    <cellStyle name="警告文本 2 3 4 2 3 2 2" xfId="49561"/>
    <cellStyle name="警告文本 2 3 4 2 4" xfId="49562"/>
    <cellStyle name="警告文本 2 3 4 2 4 2" xfId="49563"/>
    <cellStyle name="警告文本 2 3 4 3" xfId="49564"/>
    <cellStyle name="警告文本 2 3 4 4" xfId="49565"/>
    <cellStyle name="警告文本 2 3 4 5" xfId="49566"/>
    <cellStyle name="警告文本 2 3 4 6" xfId="49567"/>
    <cellStyle name="警告文本 2 3 5" xfId="49568"/>
    <cellStyle name="警告文本 2 3 5 2" xfId="49569"/>
    <cellStyle name="警告文本 2 3 5 2 2" xfId="49570"/>
    <cellStyle name="警告文本 2 3 5 2 2 2" xfId="49571"/>
    <cellStyle name="警告文本 2 3 5 2 2 2 2" xfId="49572"/>
    <cellStyle name="警告文本 2 3 5 2 3" xfId="49573"/>
    <cellStyle name="警告文本 2 3 5 2 3 2" xfId="49574"/>
    <cellStyle name="警告文本 2 3 5 3" xfId="49575"/>
    <cellStyle name="警告文本 2 3 5 3 2" xfId="49576"/>
    <cellStyle name="警告文本 2 3 5 3 2 2" xfId="49577"/>
    <cellStyle name="警告文本 2 3 5 4" xfId="49578"/>
    <cellStyle name="警告文本 2 3 5 4 2" xfId="49579"/>
    <cellStyle name="警告文本 2 3 6" xfId="49580"/>
    <cellStyle name="警告文本 2 3 6 2" xfId="49581"/>
    <cellStyle name="警告文本 2 3 6 2 2" xfId="49582"/>
    <cellStyle name="警告文本 2 3 6 2 2 2" xfId="49583"/>
    <cellStyle name="警告文本 2 3 6 3" xfId="49584"/>
    <cellStyle name="警告文本 2 3 6 3 2" xfId="49585"/>
    <cellStyle name="警告文本 2 3 7" xfId="49586"/>
    <cellStyle name="警告文本 2 3 7 2" xfId="49587"/>
    <cellStyle name="警告文本 2 3 7 2 2" xfId="49588"/>
    <cellStyle name="警告文本 2 3 7 2 2 2" xfId="49589"/>
    <cellStyle name="警告文本 2 3 7 3" xfId="49590"/>
    <cellStyle name="警告文本 2 3 7 3 2" xfId="49591"/>
    <cellStyle name="警告文本 2 3 8" xfId="49592"/>
    <cellStyle name="警告文本 2 3 9" xfId="49593"/>
    <cellStyle name="警告文本 2 4" xfId="49594"/>
    <cellStyle name="警告文本 2 4 2" xfId="49595"/>
    <cellStyle name="警告文本 2 4 2 2" xfId="49596"/>
    <cellStyle name="警告文本 2 4 2 3" xfId="49597"/>
    <cellStyle name="警告文本 2 4 2 3 2" xfId="49598"/>
    <cellStyle name="警告文本 2 4 2 3 2 2" xfId="49599"/>
    <cellStyle name="警告文本 2 4 2 4" xfId="49600"/>
    <cellStyle name="警告文本 2 4 2 4 2" xfId="49601"/>
    <cellStyle name="警告文本 2 4 3" xfId="49602"/>
    <cellStyle name="警告文本 2 4 3 2" xfId="49603"/>
    <cellStyle name="警告文本 2 4 3 2 2" xfId="49604"/>
    <cellStyle name="警告文本 2 4 3 2 2 2" xfId="49605"/>
    <cellStyle name="警告文本 2 4 3 3" xfId="49606"/>
    <cellStyle name="警告文本 2 4 3 3 2" xfId="49607"/>
    <cellStyle name="警告文本 2 4 4" xfId="49608"/>
    <cellStyle name="警告文本 2 4 5" xfId="49609"/>
    <cellStyle name="警告文本 2 4 6" xfId="49610"/>
    <cellStyle name="警告文本 2 5" xfId="49611"/>
    <cellStyle name="警告文本 2 5 2" xfId="49612"/>
    <cellStyle name="警告文本 2 5 2 2" xfId="49613"/>
    <cellStyle name="警告文本 2 5 2 3" xfId="49614"/>
    <cellStyle name="警告文本 2 5 2 3 2" xfId="49615"/>
    <cellStyle name="警告文本 2 5 2 3 2 2" xfId="49616"/>
    <cellStyle name="警告文本 2 5 2 4" xfId="49617"/>
    <cellStyle name="警告文本 2 5 2 4 2" xfId="49618"/>
    <cellStyle name="警告文本 2 5 3" xfId="49619"/>
    <cellStyle name="警告文本 2 5 4" xfId="49620"/>
    <cellStyle name="警告文本 2 5 5" xfId="49621"/>
    <cellStyle name="警告文本 2 5 6" xfId="49622"/>
    <cellStyle name="警告文本 2 6" xfId="49623"/>
    <cellStyle name="警告文本 2 6 2" xfId="49624"/>
    <cellStyle name="警告文本 2 6 2 2" xfId="49625"/>
    <cellStyle name="警告文本 2 6 2 2 2" xfId="49626"/>
    <cellStyle name="警告文本 2 6 2 2 2 2" xfId="49627"/>
    <cellStyle name="警告文本 2 6 2 3" xfId="49628"/>
    <cellStyle name="警告文本 2 6 2 3 2" xfId="49629"/>
    <cellStyle name="警告文本 2 6 3" xfId="49630"/>
    <cellStyle name="警告文本 2 6 3 2" xfId="49631"/>
    <cellStyle name="警告文本 2 6 3 2 2" xfId="49632"/>
    <cellStyle name="警告文本 2 6 4" xfId="49633"/>
    <cellStyle name="警告文本 2 6 4 2" xfId="49634"/>
    <cellStyle name="警告文本 2 7" xfId="49635"/>
    <cellStyle name="警告文本 2 7 2" xfId="49636"/>
    <cellStyle name="警告文本 2 7 2 2" xfId="49637"/>
    <cellStyle name="警告文本 2 7 2 2 2" xfId="49638"/>
    <cellStyle name="警告文本 2 7 2 2 2 2" xfId="49639"/>
    <cellStyle name="警告文本 2 7 2 3" xfId="49640"/>
    <cellStyle name="警告文本 2 7 2 3 2" xfId="49641"/>
    <cellStyle name="警告文本 2 7 3" xfId="49642"/>
    <cellStyle name="警告文本 2 7 3 2" xfId="49643"/>
    <cellStyle name="警告文本 2 7 3 2 2" xfId="49644"/>
    <cellStyle name="警告文本 2 7 4" xfId="49645"/>
    <cellStyle name="警告文本 2 7 4 2" xfId="49646"/>
    <cellStyle name="警告文本 2 8" xfId="49647"/>
    <cellStyle name="警告文本 2 8 2" xfId="49648"/>
    <cellStyle name="警告文本 2 8 2 2" xfId="49649"/>
    <cellStyle name="警告文本 2 8 2 2 2" xfId="49650"/>
    <cellStyle name="警告文本 2 8 2 2 2 2" xfId="49651"/>
    <cellStyle name="警告文本 2 8 2 3" xfId="49652"/>
    <cellStyle name="警告文本 2 8 2 3 2" xfId="49653"/>
    <cellStyle name="警告文本 2 8 3" xfId="49654"/>
    <cellStyle name="警告文本 2 8 3 2" xfId="49655"/>
    <cellStyle name="警告文本 2 8 3 2 2" xfId="49656"/>
    <cellStyle name="警告文本 2 8 4" xfId="49657"/>
    <cellStyle name="警告文本 2 8 4 2" xfId="49658"/>
    <cellStyle name="警告文本 2 9" xfId="49659"/>
    <cellStyle name="警告文本 2 9 2" xfId="49660"/>
    <cellStyle name="警告文本 2 9 2 2" xfId="49661"/>
    <cellStyle name="警告文本 2 9 2 2 2" xfId="49662"/>
    <cellStyle name="警告文本 2 9 3" xfId="49663"/>
    <cellStyle name="警告文本 2 9 3 2" xfId="49664"/>
    <cellStyle name="警告文本 3" xfId="49665"/>
    <cellStyle name="警告文本 3 2" xfId="49666"/>
    <cellStyle name="警告文本 3 2 2" xfId="49667"/>
    <cellStyle name="警告文本 3 2 2 2" xfId="49668"/>
    <cellStyle name="警告文本 3 2 2 2 2" xfId="49669"/>
    <cellStyle name="警告文本 3 2 2 2 3" xfId="49670"/>
    <cellStyle name="警告文本 3 2 2 2 3 2" xfId="49671"/>
    <cellStyle name="警告文本 3 2 2 2 3 2 2" xfId="49672"/>
    <cellStyle name="警告文本 3 2 2 2 4" xfId="49673"/>
    <cellStyle name="警告文本 3 2 2 2 4 2" xfId="49674"/>
    <cellStyle name="警告文本 3 2 2 3" xfId="49675"/>
    <cellStyle name="警告文本 3 2 2 3 2" xfId="49676"/>
    <cellStyle name="警告文本 3 2 2 3 2 2" xfId="49677"/>
    <cellStyle name="警告文本 3 2 2 3 2 2 2" xfId="49678"/>
    <cellStyle name="警告文本 3 2 2 3 3" xfId="49679"/>
    <cellStyle name="警告文本 3 2 2 3 3 2" xfId="49680"/>
    <cellStyle name="警告文本 3 2 2 4" xfId="49681"/>
    <cellStyle name="警告文本 3 2 2 5" xfId="49682"/>
    <cellStyle name="警告文本 3 2 2 6" xfId="49683"/>
    <cellStyle name="警告文本 3 2 3" xfId="49684"/>
    <cellStyle name="警告文本 3 2 3 2" xfId="49685"/>
    <cellStyle name="警告文本 3 2 3 3" xfId="49686"/>
    <cellStyle name="警告文本 3 2 3 3 2" xfId="49687"/>
    <cellStyle name="警告文本 3 2 3 3 2 2" xfId="49688"/>
    <cellStyle name="警告文本 3 2 3 4" xfId="49689"/>
    <cellStyle name="警告文本 3 2 3 4 2" xfId="49690"/>
    <cellStyle name="警告文本 3 2 4" xfId="49691"/>
    <cellStyle name="警告文本 3 2 4 2" xfId="49692"/>
    <cellStyle name="警告文本 3 2 4 2 2" xfId="49693"/>
    <cellStyle name="警告文本 3 2 4 2 2 2" xfId="49694"/>
    <cellStyle name="警告文本 3 2 4 3" xfId="49695"/>
    <cellStyle name="警告文本 3 2 4 3 2" xfId="49696"/>
    <cellStyle name="警告文本 3 2 5" xfId="49697"/>
    <cellStyle name="警告文本 3 2 6" xfId="49698"/>
    <cellStyle name="警告文本 3 2 7" xfId="49699"/>
    <cellStyle name="警告文本 3 3" xfId="49700"/>
    <cellStyle name="警告文本 3 3 2" xfId="49701"/>
    <cellStyle name="警告文本 3 3 2 2" xfId="49702"/>
    <cellStyle name="警告文本 3 3 2 3" xfId="49703"/>
    <cellStyle name="警告文本 3 3 2 3 2" xfId="49704"/>
    <cellStyle name="警告文本 3 3 2 3 2 2" xfId="49705"/>
    <cellStyle name="警告文本 3 3 2 4" xfId="49706"/>
    <cellStyle name="警告文本 3 3 2 4 2" xfId="49707"/>
    <cellStyle name="警告文本 3 3 3" xfId="49708"/>
    <cellStyle name="警告文本 3 3 3 2" xfId="49709"/>
    <cellStyle name="警告文本 3 3 3 2 2" xfId="49710"/>
    <cellStyle name="警告文本 3 3 3 2 2 2" xfId="49711"/>
    <cellStyle name="警告文本 3 3 3 3" xfId="49712"/>
    <cellStyle name="警告文本 3 3 3 3 2" xfId="49713"/>
    <cellStyle name="警告文本 3 3 4" xfId="49714"/>
    <cellStyle name="警告文本 3 3 5" xfId="49715"/>
    <cellStyle name="警告文本 3 3 6" xfId="49716"/>
    <cellStyle name="警告文本 3 4" xfId="49717"/>
    <cellStyle name="警告文本 3 4 2" xfId="49718"/>
    <cellStyle name="警告文本 3 4 2 2" xfId="49719"/>
    <cellStyle name="警告文本 3 4 2 3" xfId="49720"/>
    <cellStyle name="警告文本 3 4 2 3 2" xfId="49721"/>
    <cellStyle name="警告文本 3 4 2 3 2 2" xfId="49722"/>
    <cellStyle name="警告文本 3 4 2 4" xfId="49723"/>
    <cellStyle name="警告文本 3 4 2 4 2" xfId="49724"/>
    <cellStyle name="警告文本 3 4 3" xfId="49725"/>
    <cellStyle name="警告文本 3 4 4" xfId="49726"/>
    <cellStyle name="警告文本 3 4 5" xfId="49727"/>
    <cellStyle name="警告文本 3 4 6" xfId="49728"/>
    <cellStyle name="警告文本 3 5" xfId="49729"/>
    <cellStyle name="警告文本 3 5 2" xfId="49730"/>
    <cellStyle name="警告文本 3 5 2 2" xfId="49731"/>
    <cellStyle name="警告文本 3 5 2 2 2" xfId="49732"/>
    <cellStyle name="警告文本 3 5 2 2 2 2" xfId="49733"/>
    <cellStyle name="警告文本 3 5 2 3" xfId="49734"/>
    <cellStyle name="警告文本 3 5 2 3 2" xfId="49735"/>
    <cellStyle name="警告文本 3 5 3" xfId="49736"/>
    <cellStyle name="警告文本 3 5 3 2" xfId="49737"/>
    <cellStyle name="警告文本 3 5 3 2 2" xfId="49738"/>
    <cellStyle name="警告文本 3 5 4" xfId="49739"/>
    <cellStyle name="警告文本 3 5 4 2" xfId="49740"/>
    <cellStyle name="警告文本 3 6" xfId="49741"/>
    <cellStyle name="警告文本 3 6 2" xfId="49742"/>
    <cellStyle name="警告文本 3 6 2 2" xfId="49743"/>
    <cellStyle name="警告文本 3 6 2 2 2" xfId="49744"/>
    <cellStyle name="警告文本 3 6 3" xfId="49745"/>
    <cellStyle name="警告文本 3 6 3 2" xfId="49746"/>
    <cellStyle name="警告文本 3 7" xfId="49747"/>
    <cellStyle name="警告文本 3 8" xfId="49748"/>
    <cellStyle name="计算 2" xfId="49749"/>
    <cellStyle name="计算 2 10" xfId="49750"/>
    <cellStyle name="计算 2 11" xfId="49751"/>
    <cellStyle name="计算 2 2" xfId="49752"/>
    <cellStyle name="计算 2 2 10" xfId="49753"/>
    <cellStyle name="计算 2 2 11" xfId="49754"/>
    <cellStyle name="计算 2 2 2" xfId="49755"/>
    <cellStyle name="计算 2 2 2 2" xfId="49756"/>
    <cellStyle name="计算 2 2 2 2 2" xfId="49757"/>
    <cellStyle name="计算 2 2 2 2 2 2" xfId="49758"/>
    <cellStyle name="计算 2 2 2 2 2 3" xfId="49759"/>
    <cellStyle name="计算 2 2 2 2 2 3 2" xfId="49760"/>
    <cellStyle name="计算 2 2 2 2 2 3 2 2" xfId="49761"/>
    <cellStyle name="计算 2 2 2 2 2 4" xfId="49762"/>
    <cellStyle name="计算 2 2 2 2 2 4 2" xfId="49763"/>
    <cellStyle name="计算 2 2 2 2 3" xfId="49764"/>
    <cellStyle name="计算 2 2 2 2 3 2" xfId="49765"/>
    <cellStyle name="计算 2 2 2 2 3 2 2" xfId="49766"/>
    <cellStyle name="计算 2 2 2 2 3 2 2 2" xfId="49767"/>
    <cellStyle name="计算 2 2 2 2 3 3" xfId="49768"/>
    <cellStyle name="计算 2 2 2 2 3 3 2" xfId="49769"/>
    <cellStyle name="计算 2 2 2 2 4" xfId="49770"/>
    <cellStyle name="计算 2 2 2 2 5" xfId="49771"/>
    <cellStyle name="计算 2 2 2 2 6" xfId="49772"/>
    <cellStyle name="计算 2 2 2 3" xfId="49773"/>
    <cellStyle name="计算 2 2 2 3 2" xfId="49774"/>
    <cellStyle name="计算 2 2 2 3 3" xfId="49775"/>
    <cellStyle name="计算 2 2 2 3 3 2" xfId="49776"/>
    <cellStyle name="计算 2 2 2 3 3 2 2" xfId="49777"/>
    <cellStyle name="计算 2 2 2 3 4" xfId="49778"/>
    <cellStyle name="计算 2 2 2 3 4 2" xfId="49779"/>
    <cellStyle name="计算 2 2 2 4" xfId="49780"/>
    <cellStyle name="计算 2 2 2 4 2" xfId="49781"/>
    <cellStyle name="计算 2 2 2 4 2 2" xfId="49782"/>
    <cellStyle name="计算 2 2 2 4 2 2 2" xfId="49783"/>
    <cellStyle name="计算 2 2 2 4 3" xfId="49784"/>
    <cellStyle name="计算 2 2 2 4 3 2" xfId="49785"/>
    <cellStyle name="计算 2 2 2 5" xfId="49786"/>
    <cellStyle name="计算 2 2 2 6" xfId="49787"/>
    <cellStyle name="计算 2 2 2 7" xfId="49788"/>
    <cellStyle name="计算 2 2 3" xfId="49789"/>
    <cellStyle name="计算 2 2 3 2" xfId="49790"/>
    <cellStyle name="计算 2 2 3 2 2" xfId="49791"/>
    <cellStyle name="计算 2 2 3 2 3" xfId="49792"/>
    <cellStyle name="计算 2 2 3 2 3 2" xfId="49793"/>
    <cellStyle name="计算 2 2 3 2 3 2 2" xfId="49794"/>
    <cellStyle name="计算 2 2 3 2 4" xfId="49795"/>
    <cellStyle name="计算 2 2 3 2 4 2" xfId="49796"/>
    <cellStyle name="计算 2 2 3 3" xfId="49797"/>
    <cellStyle name="计算 2 2 3 3 2" xfId="49798"/>
    <cellStyle name="计算 2 2 3 3 2 2" xfId="49799"/>
    <cellStyle name="计算 2 2 3 3 2 2 2" xfId="49800"/>
    <cellStyle name="计算 2 2 3 3 3" xfId="49801"/>
    <cellStyle name="计算 2 2 3 3 3 2" xfId="49802"/>
    <cellStyle name="计算 2 2 3 4" xfId="49803"/>
    <cellStyle name="计算 2 2 3 5" xfId="49804"/>
    <cellStyle name="计算 2 2 3 6" xfId="49805"/>
    <cellStyle name="计算 2 2 4" xfId="49806"/>
    <cellStyle name="计算 2 2 4 2" xfId="49807"/>
    <cellStyle name="计算 2 2 4 2 2" xfId="49808"/>
    <cellStyle name="计算 2 2 4 2 3" xfId="49809"/>
    <cellStyle name="计算 2 2 4 2 3 2" xfId="49810"/>
    <cellStyle name="计算 2 2 4 2 3 2 2" xfId="49811"/>
    <cellStyle name="计算 2 2 4 2 4" xfId="49812"/>
    <cellStyle name="计算 2 2 4 2 4 2" xfId="49813"/>
    <cellStyle name="计算 2 2 4 3" xfId="49814"/>
    <cellStyle name="计算 2 2 4 4" xfId="49815"/>
    <cellStyle name="计算 2 2 4 5" xfId="49816"/>
    <cellStyle name="计算 2 2 4 6" xfId="49817"/>
    <cellStyle name="计算 2 2 5" xfId="49818"/>
    <cellStyle name="计算 2 2 5 2" xfId="49819"/>
    <cellStyle name="计算 2 2 5 2 2" xfId="49820"/>
    <cellStyle name="计算 2 2 5 2 2 2" xfId="49821"/>
    <cellStyle name="计算 2 2 5 2 2 2 2" xfId="49822"/>
    <cellStyle name="计算 2 2 5 2 3" xfId="49823"/>
    <cellStyle name="计算 2 2 5 2 3 2" xfId="49824"/>
    <cellStyle name="计算 2 2 5 3" xfId="49825"/>
    <cellStyle name="计算 2 2 5 3 2" xfId="49826"/>
    <cellStyle name="计算 2 2 5 3 2 2" xfId="49827"/>
    <cellStyle name="计算 2 2 5 4" xfId="49828"/>
    <cellStyle name="计算 2 2 5 4 2" xfId="49829"/>
    <cellStyle name="计算 2 2 6" xfId="49830"/>
    <cellStyle name="计算 2 2 6 2" xfId="49831"/>
    <cellStyle name="计算 2 2 6 2 2" xfId="49832"/>
    <cellStyle name="计算 2 2 6 2 2 2" xfId="49833"/>
    <cellStyle name="计算 2 2 6 2 2 2 2" xfId="49834"/>
    <cellStyle name="计算 2 2 6 2 3" xfId="49835"/>
    <cellStyle name="计算 2 2 6 2 3 2" xfId="49836"/>
    <cellStyle name="计算 2 2 6 3" xfId="49837"/>
    <cellStyle name="计算 2 2 6 3 2" xfId="49838"/>
    <cellStyle name="计算 2 2 6 3 2 2" xfId="49839"/>
    <cellStyle name="计算 2 2 6 4" xfId="49840"/>
    <cellStyle name="计算 2 2 6 4 2" xfId="49841"/>
    <cellStyle name="计算 2 2 7" xfId="49842"/>
    <cellStyle name="计算 2 2 7 2" xfId="49843"/>
    <cellStyle name="计算 2 2 7 2 2" xfId="49844"/>
    <cellStyle name="计算 2 2 7 2 2 2" xfId="49845"/>
    <cellStyle name="计算 2 2 7 2 2 2 2" xfId="49846"/>
    <cellStyle name="计算 2 2 7 2 3" xfId="49847"/>
    <cellStyle name="计算 2 2 7 2 3 2" xfId="49848"/>
    <cellStyle name="计算 2 2 7 3" xfId="49849"/>
    <cellStyle name="计算 2 2 7 3 2" xfId="49850"/>
    <cellStyle name="计算 2 2 7 3 2 2" xfId="49851"/>
    <cellStyle name="计算 2 2 7 4" xfId="49852"/>
    <cellStyle name="计算 2 2 7 4 2" xfId="49853"/>
    <cellStyle name="计算 2 2 8" xfId="49854"/>
    <cellStyle name="计算 2 2 8 2" xfId="49855"/>
    <cellStyle name="计算 2 2 8 2 2" xfId="49856"/>
    <cellStyle name="计算 2 2 8 2 2 2" xfId="49857"/>
    <cellStyle name="计算 2 2 8 3" xfId="49858"/>
    <cellStyle name="计算 2 2 8 3 2" xfId="49859"/>
    <cellStyle name="计算 2 2 9" xfId="49860"/>
    <cellStyle name="计算 2 2 9 2" xfId="49861"/>
    <cellStyle name="计算 2 2 9 2 2" xfId="49862"/>
    <cellStyle name="计算 2 2 9 2 2 2" xfId="49863"/>
    <cellStyle name="计算 2 2 9 3" xfId="49864"/>
    <cellStyle name="计算 2 2 9 3 2" xfId="49865"/>
    <cellStyle name="计算 2 3" xfId="49866"/>
    <cellStyle name="计算 2 3 2" xfId="49867"/>
    <cellStyle name="计算 2 3 2 2" xfId="49868"/>
    <cellStyle name="计算 2 3 2 2 2" xfId="49869"/>
    <cellStyle name="计算 2 3 2 2 2 2" xfId="49870"/>
    <cellStyle name="计算 2 3 2 2 2 3" xfId="49871"/>
    <cellStyle name="计算 2 3 2 2 2 3 2" xfId="49872"/>
    <cellStyle name="计算 2 3 2 2 2 3 2 2" xfId="49873"/>
    <cellStyle name="计算 2 3 2 2 2 4" xfId="49874"/>
    <cellStyle name="计算 2 3 2 2 2 4 2" xfId="49875"/>
    <cellStyle name="计算 2 3 2 2 3" xfId="49876"/>
    <cellStyle name="计算 2 3 2 2 3 2" xfId="49877"/>
    <cellStyle name="计算 2 3 2 2 3 2 2" xfId="49878"/>
    <cellStyle name="计算 2 3 2 2 3 2 2 2" xfId="49879"/>
    <cellStyle name="计算 2 3 2 2 3 3" xfId="49880"/>
    <cellStyle name="计算 2 3 2 2 3 3 2" xfId="49881"/>
    <cellStyle name="计算 2 3 2 2 4" xfId="49882"/>
    <cellStyle name="计算 2 3 2 2 5" xfId="49883"/>
    <cellStyle name="计算 2 3 2 2 6" xfId="49884"/>
    <cellStyle name="计算 2 3 2 3" xfId="49885"/>
    <cellStyle name="计算 2 3 2 3 2" xfId="49886"/>
    <cellStyle name="计算 2 3 2 3 3" xfId="49887"/>
    <cellStyle name="计算 2 3 2 3 3 2" xfId="49888"/>
    <cellStyle name="计算 2 3 2 3 3 2 2" xfId="49889"/>
    <cellStyle name="计算 2 3 2 3 4" xfId="49890"/>
    <cellStyle name="计算 2 3 2 3 4 2" xfId="49891"/>
    <cellStyle name="计算 2 3 2 4" xfId="49892"/>
    <cellStyle name="计算 2 3 2 4 2" xfId="49893"/>
    <cellStyle name="计算 2 3 2 4 2 2" xfId="49894"/>
    <cellStyle name="计算 2 3 2 4 2 2 2" xfId="49895"/>
    <cellStyle name="计算 2 3 2 4 3" xfId="49896"/>
    <cellStyle name="计算 2 3 2 4 3 2" xfId="49897"/>
    <cellStyle name="计算 2 3 2 5" xfId="49898"/>
    <cellStyle name="计算 2 3 2 6" xfId="49899"/>
    <cellStyle name="计算 2 3 2 7" xfId="49900"/>
    <cellStyle name="计算 2 3 3" xfId="49901"/>
    <cellStyle name="计算 2 3 3 2" xfId="49902"/>
    <cellStyle name="计算 2 3 3 2 2" xfId="49903"/>
    <cellStyle name="计算 2 3 3 2 3" xfId="49904"/>
    <cellStyle name="计算 2 3 3 2 3 2" xfId="49905"/>
    <cellStyle name="计算 2 3 3 2 3 2 2" xfId="49906"/>
    <cellStyle name="计算 2 3 3 2 4" xfId="49907"/>
    <cellStyle name="计算 2 3 3 2 4 2" xfId="49908"/>
    <cellStyle name="计算 2 3 3 3" xfId="49909"/>
    <cellStyle name="计算 2 3 3 3 2" xfId="49910"/>
    <cellStyle name="计算 2 3 3 3 2 2" xfId="49911"/>
    <cellStyle name="计算 2 3 3 3 2 2 2" xfId="49912"/>
    <cellStyle name="计算 2 3 3 3 3" xfId="49913"/>
    <cellStyle name="计算 2 3 3 3 3 2" xfId="49914"/>
    <cellStyle name="计算 2 3 3 4" xfId="49915"/>
    <cellStyle name="计算 2 3 3 5" xfId="49916"/>
    <cellStyle name="计算 2 3 3 6" xfId="49917"/>
    <cellStyle name="计算 2 3 4" xfId="49918"/>
    <cellStyle name="计算 2 3 4 2" xfId="49919"/>
    <cellStyle name="计算 2 3 4 2 2" xfId="49920"/>
    <cellStyle name="计算 2 3 4 2 3" xfId="49921"/>
    <cellStyle name="计算 2 3 4 2 3 2" xfId="49922"/>
    <cellStyle name="计算 2 3 4 2 3 2 2" xfId="49923"/>
    <cellStyle name="计算 2 3 4 2 4" xfId="49924"/>
    <cellStyle name="计算 2 3 4 2 4 2" xfId="49925"/>
    <cellStyle name="计算 2 3 4 3" xfId="49926"/>
    <cellStyle name="计算 2 3 4 4" xfId="49927"/>
    <cellStyle name="计算 2 3 4 5" xfId="49928"/>
    <cellStyle name="计算 2 3 4 6" xfId="49929"/>
    <cellStyle name="计算 2 3 5" xfId="49930"/>
    <cellStyle name="计算 2 3 5 2" xfId="49931"/>
    <cellStyle name="计算 2 3 5 2 2" xfId="49932"/>
    <cellStyle name="计算 2 3 5 2 2 2" xfId="49933"/>
    <cellStyle name="计算 2 3 5 2 2 2 2" xfId="49934"/>
    <cellStyle name="计算 2 3 5 2 3" xfId="49935"/>
    <cellStyle name="计算 2 3 5 2 3 2" xfId="49936"/>
    <cellStyle name="计算 2 3 5 3" xfId="49937"/>
    <cellStyle name="计算 2 3 5 3 2" xfId="49938"/>
    <cellStyle name="计算 2 3 5 3 2 2" xfId="49939"/>
    <cellStyle name="计算 2 3 5 4" xfId="49940"/>
    <cellStyle name="计算 2 3 5 4 2" xfId="49941"/>
    <cellStyle name="计算 2 3 6" xfId="49942"/>
    <cellStyle name="计算 2 3 6 2" xfId="49943"/>
    <cellStyle name="计算 2 3 6 2 2" xfId="49944"/>
    <cellStyle name="计算 2 3 6 2 2 2" xfId="49945"/>
    <cellStyle name="计算 2 3 6 3" xfId="49946"/>
    <cellStyle name="计算 2 3 6 3 2" xfId="49947"/>
    <cellStyle name="计算 2 3 7" xfId="49948"/>
    <cellStyle name="计算 2 3 7 2" xfId="49949"/>
    <cellStyle name="计算 2 3 7 2 2" xfId="49950"/>
    <cellStyle name="计算 2 3 7 2 2 2" xfId="49951"/>
    <cellStyle name="计算 2 3 7 3" xfId="49952"/>
    <cellStyle name="计算 2 3 7 3 2" xfId="49953"/>
    <cellStyle name="计算 2 3 8" xfId="49954"/>
    <cellStyle name="计算 2 3 9" xfId="49955"/>
    <cellStyle name="计算 2 4" xfId="49956"/>
    <cellStyle name="计算 2 4 2" xfId="49957"/>
    <cellStyle name="计算 2 4 2 2" xfId="49958"/>
    <cellStyle name="计算 2 4 2 3" xfId="49959"/>
    <cellStyle name="计算 2 4 2 3 2" xfId="49960"/>
    <cellStyle name="计算 2 4 2 3 2 2" xfId="49961"/>
    <cellStyle name="计算 2 4 2 4" xfId="49962"/>
    <cellStyle name="计算 2 4 2 4 2" xfId="49963"/>
    <cellStyle name="计算 2 4 3" xfId="49964"/>
    <cellStyle name="计算 2 4 3 2" xfId="49965"/>
    <cellStyle name="计算 2 4 3 2 2" xfId="49966"/>
    <cellStyle name="计算 2 4 3 2 2 2" xfId="49967"/>
    <cellStyle name="计算 2 4 3 3" xfId="49968"/>
    <cellStyle name="计算 2 4 3 3 2" xfId="49969"/>
    <cellStyle name="计算 2 4 4" xfId="49970"/>
    <cellStyle name="计算 2 4 5" xfId="49971"/>
    <cellStyle name="计算 2 4 6" xfId="49972"/>
    <cellStyle name="计算 2 5" xfId="49973"/>
    <cellStyle name="计算 2 5 2" xfId="49974"/>
    <cellStyle name="计算 2 5 2 2" xfId="49975"/>
    <cellStyle name="计算 2 5 2 3" xfId="49976"/>
    <cellStyle name="计算 2 5 2 3 2" xfId="49977"/>
    <cellStyle name="计算 2 5 2 3 2 2" xfId="49978"/>
    <cellStyle name="计算 2 5 2 4" xfId="49979"/>
    <cellStyle name="计算 2 5 2 4 2" xfId="49980"/>
    <cellStyle name="计算 2 5 3" xfId="49981"/>
    <cellStyle name="计算 2 5 4" xfId="49982"/>
    <cellStyle name="计算 2 5 5" xfId="49983"/>
    <cellStyle name="计算 2 5 6" xfId="49984"/>
    <cellStyle name="计算 2 6" xfId="49985"/>
    <cellStyle name="计算 2 6 2" xfId="49986"/>
    <cellStyle name="计算 2 6 2 2" xfId="49987"/>
    <cellStyle name="计算 2 6 2 2 2" xfId="49988"/>
    <cellStyle name="计算 2 6 2 2 2 2" xfId="49989"/>
    <cellStyle name="计算 2 6 2 3" xfId="49990"/>
    <cellStyle name="计算 2 6 2 3 2" xfId="49991"/>
    <cellStyle name="计算 2 6 3" xfId="49992"/>
    <cellStyle name="计算 2 6 3 2" xfId="49993"/>
    <cellStyle name="计算 2 6 3 2 2" xfId="49994"/>
    <cellStyle name="计算 2 6 4" xfId="49995"/>
    <cellStyle name="计算 2 6 4 2" xfId="49996"/>
    <cellStyle name="计算 2 7" xfId="49997"/>
    <cellStyle name="计算 2 7 2" xfId="49998"/>
    <cellStyle name="计算 2 7 2 2" xfId="49999"/>
    <cellStyle name="计算 2 7 2 2 2" xfId="50000"/>
    <cellStyle name="计算 2 7 2 2 2 2" xfId="50001"/>
    <cellStyle name="计算 2 7 2 3" xfId="50002"/>
    <cellStyle name="计算 2 7 2 3 2" xfId="50003"/>
    <cellStyle name="计算 2 7 3" xfId="50004"/>
    <cellStyle name="计算 2 7 3 2" xfId="50005"/>
    <cellStyle name="计算 2 7 3 2 2" xfId="50006"/>
    <cellStyle name="计算 2 7 4" xfId="50007"/>
    <cellStyle name="计算 2 7 4 2" xfId="50008"/>
    <cellStyle name="计算 2 8" xfId="50009"/>
    <cellStyle name="计算 2 8 2" xfId="50010"/>
    <cellStyle name="计算 2 8 2 2" xfId="50011"/>
    <cellStyle name="计算 2 8 2 2 2" xfId="50012"/>
    <cellStyle name="计算 2 8 2 2 2 2" xfId="50013"/>
    <cellStyle name="计算 2 8 2 3" xfId="50014"/>
    <cellStyle name="计算 2 8 2 3 2" xfId="50015"/>
    <cellStyle name="计算 2 8 3" xfId="50016"/>
    <cellStyle name="计算 2 8 3 2" xfId="50017"/>
    <cellStyle name="计算 2 8 3 2 2" xfId="50018"/>
    <cellStyle name="计算 2 8 4" xfId="50019"/>
    <cellStyle name="计算 2 8 4 2" xfId="50020"/>
    <cellStyle name="计算 2 9" xfId="50021"/>
    <cellStyle name="计算 2 9 2" xfId="50022"/>
    <cellStyle name="计算 2 9 2 2" xfId="50023"/>
    <cellStyle name="计算 2 9 2 2 2" xfId="50024"/>
    <cellStyle name="计算 2 9 3" xfId="50025"/>
    <cellStyle name="计算 2 9 3 2" xfId="50026"/>
    <cellStyle name="计算 3" xfId="50027"/>
    <cellStyle name="计算 3 2" xfId="50028"/>
    <cellStyle name="计算 3 2 2" xfId="50029"/>
    <cellStyle name="计算 3 2 2 2" xfId="50030"/>
    <cellStyle name="计算 3 2 2 2 2" xfId="50031"/>
    <cellStyle name="计算 3 2 2 2 3" xfId="50032"/>
    <cellStyle name="计算 3 2 2 2 3 2" xfId="50033"/>
    <cellStyle name="计算 3 2 2 2 3 2 2" xfId="50034"/>
    <cellStyle name="计算 3 2 2 2 4" xfId="50035"/>
    <cellStyle name="计算 3 2 2 2 4 2" xfId="50036"/>
    <cellStyle name="计算 3 2 2 3" xfId="50037"/>
    <cellStyle name="计算 3 2 2 3 2" xfId="50038"/>
    <cellStyle name="计算 3 2 2 3 2 2" xfId="50039"/>
    <cellStyle name="计算 3 2 2 3 2 2 2" xfId="50040"/>
    <cellStyle name="计算 3 2 2 3 3" xfId="50041"/>
    <cellStyle name="计算 3 2 2 3 3 2" xfId="50042"/>
    <cellStyle name="计算 3 2 2 4" xfId="50043"/>
    <cellStyle name="计算 3 2 2 5" xfId="50044"/>
    <cellStyle name="计算 3 2 2 6" xfId="50045"/>
    <cellStyle name="计算 3 2 3" xfId="50046"/>
    <cellStyle name="计算 3 2 3 2" xfId="50047"/>
    <cellStyle name="计算 3 2 3 3" xfId="50048"/>
    <cellStyle name="计算 3 2 3 3 2" xfId="50049"/>
    <cellStyle name="计算 3 2 3 3 2 2" xfId="50050"/>
    <cellStyle name="计算 3 2 3 4" xfId="50051"/>
    <cellStyle name="计算 3 2 3 4 2" xfId="50052"/>
    <cellStyle name="计算 3 2 4" xfId="50053"/>
    <cellStyle name="计算 3 2 4 2" xfId="50054"/>
    <cellStyle name="计算 3 2 4 2 2" xfId="50055"/>
    <cellStyle name="计算 3 2 4 2 2 2" xfId="50056"/>
    <cellStyle name="计算 3 2 4 3" xfId="50057"/>
    <cellStyle name="计算 3 2 4 3 2" xfId="50058"/>
    <cellStyle name="计算 3 2 5" xfId="50059"/>
    <cellStyle name="计算 3 2 6" xfId="50060"/>
    <cellStyle name="计算 3 2 7" xfId="50061"/>
    <cellStyle name="计算 3 3" xfId="50062"/>
    <cellStyle name="计算 3 3 2" xfId="50063"/>
    <cellStyle name="计算 3 3 2 2" xfId="50064"/>
    <cellStyle name="计算 3 3 2 3" xfId="50065"/>
    <cellStyle name="计算 3 3 2 3 2" xfId="50066"/>
    <cellStyle name="计算 3 3 2 3 2 2" xfId="50067"/>
    <cellStyle name="计算 3 3 2 4" xfId="50068"/>
    <cellStyle name="计算 3 3 2 4 2" xfId="50069"/>
    <cellStyle name="计算 3 3 3" xfId="50070"/>
    <cellStyle name="计算 3 3 3 2" xfId="50071"/>
    <cellStyle name="计算 3 3 3 2 2" xfId="50072"/>
    <cellStyle name="计算 3 3 3 2 2 2" xfId="50073"/>
    <cellStyle name="计算 3 3 3 3" xfId="50074"/>
    <cellStyle name="计算 3 3 3 3 2" xfId="50075"/>
    <cellStyle name="计算 3 3 4" xfId="50076"/>
    <cellStyle name="计算 3 3 5" xfId="50077"/>
    <cellStyle name="计算 3 3 6" xfId="50078"/>
    <cellStyle name="计算 3 4" xfId="50079"/>
    <cellStyle name="计算 3 4 2" xfId="50080"/>
    <cellStyle name="计算 3 4 2 2" xfId="50081"/>
    <cellStyle name="计算 3 4 2 3" xfId="50082"/>
    <cellStyle name="计算 3 4 2 3 2" xfId="50083"/>
    <cellStyle name="计算 3 4 2 3 2 2" xfId="50084"/>
    <cellStyle name="计算 3 4 2 4" xfId="50085"/>
    <cellStyle name="计算 3 4 2 4 2" xfId="50086"/>
    <cellStyle name="计算 3 4 3" xfId="50087"/>
    <cellStyle name="计算 3 4 4" xfId="50088"/>
    <cellStyle name="计算 3 4 5" xfId="50089"/>
    <cellStyle name="计算 3 4 6" xfId="50090"/>
    <cellStyle name="计算 3 5" xfId="50091"/>
    <cellStyle name="计算 3 5 2" xfId="50092"/>
    <cellStyle name="计算 3 5 2 2" xfId="50093"/>
    <cellStyle name="计算 3 5 2 2 2" xfId="50094"/>
    <cellStyle name="计算 3 5 2 2 2 2" xfId="50095"/>
    <cellStyle name="计算 3 5 2 3" xfId="50096"/>
    <cellStyle name="计算 3 5 2 3 2" xfId="50097"/>
    <cellStyle name="计算 3 5 3" xfId="50098"/>
    <cellStyle name="计算 3 5 3 2" xfId="50099"/>
    <cellStyle name="计算 3 5 3 2 2" xfId="50100"/>
    <cellStyle name="计算 3 5 4" xfId="50101"/>
    <cellStyle name="计算 3 5 4 2" xfId="50102"/>
    <cellStyle name="计算 3 6" xfId="50103"/>
    <cellStyle name="计算 3 6 2" xfId="50104"/>
    <cellStyle name="计算 3 6 2 2" xfId="50105"/>
    <cellStyle name="计算 3 6 2 2 2" xfId="50106"/>
    <cellStyle name="计算 3 6 3" xfId="50107"/>
    <cellStyle name="计算 3 6 3 2" xfId="50108"/>
    <cellStyle name="计算 3 7" xfId="50109"/>
    <cellStyle name="计算 3 8" xfId="50110"/>
    <cellStyle name="貨幣 [0]_DrayageRevenueWorking" xfId="50111"/>
    <cellStyle name="貨幣[0]_ 活動指標 (S1)" xfId="50112"/>
    <cellStyle name="貨幣_DrayageRevenueWorking" xfId="50113"/>
    <cellStyle name="货币 2" xfId="50114"/>
    <cellStyle name="货币 2 2" xfId="50115"/>
    <cellStyle name="货币 2 2 2" xfId="50116"/>
    <cellStyle name="货币 2 2 2 2" xfId="50117"/>
    <cellStyle name="货币 2 2 2 2 2" xfId="50118"/>
    <cellStyle name="货币 2 2 2 2 3" xfId="50119"/>
    <cellStyle name="货币 2 2 2 3" xfId="50120"/>
    <cellStyle name="货币 2 2 2 4" xfId="50121"/>
    <cellStyle name="货币 2 2 2 5" xfId="50122"/>
    <cellStyle name="货币 2 2 2 6" xfId="50123"/>
    <cellStyle name="货币 2 2 2 6 2" xfId="50124"/>
    <cellStyle name="货币 2 2 2 7" xfId="50125"/>
    <cellStyle name="货币 2 2 2 7 2" xfId="50126"/>
    <cellStyle name="货币 2 2 2 7 3" xfId="50127"/>
    <cellStyle name="货币 2 2 2 8" xfId="50128"/>
    <cellStyle name="货币 2 2 3" xfId="50129"/>
    <cellStyle name="货币 2 2 3 2" xfId="50130"/>
    <cellStyle name="货币 2 2 3 3" xfId="50131"/>
    <cellStyle name="货币 2 2 4" xfId="50132"/>
    <cellStyle name="货币 2 2 5" xfId="50133"/>
    <cellStyle name="货币 2 2 6" xfId="50134"/>
    <cellStyle name="货币 2 2 7" xfId="50135"/>
    <cellStyle name="货币 2 2 7 2" xfId="50136"/>
    <cellStyle name="货币 2 2 7 2 2" xfId="50137"/>
    <cellStyle name="货币 2 2 7 3" xfId="50138"/>
    <cellStyle name="货币 2 2 8" xfId="50139"/>
    <cellStyle name="货币 2 2 8 2" xfId="50140"/>
    <cellStyle name="货币 2 2 9" xfId="50141"/>
    <cellStyle name="货币 2 2 9 2" xfId="50142"/>
    <cellStyle name="货币 2 3" xfId="50143"/>
    <cellStyle name="货币 2 3 2" xfId="50144"/>
    <cellStyle name="货币 2 3 2 2" xfId="50145"/>
    <cellStyle name="货币 2 3 2 3" xfId="50146"/>
    <cellStyle name="货币 2 3 3" xfId="50147"/>
    <cellStyle name="货币 2 3 4" xfId="50148"/>
    <cellStyle name="货币 2 3 5" xfId="50149"/>
    <cellStyle name="货币 2 3 6" xfId="50150"/>
    <cellStyle name="货币 2 3 6 2" xfId="50151"/>
    <cellStyle name="货币 2 3 6 2 2" xfId="50152"/>
    <cellStyle name="货币 2 3 6 3" xfId="50153"/>
    <cellStyle name="货币 2 3 7" xfId="50154"/>
    <cellStyle name="货币 2 3 7 2" xfId="50155"/>
    <cellStyle name="货币 2 3 8" xfId="50156"/>
    <cellStyle name="货币 2 3 8 2" xfId="50157"/>
    <cellStyle name="货币 2 4" xfId="50158"/>
    <cellStyle name="货币 2 4 2" xfId="50159"/>
    <cellStyle name="货币 2 4 2 2" xfId="50160"/>
    <cellStyle name="货币 2 4 2 3" xfId="50161"/>
    <cellStyle name="货币 2 4 3" xfId="50162"/>
    <cellStyle name="货币 2 4 4" xfId="50163"/>
    <cellStyle name="货币 2 4 5" xfId="50164"/>
    <cellStyle name="货币 2 4 6" xfId="50165"/>
    <cellStyle name="货币 2 4 6 2" xfId="50166"/>
    <cellStyle name="货币 2 4 7" xfId="50167"/>
    <cellStyle name="货币 2 4 7 2" xfId="50168"/>
    <cellStyle name="货币 2 4 7 3" xfId="50169"/>
    <cellStyle name="货币 2 4 8" xfId="50170"/>
    <cellStyle name="货币 2 5" xfId="50171"/>
    <cellStyle name="货币 2 5 2" xfId="50172"/>
    <cellStyle name="货币 2 5 2 2" xfId="50173"/>
    <cellStyle name="货币 2 5 2 2 2" xfId="50174"/>
    <cellStyle name="货币 2 5 3" xfId="50175"/>
    <cellStyle name="货币 2 5 3 2" xfId="50176"/>
    <cellStyle name="货币 2 5 4" xfId="50177"/>
    <cellStyle name="货币 2 5 4 2" xfId="50178"/>
    <cellStyle name="货币 2 5 5" xfId="50179"/>
    <cellStyle name="货币 2 6" xfId="50180"/>
    <cellStyle name="货币 2 6 2" xfId="50181"/>
    <cellStyle name="货币[0]_061 explanation" xfId="50182"/>
    <cellStyle name="货币_061 explanation" xfId="50183"/>
    <cellStyle name="超级链接_Ji Fa - SOICT Pd 023 Mgmt Report" xfId="50184"/>
    <cellStyle name="超链接 2" xfId="50185"/>
    <cellStyle name="超链接 2 2" xfId="50186"/>
    <cellStyle name="超链接 2 2 2" xfId="50187"/>
    <cellStyle name="超链接 2 2 2 2" xfId="50188"/>
    <cellStyle name="超链接 2 2 2 3" xfId="50189"/>
    <cellStyle name="超链接 2 2 3" xfId="50190"/>
    <cellStyle name="超链接 2 2 4" xfId="50191"/>
    <cellStyle name="超链接 2 2 5" xfId="50192"/>
    <cellStyle name="超链接 2 2 6" xfId="50193"/>
    <cellStyle name="超链接 2 3" xfId="50194"/>
    <cellStyle name="超链接 2 3 2" xfId="50195"/>
    <cellStyle name="超链接 2 3 3" xfId="50196"/>
    <cellStyle name="超链接 2 4" xfId="50197"/>
    <cellStyle name="超链接 2 5" xfId="50198"/>
    <cellStyle name="超链接 2 6" xfId="50199"/>
    <cellStyle name="超链接 2 7" xfId="50200"/>
    <cellStyle name="输入 2" xfId="50201"/>
    <cellStyle name="输入 2 10" xfId="50202"/>
    <cellStyle name="输入 2 11" xfId="50203"/>
    <cellStyle name="输入 2 2" xfId="50204"/>
    <cellStyle name="输入 2 2 10" xfId="50205"/>
    <cellStyle name="输入 2 2 11" xfId="50206"/>
    <cellStyle name="输入 2 2 2" xfId="50207"/>
    <cellStyle name="输入 2 2 2 2" xfId="50208"/>
    <cellStyle name="输入 2 2 2 2 2" xfId="50209"/>
    <cellStyle name="输入 2 2 2 2 2 2" xfId="50210"/>
    <cellStyle name="输入 2 2 2 2 2 3" xfId="50211"/>
    <cellStyle name="输入 2 2 2 2 2 3 2" xfId="50212"/>
    <cellStyle name="输入 2 2 2 2 2 3 2 2" xfId="50213"/>
    <cellStyle name="输入 2 2 2 2 2 4" xfId="50214"/>
    <cellStyle name="输入 2 2 2 2 2 4 2" xfId="50215"/>
    <cellStyle name="输入 2 2 2 2 3" xfId="50216"/>
    <cellStyle name="输入 2 2 2 2 3 2" xfId="50217"/>
    <cellStyle name="输入 2 2 2 2 3 2 2" xfId="50218"/>
    <cellStyle name="输入 2 2 2 2 3 2 2 2" xfId="50219"/>
    <cellStyle name="输入 2 2 2 2 3 3" xfId="50220"/>
    <cellStyle name="输入 2 2 2 2 3 3 2" xfId="50221"/>
    <cellStyle name="输入 2 2 2 2 4" xfId="50222"/>
    <cellStyle name="输入 2 2 2 2 5" xfId="50223"/>
    <cellStyle name="输入 2 2 2 2 6" xfId="50224"/>
    <cellStyle name="输入 2 2 2 3" xfId="50225"/>
    <cellStyle name="输入 2 2 2 3 2" xfId="50226"/>
    <cellStyle name="输入 2 2 2 3 3" xfId="50227"/>
    <cellStyle name="输入 2 2 2 3 3 2" xfId="50228"/>
    <cellStyle name="输入 2 2 2 3 3 2 2" xfId="50229"/>
    <cellStyle name="输入 2 2 2 3 4" xfId="50230"/>
    <cellStyle name="输入 2 2 2 3 4 2" xfId="50231"/>
    <cellStyle name="输入 2 2 2 4" xfId="50232"/>
    <cellStyle name="输入 2 2 2 4 2" xfId="50233"/>
    <cellStyle name="输入 2 2 2 4 2 2" xfId="50234"/>
    <cellStyle name="输入 2 2 2 4 2 2 2" xfId="50235"/>
    <cellStyle name="输入 2 2 2 4 3" xfId="50236"/>
    <cellStyle name="输入 2 2 2 4 3 2" xfId="50237"/>
    <cellStyle name="输入 2 2 2 5" xfId="50238"/>
    <cellStyle name="输入 2 2 2 6" xfId="50239"/>
    <cellStyle name="输入 2 2 2 7" xfId="50240"/>
    <cellStyle name="输入 2 2 3" xfId="50241"/>
    <cellStyle name="输入 2 2 3 2" xfId="50242"/>
    <cellStyle name="输入 2 2 3 2 2" xfId="50243"/>
    <cellStyle name="输入 2 2 3 2 3" xfId="50244"/>
    <cellStyle name="输入 2 2 3 2 3 2" xfId="50245"/>
    <cellStyle name="输入 2 2 3 2 3 2 2" xfId="50246"/>
    <cellStyle name="输入 2 2 3 2 4" xfId="50247"/>
    <cellStyle name="输入 2 2 3 2 4 2" xfId="50248"/>
    <cellStyle name="输入 2 2 3 3" xfId="50249"/>
    <cellStyle name="输入 2 2 3 3 2" xfId="50250"/>
    <cellStyle name="输入 2 2 3 3 2 2" xfId="50251"/>
    <cellStyle name="输入 2 2 3 3 2 2 2" xfId="50252"/>
    <cellStyle name="输入 2 2 3 3 3" xfId="50253"/>
    <cellStyle name="输入 2 2 3 3 3 2" xfId="50254"/>
    <cellStyle name="输入 2 2 3 4" xfId="50255"/>
    <cellStyle name="输入 2 2 3 5" xfId="50256"/>
    <cellStyle name="输入 2 2 3 6" xfId="50257"/>
    <cellStyle name="输入 2 2 4" xfId="50258"/>
    <cellStyle name="输入 2 2 4 2" xfId="50259"/>
    <cellStyle name="输入 2 2 4 2 2" xfId="50260"/>
    <cellStyle name="输入 2 2 4 2 3" xfId="50261"/>
    <cellStyle name="输入 2 2 4 2 3 2" xfId="50262"/>
    <cellStyle name="输入 2 2 4 2 3 2 2" xfId="50263"/>
    <cellStyle name="输入 2 2 4 2 4" xfId="50264"/>
    <cellStyle name="输入 2 2 4 2 4 2" xfId="50265"/>
    <cellStyle name="输入 2 2 4 3" xfId="50266"/>
    <cellStyle name="输入 2 2 4 4" xfId="50267"/>
    <cellStyle name="输入 2 2 4 5" xfId="50268"/>
    <cellStyle name="输入 2 2 4 6" xfId="50269"/>
    <cellStyle name="输入 2 2 5" xfId="50270"/>
    <cellStyle name="输入 2 2 5 2" xfId="50271"/>
    <cellStyle name="输入 2 2 5 2 2" xfId="50272"/>
    <cellStyle name="输入 2 2 5 2 2 2" xfId="50273"/>
    <cellStyle name="输入 2 2 5 2 2 2 2" xfId="50274"/>
    <cellStyle name="输入 2 2 5 2 3" xfId="50275"/>
    <cellStyle name="输入 2 2 5 2 3 2" xfId="50276"/>
    <cellStyle name="输入 2 2 5 3" xfId="50277"/>
    <cellStyle name="输入 2 2 5 3 2" xfId="50278"/>
    <cellStyle name="输入 2 2 5 3 2 2" xfId="50279"/>
    <cellStyle name="输入 2 2 5 4" xfId="50280"/>
    <cellStyle name="输入 2 2 5 4 2" xfId="50281"/>
    <cellStyle name="输入 2 2 6" xfId="50282"/>
    <cellStyle name="输入 2 2 6 2" xfId="50283"/>
    <cellStyle name="输入 2 2 6 2 2" xfId="50284"/>
    <cellStyle name="输入 2 2 6 2 2 2" xfId="50285"/>
    <cellStyle name="输入 2 2 6 2 2 2 2" xfId="50286"/>
    <cellStyle name="输入 2 2 6 2 3" xfId="50287"/>
    <cellStyle name="输入 2 2 6 2 3 2" xfId="50288"/>
    <cellStyle name="输入 2 2 6 3" xfId="50289"/>
    <cellStyle name="输入 2 2 6 3 2" xfId="50290"/>
    <cellStyle name="输入 2 2 6 3 2 2" xfId="50291"/>
    <cellStyle name="输入 2 2 6 4" xfId="50292"/>
    <cellStyle name="输入 2 2 6 4 2" xfId="50293"/>
    <cellStyle name="输入 2 2 7" xfId="50294"/>
    <cellStyle name="输入 2 2 7 2" xfId="50295"/>
    <cellStyle name="输入 2 2 7 2 2" xfId="50296"/>
    <cellStyle name="输入 2 2 7 2 2 2" xfId="50297"/>
    <cellStyle name="输入 2 2 7 2 2 2 2" xfId="50298"/>
    <cellStyle name="输入 2 2 7 2 3" xfId="50299"/>
    <cellStyle name="输入 2 2 7 2 3 2" xfId="50300"/>
    <cellStyle name="输入 2 2 7 3" xfId="50301"/>
    <cellStyle name="输入 2 2 7 3 2" xfId="50302"/>
    <cellStyle name="输入 2 2 7 3 2 2" xfId="50303"/>
    <cellStyle name="输入 2 2 7 4" xfId="50304"/>
    <cellStyle name="输入 2 2 7 4 2" xfId="50305"/>
    <cellStyle name="输入 2 2 8" xfId="50306"/>
    <cellStyle name="输入 2 2 8 2" xfId="50307"/>
    <cellStyle name="输入 2 2 8 2 2" xfId="50308"/>
    <cellStyle name="输入 2 2 8 2 2 2" xfId="50309"/>
    <cellStyle name="输入 2 2 8 3" xfId="50310"/>
    <cellStyle name="输入 2 2 8 3 2" xfId="50311"/>
    <cellStyle name="输入 2 2 9" xfId="50312"/>
    <cellStyle name="输入 2 2 9 2" xfId="50313"/>
    <cellStyle name="输入 2 2 9 2 2" xfId="50314"/>
    <cellStyle name="输入 2 2 9 2 2 2" xfId="50315"/>
    <cellStyle name="输入 2 2 9 3" xfId="50316"/>
    <cellStyle name="输入 2 2 9 3 2" xfId="50317"/>
    <cellStyle name="输入 2 3" xfId="50318"/>
    <cellStyle name="输入 2 3 2" xfId="50319"/>
    <cellStyle name="输入 2 3 2 2" xfId="50320"/>
    <cellStyle name="输入 2 3 2 2 2" xfId="50321"/>
    <cellStyle name="输入 2 3 2 2 2 2" xfId="50322"/>
    <cellStyle name="输入 2 3 2 2 2 3" xfId="50323"/>
    <cellStyle name="输入 2 3 2 2 2 3 2" xfId="50324"/>
    <cellStyle name="输入 2 3 2 2 2 3 2 2" xfId="50325"/>
    <cellStyle name="输入 2 3 2 2 2 4" xfId="50326"/>
    <cellStyle name="输入 2 3 2 2 2 4 2" xfId="50327"/>
    <cellStyle name="输入 2 3 2 2 3" xfId="50328"/>
    <cellStyle name="输入 2 3 2 2 3 2" xfId="50329"/>
    <cellStyle name="输入 2 3 2 2 3 2 2" xfId="50330"/>
    <cellStyle name="输入 2 3 2 2 3 2 2 2" xfId="50331"/>
    <cellStyle name="输入 2 3 2 2 3 3" xfId="50332"/>
    <cellStyle name="输入 2 3 2 2 3 3 2" xfId="50333"/>
    <cellStyle name="输入 2 3 2 2 4" xfId="50334"/>
    <cellStyle name="输入 2 3 2 2 5" xfId="50335"/>
    <cellStyle name="输入 2 3 2 2 6" xfId="50336"/>
    <cellStyle name="输入 2 3 2 3" xfId="50337"/>
    <cellStyle name="输入 2 3 2 3 2" xfId="50338"/>
    <cellStyle name="输入 2 3 2 3 3" xfId="50339"/>
    <cellStyle name="输入 2 3 2 3 3 2" xfId="50340"/>
    <cellStyle name="输入 2 3 2 3 3 2 2" xfId="50341"/>
    <cellStyle name="输入 2 3 2 3 4" xfId="50342"/>
    <cellStyle name="输入 2 3 2 3 4 2" xfId="50343"/>
    <cellStyle name="输入 2 3 2 4" xfId="50344"/>
    <cellStyle name="输入 2 3 2 4 2" xfId="50345"/>
    <cellStyle name="输入 2 3 2 4 2 2" xfId="50346"/>
    <cellStyle name="输入 2 3 2 4 2 2 2" xfId="50347"/>
    <cellStyle name="输入 2 3 2 4 3" xfId="50348"/>
    <cellStyle name="输入 2 3 2 4 3 2" xfId="50349"/>
    <cellStyle name="输入 2 3 2 5" xfId="50350"/>
    <cellStyle name="输入 2 3 2 6" xfId="50351"/>
    <cellStyle name="输入 2 3 2 7" xfId="50352"/>
    <cellStyle name="输入 2 3 3" xfId="50353"/>
    <cellStyle name="输入 2 3 3 2" xfId="50354"/>
    <cellStyle name="输入 2 3 3 2 2" xfId="50355"/>
    <cellStyle name="输入 2 3 3 2 3" xfId="50356"/>
    <cellStyle name="输入 2 3 3 2 3 2" xfId="50357"/>
    <cellStyle name="输入 2 3 3 2 3 2 2" xfId="50358"/>
    <cellStyle name="输入 2 3 3 2 4" xfId="50359"/>
    <cellStyle name="输入 2 3 3 2 4 2" xfId="50360"/>
    <cellStyle name="输入 2 3 3 3" xfId="50361"/>
    <cellStyle name="输入 2 3 3 3 2" xfId="50362"/>
    <cellStyle name="输入 2 3 3 3 2 2" xfId="50363"/>
    <cellStyle name="输入 2 3 3 3 2 2 2" xfId="50364"/>
    <cellStyle name="输入 2 3 3 3 3" xfId="50365"/>
    <cellStyle name="输入 2 3 3 3 3 2" xfId="50366"/>
    <cellStyle name="输入 2 3 3 4" xfId="50367"/>
    <cellStyle name="输入 2 3 3 5" xfId="50368"/>
    <cellStyle name="输入 2 3 3 6" xfId="50369"/>
    <cellStyle name="输入 2 3 4" xfId="50370"/>
    <cellStyle name="输入 2 3 4 2" xfId="50371"/>
    <cellStyle name="输入 2 3 4 2 2" xfId="50372"/>
    <cellStyle name="输入 2 3 4 2 3" xfId="50373"/>
    <cellStyle name="输入 2 3 4 2 3 2" xfId="50374"/>
    <cellStyle name="输入 2 3 4 2 3 2 2" xfId="50375"/>
    <cellStyle name="输入 2 3 4 2 4" xfId="50376"/>
    <cellStyle name="输入 2 3 4 2 4 2" xfId="50377"/>
    <cellStyle name="输入 2 3 4 3" xfId="50378"/>
    <cellStyle name="输入 2 3 4 4" xfId="50379"/>
    <cellStyle name="输入 2 3 4 5" xfId="50380"/>
    <cellStyle name="输入 2 3 4 6" xfId="50381"/>
    <cellStyle name="输入 2 3 5" xfId="50382"/>
    <cellStyle name="输入 2 3 5 2" xfId="50383"/>
    <cellStyle name="输入 2 3 5 2 2" xfId="50384"/>
    <cellStyle name="输入 2 3 5 2 2 2" xfId="50385"/>
    <cellStyle name="输入 2 3 5 2 2 2 2" xfId="50386"/>
    <cellStyle name="输入 2 3 5 2 3" xfId="50387"/>
    <cellStyle name="输入 2 3 5 2 3 2" xfId="50388"/>
    <cellStyle name="输入 2 3 5 3" xfId="50389"/>
    <cellStyle name="输入 2 3 5 3 2" xfId="50390"/>
    <cellStyle name="输入 2 3 5 3 2 2" xfId="50391"/>
    <cellStyle name="输入 2 3 5 4" xfId="50392"/>
    <cellStyle name="输入 2 3 5 4 2" xfId="50393"/>
    <cellStyle name="输入 2 3 6" xfId="50394"/>
    <cellStyle name="输入 2 3 6 2" xfId="50395"/>
    <cellStyle name="输入 2 3 6 2 2" xfId="50396"/>
    <cellStyle name="输入 2 3 6 2 2 2" xfId="50397"/>
    <cellStyle name="输入 2 3 6 3" xfId="50398"/>
    <cellStyle name="输入 2 3 6 3 2" xfId="50399"/>
    <cellStyle name="输入 2 3 7" xfId="50400"/>
    <cellStyle name="输入 2 3 7 2" xfId="50401"/>
    <cellStyle name="输入 2 3 7 2 2" xfId="50402"/>
    <cellStyle name="输入 2 3 7 2 2 2" xfId="50403"/>
    <cellStyle name="输入 2 3 7 3" xfId="50404"/>
    <cellStyle name="输入 2 3 7 3 2" xfId="50405"/>
    <cellStyle name="输入 2 3 8" xfId="50406"/>
    <cellStyle name="输入 2 3 9" xfId="50407"/>
    <cellStyle name="输入 2 4" xfId="50408"/>
    <cellStyle name="输入 2 4 2" xfId="50409"/>
    <cellStyle name="输入 2 4 2 2" xfId="50410"/>
    <cellStyle name="输入 2 4 2 3" xfId="50411"/>
    <cellStyle name="输入 2 4 2 3 2" xfId="50412"/>
    <cellStyle name="输入 2 4 2 3 2 2" xfId="50413"/>
    <cellStyle name="输入 2 4 2 4" xfId="50414"/>
    <cellStyle name="输入 2 4 2 4 2" xfId="50415"/>
    <cellStyle name="输入 2 4 3" xfId="50416"/>
    <cellStyle name="输入 2 4 3 2" xfId="50417"/>
    <cellStyle name="输入 2 4 3 2 2" xfId="50418"/>
    <cellStyle name="输入 2 4 3 2 2 2" xfId="50419"/>
    <cellStyle name="输入 2 4 3 3" xfId="50420"/>
    <cellStyle name="输入 2 4 3 3 2" xfId="50421"/>
    <cellStyle name="输入 2 4 4" xfId="50422"/>
    <cellStyle name="输入 2 4 5" xfId="50423"/>
    <cellStyle name="输入 2 4 6" xfId="50424"/>
    <cellStyle name="输入 2 5" xfId="50425"/>
    <cellStyle name="输入 2 5 2" xfId="50426"/>
    <cellStyle name="输入 2 5 2 2" xfId="50427"/>
    <cellStyle name="输入 2 5 2 3" xfId="50428"/>
    <cellStyle name="输入 2 5 2 3 2" xfId="50429"/>
    <cellStyle name="输入 2 5 2 3 2 2" xfId="50430"/>
    <cellStyle name="输入 2 5 2 4" xfId="50431"/>
    <cellStyle name="输入 2 5 2 4 2" xfId="50432"/>
    <cellStyle name="输入 2 5 3" xfId="50433"/>
    <cellStyle name="输入 2 5 4" xfId="50434"/>
    <cellStyle name="输入 2 5 5" xfId="50435"/>
    <cellStyle name="输入 2 5 6" xfId="50436"/>
    <cellStyle name="输入 2 6" xfId="50437"/>
    <cellStyle name="输入 2 6 2" xfId="50438"/>
    <cellStyle name="输入 2 6 2 2" xfId="50439"/>
    <cellStyle name="输入 2 6 2 2 2" xfId="50440"/>
    <cellStyle name="输入 2 6 2 2 2 2" xfId="50441"/>
    <cellStyle name="输入 2 6 2 3" xfId="50442"/>
    <cellStyle name="输入 2 6 2 3 2" xfId="50443"/>
    <cellStyle name="输入 2 6 3" xfId="50444"/>
    <cellStyle name="输入 2 6 3 2" xfId="50445"/>
    <cellStyle name="输入 2 6 3 2 2" xfId="50446"/>
    <cellStyle name="输入 2 6 4" xfId="50447"/>
    <cellStyle name="输入 2 6 4 2" xfId="50448"/>
    <cellStyle name="输入 2 7" xfId="50449"/>
    <cellStyle name="输入 2 7 2" xfId="50450"/>
    <cellStyle name="输入 2 7 2 2" xfId="50451"/>
    <cellStyle name="输入 2 7 2 2 2" xfId="50452"/>
    <cellStyle name="输入 2 7 2 2 2 2" xfId="50453"/>
    <cellStyle name="输入 2 7 2 3" xfId="50454"/>
    <cellStyle name="输入 2 7 2 3 2" xfId="50455"/>
    <cellStyle name="输入 2 7 3" xfId="50456"/>
    <cellStyle name="输入 2 7 3 2" xfId="50457"/>
    <cellStyle name="输入 2 7 3 2 2" xfId="50458"/>
    <cellStyle name="输入 2 7 4" xfId="50459"/>
    <cellStyle name="输入 2 7 4 2" xfId="50460"/>
    <cellStyle name="输入 2 8" xfId="50461"/>
    <cellStyle name="输入 2 8 2" xfId="50462"/>
    <cellStyle name="输入 2 8 2 2" xfId="50463"/>
    <cellStyle name="输入 2 8 2 2 2" xfId="50464"/>
    <cellStyle name="输入 2 8 2 2 2 2" xfId="50465"/>
    <cellStyle name="输入 2 8 2 3" xfId="50466"/>
    <cellStyle name="输入 2 8 2 3 2" xfId="50467"/>
    <cellStyle name="输入 2 8 3" xfId="50468"/>
    <cellStyle name="输入 2 8 3 2" xfId="50469"/>
    <cellStyle name="输入 2 8 3 2 2" xfId="50470"/>
    <cellStyle name="输入 2 8 4" xfId="50471"/>
    <cellStyle name="输入 2 8 4 2" xfId="50472"/>
    <cellStyle name="输入 2 9" xfId="50473"/>
    <cellStyle name="输入 2 9 2" xfId="50474"/>
    <cellStyle name="输入 2 9 2 2" xfId="50475"/>
    <cellStyle name="输入 2 9 2 2 2" xfId="50476"/>
    <cellStyle name="输入 2 9 3" xfId="50477"/>
    <cellStyle name="输入 2 9 3 2" xfId="50478"/>
    <cellStyle name="输入 3" xfId="50479"/>
    <cellStyle name="输入 3 2" xfId="50480"/>
    <cellStyle name="输入 3 2 2" xfId="50481"/>
    <cellStyle name="输入 3 2 2 2" xfId="50482"/>
    <cellStyle name="输入 3 2 2 2 2" xfId="50483"/>
    <cellStyle name="输入 3 2 2 2 3" xfId="50484"/>
    <cellStyle name="输入 3 2 2 2 3 2" xfId="50485"/>
    <cellStyle name="输入 3 2 2 2 3 2 2" xfId="50486"/>
    <cellStyle name="输入 3 2 2 2 4" xfId="50487"/>
    <cellStyle name="输入 3 2 2 2 4 2" xfId="50488"/>
    <cellStyle name="输入 3 2 2 3" xfId="50489"/>
    <cellStyle name="输入 3 2 2 3 2" xfId="50490"/>
    <cellStyle name="输入 3 2 2 3 2 2" xfId="50491"/>
    <cellStyle name="输入 3 2 2 3 2 2 2" xfId="50492"/>
    <cellStyle name="输入 3 2 2 3 3" xfId="50493"/>
    <cellStyle name="输入 3 2 2 3 3 2" xfId="50494"/>
    <cellStyle name="输入 3 2 2 4" xfId="50495"/>
    <cellStyle name="输入 3 2 2 5" xfId="50496"/>
    <cellStyle name="输入 3 2 2 6" xfId="50497"/>
    <cellStyle name="输入 3 2 3" xfId="50498"/>
    <cellStyle name="输入 3 2 3 2" xfId="50499"/>
    <cellStyle name="输入 3 2 3 3" xfId="50500"/>
    <cellStyle name="输入 3 2 3 3 2" xfId="50501"/>
    <cellStyle name="输入 3 2 3 3 2 2" xfId="50502"/>
    <cellStyle name="输入 3 2 3 4" xfId="50503"/>
    <cellStyle name="输入 3 2 3 4 2" xfId="50504"/>
    <cellStyle name="输入 3 2 4" xfId="50505"/>
    <cellStyle name="输入 3 2 4 2" xfId="50506"/>
    <cellStyle name="输入 3 2 4 2 2" xfId="50507"/>
    <cellStyle name="输入 3 2 4 2 2 2" xfId="50508"/>
    <cellStyle name="输入 3 2 4 3" xfId="50509"/>
    <cellStyle name="输入 3 2 4 3 2" xfId="50510"/>
    <cellStyle name="输入 3 2 5" xfId="50511"/>
    <cellStyle name="输入 3 2 6" xfId="50512"/>
    <cellStyle name="输入 3 2 7" xfId="50513"/>
    <cellStyle name="输入 3 3" xfId="50514"/>
    <cellStyle name="输入 3 3 2" xfId="50515"/>
    <cellStyle name="输入 3 3 2 2" xfId="50516"/>
    <cellStyle name="输入 3 3 2 3" xfId="50517"/>
    <cellStyle name="输入 3 3 2 3 2" xfId="50518"/>
    <cellStyle name="输入 3 3 2 3 2 2" xfId="50519"/>
    <cellStyle name="输入 3 3 2 4" xfId="50520"/>
    <cellStyle name="输入 3 3 2 4 2" xfId="50521"/>
    <cellStyle name="输入 3 3 3" xfId="50522"/>
    <cellStyle name="输入 3 3 3 2" xfId="50523"/>
    <cellStyle name="输入 3 3 3 2 2" xfId="50524"/>
    <cellStyle name="输入 3 3 3 2 2 2" xfId="50525"/>
    <cellStyle name="输入 3 3 3 3" xfId="50526"/>
    <cellStyle name="输入 3 3 3 3 2" xfId="50527"/>
    <cellStyle name="输入 3 3 4" xfId="50528"/>
    <cellStyle name="输入 3 3 5" xfId="50529"/>
    <cellStyle name="输入 3 3 6" xfId="50530"/>
    <cellStyle name="输入 3 4" xfId="50531"/>
    <cellStyle name="输入 3 4 2" xfId="50532"/>
    <cellStyle name="输入 3 4 2 2" xfId="50533"/>
    <cellStyle name="输入 3 4 2 3" xfId="50534"/>
    <cellStyle name="输入 3 4 2 3 2" xfId="50535"/>
    <cellStyle name="输入 3 4 2 3 2 2" xfId="50536"/>
    <cellStyle name="输入 3 4 2 4" xfId="50537"/>
    <cellStyle name="输入 3 4 2 4 2" xfId="50538"/>
    <cellStyle name="输入 3 4 3" xfId="50539"/>
    <cellStyle name="输入 3 4 4" xfId="50540"/>
    <cellStyle name="输入 3 4 5" xfId="50541"/>
    <cellStyle name="输入 3 4 6" xfId="50542"/>
    <cellStyle name="输入 3 5" xfId="50543"/>
    <cellStyle name="输入 3 5 2" xfId="50544"/>
    <cellStyle name="输入 3 5 2 2" xfId="50545"/>
    <cellStyle name="输入 3 5 2 2 2" xfId="50546"/>
    <cellStyle name="输入 3 5 2 2 2 2" xfId="50547"/>
    <cellStyle name="输入 3 5 2 3" xfId="50548"/>
    <cellStyle name="输入 3 5 2 3 2" xfId="50549"/>
    <cellStyle name="输入 3 5 3" xfId="50550"/>
    <cellStyle name="输入 3 5 3 2" xfId="50551"/>
    <cellStyle name="输入 3 5 3 2 2" xfId="50552"/>
    <cellStyle name="输入 3 5 4" xfId="50553"/>
    <cellStyle name="输入 3 5 4 2" xfId="50554"/>
    <cellStyle name="输入 3 6" xfId="50555"/>
    <cellStyle name="输入 3 6 2" xfId="50556"/>
    <cellStyle name="输入 3 6 2 2" xfId="50557"/>
    <cellStyle name="输入 3 6 2 2 2" xfId="50558"/>
    <cellStyle name="输入 3 6 3" xfId="50559"/>
    <cellStyle name="输入 3 6 3 2" xfId="50560"/>
    <cellStyle name="输入 3 7" xfId="50561"/>
    <cellStyle name="输入 3 8" xfId="50562"/>
    <cellStyle name="输出 2" xfId="50563"/>
    <cellStyle name="输出 2 10" xfId="50564"/>
    <cellStyle name="输出 2 11" xfId="50565"/>
    <cellStyle name="输出 2 2" xfId="50566"/>
    <cellStyle name="输出 2 2 10" xfId="50567"/>
    <cellStyle name="输出 2 2 11" xfId="50568"/>
    <cellStyle name="输出 2 2 2" xfId="50569"/>
    <cellStyle name="输出 2 2 2 2" xfId="50570"/>
    <cellStyle name="输出 2 2 2 2 2" xfId="50571"/>
    <cellStyle name="输出 2 2 2 2 2 2" xfId="50572"/>
    <cellStyle name="输出 2 2 2 2 2 3" xfId="50573"/>
    <cellStyle name="输出 2 2 2 2 2 3 2" xfId="50574"/>
    <cellStyle name="输出 2 2 2 2 2 3 2 2" xfId="50575"/>
    <cellStyle name="输出 2 2 2 2 2 4" xfId="50576"/>
    <cellStyle name="输出 2 2 2 2 2 4 2" xfId="50577"/>
    <cellStyle name="输出 2 2 2 2 3" xfId="50578"/>
    <cellStyle name="输出 2 2 2 2 3 2" xfId="50579"/>
    <cellStyle name="输出 2 2 2 2 3 2 2" xfId="50580"/>
    <cellStyle name="输出 2 2 2 2 3 2 2 2" xfId="50581"/>
    <cellStyle name="输出 2 2 2 2 3 3" xfId="50582"/>
    <cellStyle name="输出 2 2 2 2 3 3 2" xfId="50583"/>
    <cellStyle name="输出 2 2 2 2 4" xfId="50584"/>
    <cellStyle name="输出 2 2 2 2 5" xfId="50585"/>
    <cellStyle name="输出 2 2 2 2 6" xfId="50586"/>
    <cellStyle name="输出 2 2 2 3" xfId="50587"/>
    <cellStyle name="输出 2 2 2 3 2" xfId="50588"/>
    <cellStyle name="输出 2 2 2 3 3" xfId="50589"/>
    <cellStyle name="输出 2 2 2 3 3 2" xfId="50590"/>
    <cellStyle name="输出 2 2 2 3 3 2 2" xfId="50591"/>
    <cellStyle name="输出 2 2 2 3 4" xfId="50592"/>
    <cellStyle name="输出 2 2 2 3 4 2" xfId="50593"/>
    <cellStyle name="输出 2 2 2 4" xfId="50594"/>
    <cellStyle name="输出 2 2 2 4 2" xfId="50595"/>
    <cellStyle name="输出 2 2 2 4 2 2" xfId="50596"/>
    <cellStyle name="输出 2 2 2 4 2 2 2" xfId="50597"/>
    <cellStyle name="输出 2 2 2 4 3" xfId="50598"/>
    <cellStyle name="输出 2 2 2 4 3 2" xfId="50599"/>
    <cellStyle name="输出 2 2 2 5" xfId="50600"/>
    <cellStyle name="输出 2 2 2 6" xfId="50601"/>
    <cellStyle name="输出 2 2 2 7" xfId="50602"/>
    <cellStyle name="输出 2 2 3" xfId="50603"/>
    <cellStyle name="输出 2 2 3 2" xfId="50604"/>
    <cellStyle name="输出 2 2 3 2 2" xfId="50605"/>
    <cellStyle name="输出 2 2 3 2 3" xfId="50606"/>
    <cellStyle name="输出 2 2 3 2 3 2" xfId="50607"/>
    <cellStyle name="输出 2 2 3 2 3 2 2" xfId="50608"/>
    <cellStyle name="输出 2 2 3 2 4" xfId="50609"/>
    <cellStyle name="输出 2 2 3 2 4 2" xfId="50610"/>
    <cellStyle name="输出 2 2 3 3" xfId="50611"/>
    <cellStyle name="输出 2 2 3 3 2" xfId="50612"/>
    <cellStyle name="输出 2 2 3 3 2 2" xfId="50613"/>
    <cellStyle name="输出 2 2 3 3 2 2 2" xfId="50614"/>
    <cellStyle name="输出 2 2 3 3 3" xfId="50615"/>
    <cellStyle name="输出 2 2 3 3 3 2" xfId="50616"/>
    <cellStyle name="输出 2 2 3 4" xfId="50617"/>
    <cellStyle name="输出 2 2 3 5" xfId="50618"/>
    <cellStyle name="输出 2 2 3 6" xfId="50619"/>
    <cellStyle name="输出 2 2 4" xfId="50620"/>
    <cellStyle name="输出 2 2 4 2" xfId="50621"/>
    <cellStyle name="输出 2 2 4 2 2" xfId="50622"/>
    <cellStyle name="输出 2 2 4 2 3" xfId="50623"/>
    <cellStyle name="输出 2 2 4 2 3 2" xfId="50624"/>
    <cellStyle name="输出 2 2 4 2 3 2 2" xfId="50625"/>
    <cellStyle name="输出 2 2 4 2 4" xfId="50626"/>
    <cellStyle name="输出 2 2 4 2 4 2" xfId="50627"/>
    <cellStyle name="输出 2 2 4 3" xfId="50628"/>
    <cellStyle name="输出 2 2 4 4" xfId="50629"/>
    <cellStyle name="输出 2 2 4 5" xfId="50630"/>
    <cellStyle name="输出 2 2 4 6" xfId="50631"/>
    <cellStyle name="输出 2 2 5" xfId="50632"/>
    <cellStyle name="输出 2 2 5 2" xfId="50633"/>
    <cellStyle name="输出 2 2 5 2 2" xfId="50634"/>
    <cellStyle name="输出 2 2 5 2 2 2" xfId="50635"/>
    <cellStyle name="输出 2 2 5 2 2 2 2" xfId="50636"/>
    <cellStyle name="输出 2 2 5 2 3" xfId="50637"/>
    <cellStyle name="输出 2 2 5 2 3 2" xfId="50638"/>
    <cellStyle name="输出 2 2 5 3" xfId="50639"/>
    <cellStyle name="输出 2 2 5 3 2" xfId="50640"/>
    <cellStyle name="输出 2 2 5 3 2 2" xfId="50641"/>
    <cellStyle name="输出 2 2 5 4" xfId="50642"/>
    <cellStyle name="输出 2 2 5 4 2" xfId="50643"/>
    <cellStyle name="输出 2 2 6" xfId="50644"/>
    <cellStyle name="输出 2 2 6 2" xfId="50645"/>
    <cellStyle name="输出 2 2 6 2 2" xfId="50646"/>
    <cellStyle name="输出 2 2 6 2 2 2" xfId="50647"/>
    <cellStyle name="输出 2 2 6 2 2 2 2" xfId="50648"/>
    <cellStyle name="输出 2 2 6 2 3" xfId="50649"/>
    <cellStyle name="输出 2 2 6 2 3 2" xfId="50650"/>
    <cellStyle name="输出 2 2 6 3" xfId="50651"/>
    <cellStyle name="输出 2 2 6 3 2" xfId="50652"/>
    <cellStyle name="输出 2 2 6 3 2 2" xfId="50653"/>
    <cellStyle name="输出 2 2 6 4" xfId="50654"/>
    <cellStyle name="输出 2 2 6 4 2" xfId="50655"/>
    <cellStyle name="输出 2 2 7" xfId="50656"/>
    <cellStyle name="输出 2 2 7 2" xfId="50657"/>
    <cellStyle name="输出 2 2 7 2 2" xfId="50658"/>
    <cellStyle name="输出 2 2 7 2 2 2" xfId="50659"/>
    <cellStyle name="输出 2 2 7 2 2 2 2" xfId="50660"/>
    <cellStyle name="输出 2 2 7 2 3" xfId="50661"/>
    <cellStyle name="输出 2 2 7 2 3 2" xfId="50662"/>
    <cellStyle name="输出 2 2 7 3" xfId="50663"/>
    <cellStyle name="输出 2 2 7 3 2" xfId="50664"/>
    <cellStyle name="输出 2 2 7 3 2 2" xfId="50665"/>
    <cellStyle name="输出 2 2 7 4" xfId="50666"/>
    <cellStyle name="输出 2 2 7 4 2" xfId="50667"/>
    <cellStyle name="输出 2 2 8" xfId="50668"/>
    <cellStyle name="输出 2 2 8 2" xfId="50669"/>
    <cellStyle name="输出 2 2 8 2 2" xfId="50670"/>
    <cellStyle name="输出 2 2 8 2 2 2" xfId="50671"/>
    <cellStyle name="输出 2 2 8 3" xfId="50672"/>
    <cellStyle name="输出 2 2 8 3 2" xfId="50673"/>
    <cellStyle name="输出 2 2 9" xfId="50674"/>
    <cellStyle name="输出 2 2 9 2" xfId="50675"/>
    <cellStyle name="输出 2 2 9 2 2" xfId="50676"/>
    <cellStyle name="输出 2 2 9 2 2 2" xfId="50677"/>
    <cellStyle name="输出 2 2 9 3" xfId="50678"/>
    <cellStyle name="输出 2 2 9 3 2" xfId="50679"/>
    <cellStyle name="输出 2 3" xfId="50680"/>
    <cellStyle name="输出 2 3 2" xfId="50681"/>
    <cellStyle name="输出 2 3 2 2" xfId="50682"/>
    <cellStyle name="输出 2 3 2 2 2" xfId="50683"/>
    <cellStyle name="输出 2 3 2 2 2 2" xfId="50684"/>
    <cellStyle name="输出 2 3 2 2 2 3" xfId="50685"/>
    <cellStyle name="输出 2 3 2 2 2 3 2" xfId="50686"/>
    <cellStyle name="输出 2 3 2 2 2 3 2 2" xfId="50687"/>
    <cellStyle name="输出 2 3 2 2 2 4" xfId="50688"/>
    <cellStyle name="输出 2 3 2 2 2 4 2" xfId="50689"/>
    <cellStyle name="输出 2 3 2 2 3" xfId="50690"/>
    <cellStyle name="输出 2 3 2 2 3 2" xfId="50691"/>
    <cellStyle name="输出 2 3 2 2 3 2 2" xfId="50692"/>
    <cellStyle name="输出 2 3 2 2 3 2 2 2" xfId="50693"/>
    <cellStyle name="输出 2 3 2 2 3 3" xfId="50694"/>
    <cellStyle name="输出 2 3 2 2 3 3 2" xfId="50695"/>
    <cellStyle name="输出 2 3 2 2 4" xfId="50696"/>
    <cellStyle name="输出 2 3 2 2 5" xfId="50697"/>
    <cellStyle name="输出 2 3 2 2 6" xfId="50698"/>
    <cellStyle name="输出 2 3 2 3" xfId="50699"/>
    <cellStyle name="输出 2 3 2 3 2" xfId="50700"/>
    <cellStyle name="输出 2 3 2 3 3" xfId="50701"/>
    <cellStyle name="输出 2 3 2 3 3 2" xfId="50702"/>
    <cellStyle name="输出 2 3 2 3 3 2 2" xfId="50703"/>
    <cellStyle name="输出 2 3 2 3 4" xfId="50704"/>
    <cellStyle name="输出 2 3 2 3 4 2" xfId="50705"/>
    <cellStyle name="输出 2 3 2 4" xfId="50706"/>
    <cellStyle name="输出 2 3 2 4 2" xfId="50707"/>
    <cellStyle name="输出 2 3 2 4 2 2" xfId="50708"/>
    <cellStyle name="输出 2 3 2 4 2 2 2" xfId="50709"/>
    <cellStyle name="输出 2 3 2 4 3" xfId="50710"/>
    <cellStyle name="输出 2 3 2 4 3 2" xfId="50711"/>
    <cellStyle name="输出 2 3 2 5" xfId="50712"/>
    <cellStyle name="输出 2 3 2 6" xfId="50713"/>
    <cellStyle name="输出 2 3 2 7" xfId="50714"/>
    <cellStyle name="输出 2 3 3" xfId="50715"/>
    <cellStyle name="输出 2 3 3 2" xfId="50716"/>
    <cellStyle name="输出 2 3 3 2 2" xfId="50717"/>
    <cellStyle name="输出 2 3 3 2 3" xfId="50718"/>
    <cellStyle name="输出 2 3 3 2 3 2" xfId="50719"/>
    <cellStyle name="输出 2 3 3 2 3 2 2" xfId="50720"/>
    <cellStyle name="输出 2 3 3 2 4" xfId="50721"/>
    <cellStyle name="输出 2 3 3 2 4 2" xfId="50722"/>
    <cellStyle name="输出 2 3 3 3" xfId="50723"/>
    <cellStyle name="输出 2 3 3 3 2" xfId="50724"/>
    <cellStyle name="输出 2 3 3 3 2 2" xfId="50725"/>
    <cellStyle name="输出 2 3 3 3 2 2 2" xfId="50726"/>
    <cellStyle name="输出 2 3 3 3 3" xfId="50727"/>
    <cellStyle name="输出 2 3 3 3 3 2" xfId="50728"/>
    <cellStyle name="输出 2 3 3 4" xfId="50729"/>
    <cellStyle name="输出 2 3 3 5" xfId="50730"/>
    <cellStyle name="输出 2 3 3 6" xfId="50731"/>
    <cellStyle name="输出 2 3 4" xfId="50732"/>
    <cellStyle name="输出 2 3 4 2" xfId="50733"/>
    <cellStyle name="输出 2 3 4 2 2" xfId="50734"/>
    <cellStyle name="输出 2 3 4 2 3" xfId="50735"/>
    <cellStyle name="输出 2 3 4 2 3 2" xfId="50736"/>
    <cellStyle name="输出 2 3 4 2 3 2 2" xfId="50737"/>
    <cellStyle name="输出 2 3 4 2 4" xfId="50738"/>
    <cellStyle name="输出 2 3 4 2 4 2" xfId="50739"/>
    <cellStyle name="输出 2 3 4 3" xfId="50740"/>
    <cellStyle name="输出 2 3 4 4" xfId="50741"/>
    <cellStyle name="输出 2 3 4 5" xfId="50742"/>
    <cellStyle name="输出 2 3 4 6" xfId="50743"/>
    <cellStyle name="输出 2 3 5" xfId="50744"/>
    <cellStyle name="输出 2 3 5 2" xfId="50745"/>
    <cellStyle name="输出 2 3 5 2 2" xfId="50746"/>
    <cellStyle name="输出 2 3 5 2 2 2" xfId="50747"/>
    <cellStyle name="输出 2 3 5 2 2 2 2" xfId="50748"/>
    <cellStyle name="输出 2 3 5 2 3" xfId="50749"/>
    <cellStyle name="输出 2 3 5 2 3 2" xfId="50750"/>
    <cellStyle name="输出 2 3 5 3" xfId="50751"/>
    <cellStyle name="输出 2 3 5 3 2" xfId="50752"/>
    <cellStyle name="输出 2 3 5 3 2 2" xfId="50753"/>
    <cellStyle name="输出 2 3 5 4" xfId="50754"/>
    <cellStyle name="输出 2 3 5 4 2" xfId="50755"/>
    <cellStyle name="输出 2 3 6" xfId="50756"/>
    <cellStyle name="输出 2 3 6 2" xfId="50757"/>
    <cellStyle name="输出 2 3 6 2 2" xfId="50758"/>
    <cellStyle name="输出 2 3 6 2 2 2" xfId="50759"/>
    <cellStyle name="输出 2 3 6 3" xfId="50760"/>
    <cellStyle name="输出 2 3 6 3 2" xfId="50761"/>
    <cellStyle name="输出 2 3 7" xfId="50762"/>
    <cellStyle name="输出 2 3 7 2" xfId="50763"/>
    <cellStyle name="输出 2 3 7 2 2" xfId="50764"/>
    <cellStyle name="输出 2 3 7 2 2 2" xfId="50765"/>
    <cellStyle name="输出 2 3 7 3" xfId="50766"/>
    <cellStyle name="输出 2 3 7 3 2" xfId="50767"/>
    <cellStyle name="输出 2 3 8" xfId="50768"/>
    <cellStyle name="输出 2 3 9" xfId="50769"/>
    <cellStyle name="输出 2 4" xfId="50770"/>
    <cellStyle name="输出 2 4 2" xfId="50771"/>
    <cellStyle name="输出 2 4 2 2" xfId="50772"/>
    <cellStyle name="输出 2 4 2 3" xfId="50773"/>
    <cellStyle name="输出 2 4 2 3 2" xfId="50774"/>
    <cellStyle name="输出 2 4 2 3 2 2" xfId="50775"/>
    <cellStyle name="输出 2 4 2 4" xfId="50776"/>
    <cellStyle name="输出 2 4 2 4 2" xfId="50777"/>
    <cellStyle name="输出 2 4 3" xfId="50778"/>
    <cellStyle name="输出 2 4 3 2" xfId="50779"/>
    <cellStyle name="输出 2 4 3 2 2" xfId="50780"/>
    <cellStyle name="输出 2 4 3 2 2 2" xfId="50781"/>
    <cellStyle name="输出 2 4 3 3" xfId="50782"/>
    <cellStyle name="输出 2 4 3 3 2" xfId="50783"/>
    <cellStyle name="输出 2 4 4" xfId="50784"/>
    <cellStyle name="输出 2 4 5" xfId="50785"/>
    <cellStyle name="输出 2 4 6" xfId="50786"/>
    <cellStyle name="输出 2 5" xfId="50787"/>
    <cellStyle name="输出 2 5 2" xfId="50788"/>
    <cellStyle name="输出 2 5 2 2" xfId="50789"/>
    <cellStyle name="输出 2 5 2 3" xfId="50790"/>
    <cellStyle name="输出 2 5 2 3 2" xfId="50791"/>
    <cellStyle name="输出 2 5 2 3 2 2" xfId="50792"/>
    <cellStyle name="输出 2 5 2 4" xfId="50793"/>
    <cellStyle name="输出 2 5 2 4 2" xfId="50794"/>
    <cellStyle name="输出 2 5 3" xfId="50795"/>
    <cellStyle name="输出 2 5 4" xfId="50796"/>
    <cellStyle name="输出 2 5 5" xfId="50797"/>
    <cellStyle name="输出 2 5 6" xfId="50798"/>
    <cellStyle name="输出 2 6" xfId="50799"/>
    <cellStyle name="输出 2 6 2" xfId="50800"/>
    <cellStyle name="输出 2 6 2 2" xfId="50801"/>
    <cellStyle name="输出 2 6 2 2 2" xfId="50802"/>
    <cellStyle name="输出 2 6 2 2 2 2" xfId="50803"/>
    <cellStyle name="输出 2 6 2 3" xfId="50804"/>
    <cellStyle name="输出 2 6 2 3 2" xfId="50805"/>
    <cellStyle name="输出 2 6 3" xfId="50806"/>
    <cellStyle name="输出 2 6 3 2" xfId="50807"/>
    <cellStyle name="输出 2 6 3 2 2" xfId="50808"/>
    <cellStyle name="输出 2 6 4" xfId="50809"/>
    <cellStyle name="输出 2 6 4 2" xfId="50810"/>
    <cellStyle name="输出 2 7" xfId="50811"/>
    <cellStyle name="输出 2 7 2" xfId="50812"/>
    <cellStyle name="输出 2 7 2 2" xfId="50813"/>
    <cellStyle name="输出 2 7 2 2 2" xfId="50814"/>
    <cellStyle name="输出 2 7 2 2 2 2" xfId="50815"/>
    <cellStyle name="输出 2 7 2 3" xfId="50816"/>
    <cellStyle name="输出 2 7 2 3 2" xfId="50817"/>
    <cellStyle name="输出 2 7 3" xfId="50818"/>
    <cellStyle name="输出 2 7 3 2" xfId="50819"/>
    <cellStyle name="输出 2 7 3 2 2" xfId="50820"/>
    <cellStyle name="输出 2 7 4" xfId="50821"/>
    <cellStyle name="输出 2 7 4 2" xfId="50822"/>
    <cellStyle name="输出 2 8" xfId="50823"/>
    <cellStyle name="输出 2 8 2" xfId="50824"/>
    <cellStyle name="输出 2 8 2 2" xfId="50825"/>
    <cellStyle name="输出 2 8 2 2 2" xfId="50826"/>
    <cellStyle name="输出 2 8 2 2 2 2" xfId="50827"/>
    <cellStyle name="输出 2 8 2 3" xfId="50828"/>
    <cellStyle name="输出 2 8 2 3 2" xfId="50829"/>
    <cellStyle name="输出 2 8 3" xfId="50830"/>
    <cellStyle name="输出 2 8 3 2" xfId="50831"/>
    <cellStyle name="输出 2 8 3 2 2" xfId="50832"/>
    <cellStyle name="输出 2 8 4" xfId="50833"/>
    <cellStyle name="输出 2 8 4 2" xfId="50834"/>
    <cellStyle name="输出 2 9" xfId="50835"/>
    <cellStyle name="输出 2 9 2" xfId="50836"/>
    <cellStyle name="输出 2 9 2 2" xfId="50837"/>
    <cellStyle name="输出 2 9 2 2 2" xfId="50838"/>
    <cellStyle name="输出 2 9 3" xfId="50839"/>
    <cellStyle name="输出 2 9 3 2" xfId="50840"/>
    <cellStyle name="输出 3" xfId="50841"/>
    <cellStyle name="输出 3 2" xfId="50842"/>
    <cellStyle name="输出 3 2 2" xfId="50843"/>
    <cellStyle name="输出 3 2 2 2" xfId="50844"/>
    <cellStyle name="输出 3 2 2 2 2" xfId="50845"/>
    <cellStyle name="输出 3 2 2 2 3" xfId="50846"/>
    <cellStyle name="输出 3 2 2 2 3 2" xfId="50847"/>
    <cellStyle name="输出 3 2 2 2 3 2 2" xfId="50848"/>
    <cellStyle name="输出 3 2 2 2 4" xfId="50849"/>
    <cellStyle name="输出 3 2 2 2 4 2" xfId="50850"/>
    <cellStyle name="输出 3 2 2 3" xfId="50851"/>
    <cellStyle name="输出 3 2 2 3 2" xfId="50852"/>
    <cellStyle name="输出 3 2 2 3 2 2" xfId="50853"/>
    <cellStyle name="输出 3 2 2 3 2 2 2" xfId="50854"/>
    <cellStyle name="输出 3 2 2 3 3" xfId="50855"/>
    <cellStyle name="输出 3 2 2 3 3 2" xfId="50856"/>
    <cellStyle name="输出 3 2 2 4" xfId="50857"/>
    <cellStyle name="输出 3 2 2 5" xfId="50858"/>
    <cellStyle name="输出 3 2 2 6" xfId="50859"/>
    <cellStyle name="输出 3 2 3" xfId="50860"/>
    <cellStyle name="输出 3 2 3 2" xfId="50861"/>
    <cellStyle name="输出 3 2 3 3" xfId="50862"/>
    <cellStyle name="输出 3 2 3 3 2" xfId="50863"/>
    <cellStyle name="输出 3 2 3 3 2 2" xfId="50864"/>
    <cellStyle name="输出 3 2 3 4" xfId="50865"/>
    <cellStyle name="输出 3 2 3 4 2" xfId="50866"/>
    <cellStyle name="输出 3 2 4" xfId="50867"/>
    <cellStyle name="输出 3 2 4 2" xfId="50868"/>
    <cellStyle name="输出 3 2 4 2 2" xfId="50869"/>
    <cellStyle name="输出 3 2 4 2 2 2" xfId="50870"/>
    <cellStyle name="输出 3 2 4 3" xfId="50871"/>
    <cellStyle name="输出 3 2 4 3 2" xfId="50872"/>
    <cellStyle name="输出 3 2 5" xfId="50873"/>
    <cellStyle name="输出 3 2 6" xfId="50874"/>
    <cellStyle name="输出 3 2 7" xfId="50875"/>
    <cellStyle name="输出 3 3" xfId="50876"/>
    <cellStyle name="输出 3 3 2" xfId="50877"/>
    <cellStyle name="输出 3 3 2 2" xfId="50878"/>
    <cellStyle name="输出 3 3 2 3" xfId="50879"/>
    <cellStyle name="输出 3 3 2 3 2" xfId="50880"/>
    <cellStyle name="输出 3 3 2 3 2 2" xfId="50881"/>
    <cellStyle name="输出 3 3 2 4" xfId="50882"/>
    <cellStyle name="输出 3 3 2 4 2" xfId="50883"/>
    <cellStyle name="输出 3 3 3" xfId="50884"/>
    <cellStyle name="输出 3 3 3 2" xfId="50885"/>
    <cellStyle name="输出 3 3 3 2 2" xfId="50886"/>
    <cellStyle name="输出 3 3 3 2 2 2" xfId="50887"/>
    <cellStyle name="输出 3 3 3 3" xfId="50888"/>
    <cellStyle name="输出 3 3 3 3 2" xfId="50889"/>
    <cellStyle name="输出 3 3 4" xfId="50890"/>
    <cellStyle name="输出 3 3 5" xfId="50891"/>
    <cellStyle name="输出 3 3 6" xfId="50892"/>
    <cellStyle name="输出 3 4" xfId="50893"/>
    <cellStyle name="输出 3 4 2" xfId="50894"/>
    <cellStyle name="输出 3 4 2 2" xfId="50895"/>
    <cellStyle name="输出 3 4 2 3" xfId="50896"/>
    <cellStyle name="输出 3 4 2 3 2" xfId="50897"/>
    <cellStyle name="输出 3 4 2 3 2 2" xfId="50898"/>
    <cellStyle name="输出 3 4 2 4" xfId="50899"/>
    <cellStyle name="输出 3 4 2 4 2" xfId="50900"/>
    <cellStyle name="输出 3 4 3" xfId="50901"/>
    <cellStyle name="输出 3 4 4" xfId="50902"/>
    <cellStyle name="输出 3 4 5" xfId="50903"/>
    <cellStyle name="输出 3 4 6" xfId="50904"/>
    <cellStyle name="输出 3 5" xfId="50905"/>
    <cellStyle name="输出 3 5 2" xfId="50906"/>
    <cellStyle name="输出 3 5 2 2" xfId="50907"/>
    <cellStyle name="输出 3 5 2 2 2" xfId="50908"/>
    <cellStyle name="输出 3 5 2 2 2 2" xfId="50909"/>
    <cellStyle name="输出 3 5 2 3" xfId="50910"/>
    <cellStyle name="输出 3 5 2 3 2" xfId="50911"/>
    <cellStyle name="输出 3 5 3" xfId="50912"/>
    <cellStyle name="输出 3 5 3 2" xfId="50913"/>
    <cellStyle name="输出 3 5 3 2 2" xfId="50914"/>
    <cellStyle name="输出 3 5 4" xfId="50915"/>
    <cellStyle name="输出 3 5 4 2" xfId="50916"/>
    <cellStyle name="输出 3 6" xfId="50917"/>
    <cellStyle name="输出 3 6 2" xfId="50918"/>
    <cellStyle name="输出 3 6 2 2" xfId="50919"/>
    <cellStyle name="输出 3 6 2 2 2" xfId="50920"/>
    <cellStyle name="输出 3 6 3" xfId="50921"/>
    <cellStyle name="输出 3 6 3 2" xfId="50922"/>
    <cellStyle name="输出 3 7" xfId="50923"/>
    <cellStyle name="输出 3 8" xfId="50924"/>
    <cellStyle name="适中 2" xfId="50925"/>
    <cellStyle name="适中 2 10" xfId="50926"/>
    <cellStyle name="适中 2 11" xfId="50927"/>
    <cellStyle name="适中 2 2" xfId="50928"/>
    <cellStyle name="适中 2 2 10" xfId="50929"/>
    <cellStyle name="适中 2 2 11" xfId="50930"/>
    <cellStyle name="适中 2 2 2" xfId="50931"/>
    <cellStyle name="适中 2 2 2 2" xfId="50932"/>
    <cellStyle name="适中 2 2 2 2 2" xfId="50933"/>
    <cellStyle name="适中 2 2 2 2 2 2" xfId="50934"/>
    <cellStyle name="适中 2 2 2 2 2 3" xfId="50935"/>
    <cellStyle name="适中 2 2 2 2 2 3 2" xfId="50936"/>
    <cellStyle name="适中 2 2 2 2 2 3 2 2" xfId="50937"/>
    <cellStyle name="适中 2 2 2 2 2 4" xfId="50938"/>
    <cellStyle name="适中 2 2 2 2 2 4 2" xfId="50939"/>
    <cellStyle name="适中 2 2 2 2 3" xfId="50940"/>
    <cellStyle name="适中 2 2 2 2 3 2" xfId="50941"/>
    <cellStyle name="适中 2 2 2 2 3 2 2" xfId="50942"/>
    <cellStyle name="适中 2 2 2 2 3 2 2 2" xfId="50943"/>
    <cellStyle name="适中 2 2 2 2 3 3" xfId="50944"/>
    <cellStyle name="适中 2 2 2 2 3 3 2" xfId="50945"/>
    <cellStyle name="适中 2 2 2 2 4" xfId="50946"/>
    <cellStyle name="适中 2 2 2 2 5" xfId="50947"/>
    <cellStyle name="适中 2 2 2 2 6" xfId="50948"/>
    <cellStyle name="适中 2 2 2 3" xfId="50949"/>
    <cellStyle name="适中 2 2 2 3 2" xfId="50950"/>
    <cellStyle name="适中 2 2 2 3 3" xfId="50951"/>
    <cellStyle name="适中 2 2 2 3 3 2" xfId="50952"/>
    <cellStyle name="适中 2 2 2 3 3 2 2" xfId="50953"/>
    <cellStyle name="适中 2 2 2 3 4" xfId="50954"/>
    <cellStyle name="适中 2 2 2 3 4 2" xfId="50955"/>
    <cellStyle name="适中 2 2 2 4" xfId="50956"/>
    <cellStyle name="适中 2 2 2 4 2" xfId="50957"/>
    <cellStyle name="适中 2 2 2 4 2 2" xfId="50958"/>
    <cellStyle name="适中 2 2 2 4 2 2 2" xfId="50959"/>
    <cellStyle name="适中 2 2 2 4 3" xfId="50960"/>
    <cellStyle name="适中 2 2 2 4 3 2" xfId="50961"/>
    <cellStyle name="适中 2 2 2 5" xfId="50962"/>
    <cellStyle name="适中 2 2 2 6" xfId="50963"/>
    <cellStyle name="适中 2 2 2 7" xfId="50964"/>
    <cellStyle name="适中 2 2 3" xfId="50965"/>
    <cellStyle name="适中 2 2 3 2" xfId="50966"/>
    <cellStyle name="适中 2 2 3 2 2" xfId="50967"/>
    <cellStyle name="适中 2 2 3 2 3" xfId="50968"/>
    <cellStyle name="适中 2 2 3 2 3 2" xfId="50969"/>
    <cellStyle name="适中 2 2 3 2 3 2 2" xfId="50970"/>
    <cellStyle name="适中 2 2 3 2 4" xfId="50971"/>
    <cellStyle name="适中 2 2 3 2 4 2" xfId="50972"/>
    <cellStyle name="适中 2 2 3 3" xfId="50973"/>
    <cellStyle name="适中 2 2 3 3 2" xfId="50974"/>
    <cellStyle name="适中 2 2 3 3 2 2" xfId="50975"/>
    <cellStyle name="适中 2 2 3 3 2 2 2" xfId="50976"/>
    <cellStyle name="适中 2 2 3 3 3" xfId="50977"/>
    <cellStyle name="适中 2 2 3 3 3 2" xfId="50978"/>
    <cellStyle name="适中 2 2 3 4" xfId="50979"/>
    <cellStyle name="适中 2 2 3 5" xfId="50980"/>
    <cellStyle name="适中 2 2 3 6" xfId="50981"/>
    <cellStyle name="适中 2 2 4" xfId="50982"/>
    <cellStyle name="适中 2 2 4 2" xfId="50983"/>
    <cellStyle name="适中 2 2 4 2 2" xfId="50984"/>
    <cellStyle name="适中 2 2 4 2 3" xfId="50985"/>
    <cellStyle name="适中 2 2 4 2 3 2" xfId="50986"/>
    <cellStyle name="适中 2 2 4 2 3 2 2" xfId="50987"/>
    <cellStyle name="适中 2 2 4 2 4" xfId="50988"/>
    <cellStyle name="适中 2 2 4 2 4 2" xfId="50989"/>
    <cellStyle name="适中 2 2 4 3" xfId="50990"/>
    <cellStyle name="适中 2 2 4 4" xfId="50991"/>
    <cellStyle name="适中 2 2 4 5" xfId="50992"/>
    <cellStyle name="适中 2 2 4 6" xfId="50993"/>
    <cellStyle name="适中 2 2 5" xfId="50994"/>
    <cellStyle name="适中 2 2 5 2" xfId="50995"/>
    <cellStyle name="适中 2 2 5 2 2" xfId="50996"/>
    <cellStyle name="适中 2 2 5 2 2 2" xfId="50997"/>
    <cellStyle name="适中 2 2 5 2 2 2 2" xfId="50998"/>
    <cellStyle name="适中 2 2 5 2 3" xfId="50999"/>
    <cellStyle name="适中 2 2 5 2 3 2" xfId="51000"/>
    <cellStyle name="适中 2 2 5 3" xfId="51001"/>
    <cellStyle name="适中 2 2 5 3 2" xfId="51002"/>
    <cellStyle name="适中 2 2 5 3 2 2" xfId="51003"/>
    <cellStyle name="适中 2 2 5 4" xfId="51004"/>
    <cellStyle name="适中 2 2 5 4 2" xfId="51005"/>
    <cellStyle name="适中 2 2 6" xfId="51006"/>
    <cellStyle name="适中 2 2 6 2" xfId="51007"/>
    <cellStyle name="适中 2 2 6 2 2" xfId="51008"/>
    <cellStyle name="适中 2 2 6 2 2 2" xfId="51009"/>
    <cellStyle name="适中 2 2 6 2 2 2 2" xfId="51010"/>
    <cellStyle name="适中 2 2 6 2 3" xfId="51011"/>
    <cellStyle name="适中 2 2 6 2 3 2" xfId="51012"/>
    <cellStyle name="适中 2 2 6 3" xfId="51013"/>
    <cellStyle name="适中 2 2 6 3 2" xfId="51014"/>
    <cellStyle name="适中 2 2 6 3 2 2" xfId="51015"/>
    <cellStyle name="适中 2 2 6 4" xfId="51016"/>
    <cellStyle name="适中 2 2 6 4 2" xfId="51017"/>
    <cellStyle name="适中 2 2 7" xfId="51018"/>
    <cellStyle name="适中 2 2 7 2" xfId="51019"/>
    <cellStyle name="适中 2 2 7 2 2" xfId="51020"/>
    <cellStyle name="适中 2 2 7 2 2 2" xfId="51021"/>
    <cellStyle name="适中 2 2 7 2 2 2 2" xfId="51022"/>
    <cellStyle name="适中 2 2 7 2 3" xfId="51023"/>
    <cellStyle name="适中 2 2 7 2 3 2" xfId="51024"/>
    <cellStyle name="适中 2 2 7 3" xfId="51025"/>
    <cellStyle name="适中 2 2 7 3 2" xfId="51026"/>
    <cellStyle name="适中 2 2 7 3 2 2" xfId="51027"/>
    <cellStyle name="适中 2 2 7 4" xfId="51028"/>
    <cellStyle name="适中 2 2 7 4 2" xfId="51029"/>
    <cellStyle name="适中 2 2 8" xfId="51030"/>
    <cellStyle name="适中 2 2 8 2" xfId="51031"/>
    <cellStyle name="适中 2 2 8 2 2" xfId="51032"/>
    <cellStyle name="适中 2 2 8 2 2 2" xfId="51033"/>
    <cellStyle name="适中 2 2 8 3" xfId="51034"/>
    <cellStyle name="适中 2 2 8 3 2" xfId="51035"/>
    <cellStyle name="适中 2 2 9" xfId="51036"/>
    <cellStyle name="适中 2 2 9 2" xfId="51037"/>
    <cellStyle name="适中 2 2 9 2 2" xfId="51038"/>
    <cellStyle name="适中 2 2 9 2 2 2" xfId="51039"/>
    <cellStyle name="适中 2 2 9 3" xfId="51040"/>
    <cellStyle name="适中 2 2 9 3 2" xfId="51041"/>
    <cellStyle name="适中 2 3" xfId="51042"/>
    <cellStyle name="适中 2 3 2" xfId="51043"/>
    <cellStyle name="适中 2 3 2 2" xfId="51044"/>
    <cellStyle name="适中 2 3 2 2 2" xfId="51045"/>
    <cellStyle name="适中 2 3 2 2 2 2" xfId="51046"/>
    <cellStyle name="适中 2 3 2 2 2 3" xfId="51047"/>
    <cellStyle name="适中 2 3 2 2 2 3 2" xfId="51048"/>
    <cellStyle name="适中 2 3 2 2 2 3 2 2" xfId="51049"/>
    <cellStyle name="适中 2 3 2 2 2 4" xfId="51050"/>
    <cellStyle name="适中 2 3 2 2 2 4 2" xfId="51051"/>
    <cellStyle name="适中 2 3 2 2 3" xfId="51052"/>
    <cellStyle name="适中 2 3 2 2 3 2" xfId="51053"/>
    <cellStyle name="适中 2 3 2 2 3 2 2" xfId="51054"/>
    <cellStyle name="适中 2 3 2 2 3 2 2 2" xfId="51055"/>
    <cellStyle name="适中 2 3 2 2 3 3" xfId="51056"/>
    <cellStyle name="适中 2 3 2 2 3 3 2" xfId="51057"/>
    <cellStyle name="适中 2 3 2 2 4" xfId="51058"/>
    <cellStyle name="适中 2 3 2 2 5" xfId="51059"/>
    <cellStyle name="适中 2 3 2 2 6" xfId="51060"/>
    <cellStyle name="适中 2 3 2 3" xfId="51061"/>
    <cellStyle name="适中 2 3 2 3 2" xfId="51062"/>
    <cellStyle name="适中 2 3 2 3 3" xfId="51063"/>
    <cellStyle name="适中 2 3 2 3 3 2" xfId="51064"/>
    <cellStyle name="适中 2 3 2 3 3 2 2" xfId="51065"/>
    <cellStyle name="适中 2 3 2 3 4" xfId="51066"/>
    <cellStyle name="适中 2 3 2 3 4 2" xfId="51067"/>
    <cellStyle name="适中 2 3 2 4" xfId="51068"/>
    <cellStyle name="适中 2 3 2 4 2" xfId="51069"/>
    <cellStyle name="适中 2 3 2 4 2 2" xfId="51070"/>
    <cellStyle name="适中 2 3 2 4 2 2 2" xfId="51071"/>
    <cellStyle name="适中 2 3 2 4 3" xfId="51072"/>
    <cellStyle name="适中 2 3 2 4 3 2" xfId="51073"/>
    <cellStyle name="适中 2 3 2 5" xfId="51074"/>
    <cellStyle name="适中 2 3 2 6" xfId="51075"/>
    <cellStyle name="适中 2 3 2 7" xfId="51076"/>
    <cellStyle name="适中 2 3 3" xfId="51077"/>
    <cellStyle name="适中 2 3 3 2" xfId="51078"/>
    <cellStyle name="适中 2 3 3 2 2" xfId="51079"/>
    <cellStyle name="适中 2 3 3 2 3" xfId="51080"/>
    <cellStyle name="适中 2 3 3 2 3 2" xfId="51081"/>
    <cellStyle name="适中 2 3 3 2 3 2 2" xfId="51082"/>
    <cellStyle name="适中 2 3 3 2 4" xfId="51083"/>
    <cellStyle name="适中 2 3 3 2 4 2" xfId="51084"/>
    <cellStyle name="适中 2 3 3 3" xfId="51085"/>
    <cellStyle name="适中 2 3 3 3 2" xfId="51086"/>
    <cellStyle name="适中 2 3 3 3 2 2" xfId="51087"/>
    <cellStyle name="适中 2 3 3 3 2 2 2" xfId="51088"/>
    <cellStyle name="适中 2 3 3 3 3" xfId="51089"/>
    <cellStyle name="适中 2 3 3 3 3 2" xfId="51090"/>
    <cellStyle name="适中 2 3 3 4" xfId="51091"/>
    <cellStyle name="适中 2 3 3 5" xfId="51092"/>
    <cellStyle name="适中 2 3 3 6" xfId="51093"/>
    <cellStyle name="适中 2 3 4" xfId="51094"/>
    <cellStyle name="适中 2 3 4 2" xfId="51095"/>
    <cellStyle name="适中 2 3 4 2 2" xfId="51096"/>
    <cellStyle name="适中 2 3 4 2 3" xfId="51097"/>
    <cellStyle name="适中 2 3 4 2 3 2" xfId="51098"/>
    <cellStyle name="适中 2 3 4 2 3 2 2" xfId="51099"/>
    <cellStyle name="适中 2 3 4 2 4" xfId="51100"/>
    <cellStyle name="适中 2 3 4 2 4 2" xfId="51101"/>
    <cellStyle name="适中 2 3 4 3" xfId="51102"/>
    <cellStyle name="适中 2 3 4 4" xfId="51103"/>
    <cellStyle name="适中 2 3 4 5" xfId="51104"/>
    <cellStyle name="适中 2 3 4 6" xfId="51105"/>
    <cellStyle name="适中 2 3 5" xfId="51106"/>
    <cellStyle name="适中 2 3 5 2" xfId="51107"/>
    <cellStyle name="适中 2 3 5 2 2" xfId="51108"/>
    <cellStyle name="适中 2 3 5 2 2 2" xfId="51109"/>
    <cellStyle name="适中 2 3 5 2 2 2 2" xfId="51110"/>
    <cellStyle name="适中 2 3 5 2 3" xfId="51111"/>
    <cellStyle name="适中 2 3 5 2 3 2" xfId="51112"/>
    <cellStyle name="适中 2 3 5 3" xfId="51113"/>
    <cellStyle name="适中 2 3 5 3 2" xfId="51114"/>
    <cellStyle name="适中 2 3 5 3 2 2" xfId="51115"/>
    <cellStyle name="适中 2 3 5 4" xfId="51116"/>
    <cellStyle name="适中 2 3 5 4 2" xfId="51117"/>
    <cellStyle name="适中 2 3 6" xfId="51118"/>
    <cellStyle name="适中 2 3 6 2" xfId="51119"/>
    <cellStyle name="适中 2 3 6 2 2" xfId="51120"/>
    <cellStyle name="适中 2 3 6 2 2 2" xfId="51121"/>
    <cellStyle name="适中 2 3 6 3" xfId="51122"/>
    <cellStyle name="适中 2 3 6 3 2" xfId="51123"/>
    <cellStyle name="适中 2 3 7" xfId="51124"/>
    <cellStyle name="适中 2 3 7 2" xfId="51125"/>
    <cellStyle name="适中 2 3 7 2 2" xfId="51126"/>
    <cellStyle name="适中 2 3 7 2 2 2" xfId="51127"/>
    <cellStyle name="适中 2 3 7 3" xfId="51128"/>
    <cellStyle name="适中 2 3 7 3 2" xfId="51129"/>
    <cellStyle name="适中 2 3 8" xfId="51130"/>
    <cellStyle name="适中 2 3 9" xfId="51131"/>
    <cellStyle name="适中 2 4" xfId="51132"/>
    <cellStyle name="适中 2 4 2" xfId="51133"/>
    <cellStyle name="适中 2 4 2 2" xfId="51134"/>
    <cellStyle name="适中 2 4 2 3" xfId="51135"/>
    <cellStyle name="适中 2 4 2 3 2" xfId="51136"/>
    <cellStyle name="适中 2 4 2 3 2 2" xfId="51137"/>
    <cellStyle name="适中 2 4 2 4" xfId="51138"/>
    <cellStyle name="适中 2 4 2 4 2" xfId="51139"/>
    <cellStyle name="适中 2 4 3" xfId="51140"/>
    <cellStyle name="适中 2 4 3 2" xfId="51141"/>
    <cellStyle name="适中 2 4 3 2 2" xfId="51142"/>
    <cellStyle name="适中 2 4 3 2 2 2" xfId="51143"/>
    <cellStyle name="适中 2 4 3 3" xfId="51144"/>
    <cellStyle name="适中 2 4 3 3 2" xfId="51145"/>
    <cellStyle name="适中 2 4 4" xfId="51146"/>
    <cellStyle name="适中 2 4 5" xfId="51147"/>
    <cellStyle name="适中 2 4 6" xfId="51148"/>
    <cellStyle name="适中 2 5" xfId="51149"/>
    <cellStyle name="适中 2 5 2" xfId="51150"/>
    <cellStyle name="适中 2 5 2 2" xfId="51151"/>
    <cellStyle name="适中 2 5 2 3" xfId="51152"/>
    <cellStyle name="适中 2 5 2 3 2" xfId="51153"/>
    <cellStyle name="适中 2 5 2 3 2 2" xfId="51154"/>
    <cellStyle name="适中 2 5 2 4" xfId="51155"/>
    <cellStyle name="适中 2 5 2 4 2" xfId="51156"/>
    <cellStyle name="适中 2 5 3" xfId="51157"/>
    <cellStyle name="适中 2 5 4" xfId="51158"/>
    <cellStyle name="适中 2 5 5" xfId="51159"/>
    <cellStyle name="适中 2 5 6" xfId="51160"/>
    <cellStyle name="适中 2 6" xfId="51161"/>
    <cellStyle name="适中 2 6 2" xfId="51162"/>
    <cellStyle name="适中 2 6 2 2" xfId="51163"/>
    <cellStyle name="适中 2 6 2 2 2" xfId="51164"/>
    <cellStyle name="适中 2 6 2 2 2 2" xfId="51165"/>
    <cellStyle name="适中 2 6 2 3" xfId="51166"/>
    <cellStyle name="适中 2 6 2 3 2" xfId="51167"/>
    <cellStyle name="适中 2 6 3" xfId="51168"/>
    <cellStyle name="适中 2 6 3 2" xfId="51169"/>
    <cellStyle name="适中 2 6 3 2 2" xfId="51170"/>
    <cellStyle name="适中 2 6 4" xfId="51171"/>
    <cellStyle name="适中 2 6 4 2" xfId="51172"/>
    <cellStyle name="适中 2 7" xfId="51173"/>
    <cellStyle name="适中 2 7 2" xfId="51174"/>
    <cellStyle name="适中 2 7 2 2" xfId="51175"/>
    <cellStyle name="适中 2 7 2 2 2" xfId="51176"/>
    <cellStyle name="适中 2 7 2 2 2 2" xfId="51177"/>
    <cellStyle name="适中 2 7 2 3" xfId="51178"/>
    <cellStyle name="适中 2 7 2 3 2" xfId="51179"/>
    <cellStyle name="适中 2 7 3" xfId="51180"/>
    <cellStyle name="适中 2 7 3 2" xfId="51181"/>
    <cellStyle name="适中 2 7 3 2 2" xfId="51182"/>
    <cellStyle name="适中 2 7 4" xfId="51183"/>
    <cellStyle name="适中 2 7 4 2" xfId="51184"/>
    <cellStyle name="适中 2 8" xfId="51185"/>
    <cellStyle name="适中 2 8 2" xfId="51186"/>
    <cellStyle name="适中 2 8 2 2" xfId="51187"/>
    <cellStyle name="适中 2 8 2 2 2" xfId="51188"/>
    <cellStyle name="适中 2 8 2 2 2 2" xfId="51189"/>
    <cellStyle name="适中 2 8 2 3" xfId="51190"/>
    <cellStyle name="适中 2 8 2 3 2" xfId="51191"/>
    <cellStyle name="适中 2 8 3" xfId="51192"/>
    <cellStyle name="适中 2 8 3 2" xfId="51193"/>
    <cellStyle name="适中 2 8 3 2 2" xfId="51194"/>
    <cellStyle name="适中 2 8 4" xfId="51195"/>
    <cellStyle name="适中 2 8 4 2" xfId="51196"/>
    <cellStyle name="适中 2 9" xfId="51197"/>
    <cellStyle name="适中 2 9 2" xfId="51198"/>
    <cellStyle name="适中 2 9 2 2" xfId="51199"/>
    <cellStyle name="适中 2 9 2 2 2" xfId="51200"/>
    <cellStyle name="适中 2 9 3" xfId="51201"/>
    <cellStyle name="适中 2 9 3 2" xfId="51202"/>
    <cellStyle name="适中 3" xfId="51203"/>
    <cellStyle name="适中 3 2" xfId="51204"/>
    <cellStyle name="适中 3 2 2" xfId="51205"/>
    <cellStyle name="适中 3 2 2 2" xfId="51206"/>
    <cellStyle name="适中 3 2 2 2 2" xfId="51207"/>
    <cellStyle name="适中 3 2 2 2 3" xfId="51208"/>
    <cellStyle name="适中 3 2 2 2 3 2" xfId="51209"/>
    <cellStyle name="适中 3 2 2 2 3 2 2" xfId="51210"/>
    <cellStyle name="适中 3 2 2 2 4" xfId="51211"/>
    <cellStyle name="适中 3 2 2 2 4 2" xfId="51212"/>
    <cellStyle name="适中 3 2 2 3" xfId="51213"/>
    <cellStyle name="适中 3 2 2 3 2" xfId="51214"/>
    <cellStyle name="适中 3 2 2 3 2 2" xfId="51215"/>
    <cellStyle name="适中 3 2 2 3 2 2 2" xfId="51216"/>
    <cellStyle name="适中 3 2 2 3 3" xfId="51217"/>
    <cellStyle name="适中 3 2 2 3 3 2" xfId="51218"/>
    <cellStyle name="适中 3 2 2 4" xfId="51219"/>
    <cellStyle name="适中 3 2 2 5" xfId="51220"/>
    <cellStyle name="适中 3 2 2 6" xfId="51221"/>
    <cellStyle name="适中 3 2 3" xfId="51222"/>
    <cellStyle name="适中 3 2 3 2" xfId="51223"/>
    <cellStyle name="适中 3 2 3 3" xfId="51224"/>
    <cellStyle name="适中 3 2 3 3 2" xfId="51225"/>
    <cellStyle name="适中 3 2 3 3 2 2" xfId="51226"/>
    <cellStyle name="适中 3 2 3 4" xfId="51227"/>
    <cellStyle name="适中 3 2 3 4 2" xfId="51228"/>
    <cellStyle name="适中 3 2 4" xfId="51229"/>
    <cellStyle name="适中 3 2 4 2" xfId="51230"/>
    <cellStyle name="适中 3 2 4 2 2" xfId="51231"/>
    <cellStyle name="适中 3 2 4 2 2 2" xfId="51232"/>
    <cellStyle name="适中 3 2 4 3" xfId="51233"/>
    <cellStyle name="适中 3 2 4 3 2" xfId="51234"/>
    <cellStyle name="适中 3 2 5" xfId="51235"/>
    <cellStyle name="适中 3 2 6" xfId="51236"/>
    <cellStyle name="适中 3 2 7" xfId="51237"/>
    <cellStyle name="适中 3 3" xfId="51238"/>
    <cellStyle name="适中 3 3 2" xfId="51239"/>
    <cellStyle name="适中 3 3 2 2" xfId="51240"/>
    <cellStyle name="适中 3 3 2 3" xfId="51241"/>
    <cellStyle name="适中 3 3 2 3 2" xfId="51242"/>
    <cellStyle name="适中 3 3 2 3 2 2" xfId="51243"/>
    <cellStyle name="适中 3 3 2 4" xfId="51244"/>
    <cellStyle name="适中 3 3 2 4 2" xfId="51245"/>
    <cellStyle name="适中 3 3 3" xfId="51246"/>
    <cellStyle name="适中 3 3 3 2" xfId="51247"/>
    <cellStyle name="适中 3 3 3 2 2" xfId="51248"/>
    <cellStyle name="适中 3 3 3 2 2 2" xfId="51249"/>
    <cellStyle name="适中 3 3 3 3" xfId="51250"/>
    <cellStyle name="适中 3 3 3 3 2" xfId="51251"/>
    <cellStyle name="适中 3 3 4" xfId="51252"/>
    <cellStyle name="适中 3 3 5" xfId="51253"/>
    <cellStyle name="适中 3 3 6" xfId="51254"/>
    <cellStyle name="适中 3 4" xfId="51255"/>
    <cellStyle name="适中 3 4 2" xfId="51256"/>
    <cellStyle name="适中 3 4 2 2" xfId="51257"/>
    <cellStyle name="适中 3 4 2 3" xfId="51258"/>
    <cellStyle name="适中 3 4 2 3 2" xfId="51259"/>
    <cellStyle name="适中 3 4 2 3 2 2" xfId="51260"/>
    <cellStyle name="适中 3 4 2 4" xfId="51261"/>
    <cellStyle name="适中 3 4 2 4 2" xfId="51262"/>
    <cellStyle name="适中 3 4 3" xfId="51263"/>
    <cellStyle name="适中 3 4 4" xfId="51264"/>
    <cellStyle name="适中 3 4 5" xfId="51265"/>
    <cellStyle name="适中 3 4 6" xfId="51266"/>
    <cellStyle name="适中 3 5" xfId="51267"/>
    <cellStyle name="适中 3 5 2" xfId="51268"/>
    <cellStyle name="适中 3 5 2 2" xfId="51269"/>
    <cellStyle name="适中 3 5 2 2 2" xfId="51270"/>
    <cellStyle name="适中 3 5 2 2 2 2" xfId="51271"/>
    <cellStyle name="适中 3 5 2 3" xfId="51272"/>
    <cellStyle name="适中 3 5 2 3 2" xfId="51273"/>
    <cellStyle name="适中 3 5 3" xfId="51274"/>
    <cellStyle name="适中 3 5 3 2" xfId="51275"/>
    <cellStyle name="适中 3 5 3 2 2" xfId="51276"/>
    <cellStyle name="适中 3 5 4" xfId="51277"/>
    <cellStyle name="适中 3 5 4 2" xfId="51278"/>
    <cellStyle name="适中 3 6" xfId="51279"/>
    <cellStyle name="适中 3 6 2" xfId="51280"/>
    <cellStyle name="适中 3 6 2 2" xfId="51281"/>
    <cellStyle name="适中 3 6 2 2 2" xfId="51282"/>
    <cellStyle name="适中 3 6 3" xfId="51283"/>
    <cellStyle name="适中 3 6 3 2" xfId="51284"/>
    <cellStyle name="适中 3 7" xfId="51285"/>
    <cellStyle name="适中 3 8" xfId="51286"/>
    <cellStyle name="链接单元格 2" xfId="51287"/>
    <cellStyle name="链接单元格 2 10" xfId="51288"/>
    <cellStyle name="链接单元格 2 11" xfId="51289"/>
    <cellStyle name="链接单元格 2 2" xfId="51290"/>
    <cellStyle name="链接单元格 2 2 10" xfId="51291"/>
    <cellStyle name="链接单元格 2 2 11" xfId="51292"/>
    <cellStyle name="链接单元格 2 2 2" xfId="51293"/>
    <cellStyle name="链接单元格 2 2 2 2" xfId="51294"/>
    <cellStyle name="链接单元格 2 2 2 2 2" xfId="51295"/>
    <cellStyle name="链接单元格 2 2 2 2 2 2" xfId="51296"/>
    <cellStyle name="链接单元格 2 2 2 2 2 3" xfId="51297"/>
    <cellStyle name="链接单元格 2 2 2 2 2 3 2" xfId="51298"/>
    <cellStyle name="链接单元格 2 2 2 2 2 3 2 2" xfId="51299"/>
    <cellStyle name="链接单元格 2 2 2 2 2 4" xfId="51300"/>
    <cellStyle name="链接单元格 2 2 2 2 2 4 2" xfId="51301"/>
    <cellStyle name="链接单元格 2 2 2 2 3" xfId="51302"/>
    <cellStyle name="链接单元格 2 2 2 2 3 2" xfId="51303"/>
    <cellStyle name="链接单元格 2 2 2 2 3 2 2" xfId="51304"/>
    <cellStyle name="链接单元格 2 2 2 2 3 2 2 2" xfId="51305"/>
    <cellStyle name="链接单元格 2 2 2 2 3 3" xfId="51306"/>
    <cellStyle name="链接单元格 2 2 2 2 3 3 2" xfId="51307"/>
    <cellStyle name="链接单元格 2 2 2 2 4" xfId="51308"/>
    <cellStyle name="链接单元格 2 2 2 2 5" xfId="51309"/>
    <cellStyle name="链接单元格 2 2 2 2 6" xfId="51310"/>
    <cellStyle name="链接单元格 2 2 2 3" xfId="51311"/>
    <cellStyle name="链接单元格 2 2 2 3 2" xfId="51312"/>
    <cellStyle name="链接单元格 2 2 2 3 3" xfId="51313"/>
    <cellStyle name="链接单元格 2 2 2 3 3 2" xfId="51314"/>
    <cellStyle name="链接单元格 2 2 2 3 3 2 2" xfId="51315"/>
    <cellStyle name="链接单元格 2 2 2 3 4" xfId="51316"/>
    <cellStyle name="链接单元格 2 2 2 3 4 2" xfId="51317"/>
    <cellStyle name="链接单元格 2 2 2 4" xfId="51318"/>
    <cellStyle name="链接单元格 2 2 2 4 2" xfId="51319"/>
    <cellStyle name="链接单元格 2 2 2 4 2 2" xfId="51320"/>
    <cellStyle name="链接单元格 2 2 2 4 2 2 2" xfId="51321"/>
    <cellStyle name="链接单元格 2 2 2 4 3" xfId="51322"/>
    <cellStyle name="链接单元格 2 2 2 4 3 2" xfId="51323"/>
    <cellStyle name="链接单元格 2 2 2 5" xfId="51324"/>
    <cellStyle name="链接单元格 2 2 2 6" xfId="51325"/>
    <cellStyle name="链接单元格 2 2 2 7" xfId="51326"/>
    <cellStyle name="链接单元格 2 2 3" xfId="51327"/>
    <cellStyle name="链接单元格 2 2 3 2" xfId="51328"/>
    <cellStyle name="链接单元格 2 2 3 2 2" xfId="51329"/>
    <cellStyle name="链接单元格 2 2 3 2 3" xfId="51330"/>
    <cellStyle name="链接单元格 2 2 3 2 3 2" xfId="51331"/>
    <cellStyle name="链接单元格 2 2 3 2 3 2 2" xfId="51332"/>
    <cellStyle name="链接单元格 2 2 3 2 4" xfId="51333"/>
    <cellStyle name="链接单元格 2 2 3 2 4 2" xfId="51334"/>
    <cellStyle name="链接单元格 2 2 3 3" xfId="51335"/>
    <cellStyle name="链接单元格 2 2 3 3 2" xfId="51336"/>
    <cellStyle name="链接单元格 2 2 3 3 2 2" xfId="51337"/>
    <cellStyle name="链接单元格 2 2 3 3 2 2 2" xfId="51338"/>
    <cellStyle name="链接单元格 2 2 3 3 3" xfId="51339"/>
    <cellStyle name="链接单元格 2 2 3 3 3 2" xfId="51340"/>
    <cellStyle name="链接单元格 2 2 3 4" xfId="51341"/>
    <cellStyle name="链接单元格 2 2 3 5" xfId="51342"/>
    <cellStyle name="链接单元格 2 2 3 6" xfId="51343"/>
    <cellStyle name="链接单元格 2 2 4" xfId="51344"/>
    <cellStyle name="链接单元格 2 2 4 2" xfId="51345"/>
    <cellStyle name="链接单元格 2 2 4 2 2" xfId="51346"/>
    <cellStyle name="链接单元格 2 2 4 2 3" xfId="51347"/>
    <cellStyle name="链接单元格 2 2 4 2 3 2" xfId="51348"/>
    <cellStyle name="链接单元格 2 2 4 2 3 2 2" xfId="51349"/>
    <cellStyle name="链接单元格 2 2 4 2 4" xfId="51350"/>
    <cellStyle name="链接单元格 2 2 4 2 4 2" xfId="51351"/>
    <cellStyle name="链接单元格 2 2 4 3" xfId="51352"/>
    <cellStyle name="链接单元格 2 2 4 4" xfId="51353"/>
    <cellStyle name="链接单元格 2 2 4 5" xfId="51354"/>
    <cellStyle name="链接单元格 2 2 4 6" xfId="51355"/>
    <cellStyle name="链接单元格 2 2 5" xfId="51356"/>
    <cellStyle name="链接单元格 2 2 5 2" xfId="51357"/>
    <cellStyle name="链接单元格 2 2 5 2 2" xfId="51358"/>
    <cellStyle name="链接单元格 2 2 5 2 2 2" xfId="51359"/>
    <cellStyle name="链接单元格 2 2 5 2 2 2 2" xfId="51360"/>
    <cellStyle name="链接单元格 2 2 5 2 3" xfId="51361"/>
    <cellStyle name="链接单元格 2 2 5 2 3 2" xfId="51362"/>
    <cellStyle name="链接单元格 2 2 5 3" xfId="51363"/>
    <cellStyle name="链接单元格 2 2 5 3 2" xfId="51364"/>
    <cellStyle name="链接单元格 2 2 5 3 2 2" xfId="51365"/>
    <cellStyle name="链接单元格 2 2 5 4" xfId="51366"/>
    <cellStyle name="链接单元格 2 2 5 4 2" xfId="51367"/>
    <cellStyle name="链接单元格 2 2 6" xfId="51368"/>
    <cellStyle name="链接单元格 2 2 6 2" xfId="51369"/>
    <cellStyle name="链接单元格 2 2 6 2 2" xfId="51370"/>
    <cellStyle name="链接单元格 2 2 6 2 2 2" xfId="51371"/>
    <cellStyle name="链接单元格 2 2 6 2 2 2 2" xfId="51372"/>
    <cellStyle name="链接单元格 2 2 6 2 3" xfId="51373"/>
    <cellStyle name="链接单元格 2 2 6 2 3 2" xfId="51374"/>
    <cellStyle name="链接单元格 2 2 6 3" xfId="51375"/>
    <cellStyle name="链接单元格 2 2 6 3 2" xfId="51376"/>
    <cellStyle name="链接单元格 2 2 6 3 2 2" xfId="51377"/>
    <cellStyle name="链接单元格 2 2 6 4" xfId="51378"/>
    <cellStyle name="链接单元格 2 2 6 4 2" xfId="51379"/>
    <cellStyle name="链接单元格 2 2 7" xfId="51380"/>
    <cellStyle name="链接单元格 2 2 7 2" xfId="51381"/>
    <cellStyle name="链接单元格 2 2 7 2 2" xfId="51382"/>
    <cellStyle name="链接单元格 2 2 7 2 2 2" xfId="51383"/>
    <cellStyle name="链接单元格 2 2 7 2 2 2 2" xfId="51384"/>
    <cellStyle name="链接单元格 2 2 7 2 3" xfId="51385"/>
    <cellStyle name="链接单元格 2 2 7 2 3 2" xfId="51386"/>
    <cellStyle name="链接单元格 2 2 7 3" xfId="51387"/>
    <cellStyle name="链接单元格 2 2 7 3 2" xfId="51388"/>
    <cellStyle name="链接单元格 2 2 7 3 2 2" xfId="51389"/>
    <cellStyle name="链接单元格 2 2 7 4" xfId="51390"/>
    <cellStyle name="链接单元格 2 2 7 4 2" xfId="51391"/>
    <cellStyle name="链接单元格 2 2 8" xfId="51392"/>
    <cellStyle name="链接单元格 2 2 8 2" xfId="51393"/>
    <cellStyle name="链接单元格 2 2 8 2 2" xfId="51394"/>
    <cellStyle name="链接单元格 2 2 8 2 2 2" xfId="51395"/>
    <cellStyle name="链接单元格 2 2 8 3" xfId="51396"/>
    <cellStyle name="链接单元格 2 2 8 3 2" xfId="51397"/>
    <cellStyle name="链接单元格 2 2 9" xfId="51398"/>
    <cellStyle name="链接单元格 2 2 9 2" xfId="51399"/>
    <cellStyle name="链接单元格 2 2 9 2 2" xfId="51400"/>
    <cellStyle name="链接单元格 2 2 9 2 2 2" xfId="51401"/>
    <cellStyle name="链接单元格 2 2 9 3" xfId="51402"/>
    <cellStyle name="链接单元格 2 2 9 3 2" xfId="51403"/>
    <cellStyle name="链接单元格 2 3" xfId="51404"/>
    <cellStyle name="链接单元格 2 3 2" xfId="51405"/>
    <cellStyle name="链接单元格 2 3 2 2" xfId="51406"/>
    <cellStyle name="链接单元格 2 3 2 2 2" xfId="51407"/>
    <cellStyle name="链接单元格 2 3 2 2 2 2" xfId="51408"/>
    <cellStyle name="链接单元格 2 3 2 2 2 3" xfId="51409"/>
    <cellStyle name="链接单元格 2 3 2 2 2 3 2" xfId="51410"/>
    <cellStyle name="链接单元格 2 3 2 2 2 3 2 2" xfId="51411"/>
    <cellStyle name="链接单元格 2 3 2 2 2 4" xfId="51412"/>
    <cellStyle name="链接单元格 2 3 2 2 2 4 2" xfId="51413"/>
    <cellStyle name="链接单元格 2 3 2 2 3" xfId="51414"/>
    <cellStyle name="链接单元格 2 3 2 2 3 2" xfId="51415"/>
    <cellStyle name="链接单元格 2 3 2 2 3 2 2" xfId="51416"/>
    <cellStyle name="链接单元格 2 3 2 2 3 2 2 2" xfId="51417"/>
    <cellStyle name="链接单元格 2 3 2 2 3 3" xfId="51418"/>
    <cellStyle name="链接单元格 2 3 2 2 3 3 2" xfId="51419"/>
    <cellStyle name="链接单元格 2 3 2 2 4" xfId="51420"/>
    <cellStyle name="链接单元格 2 3 2 2 5" xfId="51421"/>
    <cellStyle name="链接单元格 2 3 2 2 6" xfId="51422"/>
    <cellStyle name="链接单元格 2 3 2 3" xfId="51423"/>
    <cellStyle name="链接单元格 2 3 2 3 2" xfId="51424"/>
    <cellStyle name="链接单元格 2 3 2 3 3" xfId="51425"/>
    <cellStyle name="链接单元格 2 3 2 3 3 2" xfId="51426"/>
    <cellStyle name="链接单元格 2 3 2 3 3 2 2" xfId="51427"/>
    <cellStyle name="链接单元格 2 3 2 3 4" xfId="51428"/>
    <cellStyle name="链接单元格 2 3 2 3 4 2" xfId="51429"/>
    <cellStyle name="链接单元格 2 3 2 4" xfId="51430"/>
    <cellStyle name="链接单元格 2 3 2 4 2" xfId="51431"/>
    <cellStyle name="链接单元格 2 3 2 4 2 2" xfId="51432"/>
    <cellStyle name="链接单元格 2 3 2 4 2 2 2" xfId="51433"/>
    <cellStyle name="链接单元格 2 3 2 4 3" xfId="51434"/>
    <cellStyle name="链接单元格 2 3 2 4 3 2" xfId="51435"/>
    <cellStyle name="链接单元格 2 3 2 5" xfId="51436"/>
    <cellStyle name="链接单元格 2 3 2 6" xfId="51437"/>
    <cellStyle name="链接单元格 2 3 2 7" xfId="51438"/>
    <cellStyle name="链接单元格 2 3 3" xfId="51439"/>
    <cellStyle name="链接单元格 2 3 3 2" xfId="51440"/>
    <cellStyle name="链接单元格 2 3 3 2 2" xfId="51441"/>
    <cellStyle name="链接单元格 2 3 3 2 3" xfId="51442"/>
    <cellStyle name="链接单元格 2 3 3 2 3 2" xfId="51443"/>
    <cellStyle name="链接单元格 2 3 3 2 3 2 2" xfId="51444"/>
    <cellStyle name="链接单元格 2 3 3 2 4" xfId="51445"/>
    <cellStyle name="链接单元格 2 3 3 2 4 2" xfId="51446"/>
    <cellStyle name="链接单元格 2 3 3 3" xfId="51447"/>
    <cellStyle name="链接单元格 2 3 3 3 2" xfId="51448"/>
    <cellStyle name="链接单元格 2 3 3 3 2 2" xfId="51449"/>
    <cellStyle name="链接单元格 2 3 3 3 2 2 2" xfId="51450"/>
    <cellStyle name="链接单元格 2 3 3 3 3" xfId="51451"/>
    <cellStyle name="链接单元格 2 3 3 3 3 2" xfId="51452"/>
    <cellStyle name="链接单元格 2 3 3 4" xfId="51453"/>
    <cellStyle name="链接单元格 2 3 3 5" xfId="51454"/>
    <cellStyle name="链接单元格 2 3 3 6" xfId="51455"/>
    <cellStyle name="链接单元格 2 3 4" xfId="51456"/>
    <cellStyle name="链接单元格 2 3 4 2" xfId="51457"/>
    <cellStyle name="链接单元格 2 3 4 2 2" xfId="51458"/>
    <cellStyle name="链接单元格 2 3 4 2 3" xfId="51459"/>
    <cellStyle name="链接单元格 2 3 4 2 3 2" xfId="51460"/>
    <cellStyle name="链接单元格 2 3 4 2 3 2 2" xfId="51461"/>
    <cellStyle name="链接单元格 2 3 4 2 4" xfId="51462"/>
    <cellStyle name="链接单元格 2 3 4 2 4 2" xfId="51463"/>
    <cellStyle name="链接单元格 2 3 4 3" xfId="51464"/>
    <cellStyle name="链接单元格 2 3 4 4" xfId="51465"/>
    <cellStyle name="链接单元格 2 3 4 5" xfId="51466"/>
    <cellStyle name="链接单元格 2 3 4 6" xfId="51467"/>
    <cellStyle name="链接单元格 2 3 5" xfId="51468"/>
    <cellStyle name="链接单元格 2 3 5 2" xfId="51469"/>
    <cellStyle name="链接单元格 2 3 5 2 2" xfId="51470"/>
    <cellStyle name="链接单元格 2 3 5 2 2 2" xfId="51471"/>
    <cellStyle name="链接单元格 2 3 5 2 2 2 2" xfId="51472"/>
    <cellStyle name="链接单元格 2 3 5 2 3" xfId="51473"/>
    <cellStyle name="链接单元格 2 3 5 2 3 2" xfId="51474"/>
    <cellStyle name="链接单元格 2 3 5 3" xfId="51475"/>
    <cellStyle name="链接单元格 2 3 5 3 2" xfId="51476"/>
    <cellStyle name="链接单元格 2 3 5 3 2 2" xfId="51477"/>
    <cellStyle name="链接单元格 2 3 5 4" xfId="51478"/>
    <cellStyle name="链接单元格 2 3 5 4 2" xfId="51479"/>
    <cellStyle name="链接单元格 2 3 6" xfId="51480"/>
    <cellStyle name="链接单元格 2 3 6 2" xfId="51481"/>
    <cellStyle name="链接单元格 2 3 6 2 2" xfId="51482"/>
    <cellStyle name="链接单元格 2 3 6 2 2 2" xfId="51483"/>
    <cellStyle name="链接单元格 2 3 6 3" xfId="51484"/>
    <cellStyle name="链接单元格 2 3 6 3 2" xfId="51485"/>
    <cellStyle name="链接单元格 2 3 7" xfId="51486"/>
    <cellStyle name="链接单元格 2 3 7 2" xfId="51487"/>
    <cellStyle name="链接单元格 2 3 7 2 2" xfId="51488"/>
    <cellStyle name="链接单元格 2 3 7 2 2 2" xfId="51489"/>
    <cellStyle name="链接单元格 2 3 7 3" xfId="51490"/>
    <cellStyle name="链接单元格 2 3 7 3 2" xfId="51491"/>
    <cellStyle name="链接单元格 2 3 8" xfId="51492"/>
    <cellStyle name="链接单元格 2 3 9" xfId="51493"/>
    <cellStyle name="链接单元格 2 4" xfId="51494"/>
    <cellStyle name="链接单元格 2 4 2" xfId="51495"/>
    <cellStyle name="链接单元格 2 4 2 2" xfId="51496"/>
    <cellStyle name="链接单元格 2 4 2 3" xfId="51497"/>
    <cellStyle name="链接单元格 2 4 2 3 2" xfId="51498"/>
    <cellStyle name="链接单元格 2 4 2 3 2 2" xfId="51499"/>
    <cellStyle name="链接单元格 2 4 2 4" xfId="51500"/>
    <cellStyle name="链接单元格 2 4 2 4 2" xfId="51501"/>
    <cellStyle name="链接单元格 2 4 3" xfId="51502"/>
    <cellStyle name="链接单元格 2 4 3 2" xfId="51503"/>
    <cellStyle name="链接单元格 2 4 3 2 2" xfId="51504"/>
    <cellStyle name="链接单元格 2 4 3 2 2 2" xfId="51505"/>
    <cellStyle name="链接单元格 2 4 3 3" xfId="51506"/>
    <cellStyle name="链接单元格 2 4 3 3 2" xfId="51507"/>
    <cellStyle name="链接单元格 2 4 4" xfId="51508"/>
    <cellStyle name="链接单元格 2 4 5" xfId="51509"/>
    <cellStyle name="链接单元格 2 4 6" xfId="51510"/>
    <cellStyle name="链接单元格 2 5" xfId="51511"/>
    <cellStyle name="链接单元格 2 5 2" xfId="51512"/>
    <cellStyle name="链接单元格 2 5 2 2" xfId="51513"/>
    <cellStyle name="链接单元格 2 5 2 3" xfId="51514"/>
    <cellStyle name="链接单元格 2 5 2 3 2" xfId="51515"/>
    <cellStyle name="链接单元格 2 5 2 3 2 2" xfId="51516"/>
    <cellStyle name="链接单元格 2 5 2 4" xfId="51517"/>
    <cellStyle name="链接单元格 2 5 2 4 2" xfId="51518"/>
    <cellStyle name="链接单元格 2 5 3" xfId="51519"/>
    <cellStyle name="链接单元格 2 5 4" xfId="51520"/>
    <cellStyle name="链接单元格 2 5 5" xfId="51521"/>
    <cellStyle name="链接单元格 2 5 6" xfId="51522"/>
    <cellStyle name="链接单元格 2 6" xfId="51523"/>
    <cellStyle name="链接单元格 2 6 2" xfId="51524"/>
    <cellStyle name="链接单元格 2 6 2 2" xfId="51525"/>
    <cellStyle name="链接单元格 2 6 2 2 2" xfId="51526"/>
    <cellStyle name="链接单元格 2 6 2 2 2 2" xfId="51527"/>
    <cellStyle name="链接单元格 2 6 2 3" xfId="51528"/>
    <cellStyle name="链接单元格 2 6 2 3 2" xfId="51529"/>
    <cellStyle name="链接单元格 2 6 3" xfId="51530"/>
    <cellStyle name="链接单元格 2 6 3 2" xfId="51531"/>
    <cellStyle name="链接单元格 2 6 3 2 2" xfId="51532"/>
    <cellStyle name="链接单元格 2 6 4" xfId="51533"/>
    <cellStyle name="链接单元格 2 6 4 2" xfId="51534"/>
    <cellStyle name="链接单元格 2 7" xfId="51535"/>
    <cellStyle name="链接单元格 2 7 2" xfId="51536"/>
    <cellStyle name="链接单元格 2 7 2 2" xfId="51537"/>
    <cellStyle name="链接单元格 2 7 2 2 2" xfId="51538"/>
    <cellStyle name="链接单元格 2 7 2 2 2 2" xfId="51539"/>
    <cellStyle name="链接单元格 2 7 2 3" xfId="51540"/>
    <cellStyle name="链接单元格 2 7 2 3 2" xfId="51541"/>
    <cellStyle name="链接单元格 2 7 3" xfId="51542"/>
    <cellStyle name="链接单元格 2 7 3 2" xfId="51543"/>
    <cellStyle name="链接单元格 2 7 3 2 2" xfId="51544"/>
    <cellStyle name="链接单元格 2 7 4" xfId="51545"/>
    <cellStyle name="链接单元格 2 7 4 2" xfId="51546"/>
    <cellStyle name="链接单元格 2 8" xfId="51547"/>
    <cellStyle name="链接单元格 2 8 2" xfId="51548"/>
    <cellStyle name="链接单元格 2 8 2 2" xfId="51549"/>
    <cellStyle name="链接单元格 2 8 2 2 2" xfId="51550"/>
    <cellStyle name="链接单元格 2 8 2 2 2 2" xfId="51551"/>
    <cellStyle name="链接单元格 2 8 2 3" xfId="51552"/>
    <cellStyle name="链接单元格 2 8 2 3 2" xfId="51553"/>
    <cellStyle name="链接单元格 2 8 3" xfId="51554"/>
    <cellStyle name="链接单元格 2 8 3 2" xfId="51555"/>
    <cellStyle name="链接单元格 2 8 3 2 2" xfId="51556"/>
    <cellStyle name="链接单元格 2 8 4" xfId="51557"/>
    <cellStyle name="链接单元格 2 8 4 2" xfId="51558"/>
    <cellStyle name="链接单元格 2 9" xfId="51559"/>
    <cellStyle name="链接单元格 2 9 2" xfId="51560"/>
    <cellStyle name="链接单元格 2 9 2 2" xfId="51561"/>
    <cellStyle name="链接单元格 2 9 2 2 2" xfId="51562"/>
    <cellStyle name="链接单元格 2 9 3" xfId="51563"/>
    <cellStyle name="链接单元格 2 9 3 2" xfId="51564"/>
    <cellStyle name="链接单元格 3" xfId="51565"/>
    <cellStyle name="链接单元格 3 2" xfId="51566"/>
    <cellStyle name="链接单元格 3 2 2" xfId="51567"/>
    <cellStyle name="链接单元格 3 2 2 2" xfId="51568"/>
    <cellStyle name="链接单元格 3 2 2 2 2" xfId="51569"/>
    <cellStyle name="链接单元格 3 2 2 2 3" xfId="51570"/>
    <cellStyle name="链接单元格 3 2 2 2 3 2" xfId="51571"/>
    <cellStyle name="链接单元格 3 2 2 2 3 2 2" xfId="51572"/>
    <cellStyle name="链接单元格 3 2 2 2 4" xfId="51573"/>
    <cellStyle name="链接单元格 3 2 2 2 4 2" xfId="51574"/>
    <cellStyle name="链接单元格 3 2 2 3" xfId="51575"/>
    <cellStyle name="链接单元格 3 2 2 3 2" xfId="51576"/>
    <cellStyle name="链接单元格 3 2 2 3 2 2" xfId="51577"/>
    <cellStyle name="链接单元格 3 2 2 3 2 2 2" xfId="51578"/>
    <cellStyle name="链接单元格 3 2 2 3 3" xfId="51579"/>
    <cellStyle name="链接单元格 3 2 2 3 3 2" xfId="51580"/>
    <cellStyle name="链接单元格 3 2 2 4" xfId="51581"/>
    <cellStyle name="链接单元格 3 2 2 5" xfId="51582"/>
    <cellStyle name="链接单元格 3 2 2 6" xfId="51583"/>
    <cellStyle name="链接单元格 3 2 3" xfId="51584"/>
    <cellStyle name="链接单元格 3 2 3 2" xfId="51585"/>
    <cellStyle name="链接单元格 3 2 3 3" xfId="51586"/>
    <cellStyle name="链接单元格 3 2 3 3 2" xfId="51587"/>
    <cellStyle name="链接单元格 3 2 3 3 2 2" xfId="51588"/>
    <cellStyle name="链接单元格 3 2 3 4" xfId="51589"/>
    <cellStyle name="链接单元格 3 2 3 4 2" xfId="51590"/>
    <cellStyle name="链接单元格 3 2 4" xfId="51591"/>
    <cellStyle name="链接单元格 3 2 4 2" xfId="51592"/>
    <cellStyle name="链接单元格 3 2 4 2 2" xfId="51593"/>
    <cellStyle name="链接单元格 3 2 4 2 2 2" xfId="51594"/>
    <cellStyle name="链接单元格 3 2 4 3" xfId="51595"/>
    <cellStyle name="链接单元格 3 2 4 3 2" xfId="51596"/>
    <cellStyle name="链接单元格 3 2 5" xfId="51597"/>
    <cellStyle name="链接单元格 3 2 6" xfId="51598"/>
    <cellStyle name="链接单元格 3 2 7" xfId="51599"/>
    <cellStyle name="链接单元格 3 3" xfId="51600"/>
    <cellStyle name="链接单元格 3 3 2" xfId="51601"/>
    <cellStyle name="链接单元格 3 3 2 2" xfId="51602"/>
    <cellStyle name="链接单元格 3 3 2 3" xfId="51603"/>
    <cellStyle name="链接单元格 3 3 2 3 2" xfId="51604"/>
    <cellStyle name="链接单元格 3 3 2 3 2 2" xfId="51605"/>
    <cellStyle name="链接单元格 3 3 2 4" xfId="51606"/>
    <cellStyle name="链接单元格 3 3 2 4 2" xfId="51607"/>
    <cellStyle name="链接单元格 3 3 3" xfId="51608"/>
    <cellStyle name="链接单元格 3 3 3 2" xfId="51609"/>
    <cellStyle name="链接单元格 3 3 3 2 2" xfId="51610"/>
    <cellStyle name="链接单元格 3 3 3 2 2 2" xfId="51611"/>
    <cellStyle name="链接单元格 3 3 3 3" xfId="51612"/>
    <cellStyle name="链接单元格 3 3 3 3 2" xfId="51613"/>
    <cellStyle name="链接单元格 3 3 4" xfId="51614"/>
    <cellStyle name="链接单元格 3 3 5" xfId="51615"/>
    <cellStyle name="链接单元格 3 3 6" xfId="51616"/>
    <cellStyle name="链接单元格 3 4" xfId="51617"/>
    <cellStyle name="链接单元格 3 4 2" xfId="51618"/>
    <cellStyle name="链接单元格 3 4 2 2" xfId="51619"/>
    <cellStyle name="链接单元格 3 4 2 3" xfId="51620"/>
    <cellStyle name="链接单元格 3 4 2 3 2" xfId="51621"/>
    <cellStyle name="链接单元格 3 4 2 3 2 2" xfId="51622"/>
    <cellStyle name="链接单元格 3 4 2 4" xfId="51623"/>
    <cellStyle name="链接单元格 3 4 2 4 2" xfId="51624"/>
    <cellStyle name="链接单元格 3 4 3" xfId="51625"/>
    <cellStyle name="链接单元格 3 4 4" xfId="51626"/>
    <cellStyle name="链接单元格 3 4 5" xfId="51627"/>
    <cellStyle name="链接单元格 3 4 6" xfId="51628"/>
    <cellStyle name="链接单元格 3 5" xfId="51629"/>
    <cellStyle name="链接单元格 3 5 2" xfId="51630"/>
    <cellStyle name="链接单元格 3 5 2 2" xfId="51631"/>
    <cellStyle name="链接单元格 3 5 2 2 2" xfId="51632"/>
    <cellStyle name="链接单元格 3 5 2 2 2 2" xfId="51633"/>
    <cellStyle name="链接单元格 3 5 2 3" xfId="51634"/>
    <cellStyle name="链接单元格 3 5 2 3 2" xfId="51635"/>
    <cellStyle name="链接单元格 3 5 3" xfId="51636"/>
    <cellStyle name="链接单元格 3 5 3 2" xfId="51637"/>
    <cellStyle name="链接单元格 3 5 3 2 2" xfId="51638"/>
    <cellStyle name="链接单元格 3 5 4" xfId="51639"/>
    <cellStyle name="链接单元格 3 5 4 2" xfId="51640"/>
    <cellStyle name="链接单元格 3 6" xfId="51641"/>
    <cellStyle name="链接单元格 3 6 2" xfId="51642"/>
    <cellStyle name="链接单元格 3 6 2 2" xfId="51643"/>
    <cellStyle name="链接单元格 3 6 2 2 2" xfId="51644"/>
    <cellStyle name="链接单元格 3 6 3" xfId="51645"/>
    <cellStyle name="链接单元格 3 6 3 2" xfId="51646"/>
    <cellStyle name="链接单元格 3 7" xfId="51647"/>
    <cellStyle name="链接单元格 3 8" xfId="51648"/>
    <cellStyle name="Денежный" xfId="51649" builtinId="4"/>
  </cellStyles>
  <dxfs count="80">
    <dxf>
      <fill>
        <patternFill patternType="solid">
          <fgColor rgb="FFFFC000"/>
          <bgColor rgb="FFFFC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4" tint="0.5999938962981048"/>
          <bgColor theme="4" tint="0.5999938962981048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name val="Calibri"/>
        <strike val="0"/>
        <sz val="11"/>
        <vertAlign val="baseline"/>
        <scheme val="minor"/>
      </font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Calibri"/>
        <strike val="0"/>
        <sz val="11"/>
        <vertAlign val="baseline"/>
        <scheme val="minor"/>
      </font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Calibri"/>
        <strike val="0"/>
        <sz val="11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Calibri"/>
        <strike val="0"/>
        <sz val="11"/>
        <vertAlign val="baseline"/>
        <scheme val="minor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Calibri"/>
        <strike val="0"/>
        <sz val="11"/>
        <vertAlign val="baseline"/>
        <scheme val="minor"/>
      </font>
      <numFmt numFmtId="0" formatCode="General"/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Calibri"/>
        <strike val="0"/>
        <sz val="11"/>
        <vertAlign val="baseline"/>
        <scheme val="minor"/>
      </font>
      <numFmt numFmtId="0" formatCode="General"/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Calibri"/>
        <strike val="0"/>
        <sz val="11"/>
        <vertAlign val="baseline"/>
        <scheme val="minor"/>
      </font>
      <numFmt numFmtId="0" formatCode="General"/>
      <fill>
        <patternFill patternType="solid">
          <fgColor theme="0" tint="-0.1499984740745262"/>
          <bgColor theme="0" tint="-0.1499984740745262"/>
        </patternFill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Calibri"/>
        <strike val="0"/>
        <sz val="11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Calibri"/>
        <strike val="0"/>
        <sz val="11"/>
        <vertAlign val="baseline"/>
        <scheme val="minor"/>
      </font>
      <numFmt numFmtId="0" formatCode="General"/>
      <fill>
        <patternFill patternType="solid">
          <fgColor theme="0" tint="-0.1499984740745262"/>
          <bgColor theme="0" tint="-0.1499984740745262"/>
        </patternFill>
      </fill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Calibri"/>
        <strike val="0"/>
        <sz val="11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Calibri"/>
        <strike val="0"/>
        <sz val="11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Calibri"/>
        <strike val="0"/>
        <color theme="1"/>
        <sz val="11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Calibri"/>
        <strike val="0"/>
        <sz val="11"/>
        <vertAlign val="baseline"/>
        <scheme val="minor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outline="0">
        <left style="thin">
          <color auto="1"/>
        </left>
        <right/>
        <top style="thin">
          <color auto="1"/>
        </top>
        <bottom/>
      </border>
    </dxf>
    <dxf>
      <font>
        <name val="Calibri"/>
        <strike val="0"/>
        <color theme="1"/>
        <sz val="11"/>
        <vertAlign val="baseline"/>
        <scheme val="minor"/>
      </font>
      <numFmt numFmtId="0" formatCode="General"/>
      <alignment vertical="center"/>
      <border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Calibri"/>
        <b val="1"/>
        <strike val="0"/>
        <color theme="1"/>
        <sz val="11"/>
        <vertAlign val="baseline"/>
        <scheme val="minor"/>
      </font>
      <numFmt numFmtId="3" formatCode="#,##0"/>
      <alignment horizontal="center" vertical="center"/>
      <border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" formatCode="#,##0"/>
      <fill>
        <patternFill patternType="solid">
          <fgColor indexed="64"/>
          <bgColor theme="0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" formatCode="#,##0"/>
      <fill>
        <patternFill patternType="solid">
          <fgColor indexed="64"/>
          <bgColor theme="0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" formatCode="#,##0"/>
      <fill>
        <patternFill patternType="solid">
          <fgColor indexed="64"/>
          <bgColor theme="0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" formatCode="#,##0"/>
      <fill>
        <patternFill patternType="solid">
          <fgColor indexed="64"/>
          <bgColor theme="0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" formatCode="#,##0"/>
      <fill>
        <patternFill patternType="solid">
          <fgColor indexed="64"/>
          <bgColor theme="0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" formatCode="#,##0"/>
      <fill>
        <patternFill patternType="solid">
          <fgColor indexed="64"/>
          <bgColor theme="0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" formatCode="#,##0"/>
      <fill>
        <patternFill patternType="solid">
          <fgColor indexed="64"/>
          <bgColor theme="0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" formatCode="#,##0"/>
      <fill>
        <patternFill patternType="solid">
          <fgColor indexed="64"/>
          <bgColor theme="0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" formatCode="#,##0"/>
      <fill>
        <patternFill patternType="solid">
          <fgColor indexed="64"/>
          <bgColor theme="0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" formatCode="#,##0"/>
      <fill>
        <patternFill patternType="solid">
          <fgColor indexed="64"/>
          <bgColor theme="0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" formatCode="#,##0"/>
      <fill>
        <patternFill patternType="solid">
          <fgColor indexed="64"/>
          <bgColor theme="0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" formatCode="#,##0"/>
      <fill>
        <patternFill patternType="solid">
          <fgColor indexed="64"/>
          <bgColor theme="0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horizontal="center" vertical="center"/>
      <border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Calibri"/>
        <strike val="0"/>
        <sz val="11"/>
        <vertAlign val="baseline"/>
        <scheme val="minor"/>
      </font>
      <numFmt numFmtId="0" formatCode="General"/>
      <fill>
        <patternFill/>
      </fill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Calibri"/>
        <strike val="0"/>
        <sz val="11"/>
        <vertAlign val="baseline"/>
        <scheme val="minor"/>
      </font>
      <fill>
        <patternFill patternType="solid">
          <fgColor indexed="5"/>
          <bgColor indexed="5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Calibri"/>
        <strike val="0"/>
        <sz val="11"/>
        <vertAlign val="baseline"/>
        <scheme val="minor"/>
      </font>
      <fill>
        <patternFill patternType="solid">
          <fgColor indexed="5"/>
          <bgColor indexed="5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Calibri"/>
        <strike val="0"/>
        <color theme="1"/>
        <sz val="11"/>
        <vertAlign val="baseline"/>
        <scheme val="minor"/>
      </font>
      <numFmt numFmtId="0" formatCode="General"/>
      <fill>
        <patternFill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outline="0">
        <left/>
        <right style="thin">
          <color auto="1"/>
        </right>
        <top style="thin">
          <color auto="1"/>
        </top>
        <bottom/>
      </border>
    </dxf>
    <dxf>
      <font>
        <name val="Calibri"/>
        <strike val="0"/>
        <sz val="11"/>
        <vertAlign val="baseline"/>
        <scheme val="minor"/>
      </font>
      <numFmt numFmtId="0" formatCode="General"/>
      <fill>
        <patternFill/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tc={2CB77F11-A232-4E88-A52C-A9266D2FCB71}</author>
    <author>tc={F657981A-D58D-4923-A510-F608839F252F}</author>
    <author>tc={D9679AC7-EA67-4691-ABC6-E17E7A02748C}</author>
    <author>tc={C49C2551-A908-4AAF-9B20-C17E9390F3EC}</author>
    <author>tc={39315CEE-098B-4585-B61E-48B647778E15}</author>
    <author>tc={A767845E-D9FD-488F-A61D-BEAD5F59CA6C}</author>
  </authors>
  <commentList>
    <comment ref="BF113" authorId="0" shapeId="0">
      <text>
        <t>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Rinat Mustafin:
Кабель питания клиент использует свои складские остатки</t>
      </text>
    </comment>
    <comment ref="BQ113" authorId="1" shapeId="0">
      <text>
        <t>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Rinat Mustafin:
Кабель питания клиент использует свои складские остатки</t>
      </text>
    </comment>
    <comment ref="BF114" authorId="2" shapeId="0">
      <text>
        <t>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Rinat Mustafin:
2 подъемные оси
Reply:
		[Threaded comment]
Your application allows you to read this threaded comment; however, any edits to it will get removed if the file is opened in a latest version of Excel.
Comment:
		2 подъемные оси
Reply: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Rinat Mustafin:
под 4s/2m</t>
      </text>
    </comment>
    <comment ref="BQ118" authorId="3" shapeId="0">
      <text>
        <t>[Threaded comment]
Your application allows you to read this threaded comment; however, any edits to it will get removed if the file is opened in a latest version of Excel.
Comment:
		Rinat Mustafin:
под 4s/2m
Reply: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Rinat Mustafin:
2 подъемные оси</t>
      </text>
    </comment>
    <comment ref="BF119" authorId="4" shapeId="0">
      <text>
        <t>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Rinat Mustafin:
2 подъемные оси</t>
      </text>
    </comment>
    <comment ref="BQ119" authorId="5" shapeId="0">
      <text>
        <t>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Rinat Mustafin:
2 подъемные оси</t>
      </text>
    </comment>
  </commentList>
</comments>
</file>

<file path=xl/tables/table1.xml><?xml version="1.0" encoding="utf-8"?>
<table xmlns="http://schemas.openxmlformats.org/spreadsheetml/2006/main" id="1" name="Сводная_Продажи_Факт" displayName="Сводная_Продажи_Факт" ref="A2:AE81" headerRowCount="1" totalsRowCount="1">
  <autoFilter ref="A2:AE80"/>
  <sortState ref="A3:AE79">
    <sortCondition ref="C3:C18"/>
    <sortCondition ref="B3:B18"/>
    <sortCondition ref="D3:D18"/>
  </sortState>
  <tableColumns count="31">
    <tableColumn id="1" name="№" dataDxfId="79" totalsRowDxfId="78"/>
    <tableColumn id="2" name="Тип" dataDxfId="77" totalsRowDxfId="76"/>
    <tableColumn id="3" name="WABCO" dataDxfId="75" totalsRowDxfId="74"/>
    <tableColumn id="4" name="Обозначение" dataDxfId="73" totalsRowDxfId="72"/>
    <tableColumn id="5" name="Наименование" dataDxfId="71" totalsRowDxfId="70"/>
    <tableColumn id="6" name="Январь_x000a_прогноз" totalsRowFunction="sum" dataDxfId="69" totalsRowDxfId="68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Row],[Обозначение]]='2026_Мустафин'!$G$6:$G$274)*('2026_Мустафин'!$EF$6:$EF$274))</calculatedColumnFormula>
    </tableColumn>
    <tableColumn id="20" name="Январь_x000a_факт" dataDxfId="67" totalsRowDxfId="66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Row],[Обозначение]]='2026_Мустафин'!$G$6:$G$274)*('2026_Мустафин'!$EG$6:$EG$274))</calculatedColumnFormula>
    </tableColumn>
    <tableColumn id="7" name="Февраль_x000a_прогноз" totalsRowFunction="sum" dataDxfId="65" totalsRowDxfId="64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Row],[Обозначение]]='2026_Мустафин'!$G$6:$G$274)*('2026_Мустафин'!$EJ$6:$EJ$274))</calculatedColumnFormula>
    </tableColumn>
    <tableColumn id="21" name="Февраль_x000a_факт" dataDxfId="63" totalsRowDxfId="62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Row],[Обозначение]]='2026_Мустафин'!$G$6:$G$274)*('2026_Мустафин'!$EK$6:$EK$274))</calculatedColumnFormula>
    </tableColumn>
    <tableColumn id="8" name="Март_x000a_прогноз" totalsRowFunction="sum" dataDxfId="61" totalsRowDxfId="60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Row],[Обозначение]]='2026_Мустафин'!$G$6:$G$274)*('2026_Мустафин'!$EN$6:$EN$274))</calculatedColumnFormula>
    </tableColumn>
    <tableColumn id="22" name="Март_x000a_факт" dataDxfId="59" totalsRowDxfId="58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Row],[Обозначение]]='2026_Мустафин'!$G$6:$G$274)*('2026_Мустафин'!$EO$6:$EO$274))</calculatedColumnFormula>
    </tableColumn>
    <tableColumn id="9" name="Апрель_x000a_прогноз" totalsRowFunction="sum" dataDxfId="57" totalsRowDxfId="56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Row],[Обозначение]]='2026_Мустафин'!$G$6:$G$274)*('2026_Мустафин'!$ER$6:$ER$274))</calculatedColumnFormula>
    </tableColumn>
    <tableColumn id="23" name="Апрель_x000a_факт" dataDxfId="55" totalsRowDxfId="54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Row],[Обозначение]]='2026_Мустафин'!$G$6:$G$274)*('2026_Мустафин'!$ES$6:$ES$274))</calculatedColumnFormula>
    </tableColumn>
    <tableColumn id="10" name="Май_x000a_прогноз" totalsRowFunction="sum" dataDxfId="53" totalsRowDxfId="52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Row],[Обозначение]]='2026_Мустафин'!$G$6:$G$274)*('2026_Мустафин'!$EV$6:$EV$274))</calculatedColumnFormula>
    </tableColumn>
    <tableColumn id="24" name="Май_x000a_факт" dataDxfId="51" totalsRowDxfId="50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Row],[Обозначение]]='2026_Мустафин'!$G$6:$G$274)*('2026_Мустафин'!$EW$6:$EW$274))</calculatedColumnFormula>
    </tableColumn>
    <tableColumn id="11" name="Июнь_x000a_прогноз" totalsRowFunction="sum" dataDxfId="49" totalsRowDxfId="48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Row],[Обозначение]]='2026_Мустафин'!$G$6:$G$274)*('2026_Мустафин'!$EZ$6:$EZ$274))</calculatedColumnFormula>
    </tableColumn>
    <tableColumn id="25" name="Июнь_x000a_факт" dataDxfId="47" totalsRowDxfId="46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Row],[Обозначение]]='2026_Мустафин'!$G$6:$G$274)*('2026_Мустафин'!$FA$6:$FA$274))</calculatedColumnFormula>
    </tableColumn>
    <tableColumn id="12" name="Июль_x000a_прогноз" totalsRowFunction="sum" dataDxfId="45" totalsRowDxfId="44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Row],[Обозначение]]='2026_Мустафин'!$G$6:$G$274)*('2026_Мустафин'!$FD$6:$FD$274))</calculatedColumnFormula>
    </tableColumn>
    <tableColumn id="26" name="Июль_x000a_факт" dataDxfId="43" totalsRowDxfId="42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Row],[Обозначение]]='2026_Мустафин'!$G$6:$G$274)*('2026_Мустафин'!$FE$6:$FE$274))</calculatedColumnFormula>
    </tableColumn>
    <tableColumn id="13" name="Август_x000a_прогноз" totalsRowFunction="sum" dataDxfId="41" totalsRowDxfId="40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Row],[Обозначение]]='2026_Мустафин'!$G$6:$G$274)*('2026_Мустафин'!$FH$6:$FH$274))</calculatedColumnFormula>
    </tableColumn>
    <tableColumn id="27" name="Август_x000a_факт" dataDxfId="39" totalsRowDxfId="38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Row],[Обозначение]]='2026_Мустафин'!$G$6:$G$274)*('2026_Мустафин'!$FI$6:$FI$274))</calculatedColumnFormula>
    </tableColumn>
    <tableColumn id="14" name="Сентябрь_x000a_прогноз" totalsRowFunction="sum" dataDxfId="37" totalsRowDxfId="36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Row],[Обозначение]]='2026_Мустафин'!$G$6:$G$274)*('2026_Мустафин'!$FL$6:$FL$274))</calculatedColumnFormula>
    </tableColumn>
    <tableColumn id="28" name="Сентябрь_x000a_факт" dataDxfId="35" totalsRowDxfId="34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Row],[Обозначение]]='2026_Мустафин'!$G$6:$G$274)*('2026_Мустафин'!$FM$6:$FM$274))</calculatedColumnFormula>
    </tableColumn>
    <tableColumn id="15" name="Октябрь_x000a_прогноз" totalsRowFunction="sum" dataDxfId="33" totalsRowDxfId="32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Row],[Обозначение]]='2026_Мустафин'!$G$6:$G$274)*('2026_Мустафин'!$FP$6:$FP$274))</calculatedColumnFormula>
    </tableColumn>
    <tableColumn id="29" name="Октябрь_x000a_факт" dataDxfId="31" totalsRowDxfId="30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Row],[Обозначение]]='2026_Мустафин'!$G$6:$G$274)*('2026_Мустафин'!$FQ$6:$FQ$274))</calculatedColumnFormula>
    </tableColumn>
    <tableColumn id="16" name="Ноябрь_x000a_прогноз" totalsRowFunction="sum" dataDxfId="29" totalsRowDxfId="28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Row],[Обозначение]]='2026_Мустафин'!$G$6:$G$274)*('2026_Мустафин'!$FT$6:$FT$274))</calculatedColumnFormula>
    </tableColumn>
    <tableColumn id="30" name="Ноябрь_x000a_факт" dataDxfId="27" totalsRowDxfId="26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Row],[Обозначение]]='2026_Мустафин'!$G$6:$G$274)*('2026_Мустафин'!$FU$6:$FU$274))</calculatedColumnFormula>
    </tableColumn>
    <tableColumn id="17" name="Декабрь_x000a_прогноз" totalsRowFunction="sum" dataDxfId="25" totalsRowDxfId="24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Row],[Обозначение]]='2026_Мустафин'!$G$6:$G$274)*('2026_Мустафин'!$FX$6:$FX$274))</calculatedColumnFormula>
    </tableColumn>
    <tableColumn id="31" name="Декабрь_x000a_факт" dataDxfId="23" totalsRowDxfId="22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Row],[Обозначение]]='2026_Мустафин'!$G$6:$G$274)*('2026_Мустафин'!$FY$6:$FY$274))</calculatedColumnFormula>
    </tableColumn>
    <tableColumn id="18" name="2026" totalsRowFunction="sum" dataDxfId="21" totalsRowDxfId="20">
      <calculatedColumnFormula>SUM(Сводная_Продажи_Факт[[#This Row],[Январь
прогноз]:[Декабрь
прогноз]])</calculatedColumnFormula>
    </tableColumn>
    <tableColumn id="19" name="Проверка" dataDxfId="19" totalsRowDxfId="1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Сеты" displayName="Сеты" ref="F1:N37" headerRowCount="1">
  <autoFilter ref="F1:N37"/>
  <sortState ref="F2:N36">
    <sortCondition ref="G2:G31"/>
    <sortCondition ref="H2:H31"/>
    <sortCondition ref="L2:L31"/>
    <sortCondition ref="I2:I31"/>
  </sortState>
  <tableColumns count="9">
    <tableColumn id="1" name="№" dataDxfId="17"/>
    <tableColumn id="2" name="Сет" dataDxfId="16"/>
    <tableColumn id="3" name="WABCO" dataDxfId="15"/>
    <tableColumn id="4" name="Обозначение" dataDxfId="14"/>
    <tableColumn id="5" name="Наименование" dataDxfId="13"/>
    <tableColumn id="6" name="Кол-во" dataDxfId="12"/>
    <tableColumn id="7" name="Тип" dataDxfId="11"/>
    <tableColumn id="8" name="Примечание" dataDxfId="10"/>
    <tableColumn id="9" name="Проверка" dataDxfId="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База" displayName="База" ref="A1:D68" headerRowCount="1">
  <autoFilter ref="A1:D68"/>
  <sortState ref="A2:D68">
    <sortCondition ref="D2:D36"/>
    <sortCondition ref="B2:B36"/>
  </sortState>
  <tableColumns count="4">
    <tableColumn id="1" name="№" dataDxfId="8"/>
    <tableColumn id="2" name="Обозначение" dataDxfId="7"/>
    <tableColumn id="3" name="Наименование" dataDxfId="6"/>
    <tableColumn id="4" name="Тип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O278"/>
  <sheetViews>
    <sheetView tabSelected="1" zoomScale="55" zoomScaleNormal="55" workbookViewId="0">
      <pane xSplit="10" ySplit="5" topLeftCell="ES264" activePane="bottomRight" state="frozen"/>
      <selection activeCell="DV257" sqref="DV257"/>
      <selection pane="topRight" activeCell="A1" sqref="A1"/>
      <selection pane="bottomLeft" activeCell="A1" sqref="A1"/>
      <selection pane="bottomRight" activeCell="EX295" sqref="EX295"/>
    </sheetView>
  </sheetViews>
  <sheetFormatPr baseColWidth="8" defaultColWidth="12.6640625" defaultRowHeight="14.4" outlineLevelRow="1"/>
  <cols>
    <col width="16.44140625" customWidth="1" style="1" min="1" max="1"/>
    <col outlineLevel="1" width="4.44140625" customWidth="1" style="1" min="2" max="2"/>
    <col outlineLevel="1" width="1" customWidth="1" style="1" min="3" max="3"/>
    <col outlineLevel="1" width="1.44140625" customWidth="1" style="1" min="4" max="4"/>
    <col width="5.33203125" bestFit="1" customWidth="1" style="1" min="5" max="5"/>
    <col width="6.6640625" customWidth="1" style="1" min="6" max="6"/>
    <col width="16.33203125" customWidth="1" style="1" min="7" max="7"/>
    <col width="19.5546875" customWidth="1" style="2" min="8" max="8"/>
    <col width="9.88671875" bestFit="1" customWidth="1" style="3" min="9" max="9"/>
    <col collapsed="1" width="10.33203125" customWidth="1" style="3" min="10" max="10"/>
    <col width="14" customWidth="1" style="3" min="11" max="11"/>
    <col width="15.109375" customWidth="1" style="3" min="12" max="12"/>
    <col hidden="1" outlineLevel="2" width="9.6640625" customWidth="1" style="3" min="13" max="15"/>
    <col hidden="1" outlineLevel="2" width="19" customWidth="1" style="3" min="16" max="16"/>
    <col hidden="1" outlineLevel="2" width="9.6640625" customWidth="1" style="3" min="17" max="19"/>
    <col hidden="1" outlineLevel="2" width="17.6640625" customWidth="1" style="3" min="20" max="20"/>
    <col hidden="1" outlineLevel="2" width="9.6640625" customWidth="1" style="3" min="21" max="23"/>
    <col hidden="1" outlineLevel="2" width="17.6640625" customWidth="1" style="3" min="24" max="24"/>
    <col hidden="1" outlineLevel="2" collapsed="1" width="9.6640625" customWidth="1" style="3" min="25" max="25"/>
    <col hidden="1" outlineLevel="2" width="9.6640625" customWidth="1" style="3" min="26" max="27"/>
    <col hidden="1" outlineLevel="2" width="17.6640625" customWidth="1" style="3" min="28" max="28"/>
    <col hidden="1" outlineLevel="2" collapsed="1" width="9.6640625" customWidth="1" style="3" min="29" max="29"/>
    <col hidden="1" outlineLevel="2" width="9.6640625" customWidth="1" style="3" min="30" max="31"/>
    <col hidden="1" outlineLevel="2" width="17.6640625" customWidth="1" style="3" min="32" max="32"/>
    <col hidden="1" outlineLevel="2" collapsed="1" width="9.6640625" customWidth="1" style="3" min="33" max="33"/>
    <col hidden="1" outlineLevel="2" width="9.6640625" customWidth="1" style="3" min="34" max="34"/>
    <col hidden="1" outlineLevel="2" width="9.6640625" customWidth="1" style="2" min="35" max="35"/>
    <col hidden="1" outlineLevel="2" width="17.6640625" customWidth="1" style="2" min="36" max="36"/>
    <col hidden="1" outlineLevel="2" collapsed="1" width="9.6640625" customWidth="1" style="2" min="37" max="37"/>
    <col hidden="1" outlineLevel="2" width="9.6640625" customWidth="1" style="2" min="38" max="39"/>
    <col hidden="1" outlineLevel="2" width="17.6640625" customWidth="1" style="2" min="40" max="40"/>
    <col hidden="1" outlineLevel="2" collapsed="1" width="9.6640625" customWidth="1" style="2" min="41" max="41"/>
    <col hidden="1" outlineLevel="2" width="9.6640625" customWidth="1" style="2" min="42" max="43"/>
    <col hidden="1" outlineLevel="2" width="17.6640625" customWidth="1" style="2" min="44" max="44"/>
    <col hidden="1" outlineLevel="2" collapsed="1" width="9.6640625" customWidth="1" style="2" min="45" max="45"/>
    <col hidden="1" outlineLevel="2" width="9.6640625" customWidth="1" style="2" min="46" max="47"/>
    <col hidden="1" outlineLevel="2" width="17.6640625" customWidth="1" style="2" min="48" max="48"/>
    <col hidden="1" outlineLevel="2" collapsed="1" width="9.6640625" customWidth="1" style="2" min="49" max="49"/>
    <col hidden="1" outlineLevel="2" width="9.6640625" customWidth="1" style="2" min="50" max="51"/>
    <col hidden="1" outlineLevel="2" width="17.6640625" customWidth="1" style="2" min="52" max="52"/>
    <col hidden="1" outlineLevel="2" width="9.6640625" customWidth="1" style="2" min="53" max="53"/>
    <col hidden="1" outlineLevel="2" collapsed="1" width="9.6640625" customWidth="1" style="2" min="54" max="54"/>
    <col hidden="1" outlineLevel="2" width="9.6640625" customWidth="1" style="3" min="55" max="55"/>
    <col hidden="1" outlineLevel="2" width="17.6640625" customWidth="1" style="2" min="56" max="56"/>
    <col hidden="1" outlineLevel="2" width="9.6640625" customWidth="1" style="2" min="57" max="59"/>
    <col hidden="1" outlineLevel="2" width="17.6640625" customWidth="1" style="2" min="60" max="60"/>
    <col hidden="1" outlineLevel="2" width="10.6640625" customWidth="1" style="2" min="61" max="61"/>
    <col hidden="1" outlineLevel="2" width="14.6640625" customWidth="1" style="2" min="62" max="62"/>
    <col hidden="1" outlineLevel="2" width="10.6640625" customWidth="1" style="2" min="63" max="63"/>
    <col hidden="1" outlineLevel="2" width="14.6640625" customWidth="1" style="2" min="64" max="64"/>
    <col hidden="1" outlineLevel="2" width="10.6640625" customWidth="1" style="2" min="65" max="65"/>
    <col outlineLevel="1" collapsed="1" width="13" customWidth="1" style="2" min="66" max="66"/>
    <col hidden="1" outlineLevel="2" collapsed="1" width="9.6640625" customWidth="1" style="2" min="67" max="67"/>
    <col hidden="1" outlineLevel="2" width="9.6640625" customWidth="1" style="2" min="68" max="70"/>
    <col hidden="1" outlineLevel="2" width="19" customWidth="1" style="2" min="71" max="71"/>
    <col hidden="1" outlineLevel="2" width="9.6640625" customWidth="1" style="2" min="72" max="75"/>
    <col hidden="1" outlineLevel="2" width="19" customWidth="1" style="2" min="76" max="76"/>
    <col hidden="1" outlineLevel="2" width="9.6640625" customWidth="1" style="2" min="77" max="79"/>
    <col hidden="1" outlineLevel="2" width="12.44140625" customWidth="1" style="2" min="80" max="80"/>
    <col hidden="1" outlineLevel="2" width="19" customWidth="1" style="2" min="81" max="81"/>
    <col hidden="1" outlineLevel="2" width="9.6640625" customWidth="1" style="2" min="82" max="85"/>
    <col hidden="1" outlineLevel="2" width="16.44140625" customWidth="1" style="2" min="86" max="86"/>
    <col hidden="1" outlineLevel="2" width="9.6640625" customWidth="1" style="2" min="87" max="90"/>
    <col hidden="1" outlineLevel="2" width="19" customWidth="1" style="2" min="91" max="91"/>
    <col hidden="1" outlineLevel="2" width="9.6640625" customWidth="1" style="2" min="92" max="95"/>
    <col hidden="1" outlineLevel="2" width="19" customWidth="1" style="2" min="96" max="96"/>
    <col hidden="1" outlineLevel="2" width="9.6640625" customWidth="1" style="2" min="97" max="100"/>
    <col hidden="1" outlineLevel="2" width="19" customWidth="1" style="2" min="101" max="101"/>
    <col hidden="1" outlineLevel="2" width="9.6640625" customWidth="1" style="2" min="102" max="105"/>
    <col hidden="1" outlineLevel="2" width="19" customWidth="1" style="2" min="106" max="106"/>
    <col hidden="1" outlineLevel="2" width="9.6640625" customWidth="1" style="2" min="107" max="110"/>
    <col hidden="1" outlineLevel="2" width="19" customWidth="1" style="2" min="111" max="111"/>
    <col hidden="1" outlineLevel="2" width="9.6640625" customWidth="1" style="2" min="112" max="115"/>
    <col hidden="1" outlineLevel="2" width="19" customWidth="1" style="2" min="116" max="116"/>
    <col hidden="1" outlineLevel="2" width="9.6640625" customWidth="1" style="2" min="117" max="120"/>
    <col hidden="1" outlineLevel="2" width="19" customWidth="1" style="2" min="121" max="121"/>
    <col hidden="1" outlineLevel="2" width="9.6640625" customWidth="1" style="2" min="122" max="125"/>
    <col hidden="1" outlineLevel="2" width="19" customWidth="1" style="2" min="126" max="126"/>
    <col hidden="1" outlineLevel="2" width="10.6640625" customWidth="1" style="2" min="127" max="127"/>
    <col hidden="1" outlineLevel="2" width="14.6640625" customWidth="1" style="2" min="128" max="128"/>
    <col hidden="1" outlineLevel="2" width="10.6640625" customWidth="1" style="2" min="129" max="129"/>
    <col hidden="1" outlineLevel="2" width="14.5546875" customWidth="1" style="2" min="130" max="130"/>
    <col hidden="1" outlineLevel="2" width="10.6640625" customWidth="1" style="2" min="131" max="131"/>
    <col hidden="1" outlineLevel="2" width="14.5546875" customWidth="1" style="2" min="132" max="132"/>
    <col hidden="1" outlineLevel="2" width="10.6640625" customWidth="1" style="2" min="133" max="133"/>
    <col outlineLevel="1" collapsed="1" width="14.5546875" customWidth="1" style="2" min="134" max="134"/>
    <col outlineLevel="2" width="9.6640625" customWidth="1" style="2" min="135" max="137"/>
    <col outlineLevel="2" width="16.44140625" customWidth="1" style="2" min="138" max="138"/>
    <col outlineLevel="2" width="9.6640625" customWidth="1" style="2" min="139" max="141"/>
    <col outlineLevel="2" width="16.44140625" customWidth="1" style="2" min="142" max="142"/>
    <col outlineLevel="2" width="9.6640625" customWidth="1" style="2" min="143" max="145"/>
    <col outlineLevel="2" width="16.44140625" customWidth="1" style="2" min="146" max="146"/>
    <col outlineLevel="2" width="9.6640625" customWidth="1" style="2" min="147" max="149"/>
    <col outlineLevel="2" width="16.44140625" customWidth="1" style="2" min="150" max="150"/>
    <col outlineLevel="2" width="9.6640625" customWidth="1" style="2" min="151" max="153"/>
    <col outlineLevel="2" width="16.44140625" customWidth="1" style="2" min="154" max="154"/>
    <col outlineLevel="2" width="9.6640625" customWidth="1" style="2" min="155" max="157"/>
    <col outlineLevel="2" width="16.44140625" customWidth="1" style="2" min="158" max="158"/>
    <col outlineLevel="2" width="9.6640625" customWidth="1" style="2" min="159" max="161"/>
    <col outlineLevel="2" width="16.44140625" customWidth="1" style="2" min="162" max="162"/>
    <col outlineLevel="2" width="9.6640625" customWidth="1" style="2" min="163" max="165"/>
    <col outlineLevel="2" width="16.44140625" customWidth="1" style="2" min="166" max="166"/>
    <col outlineLevel="2" width="9.6640625" customWidth="1" style="2" min="167" max="169"/>
    <col outlineLevel="2" width="16.44140625" customWidth="1" style="2" min="170" max="170"/>
    <col outlineLevel="2" width="9.6640625" customWidth="1" style="2" min="171" max="173"/>
    <col outlineLevel="2" width="16.44140625" customWidth="1" style="2" min="174" max="174"/>
    <col outlineLevel="2" width="9.6640625" customWidth="1" style="2" min="175" max="177"/>
    <col outlineLevel="2" width="16.44140625" customWidth="1" style="2" min="178" max="178"/>
    <col outlineLevel="2" width="9.6640625" customWidth="1" style="2" min="179" max="181"/>
    <col outlineLevel="2" width="16.44140625" customWidth="1" style="2" min="182" max="182"/>
    <col outlineLevel="2" width="10.6640625" customWidth="1" style="2" min="183" max="183"/>
    <col outlineLevel="2" width="14.6640625" customWidth="1" style="2" min="184" max="184"/>
    <col outlineLevel="2" width="10.6640625" customWidth="1" style="2" min="185" max="185"/>
    <col outlineLevel="2" width="14.5546875" customWidth="1" style="2" min="186" max="186"/>
    <col outlineLevel="2" width="10.6640625" customWidth="1" style="2" min="187" max="187"/>
    <col outlineLevel="1" width="14.5546875" customWidth="1" style="2" min="188" max="188"/>
    <col hidden="1" outlineLevel="2" width="9.6640625" customWidth="1" style="2" min="189" max="191"/>
    <col hidden="1" outlineLevel="2" width="16.44140625" customWidth="1" style="2" min="192" max="192"/>
    <col hidden="1" outlineLevel="2" width="9.6640625" customWidth="1" style="2" min="193" max="195"/>
    <col hidden="1" outlineLevel="2" width="16.44140625" customWidth="1" style="2" min="196" max="196"/>
    <col hidden="1" outlineLevel="2" width="9.6640625" customWidth="1" style="2" min="197" max="199"/>
    <col hidden="1" outlineLevel="2" width="16.44140625" customWidth="1" style="2" min="200" max="200"/>
    <col hidden="1" outlineLevel="2" width="9.6640625" customWidth="1" style="2" min="201" max="203"/>
    <col hidden="1" outlineLevel="2" width="16.44140625" customWidth="1" style="2" min="204" max="204"/>
    <col hidden="1" outlineLevel="2" width="9.6640625" customWidth="1" style="2" min="205" max="207"/>
    <col hidden="1" outlineLevel="2" width="16.44140625" customWidth="1" style="2" min="208" max="208"/>
    <col hidden="1" outlineLevel="2" width="9.6640625" customWidth="1" style="2" min="209" max="211"/>
    <col hidden="1" outlineLevel="2" width="16.44140625" customWidth="1" style="2" min="212" max="212"/>
    <col hidden="1" outlineLevel="2" width="9.6640625" customWidth="1" style="2" min="213" max="215"/>
    <col hidden="1" outlineLevel="2" width="16.44140625" customWidth="1" style="2" min="216" max="216"/>
    <col hidden="1" outlineLevel="2" width="9.6640625" customWidth="1" style="2" min="217" max="219"/>
    <col hidden="1" outlineLevel="2" width="16.44140625" customWidth="1" style="2" min="220" max="220"/>
    <col hidden="1" outlineLevel="2" width="9.6640625" customWidth="1" style="2" min="221" max="223"/>
    <col hidden="1" outlineLevel="2" width="16.44140625" customWidth="1" style="2" min="224" max="224"/>
    <col hidden="1" outlineLevel="2" width="9.6640625" customWidth="1" style="2" min="225" max="227"/>
    <col hidden="1" outlineLevel="2" width="16.44140625" customWidth="1" style="2" min="228" max="228"/>
    <col hidden="1" outlineLevel="2" width="9.6640625" customWidth="1" style="2" min="229" max="231"/>
    <col hidden="1" outlineLevel="2" width="16.44140625" customWidth="1" style="2" min="232" max="232"/>
    <col hidden="1" outlineLevel="2" width="9.6640625" customWidth="1" style="2" min="233" max="235"/>
    <col hidden="1" outlineLevel="2" width="16.44140625" customWidth="1" style="2" min="236" max="236"/>
    <col hidden="1" outlineLevel="2" width="10.6640625" customWidth="1" style="2" min="237" max="237"/>
    <col hidden="1" outlineLevel="2" width="14.6640625" customWidth="1" style="2" min="238" max="238"/>
    <col hidden="1" outlineLevel="2" width="10.6640625" customWidth="1" style="2" min="239" max="239"/>
    <col hidden="1" outlineLevel="2" width="14.5546875" customWidth="1" style="2" min="240" max="240"/>
    <col hidden="1" outlineLevel="2" width="10.6640625" customWidth="1" style="2" min="241" max="241"/>
    <col outlineLevel="1" collapsed="1" width="14.5546875" customWidth="1" style="2" min="242" max="242"/>
    <col hidden="1" outlineLevel="2" width="9.6640625" customWidth="1" style="2" min="243" max="245"/>
    <col hidden="1" outlineLevel="2" width="16.44140625" customWidth="1" style="2" min="246" max="246"/>
    <col hidden="1" outlineLevel="2" width="9.6640625" customWidth="1" style="2" min="247" max="249"/>
    <col hidden="1" outlineLevel="2" width="16.44140625" customWidth="1" style="2" min="250" max="250"/>
    <col hidden="1" outlineLevel="2" width="9.6640625" customWidth="1" style="2" min="251" max="253"/>
    <col hidden="1" outlineLevel="2" width="16.44140625" customWidth="1" style="2" min="254" max="254"/>
    <col hidden="1" outlineLevel="2" width="9.6640625" customWidth="1" style="2" min="255" max="257"/>
    <col hidden="1" outlineLevel="2" width="16.44140625" customWidth="1" style="2" min="258" max="258"/>
    <col hidden="1" outlineLevel="2" width="9.6640625" customWidth="1" style="2" min="259" max="261"/>
    <col hidden="1" outlineLevel="2" width="16.44140625" customWidth="1" style="2" min="262" max="262"/>
    <col hidden="1" outlineLevel="2" width="9.6640625" customWidth="1" style="2" min="263" max="265"/>
    <col hidden="1" outlineLevel="2" width="16.44140625" customWidth="1" style="2" min="266" max="266"/>
    <col hidden="1" outlineLevel="2" width="9.6640625" customWidth="1" style="2" min="267" max="269"/>
    <col hidden="1" outlineLevel="2" width="16.44140625" customWidth="1" style="2" min="270" max="270"/>
    <col hidden="1" outlineLevel="2" width="9.6640625" customWidth="1" style="2" min="271" max="273"/>
    <col hidden="1" outlineLevel="2" width="16.44140625" customWidth="1" style="2" min="274" max="274"/>
    <col hidden="1" outlineLevel="2" width="9.6640625" customWidth="1" style="2" min="275" max="277"/>
    <col hidden="1" outlineLevel="2" width="16.44140625" customWidth="1" style="2" min="278" max="278"/>
    <col hidden="1" outlineLevel="2" width="9.6640625" customWidth="1" style="2" min="279" max="281"/>
    <col hidden="1" outlineLevel="2" width="16.44140625" customWidth="1" style="2" min="282" max="282"/>
    <col hidden="1" outlineLevel="2" width="9.6640625" customWidth="1" style="2" min="283" max="285"/>
    <col hidden="1" outlineLevel="2" width="16.44140625" customWidth="1" style="2" min="286" max="286"/>
    <col hidden="1" outlineLevel="2" width="9.6640625" customWidth="1" style="2" min="287" max="289"/>
    <col hidden="1" outlineLevel="2" width="16.44140625" customWidth="1" style="2" min="290" max="290"/>
    <col hidden="1" outlineLevel="2" width="10.6640625" customWidth="1" style="2" min="291" max="291"/>
    <col hidden="1" outlineLevel="2" width="14.6640625" customWidth="1" style="2" min="292" max="292"/>
    <col hidden="1" outlineLevel="2" width="10.6640625" customWidth="1" style="2" min="293" max="293"/>
    <col hidden="1" outlineLevel="2" width="14.5546875" customWidth="1" style="2" min="294" max="294"/>
    <col hidden="1" outlineLevel="2" width="10.6640625" customWidth="1" style="2" min="295" max="295"/>
    <col outlineLevel="1" collapsed="1" width="14.5546875" customWidth="1" style="2" min="296" max="296"/>
    <col outlineLevel="1" width="3.6640625" customWidth="1" style="1" min="297" max="299"/>
    <col width="8.33203125" customWidth="1" style="1" min="300" max="300"/>
    <col width="10.5546875" customWidth="1" style="1" min="301" max="301"/>
    <col width="12.6640625" customWidth="1" style="1" min="302" max="16384"/>
  </cols>
  <sheetData>
    <row r="1">
      <c r="B1" s="4" t="n"/>
      <c r="E1" s="5" t="inlineStr">
        <is>
          <t>Дата</t>
        </is>
      </c>
      <c r="F1" s="5" t="n"/>
      <c r="G1" s="6" t="n">
        <v>46168</v>
      </c>
    </row>
    <row r="2">
      <c r="A2" s="7" t="n">
        <v>11.25</v>
      </c>
      <c r="B2" s="8" t="inlineStr">
        <is>
          <t xml:space="preserve"> - курс юань/рубль</t>
        </is>
      </c>
      <c r="E2" s="9" t="n">
        <v>8.33</v>
      </c>
      <c r="F2" s="9" t="n"/>
      <c r="G2" s="10" t="inlineStr">
        <is>
          <t xml:space="preserve"> - курс евро/юань</t>
        </is>
      </c>
      <c r="BA2" s="11" t="n"/>
      <c r="BB2" s="11" t="n"/>
    </row>
    <row r="3" ht="35.4" customHeight="1">
      <c r="A3" s="12" t="n"/>
      <c r="B3" s="13" t="n"/>
      <c r="C3" s="12" t="n"/>
      <c r="D3" s="12" t="n"/>
      <c r="E3" s="14" t="n"/>
      <c r="F3" s="13" t="inlineStr">
        <is>
          <t>Подсветить артикул:</t>
        </is>
      </c>
      <c r="G3" s="15" t="inlineStr">
        <is>
          <t>-</t>
        </is>
      </c>
      <c r="H3" s="16" t="n"/>
      <c r="I3" s="211" t="inlineStr">
        <is>
          <t>2026-I</t>
        </is>
      </c>
      <c r="J3" s="211" t="inlineStr">
        <is>
          <t>2026-II</t>
        </is>
      </c>
      <c r="K3" s="17" t="inlineStr">
        <is>
          <t>2025 - II полугодие</t>
        </is>
      </c>
      <c r="L3" s="17" t="inlineStr">
        <is>
          <t>Валюта продажи</t>
        </is>
      </c>
      <c r="M3" s="248" t="inlineStr">
        <is>
          <t>Продажи 2024</t>
        </is>
      </c>
      <c r="N3" s="326" t="n"/>
      <c r="O3" s="326" t="n"/>
      <c r="P3" s="326" t="n"/>
      <c r="Q3" s="326" t="n"/>
      <c r="R3" s="326" t="n"/>
      <c r="S3" s="326" t="n"/>
      <c r="T3" s="326" t="n"/>
      <c r="U3" s="326" t="n"/>
      <c r="V3" s="326" t="n"/>
      <c r="W3" s="326" t="n"/>
      <c r="X3" s="326" t="n"/>
      <c r="Y3" s="326" t="n"/>
      <c r="Z3" s="326" t="n"/>
      <c r="AA3" s="326" t="n"/>
      <c r="AB3" s="326" t="n"/>
      <c r="AC3" s="326" t="n"/>
      <c r="AD3" s="326" t="n"/>
      <c r="AE3" s="326" t="n"/>
      <c r="AF3" s="326" t="n"/>
      <c r="AG3" s="326" t="n"/>
      <c r="AH3" s="326" t="n"/>
      <c r="AI3" s="326" t="n"/>
      <c r="AJ3" s="326" t="n"/>
      <c r="AK3" s="326" t="n"/>
      <c r="AL3" s="326" t="n"/>
      <c r="AM3" s="326" t="n"/>
      <c r="AN3" s="326" t="n"/>
      <c r="AO3" s="326" t="n"/>
      <c r="AP3" s="326" t="n"/>
      <c r="AQ3" s="326" t="n"/>
      <c r="AR3" s="326" t="n"/>
      <c r="AS3" s="326" t="n"/>
      <c r="AT3" s="326" t="n"/>
      <c r="AU3" s="326" t="n"/>
      <c r="AV3" s="326" t="n"/>
      <c r="AW3" s="326" t="n"/>
      <c r="AX3" s="326" t="n"/>
      <c r="AY3" s="326" t="n"/>
      <c r="AZ3" s="326" t="n"/>
      <c r="BA3" s="326" t="n"/>
      <c r="BB3" s="326" t="n"/>
      <c r="BC3" s="326" t="n"/>
      <c r="BD3" s="326" t="n"/>
      <c r="BE3" s="326" t="n"/>
      <c r="BF3" s="326" t="n"/>
      <c r="BG3" s="326" t="n"/>
      <c r="BH3" s="326" t="n"/>
      <c r="BI3" s="326" t="n"/>
      <c r="BJ3" s="326" t="n"/>
      <c r="BK3" s="326" t="n"/>
      <c r="BL3" s="326" t="n"/>
      <c r="BM3" s="326" t="n"/>
      <c r="BN3" s="327" t="n"/>
      <c r="BO3" s="248" t="inlineStr">
        <is>
          <t>Продажи 2025</t>
        </is>
      </c>
      <c r="BP3" s="326" t="n"/>
      <c r="BQ3" s="326" t="n"/>
      <c r="BR3" s="326" t="n"/>
      <c r="BS3" s="326" t="n"/>
      <c r="BT3" s="326" t="n"/>
      <c r="BU3" s="326" t="n"/>
      <c r="BV3" s="326" t="n"/>
      <c r="BW3" s="326" t="n"/>
      <c r="BX3" s="326" t="n"/>
      <c r="BY3" s="326" t="n"/>
      <c r="BZ3" s="326" t="n"/>
      <c r="CA3" s="326" t="n"/>
      <c r="CB3" s="326" t="n"/>
      <c r="CC3" s="326" t="n"/>
      <c r="CD3" s="326" t="n"/>
      <c r="CE3" s="326" t="n"/>
      <c r="CF3" s="326" t="n"/>
      <c r="CG3" s="326" t="n"/>
      <c r="CH3" s="326" t="n"/>
      <c r="CI3" s="326" t="n"/>
      <c r="CJ3" s="326" t="n"/>
      <c r="CK3" s="326" t="n"/>
      <c r="CL3" s="326" t="n"/>
      <c r="CM3" s="326" t="n"/>
      <c r="CN3" s="326" t="n"/>
      <c r="CO3" s="326" t="n"/>
      <c r="CP3" s="326" t="n"/>
      <c r="CQ3" s="326" t="n"/>
      <c r="CR3" s="326" t="n"/>
      <c r="CS3" s="326" t="n"/>
      <c r="CT3" s="326" t="n"/>
      <c r="CU3" s="326" t="n"/>
      <c r="CV3" s="326" t="n"/>
      <c r="CW3" s="326" t="n"/>
      <c r="CX3" s="326" t="n"/>
      <c r="CY3" s="326" t="n"/>
      <c r="CZ3" s="326" t="n"/>
      <c r="DA3" s="326" t="n"/>
      <c r="DB3" s="326" t="n"/>
      <c r="DC3" s="326" t="n"/>
      <c r="DD3" s="326" t="n"/>
      <c r="DE3" s="326" t="n"/>
      <c r="DF3" s="326" t="n"/>
      <c r="DG3" s="326" t="n"/>
      <c r="DH3" s="326" t="n"/>
      <c r="DI3" s="326" t="n"/>
      <c r="DJ3" s="326" t="n"/>
      <c r="DK3" s="326" t="n"/>
      <c r="DL3" s="326" t="n"/>
      <c r="DM3" s="326" t="n"/>
      <c r="DN3" s="326" t="n"/>
      <c r="DO3" s="326" t="n"/>
      <c r="DP3" s="326" t="n"/>
      <c r="DQ3" s="326" t="n"/>
      <c r="DR3" s="326" t="n"/>
      <c r="DS3" s="326" t="n"/>
      <c r="DT3" s="326" t="n"/>
      <c r="DU3" s="326" t="n"/>
      <c r="DV3" s="326" t="n"/>
      <c r="DW3" s="326" t="n"/>
      <c r="DX3" s="326" t="n"/>
      <c r="DY3" s="326" t="n"/>
      <c r="DZ3" s="326" t="n"/>
      <c r="EA3" s="326" t="n"/>
      <c r="EB3" s="326" t="n"/>
      <c r="EC3" s="326" t="n"/>
      <c r="ED3" s="327" t="n"/>
      <c r="EE3" s="18" t="n"/>
      <c r="EF3" s="18" t="n"/>
      <c r="EG3" s="18" t="n"/>
      <c r="EH3" s="18" t="n"/>
      <c r="EI3" s="18" t="n"/>
      <c r="EJ3" s="18" t="n"/>
      <c r="EK3" s="18" t="n"/>
      <c r="EL3" s="18" t="n"/>
      <c r="EM3" s="18" t="n"/>
      <c r="EN3" s="18" t="n"/>
      <c r="EO3" s="18" t="n"/>
      <c r="EP3" s="18" t="n"/>
      <c r="EQ3" s="18" t="n"/>
      <c r="ER3" s="18" t="n"/>
      <c r="ES3" s="18" t="n"/>
      <c r="ET3" s="18" t="n"/>
      <c r="EU3" s="18" t="n"/>
      <c r="EV3" s="18" t="n"/>
      <c r="EW3" s="18" t="n"/>
      <c r="EX3" s="18" t="n"/>
      <c r="EY3" s="18" t="n"/>
      <c r="EZ3" s="18" t="n"/>
      <c r="FA3" s="18" t="n"/>
      <c r="FB3" s="18" t="n"/>
      <c r="FC3" s="18" t="n"/>
      <c r="FD3" s="18" t="n"/>
      <c r="FE3" s="18" t="n"/>
      <c r="FF3" s="18" t="n"/>
      <c r="FG3" s="18" t="n"/>
      <c r="FH3" s="18" t="n"/>
      <c r="FI3" s="18" t="n"/>
      <c r="FJ3" s="18" t="n"/>
      <c r="FK3" s="18" t="n"/>
      <c r="FL3" s="18" t="n"/>
      <c r="FM3" s="18" t="n"/>
      <c r="FN3" s="18" t="n"/>
      <c r="FO3" s="18" t="n"/>
      <c r="FP3" s="18" t="n"/>
      <c r="FQ3" s="18" t="n"/>
      <c r="FR3" s="18" t="n"/>
      <c r="FS3" s="18" t="n"/>
      <c r="FT3" s="18" t="n"/>
      <c r="FU3" s="18" t="n"/>
      <c r="FV3" s="18" t="n"/>
      <c r="FW3" s="18" t="n"/>
      <c r="FX3" s="18" t="n"/>
      <c r="FY3" s="18" t="n"/>
      <c r="FZ3" s="18" t="n"/>
      <c r="GA3" s="18" t="n"/>
      <c r="GB3" s="18" t="n"/>
      <c r="GC3" s="18" t="n"/>
      <c r="GD3" s="18" t="n"/>
      <c r="GE3" s="18" t="n"/>
      <c r="GF3" s="18" t="n"/>
      <c r="GG3" s="19" t="n"/>
      <c r="GH3" s="19" t="n"/>
      <c r="GI3" s="19" t="n"/>
      <c r="GJ3" s="19" t="n"/>
      <c r="GK3" s="19" t="n"/>
      <c r="GL3" s="19" t="n"/>
      <c r="GM3" s="19" t="n"/>
      <c r="GN3" s="19" t="n"/>
      <c r="GO3" s="19" t="n"/>
      <c r="GP3" s="19" t="n"/>
      <c r="GQ3" s="19" t="n"/>
      <c r="GR3" s="19" t="n"/>
      <c r="GS3" s="19" t="n"/>
      <c r="GT3" s="19" t="n"/>
      <c r="GU3" s="19" t="n"/>
      <c r="GV3" s="19" t="n"/>
      <c r="GW3" s="19" t="n"/>
      <c r="GX3" s="19" t="n"/>
      <c r="GY3" s="19" t="n"/>
      <c r="GZ3" s="19" t="n"/>
      <c r="HA3" s="19" t="n"/>
      <c r="HB3" s="19" t="n"/>
      <c r="HC3" s="19" t="n"/>
      <c r="HD3" s="19" t="n"/>
      <c r="HE3" s="19" t="n"/>
      <c r="HF3" s="19" t="n"/>
      <c r="HG3" s="19" t="n"/>
      <c r="HH3" s="19" t="n"/>
      <c r="HI3" s="19" t="n"/>
      <c r="HJ3" s="19" t="n"/>
      <c r="HK3" s="19" t="n"/>
      <c r="HL3" s="19" t="n"/>
      <c r="HM3" s="19" t="n"/>
      <c r="HN3" s="19" t="n"/>
      <c r="HO3" s="19" t="n"/>
      <c r="HP3" s="19" t="n"/>
      <c r="HQ3" s="19" t="n"/>
      <c r="HR3" s="19" t="n"/>
      <c r="HS3" s="19" t="n"/>
      <c r="HT3" s="19" t="n"/>
      <c r="HU3" s="19" t="n"/>
      <c r="HV3" s="19" t="n"/>
      <c r="HW3" s="19" t="n"/>
      <c r="HX3" s="19" t="n"/>
      <c r="HY3" s="19" t="n"/>
      <c r="HZ3" s="19" t="n"/>
      <c r="IA3" s="19" t="n"/>
      <c r="IB3" s="19" t="n"/>
      <c r="IC3" s="19" t="n"/>
      <c r="ID3" s="19" t="n"/>
      <c r="IE3" s="19" t="n"/>
      <c r="IF3" s="19" t="n"/>
      <c r="IG3" s="19" t="n"/>
      <c r="IH3" s="19" t="n"/>
      <c r="II3" s="20" t="n"/>
      <c r="IJ3" s="20" t="n"/>
      <c r="IK3" s="20" t="n"/>
      <c r="IL3" s="20" t="n"/>
      <c r="IM3" s="20" t="n"/>
      <c r="IN3" s="20" t="n"/>
      <c r="IO3" s="20" t="n"/>
      <c r="IP3" s="20" t="n"/>
      <c r="IQ3" s="20" t="n"/>
      <c r="IR3" s="20" t="n"/>
      <c r="IS3" s="20" t="n"/>
      <c r="IT3" s="20" t="n"/>
      <c r="IU3" s="20" t="n"/>
      <c r="IV3" s="20" t="n"/>
      <c r="IW3" s="20" t="n"/>
      <c r="IX3" s="20" t="n"/>
      <c r="IY3" s="20" t="n"/>
      <c r="IZ3" s="20" t="n"/>
      <c r="JA3" s="20" t="n"/>
      <c r="JB3" s="20" t="n"/>
      <c r="JC3" s="20" t="n"/>
      <c r="JD3" s="20" t="n"/>
      <c r="JE3" s="20" t="n"/>
      <c r="JF3" s="20" t="n"/>
      <c r="JG3" s="20" t="n"/>
      <c r="JH3" s="20" t="n"/>
      <c r="JI3" s="20" t="n"/>
      <c r="JJ3" s="20" t="n"/>
      <c r="JK3" s="20" t="n"/>
      <c r="JL3" s="20" t="n"/>
      <c r="JM3" s="20" t="n"/>
      <c r="JN3" s="20" t="n"/>
      <c r="JO3" s="20" t="n"/>
      <c r="JP3" s="20" t="n"/>
      <c r="JQ3" s="20" t="n"/>
      <c r="JR3" s="20" t="n"/>
      <c r="JS3" s="20" t="n"/>
      <c r="JT3" s="20" t="n"/>
      <c r="JU3" s="20" t="n"/>
      <c r="JV3" s="20" t="n"/>
      <c r="JW3" s="20" t="n"/>
      <c r="JX3" s="20" t="n"/>
      <c r="JY3" s="20" t="n"/>
      <c r="JZ3" s="20" t="n"/>
      <c r="KA3" s="20" t="n"/>
      <c r="KB3" s="20" t="n"/>
      <c r="KC3" s="20" t="n"/>
      <c r="KD3" s="20" t="n"/>
      <c r="KE3" s="20" t="n"/>
      <c r="KF3" s="20" t="n"/>
      <c r="KG3" s="20" t="n"/>
      <c r="KH3" s="20" t="n"/>
      <c r="KI3" s="20" t="n"/>
      <c r="KJ3" s="20" t="n"/>
    </row>
    <row r="4">
      <c r="A4" s="252" t="inlineStr">
        <is>
          <t>Клиент</t>
        </is>
      </c>
      <c r="B4" s="253" t="inlineStr">
        <is>
          <t>Условия оплаты</t>
        </is>
      </c>
      <c r="C4" s="253" t="inlineStr">
        <is>
          <t>Поставщик</t>
        </is>
      </c>
      <c r="D4" s="254" t="inlineStr">
        <is>
          <t>Менеджер</t>
        </is>
      </c>
      <c r="E4" s="252" t="inlineStr">
        <is>
          <t>п\п</t>
        </is>
      </c>
      <c r="F4" s="255" t="inlineStr">
        <is>
          <t>2 - продукт WABCO</t>
        </is>
      </c>
      <c r="G4" s="253" t="inlineStr">
        <is>
          <t>Номер изделия/ артикул</t>
        </is>
      </c>
      <c r="H4" s="253" t="inlineStr">
        <is>
          <t>Наименование</t>
        </is>
      </c>
      <c r="I4" s="256" t="inlineStr">
        <is>
          <t>Цена, 
юань, без НДС</t>
        </is>
      </c>
      <c r="J4" s="256" t="inlineStr">
        <is>
          <t>Цена, 
юань, без НДС</t>
        </is>
      </c>
      <c r="K4" s="256" t="inlineStr">
        <is>
          <t>Цена в валюте из контракта с клиентом, без НДС</t>
        </is>
      </c>
      <c r="L4" s="256" t="inlineStr">
        <is>
          <t>Валюта из контракта с клиентом</t>
        </is>
      </c>
      <c r="M4" s="249" t="inlineStr">
        <is>
          <t>Январь 2024</t>
        </is>
      </c>
      <c r="N4" s="326" t="n"/>
      <c r="O4" s="327" t="n"/>
      <c r="P4" s="249" t="n"/>
      <c r="Q4" s="249" t="inlineStr">
        <is>
          <t>Февраль 2024</t>
        </is>
      </c>
      <c r="R4" s="326" t="n"/>
      <c r="S4" s="327" t="n"/>
      <c r="T4" s="249" t="n"/>
      <c r="U4" s="249" t="inlineStr">
        <is>
          <t>Март 2024</t>
        </is>
      </c>
      <c r="V4" s="326" t="n"/>
      <c r="W4" s="327" t="n"/>
      <c r="X4" s="249" t="n"/>
      <c r="Y4" s="249" t="inlineStr">
        <is>
          <t>Апрель 2024</t>
        </is>
      </c>
      <c r="Z4" s="326" t="n"/>
      <c r="AA4" s="327" t="n"/>
      <c r="AB4" s="249" t="n"/>
      <c r="AC4" s="249" t="inlineStr">
        <is>
          <t>Май 2024</t>
        </is>
      </c>
      <c r="AD4" s="326" t="n"/>
      <c r="AE4" s="327" t="n"/>
      <c r="AF4" s="249" t="n"/>
      <c r="AG4" s="249" t="inlineStr">
        <is>
          <t>Июнь 2024</t>
        </is>
      </c>
      <c r="AH4" s="326" t="n"/>
      <c r="AI4" s="327" t="n"/>
      <c r="AJ4" s="249" t="n"/>
      <c r="AK4" s="249" t="inlineStr">
        <is>
          <t>Июль 2024</t>
        </is>
      </c>
      <c r="AL4" s="326" t="n"/>
      <c r="AM4" s="327" t="n"/>
      <c r="AN4" s="249" t="n"/>
      <c r="AO4" s="249" t="inlineStr">
        <is>
          <t>Август 2024</t>
        </is>
      </c>
      <c r="AP4" s="326" t="n"/>
      <c r="AQ4" s="327" t="n"/>
      <c r="AR4" s="249" t="n"/>
      <c r="AS4" s="249" t="inlineStr">
        <is>
          <t>Сентябрь 2024</t>
        </is>
      </c>
      <c r="AT4" s="326" t="n"/>
      <c r="AU4" s="327" t="n"/>
      <c r="AV4" s="249" t="n"/>
      <c r="AW4" s="249" t="inlineStr">
        <is>
          <t>Октябрь 2024</t>
        </is>
      </c>
      <c r="AX4" s="326" t="n"/>
      <c r="AY4" s="327" t="n"/>
      <c r="AZ4" s="249" t="n"/>
      <c r="BA4" s="328" t="n">
        <v>45597</v>
      </c>
      <c r="BB4" s="326" t="n"/>
      <c r="BC4" s="327" t="n"/>
      <c r="BD4" s="328" t="n"/>
      <c r="BE4" s="328" t="n">
        <v>45627</v>
      </c>
      <c r="BF4" s="326" t="n"/>
      <c r="BG4" s="327" t="n"/>
      <c r="BH4" s="328" t="n"/>
      <c r="BI4" s="251" t="inlineStr">
        <is>
          <t>ИТОГО, 2024</t>
        </is>
      </c>
      <c r="BJ4" s="326" t="n"/>
      <c r="BK4" s="326" t="n"/>
      <c r="BL4" s="326" t="n"/>
      <c r="BM4" s="326" t="n"/>
      <c r="BN4" s="327" t="n"/>
      <c r="BO4" s="328" t="n">
        <v>45658</v>
      </c>
      <c r="BP4" s="326" t="n"/>
      <c r="BQ4" s="326" t="n"/>
      <c r="BR4" s="327" t="n"/>
      <c r="BS4" s="328" t="n"/>
      <c r="BT4" s="328" t="n">
        <v>45689</v>
      </c>
      <c r="BU4" s="326" t="n"/>
      <c r="BV4" s="326" t="n"/>
      <c r="BW4" s="327" t="n"/>
      <c r="BX4" s="328" t="n"/>
      <c r="BY4" s="328" t="n">
        <v>45717</v>
      </c>
      <c r="BZ4" s="326" t="n"/>
      <c r="CA4" s="326" t="n"/>
      <c r="CB4" s="327" t="n"/>
      <c r="CC4" s="328" t="n"/>
      <c r="CD4" s="328" t="n">
        <v>45748</v>
      </c>
      <c r="CE4" s="326" t="n"/>
      <c r="CF4" s="326" t="n"/>
      <c r="CG4" s="327" t="n"/>
      <c r="CH4" s="328" t="n"/>
      <c r="CI4" s="328" t="n">
        <v>45778</v>
      </c>
      <c r="CJ4" s="326" t="n"/>
      <c r="CK4" s="326" t="n"/>
      <c r="CL4" s="327" t="n"/>
      <c r="CM4" s="328" t="n"/>
      <c r="CN4" s="328" t="n">
        <v>45809</v>
      </c>
      <c r="CO4" s="326" t="n"/>
      <c r="CP4" s="326" t="n"/>
      <c r="CQ4" s="327" t="n"/>
      <c r="CR4" s="328" t="n"/>
      <c r="CS4" s="328" t="n">
        <v>45839</v>
      </c>
      <c r="CT4" s="326" t="n"/>
      <c r="CU4" s="326" t="n"/>
      <c r="CV4" s="327" t="n"/>
      <c r="CW4" s="328" t="n"/>
      <c r="CX4" s="328" t="n">
        <v>45870</v>
      </c>
      <c r="CY4" s="326" t="n"/>
      <c r="CZ4" s="326" t="n"/>
      <c r="DA4" s="327" t="n"/>
      <c r="DB4" s="328" t="n"/>
      <c r="DC4" s="328" t="n">
        <v>45901</v>
      </c>
      <c r="DD4" s="326" t="n"/>
      <c r="DE4" s="326" t="n"/>
      <c r="DF4" s="327" t="n"/>
      <c r="DG4" s="328" t="n"/>
      <c r="DH4" s="328" t="n">
        <v>45931</v>
      </c>
      <c r="DI4" s="326" t="n"/>
      <c r="DJ4" s="326" t="n"/>
      <c r="DK4" s="327" t="n"/>
      <c r="DL4" s="328" t="n"/>
      <c r="DM4" s="328" t="n">
        <v>45962</v>
      </c>
      <c r="DN4" s="326" t="n"/>
      <c r="DO4" s="326" t="n"/>
      <c r="DP4" s="327" t="n"/>
      <c r="DQ4" s="328" t="n"/>
      <c r="DR4" s="328" t="n">
        <v>45992</v>
      </c>
      <c r="DS4" s="326" t="n"/>
      <c r="DT4" s="326" t="n"/>
      <c r="DU4" s="327" t="n"/>
      <c r="DV4" s="328" t="n"/>
      <c r="DW4" s="251" t="inlineStr">
        <is>
          <t>ИТОГО, 2025</t>
        </is>
      </c>
      <c r="DX4" s="326" t="n"/>
      <c r="DY4" s="326" t="n"/>
      <c r="DZ4" s="326" t="n"/>
      <c r="EA4" s="326" t="n"/>
      <c r="EB4" s="326" t="n"/>
      <c r="EC4" s="326" t="n"/>
      <c r="ED4" s="327" t="n"/>
      <c r="EE4" s="329" t="n">
        <v>46023</v>
      </c>
      <c r="EF4" s="326" t="n"/>
      <c r="EG4" s="326" t="n"/>
      <c r="EH4" s="327" t="n"/>
      <c r="EI4" s="330" t="n">
        <v>46054</v>
      </c>
      <c r="EJ4" s="326" t="n"/>
      <c r="EK4" s="326" t="n"/>
      <c r="EL4" s="327" t="n"/>
      <c r="EM4" s="330" t="n">
        <v>46082</v>
      </c>
      <c r="EN4" s="326" t="n"/>
      <c r="EO4" s="326" t="n"/>
      <c r="EP4" s="327" t="n"/>
      <c r="EQ4" s="330" t="n">
        <v>46113</v>
      </c>
      <c r="ER4" s="326" t="n"/>
      <c r="ES4" s="326" t="n"/>
      <c r="ET4" s="327" t="n"/>
      <c r="EU4" s="330" t="n">
        <v>46143</v>
      </c>
      <c r="EV4" s="326" t="n"/>
      <c r="EW4" s="326" t="n"/>
      <c r="EX4" s="327" t="n"/>
      <c r="EY4" s="330" t="n">
        <v>46174</v>
      </c>
      <c r="EZ4" s="326" t="n"/>
      <c r="FA4" s="326" t="n"/>
      <c r="FB4" s="327" t="n"/>
      <c r="FC4" s="330" t="n">
        <v>46204</v>
      </c>
      <c r="FD4" s="326" t="n"/>
      <c r="FE4" s="326" t="n"/>
      <c r="FF4" s="327" t="n"/>
      <c r="FG4" s="330" t="n">
        <v>46235</v>
      </c>
      <c r="FH4" s="326" t="n"/>
      <c r="FI4" s="326" t="n"/>
      <c r="FJ4" s="327" t="n"/>
      <c r="FK4" s="330" t="n">
        <v>46266</v>
      </c>
      <c r="FL4" s="326" t="n"/>
      <c r="FM4" s="326" t="n"/>
      <c r="FN4" s="327" t="n"/>
      <c r="FO4" s="330" t="n">
        <v>46296</v>
      </c>
      <c r="FP4" s="326" t="n"/>
      <c r="FQ4" s="326" t="n"/>
      <c r="FR4" s="327" t="n"/>
      <c r="FS4" s="330" t="n">
        <v>46327</v>
      </c>
      <c r="FT4" s="326" t="n"/>
      <c r="FU4" s="326" t="n"/>
      <c r="FV4" s="327" t="n"/>
      <c r="FW4" s="330" t="n">
        <v>46357</v>
      </c>
      <c r="FX4" s="326" t="n"/>
      <c r="FY4" s="326" t="n"/>
      <c r="FZ4" s="327" t="n"/>
      <c r="GA4" s="265" t="inlineStr">
        <is>
          <t>ИТОГО, 2026</t>
        </is>
      </c>
      <c r="GB4" s="326" t="n"/>
      <c r="GC4" s="326" t="n"/>
      <c r="GD4" s="326" t="n"/>
      <c r="GE4" s="326" t="n"/>
      <c r="GF4" s="327" t="n"/>
      <c r="GG4" s="331" t="n">
        <v>46388</v>
      </c>
      <c r="GH4" s="326" t="n"/>
      <c r="GI4" s="326" t="n"/>
      <c r="GJ4" s="327" t="n"/>
      <c r="GK4" s="331" t="n">
        <v>46419</v>
      </c>
      <c r="GL4" s="326" t="n"/>
      <c r="GM4" s="326" t="n"/>
      <c r="GN4" s="327" t="n"/>
      <c r="GO4" s="331" t="n">
        <v>46447</v>
      </c>
      <c r="GP4" s="326" t="n"/>
      <c r="GQ4" s="326" t="n"/>
      <c r="GR4" s="327" t="n"/>
      <c r="GS4" s="331" t="n">
        <v>46478</v>
      </c>
      <c r="GT4" s="326" t="n"/>
      <c r="GU4" s="326" t="n"/>
      <c r="GV4" s="327" t="n"/>
      <c r="GW4" s="331" t="n">
        <v>46508</v>
      </c>
      <c r="GX4" s="326" t="n"/>
      <c r="GY4" s="326" t="n"/>
      <c r="GZ4" s="327" t="n"/>
      <c r="HA4" s="331" t="n">
        <v>46539</v>
      </c>
      <c r="HB4" s="326" t="n"/>
      <c r="HC4" s="326" t="n"/>
      <c r="HD4" s="327" t="n"/>
      <c r="HE4" s="331" t="n">
        <v>46569</v>
      </c>
      <c r="HF4" s="326" t="n"/>
      <c r="HG4" s="326" t="n"/>
      <c r="HH4" s="327" t="n"/>
      <c r="HI4" s="331" t="n">
        <v>46600</v>
      </c>
      <c r="HJ4" s="326" t="n"/>
      <c r="HK4" s="326" t="n"/>
      <c r="HL4" s="327" t="n"/>
      <c r="HM4" s="331" t="n">
        <v>46631</v>
      </c>
      <c r="HN4" s="326" t="n"/>
      <c r="HO4" s="326" t="n"/>
      <c r="HP4" s="327" t="n"/>
      <c r="HQ4" s="331" t="n">
        <v>46661</v>
      </c>
      <c r="HR4" s="326" t="n"/>
      <c r="HS4" s="326" t="n"/>
      <c r="HT4" s="327" t="n"/>
      <c r="HU4" s="331" t="n">
        <v>46692</v>
      </c>
      <c r="HV4" s="326" t="n"/>
      <c r="HW4" s="326" t="n"/>
      <c r="HX4" s="327" t="n"/>
      <c r="HY4" s="331" t="n">
        <v>46722</v>
      </c>
      <c r="HZ4" s="326" t="n"/>
      <c r="IA4" s="326" t="n"/>
      <c r="IB4" s="327" t="n"/>
      <c r="IC4" s="269" t="inlineStr">
        <is>
          <t>ИТОГО, 2027</t>
        </is>
      </c>
      <c r="ID4" s="326" t="n"/>
      <c r="IE4" s="326" t="n"/>
      <c r="IF4" s="326" t="n"/>
      <c r="IG4" s="326" t="n"/>
      <c r="IH4" s="327" t="n"/>
      <c r="II4" s="332" t="n">
        <v>46753</v>
      </c>
      <c r="IJ4" s="326" t="n"/>
      <c r="IK4" s="326" t="n"/>
      <c r="IL4" s="327" t="n"/>
      <c r="IM4" s="332" t="n">
        <v>46784</v>
      </c>
      <c r="IN4" s="326" t="n"/>
      <c r="IO4" s="326" t="n"/>
      <c r="IP4" s="327" t="n"/>
      <c r="IQ4" s="332" t="n">
        <v>46813</v>
      </c>
      <c r="IR4" s="326" t="n"/>
      <c r="IS4" s="326" t="n"/>
      <c r="IT4" s="327" t="n"/>
      <c r="IU4" s="332" t="n">
        <v>46844</v>
      </c>
      <c r="IV4" s="326" t="n"/>
      <c r="IW4" s="326" t="n"/>
      <c r="IX4" s="327" t="n"/>
      <c r="IY4" s="332" t="n">
        <v>46874</v>
      </c>
      <c r="IZ4" s="326" t="n"/>
      <c r="JA4" s="326" t="n"/>
      <c r="JB4" s="327" t="n"/>
      <c r="JC4" s="332" t="n">
        <v>46905</v>
      </c>
      <c r="JD4" s="326" t="n"/>
      <c r="JE4" s="326" t="n"/>
      <c r="JF4" s="327" t="n"/>
      <c r="JG4" s="332" t="n">
        <v>46935</v>
      </c>
      <c r="JH4" s="326" t="n"/>
      <c r="JI4" s="326" t="n"/>
      <c r="JJ4" s="327" t="n"/>
      <c r="JK4" s="332" t="n">
        <v>46966</v>
      </c>
      <c r="JL4" s="326" t="n"/>
      <c r="JM4" s="326" t="n"/>
      <c r="JN4" s="327" t="n"/>
      <c r="JO4" s="332" t="n">
        <v>46997</v>
      </c>
      <c r="JP4" s="326" t="n"/>
      <c r="JQ4" s="326" t="n"/>
      <c r="JR4" s="327" t="n"/>
      <c r="JS4" s="332" t="n">
        <v>47027</v>
      </c>
      <c r="JT4" s="326" t="n"/>
      <c r="JU4" s="326" t="n"/>
      <c r="JV4" s="327" t="n"/>
      <c r="JW4" s="332" t="n">
        <v>47058</v>
      </c>
      <c r="JX4" s="326" t="n"/>
      <c r="JY4" s="326" t="n"/>
      <c r="JZ4" s="327" t="n"/>
      <c r="KA4" s="332" t="n">
        <v>47088</v>
      </c>
      <c r="KB4" s="326" t="n"/>
      <c r="KC4" s="326" t="n"/>
      <c r="KD4" s="327" t="n"/>
      <c r="KE4" s="273" t="inlineStr">
        <is>
          <t>ИТОГО, 2028</t>
        </is>
      </c>
      <c r="KF4" s="326" t="n"/>
      <c r="KG4" s="326" t="n"/>
      <c r="KH4" s="326" t="n"/>
      <c r="KI4" s="326" t="n"/>
      <c r="KJ4" s="327" t="n"/>
    </row>
    <row r="5" ht="30.75" customHeight="1">
      <c r="A5" s="333" t="n"/>
      <c r="B5" s="333" t="n"/>
      <c r="C5" s="333" t="n"/>
      <c r="D5" s="333" t="n"/>
      <c r="E5" s="333" t="n"/>
      <c r="F5" s="333" t="n"/>
      <c r="G5" s="333" t="n"/>
      <c r="H5" s="333" t="n"/>
      <c r="I5" s="333" t="n"/>
      <c r="J5" s="333" t="n"/>
      <c r="K5" s="333" t="n"/>
      <c r="L5" s="333" t="n"/>
      <c r="M5" s="26" t="inlineStr">
        <is>
          <t>AOP,
шт</t>
        </is>
      </c>
      <c r="N5" s="27" t="inlineStr">
        <is>
          <t>Прогноз,
шт</t>
        </is>
      </c>
      <c r="O5" s="28" t="inlineStr">
        <is>
          <t>Факт,
шт</t>
        </is>
      </c>
      <c r="P5" s="29" t="inlineStr">
        <is>
          <t>Коментарий</t>
        </is>
      </c>
      <c r="Q5" s="26" t="inlineStr">
        <is>
          <t>AOP,
шт</t>
        </is>
      </c>
      <c r="R5" s="27" t="inlineStr">
        <is>
          <t>Прогноз,
шт</t>
        </is>
      </c>
      <c r="S5" s="28" t="inlineStr">
        <is>
          <t>Факт,
шт</t>
        </is>
      </c>
      <c r="T5" s="29" t="inlineStr">
        <is>
          <t>Коментарий</t>
        </is>
      </c>
      <c r="U5" s="26" t="inlineStr">
        <is>
          <t>AOP,
шт</t>
        </is>
      </c>
      <c r="V5" s="27" t="inlineStr">
        <is>
          <t>Прогноз,
шт</t>
        </is>
      </c>
      <c r="W5" s="28" t="inlineStr">
        <is>
          <t>Факт,
шт</t>
        </is>
      </c>
      <c r="X5" s="29" t="inlineStr">
        <is>
          <t>Коментарий</t>
        </is>
      </c>
      <c r="Y5" s="26" t="inlineStr">
        <is>
          <t>AOP,
шт</t>
        </is>
      </c>
      <c r="Z5" s="27" t="inlineStr">
        <is>
          <t>Прогноз,
шт</t>
        </is>
      </c>
      <c r="AA5" s="28" t="inlineStr">
        <is>
          <t>Факт,
шт</t>
        </is>
      </c>
      <c r="AB5" s="29" t="inlineStr">
        <is>
          <t>Коментарий</t>
        </is>
      </c>
      <c r="AC5" s="26" t="inlineStr">
        <is>
          <t>AOP,
шт</t>
        </is>
      </c>
      <c r="AD5" s="27" t="inlineStr">
        <is>
          <t>Прогноз,
шт</t>
        </is>
      </c>
      <c r="AE5" s="28" t="inlineStr">
        <is>
          <t>Факт,
шт</t>
        </is>
      </c>
      <c r="AF5" s="29" t="inlineStr">
        <is>
          <t>Коментарий</t>
        </is>
      </c>
      <c r="AG5" s="26" t="inlineStr">
        <is>
          <t>AOP,
шт</t>
        </is>
      </c>
      <c r="AH5" s="27" t="inlineStr">
        <is>
          <t>Прогноз,
шт</t>
        </is>
      </c>
      <c r="AI5" s="28" t="inlineStr">
        <is>
          <t>Факт,
шт</t>
        </is>
      </c>
      <c r="AJ5" s="29" t="inlineStr">
        <is>
          <t>Коментарий</t>
        </is>
      </c>
      <c r="AK5" s="26" t="inlineStr">
        <is>
          <t>AOP,
шт</t>
        </is>
      </c>
      <c r="AL5" s="27" t="inlineStr">
        <is>
          <t>Прогноз,
шт</t>
        </is>
      </c>
      <c r="AM5" s="28" t="inlineStr">
        <is>
          <t>Факт,
шт</t>
        </is>
      </c>
      <c r="AN5" s="29" t="inlineStr">
        <is>
          <t>Коментарий</t>
        </is>
      </c>
      <c r="AO5" s="26" t="inlineStr">
        <is>
          <t>AOP,
шт</t>
        </is>
      </c>
      <c r="AP5" s="27" t="inlineStr">
        <is>
          <t>Прогноз,
шт</t>
        </is>
      </c>
      <c r="AQ5" s="28" t="inlineStr">
        <is>
          <t>Факт,
шт</t>
        </is>
      </c>
      <c r="AR5" s="29" t="inlineStr">
        <is>
          <t>Коментарий</t>
        </is>
      </c>
      <c r="AS5" s="26" t="inlineStr">
        <is>
          <t>AOP,
шт</t>
        </is>
      </c>
      <c r="AT5" s="27" t="inlineStr">
        <is>
          <t>Прогноз,
шт</t>
        </is>
      </c>
      <c r="AU5" s="28" t="inlineStr">
        <is>
          <t>Факт,
шт</t>
        </is>
      </c>
      <c r="AV5" s="29" t="inlineStr">
        <is>
          <t>Коментарий</t>
        </is>
      </c>
      <c r="AW5" s="26" t="inlineStr">
        <is>
          <t>AOP,
шт</t>
        </is>
      </c>
      <c r="AX5" s="27" t="inlineStr">
        <is>
          <t>Прогноз,
шт</t>
        </is>
      </c>
      <c r="AY5" s="28" t="inlineStr">
        <is>
          <t>Факт,
шт</t>
        </is>
      </c>
      <c r="AZ5" s="29" t="inlineStr">
        <is>
          <t>Коментарий</t>
        </is>
      </c>
      <c r="BA5" s="26" t="inlineStr">
        <is>
          <t>AOP,
шт</t>
        </is>
      </c>
      <c r="BB5" s="27" t="inlineStr">
        <is>
          <t>Прогноз,
шт</t>
        </is>
      </c>
      <c r="BC5" s="28" t="inlineStr">
        <is>
          <t>Факт,
шт</t>
        </is>
      </c>
      <c r="BD5" s="29" t="inlineStr">
        <is>
          <t>Коментарий</t>
        </is>
      </c>
      <c r="BE5" s="26" t="inlineStr">
        <is>
          <t>AOP,
шт</t>
        </is>
      </c>
      <c r="BF5" s="27" t="inlineStr">
        <is>
          <t>Прогноз,
шт</t>
        </is>
      </c>
      <c r="BG5" s="28" t="inlineStr">
        <is>
          <t>Факт,
шт</t>
        </is>
      </c>
      <c r="BH5" s="29" t="inlineStr">
        <is>
          <t>Коментарий</t>
        </is>
      </c>
      <c r="BI5" s="26" t="inlineStr">
        <is>
          <t>AOP,
шт</t>
        </is>
      </c>
      <c r="BJ5" s="26" t="inlineStr">
        <is>
          <t>Продажи AOP, CNY</t>
        </is>
      </c>
      <c r="BK5" s="27" t="inlineStr">
        <is>
          <t>Прогноз,
шт</t>
        </is>
      </c>
      <c r="BL5" s="27" t="inlineStr">
        <is>
          <t>Продажи Прогноз, CNY</t>
        </is>
      </c>
      <c r="BM5" s="28" t="inlineStr">
        <is>
          <t>Факт,
шт</t>
        </is>
      </c>
      <c r="BN5" s="28" t="inlineStr">
        <is>
          <t>Продажи Факт, CNY</t>
        </is>
      </c>
      <c r="BO5" s="26" t="inlineStr">
        <is>
          <t>AOP,
шт</t>
        </is>
      </c>
      <c r="BP5" s="30" t="inlineStr">
        <is>
          <t>AOP негатив,
шт</t>
        </is>
      </c>
      <c r="BQ5" s="27" t="inlineStr">
        <is>
          <t>Прогноз,
шт</t>
        </is>
      </c>
      <c r="BR5" s="28" t="inlineStr">
        <is>
          <t>Факт,
шт</t>
        </is>
      </c>
      <c r="BS5" s="29" t="inlineStr">
        <is>
          <t>Коментарий</t>
        </is>
      </c>
      <c r="BT5" s="26" t="inlineStr">
        <is>
          <t>AOP,
шт</t>
        </is>
      </c>
      <c r="BU5" s="30" t="inlineStr">
        <is>
          <t>AOP негатив,
шт</t>
        </is>
      </c>
      <c r="BV5" s="27" t="inlineStr">
        <is>
          <t>Прогноз,
шт</t>
        </is>
      </c>
      <c r="BW5" s="28" t="inlineStr">
        <is>
          <t>Факт,
шт</t>
        </is>
      </c>
      <c r="BX5" s="29" t="inlineStr">
        <is>
          <t>Коментарий</t>
        </is>
      </c>
      <c r="BY5" s="26" t="inlineStr">
        <is>
          <t>AOP,
шт</t>
        </is>
      </c>
      <c r="BZ5" s="30" t="inlineStr">
        <is>
          <t>AOP негатив,
шт</t>
        </is>
      </c>
      <c r="CA5" s="27" t="inlineStr">
        <is>
          <t>Прогноз,
шт</t>
        </is>
      </c>
      <c r="CB5" s="28" t="inlineStr">
        <is>
          <t>Факт,
шт</t>
        </is>
      </c>
      <c r="CC5" s="29" t="inlineStr">
        <is>
          <t>Коментарий</t>
        </is>
      </c>
      <c r="CD5" s="26" t="inlineStr">
        <is>
          <t>AOP,
шт</t>
        </is>
      </c>
      <c r="CE5" s="30" t="inlineStr">
        <is>
          <t>AOP негатив,
шт</t>
        </is>
      </c>
      <c r="CF5" s="27" t="inlineStr">
        <is>
          <t>Прогноз,
шт</t>
        </is>
      </c>
      <c r="CG5" s="28" t="inlineStr">
        <is>
          <t>Факт,
шт</t>
        </is>
      </c>
      <c r="CH5" s="29" t="inlineStr">
        <is>
          <t>Коментарий</t>
        </is>
      </c>
      <c r="CI5" s="26" t="inlineStr">
        <is>
          <t>AOP,
шт</t>
        </is>
      </c>
      <c r="CJ5" s="30" t="inlineStr">
        <is>
          <t>AOP негатив,
шт</t>
        </is>
      </c>
      <c r="CK5" s="27" t="inlineStr">
        <is>
          <t>Прогноз,
шт</t>
        </is>
      </c>
      <c r="CL5" s="28" t="inlineStr">
        <is>
          <t>Факт,
шт</t>
        </is>
      </c>
      <c r="CM5" s="29" t="inlineStr">
        <is>
          <t>Коментарий</t>
        </is>
      </c>
      <c r="CN5" s="26" t="inlineStr">
        <is>
          <t>AOP,
шт</t>
        </is>
      </c>
      <c r="CO5" s="30" t="inlineStr">
        <is>
          <t>AOP негатив,
шт</t>
        </is>
      </c>
      <c r="CP5" s="27" t="inlineStr">
        <is>
          <t>Прогноз,
шт</t>
        </is>
      </c>
      <c r="CQ5" s="28" t="inlineStr">
        <is>
          <t>Факт,
шт</t>
        </is>
      </c>
      <c r="CR5" s="29" t="inlineStr">
        <is>
          <t>Коментарий</t>
        </is>
      </c>
      <c r="CS5" s="26" t="inlineStr">
        <is>
          <t>AOP,
шт</t>
        </is>
      </c>
      <c r="CT5" s="30" t="inlineStr">
        <is>
          <t>AOP негатив,
шт</t>
        </is>
      </c>
      <c r="CU5" s="27" t="inlineStr">
        <is>
          <t>Прогноз,
шт</t>
        </is>
      </c>
      <c r="CV5" s="28" t="inlineStr">
        <is>
          <t>Факт,
шт</t>
        </is>
      </c>
      <c r="CW5" s="29" t="inlineStr">
        <is>
          <t>Коментарий</t>
        </is>
      </c>
      <c r="CX5" s="26" t="inlineStr">
        <is>
          <t>AOP,
шт</t>
        </is>
      </c>
      <c r="CY5" s="30" t="inlineStr">
        <is>
          <t>AOP негатив,
шт</t>
        </is>
      </c>
      <c r="CZ5" s="27" t="inlineStr">
        <is>
          <t>Прогноз,
шт</t>
        </is>
      </c>
      <c r="DA5" s="28" t="inlineStr">
        <is>
          <t>Факт,
шт</t>
        </is>
      </c>
      <c r="DB5" s="29" t="inlineStr">
        <is>
          <t>Коментарий</t>
        </is>
      </c>
      <c r="DC5" s="26" t="inlineStr">
        <is>
          <t>AOP,
шт</t>
        </is>
      </c>
      <c r="DD5" s="30" t="inlineStr">
        <is>
          <t>AOP негатив,
шт</t>
        </is>
      </c>
      <c r="DE5" s="27" t="inlineStr">
        <is>
          <t>Прогноз,
шт</t>
        </is>
      </c>
      <c r="DF5" s="28" t="inlineStr">
        <is>
          <t>Факт,
шт</t>
        </is>
      </c>
      <c r="DG5" s="29" t="inlineStr">
        <is>
          <t>Коментарий</t>
        </is>
      </c>
      <c r="DH5" s="26" t="inlineStr">
        <is>
          <t>AOP,
шт</t>
        </is>
      </c>
      <c r="DI5" s="30" t="inlineStr">
        <is>
          <t>AOP негатив,
шт</t>
        </is>
      </c>
      <c r="DJ5" s="27" t="inlineStr">
        <is>
          <t>Прогноз,
шт</t>
        </is>
      </c>
      <c r="DK5" s="28" t="inlineStr">
        <is>
          <t>Факт,
шт</t>
        </is>
      </c>
      <c r="DL5" s="29" t="inlineStr">
        <is>
          <t>Коментарий</t>
        </is>
      </c>
      <c r="DM5" s="26" t="inlineStr">
        <is>
          <t>AOP,
шт</t>
        </is>
      </c>
      <c r="DN5" s="30" t="inlineStr">
        <is>
          <t>AOP негатив,
шт</t>
        </is>
      </c>
      <c r="DO5" s="27" t="inlineStr">
        <is>
          <t>Прогноз,
шт</t>
        </is>
      </c>
      <c r="DP5" s="28" t="inlineStr">
        <is>
          <t>Факт,
шт</t>
        </is>
      </c>
      <c r="DQ5" s="29" t="inlineStr">
        <is>
          <t>Коментарий</t>
        </is>
      </c>
      <c r="DR5" s="26" t="inlineStr">
        <is>
          <t>AOP,
шт</t>
        </is>
      </c>
      <c r="DS5" s="30" t="inlineStr">
        <is>
          <t>AOP негатив,
шт</t>
        </is>
      </c>
      <c r="DT5" s="27" t="inlineStr">
        <is>
          <t>Прогноз,
шт</t>
        </is>
      </c>
      <c r="DU5" s="28" t="inlineStr">
        <is>
          <t>Факт,
шт</t>
        </is>
      </c>
      <c r="DV5" s="29" t="inlineStr">
        <is>
          <t>Коментарий</t>
        </is>
      </c>
      <c r="DW5" s="26" t="inlineStr">
        <is>
          <t>AOP,
шт</t>
        </is>
      </c>
      <c r="DX5" s="26" t="inlineStr">
        <is>
          <t>Продажи AOP, CNY</t>
        </is>
      </c>
      <c r="DY5" s="30" t="inlineStr">
        <is>
          <t>AOP негатив,
шт</t>
        </is>
      </c>
      <c r="DZ5" s="30" t="inlineStr">
        <is>
          <t>Продажи AOP негатив, CNY</t>
        </is>
      </c>
      <c r="EA5" s="27" t="inlineStr">
        <is>
          <t>Прогноз,
шт</t>
        </is>
      </c>
      <c r="EB5" s="27" t="inlineStr">
        <is>
          <t>Продажи Прогноз, CNY</t>
        </is>
      </c>
      <c r="EC5" s="28" t="inlineStr">
        <is>
          <t>Факт,
шт</t>
        </is>
      </c>
      <c r="ED5" s="28" t="inlineStr">
        <is>
          <t>Продажи Факт, CNY</t>
        </is>
      </c>
      <c r="EE5" s="26" t="inlineStr">
        <is>
          <t>AOP,
шт</t>
        </is>
      </c>
      <c r="EF5" s="27" t="inlineStr">
        <is>
          <t>Прогноз,
шт</t>
        </is>
      </c>
      <c r="EG5" s="28" t="inlineStr">
        <is>
          <t>Факт,
шт</t>
        </is>
      </c>
      <c r="EH5" s="29" t="inlineStr">
        <is>
          <t>Коментарий</t>
        </is>
      </c>
      <c r="EI5" s="26" t="inlineStr">
        <is>
          <t>AOP,
шт</t>
        </is>
      </c>
      <c r="EJ5" s="27" t="inlineStr">
        <is>
          <t>Прогноз,
шт</t>
        </is>
      </c>
      <c r="EK5" s="28" t="inlineStr">
        <is>
          <t>Факт,
шт</t>
        </is>
      </c>
      <c r="EL5" s="29" t="inlineStr">
        <is>
          <t>Коментарий</t>
        </is>
      </c>
      <c r="EM5" s="26" t="inlineStr">
        <is>
          <t>AOP,
шт</t>
        </is>
      </c>
      <c r="EN5" s="27" t="inlineStr">
        <is>
          <t>Прогноз,
шт</t>
        </is>
      </c>
      <c r="EO5" s="28" t="inlineStr">
        <is>
          <t>Факт,
шт</t>
        </is>
      </c>
      <c r="EP5" s="29" t="inlineStr">
        <is>
          <t>Коментарий</t>
        </is>
      </c>
      <c r="EQ5" s="26" t="inlineStr">
        <is>
          <t>AOP,
шт</t>
        </is>
      </c>
      <c r="ER5" s="27" t="inlineStr">
        <is>
          <t>Прогноз,
шт</t>
        </is>
      </c>
      <c r="ES5" s="28" t="inlineStr">
        <is>
          <t>Факт,
шт</t>
        </is>
      </c>
      <c r="ET5" s="29" t="inlineStr">
        <is>
          <t>Коментарий</t>
        </is>
      </c>
      <c r="EU5" s="26" t="inlineStr">
        <is>
          <t>AOP,
шт</t>
        </is>
      </c>
      <c r="EV5" s="27" t="inlineStr">
        <is>
          <t>Прогноз,
шт</t>
        </is>
      </c>
      <c r="EW5" s="28" t="inlineStr">
        <is>
          <t>Факт,
шт</t>
        </is>
      </c>
      <c r="EX5" s="29" t="inlineStr">
        <is>
          <t>Коментарий</t>
        </is>
      </c>
      <c r="EY5" s="26" t="inlineStr">
        <is>
          <t>AOP,
шт</t>
        </is>
      </c>
      <c r="EZ5" s="27" t="inlineStr">
        <is>
          <t>Прогноз,
шт</t>
        </is>
      </c>
      <c r="FA5" s="28" t="inlineStr">
        <is>
          <t>Факт,
шт</t>
        </is>
      </c>
      <c r="FB5" s="29" t="inlineStr">
        <is>
          <t>Коментарий</t>
        </is>
      </c>
      <c r="FC5" s="26" t="inlineStr">
        <is>
          <t>AOP,
шт</t>
        </is>
      </c>
      <c r="FD5" s="27" t="inlineStr">
        <is>
          <t>Прогноз,
шт</t>
        </is>
      </c>
      <c r="FE5" s="28" t="inlineStr">
        <is>
          <t>Факт,
шт</t>
        </is>
      </c>
      <c r="FF5" s="29" t="inlineStr">
        <is>
          <t>Коментарий</t>
        </is>
      </c>
      <c r="FG5" s="26" t="inlineStr">
        <is>
          <t>AOP,
шт</t>
        </is>
      </c>
      <c r="FH5" s="27" t="inlineStr">
        <is>
          <t>Прогноз,
шт</t>
        </is>
      </c>
      <c r="FI5" s="28" t="inlineStr">
        <is>
          <t>Факт,
шт</t>
        </is>
      </c>
      <c r="FJ5" s="29" t="inlineStr">
        <is>
          <t>Коментарий</t>
        </is>
      </c>
      <c r="FK5" s="26" t="inlineStr">
        <is>
          <t>AOP,
шт</t>
        </is>
      </c>
      <c r="FL5" s="27" t="inlineStr">
        <is>
          <t>Прогноз,
шт</t>
        </is>
      </c>
      <c r="FM5" s="28" t="inlineStr">
        <is>
          <t>Факт,
шт</t>
        </is>
      </c>
      <c r="FN5" s="29" t="inlineStr">
        <is>
          <t>Коментарий</t>
        </is>
      </c>
      <c r="FO5" s="26" t="inlineStr">
        <is>
          <t>AOP,
шт</t>
        </is>
      </c>
      <c r="FP5" s="27" t="inlineStr">
        <is>
          <t>Прогноз,
шт</t>
        </is>
      </c>
      <c r="FQ5" s="28" t="inlineStr">
        <is>
          <t>Факт,
шт</t>
        </is>
      </c>
      <c r="FR5" s="29" t="inlineStr">
        <is>
          <t>Коментарий</t>
        </is>
      </c>
      <c r="FS5" s="26" t="inlineStr">
        <is>
          <t>AOP,
шт</t>
        </is>
      </c>
      <c r="FT5" s="27" t="inlineStr">
        <is>
          <t>Прогноз,
шт</t>
        </is>
      </c>
      <c r="FU5" s="28" t="inlineStr">
        <is>
          <t>Факт,
шт</t>
        </is>
      </c>
      <c r="FV5" s="29" t="inlineStr">
        <is>
          <t>Коментарий</t>
        </is>
      </c>
      <c r="FW5" s="26" t="inlineStr">
        <is>
          <t>AOP,
шт</t>
        </is>
      </c>
      <c r="FX5" s="27" t="inlineStr">
        <is>
          <t>Прогноз,
шт</t>
        </is>
      </c>
      <c r="FY5" s="28" t="inlineStr">
        <is>
          <t>Факт,
шт</t>
        </is>
      </c>
      <c r="FZ5" s="29" t="inlineStr">
        <is>
          <t>Коментарий</t>
        </is>
      </c>
      <c r="GA5" s="26" t="inlineStr">
        <is>
          <t>AOP,
шт</t>
        </is>
      </c>
      <c r="GB5" s="26" t="inlineStr">
        <is>
          <t>Продажи AOP, CNY</t>
        </is>
      </c>
      <c r="GC5" s="27" t="inlineStr">
        <is>
          <t>Прогноз,
шт</t>
        </is>
      </c>
      <c r="GD5" s="27" t="inlineStr">
        <is>
          <t>Продажи Прогноз, CNY</t>
        </is>
      </c>
      <c r="GE5" s="28" t="inlineStr">
        <is>
          <t>Факт,
шт</t>
        </is>
      </c>
      <c r="GF5" s="28" t="inlineStr">
        <is>
          <t>Продажи Факт, CNY</t>
        </is>
      </c>
      <c r="GG5" s="26" t="inlineStr">
        <is>
          <t>AOP,
шт</t>
        </is>
      </c>
      <c r="GH5" s="27" t="inlineStr">
        <is>
          <t>Прогноз,
шт</t>
        </is>
      </c>
      <c r="GI5" s="28" t="inlineStr">
        <is>
          <t>Факт,
шт</t>
        </is>
      </c>
      <c r="GJ5" s="29" t="inlineStr">
        <is>
          <t>Коментарий</t>
        </is>
      </c>
      <c r="GK5" s="26" t="inlineStr">
        <is>
          <t>AOP,
шт</t>
        </is>
      </c>
      <c r="GL5" s="27" t="inlineStr">
        <is>
          <t>Прогноз,
шт</t>
        </is>
      </c>
      <c r="GM5" s="28" t="inlineStr">
        <is>
          <t>Факт,
шт</t>
        </is>
      </c>
      <c r="GN5" s="29" t="inlineStr">
        <is>
          <t>Коментарий</t>
        </is>
      </c>
      <c r="GO5" s="26" t="inlineStr">
        <is>
          <t>AOP,
шт</t>
        </is>
      </c>
      <c r="GP5" s="27" t="inlineStr">
        <is>
          <t>Прогноз,
шт</t>
        </is>
      </c>
      <c r="GQ5" s="28" t="inlineStr">
        <is>
          <t>Факт,
шт</t>
        </is>
      </c>
      <c r="GR5" s="29" t="inlineStr">
        <is>
          <t>Коментарий</t>
        </is>
      </c>
      <c r="GS5" s="26" t="inlineStr">
        <is>
          <t>AOP,
шт</t>
        </is>
      </c>
      <c r="GT5" s="27" t="inlineStr">
        <is>
          <t>Прогноз,
шт</t>
        </is>
      </c>
      <c r="GU5" s="28" t="inlineStr">
        <is>
          <t>Факт,
шт</t>
        </is>
      </c>
      <c r="GV5" s="29" t="inlineStr">
        <is>
          <t>Коментарий</t>
        </is>
      </c>
      <c r="GW5" s="26" t="inlineStr">
        <is>
          <t>AOP,
шт</t>
        </is>
      </c>
      <c r="GX5" s="27" t="inlineStr">
        <is>
          <t>Прогноз,
шт</t>
        </is>
      </c>
      <c r="GY5" s="28" t="inlineStr">
        <is>
          <t>Факт,
шт</t>
        </is>
      </c>
      <c r="GZ5" s="29" t="inlineStr">
        <is>
          <t>Коментарий</t>
        </is>
      </c>
      <c r="HA5" s="26" t="inlineStr">
        <is>
          <t>AOP,
шт</t>
        </is>
      </c>
      <c r="HB5" s="27" t="inlineStr">
        <is>
          <t>Прогноз,
шт</t>
        </is>
      </c>
      <c r="HC5" s="28" t="inlineStr">
        <is>
          <t>Факт,
шт</t>
        </is>
      </c>
      <c r="HD5" s="29" t="inlineStr">
        <is>
          <t>Коментарий</t>
        </is>
      </c>
      <c r="HE5" s="26" t="inlineStr">
        <is>
          <t>AOP,
шт</t>
        </is>
      </c>
      <c r="HF5" s="27" t="inlineStr">
        <is>
          <t>Прогноз,
шт</t>
        </is>
      </c>
      <c r="HG5" s="28" t="inlineStr">
        <is>
          <t>Факт,
шт</t>
        </is>
      </c>
      <c r="HH5" s="29" t="inlineStr">
        <is>
          <t>Коментарий</t>
        </is>
      </c>
      <c r="HI5" s="26" t="inlineStr">
        <is>
          <t>AOP,
шт</t>
        </is>
      </c>
      <c r="HJ5" s="27" t="inlineStr">
        <is>
          <t>Прогноз,
шт</t>
        </is>
      </c>
      <c r="HK5" s="28" t="inlineStr">
        <is>
          <t>Факт,
шт</t>
        </is>
      </c>
      <c r="HL5" s="29" t="inlineStr">
        <is>
          <t>Коментарий</t>
        </is>
      </c>
      <c r="HM5" s="26" t="inlineStr">
        <is>
          <t>AOP,
шт</t>
        </is>
      </c>
      <c r="HN5" s="27" t="inlineStr">
        <is>
          <t>Прогноз,
шт</t>
        </is>
      </c>
      <c r="HO5" s="28" t="inlineStr">
        <is>
          <t>Факт,
шт</t>
        </is>
      </c>
      <c r="HP5" s="29" t="inlineStr">
        <is>
          <t>Коментарий</t>
        </is>
      </c>
      <c r="HQ5" s="26" t="inlineStr">
        <is>
          <t>AOP,
шт</t>
        </is>
      </c>
      <c r="HR5" s="27" t="inlineStr">
        <is>
          <t>Прогноз,
шт</t>
        </is>
      </c>
      <c r="HS5" s="28" t="inlineStr">
        <is>
          <t>Факт,
шт</t>
        </is>
      </c>
      <c r="HT5" s="29" t="inlineStr">
        <is>
          <t>Коментарий</t>
        </is>
      </c>
      <c r="HU5" s="26" t="inlineStr">
        <is>
          <t>AOP,
шт</t>
        </is>
      </c>
      <c r="HV5" s="27" t="inlineStr">
        <is>
          <t>Прогноз,
шт</t>
        </is>
      </c>
      <c r="HW5" s="28" t="inlineStr">
        <is>
          <t>Факт,
шт</t>
        </is>
      </c>
      <c r="HX5" s="29" t="inlineStr">
        <is>
          <t>Коментарий</t>
        </is>
      </c>
      <c r="HY5" s="26" t="inlineStr">
        <is>
          <t>AOP,
шт</t>
        </is>
      </c>
      <c r="HZ5" s="27" t="inlineStr">
        <is>
          <t>Прогноз,
шт</t>
        </is>
      </c>
      <c r="IA5" s="28" t="inlineStr">
        <is>
          <t>Факт,
шт</t>
        </is>
      </c>
      <c r="IB5" s="29" t="inlineStr">
        <is>
          <t>Коментарий</t>
        </is>
      </c>
      <c r="IC5" s="26" t="inlineStr">
        <is>
          <t>AOP,
шт</t>
        </is>
      </c>
      <c r="ID5" s="26" t="inlineStr">
        <is>
          <t>Продажи AOP, CNY</t>
        </is>
      </c>
      <c r="IE5" s="27" t="inlineStr">
        <is>
          <t>Прогноз,
шт</t>
        </is>
      </c>
      <c r="IF5" s="27" t="inlineStr">
        <is>
          <t>Продажи Прогноз, CNY</t>
        </is>
      </c>
      <c r="IG5" s="28" t="inlineStr">
        <is>
          <t>Факт,
шт</t>
        </is>
      </c>
      <c r="IH5" s="28" t="inlineStr">
        <is>
          <t>Продажи Факт, CNY</t>
        </is>
      </c>
      <c r="II5" s="26" t="inlineStr">
        <is>
          <t>AOP,
шт</t>
        </is>
      </c>
      <c r="IJ5" s="27" t="inlineStr">
        <is>
          <t>Прогноз,
шт</t>
        </is>
      </c>
      <c r="IK5" s="28" t="inlineStr">
        <is>
          <t>Факт,
шт</t>
        </is>
      </c>
      <c r="IL5" s="29" t="inlineStr">
        <is>
          <t>Коментарий</t>
        </is>
      </c>
      <c r="IM5" s="26" t="inlineStr">
        <is>
          <t>AOP,
шт</t>
        </is>
      </c>
      <c r="IN5" s="27" t="inlineStr">
        <is>
          <t>Прогноз,
шт</t>
        </is>
      </c>
      <c r="IO5" s="28" t="inlineStr">
        <is>
          <t>Факт,
шт</t>
        </is>
      </c>
      <c r="IP5" s="29" t="inlineStr">
        <is>
          <t>Коментарий</t>
        </is>
      </c>
      <c r="IQ5" s="26" t="inlineStr">
        <is>
          <t>AOP,
шт</t>
        </is>
      </c>
      <c r="IR5" s="27" t="inlineStr">
        <is>
          <t>Прогноз,
шт</t>
        </is>
      </c>
      <c r="IS5" s="28" t="inlineStr">
        <is>
          <t>Факт,
шт</t>
        </is>
      </c>
      <c r="IT5" s="29" t="inlineStr">
        <is>
          <t>Коментарий</t>
        </is>
      </c>
      <c r="IU5" s="26" t="inlineStr">
        <is>
          <t>AOP,
шт</t>
        </is>
      </c>
      <c r="IV5" s="27" t="inlineStr">
        <is>
          <t>Прогноз,
шт</t>
        </is>
      </c>
      <c r="IW5" s="28" t="inlineStr">
        <is>
          <t>Факт,
шт</t>
        </is>
      </c>
      <c r="IX5" s="29" t="inlineStr">
        <is>
          <t>Коментарий</t>
        </is>
      </c>
      <c r="IY5" s="26" t="inlineStr">
        <is>
          <t>AOP,
шт</t>
        </is>
      </c>
      <c r="IZ5" s="27" t="inlineStr">
        <is>
          <t>Прогноз,
шт</t>
        </is>
      </c>
      <c r="JA5" s="28" t="inlineStr">
        <is>
          <t>Факт,
шт</t>
        </is>
      </c>
      <c r="JB5" s="29" t="inlineStr">
        <is>
          <t>Коментарий</t>
        </is>
      </c>
      <c r="JC5" s="26" t="inlineStr">
        <is>
          <t>AOP,
шт</t>
        </is>
      </c>
      <c r="JD5" s="27" t="inlineStr">
        <is>
          <t>Прогноз,
шт</t>
        </is>
      </c>
      <c r="JE5" s="28" t="inlineStr">
        <is>
          <t>Факт,
шт</t>
        </is>
      </c>
      <c r="JF5" s="29" t="inlineStr">
        <is>
          <t>Коментарий</t>
        </is>
      </c>
      <c r="JG5" s="26" t="inlineStr">
        <is>
          <t>AOP,
шт</t>
        </is>
      </c>
      <c r="JH5" s="27" t="inlineStr">
        <is>
          <t>Прогноз,
шт</t>
        </is>
      </c>
      <c r="JI5" s="28" t="inlineStr">
        <is>
          <t>Факт,
шт</t>
        </is>
      </c>
      <c r="JJ5" s="29" t="inlineStr">
        <is>
          <t>Коментарий</t>
        </is>
      </c>
      <c r="JK5" s="26" t="inlineStr">
        <is>
          <t>AOP,
шт</t>
        </is>
      </c>
      <c r="JL5" s="27" t="inlineStr">
        <is>
          <t>Прогноз,
шт</t>
        </is>
      </c>
      <c r="JM5" s="28" t="inlineStr">
        <is>
          <t>Факт,
шт</t>
        </is>
      </c>
      <c r="JN5" s="29" t="inlineStr">
        <is>
          <t>Коментарий</t>
        </is>
      </c>
      <c r="JO5" s="26" t="inlineStr">
        <is>
          <t>AOP,
шт</t>
        </is>
      </c>
      <c r="JP5" s="27" t="inlineStr">
        <is>
          <t>Прогноз,
шт</t>
        </is>
      </c>
      <c r="JQ5" s="28" t="inlineStr">
        <is>
          <t>Факт,
шт</t>
        </is>
      </c>
      <c r="JR5" s="29" t="inlineStr">
        <is>
          <t>Коментарий</t>
        </is>
      </c>
      <c r="JS5" s="26" t="inlineStr">
        <is>
          <t>AOP,
шт</t>
        </is>
      </c>
      <c r="JT5" s="27" t="inlineStr">
        <is>
          <t>Прогноз,
шт</t>
        </is>
      </c>
      <c r="JU5" s="28" t="inlineStr">
        <is>
          <t>Факт,
шт</t>
        </is>
      </c>
      <c r="JV5" s="29" t="inlineStr">
        <is>
          <t>Коментарий</t>
        </is>
      </c>
      <c r="JW5" s="26" t="inlineStr">
        <is>
          <t>AOP,
шт</t>
        </is>
      </c>
      <c r="JX5" s="27" t="inlineStr">
        <is>
          <t>Прогноз,
шт</t>
        </is>
      </c>
      <c r="JY5" s="28" t="inlineStr">
        <is>
          <t>Факт,
шт</t>
        </is>
      </c>
      <c r="JZ5" s="29" t="inlineStr">
        <is>
          <t>Коментарий</t>
        </is>
      </c>
      <c r="KA5" s="26" t="inlineStr">
        <is>
          <t>AOP,
шт</t>
        </is>
      </c>
      <c r="KB5" s="27" t="inlineStr">
        <is>
          <t>Прогноз,
шт</t>
        </is>
      </c>
      <c r="KC5" s="28" t="inlineStr">
        <is>
          <t>Факт,
шт</t>
        </is>
      </c>
      <c r="KD5" s="29" t="inlineStr">
        <is>
          <t>Коментарий</t>
        </is>
      </c>
      <c r="KE5" s="26" t="inlineStr">
        <is>
          <t>AOP,
шт</t>
        </is>
      </c>
      <c r="KF5" s="26" t="inlineStr">
        <is>
          <t>Продажи AOP, CNY</t>
        </is>
      </c>
      <c r="KG5" s="27" t="inlineStr">
        <is>
          <t>Прогноз,
шт</t>
        </is>
      </c>
      <c r="KH5" s="27" t="inlineStr">
        <is>
          <t>Продажи Прогноз, CNY</t>
        </is>
      </c>
      <c r="KI5" s="28" t="inlineStr">
        <is>
          <t>Факт,
шт</t>
        </is>
      </c>
      <c r="KJ5" s="31" t="inlineStr">
        <is>
          <t>Продажи Факт, CNY</t>
        </is>
      </c>
      <c r="KK5" s="12" t="n"/>
      <c r="KL5" s="12" t="n"/>
      <c r="KM5" s="12" t="n"/>
      <c r="KN5" s="285" t="inlineStr">
        <is>
          <t>Кол-во в сете</t>
        </is>
      </c>
      <c r="KO5" s="285" t="inlineStr">
        <is>
          <t>Сет</t>
        </is>
      </c>
    </row>
    <row r="6" outlineLevel="1" ht="75" customHeight="1">
      <c r="A6" s="334" t="inlineStr">
        <is>
          <t>НЕФАЗ ПАО</t>
        </is>
      </c>
      <c r="B6" s="335" t="inlineStr">
        <is>
          <t>Отсрочка 30 дней</t>
        </is>
      </c>
      <c r="C6" s="256" t="inlineStr">
        <is>
          <t>ВБК РУС</t>
        </is>
      </c>
      <c r="D6" s="336" t="inlineStr">
        <is>
          <t>Мустафин Ринат</t>
        </is>
      </c>
      <c r="E6" s="15" t="n">
        <v>1</v>
      </c>
      <c r="F6" s="15" t="n">
        <v>1</v>
      </c>
      <c r="G6" s="33" t="n">
        <v>9522010010</v>
      </c>
      <c r="H6" s="34" t="inlineStr">
        <is>
          <t>Головка соединительная (управляющая)</t>
        </is>
      </c>
      <c r="I6" s="337">
        <f>89.6/1.2</f>
        <v/>
      </c>
      <c r="J6" s="337">
        <f>89.6/1.2</f>
        <v/>
      </c>
      <c r="K6" s="337" t="n"/>
      <c r="L6" s="337" t="n"/>
      <c r="M6" s="36" t="n">
        <v>102</v>
      </c>
      <c r="N6" s="284" t="n">
        <v>102</v>
      </c>
      <c r="O6" s="38" t="n">
        <v>0</v>
      </c>
      <c r="P6" s="284" t="n"/>
      <c r="Q6" s="36" t="n">
        <v>50</v>
      </c>
      <c r="R6" s="284" t="n">
        <v>32</v>
      </c>
      <c r="S6" s="38" t="n">
        <v>32</v>
      </c>
      <c r="T6" s="284" t="inlineStr">
        <is>
          <t>Клиент 
изменил 
план</t>
        </is>
      </c>
      <c r="U6" s="36" t="n">
        <v>0</v>
      </c>
      <c r="V6" s="284" t="n">
        <v>50</v>
      </c>
      <c r="W6" s="38" t="n">
        <v>50</v>
      </c>
      <c r="X6" s="284" t="inlineStr">
        <is>
          <t>Клиент 
изменил 
план</t>
        </is>
      </c>
      <c r="Y6" s="36" t="n">
        <v>40</v>
      </c>
      <c r="Z6" s="284" t="n">
        <v>50</v>
      </c>
      <c r="AA6" s="38" t="n">
        <v>50</v>
      </c>
      <c r="AB6" s="284" t="inlineStr">
        <is>
          <t>Клиент 
изменил 
план</t>
        </is>
      </c>
      <c r="AC6" s="36" t="n">
        <v>40</v>
      </c>
      <c r="AD6" s="284" t="n">
        <v>40</v>
      </c>
      <c r="AE6" s="38" t="n">
        <v>0</v>
      </c>
      <c r="AF6" s="284" t="n"/>
      <c r="AG6" s="36" t="n">
        <v>40</v>
      </c>
      <c r="AH6" s="39" t="n">
        <v>25</v>
      </c>
      <c r="AI6" s="38" t="n">
        <v>25</v>
      </c>
      <c r="AJ6" s="284" t="inlineStr">
        <is>
          <t>КамАЗ не дает в необходимом объеме шасси для выполнения ранее намеченного плана по производству-продаже</t>
        </is>
      </c>
      <c r="AK6" s="36" t="n">
        <v>40</v>
      </c>
      <c r="AL6" s="284" t="n">
        <v>25</v>
      </c>
      <c r="AM6" s="38" t="n">
        <v>25</v>
      </c>
      <c r="AN6" s="284" t="inlineStr">
        <is>
          <t>КамАЗ не дает в необходимом объеме шасси для выполнения ранее намеченного плана по производству-продаже</t>
        </is>
      </c>
      <c r="AO6" s="36" t="n">
        <v>40</v>
      </c>
      <c r="AP6" s="284" t="n">
        <v>0</v>
      </c>
      <c r="AQ6" s="38" t="n">
        <v>0</v>
      </c>
      <c r="AR6" s="284" t="inlineStr">
        <is>
          <t>КамАЗ не дает в необходимом объеме шасси для выполнения ранее намеченного плана по производству-продаже</t>
        </is>
      </c>
      <c r="AS6" s="36" t="n">
        <v>40</v>
      </c>
      <c r="AT6" s="284" t="n">
        <v>0</v>
      </c>
      <c r="AU6" s="38" t="n">
        <v>0</v>
      </c>
      <c r="AV6" s="284" t="inlineStr">
        <is>
          <t>КамАЗ не дает в необходимом объеме шасси для выполнения ранее намеченного плана по производству-продаже, также имеет место общее снижение спроса</t>
        </is>
      </c>
      <c r="AW6" s="36" t="n">
        <v>40</v>
      </c>
      <c r="AX6" s="284" t="n">
        <v>0</v>
      </c>
      <c r="AY6" s="38" t="n">
        <v>0</v>
      </c>
      <c r="AZ6" s="284" t="inlineStr">
        <is>
          <t>КамАЗ не дает в необходимом объеме шасси для выполнения ранее намеченного плана по производству-продаже, также имеет место общее снижение спроса</t>
        </is>
      </c>
      <c r="BA6" s="36" t="n">
        <v>40</v>
      </c>
      <c r="BB6" s="284" t="n">
        <v>0</v>
      </c>
      <c r="BC6" s="38" t="n">
        <v>0</v>
      </c>
      <c r="BD6" s="284" t="inlineStr">
        <is>
          <t>КамАЗ не дает в необходимом объеме шасси для выполнения ранее намеченного плана по производству-продаже, также имеет место общее снижение спроса</t>
        </is>
      </c>
      <c r="BE6" s="36" t="n">
        <v>40</v>
      </c>
      <c r="BF6" s="284" t="n">
        <v>0</v>
      </c>
      <c r="BG6" s="38" t="n">
        <v>0</v>
      </c>
      <c r="BH6" s="284" t="inlineStr">
        <is>
          <t>КамАЗ не дает в необходимом объеме шасси для выполнения ранее намеченного плана по производству-продаже, также имеет место общее снижение спроса</t>
        </is>
      </c>
      <c r="BI6" s="338">
        <f>SUMPRODUCT(--(MOD(COLUMN($M6:$BH6),4)=MOD(COLUMN($M6),4)),$M6:$BH6)</f>
        <v/>
      </c>
      <c r="BJ6" s="339">
        <f>BI6*$I6</f>
        <v/>
      </c>
      <c r="BK6" s="340">
        <f>SUMPRODUCT(--(MOD(COLUMN($M6:$BH6),4)=MOD(COLUMN($M6)+1,4)),$M6:$BH6)</f>
        <v/>
      </c>
      <c r="BL6" s="341">
        <f>BK6*$I6</f>
        <v/>
      </c>
      <c r="BM6" s="342">
        <f>SUMPRODUCT(--(MOD(COLUMN($M6:$BH6),4)=MOD(COLUMN($M6)+2,4)),$M6:$BH6)</f>
        <v/>
      </c>
      <c r="BN6" s="343">
        <f>BM6*$I6</f>
        <v/>
      </c>
      <c r="BO6" s="36">
        <f>$KN6*0</f>
        <v/>
      </c>
      <c r="BP6" s="47">
        <f>$KN6*0</f>
        <v/>
      </c>
      <c r="BQ6" s="284">
        <f>$KN6*0</f>
        <v/>
      </c>
      <c r="BR6" s="38" t="n">
        <v>0</v>
      </c>
      <c r="BS6" s="284" t="n"/>
      <c r="BT6" s="36">
        <f>$KN6*5</f>
        <v/>
      </c>
      <c r="BU6" s="47">
        <f>$KN6*0</f>
        <v/>
      </c>
      <c r="BV6" s="284">
        <f>$KN6*0</f>
        <v/>
      </c>
      <c r="BW6" s="38" t="n">
        <v>0</v>
      </c>
      <c r="BX6" s="284" t="n"/>
      <c r="BY6" s="36">
        <f>$KN6*15</f>
        <v/>
      </c>
      <c r="BZ6" s="47">
        <f>$KN6*15</f>
        <v/>
      </c>
      <c r="CA6" s="284">
        <f>$KN6*0</f>
        <v/>
      </c>
      <c r="CB6" s="38" t="n">
        <v>0</v>
      </c>
      <c r="CC6" s="284" t="n"/>
      <c r="CD6" s="36">
        <f>$KN6*15</f>
        <v/>
      </c>
      <c r="CE6" s="47">
        <f>$KN6*15</f>
        <v/>
      </c>
      <c r="CF6" s="284">
        <f>$KN6*0</f>
        <v/>
      </c>
      <c r="CG6" s="38" t="n">
        <v>0</v>
      </c>
      <c r="CH6" s="284" t="n"/>
      <c r="CI6" s="36">
        <f>$KN6*15</f>
        <v/>
      </c>
      <c r="CJ6" s="47">
        <f>$KN6*15</f>
        <v/>
      </c>
      <c r="CK6" s="284">
        <f>$KN6*0</f>
        <v/>
      </c>
      <c r="CL6" s="38" t="n">
        <v>0</v>
      </c>
      <c r="CM6" s="284" t="n"/>
      <c r="CN6" s="36">
        <f>$KN6*15</f>
        <v/>
      </c>
      <c r="CO6" s="47">
        <f>$KN6*15</f>
        <v/>
      </c>
      <c r="CP6" s="284">
        <f>$KN6*0</f>
        <v/>
      </c>
      <c r="CQ6" s="38" t="n">
        <v>0</v>
      </c>
      <c r="CR6" s="284" t="n"/>
      <c r="CS6" s="36">
        <f>$KN6*15</f>
        <v/>
      </c>
      <c r="CT6" s="47">
        <f>$KN6*15</f>
        <v/>
      </c>
      <c r="CU6" s="284">
        <f>$KN6*0</f>
        <v/>
      </c>
      <c r="CV6" s="38" t="n">
        <v>0</v>
      </c>
      <c r="CW6" s="284" t="n"/>
      <c r="CX6" s="36">
        <f>$KN6*15</f>
        <v/>
      </c>
      <c r="CY6" s="47">
        <f>$KN6*15</f>
        <v/>
      </c>
      <c r="CZ6" s="39">
        <f>$KN6*0</f>
        <v/>
      </c>
      <c r="DA6" s="38" t="n">
        <v>0</v>
      </c>
      <c r="DB6" s="284" t="n"/>
      <c r="DC6" s="36">
        <f>$KN6*15</f>
        <v/>
      </c>
      <c r="DD6" s="47">
        <f>$KN6*15</f>
        <v/>
      </c>
      <c r="DE6" s="39">
        <f>$KN6*0</f>
        <v/>
      </c>
      <c r="DF6" s="38" t="n">
        <v>0</v>
      </c>
      <c r="DG6" s="284" t="n"/>
      <c r="DH6" s="36">
        <f>$KN6*15</f>
        <v/>
      </c>
      <c r="DI6" s="47">
        <f>$KN6*15</f>
        <v/>
      </c>
      <c r="DJ6" s="284">
        <f>$KN6*0</f>
        <v/>
      </c>
      <c r="DK6" s="38" t="n">
        <v>0</v>
      </c>
      <c r="DL6" s="284" t="n"/>
      <c r="DM6" s="36">
        <f>$KN6*15</f>
        <v/>
      </c>
      <c r="DN6" s="47" t="n">
        <v>15</v>
      </c>
      <c r="DO6" s="284">
        <f>$KN6*0</f>
        <v/>
      </c>
      <c r="DP6" s="38" t="n">
        <v>0</v>
      </c>
      <c r="DQ6" s="284" t="n"/>
      <c r="DR6" s="36" t="n">
        <v>15</v>
      </c>
      <c r="DS6" s="47" t="n">
        <v>15</v>
      </c>
      <c r="DT6" s="284" t="n">
        <v>0</v>
      </c>
      <c r="DU6" s="38" t="n">
        <v>0</v>
      </c>
      <c r="DV6" s="284" t="n"/>
      <c r="DW6" s="338">
        <f t="array" ref="DW6">SUMPRODUCT(--(MOD(COLUMN($BO6:$DV6),5)=MOD(COLUMN($BO6),5)),$BO6:$DV6)</f>
        <v/>
      </c>
      <c r="DX6" s="339">
        <f>DW6*$J6</f>
        <v/>
      </c>
      <c r="DY6" s="344">
        <f t="array" ref="DY6">SUMPRODUCT(--(MOD(COLUMN($BO6:$DV6),5)=MOD(COLUMN($BP6),5)),$BO6:$DV6)</f>
        <v/>
      </c>
      <c r="DZ6" s="345">
        <f>DY6*$J6</f>
        <v/>
      </c>
      <c r="EA6" s="340">
        <f t="array" ref="EA6">SUMPRODUCT(--(MOD(COLUMN($BO6:$DV6),5)=MOD(COLUMN($BQ6),5)),$BO6:$DV6)</f>
        <v/>
      </c>
      <c r="EB6" s="341">
        <f>EA6*$J6</f>
        <v/>
      </c>
      <c r="EC6" s="342">
        <f t="array" ref="EC6">SUMPRODUCT(--(MOD(COLUMN($BO6:$DV6),5)=MOD(COLUMN($BR6),5)),$BO6:$DV6)</f>
        <v/>
      </c>
      <c r="ED6" s="343">
        <f>EC6*$J6</f>
        <v/>
      </c>
      <c r="EE6" s="36">
        <f>$KN6*8</f>
        <v/>
      </c>
      <c r="EF6" s="284" t="n">
        <v>8</v>
      </c>
      <c r="EG6" s="38" t="n">
        <v>0</v>
      </c>
      <c r="EH6" s="284" t="n"/>
      <c r="EI6" s="36">
        <f>$KN6*9</f>
        <v/>
      </c>
      <c r="EJ6" s="284" t="n">
        <v>50</v>
      </c>
      <c r="EK6" s="38" t="n">
        <v>0</v>
      </c>
      <c r="EL6" s="284" t="n"/>
      <c r="EM6" s="36">
        <f>$KN6*9</f>
        <v/>
      </c>
      <c r="EN6" s="284" t="n">
        <v>0</v>
      </c>
      <c r="EO6" s="38" t="n">
        <v>0</v>
      </c>
      <c r="EP6" s="284" t="n"/>
      <c r="EQ6" s="36">
        <f>$KN6*15</f>
        <v/>
      </c>
      <c r="ER6" s="284" t="n">
        <v>1</v>
      </c>
      <c r="ES6" s="38" t="n">
        <v>0</v>
      </c>
      <c r="ET6" s="284" t="n"/>
      <c r="EU6" s="36">
        <f>$KN6*15</f>
        <v/>
      </c>
      <c r="EV6" s="284" t="n">
        <v>0</v>
      </c>
      <c r="EW6" s="38" t="n">
        <v>0</v>
      </c>
      <c r="EX6" s="284" t="n"/>
      <c r="EY6" s="36">
        <f>$KN6*15</f>
        <v/>
      </c>
      <c r="EZ6" s="284" t="n">
        <v>45</v>
      </c>
      <c r="FA6" s="38" t="n">
        <v>0</v>
      </c>
      <c r="FB6" s="284" t="n"/>
      <c r="FC6" s="36">
        <f>$KN6*15</f>
        <v/>
      </c>
      <c r="FD6" s="284" t="n">
        <v>15</v>
      </c>
      <c r="FE6" s="38" t="n">
        <v>0</v>
      </c>
      <c r="FF6" s="284" t="n"/>
      <c r="FG6" s="36">
        <f>$KN6*15</f>
        <v/>
      </c>
      <c r="FH6" s="284" t="n">
        <v>15</v>
      </c>
      <c r="FI6" s="38" t="n">
        <v>0</v>
      </c>
      <c r="FJ6" s="284" t="n"/>
      <c r="FK6" s="36">
        <f>$KN6*15</f>
        <v/>
      </c>
      <c r="FL6" s="284" t="n">
        <v>15</v>
      </c>
      <c r="FM6" s="38" t="n">
        <v>0</v>
      </c>
      <c r="FN6" s="284" t="n"/>
      <c r="FO6" s="36">
        <f>$KN6*15</f>
        <v/>
      </c>
      <c r="FP6" s="284" t="n">
        <v>15</v>
      </c>
      <c r="FQ6" s="38" t="n">
        <v>0</v>
      </c>
      <c r="FR6" s="284" t="n"/>
      <c r="FS6" s="36">
        <f>$KN6*14</f>
        <v/>
      </c>
      <c r="FT6" s="284" t="n">
        <v>14</v>
      </c>
      <c r="FU6" s="38" t="n">
        <v>0</v>
      </c>
      <c r="FV6" s="284" t="n"/>
      <c r="FW6" s="36">
        <f>$KN6*10</f>
        <v/>
      </c>
      <c r="FX6" s="284" t="n">
        <v>10</v>
      </c>
      <c r="FY6" s="38" t="n">
        <v>0</v>
      </c>
      <c r="FZ6" s="284" t="n"/>
      <c r="GA6" s="338">
        <f>SUMPRODUCT(--(MOD(COLUMN($EE6:$FZ6),4)=MOD(COLUMN($EE6),4)),$EE6:$FZ6)</f>
        <v/>
      </c>
      <c r="GB6" s="339">
        <f>GA6*$J6</f>
        <v/>
      </c>
      <c r="GC6" s="340">
        <f>SUMPRODUCT(--(MOD(COLUMN($EE6:$FZ6),4)=MOD(COLUMN($EF6),4)),$EE6:$FZ6)</f>
        <v/>
      </c>
      <c r="GD6" s="341">
        <f>GC6*$J6</f>
        <v/>
      </c>
      <c r="GE6" s="342">
        <f>SUMPRODUCT(--(MOD(COLUMN($EE6:$FZ6),4)=MOD(COLUMN($EG6),4)),$EE6:$FZ6)</f>
        <v/>
      </c>
      <c r="GF6" s="343">
        <f>GE6*$J6</f>
        <v/>
      </c>
      <c r="GG6" s="36">
        <f>$KN6*10</f>
        <v/>
      </c>
      <c r="GH6" s="284" t="n"/>
      <c r="GI6" s="38" t="n">
        <v>0</v>
      </c>
      <c r="GJ6" s="284" t="n"/>
      <c r="GK6" s="36">
        <f>$KN6*10</f>
        <v/>
      </c>
      <c r="GL6" s="284" t="n"/>
      <c r="GM6" s="38" t="n">
        <v>0</v>
      </c>
      <c r="GN6" s="284" t="n"/>
      <c r="GO6" s="36">
        <f>$KN6*15</f>
        <v/>
      </c>
      <c r="GP6" s="284" t="n"/>
      <c r="GQ6" s="38" t="n">
        <v>0</v>
      </c>
      <c r="GR6" s="284" t="n"/>
      <c r="GS6" s="36">
        <f>$KN6*20</f>
        <v/>
      </c>
      <c r="GT6" s="284" t="n"/>
      <c r="GU6" s="38" t="n">
        <v>0</v>
      </c>
      <c r="GV6" s="284" t="n"/>
      <c r="GW6" s="36">
        <f>$KN6*20</f>
        <v/>
      </c>
      <c r="GX6" s="284" t="n"/>
      <c r="GY6" s="38" t="n">
        <v>0</v>
      </c>
      <c r="GZ6" s="284" t="n"/>
      <c r="HA6" s="36">
        <f>$KN6*20</f>
        <v/>
      </c>
      <c r="HB6" s="284" t="n"/>
      <c r="HC6" s="38" t="n">
        <v>0</v>
      </c>
      <c r="HD6" s="284" t="n"/>
      <c r="HE6" s="36">
        <f>$KN6*20</f>
        <v/>
      </c>
      <c r="HF6" s="284" t="n"/>
      <c r="HG6" s="38" t="n">
        <v>0</v>
      </c>
      <c r="HH6" s="284" t="n"/>
      <c r="HI6" s="36">
        <f>$KN6*20</f>
        <v/>
      </c>
      <c r="HJ6" s="284" t="n"/>
      <c r="HK6" s="38" t="n">
        <v>0</v>
      </c>
      <c r="HL6" s="284" t="n"/>
      <c r="HM6" s="36">
        <f>$KN6*20</f>
        <v/>
      </c>
      <c r="HN6" s="284" t="n"/>
      <c r="HO6" s="38" t="n">
        <v>0</v>
      </c>
      <c r="HP6" s="284" t="n"/>
      <c r="HQ6" s="36">
        <f>$KN6*20</f>
        <v/>
      </c>
      <c r="HR6" s="284" t="n"/>
      <c r="HS6" s="38" t="n">
        <v>0</v>
      </c>
      <c r="HT6" s="284" t="n"/>
      <c r="HU6" s="36">
        <f>$KN6*20</f>
        <v/>
      </c>
      <c r="HV6" s="284" t="n"/>
      <c r="HW6" s="38" t="n">
        <v>0</v>
      </c>
      <c r="HX6" s="284" t="n"/>
      <c r="HY6" s="36" t="n">
        <v>20</v>
      </c>
      <c r="HZ6" s="284" t="n"/>
      <c r="IA6" s="38" t="n">
        <v>0</v>
      </c>
      <c r="IB6" s="284" t="n"/>
      <c r="IC6" s="338">
        <f t="array" ref="IC6">SUMPRODUCT(--(MOD(COLUMN($GG6:$IB6),4)=MOD(COLUMN($GG6),4)),$GG6:$IB6)</f>
        <v/>
      </c>
      <c r="ID6" s="339">
        <f>IC6*$J6</f>
        <v/>
      </c>
      <c r="IE6" s="340">
        <f t="array" ref="IE6">SUMPRODUCT(--(MOD(COLUMN($GG6:$IB6),4)=MOD(COLUMN($GH6),4)),$GG6:$IB6)</f>
        <v/>
      </c>
      <c r="IF6" s="341">
        <f>IE6*$J6</f>
        <v/>
      </c>
      <c r="IG6" s="342">
        <f t="array" ref="IG6">SUMPRODUCT(--(MOD(COLUMN($GG6:$IB6),4)=MOD(COLUMN($GI6),4)),$GG6:$IB6)</f>
        <v/>
      </c>
      <c r="IH6" s="343">
        <f>IG6*$J6</f>
        <v/>
      </c>
      <c r="II6" s="36">
        <f>$KN6*15</f>
        <v/>
      </c>
      <c r="IJ6" s="284" t="n"/>
      <c r="IK6" s="38" t="n">
        <v>0</v>
      </c>
      <c r="IL6" s="284" t="n"/>
      <c r="IM6" s="36">
        <f>$KN6*15</f>
        <v/>
      </c>
      <c r="IN6" s="284" t="n"/>
      <c r="IO6" s="38" t="n">
        <v>0</v>
      </c>
      <c r="IP6" s="284" t="n"/>
      <c r="IQ6" s="36">
        <f>$KN6*20</f>
        <v/>
      </c>
      <c r="IR6" s="284" t="n"/>
      <c r="IS6" s="38" t="n">
        <v>0</v>
      </c>
      <c r="IT6" s="284" t="n"/>
      <c r="IU6" s="36">
        <f>$KN6*25</f>
        <v/>
      </c>
      <c r="IV6" s="284" t="n"/>
      <c r="IW6" s="38" t="n">
        <v>0</v>
      </c>
      <c r="IX6" s="284" t="n"/>
      <c r="IY6" s="36">
        <f>$KN6*25</f>
        <v/>
      </c>
      <c r="IZ6" s="284" t="n"/>
      <c r="JA6" s="38" t="n">
        <v>0</v>
      </c>
      <c r="JB6" s="284" t="n"/>
      <c r="JC6" s="36">
        <f>$KN6*25</f>
        <v/>
      </c>
      <c r="JD6" s="284" t="n"/>
      <c r="JE6" s="38" t="n">
        <v>0</v>
      </c>
      <c r="JF6" s="284" t="n"/>
      <c r="JG6" s="36">
        <f>$KN6*30</f>
        <v/>
      </c>
      <c r="JH6" s="284" t="n"/>
      <c r="JI6" s="38" t="n">
        <v>0</v>
      </c>
      <c r="JJ6" s="284" t="n"/>
      <c r="JK6" s="36">
        <f>$KN6*30</f>
        <v/>
      </c>
      <c r="JL6" s="284" t="n"/>
      <c r="JM6" s="38" t="n">
        <v>0</v>
      </c>
      <c r="JN6" s="284" t="n"/>
      <c r="JO6" s="36">
        <f>$KN6*30</f>
        <v/>
      </c>
      <c r="JP6" s="284" t="n"/>
      <c r="JQ6" s="38" t="n">
        <v>0</v>
      </c>
      <c r="JR6" s="284" t="n"/>
      <c r="JS6" s="36">
        <f>$KN6*30</f>
        <v/>
      </c>
      <c r="JT6" s="284" t="n"/>
      <c r="JU6" s="38" t="n">
        <v>0</v>
      </c>
      <c r="JV6" s="284" t="n"/>
      <c r="JW6" s="36">
        <f>$KN6*30</f>
        <v/>
      </c>
      <c r="JX6" s="284" t="n"/>
      <c r="JY6" s="38" t="n">
        <v>0</v>
      </c>
      <c r="JZ6" s="284" t="n"/>
      <c r="KA6" s="36" t="n">
        <v>30</v>
      </c>
      <c r="KB6" s="284" t="n"/>
      <c r="KC6" s="38" t="n">
        <v>0</v>
      </c>
      <c r="KD6" s="284" t="n"/>
      <c r="KE6" s="338">
        <f t="array" ref="KE6">SUMPRODUCT(--(MOD(COLUMN($II6:$KD6),4)=MOD(COLUMN($II6),4)),$II6:$KD6)</f>
        <v/>
      </c>
      <c r="KF6" s="339">
        <f>KE6*$J6</f>
        <v/>
      </c>
      <c r="KG6" s="340">
        <f t="array" ref="KG6">SUMPRODUCT(--(MOD(COLUMN($II6:$KD6),4)=MOD(COLUMN($IJ6),4)),$II6:$KD6)</f>
        <v/>
      </c>
      <c r="KH6" s="341">
        <f>KG6*$J6</f>
        <v/>
      </c>
      <c r="KI6" s="342">
        <f t="array" ref="KI6">SUMPRODUCT(--(MOD(COLUMN($II6:$KD6),4)=MOD(COLUMN($IK6),4)),$II6:$KD6)</f>
        <v/>
      </c>
      <c r="KJ6" s="346">
        <f>KI6*$J6</f>
        <v/>
      </c>
      <c r="KK6" s="12" t="n"/>
      <c r="KL6" s="12" t="n"/>
      <c r="KM6" s="12" t="n"/>
      <c r="KN6" s="51" t="n">
        <v>1</v>
      </c>
      <c r="KO6" s="285" t="inlineStr">
        <is>
          <t>TEBS 2s/2m 
12м</t>
        </is>
      </c>
    </row>
    <row r="7" outlineLevel="1" ht="43.2" customHeight="1">
      <c r="A7" s="347" t="n"/>
      <c r="B7" s="347" t="n"/>
      <c r="C7" s="347" t="n"/>
      <c r="D7" s="347" t="n"/>
      <c r="E7" s="15" t="n">
        <v>2</v>
      </c>
      <c r="F7" s="15" t="n">
        <v>1</v>
      </c>
      <c r="G7" s="33" t="n">
        <v>9522010020</v>
      </c>
      <c r="H7" s="34" t="inlineStr">
        <is>
          <t>Головка соединительная (питающая)</t>
        </is>
      </c>
      <c r="I7" s="337">
        <f>89.6/1.2</f>
        <v/>
      </c>
      <c r="J7" s="337">
        <f>89.6/1.2</f>
        <v/>
      </c>
      <c r="K7" s="337" t="n"/>
      <c r="L7" s="337" t="n"/>
      <c r="M7" s="36" t="n">
        <v>102</v>
      </c>
      <c r="N7" s="284" t="n">
        <v>102</v>
      </c>
      <c r="O7" s="38" t="n">
        <v>0</v>
      </c>
      <c r="P7" s="284" t="n"/>
      <c r="Q7" s="36" t="n">
        <v>50</v>
      </c>
      <c r="R7" s="284" t="n">
        <v>32</v>
      </c>
      <c r="S7" s="38" t="n">
        <v>32</v>
      </c>
      <c r="T7" s="347" t="n"/>
      <c r="U7" s="36" t="n">
        <v>0</v>
      </c>
      <c r="V7" s="284" t="n">
        <v>50</v>
      </c>
      <c r="W7" s="38" t="n">
        <v>50</v>
      </c>
      <c r="X7" s="347" t="n"/>
      <c r="Y7" s="36" t="n">
        <v>40</v>
      </c>
      <c r="Z7" s="284" t="n">
        <v>50</v>
      </c>
      <c r="AA7" s="38" t="n">
        <v>50</v>
      </c>
      <c r="AB7" s="347" t="n"/>
      <c r="AC7" s="36" t="n">
        <v>40</v>
      </c>
      <c r="AD7" s="284" t="n">
        <v>40</v>
      </c>
      <c r="AE7" s="38" t="n">
        <v>0</v>
      </c>
      <c r="AF7" s="284" t="n"/>
      <c r="AG7" s="36" t="n">
        <v>40</v>
      </c>
      <c r="AH7" s="39" t="n">
        <v>25</v>
      </c>
      <c r="AI7" s="52" t="n">
        <v>25</v>
      </c>
      <c r="AJ7" s="347" t="n"/>
      <c r="AK7" s="36" t="n">
        <v>40</v>
      </c>
      <c r="AL7" s="284" t="n">
        <v>25</v>
      </c>
      <c r="AM7" s="52" t="n">
        <v>25</v>
      </c>
      <c r="AN7" s="347" t="n"/>
      <c r="AO7" s="36" t="n">
        <v>40</v>
      </c>
      <c r="AP7" s="284" t="n">
        <v>0</v>
      </c>
      <c r="AQ7" s="38" t="n">
        <v>0</v>
      </c>
      <c r="AR7" s="347" t="n"/>
      <c r="AS7" s="36" t="n">
        <v>40</v>
      </c>
      <c r="AT7" s="284" t="n">
        <v>0</v>
      </c>
      <c r="AU7" s="38" t="n">
        <v>0</v>
      </c>
      <c r="AV7" s="347" t="n"/>
      <c r="AW7" s="36" t="n">
        <v>40</v>
      </c>
      <c r="AX7" s="284" t="n">
        <v>0</v>
      </c>
      <c r="AY7" s="38" t="n">
        <v>0</v>
      </c>
      <c r="AZ7" s="347" t="n"/>
      <c r="BA7" s="36" t="n">
        <v>40</v>
      </c>
      <c r="BB7" s="284" t="n">
        <v>0</v>
      </c>
      <c r="BC7" s="52" t="n">
        <v>0</v>
      </c>
      <c r="BD7" s="347" t="n"/>
      <c r="BE7" s="36" t="n">
        <v>40</v>
      </c>
      <c r="BF7" s="284">
        <f>$KN7*0</f>
        <v/>
      </c>
      <c r="BG7" s="38" t="n">
        <v>0</v>
      </c>
      <c r="BH7" s="347" t="n"/>
      <c r="BI7" s="338">
        <f>SUMPRODUCT(--(MOD(COLUMN($M7:$BH7),4)=MOD(COLUMN($M7),4)),$M7:$BH7)</f>
        <v/>
      </c>
      <c r="BJ7" s="339">
        <f>BI7*$I7</f>
        <v/>
      </c>
      <c r="BK7" s="340">
        <f>SUMPRODUCT(--(MOD(COLUMN($M7:$BH7),4)=MOD(COLUMN($M7)+1,4)),$M7:$BH7)</f>
        <v/>
      </c>
      <c r="BL7" s="341">
        <f>BK7*$I7</f>
        <v/>
      </c>
      <c r="BM7" s="342">
        <f>SUMPRODUCT(--(MOD(COLUMN($M7:$BH7),4)=MOD(COLUMN($M7)+2,4)),$M7:$BH7)</f>
        <v/>
      </c>
      <c r="BN7" s="343">
        <f>BM7*$I7</f>
        <v/>
      </c>
      <c r="BO7" s="36">
        <f>$KN7*0</f>
        <v/>
      </c>
      <c r="BP7" s="47">
        <f>$KN7*0</f>
        <v/>
      </c>
      <c r="BQ7" s="284">
        <f>$KN7*0</f>
        <v/>
      </c>
      <c r="BR7" s="52" t="n">
        <v>0</v>
      </c>
      <c r="BS7" s="284" t="n"/>
      <c r="BT7" s="36">
        <f>$KN7*5</f>
        <v/>
      </c>
      <c r="BU7" s="47">
        <f>$KN7*0</f>
        <v/>
      </c>
      <c r="BV7" s="284">
        <f>$KN7*0</f>
        <v/>
      </c>
      <c r="BW7" s="38" t="n">
        <v>0</v>
      </c>
      <c r="BX7" s="284" t="n"/>
      <c r="BY7" s="36">
        <f>$KN7*15</f>
        <v/>
      </c>
      <c r="BZ7" s="47">
        <f>$KN7*15</f>
        <v/>
      </c>
      <c r="CA7" s="284">
        <f>$KN7*0</f>
        <v/>
      </c>
      <c r="CB7" s="38" t="n">
        <v>0</v>
      </c>
      <c r="CC7" s="284" t="n"/>
      <c r="CD7" s="36">
        <f>$KN7*15</f>
        <v/>
      </c>
      <c r="CE7" s="47">
        <f>$KN7*15</f>
        <v/>
      </c>
      <c r="CF7" s="284">
        <f>$KN7*0</f>
        <v/>
      </c>
      <c r="CG7" s="38" t="n">
        <v>0</v>
      </c>
      <c r="CH7" s="284" t="n"/>
      <c r="CI7" s="36">
        <f>$KN7*15</f>
        <v/>
      </c>
      <c r="CJ7" s="47">
        <f>$KN7*15</f>
        <v/>
      </c>
      <c r="CK7" s="284">
        <f>$KN7*0</f>
        <v/>
      </c>
      <c r="CL7" s="38" t="n">
        <v>0</v>
      </c>
      <c r="CM7" s="284" t="n"/>
      <c r="CN7" s="36">
        <f>$KN7*15</f>
        <v/>
      </c>
      <c r="CO7" s="47">
        <f>$KN7*15</f>
        <v/>
      </c>
      <c r="CP7" s="284">
        <f>$KN7*0</f>
        <v/>
      </c>
      <c r="CQ7" s="38" t="n">
        <v>0</v>
      </c>
      <c r="CR7" s="284" t="n"/>
      <c r="CS7" s="36">
        <f>$KN7*15</f>
        <v/>
      </c>
      <c r="CT7" s="47">
        <f>$KN7*15</f>
        <v/>
      </c>
      <c r="CU7" s="284">
        <f>$KN7*0</f>
        <v/>
      </c>
      <c r="CV7" s="38" t="n">
        <v>0</v>
      </c>
      <c r="CW7" s="284" t="n"/>
      <c r="CX7" s="36">
        <f>$KN7*15</f>
        <v/>
      </c>
      <c r="CY7" s="47">
        <f>$KN7*15</f>
        <v/>
      </c>
      <c r="CZ7" s="39">
        <f>$KN7*0</f>
        <v/>
      </c>
      <c r="DA7" s="38" t="n">
        <v>0</v>
      </c>
      <c r="DB7" s="284" t="n"/>
      <c r="DC7" s="36">
        <f>$KN7*15</f>
        <v/>
      </c>
      <c r="DD7" s="47">
        <f>$KN7*15</f>
        <v/>
      </c>
      <c r="DE7" s="39">
        <f>$KN7*0</f>
        <v/>
      </c>
      <c r="DF7" s="38" t="n">
        <v>0</v>
      </c>
      <c r="DG7" s="284" t="n"/>
      <c r="DH7" s="36">
        <f>$KN7*15</f>
        <v/>
      </c>
      <c r="DI7" s="47">
        <f>$KN7*15</f>
        <v/>
      </c>
      <c r="DJ7" s="284">
        <f>$KN7*0</f>
        <v/>
      </c>
      <c r="DK7" s="52" t="n">
        <v>0</v>
      </c>
      <c r="DL7" s="284" t="n"/>
      <c r="DM7" s="36">
        <f>$KN7*15</f>
        <v/>
      </c>
      <c r="DN7" s="47">
        <f>$KN7*15</f>
        <v/>
      </c>
      <c r="DO7" s="284">
        <f>$KN7*0</f>
        <v/>
      </c>
      <c r="DP7" s="38" t="n">
        <v>0</v>
      </c>
      <c r="DQ7" s="284" t="n"/>
      <c r="DR7" s="36">
        <f>$KN7*15</f>
        <v/>
      </c>
      <c r="DS7" s="47">
        <f>$KN7*15</f>
        <v/>
      </c>
      <c r="DT7" s="284">
        <f>$KN7*0</f>
        <v/>
      </c>
      <c r="DU7" s="38" t="n">
        <v>0</v>
      </c>
      <c r="DV7" s="284" t="n"/>
      <c r="DW7" s="338">
        <f t="array" ref="DW7">SUMPRODUCT(--(MOD(COLUMN($BO7:$DV7),5)=MOD(COLUMN($BO7),5)),$BO7:$DV7)</f>
        <v/>
      </c>
      <c r="DX7" s="339">
        <f>DW7*$J7</f>
        <v/>
      </c>
      <c r="DY7" s="344">
        <f t="array" ref="DY7">SUMPRODUCT(--(MOD(COLUMN($BO7:$DV7),5)=MOD(COLUMN($BP7),5)),$BO7:$DV7)</f>
        <v/>
      </c>
      <c r="DZ7" s="345">
        <f>DY7*$J7</f>
        <v/>
      </c>
      <c r="EA7" s="340">
        <f t="array" ref="EA7">SUMPRODUCT(--(MOD(COLUMN($BO7:$DV7),5)=MOD(COLUMN($BQ7),5)),$BO7:$DV7)</f>
        <v/>
      </c>
      <c r="EB7" s="341">
        <f>EA7*$J7</f>
        <v/>
      </c>
      <c r="EC7" s="342">
        <f t="array" ref="EC7">SUMPRODUCT(--(MOD(COLUMN($BO7:$DV7),5)=MOD(COLUMN($BR7),5)),$BO7:$DV7)</f>
        <v/>
      </c>
      <c r="ED7" s="343">
        <f>EC7*$J7</f>
        <v/>
      </c>
      <c r="EE7" s="36">
        <f>$KN7*8</f>
        <v/>
      </c>
      <c r="EF7" s="284" t="n">
        <v>8</v>
      </c>
      <c r="EG7" s="38" t="n">
        <v>0</v>
      </c>
      <c r="EH7" s="284" t="n"/>
      <c r="EI7" s="36">
        <f>$KN7*9</f>
        <v/>
      </c>
      <c r="EJ7" s="284" t="n">
        <v>50</v>
      </c>
      <c r="EK7" s="38" t="n">
        <v>0</v>
      </c>
      <c r="EL7" s="284" t="n"/>
      <c r="EM7" s="36">
        <f>$KN7*9</f>
        <v/>
      </c>
      <c r="EN7" s="284" t="n">
        <v>0</v>
      </c>
      <c r="EO7" s="38" t="n">
        <v>0</v>
      </c>
      <c r="EP7" s="284" t="n"/>
      <c r="EQ7" s="36">
        <f>$KN7*15</f>
        <v/>
      </c>
      <c r="ER7" s="284" t="n">
        <v>1</v>
      </c>
      <c r="ES7" s="38" t="n">
        <v>0</v>
      </c>
      <c r="ET7" s="284" t="n"/>
      <c r="EU7" s="36">
        <f>$KN7*15</f>
        <v/>
      </c>
      <c r="EV7" s="284" t="n">
        <v>0</v>
      </c>
      <c r="EW7" s="38" t="n">
        <v>0</v>
      </c>
      <c r="EX7" s="284" t="n"/>
      <c r="EY7" s="36">
        <f>$KN7*15</f>
        <v/>
      </c>
      <c r="EZ7" s="284" t="n">
        <v>45</v>
      </c>
      <c r="FA7" s="38" t="n">
        <v>0</v>
      </c>
      <c r="FB7" s="284" t="n"/>
      <c r="FC7" s="36">
        <f>$KN7*15</f>
        <v/>
      </c>
      <c r="FD7" s="284" t="n">
        <v>15</v>
      </c>
      <c r="FE7" s="38" t="n">
        <v>0</v>
      </c>
      <c r="FF7" s="284" t="n"/>
      <c r="FG7" s="36">
        <f>$KN7*15</f>
        <v/>
      </c>
      <c r="FH7" s="284" t="n">
        <v>15</v>
      </c>
      <c r="FI7" s="38" t="n">
        <v>0</v>
      </c>
      <c r="FJ7" s="284" t="n"/>
      <c r="FK7" s="36">
        <f>$KN7*15</f>
        <v/>
      </c>
      <c r="FL7" s="284" t="n">
        <v>15</v>
      </c>
      <c r="FM7" s="38" t="n">
        <v>0</v>
      </c>
      <c r="FN7" s="284" t="n"/>
      <c r="FO7" s="36">
        <f>$KN7*15</f>
        <v/>
      </c>
      <c r="FP7" s="284" t="n">
        <v>15</v>
      </c>
      <c r="FQ7" s="38" t="n">
        <v>0</v>
      </c>
      <c r="FR7" s="284" t="n"/>
      <c r="FS7" s="36">
        <f>$KN7*14</f>
        <v/>
      </c>
      <c r="FT7" s="284" t="n">
        <v>14</v>
      </c>
      <c r="FU7" s="38" t="n">
        <v>0</v>
      </c>
      <c r="FV7" s="284" t="n"/>
      <c r="FW7" s="36">
        <f>$KN7*10</f>
        <v/>
      </c>
      <c r="FX7" s="284" t="n">
        <v>10</v>
      </c>
      <c r="FY7" s="38" t="n">
        <v>0</v>
      </c>
      <c r="FZ7" s="284" t="n"/>
      <c r="GA7" s="338">
        <f>SUMPRODUCT(--(MOD(COLUMN($EE7:$FZ7),4)=MOD(COLUMN($EE7),4)),$EE7:$FZ7)</f>
        <v/>
      </c>
      <c r="GB7" s="339">
        <f>GA7*$J7</f>
        <v/>
      </c>
      <c r="GC7" s="340">
        <f>SUMPRODUCT(--(MOD(COLUMN($EE7:$FZ7),4)=MOD(COLUMN($EF7),4)),$EE7:$FZ7)</f>
        <v/>
      </c>
      <c r="GD7" s="341">
        <f>GC7*$J7</f>
        <v/>
      </c>
      <c r="GE7" s="342">
        <f>SUMPRODUCT(--(MOD(COLUMN($EE7:$FZ7),4)=MOD(COLUMN($EG7),4)),$EE7:$FZ7)</f>
        <v/>
      </c>
      <c r="GF7" s="343">
        <f>GE7*$J7</f>
        <v/>
      </c>
      <c r="GG7" s="36">
        <f>$KN7*10</f>
        <v/>
      </c>
      <c r="GH7" s="284" t="n"/>
      <c r="GI7" s="38" t="n">
        <v>0</v>
      </c>
      <c r="GJ7" s="284" t="n"/>
      <c r="GK7" s="36">
        <f>$KN7*10</f>
        <v/>
      </c>
      <c r="GL7" s="284" t="n"/>
      <c r="GM7" s="38" t="n">
        <v>0</v>
      </c>
      <c r="GN7" s="284" t="n"/>
      <c r="GO7" s="36">
        <f>$KN7*15</f>
        <v/>
      </c>
      <c r="GP7" s="284" t="n"/>
      <c r="GQ7" s="38" t="n">
        <v>0</v>
      </c>
      <c r="GR7" s="284" t="n"/>
      <c r="GS7" s="36">
        <f>$KN7*20</f>
        <v/>
      </c>
      <c r="GT7" s="284" t="n"/>
      <c r="GU7" s="38" t="n">
        <v>0</v>
      </c>
      <c r="GV7" s="284" t="n"/>
      <c r="GW7" s="36">
        <f>$KN7*20</f>
        <v/>
      </c>
      <c r="GX7" s="284" t="n"/>
      <c r="GY7" s="38" t="n">
        <v>0</v>
      </c>
      <c r="GZ7" s="284" t="n"/>
      <c r="HA7" s="36">
        <f>$KN7*20</f>
        <v/>
      </c>
      <c r="HB7" s="284" t="n"/>
      <c r="HC7" s="38" t="n">
        <v>0</v>
      </c>
      <c r="HD7" s="284" t="n"/>
      <c r="HE7" s="36">
        <f>$KN7*20</f>
        <v/>
      </c>
      <c r="HF7" s="284" t="n"/>
      <c r="HG7" s="38" t="n">
        <v>0</v>
      </c>
      <c r="HH7" s="284" t="n"/>
      <c r="HI7" s="36">
        <f>$KN7*20</f>
        <v/>
      </c>
      <c r="HJ7" s="284" t="n"/>
      <c r="HK7" s="38" t="n">
        <v>0</v>
      </c>
      <c r="HL7" s="284" t="n"/>
      <c r="HM7" s="36">
        <f>$KN7*20</f>
        <v/>
      </c>
      <c r="HN7" s="284" t="n"/>
      <c r="HO7" s="38" t="n">
        <v>0</v>
      </c>
      <c r="HP7" s="284" t="n"/>
      <c r="HQ7" s="36">
        <f>$KN7*20</f>
        <v/>
      </c>
      <c r="HR7" s="284" t="n"/>
      <c r="HS7" s="38" t="n">
        <v>0</v>
      </c>
      <c r="HT7" s="284" t="n"/>
      <c r="HU7" s="36">
        <f>$KN7*20</f>
        <v/>
      </c>
      <c r="HV7" s="284" t="n"/>
      <c r="HW7" s="38" t="n">
        <v>0</v>
      </c>
      <c r="HX7" s="284" t="n"/>
      <c r="HY7" s="36">
        <f>$KN7*20</f>
        <v/>
      </c>
      <c r="HZ7" s="284" t="n"/>
      <c r="IA7" s="38" t="n">
        <v>0</v>
      </c>
      <c r="IB7" s="284" t="n"/>
      <c r="IC7" s="338">
        <f t="array" ref="IC7">SUMPRODUCT(--(MOD(COLUMN($GG7:$IB7),4)=MOD(COLUMN($GG7),4)),$GG7:$IB7)</f>
        <v/>
      </c>
      <c r="ID7" s="339">
        <f>IC7*$J7</f>
        <v/>
      </c>
      <c r="IE7" s="340">
        <f t="array" ref="IE7">SUMPRODUCT(--(MOD(COLUMN($GG7:$IB7),4)=MOD(COLUMN($GH7),4)),$GG7:$IB7)</f>
        <v/>
      </c>
      <c r="IF7" s="341">
        <f>IE7*$J7</f>
        <v/>
      </c>
      <c r="IG7" s="342">
        <f t="array" ref="IG7">SUMPRODUCT(--(MOD(COLUMN($GG7:$IB7),4)=MOD(COLUMN($GI7),4)),$GG7:$IB7)</f>
        <v/>
      </c>
      <c r="IH7" s="343">
        <f>IG7*$J7</f>
        <v/>
      </c>
      <c r="II7" s="36">
        <f>$KN7*15</f>
        <v/>
      </c>
      <c r="IJ7" s="284" t="n"/>
      <c r="IK7" s="38" t="n">
        <v>0</v>
      </c>
      <c r="IL7" s="284" t="n"/>
      <c r="IM7" s="36">
        <f>$KN7*15</f>
        <v/>
      </c>
      <c r="IN7" s="284" t="n"/>
      <c r="IO7" s="38" t="n">
        <v>0</v>
      </c>
      <c r="IP7" s="284" t="n"/>
      <c r="IQ7" s="36">
        <f>$KN7*20</f>
        <v/>
      </c>
      <c r="IR7" s="284" t="n"/>
      <c r="IS7" s="38" t="n">
        <v>0</v>
      </c>
      <c r="IT7" s="284" t="n"/>
      <c r="IU7" s="36">
        <f>$KN7*25</f>
        <v/>
      </c>
      <c r="IV7" s="284" t="n"/>
      <c r="IW7" s="38" t="n">
        <v>0</v>
      </c>
      <c r="IX7" s="284" t="n"/>
      <c r="IY7" s="36">
        <f>$KN7*25</f>
        <v/>
      </c>
      <c r="IZ7" s="284" t="n"/>
      <c r="JA7" s="38" t="n">
        <v>0</v>
      </c>
      <c r="JB7" s="284" t="n"/>
      <c r="JC7" s="36">
        <f>$KN7*25</f>
        <v/>
      </c>
      <c r="JD7" s="284" t="n"/>
      <c r="JE7" s="38" t="n">
        <v>0</v>
      </c>
      <c r="JF7" s="284" t="n"/>
      <c r="JG7" s="36">
        <f>$KN7*30</f>
        <v/>
      </c>
      <c r="JH7" s="284" t="n"/>
      <c r="JI7" s="38" t="n">
        <v>0</v>
      </c>
      <c r="JJ7" s="284" t="n"/>
      <c r="JK7" s="36">
        <f>$KN7*30</f>
        <v/>
      </c>
      <c r="JL7" s="284" t="n"/>
      <c r="JM7" s="38" t="n">
        <v>0</v>
      </c>
      <c r="JN7" s="284" t="n"/>
      <c r="JO7" s="36">
        <f>$KN7*30</f>
        <v/>
      </c>
      <c r="JP7" s="284" t="n"/>
      <c r="JQ7" s="38" t="n">
        <v>0</v>
      </c>
      <c r="JR7" s="284" t="n"/>
      <c r="JS7" s="36">
        <f>$KN7*30</f>
        <v/>
      </c>
      <c r="JT7" s="284" t="n"/>
      <c r="JU7" s="38" t="n">
        <v>0</v>
      </c>
      <c r="JV7" s="284" t="n"/>
      <c r="JW7" s="36">
        <f>$KN7*30</f>
        <v/>
      </c>
      <c r="JX7" s="284" t="n"/>
      <c r="JY7" s="38" t="n">
        <v>0</v>
      </c>
      <c r="JZ7" s="284" t="n"/>
      <c r="KA7" s="36" t="n">
        <v>30</v>
      </c>
      <c r="KB7" s="284" t="n"/>
      <c r="KC7" s="38" t="n">
        <v>0</v>
      </c>
      <c r="KD7" s="284" t="n"/>
      <c r="KE7" s="338">
        <f t="array" ref="KE7">SUMPRODUCT(--(MOD(COLUMN($II7:$KD7),4)=MOD(COLUMN($II7),4)),$II7:$KD7)</f>
        <v/>
      </c>
      <c r="KF7" s="339">
        <f>KE7*$J7</f>
        <v/>
      </c>
      <c r="KG7" s="340">
        <f t="array" ref="KG7">SUMPRODUCT(--(MOD(COLUMN($II7:$KD7),4)=MOD(COLUMN($IJ7),4)),$II7:$KD7)</f>
        <v/>
      </c>
      <c r="KH7" s="341">
        <f>KG7*$J7</f>
        <v/>
      </c>
      <c r="KI7" s="342">
        <f t="array" ref="KI7">SUMPRODUCT(--(MOD(COLUMN($II7:$KD7),4)=MOD(COLUMN($IK7),4)),$II7:$KD7)</f>
        <v/>
      </c>
      <c r="KJ7" s="346">
        <f>KI7*$J7</f>
        <v/>
      </c>
      <c r="KK7" s="12" t="n"/>
      <c r="KL7" s="12" t="n"/>
      <c r="KM7" s="12" t="n"/>
      <c r="KN7" s="51" t="n">
        <v>1</v>
      </c>
      <c r="KO7" s="347" t="n"/>
    </row>
    <row r="8" outlineLevel="1" ht="43.2" customHeight="1">
      <c r="A8" s="347" t="n"/>
      <c r="B8" s="347" t="n"/>
      <c r="C8" s="347" t="n"/>
      <c r="D8" s="347" t="n"/>
      <c r="E8" s="15" t="n">
        <v>3</v>
      </c>
      <c r="F8" s="15" t="n">
        <v>1</v>
      </c>
      <c r="G8" s="33" t="n">
        <v>9710029000</v>
      </c>
      <c r="H8" s="34" t="inlineStr">
        <is>
          <t>Воздухораспределитель с клапаном растормаживания</t>
        </is>
      </c>
      <c r="I8" s="337">
        <f>639/1.2</f>
        <v/>
      </c>
      <c r="J8" s="337">
        <f>639/1.2</f>
        <v/>
      </c>
      <c r="K8" s="337" t="n"/>
      <c r="L8" s="337" t="n"/>
      <c r="M8" s="36" t="n">
        <v>102</v>
      </c>
      <c r="N8" s="284" t="n">
        <v>102</v>
      </c>
      <c r="O8" s="38" t="n">
        <v>0</v>
      </c>
      <c r="P8" s="284" t="n"/>
      <c r="Q8" s="36" t="n">
        <v>50</v>
      </c>
      <c r="R8" s="284" t="n">
        <v>32</v>
      </c>
      <c r="S8" s="38" t="n">
        <v>32</v>
      </c>
      <c r="T8" s="347" t="n"/>
      <c r="U8" s="36" t="n">
        <v>0</v>
      </c>
      <c r="V8" s="284" t="n">
        <v>50</v>
      </c>
      <c r="W8" s="38" t="n">
        <v>50</v>
      </c>
      <c r="X8" s="347" t="n"/>
      <c r="Y8" s="36" t="n">
        <v>40</v>
      </c>
      <c r="Z8" s="284" t="n">
        <v>50</v>
      </c>
      <c r="AA8" s="38" t="n">
        <v>50</v>
      </c>
      <c r="AB8" s="347" t="n"/>
      <c r="AC8" s="36" t="n">
        <v>40</v>
      </c>
      <c r="AD8" s="284" t="n">
        <v>40</v>
      </c>
      <c r="AE8" s="38" t="n">
        <v>0</v>
      </c>
      <c r="AF8" s="284" t="n"/>
      <c r="AG8" s="36" t="n">
        <v>40</v>
      </c>
      <c r="AH8" s="39" t="n">
        <v>25</v>
      </c>
      <c r="AI8" s="38" t="n">
        <v>25</v>
      </c>
      <c r="AJ8" s="347" t="n"/>
      <c r="AK8" s="36" t="n">
        <v>40</v>
      </c>
      <c r="AL8" s="284" t="n">
        <v>25</v>
      </c>
      <c r="AM8" s="38" t="n">
        <v>25</v>
      </c>
      <c r="AN8" s="347" t="n"/>
      <c r="AO8" s="36" t="n">
        <v>40</v>
      </c>
      <c r="AP8" s="284" t="n">
        <v>0</v>
      </c>
      <c r="AQ8" s="38" t="n">
        <v>0</v>
      </c>
      <c r="AR8" s="347" t="n"/>
      <c r="AS8" s="36" t="n">
        <v>40</v>
      </c>
      <c r="AT8" s="284" t="n">
        <v>0</v>
      </c>
      <c r="AU8" s="38" t="n">
        <v>0</v>
      </c>
      <c r="AV8" s="347" t="n"/>
      <c r="AW8" s="36" t="n">
        <v>40</v>
      </c>
      <c r="AX8" s="284" t="n">
        <v>0</v>
      </c>
      <c r="AY8" s="54" t="n">
        <v>0</v>
      </c>
      <c r="AZ8" s="347" t="n"/>
      <c r="BA8" s="36" t="n">
        <v>40</v>
      </c>
      <c r="BB8" s="284" t="n">
        <v>0</v>
      </c>
      <c r="BC8" s="38" t="n">
        <v>0</v>
      </c>
      <c r="BD8" s="347" t="n"/>
      <c r="BE8" s="36" t="n">
        <v>40</v>
      </c>
      <c r="BF8" s="284">
        <f>$KN8*0</f>
        <v/>
      </c>
      <c r="BG8" s="38" t="n">
        <v>0</v>
      </c>
      <c r="BH8" s="347" t="n"/>
      <c r="BI8" s="338">
        <f>SUMPRODUCT(--(MOD(COLUMN($M8:$BH8),4)=MOD(COLUMN($M8),4)),$M8:$BH8)</f>
        <v/>
      </c>
      <c r="BJ8" s="339">
        <f>BI8*$I8</f>
        <v/>
      </c>
      <c r="BK8" s="340">
        <f>SUMPRODUCT(--(MOD(COLUMN($M8:$BH8),4)=MOD(COLUMN($M8)+1,4)),$M8:$BH8)</f>
        <v/>
      </c>
      <c r="BL8" s="341">
        <f>BK8*$I8</f>
        <v/>
      </c>
      <c r="BM8" s="342">
        <f>SUMPRODUCT(--(MOD(COLUMN($M8:$BH8),4)=MOD(COLUMN($M8)+2,4)),$M8:$BH8)</f>
        <v/>
      </c>
      <c r="BN8" s="343">
        <f>BM8*$I8</f>
        <v/>
      </c>
      <c r="BO8" s="36">
        <f>$KN8*0</f>
        <v/>
      </c>
      <c r="BP8" s="47">
        <f>$KN8*0</f>
        <v/>
      </c>
      <c r="BQ8" s="284">
        <f>$KN8*0</f>
        <v/>
      </c>
      <c r="BR8" s="38" t="n">
        <v>0</v>
      </c>
      <c r="BS8" s="284" t="n"/>
      <c r="BT8" s="36">
        <f>$KN8*5</f>
        <v/>
      </c>
      <c r="BU8" s="47">
        <f>$KN8*0</f>
        <v/>
      </c>
      <c r="BV8" s="284">
        <f>$KN8*0</f>
        <v/>
      </c>
      <c r="BW8" s="38" t="n">
        <v>0</v>
      </c>
      <c r="BX8" s="284" t="n"/>
      <c r="BY8" s="36">
        <f>$KN8*15</f>
        <v/>
      </c>
      <c r="BZ8" s="47">
        <f>$KN8*15</f>
        <v/>
      </c>
      <c r="CA8" s="284">
        <f>$KN8*0</f>
        <v/>
      </c>
      <c r="CB8" s="38" t="n">
        <v>0</v>
      </c>
      <c r="CC8" s="284" t="n"/>
      <c r="CD8" s="36">
        <f>$KN8*15</f>
        <v/>
      </c>
      <c r="CE8" s="47">
        <f>$KN8*15</f>
        <v/>
      </c>
      <c r="CF8" s="284">
        <f>$KN8*0</f>
        <v/>
      </c>
      <c r="CG8" s="38" t="n">
        <v>0</v>
      </c>
      <c r="CH8" s="284" t="n"/>
      <c r="CI8" s="36">
        <f>$KN8*15</f>
        <v/>
      </c>
      <c r="CJ8" s="47">
        <f>$KN8*15</f>
        <v/>
      </c>
      <c r="CK8" s="284">
        <f>$KN8*0</f>
        <v/>
      </c>
      <c r="CL8" s="38" t="n">
        <v>0</v>
      </c>
      <c r="CM8" s="284" t="n"/>
      <c r="CN8" s="36">
        <f>$KN8*15</f>
        <v/>
      </c>
      <c r="CO8" s="47">
        <f>$KN8*15</f>
        <v/>
      </c>
      <c r="CP8" s="284">
        <f>$KN8*0</f>
        <v/>
      </c>
      <c r="CQ8" s="38" t="n">
        <v>0</v>
      </c>
      <c r="CR8" s="284" t="n"/>
      <c r="CS8" s="36">
        <f>$KN8*15</f>
        <v/>
      </c>
      <c r="CT8" s="47">
        <f>$KN8*15</f>
        <v/>
      </c>
      <c r="CU8" s="284">
        <f>$KN8*0</f>
        <v/>
      </c>
      <c r="CV8" s="38" t="n">
        <v>0</v>
      </c>
      <c r="CW8" s="284" t="n"/>
      <c r="CX8" s="36">
        <f>$KN8*15</f>
        <v/>
      </c>
      <c r="CY8" s="47">
        <f>$KN8*15</f>
        <v/>
      </c>
      <c r="CZ8" s="39">
        <f>$KN8*0</f>
        <v/>
      </c>
      <c r="DA8" s="38" t="n">
        <v>0</v>
      </c>
      <c r="DB8" s="284" t="n"/>
      <c r="DC8" s="36">
        <f>$KN8*15</f>
        <v/>
      </c>
      <c r="DD8" s="47">
        <f>$KN8*15</f>
        <v/>
      </c>
      <c r="DE8" s="39">
        <f>$KN8*0</f>
        <v/>
      </c>
      <c r="DF8" s="38" t="n">
        <v>0</v>
      </c>
      <c r="DG8" s="284" t="n"/>
      <c r="DH8" s="36">
        <f>$KN8*15</f>
        <v/>
      </c>
      <c r="DI8" s="47">
        <f>$KN8*15</f>
        <v/>
      </c>
      <c r="DJ8" s="284">
        <f>$KN8*0</f>
        <v/>
      </c>
      <c r="DK8" s="38" t="n">
        <v>0</v>
      </c>
      <c r="DL8" s="284" t="n"/>
      <c r="DM8" s="36">
        <f>$KN8*15</f>
        <v/>
      </c>
      <c r="DN8" s="47">
        <f>$KN8*15</f>
        <v/>
      </c>
      <c r="DO8" s="284">
        <f>$KN8*0</f>
        <v/>
      </c>
      <c r="DP8" s="38" t="n">
        <v>0</v>
      </c>
      <c r="DQ8" s="284" t="n"/>
      <c r="DR8" s="36">
        <f>$KN8*15</f>
        <v/>
      </c>
      <c r="DS8" s="47">
        <f>$KN8*15</f>
        <v/>
      </c>
      <c r="DT8" s="284">
        <f>$KN8*0</f>
        <v/>
      </c>
      <c r="DU8" s="38" t="n">
        <v>0</v>
      </c>
      <c r="DV8" s="284" t="n"/>
      <c r="DW8" s="338">
        <f t="array" ref="DW8">SUMPRODUCT(--(MOD(COLUMN($BO8:$DV8),5)=MOD(COLUMN($BO8),5)),$BO8:$DV8)</f>
        <v/>
      </c>
      <c r="DX8" s="339">
        <f>DW8*$J8</f>
        <v/>
      </c>
      <c r="DY8" s="344">
        <f t="array" ref="DY8">SUMPRODUCT(--(MOD(COLUMN($BO8:$DV8),5)=MOD(COLUMN($BP8),5)),$BO8:$DV8)</f>
        <v/>
      </c>
      <c r="DZ8" s="345">
        <f>DY8*$J8</f>
        <v/>
      </c>
      <c r="EA8" s="340">
        <f t="array" ref="EA8">SUMPRODUCT(--(MOD(COLUMN($BO8:$DV8),5)=MOD(COLUMN($BQ8),5)),$BO8:$DV8)</f>
        <v/>
      </c>
      <c r="EB8" s="341">
        <f>EA8*$J8</f>
        <v/>
      </c>
      <c r="EC8" s="342">
        <f t="array" ref="EC8">SUMPRODUCT(--(MOD(COLUMN($BO8:$DV8),5)=MOD(COLUMN($BR8),5)),$BO8:$DV8)</f>
        <v/>
      </c>
      <c r="ED8" s="343">
        <f>EC8*$J8</f>
        <v/>
      </c>
      <c r="EE8" s="36">
        <f>$KN8*8</f>
        <v/>
      </c>
      <c r="EF8" s="284" t="n">
        <v>8</v>
      </c>
      <c r="EG8" s="38" t="n">
        <v>0</v>
      </c>
      <c r="EH8" s="284" t="n"/>
      <c r="EI8" s="36">
        <f>$KN8*9</f>
        <v/>
      </c>
      <c r="EJ8" s="284" t="n">
        <v>50</v>
      </c>
      <c r="EK8" s="38" t="n">
        <v>0</v>
      </c>
      <c r="EL8" s="284" t="n"/>
      <c r="EM8" s="36">
        <f>$KN8*9</f>
        <v/>
      </c>
      <c r="EN8" s="284" t="n">
        <v>0</v>
      </c>
      <c r="EO8" s="38" t="n">
        <v>0</v>
      </c>
      <c r="EP8" s="284" t="n"/>
      <c r="EQ8" s="36">
        <f>$KN8*15</f>
        <v/>
      </c>
      <c r="ER8" s="284" t="n">
        <v>1</v>
      </c>
      <c r="ES8" s="38" t="n">
        <v>0</v>
      </c>
      <c r="ET8" s="284" t="n"/>
      <c r="EU8" s="36">
        <f>$KN8*15</f>
        <v/>
      </c>
      <c r="EV8" s="284" t="n">
        <v>0</v>
      </c>
      <c r="EW8" s="38" t="n">
        <v>0</v>
      </c>
      <c r="EX8" s="284" t="n"/>
      <c r="EY8" s="36">
        <f>$KN8*15</f>
        <v/>
      </c>
      <c r="EZ8" s="284" t="n">
        <v>45</v>
      </c>
      <c r="FA8" s="38" t="n">
        <v>0</v>
      </c>
      <c r="FB8" s="284" t="n"/>
      <c r="FC8" s="36">
        <f>$KN8*15</f>
        <v/>
      </c>
      <c r="FD8" s="284" t="n">
        <v>15</v>
      </c>
      <c r="FE8" s="38" t="n">
        <v>0</v>
      </c>
      <c r="FF8" s="284" t="n"/>
      <c r="FG8" s="36">
        <f>$KN8*15</f>
        <v/>
      </c>
      <c r="FH8" s="284" t="n">
        <v>15</v>
      </c>
      <c r="FI8" s="38" t="n">
        <v>0</v>
      </c>
      <c r="FJ8" s="284" t="n"/>
      <c r="FK8" s="36">
        <f>$KN8*15</f>
        <v/>
      </c>
      <c r="FL8" s="284" t="n">
        <v>15</v>
      </c>
      <c r="FM8" s="38" t="n">
        <v>0</v>
      </c>
      <c r="FN8" s="284" t="n"/>
      <c r="FO8" s="36">
        <f>$KN8*15</f>
        <v/>
      </c>
      <c r="FP8" s="284" t="n">
        <v>15</v>
      </c>
      <c r="FQ8" s="38" t="n">
        <v>0</v>
      </c>
      <c r="FR8" s="284" t="n"/>
      <c r="FS8" s="36">
        <f>$KN8*14</f>
        <v/>
      </c>
      <c r="FT8" s="284" t="n">
        <v>14</v>
      </c>
      <c r="FU8" s="38" t="n">
        <v>0</v>
      </c>
      <c r="FV8" s="284" t="n"/>
      <c r="FW8" s="36">
        <f>$KN8*10</f>
        <v/>
      </c>
      <c r="FX8" s="284" t="n">
        <v>10</v>
      </c>
      <c r="FY8" s="38" t="n">
        <v>0</v>
      </c>
      <c r="FZ8" s="284" t="n"/>
      <c r="GA8" s="338">
        <f>SUMPRODUCT(--(MOD(COLUMN($EE8:$FZ8),4)=MOD(COLUMN($EE8),4)),$EE8:$FZ8)</f>
        <v/>
      </c>
      <c r="GB8" s="339">
        <f>GA8*$J8</f>
        <v/>
      </c>
      <c r="GC8" s="340">
        <f>SUMPRODUCT(--(MOD(COLUMN($EE8:$FZ8),4)=MOD(COLUMN($EF8),4)),$EE8:$FZ8)</f>
        <v/>
      </c>
      <c r="GD8" s="341">
        <f>GC8*$J8</f>
        <v/>
      </c>
      <c r="GE8" s="342">
        <f>SUMPRODUCT(--(MOD(COLUMN($EE8:$FZ8),4)=MOD(COLUMN($EG8),4)),$EE8:$FZ8)</f>
        <v/>
      </c>
      <c r="GF8" s="343">
        <f>GE8*$J8</f>
        <v/>
      </c>
      <c r="GG8" s="36">
        <f>$KN8*10</f>
        <v/>
      </c>
      <c r="GH8" s="284" t="n"/>
      <c r="GI8" s="38" t="n">
        <v>0</v>
      </c>
      <c r="GJ8" s="284" t="n"/>
      <c r="GK8" s="36">
        <f>$KN8*10</f>
        <v/>
      </c>
      <c r="GL8" s="284" t="n"/>
      <c r="GM8" s="38" t="n">
        <v>0</v>
      </c>
      <c r="GN8" s="284" t="n"/>
      <c r="GO8" s="36">
        <f>$KN8*15</f>
        <v/>
      </c>
      <c r="GP8" s="284" t="n"/>
      <c r="GQ8" s="38" t="n">
        <v>0</v>
      </c>
      <c r="GR8" s="284" t="n"/>
      <c r="GS8" s="36">
        <f>$KN8*20</f>
        <v/>
      </c>
      <c r="GT8" s="284" t="n"/>
      <c r="GU8" s="38" t="n">
        <v>0</v>
      </c>
      <c r="GV8" s="284" t="n"/>
      <c r="GW8" s="36">
        <f>$KN8*20</f>
        <v/>
      </c>
      <c r="GX8" s="284" t="n"/>
      <c r="GY8" s="38" t="n">
        <v>0</v>
      </c>
      <c r="GZ8" s="284" t="n"/>
      <c r="HA8" s="36">
        <f>$KN8*20</f>
        <v/>
      </c>
      <c r="HB8" s="284" t="n"/>
      <c r="HC8" s="38" t="n">
        <v>0</v>
      </c>
      <c r="HD8" s="284" t="n"/>
      <c r="HE8" s="36">
        <f>$KN8*20</f>
        <v/>
      </c>
      <c r="HF8" s="284" t="n"/>
      <c r="HG8" s="38" t="n">
        <v>0</v>
      </c>
      <c r="HH8" s="284" t="n"/>
      <c r="HI8" s="36">
        <f>$KN8*20</f>
        <v/>
      </c>
      <c r="HJ8" s="284" t="n"/>
      <c r="HK8" s="38" t="n">
        <v>0</v>
      </c>
      <c r="HL8" s="284" t="n"/>
      <c r="HM8" s="36">
        <f>$KN8*20</f>
        <v/>
      </c>
      <c r="HN8" s="284" t="n"/>
      <c r="HO8" s="38" t="n">
        <v>0</v>
      </c>
      <c r="HP8" s="284" t="n"/>
      <c r="HQ8" s="36">
        <f>$KN8*20</f>
        <v/>
      </c>
      <c r="HR8" s="284" t="n"/>
      <c r="HS8" s="38" t="n">
        <v>0</v>
      </c>
      <c r="HT8" s="284" t="n"/>
      <c r="HU8" s="36">
        <f>$KN8*20</f>
        <v/>
      </c>
      <c r="HV8" s="284" t="n"/>
      <c r="HW8" s="38" t="n">
        <v>0</v>
      </c>
      <c r="HX8" s="284" t="n"/>
      <c r="HY8" s="36">
        <f>$KN8*20</f>
        <v/>
      </c>
      <c r="HZ8" s="284" t="n"/>
      <c r="IA8" s="38" t="n">
        <v>0</v>
      </c>
      <c r="IB8" s="284" t="n"/>
      <c r="IC8" s="338">
        <f t="array" ref="IC8">SUMPRODUCT(--(MOD(COLUMN($GG8:$IB8),4)=MOD(COLUMN($GG8),4)),$GG8:$IB8)</f>
        <v/>
      </c>
      <c r="ID8" s="339">
        <f>IC8*$J8</f>
        <v/>
      </c>
      <c r="IE8" s="340">
        <f t="array" ref="IE8">SUMPRODUCT(--(MOD(COLUMN($GG8:$IB8),4)=MOD(COLUMN($GH8),4)),$GG8:$IB8)</f>
        <v/>
      </c>
      <c r="IF8" s="341">
        <f>IE8*$J8</f>
        <v/>
      </c>
      <c r="IG8" s="342">
        <f t="array" ref="IG8">SUMPRODUCT(--(MOD(COLUMN($GG8:$IB8),4)=MOD(COLUMN($GI8),4)),$GG8:$IB8)</f>
        <v/>
      </c>
      <c r="IH8" s="343">
        <f>IG8*$J8</f>
        <v/>
      </c>
      <c r="II8" s="36">
        <f>$KN8*15</f>
        <v/>
      </c>
      <c r="IJ8" s="284" t="n"/>
      <c r="IK8" s="38" t="n">
        <v>0</v>
      </c>
      <c r="IL8" s="284" t="n"/>
      <c r="IM8" s="36">
        <f>$KN8*15</f>
        <v/>
      </c>
      <c r="IN8" s="284" t="n"/>
      <c r="IO8" s="38" t="n">
        <v>0</v>
      </c>
      <c r="IP8" s="284" t="n"/>
      <c r="IQ8" s="36">
        <f>$KN8*20</f>
        <v/>
      </c>
      <c r="IR8" s="284" t="n"/>
      <c r="IS8" s="38" t="n">
        <v>0</v>
      </c>
      <c r="IT8" s="284" t="n"/>
      <c r="IU8" s="36">
        <f>$KN8*25</f>
        <v/>
      </c>
      <c r="IV8" s="284" t="n"/>
      <c r="IW8" s="38" t="n">
        <v>0</v>
      </c>
      <c r="IX8" s="284" t="n"/>
      <c r="IY8" s="36">
        <f>$KN8*25</f>
        <v/>
      </c>
      <c r="IZ8" s="284" t="n"/>
      <c r="JA8" s="38" t="n">
        <v>0</v>
      </c>
      <c r="JB8" s="284" t="n"/>
      <c r="JC8" s="36">
        <f>$KN8*25</f>
        <v/>
      </c>
      <c r="JD8" s="284" t="n"/>
      <c r="JE8" s="38" t="n">
        <v>0</v>
      </c>
      <c r="JF8" s="284" t="n"/>
      <c r="JG8" s="36">
        <f>$KN8*30</f>
        <v/>
      </c>
      <c r="JH8" s="284" t="n"/>
      <c r="JI8" s="38" t="n">
        <v>0</v>
      </c>
      <c r="JJ8" s="284" t="n"/>
      <c r="JK8" s="36">
        <f>$KN8*30</f>
        <v/>
      </c>
      <c r="JL8" s="284" t="n"/>
      <c r="JM8" s="38" t="n">
        <v>0</v>
      </c>
      <c r="JN8" s="284" t="n"/>
      <c r="JO8" s="36">
        <f>$KN8*30</f>
        <v/>
      </c>
      <c r="JP8" s="284" t="n"/>
      <c r="JQ8" s="38" t="n">
        <v>0</v>
      </c>
      <c r="JR8" s="284" t="n"/>
      <c r="JS8" s="36">
        <f>$KN8*30</f>
        <v/>
      </c>
      <c r="JT8" s="284" t="n"/>
      <c r="JU8" s="38" t="n">
        <v>0</v>
      </c>
      <c r="JV8" s="284" t="n"/>
      <c r="JW8" s="36">
        <f>$KN8*30</f>
        <v/>
      </c>
      <c r="JX8" s="284" t="n"/>
      <c r="JY8" s="38" t="n">
        <v>0</v>
      </c>
      <c r="JZ8" s="284" t="n"/>
      <c r="KA8" s="36" t="n">
        <v>30</v>
      </c>
      <c r="KB8" s="284" t="n"/>
      <c r="KC8" s="38" t="n">
        <v>0</v>
      </c>
      <c r="KD8" s="284" t="n"/>
      <c r="KE8" s="338">
        <f t="array" ref="KE8">SUMPRODUCT(--(MOD(COLUMN($II8:$KD8),4)=MOD(COLUMN($II8),4)),$II8:$KD8)</f>
        <v/>
      </c>
      <c r="KF8" s="339">
        <f>KE8*$J8</f>
        <v/>
      </c>
      <c r="KG8" s="340">
        <f t="array" ref="KG8">SUMPRODUCT(--(MOD(COLUMN($II8:$KD8),4)=MOD(COLUMN($IJ8),4)),$II8:$KD8)</f>
        <v/>
      </c>
      <c r="KH8" s="341">
        <f>KG8*$J8</f>
        <v/>
      </c>
      <c r="KI8" s="342">
        <f t="array" ref="KI8">SUMPRODUCT(--(MOD(COLUMN($II8:$KD8),4)=MOD(COLUMN($IK8),4)),$II8:$KD8)</f>
        <v/>
      </c>
      <c r="KJ8" s="346">
        <f>KI8*$J8</f>
        <v/>
      </c>
      <c r="KK8" s="12" t="n"/>
      <c r="KL8" s="12" t="n"/>
      <c r="KM8" s="12" t="n"/>
      <c r="KN8" s="51" t="n">
        <v>1</v>
      </c>
      <c r="KO8" s="347" t="n"/>
    </row>
    <row r="9" outlineLevel="1" ht="28.8" customHeight="1">
      <c r="A9" s="347" t="n"/>
      <c r="B9" s="347" t="n"/>
      <c r="C9" s="347" t="n"/>
      <c r="D9" s="347" t="n"/>
      <c r="E9" s="15" t="n">
        <v>4</v>
      </c>
      <c r="F9" s="15" t="n">
        <v>1</v>
      </c>
      <c r="G9" s="33" t="n">
        <v>4801020640</v>
      </c>
      <c r="H9" s="34" t="inlineStr">
        <is>
          <t>Модулятор EBS, с PEM, без фит.</t>
        </is>
      </c>
      <c r="I9" s="348">
        <f>4169.1/1.2*1.048</f>
        <v/>
      </c>
      <c r="J9" s="337">
        <f>4169/1.2*1.048*1.05</f>
        <v/>
      </c>
      <c r="K9" s="348" t="n"/>
      <c r="L9" s="348" t="n"/>
      <c r="M9" s="36" t="n">
        <v>102</v>
      </c>
      <c r="N9" s="284" t="n">
        <v>102</v>
      </c>
      <c r="O9" s="38" t="n">
        <v>0</v>
      </c>
      <c r="P9" s="284" t="n"/>
      <c r="Q9" s="36" t="n">
        <v>50</v>
      </c>
      <c r="R9" s="284" t="n">
        <v>32</v>
      </c>
      <c r="S9" s="38" t="n">
        <v>32</v>
      </c>
      <c r="T9" s="347" t="n"/>
      <c r="U9" s="36" t="n">
        <v>0</v>
      </c>
      <c r="V9" s="284" t="n">
        <v>50</v>
      </c>
      <c r="W9" s="38" t="n">
        <v>50</v>
      </c>
      <c r="X9" s="347" t="n"/>
      <c r="Y9" s="36" t="n">
        <v>40</v>
      </c>
      <c r="Z9" s="284" t="n">
        <v>50</v>
      </c>
      <c r="AA9" s="38" t="n">
        <v>50</v>
      </c>
      <c r="AB9" s="347" t="n"/>
      <c r="AC9" s="36" t="n">
        <v>40</v>
      </c>
      <c r="AD9" s="284" t="n">
        <v>40</v>
      </c>
      <c r="AE9" s="38" t="n">
        <v>0</v>
      </c>
      <c r="AF9" s="284" t="n"/>
      <c r="AG9" s="36" t="n">
        <v>40</v>
      </c>
      <c r="AH9" s="39" t="n">
        <v>25</v>
      </c>
      <c r="AI9" s="52" t="n">
        <v>25</v>
      </c>
      <c r="AJ9" s="347" t="n"/>
      <c r="AK9" s="36" t="n">
        <v>40</v>
      </c>
      <c r="AL9" s="284" t="n">
        <v>25</v>
      </c>
      <c r="AM9" s="52" t="n">
        <v>25</v>
      </c>
      <c r="AN9" s="347" t="n"/>
      <c r="AO9" s="36" t="n">
        <v>40</v>
      </c>
      <c r="AP9" s="284" t="n">
        <v>0</v>
      </c>
      <c r="AQ9" s="38" t="n">
        <v>0</v>
      </c>
      <c r="AR9" s="347" t="n"/>
      <c r="AS9" s="36" t="n">
        <v>40</v>
      </c>
      <c r="AT9" s="284" t="n">
        <v>0</v>
      </c>
      <c r="AU9" s="38" t="n">
        <v>0</v>
      </c>
      <c r="AV9" s="347" t="n"/>
      <c r="AW9" s="36" t="n">
        <v>40</v>
      </c>
      <c r="AX9" s="284" t="n">
        <v>0</v>
      </c>
      <c r="AY9" s="54" t="n">
        <v>0</v>
      </c>
      <c r="AZ9" s="347" t="n"/>
      <c r="BA9" s="36" t="n">
        <v>40</v>
      </c>
      <c r="BB9" s="284" t="n">
        <v>0</v>
      </c>
      <c r="BC9" s="52" t="n">
        <v>0</v>
      </c>
      <c r="BD9" s="347" t="n"/>
      <c r="BE9" s="36" t="n">
        <v>40</v>
      </c>
      <c r="BF9" s="284">
        <f>$KN9*0</f>
        <v/>
      </c>
      <c r="BG9" s="38" t="n">
        <v>0</v>
      </c>
      <c r="BH9" s="347" t="n"/>
      <c r="BI9" s="338">
        <f>SUMPRODUCT(--(MOD(COLUMN($M9:$BH9),4)=MOD(COLUMN($M9),4)),$M9:$BH9)</f>
        <v/>
      </c>
      <c r="BJ9" s="339">
        <f>BI9*$I9</f>
        <v/>
      </c>
      <c r="BK9" s="340">
        <f>SUMPRODUCT(--(MOD(COLUMN($M9:$BH9),4)=MOD(COLUMN($M9)+1,4)),$M9:$BH9)</f>
        <v/>
      </c>
      <c r="BL9" s="341">
        <f>BK9*$I9</f>
        <v/>
      </c>
      <c r="BM9" s="342">
        <f>SUMPRODUCT(--(MOD(COLUMN($M9:$BH9),4)=MOD(COLUMN($M9)+2,4)),$M9:$BH9)</f>
        <v/>
      </c>
      <c r="BN9" s="343">
        <f>BM9*$I9</f>
        <v/>
      </c>
      <c r="BO9" s="36">
        <f>$KN9*0</f>
        <v/>
      </c>
      <c r="BP9" s="47">
        <f>$KN9*0</f>
        <v/>
      </c>
      <c r="BQ9" s="284">
        <f>$KN9*0</f>
        <v/>
      </c>
      <c r="BR9" s="52" t="n">
        <v>0</v>
      </c>
      <c r="BS9" s="284" t="n"/>
      <c r="BT9" s="36">
        <f>$KN9*5</f>
        <v/>
      </c>
      <c r="BU9" s="47">
        <f>$KN9*0</f>
        <v/>
      </c>
      <c r="BV9" s="284">
        <f>$KN9*0</f>
        <v/>
      </c>
      <c r="BW9" s="38" t="n">
        <v>0</v>
      </c>
      <c r="BX9" s="284" t="n"/>
      <c r="BY9" s="36">
        <f>$KN9*15</f>
        <v/>
      </c>
      <c r="BZ9" s="47">
        <f>$KN9*15</f>
        <v/>
      </c>
      <c r="CA9" s="284">
        <f>$KN9*0</f>
        <v/>
      </c>
      <c r="CB9" s="38" t="n">
        <v>0</v>
      </c>
      <c r="CC9" s="284" t="n"/>
      <c r="CD9" s="36">
        <f>$KN9*15</f>
        <v/>
      </c>
      <c r="CE9" s="47">
        <f>$KN9*15</f>
        <v/>
      </c>
      <c r="CF9" s="284">
        <f>$KN9*0</f>
        <v/>
      </c>
      <c r="CG9" s="38" t="n">
        <v>0</v>
      </c>
      <c r="CH9" s="284" t="n"/>
      <c r="CI9" s="36">
        <f>$KN9*15</f>
        <v/>
      </c>
      <c r="CJ9" s="47">
        <f>$KN9*15</f>
        <v/>
      </c>
      <c r="CK9" s="284">
        <f>$KN9*0</f>
        <v/>
      </c>
      <c r="CL9" s="38" t="n">
        <v>0</v>
      </c>
      <c r="CM9" s="284" t="n"/>
      <c r="CN9" s="36">
        <f>$KN9*15</f>
        <v/>
      </c>
      <c r="CO9" s="47">
        <f>$KN9*15</f>
        <v/>
      </c>
      <c r="CP9" s="284">
        <f>$KN9*0</f>
        <v/>
      </c>
      <c r="CQ9" s="38" t="n">
        <v>0</v>
      </c>
      <c r="CR9" s="284" t="n"/>
      <c r="CS9" s="36">
        <f>$KN9*15</f>
        <v/>
      </c>
      <c r="CT9" s="47">
        <f>$KN9*15</f>
        <v/>
      </c>
      <c r="CU9" s="284">
        <f>$KN9*0</f>
        <v/>
      </c>
      <c r="CV9" s="38" t="n">
        <v>0</v>
      </c>
      <c r="CW9" s="284" t="n"/>
      <c r="CX9" s="36">
        <f>$KN9*15</f>
        <v/>
      </c>
      <c r="CY9" s="47">
        <f>$KN9*15</f>
        <v/>
      </c>
      <c r="CZ9" s="39">
        <f>$KN9*0</f>
        <v/>
      </c>
      <c r="DA9" s="38" t="n">
        <v>0</v>
      </c>
      <c r="DB9" s="284" t="n"/>
      <c r="DC9" s="36">
        <f>$KN9*15</f>
        <v/>
      </c>
      <c r="DD9" s="47">
        <f>$KN9*15</f>
        <v/>
      </c>
      <c r="DE9" s="39">
        <f>$KN9*0</f>
        <v/>
      </c>
      <c r="DF9" s="38" t="n">
        <v>0</v>
      </c>
      <c r="DG9" s="284" t="n"/>
      <c r="DH9" s="36">
        <f>$KN9*15</f>
        <v/>
      </c>
      <c r="DI9" s="47">
        <f>$KN9*15</f>
        <v/>
      </c>
      <c r="DJ9" s="284">
        <f>$KN9*0</f>
        <v/>
      </c>
      <c r="DK9" s="52" t="n">
        <v>0</v>
      </c>
      <c r="DL9" s="284" t="n"/>
      <c r="DM9" s="36">
        <f>$KN9*15</f>
        <v/>
      </c>
      <c r="DN9" s="47">
        <f>$KN9*15</f>
        <v/>
      </c>
      <c r="DO9" s="284">
        <f>$KN9*0</f>
        <v/>
      </c>
      <c r="DP9" s="38" t="n">
        <v>0</v>
      </c>
      <c r="DQ9" s="284" t="n"/>
      <c r="DR9" s="36">
        <f>$KN9*15</f>
        <v/>
      </c>
      <c r="DS9" s="47">
        <f>$KN9*15</f>
        <v/>
      </c>
      <c r="DT9" s="284">
        <f>$KN9*0</f>
        <v/>
      </c>
      <c r="DU9" s="38" t="n">
        <v>0</v>
      </c>
      <c r="DV9" s="284" t="n"/>
      <c r="DW9" s="338">
        <f t="array" ref="DW9">SUMPRODUCT(--(MOD(COLUMN($BO9:$DV9),5)=MOD(COLUMN($BO9),5)),$BO9:$DV9)</f>
        <v/>
      </c>
      <c r="DX9" s="339">
        <f>DW9*$J9</f>
        <v/>
      </c>
      <c r="DY9" s="344">
        <f t="array" ref="DY9">SUMPRODUCT(--(MOD(COLUMN($BO9:$DV9),5)=MOD(COLUMN($BP9),5)),$BO9:$DV9)</f>
        <v/>
      </c>
      <c r="DZ9" s="345">
        <f>DY9*$J9</f>
        <v/>
      </c>
      <c r="EA9" s="340">
        <f t="array" ref="EA9">SUMPRODUCT(--(MOD(COLUMN($BO9:$DV9),5)=MOD(COLUMN($BQ9),5)),$BO9:$DV9)</f>
        <v/>
      </c>
      <c r="EB9" s="341">
        <f>EA9*$J9</f>
        <v/>
      </c>
      <c r="EC9" s="342">
        <f t="array" ref="EC9">SUMPRODUCT(--(MOD(COLUMN($BO9:$DV9),5)=MOD(COLUMN($BR9),5)),$BO9:$DV9)</f>
        <v/>
      </c>
      <c r="ED9" s="343">
        <f>EC9*$J9</f>
        <v/>
      </c>
      <c r="EE9" s="36">
        <f>$KN9*8</f>
        <v/>
      </c>
      <c r="EF9" s="284" t="n">
        <v>8</v>
      </c>
      <c r="EG9" s="38" t="n">
        <v>0</v>
      </c>
      <c r="EH9" s="284" t="n"/>
      <c r="EI9" s="36">
        <f>$KN9*9</f>
        <v/>
      </c>
      <c r="EJ9" s="284" t="n">
        <v>50</v>
      </c>
      <c r="EK9" s="38" t="n">
        <v>0</v>
      </c>
      <c r="EL9" s="284" t="n"/>
      <c r="EM9" s="36">
        <f>$KN9*9</f>
        <v/>
      </c>
      <c r="EN9" s="284" t="n">
        <v>0</v>
      </c>
      <c r="EO9" s="38" t="n">
        <v>0</v>
      </c>
      <c r="EP9" s="284" t="inlineStr">
        <is>
          <t>Требуется перезаключение договора. Заказы смещены на 2 месяца</t>
        </is>
      </c>
      <c r="EQ9" s="36">
        <f>$KN9*15</f>
        <v/>
      </c>
      <c r="ER9" s="284" t="n">
        <v>2</v>
      </c>
      <c r="ES9" s="38" t="n">
        <v>1</v>
      </c>
      <c r="ET9" s="284" t="n"/>
      <c r="EU9" s="36">
        <f>$KN9*15</f>
        <v/>
      </c>
      <c r="EV9" s="284" t="n">
        <v>3</v>
      </c>
      <c r="EW9" s="38" t="n">
        <v>1</v>
      </c>
      <c r="EX9" s="284" t="n"/>
      <c r="EY9" s="36">
        <f>$KN9*15</f>
        <v/>
      </c>
      <c r="EZ9" s="284" t="n">
        <v>45</v>
      </c>
      <c r="FA9" s="38" t="n">
        <v>0</v>
      </c>
      <c r="FB9" s="284" t="n"/>
      <c r="FC9" s="36">
        <f>$KN9*15</f>
        <v/>
      </c>
      <c r="FD9" s="284" t="n">
        <v>15</v>
      </c>
      <c r="FE9" s="38" t="n">
        <v>0</v>
      </c>
      <c r="FF9" s="284" t="n"/>
      <c r="FG9" s="36">
        <f>$KN9*15</f>
        <v/>
      </c>
      <c r="FH9" s="284" t="n">
        <v>15</v>
      </c>
      <c r="FI9" s="38" t="n">
        <v>0</v>
      </c>
      <c r="FJ9" s="284" t="n"/>
      <c r="FK9" s="36">
        <f>$KN9*15</f>
        <v/>
      </c>
      <c r="FL9" s="284" t="n">
        <v>15</v>
      </c>
      <c r="FM9" s="38" t="n">
        <v>0</v>
      </c>
      <c r="FN9" s="284" t="n"/>
      <c r="FO9" s="36">
        <f>$KN9*15</f>
        <v/>
      </c>
      <c r="FP9" s="284" t="n">
        <v>15</v>
      </c>
      <c r="FQ9" s="38" t="n">
        <v>0</v>
      </c>
      <c r="FR9" s="284" t="n"/>
      <c r="FS9" s="36">
        <f>$KN9*14</f>
        <v/>
      </c>
      <c r="FT9" s="284" t="n">
        <v>14</v>
      </c>
      <c r="FU9" s="38" t="n">
        <v>0</v>
      </c>
      <c r="FV9" s="284" t="n"/>
      <c r="FW9" s="36">
        <f>$KN9*10</f>
        <v/>
      </c>
      <c r="FX9" s="284" t="n">
        <v>10</v>
      </c>
      <c r="FY9" s="38" t="n">
        <v>0</v>
      </c>
      <c r="FZ9" s="284" t="n"/>
      <c r="GA9" s="338">
        <f>SUMPRODUCT(--(MOD(COLUMN($EE9:$FZ9),4)=MOD(COLUMN($EE9),4)),$EE9:$FZ9)</f>
        <v/>
      </c>
      <c r="GB9" s="339">
        <f>GA9*$J9</f>
        <v/>
      </c>
      <c r="GC9" s="340">
        <f>SUMPRODUCT(--(MOD(COLUMN($EE9:$FZ9),4)=MOD(COLUMN($EF9),4)),$EE9:$FZ9)</f>
        <v/>
      </c>
      <c r="GD9" s="341">
        <f>GC9*$J9</f>
        <v/>
      </c>
      <c r="GE9" s="342">
        <f>SUMPRODUCT(--(MOD(COLUMN($EE9:$FZ9),4)=MOD(COLUMN($EG9),4)),$EE9:$FZ9)</f>
        <v/>
      </c>
      <c r="GF9" s="343">
        <f>GE9*$J9</f>
        <v/>
      </c>
      <c r="GG9" s="36">
        <f>$KN9*10</f>
        <v/>
      </c>
      <c r="GH9" s="284" t="n"/>
      <c r="GI9" s="38" t="n">
        <v>0</v>
      </c>
      <c r="GJ9" s="284" t="n"/>
      <c r="GK9" s="36">
        <f>$KN9*10</f>
        <v/>
      </c>
      <c r="GL9" s="284" t="n"/>
      <c r="GM9" s="38" t="n">
        <v>0</v>
      </c>
      <c r="GN9" s="284" t="n"/>
      <c r="GO9" s="36">
        <f>$KN9*15</f>
        <v/>
      </c>
      <c r="GP9" s="284" t="n"/>
      <c r="GQ9" s="38" t="n">
        <v>0</v>
      </c>
      <c r="GR9" s="284" t="n"/>
      <c r="GS9" s="36">
        <f>$KN9*20</f>
        <v/>
      </c>
      <c r="GT9" s="284" t="n"/>
      <c r="GU9" s="38" t="n">
        <v>0</v>
      </c>
      <c r="GV9" s="284" t="n"/>
      <c r="GW9" s="36">
        <f>$KN9*20</f>
        <v/>
      </c>
      <c r="GX9" s="284" t="n"/>
      <c r="GY9" s="38" t="n">
        <v>0</v>
      </c>
      <c r="GZ9" s="284" t="n"/>
      <c r="HA9" s="36">
        <f>$KN9*20</f>
        <v/>
      </c>
      <c r="HB9" s="284" t="n"/>
      <c r="HC9" s="38" t="n">
        <v>0</v>
      </c>
      <c r="HD9" s="284" t="n"/>
      <c r="HE9" s="36">
        <f>$KN9*20</f>
        <v/>
      </c>
      <c r="HF9" s="284" t="n"/>
      <c r="HG9" s="38" t="n">
        <v>0</v>
      </c>
      <c r="HH9" s="284" t="n"/>
      <c r="HI9" s="36">
        <f>$KN9*20</f>
        <v/>
      </c>
      <c r="HJ9" s="284" t="n"/>
      <c r="HK9" s="38" t="n">
        <v>0</v>
      </c>
      <c r="HL9" s="284" t="n"/>
      <c r="HM9" s="36">
        <f>$KN9*20</f>
        <v/>
      </c>
      <c r="HN9" s="284" t="n"/>
      <c r="HO9" s="38" t="n">
        <v>0</v>
      </c>
      <c r="HP9" s="284" t="n"/>
      <c r="HQ9" s="36">
        <f>$KN9*20</f>
        <v/>
      </c>
      <c r="HR9" s="284" t="n"/>
      <c r="HS9" s="38" t="n">
        <v>0</v>
      </c>
      <c r="HT9" s="284" t="n"/>
      <c r="HU9" s="36">
        <f>$KN9*20</f>
        <v/>
      </c>
      <c r="HV9" s="284" t="n"/>
      <c r="HW9" s="38" t="n">
        <v>0</v>
      </c>
      <c r="HX9" s="284" t="n"/>
      <c r="HY9" s="36">
        <f>$KN9*20</f>
        <v/>
      </c>
      <c r="HZ9" s="284" t="n"/>
      <c r="IA9" s="38" t="n">
        <v>0</v>
      </c>
      <c r="IB9" s="284" t="n"/>
      <c r="IC9" s="338">
        <f t="array" ref="IC9">SUMPRODUCT(--(MOD(COLUMN($GG9:$IB9),4)=MOD(COLUMN($GG9),4)),$GG9:$IB9)</f>
        <v/>
      </c>
      <c r="ID9" s="339">
        <f>IC9*$J9</f>
        <v/>
      </c>
      <c r="IE9" s="340">
        <f t="array" ref="IE9">SUMPRODUCT(--(MOD(COLUMN($GG9:$IB9),4)=MOD(COLUMN($GH9),4)),$GG9:$IB9)</f>
        <v/>
      </c>
      <c r="IF9" s="341">
        <f>IE9*$J9</f>
        <v/>
      </c>
      <c r="IG9" s="342">
        <f t="array" ref="IG9">SUMPRODUCT(--(MOD(COLUMN($GG9:$IB9),4)=MOD(COLUMN($GI9),4)),$GG9:$IB9)</f>
        <v/>
      </c>
      <c r="IH9" s="343">
        <f>IG9*$J9</f>
        <v/>
      </c>
      <c r="II9" s="36">
        <f>$KN9*15</f>
        <v/>
      </c>
      <c r="IJ9" s="284" t="n"/>
      <c r="IK9" s="38" t="n">
        <v>0</v>
      </c>
      <c r="IL9" s="284" t="n"/>
      <c r="IM9" s="36">
        <f>$KN9*15</f>
        <v/>
      </c>
      <c r="IN9" s="284" t="n"/>
      <c r="IO9" s="38" t="n">
        <v>0</v>
      </c>
      <c r="IP9" s="284" t="n"/>
      <c r="IQ9" s="36">
        <f>$KN9*20</f>
        <v/>
      </c>
      <c r="IR9" s="284" t="n"/>
      <c r="IS9" s="38" t="n">
        <v>0</v>
      </c>
      <c r="IT9" s="284" t="n"/>
      <c r="IU9" s="36">
        <f>$KN9*25</f>
        <v/>
      </c>
      <c r="IV9" s="284" t="n"/>
      <c r="IW9" s="38" t="n">
        <v>0</v>
      </c>
      <c r="IX9" s="284" t="n"/>
      <c r="IY9" s="36">
        <f>$KN9*25</f>
        <v/>
      </c>
      <c r="IZ9" s="284" t="n"/>
      <c r="JA9" s="38" t="n">
        <v>0</v>
      </c>
      <c r="JB9" s="284" t="n"/>
      <c r="JC9" s="36">
        <f>$KN9*25</f>
        <v/>
      </c>
      <c r="JD9" s="284" t="n"/>
      <c r="JE9" s="38" t="n">
        <v>0</v>
      </c>
      <c r="JF9" s="284" t="n"/>
      <c r="JG9" s="36">
        <f>$KN9*30</f>
        <v/>
      </c>
      <c r="JH9" s="284" t="n"/>
      <c r="JI9" s="38" t="n">
        <v>0</v>
      </c>
      <c r="JJ9" s="284" t="n"/>
      <c r="JK9" s="36">
        <f>$KN9*30</f>
        <v/>
      </c>
      <c r="JL9" s="284" t="n"/>
      <c r="JM9" s="38" t="n">
        <v>0</v>
      </c>
      <c r="JN9" s="284" t="n"/>
      <c r="JO9" s="36">
        <f>$KN9*30</f>
        <v/>
      </c>
      <c r="JP9" s="284" t="n"/>
      <c r="JQ9" s="38" t="n">
        <v>0</v>
      </c>
      <c r="JR9" s="284" t="n"/>
      <c r="JS9" s="36">
        <f>$KN9*30</f>
        <v/>
      </c>
      <c r="JT9" s="284" t="n"/>
      <c r="JU9" s="38" t="n">
        <v>0</v>
      </c>
      <c r="JV9" s="284" t="n"/>
      <c r="JW9" s="36">
        <f>$KN9*30</f>
        <v/>
      </c>
      <c r="JX9" s="284" t="n"/>
      <c r="JY9" s="38" t="n">
        <v>0</v>
      </c>
      <c r="JZ9" s="284" t="n"/>
      <c r="KA9" s="36" t="n">
        <v>30</v>
      </c>
      <c r="KB9" s="284" t="n"/>
      <c r="KC9" s="38" t="n">
        <v>0</v>
      </c>
      <c r="KD9" s="284" t="n"/>
      <c r="KE9" s="338">
        <f t="array" ref="KE9">SUMPRODUCT(--(MOD(COLUMN($II9:$KD9),4)=MOD(COLUMN($II9),4)),$II9:$KD9)</f>
        <v/>
      </c>
      <c r="KF9" s="339">
        <f>KE9*$J9</f>
        <v/>
      </c>
      <c r="KG9" s="340">
        <f t="array" ref="KG9">SUMPRODUCT(--(MOD(COLUMN($II9:$KD9),4)=MOD(COLUMN($IJ9),4)),$II9:$KD9)</f>
        <v/>
      </c>
      <c r="KH9" s="341">
        <f>KG9*$J9</f>
        <v/>
      </c>
      <c r="KI9" s="342">
        <f t="array" ref="KI9">SUMPRODUCT(--(MOD(COLUMN($II9:$KD9),4)=MOD(COLUMN($IK9),4)),$II9:$KD9)</f>
        <v/>
      </c>
      <c r="KJ9" s="346">
        <f>KI9*$J9</f>
        <v/>
      </c>
      <c r="KK9" s="12" t="n"/>
      <c r="KL9" s="12" t="n"/>
      <c r="KM9" s="12" t="n"/>
      <c r="KN9" s="51" t="n">
        <v>1</v>
      </c>
      <c r="KO9" s="347" t="n"/>
    </row>
    <row r="10" outlineLevel="1">
      <c r="A10" s="347" t="n"/>
      <c r="B10" s="347" t="n"/>
      <c r="C10" s="347" t="n"/>
      <c r="D10" s="347" t="n"/>
      <c r="E10" s="15" t="n">
        <v>5</v>
      </c>
      <c r="F10" s="15" t="n">
        <v>1</v>
      </c>
      <c r="G10" s="33" t="n">
        <v>4491731200</v>
      </c>
      <c r="H10" s="34" t="inlineStr">
        <is>
          <t>Кабель питания, 12 м</t>
        </is>
      </c>
      <c r="I10" s="337">
        <f>842.2/1.2</f>
        <v/>
      </c>
      <c r="J10" s="337">
        <f>842.2/1.2</f>
        <v/>
      </c>
      <c r="K10" s="337" t="n"/>
      <c r="L10" s="337" t="n"/>
      <c r="M10" s="36" t="n">
        <v>102</v>
      </c>
      <c r="N10" s="284" t="n">
        <v>102</v>
      </c>
      <c r="O10" s="38" t="n">
        <v>0</v>
      </c>
      <c r="P10" s="284" t="n"/>
      <c r="Q10" s="36" t="n">
        <v>50</v>
      </c>
      <c r="R10" s="284" t="n">
        <v>32</v>
      </c>
      <c r="S10" s="38" t="n">
        <v>32</v>
      </c>
      <c r="T10" s="347" t="n"/>
      <c r="U10" s="36" t="n">
        <v>0</v>
      </c>
      <c r="V10" s="284" t="n">
        <v>50</v>
      </c>
      <c r="W10" s="38" t="n">
        <v>50</v>
      </c>
      <c r="X10" s="347" t="n"/>
      <c r="Y10" s="36" t="n">
        <v>40</v>
      </c>
      <c r="Z10" s="284" t="n">
        <v>50</v>
      </c>
      <c r="AA10" s="38" t="n">
        <v>50</v>
      </c>
      <c r="AB10" s="347" t="n"/>
      <c r="AC10" s="36" t="n">
        <v>40</v>
      </c>
      <c r="AD10" s="284" t="n">
        <v>40</v>
      </c>
      <c r="AE10" s="38" t="n">
        <v>0</v>
      </c>
      <c r="AF10" s="284" t="n"/>
      <c r="AG10" s="36" t="n">
        <v>40</v>
      </c>
      <c r="AH10" s="39" t="n">
        <v>25</v>
      </c>
      <c r="AI10" s="38" t="n">
        <v>25</v>
      </c>
      <c r="AJ10" s="347" t="n"/>
      <c r="AK10" s="36" t="n">
        <v>40</v>
      </c>
      <c r="AL10" s="284" t="n">
        <v>25</v>
      </c>
      <c r="AM10" s="38" t="n">
        <v>25</v>
      </c>
      <c r="AN10" s="347" t="n"/>
      <c r="AO10" s="36" t="n">
        <v>40</v>
      </c>
      <c r="AP10" s="284" t="n">
        <v>0</v>
      </c>
      <c r="AQ10" s="38" t="n">
        <v>0</v>
      </c>
      <c r="AR10" s="347" t="n"/>
      <c r="AS10" s="36" t="n">
        <v>40</v>
      </c>
      <c r="AT10" s="284" t="n">
        <v>0</v>
      </c>
      <c r="AU10" s="38" t="n">
        <v>0</v>
      </c>
      <c r="AV10" s="347" t="n"/>
      <c r="AW10" s="36" t="n">
        <v>40</v>
      </c>
      <c r="AX10" s="284" t="n">
        <v>0</v>
      </c>
      <c r="AY10" s="54" t="n">
        <v>0</v>
      </c>
      <c r="AZ10" s="347" t="n"/>
      <c r="BA10" s="36" t="n">
        <v>40</v>
      </c>
      <c r="BB10" s="284" t="n">
        <v>0</v>
      </c>
      <c r="BC10" s="38" t="n">
        <v>0</v>
      </c>
      <c r="BD10" s="347" t="n"/>
      <c r="BE10" s="36" t="n">
        <v>40</v>
      </c>
      <c r="BF10" s="284">
        <f>$KN10*0</f>
        <v/>
      </c>
      <c r="BG10" s="38" t="n">
        <v>0</v>
      </c>
      <c r="BH10" s="347" t="n"/>
      <c r="BI10" s="338">
        <f>SUMPRODUCT(--(MOD(COLUMN($M10:$BH10),4)=MOD(COLUMN($M10),4)),$M10:$BH10)</f>
        <v/>
      </c>
      <c r="BJ10" s="339">
        <f>BI10*$I10</f>
        <v/>
      </c>
      <c r="BK10" s="340">
        <f>SUMPRODUCT(--(MOD(COLUMN($M10:$BH10),4)=MOD(COLUMN($M10)+1,4)),$M10:$BH10)</f>
        <v/>
      </c>
      <c r="BL10" s="341">
        <f>BK10*$I10</f>
        <v/>
      </c>
      <c r="BM10" s="342">
        <f>SUMPRODUCT(--(MOD(COLUMN($M10:$BH10),4)=MOD(COLUMN($M10)+2,4)),$M10:$BH10)</f>
        <v/>
      </c>
      <c r="BN10" s="343">
        <f>BM10*$I10</f>
        <v/>
      </c>
      <c r="BO10" s="36">
        <f>$KN10*0</f>
        <v/>
      </c>
      <c r="BP10" s="47">
        <f>$KN10*0</f>
        <v/>
      </c>
      <c r="BQ10" s="284">
        <f>$KN10*0</f>
        <v/>
      </c>
      <c r="BR10" s="38" t="n">
        <v>0</v>
      </c>
      <c r="BS10" s="284" t="n"/>
      <c r="BT10" s="36">
        <f>$KN10*5</f>
        <v/>
      </c>
      <c r="BU10" s="47">
        <f>$KN10*0</f>
        <v/>
      </c>
      <c r="BV10" s="284">
        <f>$KN10*0</f>
        <v/>
      </c>
      <c r="BW10" s="38" t="n">
        <v>0</v>
      </c>
      <c r="BX10" s="284" t="n"/>
      <c r="BY10" s="36">
        <f>$KN10*15</f>
        <v/>
      </c>
      <c r="BZ10" s="47">
        <f>$KN10*15</f>
        <v/>
      </c>
      <c r="CA10" s="284">
        <f>$KN10*0</f>
        <v/>
      </c>
      <c r="CB10" s="38" t="n">
        <v>0</v>
      </c>
      <c r="CC10" s="284" t="n"/>
      <c r="CD10" s="36">
        <f>$KN10*15</f>
        <v/>
      </c>
      <c r="CE10" s="47">
        <f>$KN10*15</f>
        <v/>
      </c>
      <c r="CF10" s="284">
        <f>$KN10*0</f>
        <v/>
      </c>
      <c r="CG10" s="38" t="n">
        <v>0</v>
      </c>
      <c r="CH10" s="284" t="n"/>
      <c r="CI10" s="36">
        <f>$KN10*15</f>
        <v/>
      </c>
      <c r="CJ10" s="47">
        <f>$KN10*15</f>
        <v/>
      </c>
      <c r="CK10" s="284">
        <f>$KN10*0</f>
        <v/>
      </c>
      <c r="CL10" s="38" t="n">
        <v>0</v>
      </c>
      <c r="CM10" s="284" t="n"/>
      <c r="CN10" s="36">
        <f>$KN10*15</f>
        <v/>
      </c>
      <c r="CO10" s="47">
        <f>$KN10*15</f>
        <v/>
      </c>
      <c r="CP10" s="284">
        <f>$KN10*0</f>
        <v/>
      </c>
      <c r="CQ10" s="38" t="n">
        <v>0</v>
      </c>
      <c r="CR10" s="284" t="n"/>
      <c r="CS10" s="36">
        <f>$KN10*15</f>
        <v/>
      </c>
      <c r="CT10" s="47">
        <f>$KN10*15</f>
        <v/>
      </c>
      <c r="CU10" s="284">
        <f>$KN10*0</f>
        <v/>
      </c>
      <c r="CV10" s="38" t="n">
        <v>0</v>
      </c>
      <c r="CW10" s="284" t="n"/>
      <c r="CX10" s="36">
        <f>$KN10*15</f>
        <v/>
      </c>
      <c r="CY10" s="47">
        <f>$KN10*15</f>
        <v/>
      </c>
      <c r="CZ10" s="39">
        <f>$KN10*0</f>
        <v/>
      </c>
      <c r="DA10" s="38" t="n">
        <v>0</v>
      </c>
      <c r="DB10" s="284" t="n"/>
      <c r="DC10" s="36">
        <f>$KN10*15</f>
        <v/>
      </c>
      <c r="DD10" s="47">
        <f>$KN10*15</f>
        <v/>
      </c>
      <c r="DE10" s="39">
        <f>$KN10*0</f>
        <v/>
      </c>
      <c r="DF10" s="38" t="n">
        <v>0</v>
      </c>
      <c r="DG10" s="284" t="n"/>
      <c r="DH10" s="36">
        <f>$KN10*15</f>
        <v/>
      </c>
      <c r="DI10" s="47">
        <f>$KN10*15</f>
        <v/>
      </c>
      <c r="DJ10" s="284">
        <f>$KN10*0</f>
        <v/>
      </c>
      <c r="DK10" s="38" t="n">
        <v>0</v>
      </c>
      <c r="DL10" s="284" t="n"/>
      <c r="DM10" s="36">
        <f>$KN10*15</f>
        <v/>
      </c>
      <c r="DN10" s="47">
        <f>$KN10*15</f>
        <v/>
      </c>
      <c r="DO10" s="284">
        <f>$KN10*0</f>
        <v/>
      </c>
      <c r="DP10" s="38" t="n">
        <v>0</v>
      </c>
      <c r="DQ10" s="284" t="n"/>
      <c r="DR10" s="36">
        <f>$KN10*15</f>
        <v/>
      </c>
      <c r="DS10" s="47">
        <f>$KN10*15</f>
        <v/>
      </c>
      <c r="DT10" s="284">
        <f>$KN10*0</f>
        <v/>
      </c>
      <c r="DU10" s="38" t="n">
        <v>0</v>
      </c>
      <c r="DV10" s="284" t="n"/>
      <c r="DW10" s="338">
        <f t="array" ref="DW10">SUMPRODUCT(--(MOD(COLUMN($BO10:$DV10),5)=MOD(COLUMN($BO10),5)),$BO10:$DV10)</f>
        <v/>
      </c>
      <c r="DX10" s="339">
        <f>DW10*$J10</f>
        <v/>
      </c>
      <c r="DY10" s="344">
        <f t="array" ref="DY10">SUMPRODUCT(--(MOD(COLUMN($BO10:$DV10),5)=MOD(COLUMN($BP10),5)),$BO10:$DV10)</f>
        <v/>
      </c>
      <c r="DZ10" s="345">
        <f>DY10*$J10</f>
        <v/>
      </c>
      <c r="EA10" s="340">
        <f t="array" ref="EA10">SUMPRODUCT(--(MOD(COLUMN($BO10:$DV10),5)=MOD(COLUMN($BQ10),5)),$BO10:$DV10)</f>
        <v/>
      </c>
      <c r="EB10" s="341">
        <f>EA10*$J10</f>
        <v/>
      </c>
      <c r="EC10" s="342">
        <f t="array" ref="EC10">SUMPRODUCT(--(MOD(COLUMN($BO10:$DV10),5)=MOD(COLUMN($BR10),5)),$BO10:$DV10)</f>
        <v/>
      </c>
      <c r="ED10" s="343">
        <f>EC10*$J10</f>
        <v/>
      </c>
      <c r="EE10" s="36">
        <f>$KN10*8</f>
        <v/>
      </c>
      <c r="EF10" s="284" t="n">
        <v>8</v>
      </c>
      <c r="EG10" s="38" t="n">
        <v>0</v>
      </c>
      <c r="EH10" s="284" t="n"/>
      <c r="EI10" s="36">
        <f>$KN10*9</f>
        <v/>
      </c>
      <c r="EJ10" s="284" t="n">
        <v>50</v>
      </c>
      <c r="EK10" s="38" t="n">
        <v>0</v>
      </c>
      <c r="EL10" s="284" t="n"/>
      <c r="EM10" s="36">
        <f>$KN10*9</f>
        <v/>
      </c>
      <c r="EN10" s="284" t="n">
        <v>0</v>
      </c>
      <c r="EO10" s="38" t="n">
        <v>0</v>
      </c>
      <c r="EP10" s="347" t="n"/>
      <c r="EQ10" s="36">
        <f>$KN10*15</f>
        <v/>
      </c>
      <c r="ER10" s="284" t="n">
        <v>1</v>
      </c>
      <c r="ES10" s="38" t="n">
        <v>0</v>
      </c>
      <c r="ET10" s="284" t="n"/>
      <c r="EU10" s="36">
        <f>$KN10*15</f>
        <v/>
      </c>
      <c r="EV10" s="284" t="n">
        <v>0</v>
      </c>
      <c r="EW10" s="38" t="n">
        <v>0</v>
      </c>
      <c r="EX10" s="284" t="n"/>
      <c r="EY10" s="36">
        <f>$KN10*15</f>
        <v/>
      </c>
      <c r="EZ10" s="284" t="n">
        <v>45</v>
      </c>
      <c r="FA10" s="38" t="n">
        <v>0</v>
      </c>
      <c r="FB10" s="284" t="n"/>
      <c r="FC10" s="36">
        <f>$KN10*15</f>
        <v/>
      </c>
      <c r="FD10" s="284" t="n">
        <v>15</v>
      </c>
      <c r="FE10" s="38" t="n">
        <v>0</v>
      </c>
      <c r="FF10" s="284" t="n"/>
      <c r="FG10" s="36">
        <f>$KN10*15</f>
        <v/>
      </c>
      <c r="FH10" s="284" t="n">
        <v>15</v>
      </c>
      <c r="FI10" s="38" t="n">
        <v>0</v>
      </c>
      <c r="FJ10" s="284" t="n"/>
      <c r="FK10" s="36">
        <f>$KN10*15</f>
        <v/>
      </c>
      <c r="FL10" s="284" t="n">
        <v>15</v>
      </c>
      <c r="FM10" s="38" t="n">
        <v>0</v>
      </c>
      <c r="FN10" s="284" t="n"/>
      <c r="FO10" s="36">
        <f>$KN10*15</f>
        <v/>
      </c>
      <c r="FP10" s="284" t="n">
        <v>15</v>
      </c>
      <c r="FQ10" s="38" t="n">
        <v>0</v>
      </c>
      <c r="FR10" s="284" t="n"/>
      <c r="FS10" s="36">
        <f>$KN10*14</f>
        <v/>
      </c>
      <c r="FT10" s="284" t="n">
        <v>14</v>
      </c>
      <c r="FU10" s="38" t="n">
        <v>0</v>
      </c>
      <c r="FV10" s="284" t="n"/>
      <c r="FW10" s="36">
        <f>$KN10*10</f>
        <v/>
      </c>
      <c r="FX10" s="284" t="n">
        <v>10</v>
      </c>
      <c r="FY10" s="38" t="n">
        <v>0</v>
      </c>
      <c r="FZ10" s="284" t="n"/>
      <c r="GA10" s="338">
        <f>SUMPRODUCT(--(MOD(COLUMN($EE10:$FZ10),4)=MOD(COLUMN($EE10),4)),$EE10:$FZ10)</f>
        <v/>
      </c>
      <c r="GB10" s="339">
        <f>GA10*$J10</f>
        <v/>
      </c>
      <c r="GC10" s="340">
        <f>SUMPRODUCT(--(MOD(COLUMN($EE10:$FZ10),4)=MOD(COLUMN($EF10),4)),$EE10:$FZ10)</f>
        <v/>
      </c>
      <c r="GD10" s="341">
        <f>GC10*$J10</f>
        <v/>
      </c>
      <c r="GE10" s="342">
        <f>SUMPRODUCT(--(MOD(COLUMN($EE10:$FZ10),4)=MOD(COLUMN($EG10),4)),$EE10:$FZ10)</f>
        <v/>
      </c>
      <c r="GF10" s="343">
        <f>GE10*$J10</f>
        <v/>
      </c>
      <c r="GG10" s="36">
        <f>$KN10*10</f>
        <v/>
      </c>
      <c r="GH10" s="284" t="n"/>
      <c r="GI10" s="38" t="n">
        <v>0</v>
      </c>
      <c r="GJ10" s="284" t="n"/>
      <c r="GK10" s="36">
        <f>$KN10*10</f>
        <v/>
      </c>
      <c r="GL10" s="284" t="n"/>
      <c r="GM10" s="38" t="n">
        <v>0</v>
      </c>
      <c r="GN10" s="284" t="n"/>
      <c r="GO10" s="36">
        <f>$KN10*15</f>
        <v/>
      </c>
      <c r="GP10" s="284" t="n"/>
      <c r="GQ10" s="38" t="n">
        <v>0</v>
      </c>
      <c r="GR10" s="284" t="n"/>
      <c r="GS10" s="36">
        <f>$KN10*20</f>
        <v/>
      </c>
      <c r="GT10" s="284" t="n"/>
      <c r="GU10" s="38" t="n">
        <v>0</v>
      </c>
      <c r="GV10" s="284" t="n"/>
      <c r="GW10" s="36">
        <f>$KN10*20</f>
        <v/>
      </c>
      <c r="GX10" s="284" t="n"/>
      <c r="GY10" s="38" t="n">
        <v>0</v>
      </c>
      <c r="GZ10" s="284" t="n"/>
      <c r="HA10" s="36">
        <f>$KN10*20</f>
        <v/>
      </c>
      <c r="HB10" s="284" t="n"/>
      <c r="HC10" s="38" t="n">
        <v>0</v>
      </c>
      <c r="HD10" s="284" t="n"/>
      <c r="HE10" s="36">
        <f>$KN10*20</f>
        <v/>
      </c>
      <c r="HF10" s="284" t="n"/>
      <c r="HG10" s="38" t="n">
        <v>0</v>
      </c>
      <c r="HH10" s="284" t="n"/>
      <c r="HI10" s="36">
        <f>$KN10*20</f>
        <v/>
      </c>
      <c r="HJ10" s="284" t="n"/>
      <c r="HK10" s="38" t="n">
        <v>0</v>
      </c>
      <c r="HL10" s="284" t="n"/>
      <c r="HM10" s="36">
        <f>$KN10*20</f>
        <v/>
      </c>
      <c r="HN10" s="284" t="n"/>
      <c r="HO10" s="38" t="n">
        <v>0</v>
      </c>
      <c r="HP10" s="284" t="n"/>
      <c r="HQ10" s="36">
        <f>$KN10*20</f>
        <v/>
      </c>
      <c r="HR10" s="284" t="n"/>
      <c r="HS10" s="38" t="n">
        <v>0</v>
      </c>
      <c r="HT10" s="284" t="n"/>
      <c r="HU10" s="36">
        <f>$KN10*20</f>
        <v/>
      </c>
      <c r="HV10" s="284" t="n"/>
      <c r="HW10" s="38" t="n">
        <v>0</v>
      </c>
      <c r="HX10" s="284" t="n"/>
      <c r="HY10" s="36">
        <f>$KN10*20</f>
        <v/>
      </c>
      <c r="HZ10" s="284" t="n"/>
      <c r="IA10" s="38" t="n">
        <v>0</v>
      </c>
      <c r="IB10" s="284" t="n"/>
      <c r="IC10" s="338">
        <f t="array" ref="IC10">SUMPRODUCT(--(MOD(COLUMN($GG10:$IB10),4)=MOD(COLUMN($GG10),4)),$GG10:$IB10)</f>
        <v/>
      </c>
      <c r="ID10" s="339">
        <f>IC10*$J10</f>
        <v/>
      </c>
      <c r="IE10" s="340">
        <f t="array" ref="IE10">SUMPRODUCT(--(MOD(COLUMN($GG10:$IB10),4)=MOD(COLUMN($GH10),4)),$GG10:$IB10)</f>
        <v/>
      </c>
      <c r="IF10" s="341">
        <f>IE10*$J10</f>
        <v/>
      </c>
      <c r="IG10" s="342">
        <f t="array" ref="IG10">SUMPRODUCT(--(MOD(COLUMN($GG10:$IB10),4)=MOD(COLUMN($GI10),4)),$GG10:$IB10)</f>
        <v/>
      </c>
      <c r="IH10" s="343">
        <f>IG10*$J10</f>
        <v/>
      </c>
      <c r="II10" s="36">
        <f>$KN10*15</f>
        <v/>
      </c>
      <c r="IJ10" s="284" t="n"/>
      <c r="IK10" s="38" t="n">
        <v>0</v>
      </c>
      <c r="IL10" s="284" t="n"/>
      <c r="IM10" s="36">
        <f>$KN10*15</f>
        <v/>
      </c>
      <c r="IN10" s="284" t="n"/>
      <c r="IO10" s="38" t="n">
        <v>0</v>
      </c>
      <c r="IP10" s="284" t="n"/>
      <c r="IQ10" s="36">
        <f>$KN10*20</f>
        <v/>
      </c>
      <c r="IR10" s="284" t="n"/>
      <c r="IS10" s="38" t="n">
        <v>0</v>
      </c>
      <c r="IT10" s="284" t="n"/>
      <c r="IU10" s="36">
        <f>$KN10*25</f>
        <v/>
      </c>
      <c r="IV10" s="284" t="n"/>
      <c r="IW10" s="38" t="n">
        <v>0</v>
      </c>
      <c r="IX10" s="284" t="n"/>
      <c r="IY10" s="36">
        <f>$KN10*25</f>
        <v/>
      </c>
      <c r="IZ10" s="284" t="n"/>
      <c r="JA10" s="38" t="n">
        <v>0</v>
      </c>
      <c r="JB10" s="284" t="n"/>
      <c r="JC10" s="36">
        <f>$KN10*25</f>
        <v/>
      </c>
      <c r="JD10" s="284" t="n"/>
      <c r="JE10" s="38" t="n">
        <v>0</v>
      </c>
      <c r="JF10" s="284" t="n"/>
      <c r="JG10" s="36">
        <f>$KN10*30</f>
        <v/>
      </c>
      <c r="JH10" s="284" t="n"/>
      <c r="JI10" s="38" t="n">
        <v>0</v>
      </c>
      <c r="JJ10" s="284" t="n"/>
      <c r="JK10" s="36">
        <f>$KN10*30</f>
        <v/>
      </c>
      <c r="JL10" s="284" t="n"/>
      <c r="JM10" s="38" t="n">
        <v>0</v>
      </c>
      <c r="JN10" s="284" t="n"/>
      <c r="JO10" s="36">
        <f>$KN10*30</f>
        <v/>
      </c>
      <c r="JP10" s="284" t="n"/>
      <c r="JQ10" s="38" t="n">
        <v>0</v>
      </c>
      <c r="JR10" s="284" t="n"/>
      <c r="JS10" s="36">
        <f>$KN10*30</f>
        <v/>
      </c>
      <c r="JT10" s="284" t="n"/>
      <c r="JU10" s="38" t="n">
        <v>0</v>
      </c>
      <c r="JV10" s="284" t="n"/>
      <c r="JW10" s="36">
        <f>$KN10*30</f>
        <v/>
      </c>
      <c r="JX10" s="284" t="n"/>
      <c r="JY10" s="38" t="n">
        <v>0</v>
      </c>
      <c r="JZ10" s="284" t="n"/>
      <c r="KA10" s="36" t="n">
        <v>30</v>
      </c>
      <c r="KB10" s="284" t="n"/>
      <c r="KC10" s="38" t="n">
        <v>0</v>
      </c>
      <c r="KD10" s="284" t="n"/>
      <c r="KE10" s="338">
        <f t="array" ref="KE10">SUMPRODUCT(--(MOD(COLUMN($II10:$KD10),4)=MOD(COLUMN($II10),4)),$II10:$KD10)</f>
        <v/>
      </c>
      <c r="KF10" s="339">
        <f>KE10*$J10</f>
        <v/>
      </c>
      <c r="KG10" s="340">
        <f t="array" ref="KG10">SUMPRODUCT(--(MOD(COLUMN($II10:$KD10),4)=MOD(COLUMN($IJ10),4)),$II10:$KD10)</f>
        <v/>
      </c>
      <c r="KH10" s="341">
        <f>KG10*$J10</f>
        <v/>
      </c>
      <c r="KI10" s="342">
        <f t="array" ref="KI10">SUMPRODUCT(--(MOD(COLUMN($II10:$KD10),4)=MOD(COLUMN($IK10),4)),$II10:$KD10)</f>
        <v/>
      </c>
      <c r="KJ10" s="346">
        <f>KI10*$J10</f>
        <v/>
      </c>
      <c r="KK10" s="12" t="n"/>
      <c r="KL10" s="12" t="n"/>
      <c r="KM10" s="12" t="n"/>
      <c r="KN10" s="51" t="n">
        <v>1</v>
      </c>
      <c r="KO10" s="347" t="n"/>
    </row>
    <row r="11" outlineLevel="1">
      <c r="A11" s="347" t="n"/>
      <c r="B11" s="347" t="n"/>
      <c r="C11" s="347" t="n"/>
      <c r="D11" s="347" t="n"/>
      <c r="E11" s="15" t="n">
        <v>6</v>
      </c>
      <c r="F11" s="15" t="n">
        <v>1</v>
      </c>
      <c r="G11" s="56" t="n">
        <v>4497230500</v>
      </c>
      <c r="H11" s="57" t="inlineStr">
        <is>
          <t>Кабель датчика, 5 м</t>
        </is>
      </c>
      <c r="I11" s="337">
        <f>71.7/1.2</f>
        <v/>
      </c>
      <c r="J11" s="337">
        <f>71.7/1.2</f>
        <v/>
      </c>
      <c r="K11" s="337" t="n"/>
      <c r="L11" s="337" t="n"/>
      <c r="M11" s="36" t="n">
        <v>204</v>
      </c>
      <c r="N11" s="284" t="n">
        <v>204</v>
      </c>
      <c r="O11" s="38" t="n">
        <v>0</v>
      </c>
      <c r="P11" s="284" t="n"/>
      <c r="Q11" s="36" t="n">
        <v>50</v>
      </c>
      <c r="R11" s="284" t="n">
        <v>64</v>
      </c>
      <c r="S11" s="38" t="n">
        <v>64</v>
      </c>
      <c r="T11" s="347" t="n"/>
      <c r="U11" s="36" t="n">
        <v>0</v>
      </c>
      <c r="V11" s="284" t="n">
        <v>100</v>
      </c>
      <c r="W11" s="38" t="n">
        <v>100</v>
      </c>
      <c r="X11" s="347" t="n"/>
      <c r="Y11" s="36" t="n">
        <v>80</v>
      </c>
      <c r="Z11" s="284" t="n">
        <v>100</v>
      </c>
      <c r="AA11" s="38" t="n">
        <v>100</v>
      </c>
      <c r="AB11" s="347" t="n"/>
      <c r="AC11" s="36" t="n">
        <v>80</v>
      </c>
      <c r="AD11" s="284" t="n">
        <v>80</v>
      </c>
      <c r="AE11" s="38" t="n">
        <v>0</v>
      </c>
      <c r="AF11" s="284" t="n"/>
      <c r="AG11" s="36" t="n">
        <v>80</v>
      </c>
      <c r="AH11" s="39" t="n">
        <v>50</v>
      </c>
      <c r="AI11" s="58" t="n">
        <v>25</v>
      </c>
      <c r="AJ11" s="347" t="n"/>
      <c r="AK11" s="36" t="n">
        <v>80</v>
      </c>
      <c r="AL11" s="284" t="n">
        <v>50</v>
      </c>
      <c r="AM11" s="52" t="n">
        <v>50</v>
      </c>
      <c r="AN11" s="347" t="n"/>
      <c r="AO11" s="36" t="n">
        <v>80</v>
      </c>
      <c r="AP11" s="284" t="n">
        <v>0</v>
      </c>
      <c r="AQ11" s="38" t="n">
        <v>0</v>
      </c>
      <c r="AR11" s="347" t="n"/>
      <c r="AS11" s="36" t="n">
        <v>80</v>
      </c>
      <c r="AT11" s="284" t="n">
        <v>0</v>
      </c>
      <c r="AU11" s="38" t="n">
        <v>0</v>
      </c>
      <c r="AV11" s="347" t="n"/>
      <c r="AW11" s="36" t="n">
        <v>80</v>
      </c>
      <c r="AX11" s="284" t="n">
        <v>0</v>
      </c>
      <c r="AY11" s="54" t="n">
        <v>0</v>
      </c>
      <c r="AZ11" s="347" t="n"/>
      <c r="BA11" s="36" t="n">
        <v>80</v>
      </c>
      <c r="BB11" s="284" t="n">
        <v>0</v>
      </c>
      <c r="BC11" s="52" t="n">
        <v>0</v>
      </c>
      <c r="BD11" s="347" t="n"/>
      <c r="BE11" s="36" t="n">
        <v>80</v>
      </c>
      <c r="BF11" s="284">
        <f>$KN11*0</f>
        <v/>
      </c>
      <c r="BG11" s="38" t="n">
        <v>0</v>
      </c>
      <c r="BH11" s="347" t="n"/>
      <c r="BI11" s="338">
        <f>SUMPRODUCT(--(MOD(COLUMN($M11:$BH11),4)=MOD(COLUMN($M11),4)),$M11:$BH11)</f>
        <v/>
      </c>
      <c r="BJ11" s="339">
        <f>BI11*$I11</f>
        <v/>
      </c>
      <c r="BK11" s="340">
        <f>SUMPRODUCT(--(MOD(COLUMN($M11:$BH11),4)=MOD(COLUMN($M11)+1,4)),$M11:$BH11)</f>
        <v/>
      </c>
      <c r="BL11" s="341">
        <f>BK11*$I11</f>
        <v/>
      </c>
      <c r="BM11" s="342">
        <f>SUMPRODUCT(--(MOD(COLUMN($M11:$BH11),4)=MOD(COLUMN($M11)+2,4)),$M11:$BH11)</f>
        <v/>
      </c>
      <c r="BN11" s="343">
        <f>BM11*$I11</f>
        <v/>
      </c>
      <c r="BO11" s="36">
        <f>$KN11*0</f>
        <v/>
      </c>
      <c r="BP11" s="47">
        <f>$KN11*0</f>
        <v/>
      </c>
      <c r="BQ11" s="284">
        <f>$KN11*0</f>
        <v/>
      </c>
      <c r="BR11" s="52" t="n">
        <v>0</v>
      </c>
      <c r="BS11" s="284" t="n"/>
      <c r="BT11" s="36">
        <f>$KN11*5</f>
        <v/>
      </c>
      <c r="BU11" s="47">
        <f>$KN11*0</f>
        <v/>
      </c>
      <c r="BV11" s="284">
        <f>$KN11*0</f>
        <v/>
      </c>
      <c r="BW11" s="38" t="n">
        <v>0</v>
      </c>
      <c r="BX11" s="284" t="n"/>
      <c r="BY11" s="36">
        <f>$KN11*15</f>
        <v/>
      </c>
      <c r="BZ11" s="47">
        <f>$KN11*15</f>
        <v/>
      </c>
      <c r="CA11" s="284">
        <f>$KN11*0</f>
        <v/>
      </c>
      <c r="CB11" s="38" t="n">
        <v>0</v>
      </c>
      <c r="CC11" s="284" t="n"/>
      <c r="CD11" s="36">
        <f>$KN11*15</f>
        <v/>
      </c>
      <c r="CE11" s="47">
        <f>$KN11*15</f>
        <v/>
      </c>
      <c r="CF11" s="284">
        <f>$KN11*0</f>
        <v/>
      </c>
      <c r="CG11" s="38" t="n">
        <v>0</v>
      </c>
      <c r="CH11" s="284" t="n"/>
      <c r="CI11" s="36">
        <f>$KN11*15</f>
        <v/>
      </c>
      <c r="CJ11" s="47">
        <f>$KN11*15</f>
        <v/>
      </c>
      <c r="CK11" s="284">
        <f>$KN11*0</f>
        <v/>
      </c>
      <c r="CL11" s="38" t="n">
        <v>0</v>
      </c>
      <c r="CM11" s="284" t="n"/>
      <c r="CN11" s="36">
        <f>$KN11*15</f>
        <v/>
      </c>
      <c r="CO11" s="47">
        <f>$KN11*15</f>
        <v/>
      </c>
      <c r="CP11" s="284">
        <f>$KN11*0</f>
        <v/>
      </c>
      <c r="CQ11" s="38" t="n">
        <v>0</v>
      </c>
      <c r="CR11" s="284" t="n"/>
      <c r="CS11" s="36">
        <f>$KN11*15</f>
        <v/>
      </c>
      <c r="CT11" s="47">
        <f>$KN11*15</f>
        <v/>
      </c>
      <c r="CU11" s="284">
        <f>$KN11*0</f>
        <v/>
      </c>
      <c r="CV11" s="38" t="n">
        <v>0</v>
      </c>
      <c r="CW11" s="284" t="n"/>
      <c r="CX11" s="36">
        <f>$KN11*15</f>
        <v/>
      </c>
      <c r="CY11" s="47">
        <f>$KN11*15</f>
        <v/>
      </c>
      <c r="CZ11" s="39">
        <f>$KN11*0</f>
        <v/>
      </c>
      <c r="DA11" s="38" t="n">
        <v>0</v>
      </c>
      <c r="DB11" s="284" t="n"/>
      <c r="DC11" s="36">
        <f>$KN11*15</f>
        <v/>
      </c>
      <c r="DD11" s="47">
        <f>$KN11*15</f>
        <v/>
      </c>
      <c r="DE11" s="39">
        <f>$KN11*0</f>
        <v/>
      </c>
      <c r="DF11" s="38" t="n">
        <v>0</v>
      </c>
      <c r="DG11" s="284" t="n"/>
      <c r="DH11" s="36">
        <f>$KN11*15</f>
        <v/>
      </c>
      <c r="DI11" s="47">
        <f>$KN11*15</f>
        <v/>
      </c>
      <c r="DJ11" s="284">
        <f>$KN11*0</f>
        <v/>
      </c>
      <c r="DK11" s="52" t="n">
        <v>0</v>
      </c>
      <c r="DL11" s="284" t="n"/>
      <c r="DM11" s="36">
        <f>$KN11*15</f>
        <v/>
      </c>
      <c r="DN11" s="47">
        <f>$KN11*15</f>
        <v/>
      </c>
      <c r="DO11" s="284">
        <f>$KN11*0</f>
        <v/>
      </c>
      <c r="DP11" s="38" t="n">
        <v>0</v>
      </c>
      <c r="DQ11" s="284" t="n"/>
      <c r="DR11" s="36">
        <f>$KN11*15</f>
        <v/>
      </c>
      <c r="DS11" s="47">
        <f>$KN11*15</f>
        <v/>
      </c>
      <c r="DT11" s="284">
        <f>$KN11*0</f>
        <v/>
      </c>
      <c r="DU11" s="38" t="n">
        <v>0</v>
      </c>
      <c r="DV11" s="284" t="n"/>
      <c r="DW11" s="338">
        <f t="array" ref="DW11">SUMPRODUCT(--(MOD(COLUMN($BO11:$DV11),5)=MOD(COLUMN($BO11),5)),$BO11:$DV11)</f>
        <v/>
      </c>
      <c r="DX11" s="339">
        <f>DW11*$J11</f>
        <v/>
      </c>
      <c r="DY11" s="344">
        <f t="array" ref="DY11">SUMPRODUCT(--(MOD(COLUMN($BO11:$DV11),5)=MOD(COLUMN($BP11),5)),$BO11:$DV11)</f>
        <v/>
      </c>
      <c r="DZ11" s="345">
        <f>DY11*$J11</f>
        <v/>
      </c>
      <c r="EA11" s="340">
        <f t="array" ref="EA11">SUMPRODUCT(--(MOD(COLUMN($BO11:$DV11),5)=MOD(COLUMN($BQ11),5)),$BO11:$DV11)</f>
        <v/>
      </c>
      <c r="EB11" s="341">
        <f>EA11*$J11</f>
        <v/>
      </c>
      <c r="EC11" s="342">
        <f t="array" ref="EC11">SUMPRODUCT(--(MOD(COLUMN($BO11:$DV11),5)=MOD(COLUMN($BR11),5)),$BO11:$DV11)</f>
        <v/>
      </c>
      <c r="ED11" s="343">
        <f>EC11*$J11</f>
        <v/>
      </c>
      <c r="EE11" s="36">
        <f>$KN11*8+100</f>
        <v/>
      </c>
      <c r="EF11" s="284" t="n">
        <v>16</v>
      </c>
      <c r="EG11" s="38" t="n">
        <v>0</v>
      </c>
      <c r="EH11" s="284" t="n"/>
      <c r="EI11" s="36">
        <f>$KN11*9</f>
        <v/>
      </c>
      <c r="EJ11" s="284" t="n">
        <v>100</v>
      </c>
      <c r="EK11" s="38" t="n">
        <v>0</v>
      </c>
      <c r="EL11" s="284" t="n"/>
      <c r="EM11" s="36">
        <f>$KN11*9</f>
        <v/>
      </c>
      <c r="EN11" s="284" t="n">
        <v>0</v>
      </c>
      <c r="EO11" s="38" t="n">
        <v>2</v>
      </c>
      <c r="EP11" s="347" t="n"/>
      <c r="EQ11" s="36">
        <f>$KN11*15</f>
        <v/>
      </c>
      <c r="ER11" s="284" t="n">
        <v>2</v>
      </c>
      <c r="ES11" s="38" t="n">
        <v>0</v>
      </c>
      <c r="ET11" s="284" t="n"/>
      <c r="EU11" s="36">
        <f>$KN11*15</f>
        <v/>
      </c>
      <c r="EV11" s="284" t="n">
        <v>0</v>
      </c>
      <c r="EW11" s="38" t="n">
        <v>0</v>
      </c>
      <c r="EX11" s="284" t="n"/>
      <c r="EY11" s="36">
        <f>$KN11*15</f>
        <v/>
      </c>
      <c r="EZ11" s="284" t="n">
        <v>90</v>
      </c>
      <c r="FA11" s="38" t="n">
        <v>0</v>
      </c>
      <c r="FB11" s="284" t="n"/>
      <c r="FC11" s="36">
        <f>$KN11*15</f>
        <v/>
      </c>
      <c r="FD11" s="284" t="n">
        <v>30</v>
      </c>
      <c r="FE11" s="38" t="n">
        <v>0</v>
      </c>
      <c r="FF11" s="284" t="n"/>
      <c r="FG11" s="36">
        <f>$KN11*15</f>
        <v/>
      </c>
      <c r="FH11" s="284" t="n">
        <v>30</v>
      </c>
      <c r="FI11" s="38" t="n">
        <v>0</v>
      </c>
      <c r="FJ11" s="284" t="n"/>
      <c r="FK11" s="36">
        <f>$KN11*15</f>
        <v/>
      </c>
      <c r="FL11" s="284" t="n">
        <v>30</v>
      </c>
      <c r="FM11" s="38" t="n">
        <v>0</v>
      </c>
      <c r="FN11" s="284" t="n"/>
      <c r="FO11" s="36">
        <f>$KN11*15</f>
        <v/>
      </c>
      <c r="FP11" s="284" t="n">
        <v>30</v>
      </c>
      <c r="FQ11" s="38" t="n">
        <v>0</v>
      </c>
      <c r="FR11" s="284" t="n"/>
      <c r="FS11" s="36">
        <f>$KN11*14</f>
        <v/>
      </c>
      <c r="FT11" s="284" t="n">
        <v>28</v>
      </c>
      <c r="FU11" s="38" t="n">
        <v>0</v>
      </c>
      <c r="FV11" s="284" t="n"/>
      <c r="FW11" s="36">
        <f>$KN11*10</f>
        <v/>
      </c>
      <c r="FX11" s="284" t="n">
        <v>20</v>
      </c>
      <c r="FY11" s="38" t="n">
        <v>0</v>
      </c>
      <c r="FZ11" s="284" t="n"/>
      <c r="GA11" s="338">
        <f>SUMPRODUCT(--(MOD(COLUMN($EE11:$FZ11),4)=MOD(COLUMN($EE11),4)),$EE11:$FZ11)</f>
        <v/>
      </c>
      <c r="GB11" s="339">
        <f>GA11*$J11</f>
        <v/>
      </c>
      <c r="GC11" s="340">
        <f>SUMPRODUCT(--(MOD(COLUMN($EE11:$FZ11),4)=MOD(COLUMN($EF11),4)),$EE11:$FZ11)</f>
        <v/>
      </c>
      <c r="GD11" s="341">
        <f>GC11*$J11</f>
        <v/>
      </c>
      <c r="GE11" s="342">
        <f>SUMPRODUCT(--(MOD(COLUMN($EE11:$FZ11),4)=MOD(COLUMN($EG11),4)),$EE11:$FZ11)</f>
        <v/>
      </c>
      <c r="GF11" s="343">
        <f>GE11*$J11</f>
        <v/>
      </c>
      <c r="GG11" s="36">
        <f>$KN11*10</f>
        <v/>
      </c>
      <c r="GH11" s="284" t="n"/>
      <c r="GI11" s="38" t="n">
        <v>0</v>
      </c>
      <c r="GJ11" s="284" t="n"/>
      <c r="GK11" s="36">
        <f>$KN11*10</f>
        <v/>
      </c>
      <c r="GL11" s="284" t="n"/>
      <c r="GM11" s="38" t="n">
        <v>0</v>
      </c>
      <c r="GN11" s="284" t="n"/>
      <c r="GO11" s="36">
        <f>$KN11*15</f>
        <v/>
      </c>
      <c r="GP11" s="284" t="n"/>
      <c r="GQ11" s="38" t="n">
        <v>0</v>
      </c>
      <c r="GR11" s="284" t="n"/>
      <c r="GS11" s="36">
        <f>$KN11*20</f>
        <v/>
      </c>
      <c r="GT11" s="284" t="n"/>
      <c r="GU11" s="38" t="n">
        <v>0</v>
      </c>
      <c r="GV11" s="284" t="n"/>
      <c r="GW11" s="36">
        <f>$KN11*20</f>
        <v/>
      </c>
      <c r="GX11" s="284" t="n"/>
      <c r="GY11" s="38" t="n">
        <v>0</v>
      </c>
      <c r="GZ11" s="284" t="n"/>
      <c r="HA11" s="36">
        <f>$KN11*20</f>
        <v/>
      </c>
      <c r="HB11" s="284" t="n"/>
      <c r="HC11" s="38" t="n">
        <v>0</v>
      </c>
      <c r="HD11" s="284" t="n"/>
      <c r="HE11" s="36">
        <f>$KN11*20</f>
        <v/>
      </c>
      <c r="HF11" s="284" t="n"/>
      <c r="HG11" s="38" t="n">
        <v>0</v>
      </c>
      <c r="HH11" s="284" t="n"/>
      <c r="HI11" s="36">
        <f>$KN11*20</f>
        <v/>
      </c>
      <c r="HJ11" s="284" t="n"/>
      <c r="HK11" s="38" t="n">
        <v>0</v>
      </c>
      <c r="HL11" s="284" t="n"/>
      <c r="HM11" s="36">
        <f>$KN11*20</f>
        <v/>
      </c>
      <c r="HN11" s="284" t="n"/>
      <c r="HO11" s="38" t="n">
        <v>0</v>
      </c>
      <c r="HP11" s="284" t="n"/>
      <c r="HQ11" s="36">
        <f>$KN11*20</f>
        <v/>
      </c>
      <c r="HR11" s="284" t="n"/>
      <c r="HS11" s="38" t="n">
        <v>0</v>
      </c>
      <c r="HT11" s="284" t="n"/>
      <c r="HU11" s="36">
        <f>$KN11*20</f>
        <v/>
      </c>
      <c r="HV11" s="284" t="n"/>
      <c r="HW11" s="38" t="n">
        <v>0</v>
      </c>
      <c r="HX11" s="284" t="n"/>
      <c r="HY11" s="36">
        <f>$KN11*20</f>
        <v/>
      </c>
      <c r="HZ11" s="284" t="n"/>
      <c r="IA11" s="38" t="n">
        <v>0</v>
      </c>
      <c r="IB11" s="284" t="n"/>
      <c r="IC11" s="338">
        <f t="array" ref="IC11">SUMPRODUCT(--(MOD(COLUMN($GG11:$IB11),4)=MOD(COLUMN($GG11),4)),$GG11:$IB11)</f>
        <v/>
      </c>
      <c r="ID11" s="339">
        <f>IC11*$J11</f>
        <v/>
      </c>
      <c r="IE11" s="340">
        <f t="array" ref="IE11">SUMPRODUCT(--(MOD(COLUMN($GG11:$IB11),4)=MOD(COLUMN($GH11),4)),$GG11:$IB11)</f>
        <v/>
      </c>
      <c r="IF11" s="341">
        <f>IE11*$J11</f>
        <v/>
      </c>
      <c r="IG11" s="342">
        <f t="array" ref="IG11">SUMPRODUCT(--(MOD(COLUMN($GG11:$IB11),4)=MOD(COLUMN($GI11),4)),$GG11:$IB11)</f>
        <v/>
      </c>
      <c r="IH11" s="343">
        <f>IG11*$J11</f>
        <v/>
      </c>
      <c r="II11" s="36">
        <f>$KN11*15</f>
        <v/>
      </c>
      <c r="IJ11" s="284" t="n"/>
      <c r="IK11" s="38" t="n">
        <v>0</v>
      </c>
      <c r="IL11" s="284" t="n"/>
      <c r="IM11" s="36">
        <f>$KN11*15</f>
        <v/>
      </c>
      <c r="IN11" s="284" t="n"/>
      <c r="IO11" s="38" t="n">
        <v>0</v>
      </c>
      <c r="IP11" s="284" t="n"/>
      <c r="IQ11" s="36">
        <f>$KN11*20</f>
        <v/>
      </c>
      <c r="IR11" s="284" t="n"/>
      <c r="IS11" s="38" t="n">
        <v>0</v>
      </c>
      <c r="IT11" s="284" t="n"/>
      <c r="IU11" s="36">
        <f>$KN11*25</f>
        <v/>
      </c>
      <c r="IV11" s="284" t="n"/>
      <c r="IW11" s="38" t="n">
        <v>0</v>
      </c>
      <c r="IX11" s="284" t="n"/>
      <c r="IY11" s="36">
        <f>$KN11*25</f>
        <v/>
      </c>
      <c r="IZ11" s="284" t="n"/>
      <c r="JA11" s="38" t="n">
        <v>0</v>
      </c>
      <c r="JB11" s="284" t="n"/>
      <c r="JC11" s="36">
        <f>$KN11*25</f>
        <v/>
      </c>
      <c r="JD11" s="284" t="n"/>
      <c r="JE11" s="38" t="n">
        <v>0</v>
      </c>
      <c r="JF11" s="284" t="n"/>
      <c r="JG11" s="36">
        <f>$KN11*30</f>
        <v/>
      </c>
      <c r="JH11" s="284" t="n"/>
      <c r="JI11" s="38" t="n">
        <v>0</v>
      </c>
      <c r="JJ11" s="284" t="n"/>
      <c r="JK11" s="36">
        <f>$KN11*30</f>
        <v/>
      </c>
      <c r="JL11" s="284" t="n"/>
      <c r="JM11" s="38" t="n">
        <v>0</v>
      </c>
      <c r="JN11" s="284" t="n"/>
      <c r="JO11" s="36">
        <f>$KN11*30</f>
        <v/>
      </c>
      <c r="JP11" s="284" t="n"/>
      <c r="JQ11" s="38" t="n">
        <v>0</v>
      </c>
      <c r="JR11" s="284" t="n"/>
      <c r="JS11" s="36">
        <f>$KN11*30</f>
        <v/>
      </c>
      <c r="JT11" s="284" t="n"/>
      <c r="JU11" s="38" t="n">
        <v>0</v>
      </c>
      <c r="JV11" s="284" t="n"/>
      <c r="JW11" s="36">
        <f>$KN11*30</f>
        <v/>
      </c>
      <c r="JX11" s="284" t="n"/>
      <c r="JY11" s="38" t="n">
        <v>0</v>
      </c>
      <c r="JZ11" s="284" t="n"/>
      <c r="KA11" s="36" t="n">
        <v>30</v>
      </c>
      <c r="KB11" s="284" t="n"/>
      <c r="KC11" s="38" t="n">
        <v>0</v>
      </c>
      <c r="KD11" s="284" t="n"/>
      <c r="KE11" s="338">
        <f t="array" ref="KE11">SUMPRODUCT(--(MOD(COLUMN($II11:$KD11),4)=MOD(COLUMN($II11),4)),$II11:$KD11)</f>
        <v/>
      </c>
      <c r="KF11" s="339">
        <f>KE11*$J11</f>
        <v/>
      </c>
      <c r="KG11" s="340">
        <f t="array" ref="KG11">SUMPRODUCT(--(MOD(COLUMN($II11:$KD11),4)=MOD(COLUMN($IJ11),4)),$II11:$KD11)</f>
        <v/>
      </c>
      <c r="KH11" s="341">
        <f>KG11*$J11</f>
        <v/>
      </c>
      <c r="KI11" s="342">
        <f t="array" ref="KI11">SUMPRODUCT(--(MOD(COLUMN($II11:$KD11),4)=MOD(COLUMN($IK11),4)),$II11:$KD11)</f>
        <v/>
      </c>
      <c r="KJ11" s="346">
        <f>KI11*$J11</f>
        <v/>
      </c>
      <c r="KK11" s="12" t="n"/>
      <c r="KL11" s="12" t="n"/>
      <c r="KM11" s="12" t="n"/>
      <c r="KN11" s="51" t="n">
        <v>2</v>
      </c>
      <c r="KO11" s="347" t="n"/>
    </row>
    <row r="12" outlineLevel="1" ht="28.8" customHeight="1">
      <c r="A12" s="347" t="n"/>
      <c r="B12" s="347" t="n"/>
      <c r="C12" s="347" t="n"/>
      <c r="D12" s="347" t="n"/>
      <c r="E12" s="15" t="n">
        <v>7</v>
      </c>
      <c r="F12" s="15" t="n">
        <v>1</v>
      </c>
      <c r="G12" s="33" t="n">
        <v>4640061000</v>
      </c>
      <c r="H12" s="34" t="inlineStr">
        <is>
          <t>Кран уровня пола, 5-ти портовый</t>
        </is>
      </c>
      <c r="I12" s="337">
        <f>584/1.2</f>
        <v/>
      </c>
      <c r="J12" s="337">
        <f>584/1.2</f>
        <v/>
      </c>
      <c r="K12" s="337" t="n"/>
      <c r="L12" s="337" t="n"/>
      <c r="M12" s="36" t="n">
        <v>102</v>
      </c>
      <c r="N12" s="284" t="n">
        <v>102</v>
      </c>
      <c r="O12" s="38" t="n">
        <v>0</v>
      </c>
      <c r="P12" s="284" t="n"/>
      <c r="Q12" s="36" t="n">
        <v>50</v>
      </c>
      <c r="R12" s="284" t="n">
        <v>32</v>
      </c>
      <c r="S12" s="38" t="n">
        <v>32</v>
      </c>
      <c r="T12" s="347" t="n"/>
      <c r="U12" s="36" t="n">
        <v>0</v>
      </c>
      <c r="V12" s="284" t="n">
        <v>50</v>
      </c>
      <c r="W12" s="38" t="n">
        <v>50</v>
      </c>
      <c r="X12" s="347" t="n"/>
      <c r="Y12" s="36" t="n">
        <v>40</v>
      </c>
      <c r="Z12" s="284" t="n">
        <v>50</v>
      </c>
      <c r="AA12" s="38" t="n">
        <v>50</v>
      </c>
      <c r="AB12" s="347" t="n"/>
      <c r="AC12" s="36" t="n">
        <v>40</v>
      </c>
      <c r="AD12" s="284" t="n">
        <v>40</v>
      </c>
      <c r="AE12" s="38" t="n">
        <v>0</v>
      </c>
      <c r="AF12" s="284" t="n"/>
      <c r="AG12" s="36" t="n">
        <v>40</v>
      </c>
      <c r="AH12" s="39" t="n">
        <v>25</v>
      </c>
      <c r="AI12" s="38" t="n">
        <v>25</v>
      </c>
      <c r="AJ12" s="347" t="n"/>
      <c r="AK12" s="36" t="n">
        <v>40</v>
      </c>
      <c r="AL12" s="284" t="n">
        <v>25</v>
      </c>
      <c r="AM12" s="38" t="n">
        <v>25</v>
      </c>
      <c r="AN12" s="347" t="n"/>
      <c r="AO12" s="36" t="n">
        <v>40</v>
      </c>
      <c r="AP12" s="284" t="n">
        <v>0</v>
      </c>
      <c r="AQ12" s="38" t="n">
        <v>0</v>
      </c>
      <c r="AR12" s="347" t="n"/>
      <c r="AS12" s="36" t="n">
        <v>40</v>
      </c>
      <c r="AT12" s="284" t="n">
        <v>0</v>
      </c>
      <c r="AU12" s="38" t="n">
        <v>0</v>
      </c>
      <c r="AV12" s="347" t="n"/>
      <c r="AW12" s="36" t="n">
        <v>40</v>
      </c>
      <c r="AX12" s="284" t="n">
        <v>0</v>
      </c>
      <c r="AY12" s="54" t="n">
        <v>0</v>
      </c>
      <c r="AZ12" s="347" t="n"/>
      <c r="BA12" s="36" t="n">
        <v>40</v>
      </c>
      <c r="BB12" s="284" t="n">
        <v>0</v>
      </c>
      <c r="BC12" s="38" t="n">
        <v>0</v>
      </c>
      <c r="BD12" s="347" t="n"/>
      <c r="BE12" s="36" t="n">
        <v>40</v>
      </c>
      <c r="BF12" s="284">
        <f>$KN12*0</f>
        <v/>
      </c>
      <c r="BG12" s="38" t="n">
        <v>0</v>
      </c>
      <c r="BH12" s="347" t="n"/>
      <c r="BI12" s="338">
        <f>SUMPRODUCT(--(MOD(COLUMN($M12:$BH12),4)=MOD(COLUMN($M12),4)),$M12:$BH12)</f>
        <v/>
      </c>
      <c r="BJ12" s="339">
        <f>BI12*$I12</f>
        <v/>
      </c>
      <c r="BK12" s="340">
        <f>SUMPRODUCT(--(MOD(COLUMN($M12:$BH12),4)=MOD(COLUMN($M12)+1,4)),$M12:$BH12)</f>
        <v/>
      </c>
      <c r="BL12" s="341">
        <f>BK12*$I12</f>
        <v/>
      </c>
      <c r="BM12" s="342">
        <f>SUMPRODUCT(--(MOD(COLUMN($M12:$BH12),4)=MOD(COLUMN($M12)+2,4)),$M12:$BH12)</f>
        <v/>
      </c>
      <c r="BN12" s="343">
        <f>BM12*$I12</f>
        <v/>
      </c>
      <c r="BO12" s="36">
        <f>$KN12*0</f>
        <v/>
      </c>
      <c r="BP12" s="47">
        <f>$KN12*0</f>
        <v/>
      </c>
      <c r="BQ12" s="284">
        <f>$KN12*0</f>
        <v/>
      </c>
      <c r="BR12" s="38" t="n">
        <v>0</v>
      </c>
      <c r="BS12" s="284" t="n"/>
      <c r="BT12" s="36">
        <f>$KN12*5</f>
        <v/>
      </c>
      <c r="BU12" s="47">
        <f>$KN12*0</f>
        <v/>
      </c>
      <c r="BV12" s="284">
        <f>$KN12*0</f>
        <v/>
      </c>
      <c r="BW12" s="38" t="n">
        <v>0</v>
      </c>
      <c r="BX12" s="284" t="n"/>
      <c r="BY12" s="36">
        <f>$KN12*15</f>
        <v/>
      </c>
      <c r="BZ12" s="47">
        <f>$KN12*15</f>
        <v/>
      </c>
      <c r="CA12" s="284">
        <f>$KN12*0</f>
        <v/>
      </c>
      <c r="CB12" s="38" t="n">
        <v>0</v>
      </c>
      <c r="CC12" s="284" t="n"/>
      <c r="CD12" s="36">
        <f>$KN12*15</f>
        <v/>
      </c>
      <c r="CE12" s="47">
        <f>$KN12*15</f>
        <v/>
      </c>
      <c r="CF12" s="284">
        <f>$KN12*0</f>
        <v/>
      </c>
      <c r="CG12" s="38" t="n">
        <v>0</v>
      </c>
      <c r="CH12" s="284" t="n"/>
      <c r="CI12" s="36">
        <f>$KN12*15</f>
        <v/>
      </c>
      <c r="CJ12" s="47">
        <f>$KN12*15</f>
        <v/>
      </c>
      <c r="CK12" s="284">
        <f>$KN12*0</f>
        <v/>
      </c>
      <c r="CL12" s="38" t="n">
        <v>0</v>
      </c>
      <c r="CM12" s="284" t="n"/>
      <c r="CN12" s="36">
        <f>$KN12*15</f>
        <v/>
      </c>
      <c r="CO12" s="47">
        <f>$KN12*15</f>
        <v/>
      </c>
      <c r="CP12" s="284">
        <f>$KN12*0</f>
        <v/>
      </c>
      <c r="CQ12" s="38" t="n">
        <v>0</v>
      </c>
      <c r="CR12" s="284" t="n"/>
      <c r="CS12" s="36">
        <f>$KN12*15</f>
        <v/>
      </c>
      <c r="CT12" s="47">
        <f>$KN12*15</f>
        <v/>
      </c>
      <c r="CU12" s="284">
        <f>$KN12*0</f>
        <v/>
      </c>
      <c r="CV12" s="38" t="n">
        <v>0</v>
      </c>
      <c r="CW12" s="284" t="n"/>
      <c r="CX12" s="36">
        <f>$KN12*15</f>
        <v/>
      </c>
      <c r="CY12" s="47">
        <f>$KN12*15</f>
        <v/>
      </c>
      <c r="CZ12" s="39">
        <f>$KN12*0</f>
        <v/>
      </c>
      <c r="DA12" s="38" t="n">
        <v>0</v>
      </c>
      <c r="DB12" s="284" t="n"/>
      <c r="DC12" s="36">
        <f>$KN12*15</f>
        <v/>
      </c>
      <c r="DD12" s="47">
        <f>$KN12*15</f>
        <v/>
      </c>
      <c r="DE12" s="39">
        <f>$KN12*0</f>
        <v/>
      </c>
      <c r="DF12" s="38" t="n">
        <v>0</v>
      </c>
      <c r="DG12" s="284" t="n"/>
      <c r="DH12" s="36">
        <f>$KN12*15</f>
        <v/>
      </c>
      <c r="DI12" s="47">
        <f>$KN12*15</f>
        <v/>
      </c>
      <c r="DJ12" s="284">
        <f>$KN12*0</f>
        <v/>
      </c>
      <c r="DK12" s="38" t="n">
        <v>0</v>
      </c>
      <c r="DL12" s="284" t="n"/>
      <c r="DM12" s="36">
        <f>$KN12*15</f>
        <v/>
      </c>
      <c r="DN12" s="47">
        <f>$KN12*15</f>
        <v/>
      </c>
      <c r="DO12" s="284">
        <f>$KN12*0</f>
        <v/>
      </c>
      <c r="DP12" s="38" t="n">
        <v>0</v>
      </c>
      <c r="DQ12" s="284" t="n"/>
      <c r="DR12" s="36">
        <f>$KN12*15</f>
        <v/>
      </c>
      <c r="DS12" s="47">
        <f>$KN12*15</f>
        <v/>
      </c>
      <c r="DT12" s="284">
        <f>$KN12*0</f>
        <v/>
      </c>
      <c r="DU12" s="38" t="n">
        <v>0</v>
      </c>
      <c r="DV12" s="284" t="n"/>
      <c r="DW12" s="338">
        <f t="array" ref="DW12">SUMPRODUCT(--(MOD(COLUMN($BO12:$DV12),5)=MOD(COLUMN($BO12),5)),$BO12:$DV12)</f>
        <v/>
      </c>
      <c r="DX12" s="339">
        <f>DW12*$J12</f>
        <v/>
      </c>
      <c r="DY12" s="344">
        <f t="array" ref="DY12">SUMPRODUCT(--(MOD(COLUMN($BO12:$DV12),5)=MOD(COLUMN($BP12),5)),$BO12:$DV12)</f>
        <v/>
      </c>
      <c r="DZ12" s="345">
        <f>DY12*$J12</f>
        <v/>
      </c>
      <c r="EA12" s="340">
        <f t="array" ref="EA12">SUMPRODUCT(--(MOD(COLUMN($BO12:$DV12),5)=MOD(COLUMN($BQ12),5)),$BO12:$DV12)</f>
        <v/>
      </c>
      <c r="EB12" s="341">
        <f>EA12*$J12</f>
        <v/>
      </c>
      <c r="EC12" s="342">
        <f t="array" ref="EC12">SUMPRODUCT(--(MOD(COLUMN($BO12:$DV12),5)=MOD(COLUMN($BR12),5)),$BO12:$DV12)</f>
        <v/>
      </c>
      <c r="ED12" s="343">
        <f>EC12*$J12</f>
        <v/>
      </c>
      <c r="EE12" s="36">
        <f>$KN12*8</f>
        <v/>
      </c>
      <c r="EF12" s="284" t="n">
        <v>8</v>
      </c>
      <c r="EG12" s="38" t="n">
        <v>0</v>
      </c>
      <c r="EH12" s="284" t="n"/>
      <c r="EI12" s="36">
        <f>$KN12*9</f>
        <v/>
      </c>
      <c r="EJ12" s="284" t="n">
        <v>50</v>
      </c>
      <c r="EK12" s="38" t="n">
        <v>0</v>
      </c>
      <c r="EL12" s="284" t="n"/>
      <c r="EM12" s="36">
        <f>$KN12*9</f>
        <v/>
      </c>
      <c r="EN12" s="284" t="n">
        <v>0</v>
      </c>
      <c r="EO12" s="38" t="n">
        <v>0</v>
      </c>
      <c r="EP12" s="347" t="n"/>
      <c r="EQ12" s="36">
        <f>$KN12*15</f>
        <v/>
      </c>
      <c r="ER12" s="284" t="n">
        <v>1</v>
      </c>
      <c r="ES12" s="38" t="n">
        <v>0</v>
      </c>
      <c r="ET12" s="284" t="n"/>
      <c r="EU12" s="36">
        <f>$KN12*15</f>
        <v/>
      </c>
      <c r="EV12" s="284" t="n">
        <v>0</v>
      </c>
      <c r="EW12" s="38" t="n">
        <v>0</v>
      </c>
      <c r="EX12" s="284" t="n"/>
      <c r="EY12" s="36">
        <f>$KN12*15</f>
        <v/>
      </c>
      <c r="EZ12" s="284" t="n">
        <v>45</v>
      </c>
      <c r="FA12" s="38" t="n">
        <v>0</v>
      </c>
      <c r="FB12" s="284" t="n"/>
      <c r="FC12" s="36">
        <f>$KN12*15</f>
        <v/>
      </c>
      <c r="FD12" s="284" t="n">
        <v>15</v>
      </c>
      <c r="FE12" s="38" t="n">
        <v>0</v>
      </c>
      <c r="FF12" s="284" t="n"/>
      <c r="FG12" s="36">
        <f>$KN12*15</f>
        <v/>
      </c>
      <c r="FH12" s="284" t="n">
        <v>15</v>
      </c>
      <c r="FI12" s="38" t="n">
        <v>0</v>
      </c>
      <c r="FJ12" s="284" t="n"/>
      <c r="FK12" s="36">
        <f>$KN12*15</f>
        <v/>
      </c>
      <c r="FL12" s="284" t="n">
        <v>15</v>
      </c>
      <c r="FM12" s="38" t="n">
        <v>0</v>
      </c>
      <c r="FN12" s="284" t="n"/>
      <c r="FO12" s="36">
        <f>$KN12*15</f>
        <v/>
      </c>
      <c r="FP12" s="284" t="n">
        <v>15</v>
      </c>
      <c r="FQ12" s="38" t="n">
        <v>0</v>
      </c>
      <c r="FR12" s="284" t="n"/>
      <c r="FS12" s="36">
        <f>$KN12*14</f>
        <v/>
      </c>
      <c r="FT12" s="284" t="n">
        <v>14</v>
      </c>
      <c r="FU12" s="38" t="n">
        <v>0</v>
      </c>
      <c r="FV12" s="284" t="n"/>
      <c r="FW12" s="36">
        <f>$KN12*10</f>
        <v/>
      </c>
      <c r="FX12" s="284" t="n">
        <v>10</v>
      </c>
      <c r="FY12" s="38" t="n">
        <v>0</v>
      </c>
      <c r="FZ12" s="284" t="n"/>
      <c r="GA12" s="338">
        <f>SUMPRODUCT(--(MOD(COLUMN($EE12:$FZ12),4)=MOD(COLUMN($EE12),4)),$EE12:$FZ12)</f>
        <v/>
      </c>
      <c r="GB12" s="339">
        <f>GA12*$J12</f>
        <v/>
      </c>
      <c r="GC12" s="340">
        <f>SUMPRODUCT(--(MOD(COLUMN($EE12:$FZ12),4)=MOD(COLUMN($EF12),4)),$EE12:$FZ12)</f>
        <v/>
      </c>
      <c r="GD12" s="341">
        <f>GC12*$J12</f>
        <v/>
      </c>
      <c r="GE12" s="342">
        <f>SUMPRODUCT(--(MOD(COLUMN($EE12:$FZ12),4)=MOD(COLUMN($EG12),4)),$EE12:$FZ12)</f>
        <v/>
      </c>
      <c r="GF12" s="343">
        <f>GE12*$J12</f>
        <v/>
      </c>
      <c r="GG12" s="36">
        <f>$KN12*10</f>
        <v/>
      </c>
      <c r="GH12" s="284" t="n"/>
      <c r="GI12" s="38" t="n">
        <v>0</v>
      </c>
      <c r="GJ12" s="284" t="n"/>
      <c r="GK12" s="36">
        <f>$KN12*10</f>
        <v/>
      </c>
      <c r="GL12" s="284" t="n"/>
      <c r="GM12" s="38" t="n">
        <v>0</v>
      </c>
      <c r="GN12" s="284" t="n"/>
      <c r="GO12" s="36">
        <f>$KN12*15</f>
        <v/>
      </c>
      <c r="GP12" s="284" t="n"/>
      <c r="GQ12" s="38" t="n">
        <v>0</v>
      </c>
      <c r="GR12" s="284" t="n"/>
      <c r="GS12" s="36">
        <f>$KN12*20</f>
        <v/>
      </c>
      <c r="GT12" s="284" t="n"/>
      <c r="GU12" s="38" t="n">
        <v>0</v>
      </c>
      <c r="GV12" s="284" t="n"/>
      <c r="GW12" s="36">
        <f>$KN12*20</f>
        <v/>
      </c>
      <c r="GX12" s="284" t="n"/>
      <c r="GY12" s="38" t="n">
        <v>0</v>
      </c>
      <c r="GZ12" s="284" t="n"/>
      <c r="HA12" s="36">
        <f>$KN12*20</f>
        <v/>
      </c>
      <c r="HB12" s="284" t="n"/>
      <c r="HC12" s="38" t="n">
        <v>0</v>
      </c>
      <c r="HD12" s="284" t="n"/>
      <c r="HE12" s="36">
        <f>$KN12*20</f>
        <v/>
      </c>
      <c r="HF12" s="284" t="n"/>
      <c r="HG12" s="38" t="n">
        <v>0</v>
      </c>
      <c r="HH12" s="284" t="n"/>
      <c r="HI12" s="36">
        <f>$KN12*20</f>
        <v/>
      </c>
      <c r="HJ12" s="284" t="n"/>
      <c r="HK12" s="38" t="n">
        <v>0</v>
      </c>
      <c r="HL12" s="284" t="n"/>
      <c r="HM12" s="36">
        <f>$KN12*20</f>
        <v/>
      </c>
      <c r="HN12" s="284" t="n"/>
      <c r="HO12" s="38" t="n">
        <v>0</v>
      </c>
      <c r="HP12" s="284" t="n"/>
      <c r="HQ12" s="36">
        <f>$KN12*20</f>
        <v/>
      </c>
      <c r="HR12" s="284" t="n"/>
      <c r="HS12" s="38" t="n">
        <v>0</v>
      </c>
      <c r="HT12" s="284" t="n"/>
      <c r="HU12" s="36">
        <f>$KN12*20</f>
        <v/>
      </c>
      <c r="HV12" s="284" t="n"/>
      <c r="HW12" s="38" t="n">
        <v>0</v>
      </c>
      <c r="HX12" s="284" t="n"/>
      <c r="HY12" s="36">
        <f>$KN12*20</f>
        <v/>
      </c>
      <c r="HZ12" s="284" t="n"/>
      <c r="IA12" s="38" t="n">
        <v>0</v>
      </c>
      <c r="IB12" s="284" t="n"/>
      <c r="IC12" s="338">
        <f t="array" ref="IC12">SUMPRODUCT(--(MOD(COLUMN($GG12:$IB12),4)=MOD(COLUMN($GG12),4)),$GG12:$IB12)</f>
        <v/>
      </c>
      <c r="ID12" s="339">
        <f>IC12*$J12</f>
        <v/>
      </c>
      <c r="IE12" s="340">
        <f t="array" ref="IE12">SUMPRODUCT(--(MOD(COLUMN($GG12:$IB12),4)=MOD(COLUMN($GH12),4)),$GG12:$IB12)</f>
        <v/>
      </c>
      <c r="IF12" s="341">
        <f>IE12*$J12</f>
        <v/>
      </c>
      <c r="IG12" s="342">
        <f t="array" ref="IG12">SUMPRODUCT(--(MOD(COLUMN($GG12:$IB12),4)=MOD(COLUMN($GI12),4)),$GG12:$IB12)</f>
        <v/>
      </c>
      <c r="IH12" s="343">
        <f>IG12*$J12</f>
        <v/>
      </c>
      <c r="II12" s="36">
        <f>$KN12*15</f>
        <v/>
      </c>
      <c r="IJ12" s="284" t="n"/>
      <c r="IK12" s="38" t="n">
        <v>0</v>
      </c>
      <c r="IL12" s="284" t="n"/>
      <c r="IM12" s="36">
        <f>$KN12*15</f>
        <v/>
      </c>
      <c r="IN12" s="284" t="n"/>
      <c r="IO12" s="38" t="n">
        <v>0</v>
      </c>
      <c r="IP12" s="284" t="n"/>
      <c r="IQ12" s="36">
        <f>$KN12*20</f>
        <v/>
      </c>
      <c r="IR12" s="284" t="n"/>
      <c r="IS12" s="38" t="n">
        <v>0</v>
      </c>
      <c r="IT12" s="284" t="n"/>
      <c r="IU12" s="36">
        <f>$KN12*25</f>
        <v/>
      </c>
      <c r="IV12" s="284" t="n"/>
      <c r="IW12" s="38" t="n">
        <v>0</v>
      </c>
      <c r="IX12" s="284" t="n"/>
      <c r="IY12" s="36">
        <f>$KN12*25</f>
        <v/>
      </c>
      <c r="IZ12" s="284" t="n"/>
      <c r="JA12" s="38" t="n">
        <v>0</v>
      </c>
      <c r="JB12" s="284" t="n"/>
      <c r="JC12" s="36">
        <f>$KN12*25</f>
        <v/>
      </c>
      <c r="JD12" s="284" t="n"/>
      <c r="JE12" s="38" t="n">
        <v>0</v>
      </c>
      <c r="JF12" s="284" t="n"/>
      <c r="JG12" s="36">
        <f>$KN12*30</f>
        <v/>
      </c>
      <c r="JH12" s="284" t="n"/>
      <c r="JI12" s="38" t="n">
        <v>0</v>
      </c>
      <c r="JJ12" s="284" t="n"/>
      <c r="JK12" s="36">
        <f>$KN12*30</f>
        <v/>
      </c>
      <c r="JL12" s="284" t="n"/>
      <c r="JM12" s="38" t="n">
        <v>0</v>
      </c>
      <c r="JN12" s="284" t="n"/>
      <c r="JO12" s="36">
        <f>$KN12*30</f>
        <v/>
      </c>
      <c r="JP12" s="284" t="n"/>
      <c r="JQ12" s="38" t="n">
        <v>0</v>
      </c>
      <c r="JR12" s="284" t="n"/>
      <c r="JS12" s="36">
        <f>$KN12*30</f>
        <v/>
      </c>
      <c r="JT12" s="284" t="n"/>
      <c r="JU12" s="38" t="n">
        <v>0</v>
      </c>
      <c r="JV12" s="284" t="n"/>
      <c r="JW12" s="36">
        <f>$KN12*30</f>
        <v/>
      </c>
      <c r="JX12" s="284" t="n"/>
      <c r="JY12" s="38" t="n">
        <v>0</v>
      </c>
      <c r="JZ12" s="284" t="n"/>
      <c r="KA12" s="36" t="n">
        <v>30</v>
      </c>
      <c r="KB12" s="284" t="n"/>
      <c r="KC12" s="38" t="n">
        <v>0</v>
      </c>
      <c r="KD12" s="284" t="n"/>
      <c r="KE12" s="338">
        <f t="array" ref="KE12">SUMPRODUCT(--(MOD(COLUMN($II12:$KD12),4)=MOD(COLUMN($II12),4)),$II12:$KD12)</f>
        <v/>
      </c>
      <c r="KF12" s="339">
        <f>KE12*$J12</f>
        <v/>
      </c>
      <c r="KG12" s="340">
        <f t="array" ref="KG12">SUMPRODUCT(--(MOD(COLUMN($II12:$KD12),4)=MOD(COLUMN($IJ12),4)),$II12:$KD12)</f>
        <v/>
      </c>
      <c r="KH12" s="341">
        <f>KG12*$J12</f>
        <v/>
      </c>
      <c r="KI12" s="342">
        <f t="array" ref="KI12">SUMPRODUCT(--(MOD(COLUMN($II12:$KD12),4)=MOD(COLUMN($IK12),4)),$II12:$KD12)</f>
        <v/>
      </c>
      <c r="KJ12" s="346">
        <f>KI12*$J12</f>
        <v/>
      </c>
      <c r="KK12" s="12" t="n"/>
      <c r="KL12" s="12" t="n"/>
      <c r="KM12" s="12" t="n"/>
      <c r="KN12" s="51" t="n">
        <v>1</v>
      </c>
      <c r="KO12" s="347" t="n"/>
    </row>
    <row r="13" outlineLevel="1" ht="28.8" customHeight="1">
      <c r="A13" s="347" t="n"/>
      <c r="B13" s="347" t="n"/>
      <c r="C13" s="347" t="n"/>
      <c r="D13" s="347" t="n"/>
      <c r="E13" s="15" t="n">
        <v>8</v>
      </c>
      <c r="F13" s="15" t="n">
        <v>1</v>
      </c>
      <c r="G13" s="33" t="n">
        <v>4630320200</v>
      </c>
      <c r="H13" s="34" t="inlineStr">
        <is>
          <t>Кран ручного управления</t>
        </is>
      </c>
      <c r="I13" s="337">
        <f>537.4/1.2</f>
        <v/>
      </c>
      <c r="J13" s="337">
        <f>537.4/1.2</f>
        <v/>
      </c>
      <c r="K13" s="337" t="n"/>
      <c r="L13" s="337" t="n"/>
      <c r="M13" s="36" t="n">
        <v>102</v>
      </c>
      <c r="N13" s="284" t="n">
        <v>102</v>
      </c>
      <c r="O13" s="38" t="n">
        <v>0</v>
      </c>
      <c r="P13" s="284" t="n"/>
      <c r="Q13" s="36" t="n">
        <v>50</v>
      </c>
      <c r="R13" s="284" t="n">
        <v>32</v>
      </c>
      <c r="S13" s="38" t="n">
        <v>32</v>
      </c>
      <c r="T13" s="347" t="n"/>
      <c r="U13" s="36" t="n">
        <v>0</v>
      </c>
      <c r="V13" s="284" t="n">
        <v>50</v>
      </c>
      <c r="W13" s="38" t="n">
        <v>50</v>
      </c>
      <c r="X13" s="347" t="n"/>
      <c r="Y13" s="36" t="n">
        <v>40</v>
      </c>
      <c r="Z13" s="284" t="n">
        <v>50</v>
      </c>
      <c r="AA13" s="38" t="n">
        <v>50</v>
      </c>
      <c r="AB13" s="347" t="n"/>
      <c r="AC13" s="36" t="n">
        <v>40</v>
      </c>
      <c r="AD13" s="284" t="n">
        <v>40</v>
      </c>
      <c r="AE13" s="38" t="n">
        <v>0</v>
      </c>
      <c r="AF13" s="284" t="n"/>
      <c r="AG13" s="36" t="n">
        <v>40</v>
      </c>
      <c r="AH13" s="39" t="n">
        <v>25</v>
      </c>
      <c r="AI13" s="52" t="n">
        <v>25</v>
      </c>
      <c r="AJ13" s="347" t="n"/>
      <c r="AK13" s="36" t="n">
        <v>40</v>
      </c>
      <c r="AL13" s="284" t="n">
        <v>25</v>
      </c>
      <c r="AM13" s="52" t="n">
        <v>25</v>
      </c>
      <c r="AN13" s="347" t="n"/>
      <c r="AO13" s="36" t="n">
        <v>40</v>
      </c>
      <c r="AP13" s="284" t="n">
        <v>0</v>
      </c>
      <c r="AQ13" s="38" t="n">
        <v>0</v>
      </c>
      <c r="AR13" s="347" t="n"/>
      <c r="AS13" s="36" t="n">
        <v>40</v>
      </c>
      <c r="AT13" s="284" t="n">
        <v>0</v>
      </c>
      <c r="AU13" s="38" t="n">
        <v>0</v>
      </c>
      <c r="AV13" s="347" t="n"/>
      <c r="AW13" s="36" t="n">
        <v>40</v>
      </c>
      <c r="AX13" s="284" t="n">
        <v>0</v>
      </c>
      <c r="AY13" s="54" t="n">
        <v>0</v>
      </c>
      <c r="AZ13" s="347" t="n"/>
      <c r="BA13" s="36" t="n">
        <v>40</v>
      </c>
      <c r="BB13" s="284" t="n">
        <v>0</v>
      </c>
      <c r="BC13" s="52" t="n">
        <v>0</v>
      </c>
      <c r="BD13" s="347" t="n"/>
      <c r="BE13" s="36" t="n">
        <v>40</v>
      </c>
      <c r="BF13" s="284">
        <f>$KN13*0</f>
        <v/>
      </c>
      <c r="BG13" s="38" t="n">
        <v>0</v>
      </c>
      <c r="BH13" s="347" t="n"/>
      <c r="BI13" s="338">
        <f>SUMPRODUCT(--(MOD(COLUMN($M13:$BH13),4)=MOD(COLUMN($M13),4)),$M13:$BH13)</f>
        <v/>
      </c>
      <c r="BJ13" s="339">
        <f>BI13*$I13</f>
        <v/>
      </c>
      <c r="BK13" s="340">
        <f>SUMPRODUCT(--(MOD(COLUMN($M13:$BH13),4)=MOD(COLUMN($M13)+1,4)),$M13:$BH13)</f>
        <v/>
      </c>
      <c r="BL13" s="341">
        <f>BK13*$I13</f>
        <v/>
      </c>
      <c r="BM13" s="342">
        <f>SUMPRODUCT(--(MOD(COLUMN($M13:$BH13),4)=MOD(COLUMN($M13)+2,4)),$M13:$BH13)</f>
        <v/>
      </c>
      <c r="BN13" s="343">
        <f>BM13*$I13</f>
        <v/>
      </c>
      <c r="BO13" s="36">
        <f>$KN13*0</f>
        <v/>
      </c>
      <c r="BP13" s="47">
        <f>$KN13*0</f>
        <v/>
      </c>
      <c r="BQ13" s="284">
        <f>$KN13*0</f>
        <v/>
      </c>
      <c r="BR13" s="52" t="n">
        <v>0</v>
      </c>
      <c r="BS13" s="284" t="n"/>
      <c r="BT13" s="36">
        <f>$KN13*5</f>
        <v/>
      </c>
      <c r="BU13" s="47">
        <f>$KN13*0</f>
        <v/>
      </c>
      <c r="BV13" s="284">
        <f>$KN13*0</f>
        <v/>
      </c>
      <c r="BW13" s="38" t="n">
        <v>0</v>
      </c>
      <c r="BX13" s="284" t="n"/>
      <c r="BY13" s="36">
        <f>$KN13*15</f>
        <v/>
      </c>
      <c r="BZ13" s="47">
        <f>$KN13*15</f>
        <v/>
      </c>
      <c r="CA13" s="284">
        <f>$KN13*0</f>
        <v/>
      </c>
      <c r="CB13" s="38" t="n">
        <v>0</v>
      </c>
      <c r="CC13" s="284" t="n"/>
      <c r="CD13" s="36">
        <f>$KN13*15</f>
        <v/>
      </c>
      <c r="CE13" s="47">
        <f>$KN13*15</f>
        <v/>
      </c>
      <c r="CF13" s="284">
        <f>$KN13*0</f>
        <v/>
      </c>
      <c r="CG13" s="38" t="n">
        <v>0</v>
      </c>
      <c r="CH13" s="284" t="n"/>
      <c r="CI13" s="36">
        <f>$KN13*15</f>
        <v/>
      </c>
      <c r="CJ13" s="47">
        <f>$KN13*15</f>
        <v/>
      </c>
      <c r="CK13" s="284">
        <f>$KN13*0</f>
        <v/>
      </c>
      <c r="CL13" s="38" t="n">
        <v>0</v>
      </c>
      <c r="CM13" s="284" t="n"/>
      <c r="CN13" s="36">
        <f>$KN13*15</f>
        <v/>
      </c>
      <c r="CO13" s="47">
        <f>$KN13*15</f>
        <v/>
      </c>
      <c r="CP13" s="284">
        <f>$KN13*0</f>
        <v/>
      </c>
      <c r="CQ13" s="38" t="n">
        <v>0</v>
      </c>
      <c r="CR13" s="284" t="n"/>
      <c r="CS13" s="36">
        <f>$KN13*15</f>
        <v/>
      </c>
      <c r="CT13" s="47">
        <f>$KN13*15</f>
        <v/>
      </c>
      <c r="CU13" s="284">
        <f>$KN13*0</f>
        <v/>
      </c>
      <c r="CV13" s="38" t="n">
        <v>0</v>
      </c>
      <c r="CW13" s="284" t="n"/>
      <c r="CX13" s="36">
        <f>$KN13*15</f>
        <v/>
      </c>
      <c r="CY13" s="47">
        <f>$KN13*15</f>
        <v/>
      </c>
      <c r="CZ13" s="39">
        <f>$KN13*0</f>
        <v/>
      </c>
      <c r="DA13" s="38" t="n">
        <v>0</v>
      </c>
      <c r="DB13" s="284" t="n"/>
      <c r="DC13" s="36">
        <f>$KN13*15</f>
        <v/>
      </c>
      <c r="DD13" s="47">
        <f>$KN13*15</f>
        <v/>
      </c>
      <c r="DE13" s="39">
        <f>$KN13*0</f>
        <v/>
      </c>
      <c r="DF13" s="38" t="n">
        <v>0</v>
      </c>
      <c r="DG13" s="284" t="n"/>
      <c r="DH13" s="36">
        <f>$KN13*15</f>
        <v/>
      </c>
      <c r="DI13" s="47">
        <f>$KN13*15</f>
        <v/>
      </c>
      <c r="DJ13" s="284">
        <f>$KN13*0</f>
        <v/>
      </c>
      <c r="DK13" s="52" t="n">
        <v>0</v>
      </c>
      <c r="DL13" s="284" t="n"/>
      <c r="DM13" s="36">
        <f>$KN13*15</f>
        <v/>
      </c>
      <c r="DN13" s="47">
        <f>$KN13*15</f>
        <v/>
      </c>
      <c r="DO13" s="284">
        <f>$KN13*0</f>
        <v/>
      </c>
      <c r="DP13" s="38" t="n">
        <v>0</v>
      </c>
      <c r="DQ13" s="284" t="n"/>
      <c r="DR13" s="36">
        <f>$KN13*15</f>
        <v/>
      </c>
      <c r="DS13" s="47">
        <f>$KN13*15</f>
        <v/>
      </c>
      <c r="DT13" s="284">
        <f>$KN13*0</f>
        <v/>
      </c>
      <c r="DU13" s="38" t="n">
        <v>0</v>
      </c>
      <c r="DV13" s="284" t="n"/>
      <c r="DW13" s="338">
        <f t="array" ref="DW13">SUMPRODUCT(--(MOD(COLUMN($BO13:$DV13),5)=MOD(COLUMN($BO13),5)),$BO13:$DV13)</f>
        <v/>
      </c>
      <c r="DX13" s="339">
        <f>DW13*$J13</f>
        <v/>
      </c>
      <c r="DY13" s="344">
        <f t="array" ref="DY13">SUMPRODUCT(--(MOD(COLUMN($BO13:$DV13),5)=MOD(COLUMN($BP13),5)),$BO13:$DV13)</f>
        <v/>
      </c>
      <c r="DZ13" s="345">
        <f>DY13*$J13</f>
        <v/>
      </c>
      <c r="EA13" s="340">
        <f t="array" ref="EA13">SUMPRODUCT(--(MOD(COLUMN($BO13:$DV13),5)=MOD(COLUMN($BQ13),5)),$BO13:$DV13)</f>
        <v/>
      </c>
      <c r="EB13" s="341">
        <f>EA13*$J13</f>
        <v/>
      </c>
      <c r="EC13" s="342">
        <f t="array" ref="EC13">SUMPRODUCT(--(MOD(COLUMN($BO13:$DV13),5)=MOD(COLUMN($BR13),5)),$BO13:$DV13)</f>
        <v/>
      </c>
      <c r="ED13" s="343">
        <f>EC13*$J13</f>
        <v/>
      </c>
      <c r="EE13" s="36">
        <f>$KN13*8</f>
        <v/>
      </c>
      <c r="EF13" s="284" t="n">
        <v>8</v>
      </c>
      <c r="EG13" s="38" t="n">
        <v>0</v>
      </c>
      <c r="EH13" s="284" t="n"/>
      <c r="EI13" s="36">
        <f>$KN13*9</f>
        <v/>
      </c>
      <c r="EJ13" s="284" t="n">
        <v>50</v>
      </c>
      <c r="EK13" s="38" t="n">
        <v>0</v>
      </c>
      <c r="EL13" s="284" t="n"/>
      <c r="EM13" s="36">
        <f>$KN13*9</f>
        <v/>
      </c>
      <c r="EN13" s="284" t="n">
        <v>0</v>
      </c>
      <c r="EO13" s="38" t="n">
        <v>0</v>
      </c>
      <c r="EP13" s="347" t="n"/>
      <c r="EQ13" s="36">
        <f>$KN13*15</f>
        <v/>
      </c>
      <c r="ER13" s="284" t="n">
        <v>1</v>
      </c>
      <c r="ES13" s="38" t="n">
        <v>0</v>
      </c>
      <c r="ET13" s="284" t="n"/>
      <c r="EU13" s="36">
        <f>$KN13*15</f>
        <v/>
      </c>
      <c r="EV13" s="284" t="n">
        <v>0</v>
      </c>
      <c r="EW13" s="38" t="n">
        <v>0</v>
      </c>
      <c r="EX13" s="284" t="n"/>
      <c r="EY13" s="36">
        <f>$KN13*15</f>
        <v/>
      </c>
      <c r="EZ13" s="284" t="n">
        <v>45</v>
      </c>
      <c r="FA13" s="38" t="n">
        <v>0</v>
      </c>
      <c r="FB13" s="284" t="n"/>
      <c r="FC13" s="36">
        <f>$KN13*15</f>
        <v/>
      </c>
      <c r="FD13" s="284" t="n">
        <v>15</v>
      </c>
      <c r="FE13" s="38" t="n">
        <v>0</v>
      </c>
      <c r="FF13" s="284" t="n"/>
      <c r="FG13" s="36">
        <f>$KN13*15</f>
        <v/>
      </c>
      <c r="FH13" s="284" t="n">
        <v>15</v>
      </c>
      <c r="FI13" s="38" t="n">
        <v>0</v>
      </c>
      <c r="FJ13" s="284" t="n"/>
      <c r="FK13" s="36">
        <f>$KN13*15</f>
        <v/>
      </c>
      <c r="FL13" s="284" t="n">
        <v>15</v>
      </c>
      <c r="FM13" s="38" t="n">
        <v>0</v>
      </c>
      <c r="FN13" s="284" t="n"/>
      <c r="FO13" s="36">
        <f>$KN13*15</f>
        <v/>
      </c>
      <c r="FP13" s="284" t="n">
        <v>15</v>
      </c>
      <c r="FQ13" s="38" t="n">
        <v>0</v>
      </c>
      <c r="FR13" s="284" t="n"/>
      <c r="FS13" s="36">
        <f>$KN13*14</f>
        <v/>
      </c>
      <c r="FT13" s="284" t="n">
        <v>14</v>
      </c>
      <c r="FU13" s="38" t="n">
        <v>0</v>
      </c>
      <c r="FV13" s="284" t="n"/>
      <c r="FW13" s="36">
        <f>$KN13*10</f>
        <v/>
      </c>
      <c r="FX13" s="284" t="n">
        <v>10</v>
      </c>
      <c r="FY13" s="38" t="n">
        <v>0</v>
      </c>
      <c r="FZ13" s="284" t="n"/>
      <c r="GA13" s="338">
        <f>SUMPRODUCT(--(MOD(COLUMN($EE13:$FZ13),4)=MOD(COLUMN($EE13),4)),$EE13:$FZ13)</f>
        <v/>
      </c>
      <c r="GB13" s="339">
        <f>GA13*$J13</f>
        <v/>
      </c>
      <c r="GC13" s="340">
        <f>SUMPRODUCT(--(MOD(COLUMN($EE13:$FZ13),4)=MOD(COLUMN($EF13),4)),$EE13:$FZ13)</f>
        <v/>
      </c>
      <c r="GD13" s="341">
        <f>GC13*$J13</f>
        <v/>
      </c>
      <c r="GE13" s="342">
        <f>SUMPRODUCT(--(MOD(COLUMN($EE13:$FZ13),4)=MOD(COLUMN($EG13),4)),$EE13:$FZ13)</f>
        <v/>
      </c>
      <c r="GF13" s="343">
        <f>GE13*$J13</f>
        <v/>
      </c>
      <c r="GG13" s="36">
        <f>$KN13*10</f>
        <v/>
      </c>
      <c r="GH13" s="284" t="n"/>
      <c r="GI13" s="38" t="n">
        <v>0</v>
      </c>
      <c r="GJ13" s="284" t="n"/>
      <c r="GK13" s="36">
        <f>$KN13*10</f>
        <v/>
      </c>
      <c r="GL13" s="284" t="n"/>
      <c r="GM13" s="38" t="n">
        <v>0</v>
      </c>
      <c r="GN13" s="284" t="n"/>
      <c r="GO13" s="36">
        <f>$KN13*15</f>
        <v/>
      </c>
      <c r="GP13" s="284" t="n"/>
      <c r="GQ13" s="38" t="n">
        <v>0</v>
      </c>
      <c r="GR13" s="284" t="n"/>
      <c r="GS13" s="36">
        <f>$KN13*20</f>
        <v/>
      </c>
      <c r="GT13" s="284" t="n"/>
      <c r="GU13" s="38" t="n">
        <v>0</v>
      </c>
      <c r="GV13" s="284" t="n"/>
      <c r="GW13" s="36">
        <f>$KN13*20</f>
        <v/>
      </c>
      <c r="GX13" s="284" t="n"/>
      <c r="GY13" s="38" t="n">
        <v>0</v>
      </c>
      <c r="GZ13" s="284" t="n"/>
      <c r="HA13" s="36">
        <f>$KN13*20</f>
        <v/>
      </c>
      <c r="HB13" s="284" t="n"/>
      <c r="HC13" s="38" t="n">
        <v>0</v>
      </c>
      <c r="HD13" s="284" t="n"/>
      <c r="HE13" s="36">
        <f>$KN13*20</f>
        <v/>
      </c>
      <c r="HF13" s="284" t="n"/>
      <c r="HG13" s="38" t="n">
        <v>0</v>
      </c>
      <c r="HH13" s="284" t="n"/>
      <c r="HI13" s="36">
        <f>$KN13*20</f>
        <v/>
      </c>
      <c r="HJ13" s="284" t="n"/>
      <c r="HK13" s="38" t="n">
        <v>0</v>
      </c>
      <c r="HL13" s="284" t="n"/>
      <c r="HM13" s="36">
        <f>$KN13*20</f>
        <v/>
      </c>
      <c r="HN13" s="284" t="n"/>
      <c r="HO13" s="38" t="n">
        <v>0</v>
      </c>
      <c r="HP13" s="284" t="n"/>
      <c r="HQ13" s="36">
        <f>$KN13*20</f>
        <v/>
      </c>
      <c r="HR13" s="284" t="n"/>
      <c r="HS13" s="38" t="n">
        <v>0</v>
      </c>
      <c r="HT13" s="284" t="n"/>
      <c r="HU13" s="36">
        <f>$KN13*20</f>
        <v/>
      </c>
      <c r="HV13" s="284" t="n"/>
      <c r="HW13" s="38" t="n">
        <v>0</v>
      </c>
      <c r="HX13" s="284" t="n"/>
      <c r="HY13" s="36">
        <f>$KN13*20</f>
        <v/>
      </c>
      <c r="HZ13" s="284" t="n"/>
      <c r="IA13" s="38" t="n">
        <v>0</v>
      </c>
      <c r="IB13" s="284" t="n"/>
      <c r="IC13" s="338">
        <f t="array" ref="IC13">SUMPRODUCT(--(MOD(COLUMN($GG13:$IB13),4)=MOD(COLUMN($GG13),4)),$GG13:$IB13)</f>
        <v/>
      </c>
      <c r="ID13" s="339">
        <f>IC13*$J13</f>
        <v/>
      </c>
      <c r="IE13" s="340">
        <f t="array" ref="IE13">SUMPRODUCT(--(MOD(COLUMN($GG13:$IB13),4)=MOD(COLUMN($GH13),4)),$GG13:$IB13)</f>
        <v/>
      </c>
      <c r="IF13" s="341">
        <f>IE13*$J13</f>
        <v/>
      </c>
      <c r="IG13" s="342">
        <f t="array" ref="IG13">SUMPRODUCT(--(MOD(COLUMN($GG13:$IB13),4)=MOD(COLUMN($GI13),4)),$GG13:$IB13)</f>
        <v/>
      </c>
      <c r="IH13" s="343">
        <f>IG13*$J13</f>
        <v/>
      </c>
      <c r="II13" s="36">
        <f>$KN13*15</f>
        <v/>
      </c>
      <c r="IJ13" s="284" t="n"/>
      <c r="IK13" s="38" t="n">
        <v>0</v>
      </c>
      <c r="IL13" s="284" t="n"/>
      <c r="IM13" s="36">
        <f>$KN13*15</f>
        <v/>
      </c>
      <c r="IN13" s="284" t="n"/>
      <c r="IO13" s="38" t="n">
        <v>0</v>
      </c>
      <c r="IP13" s="284" t="n"/>
      <c r="IQ13" s="36">
        <f>$KN13*20</f>
        <v/>
      </c>
      <c r="IR13" s="284" t="n"/>
      <c r="IS13" s="38" t="n">
        <v>0</v>
      </c>
      <c r="IT13" s="284" t="n"/>
      <c r="IU13" s="36">
        <f>$KN13*25</f>
        <v/>
      </c>
      <c r="IV13" s="284" t="n"/>
      <c r="IW13" s="38" t="n">
        <v>0</v>
      </c>
      <c r="IX13" s="284" t="n"/>
      <c r="IY13" s="36">
        <f>$KN13*25</f>
        <v/>
      </c>
      <c r="IZ13" s="284" t="n"/>
      <c r="JA13" s="38" t="n">
        <v>0</v>
      </c>
      <c r="JB13" s="284" t="n"/>
      <c r="JC13" s="36">
        <f>$KN13*25</f>
        <v/>
      </c>
      <c r="JD13" s="284" t="n"/>
      <c r="JE13" s="38" t="n">
        <v>0</v>
      </c>
      <c r="JF13" s="284" t="n"/>
      <c r="JG13" s="36">
        <f>$KN13*30</f>
        <v/>
      </c>
      <c r="JH13" s="284" t="n"/>
      <c r="JI13" s="38" t="n">
        <v>0</v>
      </c>
      <c r="JJ13" s="284" t="n"/>
      <c r="JK13" s="36">
        <f>$KN13*30</f>
        <v/>
      </c>
      <c r="JL13" s="284" t="n"/>
      <c r="JM13" s="38" t="n">
        <v>0</v>
      </c>
      <c r="JN13" s="284" t="n"/>
      <c r="JO13" s="36">
        <f>$KN13*30</f>
        <v/>
      </c>
      <c r="JP13" s="284" t="n"/>
      <c r="JQ13" s="38" t="n">
        <v>0</v>
      </c>
      <c r="JR13" s="284" t="n"/>
      <c r="JS13" s="36">
        <f>$KN13*30</f>
        <v/>
      </c>
      <c r="JT13" s="284" t="n"/>
      <c r="JU13" s="38" t="n">
        <v>0</v>
      </c>
      <c r="JV13" s="284" t="n"/>
      <c r="JW13" s="36">
        <f>$KN13*30</f>
        <v/>
      </c>
      <c r="JX13" s="284" t="n"/>
      <c r="JY13" s="38" t="n">
        <v>0</v>
      </c>
      <c r="JZ13" s="284" t="n"/>
      <c r="KA13" s="36" t="n">
        <v>30</v>
      </c>
      <c r="KB13" s="284" t="n"/>
      <c r="KC13" s="38" t="n">
        <v>0</v>
      </c>
      <c r="KD13" s="284" t="n"/>
      <c r="KE13" s="338">
        <f t="array" ref="KE13">SUMPRODUCT(--(MOD(COLUMN($II13:$KD13),4)=MOD(COLUMN($II13),4)),$II13:$KD13)</f>
        <v/>
      </c>
      <c r="KF13" s="339">
        <f>KE13*$J13</f>
        <v/>
      </c>
      <c r="KG13" s="340">
        <f t="array" ref="KG13">SUMPRODUCT(--(MOD(COLUMN($II13:$KD13),4)=MOD(COLUMN($IJ13),4)),$II13:$KD13)</f>
        <v/>
      </c>
      <c r="KH13" s="341">
        <f>KG13*$J13</f>
        <v/>
      </c>
      <c r="KI13" s="342">
        <f t="array" ref="KI13">SUMPRODUCT(--(MOD(COLUMN($II13:$KD13),4)=MOD(COLUMN($IK13),4)),$II13:$KD13)</f>
        <v/>
      </c>
      <c r="KJ13" s="346">
        <f>KI13*$J13</f>
        <v/>
      </c>
      <c r="KK13" s="12" t="n"/>
      <c r="KL13" s="12" t="n"/>
      <c r="KM13" s="12" t="n"/>
      <c r="KN13" s="51" t="n">
        <v>1</v>
      </c>
      <c r="KO13" s="347" t="n"/>
    </row>
    <row r="14" outlineLevel="1">
      <c r="A14" s="347" t="n"/>
      <c r="B14" s="347" t="n"/>
      <c r="C14" s="347" t="n"/>
      <c r="D14" s="347" t="n"/>
      <c r="E14" s="15" t="n">
        <v>9</v>
      </c>
      <c r="F14" s="15" t="n">
        <v>1</v>
      </c>
      <c r="G14" s="33" t="n">
        <v>4334010030</v>
      </c>
      <c r="H14" s="34" t="inlineStr">
        <is>
          <t>Упругий элемент</t>
        </is>
      </c>
      <c r="I14" s="337">
        <f>41.9/1.2</f>
        <v/>
      </c>
      <c r="J14" s="337">
        <f>41.9/1.2</f>
        <v/>
      </c>
      <c r="K14" s="337" t="n"/>
      <c r="L14" s="337" t="n"/>
      <c r="M14" s="36" t="n">
        <v>102</v>
      </c>
      <c r="N14" s="284" t="n">
        <v>102</v>
      </c>
      <c r="O14" s="38" t="n">
        <v>0</v>
      </c>
      <c r="P14" s="284" t="n"/>
      <c r="Q14" s="36" t="n">
        <v>50</v>
      </c>
      <c r="R14" s="284" t="n">
        <v>32</v>
      </c>
      <c r="S14" s="38" t="n">
        <v>32</v>
      </c>
      <c r="T14" s="347" t="n"/>
      <c r="U14" s="36" t="n">
        <v>0</v>
      </c>
      <c r="V14" s="284" t="n">
        <v>50</v>
      </c>
      <c r="W14" s="38" t="n">
        <v>50</v>
      </c>
      <c r="X14" s="347" t="n"/>
      <c r="Y14" s="36" t="n">
        <v>40</v>
      </c>
      <c r="Z14" s="284" t="n">
        <v>50</v>
      </c>
      <c r="AA14" s="38" t="n">
        <v>50</v>
      </c>
      <c r="AB14" s="347" t="n"/>
      <c r="AC14" s="36" t="n">
        <v>40</v>
      </c>
      <c r="AD14" s="284" t="n">
        <v>40</v>
      </c>
      <c r="AE14" s="38" t="n">
        <v>0</v>
      </c>
      <c r="AF14" s="284" t="n"/>
      <c r="AG14" s="36" t="n">
        <v>40</v>
      </c>
      <c r="AH14" s="39" t="n">
        <v>25</v>
      </c>
      <c r="AI14" s="38" t="n">
        <v>25</v>
      </c>
      <c r="AJ14" s="347" t="n"/>
      <c r="AK14" s="36" t="n">
        <v>40</v>
      </c>
      <c r="AL14" s="284" t="n">
        <v>25</v>
      </c>
      <c r="AM14" s="38" t="n">
        <v>25</v>
      </c>
      <c r="AN14" s="347" t="n"/>
      <c r="AO14" s="36" t="n">
        <v>40</v>
      </c>
      <c r="AP14" s="284" t="n">
        <v>0</v>
      </c>
      <c r="AQ14" s="38" t="n">
        <v>0</v>
      </c>
      <c r="AR14" s="347" t="n"/>
      <c r="AS14" s="36" t="n">
        <v>40</v>
      </c>
      <c r="AT14" s="284" t="n">
        <v>0</v>
      </c>
      <c r="AU14" s="38" t="n">
        <v>0</v>
      </c>
      <c r="AV14" s="347" t="n"/>
      <c r="AW14" s="36" t="n">
        <v>40</v>
      </c>
      <c r="AX14" s="284" t="n">
        <v>0</v>
      </c>
      <c r="AY14" s="54" t="n">
        <v>0</v>
      </c>
      <c r="AZ14" s="347" t="n"/>
      <c r="BA14" s="36" t="n">
        <v>40</v>
      </c>
      <c r="BB14" s="284" t="n">
        <v>0</v>
      </c>
      <c r="BC14" s="38" t="n">
        <v>0</v>
      </c>
      <c r="BD14" s="347" t="n"/>
      <c r="BE14" s="36" t="n">
        <v>40</v>
      </c>
      <c r="BF14" s="284">
        <f>$KN14*0</f>
        <v/>
      </c>
      <c r="BG14" s="38" t="n">
        <v>0</v>
      </c>
      <c r="BH14" s="347" t="n"/>
      <c r="BI14" s="338">
        <f>SUMPRODUCT(--(MOD(COLUMN($M14:$BH14),4)=MOD(COLUMN($M14),4)),$M14:$BH14)</f>
        <v/>
      </c>
      <c r="BJ14" s="339">
        <f>BI14*$I14</f>
        <v/>
      </c>
      <c r="BK14" s="340">
        <f>SUMPRODUCT(--(MOD(COLUMN($M14:$BH14),4)=MOD(COLUMN($M14)+1,4)),$M14:$BH14)</f>
        <v/>
      </c>
      <c r="BL14" s="341">
        <f>BK14*$I14</f>
        <v/>
      </c>
      <c r="BM14" s="342">
        <f>SUMPRODUCT(--(MOD(COLUMN($M14:$BH14),4)=MOD(COLUMN($M14)+2,4)),$M14:$BH14)</f>
        <v/>
      </c>
      <c r="BN14" s="343">
        <f>BM14*$I14</f>
        <v/>
      </c>
      <c r="BO14" s="36">
        <f>$KN14*0</f>
        <v/>
      </c>
      <c r="BP14" s="47">
        <f>$KN14*0</f>
        <v/>
      </c>
      <c r="BQ14" s="284">
        <f>$KN14*0</f>
        <v/>
      </c>
      <c r="BR14" s="38" t="n">
        <v>0</v>
      </c>
      <c r="BS14" s="284" t="n"/>
      <c r="BT14" s="36">
        <f>$KN14*5</f>
        <v/>
      </c>
      <c r="BU14" s="47">
        <f>$KN14*0</f>
        <v/>
      </c>
      <c r="BV14" s="284">
        <f>$KN14*0</f>
        <v/>
      </c>
      <c r="BW14" s="38" t="n">
        <v>0</v>
      </c>
      <c r="BX14" s="284" t="n"/>
      <c r="BY14" s="36">
        <f>$KN14*15</f>
        <v/>
      </c>
      <c r="BZ14" s="47">
        <f>$KN14*15</f>
        <v/>
      </c>
      <c r="CA14" s="284">
        <f>$KN14*0</f>
        <v/>
      </c>
      <c r="CB14" s="38" t="n">
        <v>0</v>
      </c>
      <c r="CC14" s="284" t="n"/>
      <c r="CD14" s="36">
        <f>$KN14*15</f>
        <v/>
      </c>
      <c r="CE14" s="47">
        <f>$KN14*15</f>
        <v/>
      </c>
      <c r="CF14" s="284">
        <f>$KN14*0</f>
        <v/>
      </c>
      <c r="CG14" s="38" t="n">
        <v>0</v>
      </c>
      <c r="CH14" s="284" t="n"/>
      <c r="CI14" s="36">
        <f>$KN14*15</f>
        <v/>
      </c>
      <c r="CJ14" s="47">
        <f>$KN14*15</f>
        <v/>
      </c>
      <c r="CK14" s="284">
        <f>$KN14*0</f>
        <v/>
      </c>
      <c r="CL14" s="38" t="n">
        <v>0</v>
      </c>
      <c r="CM14" s="284" t="n"/>
      <c r="CN14" s="36">
        <f>$KN14*15</f>
        <v/>
      </c>
      <c r="CO14" s="47">
        <f>$KN14*15</f>
        <v/>
      </c>
      <c r="CP14" s="284">
        <f>$KN14*0</f>
        <v/>
      </c>
      <c r="CQ14" s="38" t="n">
        <v>0</v>
      </c>
      <c r="CR14" s="284" t="n"/>
      <c r="CS14" s="36">
        <f>$KN14*15</f>
        <v/>
      </c>
      <c r="CT14" s="47">
        <f>$KN14*15</f>
        <v/>
      </c>
      <c r="CU14" s="284">
        <f>$KN14*0</f>
        <v/>
      </c>
      <c r="CV14" s="38" t="n">
        <v>0</v>
      </c>
      <c r="CW14" s="284" t="n"/>
      <c r="CX14" s="36">
        <f>$KN14*15</f>
        <v/>
      </c>
      <c r="CY14" s="47">
        <f>$KN14*15</f>
        <v/>
      </c>
      <c r="CZ14" s="39">
        <f>$KN14*0</f>
        <v/>
      </c>
      <c r="DA14" s="38" t="n">
        <v>0</v>
      </c>
      <c r="DB14" s="284" t="n"/>
      <c r="DC14" s="36">
        <f>$KN14*15</f>
        <v/>
      </c>
      <c r="DD14" s="47">
        <f>$KN14*15</f>
        <v/>
      </c>
      <c r="DE14" s="39">
        <f>$KN14*0</f>
        <v/>
      </c>
      <c r="DF14" s="38" t="n">
        <v>0</v>
      </c>
      <c r="DG14" s="284" t="n"/>
      <c r="DH14" s="36">
        <f>$KN14*15</f>
        <v/>
      </c>
      <c r="DI14" s="47">
        <f>$KN14*15</f>
        <v/>
      </c>
      <c r="DJ14" s="284">
        <f>$KN14*0</f>
        <v/>
      </c>
      <c r="DK14" s="38" t="n">
        <v>0</v>
      </c>
      <c r="DL14" s="284" t="n"/>
      <c r="DM14" s="36">
        <f>$KN14*15</f>
        <v/>
      </c>
      <c r="DN14" s="47">
        <f>$KN14*15</f>
        <v/>
      </c>
      <c r="DO14" s="284">
        <f>$KN14*0</f>
        <v/>
      </c>
      <c r="DP14" s="38" t="n">
        <v>0</v>
      </c>
      <c r="DQ14" s="284" t="n"/>
      <c r="DR14" s="36">
        <f>$KN14*15</f>
        <v/>
      </c>
      <c r="DS14" s="47">
        <f>$KN14*15</f>
        <v/>
      </c>
      <c r="DT14" s="284">
        <f>$KN14*0</f>
        <v/>
      </c>
      <c r="DU14" s="38" t="n">
        <v>0</v>
      </c>
      <c r="DV14" s="284" t="n"/>
      <c r="DW14" s="338">
        <f t="array" ref="DW14">SUMPRODUCT(--(MOD(COLUMN($BO14:$DV14),5)=MOD(COLUMN($BO14),5)),$BO14:$DV14)</f>
        <v/>
      </c>
      <c r="DX14" s="339">
        <f>DW14*$J14</f>
        <v/>
      </c>
      <c r="DY14" s="344">
        <f t="array" ref="DY14">SUMPRODUCT(--(MOD(COLUMN($BO14:$DV14),5)=MOD(COLUMN($BP14),5)),$BO14:$DV14)</f>
        <v/>
      </c>
      <c r="DZ14" s="345">
        <f>DY14*$J14</f>
        <v/>
      </c>
      <c r="EA14" s="340">
        <f t="array" ref="EA14">SUMPRODUCT(--(MOD(COLUMN($BO14:$DV14),5)=MOD(COLUMN($BQ14),5)),$BO14:$DV14)</f>
        <v/>
      </c>
      <c r="EB14" s="341">
        <f>EA14*$J14</f>
        <v/>
      </c>
      <c r="EC14" s="342">
        <f t="array" ref="EC14">SUMPRODUCT(--(MOD(COLUMN($BO14:$DV14),5)=MOD(COLUMN($BR14),5)),$BO14:$DV14)</f>
        <v/>
      </c>
      <c r="ED14" s="343">
        <f>EC14*$J14</f>
        <v/>
      </c>
      <c r="EE14" s="36">
        <f>$KN14*8</f>
        <v/>
      </c>
      <c r="EF14" s="284" t="n">
        <v>8</v>
      </c>
      <c r="EG14" s="38" t="n">
        <v>0</v>
      </c>
      <c r="EH14" s="284" t="n"/>
      <c r="EI14" s="36">
        <f>$KN14*9</f>
        <v/>
      </c>
      <c r="EJ14" s="284" t="n">
        <v>50</v>
      </c>
      <c r="EK14" s="38" t="n">
        <v>0</v>
      </c>
      <c r="EL14" s="284" t="n"/>
      <c r="EM14" s="36">
        <f>$KN14*9</f>
        <v/>
      </c>
      <c r="EN14" s="284" t="n">
        <v>0</v>
      </c>
      <c r="EO14" s="38" t="n">
        <v>0</v>
      </c>
      <c r="EP14" s="347" t="n"/>
      <c r="EQ14" s="36">
        <f>$KN14*15</f>
        <v/>
      </c>
      <c r="ER14" s="284" t="n">
        <v>1</v>
      </c>
      <c r="ES14" s="38" t="n">
        <v>0</v>
      </c>
      <c r="ET14" s="284" t="n"/>
      <c r="EU14" s="36">
        <f>$KN14*15</f>
        <v/>
      </c>
      <c r="EV14" s="284" t="n">
        <v>0</v>
      </c>
      <c r="EW14" s="38" t="n">
        <v>0</v>
      </c>
      <c r="EX14" s="284" t="n"/>
      <c r="EY14" s="36">
        <f>$KN14*15</f>
        <v/>
      </c>
      <c r="EZ14" s="284" t="n">
        <v>45</v>
      </c>
      <c r="FA14" s="38" t="n">
        <v>0</v>
      </c>
      <c r="FB14" s="284" t="n"/>
      <c r="FC14" s="36">
        <f>$KN14*15</f>
        <v/>
      </c>
      <c r="FD14" s="284" t="n">
        <v>15</v>
      </c>
      <c r="FE14" s="38" t="n">
        <v>0</v>
      </c>
      <c r="FF14" s="284" t="n"/>
      <c r="FG14" s="36">
        <f>$KN14*15</f>
        <v/>
      </c>
      <c r="FH14" s="284" t="n">
        <v>15</v>
      </c>
      <c r="FI14" s="38" t="n">
        <v>0</v>
      </c>
      <c r="FJ14" s="284" t="n"/>
      <c r="FK14" s="36">
        <f>$KN14*15</f>
        <v/>
      </c>
      <c r="FL14" s="284" t="n">
        <v>15</v>
      </c>
      <c r="FM14" s="38" t="n">
        <v>0</v>
      </c>
      <c r="FN14" s="284" t="n"/>
      <c r="FO14" s="36">
        <f>$KN14*15</f>
        <v/>
      </c>
      <c r="FP14" s="284" t="n">
        <v>15</v>
      </c>
      <c r="FQ14" s="38" t="n">
        <v>0</v>
      </c>
      <c r="FR14" s="284" t="n"/>
      <c r="FS14" s="36">
        <f>$KN14*14</f>
        <v/>
      </c>
      <c r="FT14" s="284" t="n">
        <v>14</v>
      </c>
      <c r="FU14" s="38" t="n">
        <v>0</v>
      </c>
      <c r="FV14" s="284" t="n"/>
      <c r="FW14" s="36">
        <f>$KN14*10</f>
        <v/>
      </c>
      <c r="FX14" s="284" t="n">
        <v>10</v>
      </c>
      <c r="FY14" s="38" t="n">
        <v>0</v>
      </c>
      <c r="FZ14" s="284" t="n"/>
      <c r="GA14" s="338">
        <f>SUMPRODUCT(--(MOD(COLUMN($EE14:$FZ14),4)=MOD(COLUMN($EE14),4)),$EE14:$FZ14)</f>
        <v/>
      </c>
      <c r="GB14" s="339">
        <f>GA14*$J14</f>
        <v/>
      </c>
      <c r="GC14" s="340">
        <f>SUMPRODUCT(--(MOD(COLUMN($EE14:$FZ14),4)=MOD(COLUMN($EF14),4)),$EE14:$FZ14)</f>
        <v/>
      </c>
      <c r="GD14" s="341">
        <f>GC14*$J14</f>
        <v/>
      </c>
      <c r="GE14" s="342">
        <f>SUMPRODUCT(--(MOD(COLUMN($EE14:$FZ14),4)=MOD(COLUMN($EG14),4)),$EE14:$FZ14)</f>
        <v/>
      </c>
      <c r="GF14" s="343">
        <f>GE14*$J14</f>
        <v/>
      </c>
      <c r="GG14" s="36">
        <f>$KN14*10</f>
        <v/>
      </c>
      <c r="GH14" s="284" t="n"/>
      <c r="GI14" s="38" t="n">
        <v>0</v>
      </c>
      <c r="GJ14" s="284" t="n"/>
      <c r="GK14" s="36">
        <f>$KN14*10</f>
        <v/>
      </c>
      <c r="GL14" s="284" t="n"/>
      <c r="GM14" s="38" t="n">
        <v>0</v>
      </c>
      <c r="GN14" s="284" t="n"/>
      <c r="GO14" s="36">
        <f>$KN14*15</f>
        <v/>
      </c>
      <c r="GP14" s="284" t="n"/>
      <c r="GQ14" s="38" t="n">
        <v>0</v>
      </c>
      <c r="GR14" s="284" t="n"/>
      <c r="GS14" s="36">
        <f>$KN14*20</f>
        <v/>
      </c>
      <c r="GT14" s="284" t="n"/>
      <c r="GU14" s="38" t="n">
        <v>0</v>
      </c>
      <c r="GV14" s="284" t="n"/>
      <c r="GW14" s="36">
        <f>$KN14*20</f>
        <v/>
      </c>
      <c r="GX14" s="284" t="n"/>
      <c r="GY14" s="38" t="n">
        <v>0</v>
      </c>
      <c r="GZ14" s="284" t="n"/>
      <c r="HA14" s="36">
        <f>$KN14*20</f>
        <v/>
      </c>
      <c r="HB14" s="284" t="n"/>
      <c r="HC14" s="38" t="n">
        <v>0</v>
      </c>
      <c r="HD14" s="284" t="n"/>
      <c r="HE14" s="36">
        <f>$KN14*20</f>
        <v/>
      </c>
      <c r="HF14" s="284" t="n"/>
      <c r="HG14" s="38" t="n">
        <v>0</v>
      </c>
      <c r="HH14" s="284" t="n"/>
      <c r="HI14" s="36">
        <f>$KN14*20</f>
        <v/>
      </c>
      <c r="HJ14" s="284" t="n"/>
      <c r="HK14" s="38" t="n">
        <v>0</v>
      </c>
      <c r="HL14" s="284" t="n"/>
      <c r="HM14" s="36">
        <f>$KN14*20</f>
        <v/>
      </c>
      <c r="HN14" s="284" t="n"/>
      <c r="HO14" s="38" t="n">
        <v>0</v>
      </c>
      <c r="HP14" s="284" t="n"/>
      <c r="HQ14" s="36">
        <f>$KN14*20</f>
        <v/>
      </c>
      <c r="HR14" s="284" t="n"/>
      <c r="HS14" s="38" t="n">
        <v>0</v>
      </c>
      <c r="HT14" s="284" t="n"/>
      <c r="HU14" s="36">
        <f>$KN14*20</f>
        <v/>
      </c>
      <c r="HV14" s="284" t="n"/>
      <c r="HW14" s="38" t="n">
        <v>0</v>
      </c>
      <c r="HX14" s="284" t="n"/>
      <c r="HY14" s="36">
        <f>$KN14*20</f>
        <v/>
      </c>
      <c r="HZ14" s="284" t="n"/>
      <c r="IA14" s="38" t="n">
        <v>0</v>
      </c>
      <c r="IB14" s="284" t="n"/>
      <c r="IC14" s="338">
        <f t="array" ref="IC14">SUMPRODUCT(--(MOD(COLUMN($GG14:$IB14),4)=MOD(COLUMN($GG14),4)),$GG14:$IB14)</f>
        <v/>
      </c>
      <c r="ID14" s="339">
        <f>IC14*$J14</f>
        <v/>
      </c>
      <c r="IE14" s="340">
        <f t="array" ref="IE14">SUMPRODUCT(--(MOD(COLUMN($GG14:$IB14),4)=MOD(COLUMN($GH14),4)),$GG14:$IB14)</f>
        <v/>
      </c>
      <c r="IF14" s="341">
        <f>IE14*$J14</f>
        <v/>
      </c>
      <c r="IG14" s="342">
        <f t="array" ref="IG14">SUMPRODUCT(--(MOD(COLUMN($GG14:$IB14),4)=MOD(COLUMN($GI14),4)),$GG14:$IB14)</f>
        <v/>
      </c>
      <c r="IH14" s="343">
        <f>IG14*$J14</f>
        <v/>
      </c>
      <c r="II14" s="36">
        <f>$KN14*15</f>
        <v/>
      </c>
      <c r="IJ14" s="284" t="n"/>
      <c r="IK14" s="38" t="n">
        <v>0</v>
      </c>
      <c r="IL14" s="284" t="n"/>
      <c r="IM14" s="36">
        <f>$KN14*15</f>
        <v/>
      </c>
      <c r="IN14" s="284" t="n"/>
      <c r="IO14" s="38" t="n">
        <v>0</v>
      </c>
      <c r="IP14" s="284" t="n"/>
      <c r="IQ14" s="36">
        <f>$KN14*20</f>
        <v/>
      </c>
      <c r="IR14" s="284" t="n"/>
      <c r="IS14" s="38" t="n">
        <v>0</v>
      </c>
      <c r="IT14" s="284" t="n"/>
      <c r="IU14" s="36">
        <f>$KN14*25</f>
        <v/>
      </c>
      <c r="IV14" s="284" t="n"/>
      <c r="IW14" s="38" t="n">
        <v>0</v>
      </c>
      <c r="IX14" s="284" t="n"/>
      <c r="IY14" s="36">
        <f>$KN14*25</f>
        <v/>
      </c>
      <c r="IZ14" s="284" t="n"/>
      <c r="JA14" s="38" t="n">
        <v>0</v>
      </c>
      <c r="JB14" s="284" t="n"/>
      <c r="JC14" s="36">
        <f>$KN14*25</f>
        <v/>
      </c>
      <c r="JD14" s="284" t="n"/>
      <c r="JE14" s="38" t="n">
        <v>0</v>
      </c>
      <c r="JF14" s="284" t="n"/>
      <c r="JG14" s="36">
        <f>$KN14*30</f>
        <v/>
      </c>
      <c r="JH14" s="284" t="n"/>
      <c r="JI14" s="38" t="n">
        <v>0</v>
      </c>
      <c r="JJ14" s="284" t="n"/>
      <c r="JK14" s="36">
        <f>$KN14*30</f>
        <v/>
      </c>
      <c r="JL14" s="284" t="n"/>
      <c r="JM14" s="38" t="n">
        <v>0</v>
      </c>
      <c r="JN14" s="284" t="n"/>
      <c r="JO14" s="36">
        <f>$KN14*30</f>
        <v/>
      </c>
      <c r="JP14" s="284" t="n"/>
      <c r="JQ14" s="38" t="n">
        <v>0</v>
      </c>
      <c r="JR14" s="284" t="n"/>
      <c r="JS14" s="36">
        <f>$KN14*30</f>
        <v/>
      </c>
      <c r="JT14" s="284" t="n"/>
      <c r="JU14" s="38" t="n">
        <v>0</v>
      </c>
      <c r="JV14" s="284" t="n"/>
      <c r="JW14" s="36">
        <f>$KN14*30</f>
        <v/>
      </c>
      <c r="JX14" s="284" t="n"/>
      <c r="JY14" s="38" t="n">
        <v>0</v>
      </c>
      <c r="JZ14" s="284" t="n"/>
      <c r="KA14" s="36" t="n">
        <v>30</v>
      </c>
      <c r="KB14" s="284" t="n"/>
      <c r="KC14" s="38" t="n">
        <v>0</v>
      </c>
      <c r="KD14" s="284" t="n"/>
      <c r="KE14" s="338">
        <f t="array" ref="KE14">SUMPRODUCT(--(MOD(COLUMN($II14:$KD14),4)=MOD(COLUMN($II14),4)),$II14:$KD14)</f>
        <v/>
      </c>
      <c r="KF14" s="339">
        <f>KE14*$J14</f>
        <v/>
      </c>
      <c r="KG14" s="340">
        <f t="array" ref="KG14">SUMPRODUCT(--(MOD(COLUMN($II14:$KD14),4)=MOD(COLUMN($IJ14),4)),$II14:$KD14)</f>
        <v/>
      </c>
      <c r="KH14" s="341">
        <f>KG14*$J14</f>
        <v/>
      </c>
      <c r="KI14" s="342">
        <f t="array" ref="KI14">SUMPRODUCT(--(MOD(COLUMN($II14:$KD14),4)=MOD(COLUMN($IK14),4)),$II14:$KD14)</f>
        <v/>
      </c>
      <c r="KJ14" s="346">
        <f>KI14*$J14</f>
        <v/>
      </c>
      <c r="KK14" s="12" t="n"/>
      <c r="KL14" s="12" t="n"/>
      <c r="KM14" s="12" t="n"/>
      <c r="KN14" s="51" t="n">
        <v>1</v>
      </c>
      <c r="KO14" s="333" t="n"/>
    </row>
    <row r="15" outlineLevel="1" ht="43.2" customHeight="1">
      <c r="A15" s="347" t="n"/>
      <c r="B15" s="347" t="n"/>
      <c r="C15" s="347" t="n"/>
      <c r="D15" s="347" t="n"/>
      <c r="E15" s="15" t="n">
        <v>10</v>
      </c>
      <c r="F15" s="15" t="n">
        <v>1</v>
      </c>
      <c r="G15" s="33" t="n">
        <v>4630840310</v>
      </c>
      <c r="H15" s="34" t="inlineStr">
        <is>
          <t>Клапан управления подъемом оси (LACV)</t>
        </is>
      </c>
      <c r="I15" s="337">
        <f>657.1/1.2</f>
        <v/>
      </c>
      <c r="J15" s="337">
        <f>657.1/1.2</f>
        <v/>
      </c>
      <c r="K15" s="337" t="n"/>
      <c r="L15" s="337" t="n"/>
      <c r="M15" s="36" t="n">
        <v>102</v>
      </c>
      <c r="N15" s="284" t="n">
        <v>102</v>
      </c>
      <c r="O15" s="38" t="n">
        <v>0</v>
      </c>
      <c r="P15" s="284" t="n"/>
      <c r="Q15" s="36" t="n">
        <v>50</v>
      </c>
      <c r="R15" s="284" t="n">
        <v>32</v>
      </c>
      <c r="S15" s="38" t="n">
        <v>32</v>
      </c>
      <c r="T15" s="347" t="n"/>
      <c r="U15" s="36" t="n">
        <v>0</v>
      </c>
      <c r="V15" s="284" t="n">
        <v>50</v>
      </c>
      <c r="W15" s="38" t="n">
        <v>50</v>
      </c>
      <c r="X15" s="347" t="n"/>
      <c r="Y15" s="36" t="n">
        <v>40</v>
      </c>
      <c r="Z15" s="284" t="n">
        <v>50</v>
      </c>
      <c r="AA15" s="38" t="n">
        <v>50</v>
      </c>
      <c r="AB15" s="347" t="n"/>
      <c r="AC15" s="36" t="n">
        <v>40</v>
      </c>
      <c r="AD15" s="284" t="n">
        <v>40</v>
      </c>
      <c r="AE15" s="38" t="n">
        <v>0</v>
      </c>
      <c r="AF15" s="284" t="n"/>
      <c r="AG15" s="36" t="n">
        <v>40</v>
      </c>
      <c r="AH15" s="39" t="n">
        <v>25</v>
      </c>
      <c r="AI15" s="52" t="n">
        <v>25</v>
      </c>
      <c r="AJ15" s="347" t="n"/>
      <c r="AK15" s="36" t="n">
        <v>40</v>
      </c>
      <c r="AL15" s="284" t="n">
        <v>25</v>
      </c>
      <c r="AM15" s="52" t="n">
        <v>25</v>
      </c>
      <c r="AN15" s="347" t="n"/>
      <c r="AO15" s="36" t="n">
        <v>40</v>
      </c>
      <c r="AP15" s="284" t="n">
        <v>0</v>
      </c>
      <c r="AQ15" s="38" t="n">
        <v>0</v>
      </c>
      <c r="AR15" s="347" t="n"/>
      <c r="AS15" s="36" t="n">
        <v>40</v>
      </c>
      <c r="AT15" s="284" t="n">
        <v>0</v>
      </c>
      <c r="AU15" s="38" t="n">
        <v>0</v>
      </c>
      <c r="AV15" s="347" t="n"/>
      <c r="AW15" s="36" t="n">
        <v>40</v>
      </c>
      <c r="AX15" s="284" t="n">
        <v>0</v>
      </c>
      <c r="AY15" s="38" t="n">
        <v>0</v>
      </c>
      <c r="AZ15" s="347" t="n"/>
      <c r="BA15" s="36" t="n">
        <v>40</v>
      </c>
      <c r="BB15" s="284" t="n">
        <v>0</v>
      </c>
      <c r="BC15" s="52" t="n">
        <v>0</v>
      </c>
      <c r="BD15" s="347" t="n"/>
      <c r="BE15" s="36" t="n">
        <v>40</v>
      </c>
      <c r="BF15" s="284">
        <f>$KN15*0</f>
        <v/>
      </c>
      <c r="BG15" s="38" t="n">
        <v>0</v>
      </c>
      <c r="BH15" s="347" t="n"/>
      <c r="BI15" s="338">
        <f>SUMPRODUCT(--(MOD(COLUMN($M15:$BH15),4)=MOD(COLUMN($M15),4)),$M15:$BH15)</f>
        <v/>
      </c>
      <c r="BJ15" s="339">
        <f>BI15*$I15</f>
        <v/>
      </c>
      <c r="BK15" s="340">
        <f>SUMPRODUCT(--(MOD(COLUMN($M15:$BH15),4)=MOD(COLUMN($M15)+1,4)),$M15:$BH15)</f>
        <v/>
      </c>
      <c r="BL15" s="341">
        <f>BK15*$I15</f>
        <v/>
      </c>
      <c r="BM15" s="342">
        <f>SUMPRODUCT(--(MOD(COLUMN($M15:$BH15),4)=MOD(COLUMN($M15)+2,4)),$M15:$BH15)</f>
        <v/>
      </c>
      <c r="BN15" s="343">
        <f>BM15*$I15</f>
        <v/>
      </c>
      <c r="BO15" s="36">
        <f>$KN15*0</f>
        <v/>
      </c>
      <c r="BP15" s="47">
        <f>$KN15*0</f>
        <v/>
      </c>
      <c r="BQ15" s="284">
        <f>$KN15*0</f>
        <v/>
      </c>
      <c r="BR15" s="52" t="n">
        <v>0</v>
      </c>
      <c r="BS15" s="284" t="n"/>
      <c r="BT15" s="36">
        <f>$KN15*5</f>
        <v/>
      </c>
      <c r="BU15" s="47">
        <f>$KN15*0</f>
        <v/>
      </c>
      <c r="BV15" s="284">
        <f>$KN15*0</f>
        <v/>
      </c>
      <c r="BW15" s="38" t="n">
        <v>0</v>
      </c>
      <c r="BX15" s="284" t="n"/>
      <c r="BY15" s="36">
        <f>$KN15*15</f>
        <v/>
      </c>
      <c r="BZ15" s="47">
        <f>$KN15*15</f>
        <v/>
      </c>
      <c r="CA15" s="284">
        <f>$KN15*0</f>
        <v/>
      </c>
      <c r="CB15" s="38" t="n">
        <v>0</v>
      </c>
      <c r="CC15" s="284" t="n"/>
      <c r="CD15" s="36">
        <f>$KN15*15</f>
        <v/>
      </c>
      <c r="CE15" s="47">
        <f>$KN15*15</f>
        <v/>
      </c>
      <c r="CF15" s="284">
        <f>$KN15*0</f>
        <v/>
      </c>
      <c r="CG15" s="38" t="n">
        <v>0</v>
      </c>
      <c r="CH15" s="284" t="n"/>
      <c r="CI15" s="36">
        <f>$KN15*15</f>
        <v/>
      </c>
      <c r="CJ15" s="47">
        <f>$KN15*15</f>
        <v/>
      </c>
      <c r="CK15" s="284">
        <f>$KN15*0</f>
        <v/>
      </c>
      <c r="CL15" s="38" t="n">
        <v>0</v>
      </c>
      <c r="CM15" s="284" t="n"/>
      <c r="CN15" s="36">
        <f>$KN15*15</f>
        <v/>
      </c>
      <c r="CO15" s="47">
        <f>$KN15*15</f>
        <v/>
      </c>
      <c r="CP15" s="284">
        <f>$KN15*0</f>
        <v/>
      </c>
      <c r="CQ15" s="38" t="n">
        <v>0</v>
      </c>
      <c r="CR15" s="284" t="n"/>
      <c r="CS15" s="36">
        <f>$KN15*15</f>
        <v/>
      </c>
      <c r="CT15" s="47">
        <f>$KN15*15</f>
        <v/>
      </c>
      <c r="CU15" s="284">
        <f>$KN15*0</f>
        <v/>
      </c>
      <c r="CV15" s="38" t="n">
        <v>0</v>
      </c>
      <c r="CW15" s="284" t="n"/>
      <c r="CX15" s="36">
        <f>$KN15*15</f>
        <v/>
      </c>
      <c r="CY15" s="47">
        <f>$KN15*15</f>
        <v/>
      </c>
      <c r="CZ15" s="39">
        <f>$KN15*0</f>
        <v/>
      </c>
      <c r="DA15" s="38" t="n">
        <v>0</v>
      </c>
      <c r="DB15" s="284" t="n"/>
      <c r="DC15" s="36">
        <f>$KN15*15</f>
        <v/>
      </c>
      <c r="DD15" s="47">
        <f>$KN15*15</f>
        <v/>
      </c>
      <c r="DE15" s="39">
        <f>$KN15*0</f>
        <v/>
      </c>
      <c r="DF15" s="38" t="n">
        <v>0</v>
      </c>
      <c r="DG15" s="284" t="n"/>
      <c r="DH15" s="36">
        <f>$KN15*15</f>
        <v/>
      </c>
      <c r="DI15" s="47">
        <f>$KN15*15</f>
        <v/>
      </c>
      <c r="DJ15" s="284">
        <f>$KN15*0</f>
        <v/>
      </c>
      <c r="DK15" s="52" t="n">
        <v>0</v>
      </c>
      <c r="DL15" s="284" t="n"/>
      <c r="DM15" s="36">
        <f>$KN15*15</f>
        <v/>
      </c>
      <c r="DN15" s="47">
        <f>$KN15*15</f>
        <v/>
      </c>
      <c r="DO15" s="284">
        <f>$KN15*0</f>
        <v/>
      </c>
      <c r="DP15" s="38" t="n">
        <v>0</v>
      </c>
      <c r="DQ15" s="284" t="n"/>
      <c r="DR15" s="36">
        <f>$KN15*15</f>
        <v/>
      </c>
      <c r="DS15" s="47">
        <f>$KN15*15</f>
        <v/>
      </c>
      <c r="DT15" s="284">
        <f>$KN15*0</f>
        <v/>
      </c>
      <c r="DU15" s="38" t="n">
        <v>0</v>
      </c>
      <c r="DV15" s="284" t="n"/>
      <c r="DW15" s="338">
        <f t="array" ref="DW15">SUMPRODUCT(--(MOD(COLUMN($BO15:$DV15),5)=MOD(COLUMN($BO15),5)),$BO15:$DV15)</f>
        <v/>
      </c>
      <c r="DX15" s="339">
        <f>DW15*$J15</f>
        <v/>
      </c>
      <c r="DY15" s="344">
        <f t="array" ref="DY15">SUMPRODUCT(--(MOD(COLUMN($BO15:$DV15),5)=MOD(COLUMN($BP15),5)),$BO15:$DV15)</f>
        <v/>
      </c>
      <c r="DZ15" s="345">
        <f>DY15*$J15</f>
        <v/>
      </c>
      <c r="EA15" s="340">
        <f t="array" ref="EA15">SUMPRODUCT(--(MOD(COLUMN($BO15:$DV15),5)=MOD(COLUMN($BQ15),5)),$BO15:$DV15)</f>
        <v/>
      </c>
      <c r="EB15" s="341">
        <f>EA15*$J15</f>
        <v/>
      </c>
      <c r="EC15" s="342">
        <f t="array" ref="EC15">SUMPRODUCT(--(MOD(COLUMN($BO15:$DV15),5)=MOD(COLUMN($BR15),5)),$BO15:$DV15)</f>
        <v/>
      </c>
      <c r="ED15" s="343">
        <f>EC15*$J15</f>
        <v/>
      </c>
      <c r="EE15" s="36">
        <f>$KN15*8</f>
        <v/>
      </c>
      <c r="EF15" s="284" t="n">
        <v>8</v>
      </c>
      <c r="EG15" s="38" t="n">
        <v>0</v>
      </c>
      <c r="EH15" s="284" t="n"/>
      <c r="EI15" s="36">
        <f>$KN15*9</f>
        <v/>
      </c>
      <c r="EJ15" s="284" t="n">
        <v>50</v>
      </c>
      <c r="EK15" s="38" t="n">
        <v>0</v>
      </c>
      <c r="EL15" s="284" t="n"/>
      <c r="EM15" s="36">
        <f>$KN15*9</f>
        <v/>
      </c>
      <c r="EN15" s="284" t="n">
        <v>0</v>
      </c>
      <c r="EO15" s="38" t="n">
        <v>0</v>
      </c>
      <c r="EP15" s="347" t="n"/>
      <c r="EQ15" s="36">
        <f>$KN15*15</f>
        <v/>
      </c>
      <c r="ER15" s="284" t="n">
        <v>1</v>
      </c>
      <c r="ES15" s="38" t="n">
        <v>0</v>
      </c>
      <c r="ET15" s="284" t="n"/>
      <c r="EU15" s="36">
        <f>$KN15*15</f>
        <v/>
      </c>
      <c r="EV15" s="284" t="n">
        <v>0</v>
      </c>
      <c r="EW15" s="38" t="n">
        <v>0</v>
      </c>
      <c r="EX15" s="284" t="n"/>
      <c r="EY15" s="36">
        <f>$KN15*15</f>
        <v/>
      </c>
      <c r="EZ15" s="284" t="n">
        <v>45</v>
      </c>
      <c r="FA15" s="38" t="n">
        <v>0</v>
      </c>
      <c r="FB15" s="284" t="n"/>
      <c r="FC15" s="36">
        <f>$KN15*15</f>
        <v/>
      </c>
      <c r="FD15" s="284" t="n">
        <v>15</v>
      </c>
      <c r="FE15" s="38" t="n">
        <v>0</v>
      </c>
      <c r="FF15" s="284" t="n"/>
      <c r="FG15" s="36">
        <f>$KN15*15</f>
        <v/>
      </c>
      <c r="FH15" s="284" t="n">
        <v>15</v>
      </c>
      <c r="FI15" s="38" t="n">
        <v>0</v>
      </c>
      <c r="FJ15" s="284" t="n"/>
      <c r="FK15" s="36">
        <f>$KN15*15</f>
        <v/>
      </c>
      <c r="FL15" s="284" t="n">
        <v>15</v>
      </c>
      <c r="FM15" s="38" t="n">
        <v>0</v>
      </c>
      <c r="FN15" s="284" t="n"/>
      <c r="FO15" s="36">
        <f>$KN15*15</f>
        <v/>
      </c>
      <c r="FP15" s="284" t="n">
        <v>15</v>
      </c>
      <c r="FQ15" s="38" t="n">
        <v>0</v>
      </c>
      <c r="FR15" s="284" t="n"/>
      <c r="FS15" s="36">
        <f>$KN15*14</f>
        <v/>
      </c>
      <c r="FT15" s="284" t="n">
        <v>14</v>
      </c>
      <c r="FU15" s="38" t="n">
        <v>0</v>
      </c>
      <c r="FV15" s="284" t="n"/>
      <c r="FW15" s="36">
        <f>$KN15*10</f>
        <v/>
      </c>
      <c r="FX15" s="284" t="n">
        <v>10</v>
      </c>
      <c r="FY15" s="38" t="n">
        <v>0</v>
      </c>
      <c r="FZ15" s="284" t="n"/>
      <c r="GA15" s="338">
        <f>SUMPRODUCT(--(MOD(COLUMN($EE15:$FZ15),4)=MOD(COLUMN($EE15),4)),$EE15:$FZ15)</f>
        <v/>
      </c>
      <c r="GB15" s="339">
        <f>GA15*$J15</f>
        <v/>
      </c>
      <c r="GC15" s="340">
        <f>SUMPRODUCT(--(MOD(COLUMN($EE15:$FZ15),4)=MOD(COLUMN($EF15),4)),$EE15:$FZ15)</f>
        <v/>
      </c>
      <c r="GD15" s="341">
        <f>GC15*$J15</f>
        <v/>
      </c>
      <c r="GE15" s="342">
        <f>SUMPRODUCT(--(MOD(COLUMN($EE15:$FZ15),4)=MOD(COLUMN($EG15),4)),$EE15:$FZ15)</f>
        <v/>
      </c>
      <c r="GF15" s="343">
        <f>GE15*$J15</f>
        <v/>
      </c>
      <c r="GG15" s="36">
        <f>$KN15*10</f>
        <v/>
      </c>
      <c r="GH15" s="284" t="n"/>
      <c r="GI15" s="38" t="n">
        <v>0</v>
      </c>
      <c r="GJ15" s="284" t="n"/>
      <c r="GK15" s="36">
        <f>$KN15*10</f>
        <v/>
      </c>
      <c r="GL15" s="284" t="n"/>
      <c r="GM15" s="38" t="n">
        <v>0</v>
      </c>
      <c r="GN15" s="284" t="n"/>
      <c r="GO15" s="36">
        <f>$KN15*15</f>
        <v/>
      </c>
      <c r="GP15" s="284" t="n"/>
      <c r="GQ15" s="38" t="n">
        <v>0</v>
      </c>
      <c r="GR15" s="284" t="n"/>
      <c r="GS15" s="36">
        <f>$KN15*20</f>
        <v/>
      </c>
      <c r="GT15" s="284" t="n"/>
      <c r="GU15" s="38" t="n">
        <v>0</v>
      </c>
      <c r="GV15" s="284" t="n"/>
      <c r="GW15" s="36">
        <f>$KN15*20</f>
        <v/>
      </c>
      <c r="GX15" s="284" t="n"/>
      <c r="GY15" s="38" t="n">
        <v>0</v>
      </c>
      <c r="GZ15" s="284" t="n"/>
      <c r="HA15" s="36">
        <f>$KN15*20</f>
        <v/>
      </c>
      <c r="HB15" s="284" t="n"/>
      <c r="HC15" s="38" t="n">
        <v>0</v>
      </c>
      <c r="HD15" s="284" t="n"/>
      <c r="HE15" s="36">
        <f>$KN15*20</f>
        <v/>
      </c>
      <c r="HF15" s="284" t="n"/>
      <c r="HG15" s="38" t="n">
        <v>0</v>
      </c>
      <c r="HH15" s="284" t="n"/>
      <c r="HI15" s="36">
        <f>$KN15*20</f>
        <v/>
      </c>
      <c r="HJ15" s="284" t="n"/>
      <c r="HK15" s="38" t="n">
        <v>0</v>
      </c>
      <c r="HL15" s="284" t="n"/>
      <c r="HM15" s="36">
        <f>$KN15*20</f>
        <v/>
      </c>
      <c r="HN15" s="284" t="n"/>
      <c r="HO15" s="38" t="n">
        <v>0</v>
      </c>
      <c r="HP15" s="284" t="n"/>
      <c r="HQ15" s="36">
        <f>$KN15*20</f>
        <v/>
      </c>
      <c r="HR15" s="284" t="n"/>
      <c r="HS15" s="38" t="n">
        <v>0</v>
      </c>
      <c r="HT15" s="284" t="n"/>
      <c r="HU15" s="36">
        <f>$KN15*20</f>
        <v/>
      </c>
      <c r="HV15" s="284" t="n"/>
      <c r="HW15" s="38" t="n">
        <v>0</v>
      </c>
      <c r="HX15" s="284" t="n"/>
      <c r="HY15" s="36">
        <f>$KN15*20</f>
        <v/>
      </c>
      <c r="HZ15" s="284" t="n"/>
      <c r="IA15" s="38" t="n">
        <v>0</v>
      </c>
      <c r="IB15" s="284" t="n"/>
      <c r="IC15" s="338">
        <f t="array" ref="IC15">SUMPRODUCT(--(MOD(COLUMN($GG15:$IB15),4)=MOD(COLUMN($GG15),4)),$GG15:$IB15)</f>
        <v/>
      </c>
      <c r="ID15" s="339">
        <f>IC15*$J15</f>
        <v/>
      </c>
      <c r="IE15" s="340">
        <f t="array" ref="IE15">SUMPRODUCT(--(MOD(COLUMN($GG15:$IB15),4)=MOD(COLUMN($GH15),4)),$GG15:$IB15)</f>
        <v/>
      </c>
      <c r="IF15" s="341">
        <f>IE15*$J15</f>
        <v/>
      </c>
      <c r="IG15" s="342">
        <f t="array" ref="IG15">SUMPRODUCT(--(MOD(COLUMN($GG15:$IB15),4)=MOD(COLUMN($GI15),4)),$GG15:$IB15)</f>
        <v/>
      </c>
      <c r="IH15" s="343">
        <f>IG15*$J15</f>
        <v/>
      </c>
      <c r="II15" s="36">
        <f>$KN15*15</f>
        <v/>
      </c>
      <c r="IJ15" s="284" t="n"/>
      <c r="IK15" s="38" t="n">
        <v>0</v>
      </c>
      <c r="IL15" s="284" t="n"/>
      <c r="IM15" s="36">
        <f>$KN15*15</f>
        <v/>
      </c>
      <c r="IN15" s="284" t="n"/>
      <c r="IO15" s="38" t="n">
        <v>0</v>
      </c>
      <c r="IP15" s="284" t="n"/>
      <c r="IQ15" s="36">
        <f>$KN15*20</f>
        <v/>
      </c>
      <c r="IR15" s="284" t="n"/>
      <c r="IS15" s="38" t="n">
        <v>0</v>
      </c>
      <c r="IT15" s="284" t="n"/>
      <c r="IU15" s="36">
        <f>$KN15*25</f>
        <v/>
      </c>
      <c r="IV15" s="284" t="n"/>
      <c r="IW15" s="38" t="n">
        <v>0</v>
      </c>
      <c r="IX15" s="284" t="n"/>
      <c r="IY15" s="36">
        <f>$KN15*25</f>
        <v/>
      </c>
      <c r="IZ15" s="284" t="n"/>
      <c r="JA15" s="38" t="n">
        <v>0</v>
      </c>
      <c r="JB15" s="284" t="n"/>
      <c r="JC15" s="36">
        <f>$KN15*25</f>
        <v/>
      </c>
      <c r="JD15" s="284" t="n"/>
      <c r="JE15" s="38" t="n">
        <v>0</v>
      </c>
      <c r="JF15" s="284" t="n"/>
      <c r="JG15" s="36">
        <f>$KN15*30</f>
        <v/>
      </c>
      <c r="JH15" s="284" t="n"/>
      <c r="JI15" s="38" t="n">
        <v>0</v>
      </c>
      <c r="JJ15" s="284" t="n"/>
      <c r="JK15" s="36">
        <f>$KN15*30</f>
        <v/>
      </c>
      <c r="JL15" s="284" t="n"/>
      <c r="JM15" s="38" t="n">
        <v>0</v>
      </c>
      <c r="JN15" s="284" t="n"/>
      <c r="JO15" s="36">
        <f>$KN15*30</f>
        <v/>
      </c>
      <c r="JP15" s="284" t="n"/>
      <c r="JQ15" s="38" t="n">
        <v>0</v>
      </c>
      <c r="JR15" s="284" t="n"/>
      <c r="JS15" s="36">
        <f>$KN15*30</f>
        <v/>
      </c>
      <c r="JT15" s="284" t="n"/>
      <c r="JU15" s="38" t="n">
        <v>0</v>
      </c>
      <c r="JV15" s="284" t="n"/>
      <c r="JW15" s="36">
        <f>$KN15*30</f>
        <v/>
      </c>
      <c r="JX15" s="284" t="n"/>
      <c r="JY15" s="38" t="n">
        <v>0</v>
      </c>
      <c r="JZ15" s="284" t="n"/>
      <c r="KA15" s="36" t="n">
        <v>30</v>
      </c>
      <c r="KB15" s="284" t="n"/>
      <c r="KC15" s="38" t="n">
        <v>0</v>
      </c>
      <c r="KD15" s="284" t="n"/>
      <c r="KE15" s="338">
        <f t="array" ref="KE15">SUMPRODUCT(--(MOD(COLUMN($II15:$KD15),4)=MOD(COLUMN($II15),4)),$II15:$KD15)</f>
        <v/>
      </c>
      <c r="KF15" s="339">
        <f>KE15*$J15</f>
        <v/>
      </c>
      <c r="KG15" s="340">
        <f t="array" ref="KG15">SUMPRODUCT(--(MOD(COLUMN($II15:$KD15),4)=MOD(COLUMN($IJ15),4)),$II15:$KD15)</f>
        <v/>
      </c>
      <c r="KH15" s="341">
        <f>KG15*$J15</f>
        <v/>
      </c>
      <c r="KI15" s="342">
        <f t="array" ref="KI15">SUMPRODUCT(--(MOD(COLUMN($II15:$KD15),4)=MOD(COLUMN($IK15),4)),$II15:$KD15)</f>
        <v/>
      </c>
      <c r="KJ15" s="346">
        <f>KI15*$J15</f>
        <v/>
      </c>
      <c r="KK15" s="12" t="n"/>
      <c r="KL15" s="12" t="n"/>
      <c r="KM15" s="12" t="n"/>
      <c r="KN15" s="51" t="n">
        <v>1</v>
      </c>
      <c r="KO15" s="285" t="inlineStr">
        <is>
          <t>LACV</t>
        </is>
      </c>
    </row>
    <row r="16" outlineLevel="1" ht="43.2" customHeight="1">
      <c r="A16" s="347" t="n"/>
      <c r="B16" s="347" t="n"/>
      <c r="C16" s="347" t="n"/>
      <c r="D16" s="347" t="n"/>
      <c r="E16" s="15" t="n">
        <v>11</v>
      </c>
      <c r="F16" s="15" t="n">
        <v>1</v>
      </c>
      <c r="G16" s="33" t="n">
        <v>4494430600</v>
      </c>
      <c r="H16" s="34" t="inlineStr">
        <is>
          <t>Кабель клапана управления подъемом оси, 6 м</t>
        </is>
      </c>
      <c r="I16" s="337">
        <f>164.2/1.2</f>
        <v/>
      </c>
      <c r="J16" s="337">
        <f>164.2/1.2</f>
        <v/>
      </c>
      <c r="K16" s="337" t="n"/>
      <c r="L16" s="337" t="n"/>
      <c r="M16" s="36" t="n">
        <v>102</v>
      </c>
      <c r="N16" s="284" t="n">
        <v>102</v>
      </c>
      <c r="O16" s="38" t="n">
        <v>0</v>
      </c>
      <c r="P16" s="284" t="n"/>
      <c r="Q16" s="36" t="n">
        <v>50</v>
      </c>
      <c r="R16" s="284" t="n">
        <v>32</v>
      </c>
      <c r="S16" s="38" t="n">
        <v>32</v>
      </c>
      <c r="T16" s="333" t="n"/>
      <c r="U16" s="36" t="n">
        <v>0</v>
      </c>
      <c r="V16" s="284" t="n">
        <v>50</v>
      </c>
      <c r="W16" s="38" t="n">
        <v>50</v>
      </c>
      <c r="X16" s="333" t="n"/>
      <c r="Y16" s="36" t="n">
        <v>40</v>
      </c>
      <c r="Z16" s="284" t="n">
        <v>50</v>
      </c>
      <c r="AA16" s="38" t="n">
        <v>50</v>
      </c>
      <c r="AB16" s="333" t="n"/>
      <c r="AC16" s="36" t="n">
        <v>40</v>
      </c>
      <c r="AD16" s="284" t="n">
        <v>40</v>
      </c>
      <c r="AE16" s="38" t="n">
        <v>0</v>
      </c>
      <c r="AF16" s="284" t="n"/>
      <c r="AG16" s="36" t="n">
        <v>40</v>
      </c>
      <c r="AH16" s="39" t="n">
        <v>25</v>
      </c>
      <c r="AI16" s="52" t="n">
        <v>25</v>
      </c>
      <c r="AJ16" s="333" t="n"/>
      <c r="AK16" s="36" t="n">
        <v>40</v>
      </c>
      <c r="AL16" s="284" t="n">
        <v>25</v>
      </c>
      <c r="AM16" s="52" t="n">
        <v>25</v>
      </c>
      <c r="AN16" s="333" t="n"/>
      <c r="AO16" s="36" t="n">
        <v>40</v>
      </c>
      <c r="AP16" s="284" t="n">
        <v>0</v>
      </c>
      <c r="AQ16" s="38" t="n">
        <v>0</v>
      </c>
      <c r="AR16" s="333" t="n"/>
      <c r="AS16" s="36" t="n">
        <v>40</v>
      </c>
      <c r="AT16" s="284" t="n">
        <v>0</v>
      </c>
      <c r="AU16" s="38" t="n">
        <v>0</v>
      </c>
      <c r="AV16" s="333" t="n"/>
      <c r="AW16" s="36" t="n">
        <v>40</v>
      </c>
      <c r="AX16" s="284" t="n">
        <v>0</v>
      </c>
      <c r="AY16" s="38" t="n">
        <v>0</v>
      </c>
      <c r="AZ16" s="333" t="n"/>
      <c r="BA16" s="36" t="n">
        <v>40</v>
      </c>
      <c r="BB16" s="284" t="n">
        <v>0</v>
      </c>
      <c r="BC16" s="52" t="n">
        <v>0</v>
      </c>
      <c r="BD16" s="333" t="n"/>
      <c r="BE16" s="36" t="n">
        <v>40</v>
      </c>
      <c r="BF16" s="284">
        <f>$KN16*0</f>
        <v/>
      </c>
      <c r="BG16" s="38" t="n">
        <v>0</v>
      </c>
      <c r="BH16" s="333" t="n"/>
      <c r="BI16" s="338">
        <f>SUMPRODUCT(--(MOD(COLUMN($M16:$BH16),4)=MOD(COLUMN($M16),4)),$M16:$BH16)</f>
        <v/>
      </c>
      <c r="BJ16" s="339">
        <f>BI16*$I16</f>
        <v/>
      </c>
      <c r="BK16" s="340">
        <f>SUMPRODUCT(--(MOD(COLUMN($M16:$BH16),4)=MOD(COLUMN($M16)+1,4)),$M16:$BH16)</f>
        <v/>
      </c>
      <c r="BL16" s="341">
        <f>BK16*$I16</f>
        <v/>
      </c>
      <c r="BM16" s="342">
        <f>SUMPRODUCT(--(MOD(COLUMN($M16:$BH16),4)=MOD(COLUMN($M16)+2,4)),$M16:$BH16)</f>
        <v/>
      </c>
      <c r="BN16" s="343">
        <f>BM16*$I16</f>
        <v/>
      </c>
      <c r="BO16" s="36">
        <f>$KN16*0</f>
        <v/>
      </c>
      <c r="BP16" s="47">
        <f>$KN16*0</f>
        <v/>
      </c>
      <c r="BQ16" s="284">
        <f>$KN16*0</f>
        <v/>
      </c>
      <c r="BR16" s="52" t="n">
        <v>0</v>
      </c>
      <c r="BS16" s="284" t="n"/>
      <c r="BT16" s="36">
        <f>$KN16*5</f>
        <v/>
      </c>
      <c r="BU16" s="47">
        <f>$KN16*0</f>
        <v/>
      </c>
      <c r="BV16" s="284">
        <f>$KN16*0</f>
        <v/>
      </c>
      <c r="BW16" s="38" t="n">
        <v>0</v>
      </c>
      <c r="BX16" s="284" t="n"/>
      <c r="BY16" s="36">
        <f>$KN16*15</f>
        <v/>
      </c>
      <c r="BZ16" s="47">
        <f>$KN16*15</f>
        <v/>
      </c>
      <c r="CA16" s="284">
        <f>$KN16*0</f>
        <v/>
      </c>
      <c r="CB16" s="38" t="n">
        <v>0</v>
      </c>
      <c r="CC16" s="284" t="n"/>
      <c r="CD16" s="36">
        <f>$KN16*15</f>
        <v/>
      </c>
      <c r="CE16" s="47">
        <f>$KN16*15</f>
        <v/>
      </c>
      <c r="CF16" s="284">
        <f>$KN16*0</f>
        <v/>
      </c>
      <c r="CG16" s="38" t="n">
        <v>0</v>
      </c>
      <c r="CH16" s="284" t="n"/>
      <c r="CI16" s="36">
        <f>$KN16*15</f>
        <v/>
      </c>
      <c r="CJ16" s="47">
        <f>$KN16*15</f>
        <v/>
      </c>
      <c r="CK16" s="284">
        <f>$KN16*0</f>
        <v/>
      </c>
      <c r="CL16" s="38" t="n">
        <v>0</v>
      </c>
      <c r="CM16" s="284" t="n"/>
      <c r="CN16" s="36">
        <f>$KN16*15</f>
        <v/>
      </c>
      <c r="CO16" s="47">
        <f>$KN16*15</f>
        <v/>
      </c>
      <c r="CP16" s="284">
        <f>$KN16*0</f>
        <v/>
      </c>
      <c r="CQ16" s="38" t="n">
        <v>0</v>
      </c>
      <c r="CR16" s="284" t="n"/>
      <c r="CS16" s="36">
        <f>$KN16*15</f>
        <v/>
      </c>
      <c r="CT16" s="47">
        <f>$KN16*15</f>
        <v/>
      </c>
      <c r="CU16" s="284">
        <f>$KN16*0</f>
        <v/>
      </c>
      <c r="CV16" s="38" t="n">
        <v>0</v>
      </c>
      <c r="CW16" s="284" t="n"/>
      <c r="CX16" s="36">
        <f>$KN16*15</f>
        <v/>
      </c>
      <c r="CY16" s="47">
        <f>$KN16*15</f>
        <v/>
      </c>
      <c r="CZ16" s="39">
        <f>$KN16*0</f>
        <v/>
      </c>
      <c r="DA16" s="38" t="n">
        <v>0</v>
      </c>
      <c r="DB16" s="284" t="n"/>
      <c r="DC16" s="36">
        <f>$KN16*15</f>
        <v/>
      </c>
      <c r="DD16" s="47">
        <f>$KN16*15</f>
        <v/>
      </c>
      <c r="DE16" s="39">
        <f>$KN16*0</f>
        <v/>
      </c>
      <c r="DF16" s="38" t="n">
        <v>0</v>
      </c>
      <c r="DG16" s="284" t="n"/>
      <c r="DH16" s="36">
        <f>$KN16*15</f>
        <v/>
      </c>
      <c r="DI16" s="47">
        <f>$KN16*15</f>
        <v/>
      </c>
      <c r="DJ16" s="284">
        <f>$KN16*0</f>
        <v/>
      </c>
      <c r="DK16" s="52" t="n">
        <v>0</v>
      </c>
      <c r="DL16" s="284" t="n"/>
      <c r="DM16" s="36">
        <f>$KN16*15</f>
        <v/>
      </c>
      <c r="DN16" s="47">
        <f>$KN16*15</f>
        <v/>
      </c>
      <c r="DO16" s="284">
        <f>$KN16*0</f>
        <v/>
      </c>
      <c r="DP16" s="38" t="n">
        <v>0</v>
      </c>
      <c r="DQ16" s="284" t="n"/>
      <c r="DR16" s="36">
        <f>$KN16*15</f>
        <v/>
      </c>
      <c r="DS16" s="47">
        <f>$KN16*15</f>
        <v/>
      </c>
      <c r="DT16" s="284">
        <f>$KN16*0</f>
        <v/>
      </c>
      <c r="DU16" s="38" t="n">
        <v>0</v>
      </c>
      <c r="DV16" s="284" t="n"/>
      <c r="DW16" s="338">
        <f t="array" ref="DW16">SUMPRODUCT(--(MOD(COLUMN($BO16:$DV16),5)=MOD(COLUMN($BO16),5)),$BO16:$DV16)</f>
        <v/>
      </c>
      <c r="DX16" s="339">
        <f>DW16*$J16</f>
        <v/>
      </c>
      <c r="DY16" s="344">
        <f t="array" ref="DY16">SUMPRODUCT(--(MOD(COLUMN($BO16:$DV16),5)=MOD(COLUMN($BP16),5)),$BO16:$DV16)</f>
        <v/>
      </c>
      <c r="DZ16" s="345">
        <f>DY16*$J16</f>
        <v/>
      </c>
      <c r="EA16" s="340">
        <f t="array" ref="EA16">SUMPRODUCT(--(MOD(COLUMN($BO16:$DV16),5)=MOD(COLUMN($BQ16),5)),$BO16:$DV16)</f>
        <v/>
      </c>
      <c r="EB16" s="341">
        <f>EA16*$J16</f>
        <v/>
      </c>
      <c r="EC16" s="342">
        <f t="array" ref="EC16">SUMPRODUCT(--(MOD(COLUMN($BO16:$DV16),5)=MOD(COLUMN($BR16),5)),$BO16:$DV16)</f>
        <v/>
      </c>
      <c r="ED16" s="343">
        <f>EC16*$J16</f>
        <v/>
      </c>
      <c r="EE16" s="36">
        <f>$KN16*8</f>
        <v/>
      </c>
      <c r="EF16" s="284" t="n">
        <v>8</v>
      </c>
      <c r="EG16" s="38" t="n">
        <v>0</v>
      </c>
      <c r="EH16" s="284" t="n"/>
      <c r="EI16" s="36">
        <f>$KN16*9</f>
        <v/>
      </c>
      <c r="EJ16" s="284" t="n">
        <v>50</v>
      </c>
      <c r="EK16" s="38" t="n">
        <v>0</v>
      </c>
      <c r="EL16" s="284" t="n"/>
      <c r="EM16" s="36">
        <f>$KN16*9</f>
        <v/>
      </c>
      <c r="EN16" s="284" t="n">
        <v>0</v>
      </c>
      <c r="EO16" s="38" t="n">
        <v>0</v>
      </c>
      <c r="EP16" s="333" t="n"/>
      <c r="EQ16" s="36">
        <f>$KN16*15</f>
        <v/>
      </c>
      <c r="ER16" s="284" t="n">
        <v>1</v>
      </c>
      <c r="ES16" s="38" t="n">
        <v>0</v>
      </c>
      <c r="ET16" s="284" t="n"/>
      <c r="EU16" s="36">
        <f>$KN16*15</f>
        <v/>
      </c>
      <c r="EV16" s="284" t="n">
        <v>0</v>
      </c>
      <c r="EW16" s="38" t="n">
        <v>0</v>
      </c>
      <c r="EX16" s="284" t="n"/>
      <c r="EY16" s="36">
        <f>$KN16*15</f>
        <v/>
      </c>
      <c r="EZ16" s="284" t="n">
        <v>45</v>
      </c>
      <c r="FA16" s="38" t="n">
        <v>0</v>
      </c>
      <c r="FB16" s="284" t="n"/>
      <c r="FC16" s="36">
        <f>$KN16*15</f>
        <v/>
      </c>
      <c r="FD16" s="284" t="n">
        <v>15</v>
      </c>
      <c r="FE16" s="38" t="n">
        <v>0</v>
      </c>
      <c r="FF16" s="284" t="n"/>
      <c r="FG16" s="36">
        <f>$KN16*15</f>
        <v/>
      </c>
      <c r="FH16" s="284" t="n">
        <v>15</v>
      </c>
      <c r="FI16" s="38" t="n">
        <v>0</v>
      </c>
      <c r="FJ16" s="284" t="n"/>
      <c r="FK16" s="36">
        <f>$KN16*15</f>
        <v/>
      </c>
      <c r="FL16" s="284" t="n">
        <v>15</v>
      </c>
      <c r="FM16" s="38" t="n">
        <v>0</v>
      </c>
      <c r="FN16" s="284" t="n"/>
      <c r="FO16" s="36">
        <f>$KN16*15</f>
        <v/>
      </c>
      <c r="FP16" s="284" t="n">
        <v>15</v>
      </c>
      <c r="FQ16" s="38" t="n">
        <v>0</v>
      </c>
      <c r="FR16" s="284" t="n"/>
      <c r="FS16" s="36">
        <f>$KN16*14</f>
        <v/>
      </c>
      <c r="FT16" s="284" t="n">
        <v>14</v>
      </c>
      <c r="FU16" s="38" t="n">
        <v>0</v>
      </c>
      <c r="FV16" s="284" t="n"/>
      <c r="FW16" s="36">
        <f>$KN16*10</f>
        <v/>
      </c>
      <c r="FX16" s="284" t="n">
        <v>10</v>
      </c>
      <c r="FY16" s="38" t="n">
        <v>0</v>
      </c>
      <c r="FZ16" s="284" t="n"/>
      <c r="GA16" s="338">
        <f>SUMPRODUCT(--(MOD(COLUMN($EE16:$FZ16),4)=MOD(COLUMN($EE16),4)),$EE16:$FZ16)</f>
        <v/>
      </c>
      <c r="GB16" s="339">
        <f>GA16*$J16</f>
        <v/>
      </c>
      <c r="GC16" s="340">
        <f>SUMPRODUCT(--(MOD(COLUMN($EE16:$FZ16),4)=MOD(COLUMN($EF16),4)),$EE16:$FZ16)</f>
        <v/>
      </c>
      <c r="GD16" s="341">
        <f>GC16*$J16</f>
        <v/>
      </c>
      <c r="GE16" s="342">
        <f>SUMPRODUCT(--(MOD(COLUMN($EE16:$FZ16),4)=MOD(COLUMN($EG16),4)),$EE16:$FZ16)</f>
        <v/>
      </c>
      <c r="GF16" s="343">
        <f>GE16*$J16</f>
        <v/>
      </c>
      <c r="GG16" s="36">
        <f>$KN16*10</f>
        <v/>
      </c>
      <c r="GH16" s="284" t="n"/>
      <c r="GI16" s="38" t="n">
        <v>0</v>
      </c>
      <c r="GJ16" s="284" t="n"/>
      <c r="GK16" s="36">
        <f>$KN16*10</f>
        <v/>
      </c>
      <c r="GL16" s="284" t="n"/>
      <c r="GM16" s="38" t="n">
        <v>0</v>
      </c>
      <c r="GN16" s="284" t="n"/>
      <c r="GO16" s="36">
        <f>$KN16*15</f>
        <v/>
      </c>
      <c r="GP16" s="284" t="n"/>
      <c r="GQ16" s="38" t="n">
        <v>0</v>
      </c>
      <c r="GR16" s="284" t="n"/>
      <c r="GS16" s="36">
        <f>$KN16*20</f>
        <v/>
      </c>
      <c r="GT16" s="284" t="n"/>
      <c r="GU16" s="38" t="n">
        <v>0</v>
      </c>
      <c r="GV16" s="284" t="n"/>
      <c r="GW16" s="36">
        <f>$KN16*20</f>
        <v/>
      </c>
      <c r="GX16" s="284" t="n"/>
      <c r="GY16" s="38" t="n">
        <v>0</v>
      </c>
      <c r="GZ16" s="284" t="n"/>
      <c r="HA16" s="36">
        <f>$KN16*20</f>
        <v/>
      </c>
      <c r="HB16" s="284" t="n"/>
      <c r="HC16" s="38" t="n">
        <v>0</v>
      </c>
      <c r="HD16" s="284" t="n"/>
      <c r="HE16" s="36">
        <f>$KN16*20</f>
        <v/>
      </c>
      <c r="HF16" s="284" t="n"/>
      <c r="HG16" s="38" t="n">
        <v>0</v>
      </c>
      <c r="HH16" s="284" t="n"/>
      <c r="HI16" s="36">
        <f>$KN16*20</f>
        <v/>
      </c>
      <c r="HJ16" s="284" t="n"/>
      <c r="HK16" s="38" t="n">
        <v>0</v>
      </c>
      <c r="HL16" s="284" t="n"/>
      <c r="HM16" s="36">
        <f>$KN16*20</f>
        <v/>
      </c>
      <c r="HN16" s="284" t="n"/>
      <c r="HO16" s="38" t="n">
        <v>0</v>
      </c>
      <c r="HP16" s="284" t="n"/>
      <c r="HQ16" s="36">
        <f>$KN16*20</f>
        <v/>
      </c>
      <c r="HR16" s="284" t="n"/>
      <c r="HS16" s="38" t="n">
        <v>0</v>
      </c>
      <c r="HT16" s="284" t="n"/>
      <c r="HU16" s="36">
        <f>$KN16*20</f>
        <v/>
      </c>
      <c r="HV16" s="284" t="n"/>
      <c r="HW16" s="38" t="n">
        <v>0</v>
      </c>
      <c r="HX16" s="284" t="n"/>
      <c r="HY16" s="36">
        <f>$KN16*20</f>
        <v/>
      </c>
      <c r="HZ16" s="284" t="n"/>
      <c r="IA16" s="38" t="n">
        <v>0</v>
      </c>
      <c r="IB16" s="284" t="n"/>
      <c r="IC16" s="338">
        <f t="array" ref="IC16">SUMPRODUCT(--(MOD(COLUMN($GG16:$IB16),4)=MOD(COLUMN($GG16),4)),$GG16:$IB16)</f>
        <v/>
      </c>
      <c r="ID16" s="339">
        <f>IC16*$J16</f>
        <v/>
      </c>
      <c r="IE16" s="340">
        <f t="array" ref="IE16">SUMPRODUCT(--(MOD(COLUMN($GG16:$IB16),4)=MOD(COLUMN($GH16),4)),$GG16:$IB16)</f>
        <v/>
      </c>
      <c r="IF16" s="341">
        <f>IE16*$J16</f>
        <v/>
      </c>
      <c r="IG16" s="342">
        <f t="array" ref="IG16">SUMPRODUCT(--(MOD(COLUMN($GG16:$IB16),4)=MOD(COLUMN($GI16),4)),$GG16:$IB16)</f>
        <v/>
      </c>
      <c r="IH16" s="343">
        <f>IG16*$J16</f>
        <v/>
      </c>
      <c r="II16" s="36">
        <f>$KN16*15</f>
        <v/>
      </c>
      <c r="IJ16" s="284" t="n"/>
      <c r="IK16" s="38" t="n">
        <v>0</v>
      </c>
      <c r="IL16" s="284" t="n"/>
      <c r="IM16" s="36">
        <f>$KN16*15</f>
        <v/>
      </c>
      <c r="IN16" s="284" t="n"/>
      <c r="IO16" s="38" t="n">
        <v>0</v>
      </c>
      <c r="IP16" s="284" t="n"/>
      <c r="IQ16" s="36">
        <f>$KN16*20</f>
        <v/>
      </c>
      <c r="IR16" s="284" t="n"/>
      <c r="IS16" s="38" t="n">
        <v>0</v>
      </c>
      <c r="IT16" s="284" t="n"/>
      <c r="IU16" s="36">
        <f>$KN16*25</f>
        <v/>
      </c>
      <c r="IV16" s="284" t="n"/>
      <c r="IW16" s="38" t="n">
        <v>0</v>
      </c>
      <c r="IX16" s="284" t="n"/>
      <c r="IY16" s="36">
        <f>$KN16*25</f>
        <v/>
      </c>
      <c r="IZ16" s="284" t="n"/>
      <c r="JA16" s="38" t="n">
        <v>0</v>
      </c>
      <c r="JB16" s="284" t="n"/>
      <c r="JC16" s="36">
        <f>$KN16*25</f>
        <v/>
      </c>
      <c r="JD16" s="284" t="n"/>
      <c r="JE16" s="38" t="n">
        <v>0</v>
      </c>
      <c r="JF16" s="284" t="n"/>
      <c r="JG16" s="36">
        <f>$KN16*30</f>
        <v/>
      </c>
      <c r="JH16" s="284" t="n"/>
      <c r="JI16" s="38" t="n">
        <v>0</v>
      </c>
      <c r="JJ16" s="284" t="n"/>
      <c r="JK16" s="36">
        <f>$KN16*30</f>
        <v/>
      </c>
      <c r="JL16" s="284" t="n"/>
      <c r="JM16" s="38" t="n">
        <v>0</v>
      </c>
      <c r="JN16" s="284" t="n"/>
      <c r="JO16" s="36">
        <f>$KN16*30</f>
        <v/>
      </c>
      <c r="JP16" s="284" t="n"/>
      <c r="JQ16" s="38" t="n">
        <v>0</v>
      </c>
      <c r="JR16" s="284" t="n"/>
      <c r="JS16" s="36">
        <f>$KN16*30</f>
        <v/>
      </c>
      <c r="JT16" s="284" t="n"/>
      <c r="JU16" s="38" t="n">
        <v>0</v>
      </c>
      <c r="JV16" s="284" t="n"/>
      <c r="JW16" s="36">
        <f>$KN16*30</f>
        <v/>
      </c>
      <c r="JX16" s="284" t="n"/>
      <c r="JY16" s="38" t="n">
        <v>0</v>
      </c>
      <c r="JZ16" s="284" t="n"/>
      <c r="KA16" s="36" t="n">
        <v>30</v>
      </c>
      <c r="KB16" s="284" t="n"/>
      <c r="KC16" s="38" t="n">
        <v>0</v>
      </c>
      <c r="KD16" s="284" t="n"/>
      <c r="KE16" s="338">
        <f t="array" ref="KE16">SUMPRODUCT(--(MOD(COLUMN($II16:$KD16),4)=MOD(COLUMN($II16),4)),$II16:$KD16)</f>
        <v/>
      </c>
      <c r="KF16" s="339">
        <f>KE16*$J16</f>
        <v/>
      </c>
      <c r="KG16" s="340">
        <f t="array" ref="KG16">SUMPRODUCT(--(MOD(COLUMN($II16:$KD16),4)=MOD(COLUMN($IJ16),4)),$II16:$KD16)</f>
        <v/>
      </c>
      <c r="KH16" s="341">
        <f>KG16*$J16</f>
        <v/>
      </c>
      <c r="KI16" s="342">
        <f t="array" ref="KI16">SUMPRODUCT(--(MOD(COLUMN($II16:$KD16),4)=MOD(COLUMN($IK16),4)),$II16:$KD16)</f>
        <v/>
      </c>
      <c r="KJ16" s="346">
        <f>KI16*$J16</f>
        <v/>
      </c>
      <c r="KK16" s="12" t="n"/>
      <c r="KL16" s="12" t="n"/>
      <c r="KM16" s="12" t="n"/>
      <c r="KN16" s="51" t="n">
        <v>1</v>
      </c>
      <c r="KO16" s="333" t="n"/>
    </row>
    <row r="17" outlineLevel="1" ht="30" customHeight="1">
      <c r="A17" s="347" t="n"/>
      <c r="B17" s="347" t="n"/>
      <c r="C17" s="347" t="n"/>
      <c r="D17" s="347" t="n"/>
      <c r="E17" s="15" t="n">
        <v>12</v>
      </c>
      <c r="F17" s="205" t="n">
        <v>1</v>
      </c>
      <c r="G17" s="212" t="n">
        <v>4492731200</v>
      </c>
      <c r="H17" s="213" t="inlineStr">
        <is>
          <t>Кабель питания для прицепа, 12 м</t>
        </is>
      </c>
      <c r="I17" s="349" t="n">
        <v>1037</v>
      </c>
      <c r="J17" s="349" t="n">
        <v>1037</v>
      </c>
      <c r="K17" s="349" t="n"/>
      <c r="L17" s="349" t="n"/>
      <c r="M17" s="175" t="n"/>
      <c r="N17" s="315" t="n"/>
      <c r="O17" s="177" t="n"/>
      <c r="P17" s="315" t="n"/>
      <c r="Q17" s="175" t="n"/>
      <c r="R17" s="315" t="n"/>
      <c r="S17" s="177" t="n"/>
      <c r="T17" s="315" t="n"/>
      <c r="U17" s="175" t="n"/>
      <c r="V17" s="315" t="n"/>
      <c r="W17" s="177" t="n"/>
      <c r="X17" s="315" t="n"/>
      <c r="Y17" s="175" t="n"/>
      <c r="Z17" s="315" t="n"/>
      <c r="AA17" s="177" t="n"/>
      <c r="AB17" s="315" t="n"/>
      <c r="AC17" s="175" t="n"/>
      <c r="AD17" s="315" t="n"/>
      <c r="AE17" s="177" t="n"/>
      <c r="AF17" s="315" t="n"/>
      <c r="AG17" s="175" t="n"/>
      <c r="AH17" s="206" t="n"/>
      <c r="AI17" s="52" t="n"/>
      <c r="AJ17" s="247" t="n"/>
      <c r="AK17" s="175" t="n"/>
      <c r="AL17" s="315" t="n"/>
      <c r="AM17" s="52" t="n"/>
      <c r="AN17" s="247" t="n"/>
      <c r="AO17" s="175" t="n"/>
      <c r="AP17" s="315" t="n"/>
      <c r="AQ17" s="177" t="n"/>
      <c r="AR17" s="247" t="n"/>
      <c r="AS17" s="175" t="n"/>
      <c r="AT17" s="315" t="n"/>
      <c r="AU17" s="177" t="n"/>
      <c r="AV17" s="247" t="n"/>
      <c r="AW17" s="175" t="n"/>
      <c r="AX17" s="315" t="n"/>
      <c r="AY17" s="177" t="n"/>
      <c r="AZ17" s="247" t="n"/>
      <c r="BA17" s="175" t="n"/>
      <c r="BB17" s="315" t="n"/>
      <c r="BC17" s="52" t="n"/>
      <c r="BD17" s="247" t="n"/>
      <c r="BE17" s="175" t="n"/>
      <c r="BF17" s="315" t="n"/>
      <c r="BG17" s="177" t="n"/>
      <c r="BH17" s="247" t="n"/>
      <c r="BI17" s="350" t="n"/>
      <c r="BJ17" s="351" t="n"/>
      <c r="BK17" s="352" t="n"/>
      <c r="BL17" s="353" t="n"/>
      <c r="BM17" s="354" t="n"/>
      <c r="BN17" s="355" t="n"/>
      <c r="BO17" s="175" t="n"/>
      <c r="BP17" s="186" t="n"/>
      <c r="BQ17" s="315" t="n"/>
      <c r="BR17" s="52" t="n"/>
      <c r="BS17" s="315" t="n"/>
      <c r="BT17" s="175" t="n"/>
      <c r="BU17" s="186" t="n"/>
      <c r="BV17" s="315" t="n"/>
      <c r="BW17" s="177" t="n"/>
      <c r="BX17" s="315" t="n"/>
      <c r="BY17" s="175" t="n"/>
      <c r="BZ17" s="186" t="n"/>
      <c r="CA17" s="315" t="n"/>
      <c r="CB17" s="177" t="n"/>
      <c r="CC17" s="315" t="n"/>
      <c r="CD17" s="175" t="n"/>
      <c r="CE17" s="186" t="n"/>
      <c r="CF17" s="315" t="n"/>
      <c r="CG17" s="177" t="n"/>
      <c r="CH17" s="315" t="n"/>
      <c r="CI17" s="175" t="n"/>
      <c r="CJ17" s="186" t="n"/>
      <c r="CK17" s="315" t="n"/>
      <c r="CL17" s="177" t="n"/>
      <c r="CM17" s="315" t="n"/>
      <c r="CN17" s="175" t="n"/>
      <c r="CO17" s="186" t="n"/>
      <c r="CP17" s="315" t="n"/>
      <c r="CQ17" s="177" t="n"/>
      <c r="CR17" s="315" t="n"/>
      <c r="CS17" s="175" t="n"/>
      <c r="CT17" s="186" t="n"/>
      <c r="CU17" s="315" t="n"/>
      <c r="CV17" s="177" t="n"/>
      <c r="CW17" s="315" t="n"/>
      <c r="CX17" s="175" t="n"/>
      <c r="CY17" s="186" t="n"/>
      <c r="CZ17" s="206" t="n"/>
      <c r="DA17" s="177" t="n"/>
      <c r="DB17" s="315" t="n"/>
      <c r="DC17" s="175" t="n"/>
      <c r="DD17" s="186" t="n"/>
      <c r="DE17" s="206" t="n"/>
      <c r="DF17" s="177" t="n"/>
      <c r="DG17" s="315" t="n"/>
      <c r="DH17" s="175" t="n"/>
      <c r="DI17" s="186" t="n"/>
      <c r="DJ17" s="315" t="n"/>
      <c r="DK17" s="52" t="n"/>
      <c r="DL17" s="315" t="n"/>
      <c r="DM17" s="175" t="n"/>
      <c r="DN17" s="186" t="n"/>
      <c r="DO17" s="315" t="n"/>
      <c r="DP17" s="177" t="n"/>
      <c r="DQ17" s="245" t="n"/>
      <c r="DR17" s="175" t="n"/>
      <c r="DS17" s="186" t="n"/>
      <c r="DT17" s="315" t="n"/>
      <c r="DU17" s="177" t="n"/>
      <c r="DV17" s="315" t="n"/>
      <c r="DW17" s="350" t="n"/>
      <c r="DX17" s="351" t="n"/>
      <c r="DY17" s="356" t="n"/>
      <c r="DZ17" s="357" t="n"/>
      <c r="EA17" s="352" t="n"/>
      <c r="EB17" s="353" t="n"/>
      <c r="EC17" s="354" t="n"/>
      <c r="ED17" s="355" t="n"/>
      <c r="EE17" s="175" t="n"/>
      <c r="EF17" s="315" t="n"/>
      <c r="EG17" s="177" t="n"/>
      <c r="EH17" s="284" t="inlineStr">
        <is>
          <t>Новый артикул</t>
        </is>
      </c>
      <c r="EI17" s="175" t="n"/>
      <c r="EJ17" s="315" t="n">
        <v>1</v>
      </c>
      <c r="EK17" s="38" t="n">
        <v>0</v>
      </c>
      <c r="EL17" s="315" t="n"/>
      <c r="EM17" s="175" t="n"/>
      <c r="EN17" s="315" t="n">
        <v>1</v>
      </c>
      <c r="EO17" s="177" t="n">
        <v>1</v>
      </c>
      <c r="EP17" s="284" t="inlineStr">
        <is>
          <t>Заказ февраля перенесена на март</t>
        </is>
      </c>
      <c r="EQ17" s="175" t="n"/>
      <c r="ER17" s="315" t="n"/>
      <c r="ES17" s="177" t="n"/>
      <c r="ET17" s="315" t="n"/>
      <c r="EU17" s="175" t="n"/>
      <c r="EV17" s="315" t="n"/>
      <c r="EW17" s="177" t="n"/>
      <c r="EX17" s="315" t="n"/>
      <c r="EY17" s="175" t="n"/>
      <c r="EZ17" s="315" t="n"/>
      <c r="FA17" s="177" t="n"/>
      <c r="FB17" s="315" t="n"/>
      <c r="FC17" s="175" t="n"/>
      <c r="FD17" s="315" t="n"/>
      <c r="FE17" s="177" t="n"/>
      <c r="FF17" s="315" t="n"/>
      <c r="FG17" s="175" t="n"/>
      <c r="FH17" s="315" t="n"/>
      <c r="FI17" s="177" t="n"/>
      <c r="FJ17" s="315" t="n"/>
      <c r="FK17" s="175" t="n"/>
      <c r="FL17" s="315" t="n"/>
      <c r="FM17" s="177" t="n"/>
      <c r="FN17" s="315" t="n"/>
      <c r="FO17" s="175" t="n"/>
      <c r="FP17" s="315" t="n"/>
      <c r="FQ17" s="177" t="n"/>
      <c r="FR17" s="315" t="n"/>
      <c r="FS17" s="175" t="n"/>
      <c r="FT17" s="315" t="n"/>
      <c r="FU17" s="177" t="n"/>
      <c r="FV17" s="315" t="n"/>
      <c r="FW17" s="175" t="n"/>
      <c r="FX17" s="315" t="n"/>
      <c r="FY17" s="177" t="n"/>
      <c r="FZ17" s="315" t="n"/>
      <c r="GA17" s="350" t="n"/>
      <c r="GB17" s="351" t="n"/>
      <c r="GC17" s="352" t="n"/>
      <c r="GD17" s="353" t="n"/>
      <c r="GE17" s="354" t="n"/>
      <c r="GF17" s="355" t="n"/>
      <c r="GG17" s="175" t="n"/>
      <c r="GH17" s="315" t="n"/>
      <c r="GI17" s="177" t="n"/>
      <c r="GJ17" s="315" t="n"/>
      <c r="GK17" s="175" t="n"/>
      <c r="GL17" s="315" t="n"/>
      <c r="GM17" s="177" t="n"/>
      <c r="GN17" s="315" t="n"/>
      <c r="GO17" s="175" t="n"/>
      <c r="GP17" s="315" t="n"/>
      <c r="GQ17" s="177" t="n"/>
      <c r="GR17" s="315" t="n"/>
      <c r="GS17" s="175" t="n"/>
      <c r="GT17" s="315" t="n"/>
      <c r="GU17" s="177" t="n"/>
      <c r="GV17" s="315" t="n"/>
      <c r="GW17" s="175" t="n"/>
      <c r="GX17" s="315" t="n"/>
      <c r="GY17" s="177" t="n"/>
      <c r="GZ17" s="315" t="n"/>
      <c r="HA17" s="175" t="n"/>
      <c r="HB17" s="315" t="n"/>
      <c r="HC17" s="177" t="n"/>
      <c r="HD17" s="315" t="n"/>
      <c r="HE17" s="175" t="n"/>
      <c r="HF17" s="315" t="n"/>
      <c r="HG17" s="177" t="n"/>
      <c r="HH17" s="315" t="n"/>
      <c r="HI17" s="175" t="n"/>
      <c r="HJ17" s="315" t="n"/>
      <c r="HK17" s="177" t="n"/>
      <c r="HL17" s="315" t="n"/>
      <c r="HM17" s="175" t="n"/>
      <c r="HN17" s="315" t="n"/>
      <c r="HO17" s="177" t="n"/>
      <c r="HP17" s="315" t="n"/>
      <c r="HQ17" s="175" t="n"/>
      <c r="HR17" s="315" t="n"/>
      <c r="HS17" s="177" t="n"/>
      <c r="HT17" s="315" t="n"/>
      <c r="HU17" s="175" t="n"/>
      <c r="HV17" s="315" t="n"/>
      <c r="HW17" s="177" t="n"/>
      <c r="HX17" s="315" t="n"/>
      <c r="HY17" s="175" t="n"/>
      <c r="HZ17" s="315" t="n"/>
      <c r="IA17" s="177" t="n"/>
      <c r="IB17" s="315" t="n"/>
      <c r="IC17" s="350" t="n"/>
      <c r="ID17" s="351" t="n"/>
      <c r="IE17" s="352" t="n"/>
      <c r="IF17" s="353" t="n"/>
      <c r="IG17" s="354" t="n"/>
      <c r="IH17" s="355" t="n"/>
      <c r="II17" s="175" t="n"/>
      <c r="IJ17" s="315" t="n"/>
      <c r="IK17" s="177" t="n"/>
      <c r="IL17" s="315" t="n"/>
      <c r="IM17" s="175" t="n"/>
      <c r="IN17" s="315" t="n"/>
      <c r="IO17" s="177" t="n"/>
      <c r="IP17" s="315" t="n"/>
      <c r="IQ17" s="175" t="n"/>
      <c r="IR17" s="315" t="n"/>
      <c r="IS17" s="177" t="n"/>
      <c r="IT17" s="315" t="n"/>
      <c r="IU17" s="175" t="n"/>
      <c r="IV17" s="315" t="n"/>
      <c r="IW17" s="177" t="n"/>
      <c r="IX17" s="315" t="n"/>
      <c r="IY17" s="175" t="n"/>
      <c r="IZ17" s="315" t="n"/>
      <c r="JA17" s="177" t="n"/>
      <c r="JB17" s="315" t="n"/>
      <c r="JC17" s="175" t="n"/>
      <c r="JD17" s="315" t="n"/>
      <c r="JE17" s="177" t="n"/>
      <c r="JF17" s="315" t="n"/>
      <c r="JG17" s="175" t="n"/>
      <c r="JH17" s="315" t="n"/>
      <c r="JI17" s="177" t="n"/>
      <c r="JJ17" s="315" t="n"/>
      <c r="JK17" s="175" t="n"/>
      <c r="JL17" s="315" t="n"/>
      <c r="JM17" s="177" t="n"/>
      <c r="JN17" s="315" t="n"/>
      <c r="JO17" s="175" t="n"/>
      <c r="JP17" s="315" t="n"/>
      <c r="JQ17" s="177" t="n"/>
      <c r="JR17" s="315" t="n"/>
      <c r="JS17" s="175" t="n"/>
      <c r="JT17" s="315" t="n"/>
      <c r="JU17" s="177" t="n"/>
      <c r="JV17" s="315" t="n"/>
      <c r="JW17" s="175" t="n"/>
      <c r="JX17" s="315" t="n"/>
      <c r="JY17" s="177" t="n"/>
      <c r="JZ17" s="315" t="n"/>
      <c r="KA17" s="175" t="n"/>
      <c r="KB17" s="315" t="n"/>
      <c r="KC17" s="177" t="n"/>
      <c r="KD17" s="315" t="n"/>
      <c r="KE17" s="350" t="n"/>
      <c r="KF17" s="351" t="n"/>
      <c r="KG17" s="352" t="n"/>
      <c r="KH17" s="353" t="n"/>
      <c r="KI17" s="354" t="n"/>
      <c r="KJ17" s="358" t="n"/>
      <c r="KK17" s="210" t="n"/>
      <c r="KL17" s="210" t="n"/>
      <c r="KM17" s="210" t="n"/>
      <c r="KN17" s="190" t="n"/>
      <c r="KO17" s="286" t="n"/>
    </row>
    <row r="18" outlineLevel="1" ht="28.8" customHeight="1">
      <c r="A18" s="347" t="n"/>
      <c r="B18" s="347" t="n"/>
      <c r="C18" s="347" t="n"/>
      <c r="D18" s="347" t="n"/>
      <c r="E18" s="15" t="n">
        <v>13</v>
      </c>
      <c r="F18" s="205" t="n">
        <v>1</v>
      </c>
      <c r="G18" s="212" t="n">
        <v>4802070600</v>
      </c>
      <c r="H18" s="213" t="inlineStr">
        <is>
          <t>Ускорительный клапан EBS</t>
        </is>
      </c>
      <c r="I18" s="349" t="n">
        <v>1056</v>
      </c>
      <c r="J18" s="349" t="n">
        <v>1056</v>
      </c>
      <c r="K18" s="349" t="n"/>
      <c r="L18" s="349" t="n"/>
      <c r="M18" s="175" t="n"/>
      <c r="N18" s="315" t="n"/>
      <c r="O18" s="177" t="n"/>
      <c r="P18" s="315" t="n"/>
      <c r="Q18" s="175" t="n"/>
      <c r="R18" s="315" t="n"/>
      <c r="S18" s="177" t="n"/>
      <c r="T18" s="315" t="n"/>
      <c r="U18" s="175" t="n"/>
      <c r="V18" s="315" t="n"/>
      <c r="W18" s="177" t="n"/>
      <c r="X18" s="315" t="n"/>
      <c r="Y18" s="175" t="n"/>
      <c r="Z18" s="315" t="n"/>
      <c r="AA18" s="177" t="n"/>
      <c r="AB18" s="315" t="n"/>
      <c r="AC18" s="175" t="n"/>
      <c r="AD18" s="315" t="n"/>
      <c r="AE18" s="177" t="n"/>
      <c r="AF18" s="315" t="n"/>
      <c r="AG18" s="175" t="n"/>
      <c r="AH18" s="206" t="n"/>
      <c r="AI18" s="52" t="n"/>
      <c r="AJ18" s="247" t="n"/>
      <c r="AK18" s="175" t="n"/>
      <c r="AL18" s="315" t="n"/>
      <c r="AM18" s="52" t="n"/>
      <c r="AN18" s="247" t="n"/>
      <c r="AO18" s="175" t="n"/>
      <c r="AP18" s="315" t="n"/>
      <c r="AQ18" s="177" t="n"/>
      <c r="AR18" s="247" t="n"/>
      <c r="AS18" s="175" t="n"/>
      <c r="AT18" s="315" t="n"/>
      <c r="AU18" s="177" t="n"/>
      <c r="AV18" s="247" t="n"/>
      <c r="AW18" s="175" t="n"/>
      <c r="AX18" s="315" t="n"/>
      <c r="AY18" s="177" t="n"/>
      <c r="AZ18" s="247" t="n"/>
      <c r="BA18" s="175" t="n"/>
      <c r="BB18" s="315" t="n"/>
      <c r="BC18" s="52" t="n"/>
      <c r="BD18" s="247" t="n"/>
      <c r="BE18" s="175" t="n"/>
      <c r="BF18" s="315" t="n"/>
      <c r="BG18" s="177" t="n"/>
      <c r="BH18" s="247" t="n"/>
      <c r="BI18" s="350" t="n"/>
      <c r="BJ18" s="351" t="n"/>
      <c r="BK18" s="352" t="n"/>
      <c r="BL18" s="353" t="n"/>
      <c r="BM18" s="354" t="n"/>
      <c r="BN18" s="355" t="n"/>
      <c r="BO18" s="175" t="n"/>
      <c r="BP18" s="186" t="n"/>
      <c r="BQ18" s="315" t="n"/>
      <c r="BR18" s="52" t="n"/>
      <c r="BS18" s="315" t="n"/>
      <c r="BT18" s="175" t="n"/>
      <c r="BU18" s="186" t="n"/>
      <c r="BV18" s="315" t="n"/>
      <c r="BW18" s="177" t="n"/>
      <c r="BX18" s="315" t="n"/>
      <c r="BY18" s="175" t="n"/>
      <c r="BZ18" s="186" t="n"/>
      <c r="CA18" s="315" t="n"/>
      <c r="CB18" s="177" t="n"/>
      <c r="CC18" s="315" t="n"/>
      <c r="CD18" s="175" t="n"/>
      <c r="CE18" s="186" t="n"/>
      <c r="CF18" s="315" t="n"/>
      <c r="CG18" s="177" t="n"/>
      <c r="CH18" s="315" t="n"/>
      <c r="CI18" s="175" t="n"/>
      <c r="CJ18" s="186" t="n"/>
      <c r="CK18" s="315" t="n"/>
      <c r="CL18" s="177" t="n"/>
      <c r="CM18" s="315" t="n"/>
      <c r="CN18" s="175" t="n"/>
      <c r="CO18" s="186" t="n"/>
      <c r="CP18" s="315" t="n"/>
      <c r="CQ18" s="177" t="n"/>
      <c r="CR18" s="315" t="n"/>
      <c r="CS18" s="175" t="n"/>
      <c r="CT18" s="186" t="n"/>
      <c r="CU18" s="315" t="n"/>
      <c r="CV18" s="177" t="n"/>
      <c r="CW18" s="315" t="n"/>
      <c r="CX18" s="175" t="n"/>
      <c r="CY18" s="186" t="n"/>
      <c r="CZ18" s="206" t="n"/>
      <c r="DA18" s="177" t="n"/>
      <c r="DB18" s="315" t="n"/>
      <c r="DC18" s="175" t="n"/>
      <c r="DD18" s="186" t="n"/>
      <c r="DE18" s="206" t="n"/>
      <c r="DF18" s="177" t="n"/>
      <c r="DG18" s="315" t="n"/>
      <c r="DH18" s="175" t="n"/>
      <c r="DI18" s="186" t="n"/>
      <c r="DJ18" s="315" t="n"/>
      <c r="DK18" s="52" t="n"/>
      <c r="DL18" s="315" t="n"/>
      <c r="DM18" s="175" t="n"/>
      <c r="DN18" s="186" t="n"/>
      <c r="DO18" s="315" t="n"/>
      <c r="DP18" s="177" t="n"/>
      <c r="DQ18" s="245" t="n"/>
      <c r="DR18" s="175" t="n"/>
      <c r="DS18" s="186" t="n"/>
      <c r="DT18" s="315" t="n"/>
      <c r="DU18" s="177" t="n"/>
      <c r="DV18" s="315" t="n"/>
      <c r="DW18" s="350" t="n"/>
      <c r="DX18" s="351" t="n"/>
      <c r="DY18" s="356" t="n"/>
      <c r="DZ18" s="357" t="n"/>
      <c r="EA18" s="352" t="n"/>
      <c r="EB18" s="353" t="n"/>
      <c r="EC18" s="354" t="n"/>
      <c r="ED18" s="355" t="n"/>
      <c r="EE18" s="175" t="n"/>
      <c r="EF18" s="315" t="n"/>
      <c r="EG18" s="177" t="n"/>
      <c r="EH18" s="347" t="n"/>
      <c r="EI18" s="175" t="n"/>
      <c r="EJ18" s="315" t="n">
        <v>1</v>
      </c>
      <c r="EK18" s="38" t="n">
        <v>0</v>
      </c>
      <c r="EL18" s="315" t="n"/>
      <c r="EM18" s="175" t="n"/>
      <c r="EN18" s="315" t="n">
        <v>1</v>
      </c>
      <c r="EO18" s="177" t="n">
        <v>1</v>
      </c>
      <c r="EP18" s="347" t="n"/>
      <c r="EQ18" s="175" t="n"/>
      <c r="ER18" s="315" t="n"/>
      <c r="ES18" s="177" t="n"/>
      <c r="ET18" s="315" t="n"/>
      <c r="EU18" s="175" t="n"/>
      <c r="EV18" s="315" t="n"/>
      <c r="EW18" s="177" t="n"/>
      <c r="EX18" s="315" t="n"/>
      <c r="EY18" s="175" t="n"/>
      <c r="EZ18" s="315" t="n"/>
      <c r="FA18" s="177" t="n"/>
      <c r="FB18" s="315" t="n"/>
      <c r="FC18" s="175" t="n"/>
      <c r="FD18" s="315" t="n"/>
      <c r="FE18" s="177" t="n"/>
      <c r="FF18" s="315" t="n"/>
      <c r="FG18" s="175" t="n"/>
      <c r="FH18" s="315" t="n"/>
      <c r="FI18" s="177" t="n"/>
      <c r="FJ18" s="315" t="n"/>
      <c r="FK18" s="175" t="n"/>
      <c r="FL18" s="315" t="n"/>
      <c r="FM18" s="177" t="n"/>
      <c r="FN18" s="315" t="n"/>
      <c r="FO18" s="175" t="n"/>
      <c r="FP18" s="315" t="n"/>
      <c r="FQ18" s="177" t="n"/>
      <c r="FR18" s="315" t="n"/>
      <c r="FS18" s="175" t="n"/>
      <c r="FT18" s="315" t="n"/>
      <c r="FU18" s="177" t="n"/>
      <c r="FV18" s="315" t="n"/>
      <c r="FW18" s="175" t="n"/>
      <c r="FX18" s="315" t="n"/>
      <c r="FY18" s="177" t="n"/>
      <c r="FZ18" s="315" t="n"/>
      <c r="GA18" s="350" t="n"/>
      <c r="GB18" s="351" t="n"/>
      <c r="GC18" s="352" t="n"/>
      <c r="GD18" s="353" t="n"/>
      <c r="GE18" s="354" t="n"/>
      <c r="GF18" s="355" t="n"/>
      <c r="GG18" s="175" t="n"/>
      <c r="GH18" s="315" t="n"/>
      <c r="GI18" s="177" t="n"/>
      <c r="GJ18" s="315" t="n"/>
      <c r="GK18" s="175" t="n"/>
      <c r="GL18" s="315" t="n"/>
      <c r="GM18" s="177" t="n"/>
      <c r="GN18" s="315" t="n"/>
      <c r="GO18" s="175" t="n"/>
      <c r="GP18" s="315" t="n"/>
      <c r="GQ18" s="177" t="n"/>
      <c r="GR18" s="315" t="n"/>
      <c r="GS18" s="175" t="n"/>
      <c r="GT18" s="315" t="n"/>
      <c r="GU18" s="177" t="n"/>
      <c r="GV18" s="315" t="n"/>
      <c r="GW18" s="175" t="n"/>
      <c r="GX18" s="315" t="n"/>
      <c r="GY18" s="177" t="n"/>
      <c r="GZ18" s="315" t="n"/>
      <c r="HA18" s="175" t="n"/>
      <c r="HB18" s="315" t="n"/>
      <c r="HC18" s="177" t="n"/>
      <c r="HD18" s="315" t="n"/>
      <c r="HE18" s="175" t="n"/>
      <c r="HF18" s="315" t="n"/>
      <c r="HG18" s="177" t="n"/>
      <c r="HH18" s="315" t="n"/>
      <c r="HI18" s="175" t="n"/>
      <c r="HJ18" s="315" t="n"/>
      <c r="HK18" s="177" t="n"/>
      <c r="HL18" s="315" t="n"/>
      <c r="HM18" s="175" t="n"/>
      <c r="HN18" s="315" t="n"/>
      <c r="HO18" s="177" t="n"/>
      <c r="HP18" s="315" t="n"/>
      <c r="HQ18" s="175" t="n"/>
      <c r="HR18" s="315" t="n"/>
      <c r="HS18" s="177" t="n"/>
      <c r="HT18" s="315" t="n"/>
      <c r="HU18" s="175" t="n"/>
      <c r="HV18" s="315" t="n"/>
      <c r="HW18" s="177" t="n"/>
      <c r="HX18" s="315" t="n"/>
      <c r="HY18" s="175" t="n"/>
      <c r="HZ18" s="315" t="n"/>
      <c r="IA18" s="177" t="n"/>
      <c r="IB18" s="315" t="n"/>
      <c r="IC18" s="350" t="n"/>
      <c r="ID18" s="351" t="n"/>
      <c r="IE18" s="352" t="n"/>
      <c r="IF18" s="353" t="n"/>
      <c r="IG18" s="354" t="n"/>
      <c r="IH18" s="355" t="n"/>
      <c r="II18" s="175" t="n"/>
      <c r="IJ18" s="315" t="n"/>
      <c r="IK18" s="177" t="n"/>
      <c r="IL18" s="315" t="n"/>
      <c r="IM18" s="175" t="n"/>
      <c r="IN18" s="315" t="n"/>
      <c r="IO18" s="177" t="n"/>
      <c r="IP18" s="315" t="n"/>
      <c r="IQ18" s="175" t="n"/>
      <c r="IR18" s="315" t="n"/>
      <c r="IS18" s="177" t="n"/>
      <c r="IT18" s="315" t="n"/>
      <c r="IU18" s="175" t="n"/>
      <c r="IV18" s="315" t="n"/>
      <c r="IW18" s="177" t="n"/>
      <c r="IX18" s="315" t="n"/>
      <c r="IY18" s="175" t="n"/>
      <c r="IZ18" s="315" t="n"/>
      <c r="JA18" s="177" t="n"/>
      <c r="JB18" s="315" t="n"/>
      <c r="JC18" s="175" t="n"/>
      <c r="JD18" s="315" t="n"/>
      <c r="JE18" s="177" t="n"/>
      <c r="JF18" s="315" t="n"/>
      <c r="JG18" s="175" t="n"/>
      <c r="JH18" s="315" t="n"/>
      <c r="JI18" s="177" t="n"/>
      <c r="JJ18" s="315" t="n"/>
      <c r="JK18" s="175" t="n"/>
      <c r="JL18" s="315" t="n"/>
      <c r="JM18" s="177" t="n"/>
      <c r="JN18" s="315" t="n"/>
      <c r="JO18" s="175" t="n"/>
      <c r="JP18" s="315" t="n"/>
      <c r="JQ18" s="177" t="n"/>
      <c r="JR18" s="315" t="n"/>
      <c r="JS18" s="175" t="n"/>
      <c r="JT18" s="315" t="n"/>
      <c r="JU18" s="177" t="n"/>
      <c r="JV18" s="315" t="n"/>
      <c r="JW18" s="175" t="n"/>
      <c r="JX18" s="315" t="n"/>
      <c r="JY18" s="177" t="n"/>
      <c r="JZ18" s="315" t="n"/>
      <c r="KA18" s="175" t="n"/>
      <c r="KB18" s="315" t="n"/>
      <c r="KC18" s="177" t="n"/>
      <c r="KD18" s="315" t="n"/>
      <c r="KE18" s="350" t="n"/>
      <c r="KF18" s="351" t="n"/>
      <c r="KG18" s="352" t="n"/>
      <c r="KH18" s="353" t="n"/>
      <c r="KI18" s="354" t="n"/>
      <c r="KJ18" s="358" t="n"/>
      <c r="KK18" s="210" t="n"/>
      <c r="KL18" s="210" t="n"/>
      <c r="KM18" s="210" t="n"/>
      <c r="KN18" s="190" t="n"/>
      <c r="KO18" s="286" t="n"/>
    </row>
    <row r="19" outlineLevel="1" ht="43.2" customHeight="1">
      <c r="A19" s="347" t="n"/>
      <c r="B19" s="347" t="n"/>
      <c r="C19" s="347" t="n"/>
      <c r="D19" s="347" t="n"/>
      <c r="E19" s="15" t="n">
        <v>14</v>
      </c>
      <c r="F19" s="205" t="n">
        <v>1</v>
      </c>
      <c r="G19" s="212" t="n">
        <v>4494301200</v>
      </c>
      <c r="H19" s="213" t="inlineStr">
        <is>
          <t>Кабель клапана ускорительного TEBS, 12 м</t>
        </is>
      </c>
      <c r="I19" s="349" t="n">
        <v>811</v>
      </c>
      <c r="J19" s="349" t="n">
        <v>811</v>
      </c>
      <c r="K19" s="349" t="n"/>
      <c r="L19" s="349" t="n"/>
      <c r="M19" s="175" t="n"/>
      <c r="N19" s="315" t="n"/>
      <c r="O19" s="177" t="n"/>
      <c r="P19" s="315" t="n"/>
      <c r="Q19" s="175" t="n"/>
      <c r="R19" s="315" t="n"/>
      <c r="S19" s="177" t="n"/>
      <c r="T19" s="315" t="n"/>
      <c r="U19" s="175" t="n"/>
      <c r="V19" s="315" t="n"/>
      <c r="W19" s="177" t="n"/>
      <c r="X19" s="315" t="n"/>
      <c r="Y19" s="175" t="n"/>
      <c r="Z19" s="315" t="n"/>
      <c r="AA19" s="177" t="n"/>
      <c r="AB19" s="315" t="n"/>
      <c r="AC19" s="175" t="n"/>
      <c r="AD19" s="315" t="n"/>
      <c r="AE19" s="177" t="n"/>
      <c r="AF19" s="315" t="n"/>
      <c r="AG19" s="175" t="n"/>
      <c r="AH19" s="206" t="n"/>
      <c r="AI19" s="52" t="n"/>
      <c r="AJ19" s="247" t="n"/>
      <c r="AK19" s="175" t="n"/>
      <c r="AL19" s="315" t="n"/>
      <c r="AM19" s="52" t="n"/>
      <c r="AN19" s="247" t="n"/>
      <c r="AO19" s="175" t="n"/>
      <c r="AP19" s="315" t="n"/>
      <c r="AQ19" s="177" t="n"/>
      <c r="AR19" s="247" t="n"/>
      <c r="AS19" s="175" t="n"/>
      <c r="AT19" s="315" t="n"/>
      <c r="AU19" s="177" t="n"/>
      <c r="AV19" s="247" t="n"/>
      <c r="AW19" s="175" t="n"/>
      <c r="AX19" s="315" t="n"/>
      <c r="AY19" s="177" t="n"/>
      <c r="AZ19" s="247" t="n"/>
      <c r="BA19" s="175" t="n"/>
      <c r="BB19" s="315" t="n"/>
      <c r="BC19" s="52" t="n"/>
      <c r="BD19" s="247" t="n"/>
      <c r="BE19" s="175" t="n"/>
      <c r="BF19" s="315" t="n"/>
      <c r="BG19" s="177" t="n"/>
      <c r="BH19" s="247" t="n"/>
      <c r="BI19" s="350" t="n"/>
      <c r="BJ19" s="351" t="n"/>
      <c r="BK19" s="352" t="n"/>
      <c r="BL19" s="353" t="n"/>
      <c r="BM19" s="354" t="n"/>
      <c r="BN19" s="355" t="n"/>
      <c r="BO19" s="175" t="n"/>
      <c r="BP19" s="186" t="n"/>
      <c r="BQ19" s="315" t="n"/>
      <c r="BR19" s="52" t="n"/>
      <c r="BS19" s="315" t="n"/>
      <c r="BT19" s="175" t="n"/>
      <c r="BU19" s="186" t="n"/>
      <c r="BV19" s="315" t="n"/>
      <c r="BW19" s="177" t="n"/>
      <c r="BX19" s="315" t="n"/>
      <c r="BY19" s="175" t="n"/>
      <c r="BZ19" s="186" t="n"/>
      <c r="CA19" s="315" t="n"/>
      <c r="CB19" s="177" t="n"/>
      <c r="CC19" s="315" t="n"/>
      <c r="CD19" s="175" t="n"/>
      <c r="CE19" s="186" t="n"/>
      <c r="CF19" s="315" t="n"/>
      <c r="CG19" s="177" t="n"/>
      <c r="CH19" s="315" t="n"/>
      <c r="CI19" s="175" t="n"/>
      <c r="CJ19" s="186" t="n"/>
      <c r="CK19" s="315" t="n"/>
      <c r="CL19" s="177" t="n"/>
      <c r="CM19" s="315" t="n"/>
      <c r="CN19" s="175" t="n"/>
      <c r="CO19" s="186" t="n"/>
      <c r="CP19" s="315" t="n"/>
      <c r="CQ19" s="177" t="n"/>
      <c r="CR19" s="315" t="n"/>
      <c r="CS19" s="175" t="n"/>
      <c r="CT19" s="186" t="n"/>
      <c r="CU19" s="315" t="n"/>
      <c r="CV19" s="177" t="n"/>
      <c r="CW19" s="315" t="n"/>
      <c r="CX19" s="175" t="n"/>
      <c r="CY19" s="186" t="n"/>
      <c r="CZ19" s="206" t="n"/>
      <c r="DA19" s="177" t="n"/>
      <c r="DB19" s="315" t="n"/>
      <c r="DC19" s="175" t="n"/>
      <c r="DD19" s="186" t="n"/>
      <c r="DE19" s="206" t="n"/>
      <c r="DF19" s="177" t="n"/>
      <c r="DG19" s="315" t="n"/>
      <c r="DH19" s="175" t="n"/>
      <c r="DI19" s="186" t="n"/>
      <c r="DJ19" s="315" t="n"/>
      <c r="DK19" s="52" t="n"/>
      <c r="DL19" s="315" t="n"/>
      <c r="DM19" s="175" t="n"/>
      <c r="DN19" s="186" t="n"/>
      <c r="DO19" s="315" t="n"/>
      <c r="DP19" s="177" t="n"/>
      <c r="DQ19" s="245" t="n"/>
      <c r="DR19" s="175" t="n"/>
      <c r="DS19" s="186" t="n"/>
      <c r="DT19" s="315" t="n"/>
      <c r="DU19" s="177" t="n"/>
      <c r="DV19" s="315" t="n"/>
      <c r="DW19" s="350" t="n"/>
      <c r="DX19" s="351" t="n"/>
      <c r="DY19" s="356" t="n"/>
      <c r="DZ19" s="357" t="n"/>
      <c r="EA19" s="352" t="n"/>
      <c r="EB19" s="353" t="n"/>
      <c r="EC19" s="354" t="n"/>
      <c r="ED19" s="355" t="n"/>
      <c r="EE19" s="175" t="n"/>
      <c r="EF19" s="315" t="n"/>
      <c r="EG19" s="177" t="n"/>
      <c r="EH19" s="347" t="n"/>
      <c r="EI19" s="175" t="n"/>
      <c r="EJ19" s="315" t="n">
        <v>1</v>
      </c>
      <c r="EK19" s="38" t="n">
        <v>0</v>
      </c>
      <c r="EL19" s="315" t="n"/>
      <c r="EM19" s="175" t="n"/>
      <c r="EN19" s="315" t="n">
        <v>1</v>
      </c>
      <c r="EO19" s="177" t="n">
        <v>1</v>
      </c>
      <c r="EP19" s="347" t="n"/>
      <c r="EQ19" s="175" t="n"/>
      <c r="ER19" s="315" t="n"/>
      <c r="ES19" s="177" t="n"/>
      <c r="ET19" s="315" t="n"/>
      <c r="EU19" s="175" t="n"/>
      <c r="EV19" s="315" t="n"/>
      <c r="EW19" s="177" t="n"/>
      <c r="EX19" s="315" t="n"/>
      <c r="EY19" s="175" t="n"/>
      <c r="EZ19" s="315" t="n"/>
      <c r="FA19" s="177" t="n"/>
      <c r="FB19" s="315" t="n"/>
      <c r="FC19" s="175" t="n"/>
      <c r="FD19" s="315" t="n"/>
      <c r="FE19" s="177" t="n"/>
      <c r="FF19" s="315" t="n"/>
      <c r="FG19" s="175" t="n"/>
      <c r="FH19" s="315" t="n"/>
      <c r="FI19" s="177" t="n"/>
      <c r="FJ19" s="315" t="n"/>
      <c r="FK19" s="175" t="n"/>
      <c r="FL19" s="315" t="n"/>
      <c r="FM19" s="177" t="n"/>
      <c r="FN19" s="315" t="n"/>
      <c r="FO19" s="175" t="n"/>
      <c r="FP19" s="315" t="n"/>
      <c r="FQ19" s="177" t="n"/>
      <c r="FR19" s="315" t="n"/>
      <c r="FS19" s="175" t="n"/>
      <c r="FT19" s="315" t="n"/>
      <c r="FU19" s="177" t="n"/>
      <c r="FV19" s="315" t="n"/>
      <c r="FW19" s="175" t="n"/>
      <c r="FX19" s="315" t="n"/>
      <c r="FY19" s="177" t="n"/>
      <c r="FZ19" s="315" t="n"/>
      <c r="GA19" s="350" t="n"/>
      <c r="GB19" s="351" t="n"/>
      <c r="GC19" s="352" t="n"/>
      <c r="GD19" s="353" t="n"/>
      <c r="GE19" s="354" t="n"/>
      <c r="GF19" s="355" t="n"/>
      <c r="GG19" s="175" t="n"/>
      <c r="GH19" s="315" t="n"/>
      <c r="GI19" s="177" t="n"/>
      <c r="GJ19" s="315" t="n"/>
      <c r="GK19" s="175" t="n"/>
      <c r="GL19" s="315" t="n"/>
      <c r="GM19" s="177" t="n"/>
      <c r="GN19" s="315" t="n"/>
      <c r="GO19" s="175" t="n"/>
      <c r="GP19" s="315" t="n"/>
      <c r="GQ19" s="177" t="n"/>
      <c r="GR19" s="315" t="n"/>
      <c r="GS19" s="175" t="n"/>
      <c r="GT19" s="315" t="n"/>
      <c r="GU19" s="177" t="n"/>
      <c r="GV19" s="315" t="n"/>
      <c r="GW19" s="175" t="n"/>
      <c r="GX19" s="315" t="n"/>
      <c r="GY19" s="177" t="n"/>
      <c r="GZ19" s="315" t="n"/>
      <c r="HA19" s="175" t="n"/>
      <c r="HB19" s="315" t="n"/>
      <c r="HC19" s="177" t="n"/>
      <c r="HD19" s="315" t="n"/>
      <c r="HE19" s="175" t="n"/>
      <c r="HF19" s="315" t="n"/>
      <c r="HG19" s="177" t="n"/>
      <c r="HH19" s="315" t="n"/>
      <c r="HI19" s="175" t="n"/>
      <c r="HJ19" s="315" t="n"/>
      <c r="HK19" s="177" t="n"/>
      <c r="HL19" s="315" t="n"/>
      <c r="HM19" s="175" t="n"/>
      <c r="HN19" s="315" t="n"/>
      <c r="HO19" s="177" t="n"/>
      <c r="HP19" s="315" t="n"/>
      <c r="HQ19" s="175" t="n"/>
      <c r="HR19" s="315" t="n"/>
      <c r="HS19" s="177" t="n"/>
      <c r="HT19" s="315" t="n"/>
      <c r="HU19" s="175" t="n"/>
      <c r="HV19" s="315" t="n"/>
      <c r="HW19" s="177" t="n"/>
      <c r="HX19" s="315" t="n"/>
      <c r="HY19" s="175" t="n"/>
      <c r="HZ19" s="315" t="n"/>
      <c r="IA19" s="177" t="n"/>
      <c r="IB19" s="315" t="n"/>
      <c r="IC19" s="350" t="n"/>
      <c r="ID19" s="351" t="n"/>
      <c r="IE19" s="352" t="n"/>
      <c r="IF19" s="353" t="n"/>
      <c r="IG19" s="354" t="n"/>
      <c r="IH19" s="355" t="n"/>
      <c r="II19" s="175" t="n"/>
      <c r="IJ19" s="315" t="n"/>
      <c r="IK19" s="177" t="n"/>
      <c r="IL19" s="315" t="n"/>
      <c r="IM19" s="175" t="n"/>
      <c r="IN19" s="315" t="n"/>
      <c r="IO19" s="177" t="n"/>
      <c r="IP19" s="315" t="n"/>
      <c r="IQ19" s="175" t="n"/>
      <c r="IR19" s="315" t="n"/>
      <c r="IS19" s="177" t="n"/>
      <c r="IT19" s="315" t="n"/>
      <c r="IU19" s="175" t="n"/>
      <c r="IV19" s="315" t="n"/>
      <c r="IW19" s="177" t="n"/>
      <c r="IX19" s="315" t="n"/>
      <c r="IY19" s="175" t="n"/>
      <c r="IZ19" s="315" t="n"/>
      <c r="JA19" s="177" t="n"/>
      <c r="JB19" s="315" t="n"/>
      <c r="JC19" s="175" t="n"/>
      <c r="JD19" s="315" t="n"/>
      <c r="JE19" s="177" t="n"/>
      <c r="JF19" s="315" t="n"/>
      <c r="JG19" s="175" t="n"/>
      <c r="JH19" s="315" t="n"/>
      <c r="JI19" s="177" t="n"/>
      <c r="JJ19" s="315" t="n"/>
      <c r="JK19" s="175" t="n"/>
      <c r="JL19" s="315" t="n"/>
      <c r="JM19" s="177" t="n"/>
      <c r="JN19" s="315" t="n"/>
      <c r="JO19" s="175" t="n"/>
      <c r="JP19" s="315" t="n"/>
      <c r="JQ19" s="177" t="n"/>
      <c r="JR19" s="315" t="n"/>
      <c r="JS19" s="175" t="n"/>
      <c r="JT19" s="315" t="n"/>
      <c r="JU19" s="177" t="n"/>
      <c r="JV19" s="315" t="n"/>
      <c r="JW19" s="175" t="n"/>
      <c r="JX19" s="315" t="n"/>
      <c r="JY19" s="177" t="n"/>
      <c r="JZ19" s="315" t="n"/>
      <c r="KA19" s="175" t="n"/>
      <c r="KB19" s="315" t="n"/>
      <c r="KC19" s="177" t="n"/>
      <c r="KD19" s="315" t="n"/>
      <c r="KE19" s="350" t="n"/>
      <c r="KF19" s="351" t="n"/>
      <c r="KG19" s="352" t="n"/>
      <c r="KH19" s="353" t="n"/>
      <c r="KI19" s="354" t="n"/>
      <c r="KJ19" s="358" t="n"/>
      <c r="KK19" s="210" t="n"/>
      <c r="KL19" s="210" t="n"/>
      <c r="KM19" s="210" t="n"/>
      <c r="KN19" s="190" t="n"/>
      <c r="KO19" s="286" t="n"/>
    </row>
    <row r="20" outlineLevel="1" ht="28.8" customHeight="1">
      <c r="A20" s="347" t="n"/>
      <c r="B20" s="347" t="n"/>
      <c r="C20" s="347" t="n"/>
      <c r="D20" s="347" t="n"/>
      <c r="E20" s="15" t="n">
        <v>15</v>
      </c>
      <c r="F20" s="205" t="n">
        <v>1</v>
      </c>
      <c r="G20" s="212" t="n">
        <v>4497230800</v>
      </c>
      <c r="H20" s="213" t="inlineStr">
        <is>
          <t>Кабель датчика АБС, 8 м</t>
        </is>
      </c>
      <c r="I20" s="349" t="n">
        <v>210</v>
      </c>
      <c r="J20" s="349" t="n">
        <v>210</v>
      </c>
      <c r="K20" s="349" t="n"/>
      <c r="L20" s="349" t="n"/>
      <c r="M20" s="175" t="n"/>
      <c r="N20" s="315" t="n"/>
      <c r="O20" s="177" t="n"/>
      <c r="P20" s="315" t="n"/>
      <c r="Q20" s="175" t="n"/>
      <c r="R20" s="315" t="n"/>
      <c r="S20" s="177" t="n"/>
      <c r="T20" s="315" t="n"/>
      <c r="U20" s="175" t="n"/>
      <c r="V20" s="315" t="n"/>
      <c r="W20" s="177" t="n"/>
      <c r="X20" s="315" t="n"/>
      <c r="Y20" s="175" t="n"/>
      <c r="Z20" s="315" t="n"/>
      <c r="AA20" s="177" t="n"/>
      <c r="AB20" s="315" t="n"/>
      <c r="AC20" s="175" t="n"/>
      <c r="AD20" s="315" t="n"/>
      <c r="AE20" s="177" t="n"/>
      <c r="AF20" s="315" t="n"/>
      <c r="AG20" s="175" t="n"/>
      <c r="AH20" s="206" t="n"/>
      <c r="AI20" s="52" t="n"/>
      <c r="AJ20" s="247" t="n"/>
      <c r="AK20" s="175" t="n"/>
      <c r="AL20" s="315" t="n"/>
      <c r="AM20" s="52" t="n"/>
      <c r="AN20" s="247" t="n"/>
      <c r="AO20" s="175" t="n"/>
      <c r="AP20" s="315" t="n"/>
      <c r="AQ20" s="177" t="n"/>
      <c r="AR20" s="247" t="n"/>
      <c r="AS20" s="175" t="n"/>
      <c r="AT20" s="315" t="n"/>
      <c r="AU20" s="177" t="n"/>
      <c r="AV20" s="247" t="n"/>
      <c r="AW20" s="175" t="n"/>
      <c r="AX20" s="315" t="n"/>
      <c r="AY20" s="177" t="n"/>
      <c r="AZ20" s="247" t="n"/>
      <c r="BA20" s="175" t="n"/>
      <c r="BB20" s="315" t="n"/>
      <c r="BC20" s="52" t="n"/>
      <c r="BD20" s="247" t="n"/>
      <c r="BE20" s="175" t="n"/>
      <c r="BF20" s="315" t="n"/>
      <c r="BG20" s="177" t="n"/>
      <c r="BH20" s="247" t="n"/>
      <c r="BI20" s="350" t="n"/>
      <c r="BJ20" s="351" t="n"/>
      <c r="BK20" s="352" t="n"/>
      <c r="BL20" s="353" t="n"/>
      <c r="BM20" s="354" t="n"/>
      <c r="BN20" s="355" t="n"/>
      <c r="BO20" s="175" t="n"/>
      <c r="BP20" s="186" t="n"/>
      <c r="BQ20" s="315" t="n"/>
      <c r="BR20" s="52" t="n"/>
      <c r="BS20" s="315" t="n"/>
      <c r="BT20" s="175" t="n"/>
      <c r="BU20" s="186" t="n"/>
      <c r="BV20" s="315" t="n"/>
      <c r="BW20" s="177" t="n"/>
      <c r="BX20" s="315" t="n"/>
      <c r="BY20" s="175" t="n"/>
      <c r="BZ20" s="186" t="n"/>
      <c r="CA20" s="315" t="n"/>
      <c r="CB20" s="177" t="n"/>
      <c r="CC20" s="315" t="n"/>
      <c r="CD20" s="175" t="n"/>
      <c r="CE20" s="186" t="n"/>
      <c r="CF20" s="315" t="n"/>
      <c r="CG20" s="177" t="n"/>
      <c r="CH20" s="315" t="n"/>
      <c r="CI20" s="175" t="n"/>
      <c r="CJ20" s="186" t="n"/>
      <c r="CK20" s="315" t="n"/>
      <c r="CL20" s="177" t="n"/>
      <c r="CM20" s="315" t="n"/>
      <c r="CN20" s="175" t="n"/>
      <c r="CO20" s="186" t="n"/>
      <c r="CP20" s="315" t="n"/>
      <c r="CQ20" s="177" t="n"/>
      <c r="CR20" s="315" t="n"/>
      <c r="CS20" s="175" t="n"/>
      <c r="CT20" s="186" t="n"/>
      <c r="CU20" s="315" t="n"/>
      <c r="CV20" s="177" t="n"/>
      <c r="CW20" s="315" t="n"/>
      <c r="CX20" s="175" t="n"/>
      <c r="CY20" s="186" t="n"/>
      <c r="CZ20" s="206" t="n"/>
      <c r="DA20" s="177" t="n"/>
      <c r="DB20" s="315" t="n"/>
      <c r="DC20" s="175" t="n"/>
      <c r="DD20" s="186" t="n"/>
      <c r="DE20" s="206" t="n"/>
      <c r="DF20" s="177" t="n"/>
      <c r="DG20" s="315" t="n"/>
      <c r="DH20" s="175" t="n"/>
      <c r="DI20" s="186" t="n"/>
      <c r="DJ20" s="315" t="n"/>
      <c r="DK20" s="52" t="n"/>
      <c r="DL20" s="315" t="n"/>
      <c r="DM20" s="175" t="n"/>
      <c r="DN20" s="186" t="n"/>
      <c r="DO20" s="315" t="n"/>
      <c r="DP20" s="177" t="n"/>
      <c r="DQ20" s="245" t="n"/>
      <c r="DR20" s="175" t="n"/>
      <c r="DS20" s="186" t="n"/>
      <c r="DT20" s="315" t="n"/>
      <c r="DU20" s="177" t="n"/>
      <c r="DV20" s="315" t="n"/>
      <c r="DW20" s="350" t="n"/>
      <c r="DX20" s="351" t="n"/>
      <c r="DY20" s="356" t="n"/>
      <c r="DZ20" s="357" t="n"/>
      <c r="EA20" s="352" t="n"/>
      <c r="EB20" s="353" t="n"/>
      <c r="EC20" s="354" t="n"/>
      <c r="ED20" s="355" t="n"/>
      <c r="EE20" s="175" t="n"/>
      <c r="EF20" s="315" t="n"/>
      <c r="EG20" s="177" t="n"/>
      <c r="EH20" s="347" t="n"/>
      <c r="EI20" s="175" t="n"/>
      <c r="EJ20" s="315" t="n">
        <v>2</v>
      </c>
      <c r="EK20" s="38" t="n">
        <v>0</v>
      </c>
      <c r="EL20" s="315" t="n"/>
      <c r="EM20" s="175" t="n"/>
      <c r="EN20" s="315" t="n">
        <v>2</v>
      </c>
      <c r="EO20" s="177" t="n">
        <v>2</v>
      </c>
      <c r="EP20" s="347" t="n"/>
      <c r="EQ20" s="175" t="n"/>
      <c r="ER20" s="315" t="n"/>
      <c r="ES20" s="177" t="n"/>
      <c r="ET20" s="315" t="n"/>
      <c r="EU20" s="175" t="n"/>
      <c r="EV20" s="315" t="n"/>
      <c r="EW20" s="177" t="n"/>
      <c r="EX20" s="315" t="n"/>
      <c r="EY20" s="175" t="n"/>
      <c r="EZ20" s="315" t="n"/>
      <c r="FA20" s="177" t="n"/>
      <c r="FB20" s="315" t="n"/>
      <c r="FC20" s="175" t="n"/>
      <c r="FD20" s="315" t="n"/>
      <c r="FE20" s="177" t="n"/>
      <c r="FF20" s="315" t="n"/>
      <c r="FG20" s="175" t="n"/>
      <c r="FH20" s="315" t="n"/>
      <c r="FI20" s="177" t="n"/>
      <c r="FJ20" s="315" t="n"/>
      <c r="FK20" s="175" t="n"/>
      <c r="FL20" s="315" t="n"/>
      <c r="FM20" s="177" t="n"/>
      <c r="FN20" s="315" t="n"/>
      <c r="FO20" s="175" t="n"/>
      <c r="FP20" s="315" t="n"/>
      <c r="FQ20" s="177" t="n"/>
      <c r="FR20" s="315" t="n"/>
      <c r="FS20" s="175" t="n"/>
      <c r="FT20" s="315" t="n"/>
      <c r="FU20" s="177" t="n"/>
      <c r="FV20" s="315" t="n"/>
      <c r="FW20" s="175" t="n"/>
      <c r="FX20" s="315" t="n"/>
      <c r="FY20" s="177" t="n"/>
      <c r="FZ20" s="315" t="n"/>
      <c r="GA20" s="350" t="n"/>
      <c r="GB20" s="351" t="n"/>
      <c r="GC20" s="352" t="n"/>
      <c r="GD20" s="353" t="n"/>
      <c r="GE20" s="354" t="n"/>
      <c r="GF20" s="355" t="n"/>
      <c r="GG20" s="175" t="n"/>
      <c r="GH20" s="315" t="n"/>
      <c r="GI20" s="177" t="n"/>
      <c r="GJ20" s="315" t="n"/>
      <c r="GK20" s="175" t="n"/>
      <c r="GL20" s="315" t="n"/>
      <c r="GM20" s="177" t="n"/>
      <c r="GN20" s="315" t="n"/>
      <c r="GO20" s="175" t="n"/>
      <c r="GP20" s="315" t="n"/>
      <c r="GQ20" s="177" t="n"/>
      <c r="GR20" s="315" t="n"/>
      <c r="GS20" s="175" t="n"/>
      <c r="GT20" s="315" t="n"/>
      <c r="GU20" s="177" t="n"/>
      <c r="GV20" s="315" t="n"/>
      <c r="GW20" s="175" t="n"/>
      <c r="GX20" s="315" t="n"/>
      <c r="GY20" s="177" t="n"/>
      <c r="GZ20" s="315" t="n"/>
      <c r="HA20" s="175" t="n"/>
      <c r="HB20" s="315" t="n"/>
      <c r="HC20" s="177" t="n"/>
      <c r="HD20" s="315" t="n"/>
      <c r="HE20" s="175" t="n"/>
      <c r="HF20" s="315" t="n"/>
      <c r="HG20" s="177" t="n"/>
      <c r="HH20" s="315" t="n"/>
      <c r="HI20" s="175" t="n"/>
      <c r="HJ20" s="315" t="n"/>
      <c r="HK20" s="177" t="n"/>
      <c r="HL20" s="315" t="n"/>
      <c r="HM20" s="175" t="n"/>
      <c r="HN20" s="315" t="n"/>
      <c r="HO20" s="177" t="n"/>
      <c r="HP20" s="315" t="n"/>
      <c r="HQ20" s="175" t="n"/>
      <c r="HR20" s="315" t="n"/>
      <c r="HS20" s="177" t="n"/>
      <c r="HT20" s="315" t="n"/>
      <c r="HU20" s="175" t="n"/>
      <c r="HV20" s="315" t="n"/>
      <c r="HW20" s="177" t="n"/>
      <c r="HX20" s="315" t="n"/>
      <c r="HY20" s="175" t="n"/>
      <c r="HZ20" s="315" t="n"/>
      <c r="IA20" s="177" t="n"/>
      <c r="IB20" s="315" t="n"/>
      <c r="IC20" s="350" t="n"/>
      <c r="ID20" s="351" t="n"/>
      <c r="IE20" s="352" t="n"/>
      <c r="IF20" s="353" t="n"/>
      <c r="IG20" s="354" t="n"/>
      <c r="IH20" s="355" t="n"/>
      <c r="II20" s="175" t="n"/>
      <c r="IJ20" s="315" t="n"/>
      <c r="IK20" s="177" t="n"/>
      <c r="IL20" s="315" t="n"/>
      <c r="IM20" s="175" t="n"/>
      <c r="IN20" s="315" t="n"/>
      <c r="IO20" s="177" t="n"/>
      <c r="IP20" s="315" t="n"/>
      <c r="IQ20" s="175" t="n"/>
      <c r="IR20" s="315" t="n"/>
      <c r="IS20" s="177" t="n"/>
      <c r="IT20" s="315" t="n"/>
      <c r="IU20" s="175" t="n"/>
      <c r="IV20" s="315" t="n"/>
      <c r="IW20" s="177" t="n"/>
      <c r="IX20" s="315" t="n"/>
      <c r="IY20" s="175" t="n"/>
      <c r="IZ20" s="315" t="n"/>
      <c r="JA20" s="177" t="n"/>
      <c r="JB20" s="315" t="n"/>
      <c r="JC20" s="175" t="n"/>
      <c r="JD20" s="315" t="n"/>
      <c r="JE20" s="177" t="n"/>
      <c r="JF20" s="315" t="n"/>
      <c r="JG20" s="175" t="n"/>
      <c r="JH20" s="315" t="n"/>
      <c r="JI20" s="177" t="n"/>
      <c r="JJ20" s="315" t="n"/>
      <c r="JK20" s="175" t="n"/>
      <c r="JL20" s="315" t="n"/>
      <c r="JM20" s="177" t="n"/>
      <c r="JN20" s="315" t="n"/>
      <c r="JO20" s="175" t="n"/>
      <c r="JP20" s="315" t="n"/>
      <c r="JQ20" s="177" t="n"/>
      <c r="JR20" s="315" t="n"/>
      <c r="JS20" s="175" t="n"/>
      <c r="JT20" s="315" t="n"/>
      <c r="JU20" s="177" t="n"/>
      <c r="JV20" s="315" t="n"/>
      <c r="JW20" s="175" t="n"/>
      <c r="JX20" s="315" t="n"/>
      <c r="JY20" s="177" t="n"/>
      <c r="JZ20" s="315" t="n"/>
      <c r="KA20" s="175" t="n"/>
      <c r="KB20" s="315" t="n"/>
      <c r="KC20" s="177" t="n"/>
      <c r="KD20" s="315" t="n"/>
      <c r="KE20" s="350" t="n"/>
      <c r="KF20" s="351" t="n"/>
      <c r="KG20" s="352" t="n"/>
      <c r="KH20" s="353" t="n"/>
      <c r="KI20" s="354" t="n"/>
      <c r="KJ20" s="358" t="n"/>
      <c r="KK20" s="210" t="n"/>
      <c r="KL20" s="210" t="n"/>
      <c r="KM20" s="210" t="n"/>
      <c r="KN20" s="190" t="n"/>
      <c r="KO20" s="286" t="n"/>
    </row>
    <row r="21" outlineLevel="1" ht="28.8" customHeight="1">
      <c r="A21" s="347" t="n"/>
      <c r="B21" s="347" t="n"/>
      <c r="C21" s="347" t="n"/>
      <c r="D21" s="347" t="n"/>
      <c r="E21" s="15" t="n">
        <v>16</v>
      </c>
      <c r="F21" s="205" t="n">
        <v>1</v>
      </c>
      <c r="G21" s="212" t="n">
        <v>4497230500</v>
      </c>
      <c r="H21" s="213" t="inlineStr">
        <is>
          <t>Кабель датчика АБС, 5 м</t>
        </is>
      </c>
      <c r="I21" s="349" t="n">
        <v>162</v>
      </c>
      <c r="J21" s="349" t="n">
        <v>162</v>
      </c>
      <c r="K21" s="349" t="n"/>
      <c r="L21" s="349" t="n"/>
      <c r="M21" s="175" t="n"/>
      <c r="N21" s="315" t="n"/>
      <c r="O21" s="177" t="n">
        <v>0</v>
      </c>
      <c r="P21" s="315" t="n"/>
      <c r="Q21" s="175" t="n"/>
      <c r="R21" s="315" t="n"/>
      <c r="S21" s="177" t="n">
        <v>64</v>
      </c>
      <c r="T21" s="315" t="n"/>
      <c r="U21" s="175" t="n"/>
      <c r="V21" s="315" t="n"/>
      <c r="W21" s="177" t="n">
        <v>100</v>
      </c>
      <c r="X21" s="315" t="n"/>
      <c r="Y21" s="175" t="n"/>
      <c r="Z21" s="315" t="n"/>
      <c r="AA21" s="177" t="n">
        <v>100</v>
      </c>
      <c r="AB21" s="315" t="n"/>
      <c r="AC21" s="175" t="n"/>
      <c r="AD21" s="315" t="n"/>
      <c r="AE21" s="177" t="n">
        <v>0</v>
      </c>
      <c r="AF21" s="315" t="n"/>
      <c r="AG21" s="175" t="n"/>
      <c r="AH21" s="206" t="n"/>
      <c r="AI21" s="52" t="n">
        <v>25</v>
      </c>
      <c r="AJ21" s="247" t="n"/>
      <c r="AK21" s="175" t="n"/>
      <c r="AL21" s="315" t="n"/>
      <c r="AM21" s="52" t="n">
        <v>50</v>
      </c>
      <c r="AN21" s="247" t="n"/>
      <c r="AO21" s="175" t="n"/>
      <c r="AP21" s="315" t="n"/>
      <c r="AQ21" s="177" t="n">
        <v>0</v>
      </c>
      <c r="AR21" s="247" t="n"/>
      <c r="AS21" s="175" t="n"/>
      <c r="AT21" s="315" t="n"/>
      <c r="AU21" s="177" t="n">
        <v>0</v>
      </c>
      <c r="AV21" s="247" t="n"/>
      <c r="AW21" s="175" t="n"/>
      <c r="AX21" s="315" t="n"/>
      <c r="AY21" s="177" t="n">
        <v>0</v>
      </c>
      <c r="AZ21" s="247" t="n"/>
      <c r="BA21" s="175" t="n"/>
      <c r="BB21" s="315" t="n"/>
      <c r="BC21" s="52" t="n">
        <v>0</v>
      </c>
      <c r="BD21" s="247" t="n"/>
      <c r="BE21" s="175" t="n"/>
      <c r="BF21" s="315" t="n"/>
      <c r="BG21" s="177" t="n">
        <v>0</v>
      </c>
      <c r="BH21" s="247" t="n"/>
      <c r="BI21" s="350" t="n"/>
      <c r="BJ21" s="351" t="n"/>
      <c r="BK21" s="352" t="n"/>
      <c r="BL21" s="353" t="n"/>
      <c r="BM21" s="354" t="n"/>
      <c r="BN21" s="355" t="n"/>
      <c r="BO21" s="175" t="n"/>
      <c r="BP21" s="186" t="n"/>
      <c r="BQ21" s="315" t="n"/>
      <c r="BR21" s="52" t="n"/>
      <c r="BS21" s="315" t="n"/>
      <c r="BT21" s="175" t="n"/>
      <c r="BU21" s="186" t="n"/>
      <c r="BV21" s="315" t="n"/>
      <c r="BW21" s="177" t="n"/>
      <c r="BX21" s="315" t="n"/>
      <c r="BY21" s="175" t="n"/>
      <c r="BZ21" s="186" t="n"/>
      <c r="CA21" s="315" t="n"/>
      <c r="CB21" s="177" t="n">
        <v>0</v>
      </c>
      <c r="CC21" s="315" t="n"/>
      <c r="CD21" s="175" t="n"/>
      <c r="CE21" s="186" t="n"/>
      <c r="CF21" s="315" t="n"/>
      <c r="CG21" s="177" t="n">
        <v>0</v>
      </c>
      <c r="CH21" s="315" t="n"/>
      <c r="CI21" s="175" t="n"/>
      <c r="CJ21" s="186" t="n"/>
      <c r="CK21" s="315" t="n"/>
      <c r="CL21" s="177" t="n">
        <v>0</v>
      </c>
      <c r="CM21" s="315" t="n"/>
      <c r="CN21" s="175" t="n"/>
      <c r="CO21" s="186" t="n"/>
      <c r="CP21" s="315" t="n"/>
      <c r="CQ21" s="177" t="n">
        <v>0</v>
      </c>
      <c r="CR21" s="315" t="n"/>
      <c r="CS21" s="175" t="n"/>
      <c r="CT21" s="186" t="n"/>
      <c r="CU21" s="315" t="n"/>
      <c r="CV21" s="177" t="n">
        <v>0</v>
      </c>
      <c r="CW21" s="315" t="n"/>
      <c r="CX21" s="175" t="n"/>
      <c r="CY21" s="186" t="n"/>
      <c r="CZ21" s="206" t="n"/>
      <c r="DA21" s="177" t="n">
        <v>0</v>
      </c>
      <c r="DB21" s="315" t="n"/>
      <c r="DC21" s="175" t="n"/>
      <c r="DD21" s="186" t="n"/>
      <c r="DE21" s="206" t="n"/>
      <c r="DF21" s="177" t="n">
        <v>0</v>
      </c>
      <c r="DG21" s="315" t="n"/>
      <c r="DH21" s="175" t="n"/>
      <c r="DI21" s="186" t="n"/>
      <c r="DJ21" s="315" t="n"/>
      <c r="DK21" s="52" t="n">
        <v>0</v>
      </c>
      <c r="DL21" s="315" t="n"/>
      <c r="DM21" s="175" t="n"/>
      <c r="DN21" s="186" t="n"/>
      <c r="DO21" s="315" t="n"/>
      <c r="DP21" s="177" t="n">
        <v>0</v>
      </c>
      <c r="DQ21" s="245" t="n"/>
      <c r="DR21" s="175" t="n"/>
      <c r="DS21" s="186" t="n"/>
      <c r="DT21" s="315" t="n"/>
      <c r="DU21" s="177" t="n">
        <v>0</v>
      </c>
      <c r="DV21" s="315" t="n"/>
      <c r="DW21" s="350" t="n"/>
      <c r="DX21" s="351" t="n"/>
      <c r="DY21" s="356" t="n"/>
      <c r="DZ21" s="357" t="n"/>
      <c r="EA21" s="352" t="n"/>
      <c r="EB21" s="353" t="n"/>
      <c r="EC21" s="354" t="n"/>
      <c r="ED21" s="355" t="n"/>
      <c r="EE21" s="175" t="n"/>
      <c r="EF21" s="315" t="n"/>
      <c r="EG21" s="177" t="n">
        <v>0</v>
      </c>
      <c r="EH21" s="347" t="n"/>
      <c r="EI21" s="175" t="n"/>
      <c r="EJ21" s="315" t="n">
        <v>2</v>
      </c>
      <c r="EK21" s="38" t="n">
        <v>0</v>
      </c>
      <c r="EL21" s="315" t="n"/>
      <c r="EM21" s="175" t="n"/>
      <c r="EN21" s="315" t="n">
        <v>2</v>
      </c>
      <c r="EO21" s="177" t="n">
        <v>2</v>
      </c>
      <c r="EP21" s="347" t="n"/>
      <c r="EQ21" s="175" t="n"/>
      <c r="ER21" s="315" t="n"/>
      <c r="ES21" s="177" t="n">
        <v>0</v>
      </c>
      <c r="ET21" s="315" t="n"/>
      <c r="EU21" s="175" t="n"/>
      <c r="EV21" s="315" t="n"/>
      <c r="EW21" s="177" t="n">
        <v>0</v>
      </c>
      <c r="EX21" s="315" t="n"/>
      <c r="EY21" s="175" t="n"/>
      <c r="EZ21" s="315" t="n"/>
      <c r="FA21" s="177" t="n">
        <v>0</v>
      </c>
      <c r="FB21" s="315" t="n"/>
      <c r="FC21" s="175" t="n"/>
      <c r="FD21" s="315" t="n"/>
      <c r="FE21" s="177" t="n">
        <v>0</v>
      </c>
      <c r="FF21" s="315" t="n"/>
      <c r="FG21" s="175" t="n"/>
      <c r="FH21" s="315" t="n"/>
      <c r="FI21" s="177" t="n">
        <v>0</v>
      </c>
      <c r="FJ21" s="315" t="n"/>
      <c r="FK21" s="175" t="n"/>
      <c r="FL21" s="315" t="n"/>
      <c r="FM21" s="177" t="n">
        <v>0</v>
      </c>
      <c r="FN21" s="315" t="n"/>
      <c r="FO21" s="175" t="n"/>
      <c r="FP21" s="315" t="n"/>
      <c r="FQ21" s="177" t="n">
        <v>0</v>
      </c>
      <c r="FR21" s="315" t="n"/>
      <c r="FS21" s="175" t="n"/>
      <c r="FT21" s="315" t="n"/>
      <c r="FU21" s="177" t="n">
        <v>0</v>
      </c>
      <c r="FV21" s="315" t="n"/>
      <c r="FW21" s="175" t="n"/>
      <c r="FX21" s="315" t="n"/>
      <c r="FY21" s="177" t="n">
        <v>0</v>
      </c>
      <c r="FZ21" s="315" t="n"/>
      <c r="GA21" s="350" t="n"/>
      <c r="GB21" s="351" t="n"/>
      <c r="GC21" s="352" t="n"/>
      <c r="GD21" s="353" t="n"/>
      <c r="GE21" s="354" t="n"/>
      <c r="GF21" s="355" t="n"/>
      <c r="GG21" s="175" t="n"/>
      <c r="GH21" s="315" t="n"/>
      <c r="GI21" s="177" t="n">
        <v>0</v>
      </c>
      <c r="GJ21" s="315" t="n"/>
      <c r="GK21" s="175" t="n"/>
      <c r="GL21" s="315" t="n"/>
      <c r="GM21" s="177" t="n">
        <v>0</v>
      </c>
      <c r="GN21" s="315" t="n"/>
      <c r="GO21" s="175" t="n"/>
      <c r="GP21" s="315" t="n"/>
      <c r="GQ21" s="177" t="n">
        <v>0</v>
      </c>
      <c r="GR21" s="315" t="n"/>
      <c r="GS21" s="175" t="n"/>
      <c r="GT21" s="315" t="n"/>
      <c r="GU21" s="177" t="n">
        <v>0</v>
      </c>
      <c r="GV21" s="315" t="n"/>
      <c r="GW21" s="175" t="n"/>
      <c r="GX21" s="315" t="n"/>
      <c r="GY21" s="177" t="n">
        <v>0</v>
      </c>
      <c r="GZ21" s="315" t="n"/>
      <c r="HA21" s="175" t="n"/>
      <c r="HB21" s="315" t="n"/>
      <c r="HC21" s="177" t="n">
        <v>0</v>
      </c>
      <c r="HD21" s="315" t="n"/>
      <c r="HE21" s="175" t="n"/>
      <c r="HF21" s="315" t="n"/>
      <c r="HG21" s="177" t="n">
        <v>0</v>
      </c>
      <c r="HH21" s="315" t="n"/>
      <c r="HI21" s="175" t="n"/>
      <c r="HJ21" s="315" t="n"/>
      <c r="HK21" s="177" t="n">
        <v>0</v>
      </c>
      <c r="HL21" s="315" t="n"/>
      <c r="HM21" s="175" t="n"/>
      <c r="HN21" s="315" t="n"/>
      <c r="HO21" s="177" t="n">
        <v>0</v>
      </c>
      <c r="HP21" s="315" t="n"/>
      <c r="HQ21" s="175" t="n"/>
      <c r="HR21" s="315" t="n"/>
      <c r="HS21" s="177" t="n">
        <v>0</v>
      </c>
      <c r="HT21" s="315" t="n"/>
      <c r="HU21" s="175" t="n"/>
      <c r="HV21" s="315" t="n"/>
      <c r="HW21" s="177" t="n">
        <v>0</v>
      </c>
      <c r="HX21" s="315" t="n"/>
      <c r="HY21" s="175" t="n"/>
      <c r="HZ21" s="315" t="n"/>
      <c r="IA21" s="177" t="n">
        <v>0</v>
      </c>
      <c r="IB21" s="315" t="n"/>
      <c r="IC21" s="350" t="n"/>
      <c r="ID21" s="351" t="n"/>
      <c r="IE21" s="352" t="n"/>
      <c r="IF21" s="353" t="n"/>
      <c r="IG21" s="354" t="n"/>
      <c r="IH21" s="355" t="n"/>
      <c r="II21" s="175" t="n"/>
      <c r="IJ21" s="315" t="n"/>
      <c r="IK21" s="177" t="n">
        <v>0</v>
      </c>
      <c r="IL21" s="315" t="n"/>
      <c r="IM21" s="175" t="n"/>
      <c r="IN21" s="315" t="n"/>
      <c r="IO21" s="177" t="n">
        <v>0</v>
      </c>
      <c r="IP21" s="315" t="n"/>
      <c r="IQ21" s="175" t="n"/>
      <c r="IR21" s="315" t="n"/>
      <c r="IS21" s="177" t="n">
        <v>0</v>
      </c>
      <c r="IT21" s="315" t="n"/>
      <c r="IU21" s="175" t="n"/>
      <c r="IV21" s="315" t="n"/>
      <c r="IW21" s="177" t="n">
        <v>0</v>
      </c>
      <c r="IX21" s="315" t="n"/>
      <c r="IY21" s="175" t="n"/>
      <c r="IZ21" s="315" t="n"/>
      <c r="JA21" s="177" t="n">
        <v>0</v>
      </c>
      <c r="JB21" s="315" t="n"/>
      <c r="JC21" s="175" t="n"/>
      <c r="JD21" s="315" t="n"/>
      <c r="JE21" s="177" t="n">
        <v>0</v>
      </c>
      <c r="JF21" s="315" t="n"/>
      <c r="JG21" s="175" t="n"/>
      <c r="JH21" s="315" t="n"/>
      <c r="JI21" s="177" t="n">
        <v>0</v>
      </c>
      <c r="JJ21" s="315" t="n"/>
      <c r="JK21" s="175" t="n"/>
      <c r="JL21" s="315" t="n"/>
      <c r="JM21" s="177" t="n">
        <v>0</v>
      </c>
      <c r="JN21" s="315" t="n"/>
      <c r="JO21" s="175" t="n"/>
      <c r="JP21" s="315" t="n"/>
      <c r="JQ21" s="177" t="n">
        <v>0</v>
      </c>
      <c r="JR21" s="315" t="n"/>
      <c r="JS21" s="175" t="n"/>
      <c r="JT21" s="315" t="n"/>
      <c r="JU21" s="177" t="n">
        <v>0</v>
      </c>
      <c r="JV21" s="315" t="n"/>
      <c r="JW21" s="175" t="n"/>
      <c r="JX21" s="315" t="n"/>
      <c r="JY21" s="177" t="n">
        <v>0</v>
      </c>
      <c r="JZ21" s="315" t="n"/>
      <c r="KA21" s="175" t="n"/>
      <c r="KB21" s="315" t="n"/>
      <c r="KC21" s="177" t="n">
        <v>0</v>
      </c>
      <c r="KD21" s="315" t="n"/>
      <c r="KE21" s="350" t="n"/>
      <c r="KF21" s="351" t="n"/>
      <c r="KG21" s="352" t="n"/>
      <c r="KH21" s="353" t="n"/>
      <c r="KI21" s="354" t="n"/>
      <c r="KJ21" s="358" t="n"/>
      <c r="KK21" s="210" t="n"/>
      <c r="KL21" s="210" t="n"/>
      <c r="KM21" s="210" t="n"/>
      <c r="KN21" s="190" t="n"/>
      <c r="KO21" s="286" t="n"/>
    </row>
    <row r="22" outlineLevel="1">
      <c r="A22" s="347" t="n"/>
      <c r="B22" s="347" t="n"/>
      <c r="C22" s="347" t="n"/>
      <c r="D22" s="347" t="n"/>
      <c r="E22" s="15" t="n">
        <v>17</v>
      </c>
      <c r="F22" s="205" t="n">
        <v>1</v>
      </c>
      <c r="G22" s="212" t="n">
        <v>4640060020</v>
      </c>
      <c r="H22" s="213" t="inlineStr">
        <is>
          <t>Кран уровня пола</t>
        </is>
      </c>
      <c r="I22" s="349" t="n">
        <v>325</v>
      </c>
      <c r="J22" s="349" t="n">
        <v>325</v>
      </c>
      <c r="K22" s="349" t="n"/>
      <c r="L22" s="349" t="n"/>
      <c r="M22" s="175" t="n"/>
      <c r="N22" s="315" t="n"/>
      <c r="O22" s="177" t="n"/>
      <c r="P22" s="315" t="n"/>
      <c r="Q22" s="175" t="n"/>
      <c r="R22" s="315" t="n"/>
      <c r="S22" s="177" t="n"/>
      <c r="T22" s="315" t="n"/>
      <c r="U22" s="175" t="n"/>
      <c r="V22" s="315" t="n"/>
      <c r="W22" s="177" t="n"/>
      <c r="X22" s="315" t="n"/>
      <c r="Y22" s="175" t="n"/>
      <c r="Z22" s="315" t="n"/>
      <c r="AA22" s="177" t="n"/>
      <c r="AB22" s="315" t="n"/>
      <c r="AC22" s="175" t="n"/>
      <c r="AD22" s="315" t="n"/>
      <c r="AE22" s="177" t="n"/>
      <c r="AF22" s="315" t="n"/>
      <c r="AG22" s="175" t="n"/>
      <c r="AH22" s="206" t="n"/>
      <c r="AI22" s="52" t="n"/>
      <c r="AJ22" s="247" t="n"/>
      <c r="AK22" s="175" t="n"/>
      <c r="AL22" s="315" t="n"/>
      <c r="AM22" s="52" t="n"/>
      <c r="AN22" s="247" t="n"/>
      <c r="AO22" s="175" t="n"/>
      <c r="AP22" s="315" t="n"/>
      <c r="AQ22" s="177" t="n"/>
      <c r="AR22" s="247" t="n"/>
      <c r="AS22" s="175" t="n"/>
      <c r="AT22" s="315" t="n"/>
      <c r="AU22" s="177" t="n"/>
      <c r="AV22" s="247" t="n"/>
      <c r="AW22" s="175" t="n"/>
      <c r="AX22" s="315" t="n"/>
      <c r="AY22" s="177" t="n"/>
      <c r="AZ22" s="247" t="n"/>
      <c r="BA22" s="175" t="n"/>
      <c r="BB22" s="315" t="n"/>
      <c r="BC22" s="52" t="n"/>
      <c r="BD22" s="247" t="n"/>
      <c r="BE22" s="175" t="n"/>
      <c r="BF22" s="315" t="n"/>
      <c r="BG22" s="177" t="n"/>
      <c r="BH22" s="247" t="n"/>
      <c r="BI22" s="350" t="n"/>
      <c r="BJ22" s="351" t="n"/>
      <c r="BK22" s="352" t="n"/>
      <c r="BL22" s="353" t="n"/>
      <c r="BM22" s="354" t="n"/>
      <c r="BN22" s="355" t="n"/>
      <c r="BO22" s="175" t="n"/>
      <c r="BP22" s="186" t="n"/>
      <c r="BQ22" s="315" t="n"/>
      <c r="BR22" s="52" t="n"/>
      <c r="BS22" s="315" t="n"/>
      <c r="BT22" s="175" t="n"/>
      <c r="BU22" s="186" t="n"/>
      <c r="BV22" s="315" t="n"/>
      <c r="BW22" s="177" t="n"/>
      <c r="BX22" s="315" t="n"/>
      <c r="BY22" s="175" t="n"/>
      <c r="BZ22" s="186" t="n"/>
      <c r="CA22" s="315" t="n"/>
      <c r="CB22" s="177" t="n"/>
      <c r="CC22" s="315" t="n"/>
      <c r="CD22" s="175" t="n"/>
      <c r="CE22" s="186" t="n"/>
      <c r="CF22" s="315" t="n"/>
      <c r="CG22" s="177" t="n"/>
      <c r="CH22" s="315" t="n"/>
      <c r="CI22" s="175" t="n"/>
      <c r="CJ22" s="186" t="n"/>
      <c r="CK22" s="315" t="n"/>
      <c r="CL22" s="177" t="n"/>
      <c r="CM22" s="315" t="n"/>
      <c r="CN22" s="175" t="n"/>
      <c r="CO22" s="186" t="n"/>
      <c r="CP22" s="315" t="n"/>
      <c r="CQ22" s="177" t="n"/>
      <c r="CR22" s="315" t="n"/>
      <c r="CS22" s="175" t="n"/>
      <c r="CT22" s="186" t="n"/>
      <c r="CU22" s="315" t="n"/>
      <c r="CV22" s="177" t="n"/>
      <c r="CW22" s="315" t="n"/>
      <c r="CX22" s="175" t="n"/>
      <c r="CY22" s="186" t="n"/>
      <c r="CZ22" s="206" t="n"/>
      <c r="DA22" s="177" t="n"/>
      <c r="DB22" s="315" t="n"/>
      <c r="DC22" s="175" t="n"/>
      <c r="DD22" s="186" t="n"/>
      <c r="DE22" s="206" t="n"/>
      <c r="DF22" s="177" t="n"/>
      <c r="DG22" s="315" t="n"/>
      <c r="DH22" s="175" t="n"/>
      <c r="DI22" s="186" t="n"/>
      <c r="DJ22" s="315" t="n"/>
      <c r="DK22" s="52" t="n"/>
      <c r="DL22" s="315" t="n"/>
      <c r="DM22" s="175" t="n"/>
      <c r="DN22" s="186" t="n"/>
      <c r="DO22" s="315" t="n"/>
      <c r="DP22" s="177" t="n"/>
      <c r="DQ22" s="245" t="n"/>
      <c r="DR22" s="175" t="n"/>
      <c r="DS22" s="186" t="n"/>
      <c r="DT22" s="315" t="n"/>
      <c r="DU22" s="177" t="n"/>
      <c r="DV22" s="315" t="n"/>
      <c r="DW22" s="350" t="n"/>
      <c r="DX22" s="351" t="n"/>
      <c r="DY22" s="356" t="n"/>
      <c r="DZ22" s="357" t="n"/>
      <c r="EA22" s="352" t="n"/>
      <c r="EB22" s="353" t="n"/>
      <c r="EC22" s="354" t="n"/>
      <c r="ED22" s="355" t="n"/>
      <c r="EE22" s="175" t="n"/>
      <c r="EF22" s="315" t="n"/>
      <c r="EG22" s="177" t="n"/>
      <c r="EH22" s="333" t="n"/>
      <c r="EI22" s="175" t="n"/>
      <c r="EJ22" s="315" t="n">
        <v>2</v>
      </c>
      <c r="EK22" s="38" t="n">
        <v>0</v>
      </c>
      <c r="EL22" s="315" t="n"/>
      <c r="EM22" s="175" t="n"/>
      <c r="EN22" s="315" t="n">
        <v>2</v>
      </c>
      <c r="EO22" s="177" t="n">
        <v>2</v>
      </c>
      <c r="EP22" s="333" t="n"/>
      <c r="EQ22" s="175" t="n"/>
      <c r="ER22" s="315" t="n"/>
      <c r="ES22" s="177" t="n"/>
      <c r="ET22" s="315" t="n"/>
      <c r="EU22" s="175" t="n"/>
      <c r="EV22" s="315" t="n"/>
      <c r="EW22" s="177" t="n"/>
      <c r="EX22" s="315" t="n"/>
      <c r="EY22" s="175" t="n"/>
      <c r="EZ22" s="315" t="n"/>
      <c r="FA22" s="177" t="n"/>
      <c r="FB22" s="315" t="n"/>
      <c r="FC22" s="175" t="n"/>
      <c r="FD22" s="315" t="n"/>
      <c r="FE22" s="177" t="n"/>
      <c r="FF22" s="315" t="n"/>
      <c r="FG22" s="175" t="n"/>
      <c r="FH22" s="315" t="n"/>
      <c r="FI22" s="177" t="n"/>
      <c r="FJ22" s="315" t="n"/>
      <c r="FK22" s="175" t="n"/>
      <c r="FL22" s="315" t="n"/>
      <c r="FM22" s="177" t="n"/>
      <c r="FN22" s="315" t="n"/>
      <c r="FO22" s="175" t="n"/>
      <c r="FP22" s="315" t="n"/>
      <c r="FQ22" s="177" t="n"/>
      <c r="FR22" s="315" t="n"/>
      <c r="FS22" s="175" t="n"/>
      <c r="FT22" s="315" t="n"/>
      <c r="FU22" s="177" t="n"/>
      <c r="FV22" s="315" t="n"/>
      <c r="FW22" s="175" t="n"/>
      <c r="FX22" s="315" t="n"/>
      <c r="FY22" s="177" t="n"/>
      <c r="FZ22" s="315" t="n"/>
      <c r="GA22" s="350" t="n"/>
      <c r="GB22" s="351" t="n"/>
      <c r="GC22" s="352" t="n"/>
      <c r="GD22" s="353" t="n"/>
      <c r="GE22" s="354" t="n"/>
      <c r="GF22" s="355" t="n"/>
      <c r="GG22" s="175" t="n"/>
      <c r="GH22" s="315" t="n"/>
      <c r="GI22" s="177" t="n"/>
      <c r="GJ22" s="315" t="n"/>
      <c r="GK22" s="175" t="n"/>
      <c r="GL22" s="315" t="n"/>
      <c r="GM22" s="177" t="n"/>
      <c r="GN22" s="315" t="n"/>
      <c r="GO22" s="175" t="n"/>
      <c r="GP22" s="315" t="n"/>
      <c r="GQ22" s="177" t="n"/>
      <c r="GR22" s="315" t="n"/>
      <c r="GS22" s="175" t="n"/>
      <c r="GT22" s="315" t="n"/>
      <c r="GU22" s="177" t="n"/>
      <c r="GV22" s="315" t="n"/>
      <c r="GW22" s="175" t="n"/>
      <c r="GX22" s="315" t="n"/>
      <c r="GY22" s="177" t="n"/>
      <c r="GZ22" s="315" t="n"/>
      <c r="HA22" s="175" t="n"/>
      <c r="HB22" s="315" t="n"/>
      <c r="HC22" s="177" t="n"/>
      <c r="HD22" s="315" t="n"/>
      <c r="HE22" s="175" t="n"/>
      <c r="HF22" s="315" t="n"/>
      <c r="HG22" s="177" t="n"/>
      <c r="HH22" s="315" t="n"/>
      <c r="HI22" s="175" t="n"/>
      <c r="HJ22" s="315" t="n"/>
      <c r="HK22" s="177" t="n"/>
      <c r="HL22" s="315" t="n"/>
      <c r="HM22" s="175" t="n"/>
      <c r="HN22" s="315" t="n"/>
      <c r="HO22" s="177" t="n"/>
      <c r="HP22" s="315" t="n"/>
      <c r="HQ22" s="175" t="n"/>
      <c r="HR22" s="315" t="n"/>
      <c r="HS22" s="177" t="n"/>
      <c r="HT22" s="315" t="n"/>
      <c r="HU22" s="175" t="n"/>
      <c r="HV22" s="315" t="n"/>
      <c r="HW22" s="177" t="n"/>
      <c r="HX22" s="315" t="n"/>
      <c r="HY22" s="175" t="n"/>
      <c r="HZ22" s="315" t="n"/>
      <c r="IA22" s="177" t="n"/>
      <c r="IB22" s="315" t="n"/>
      <c r="IC22" s="350" t="n"/>
      <c r="ID22" s="351" t="n"/>
      <c r="IE22" s="352" t="n"/>
      <c r="IF22" s="353" t="n"/>
      <c r="IG22" s="354" t="n"/>
      <c r="IH22" s="355" t="n"/>
      <c r="II22" s="175" t="n"/>
      <c r="IJ22" s="315" t="n"/>
      <c r="IK22" s="177" t="n"/>
      <c r="IL22" s="315" t="n"/>
      <c r="IM22" s="175" t="n"/>
      <c r="IN22" s="315" t="n"/>
      <c r="IO22" s="177" t="n"/>
      <c r="IP22" s="315" t="n"/>
      <c r="IQ22" s="175" t="n"/>
      <c r="IR22" s="315" t="n"/>
      <c r="IS22" s="177" t="n"/>
      <c r="IT22" s="315" t="n"/>
      <c r="IU22" s="175" t="n"/>
      <c r="IV22" s="315" t="n"/>
      <c r="IW22" s="177" t="n"/>
      <c r="IX22" s="315" t="n"/>
      <c r="IY22" s="175" t="n"/>
      <c r="IZ22" s="315" t="n"/>
      <c r="JA22" s="177" t="n"/>
      <c r="JB22" s="315" t="n"/>
      <c r="JC22" s="175" t="n"/>
      <c r="JD22" s="315" t="n"/>
      <c r="JE22" s="177" t="n"/>
      <c r="JF22" s="315" t="n"/>
      <c r="JG22" s="175" t="n"/>
      <c r="JH22" s="315" t="n"/>
      <c r="JI22" s="177" t="n"/>
      <c r="JJ22" s="315" t="n"/>
      <c r="JK22" s="175" t="n"/>
      <c r="JL22" s="315" t="n"/>
      <c r="JM22" s="177" t="n"/>
      <c r="JN22" s="315" t="n"/>
      <c r="JO22" s="175" t="n"/>
      <c r="JP22" s="315" t="n"/>
      <c r="JQ22" s="177" t="n"/>
      <c r="JR22" s="315" t="n"/>
      <c r="JS22" s="175" t="n"/>
      <c r="JT22" s="315" t="n"/>
      <c r="JU22" s="177" t="n"/>
      <c r="JV22" s="315" t="n"/>
      <c r="JW22" s="175" t="n"/>
      <c r="JX22" s="315" t="n"/>
      <c r="JY22" s="177" t="n"/>
      <c r="JZ22" s="315" t="n"/>
      <c r="KA22" s="175" t="n"/>
      <c r="KB22" s="315" t="n"/>
      <c r="KC22" s="177" t="n"/>
      <c r="KD22" s="315" t="n"/>
      <c r="KE22" s="350" t="n"/>
      <c r="KF22" s="351" t="n"/>
      <c r="KG22" s="352" t="n"/>
      <c r="KH22" s="353" t="n"/>
      <c r="KI22" s="354" t="n"/>
      <c r="KJ22" s="358" t="n"/>
      <c r="KK22" s="210" t="n"/>
      <c r="KL22" s="210" t="n"/>
      <c r="KM22" s="210" t="n"/>
      <c r="KN22" s="190" t="n"/>
      <c r="KO22" s="286" t="n"/>
    </row>
    <row r="23" outlineLevel="1" ht="57.6" customHeight="1">
      <c r="A23" s="347" t="n"/>
      <c r="B23" s="347" t="n"/>
      <c r="C23" s="347" t="n"/>
      <c r="D23" s="347" t="n"/>
      <c r="E23" s="15" t="n">
        <v>18</v>
      </c>
      <c r="F23" s="61" t="n">
        <v>2</v>
      </c>
      <c r="G23" s="62" t="n">
        <v>9522010010</v>
      </c>
      <c r="H23" s="63" t="inlineStr">
        <is>
          <t>Головка соединительная, с фильтром, управляющая</t>
        </is>
      </c>
      <c r="I23" s="359" t="n"/>
      <c r="J23" s="360">
        <f>138.5/1.2</f>
        <v/>
      </c>
      <c r="K23" s="360" t="n"/>
      <c r="L23" s="360" t="n"/>
      <c r="M23" s="36" t="n"/>
      <c r="N23" s="284" t="n"/>
      <c r="O23" s="38" t="n">
        <v>0</v>
      </c>
      <c r="P23" s="284" t="n"/>
      <c r="Q23" s="36" t="n"/>
      <c r="R23" s="284" t="n"/>
      <c r="S23" s="38" t="n">
        <v>32</v>
      </c>
      <c r="T23" s="284" t="n"/>
      <c r="U23" s="36" t="n"/>
      <c r="V23" s="284" t="n"/>
      <c r="W23" s="38" t="n">
        <v>50</v>
      </c>
      <c r="X23" s="284" t="n"/>
      <c r="Y23" s="36" t="n"/>
      <c r="Z23" s="284" t="n"/>
      <c r="AA23" s="38" t="n">
        <v>50</v>
      </c>
      <c r="AB23" s="284" t="n"/>
      <c r="AC23" s="36" t="n"/>
      <c r="AD23" s="284" t="n"/>
      <c r="AE23" s="38" t="n">
        <v>0</v>
      </c>
      <c r="AF23" s="284" t="n"/>
      <c r="AG23" s="36" t="n"/>
      <c r="AH23" s="39" t="n"/>
      <c r="AI23" s="52" t="n">
        <v>25</v>
      </c>
      <c r="AJ23" s="247" t="n"/>
      <c r="AK23" s="36" t="n"/>
      <c r="AL23" s="284" t="n"/>
      <c r="AM23" s="52" t="n">
        <v>25</v>
      </c>
      <c r="AN23" s="247" t="n"/>
      <c r="AO23" s="36" t="n"/>
      <c r="AP23" s="284" t="n"/>
      <c r="AQ23" s="38" t="n">
        <v>0</v>
      </c>
      <c r="AR23" s="247" t="n"/>
      <c r="AS23" s="36" t="n"/>
      <c r="AT23" s="284" t="n"/>
      <c r="AU23" s="38" t="n">
        <v>0</v>
      </c>
      <c r="AV23" s="247" t="n"/>
      <c r="AW23" s="36" t="n"/>
      <c r="AX23" s="284" t="n"/>
      <c r="AY23" s="38" t="n">
        <v>0</v>
      </c>
      <c r="AZ23" s="247" t="n"/>
      <c r="BA23" s="36" t="n"/>
      <c r="BB23" s="284" t="n"/>
      <c r="BC23" s="52" t="n">
        <v>0</v>
      </c>
      <c r="BD23" s="247" t="n"/>
      <c r="BE23" s="36" t="n"/>
      <c r="BF23" s="284">
        <f>$KN23*0</f>
        <v/>
      </c>
      <c r="BG23" s="38" t="n">
        <v>0</v>
      </c>
      <c r="BH23" s="247" t="n"/>
      <c r="BI23" s="338" t="n"/>
      <c r="BJ23" s="339" t="n"/>
      <c r="BK23" s="340" t="n"/>
      <c r="BL23" s="341" t="n"/>
      <c r="BM23" s="342" t="n"/>
      <c r="BN23" s="343" t="n"/>
      <c r="BO23" s="36" t="n"/>
      <c r="BP23" s="47" t="n"/>
      <c r="BQ23" s="284" t="n"/>
      <c r="BR23" s="52" t="n"/>
      <c r="BS23" s="284" t="n"/>
      <c r="BT23" s="36" t="n"/>
      <c r="BU23" s="47" t="n"/>
      <c r="BV23" s="284" t="n"/>
      <c r="BW23" s="38" t="n"/>
      <c r="BX23" s="284" t="n"/>
      <c r="BY23" s="36" t="n"/>
      <c r="BZ23" s="47" t="n"/>
      <c r="CA23" s="284" t="n"/>
      <c r="CB23" s="38" t="n">
        <v>0</v>
      </c>
      <c r="CC23" s="284" t="n"/>
      <c r="CD23" s="36" t="n"/>
      <c r="CE23" s="47" t="n"/>
      <c r="CF23" s="284" t="n"/>
      <c r="CG23" s="38" t="n">
        <v>0</v>
      </c>
      <c r="CH23" s="284" t="n"/>
      <c r="CI23" s="36" t="n"/>
      <c r="CJ23" s="47" t="n"/>
      <c r="CK23" s="284" t="n"/>
      <c r="CL23" s="38" t="n">
        <v>0</v>
      </c>
      <c r="CM23" s="284" t="n"/>
      <c r="CN23" s="36" t="n"/>
      <c r="CO23" s="47" t="n"/>
      <c r="CP23" s="284" t="n"/>
      <c r="CQ23" s="38" t="n">
        <v>0</v>
      </c>
      <c r="CR23" s="284" t="n"/>
      <c r="CS23" s="36" t="n"/>
      <c r="CT23" s="47" t="n"/>
      <c r="CU23" s="284" t="n"/>
      <c r="CV23" s="38" t="n">
        <v>0</v>
      </c>
      <c r="CW23" s="284" t="n"/>
      <c r="CX23" s="36" t="n"/>
      <c r="CY23" s="47" t="n"/>
      <c r="CZ23" s="39" t="n"/>
      <c r="DA23" s="38" t="n">
        <v>0</v>
      </c>
      <c r="DB23" s="284" t="n"/>
      <c r="DC23" s="36" t="n"/>
      <c r="DD23" s="47" t="n"/>
      <c r="DE23" s="39" t="n"/>
      <c r="DF23" s="38" t="n">
        <v>0</v>
      </c>
      <c r="DG23" s="284" t="n"/>
      <c r="DH23" s="36" t="n"/>
      <c r="DI23" s="47" t="n"/>
      <c r="DJ23" s="284" t="n"/>
      <c r="DK23" s="38" t="n">
        <v>0</v>
      </c>
      <c r="DL23" s="284" t="n"/>
      <c r="DM23" s="36" t="n"/>
      <c r="DN23" s="47" t="n"/>
      <c r="DO23" s="284">
        <f>$KN23*0</f>
        <v/>
      </c>
      <c r="DP23" s="38" t="n">
        <v>0</v>
      </c>
      <c r="DQ23" s="284" t="inlineStr">
        <is>
          <t>Новая номенклатура</t>
        </is>
      </c>
      <c r="DR23" s="36" t="n"/>
      <c r="DS23" s="47" t="n"/>
      <c r="DT23" s="284" t="n"/>
      <c r="DU23" s="38" t="n">
        <v>0</v>
      </c>
      <c r="DV23" s="284" t="n"/>
      <c r="DW23" s="338">
        <f t="array" ref="DW23">SUMPRODUCT(--(MOD(COLUMN($BO23:$DV23),5)=MOD(COLUMN($BO23),5)),$BO23:$DV23)</f>
        <v/>
      </c>
      <c r="DX23" s="339">
        <f>DW23*$J23</f>
        <v/>
      </c>
      <c r="DY23" s="344">
        <f t="array" ref="DY23">SUMPRODUCT(--(MOD(COLUMN($BO23:$DV23),5)=MOD(COLUMN($BP23),5)),$BO23:$DV23)</f>
        <v/>
      </c>
      <c r="DZ23" s="345">
        <f>DY23*$J23</f>
        <v/>
      </c>
      <c r="EA23" s="340">
        <f t="array" ref="EA23">SUMPRODUCT(--(MOD(COLUMN($BO23:$DV23),5)=MOD(COLUMN($BQ23),5)),$BO23:$DV23)</f>
        <v/>
      </c>
      <c r="EB23" s="341">
        <f>EA23*$J23</f>
        <v/>
      </c>
      <c r="EC23" s="342">
        <f t="array" ref="EC23">SUMPRODUCT(--(MOD(COLUMN($BO23:$DV23),5)=MOD(COLUMN($BR23),5)),$BO23:$DV23)</f>
        <v/>
      </c>
      <c r="ED23" s="343">
        <f>EC23*$J23</f>
        <v/>
      </c>
      <c r="EE23" s="36" t="n">
        <v>50</v>
      </c>
      <c r="EF23" s="284" t="n">
        <v>0</v>
      </c>
      <c r="EG23" s="38" t="n">
        <v>0</v>
      </c>
      <c r="EH23" s="284" t="n"/>
      <c r="EI23" s="36" t="n"/>
      <c r="EJ23" s="284" t="n"/>
      <c r="EK23" s="38" t="n">
        <v>0</v>
      </c>
      <c r="EL23" s="284" t="n"/>
      <c r="EM23" s="36" t="n"/>
      <c r="EN23" s="39" t="n"/>
      <c r="EO23" s="38" t="n">
        <v>0</v>
      </c>
      <c r="EP23" s="284" t="n"/>
      <c r="EQ23" s="36" t="n"/>
      <c r="ER23" s="284" t="n"/>
      <c r="ES23" s="38" t="n">
        <v>0</v>
      </c>
      <c r="ET23" s="284" t="n"/>
      <c r="EU23" s="36" t="n"/>
      <c r="EV23" s="39" t="n">
        <v>0</v>
      </c>
      <c r="EW23" s="38" t="n">
        <v>0</v>
      </c>
      <c r="EX23" s="284" t="n"/>
      <c r="EY23" s="36" t="n"/>
      <c r="EZ23" s="284" t="n"/>
      <c r="FA23" s="38" t="n">
        <v>0</v>
      </c>
      <c r="FB23" s="284" t="n"/>
      <c r="FC23" s="36" t="n"/>
      <c r="FD23" s="284" t="n"/>
      <c r="FE23" s="38" t="n">
        <v>0</v>
      </c>
      <c r="FF23" s="284" t="n"/>
      <c r="FG23" s="36" t="n"/>
      <c r="FH23" s="284" t="n"/>
      <c r="FI23" s="38" t="n">
        <v>0</v>
      </c>
      <c r="FJ23" s="284" t="n"/>
      <c r="FK23" s="36" t="n"/>
      <c r="FL23" s="284" t="n"/>
      <c r="FM23" s="38" t="n">
        <v>0</v>
      </c>
      <c r="FN23" s="284" t="n"/>
      <c r="FO23" s="36" t="n"/>
      <c r="FP23" s="284" t="n"/>
      <c r="FQ23" s="38" t="n">
        <v>0</v>
      </c>
      <c r="FR23" s="284" t="n"/>
      <c r="FS23" s="36" t="n"/>
      <c r="FT23" s="284" t="n"/>
      <c r="FU23" s="38" t="n">
        <v>0</v>
      </c>
      <c r="FV23" s="284" t="n"/>
      <c r="FW23" s="36" t="n"/>
      <c r="FX23" s="284" t="n"/>
      <c r="FY23" s="38" t="n">
        <v>0</v>
      </c>
      <c r="FZ23" s="284" t="n"/>
      <c r="GA23" s="338">
        <f>SUMPRODUCT(--(MOD(COLUMN($EE23:$FZ23),4)=MOD(COLUMN($EE23),4)),$EE23:$FZ23)</f>
        <v/>
      </c>
      <c r="GB23" s="339">
        <f>GA23*$J23</f>
        <v/>
      </c>
      <c r="GC23" s="340">
        <f>SUMPRODUCT(--(MOD(COLUMN($EE23:$FZ23),4)=MOD(COLUMN($EF23),4)),$EE23:$FZ23)</f>
        <v/>
      </c>
      <c r="GD23" s="341">
        <f>GC23*$J23</f>
        <v/>
      </c>
      <c r="GE23" s="342">
        <f>SUMPRODUCT(--(MOD(COLUMN($EE23:$FZ23),4)=MOD(COLUMN($EG23),4)),$EE23:$FZ23)</f>
        <v/>
      </c>
      <c r="GF23" s="343">
        <f>GE23*$J23</f>
        <v/>
      </c>
      <c r="GG23" s="36" t="n"/>
      <c r="GH23" s="284" t="n"/>
      <c r="GI23" s="38" t="n">
        <v>0</v>
      </c>
      <c r="GJ23" s="284" t="n"/>
      <c r="GK23" s="36" t="n"/>
      <c r="GL23" s="284" t="n"/>
      <c r="GM23" s="38" t="n">
        <v>0</v>
      </c>
      <c r="GN23" s="284" t="n"/>
      <c r="GO23" s="36" t="n"/>
      <c r="GP23" s="284" t="n"/>
      <c r="GQ23" s="38" t="n">
        <v>0</v>
      </c>
      <c r="GR23" s="284" t="n"/>
      <c r="GS23" s="36" t="n"/>
      <c r="GT23" s="284" t="n"/>
      <c r="GU23" s="38" t="n">
        <v>0</v>
      </c>
      <c r="GV23" s="284" t="n"/>
      <c r="GW23" s="36" t="n"/>
      <c r="GX23" s="284" t="n"/>
      <c r="GY23" s="38" t="n">
        <v>0</v>
      </c>
      <c r="GZ23" s="284" t="n"/>
      <c r="HA23" s="36" t="n"/>
      <c r="HB23" s="284" t="n"/>
      <c r="HC23" s="38" t="n">
        <v>0</v>
      </c>
      <c r="HD23" s="284" t="n"/>
      <c r="HE23" s="36" t="n"/>
      <c r="HF23" s="284" t="n"/>
      <c r="HG23" s="38" t="n">
        <v>0</v>
      </c>
      <c r="HH23" s="284" t="n"/>
      <c r="HI23" s="36" t="n"/>
      <c r="HJ23" s="284" t="n"/>
      <c r="HK23" s="38" t="n">
        <v>0</v>
      </c>
      <c r="HL23" s="284" t="n"/>
      <c r="HM23" s="36" t="n"/>
      <c r="HN23" s="284" t="n"/>
      <c r="HO23" s="38" t="n">
        <v>0</v>
      </c>
      <c r="HP23" s="284" t="n"/>
      <c r="HQ23" s="36" t="n"/>
      <c r="HR23" s="284" t="n"/>
      <c r="HS23" s="38" t="n">
        <v>0</v>
      </c>
      <c r="HT23" s="284" t="n"/>
      <c r="HU23" s="36" t="n"/>
      <c r="HV23" s="284" t="n"/>
      <c r="HW23" s="38" t="n">
        <v>0</v>
      </c>
      <c r="HX23" s="284" t="n"/>
      <c r="HY23" s="36" t="n"/>
      <c r="HZ23" s="284" t="n"/>
      <c r="IA23" s="38" t="n">
        <v>0</v>
      </c>
      <c r="IB23" s="284" t="n"/>
      <c r="IC23" s="338">
        <f t="array" ref="IC23">SUMPRODUCT(--(MOD(COLUMN($GG23:$IB23),4)=MOD(COLUMN($GG23),4)),$GG23:$IB23)</f>
        <v/>
      </c>
      <c r="ID23" s="339">
        <f>IC23*$J23</f>
        <v/>
      </c>
      <c r="IE23" s="340">
        <f t="array" ref="IE23">SUMPRODUCT(--(MOD(COLUMN($GG23:$IB23),4)=MOD(COLUMN($GH23),4)),$GG23:$IB23)</f>
        <v/>
      </c>
      <c r="IF23" s="341">
        <f>IE23*$J23</f>
        <v/>
      </c>
      <c r="IG23" s="342">
        <f t="array" ref="IG23">SUMPRODUCT(--(MOD(COLUMN($GG23:$IB23),4)=MOD(COLUMN($GI23),4)),$GG23:$IB23)</f>
        <v/>
      </c>
      <c r="IH23" s="343">
        <f>IG23*$J23</f>
        <v/>
      </c>
      <c r="II23" s="36" t="n"/>
      <c r="IJ23" s="284" t="n"/>
      <c r="IK23" s="38" t="n">
        <v>0</v>
      </c>
      <c r="IL23" s="284" t="n"/>
      <c r="IM23" s="36" t="n"/>
      <c r="IN23" s="284" t="n"/>
      <c r="IO23" s="38" t="n">
        <v>0</v>
      </c>
      <c r="IP23" s="284" t="n"/>
      <c r="IQ23" s="36" t="n"/>
      <c r="IR23" s="284" t="n"/>
      <c r="IS23" s="38" t="n">
        <v>0</v>
      </c>
      <c r="IT23" s="284" t="n"/>
      <c r="IU23" s="36" t="n"/>
      <c r="IV23" s="284" t="n"/>
      <c r="IW23" s="38" t="n">
        <v>0</v>
      </c>
      <c r="IX23" s="284" t="n"/>
      <c r="IY23" s="36" t="n"/>
      <c r="IZ23" s="284" t="n"/>
      <c r="JA23" s="38" t="n">
        <v>0</v>
      </c>
      <c r="JB23" s="284" t="n"/>
      <c r="JC23" s="36" t="n"/>
      <c r="JD23" s="284" t="n"/>
      <c r="JE23" s="38" t="n">
        <v>0</v>
      </c>
      <c r="JF23" s="284" t="n"/>
      <c r="JG23" s="36" t="n"/>
      <c r="JH23" s="284" t="n"/>
      <c r="JI23" s="38" t="n">
        <v>0</v>
      </c>
      <c r="JJ23" s="284" t="n"/>
      <c r="JK23" s="36" t="n"/>
      <c r="JL23" s="284" t="n"/>
      <c r="JM23" s="38" t="n">
        <v>0</v>
      </c>
      <c r="JN23" s="284" t="n"/>
      <c r="JO23" s="36" t="n"/>
      <c r="JP23" s="284" t="n"/>
      <c r="JQ23" s="38" t="n">
        <v>0</v>
      </c>
      <c r="JR23" s="284" t="n"/>
      <c r="JS23" s="36" t="n"/>
      <c r="JT23" s="284" t="n"/>
      <c r="JU23" s="38" t="n">
        <v>0</v>
      </c>
      <c r="JV23" s="284" t="n"/>
      <c r="JW23" s="36" t="n"/>
      <c r="JX23" s="284" t="n"/>
      <c r="JY23" s="38" t="n">
        <v>0</v>
      </c>
      <c r="JZ23" s="284" t="n"/>
      <c r="KA23" s="36" t="n"/>
      <c r="KB23" s="284" t="n"/>
      <c r="KC23" s="38" t="n">
        <v>0</v>
      </c>
      <c r="KD23" s="284" t="n"/>
      <c r="KE23" s="338">
        <f t="array" ref="KE23">SUMPRODUCT(--(MOD(COLUMN($II23:$KD23),4)=MOD(COLUMN($II23),4)),$II23:$KD23)</f>
        <v/>
      </c>
      <c r="KF23" s="339">
        <f>KE23*$J23</f>
        <v/>
      </c>
      <c r="KG23" s="340">
        <f t="array" ref="KG23">SUMPRODUCT(--(MOD(COLUMN($II23:$KD23),4)=MOD(COLUMN($IJ23),4)),$II23:$KD23)</f>
        <v/>
      </c>
      <c r="KH23" s="341">
        <f>KG23*$J23</f>
        <v/>
      </c>
      <c r="KI23" s="342">
        <f t="array" ref="KI23">SUMPRODUCT(--(MOD(COLUMN($II23:$KD23),4)=MOD(COLUMN($IK23),4)),$II23:$KD23)</f>
        <v/>
      </c>
      <c r="KJ23" s="346">
        <f>KI23*$J23</f>
        <v/>
      </c>
      <c r="KK23" s="12" t="n"/>
      <c r="KL23" s="12" t="n"/>
      <c r="KM23" s="12" t="n"/>
      <c r="KN23" s="51" t="n">
        <v>1</v>
      </c>
      <c r="KO23" s="285" t="inlineStr">
        <is>
          <t>Wabco 4s/3m 15m</t>
        </is>
      </c>
    </row>
    <row r="24" outlineLevel="1" ht="43.2" customHeight="1">
      <c r="A24" s="347" t="n"/>
      <c r="B24" s="347" t="n"/>
      <c r="C24" s="347" t="n"/>
      <c r="D24" s="347" t="n"/>
      <c r="E24" s="15" t="n">
        <v>19</v>
      </c>
      <c r="F24" s="61" t="n">
        <v>2</v>
      </c>
      <c r="G24" s="62" t="n">
        <v>9522010020</v>
      </c>
      <c r="H24" s="63" t="inlineStr">
        <is>
          <t>Головка соединительная, с фильтром, питающая</t>
        </is>
      </c>
      <c r="I24" s="359" t="n"/>
      <c r="J24" s="360">
        <f>138.5/1.2</f>
        <v/>
      </c>
      <c r="K24" s="360" t="n"/>
      <c r="L24" s="360" t="n"/>
      <c r="M24" s="36" t="n"/>
      <c r="N24" s="284" t="n"/>
      <c r="O24" s="38" t="n">
        <v>0</v>
      </c>
      <c r="P24" s="284" t="n"/>
      <c r="Q24" s="36" t="n"/>
      <c r="R24" s="284" t="n"/>
      <c r="S24" s="38" t="n">
        <v>32</v>
      </c>
      <c r="T24" s="284" t="n"/>
      <c r="U24" s="36" t="n"/>
      <c r="V24" s="284" t="n"/>
      <c r="W24" s="38" t="n">
        <v>50</v>
      </c>
      <c r="X24" s="284" t="n"/>
      <c r="Y24" s="36" t="n"/>
      <c r="Z24" s="284" t="n"/>
      <c r="AA24" s="38" t="n">
        <v>50</v>
      </c>
      <c r="AB24" s="284" t="n"/>
      <c r="AC24" s="36" t="n"/>
      <c r="AD24" s="284" t="n"/>
      <c r="AE24" s="38" t="n">
        <v>0</v>
      </c>
      <c r="AF24" s="284" t="n"/>
      <c r="AG24" s="36" t="n"/>
      <c r="AH24" s="39" t="n"/>
      <c r="AI24" s="52" t="n">
        <v>25</v>
      </c>
      <c r="AJ24" s="247" t="n"/>
      <c r="AK24" s="36" t="n"/>
      <c r="AL24" s="284" t="n"/>
      <c r="AM24" s="52" t="n">
        <v>25</v>
      </c>
      <c r="AN24" s="247" t="n"/>
      <c r="AO24" s="36" t="n"/>
      <c r="AP24" s="284" t="n"/>
      <c r="AQ24" s="38" t="n">
        <v>0</v>
      </c>
      <c r="AR24" s="247" t="n"/>
      <c r="AS24" s="36" t="n"/>
      <c r="AT24" s="284" t="n"/>
      <c r="AU24" s="38" t="n">
        <v>0</v>
      </c>
      <c r="AV24" s="247" t="n"/>
      <c r="AW24" s="36" t="n"/>
      <c r="AX24" s="284" t="n"/>
      <c r="AY24" s="38" t="n">
        <v>0</v>
      </c>
      <c r="AZ24" s="247" t="n"/>
      <c r="BA24" s="36" t="n"/>
      <c r="BB24" s="284" t="n"/>
      <c r="BC24" s="52" t="n">
        <v>0</v>
      </c>
      <c r="BD24" s="247" t="n"/>
      <c r="BE24" s="36" t="n"/>
      <c r="BF24" s="284">
        <f>$KN24*0</f>
        <v/>
      </c>
      <c r="BG24" s="38" t="n">
        <v>0</v>
      </c>
      <c r="BH24" s="247" t="n"/>
      <c r="BI24" s="338" t="n"/>
      <c r="BJ24" s="339" t="n"/>
      <c r="BK24" s="340" t="n"/>
      <c r="BL24" s="341" t="n"/>
      <c r="BM24" s="342" t="n"/>
      <c r="BN24" s="343" t="n"/>
      <c r="BO24" s="36" t="n"/>
      <c r="BP24" s="47" t="n"/>
      <c r="BQ24" s="284" t="n"/>
      <c r="BR24" s="52" t="n"/>
      <c r="BS24" s="284" t="n"/>
      <c r="BT24" s="36" t="n"/>
      <c r="BU24" s="47" t="n"/>
      <c r="BV24" s="284" t="n"/>
      <c r="BW24" s="38" t="n"/>
      <c r="BX24" s="284" t="n"/>
      <c r="BY24" s="36" t="n"/>
      <c r="BZ24" s="47" t="n"/>
      <c r="CA24" s="284" t="n"/>
      <c r="CB24" s="38" t="n">
        <v>0</v>
      </c>
      <c r="CC24" s="284" t="n"/>
      <c r="CD24" s="36" t="n"/>
      <c r="CE24" s="47" t="n"/>
      <c r="CF24" s="284" t="n"/>
      <c r="CG24" s="38" t="n">
        <v>0</v>
      </c>
      <c r="CH24" s="284" t="n"/>
      <c r="CI24" s="36" t="n"/>
      <c r="CJ24" s="47" t="n"/>
      <c r="CK24" s="284" t="n"/>
      <c r="CL24" s="38" t="n">
        <v>0</v>
      </c>
      <c r="CM24" s="284" t="n"/>
      <c r="CN24" s="36" t="n"/>
      <c r="CO24" s="47" t="n"/>
      <c r="CP24" s="284" t="n"/>
      <c r="CQ24" s="38" t="n">
        <v>0</v>
      </c>
      <c r="CR24" s="284" t="n"/>
      <c r="CS24" s="36" t="n"/>
      <c r="CT24" s="47" t="n"/>
      <c r="CU24" s="284" t="n"/>
      <c r="CV24" s="38" t="n">
        <v>0</v>
      </c>
      <c r="CW24" s="284" t="n"/>
      <c r="CX24" s="36" t="n"/>
      <c r="CY24" s="47" t="n"/>
      <c r="CZ24" s="39" t="n"/>
      <c r="DA24" s="38" t="n">
        <v>0</v>
      </c>
      <c r="DB24" s="284" t="n"/>
      <c r="DC24" s="36" t="n"/>
      <c r="DD24" s="47" t="n"/>
      <c r="DE24" s="39" t="n"/>
      <c r="DF24" s="38" t="n">
        <v>0</v>
      </c>
      <c r="DG24" s="284" t="n"/>
      <c r="DH24" s="36" t="n"/>
      <c r="DI24" s="47" t="n"/>
      <c r="DJ24" s="284" t="n"/>
      <c r="DK24" s="52" t="n">
        <v>0</v>
      </c>
      <c r="DL24" s="284" t="n"/>
      <c r="DM24" s="36" t="n"/>
      <c r="DN24" s="47" t="n"/>
      <c r="DO24" s="284">
        <f>$KN24*0</f>
        <v/>
      </c>
      <c r="DP24" s="38" t="n">
        <v>0</v>
      </c>
      <c r="DQ24" s="347" t="n"/>
      <c r="DR24" s="36" t="n"/>
      <c r="DS24" s="47" t="n"/>
      <c r="DT24" s="284" t="n"/>
      <c r="DU24" s="38" t="n">
        <v>0</v>
      </c>
      <c r="DV24" s="284" t="n"/>
      <c r="DW24" s="338">
        <f t="array" ref="DW24">SUMPRODUCT(--(MOD(COLUMN($BO24:$DV24),5)=MOD(COLUMN($BO24),5)),$BO24:$DV24)</f>
        <v/>
      </c>
      <c r="DX24" s="339">
        <f>DW24*$J24</f>
        <v/>
      </c>
      <c r="DY24" s="344">
        <f t="array" ref="DY24">SUMPRODUCT(--(MOD(COLUMN($BO24:$DV24),5)=MOD(COLUMN($BP24),5)),$BO24:$DV24)</f>
        <v/>
      </c>
      <c r="DZ24" s="345">
        <f>DY24*$J24</f>
        <v/>
      </c>
      <c r="EA24" s="340">
        <f t="array" ref="EA24">SUMPRODUCT(--(MOD(COLUMN($BO24:$DV24),5)=MOD(COLUMN($BQ24),5)),$BO24:$DV24)</f>
        <v/>
      </c>
      <c r="EB24" s="341">
        <f>EA24*$J24</f>
        <v/>
      </c>
      <c r="EC24" s="342">
        <f t="array" ref="EC24">SUMPRODUCT(--(MOD(COLUMN($BO24:$DV24),5)=MOD(COLUMN($BR24),5)),$BO24:$DV24)</f>
        <v/>
      </c>
      <c r="ED24" s="343">
        <f>EC24*$J24</f>
        <v/>
      </c>
      <c r="EE24" s="36" t="n">
        <v>50</v>
      </c>
      <c r="EF24" s="284" t="n">
        <v>0</v>
      </c>
      <c r="EG24" s="38" t="n">
        <v>0</v>
      </c>
      <c r="EH24" s="284" t="n"/>
      <c r="EI24" s="36" t="n"/>
      <c r="EJ24" s="284" t="n"/>
      <c r="EK24" s="38" t="n">
        <v>0</v>
      </c>
      <c r="EL24" s="284" t="n"/>
      <c r="EM24" s="36" t="n"/>
      <c r="EN24" s="39" t="n"/>
      <c r="EO24" s="38" t="n">
        <v>0</v>
      </c>
      <c r="EP24" s="284" t="n"/>
      <c r="EQ24" s="36" t="n"/>
      <c r="ER24" s="284" t="n"/>
      <c r="ES24" s="38" t="n">
        <v>0</v>
      </c>
      <c r="ET24" s="284" t="n"/>
      <c r="EU24" s="36" t="n"/>
      <c r="EV24" s="39" t="n">
        <v>0</v>
      </c>
      <c r="EW24" s="38" t="n">
        <v>0</v>
      </c>
      <c r="EX24" s="284" t="n"/>
      <c r="EY24" s="36" t="n"/>
      <c r="EZ24" s="284" t="n"/>
      <c r="FA24" s="38" t="n">
        <v>0</v>
      </c>
      <c r="FB24" s="284" t="n"/>
      <c r="FC24" s="36" t="n"/>
      <c r="FD24" s="284" t="n"/>
      <c r="FE24" s="38" t="n">
        <v>0</v>
      </c>
      <c r="FF24" s="284" t="n"/>
      <c r="FG24" s="36" t="n"/>
      <c r="FH24" s="284" t="n"/>
      <c r="FI24" s="38" t="n">
        <v>0</v>
      </c>
      <c r="FJ24" s="284" t="n"/>
      <c r="FK24" s="36" t="n"/>
      <c r="FL24" s="284" t="n"/>
      <c r="FM24" s="38" t="n">
        <v>0</v>
      </c>
      <c r="FN24" s="284" t="n"/>
      <c r="FO24" s="36" t="n"/>
      <c r="FP24" s="284" t="n"/>
      <c r="FQ24" s="38" t="n">
        <v>0</v>
      </c>
      <c r="FR24" s="284" t="n"/>
      <c r="FS24" s="36" t="n"/>
      <c r="FT24" s="284" t="n"/>
      <c r="FU24" s="38" t="n">
        <v>0</v>
      </c>
      <c r="FV24" s="284" t="n"/>
      <c r="FW24" s="36" t="n"/>
      <c r="FX24" s="284" t="n"/>
      <c r="FY24" s="38" t="n">
        <v>0</v>
      </c>
      <c r="FZ24" s="284" t="n"/>
      <c r="GA24" s="338">
        <f>SUMPRODUCT(--(MOD(COLUMN($EE24:$FZ24),4)=MOD(COLUMN($EE24),4)),$EE24:$FZ24)</f>
        <v/>
      </c>
      <c r="GB24" s="339">
        <f>GA24*$J24</f>
        <v/>
      </c>
      <c r="GC24" s="340">
        <f>SUMPRODUCT(--(MOD(COLUMN($EE24:$FZ24),4)=MOD(COLUMN($EF24),4)),$EE24:$FZ24)</f>
        <v/>
      </c>
      <c r="GD24" s="341">
        <f>GC24*$J24</f>
        <v/>
      </c>
      <c r="GE24" s="342">
        <f>SUMPRODUCT(--(MOD(COLUMN($EE24:$FZ24),4)=MOD(COLUMN($EG24),4)),$EE24:$FZ24)</f>
        <v/>
      </c>
      <c r="GF24" s="343">
        <f>GE24*$J24</f>
        <v/>
      </c>
      <c r="GG24" s="36" t="n"/>
      <c r="GH24" s="284" t="n"/>
      <c r="GI24" s="38" t="n">
        <v>0</v>
      </c>
      <c r="GJ24" s="284" t="n"/>
      <c r="GK24" s="36" t="n"/>
      <c r="GL24" s="284" t="n"/>
      <c r="GM24" s="38" t="n">
        <v>0</v>
      </c>
      <c r="GN24" s="284" t="n"/>
      <c r="GO24" s="36" t="n"/>
      <c r="GP24" s="284" t="n"/>
      <c r="GQ24" s="38" t="n">
        <v>0</v>
      </c>
      <c r="GR24" s="284" t="n"/>
      <c r="GS24" s="36" t="n"/>
      <c r="GT24" s="284" t="n"/>
      <c r="GU24" s="38" t="n">
        <v>0</v>
      </c>
      <c r="GV24" s="284" t="n"/>
      <c r="GW24" s="36" t="n"/>
      <c r="GX24" s="284" t="n"/>
      <c r="GY24" s="38" t="n">
        <v>0</v>
      </c>
      <c r="GZ24" s="284" t="n"/>
      <c r="HA24" s="36" t="n"/>
      <c r="HB24" s="284" t="n"/>
      <c r="HC24" s="38" t="n">
        <v>0</v>
      </c>
      <c r="HD24" s="284" t="n"/>
      <c r="HE24" s="36" t="n"/>
      <c r="HF24" s="284" t="n"/>
      <c r="HG24" s="38" t="n">
        <v>0</v>
      </c>
      <c r="HH24" s="284" t="n"/>
      <c r="HI24" s="36" t="n"/>
      <c r="HJ24" s="284" t="n"/>
      <c r="HK24" s="38" t="n">
        <v>0</v>
      </c>
      <c r="HL24" s="284" t="n"/>
      <c r="HM24" s="36" t="n"/>
      <c r="HN24" s="284" t="n"/>
      <c r="HO24" s="38" t="n">
        <v>0</v>
      </c>
      <c r="HP24" s="284" t="n"/>
      <c r="HQ24" s="36" t="n"/>
      <c r="HR24" s="284" t="n"/>
      <c r="HS24" s="38" t="n">
        <v>0</v>
      </c>
      <c r="HT24" s="284" t="n"/>
      <c r="HU24" s="36" t="n"/>
      <c r="HV24" s="284" t="n"/>
      <c r="HW24" s="38" t="n">
        <v>0</v>
      </c>
      <c r="HX24" s="284" t="n"/>
      <c r="HY24" s="36" t="n"/>
      <c r="HZ24" s="284" t="n"/>
      <c r="IA24" s="38" t="n">
        <v>0</v>
      </c>
      <c r="IB24" s="284" t="n"/>
      <c r="IC24" s="338">
        <f t="array" ref="IC24">SUMPRODUCT(--(MOD(COLUMN($GG24:$IB24),4)=MOD(COLUMN($GG24),4)),$GG24:$IB24)</f>
        <v/>
      </c>
      <c r="ID24" s="339">
        <f>IC24*$J24</f>
        <v/>
      </c>
      <c r="IE24" s="340">
        <f t="array" ref="IE24">SUMPRODUCT(--(MOD(COLUMN($GG24:$IB24),4)=MOD(COLUMN($GH24),4)),$GG24:$IB24)</f>
        <v/>
      </c>
      <c r="IF24" s="341">
        <f>IE24*$J24</f>
        <v/>
      </c>
      <c r="IG24" s="342">
        <f t="array" ref="IG24">SUMPRODUCT(--(MOD(COLUMN($GG24:$IB24),4)=MOD(COLUMN($GI24),4)),$GG24:$IB24)</f>
        <v/>
      </c>
      <c r="IH24" s="343">
        <f>IG24*$J24</f>
        <v/>
      </c>
      <c r="II24" s="36" t="n"/>
      <c r="IJ24" s="284" t="n"/>
      <c r="IK24" s="38" t="n">
        <v>0</v>
      </c>
      <c r="IL24" s="284" t="n"/>
      <c r="IM24" s="36" t="n"/>
      <c r="IN24" s="284" t="n"/>
      <c r="IO24" s="38" t="n">
        <v>0</v>
      </c>
      <c r="IP24" s="284" t="n"/>
      <c r="IQ24" s="36" t="n"/>
      <c r="IR24" s="284" t="n"/>
      <c r="IS24" s="38" t="n">
        <v>0</v>
      </c>
      <c r="IT24" s="284" t="n"/>
      <c r="IU24" s="36" t="n"/>
      <c r="IV24" s="284" t="n"/>
      <c r="IW24" s="38" t="n">
        <v>0</v>
      </c>
      <c r="IX24" s="284" t="n"/>
      <c r="IY24" s="36" t="n"/>
      <c r="IZ24" s="284" t="n"/>
      <c r="JA24" s="38" t="n">
        <v>0</v>
      </c>
      <c r="JB24" s="284" t="n"/>
      <c r="JC24" s="36" t="n"/>
      <c r="JD24" s="284" t="n"/>
      <c r="JE24" s="38" t="n">
        <v>0</v>
      </c>
      <c r="JF24" s="284" t="n"/>
      <c r="JG24" s="36" t="n"/>
      <c r="JH24" s="284" t="n"/>
      <c r="JI24" s="38" t="n">
        <v>0</v>
      </c>
      <c r="JJ24" s="284" t="n"/>
      <c r="JK24" s="36" t="n"/>
      <c r="JL24" s="284" t="n"/>
      <c r="JM24" s="38" t="n">
        <v>0</v>
      </c>
      <c r="JN24" s="284" t="n"/>
      <c r="JO24" s="36" t="n"/>
      <c r="JP24" s="284" t="n"/>
      <c r="JQ24" s="38" t="n">
        <v>0</v>
      </c>
      <c r="JR24" s="284" t="n"/>
      <c r="JS24" s="36" t="n"/>
      <c r="JT24" s="284" t="n"/>
      <c r="JU24" s="38" t="n">
        <v>0</v>
      </c>
      <c r="JV24" s="284" t="n"/>
      <c r="JW24" s="36" t="n"/>
      <c r="JX24" s="284" t="n"/>
      <c r="JY24" s="38" t="n">
        <v>0</v>
      </c>
      <c r="JZ24" s="284" t="n"/>
      <c r="KA24" s="36" t="n"/>
      <c r="KB24" s="284" t="n"/>
      <c r="KC24" s="38" t="n">
        <v>0</v>
      </c>
      <c r="KD24" s="284" t="n"/>
      <c r="KE24" s="338">
        <f t="array" ref="KE24">SUMPRODUCT(--(MOD(COLUMN($II24:$KD24),4)=MOD(COLUMN($II24),4)),$II24:$KD24)</f>
        <v/>
      </c>
      <c r="KF24" s="339">
        <f>KE24*$J24</f>
        <v/>
      </c>
      <c r="KG24" s="340">
        <f t="array" ref="KG24">SUMPRODUCT(--(MOD(COLUMN($II24:$KD24),4)=MOD(COLUMN($IJ24),4)),$II24:$KD24)</f>
        <v/>
      </c>
      <c r="KH24" s="341">
        <f>KG24*$J24</f>
        <v/>
      </c>
      <c r="KI24" s="342">
        <f t="array" ref="KI24">SUMPRODUCT(--(MOD(COLUMN($II24:$KD24),4)=MOD(COLUMN($IK24),4)),$II24:$KD24)</f>
        <v/>
      </c>
      <c r="KJ24" s="346">
        <f>KI24*$J24</f>
        <v/>
      </c>
      <c r="KK24" s="12" t="n"/>
      <c r="KL24" s="12" t="n"/>
      <c r="KM24" s="12" t="n"/>
      <c r="KN24" s="51" t="n">
        <v>1</v>
      </c>
      <c r="KO24" s="347" t="n"/>
    </row>
    <row r="25" outlineLevel="1" ht="43.2" customHeight="1">
      <c r="A25" s="347" t="n"/>
      <c r="B25" s="347" t="n"/>
      <c r="C25" s="347" t="n"/>
      <c r="D25" s="347" t="n"/>
      <c r="E25" s="15" t="n">
        <v>20</v>
      </c>
      <c r="F25" s="61" t="n">
        <v>2</v>
      </c>
      <c r="G25" s="62" t="n">
        <v>9630010510</v>
      </c>
      <c r="H25" s="63" t="inlineStr">
        <is>
          <t>Клапан растормаживания, сдвоенный</t>
        </is>
      </c>
      <c r="I25" s="359" t="n"/>
      <c r="J25" s="360">
        <f>451/1.2</f>
        <v/>
      </c>
      <c r="K25" s="360" t="n"/>
      <c r="L25" s="360" t="n"/>
      <c r="M25" s="36" t="n"/>
      <c r="N25" s="284" t="n"/>
      <c r="O25" s="38" t="n"/>
      <c r="P25" s="284" t="n"/>
      <c r="Q25" s="36" t="n"/>
      <c r="R25" s="284" t="n"/>
      <c r="S25" s="38" t="n"/>
      <c r="T25" s="284" t="n"/>
      <c r="U25" s="36" t="n"/>
      <c r="V25" s="284" t="n"/>
      <c r="W25" s="38" t="n"/>
      <c r="X25" s="284" t="n"/>
      <c r="Y25" s="36" t="n"/>
      <c r="Z25" s="284" t="n"/>
      <c r="AA25" s="38" t="n"/>
      <c r="AB25" s="284" t="n"/>
      <c r="AC25" s="36" t="n"/>
      <c r="AD25" s="284" t="n"/>
      <c r="AE25" s="38" t="n"/>
      <c r="AF25" s="284" t="n"/>
      <c r="AG25" s="36" t="n"/>
      <c r="AH25" s="39" t="n"/>
      <c r="AI25" s="52" t="n"/>
      <c r="AJ25" s="247" t="n"/>
      <c r="AK25" s="36" t="n"/>
      <c r="AL25" s="284" t="n"/>
      <c r="AM25" s="52" t="n"/>
      <c r="AN25" s="247" t="n"/>
      <c r="AO25" s="36" t="n"/>
      <c r="AP25" s="284" t="n"/>
      <c r="AQ25" s="38" t="n"/>
      <c r="AR25" s="247" t="n"/>
      <c r="AS25" s="36" t="n"/>
      <c r="AT25" s="284" t="n"/>
      <c r="AU25" s="38" t="n"/>
      <c r="AV25" s="247" t="n"/>
      <c r="AW25" s="36" t="n"/>
      <c r="AX25" s="284" t="n"/>
      <c r="AY25" s="38" t="n"/>
      <c r="AZ25" s="247" t="n"/>
      <c r="BA25" s="36" t="n"/>
      <c r="BB25" s="284" t="n"/>
      <c r="BC25" s="52" t="n"/>
      <c r="BD25" s="247" t="n"/>
      <c r="BE25" s="36" t="n"/>
      <c r="BF25" s="284">
        <f>$KN25*0</f>
        <v/>
      </c>
      <c r="BG25" s="38" t="n"/>
      <c r="BH25" s="247" t="n"/>
      <c r="BI25" s="338" t="n"/>
      <c r="BJ25" s="339" t="n"/>
      <c r="BK25" s="340" t="n"/>
      <c r="BL25" s="341" t="n"/>
      <c r="BM25" s="342" t="n"/>
      <c r="BN25" s="343" t="n"/>
      <c r="BO25" s="36" t="n"/>
      <c r="BP25" s="47" t="n"/>
      <c r="BQ25" s="284" t="n"/>
      <c r="BR25" s="52" t="n"/>
      <c r="BS25" s="284" t="n"/>
      <c r="BT25" s="36" t="n"/>
      <c r="BU25" s="47" t="n"/>
      <c r="BV25" s="284" t="n"/>
      <c r="BW25" s="38" t="n"/>
      <c r="BX25" s="284" t="n"/>
      <c r="BY25" s="36" t="n"/>
      <c r="BZ25" s="47" t="n"/>
      <c r="CA25" s="284" t="n"/>
      <c r="CB25" s="38" t="n"/>
      <c r="CC25" s="284" t="n"/>
      <c r="CD25" s="36" t="n"/>
      <c r="CE25" s="47" t="n"/>
      <c r="CF25" s="284" t="n"/>
      <c r="CG25" s="38" t="n"/>
      <c r="CH25" s="284" t="n"/>
      <c r="CI25" s="36" t="n"/>
      <c r="CJ25" s="47" t="n"/>
      <c r="CK25" s="284" t="n"/>
      <c r="CL25" s="38" t="n"/>
      <c r="CM25" s="284" t="n"/>
      <c r="CN25" s="36" t="n"/>
      <c r="CO25" s="47" t="n"/>
      <c r="CP25" s="284" t="n"/>
      <c r="CQ25" s="38" t="n"/>
      <c r="CR25" s="284" t="n"/>
      <c r="CS25" s="36" t="n"/>
      <c r="CT25" s="47" t="n"/>
      <c r="CU25" s="284" t="n"/>
      <c r="CV25" s="38" t="n"/>
      <c r="CW25" s="284" t="n"/>
      <c r="CX25" s="36" t="n"/>
      <c r="CY25" s="47" t="n"/>
      <c r="CZ25" s="39" t="n"/>
      <c r="DA25" s="38" t="n"/>
      <c r="DB25" s="284" t="n"/>
      <c r="DC25" s="36" t="n"/>
      <c r="DD25" s="47" t="n"/>
      <c r="DE25" s="39" t="n"/>
      <c r="DF25" s="38" t="n"/>
      <c r="DG25" s="284" t="n"/>
      <c r="DH25" s="36" t="n"/>
      <c r="DI25" s="47" t="n"/>
      <c r="DJ25" s="284" t="n"/>
      <c r="DK25" s="38" t="n">
        <v>0</v>
      </c>
      <c r="DL25" s="284" t="n"/>
      <c r="DM25" s="36" t="n"/>
      <c r="DN25" s="47" t="n"/>
      <c r="DO25" s="284">
        <f>$KN25*0</f>
        <v/>
      </c>
      <c r="DP25" s="38" t="n">
        <v>0</v>
      </c>
      <c r="DQ25" s="347" t="n"/>
      <c r="DR25" s="36" t="n"/>
      <c r="DS25" s="47" t="n"/>
      <c r="DT25" s="284" t="n"/>
      <c r="DU25" s="38" t="n">
        <v>0</v>
      </c>
      <c r="DV25" s="284" t="n"/>
      <c r="DW25" s="338">
        <f t="array" ref="DW25">SUMPRODUCT(--(MOD(COLUMN($BO25:$DV25),5)=MOD(COLUMN($BO25),5)),$BO25:$DV25)</f>
        <v/>
      </c>
      <c r="DX25" s="339">
        <f>DW25*$J25</f>
        <v/>
      </c>
      <c r="DY25" s="344">
        <f t="array" ref="DY25">SUMPRODUCT(--(MOD(COLUMN($BO25:$DV25),5)=MOD(COLUMN($BP25),5)),$BO25:$DV25)</f>
        <v/>
      </c>
      <c r="DZ25" s="345">
        <f>DY25*$J25</f>
        <v/>
      </c>
      <c r="EA25" s="340">
        <f t="array" ref="EA25">SUMPRODUCT(--(MOD(COLUMN($BO25:$DV25),5)=MOD(COLUMN($BQ25),5)),$BO25:$DV25)</f>
        <v/>
      </c>
      <c r="EB25" s="341">
        <f>EA25*$J25</f>
        <v/>
      </c>
      <c r="EC25" s="342">
        <f t="array" ref="EC25">SUMPRODUCT(--(MOD(COLUMN($BO25:$DV25),5)=MOD(COLUMN($BR25),5)),$BO25:$DV25)</f>
        <v/>
      </c>
      <c r="ED25" s="343">
        <f>EC25*$J25</f>
        <v/>
      </c>
      <c r="EE25" s="36" t="n">
        <v>50</v>
      </c>
      <c r="EF25" s="284" t="n">
        <v>0</v>
      </c>
      <c r="EG25" s="38" t="n">
        <v>0</v>
      </c>
      <c r="EH25" s="284" t="n"/>
      <c r="EI25" s="36" t="n"/>
      <c r="EJ25" s="284" t="n"/>
      <c r="EK25" s="38" t="n"/>
      <c r="EL25" s="284" t="n"/>
      <c r="EM25" s="36" t="n"/>
      <c r="EN25" s="39" t="n"/>
      <c r="EO25" s="38" t="n"/>
      <c r="EP25" s="284" t="n"/>
      <c r="EQ25" s="36" t="n"/>
      <c r="ER25" s="284" t="n"/>
      <c r="ES25" s="38" t="n"/>
      <c r="ET25" s="284" t="n"/>
      <c r="EU25" s="36" t="n"/>
      <c r="EV25" s="39" t="n">
        <v>0</v>
      </c>
      <c r="EW25" s="38" t="n"/>
      <c r="EX25" s="284" t="n"/>
      <c r="EY25" s="36" t="n"/>
      <c r="EZ25" s="284" t="n"/>
      <c r="FA25" s="38" t="n"/>
      <c r="FB25" s="284" t="n"/>
      <c r="FC25" s="36" t="n"/>
      <c r="FD25" s="284" t="n"/>
      <c r="FE25" s="38" t="n"/>
      <c r="FF25" s="284" t="n"/>
      <c r="FG25" s="36" t="n"/>
      <c r="FH25" s="284" t="n"/>
      <c r="FI25" s="38" t="n"/>
      <c r="FJ25" s="284" t="n"/>
      <c r="FK25" s="36" t="n"/>
      <c r="FL25" s="284" t="n"/>
      <c r="FM25" s="38" t="n"/>
      <c r="FN25" s="284" t="n"/>
      <c r="FO25" s="36" t="n"/>
      <c r="FP25" s="284" t="n"/>
      <c r="FQ25" s="38" t="n"/>
      <c r="FR25" s="284" t="n"/>
      <c r="FS25" s="36" t="n"/>
      <c r="FT25" s="284" t="n"/>
      <c r="FU25" s="38" t="n"/>
      <c r="FV25" s="284" t="n"/>
      <c r="FW25" s="36" t="n"/>
      <c r="FX25" s="284" t="n"/>
      <c r="FY25" s="38" t="n"/>
      <c r="FZ25" s="284" t="n"/>
      <c r="GA25" s="338">
        <f>SUMPRODUCT(--(MOD(COLUMN($EE25:$FZ25),4)=MOD(COLUMN($EE25),4)),$EE25:$FZ25)</f>
        <v/>
      </c>
      <c r="GB25" s="339">
        <f>GA25*$J25</f>
        <v/>
      </c>
      <c r="GC25" s="340">
        <f>SUMPRODUCT(--(MOD(COLUMN($EE25:$FZ25),4)=MOD(COLUMN($EF25),4)),$EE25:$FZ25)</f>
        <v/>
      </c>
      <c r="GD25" s="341">
        <f>GC25*$J25</f>
        <v/>
      </c>
      <c r="GE25" s="342">
        <f>SUMPRODUCT(--(MOD(COLUMN($EE25:$FZ25),4)=MOD(COLUMN($EG25),4)),$EE25:$FZ25)</f>
        <v/>
      </c>
      <c r="GF25" s="343">
        <f>GE25*$J25</f>
        <v/>
      </c>
      <c r="GG25" s="36" t="n"/>
      <c r="GH25" s="284" t="n"/>
      <c r="GI25" s="38" t="n"/>
      <c r="GJ25" s="284" t="n"/>
      <c r="GK25" s="36" t="n"/>
      <c r="GL25" s="284" t="n"/>
      <c r="GM25" s="38" t="n"/>
      <c r="GN25" s="284" t="n"/>
      <c r="GO25" s="36" t="n"/>
      <c r="GP25" s="284" t="n"/>
      <c r="GQ25" s="38" t="n"/>
      <c r="GR25" s="284" t="n"/>
      <c r="GS25" s="36" t="n"/>
      <c r="GT25" s="284" t="n"/>
      <c r="GU25" s="38" t="n"/>
      <c r="GV25" s="284" t="n"/>
      <c r="GW25" s="36" t="n"/>
      <c r="GX25" s="284" t="n"/>
      <c r="GY25" s="38" t="n"/>
      <c r="GZ25" s="284" t="n"/>
      <c r="HA25" s="36" t="n"/>
      <c r="HB25" s="284" t="n"/>
      <c r="HC25" s="38" t="n"/>
      <c r="HD25" s="284" t="n"/>
      <c r="HE25" s="36" t="n"/>
      <c r="HF25" s="284" t="n"/>
      <c r="HG25" s="38" t="n"/>
      <c r="HH25" s="284" t="n"/>
      <c r="HI25" s="36" t="n"/>
      <c r="HJ25" s="284" t="n"/>
      <c r="HK25" s="38" t="n"/>
      <c r="HL25" s="284" t="n"/>
      <c r="HM25" s="36" t="n"/>
      <c r="HN25" s="284" t="n"/>
      <c r="HO25" s="38" t="n"/>
      <c r="HP25" s="284" t="n"/>
      <c r="HQ25" s="36" t="n"/>
      <c r="HR25" s="284" t="n"/>
      <c r="HS25" s="38" t="n"/>
      <c r="HT25" s="284" t="n"/>
      <c r="HU25" s="36" t="n"/>
      <c r="HV25" s="284" t="n"/>
      <c r="HW25" s="38" t="n"/>
      <c r="HX25" s="284" t="n"/>
      <c r="HY25" s="36" t="n"/>
      <c r="HZ25" s="284" t="n"/>
      <c r="IA25" s="38" t="n"/>
      <c r="IB25" s="284" t="n"/>
      <c r="IC25" s="338">
        <f t="array" ref="IC25">SUMPRODUCT(--(MOD(COLUMN($GG25:$IB25),4)=MOD(COLUMN($GG25),4)),$GG25:$IB25)</f>
        <v/>
      </c>
      <c r="ID25" s="339">
        <f>IC25*$J25</f>
        <v/>
      </c>
      <c r="IE25" s="340">
        <f t="array" ref="IE25">SUMPRODUCT(--(MOD(COLUMN($GG25:$IB25),4)=MOD(COLUMN($GH25),4)),$GG25:$IB25)</f>
        <v/>
      </c>
      <c r="IF25" s="341">
        <f>IE25*$J25</f>
        <v/>
      </c>
      <c r="IG25" s="342">
        <f t="array" ref="IG25">SUMPRODUCT(--(MOD(COLUMN($GG25:$IB25),4)=MOD(COLUMN($GI25),4)),$GG25:$IB25)</f>
        <v/>
      </c>
      <c r="IH25" s="343">
        <f>IG25*$J25</f>
        <v/>
      </c>
      <c r="II25" s="36" t="n"/>
      <c r="IJ25" s="284" t="n"/>
      <c r="IK25" s="38" t="n"/>
      <c r="IL25" s="284" t="n"/>
      <c r="IM25" s="36" t="n"/>
      <c r="IN25" s="284" t="n"/>
      <c r="IO25" s="38" t="n"/>
      <c r="IP25" s="284" t="n"/>
      <c r="IQ25" s="36" t="n"/>
      <c r="IR25" s="284" t="n"/>
      <c r="IS25" s="38" t="n"/>
      <c r="IT25" s="284" t="n"/>
      <c r="IU25" s="36" t="n"/>
      <c r="IV25" s="284" t="n"/>
      <c r="IW25" s="38" t="n"/>
      <c r="IX25" s="284" t="n"/>
      <c r="IY25" s="36" t="n"/>
      <c r="IZ25" s="284" t="n"/>
      <c r="JA25" s="38" t="n"/>
      <c r="JB25" s="284" t="n"/>
      <c r="JC25" s="36" t="n"/>
      <c r="JD25" s="284" t="n"/>
      <c r="JE25" s="38" t="n"/>
      <c r="JF25" s="284" t="n"/>
      <c r="JG25" s="36" t="n"/>
      <c r="JH25" s="284" t="n"/>
      <c r="JI25" s="38" t="n"/>
      <c r="JJ25" s="284" t="n"/>
      <c r="JK25" s="36" t="n"/>
      <c r="JL25" s="284" t="n"/>
      <c r="JM25" s="38" t="n"/>
      <c r="JN25" s="284" t="n"/>
      <c r="JO25" s="36" t="n"/>
      <c r="JP25" s="284" t="n"/>
      <c r="JQ25" s="38" t="n"/>
      <c r="JR25" s="284" t="n"/>
      <c r="JS25" s="36" t="n"/>
      <c r="JT25" s="284" t="n"/>
      <c r="JU25" s="38" t="n"/>
      <c r="JV25" s="284" t="n"/>
      <c r="JW25" s="36" t="n"/>
      <c r="JX25" s="284" t="n"/>
      <c r="JY25" s="38" t="n"/>
      <c r="JZ25" s="284" t="n"/>
      <c r="KA25" s="36" t="n"/>
      <c r="KB25" s="284" t="n"/>
      <c r="KC25" s="38" t="n"/>
      <c r="KD25" s="284" t="n"/>
      <c r="KE25" s="338">
        <f t="array" ref="KE25">SUMPRODUCT(--(MOD(COLUMN($II25:$KD25),4)=MOD(COLUMN($II25),4)),$II25:$KD25)</f>
        <v/>
      </c>
      <c r="KF25" s="339">
        <f>KE25*$J25</f>
        <v/>
      </c>
      <c r="KG25" s="340">
        <f t="array" ref="KG25">SUMPRODUCT(--(MOD(COLUMN($II25:$KD25),4)=MOD(COLUMN($IJ25),4)),$II25:$KD25)</f>
        <v/>
      </c>
      <c r="KH25" s="341">
        <f>KG25*$J25</f>
        <v/>
      </c>
      <c r="KI25" s="342">
        <f t="array" ref="KI25">SUMPRODUCT(--(MOD(COLUMN($II25:$KD25),4)=MOD(COLUMN($IK25),4)),$II25:$KD25)</f>
        <v/>
      </c>
      <c r="KJ25" s="346">
        <f>KI25*$J25</f>
        <v/>
      </c>
      <c r="KK25" s="12" t="n"/>
      <c r="KL25" s="12" t="n"/>
      <c r="KM25" s="12" t="n"/>
      <c r="KN25" s="51" t="n">
        <v>1</v>
      </c>
      <c r="KO25" s="347" t="n"/>
    </row>
    <row r="26" outlineLevel="1" ht="28.8" customHeight="1">
      <c r="A26" s="347" t="n"/>
      <c r="B26" s="347" t="n"/>
      <c r="C26" s="347" t="n"/>
      <c r="D26" s="347" t="n"/>
      <c r="E26" s="15" t="n">
        <v>21</v>
      </c>
      <c r="F26" s="61" t="n">
        <v>2</v>
      </c>
      <c r="G26" s="62" t="n">
        <v>9710020400</v>
      </c>
      <c r="H26" s="63" t="inlineStr">
        <is>
          <t>Воздухораспределитель</t>
        </is>
      </c>
      <c r="I26" s="359" t="n"/>
      <c r="J26" s="360">
        <f>587.5/1.2</f>
        <v/>
      </c>
      <c r="K26" s="360" t="n"/>
      <c r="L26" s="360" t="n"/>
      <c r="M26" s="36" t="n"/>
      <c r="N26" s="284" t="n"/>
      <c r="O26" s="38" t="n"/>
      <c r="P26" s="284" t="n"/>
      <c r="Q26" s="36" t="n"/>
      <c r="R26" s="284" t="n"/>
      <c r="S26" s="38" t="n"/>
      <c r="T26" s="284" t="n"/>
      <c r="U26" s="36" t="n"/>
      <c r="V26" s="284" t="n"/>
      <c r="W26" s="38" t="n"/>
      <c r="X26" s="284" t="n"/>
      <c r="Y26" s="36" t="n"/>
      <c r="Z26" s="284" t="n"/>
      <c r="AA26" s="38" t="n"/>
      <c r="AB26" s="284" t="n"/>
      <c r="AC26" s="36" t="n"/>
      <c r="AD26" s="284" t="n"/>
      <c r="AE26" s="38" t="n"/>
      <c r="AF26" s="284" t="n"/>
      <c r="AG26" s="36" t="n"/>
      <c r="AH26" s="39" t="n"/>
      <c r="AI26" s="52" t="n"/>
      <c r="AJ26" s="247" t="n"/>
      <c r="AK26" s="36" t="n"/>
      <c r="AL26" s="284" t="n"/>
      <c r="AM26" s="52" t="n"/>
      <c r="AN26" s="247" t="n"/>
      <c r="AO26" s="36" t="n"/>
      <c r="AP26" s="284" t="n"/>
      <c r="AQ26" s="38" t="n"/>
      <c r="AR26" s="247" t="n"/>
      <c r="AS26" s="36" t="n"/>
      <c r="AT26" s="284" t="n"/>
      <c r="AU26" s="38" t="n"/>
      <c r="AV26" s="247" t="n"/>
      <c r="AW26" s="36" t="n"/>
      <c r="AX26" s="284" t="n"/>
      <c r="AY26" s="38" t="n"/>
      <c r="AZ26" s="247" t="n"/>
      <c r="BA26" s="36" t="n"/>
      <c r="BB26" s="284" t="n"/>
      <c r="BC26" s="52" t="n"/>
      <c r="BD26" s="247" t="n"/>
      <c r="BE26" s="36" t="n"/>
      <c r="BF26" s="284">
        <f>$KN26*0</f>
        <v/>
      </c>
      <c r="BG26" s="38" t="n"/>
      <c r="BH26" s="247" t="n"/>
      <c r="BI26" s="338" t="n"/>
      <c r="BJ26" s="339" t="n"/>
      <c r="BK26" s="340" t="n"/>
      <c r="BL26" s="341" t="n"/>
      <c r="BM26" s="342" t="n"/>
      <c r="BN26" s="343" t="n"/>
      <c r="BO26" s="36" t="n"/>
      <c r="BP26" s="47" t="n"/>
      <c r="BQ26" s="284" t="n"/>
      <c r="BR26" s="52" t="n"/>
      <c r="BS26" s="284" t="n"/>
      <c r="BT26" s="36" t="n"/>
      <c r="BU26" s="47" t="n"/>
      <c r="BV26" s="284" t="n"/>
      <c r="BW26" s="38" t="n"/>
      <c r="BX26" s="284" t="n"/>
      <c r="BY26" s="36" t="n"/>
      <c r="BZ26" s="47" t="n"/>
      <c r="CA26" s="284" t="n"/>
      <c r="CB26" s="38" t="n"/>
      <c r="CC26" s="284" t="n"/>
      <c r="CD26" s="36" t="n"/>
      <c r="CE26" s="47" t="n"/>
      <c r="CF26" s="284" t="n"/>
      <c r="CG26" s="38" t="n"/>
      <c r="CH26" s="284" t="n"/>
      <c r="CI26" s="36" t="n"/>
      <c r="CJ26" s="47" t="n"/>
      <c r="CK26" s="284" t="n"/>
      <c r="CL26" s="38" t="n"/>
      <c r="CM26" s="284" t="n"/>
      <c r="CN26" s="36" t="n"/>
      <c r="CO26" s="47" t="n"/>
      <c r="CP26" s="284" t="n"/>
      <c r="CQ26" s="38" t="n"/>
      <c r="CR26" s="284" t="n"/>
      <c r="CS26" s="36" t="n"/>
      <c r="CT26" s="47" t="n"/>
      <c r="CU26" s="284" t="n"/>
      <c r="CV26" s="38" t="n"/>
      <c r="CW26" s="284" t="n"/>
      <c r="CX26" s="36" t="n"/>
      <c r="CY26" s="47" t="n"/>
      <c r="CZ26" s="39" t="n"/>
      <c r="DA26" s="38" t="n"/>
      <c r="DB26" s="284" t="n"/>
      <c r="DC26" s="36" t="n"/>
      <c r="DD26" s="47" t="n"/>
      <c r="DE26" s="39" t="n"/>
      <c r="DF26" s="38" t="n"/>
      <c r="DG26" s="284" t="n"/>
      <c r="DH26" s="36" t="n"/>
      <c r="DI26" s="47" t="n"/>
      <c r="DJ26" s="284" t="n"/>
      <c r="DK26" s="52" t="n">
        <v>0</v>
      </c>
      <c r="DL26" s="284" t="n"/>
      <c r="DM26" s="36" t="n"/>
      <c r="DN26" s="47" t="n"/>
      <c r="DO26" s="284">
        <f>$KN26*0</f>
        <v/>
      </c>
      <c r="DP26" s="38" t="n">
        <v>0</v>
      </c>
      <c r="DQ26" s="347" t="n"/>
      <c r="DR26" s="36" t="n"/>
      <c r="DS26" s="47" t="n"/>
      <c r="DT26" s="284" t="n"/>
      <c r="DU26" s="38" t="n">
        <v>0</v>
      </c>
      <c r="DV26" s="284" t="n"/>
      <c r="DW26" s="338">
        <f t="array" ref="DW26">SUMPRODUCT(--(MOD(COLUMN($BO26:$DV26),5)=MOD(COLUMN($BO26),5)),$BO26:$DV26)</f>
        <v/>
      </c>
      <c r="DX26" s="339">
        <f>DW26*$J26</f>
        <v/>
      </c>
      <c r="DY26" s="344">
        <f t="array" ref="DY26">SUMPRODUCT(--(MOD(COLUMN($BO26:$DV26),5)=MOD(COLUMN($BP26),5)),$BO26:$DV26)</f>
        <v/>
      </c>
      <c r="DZ26" s="345">
        <f>DY26*$J26</f>
        <v/>
      </c>
      <c r="EA26" s="340">
        <f t="array" ref="EA26">SUMPRODUCT(--(MOD(COLUMN($BO26:$DV26),5)=MOD(COLUMN($BQ26),5)),$BO26:$DV26)</f>
        <v/>
      </c>
      <c r="EB26" s="341">
        <f>EA26*$J26</f>
        <v/>
      </c>
      <c r="EC26" s="342">
        <f t="array" ref="EC26">SUMPRODUCT(--(MOD(COLUMN($BO26:$DV26),5)=MOD(COLUMN($BR26),5)),$BO26:$DV26)</f>
        <v/>
      </c>
      <c r="ED26" s="343">
        <f>EC26*$J26</f>
        <v/>
      </c>
      <c r="EE26" s="36" t="n">
        <v>50</v>
      </c>
      <c r="EF26" s="284" t="n">
        <v>0</v>
      </c>
      <c r="EG26" s="38" t="n">
        <v>0</v>
      </c>
      <c r="EH26" s="284" t="n"/>
      <c r="EI26" s="36" t="n"/>
      <c r="EJ26" s="284" t="n"/>
      <c r="EK26" s="38" t="n"/>
      <c r="EL26" s="284" t="n"/>
      <c r="EM26" s="36" t="n"/>
      <c r="EN26" s="39" t="n"/>
      <c r="EO26" s="38" t="n"/>
      <c r="EP26" s="284" t="n"/>
      <c r="EQ26" s="36" t="n"/>
      <c r="ER26" s="284" t="n"/>
      <c r="ES26" s="38" t="n"/>
      <c r="ET26" s="284" t="n"/>
      <c r="EU26" s="36" t="n"/>
      <c r="EV26" s="39" t="n">
        <v>0</v>
      </c>
      <c r="EW26" s="38" t="n"/>
      <c r="EX26" s="284" t="n"/>
      <c r="EY26" s="36" t="n"/>
      <c r="EZ26" s="284" t="n"/>
      <c r="FA26" s="38" t="n"/>
      <c r="FB26" s="284" t="n"/>
      <c r="FC26" s="36" t="n"/>
      <c r="FD26" s="284" t="n"/>
      <c r="FE26" s="38" t="n"/>
      <c r="FF26" s="284" t="n"/>
      <c r="FG26" s="36" t="n"/>
      <c r="FH26" s="284" t="n"/>
      <c r="FI26" s="38" t="n"/>
      <c r="FJ26" s="284" t="n"/>
      <c r="FK26" s="36" t="n"/>
      <c r="FL26" s="284" t="n"/>
      <c r="FM26" s="38" t="n"/>
      <c r="FN26" s="284" t="n"/>
      <c r="FO26" s="36" t="n"/>
      <c r="FP26" s="284" t="n"/>
      <c r="FQ26" s="38" t="n"/>
      <c r="FR26" s="284" t="n"/>
      <c r="FS26" s="36" t="n"/>
      <c r="FT26" s="284" t="n"/>
      <c r="FU26" s="38" t="n"/>
      <c r="FV26" s="284" t="n"/>
      <c r="FW26" s="36" t="n"/>
      <c r="FX26" s="284" t="n"/>
      <c r="FY26" s="38" t="n"/>
      <c r="FZ26" s="284" t="n"/>
      <c r="GA26" s="338">
        <f>SUMPRODUCT(--(MOD(COLUMN($EE26:$FZ26),4)=MOD(COLUMN($EE26),4)),$EE26:$FZ26)</f>
        <v/>
      </c>
      <c r="GB26" s="339">
        <f>GA26*$J26</f>
        <v/>
      </c>
      <c r="GC26" s="340">
        <f>SUMPRODUCT(--(MOD(COLUMN($EE26:$FZ26),4)=MOD(COLUMN($EF26),4)),$EE26:$FZ26)</f>
        <v/>
      </c>
      <c r="GD26" s="341">
        <f>GC26*$J26</f>
        <v/>
      </c>
      <c r="GE26" s="342">
        <f>SUMPRODUCT(--(MOD(COLUMN($EE26:$FZ26),4)=MOD(COLUMN($EG26),4)),$EE26:$FZ26)</f>
        <v/>
      </c>
      <c r="GF26" s="343">
        <f>GE26*$J26</f>
        <v/>
      </c>
      <c r="GG26" s="36" t="n"/>
      <c r="GH26" s="284" t="n"/>
      <c r="GI26" s="38" t="n"/>
      <c r="GJ26" s="284" t="n"/>
      <c r="GK26" s="36" t="n"/>
      <c r="GL26" s="284" t="n"/>
      <c r="GM26" s="38" t="n"/>
      <c r="GN26" s="284" t="n"/>
      <c r="GO26" s="36" t="n"/>
      <c r="GP26" s="284" t="n"/>
      <c r="GQ26" s="38" t="n"/>
      <c r="GR26" s="284" t="n"/>
      <c r="GS26" s="36" t="n"/>
      <c r="GT26" s="284" t="n"/>
      <c r="GU26" s="38" t="n"/>
      <c r="GV26" s="284" t="n"/>
      <c r="GW26" s="36" t="n"/>
      <c r="GX26" s="284" t="n"/>
      <c r="GY26" s="38" t="n"/>
      <c r="GZ26" s="284" t="n"/>
      <c r="HA26" s="36" t="n"/>
      <c r="HB26" s="284" t="n"/>
      <c r="HC26" s="38" t="n"/>
      <c r="HD26" s="284" t="n"/>
      <c r="HE26" s="36" t="n"/>
      <c r="HF26" s="284" t="n"/>
      <c r="HG26" s="38" t="n"/>
      <c r="HH26" s="284" t="n"/>
      <c r="HI26" s="36" t="n"/>
      <c r="HJ26" s="284" t="n"/>
      <c r="HK26" s="38" t="n"/>
      <c r="HL26" s="284" t="n"/>
      <c r="HM26" s="36" t="n"/>
      <c r="HN26" s="284" t="n"/>
      <c r="HO26" s="38" t="n"/>
      <c r="HP26" s="284" t="n"/>
      <c r="HQ26" s="36" t="n"/>
      <c r="HR26" s="284" t="n"/>
      <c r="HS26" s="38" t="n"/>
      <c r="HT26" s="284" t="n"/>
      <c r="HU26" s="36" t="n"/>
      <c r="HV26" s="284" t="n"/>
      <c r="HW26" s="38" t="n"/>
      <c r="HX26" s="284" t="n"/>
      <c r="HY26" s="36" t="n"/>
      <c r="HZ26" s="284" t="n"/>
      <c r="IA26" s="38" t="n"/>
      <c r="IB26" s="284" t="n"/>
      <c r="IC26" s="338">
        <f t="array" ref="IC26">SUMPRODUCT(--(MOD(COLUMN($GG26:$IB26),4)=MOD(COLUMN($GG26),4)),$GG26:$IB26)</f>
        <v/>
      </c>
      <c r="ID26" s="339">
        <f>IC26*$J26</f>
        <v/>
      </c>
      <c r="IE26" s="340">
        <f t="array" ref="IE26">SUMPRODUCT(--(MOD(COLUMN($GG26:$IB26),4)=MOD(COLUMN($GH26),4)),$GG26:$IB26)</f>
        <v/>
      </c>
      <c r="IF26" s="341">
        <f>IE26*$J26</f>
        <v/>
      </c>
      <c r="IG26" s="342">
        <f t="array" ref="IG26">SUMPRODUCT(--(MOD(COLUMN($GG26:$IB26),4)=MOD(COLUMN($GI26),4)),$GG26:$IB26)</f>
        <v/>
      </c>
      <c r="IH26" s="343">
        <f>IG26*$J26</f>
        <v/>
      </c>
      <c r="II26" s="36" t="n"/>
      <c r="IJ26" s="284" t="n"/>
      <c r="IK26" s="38" t="n"/>
      <c r="IL26" s="284" t="n"/>
      <c r="IM26" s="36" t="n"/>
      <c r="IN26" s="284" t="n"/>
      <c r="IO26" s="38" t="n"/>
      <c r="IP26" s="284" t="n"/>
      <c r="IQ26" s="36" t="n"/>
      <c r="IR26" s="284" t="n"/>
      <c r="IS26" s="38" t="n"/>
      <c r="IT26" s="284" t="n"/>
      <c r="IU26" s="36" t="n"/>
      <c r="IV26" s="284" t="n"/>
      <c r="IW26" s="38" t="n"/>
      <c r="IX26" s="284" t="n"/>
      <c r="IY26" s="36" t="n"/>
      <c r="IZ26" s="284" t="n"/>
      <c r="JA26" s="38" t="n"/>
      <c r="JB26" s="284" t="n"/>
      <c r="JC26" s="36" t="n"/>
      <c r="JD26" s="284" t="n"/>
      <c r="JE26" s="38" t="n"/>
      <c r="JF26" s="284" t="n"/>
      <c r="JG26" s="36" t="n"/>
      <c r="JH26" s="284" t="n"/>
      <c r="JI26" s="38" t="n"/>
      <c r="JJ26" s="284" t="n"/>
      <c r="JK26" s="36" t="n"/>
      <c r="JL26" s="284" t="n"/>
      <c r="JM26" s="38" t="n"/>
      <c r="JN26" s="284" t="n"/>
      <c r="JO26" s="36" t="n"/>
      <c r="JP26" s="284" t="n"/>
      <c r="JQ26" s="38" t="n"/>
      <c r="JR26" s="284" t="n"/>
      <c r="JS26" s="36" t="n"/>
      <c r="JT26" s="284" t="n"/>
      <c r="JU26" s="38" t="n"/>
      <c r="JV26" s="284" t="n"/>
      <c r="JW26" s="36" t="n"/>
      <c r="JX26" s="284" t="n"/>
      <c r="JY26" s="38" t="n"/>
      <c r="JZ26" s="284" t="n"/>
      <c r="KA26" s="36" t="n"/>
      <c r="KB26" s="284" t="n"/>
      <c r="KC26" s="38" t="n"/>
      <c r="KD26" s="284" t="n"/>
      <c r="KE26" s="338">
        <f t="array" ref="KE26">SUMPRODUCT(--(MOD(COLUMN($II26:$KD26),4)=MOD(COLUMN($II26),4)),$II26:$KD26)</f>
        <v/>
      </c>
      <c r="KF26" s="339">
        <f>KE26*$J26</f>
        <v/>
      </c>
      <c r="KG26" s="340">
        <f t="array" ref="KG26">SUMPRODUCT(--(MOD(COLUMN($II26:$KD26),4)=MOD(COLUMN($IJ26),4)),$II26:$KD26)</f>
        <v/>
      </c>
      <c r="KH26" s="341">
        <f>KG26*$J26</f>
        <v/>
      </c>
      <c r="KI26" s="342">
        <f t="array" ref="KI26">SUMPRODUCT(--(MOD(COLUMN($II26:$KD26),4)=MOD(COLUMN($IK26),4)),$II26:$KD26)</f>
        <v/>
      </c>
      <c r="KJ26" s="346">
        <f>KI26*$J26</f>
        <v/>
      </c>
      <c r="KK26" s="12" t="n"/>
      <c r="KL26" s="12" t="n"/>
      <c r="KM26" s="12" t="n"/>
      <c r="KN26" s="51" t="n">
        <v>1</v>
      </c>
      <c r="KO26" s="347" t="n"/>
    </row>
    <row r="27" outlineLevel="1" ht="28.8" customHeight="1">
      <c r="A27" s="347" t="n"/>
      <c r="B27" s="347" t="n"/>
      <c r="C27" s="347" t="n"/>
      <c r="D27" s="347" t="n"/>
      <c r="E27" s="15" t="n">
        <v>22</v>
      </c>
      <c r="F27" s="61" t="n">
        <v>2</v>
      </c>
      <c r="G27" s="62" t="n">
        <v>4801020640</v>
      </c>
      <c r="H27" s="63" t="inlineStr">
        <is>
          <t>Блок TEBS-E, 4S3M Premium</t>
        </is>
      </c>
      <c r="I27" s="359" t="n"/>
      <c r="J27" s="360">
        <f>8797.5/1.2</f>
        <v/>
      </c>
      <c r="K27" s="360" t="n"/>
      <c r="L27" s="360" t="n"/>
      <c r="M27" s="36" t="n"/>
      <c r="N27" s="284" t="n"/>
      <c r="O27" s="38" t="n">
        <v>0</v>
      </c>
      <c r="P27" s="284" t="n"/>
      <c r="Q27" s="36" t="n"/>
      <c r="R27" s="284" t="n"/>
      <c r="S27" s="38" t="n">
        <v>32</v>
      </c>
      <c r="T27" s="284" t="n"/>
      <c r="U27" s="36" t="n"/>
      <c r="V27" s="284" t="n"/>
      <c r="W27" s="38" t="n">
        <v>50</v>
      </c>
      <c r="X27" s="284" t="n"/>
      <c r="Y27" s="36" t="n"/>
      <c r="Z27" s="284" t="n"/>
      <c r="AA27" s="38" t="n">
        <v>50</v>
      </c>
      <c r="AB27" s="284" t="n"/>
      <c r="AC27" s="36" t="n"/>
      <c r="AD27" s="284" t="n"/>
      <c r="AE27" s="38" t="n">
        <v>0</v>
      </c>
      <c r="AF27" s="284" t="n"/>
      <c r="AG27" s="36" t="n"/>
      <c r="AH27" s="39" t="n"/>
      <c r="AI27" s="52" t="n">
        <v>25</v>
      </c>
      <c r="AJ27" s="247" t="n"/>
      <c r="AK27" s="36" t="n"/>
      <c r="AL27" s="284" t="n"/>
      <c r="AM27" s="52" t="n">
        <v>25</v>
      </c>
      <c r="AN27" s="247" t="n"/>
      <c r="AO27" s="36" t="n"/>
      <c r="AP27" s="284" t="n"/>
      <c r="AQ27" s="38" t="n">
        <v>0</v>
      </c>
      <c r="AR27" s="247" t="n"/>
      <c r="AS27" s="36" t="n"/>
      <c r="AT27" s="284" t="n"/>
      <c r="AU27" s="38" t="n">
        <v>0</v>
      </c>
      <c r="AV27" s="247" t="n"/>
      <c r="AW27" s="36" t="n"/>
      <c r="AX27" s="284" t="n"/>
      <c r="AY27" s="38" t="n">
        <v>0</v>
      </c>
      <c r="AZ27" s="247" t="n"/>
      <c r="BA27" s="36" t="n"/>
      <c r="BB27" s="284" t="n"/>
      <c r="BC27" s="52" t="n">
        <v>0</v>
      </c>
      <c r="BD27" s="247" t="n"/>
      <c r="BE27" s="36" t="n"/>
      <c r="BF27" s="284">
        <f>$KN27*0</f>
        <v/>
      </c>
      <c r="BG27" s="38" t="n">
        <v>0</v>
      </c>
      <c r="BH27" s="247" t="n"/>
      <c r="BI27" s="338" t="n"/>
      <c r="BJ27" s="339" t="n"/>
      <c r="BK27" s="340" t="n"/>
      <c r="BL27" s="341" t="n"/>
      <c r="BM27" s="342" t="n"/>
      <c r="BN27" s="343" t="n"/>
      <c r="BO27" s="36" t="n"/>
      <c r="BP27" s="47" t="n"/>
      <c r="BQ27" s="284" t="n"/>
      <c r="BR27" s="52" t="n"/>
      <c r="BS27" s="284" t="n"/>
      <c r="BT27" s="36" t="n"/>
      <c r="BU27" s="47" t="n"/>
      <c r="BV27" s="284" t="n"/>
      <c r="BW27" s="38" t="n"/>
      <c r="BX27" s="284" t="n"/>
      <c r="BY27" s="36" t="n"/>
      <c r="BZ27" s="47" t="n"/>
      <c r="CA27" s="284" t="n"/>
      <c r="CB27" s="38" t="n">
        <v>0</v>
      </c>
      <c r="CC27" s="284" t="n"/>
      <c r="CD27" s="36" t="n"/>
      <c r="CE27" s="47" t="n"/>
      <c r="CF27" s="284" t="n"/>
      <c r="CG27" s="38" t="n">
        <v>0</v>
      </c>
      <c r="CH27" s="284" t="n"/>
      <c r="CI27" s="36" t="n"/>
      <c r="CJ27" s="47" t="n"/>
      <c r="CK27" s="284" t="n"/>
      <c r="CL27" s="38" t="n">
        <v>0</v>
      </c>
      <c r="CM27" s="284" t="n"/>
      <c r="CN27" s="36" t="n"/>
      <c r="CO27" s="47" t="n"/>
      <c r="CP27" s="284" t="n"/>
      <c r="CQ27" s="38" t="n">
        <v>0</v>
      </c>
      <c r="CR27" s="284" t="n"/>
      <c r="CS27" s="36" t="n"/>
      <c r="CT27" s="47" t="n"/>
      <c r="CU27" s="284" t="n"/>
      <c r="CV27" s="38" t="n">
        <v>0</v>
      </c>
      <c r="CW27" s="284" t="n"/>
      <c r="CX27" s="36" t="n"/>
      <c r="CY27" s="47" t="n"/>
      <c r="CZ27" s="39" t="n"/>
      <c r="DA27" s="38" t="n">
        <v>0</v>
      </c>
      <c r="DB27" s="284" t="n"/>
      <c r="DC27" s="36" t="n"/>
      <c r="DD27" s="47" t="n"/>
      <c r="DE27" s="39" t="n"/>
      <c r="DF27" s="38" t="n">
        <v>0</v>
      </c>
      <c r="DG27" s="284" t="n"/>
      <c r="DH27" s="36" t="n"/>
      <c r="DI27" s="47" t="n"/>
      <c r="DJ27" s="284" t="n"/>
      <c r="DK27" s="38" t="n">
        <v>0</v>
      </c>
      <c r="DL27" s="284" t="n"/>
      <c r="DM27" s="36" t="n"/>
      <c r="DN27" s="47" t="n"/>
      <c r="DO27" s="284">
        <f>$KN27*0</f>
        <v/>
      </c>
      <c r="DP27" s="38" t="n">
        <v>0</v>
      </c>
      <c r="DQ27" s="347" t="n"/>
      <c r="DR27" s="36" t="n"/>
      <c r="DS27" s="47" t="n"/>
      <c r="DT27" s="284" t="n"/>
      <c r="DU27" s="38" t="n">
        <v>0</v>
      </c>
      <c r="DV27" s="284" t="n"/>
      <c r="DW27" s="338">
        <f t="array" ref="DW27">SUMPRODUCT(--(MOD(COLUMN($BO27:$DV27),5)=MOD(COLUMN($BO27),5)),$BO27:$DV27)</f>
        <v/>
      </c>
      <c r="DX27" s="339">
        <f>DW27*$J27</f>
        <v/>
      </c>
      <c r="DY27" s="344">
        <f t="array" ref="DY27">SUMPRODUCT(--(MOD(COLUMN($BO27:$DV27),5)=MOD(COLUMN($BP27),5)),$BO27:$DV27)</f>
        <v/>
      </c>
      <c r="DZ27" s="345">
        <f>DY27*$J27</f>
        <v/>
      </c>
      <c r="EA27" s="340">
        <f t="array" ref="EA27">SUMPRODUCT(--(MOD(COLUMN($BO27:$DV27),5)=MOD(COLUMN($BQ27),5)),$BO27:$DV27)</f>
        <v/>
      </c>
      <c r="EB27" s="341">
        <f>EA27*$J27</f>
        <v/>
      </c>
      <c r="EC27" s="342">
        <f t="array" ref="EC27">SUMPRODUCT(--(MOD(COLUMN($BO27:$DV27),5)=MOD(COLUMN($BR27),5)),$BO27:$DV27)</f>
        <v/>
      </c>
      <c r="ED27" s="343">
        <f>EC27*$J27</f>
        <v/>
      </c>
      <c r="EE27" s="36" t="n">
        <v>50</v>
      </c>
      <c r="EF27" s="284" t="n">
        <v>0</v>
      </c>
      <c r="EG27" s="38" t="n">
        <v>0</v>
      </c>
      <c r="EH27" s="284" t="n"/>
      <c r="EI27" s="36" t="n"/>
      <c r="EJ27" s="284" t="n"/>
      <c r="EK27" s="38" t="n">
        <v>0</v>
      </c>
      <c r="EL27" s="284" t="n"/>
      <c r="EM27" s="36" t="n"/>
      <c r="EN27" s="39" t="n"/>
      <c r="EO27" s="38" t="n">
        <v>0</v>
      </c>
      <c r="EP27" s="284" t="n"/>
      <c r="EQ27" s="36" t="n"/>
      <c r="ER27" s="284" t="n"/>
      <c r="ES27" s="38" t="n">
        <v>1</v>
      </c>
      <c r="ET27" s="284" t="n"/>
      <c r="EU27" s="36" t="n"/>
      <c r="EV27" s="39" t="n">
        <v>0</v>
      </c>
      <c r="EW27" s="38" t="n">
        <v>1</v>
      </c>
      <c r="EX27" s="284" t="n"/>
      <c r="EY27" s="36" t="n"/>
      <c r="EZ27" s="284" t="n"/>
      <c r="FA27" s="38" t="n">
        <v>0</v>
      </c>
      <c r="FB27" s="284" t="n"/>
      <c r="FC27" s="36" t="n"/>
      <c r="FD27" s="284" t="n"/>
      <c r="FE27" s="38" t="n">
        <v>0</v>
      </c>
      <c r="FF27" s="284" t="n"/>
      <c r="FG27" s="36" t="n"/>
      <c r="FH27" s="284" t="n"/>
      <c r="FI27" s="38" t="n">
        <v>0</v>
      </c>
      <c r="FJ27" s="284" t="n"/>
      <c r="FK27" s="36" t="n"/>
      <c r="FL27" s="284" t="n"/>
      <c r="FM27" s="38" t="n">
        <v>0</v>
      </c>
      <c r="FN27" s="284" t="n"/>
      <c r="FO27" s="36" t="n"/>
      <c r="FP27" s="284" t="n"/>
      <c r="FQ27" s="38" t="n">
        <v>0</v>
      </c>
      <c r="FR27" s="284" t="n"/>
      <c r="FS27" s="36" t="n"/>
      <c r="FT27" s="284" t="n"/>
      <c r="FU27" s="38" t="n">
        <v>0</v>
      </c>
      <c r="FV27" s="284" t="n"/>
      <c r="FW27" s="36" t="n"/>
      <c r="FX27" s="284" t="n"/>
      <c r="FY27" s="38" t="n">
        <v>0</v>
      </c>
      <c r="FZ27" s="284" t="n"/>
      <c r="GA27" s="338">
        <f>SUMPRODUCT(--(MOD(COLUMN($EE27:$FZ27),4)=MOD(COLUMN($EE27),4)),$EE27:$FZ27)</f>
        <v/>
      </c>
      <c r="GB27" s="339">
        <f>GA27*$J27</f>
        <v/>
      </c>
      <c r="GC27" s="340">
        <f>SUMPRODUCT(--(MOD(COLUMN($EE27:$FZ27),4)=MOD(COLUMN($EF27),4)),$EE27:$FZ27)</f>
        <v/>
      </c>
      <c r="GD27" s="341">
        <f>GC27*$J27</f>
        <v/>
      </c>
      <c r="GE27" s="342">
        <f>SUMPRODUCT(--(MOD(COLUMN($EE27:$FZ27),4)=MOD(COLUMN($EG27),4)),$EE27:$FZ27)</f>
        <v/>
      </c>
      <c r="GF27" s="343">
        <f>GE27*$J27</f>
        <v/>
      </c>
      <c r="GG27" s="36" t="n"/>
      <c r="GH27" s="284" t="n"/>
      <c r="GI27" s="38" t="n">
        <v>0</v>
      </c>
      <c r="GJ27" s="284" t="n"/>
      <c r="GK27" s="36" t="n"/>
      <c r="GL27" s="284" t="n"/>
      <c r="GM27" s="38" t="n">
        <v>0</v>
      </c>
      <c r="GN27" s="284" t="n"/>
      <c r="GO27" s="36" t="n"/>
      <c r="GP27" s="284" t="n"/>
      <c r="GQ27" s="38" t="n">
        <v>0</v>
      </c>
      <c r="GR27" s="284" t="n"/>
      <c r="GS27" s="36" t="n"/>
      <c r="GT27" s="284" t="n"/>
      <c r="GU27" s="38" t="n">
        <v>0</v>
      </c>
      <c r="GV27" s="284" t="n"/>
      <c r="GW27" s="36" t="n"/>
      <c r="GX27" s="284" t="n"/>
      <c r="GY27" s="38" t="n">
        <v>0</v>
      </c>
      <c r="GZ27" s="284" t="n"/>
      <c r="HA27" s="36" t="n"/>
      <c r="HB27" s="284" t="n"/>
      <c r="HC27" s="38" t="n">
        <v>0</v>
      </c>
      <c r="HD27" s="284" t="n"/>
      <c r="HE27" s="36" t="n"/>
      <c r="HF27" s="284" t="n"/>
      <c r="HG27" s="38" t="n">
        <v>0</v>
      </c>
      <c r="HH27" s="284" t="n"/>
      <c r="HI27" s="36" t="n"/>
      <c r="HJ27" s="284" t="n"/>
      <c r="HK27" s="38" t="n">
        <v>0</v>
      </c>
      <c r="HL27" s="284" t="n"/>
      <c r="HM27" s="36" t="n"/>
      <c r="HN27" s="284" t="n"/>
      <c r="HO27" s="38" t="n">
        <v>0</v>
      </c>
      <c r="HP27" s="284" t="n"/>
      <c r="HQ27" s="36" t="n"/>
      <c r="HR27" s="284" t="n"/>
      <c r="HS27" s="38" t="n">
        <v>0</v>
      </c>
      <c r="HT27" s="284" t="n"/>
      <c r="HU27" s="36" t="n"/>
      <c r="HV27" s="284" t="n"/>
      <c r="HW27" s="38" t="n">
        <v>0</v>
      </c>
      <c r="HX27" s="284" t="n"/>
      <c r="HY27" s="36" t="n"/>
      <c r="HZ27" s="284" t="n"/>
      <c r="IA27" s="38" t="n">
        <v>0</v>
      </c>
      <c r="IB27" s="284" t="n"/>
      <c r="IC27" s="338">
        <f t="array" ref="IC27">SUMPRODUCT(--(MOD(COLUMN($GG27:$IB27),4)=MOD(COLUMN($GG27),4)),$GG27:$IB27)</f>
        <v/>
      </c>
      <c r="ID27" s="339">
        <f>IC27*$J27</f>
        <v/>
      </c>
      <c r="IE27" s="340">
        <f t="array" ref="IE27">SUMPRODUCT(--(MOD(COLUMN($GG27:$IB27),4)=MOD(COLUMN($GH27),4)),$GG27:$IB27)</f>
        <v/>
      </c>
      <c r="IF27" s="341">
        <f>IE27*$J27</f>
        <v/>
      </c>
      <c r="IG27" s="342">
        <f t="array" ref="IG27">SUMPRODUCT(--(MOD(COLUMN($GG27:$IB27),4)=MOD(COLUMN($GI27),4)),$GG27:$IB27)</f>
        <v/>
      </c>
      <c r="IH27" s="343">
        <f>IG27*$J27</f>
        <v/>
      </c>
      <c r="II27" s="36" t="n"/>
      <c r="IJ27" s="284" t="n"/>
      <c r="IK27" s="38" t="n">
        <v>0</v>
      </c>
      <c r="IL27" s="284" t="n"/>
      <c r="IM27" s="36" t="n"/>
      <c r="IN27" s="284" t="n"/>
      <c r="IO27" s="38" t="n">
        <v>0</v>
      </c>
      <c r="IP27" s="284" t="n"/>
      <c r="IQ27" s="36" t="n"/>
      <c r="IR27" s="284" t="n"/>
      <c r="IS27" s="38" t="n">
        <v>0</v>
      </c>
      <c r="IT27" s="284" t="n"/>
      <c r="IU27" s="36" t="n"/>
      <c r="IV27" s="284" t="n"/>
      <c r="IW27" s="38" t="n">
        <v>0</v>
      </c>
      <c r="IX27" s="284" t="n"/>
      <c r="IY27" s="36" t="n"/>
      <c r="IZ27" s="284" t="n"/>
      <c r="JA27" s="38" t="n">
        <v>0</v>
      </c>
      <c r="JB27" s="284" t="n"/>
      <c r="JC27" s="36" t="n"/>
      <c r="JD27" s="284" t="n"/>
      <c r="JE27" s="38" t="n">
        <v>0</v>
      </c>
      <c r="JF27" s="284" t="n"/>
      <c r="JG27" s="36" t="n"/>
      <c r="JH27" s="284" t="n"/>
      <c r="JI27" s="38" t="n">
        <v>0</v>
      </c>
      <c r="JJ27" s="284" t="n"/>
      <c r="JK27" s="36" t="n"/>
      <c r="JL27" s="284" t="n"/>
      <c r="JM27" s="38" t="n">
        <v>0</v>
      </c>
      <c r="JN27" s="284" t="n"/>
      <c r="JO27" s="36" t="n"/>
      <c r="JP27" s="284" t="n"/>
      <c r="JQ27" s="38" t="n">
        <v>0</v>
      </c>
      <c r="JR27" s="284" t="n"/>
      <c r="JS27" s="36" t="n"/>
      <c r="JT27" s="284" t="n"/>
      <c r="JU27" s="38" t="n">
        <v>0</v>
      </c>
      <c r="JV27" s="284" t="n"/>
      <c r="JW27" s="36" t="n"/>
      <c r="JX27" s="284" t="n"/>
      <c r="JY27" s="38" t="n">
        <v>0</v>
      </c>
      <c r="JZ27" s="284" t="n"/>
      <c r="KA27" s="36" t="n"/>
      <c r="KB27" s="284" t="n"/>
      <c r="KC27" s="38" t="n">
        <v>0</v>
      </c>
      <c r="KD27" s="284" t="n"/>
      <c r="KE27" s="338">
        <f t="array" ref="KE27">SUMPRODUCT(--(MOD(COLUMN($II27:$KD27),4)=MOD(COLUMN($II27),4)),$II27:$KD27)</f>
        <v/>
      </c>
      <c r="KF27" s="339">
        <f>KE27*$J27</f>
        <v/>
      </c>
      <c r="KG27" s="340">
        <f t="array" ref="KG27">SUMPRODUCT(--(MOD(COLUMN($II27:$KD27),4)=MOD(COLUMN($IJ27),4)),$II27:$KD27)</f>
        <v/>
      </c>
      <c r="KH27" s="341">
        <f>KG27*$J27</f>
        <v/>
      </c>
      <c r="KI27" s="342">
        <f t="array" ref="KI27">SUMPRODUCT(--(MOD(COLUMN($II27:$KD27),4)=MOD(COLUMN($IK27),4)),$II27:$KD27)</f>
        <v/>
      </c>
      <c r="KJ27" s="346">
        <f>KI27*$J27</f>
        <v/>
      </c>
      <c r="KK27" s="12" t="n"/>
      <c r="KL27" s="12" t="n"/>
      <c r="KM27" s="12" t="n"/>
      <c r="KN27" s="51" t="n">
        <v>1</v>
      </c>
      <c r="KO27" s="347" t="n"/>
    </row>
    <row r="28" outlineLevel="1" ht="28.8" customHeight="1">
      <c r="A28" s="347" t="n"/>
      <c r="B28" s="347" t="n"/>
      <c r="C28" s="347" t="n"/>
      <c r="D28" s="347" t="n"/>
      <c r="E28" s="15" t="n">
        <v>23</v>
      </c>
      <c r="F28" s="61" t="n">
        <v>1</v>
      </c>
      <c r="G28" s="62" t="n">
        <v>4491731500</v>
      </c>
      <c r="H28" s="63" t="inlineStr">
        <is>
          <t>Кабель питания для прицепа, 15 м</t>
        </is>
      </c>
      <c r="I28" s="359" t="n"/>
      <c r="J28" s="360">
        <f>1204.8/1.2</f>
        <v/>
      </c>
      <c r="K28" s="360" t="n"/>
      <c r="L28" s="360" t="n"/>
      <c r="M28" s="36" t="n"/>
      <c r="N28" s="284" t="n"/>
      <c r="O28" s="38" t="n"/>
      <c r="P28" s="284" t="n"/>
      <c r="Q28" s="36" t="n"/>
      <c r="R28" s="284" t="n"/>
      <c r="S28" s="38" t="n"/>
      <c r="T28" s="284" t="n"/>
      <c r="U28" s="36" t="n"/>
      <c r="V28" s="284" t="n"/>
      <c r="W28" s="38" t="n"/>
      <c r="X28" s="284" t="n"/>
      <c r="Y28" s="36" t="n"/>
      <c r="Z28" s="284" t="n"/>
      <c r="AA28" s="38" t="n"/>
      <c r="AB28" s="284" t="n"/>
      <c r="AC28" s="36" t="n"/>
      <c r="AD28" s="284" t="n"/>
      <c r="AE28" s="38" t="n"/>
      <c r="AF28" s="284" t="n"/>
      <c r="AG28" s="36" t="n"/>
      <c r="AH28" s="39" t="n"/>
      <c r="AI28" s="52" t="n"/>
      <c r="AJ28" s="247" t="n"/>
      <c r="AK28" s="36" t="n"/>
      <c r="AL28" s="284" t="n"/>
      <c r="AM28" s="52" t="n"/>
      <c r="AN28" s="247" t="n"/>
      <c r="AO28" s="36" t="n"/>
      <c r="AP28" s="284" t="n"/>
      <c r="AQ28" s="38" t="n"/>
      <c r="AR28" s="247" t="n"/>
      <c r="AS28" s="36" t="n"/>
      <c r="AT28" s="284" t="n"/>
      <c r="AU28" s="38" t="n"/>
      <c r="AV28" s="247" t="n"/>
      <c r="AW28" s="36" t="n"/>
      <c r="AX28" s="284" t="n"/>
      <c r="AY28" s="38" t="n"/>
      <c r="AZ28" s="247" t="n"/>
      <c r="BA28" s="36" t="n"/>
      <c r="BB28" s="284" t="n"/>
      <c r="BC28" s="52" t="n"/>
      <c r="BD28" s="247" t="n"/>
      <c r="BE28" s="36" t="n"/>
      <c r="BF28" s="284">
        <f>$KN28*0</f>
        <v/>
      </c>
      <c r="BG28" s="38" t="n"/>
      <c r="BH28" s="247" t="n"/>
      <c r="BI28" s="338" t="n"/>
      <c r="BJ28" s="339" t="n"/>
      <c r="BK28" s="340" t="n"/>
      <c r="BL28" s="341" t="n"/>
      <c r="BM28" s="342" t="n"/>
      <c r="BN28" s="343" t="n"/>
      <c r="BO28" s="36" t="n"/>
      <c r="BP28" s="47" t="n"/>
      <c r="BQ28" s="284" t="n"/>
      <c r="BR28" s="52" t="n"/>
      <c r="BS28" s="284" t="n"/>
      <c r="BT28" s="36" t="n"/>
      <c r="BU28" s="47" t="n"/>
      <c r="BV28" s="284" t="n"/>
      <c r="BW28" s="38" t="n"/>
      <c r="BX28" s="284" t="n"/>
      <c r="BY28" s="36" t="n"/>
      <c r="BZ28" s="47" t="n"/>
      <c r="CA28" s="284" t="n"/>
      <c r="CB28" s="38" t="n"/>
      <c r="CC28" s="284" t="n"/>
      <c r="CD28" s="36" t="n"/>
      <c r="CE28" s="47" t="n"/>
      <c r="CF28" s="284" t="n"/>
      <c r="CG28" s="38" t="n"/>
      <c r="CH28" s="284" t="n"/>
      <c r="CI28" s="36" t="n"/>
      <c r="CJ28" s="47" t="n"/>
      <c r="CK28" s="284" t="n"/>
      <c r="CL28" s="38" t="n"/>
      <c r="CM28" s="284" t="n"/>
      <c r="CN28" s="36" t="n"/>
      <c r="CO28" s="47" t="n"/>
      <c r="CP28" s="284" t="n"/>
      <c r="CQ28" s="38" t="n"/>
      <c r="CR28" s="284" t="n"/>
      <c r="CS28" s="36" t="n"/>
      <c r="CT28" s="47" t="n"/>
      <c r="CU28" s="284" t="n"/>
      <c r="CV28" s="38" t="n"/>
      <c r="CW28" s="284" t="n"/>
      <c r="CX28" s="36" t="n"/>
      <c r="CY28" s="47" t="n"/>
      <c r="CZ28" s="39" t="n"/>
      <c r="DA28" s="38" t="n"/>
      <c r="DB28" s="284" t="n"/>
      <c r="DC28" s="36" t="n"/>
      <c r="DD28" s="47" t="n"/>
      <c r="DE28" s="39" t="n"/>
      <c r="DF28" s="38" t="n"/>
      <c r="DG28" s="284" t="n"/>
      <c r="DH28" s="36" t="n"/>
      <c r="DI28" s="47" t="n"/>
      <c r="DJ28" s="284" t="n"/>
      <c r="DK28" s="52" t="n">
        <v>0</v>
      </c>
      <c r="DL28" s="284" t="n"/>
      <c r="DM28" s="36" t="n"/>
      <c r="DN28" s="47" t="n"/>
      <c r="DO28" s="284">
        <f>$KN28*0</f>
        <v/>
      </c>
      <c r="DP28" s="38" t="n">
        <v>0</v>
      </c>
      <c r="DQ28" s="347" t="n"/>
      <c r="DR28" s="36" t="n"/>
      <c r="DS28" s="47" t="n"/>
      <c r="DT28" s="284" t="n"/>
      <c r="DU28" s="38" t="n">
        <v>0</v>
      </c>
      <c r="DV28" s="284" t="n"/>
      <c r="DW28" s="338">
        <f t="array" ref="DW28">SUMPRODUCT(--(MOD(COLUMN($BO28:$DV28),5)=MOD(COLUMN($BO28),5)),$BO28:$DV28)</f>
        <v/>
      </c>
      <c r="DX28" s="339">
        <f>DW28*$J28</f>
        <v/>
      </c>
      <c r="DY28" s="344">
        <f t="array" ref="DY28">SUMPRODUCT(--(MOD(COLUMN($BO28:$DV28),5)=MOD(COLUMN($BP28),5)),$BO28:$DV28)</f>
        <v/>
      </c>
      <c r="DZ28" s="345">
        <f>DY28*$J28</f>
        <v/>
      </c>
      <c r="EA28" s="340">
        <f t="array" ref="EA28">SUMPRODUCT(--(MOD(COLUMN($BO28:$DV28),5)=MOD(COLUMN($BQ28),5)),$BO28:$DV28)</f>
        <v/>
      </c>
      <c r="EB28" s="341">
        <f>EA28*$J28</f>
        <v/>
      </c>
      <c r="EC28" s="342">
        <f t="array" ref="EC28">SUMPRODUCT(--(MOD(COLUMN($BO28:$DV28),5)=MOD(COLUMN($BR28),5)),$BO28:$DV28)</f>
        <v/>
      </c>
      <c r="ED28" s="343">
        <f>EC28*$J28</f>
        <v/>
      </c>
      <c r="EE28" s="36" t="n">
        <v>50</v>
      </c>
      <c r="EF28" s="284" t="n">
        <v>0</v>
      </c>
      <c r="EG28" s="38" t="n">
        <v>0</v>
      </c>
      <c r="EH28" s="284" t="n"/>
      <c r="EI28" s="36" t="n"/>
      <c r="EJ28" s="284" t="n"/>
      <c r="EK28" s="38" t="n"/>
      <c r="EL28" s="284" t="n"/>
      <c r="EM28" s="36" t="n"/>
      <c r="EN28" s="39" t="n"/>
      <c r="EO28" s="38" t="n"/>
      <c r="EP28" s="284" t="n"/>
      <c r="EQ28" s="36" t="n"/>
      <c r="ER28" s="284" t="n"/>
      <c r="ES28" s="38" t="n"/>
      <c r="ET28" s="284" t="n"/>
      <c r="EU28" s="36" t="n"/>
      <c r="EV28" s="39" t="n">
        <v>0</v>
      </c>
      <c r="EW28" s="38" t="n"/>
      <c r="EX28" s="284" t="n"/>
      <c r="EY28" s="36" t="n"/>
      <c r="EZ28" s="284" t="n"/>
      <c r="FA28" s="38" t="n"/>
      <c r="FB28" s="284" t="n"/>
      <c r="FC28" s="36" t="n"/>
      <c r="FD28" s="284" t="n"/>
      <c r="FE28" s="38" t="n"/>
      <c r="FF28" s="284" t="n"/>
      <c r="FG28" s="36" t="n"/>
      <c r="FH28" s="284" t="n"/>
      <c r="FI28" s="38" t="n"/>
      <c r="FJ28" s="284" t="n"/>
      <c r="FK28" s="36" t="n"/>
      <c r="FL28" s="284" t="n"/>
      <c r="FM28" s="38" t="n"/>
      <c r="FN28" s="284" t="n"/>
      <c r="FO28" s="36" t="n"/>
      <c r="FP28" s="284" t="n"/>
      <c r="FQ28" s="38" t="n"/>
      <c r="FR28" s="284" t="n"/>
      <c r="FS28" s="36" t="n"/>
      <c r="FT28" s="284" t="n"/>
      <c r="FU28" s="38" t="n"/>
      <c r="FV28" s="284" t="n"/>
      <c r="FW28" s="36" t="n"/>
      <c r="FX28" s="284" t="n"/>
      <c r="FY28" s="38" t="n"/>
      <c r="FZ28" s="284" t="n"/>
      <c r="GA28" s="338">
        <f>SUMPRODUCT(--(MOD(COLUMN($EE28:$FZ28),4)=MOD(COLUMN($EE28),4)),$EE28:$FZ28)</f>
        <v/>
      </c>
      <c r="GB28" s="339">
        <f>GA28*$J28</f>
        <v/>
      </c>
      <c r="GC28" s="340">
        <f>SUMPRODUCT(--(MOD(COLUMN($EE28:$FZ28),4)=MOD(COLUMN($EF28),4)),$EE28:$FZ28)</f>
        <v/>
      </c>
      <c r="GD28" s="341">
        <f>GC28*$J28</f>
        <v/>
      </c>
      <c r="GE28" s="342">
        <f>SUMPRODUCT(--(MOD(COLUMN($EE28:$FZ28),4)=MOD(COLUMN($EG28),4)),$EE28:$FZ28)</f>
        <v/>
      </c>
      <c r="GF28" s="343">
        <f>GE28*$J28</f>
        <v/>
      </c>
      <c r="GG28" s="36" t="n"/>
      <c r="GH28" s="284" t="n"/>
      <c r="GI28" s="38" t="n"/>
      <c r="GJ28" s="284" t="n"/>
      <c r="GK28" s="36" t="n"/>
      <c r="GL28" s="284" t="n"/>
      <c r="GM28" s="38" t="n"/>
      <c r="GN28" s="284" t="n"/>
      <c r="GO28" s="36" t="n"/>
      <c r="GP28" s="284" t="n"/>
      <c r="GQ28" s="38" t="n"/>
      <c r="GR28" s="284" t="n"/>
      <c r="GS28" s="36" t="n"/>
      <c r="GT28" s="284" t="n"/>
      <c r="GU28" s="38" t="n"/>
      <c r="GV28" s="284" t="n"/>
      <c r="GW28" s="36" t="n"/>
      <c r="GX28" s="284" t="n"/>
      <c r="GY28" s="38" t="n"/>
      <c r="GZ28" s="284" t="n"/>
      <c r="HA28" s="36" t="n"/>
      <c r="HB28" s="284" t="n"/>
      <c r="HC28" s="38" t="n"/>
      <c r="HD28" s="284" t="n"/>
      <c r="HE28" s="36" t="n"/>
      <c r="HF28" s="284" t="n"/>
      <c r="HG28" s="38" t="n"/>
      <c r="HH28" s="284" t="n"/>
      <c r="HI28" s="36" t="n"/>
      <c r="HJ28" s="284" t="n"/>
      <c r="HK28" s="38" t="n"/>
      <c r="HL28" s="284" t="n"/>
      <c r="HM28" s="36" t="n"/>
      <c r="HN28" s="284" t="n"/>
      <c r="HO28" s="38" t="n"/>
      <c r="HP28" s="284" t="n"/>
      <c r="HQ28" s="36" t="n"/>
      <c r="HR28" s="284" t="n"/>
      <c r="HS28" s="38" t="n"/>
      <c r="HT28" s="284" t="n"/>
      <c r="HU28" s="36" t="n"/>
      <c r="HV28" s="284" t="n"/>
      <c r="HW28" s="38" t="n"/>
      <c r="HX28" s="284" t="n"/>
      <c r="HY28" s="36" t="n"/>
      <c r="HZ28" s="284" t="n"/>
      <c r="IA28" s="38" t="n"/>
      <c r="IB28" s="284" t="n"/>
      <c r="IC28" s="338">
        <f t="array" ref="IC28">SUMPRODUCT(--(MOD(COLUMN($GG28:$IB28),4)=MOD(COLUMN($GG28),4)),$GG28:$IB28)</f>
        <v/>
      </c>
      <c r="ID28" s="339">
        <f>IC28*$J28</f>
        <v/>
      </c>
      <c r="IE28" s="340">
        <f t="array" ref="IE28">SUMPRODUCT(--(MOD(COLUMN($GG28:$IB28),4)=MOD(COLUMN($GH28),4)),$GG28:$IB28)</f>
        <v/>
      </c>
      <c r="IF28" s="341">
        <f>IE28*$J28</f>
        <v/>
      </c>
      <c r="IG28" s="342">
        <f t="array" ref="IG28">SUMPRODUCT(--(MOD(COLUMN($GG28:$IB28),4)=MOD(COLUMN($GI28),4)),$GG28:$IB28)</f>
        <v/>
      </c>
      <c r="IH28" s="343">
        <f>IG28*$J28</f>
        <v/>
      </c>
      <c r="II28" s="36" t="n"/>
      <c r="IJ28" s="284" t="n"/>
      <c r="IK28" s="38" t="n"/>
      <c r="IL28" s="284" t="n"/>
      <c r="IM28" s="36" t="n"/>
      <c r="IN28" s="284" t="n"/>
      <c r="IO28" s="38" t="n"/>
      <c r="IP28" s="284" t="n"/>
      <c r="IQ28" s="36" t="n"/>
      <c r="IR28" s="284" t="n"/>
      <c r="IS28" s="38" t="n"/>
      <c r="IT28" s="284" t="n"/>
      <c r="IU28" s="36" t="n"/>
      <c r="IV28" s="284" t="n"/>
      <c r="IW28" s="38" t="n"/>
      <c r="IX28" s="284" t="n"/>
      <c r="IY28" s="36" t="n"/>
      <c r="IZ28" s="284" t="n"/>
      <c r="JA28" s="38" t="n"/>
      <c r="JB28" s="284" t="n"/>
      <c r="JC28" s="36" t="n"/>
      <c r="JD28" s="284" t="n"/>
      <c r="JE28" s="38" t="n"/>
      <c r="JF28" s="284" t="n"/>
      <c r="JG28" s="36" t="n"/>
      <c r="JH28" s="284" t="n"/>
      <c r="JI28" s="38" t="n"/>
      <c r="JJ28" s="284" t="n"/>
      <c r="JK28" s="36" t="n"/>
      <c r="JL28" s="284" t="n"/>
      <c r="JM28" s="38" t="n"/>
      <c r="JN28" s="284" t="n"/>
      <c r="JO28" s="36" t="n"/>
      <c r="JP28" s="284" t="n"/>
      <c r="JQ28" s="38" t="n"/>
      <c r="JR28" s="284" t="n"/>
      <c r="JS28" s="36" t="n"/>
      <c r="JT28" s="284" t="n"/>
      <c r="JU28" s="38" t="n"/>
      <c r="JV28" s="284" t="n"/>
      <c r="JW28" s="36" t="n"/>
      <c r="JX28" s="284" t="n"/>
      <c r="JY28" s="38" t="n"/>
      <c r="JZ28" s="284" t="n"/>
      <c r="KA28" s="36" t="n"/>
      <c r="KB28" s="284" t="n"/>
      <c r="KC28" s="38" t="n"/>
      <c r="KD28" s="284" t="n"/>
      <c r="KE28" s="338">
        <f t="array" ref="KE28">SUMPRODUCT(--(MOD(COLUMN($II28:$KD28),4)=MOD(COLUMN($II28),4)),$II28:$KD28)</f>
        <v/>
      </c>
      <c r="KF28" s="339">
        <f>KE28*$J28</f>
        <v/>
      </c>
      <c r="KG28" s="340">
        <f t="array" ref="KG28">SUMPRODUCT(--(MOD(COLUMN($II28:$KD28),4)=MOD(COLUMN($IJ28),4)),$II28:$KD28)</f>
        <v/>
      </c>
      <c r="KH28" s="341">
        <f>KG28*$J28</f>
        <v/>
      </c>
      <c r="KI28" s="342">
        <f t="array" ref="KI28">SUMPRODUCT(--(MOD(COLUMN($II28:$KD28),4)=MOD(COLUMN($IK28),4)),$II28:$KD28)</f>
        <v/>
      </c>
      <c r="KJ28" s="346">
        <f>KI28*$J28</f>
        <v/>
      </c>
      <c r="KK28" s="12" t="n"/>
      <c r="KL28" s="12" t="n"/>
      <c r="KM28" s="12" t="n"/>
      <c r="KN28" s="51" t="n">
        <v>1</v>
      </c>
      <c r="KO28" s="347" t="n"/>
    </row>
    <row r="29" outlineLevel="1">
      <c r="A29" s="347" t="n"/>
      <c r="B29" s="347" t="n"/>
      <c r="C29" s="347" t="n"/>
      <c r="D29" s="347" t="n"/>
      <c r="E29" s="15" t="n">
        <v>24</v>
      </c>
      <c r="F29" s="61" t="n">
        <v>2</v>
      </c>
      <c r="G29" s="62" t="n">
        <v>4802070010</v>
      </c>
      <c r="H29" s="63" t="inlineStr">
        <is>
          <t>Модулятор EBS</t>
        </is>
      </c>
      <c r="I29" s="359" t="n"/>
      <c r="J29" s="360">
        <f>4618.8/1.2</f>
        <v/>
      </c>
      <c r="K29" s="360" t="n"/>
      <c r="L29" s="360" t="n"/>
      <c r="M29" s="36" t="n"/>
      <c r="N29" s="284" t="n"/>
      <c r="O29" s="38" t="n"/>
      <c r="P29" s="284" t="n"/>
      <c r="Q29" s="36" t="n"/>
      <c r="R29" s="284" t="n"/>
      <c r="S29" s="38" t="n"/>
      <c r="T29" s="284" t="n"/>
      <c r="U29" s="36" t="n"/>
      <c r="V29" s="284" t="n"/>
      <c r="W29" s="38" t="n"/>
      <c r="X29" s="284" t="n"/>
      <c r="Y29" s="36" t="n"/>
      <c r="Z29" s="284" t="n"/>
      <c r="AA29" s="38" t="n"/>
      <c r="AB29" s="284" t="n"/>
      <c r="AC29" s="36" t="n"/>
      <c r="AD29" s="284" t="n"/>
      <c r="AE29" s="38" t="n"/>
      <c r="AF29" s="284" t="n"/>
      <c r="AG29" s="36" t="n"/>
      <c r="AH29" s="39" t="n"/>
      <c r="AI29" s="52" t="n"/>
      <c r="AJ29" s="247" t="n"/>
      <c r="AK29" s="36" t="n"/>
      <c r="AL29" s="284" t="n"/>
      <c r="AM29" s="52" t="n"/>
      <c r="AN29" s="247" t="n"/>
      <c r="AO29" s="36" t="n"/>
      <c r="AP29" s="284" t="n"/>
      <c r="AQ29" s="38" t="n"/>
      <c r="AR29" s="247" t="n"/>
      <c r="AS29" s="36" t="n"/>
      <c r="AT29" s="284" t="n"/>
      <c r="AU29" s="38" t="n"/>
      <c r="AV29" s="247" t="n"/>
      <c r="AW29" s="36" t="n"/>
      <c r="AX29" s="284" t="n"/>
      <c r="AY29" s="38" t="n"/>
      <c r="AZ29" s="247" t="n"/>
      <c r="BA29" s="36" t="n"/>
      <c r="BB29" s="284" t="n"/>
      <c r="BC29" s="52" t="n"/>
      <c r="BD29" s="247" t="n"/>
      <c r="BE29" s="36" t="n"/>
      <c r="BF29" s="284">
        <f>$KN29*0</f>
        <v/>
      </c>
      <c r="BG29" s="38" t="n"/>
      <c r="BH29" s="247" t="n"/>
      <c r="BI29" s="338" t="n"/>
      <c r="BJ29" s="339" t="n"/>
      <c r="BK29" s="340" t="n"/>
      <c r="BL29" s="341" t="n"/>
      <c r="BM29" s="342" t="n"/>
      <c r="BN29" s="343" t="n"/>
      <c r="BO29" s="36" t="n"/>
      <c r="BP29" s="47" t="n"/>
      <c r="BQ29" s="284" t="n"/>
      <c r="BR29" s="52" t="n"/>
      <c r="BS29" s="284" t="n"/>
      <c r="BT29" s="36" t="n"/>
      <c r="BU29" s="47" t="n"/>
      <c r="BV29" s="284" t="n"/>
      <c r="BW29" s="38" t="n"/>
      <c r="BX29" s="284" t="n"/>
      <c r="BY29" s="36" t="n"/>
      <c r="BZ29" s="47" t="n"/>
      <c r="CA29" s="284" t="n"/>
      <c r="CB29" s="38" t="n"/>
      <c r="CC29" s="284" t="n"/>
      <c r="CD29" s="36" t="n"/>
      <c r="CE29" s="47" t="n"/>
      <c r="CF29" s="284" t="n"/>
      <c r="CG29" s="38" t="n"/>
      <c r="CH29" s="284" t="n"/>
      <c r="CI29" s="36" t="n"/>
      <c r="CJ29" s="47" t="n"/>
      <c r="CK29" s="284" t="n"/>
      <c r="CL29" s="38" t="n"/>
      <c r="CM29" s="284" t="n"/>
      <c r="CN29" s="36" t="n"/>
      <c r="CO29" s="47" t="n"/>
      <c r="CP29" s="284" t="n"/>
      <c r="CQ29" s="38" t="n"/>
      <c r="CR29" s="284" t="n"/>
      <c r="CS29" s="36" t="n"/>
      <c r="CT29" s="47" t="n"/>
      <c r="CU29" s="284" t="n"/>
      <c r="CV29" s="38" t="n"/>
      <c r="CW29" s="284" t="n"/>
      <c r="CX29" s="36" t="n"/>
      <c r="CY29" s="47" t="n"/>
      <c r="CZ29" s="39" t="n"/>
      <c r="DA29" s="38" t="n"/>
      <c r="DB29" s="284" t="n"/>
      <c r="DC29" s="36" t="n"/>
      <c r="DD29" s="47" t="n"/>
      <c r="DE29" s="39" t="n"/>
      <c r="DF29" s="38" t="n"/>
      <c r="DG29" s="284" t="n"/>
      <c r="DH29" s="36" t="n"/>
      <c r="DI29" s="47" t="n"/>
      <c r="DJ29" s="284" t="n"/>
      <c r="DK29" s="38" t="n">
        <v>0</v>
      </c>
      <c r="DL29" s="284" t="n"/>
      <c r="DM29" s="36" t="n"/>
      <c r="DN29" s="47" t="n"/>
      <c r="DO29" s="284">
        <f>$KN29*0</f>
        <v/>
      </c>
      <c r="DP29" s="38" t="n">
        <v>0</v>
      </c>
      <c r="DQ29" s="347" t="n"/>
      <c r="DR29" s="36" t="n"/>
      <c r="DS29" s="47" t="n"/>
      <c r="DT29" s="284" t="n"/>
      <c r="DU29" s="38" t="n">
        <v>0</v>
      </c>
      <c r="DV29" s="284" t="n"/>
      <c r="DW29" s="338">
        <f t="array" ref="DW29">SUMPRODUCT(--(MOD(COLUMN($BO29:$DV29),5)=MOD(COLUMN($BO29),5)),$BO29:$DV29)</f>
        <v/>
      </c>
      <c r="DX29" s="339">
        <f>DW29*$J29</f>
        <v/>
      </c>
      <c r="DY29" s="344">
        <f t="array" ref="DY29">SUMPRODUCT(--(MOD(COLUMN($BO29:$DV29),5)=MOD(COLUMN($BP29),5)),$BO29:$DV29)</f>
        <v/>
      </c>
      <c r="DZ29" s="345">
        <f>DY29*$J29</f>
        <v/>
      </c>
      <c r="EA29" s="340">
        <f t="array" ref="EA29">SUMPRODUCT(--(MOD(COLUMN($BO29:$DV29),5)=MOD(COLUMN($BQ29),5)),$BO29:$DV29)</f>
        <v/>
      </c>
      <c r="EB29" s="341">
        <f>EA29*$J29</f>
        <v/>
      </c>
      <c r="EC29" s="342">
        <f t="array" ref="EC29">SUMPRODUCT(--(MOD(COLUMN($BO29:$DV29),5)=MOD(COLUMN($BR29),5)),$BO29:$DV29)</f>
        <v/>
      </c>
      <c r="ED29" s="343">
        <f>EC29*$J29</f>
        <v/>
      </c>
      <c r="EE29" s="36" t="n">
        <v>50</v>
      </c>
      <c r="EF29" s="284" t="n">
        <v>0</v>
      </c>
      <c r="EG29" s="38" t="n">
        <v>0</v>
      </c>
      <c r="EH29" s="284" t="n"/>
      <c r="EI29" s="36" t="n"/>
      <c r="EJ29" s="284" t="n"/>
      <c r="EK29" s="38" t="n"/>
      <c r="EL29" s="284" t="n"/>
      <c r="EM29" s="36" t="n"/>
      <c r="EN29" s="39" t="n"/>
      <c r="EO29" s="38" t="n"/>
      <c r="EP29" s="284" t="n"/>
      <c r="EQ29" s="36" t="n"/>
      <c r="ER29" s="284" t="n"/>
      <c r="ES29" s="38" t="n"/>
      <c r="ET29" s="284" t="n"/>
      <c r="EU29" s="36" t="n"/>
      <c r="EV29" s="39" t="n">
        <v>0</v>
      </c>
      <c r="EW29" s="38" t="n"/>
      <c r="EX29" s="284" t="n"/>
      <c r="EY29" s="36" t="n"/>
      <c r="EZ29" s="284" t="n"/>
      <c r="FA29" s="38" t="n"/>
      <c r="FB29" s="284" t="n"/>
      <c r="FC29" s="36" t="n"/>
      <c r="FD29" s="284" t="n"/>
      <c r="FE29" s="38" t="n"/>
      <c r="FF29" s="284" t="n"/>
      <c r="FG29" s="36" t="n"/>
      <c r="FH29" s="284" t="n"/>
      <c r="FI29" s="38" t="n"/>
      <c r="FJ29" s="284" t="n"/>
      <c r="FK29" s="36" t="n"/>
      <c r="FL29" s="284" t="n"/>
      <c r="FM29" s="38" t="n"/>
      <c r="FN29" s="284" t="n"/>
      <c r="FO29" s="36" t="n"/>
      <c r="FP29" s="284" t="n"/>
      <c r="FQ29" s="38" t="n"/>
      <c r="FR29" s="284" t="n"/>
      <c r="FS29" s="36" t="n"/>
      <c r="FT29" s="284" t="n"/>
      <c r="FU29" s="38" t="n"/>
      <c r="FV29" s="284" t="n"/>
      <c r="FW29" s="36" t="n"/>
      <c r="FX29" s="284" t="n"/>
      <c r="FY29" s="38" t="n"/>
      <c r="FZ29" s="284" t="n"/>
      <c r="GA29" s="338">
        <f>SUMPRODUCT(--(MOD(COLUMN($EE29:$FZ29),4)=MOD(COLUMN($EE29),4)),$EE29:$FZ29)</f>
        <v/>
      </c>
      <c r="GB29" s="339">
        <f>GA29*$J29</f>
        <v/>
      </c>
      <c r="GC29" s="340">
        <f>SUMPRODUCT(--(MOD(COLUMN($EE29:$FZ29),4)=MOD(COLUMN($EF29),4)),$EE29:$FZ29)</f>
        <v/>
      </c>
      <c r="GD29" s="341">
        <f>GC29*$J29</f>
        <v/>
      </c>
      <c r="GE29" s="342">
        <f>SUMPRODUCT(--(MOD(COLUMN($EE29:$FZ29),4)=MOD(COLUMN($EG29),4)),$EE29:$FZ29)</f>
        <v/>
      </c>
      <c r="GF29" s="343">
        <f>GE29*$J29</f>
        <v/>
      </c>
      <c r="GG29" s="36" t="n"/>
      <c r="GH29" s="284" t="n"/>
      <c r="GI29" s="38" t="n"/>
      <c r="GJ29" s="284" t="n"/>
      <c r="GK29" s="36" t="n"/>
      <c r="GL29" s="284" t="n"/>
      <c r="GM29" s="38" t="n"/>
      <c r="GN29" s="284" t="n"/>
      <c r="GO29" s="36" t="n"/>
      <c r="GP29" s="284" t="n"/>
      <c r="GQ29" s="38" t="n"/>
      <c r="GR29" s="284" t="n"/>
      <c r="GS29" s="36" t="n"/>
      <c r="GT29" s="284" t="n"/>
      <c r="GU29" s="38" t="n"/>
      <c r="GV29" s="284" t="n"/>
      <c r="GW29" s="36" t="n"/>
      <c r="GX29" s="284" t="n"/>
      <c r="GY29" s="38" t="n"/>
      <c r="GZ29" s="284" t="n"/>
      <c r="HA29" s="36" t="n"/>
      <c r="HB29" s="284" t="n"/>
      <c r="HC29" s="38" t="n"/>
      <c r="HD29" s="284" t="n"/>
      <c r="HE29" s="36" t="n"/>
      <c r="HF29" s="284" t="n"/>
      <c r="HG29" s="38" t="n"/>
      <c r="HH29" s="284" t="n"/>
      <c r="HI29" s="36" t="n"/>
      <c r="HJ29" s="284" t="n"/>
      <c r="HK29" s="38" t="n"/>
      <c r="HL29" s="284" t="n"/>
      <c r="HM29" s="36" t="n"/>
      <c r="HN29" s="284" t="n"/>
      <c r="HO29" s="38" t="n"/>
      <c r="HP29" s="284" t="n"/>
      <c r="HQ29" s="36" t="n"/>
      <c r="HR29" s="284" t="n"/>
      <c r="HS29" s="38" t="n"/>
      <c r="HT29" s="284" t="n"/>
      <c r="HU29" s="36" t="n"/>
      <c r="HV29" s="284" t="n"/>
      <c r="HW29" s="38" t="n"/>
      <c r="HX29" s="284" t="n"/>
      <c r="HY29" s="36" t="n"/>
      <c r="HZ29" s="284" t="n"/>
      <c r="IA29" s="38" t="n"/>
      <c r="IB29" s="284" t="n"/>
      <c r="IC29" s="338">
        <f t="array" ref="IC29">SUMPRODUCT(--(MOD(COLUMN($GG29:$IB29),4)=MOD(COLUMN($GG29),4)),$GG29:$IB29)</f>
        <v/>
      </c>
      <c r="ID29" s="339">
        <f>IC29*$J29</f>
        <v/>
      </c>
      <c r="IE29" s="340">
        <f t="array" ref="IE29">SUMPRODUCT(--(MOD(COLUMN($GG29:$IB29),4)=MOD(COLUMN($GH29),4)),$GG29:$IB29)</f>
        <v/>
      </c>
      <c r="IF29" s="341">
        <f>IE29*$J29</f>
        <v/>
      </c>
      <c r="IG29" s="342">
        <f t="array" ref="IG29">SUMPRODUCT(--(MOD(COLUMN($GG29:$IB29),4)=MOD(COLUMN($GI29),4)),$GG29:$IB29)</f>
        <v/>
      </c>
      <c r="IH29" s="343">
        <f>IG29*$J29</f>
        <v/>
      </c>
      <c r="II29" s="36" t="n"/>
      <c r="IJ29" s="284" t="n"/>
      <c r="IK29" s="38" t="n"/>
      <c r="IL29" s="284" t="n"/>
      <c r="IM29" s="36" t="n"/>
      <c r="IN29" s="284" t="n"/>
      <c r="IO29" s="38" t="n"/>
      <c r="IP29" s="284" t="n"/>
      <c r="IQ29" s="36" t="n"/>
      <c r="IR29" s="284" t="n"/>
      <c r="IS29" s="38" t="n"/>
      <c r="IT29" s="284" t="n"/>
      <c r="IU29" s="36" t="n"/>
      <c r="IV29" s="284" t="n"/>
      <c r="IW29" s="38" t="n"/>
      <c r="IX29" s="284" t="n"/>
      <c r="IY29" s="36" t="n"/>
      <c r="IZ29" s="284" t="n"/>
      <c r="JA29" s="38" t="n"/>
      <c r="JB29" s="284" t="n"/>
      <c r="JC29" s="36" t="n"/>
      <c r="JD29" s="284" t="n"/>
      <c r="JE29" s="38" t="n"/>
      <c r="JF29" s="284" t="n"/>
      <c r="JG29" s="36" t="n"/>
      <c r="JH29" s="284" t="n"/>
      <c r="JI29" s="38" t="n"/>
      <c r="JJ29" s="284" t="n"/>
      <c r="JK29" s="36" t="n"/>
      <c r="JL29" s="284" t="n"/>
      <c r="JM29" s="38" t="n"/>
      <c r="JN29" s="284" t="n"/>
      <c r="JO29" s="36" t="n"/>
      <c r="JP29" s="284" t="n"/>
      <c r="JQ29" s="38" t="n"/>
      <c r="JR29" s="284" t="n"/>
      <c r="JS29" s="36" t="n"/>
      <c r="JT29" s="284" t="n"/>
      <c r="JU29" s="38" t="n"/>
      <c r="JV29" s="284" t="n"/>
      <c r="JW29" s="36" t="n"/>
      <c r="JX29" s="284" t="n"/>
      <c r="JY29" s="38" t="n"/>
      <c r="JZ29" s="284" t="n"/>
      <c r="KA29" s="36" t="n"/>
      <c r="KB29" s="284" t="n"/>
      <c r="KC29" s="38" t="n"/>
      <c r="KD29" s="284" t="n"/>
      <c r="KE29" s="338">
        <f t="array" ref="KE29">SUMPRODUCT(--(MOD(COLUMN($II29:$KD29),4)=MOD(COLUMN($II29),4)),$II29:$KD29)</f>
        <v/>
      </c>
      <c r="KF29" s="339">
        <f>KE29*$J29</f>
        <v/>
      </c>
      <c r="KG29" s="340">
        <f t="array" ref="KG29">SUMPRODUCT(--(MOD(COLUMN($II29:$KD29),4)=MOD(COLUMN($IJ29),4)),$II29:$KD29)</f>
        <v/>
      </c>
      <c r="KH29" s="341">
        <f>KG29*$J29</f>
        <v/>
      </c>
      <c r="KI29" s="342">
        <f t="array" ref="KI29">SUMPRODUCT(--(MOD(COLUMN($II29:$KD29),4)=MOD(COLUMN($IK29),4)),$II29:$KD29)</f>
        <v/>
      </c>
      <c r="KJ29" s="346">
        <f>KI29*$J29</f>
        <v/>
      </c>
      <c r="KK29" s="12" t="n"/>
      <c r="KL29" s="12" t="n"/>
      <c r="KM29" s="12" t="n"/>
      <c r="KN29" s="51" t="n">
        <v>1</v>
      </c>
      <c r="KO29" s="347" t="n"/>
    </row>
    <row r="30" outlineLevel="1" ht="28.8" customHeight="1">
      <c r="A30" s="347" t="n"/>
      <c r="B30" s="347" t="n"/>
      <c r="C30" s="347" t="n"/>
      <c r="D30" s="347" t="n"/>
      <c r="E30" s="15" t="n">
        <v>25</v>
      </c>
      <c r="F30" s="61" t="n">
        <v>2</v>
      </c>
      <c r="G30" s="62" t="n">
        <v>4494290800</v>
      </c>
      <c r="H30" s="63" t="inlineStr">
        <is>
          <t>Кабель модулятора EBS, 8 м</t>
        </is>
      </c>
      <c r="I30" s="359" t="n"/>
      <c r="J30" s="360">
        <f>1568.4/1.2</f>
        <v/>
      </c>
      <c r="K30" s="360" t="n"/>
      <c r="L30" s="360" t="n"/>
      <c r="M30" s="36" t="n"/>
      <c r="N30" s="284" t="n"/>
      <c r="O30" s="38" t="n"/>
      <c r="P30" s="284" t="n"/>
      <c r="Q30" s="36" t="n"/>
      <c r="R30" s="284" t="n"/>
      <c r="S30" s="38" t="n"/>
      <c r="T30" s="284" t="n"/>
      <c r="U30" s="36" t="n"/>
      <c r="V30" s="284" t="n"/>
      <c r="W30" s="38" t="n"/>
      <c r="X30" s="284" t="n"/>
      <c r="Y30" s="36" t="n"/>
      <c r="Z30" s="284" t="n"/>
      <c r="AA30" s="38" t="n"/>
      <c r="AB30" s="284" t="n"/>
      <c r="AC30" s="36" t="n"/>
      <c r="AD30" s="284" t="n"/>
      <c r="AE30" s="38" t="n"/>
      <c r="AF30" s="284" t="n"/>
      <c r="AG30" s="36" t="n"/>
      <c r="AH30" s="39" t="n"/>
      <c r="AI30" s="52" t="n"/>
      <c r="AJ30" s="247" t="n"/>
      <c r="AK30" s="36" t="n"/>
      <c r="AL30" s="284" t="n"/>
      <c r="AM30" s="52" t="n"/>
      <c r="AN30" s="247" t="n"/>
      <c r="AO30" s="36" t="n"/>
      <c r="AP30" s="284" t="n"/>
      <c r="AQ30" s="38" t="n"/>
      <c r="AR30" s="247" t="n"/>
      <c r="AS30" s="36" t="n"/>
      <c r="AT30" s="284" t="n"/>
      <c r="AU30" s="38" t="n"/>
      <c r="AV30" s="247" t="n"/>
      <c r="AW30" s="36" t="n"/>
      <c r="AX30" s="284" t="n"/>
      <c r="AY30" s="38" t="n"/>
      <c r="AZ30" s="247" t="n"/>
      <c r="BA30" s="36" t="n"/>
      <c r="BB30" s="284" t="n"/>
      <c r="BC30" s="52" t="n"/>
      <c r="BD30" s="247" t="n"/>
      <c r="BE30" s="36" t="n"/>
      <c r="BF30" s="284">
        <f>$KN30*0</f>
        <v/>
      </c>
      <c r="BG30" s="38" t="n"/>
      <c r="BH30" s="247" t="n"/>
      <c r="BI30" s="338" t="n"/>
      <c r="BJ30" s="339" t="n"/>
      <c r="BK30" s="340" t="n"/>
      <c r="BL30" s="341" t="n"/>
      <c r="BM30" s="342" t="n"/>
      <c r="BN30" s="343" t="n"/>
      <c r="BO30" s="36" t="n"/>
      <c r="BP30" s="47" t="n"/>
      <c r="BQ30" s="284" t="n"/>
      <c r="BR30" s="52" t="n"/>
      <c r="BS30" s="284" t="n"/>
      <c r="BT30" s="36" t="n"/>
      <c r="BU30" s="47" t="n"/>
      <c r="BV30" s="284" t="n"/>
      <c r="BW30" s="38" t="n"/>
      <c r="BX30" s="284" t="n"/>
      <c r="BY30" s="36" t="n"/>
      <c r="BZ30" s="47" t="n"/>
      <c r="CA30" s="284" t="n"/>
      <c r="CB30" s="38" t="n"/>
      <c r="CC30" s="284" t="n"/>
      <c r="CD30" s="36" t="n"/>
      <c r="CE30" s="47" t="n"/>
      <c r="CF30" s="284" t="n"/>
      <c r="CG30" s="38" t="n"/>
      <c r="CH30" s="284" t="n"/>
      <c r="CI30" s="36" t="n"/>
      <c r="CJ30" s="47" t="n"/>
      <c r="CK30" s="284" t="n"/>
      <c r="CL30" s="38" t="n"/>
      <c r="CM30" s="284" t="n"/>
      <c r="CN30" s="36" t="n"/>
      <c r="CO30" s="47" t="n"/>
      <c r="CP30" s="284" t="n"/>
      <c r="CQ30" s="38" t="n"/>
      <c r="CR30" s="284" t="n"/>
      <c r="CS30" s="36" t="n"/>
      <c r="CT30" s="47" t="n"/>
      <c r="CU30" s="284" t="n"/>
      <c r="CV30" s="38" t="n"/>
      <c r="CW30" s="284" t="n"/>
      <c r="CX30" s="36" t="n"/>
      <c r="CY30" s="47" t="n"/>
      <c r="CZ30" s="39" t="n"/>
      <c r="DA30" s="38" t="n"/>
      <c r="DB30" s="284" t="n"/>
      <c r="DC30" s="36" t="n"/>
      <c r="DD30" s="47" t="n"/>
      <c r="DE30" s="39" t="n"/>
      <c r="DF30" s="38" t="n"/>
      <c r="DG30" s="284" t="n"/>
      <c r="DH30" s="36" t="n"/>
      <c r="DI30" s="47" t="n"/>
      <c r="DJ30" s="284" t="n"/>
      <c r="DK30" s="52" t="n">
        <v>0</v>
      </c>
      <c r="DL30" s="284" t="n"/>
      <c r="DM30" s="36" t="n"/>
      <c r="DN30" s="47" t="n"/>
      <c r="DO30" s="284">
        <f>$KN30*0</f>
        <v/>
      </c>
      <c r="DP30" s="38" t="n">
        <v>0</v>
      </c>
      <c r="DQ30" s="347" t="n"/>
      <c r="DR30" s="36" t="n"/>
      <c r="DS30" s="47" t="n"/>
      <c r="DT30" s="284" t="n"/>
      <c r="DU30" s="38" t="n">
        <v>0</v>
      </c>
      <c r="DV30" s="284" t="n"/>
      <c r="DW30" s="338">
        <f t="array" ref="DW30">SUMPRODUCT(--(MOD(COLUMN($BO30:$DV30),5)=MOD(COLUMN($BO30),5)),$BO30:$DV30)</f>
        <v/>
      </c>
      <c r="DX30" s="339">
        <f>DW30*$J30</f>
        <v/>
      </c>
      <c r="DY30" s="344">
        <f t="array" ref="DY30">SUMPRODUCT(--(MOD(COLUMN($BO30:$DV30),5)=MOD(COLUMN($BP30),5)),$BO30:$DV30)</f>
        <v/>
      </c>
      <c r="DZ30" s="345">
        <f>DY30*$J30</f>
        <v/>
      </c>
      <c r="EA30" s="340">
        <f t="array" ref="EA30">SUMPRODUCT(--(MOD(COLUMN($BO30:$DV30),5)=MOD(COLUMN($BQ30),5)),$BO30:$DV30)</f>
        <v/>
      </c>
      <c r="EB30" s="341">
        <f>EA30*$J30</f>
        <v/>
      </c>
      <c r="EC30" s="342">
        <f t="array" ref="EC30">SUMPRODUCT(--(MOD(COLUMN($BO30:$DV30),5)=MOD(COLUMN($BR30),5)),$BO30:$DV30)</f>
        <v/>
      </c>
      <c r="ED30" s="343">
        <f>EC30*$J30</f>
        <v/>
      </c>
      <c r="EE30" s="36" t="n">
        <v>50</v>
      </c>
      <c r="EF30" s="284" t="n">
        <v>0</v>
      </c>
      <c r="EG30" s="38" t="n">
        <v>0</v>
      </c>
      <c r="EH30" s="284" t="n"/>
      <c r="EI30" s="36" t="n"/>
      <c r="EJ30" s="284" t="n"/>
      <c r="EK30" s="38" t="n"/>
      <c r="EL30" s="284" t="n"/>
      <c r="EM30" s="36" t="n"/>
      <c r="EN30" s="39" t="n"/>
      <c r="EO30" s="38" t="n"/>
      <c r="EP30" s="284" t="n"/>
      <c r="EQ30" s="36" t="n"/>
      <c r="ER30" s="284" t="n"/>
      <c r="ES30" s="38" t="n"/>
      <c r="ET30" s="284" t="n"/>
      <c r="EU30" s="36" t="n"/>
      <c r="EV30" s="39" t="n">
        <v>0</v>
      </c>
      <c r="EW30" s="38" t="n"/>
      <c r="EX30" s="284" t="n"/>
      <c r="EY30" s="36" t="n"/>
      <c r="EZ30" s="284" t="n"/>
      <c r="FA30" s="38" t="n"/>
      <c r="FB30" s="284" t="n"/>
      <c r="FC30" s="36" t="n"/>
      <c r="FD30" s="284" t="n"/>
      <c r="FE30" s="38" t="n"/>
      <c r="FF30" s="284" t="n"/>
      <c r="FG30" s="36" t="n"/>
      <c r="FH30" s="284" t="n"/>
      <c r="FI30" s="38" t="n"/>
      <c r="FJ30" s="284" t="n"/>
      <c r="FK30" s="36" t="n"/>
      <c r="FL30" s="284" t="n"/>
      <c r="FM30" s="38" t="n"/>
      <c r="FN30" s="284" t="n"/>
      <c r="FO30" s="36" t="n"/>
      <c r="FP30" s="284" t="n"/>
      <c r="FQ30" s="38" t="n"/>
      <c r="FR30" s="284" t="n"/>
      <c r="FS30" s="36" t="n"/>
      <c r="FT30" s="284" t="n"/>
      <c r="FU30" s="38" t="n"/>
      <c r="FV30" s="284" t="n"/>
      <c r="FW30" s="36" t="n"/>
      <c r="FX30" s="284" t="n"/>
      <c r="FY30" s="38" t="n"/>
      <c r="FZ30" s="284" t="n"/>
      <c r="GA30" s="338">
        <f>SUMPRODUCT(--(MOD(COLUMN($EE30:$FZ30),4)=MOD(COLUMN($EE30),4)),$EE30:$FZ30)</f>
        <v/>
      </c>
      <c r="GB30" s="339">
        <f>GA30*$J30</f>
        <v/>
      </c>
      <c r="GC30" s="340">
        <f>SUMPRODUCT(--(MOD(COLUMN($EE30:$FZ30),4)=MOD(COLUMN($EF30),4)),$EE30:$FZ30)</f>
        <v/>
      </c>
      <c r="GD30" s="341">
        <f>GC30*$J30</f>
        <v/>
      </c>
      <c r="GE30" s="342">
        <f>SUMPRODUCT(--(MOD(COLUMN($EE30:$FZ30),4)=MOD(COLUMN($EG30),4)),$EE30:$FZ30)</f>
        <v/>
      </c>
      <c r="GF30" s="343">
        <f>GE30*$J30</f>
        <v/>
      </c>
      <c r="GG30" s="36" t="n"/>
      <c r="GH30" s="284" t="n"/>
      <c r="GI30" s="38" t="n"/>
      <c r="GJ30" s="284" t="n"/>
      <c r="GK30" s="36" t="n"/>
      <c r="GL30" s="284" t="n"/>
      <c r="GM30" s="38" t="n"/>
      <c r="GN30" s="284" t="n"/>
      <c r="GO30" s="36" t="n"/>
      <c r="GP30" s="284" t="n"/>
      <c r="GQ30" s="38" t="n"/>
      <c r="GR30" s="284" t="n"/>
      <c r="GS30" s="36" t="n"/>
      <c r="GT30" s="284" t="n"/>
      <c r="GU30" s="38" t="n"/>
      <c r="GV30" s="284" t="n"/>
      <c r="GW30" s="36" t="n"/>
      <c r="GX30" s="284" t="n"/>
      <c r="GY30" s="38" t="n"/>
      <c r="GZ30" s="284" t="n"/>
      <c r="HA30" s="36" t="n"/>
      <c r="HB30" s="284" t="n"/>
      <c r="HC30" s="38" t="n"/>
      <c r="HD30" s="284" t="n"/>
      <c r="HE30" s="36" t="n"/>
      <c r="HF30" s="284" t="n"/>
      <c r="HG30" s="38" t="n"/>
      <c r="HH30" s="284" t="n"/>
      <c r="HI30" s="36" t="n"/>
      <c r="HJ30" s="284" t="n"/>
      <c r="HK30" s="38" t="n"/>
      <c r="HL30" s="284" t="n"/>
      <c r="HM30" s="36" t="n"/>
      <c r="HN30" s="284" t="n"/>
      <c r="HO30" s="38" t="n"/>
      <c r="HP30" s="284" t="n"/>
      <c r="HQ30" s="36" t="n"/>
      <c r="HR30" s="284" t="n"/>
      <c r="HS30" s="38" t="n"/>
      <c r="HT30" s="284" t="n"/>
      <c r="HU30" s="36" t="n"/>
      <c r="HV30" s="284" t="n"/>
      <c r="HW30" s="38" t="n"/>
      <c r="HX30" s="284" t="n"/>
      <c r="HY30" s="36" t="n"/>
      <c r="HZ30" s="284" t="n"/>
      <c r="IA30" s="38" t="n"/>
      <c r="IB30" s="284" t="n"/>
      <c r="IC30" s="338">
        <f t="array" ref="IC30">SUMPRODUCT(--(MOD(COLUMN($GG30:$IB30),4)=MOD(COLUMN($GG30),4)),$GG30:$IB30)</f>
        <v/>
      </c>
      <c r="ID30" s="339">
        <f>IC30*$J30</f>
        <v/>
      </c>
      <c r="IE30" s="340">
        <f t="array" ref="IE30">SUMPRODUCT(--(MOD(COLUMN($GG30:$IB30),4)=MOD(COLUMN($GH30),4)),$GG30:$IB30)</f>
        <v/>
      </c>
      <c r="IF30" s="341">
        <f>IE30*$J30</f>
        <v/>
      </c>
      <c r="IG30" s="342">
        <f t="array" ref="IG30">SUMPRODUCT(--(MOD(COLUMN($GG30:$IB30),4)=MOD(COLUMN($GI30),4)),$GG30:$IB30)</f>
        <v/>
      </c>
      <c r="IH30" s="343">
        <f>IG30*$J30</f>
        <v/>
      </c>
      <c r="II30" s="36" t="n"/>
      <c r="IJ30" s="284" t="n"/>
      <c r="IK30" s="38" t="n"/>
      <c r="IL30" s="284" t="n"/>
      <c r="IM30" s="36" t="n"/>
      <c r="IN30" s="284" t="n"/>
      <c r="IO30" s="38" t="n"/>
      <c r="IP30" s="284" t="n"/>
      <c r="IQ30" s="36" t="n"/>
      <c r="IR30" s="284" t="n"/>
      <c r="IS30" s="38" t="n"/>
      <c r="IT30" s="284" t="n"/>
      <c r="IU30" s="36" t="n"/>
      <c r="IV30" s="284" t="n"/>
      <c r="IW30" s="38" t="n"/>
      <c r="IX30" s="284" t="n"/>
      <c r="IY30" s="36" t="n"/>
      <c r="IZ30" s="284" t="n"/>
      <c r="JA30" s="38" t="n"/>
      <c r="JB30" s="284" t="n"/>
      <c r="JC30" s="36" t="n"/>
      <c r="JD30" s="284" t="n"/>
      <c r="JE30" s="38" t="n"/>
      <c r="JF30" s="284" t="n"/>
      <c r="JG30" s="36" t="n"/>
      <c r="JH30" s="284" t="n"/>
      <c r="JI30" s="38" t="n"/>
      <c r="JJ30" s="284" t="n"/>
      <c r="JK30" s="36" t="n"/>
      <c r="JL30" s="284" t="n"/>
      <c r="JM30" s="38" t="n"/>
      <c r="JN30" s="284" t="n"/>
      <c r="JO30" s="36" t="n"/>
      <c r="JP30" s="284" t="n"/>
      <c r="JQ30" s="38" t="n"/>
      <c r="JR30" s="284" t="n"/>
      <c r="JS30" s="36" t="n"/>
      <c r="JT30" s="284" t="n"/>
      <c r="JU30" s="38" t="n"/>
      <c r="JV30" s="284" t="n"/>
      <c r="JW30" s="36" t="n"/>
      <c r="JX30" s="284" t="n"/>
      <c r="JY30" s="38" t="n"/>
      <c r="JZ30" s="284" t="n"/>
      <c r="KA30" s="36" t="n"/>
      <c r="KB30" s="284" t="n"/>
      <c r="KC30" s="38" t="n"/>
      <c r="KD30" s="284" t="n"/>
      <c r="KE30" s="338">
        <f t="array" ref="KE30">SUMPRODUCT(--(MOD(COLUMN($II30:$KD30),4)=MOD(COLUMN($II30),4)),$II30:$KD30)</f>
        <v/>
      </c>
      <c r="KF30" s="339">
        <f>KE30*$J30</f>
        <v/>
      </c>
      <c r="KG30" s="340">
        <f t="array" ref="KG30">SUMPRODUCT(--(MOD(COLUMN($II30:$KD30),4)=MOD(COLUMN($IJ30),4)),$II30:$KD30)</f>
        <v/>
      </c>
      <c r="KH30" s="341">
        <f>KG30*$J30</f>
        <v/>
      </c>
      <c r="KI30" s="342">
        <f t="array" ref="KI30">SUMPRODUCT(--(MOD(COLUMN($II30:$KD30),4)=MOD(COLUMN($IK30),4)),$II30:$KD30)</f>
        <v/>
      </c>
      <c r="KJ30" s="346">
        <f>KI30*$J30</f>
        <v/>
      </c>
      <c r="KK30" s="12" t="n"/>
      <c r="KL30" s="12" t="n"/>
      <c r="KM30" s="12" t="n"/>
      <c r="KN30" s="51" t="n">
        <v>1</v>
      </c>
      <c r="KO30" s="347" t="n"/>
    </row>
    <row r="31" outlineLevel="1">
      <c r="A31" s="347" t="n"/>
      <c r="B31" s="347" t="n"/>
      <c r="C31" s="347" t="n"/>
      <c r="D31" s="347" t="n"/>
      <c r="E31" s="15" t="n">
        <v>26</v>
      </c>
      <c r="F31" s="61" t="n">
        <v>2</v>
      </c>
      <c r="G31" s="62" t="n">
        <v>4640061000</v>
      </c>
      <c r="H31" s="63" t="inlineStr">
        <is>
          <t>Кран уровня пола</t>
        </is>
      </c>
      <c r="I31" s="359" t="n"/>
      <c r="J31" s="360">
        <f>973.1/1.2</f>
        <v/>
      </c>
      <c r="K31" s="360" t="n"/>
      <c r="L31" s="360" t="n"/>
      <c r="M31" s="36" t="n"/>
      <c r="N31" s="284" t="n"/>
      <c r="O31" s="38" t="n">
        <v>0</v>
      </c>
      <c r="P31" s="284" t="n"/>
      <c r="Q31" s="36" t="n"/>
      <c r="R31" s="284" t="n"/>
      <c r="S31" s="38" t="n">
        <v>32</v>
      </c>
      <c r="T31" s="284" t="n"/>
      <c r="U31" s="36" t="n"/>
      <c r="V31" s="284" t="n"/>
      <c r="W31" s="38" t="n">
        <v>50</v>
      </c>
      <c r="X31" s="284" t="n"/>
      <c r="Y31" s="36" t="n"/>
      <c r="Z31" s="284" t="n"/>
      <c r="AA31" s="38" t="n">
        <v>50</v>
      </c>
      <c r="AB31" s="284" t="n"/>
      <c r="AC31" s="36" t="n"/>
      <c r="AD31" s="284" t="n"/>
      <c r="AE31" s="38" t="n">
        <v>0</v>
      </c>
      <c r="AF31" s="284" t="n"/>
      <c r="AG31" s="36" t="n"/>
      <c r="AH31" s="39" t="n"/>
      <c r="AI31" s="52" t="n">
        <v>25</v>
      </c>
      <c r="AJ31" s="247" t="n"/>
      <c r="AK31" s="36" t="n"/>
      <c r="AL31" s="284" t="n"/>
      <c r="AM31" s="52" t="n">
        <v>25</v>
      </c>
      <c r="AN31" s="247" t="n"/>
      <c r="AO31" s="36" t="n"/>
      <c r="AP31" s="284" t="n"/>
      <c r="AQ31" s="38" t="n">
        <v>0</v>
      </c>
      <c r="AR31" s="247" t="n"/>
      <c r="AS31" s="36" t="n"/>
      <c r="AT31" s="284" t="n"/>
      <c r="AU31" s="38" t="n">
        <v>0</v>
      </c>
      <c r="AV31" s="247" t="n"/>
      <c r="AW31" s="36" t="n"/>
      <c r="AX31" s="284" t="n"/>
      <c r="AY31" s="38" t="n">
        <v>0</v>
      </c>
      <c r="AZ31" s="247" t="n"/>
      <c r="BA31" s="36" t="n"/>
      <c r="BB31" s="284" t="n"/>
      <c r="BC31" s="52" t="n">
        <v>0</v>
      </c>
      <c r="BD31" s="247" t="n"/>
      <c r="BE31" s="36" t="n"/>
      <c r="BF31" s="284">
        <f>$KN31*0</f>
        <v/>
      </c>
      <c r="BG31" s="38" t="n">
        <v>0</v>
      </c>
      <c r="BH31" s="247" t="n"/>
      <c r="BI31" s="338" t="n"/>
      <c r="BJ31" s="339" t="n"/>
      <c r="BK31" s="340" t="n"/>
      <c r="BL31" s="341" t="n"/>
      <c r="BM31" s="342" t="n"/>
      <c r="BN31" s="343" t="n"/>
      <c r="BO31" s="36" t="n"/>
      <c r="BP31" s="47" t="n"/>
      <c r="BQ31" s="284" t="n"/>
      <c r="BR31" s="52" t="n"/>
      <c r="BS31" s="284" t="n"/>
      <c r="BT31" s="36" t="n"/>
      <c r="BU31" s="47" t="n"/>
      <c r="BV31" s="284" t="n"/>
      <c r="BW31" s="38" t="n"/>
      <c r="BX31" s="284" t="n"/>
      <c r="BY31" s="36" t="n"/>
      <c r="BZ31" s="47" t="n"/>
      <c r="CA31" s="284" t="n"/>
      <c r="CB31" s="38" t="n">
        <v>0</v>
      </c>
      <c r="CC31" s="284" t="n"/>
      <c r="CD31" s="36" t="n"/>
      <c r="CE31" s="47" t="n"/>
      <c r="CF31" s="284" t="n"/>
      <c r="CG31" s="38" t="n">
        <v>0</v>
      </c>
      <c r="CH31" s="284" t="n"/>
      <c r="CI31" s="36" t="n"/>
      <c r="CJ31" s="47" t="n"/>
      <c r="CK31" s="284" t="n"/>
      <c r="CL31" s="38" t="n">
        <v>0</v>
      </c>
      <c r="CM31" s="284" t="n"/>
      <c r="CN31" s="36" t="n"/>
      <c r="CO31" s="47" t="n"/>
      <c r="CP31" s="284" t="n"/>
      <c r="CQ31" s="38" t="n">
        <v>0</v>
      </c>
      <c r="CR31" s="284" t="n"/>
      <c r="CS31" s="36" t="n"/>
      <c r="CT31" s="47" t="n"/>
      <c r="CU31" s="284" t="n"/>
      <c r="CV31" s="38" t="n">
        <v>0</v>
      </c>
      <c r="CW31" s="284" t="n"/>
      <c r="CX31" s="36" t="n"/>
      <c r="CY31" s="47" t="n"/>
      <c r="CZ31" s="39" t="n"/>
      <c r="DA31" s="38" t="n">
        <v>0</v>
      </c>
      <c r="DB31" s="284" t="n"/>
      <c r="DC31" s="36" t="n"/>
      <c r="DD31" s="47" t="n"/>
      <c r="DE31" s="39" t="n"/>
      <c r="DF31" s="38" t="n">
        <v>0</v>
      </c>
      <c r="DG31" s="284" t="n"/>
      <c r="DH31" s="36" t="n"/>
      <c r="DI31" s="47" t="n"/>
      <c r="DJ31" s="284" t="n"/>
      <c r="DK31" s="38" t="n">
        <v>0</v>
      </c>
      <c r="DL31" s="284" t="n"/>
      <c r="DM31" s="36" t="n"/>
      <c r="DN31" s="47" t="n"/>
      <c r="DO31" s="284">
        <f>$KN31*0</f>
        <v/>
      </c>
      <c r="DP31" s="38" t="n">
        <v>0</v>
      </c>
      <c r="DQ31" s="347" t="n"/>
      <c r="DR31" s="36" t="n"/>
      <c r="DS31" s="47" t="n"/>
      <c r="DT31" s="284" t="n"/>
      <c r="DU31" s="38" t="n">
        <v>0</v>
      </c>
      <c r="DV31" s="284" t="n"/>
      <c r="DW31" s="338">
        <f t="array" ref="DW31">SUMPRODUCT(--(MOD(COLUMN($BO31:$DV31),5)=MOD(COLUMN($BO31),5)),$BO31:$DV31)</f>
        <v/>
      </c>
      <c r="DX31" s="339">
        <f>DW31*$J31</f>
        <v/>
      </c>
      <c r="DY31" s="344">
        <f t="array" ref="DY31">SUMPRODUCT(--(MOD(COLUMN($BO31:$DV31),5)=MOD(COLUMN($BP31),5)),$BO31:$DV31)</f>
        <v/>
      </c>
      <c r="DZ31" s="345">
        <f>DY31*$J31</f>
        <v/>
      </c>
      <c r="EA31" s="340">
        <f t="array" ref="EA31">SUMPRODUCT(--(MOD(COLUMN($BO31:$DV31),5)=MOD(COLUMN($BQ31),5)),$BO31:$DV31)</f>
        <v/>
      </c>
      <c r="EB31" s="341">
        <f>EA31*$J31</f>
        <v/>
      </c>
      <c r="EC31" s="342">
        <f t="array" ref="EC31">SUMPRODUCT(--(MOD(COLUMN($BO31:$DV31),5)=MOD(COLUMN($BR31),5)),$BO31:$DV31)</f>
        <v/>
      </c>
      <c r="ED31" s="343">
        <f>EC31*$J31</f>
        <v/>
      </c>
      <c r="EE31" s="36" t="n">
        <v>50</v>
      </c>
      <c r="EF31" s="284" t="n">
        <v>0</v>
      </c>
      <c r="EG31" s="38" t="n">
        <v>0</v>
      </c>
      <c r="EH31" s="284" t="n"/>
      <c r="EI31" s="36" t="n"/>
      <c r="EJ31" s="284" t="n"/>
      <c r="EK31" s="38" t="n">
        <v>0</v>
      </c>
      <c r="EL31" s="284" t="n"/>
      <c r="EM31" s="36" t="n"/>
      <c r="EN31" s="39" t="n"/>
      <c r="EO31" s="38" t="n">
        <v>0</v>
      </c>
      <c r="EP31" s="284" t="n"/>
      <c r="EQ31" s="36" t="n"/>
      <c r="ER31" s="284" t="n"/>
      <c r="ES31" s="38" t="n">
        <v>0</v>
      </c>
      <c r="ET31" s="284" t="n"/>
      <c r="EU31" s="36" t="n"/>
      <c r="EV31" s="39" t="n">
        <v>0</v>
      </c>
      <c r="EW31" s="38" t="n">
        <v>0</v>
      </c>
      <c r="EX31" s="284" t="n"/>
      <c r="EY31" s="36" t="n"/>
      <c r="EZ31" s="284" t="n"/>
      <c r="FA31" s="38" t="n">
        <v>0</v>
      </c>
      <c r="FB31" s="284" t="n"/>
      <c r="FC31" s="36" t="n"/>
      <c r="FD31" s="284" t="n"/>
      <c r="FE31" s="38" t="n">
        <v>0</v>
      </c>
      <c r="FF31" s="284" t="n"/>
      <c r="FG31" s="36" t="n"/>
      <c r="FH31" s="284" t="n"/>
      <c r="FI31" s="38" t="n">
        <v>0</v>
      </c>
      <c r="FJ31" s="284" t="n"/>
      <c r="FK31" s="36" t="n"/>
      <c r="FL31" s="284" t="n"/>
      <c r="FM31" s="38" t="n">
        <v>0</v>
      </c>
      <c r="FN31" s="284" t="n"/>
      <c r="FO31" s="36" t="n"/>
      <c r="FP31" s="284" t="n"/>
      <c r="FQ31" s="38" t="n">
        <v>0</v>
      </c>
      <c r="FR31" s="284" t="n"/>
      <c r="FS31" s="36" t="n"/>
      <c r="FT31" s="284" t="n"/>
      <c r="FU31" s="38" t="n">
        <v>0</v>
      </c>
      <c r="FV31" s="284" t="n"/>
      <c r="FW31" s="36" t="n"/>
      <c r="FX31" s="284" t="n"/>
      <c r="FY31" s="38" t="n">
        <v>0</v>
      </c>
      <c r="FZ31" s="284" t="n"/>
      <c r="GA31" s="338">
        <f>SUMPRODUCT(--(MOD(COLUMN($EE31:$FZ31),4)=MOD(COLUMN($EE31),4)),$EE31:$FZ31)</f>
        <v/>
      </c>
      <c r="GB31" s="339">
        <f>GA31*$J31</f>
        <v/>
      </c>
      <c r="GC31" s="340">
        <f>SUMPRODUCT(--(MOD(COLUMN($EE31:$FZ31),4)=MOD(COLUMN($EF31),4)),$EE31:$FZ31)</f>
        <v/>
      </c>
      <c r="GD31" s="341">
        <f>GC31*$J31</f>
        <v/>
      </c>
      <c r="GE31" s="342">
        <f>SUMPRODUCT(--(MOD(COLUMN($EE31:$FZ31),4)=MOD(COLUMN($EG31),4)),$EE31:$FZ31)</f>
        <v/>
      </c>
      <c r="GF31" s="343">
        <f>GE31*$J31</f>
        <v/>
      </c>
      <c r="GG31" s="36" t="n"/>
      <c r="GH31" s="284" t="n"/>
      <c r="GI31" s="38" t="n">
        <v>0</v>
      </c>
      <c r="GJ31" s="284" t="n"/>
      <c r="GK31" s="36" t="n"/>
      <c r="GL31" s="284" t="n"/>
      <c r="GM31" s="38" t="n">
        <v>0</v>
      </c>
      <c r="GN31" s="284" t="n"/>
      <c r="GO31" s="36" t="n"/>
      <c r="GP31" s="284" t="n"/>
      <c r="GQ31" s="38" t="n">
        <v>0</v>
      </c>
      <c r="GR31" s="284" t="n"/>
      <c r="GS31" s="36" t="n"/>
      <c r="GT31" s="284" t="n"/>
      <c r="GU31" s="38" t="n">
        <v>0</v>
      </c>
      <c r="GV31" s="284" t="n"/>
      <c r="GW31" s="36" t="n"/>
      <c r="GX31" s="284" t="n"/>
      <c r="GY31" s="38" t="n">
        <v>0</v>
      </c>
      <c r="GZ31" s="284" t="n"/>
      <c r="HA31" s="36" t="n"/>
      <c r="HB31" s="284" t="n"/>
      <c r="HC31" s="38" t="n">
        <v>0</v>
      </c>
      <c r="HD31" s="284" t="n"/>
      <c r="HE31" s="36" t="n"/>
      <c r="HF31" s="284" t="n"/>
      <c r="HG31" s="38" t="n">
        <v>0</v>
      </c>
      <c r="HH31" s="284" t="n"/>
      <c r="HI31" s="36" t="n"/>
      <c r="HJ31" s="284" t="n"/>
      <c r="HK31" s="38" t="n">
        <v>0</v>
      </c>
      <c r="HL31" s="284" t="n"/>
      <c r="HM31" s="36" t="n"/>
      <c r="HN31" s="284" t="n"/>
      <c r="HO31" s="38" t="n">
        <v>0</v>
      </c>
      <c r="HP31" s="284" t="n"/>
      <c r="HQ31" s="36" t="n"/>
      <c r="HR31" s="284" t="n"/>
      <c r="HS31" s="38" t="n">
        <v>0</v>
      </c>
      <c r="HT31" s="284" t="n"/>
      <c r="HU31" s="36" t="n"/>
      <c r="HV31" s="284" t="n"/>
      <c r="HW31" s="38" t="n">
        <v>0</v>
      </c>
      <c r="HX31" s="284" t="n"/>
      <c r="HY31" s="36" t="n"/>
      <c r="HZ31" s="284" t="n"/>
      <c r="IA31" s="38" t="n">
        <v>0</v>
      </c>
      <c r="IB31" s="284" t="n"/>
      <c r="IC31" s="338">
        <f t="array" ref="IC31">SUMPRODUCT(--(MOD(COLUMN($GG31:$IB31),4)=MOD(COLUMN($GG31),4)),$GG31:$IB31)</f>
        <v/>
      </c>
      <c r="ID31" s="339">
        <f>IC31*$J31</f>
        <v/>
      </c>
      <c r="IE31" s="340">
        <f t="array" ref="IE31">SUMPRODUCT(--(MOD(COLUMN($GG31:$IB31),4)=MOD(COLUMN($GH31),4)),$GG31:$IB31)</f>
        <v/>
      </c>
      <c r="IF31" s="341">
        <f>IE31*$J31</f>
        <v/>
      </c>
      <c r="IG31" s="342">
        <f t="array" ref="IG31">SUMPRODUCT(--(MOD(COLUMN($GG31:$IB31),4)=MOD(COLUMN($GI31),4)),$GG31:$IB31)</f>
        <v/>
      </c>
      <c r="IH31" s="343">
        <f>IG31*$J31</f>
        <v/>
      </c>
      <c r="II31" s="36" t="n"/>
      <c r="IJ31" s="284" t="n"/>
      <c r="IK31" s="38" t="n">
        <v>0</v>
      </c>
      <c r="IL31" s="284" t="n"/>
      <c r="IM31" s="36" t="n"/>
      <c r="IN31" s="284" t="n"/>
      <c r="IO31" s="38" t="n">
        <v>0</v>
      </c>
      <c r="IP31" s="284" t="n"/>
      <c r="IQ31" s="36" t="n"/>
      <c r="IR31" s="284" t="n"/>
      <c r="IS31" s="38" t="n">
        <v>0</v>
      </c>
      <c r="IT31" s="284" t="n"/>
      <c r="IU31" s="36" t="n"/>
      <c r="IV31" s="284" t="n"/>
      <c r="IW31" s="38" t="n">
        <v>0</v>
      </c>
      <c r="IX31" s="284" t="n"/>
      <c r="IY31" s="36" t="n"/>
      <c r="IZ31" s="284" t="n"/>
      <c r="JA31" s="38" t="n">
        <v>0</v>
      </c>
      <c r="JB31" s="284" t="n"/>
      <c r="JC31" s="36" t="n"/>
      <c r="JD31" s="284" t="n"/>
      <c r="JE31" s="38" t="n">
        <v>0</v>
      </c>
      <c r="JF31" s="284" t="n"/>
      <c r="JG31" s="36" t="n"/>
      <c r="JH31" s="284" t="n"/>
      <c r="JI31" s="38" t="n">
        <v>0</v>
      </c>
      <c r="JJ31" s="284" t="n"/>
      <c r="JK31" s="36" t="n"/>
      <c r="JL31" s="284" t="n"/>
      <c r="JM31" s="38" t="n">
        <v>0</v>
      </c>
      <c r="JN31" s="284" t="n"/>
      <c r="JO31" s="36" t="n"/>
      <c r="JP31" s="284" t="n"/>
      <c r="JQ31" s="38" t="n">
        <v>0</v>
      </c>
      <c r="JR31" s="284" t="n"/>
      <c r="JS31" s="36" t="n"/>
      <c r="JT31" s="284" t="n"/>
      <c r="JU31" s="38" t="n">
        <v>0</v>
      </c>
      <c r="JV31" s="284" t="n"/>
      <c r="JW31" s="36" t="n"/>
      <c r="JX31" s="284" t="n"/>
      <c r="JY31" s="38" t="n">
        <v>0</v>
      </c>
      <c r="JZ31" s="284" t="n"/>
      <c r="KA31" s="36" t="n"/>
      <c r="KB31" s="284" t="n"/>
      <c r="KC31" s="38" t="n">
        <v>0</v>
      </c>
      <c r="KD31" s="284" t="n"/>
      <c r="KE31" s="338">
        <f t="array" ref="KE31">SUMPRODUCT(--(MOD(COLUMN($II31:$KD31),4)=MOD(COLUMN($II31),4)),$II31:$KD31)</f>
        <v/>
      </c>
      <c r="KF31" s="339">
        <f>KE31*$J31</f>
        <v/>
      </c>
      <c r="KG31" s="340">
        <f t="array" ref="KG31">SUMPRODUCT(--(MOD(COLUMN($II31:$KD31),4)=MOD(COLUMN($IJ31),4)),$II31:$KD31)</f>
        <v/>
      </c>
      <c r="KH31" s="341">
        <f>KG31*$J31</f>
        <v/>
      </c>
      <c r="KI31" s="342">
        <f t="array" ref="KI31">SUMPRODUCT(--(MOD(COLUMN($II31:$KD31),4)=MOD(COLUMN($IK31),4)),$II31:$KD31)</f>
        <v/>
      </c>
      <c r="KJ31" s="346">
        <f>KI31*$J31</f>
        <v/>
      </c>
      <c r="KK31" s="12" t="n"/>
      <c r="KL31" s="12" t="n"/>
      <c r="KM31" s="12" t="n"/>
      <c r="KN31" s="51" t="n">
        <v>1</v>
      </c>
      <c r="KO31" s="347" t="n"/>
    </row>
    <row r="32" outlineLevel="1" ht="28.8" customHeight="1">
      <c r="A32" s="347" t="n"/>
      <c r="B32" s="347" t="n"/>
      <c r="C32" s="347" t="n"/>
      <c r="D32" s="347" t="n"/>
      <c r="E32" s="15" t="n">
        <v>27</v>
      </c>
      <c r="F32" s="61" t="n">
        <v>2</v>
      </c>
      <c r="G32" s="62" t="n">
        <v>4630320200</v>
      </c>
      <c r="H32" s="63" t="inlineStr">
        <is>
          <t>Кран ручного управления</t>
        </is>
      </c>
      <c r="I32" s="359" t="n"/>
      <c r="J32" s="360">
        <f>981.5/1.2</f>
        <v/>
      </c>
      <c r="K32" s="360" t="n"/>
      <c r="L32" s="360" t="n"/>
      <c r="M32" s="36" t="n"/>
      <c r="N32" s="284" t="n"/>
      <c r="O32" s="38" t="n">
        <v>0</v>
      </c>
      <c r="P32" s="284" t="n"/>
      <c r="Q32" s="36" t="n"/>
      <c r="R32" s="284" t="n"/>
      <c r="S32" s="38" t="n">
        <v>32</v>
      </c>
      <c r="T32" s="284" t="n"/>
      <c r="U32" s="36" t="n"/>
      <c r="V32" s="284" t="n"/>
      <c r="W32" s="38" t="n">
        <v>50</v>
      </c>
      <c r="X32" s="284" t="n"/>
      <c r="Y32" s="36" t="n"/>
      <c r="Z32" s="284" t="n"/>
      <c r="AA32" s="38" t="n">
        <v>50</v>
      </c>
      <c r="AB32" s="284" t="n"/>
      <c r="AC32" s="36" t="n"/>
      <c r="AD32" s="284" t="n"/>
      <c r="AE32" s="38" t="n">
        <v>0</v>
      </c>
      <c r="AF32" s="284" t="n"/>
      <c r="AG32" s="36" t="n"/>
      <c r="AH32" s="39" t="n"/>
      <c r="AI32" s="52" t="n">
        <v>25</v>
      </c>
      <c r="AJ32" s="247" t="n"/>
      <c r="AK32" s="36" t="n"/>
      <c r="AL32" s="284" t="n"/>
      <c r="AM32" s="52" t="n">
        <v>25</v>
      </c>
      <c r="AN32" s="247" t="n"/>
      <c r="AO32" s="36" t="n"/>
      <c r="AP32" s="284" t="n"/>
      <c r="AQ32" s="38" t="n">
        <v>0</v>
      </c>
      <c r="AR32" s="247" t="n"/>
      <c r="AS32" s="36" t="n"/>
      <c r="AT32" s="284" t="n"/>
      <c r="AU32" s="38" t="n">
        <v>0</v>
      </c>
      <c r="AV32" s="247" t="n"/>
      <c r="AW32" s="36" t="n"/>
      <c r="AX32" s="284" t="n"/>
      <c r="AY32" s="38" t="n">
        <v>0</v>
      </c>
      <c r="AZ32" s="247" t="n"/>
      <c r="BA32" s="36" t="n"/>
      <c r="BB32" s="284" t="n"/>
      <c r="BC32" s="52" t="n">
        <v>0</v>
      </c>
      <c r="BD32" s="247" t="n"/>
      <c r="BE32" s="36" t="n"/>
      <c r="BF32" s="284">
        <f>$KN32*0</f>
        <v/>
      </c>
      <c r="BG32" s="38" t="n">
        <v>0</v>
      </c>
      <c r="BH32" s="247" t="n"/>
      <c r="BI32" s="338" t="n"/>
      <c r="BJ32" s="339" t="n"/>
      <c r="BK32" s="340" t="n"/>
      <c r="BL32" s="341" t="n"/>
      <c r="BM32" s="342" t="n"/>
      <c r="BN32" s="343" t="n"/>
      <c r="BO32" s="36" t="n"/>
      <c r="BP32" s="47" t="n"/>
      <c r="BQ32" s="284" t="n"/>
      <c r="BR32" s="52" t="n"/>
      <c r="BS32" s="284" t="n"/>
      <c r="BT32" s="36" t="n"/>
      <c r="BU32" s="47" t="n"/>
      <c r="BV32" s="284" t="n"/>
      <c r="BW32" s="38" t="n"/>
      <c r="BX32" s="284" t="n"/>
      <c r="BY32" s="36" t="n"/>
      <c r="BZ32" s="47" t="n"/>
      <c r="CA32" s="284" t="n"/>
      <c r="CB32" s="38" t="n">
        <v>0</v>
      </c>
      <c r="CC32" s="284" t="n"/>
      <c r="CD32" s="36" t="n"/>
      <c r="CE32" s="47" t="n"/>
      <c r="CF32" s="284" t="n"/>
      <c r="CG32" s="38" t="n">
        <v>0</v>
      </c>
      <c r="CH32" s="284" t="n"/>
      <c r="CI32" s="36" t="n"/>
      <c r="CJ32" s="47" t="n"/>
      <c r="CK32" s="284" t="n"/>
      <c r="CL32" s="38" t="n">
        <v>0</v>
      </c>
      <c r="CM32" s="284" t="n"/>
      <c r="CN32" s="36" t="n"/>
      <c r="CO32" s="47" t="n"/>
      <c r="CP32" s="284" t="n"/>
      <c r="CQ32" s="38" t="n">
        <v>0</v>
      </c>
      <c r="CR32" s="284" t="n"/>
      <c r="CS32" s="36" t="n"/>
      <c r="CT32" s="47" t="n"/>
      <c r="CU32" s="284" t="n"/>
      <c r="CV32" s="38" t="n">
        <v>0</v>
      </c>
      <c r="CW32" s="284" t="n"/>
      <c r="CX32" s="36" t="n"/>
      <c r="CY32" s="47" t="n"/>
      <c r="CZ32" s="39" t="n"/>
      <c r="DA32" s="38" t="n">
        <v>0</v>
      </c>
      <c r="DB32" s="284" t="n"/>
      <c r="DC32" s="36" t="n"/>
      <c r="DD32" s="47" t="n"/>
      <c r="DE32" s="39" t="n"/>
      <c r="DF32" s="38" t="n">
        <v>0</v>
      </c>
      <c r="DG32" s="284" t="n"/>
      <c r="DH32" s="36" t="n"/>
      <c r="DI32" s="47" t="n"/>
      <c r="DJ32" s="284" t="n"/>
      <c r="DK32" s="52" t="n">
        <v>0</v>
      </c>
      <c r="DL32" s="284" t="n"/>
      <c r="DM32" s="36" t="n"/>
      <c r="DN32" s="47" t="n"/>
      <c r="DO32" s="284">
        <f>$KN32*0</f>
        <v/>
      </c>
      <c r="DP32" s="38" t="n">
        <v>0</v>
      </c>
      <c r="DQ32" s="347" t="n"/>
      <c r="DR32" s="36" t="n"/>
      <c r="DS32" s="47" t="n"/>
      <c r="DT32" s="284" t="n"/>
      <c r="DU32" s="38" t="n">
        <v>0</v>
      </c>
      <c r="DV32" s="284" t="n"/>
      <c r="DW32" s="338">
        <f t="array" ref="DW32">SUMPRODUCT(--(MOD(COLUMN($BO32:$DV32),5)=MOD(COLUMN($BO32),5)),$BO32:$DV32)</f>
        <v/>
      </c>
      <c r="DX32" s="339">
        <f>DW32*$J32</f>
        <v/>
      </c>
      <c r="DY32" s="344">
        <f t="array" ref="DY32">SUMPRODUCT(--(MOD(COLUMN($BO32:$DV32),5)=MOD(COLUMN($BP32),5)),$BO32:$DV32)</f>
        <v/>
      </c>
      <c r="DZ32" s="345">
        <f>DY32*$J32</f>
        <v/>
      </c>
      <c r="EA32" s="340">
        <f t="array" ref="EA32">SUMPRODUCT(--(MOD(COLUMN($BO32:$DV32),5)=MOD(COLUMN($BQ32),5)),$BO32:$DV32)</f>
        <v/>
      </c>
      <c r="EB32" s="341">
        <f>EA32*$J32</f>
        <v/>
      </c>
      <c r="EC32" s="342">
        <f t="array" ref="EC32">SUMPRODUCT(--(MOD(COLUMN($BO32:$DV32),5)=MOD(COLUMN($BR32),5)),$BO32:$DV32)</f>
        <v/>
      </c>
      <c r="ED32" s="343">
        <f>EC32*$J32</f>
        <v/>
      </c>
      <c r="EE32" s="36" t="n">
        <v>50</v>
      </c>
      <c r="EF32" s="284" t="n">
        <v>0</v>
      </c>
      <c r="EG32" s="38" t="n">
        <v>0</v>
      </c>
      <c r="EH32" s="284" t="n"/>
      <c r="EI32" s="36" t="n"/>
      <c r="EJ32" s="284" t="n"/>
      <c r="EK32" s="38" t="n">
        <v>0</v>
      </c>
      <c r="EL32" s="284" t="n"/>
      <c r="EM32" s="36" t="n"/>
      <c r="EN32" s="39" t="n"/>
      <c r="EO32" s="38" t="n">
        <v>0</v>
      </c>
      <c r="EP32" s="284" t="n"/>
      <c r="EQ32" s="36" t="n"/>
      <c r="ER32" s="284" t="n"/>
      <c r="ES32" s="38" t="n">
        <v>0</v>
      </c>
      <c r="ET32" s="284" t="n"/>
      <c r="EU32" s="36" t="n"/>
      <c r="EV32" s="39" t="n">
        <v>0</v>
      </c>
      <c r="EW32" s="38" t="n">
        <v>0</v>
      </c>
      <c r="EX32" s="284" t="n"/>
      <c r="EY32" s="36" t="n"/>
      <c r="EZ32" s="284" t="n"/>
      <c r="FA32" s="38" t="n">
        <v>0</v>
      </c>
      <c r="FB32" s="284" t="n"/>
      <c r="FC32" s="36" t="n"/>
      <c r="FD32" s="284" t="n"/>
      <c r="FE32" s="38" t="n">
        <v>0</v>
      </c>
      <c r="FF32" s="284" t="n"/>
      <c r="FG32" s="36" t="n"/>
      <c r="FH32" s="284" t="n"/>
      <c r="FI32" s="38" t="n">
        <v>0</v>
      </c>
      <c r="FJ32" s="284" t="n"/>
      <c r="FK32" s="36" t="n"/>
      <c r="FL32" s="284" t="n"/>
      <c r="FM32" s="38" t="n">
        <v>0</v>
      </c>
      <c r="FN32" s="284" t="n"/>
      <c r="FO32" s="36" t="n"/>
      <c r="FP32" s="284" t="n"/>
      <c r="FQ32" s="38" t="n">
        <v>0</v>
      </c>
      <c r="FR32" s="284" t="n"/>
      <c r="FS32" s="36" t="n"/>
      <c r="FT32" s="284" t="n"/>
      <c r="FU32" s="38" t="n">
        <v>0</v>
      </c>
      <c r="FV32" s="284" t="n"/>
      <c r="FW32" s="36" t="n"/>
      <c r="FX32" s="284" t="n"/>
      <c r="FY32" s="38" t="n">
        <v>0</v>
      </c>
      <c r="FZ32" s="284" t="n"/>
      <c r="GA32" s="338">
        <f>SUMPRODUCT(--(MOD(COLUMN($EE32:$FZ32),4)=MOD(COLUMN($EE32),4)),$EE32:$FZ32)</f>
        <v/>
      </c>
      <c r="GB32" s="339">
        <f>GA32*$J32</f>
        <v/>
      </c>
      <c r="GC32" s="340">
        <f>SUMPRODUCT(--(MOD(COLUMN($EE32:$FZ32),4)=MOD(COLUMN($EF32),4)),$EE32:$FZ32)</f>
        <v/>
      </c>
      <c r="GD32" s="341">
        <f>GC32*$J32</f>
        <v/>
      </c>
      <c r="GE32" s="342">
        <f>SUMPRODUCT(--(MOD(COLUMN($EE32:$FZ32),4)=MOD(COLUMN($EG32),4)),$EE32:$FZ32)</f>
        <v/>
      </c>
      <c r="GF32" s="343">
        <f>GE32*$J32</f>
        <v/>
      </c>
      <c r="GG32" s="36" t="n"/>
      <c r="GH32" s="284" t="n"/>
      <c r="GI32" s="38" t="n">
        <v>0</v>
      </c>
      <c r="GJ32" s="284" t="n"/>
      <c r="GK32" s="36" t="n"/>
      <c r="GL32" s="284" t="n"/>
      <c r="GM32" s="38" t="n">
        <v>0</v>
      </c>
      <c r="GN32" s="284" t="n"/>
      <c r="GO32" s="36" t="n"/>
      <c r="GP32" s="284" t="n"/>
      <c r="GQ32" s="38" t="n">
        <v>0</v>
      </c>
      <c r="GR32" s="284" t="n"/>
      <c r="GS32" s="36" t="n"/>
      <c r="GT32" s="284" t="n"/>
      <c r="GU32" s="38" t="n">
        <v>0</v>
      </c>
      <c r="GV32" s="284" t="n"/>
      <c r="GW32" s="36" t="n"/>
      <c r="GX32" s="284" t="n"/>
      <c r="GY32" s="38" t="n">
        <v>0</v>
      </c>
      <c r="GZ32" s="284" t="n"/>
      <c r="HA32" s="36" t="n"/>
      <c r="HB32" s="284" t="n"/>
      <c r="HC32" s="38" t="n">
        <v>0</v>
      </c>
      <c r="HD32" s="284" t="n"/>
      <c r="HE32" s="36" t="n"/>
      <c r="HF32" s="284" t="n"/>
      <c r="HG32" s="38" t="n">
        <v>0</v>
      </c>
      <c r="HH32" s="284" t="n"/>
      <c r="HI32" s="36" t="n"/>
      <c r="HJ32" s="284" t="n"/>
      <c r="HK32" s="38" t="n">
        <v>0</v>
      </c>
      <c r="HL32" s="284" t="n"/>
      <c r="HM32" s="36" t="n"/>
      <c r="HN32" s="284" t="n"/>
      <c r="HO32" s="38" t="n">
        <v>0</v>
      </c>
      <c r="HP32" s="284" t="n"/>
      <c r="HQ32" s="36" t="n"/>
      <c r="HR32" s="284" t="n"/>
      <c r="HS32" s="38" t="n">
        <v>0</v>
      </c>
      <c r="HT32" s="284" t="n"/>
      <c r="HU32" s="36" t="n"/>
      <c r="HV32" s="284" t="n"/>
      <c r="HW32" s="38" t="n">
        <v>0</v>
      </c>
      <c r="HX32" s="284" t="n"/>
      <c r="HY32" s="36" t="n"/>
      <c r="HZ32" s="284" t="n"/>
      <c r="IA32" s="38" t="n">
        <v>0</v>
      </c>
      <c r="IB32" s="284" t="n"/>
      <c r="IC32" s="338">
        <f t="array" ref="IC32">SUMPRODUCT(--(MOD(COLUMN($GG32:$IB32),4)=MOD(COLUMN($GG32),4)),$GG32:$IB32)</f>
        <v/>
      </c>
      <c r="ID32" s="339">
        <f>IC32*$J32</f>
        <v/>
      </c>
      <c r="IE32" s="340">
        <f t="array" ref="IE32">SUMPRODUCT(--(MOD(COLUMN($GG32:$IB32),4)=MOD(COLUMN($GH32),4)),$GG32:$IB32)</f>
        <v/>
      </c>
      <c r="IF32" s="341">
        <f>IE32*$J32</f>
        <v/>
      </c>
      <c r="IG32" s="342">
        <f t="array" ref="IG32">SUMPRODUCT(--(MOD(COLUMN($GG32:$IB32),4)=MOD(COLUMN($GI32),4)),$GG32:$IB32)</f>
        <v/>
      </c>
      <c r="IH32" s="343">
        <f>IG32*$J32</f>
        <v/>
      </c>
      <c r="II32" s="36" t="n"/>
      <c r="IJ32" s="284" t="n"/>
      <c r="IK32" s="38" t="n">
        <v>0</v>
      </c>
      <c r="IL32" s="284" t="n"/>
      <c r="IM32" s="36" t="n"/>
      <c r="IN32" s="284" t="n"/>
      <c r="IO32" s="38" t="n">
        <v>0</v>
      </c>
      <c r="IP32" s="284" t="n"/>
      <c r="IQ32" s="36" t="n"/>
      <c r="IR32" s="284" t="n"/>
      <c r="IS32" s="38" t="n">
        <v>0</v>
      </c>
      <c r="IT32" s="284" t="n"/>
      <c r="IU32" s="36" t="n"/>
      <c r="IV32" s="284" t="n"/>
      <c r="IW32" s="38" t="n">
        <v>0</v>
      </c>
      <c r="IX32" s="284" t="n"/>
      <c r="IY32" s="36" t="n"/>
      <c r="IZ32" s="284" t="n"/>
      <c r="JA32" s="38" t="n">
        <v>0</v>
      </c>
      <c r="JB32" s="284" t="n"/>
      <c r="JC32" s="36" t="n"/>
      <c r="JD32" s="284" t="n"/>
      <c r="JE32" s="38" t="n">
        <v>0</v>
      </c>
      <c r="JF32" s="284" t="n"/>
      <c r="JG32" s="36" t="n"/>
      <c r="JH32" s="284" t="n"/>
      <c r="JI32" s="38" t="n">
        <v>0</v>
      </c>
      <c r="JJ32" s="284" t="n"/>
      <c r="JK32" s="36" t="n"/>
      <c r="JL32" s="284" t="n"/>
      <c r="JM32" s="38" t="n">
        <v>0</v>
      </c>
      <c r="JN32" s="284" t="n"/>
      <c r="JO32" s="36" t="n"/>
      <c r="JP32" s="284" t="n"/>
      <c r="JQ32" s="38" t="n">
        <v>0</v>
      </c>
      <c r="JR32" s="284" t="n"/>
      <c r="JS32" s="36" t="n"/>
      <c r="JT32" s="284" t="n"/>
      <c r="JU32" s="38" t="n">
        <v>0</v>
      </c>
      <c r="JV32" s="284" t="n"/>
      <c r="JW32" s="36" t="n"/>
      <c r="JX32" s="284" t="n"/>
      <c r="JY32" s="38" t="n">
        <v>0</v>
      </c>
      <c r="JZ32" s="284" t="n"/>
      <c r="KA32" s="36" t="n"/>
      <c r="KB32" s="284" t="n"/>
      <c r="KC32" s="38" t="n">
        <v>0</v>
      </c>
      <c r="KD32" s="284" t="n"/>
      <c r="KE32" s="338">
        <f t="array" ref="KE32">SUMPRODUCT(--(MOD(COLUMN($II32:$KD32),4)=MOD(COLUMN($II32),4)),$II32:$KD32)</f>
        <v/>
      </c>
      <c r="KF32" s="339">
        <f>KE32*$J32</f>
        <v/>
      </c>
      <c r="KG32" s="340">
        <f t="array" ref="KG32">SUMPRODUCT(--(MOD(COLUMN($II32:$KD32),4)=MOD(COLUMN($IJ32),4)),$II32:$KD32)</f>
        <v/>
      </c>
      <c r="KH32" s="341">
        <f>KG32*$J32</f>
        <v/>
      </c>
      <c r="KI32" s="342">
        <f t="array" ref="KI32">SUMPRODUCT(--(MOD(COLUMN($II32:$KD32),4)=MOD(COLUMN($IK32),4)),$II32:$KD32)</f>
        <v/>
      </c>
      <c r="KJ32" s="346">
        <f>KI32*$J32</f>
        <v/>
      </c>
      <c r="KK32" s="12" t="n"/>
      <c r="KL32" s="12" t="n"/>
      <c r="KM32" s="12" t="n"/>
      <c r="KN32" s="51" t="n">
        <v>1</v>
      </c>
      <c r="KO32" s="347" t="n"/>
    </row>
    <row r="33" outlineLevel="1">
      <c r="A33" s="347" t="n"/>
      <c r="B33" s="347" t="n"/>
      <c r="C33" s="347" t="n"/>
      <c r="D33" s="347" t="n"/>
      <c r="E33" s="15" t="n">
        <v>28</v>
      </c>
      <c r="F33" s="61" t="n">
        <v>2</v>
      </c>
      <c r="G33" s="62" t="n">
        <v>4334010030</v>
      </c>
      <c r="H33" s="63" t="inlineStr">
        <is>
          <t>Упругий элемент</t>
        </is>
      </c>
      <c r="I33" s="359" t="n"/>
      <c r="J33" s="360">
        <f>77/1.2</f>
        <v/>
      </c>
      <c r="K33" s="360" t="n"/>
      <c r="L33" s="360" t="n"/>
      <c r="M33" s="36" t="n"/>
      <c r="N33" s="284" t="n"/>
      <c r="O33" s="38" t="n">
        <v>0</v>
      </c>
      <c r="P33" s="284" t="n"/>
      <c r="Q33" s="36" t="n"/>
      <c r="R33" s="284" t="n"/>
      <c r="S33" s="38" t="n">
        <v>32</v>
      </c>
      <c r="T33" s="284" t="n"/>
      <c r="U33" s="36" t="n"/>
      <c r="V33" s="284" t="n"/>
      <c r="W33" s="38" t="n">
        <v>50</v>
      </c>
      <c r="X33" s="284" t="n"/>
      <c r="Y33" s="36" t="n"/>
      <c r="Z33" s="284" t="n"/>
      <c r="AA33" s="38" t="n">
        <v>50</v>
      </c>
      <c r="AB33" s="284" t="n"/>
      <c r="AC33" s="36" t="n"/>
      <c r="AD33" s="284" t="n"/>
      <c r="AE33" s="38" t="n">
        <v>0</v>
      </c>
      <c r="AF33" s="284" t="n"/>
      <c r="AG33" s="36" t="n"/>
      <c r="AH33" s="39" t="n"/>
      <c r="AI33" s="52" t="n">
        <v>25</v>
      </c>
      <c r="AJ33" s="247" t="n"/>
      <c r="AK33" s="36" t="n"/>
      <c r="AL33" s="284" t="n"/>
      <c r="AM33" s="52" t="n">
        <v>25</v>
      </c>
      <c r="AN33" s="247" t="n"/>
      <c r="AO33" s="36" t="n"/>
      <c r="AP33" s="284" t="n"/>
      <c r="AQ33" s="38" t="n">
        <v>0</v>
      </c>
      <c r="AR33" s="247" t="n"/>
      <c r="AS33" s="36" t="n"/>
      <c r="AT33" s="284" t="n"/>
      <c r="AU33" s="38" t="n">
        <v>0</v>
      </c>
      <c r="AV33" s="247" t="n"/>
      <c r="AW33" s="36" t="n"/>
      <c r="AX33" s="284" t="n"/>
      <c r="AY33" s="38" t="n">
        <v>0</v>
      </c>
      <c r="AZ33" s="247" t="n"/>
      <c r="BA33" s="36" t="n"/>
      <c r="BB33" s="284" t="n"/>
      <c r="BC33" s="52" t="n">
        <v>0</v>
      </c>
      <c r="BD33" s="247" t="n"/>
      <c r="BE33" s="36" t="n"/>
      <c r="BF33" s="284">
        <f>$KN33*0</f>
        <v/>
      </c>
      <c r="BG33" s="38" t="n">
        <v>0</v>
      </c>
      <c r="BH33" s="247" t="n"/>
      <c r="BI33" s="338" t="n"/>
      <c r="BJ33" s="339" t="n"/>
      <c r="BK33" s="340" t="n"/>
      <c r="BL33" s="341" t="n"/>
      <c r="BM33" s="342" t="n"/>
      <c r="BN33" s="343" t="n"/>
      <c r="BO33" s="36" t="n"/>
      <c r="BP33" s="47" t="n"/>
      <c r="BQ33" s="284" t="n"/>
      <c r="BR33" s="52" t="n"/>
      <c r="BS33" s="284" t="n"/>
      <c r="BT33" s="36" t="n"/>
      <c r="BU33" s="47" t="n"/>
      <c r="BV33" s="284" t="n"/>
      <c r="BW33" s="38" t="n"/>
      <c r="BX33" s="284" t="n"/>
      <c r="BY33" s="36" t="n"/>
      <c r="BZ33" s="47" t="n"/>
      <c r="CA33" s="284" t="n"/>
      <c r="CB33" s="38" t="n">
        <v>0</v>
      </c>
      <c r="CC33" s="284" t="n"/>
      <c r="CD33" s="36" t="n"/>
      <c r="CE33" s="47" t="n"/>
      <c r="CF33" s="284" t="n"/>
      <c r="CG33" s="38" t="n">
        <v>0</v>
      </c>
      <c r="CH33" s="284" t="n"/>
      <c r="CI33" s="36" t="n"/>
      <c r="CJ33" s="47" t="n"/>
      <c r="CK33" s="284" t="n"/>
      <c r="CL33" s="38" t="n">
        <v>0</v>
      </c>
      <c r="CM33" s="284" t="n"/>
      <c r="CN33" s="36" t="n"/>
      <c r="CO33" s="47" t="n"/>
      <c r="CP33" s="284" t="n"/>
      <c r="CQ33" s="38" t="n">
        <v>0</v>
      </c>
      <c r="CR33" s="284" t="n"/>
      <c r="CS33" s="36" t="n"/>
      <c r="CT33" s="47" t="n"/>
      <c r="CU33" s="284" t="n"/>
      <c r="CV33" s="38" t="n">
        <v>0</v>
      </c>
      <c r="CW33" s="284" t="n"/>
      <c r="CX33" s="36" t="n"/>
      <c r="CY33" s="47" t="n"/>
      <c r="CZ33" s="39" t="n"/>
      <c r="DA33" s="38" t="n">
        <v>0</v>
      </c>
      <c r="DB33" s="284" t="n"/>
      <c r="DC33" s="36" t="n"/>
      <c r="DD33" s="47" t="n"/>
      <c r="DE33" s="39" t="n"/>
      <c r="DF33" s="38" t="n">
        <v>0</v>
      </c>
      <c r="DG33" s="284" t="n"/>
      <c r="DH33" s="36" t="n"/>
      <c r="DI33" s="47" t="n"/>
      <c r="DJ33" s="284" t="n"/>
      <c r="DK33" s="38" t="n">
        <v>0</v>
      </c>
      <c r="DL33" s="284" t="n"/>
      <c r="DM33" s="36" t="n"/>
      <c r="DN33" s="47" t="n"/>
      <c r="DO33" s="284">
        <f>$KN33*0</f>
        <v/>
      </c>
      <c r="DP33" s="38" t="n">
        <v>0</v>
      </c>
      <c r="DQ33" s="347" t="n"/>
      <c r="DR33" s="36" t="n"/>
      <c r="DS33" s="47" t="n"/>
      <c r="DT33" s="284" t="n"/>
      <c r="DU33" s="38" t="n">
        <v>0</v>
      </c>
      <c r="DV33" s="284" t="n"/>
      <c r="DW33" s="338">
        <f t="array" ref="DW33">SUMPRODUCT(--(MOD(COLUMN($BO33:$DV33),5)=MOD(COLUMN($BO33),5)),$BO33:$DV33)</f>
        <v/>
      </c>
      <c r="DX33" s="339">
        <f>DW33*$J33</f>
        <v/>
      </c>
      <c r="DY33" s="344">
        <f t="array" ref="DY33">SUMPRODUCT(--(MOD(COLUMN($BO33:$DV33),5)=MOD(COLUMN($BP33),5)),$BO33:$DV33)</f>
        <v/>
      </c>
      <c r="DZ33" s="345">
        <f>DY33*$J33</f>
        <v/>
      </c>
      <c r="EA33" s="340">
        <f t="array" ref="EA33">SUMPRODUCT(--(MOD(COLUMN($BO33:$DV33),5)=MOD(COLUMN($BQ33),5)),$BO33:$DV33)</f>
        <v/>
      </c>
      <c r="EB33" s="341">
        <f>EA33*$J33</f>
        <v/>
      </c>
      <c r="EC33" s="342">
        <f t="array" ref="EC33">SUMPRODUCT(--(MOD(COLUMN($BO33:$DV33),5)=MOD(COLUMN($BR33),5)),$BO33:$DV33)</f>
        <v/>
      </c>
      <c r="ED33" s="343">
        <f>EC33*$J33</f>
        <v/>
      </c>
      <c r="EE33" s="36" t="n">
        <v>50</v>
      </c>
      <c r="EF33" s="284" t="n">
        <v>0</v>
      </c>
      <c r="EG33" s="38" t="n">
        <v>0</v>
      </c>
      <c r="EH33" s="284" t="n"/>
      <c r="EI33" s="36" t="n"/>
      <c r="EJ33" s="284" t="n"/>
      <c r="EK33" s="38" t="n">
        <v>0</v>
      </c>
      <c r="EL33" s="284" t="n"/>
      <c r="EM33" s="36" t="n"/>
      <c r="EN33" s="39" t="n"/>
      <c r="EO33" s="38" t="n">
        <v>0</v>
      </c>
      <c r="EP33" s="284" t="n"/>
      <c r="EQ33" s="36" t="n"/>
      <c r="ER33" s="284" t="n"/>
      <c r="ES33" s="38" t="n">
        <v>0</v>
      </c>
      <c r="ET33" s="284" t="n"/>
      <c r="EU33" s="36" t="n"/>
      <c r="EV33" s="39" t="n">
        <v>0</v>
      </c>
      <c r="EW33" s="38" t="n">
        <v>0</v>
      </c>
      <c r="EX33" s="284" t="n"/>
      <c r="EY33" s="36" t="n"/>
      <c r="EZ33" s="284" t="n"/>
      <c r="FA33" s="38" t="n">
        <v>0</v>
      </c>
      <c r="FB33" s="284" t="n"/>
      <c r="FC33" s="36" t="n"/>
      <c r="FD33" s="284" t="n"/>
      <c r="FE33" s="38" t="n">
        <v>0</v>
      </c>
      <c r="FF33" s="284" t="n"/>
      <c r="FG33" s="36" t="n"/>
      <c r="FH33" s="284" t="n"/>
      <c r="FI33" s="38" t="n">
        <v>0</v>
      </c>
      <c r="FJ33" s="284" t="n"/>
      <c r="FK33" s="36" t="n"/>
      <c r="FL33" s="284" t="n"/>
      <c r="FM33" s="38" t="n">
        <v>0</v>
      </c>
      <c r="FN33" s="284" t="n"/>
      <c r="FO33" s="36" t="n"/>
      <c r="FP33" s="284" t="n"/>
      <c r="FQ33" s="38" t="n">
        <v>0</v>
      </c>
      <c r="FR33" s="284" t="n"/>
      <c r="FS33" s="36" t="n"/>
      <c r="FT33" s="284" t="n"/>
      <c r="FU33" s="38" t="n">
        <v>0</v>
      </c>
      <c r="FV33" s="284" t="n"/>
      <c r="FW33" s="36" t="n"/>
      <c r="FX33" s="284" t="n"/>
      <c r="FY33" s="38" t="n">
        <v>0</v>
      </c>
      <c r="FZ33" s="284" t="n"/>
      <c r="GA33" s="338">
        <f>SUMPRODUCT(--(MOD(COLUMN($EE33:$FZ33),4)=MOD(COLUMN($EE33),4)),$EE33:$FZ33)</f>
        <v/>
      </c>
      <c r="GB33" s="339">
        <f>GA33*$J33</f>
        <v/>
      </c>
      <c r="GC33" s="340">
        <f>SUMPRODUCT(--(MOD(COLUMN($EE33:$FZ33),4)=MOD(COLUMN($EF33),4)),$EE33:$FZ33)</f>
        <v/>
      </c>
      <c r="GD33" s="341">
        <f>GC33*$J33</f>
        <v/>
      </c>
      <c r="GE33" s="342">
        <f>SUMPRODUCT(--(MOD(COLUMN($EE33:$FZ33),4)=MOD(COLUMN($EG33),4)),$EE33:$FZ33)</f>
        <v/>
      </c>
      <c r="GF33" s="343">
        <f>GE33*$J33</f>
        <v/>
      </c>
      <c r="GG33" s="36" t="n"/>
      <c r="GH33" s="284" t="n"/>
      <c r="GI33" s="38" t="n">
        <v>0</v>
      </c>
      <c r="GJ33" s="284" t="n"/>
      <c r="GK33" s="36" t="n"/>
      <c r="GL33" s="284" t="n"/>
      <c r="GM33" s="38" t="n">
        <v>0</v>
      </c>
      <c r="GN33" s="284" t="n"/>
      <c r="GO33" s="36" t="n"/>
      <c r="GP33" s="284" t="n"/>
      <c r="GQ33" s="38" t="n">
        <v>0</v>
      </c>
      <c r="GR33" s="284" t="n"/>
      <c r="GS33" s="36" t="n"/>
      <c r="GT33" s="284" t="n"/>
      <c r="GU33" s="38" t="n">
        <v>0</v>
      </c>
      <c r="GV33" s="284" t="n"/>
      <c r="GW33" s="36" t="n"/>
      <c r="GX33" s="284" t="n"/>
      <c r="GY33" s="38" t="n">
        <v>0</v>
      </c>
      <c r="GZ33" s="284" t="n"/>
      <c r="HA33" s="36" t="n"/>
      <c r="HB33" s="284" t="n"/>
      <c r="HC33" s="38" t="n">
        <v>0</v>
      </c>
      <c r="HD33" s="284" t="n"/>
      <c r="HE33" s="36" t="n"/>
      <c r="HF33" s="284" t="n"/>
      <c r="HG33" s="38" t="n">
        <v>0</v>
      </c>
      <c r="HH33" s="284" t="n"/>
      <c r="HI33" s="36" t="n"/>
      <c r="HJ33" s="284" t="n"/>
      <c r="HK33" s="38" t="n">
        <v>0</v>
      </c>
      <c r="HL33" s="284" t="n"/>
      <c r="HM33" s="36" t="n"/>
      <c r="HN33" s="284" t="n"/>
      <c r="HO33" s="38" t="n">
        <v>0</v>
      </c>
      <c r="HP33" s="284" t="n"/>
      <c r="HQ33" s="36" t="n"/>
      <c r="HR33" s="284" t="n"/>
      <c r="HS33" s="38" t="n">
        <v>0</v>
      </c>
      <c r="HT33" s="284" t="n"/>
      <c r="HU33" s="36" t="n"/>
      <c r="HV33" s="284" t="n"/>
      <c r="HW33" s="38" t="n">
        <v>0</v>
      </c>
      <c r="HX33" s="284" t="n"/>
      <c r="HY33" s="36" t="n"/>
      <c r="HZ33" s="284" t="n"/>
      <c r="IA33" s="38" t="n">
        <v>0</v>
      </c>
      <c r="IB33" s="284" t="n"/>
      <c r="IC33" s="338">
        <f t="array" ref="IC33">SUMPRODUCT(--(MOD(COLUMN($GG33:$IB33),4)=MOD(COLUMN($GG33),4)),$GG33:$IB33)</f>
        <v/>
      </c>
      <c r="ID33" s="339">
        <f>IC33*$J33</f>
        <v/>
      </c>
      <c r="IE33" s="340">
        <f t="array" ref="IE33">SUMPRODUCT(--(MOD(COLUMN($GG33:$IB33),4)=MOD(COLUMN($GH33),4)),$GG33:$IB33)</f>
        <v/>
      </c>
      <c r="IF33" s="341">
        <f>IE33*$J33</f>
        <v/>
      </c>
      <c r="IG33" s="342">
        <f t="array" ref="IG33">SUMPRODUCT(--(MOD(COLUMN($GG33:$IB33),4)=MOD(COLUMN($GI33),4)),$GG33:$IB33)</f>
        <v/>
      </c>
      <c r="IH33" s="343">
        <f>IG33*$J33</f>
        <v/>
      </c>
      <c r="II33" s="36" t="n"/>
      <c r="IJ33" s="284" t="n"/>
      <c r="IK33" s="38" t="n">
        <v>0</v>
      </c>
      <c r="IL33" s="284" t="n"/>
      <c r="IM33" s="36" t="n"/>
      <c r="IN33" s="284" t="n"/>
      <c r="IO33" s="38" t="n">
        <v>0</v>
      </c>
      <c r="IP33" s="284" t="n"/>
      <c r="IQ33" s="36" t="n"/>
      <c r="IR33" s="284" t="n"/>
      <c r="IS33" s="38" t="n">
        <v>0</v>
      </c>
      <c r="IT33" s="284" t="n"/>
      <c r="IU33" s="36" t="n"/>
      <c r="IV33" s="284" t="n"/>
      <c r="IW33" s="38" t="n">
        <v>0</v>
      </c>
      <c r="IX33" s="284" t="n"/>
      <c r="IY33" s="36" t="n"/>
      <c r="IZ33" s="284" t="n"/>
      <c r="JA33" s="38" t="n">
        <v>0</v>
      </c>
      <c r="JB33" s="284" t="n"/>
      <c r="JC33" s="36" t="n"/>
      <c r="JD33" s="284" t="n"/>
      <c r="JE33" s="38" t="n">
        <v>0</v>
      </c>
      <c r="JF33" s="284" t="n"/>
      <c r="JG33" s="36" t="n"/>
      <c r="JH33" s="284" t="n"/>
      <c r="JI33" s="38" t="n">
        <v>0</v>
      </c>
      <c r="JJ33" s="284" t="n"/>
      <c r="JK33" s="36" t="n"/>
      <c r="JL33" s="284" t="n"/>
      <c r="JM33" s="38" t="n">
        <v>0</v>
      </c>
      <c r="JN33" s="284" t="n"/>
      <c r="JO33" s="36" t="n"/>
      <c r="JP33" s="284" t="n"/>
      <c r="JQ33" s="38" t="n">
        <v>0</v>
      </c>
      <c r="JR33" s="284" t="n"/>
      <c r="JS33" s="36" t="n"/>
      <c r="JT33" s="284" t="n"/>
      <c r="JU33" s="38" t="n">
        <v>0</v>
      </c>
      <c r="JV33" s="284" t="n"/>
      <c r="JW33" s="36" t="n"/>
      <c r="JX33" s="284" t="n"/>
      <c r="JY33" s="38" t="n">
        <v>0</v>
      </c>
      <c r="JZ33" s="284" t="n"/>
      <c r="KA33" s="36" t="n"/>
      <c r="KB33" s="284" t="n"/>
      <c r="KC33" s="38" t="n">
        <v>0</v>
      </c>
      <c r="KD33" s="284" t="n"/>
      <c r="KE33" s="338">
        <f t="array" ref="KE33">SUMPRODUCT(--(MOD(COLUMN($II33:$KD33),4)=MOD(COLUMN($II33),4)),$II33:$KD33)</f>
        <v/>
      </c>
      <c r="KF33" s="339">
        <f>KE33*$J33</f>
        <v/>
      </c>
      <c r="KG33" s="340">
        <f t="array" ref="KG33">SUMPRODUCT(--(MOD(COLUMN($II33:$KD33),4)=MOD(COLUMN($IJ33),4)),$II33:$KD33)</f>
        <v/>
      </c>
      <c r="KH33" s="341">
        <f>KG33*$J33</f>
        <v/>
      </c>
      <c r="KI33" s="342">
        <f t="array" ref="KI33">SUMPRODUCT(--(MOD(COLUMN($II33:$KD33),4)=MOD(COLUMN($IK33),4)),$II33:$KD33)</f>
        <v/>
      </c>
      <c r="KJ33" s="346">
        <f>KI33*$J33</f>
        <v/>
      </c>
      <c r="KK33" s="12" t="n"/>
      <c r="KL33" s="12" t="n"/>
      <c r="KM33" s="12" t="n"/>
      <c r="KN33" s="51" t="n">
        <v>1</v>
      </c>
      <c r="KO33" s="347" t="n"/>
    </row>
    <row r="34" outlineLevel="1">
      <c r="A34" s="333" t="n"/>
      <c r="B34" s="333" t="n"/>
      <c r="C34" s="333" t="n"/>
      <c r="D34" s="333" t="n"/>
      <c r="E34" s="15" t="n">
        <v>29</v>
      </c>
      <c r="F34" s="15" t="n">
        <v>2</v>
      </c>
      <c r="G34" s="56" t="n">
        <v>4520021320</v>
      </c>
      <c r="H34" s="57" t="inlineStr">
        <is>
          <t>Запорный кран</t>
        </is>
      </c>
      <c r="I34" s="337" t="n"/>
      <c r="J34" s="360">
        <f>456/1.2</f>
        <v/>
      </c>
      <c r="K34" s="337" t="n"/>
      <c r="L34" s="337" t="n"/>
      <c r="M34" s="36" t="n"/>
      <c r="N34" s="284" t="n"/>
      <c r="O34" s="38" t="n"/>
      <c r="P34" s="284" t="n"/>
      <c r="Q34" s="36" t="n"/>
      <c r="R34" s="284" t="n"/>
      <c r="S34" s="38" t="n"/>
      <c r="T34" s="284" t="n"/>
      <c r="U34" s="36" t="n"/>
      <c r="V34" s="284" t="n"/>
      <c r="W34" s="38" t="n"/>
      <c r="X34" s="284" t="n"/>
      <c r="Y34" s="36" t="n"/>
      <c r="Z34" s="284" t="n"/>
      <c r="AA34" s="38" t="n"/>
      <c r="AB34" s="284" t="n"/>
      <c r="AC34" s="36" t="n"/>
      <c r="AD34" s="284" t="n"/>
      <c r="AE34" s="38" t="n"/>
      <c r="AF34" s="284" t="n"/>
      <c r="AG34" s="36" t="n"/>
      <c r="AH34" s="39" t="n"/>
      <c r="AI34" s="52" t="n"/>
      <c r="AJ34" s="247" t="n"/>
      <c r="AK34" s="36" t="n"/>
      <c r="AL34" s="284" t="n"/>
      <c r="AM34" s="52" t="n"/>
      <c r="AN34" s="247" t="n"/>
      <c r="AO34" s="36" t="n"/>
      <c r="AP34" s="284" t="n"/>
      <c r="AQ34" s="38" t="n"/>
      <c r="AR34" s="247" t="n"/>
      <c r="AS34" s="36" t="n"/>
      <c r="AT34" s="284" t="n"/>
      <c r="AU34" s="38" t="n"/>
      <c r="AV34" s="247" t="n"/>
      <c r="AW34" s="36" t="n"/>
      <c r="AX34" s="284" t="n"/>
      <c r="AY34" s="38" t="n"/>
      <c r="AZ34" s="247" t="n"/>
      <c r="BA34" s="36" t="n"/>
      <c r="BB34" s="284" t="n"/>
      <c r="BC34" s="52" t="n"/>
      <c r="BD34" s="247" t="n"/>
      <c r="BE34" s="36" t="n"/>
      <c r="BF34" s="284">
        <f>$KN34*0</f>
        <v/>
      </c>
      <c r="BG34" s="38" t="n"/>
      <c r="BH34" s="247" t="n"/>
      <c r="BI34" s="338" t="n"/>
      <c r="BJ34" s="339" t="n"/>
      <c r="BK34" s="340" t="n"/>
      <c r="BL34" s="341" t="n"/>
      <c r="BM34" s="342" t="n"/>
      <c r="BN34" s="343" t="n"/>
      <c r="BO34" s="36" t="n"/>
      <c r="BP34" s="47" t="n"/>
      <c r="BQ34" s="284" t="n"/>
      <c r="BR34" s="52" t="n"/>
      <c r="BS34" s="284" t="n"/>
      <c r="BT34" s="36" t="n"/>
      <c r="BU34" s="47" t="n"/>
      <c r="BV34" s="284" t="n"/>
      <c r="BW34" s="38" t="n"/>
      <c r="BX34" s="284" t="n"/>
      <c r="BY34" s="36" t="n"/>
      <c r="BZ34" s="47" t="n"/>
      <c r="CA34" s="284" t="n"/>
      <c r="CB34" s="38" t="n"/>
      <c r="CC34" s="284" t="n"/>
      <c r="CD34" s="36" t="n"/>
      <c r="CE34" s="47" t="n"/>
      <c r="CF34" s="284" t="n"/>
      <c r="CG34" s="38" t="n"/>
      <c r="CH34" s="284" t="n"/>
      <c r="CI34" s="36" t="n"/>
      <c r="CJ34" s="47" t="n"/>
      <c r="CK34" s="284" t="n"/>
      <c r="CL34" s="38" t="n"/>
      <c r="CM34" s="284" t="n"/>
      <c r="CN34" s="36" t="n"/>
      <c r="CO34" s="47" t="n"/>
      <c r="CP34" s="284" t="n"/>
      <c r="CQ34" s="38" t="n"/>
      <c r="CR34" s="284" t="n"/>
      <c r="CS34" s="36" t="n"/>
      <c r="CT34" s="47" t="n"/>
      <c r="CU34" s="284" t="n"/>
      <c r="CV34" s="38" t="n"/>
      <c r="CW34" s="284" t="n"/>
      <c r="CX34" s="36" t="n"/>
      <c r="CY34" s="47" t="n"/>
      <c r="CZ34" s="39" t="n"/>
      <c r="DA34" s="38" t="n"/>
      <c r="DB34" s="284" t="n"/>
      <c r="DC34" s="36" t="n"/>
      <c r="DD34" s="47" t="n"/>
      <c r="DE34" s="39" t="n"/>
      <c r="DF34" s="38" t="n"/>
      <c r="DG34" s="284" t="n"/>
      <c r="DH34" s="36" t="n"/>
      <c r="DI34" s="47" t="n"/>
      <c r="DJ34" s="284" t="n"/>
      <c r="DK34" s="52" t="n">
        <v>0</v>
      </c>
      <c r="DL34" s="284" t="n"/>
      <c r="DM34" s="36" t="n"/>
      <c r="DN34" s="47" t="n"/>
      <c r="DO34" s="284">
        <f>$KN34*0</f>
        <v/>
      </c>
      <c r="DP34" s="38" t="n">
        <v>0</v>
      </c>
      <c r="DQ34" s="333" t="n"/>
      <c r="DR34" s="36" t="n"/>
      <c r="DS34" s="47" t="n"/>
      <c r="DT34" s="284" t="n"/>
      <c r="DU34" s="38" t="n">
        <v>0</v>
      </c>
      <c r="DV34" s="284" t="n"/>
      <c r="DW34" s="338">
        <f t="array" ref="DW34">SUMPRODUCT(--(MOD(COLUMN($BO34:$DV34),5)=MOD(COLUMN($BO34),5)),$BO34:$DV34)</f>
        <v/>
      </c>
      <c r="DX34" s="339">
        <f>DW34*$J34</f>
        <v/>
      </c>
      <c r="DY34" s="344">
        <f t="array" ref="DY34">SUMPRODUCT(--(MOD(COLUMN($BO34:$DV34),5)=MOD(COLUMN($BP34),5)),$BO34:$DV34)</f>
        <v/>
      </c>
      <c r="DZ34" s="345">
        <f>DY34*$J34</f>
        <v/>
      </c>
      <c r="EA34" s="340">
        <f t="array" ref="EA34">SUMPRODUCT(--(MOD(COLUMN($BO34:$DV34),5)=MOD(COLUMN($BQ34),5)),$BO34:$DV34)</f>
        <v/>
      </c>
      <c r="EB34" s="341">
        <f>EA34*$J34</f>
        <v/>
      </c>
      <c r="EC34" s="342">
        <f t="array" ref="EC34">SUMPRODUCT(--(MOD(COLUMN($BO34:$DV34),5)=MOD(COLUMN($BR34),5)),$BO34:$DV34)</f>
        <v/>
      </c>
      <c r="ED34" s="343">
        <f>EC34*$J34</f>
        <v/>
      </c>
      <c r="EE34" s="36" t="n">
        <v>50</v>
      </c>
      <c r="EF34" s="284" t="n">
        <v>0</v>
      </c>
      <c r="EG34" s="38" t="n">
        <v>0</v>
      </c>
      <c r="EH34" s="284" t="n"/>
      <c r="EI34" s="36" t="n"/>
      <c r="EJ34" s="284" t="n"/>
      <c r="EK34" s="38" t="n"/>
      <c r="EL34" s="284" t="n"/>
      <c r="EM34" s="36" t="n"/>
      <c r="EN34" s="39" t="n"/>
      <c r="EO34" s="38" t="n"/>
      <c r="EP34" s="284" t="n"/>
      <c r="EQ34" s="36" t="n"/>
      <c r="ER34" s="284" t="n"/>
      <c r="ES34" s="38" t="n"/>
      <c r="ET34" s="284" t="n"/>
      <c r="EU34" s="36" t="n"/>
      <c r="EV34" s="39" t="n">
        <v>0</v>
      </c>
      <c r="EW34" s="38" t="n"/>
      <c r="EX34" s="284" t="n"/>
      <c r="EY34" s="36" t="n"/>
      <c r="EZ34" s="284" t="n"/>
      <c r="FA34" s="38" t="n"/>
      <c r="FB34" s="284" t="n"/>
      <c r="FC34" s="36" t="n"/>
      <c r="FD34" s="284" t="n"/>
      <c r="FE34" s="38" t="n"/>
      <c r="FF34" s="284" t="n"/>
      <c r="FG34" s="36" t="n"/>
      <c r="FH34" s="284" t="n"/>
      <c r="FI34" s="38" t="n"/>
      <c r="FJ34" s="284" t="n"/>
      <c r="FK34" s="36" t="n"/>
      <c r="FL34" s="284" t="n"/>
      <c r="FM34" s="38" t="n"/>
      <c r="FN34" s="284" t="n"/>
      <c r="FO34" s="36" t="n"/>
      <c r="FP34" s="284" t="n"/>
      <c r="FQ34" s="38" t="n"/>
      <c r="FR34" s="284" t="n"/>
      <c r="FS34" s="36" t="n"/>
      <c r="FT34" s="284" t="n"/>
      <c r="FU34" s="38" t="n"/>
      <c r="FV34" s="284" t="n"/>
      <c r="FW34" s="36" t="n"/>
      <c r="FX34" s="284" t="n"/>
      <c r="FY34" s="38" t="n"/>
      <c r="FZ34" s="284" t="n"/>
      <c r="GA34" s="338">
        <f>SUMPRODUCT(--(MOD(COLUMN($EE34:$FZ34),4)=MOD(COLUMN($EE34),4)),$EE34:$FZ34)</f>
        <v/>
      </c>
      <c r="GB34" s="339">
        <f>GA34*$J34</f>
        <v/>
      </c>
      <c r="GC34" s="340">
        <f>SUMPRODUCT(--(MOD(COLUMN($EE34:$FZ34),4)=MOD(COLUMN($EF34),4)),$EE34:$FZ34)</f>
        <v/>
      </c>
      <c r="GD34" s="341">
        <f>GC34*$J34</f>
        <v/>
      </c>
      <c r="GE34" s="342">
        <f>SUMPRODUCT(--(MOD(COLUMN($EE34:$FZ34),4)=MOD(COLUMN($EG34),4)),$EE34:$FZ34)</f>
        <v/>
      </c>
      <c r="GF34" s="343">
        <f>GE34*$J34</f>
        <v/>
      </c>
      <c r="GG34" s="36" t="n"/>
      <c r="GH34" s="284" t="n"/>
      <c r="GI34" s="38" t="n"/>
      <c r="GJ34" s="284" t="n"/>
      <c r="GK34" s="36" t="n"/>
      <c r="GL34" s="284" t="n"/>
      <c r="GM34" s="38" t="n"/>
      <c r="GN34" s="284" t="n"/>
      <c r="GO34" s="36" t="n"/>
      <c r="GP34" s="284" t="n"/>
      <c r="GQ34" s="38" t="n"/>
      <c r="GR34" s="284" t="n"/>
      <c r="GS34" s="36" t="n"/>
      <c r="GT34" s="284" t="n"/>
      <c r="GU34" s="38" t="n"/>
      <c r="GV34" s="284" t="n"/>
      <c r="GW34" s="36" t="n"/>
      <c r="GX34" s="284" t="n"/>
      <c r="GY34" s="38" t="n"/>
      <c r="GZ34" s="284" t="n"/>
      <c r="HA34" s="36" t="n"/>
      <c r="HB34" s="284" t="n"/>
      <c r="HC34" s="38" t="n"/>
      <c r="HD34" s="284" t="n"/>
      <c r="HE34" s="36" t="n"/>
      <c r="HF34" s="284" t="n"/>
      <c r="HG34" s="38" t="n"/>
      <c r="HH34" s="284" t="n"/>
      <c r="HI34" s="36" t="n"/>
      <c r="HJ34" s="284" t="n"/>
      <c r="HK34" s="38" t="n"/>
      <c r="HL34" s="284" t="n"/>
      <c r="HM34" s="36" t="n"/>
      <c r="HN34" s="284" t="n"/>
      <c r="HO34" s="38" t="n"/>
      <c r="HP34" s="284" t="n"/>
      <c r="HQ34" s="36" t="n"/>
      <c r="HR34" s="284" t="n"/>
      <c r="HS34" s="38" t="n"/>
      <c r="HT34" s="284" t="n"/>
      <c r="HU34" s="36" t="n"/>
      <c r="HV34" s="284" t="n"/>
      <c r="HW34" s="38" t="n"/>
      <c r="HX34" s="284" t="n"/>
      <c r="HY34" s="36" t="n"/>
      <c r="HZ34" s="284" t="n"/>
      <c r="IA34" s="38" t="n"/>
      <c r="IB34" s="284" t="n"/>
      <c r="IC34" s="338">
        <f t="array" ref="IC34">SUMPRODUCT(--(MOD(COLUMN($GG34:$IB34),4)=MOD(COLUMN($GG34),4)),$GG34:$IB34)</f>
        <v/>
      </c>
      <c r="ID34" s="339">
        <f>IC34*$J34</f>
        <v/>
      </c>
      <c r="IE34" s="340">
        <f t="array" ref="IE34">SUMPRODUCT(--(MOD(COLUMN($GG34:$IB34),4)=MOD(COLUMN($GH34),4)),$GG34:$IB34)</f>
        <v/>
      </c>
      <c r="IF34" s="341">
        <f>IE34*$J34</f>
        <v/>
      </c>
      <c r="IG34" s="342">
        <f t="array" ref="IG34">SUMPRODUCT(--(MOD(COLUMN($GG34:$IB34),4)=MOD(COLUMN($GI34),4)),$GG34:$IB34)</f>
        <v/>
      </c>
      <c r="IH34" s="343">
        <f>IG34*$J34</f>
        <v/>
      </c>
      <c r="II34" s="36" t="n"/>
      <c r="IJ34" s="284" t="n"/>
      <c r="IK34" s="38" t="n"/>
      <c r="IL34" s="284" t="n"/>
      <c r="IM34" s="36" t="n"/>
      <c r="IN34" s="284" t="n"/>
      <c r="IO34" s="38" t="n"/>
      <c r="IP34" s="284" t="n"/>
      <c r="IQ34" s="36" t="n"/>
      <c r="IR34" s="284" t="n"/>
      <c r="IS34" s="38" t="n"/>
      <c r="IT34" s="284" t="n"/>
      <c r="IU34" s="36" t="n"/>
      <c r="IV34" s="284" t="n"/>
      <c r="IW34" s="38" t="n"/>
      <c r="IX34" s="284" t="n"/>
      <c r="IY34" s="36" t="n"/>
      <c r="IZ34" s="284" t="n"/>
      <c r="JA34" s="38" t="n"/>
      <c r="JB34" s="284" t="n"/>
      <c r="JC34" s="36" t="n"/>
      <c r="JD34" s="284" t="n"/>
      <c r="JE34" s="38" t="n"/>
      <c r="JF34" s="284" t="n"/>
      <c r="JG34" s="36" t="n"/>
      <c r="JH34" s="284" t="n"/>
      <c r="JI34" s="38" t="n"/>
      <c r="JJ34" s="284" t="n"/>
      <c r="JK34" s="36" t="n"/>
      <c r="JL34" s="284" t="n"/>
      <c r="JM34" s="38" t="n"/>
      <c r="JN34" s="284" t="n"/>
      <c r="JO34" s="36" t="n"/>
      <c r="JP34" s="284" t="n"/>
      <c r="JQ34" s="38" t="n"/>
      <c r="JR34" s="284" t="n"/>
      <c r="JS34" s="36" t="n"/>
      <c r="JT34" s="284" t="n"/>
      <c r="JU34" s="38" t="n"/>
      <c r="JV34" s="284" t="n"/>
      <c r="JW34" s="36" t="n"/>
      <c r="JX34" s="284" t="n"/>
      <c r="JY34" s="38" t="n"/>
      <c r="JZ34" s="284" t="n"/>
      <c r="KA34" s="36" t="n"/>
      <c r="KB34" s="284" t="n"/>
      <c r="KC34" s="38" t="n"/>
      <c r="KD34" s="284" t="n"/>
      <c r="KE34" s="338">
        <f t="array" ref="KE34">SUMPRODUCT(--(MOD(COLUMN($II34:$KD34),4)=MOD(COLUMN($II34),4)),$II34:$KD34)</f>
        <v/>
      </c>
      <c r="KF34" s="339">
        <f>KE34*$J34</f>
        <v/>
      </c>
      <c r="KG34" s="340">
        <f t="array" ref="KG34">SUMPRODUCT(--(MOD(COLUMN($II34:$KD34),4)=MOD(COLUMN($IJ34),4)),$II34:$KD34)</f>
        <v/>
      </c>
      <c r="KH34" s="341">
        <f>KG34*$J34</f>
        <v/>
      </c>
      <c r="KI34" s="342">
        <f t="array" ref="KI34">SUMPRODUCT(--(MOD(COLUMN($II34:$KD34),4)=MOD(COLUMN($IK34),4)),$II34:$KD34)</f>
        <v/>
      </c>
      <c r="KJ34" s="346">
        <f>KI34*$J34</f>
        <v/>
      </c>
      <c r="KK34" s="12" t="n"/>
      <c r="KL34" s="12" t="n"/>
      <c r="KM34" s="12" t="n"/>
      <c r="KN34" s="51" t="n">
        <v>1</v>
      </c>
      <c r="KO34" s="333" t="n"/>
    </row>
    <row r="35" outlineLevel="1" customFormat="1" s="68">
      <c r="A35" s="252" t="n"/>
      <c r="B35" s="69" t="n"/>
      <c r="C35" s="256" t="n"/>
      <c r="D35" s="256" t="n"/>
      <c r="E35" s="70" t="n"/>
      <c r="F35" s="70" t="n"/>
      <c r="G35" s="71" t="n"/>
      <c r="H35" s="72" t="inlineStr">
        <is>
          <t>Итого</t>
        </is>
      </c>
      <c r="I35" s="361" t="n"/>
      <c r="J35" s="360" t="n"/>
      <c r="K35" s="360" t="n"/>
      <c r="L35" s="360" t="n"/>
      <c r="M35" s="74" t="n"/>
      <c r="N35" s="75" t="n"/>
      <c r="O35" s="28" t="n"/>
      <c r="P35" s="75" t="n"/>
      <c r="Q35" s="74" t="n"/>
      <c r="R35" s="75" t="n"/>
      <c r="S35" s="28" t="n"/>
      <c r="T35" s="75" t="n"/>
      <c r="U35" s="74" t="n"/>
      <c r="V35" s="75" t="n"/>
      <c r="W35" s="28" t="n"/>
      <c r="X35" s="75" t="n"/>
      <c r="Y35" s="74" t="n"/>
      <c r="Z35" s="75" t="n"/>
      <c r="AA35" s="38" t="n"/>
      <c r="AB35" s="75" t="n"/>
      <c r="AC35" s="74" t="n"/>
      <c r="AD35" s="75" t="n"/>
      <c r="AE35" s="28" t="n"/>
      <c r="AF35" s="75" t="n"/>
      <c r="AG35" s="74" t="n"/>
      <c r="AH35" s="75" t="n"/>
      <c r="AI35" s="38" t="n"/>
      <c r="AJ35" s="75" t="n"/>
      <c r="AK35" s="74" t="n"/>
      <c r="AL35" s="75" t="n"/>
      <c r="AM35" s="38" t="n"/>
      <c r="AN35" s="75" t="n"/>
      <c r="AO35" s="74" t="n"/>
      <c r="AP35" s="75" t="n"/>
      <c r="AQ35" s="38" t="n"/>
      <c r="AR35" s="75" t="n"/>
      <c r="AS35" s="74" t="n"/>
      <c r="AT35" s="75" t="n"/>
      <c r="AU35" s="38" t="n"/>
      <c r="AV35" s="75" t="n"/>
      <c r="AW35" s="74" t="n"/>
      <c r="AX35" s="75" t="n"/>
      <c r="AY35" s="28" t="n"/>
      <c r="AZ35" s="75" t="n"/>
      <c r="BA35" s="74" t="n"/>
      <c r="BB35" s="76" t="n"/>
      <c r="BC35" s="77" t="n"/>
      <c r="BD35" s="75" t="n"/>
      <c r="BE35" s="74" t="n"/>
      <c r="BF35" s="76" t="n"/>
      <c r="BG35" s="78" t="n"/>
      <c r="BH35" s="75" t="n"/>
      <c r="BI35" s="338">
        <f>SUMPRODUCT(--(MOD(COLUMN($M35:$BH35),4)=MOD(COLUMN($M35),4)),$M35:$BH35)</f>
        <v/>
      </c>
      <c r="BJ35" s="339">
        <f>BI35*$I35</f>
        <v/>
      </c>
      <c r="BK35" s="340">
        <f>SUMPRODUCT(--(MOD(COLUMN($M35:$BH35),4)=MOD(COLUMN($M35)+1,4)),$M35:$BH35)</f>
        <v/>
      </c>
      <c r="BL35" s="341">
        <f>BK35*$I35</f>
        <v/>
      </c>
      <c r="BM35" s="342">
        <f>SUMPRODUCT(--(MOD(COLUMN($M35:$BH35),4)=MOD(COLUMN($M35)+2,4)),$M35:$BH35)</f>
        <v/>
      </c>
      <c r="BN35" s="343">
        <f>BM35*$I35</f>
        <v/>
      </c>
      <c r="BO35" s="74" t="n"/>
      <c r="BP35" s="79" t="n"/>
      <c r="BQ35" s="75" t="n"/>
      <c r="BR35" s="28" t="n"/>
      <c r="BS35" s="75" t="n"/>
      <c r="BT35" s="74" t="n"/>
      <c r="BU35" s="79" t="n"/>
      <c r="BV35" s="75" t="n"/>
      <c r="BW35" s="28" t="n"/>
      <c r="BX35" s="75" t="n"/>
      <c r="BY35" s="74" t="n"/>
      <c r="BZ35" s="79" t="n"/>
      <c r="CA35" s="75" t="n"/>
      <c r="CB35" s="28" t="n"/>
      <c r="CC35" s="75" t="n"/>
      <c r="CD35" s="74" t="n"/>
      <c r="CE35" s="79" t="n"/>
      <c r="CF35" s="75" t="n"/>
      <c r="CG35" s="28" t="n"/>
      <c r="CH35" s="75" t="n"/>
      <c r="CI35" s="74" t="n"/>
      <c r="CJ35" s="79" t="n"/>
      <c r="CK35" s="75" t="n"/>
      <c r="CL35" s="28" t="n"/>
      <c r="CM35" s="75" t="n"/>
      <c r="CN35" s="74" t="n"/>
      <c r="CO35" s="79" t="n"/>
      <c r="CP35" s="75" t="n"/>
      <c r="CQ35" s="28" t="n"/>
      <c r="CR35" s="75" t="n"/>
      <c r="CS35" s="74" t="n"/>
      <c r="CT35" s="79" t="n"/>
      <c r="CU35" s="75" t="n"/>
      <c r="CV35" s="28" t="n"/>
      <c r="CW35" s="75" t="n"/>
      <c r="CX35" s="74" t="n"/>
      <c r="CY35" s="79" t="n"/>
      <c r="CZ35" s="75" t="n"/>
      <c r="DA35" s="28" t="n"/>
      <c r="DB35" s="75" t="n"/>
      <c r="DC35" s="74" t="n"/>
      <c r="DD35" s="79" t="n"/>
      <c r="DE35" s="75" t="n"/>
      <c r="DF35" s="38" t="n">
        <v>0</v>
      </c>
      <c r="DG35" s="75" t="n"/>
      <c r="DH35" s="74" t="n"/>
      <c r="DI35" s="79" t="n"/>
      <c r="DJ35" s="75" t="n"/>
      <c r="DK35" s="28" t="n"/>
      <c r="DL35" s="75" t="n"/>
      <c r="DM35" s="74" t="n"/>
      <c r="DN35" s="79" t="n"/>
      <c r="DO35" s="75" t="n"/>
      <c r="DP35" s="28" t="n"/>
      <c r="DQ35" s="75" t="n"/>
      <c r="DR35" s="74" t="n"/>
      <c r="DS35" s="79" t="n"/>
      <c r="DT35" s="75" t="n"/>
      <c r="DU35" s="28" t="n"/>
      <c r="DV35" s="75" t="n"/>
      <c r="DW35" s="338" t="n"/>
      <c r="DX35" s="339" t="n"/>
      <c r="DY35" s="344" t="n"/>
      <c r="DZ35" s="345" t="n"/>
      <c r="EA35" s="340" t="n"/>
      <c r="EB35" s="341" t="n"/>
      <c r="EC35" s="342" t="n"/>
      <c r="ED35" s="343" t="n"/>
      <c r="EE35" s="74" t="n"/>
      <c r="EF35" s="75" t="n"/>
      <c r="EG35" s="28" t="n"/>
      <c r="EH35" s="75" t="n"/>
      <c r="EI35" s="74" t="n"/>
      <c r="EJ35" s="75" t="n"/>
      <c r="EK35" s="28" t="n"/>
      <c r="EL35" s="75" t="n"/>
      <c r="EM35" s="74" t="n"/>
      <c r="EN35" s="75" t="n"/>
      <c r="EO35" s="28" t="n"/>
      <c r="EP35" s="75" t="n"/>
      <c r="EQ35" s="74" t="n"/>
      <c r="ER35" s="75" t="n"/>
      <c r="ES35" s="28" t="n"/>
      <c r="ET35" s="75" t="n"/>
      <c r="EU35" s="74" t="n"/>
      <c r="EV35" s="75" t="n"/>
      <c r="EW35" s="28" t="n"/>
      <c r="EX35" s="75" t="n"/>
      <c r="EY35" s="74" t="n"/>
      <c r="EZ35" s="75" t="n"/>
      <c r="FA35" s="28" t="n"/>
      <c r="FB35" s="75" t="n"/>
      <c r="FC35" s="74" t="n"/>
      <c r="FD35" s="75" t="n"/>
      <c r="FE35" s="28" t="n"/>
      <c r="FF35" s="75" t="n"/>
      <c r="FG35" s="74" t="n"/>
      <c r="FH35" s="75" t="n"/>
      <c r="FI35" s="28" t="n"/>
      <c r="FJ35" s="75" t="n"/>
      <c r="FK35" s="74" t="n"/>
      <c r="FL35" s="75" t="n"/>
      <c r="FM35" s="28" t="n"/>
      <c r="FN35" s="75" t="n"/>
      <c r="FO35" s="74" t="n"/>
      <c r="FP35" s="75" t="n"/>
      <c r="FQ35" s="28" t="n"/>
      <c r="FR35" s="75" t="n"/>
      <c r="FS35" s="74" t="n"/>
      <c r="FT35" s="75" t="n"/>
      <c r="FU35" s="28" t="n"/>
      <c r="FV35" s="75" t="n"/>
      <c r="FW35" s="74" t="n"/>
      <c r="FX35" s="75" t="n"/>
      <c r="FY35" s="28" t="n"/>
      <c r="FZ35" s="75" t="n"/>
      <c r="GA35" s="338" t="n"/>
      <c r="GB35" s="339" t="n"/>
      <c r="GC35" s="340" t="n"/>
      <c r="GD35" s="341" t="n"/>
      <c r="GE35" s="342" t="n"/>
      <c r="GF35" s="343" t="n"/>
      <c r="GG35" s="74" t="n"/>
      <c r="GH35" s="75" t="n"/>
      <c r="GI35" s="28" t="n"/>
      <c r="GJ35" s="75" t="n"/>
      <c r="GK35" s="74" t="n"/>
      <c r="GL35" s="75" t="n"/>
      <c r="GM35" s="28" t="n"/>
      <c r="GN35" s="75" t="n"/>
      <c r="GO35" s="74" t="n"/>
      <c r="GP35" s="75" t="n"/>
      <c r="GQ35" s="28" t="n"/>
      <c r="GR35" s="75" t="n"/>
      <c r="GS35" s="74" t="n"/>
      <c r="GT35" s="75" t="n"/>
      <c r="GU35" s="28" t="n"/>
      <c r="GV35" s="75" t="n"/>
      <c r="GW35" s="74" t="n"/>
      <c r="GX35" s="75" t="n"/>
      <c r="GY35" s="28" t="n"/>
      <c r="GZ35" s="75" t="n"/>
      <c r="HA35" s="74" t="n"/>
      <c r="HB35" s="75" t="n"/>
      <c r="HC35" s="28" t="n"/>
      <c r="HD35" s="75" t="n"/>
      <c r="HE35" s="74" t="n"/>
      <c r="HF35" s="75" t="n"/>
      <c r="HG35" s="28" t="n"/>
      <c r="HH35" s="75" t="n"/>
      <c r="HI35" s="74" t="n"/>
      <c r="HJ35" s="75" t="n"/>
      <c r="HK35" s="28" t="n"/>
      <c r="HL35" s="75" t="n"/>
      <c r="HM35" s="74" t="n"/>
      <c r="HN35" s="75" t="n"/>
      <c r="HO35" s="28" t="n"/>
      <c r="HP35" s="75" t="n"/>
      <c r="HQ35" s="74" t="n"/>
      <c r="HR35" s="75" t="n"/>
      <c r="HS35" s="28" t="n"/>
      <c r="HT35" s="75" t="n"/>
      <c r="HU35" s="74" t="n"/>
      <c r="HV35" s="75" t="n"/>
      <c r="HW35" s="28" t="n"/>
      <c r="HX35" s="75" t="n"/>
      <c r="HY35" s="74" t="n"/>
      <c r="HZ35" s="75" t="n"/>
      <c r="IA35" s="28" t="n"/>
      <c r="IB35" s="75" t="n"/>
      <c r="IC35" s="338" t="n"/>
      <c r="ID35" s="339" t="n"/>
      <c r="IE35" s="340" t="n"/>
      <c r="IF35" s="341" t="n"/>
      <c r="IG35" s="342" t="n"/>
      <c r="IH35" s="343" t="n"/>
      <c r="II35" s="74" t="n"/>
      <c r="IJ35" s="75" t="n"/>
      <c r="IK35" s="28" t="n"/>
      <c r="IL35" s="75" t="n"/>
      <c r="IM35" s="74" t="n"/>
      <c r="IN35" s="75" t="n"/>
      <c r="IO35" s="28" t="n"/>
      <c r="IP35" s="75" t="n"/>
      <c r="IQ35" s="74" t="n"/>
      <c r="IR35" s="75" t="n"/>
      <c r="IS35" s="28" t="n"/>
      <c r="IT35" s="75" t="n"/>
      <c r="IU35" s="74" t="n"/>
      <c r="IV35" s="75" t="n"/>
      <c r="IW35" s="28" t="n"/>
      <c r="IX35" s="75" t="n"/>
      <c r="IY35" s="74" t="n"/>
      <c r="IZ35" s="75" t="n"/>
      <c r="JA35" s="28" t="n"/>
      <c r="JB35" s="75" t="n"/>
      <c r="JC35" s="74" t="n"/>
      <c r="JD35" s="75" t="n"/>
      <c r="JE35" s="28" t="n"/>
      <c r="JF35" s="75" t="n"/>
      <c r="JG35" s="74" t="n"/>
      <c r="JH35" s="75" t="n"/>
      <c r="JI35" s="28" t="n"/>
      <c r="JJ35" s="75" t="n"/>
      <c r="JK35" s="74" t="n"/>
      <c r="JL35" s="75" t="n"/>
      <c r="JM35" s="28" t="n"/>
      <c r="JN35" s="75" t="n"/>
      <c r="JO35" s="74" t="n"/>
      <c r="JP35" s="75" t="n"/>
      <c r="JQ35" s="28" t="n"/>
      <c r="JR35" s="75" t="n"/>
      <c r="JS35" s="74" t="n"/>
      <c r="JT35" s="75" t="n"/>
      <c r="JU35" s="28" t="n"/>
      <c r="JV35" s="75" t="n"/>
      <c r="JW35" s="74" t="n"/>
      <c r="JX35" s="75" t="n"/>
      <c r="JY35" s="28" t="n"/>
      <c r="JZ35" s="75" t="n"/>
      <c r="KA35" s="74" t="n"/>
      <c r="KB35" s="75" t="n"/>
      <c r="KC35" s="28" t="n"/>
      <c r="KD35" s="75" t="n"/>
      <c r="KE35" s="338" t="n"/>
      <c r="KF35" s="339" t="n"/>
      <c r="KG35" s="340" t="n"/>
      <c r="KH35" s="341" t="n"/>
      <c r="KI35" s="342" t="n"/>
      <c r="KJ35" s="346" t="n"/>
      <c r="KK35" s="80" t="n"/>
      <c r="KL35" s="80" t="n"/>
      <c r="KM35" s="80" t="n"/>
      <c r="KN35" s="253" t="n"/>
      <c r="KO35" s="253" t="n"/>
    </row>
    <row r="36" customFormat="1" s="68">
      <c r="A36" s="82" t="inlineStr">
        <is>
          <t>НЕФАЗ ПАО</t>
        </is>
      </c>
      <c r="B36" s="81" t="n"/>
      <c r="C36" s="82" t="n"/>
      <c r="D36" s="82" t="n"/>
      <c r="E36" s="83" t="n"/>
      <c r="F36" s="83" t="n"/>
      <c r="G36" s="84" t="n"/>
      <c r="H36" s="85" t="n"/>
      <c r="I36" s="362" t="n"/>
      <c r="J36" s="362" t="n"/>
      <c r="K36" s="362" t="n"/>
      <c r="L36" s="362" t="n"/>
      <c r="M36" s="81" t="n"/>
      <c r="N36" s="81" t="n"/>
      <c r="O36" s="81" t="n"/>
      <c r="P36" s="81" t="n"/>
      <c r="Q36" s="81" t="n"/>
      <c r="R36" s="81" t="n"/>
      <c r="S36" s="81" t="n"/>
      <c r="T36" s="81" t="n"/>
      <c r="U36" s="81" t="n"/>
      <c r="V36" s="81" t="n"/>
      <c r="W36" s="81" t="n"/>
      <c r="X36" s="81" t="n"/>
      <c r="Y36" s="81" t="n"/>
      <c r="Z36" s="81" t="n"/>
      <c r="AA36" s="81" t="n"/>
      <c r="AB36" s="81" t="n"/>
      <c r="AC36" s="81" t="n"/>
      <c r="AD36" s="81" t="n"/>
      <c r="AE36" s="81" t="n"/>
      <c r="AF36" s="81" t="n"/>
      <c r="AG36" s="81" t="n"/>
      <c r="AH36" s="81" t="n"/>
      <c r="AI36" s="81" t="n"/>
      <c r="AJ36" s="81" t="n"/>
      <c r="AK36" s="81" t="n"/>
      <c r="AL36" s="81" t="n"/>
      <c r="AM36" s="81" t="n"/>
      <c r="AN36" s="81" t="n"/>
      <c r="AO36" s="81" t="n"/>
      <c r="AP36" s="81" t="n"/>
      <c r="AQ36" s="81" t="n"/>
      <c r="AR36" s="81" t="n"/>
      <c r="AS36" s="81" t="n"/>
      <c r="AT36" s="81" t="n"/>
      <c r="AU36" s="81" t="n"/>
      <c r="AV36" s="81" t="n"/>
      <c r="AW36" s="81" t="n"/>
      <c r="AX36" s="81" t="n"/>
      <c r="AY36" s="87" t="n"/>
      <c r="AZ36" s="81" t="n"/>
      <c r="BA36" s="87" t="n"/>
      <c r="BB36" s="87" t="n"/>
      <c r="BC36" s="88" t="n"/>
      <c r="BD36" s="81" t="n"/>
      <c r="BE36" s="87" t="n"/>
      <c r="BF36" s="87" t="n"/>
      <c r="BG36" s="87" t="n"/>
      <c r="BH36" s="81" t="n"/>
      <c r="BI36" s="363">
        <f>SUMPRODUCT(--(MOD(COLUMN($M36:$BH36),4)=MOD(COLUMN($M36),4)),$M36:$BH36)</f>
        <v/>
      </c>
      <c r="BJ36" s="364">
        <f>BI36*$I36</f>
        <v/>
      </c>
      <c r="BK36" s="363">
        <f>SUMPRODUCT(--(MOD(COLUMN($M36:$BH36),4)=MOD(COLUMN($M36)+1,4)),$M36:$BH36)</f>
        <v/>
      </c>
      <c r="BL36" s="364">
        <f>BK36*$I36</f>
        <v/>
      </c>
      <c r="BM36" s="363">
        <f>SUMPRODUCT(--(MOD(COLUMN($M36:$BH36),4)=MOD(COLUMN($M36)+2,4)),$M36:$BH36)</f>
        <v/>
      </c>
      <c r="BN36" s="364">
        <f>BM36*$I36</f>
        <v/>
      </c>
      <c r="BO36" s="81" t="n"/>
      <c r="BP36" s="81" t="n"/>
      <c r="BQ36" s="81" t="n"/>
      <c r="BR36" s="81" t="n"/>
      <c r="BS36" s="81" t="n"/>
      <c r="BT36" s="81" t="n"/>
      <c r="BU36" s="81" t="n"/>
      <c r="BV36" s="81" t="n"/>
      <c r="BW36" s="81" t="n"/>
      <c r="BX36" s="81" t="n"/>
      <c r="BY36" s="81" t="n"/>
      <c r="BZ36" s="81" t="n"/>
      <c r="CA36" s="81" t="n"/>
      <c r="CB36" s="81" t="n"/>
      <c r="CC36" s="81" t="n"/>
      <c r="CD36" s="81" t="n"/>
      <c r="CE36" s="81" t="n"/>
      <c r="CF36" s="81" t="n"/>
      <c r="CG36" s="81" t="n"/>
      <c r="CH36" s="81" t="n"/>
      <c r="CI36" s="81" t="n"/>
      <c r="CJ36" s="81" t="n"/>
      <c r="CK36" s="81" t="n"/>
      <c r="CL36" s="81" t="n"/>
      <c r="CM36" s="81" t="n"/>
      <c r="CN36" s="81" t="n"/>
      <c r="CO36" s="81" t="n"/>
      <c r="CP36" s="81" t="n"/>
      <c r="CQ36" s="81" t="n"/>
      <c r="CR36" s="81" t="n"/>
      <c r="CS36" s="81" t="n"/>
      <c r="CT36" s="81" t="n"/>
      <c r="CU36" s="81" t="n"/>
      <c r="CV36" s="81" t="n"/>
      <c r="CW36" s="81" t="n"/>
      <c r="CX36" s="81" t="n"/>
      <c r="CY36" s="81" t="n"/>
      <c r="CZ36" s="81" t="n"/>
      <c r="DA36" s="81" t="n"/>
      <c r="DB36" s="81" t="n"/>
      <c r="DC36" s="81" t="n"/>
      <c r="DD36" s="81" t="n"/>
      <c r="DE36" s="81" t="n"/>
      <c r="DF36" s="81" t="n"/>
      <c r="DG36" s="81" t="n"/>
      <c r="DH36" s="81" t="n"/>
      <c r="DI36" s="81" t="n"/>
      <c r="DJ36" s="81" t="n"/>
      <c r="DK36" s="81" t="n"/>
      <c r="DL36" s="81" t="n"/>
      <c r="DM36" s="81" t="n"/>
      <c r="DN36" s="81" t="n"/>
      <c r="DO36" s="81" t="n"/>
      <c r="DP36" s="81" t="n"/>
      <c r="DQ36" s="81" t="n"/>
      <c r="DR36" s="81" t="n"/>
      <c r="DS36" s="81" t="n"/>
      <c r="DT36" s="81" t="n"/>
      <c r="DU36" s="81" t="n"/>
      <c r="DV36" s="81" t="n"/>
      <c r="DW36" s="363">
        <f>SUMPRODUCT(--(MOD(COLUMN($BO36:$DV36),5)=MOD(COLUMN($BO36),5)),$BO36:$DV36)</f>
        <v/>
      </c>
      <c r="DX36" s="364">
        <f>DW36*$J36</f>
        <v/>
      </c>
      <c r="DY36" s="363">
        <f>SUMPRODUCT(--(MOD(COLUMN($BO36:$DV36),5)=MOD(COLUMN($BO36),5)+1),$BO36:$DV36)</f>
        <v/>
      </c>
      <c r="DZ36" s="364">
        <f>DY36*$J36</f>
        <v/>
      </c>
      <c r="EA36" s="363">
        <f>SUMPRODUCT(--(MOD(COLUMN($BO36:$DV36),5)=MOD(COLUMN($BO36),5)+2),$BO36:$DV36)</f>
        <v/>
      </c>
      <c r="EB36" s="364">
        <f>EA36*$J36</f>
        <v/>
      </c>
      <c r="EC36" s="363">
        <f>SUMPRODUCT(--(MOD(COLUMN($BO36:$DV36),5)=MOD(COLUMN($BO36),5)+3),$BO36:$DV36)</f>
        <v/>
      </c>
      <c r="ED36" s="364">
        <f>EC36*$J36</f>
        <v/>
      </c>
      <c r="EE36" s="81" t="n"/>
      <c r="EF36" s="81" t="n"/>
      <c r="EG36" s="81" t="n"/>
      <c r="EH36" s="81" t="n"/>
      <c r="EI36" s="81" t="n"/>
      <c r="EJ36" s="81" t="n"/>
      <c r="EK36" s="81" t="n"/>
      <c r="EL36" s="81" t="n"/>
      <c r="EM36" s="81" t="n"/>
      <c r="EN36" s="81" t="n"/>
      <c r="EO36" s="81" t="n"/>
      <c r="EP36" s="81" t="n"/>
      <c r="EQ36" s="81" t="n"/>
      <c r="ER36" s="81" t="n"/>
      <c r="ES36" s="81" t="n"/>
      <c r="ET36" s="81" t="n"/>
      <c r="EU36" s="81" t="n"/>
      <c r="EV36" s="81" t="n"/>
      <c r="EW36" s="81" t="n"/>
      <c r="EX36" s="81" t="n"/>
      <c r="EY36" s="81" t="n"/>
      <c r="EZ36" s="81" t="n"/>
      <c r="FA36" s="81" t="n"/>
      <c r="FB36" s="81" t="n"/>
      <c r="FC36" s="81" t="n"/>
      <c r="FD36" s="81" t="n"/>
      <c r="FE36" s="81" t="n"/>
      <c r="FF36" s="81" t="n"/>
      <c r="FG36" s="81" t="n"/>
      <c r="FH36" s="81" t="n"/>
      <c r="FI36" s="81" t="n"/>
      <c r="FJ36" s="81" t="n"/>
      <c r="FK36" s="81" t="n"/>
      <c r="FL36" s="81" t="n"/>
      <c r="FM36" s="81" t="n"/>
      <c r="FN36" s="81" t="n"/>
      <c r="FO36" s="81" t="n"/>
      <c r="FP36" s="81" t="n"/>
      <c r="FQ36" s="81" t="n"/>
      <c r="FR36" s="81" t="n"/>
      <c r="FS36" s="81" t="n"/>
      <c r="FT36" s="81" t="n"/>
      <c r="FU36" s="81" t="n"/>
      <c r="FV36" s="81" t="n"/>
      <c r="FW36" s="81" t="n"/>
      <c r="FX36" s="81" t="n"/>
      <c r="FY36" s="81" t="n"/>
      <c r="FZ36" s="81" t="n"/>
      <c r="GA36" s="363" t="n"/>
      <c r="GB36" s="364" t="n"/>
      <c r="GC36" s="365" t="n"/>
      <c r="GD36" s="366" t="n"/>
      <c r="GE36" s="363" t="n"/>
      <c r="GF36" s="364" t="n"/>
      <c r="GG36" s="81" t="n"/>
      <c r="GH36" s="81" t="n"/>
      <c r="GI36" s="81" t="n"/>
      <c r="GJ36" s="81" t="n"/>
      <c r="GK36" s="81" t="n"/>
      <c r="GL36" s="81" t="n"/>
      <c r="GM36" s="81" t="n"/>
      <c r="GN36" s="81" t="n"/>
      <c r="GO36" s="81" t="n"/>
      <c r="GP36" s="81" t="n"/>
      <c r="GQ36" s="81" t="n"/>
      <c r="GR36" s="81" t="n"/>
      <c r="GS36" s="81" t="n"/>
      <c r="GT36" s="81" t="n"/>
      <c r="GU36" s="81" t="n"/>
      <c r="GV36" s="81" t="n"/>
      <c r="GW36" s="81" t="n"/>
      <c r="GX36" s="81" t="n"/>
      <c r="GY36" s="81" t="n"/>
      <c r="GZ36" s="81" t="n"/>
      <c r="HA36" s="81" t="n"/>
      <c r="HB36" s="81" t="n"/>
      <c r="HC36" s="81" t="n"/>
      <c r="HD36" s="81" t="n"/>
      <c r="HE36" s="81" t="n"/>
      <c r="HF36" s="81" t="n"/>
      <c r="HG36" s="81" t="n"/>
      <c r="HH36" s="81" t="n"/>
      <c r="HI36" s="81" t="n"/>
      <c r="HJ36" s="81" t="n"/>
      <c r="HK36" s="81" t="n"/>
      <c r="HL36" s="81" t="n"/>
      <c r="HM36" s="81" t="n"/>
      <c r="HN36" s="81" t="n"/>
      <c r="HO36" s="81" t="n"/>
      <c r="HP36" s="81" t="n"/>
      <c r="HQ36" s="81" t="n"/>
      <c r="HR36" s="81" t="n"/>
      <c r="HS36" s="81" t="n"/>
      <c r="HT36" s="81" t="n"/>
      <c r="HU36" s="81" t="n"/>
      <c r="HV36" s="81" t="n"/>
      <c r="HW36" s="81" t="n"/>
      <c r="HX36" s="81" t="n"/>
      <c r="HY36" s="81" t="n"/>
      <c r="HZ36" s="81" t="n"/>
      <c r="IA36" s="81" t="n"/>
      <c r="IB36" s="81" t="n"/>
      <c r="IC36" s="363" t="n"/>
      <c r="ID36" s="364" t="n"/>
      <c r="IE36" s="365" t="n"/>
      <c r="IF36" s="366" t="n"/>
      <c r="IG36" s="363" t="n"/>
      <c r="IH36" s="364" t="n"/>
      <c r="II36" s="81" t="n"/>
      <c r="IJ36" s="81" t="n"/>
      <c r="IK36" s="81" t="n"/>
      <c r="IL36" s="81" t="n"/>
      <c r="IM36" s="81" t="n"/>
      <c r="IN36" s="81" t="n"/>
      <c r="IO36" s="81" t="n"/>
      <c r="IP36" s="81" t="n"/>
      <c r="IQ36" s="81" t="n"/>
      <c r="IR36" s="81" t="n"/>
      <c r="IS36" s="81" t="n"/>
      <c r="IT36" s="81" t="n"/>
      <c r="IU36" s="81" t="n"/>
      <c r="IV36" s="81" t="n"/>
      <c r="IW36" s="81" t="n"/>
      <c r="IX36" s="81" t="n"/>
      <c r="IY36" s="81" t="n"/>
      <c r="IZ36" s="81" t="n"/>
      <c r="JA36" s="81" t="n"/>
      <c r="JB36" s="81" t="n"/>
      <c r="JC36" s="81" t="n"/>
      <c r="JD36" s="81" t="n"/>
      <c r="JE36" s="81" t="n"/>
      <c r="JF36" s="81" t="n"/>
      <c r="JG36" s="81" t="n"/>
      <c r="JH36" s="81" t="n"/>
      <c r="JI36" s="81" t="n"/>
      <c r="JJ36" s="81" t="n"/>
      <c r="JK36" s="81" t="n"/>
      <c r="JL36" s="81" t="n"/>
      <c r="JM36" s="81" t="n"/>
      <c r="JN36" s="81" t="n"/>
      <c r="JO36" s="81" t="n"/>
      <c r="JP36" s="81" t="n"/>
      <c r="JQ36" s="81" t="n"/>
      <c r="JR36" s="81" t="n"/>
      <c r="JS36" s="81" t="n"/>
      <c r="JT36" s="81" t="n"/>
      <c r="JU36" s="81" t="n"/>
      <c r="JV36" s="81" t="n"/>
      <c r="JW36" s="81" t="n"/>
      <c r="JX36" s="81" t="n"/>
      <c r="JY36" s="81" t="n"/>
      <c r="JZ36" s="81" t="n"/>
      <c r="KA36" s="81" t="n"/>
      <c r="KB36" s="81" t="n"/>
      <c r="KC36" s="81" t="n"/>
      <c r="KD36" s="81" t="n"/>
      <c r="KE36" s="363" t="n"/>
      <c r="KF36" s="364" t="n"/>
      <c r="KG36" s="365" t="n"/>
      <c r="KH36" s="366" t="n"/>
      <c r="KI36" s="363" t="n"/>
      <c r="KJ36" s="367" t="n"/>
      <c r="KK36" s="80" t="n"/>
      <c r="KL36" s="80" t="n"/>
      <c r="KM36" s="80" t="n"/>
      <c r="KN36" s="253" t="n"/>
      <c r="KO36" s="253" t="n"/>
    </row>
    <row r="37" outlineLevel="1" ht="30" customFormat="1" customHeight="1" s="68">
      <c r="A37" s="334" t="inlineStr">
        <is>
          <t>ПАО «ТЗА»</t>
        </is>
      </c>
      <c r="B37" s="335" t="inlineStr">
        <is>
          <t>Отсрочка 30 дней</t>
        </is>
      </c>
      <c r="C37" s="253" t="inlineStr">
        <is>
          <t>ВБК РУС</t>
        </is>
      </c>
      <c r="D37" s="336" t="inlineStr">
        <is>
          <t>Мустафин Ринат</t>
        </is>
      </c>
      <c r="E37" s="15" t="n">
        <v>1</v>
      </c>
      <c r="F37" s="15" t="n">
        <v>1</v>
      </c>
      <c r="G37" s="33" t="n">
        <v>9522010010</v>
      </c>
      <c r="H37" s="34" t="inlineStr">
        <is>
          <t>Головка соединительная (управляющая)</t>
        </is>
      </c>
      <c r="I37" s="337">
        <f>89.6/1.2/0.98</f>
        <v/>
      </c>
      <c r="J37" s="337">
        <f>89.6/1.2</f>
        <v/>
      </c>
      <c r="K37" s="348" t="n"/>
      <c r="L37" s="348" t="n"/>
      <c r="M37" s="36" t="n">
        <v>0</v>
      </c>
      <c r="N37" s="284" t="n">
        <v>0</v>
      </c>
      <c r="O37" s="38" t="n">
        <v>0</v>
      </c>
      <c r="P37" s="284" t="n"/>
      <c r="Q37" s="36" t="n">
        <v>0</v>
      </c>
      <c r="R37" s="284" t="n">
        <v>0</v>
      </c>
      <c r="S37" s="38" t="n">
        <v>0</v>
      </c>
      <c r="T37" s="284" t="n"/>
      <c r="U37" s="36" t="n">
        <v>0</v>
      </c>
      <c r="V37" s="284" t="n">
        <v>0</v>
      </c>
      <c r="W37" s="38" t="n">
        <v>0</v>
      </c>
      <c r="X37" s="284" t="n"/>
      <c r="Y37" s="36" t="n">
        <v>5</v>
      </c>
      <c r="Z37" s="39" t="n">
        <v>0</v>
      </c>
      <c r="AA37" s="38" t="n">
        <v>0</v>
      </c>
      <c r="AB37" s="284" t="inlineStr">
        <is>
          <t>У клиента запаздывает подготовка производства</t>
        </is>
      </c>
      <c r="AC37" s="36" t="n">
        <v>20</v>
      </c>
      <c r="AD37" s="284" t="n">
        <v>0</v>
      </c>
      <c r="AE37" s="38" t="n">
        <v>0</v>
      </c>
      <c r="AF37" s="284" t="inlineStr">
        <is>
          <t>У клиента запаздывает подготовка производства
в конце месяца ожидается сборка опытного полуприцепа, компоненты закуплены в 2023 г.</t>
        </is>
      </c>
      <c r="AG37" s="36" t="n">
        <v>20</v>
      </c>
      <c r="AH37" s="284" t="n">
        <v>0</v>
      </c>
      <c r="AI37" s="38" t="n">
        <v>0</v>
      </c>
      <c r="AJ37" s="284" t="inlineStr">
        <is>
          <t>У клиента запаздывает подготовка производства
в конце месяца ожидается сборка опытного полуприцепа, компоненты закуплены в 2023 г.</t>
        </is>
      </c>
      <c r="AK37" s="36" t="n">
        <v>20</v>
      </c>
      <c r="AL37" s="284" t="n">
        <v>0</v>
      </c>
      <c r="AM37" s="38" t="n">
        <v>0</v>
      </c>
      <c r="AN37" s="284" t="inlineStr">
        <is>
          <t>Клиент пока не запускает производство полуприцепов</t>
        </is>
      </c>
      <c r="AO37" s="36" t="n">
        <v>20</v>
      </c>
      <c r="AP37" s="284" t="n">
        <v>0</v>
      </c>
      <c r="AQ37" s="38" t="n">
        <v>0</v>
      </c>
      <c r="AR37" s="284" t="inlineStr">
        <is>
          <t>Клиент пока не запускает производство полуприцепов</t>
        </is>
      </c>
      <c r="AS37" s="36" t="n">
        <v>20</v>
      </c>
      <c r="AT37" s="284" t="n">
        <v>0</v>
      </c>
      <c r="AU37" s="38" t="n">
        <v>0</v>
      </c>
      <c r="AV37" s="284" t="inlineStr">
        <is>
          <t>Клиент пока не запускает производство полуприцепов</t>
        </is>
      </c>
      <c r="AW37" s="36" t="n">
        <v>20</v>
      </c>
      <c r="AX37" s="284" t="n">
        <v>0</v>
      </c>
      <c r="AY37" s="38" t="n">
        <v>0</v>
      </c>
      <c r="AZ37" s="284" t="inlineStr">
        <is>
          <t>Клиент пока не запускает производство полуприцепов</t>
        </is>
      </c>
      <c r="BA37" s="36" t="n">
        <v>20</v>
      </c>
      <c r="BB37" s="284" t="n">
        <v>0</v>
      </c>
      <c r="BC37" s="92" t="n">
        <v>0</v>
      </c>
      <c r="BD37" s="284" t="n"/>
      <c r="BE37" s="36" t="n">
        <v>20</v>
      </c>
      <c r="BF37" s="284">
        <f>$KN37*0</f>
        <v/>
      </c>
      <c r="BG37" s="54" t="n">
        <v>0</v>
      </c>
      <c r="BH37" s="284" t="n"/>
      <c r="BI37" s="338">
        <f>SUMPRODUCT(--(MOD(COLUMN($M37:$BH37),4)=MOD(COLUMN($M37),4)),$M37:$BH37)</f>
        <v/>
      </c>
      <c r="BJ37" s="339">
        <f>BI37*$I37</f>
        <v/>
      </c>
      <c r="BK37" s="340">
        <f>SUMPRODUCT(--(MOD(COLUMN($M37:$BH37),4)=MOD(COLUMN($M37)+1,4)),$M37:$BH37)</f>
        <v/>
      </c>
      <c r="BL37" s="341">
        <f>BK37*$I37</f>
        <v/>
      </c>
      <c r="BM37" s="342">
        <f>SUMPRODUCT(--(MOD(COLUMN($M37:$BH37),4)=MOD(COLUMN($M37)+2,4)),$M37:$BH37)</f>
        <v/>
      </c>
      <c r="BN37" s="343">
        <f>BM37*$I37</f>
        <v/>
      </c>
      <c r="BO37" s="36">
        <f>$KN37*5</f>
        <v/>
      </c>
      <c r="BP37" s="47">
        <f>$KN37*0</f>
        <v/>
      </c>
      <c r="BQ37" s="284">
        <f>$KN37*5</f>
        <v/>
      </c>
      <c r="BR37" s="38" t="n">
        <v>2</v>
      </c>
      <c r="BS37" s="284" t="n"/>
      <c r="BT37" s="36">
        <f>$KN37*5</f>
        <v/>
      </c>
      <c r="BU37" s="47">
        <f>$KN37*1</f>
        <v/>
      </c>
      <c r="BV37" s="284">
        <f>$KN37*0</f>
        <v/>
      </c>
      <c r="BW37" s="38" t="n">
        <v>5</v>
      </c>
      <c r="BX37" s="284" t="n"/>
      <c r="BY37" s="36">
        <f>$KN37*5</f>
        <v/>
      </c>
      <c r="BZ37" s="47">
        <f>$KN37*0</f>
        <v/>
      </c>
      <c r="CA37" s="284" t="n">
        <v>0</v>
      </c>
      <c r="CB37" s="38" t="n">
        <v>0</v>
      </c>
      <c r="CC37" s="284" t="n"/>
      <c r="CD37" s="36">
        <f>$KN37*5</f>
        <v/>
      </c>
      <c r="CE37" s="47">
        <f>$KN37*0</f>
        <v/>
      </c>
      <c r="CF37" s="284">
        <f>$KN37*0</f>
        <v/>
      </c>
      <c r="CG37" s="38" t="n">
        <v>0</v>
      </c>
      <c r="CH37" s="284" t="n"/>
      <c r="CI37" s="36">
        <f>$KN37*5</f>
        <v/>
      </c>
      <c r="CJ37" s="47">
        <f>$KN37*5</f>
        <v/>
      </c>
      <c r="CK37" s="284" t="n">
        <v>0</v>
      </c>
      <c r="CL37" s="38" t="n">
        <v>0</v>
      </c>
      <c r="CM37" s="284" t="n"/>
      <c r="CN37" s="36">
        <f>$KN37*5</f>
        <v/>
      </c>
      <c r="CO37" s="47">
        <f>$KN37*5</f>
        <v/>
      </c>
      <c r="CP37" s="284">
        <f>$KN37*0</f>
        <v/>
      </c>
      <c r="CQ37" s="38" t="n">
        <v>0</v>
      </c>
      <c r="CR37" s="284" t="n"/>
      <c r="CS37" s="36">
        <f>$KN37*20</f>
        <v/>
      </c>
      <c r="CT37" s="47">
        <f>$KN37*20</f>
        <v/>
      </c>
      <c r="CU37" s="39">
        <f>$KN37*0</f>
        <v/>
      </c>
      <c r="CV37" s="38" t="n">
        <v>0</v>
      </c>
      <c r="CW37" s="284" t="n"/>
      <c r="CX37" s="36">
        <f>$KN37*20</f>
        <v/>
      </c>
      <c r="CY37" s="47">
        <f>$KN37*20</f>
        <v/>
      </c>
      <c r="CZ37" s="39">
        <f>$KN37*0</f>
        <v/>
      </c>
      <c r="DA37" s="38" t="n">
        <v>0</v>
      </c>
      <c r="DB37" s="284" t="n"/>
      <c r="DC37" s="36">
        <f>$KN37*20</f>
        <v/>
      </c>
      <c r="DD37" s="47">
        <f>$KN37*20</f>
        <v/>
      </c>
      <c r="DE37" s="284">
        <f>$KN37*0</f>
        <v/>
      </c>
      <c r="DF37" s="38" t="n">
        <v>0</v>
      </c>
      <c r="DG37" s="284" t="n"/>
      <c r="DH37" s="36">
        <f>$KN37*20</f>
        <v/>
      </c>
      <c r="DI37" s="47">
        <f>$KN37*20</f>
        <v/>
      </c>
      <c r="DJ37" s="284">
        <f>$KN37*0</f>
        <v/>
      </c>
      <c r="DK37" s="38" t="n">
        <v>0</v>
      </c>
      <c r="DL37" s="284" t="n"/>
      <c r="DM37" s="36">
        <f>$KN37*20</f>
        <v/>
      </c>
      <c r="DN37" s="47">
        <f>$KN37*20</f>
        <v/>
      </c>
      <c r="DO37" s="284">
        <f>$KN37*0</f>
        <v/>
      </c>
      <c r="DP37" s="38" t="n">
        <v>0</v>
      </c>
      <c r="DQ37" s="226" t="inlineStr">
        <is>
          <t>Заказ ноября перенесен на декабрь</t>
        </is>
      </c>
      <c r="DR37" s="36">
        <f>$KN37*20</f>
        <v/>
      </c>
      <c r="DS37" s="47">
        <f>$KN37*20</f>
        <v/>
      </c>
      <c r="DT37" s="284">
        <f>$KN37*0</f>
        <v/>
      </c>
      <c r="DU37" s="38" t="n">
        <v>0</v>
      </c>
      <c r="DV37" s="284" t="n"/>
      <c r="DW37" s="338">
        <f t="array" ref="DW37">SUMPRODUCT(--(MOD(COLUMN($BO37:$DV37),5)=MOD(COLUMN($BO37),5)),$BO37:$DV37)</f>
        <v/>
      </c>
      <c r="DX37" s="339">
        <f>DW37*$J37</f>
        <v/>
      </c>
      <c r="DY37" s="344">
        <f t="array" ref="DY37">SUMPRODUCT(--(MOD(COLUMN($BO37:$DV37),5)=MOD(COLUMN($BP37),5)),$BO37:$DV37)</f>
        <v/>
      </c>
      <c r="DZ37" s="345">
        <f>DY37*$J37</f>
        <v/>
      </c>
      <c r="EA37" s="340">
        <f t="array" ref="EA37">SUMPRODUCT(--(MOD(COLUMN($BO37:$DV37),5)=MOD(COLUMN($BQ37),5)),$BO37:$DV37)</f>
        <v/>
      </c>
      <c r="EB37" s="341">
        <f>EA37*$J37</f>
        <v/>
      </c>
      <c r="EC37" s="342">
        <f t="array" ref="EC37">SUMPRODUCT(--(MOD(COLUMN($BO37:$DV37),5)=MOD(COLUMN($BR37),5)),$BO37:$DV37)</f>
        <v/>
      </c>
      <c r="ED37" s="343">
        <f>EC37*$J37</f>
        <v/>
      </c>
      <c r="EE37" s="36">
        <f>$KN37*0</f>
        <v/>
      </c>
      <c r="EF37" s="284" t="n">
        <v>2</v>
      </c>
      <c r="EG37" s="38" t="n">
        <v>0</v>
      </c>
      <c r="EH37" s="284" t="n"/>
      <c r="EI37" s="36" t="n">
        <v>5</v>
      </c>
      <c r="EJ37" s="284" t="n">
        <v>2</v>
      </c>
      <c r="EK37" s="38" t="n">
        <v>2</v>
      </c>
      <c r="EL37" s="284" t="n"/>
      <c r="EM37" s="36" t="n">
        <v>5</v>
      </c>
      <c r="EN37" s="284" t="n">
        <v>0</v>
      </c>
      <c r="EO37" s="38" t="n">
        <v>0</v>
      </c>
      <c r="EP37" s="284" t="n"/>
      <c r="EQ37" s="36">
        <f>$KN37*10</f>
        <v/>
      </c>
      <c r="ER37" s="284" t="n">
        <v>0</v>
      </c>
      <c r="ES37" s="38" t="n">
        <v>0</v>
      </c>
      <c r="ET37" s="284" t="inlineStr">
        <is>
          <t>Заказ апреля перенесен на май</t>
        </is>
      </c>
      <c r="EU37" s="36">
        <f>$KN37*15</f>
        <v/>
      </c>
      <c r="EV37" s="155" t="n">
        <v>2</v>
      </c>
      <c r="EW37" s="38" t="n">
        <v>0</v>
      </c>
      <c r="EX37" s="284" t="n"/>
      <c r="EY37" s="36">
        <f>$KN37*20</f>
        <v/>
      </c>
      <c r="EZ37" s="155" t="n">
        <v>16</v>
      </c>
      <c r="FA37" s="38" t="n">
        <v>0</v>
      </c>
      <c r="FB37" s="284" t="n"/>
      <c r="FC37" s="36">
        <f>$KN37*25</f>
        <v/>
      </c>
      <c r="FD37" s="284" t="n">
        <v>18</v>
      </c>
      <c r="FE37" s="38" t="n">
        <v>0</v>
      </c>
      <c r="FF37" s="284" t="n"/>
      <c r="FG37" s="36">
        <f>$KN37*30</f>
        <v/>
      </c>
      <c r="FH37" s="284" t="n">
        <v>10</v>
      </c>
      <c r="FI37" s="38" t="n">
        <v>0</v>
      </c>
      <c r="FJ37" s="284" t="n"/>
      <c r="FK37" s="36">
        <f>$KN37*35</f>
        <v/>
      </c>
      <c r="FL37" s="284" t="n">
        <v>10</v>
      </c>
      <c r="FM37" s="38" t="n">
        <v>0</v>
      </c>
      <c r="FN37" s="284" t="n"/>
      <c r="FO37" s="36">
        <f>$KN37*40</f>
        <v/>
      </c>
      <c r="FP37" s="284" t="n">
        <v>15</v>
      </c>
      <c r="FQ37" s="38" t="n">
        <v>0</v>
      </c>
      <c r="FR37" s="284" t="n"/>
      <c r="FS37" s="36">
        <f>$KN37*45</f>
        <v/>
      </c>
      <c r="FT37" s="284" t="n">
        <v>15</v>
      </c>
      <c r="FU37" s="38" t="n">
        <v>0</v>
      </c>
      <c r="FV37" s="284" t="n"/>
      <c r="FW37" s="36">
        <f>$KN37*50</f>
        <v/>
      </c>
      <c r="FX37" s="284" t="n">
        <v>15</v>
      </c>
      <c r="FY37" s="38" t="n">
        <v>0</v>
      </c>
      <c r="FZ37" s="284" t="n"/>
      <c r="GA37" s="338">
        <f t="array" ref="GA37">SUMPRODUCT(--(MOD(COLUMN($EE37:$FZ37),4)=MOD(COLUMN($EE37),4)),$EE37:$FZ37)</f>
        <v/>
      </c>
      <c r="GB37" s="339">
        <f>GA37*$J37</f>
        <v/>
      </c>
      <c r="GC37" s="340">
        <f t="array" ref="GC37">SUMPRODUCT(--(MOD(COLUMN($EE37:$FZ37),4)=MOD(COLUMN($EF37),4)),$EE37:$FZ37)</f>
        <v/>
      </c>
      <c r="GD37" s="341">
        <f>GC37*$J37</f>
        <v/>
      </c>
      <c r="GE37" s="342">
        <f t="array" ref="GE37">SUMPRODUCT(--(MOD(COLUMN($EE37:$FZ37),4)=MOD(COLUMN($EG37),4)),$EE37:$FZ37)</f>
        <v/>
      </c>
      <c r="GF37" s="343">
        <f>GE37*$J37</f>
        <v/>
      </c>
      <c r="GG37" s="36">
        <f>$KN37*40</f>
        <v/>
      </c>
      <c r="GH37" s="284" t="n"/>
      <c r="GI37" s="38" t="n">
        <v>0</v>
      </c>
      <c r="GJ37" s="284" t="n"/>
      <c r="GK37" s="36">
        <f>$KN37*40</f>
        <v/>
      </c>
      <c r="GL37" s="284" t="n"/>
      <c r="GM37" s="38" t="n">
        <v>0</v>
      </c>
      <c r="GN37" s="284" t="n"/>
      <c r="GO37" s="36">
        <f>$KN37*45</f>
        <v/>
      </c>
      <c r="GP37" s="284" t="n"/>
      <c r="GQ37" s="38" t="n">
        <v>0</v>
      </c>
      <c r="GR37" s="284" t="n"/>
      <c r="GS37" s="36">
        <f>$KN37*50</f>
        <v/>
      </c>
      <c r="GT37" s="284" t="n"/>
      <c r="GU37" s="38" t="n">
        <v>0</v>
      </c>
      <c r="GV37" s="284" t="n"/>
      <c r="GW37" s="36">
        <f>$KN37*50</f>
        <v/>
      </c>
      <c r="GX37" s="284" t="n"/>
      <c r="GY37" s="38" t="n">
        <v>0</v>
      </c>
      <c r="GZ37" s="284" t="n"/>
      <c r="HA37" s="36">
        <f>$KN37*50</f>
        <v/>
      </c>
      <c r="HB37" s="284" t="n"/>
      <c r="HC37" s="38" t="n">
        <v>0</v>
      </c>
      <c r="HD37" s="284" t="n"/>
      <c r="HE37" s="36">
        <f>$KN37*50</f>
        <v/>
      </c>
      <c r="HF37" s="284" t="n"/>
      <c r="HG37" s="38" t="n">
        <v>0</v>
      </c>
      <c r="HH37" s="284" t="n"/>
      <c r="HI37" s="36">
        <f>$KN37*50</f>
        <v/>
      </c>
      <c r="HJ37" s="284" t="n"/>
      <c r="HK37" s="38" t="n">
        <v>0</v>
      </c>
      <c r="HL37" s="284" t="n"/>
      <c r="HM37" s="36">
        <f>$KN37*50</f>
        <v/>
      </c>
      <c r="HN37" s="284" t="n"/>
      <c r="HO37" s="38" t="n">
        <v>0</v>
      </c>
      <c r="HP37" s="284" t="n"/>
      <c r="HQ37" s="36">
        <f>$KN37*50</f>
        <v/>
      </c>
      <c r="HR37" s="284" t="n"/>
      <c r="HS37" s="38" t="n">
        <v>0</v>
      </c>
      <c r="HT37" s="284" t="n"/>
      <c r="HU37" s="36">
        <f>$KN37*50</f>
        <v/>
      </c>
      <c r="HV37" s="284" t="n"/>
      <c r="HW37" s="38" t="n">
        <v>0</v>
      </c>
      <c r="HX37" s="284" t="n"/>
      <c r="HY37" s="36">
        <f>$KN37*50</f>
        <v/>
      </c>
      <c r="HZ37" s="284" t="n"/>
      <c r="IA37" s="38" t="n">
        <v>0</v>
      </c>
      <c r="IB37" s="284" t="n"/>
      <c r="IC37" s="338">
        <f t="array" ref="IC37">SUMPRODUCT(--(MOD(COLUMN($GG37:$IB37),4)=MOD(COLUMN($GG37),4)),$GG37:$IB37)</f>
        <v/>
      </c>
      <c r="ID37" s="339">
        <f>IC37*$J37</f>
        <v/>
      </c>
      <c r="IE37" s="340">
        <f t="array" ref="IE37">SUMPRODUCT(--(MOD(COLUMN($GG37:$IB37),4)=MOD(COLUMN($GH37),4)),$GG37:$IB37)</f>
        <v/>
      </c>
      <c r="IF37" s="341">
        <f>IE37*$J37</f>
        <v/>
      </c>
      <c r="IG37" s="342">
        <f t="array" ref="IG37">SUMPRODUCT(--(MOD(COLUMN($GG37:$IB37),4)=MOD(COLUMN($GI37),4)),$GG37:$IB37)</f>
        <v/>
      </c>
      <c r="IH37" s="343">
        <f>IG37*$J37</f>
        <v/>
      </c>
      <c r="II37" s="36">
        <f>$KN37*45</f>
        <v/>
      </c>
      <c r="IJ37" s="284" t="n"/>
      <c r="IK37" s="38" t="n">
        <v>0</v>
      </c>
      <c r="IL37" s="284" t="n"/>
      <c r="IM37" s="36">
        <f>$KN37*45</f>
        <v/>
      </c>
      <c r="IN37" s="284" t="n"/>
      <c r="IO37" s="38" t="n">
        <v>0</v>
      </c>
      <c r="IP37" s="284" t="n"/>
      <c r="IQ37" s="36">
        <f>$KN37*50</f>
        <v/>
      </c>
      <c r="IR37" s="284" t="n"/>
      <c r="IS37" s="38" t="n">
        <v>0</v>
      </c>
      <c r="IT37" s="284" t="n"/>
      <c r="IU37" s="36">
        <f>$KN37*55</f>
        <v/>
      </c>
      <c r="IV37" s="284" t="n"/>
      <c r="IW37" s="38" t="n">
        <v>0</v>
      </c>
      <c r="IX37" s="284" t="n"/>
      <c r="IY37" s="36">
        <f>$KN37*55</f>
        <v/>
      </c>
      <c r="IZ37" s="284" t="n"/>
      <c r="JA37" s="38" t="n">
        <v>0</v>
      </c>
      <c r="JB37" s="284" t="n"/>
      <c r="JC37" s="36">
        <f>$KN37*55</f>
        <v/>
      </c>
      <c r="JD37" s="284" t="n"/>
      <c r="JE37" s="38" t="n">
        <v>0</v>
      </c>
      <c r="JF37" s="284" t="n"/>
      <c r="JG37" s="36">
        <f>$KN37*60</f>
        <v/>
      </c>
      <c r="JH37" s="284" t="n"/>
      <c r="JI37" s="38" t="n">
        <v>0</v>
      </c>
      <c r="JJ37" s="284" t="n"/>
      <c r="JK37" s="36">
        <f>$KN37*60</f>
        <v/>
      </c>
      <c r="JL37" s="284" t="n"/>
      <c r="JM37" s="38" t="n">
        <v>0</v>
      </c>
      <c r="JN37" s="284" t="n"/>
      <c r="JO37" s="36">
        <f>$KN37*60</f>
        <v/>
      </c>
      <c r="JP37" s="284" t="n"/>
      <c r="JQ37" s="38" t="n">
        <v>0</v>
      </c>
      <c r="JR37" s="284" t="n"/>
      <c r="JS37" s="36">
        <f>$KN37*60</f>
        <v/>
      </c>
      <c r="JT37" s="284" t="n"/>
      <c r="JU37" s="38" t="n">
        <v>0</v>
      </c>
      <c r="JV37" s="284" t="n"/>
      <c r="JW37" s="36">
        <f>$KN37*60</f>
        <v/>
      </c>
      <c r="JX37" s="284" t="n"/>
      <c r="JY37" s="38" t="n">
        <v>0</v>
      </c>
      <c r="JZ37" s="284" t="n"/>
      <c r="KA37" s="36">
        <f>$KN37*60</f>
        <v/>
      </c>
      <c r="KB37" s="284" t="n"/>
      <c r="KC37" s="38" t="n">
        <v>0</v>
      </c>
      <c r="KD37" s="284" t="n"/>
      <c r="KE37" s="338">
        <f t="array" ref="KE37">SUMPRODUCT(--(MOD(COLUMN($II37:$KD37),4)=MOD(COLUMN($II37),4)),$II37:$KD37)</f>
        <v/>
      </c>
      <c r="KF37" s="339">
        <f>KE37*$J37</f>
        <v/>
      </c>
      <c r="KG37" s="340">
        <f t="array" ref="KG37">SUMPRODUCT(--(MOD(COLUMN($II37:$KD37),4)=MOD(COLUMN($IJ37),4)),$II37:$KD37)</f>
        <v/>
      </c>
      <c r="KH37" s="341">
        <f>KG37*$J37</f>
        <v/>
      </c>
      <c r="KI37" s="342">
        <f t="array" ref="KI37">SUMPRODUCT(--(MOD(COLUMN($II37:$KD37),4)=MOD(COLUMN($IK37),4)),$II37:$KD37)</f>
        <v/>
      </c>
      <c r="KJ37" s="346">
        <f>KI37*$J37</f>
        <v/>
      </c>
      <c r="KK37" s="80" t="n"/>
      <c r="KL37" s="80" t="n"/>
      <c r="KM37" s="80" t="n"/>
      <c r="KN37" s="51" t="n">
        <v>1</v>
      </c>
      <c r="KO37" s="285" t="inlineStr">
        <is>
          <t>TEBS 2s/2m 
12м</t>
        </is>
      </c>
    </row>
    <row r="38" outlineLevel="1" ht="43.2" customFormat="1" customHeight="1" s="68">
      <c r="A38" s="347" t="n"/>
      <c r="B38" s="347" t="n"/>
      <c r="C38" s="347" t="n"/>
      <c r="D38" s="347" t="n"/>
      <c r="E38" s="15" t="n">
        <v>2</v>
      </c>
      <c r="F38" s="15" t="n">
        <v>1</v>
      </c>
      <c r="G38" s="33" t="n">
        <v>9522010020</v>
      </c>
      <c r="H38" s="34" t="inlineStr">
        <is>
          <t>Головка соединительная (питающая)</t>
        </is>
      </c>
      <c r="I38" s="337">
        <f>89.6/1.2/0.98</f>
        <v/>
      </c>
      <c r="J38" s="337">
        <f>89.6/1.2</f>
        <v/>
      </c>
      <c r="K38" s="348" t="n"/>
      <c r="L38" s="348" t="n"/>
      <c r="M38" s="36" t="n">
        <v>0</v>
      </c>
      <c r="N38" s="284" t="n">
        <v>0</v>
      </c>
      <c r="O38" s="38" t="n">
        <v>0</v>
      </c>
      <c r="P38" s="284" t="n"/>
      <c r="Q38" s="36" t="n">
        <v>0</v>
      </c>
      <c r="R38" s="284" t="n">
        <v>0</v>
      </c>
      <c r="S38" s="38" t="n">
        <v>0</v>
      </c>
      <c r="T38" s="284" t="n"/>
      <c r="U38" s="36" t="n">
        <v>0</v>
      </c>
      <c r="V38" s="284" t="n">
        <v>0</v>
      </c>
      <c r="W38" s="38" t="n">
        <v>0</v>
      </c>
      <c r="X38" s="284" t="n"/>
      <c r="Y38" s="36" t="n">
        <v>5</v>
      </c>
      <c r="Z38" s="39" t="n">
        <v>0</v>
      </c>
      <c r="AA38" s="38" t="n">
        <v>0</v>
      </c>
      <c r="AB38" s="347" t="n"/>
      <c r="AC38" s="36" t="n">
        <v>20</v>
      </c>
      <c r="AD38" s="284" t="n">
        <v>0</v>
      </c>
      <c r="AE38" s="38" t="n">
        <v>0</v>
      </c>
      <c r="AF38" s="347" t="n"/>
      <c r="AG38" s="36" t="n">
        <v>20</v>
      </c>
      <c r="AH38" s="284" t="n">
        <v>0</v>
      </c>
      <c r="AI38" s="38" t="n">
        <v>0</v>
      </c>
      <c r="AJ38" s="347" t="n"/>
      <c r="AK38" s="36" t="n">
        <v>20</v>
      </c>
      <c r="AL38" s="284" t="n">
        <v>0</v>
      </c>
      <c r="AM38" s="38" t="n">
        <v>0</v>
      </c>
      <c r="AN38" s="347" t="n"/>
      <c r="AO38" s="36" t="n">
        <v>20</v>
      </c>
      <c r="AP38" s="284" t="n">
        <v>0</v>
      </c>
      <c r="AQ38" s="38" t="n">
        <v>0</v>
      </c>
      <c r="AR38" s="347" t="n"/>
      <c r="AS38" s="36" t="n">
        <v>20</v>
      </c>
      <c r="AT38" s="284" t="n">
        <v>0</v>
      </c>
      <c r="AU38" s="38" t="n">
        <v>0</v>
      </c>
      <c r="AV38" s="347" t="n"/>
      <c r="AW38" s="36" t="n">
        <v>20</v>
      </c>
      <c r="AX38" s="284" t="n">
        <v>0</v>
      </c>
      <c r="AY38" s="38" t="n">
        <v>0</v>
      </c>
      <c r="AZ38" s="347" t="n"/>
      <c r="BA38" s="36" t="n">
        <v>20</v>
      </c>
      <c r="BB38" s="284" t="n">
        <v>0</v>
      </c>
      <c r="BC38" s="92" t="n">
        <v>0</v>
      </c>
      <c r="BD38" s="284" t="n"/>
      <c r="BE38" s="36" t="n">
        <v>20</v>
      </c>
      <c r="BF38" s="284">
        <f>$KN38*0</f>
        <v/>
      </c>
      <c r="BG38" s="54" t="n">
        <v>0</v>
      </c>
      <c r="BH38" s="284" t="n"/>
      <c r="BI38" s="338">
        <f>SUMPRODUCT(--(MOD(COLUMN($M38:$BH38),4)=MOD(COLUMN($M38),4)),$M38:$BH38)</f>
        <v/>
      </c>
      <c r="BJ38" s="339">
        <f>BI38*$I38</f>
        <v/>
      </c>
      <c r="BK38" s="340">
        <f>SUMPRODUCT(--(MOD(COLUMN($M38:$BH38),4)=MOD(COLUMN($M38)+1,4)),$M38:$BH38)</f>
        <v/>
      </c>
      <c r="BL38" s="341">
        <f>BK38*$I38</f>
        <v/>
      </c>
      <c r="BM38" s="342">
        <f>SUMPRODUCT(--(MOD(COLUMN($M38:$BH38),4)=MOD(COLUMN($M38)+2,4)),$M38:$BH38)</f>
        <v/>
      </c>
      <c r="BN38" s="343">
        <f>BM38*$I38</f>
        <v/>
      </c>
      <c r="BO38" s="36">
        <f>$KN38*5</f>
        <v/>
      </c>
      <c r="BP38" s="47">
        <f>$KN38*0</f>
        <v/>
      </c>
      <c r="BQ38" s="284">
        <f>$KN38*5</f>
        <v/>
      </c>
      <c r="BR38" s="38" t="n">
        <v>2</v>
      </c>
      <c r="BS38" s="284" t="n"/>
      <c r="BT38" s="36">
        <f>$KN38*5</f>
        <v/>
      </c>
      <c r="BU38" s="47">
        <f>$KN38*1</f>
        <v/>
      </c>
      <c r="BV38" s="284">
        <f>$KN38*0</f>
        <v/>
      </c>
      <c r="BW38" s="38" t="n">
        <v>6</v>
      </c>
      <c r="BX38" s="284" t="n"/>
      <c r="BY38" s="36">
        <f>$KN38*5</f>
        <v/>
      </c>
      <c r="BZ38" s="47">
        <f>$KN38*0</f>
        <v/>
      </c>
      <c r="CA38" s="284">
        <f>$KN38*0</f>
        <v/>
      </c>
      <c r="CB38" s="38" t="n">
        <v>0</v>
      </c>
      <c r="CC38" s="284" t="n"/>
      <c r="CD38" s="36">
        <f>$KN38*5</f>
        <v/>
      </c>
      <c r="CE38" s="47">
        <f>$KN38*0</f>
        <v/>
      </c>
      <c r="CF38" s="284">
        <f>$KN38*0</f>
        <v/>
      </c>
      <c r="CG38" s="38" t="n">
        <v>0</v>
      </c>
      <c r="CH38" s="284" t="n"/>
      <c r="CI38" s="36">
        <f>$KN38*5</f>
        <v/>
      </c>
      <c r="CJ38" s="47">
        <f>$KN38*5</f>
        <v/>
      </c>
      <c r="CK38" s="284">
        <f>$KN38*0</f>
        <v/>
      </c>
      <c r="CL38" s="38" t="n">
        <v>0</v>
      </c>
      <c r="CM38" s="284" t="n"/>
      <c r="CN38" s="36">
        <f>$KN38*5</f>
        <v/>
      </c>
      <c r="CO38" s="47">
        <f>$KN38*5</f>
        <v/>
      </c>
      <c r="CP38" s="284">
        <f>$KN38*0</f>
        <v/>
      </c>
      <c r="CQ38" s="38" t="n">
        <v>0</v>
      </c>
      <c r="CR38" s="284" t="n"/>
      <c r="CS38" s="36">
        <f>$KN38*20</f>
        <v/>
      </c>
      <c r="CT38" s="47">
        <f>$KN38*20</f>
        <v/>
      </c>
      <c r="CU38" s="39">
        <f>$KN38*0</f>
        <v/>
      </c>
      <c r="CV38" s="38" t="n">
        <v>0</v>
      </c>
      <c r="CW38" s="284" t="n"/>
      <c r="CX38" s="36">
        <f>$KN38*20</f>
        <v/>
      </c>
      <c r="CY38" s="47">
        <f>$KN38*20</f>
        <v/>
      </c>
      <c r="CZ38" s="39">
        <f>$KN38*0</f>
        <v/>
      </c>
      <c r="DA38" s="38" t="n">
        <v>0</v>
      </c>
      <c r="DB38" s="284" t="n"/>
      <c r="DC38" s="36">
        <f>$KN38*20</f>
        <v/>
      </c>
      <c r="DD38" s="47">
        <f>$KN38*20</f>
        <v/>
      </c>
      <c r="DE38" s="284">
        <f>$KN38*0</f>
        <v/>
      </c>
      <c r="DF38" s="38" t="n">
        <v>0</v>
      </c>
      <c r="DG38" s="284" t="n"/>
      <c r="DH38" s="36">
        <f>$KN38*20</f>
        <v/>
      </c>
      <c r="DI38" s="47">
        <f>$KN38*20</f>
        <v/>
      </c>
      <c r="DJ38" s="284">
        <f>$KN38*0</f>
        <v/>
      </c>
      <c r="DK38" s="38" t="n">
        <v>0</v>
      </c>
      <c r="DL38" s="284" t="n"/>
      <c r="DM38" s="36">
        <f>$KN38*20</f>
        <v/>
      </c>
      <c r="DN38" s="47">
        <f>$KN38*20</f>
        <v/>
      </c>
      <c r="DO38" s="284">
        <f>$KN38*0</f>
        <v/>
      </c>
      <c r="DP38" s="38" t="n">
        <v>0</v>
      </c>
      <c r="DQ38" s="227" t="n"/>
      <c r="DR38" s="36">
        <f>$KN38*20</f>
        <v/>
      </c>
      <c r="DS38" s="47">
        <f>$KN38*20</f>
        <v/>
      </c>
      <c r="DT38" s="284">
        <f>$KN38*0</f>
        <v/>
      </c>
      <c r="DU38" s="38" t="n">
        <v>0</v>
      </c>
      <c r="DV38" s="284" t="n"/>
      <c r="DW38" s="338">
        <f t="array" ref="DW38">SUMPRODUCT(--(MOD(COLUMN($BO38:$DV38),5)=MOD(COLUMN($BO38),5)),$BO38:$DV38)</f>
        <v/>
      </c>
      <c r="DX38" s="339">
        <f>DW38*$J38</f>
        <v/>
      </c>
      <c r="DY38" s="344">
        <f t="array" ref="DY38">SUMPRODUCT(--(MOD(COLUMN($BO38:$DV38),5)=MOD(COLUMN($BP38),5)),$BO38:$DV38)</f>
        <v/>
      </c>
      <c r="DZ38" s="345">
        <f>DY38*$J38</f>
        <v/>
      </c>
      <c r="EA38" s="340">
        <f t="array" ref="EA38">SUMPRODUCT(--(MOD(COLUMN($BO38:$DV38),5)=MOD(COLUMN($BQ38),5)),$BO38:$DV38)</f>
        <v/>
      </c>
      <c r="EB38" s="341">
        <f>EA38*$J38</f>
        <v/>
      </c>
      <c r="EC38" s="342">
        <f t="array" ref="EC38">SUMPRODUCT(--(MOD(COLUMN($BO38:$DV38),5)=MOD(COLUMN($BR38),5)),$BO38:$DV38)</f>
        <v/>
      </c>
      <c r="ED38" s="343">
        <f>EC38*$J38</f>
        <v/>
      </c>
      <c r="EE38" s="36">
        <f>$KN38*0</f>
        <v/>
      </c>
      <c r="EF38" s="284" t="n">
        <v>2</v>
      </c>
      <c r="EG38" s="38" t="n">
        <v>0</v>
      </c>
      <c r="EH38" s="284" t="n"/>
      <c r="EI38" s="36" t="n">
        <v>5</v>
      </c>
      <c r="EJ38" s="284" t="n">
        <v>2</v>
      </c>
      <c r="EK38" s="38" t="n">
        <v>2</v>
      </c>
      <c r="EL38" s="284" t="n"/>
      <c r="EM38" s="36" t="n">
        <v>5</v>
      </c>
      <c r="EN38" s="284" t="n">
        <v>0</v>
      </c>
      <c r="EO38" s="38" t="n">
        <v>0</v>
      </c>
      <c r="EP38" s="284" t="n"/>
      <c r="EQ38" s="36">
        <f>$KN38*10</f>
        <v/>
      </c>
      <c r="ER38" s="284" t="n">
        <v>0</v>
      </c>
      <c r="ES38" s="38" t="n">
        <v>0</v>
      </c>
      <c r="ET38" s="347" t="n"/>
      <c r="EU38" s="36">
        <f>$KN38*15</f>
        <v/>
      </c>
      <c r="EV38" s="155" t="n">
        <v>2</v>
      </c>
      <c r="EW38" s="38" t="n">
        <v>0</v>
      </c>
      <c r="EX38" s="284" t="n"/>
      <c r="EY38" s="36">
        <f>$KN38*20</f>
        <v/>
      </c>
      <c r="EZ38" s="155" t="n">
        <v>16</v>
      </c>
      <c r="FA38" s="38" t="n">
        <v>0</v>
      </c>
      <c r="FB38" s="284" t="n"/>
      <c r="FC38" s="36">
        <f>$KN38*25</f>
        <v/>
      </c>
      <c r="FD38" s="284" t="n">
        <v>18</v>
      </c>
      <c r="FE38" s="38" t="n">
        <v>0</v>
      </c>
      <c r="FF38" s="284" t="n"/>
      <c r="FG38" s="36">
        <f>$KN38*30</f>
        <v/>
      </c>
      <c r="FH38" s="284" t="n">
        <v>10</v>
      </c>
      <c r="FI38" s="38" t="n">
        <v>0</v>
      </c>
      <c r="FJ38" s="284" t="n"/>
      <c r="FK38" s="36">
        <f>$KN38*35</f>
        <v/>
      </c>
      <c r="FL38" s="284" t="n">
        <v>10</v>
      </c>
      <c r="FM38" s="38" t="n">
        <v>0</v>
      </c>
      <c r="FN38" s="284" t="n"/>
      <c r="FO38" s="36">
        <f>$KN38*40</f>
        <v/>
      </c>
      <c r="FP38" s="284" t="n">
        <v>15</v>
      </c>
      <c r="FQ38" s="38" t="n">
        <v>0</v>
      </c>
      <c r="FR38" s="284" t="n"/>
      <c r="FS38" s="36">
        <f>$KN38*45</f>
        <v/>
      </c>
      <c r="FT38" s="284" t="n">
        <v>15</v>
      </c>
      <c r="FU38" s="38" t="n">
        <v>0</v>
      </c>
      <c r="FV38" s="284" t="n"/>
      <c r="FW38" s="36">
        <f>$KN38*50</f>
        <v/>
      </c>
      <c r="FX38" s="284" t="n">
        <v>15</v>
      </c>
      <c r="FY38" s="38" t="n">
        <v>0</v>
      </c>
      <c r="FZ38" s="284" t="n"/>
      <c r="GA38" s="338">
        <f t="array" ref="GA38">SUMPRODUCT(--(MOD(COLUMN($EE38:$FZ38),4)=MOD(COLUMN($EE38),4)),$EE38:$FZ38)</f>
        <v/>
      </c>
      <c r="GB38" s="339">
        <f>GA38*$J38</f>
        <v/>
      </c>
      <c r="GC38" s="340">
        <f t="array" ref="GC38">SUMPRODUCT(--(MOD(COLUMN($EE38:$FZ38),4)=MOD(COLUMN($EF38),4)),$EE38:$FZ38)</f>
        <v/>
      </c>
      <c r="GD38" s="341">
        <f>GC38*$J38</f>
        <v/>
      </c>
      <c r="GE38" s="342">
        <f t="array" ref="GE38">SUMPRODUCT(--(MOD(COLUMN($EE38:$FZ38),4)=MOD(COLUMN($EG38),4)),$EE38:$FZ38)</f>
        <v/>
      </c>
      <c r="GF38" s="343">
        <f>GE38*$J38</f>
        <v/>
      </c>
      <c r="GG38" s="36">
        <f>$KN38*40</f>
        <v/>
      </c>
      <c r="GH38" s="284" t="n"/>
      <c r="GI38" s="38" t="n">
        <v>0</v>
      </c>
      <c r="GJ38" s="284" t="n"/>
      <c r="GK38" s="36">
        <f>$KN38*40</f>
        <v/>
      </c>
      <c r="GL38" s="284" t="n"/>
      <c r="GM38" s="38" t="n">
        <v>0</v>
      </c>
      <c r="GN38" s="284" t="n"/>
      <c r="GO38" s="36">
        <f>$KN38*45</f>
        <v/>
      </c>
      <c r="GP38" s="284" t="n"/>
      <c r="GQ38" s="38" t="n">
        <v>0</v>
      </c>
      <c r="GR38" s="284" t="n"/>
      <c r="GS38" s="36">
        <f>$KN38*50</f>
        <v/>
      </c>
      <c r="GT38" s="284" t="n"/>
      <c r="GU38" s="38" t="n">
        <v>0</v>
      </c>
      <c r="GV38" s="284" t="n"/>
      <c r="GW38" s="36">
        <f>$KN38*50</f>
        <v/>
      </c>
      <c r="GX38" s="284" t="n"/>
      <c r="GY38" s="38" t="n">
        <v>0</v>
      </c>
      <c r="GZ38" s="284" t="n"/>
      <c r="HA38" s="36">
        <f>$KN38*50</f>
        <v/>
      </c>
      <c r="HB38" s="284" t="n"/>
      <c r="HC38" s="38" t="n">
        <v>0</v>
      </c>
      <c r="HD38" s="284" t="n"/>
      <c r="HE38" s="36">
        <f>$KN38*50</f>
        <v/>
      </c>
      <c r="HF38" s="284" t="n"/>
      <c r="HG38" s="38" t="n">
        <v>0</v>
      </c>
      <c r="HH38" s="284" t="n"/>
      <c r="HI38" s="36">
        <f>$KN38*50</f>
        <v/>
      </c>
      <c r="HJ38" s="284" t="n"/>
      <c r="HK38" s="38" t="n">
        <v>0</v>
      </c>
      <c r="HL38" s="284" t="n"/>
      <c r="HM38" s="36">
        <f>$KN38*50</f>
        <v/>
      </c>
      <c r="HN38" s="284" t="n"/>
      <c r="HO38" s="38" t="n">
        <v>0</v>
      </c>
      <c r="HP38" s="284" t="n"/>
      <c r="HQ38" s="36">
        <f>$KN38*50</f>
        <v/>
      </c>
      <c r="HR38" s="284" t="n"/>
      <c r="HS38" s="38" t="n">
        <v>0</v>
      </c>
      <c r="HT38" s="284" t="n"/>
      <c r="HU38" s="36">
        <f>$KN38*50</f>
        <v/>
      </c>
      <c r="HV38" s="284" t="n"/>
      <c r="HW38" s="38" t="n">
        <v>0</v>
      </c>
      <c r="HX38" s="284" t="n"/>
      <c r="HY38" s="36">
        <f>$KN38*50</f>
        <v/>
      </c>
      <c r="HZ38" s="284" t="n"/>
      <c r="IA38" s="38" t="n">
        <v>0</v>
      </c>
      <c r="IB38" s="284" t="n"/>
      <c r="IC38" s="338">
        <f t="array" ref="IC38">SUMPRODUCT(--(MOD(COLUMN($GG38:$IB38),4)=MOD(COLUMN($GG38),4)),$GG38:$IB38)</f>
        <v/>
      </c>
      <c r="ID38" s="339">
        <f>IC38*$J38</f>
        <v/>
      </c>
      <c r="IE38" s="340">
        <f t="array" ref="IE38">SUMPRODUCT(--(MOD(COLUMN($GG38:$IB38),4)=MOD(COLUMN($GH38),4)),$GG38:$IB38)</f>
        <v/>
      </c>
      <c r="IF38" s="341">
        <f>IE38*$J38</f>
        <v/>
      </c>
      <c r="IG38" s="342">
        <f t="array" ref="IG38">SUMPRODUCT(--(MOD(COLUMN($GG38:$IB38),4)=MOD(COLUMN($GI38),4)),$GG38:$IB38)</f>
        <v/>
      </c>
      <c r="IH38" s="343">
        <f>IG38*$J38</f>
        <v/>
      </c>
      <c r="II38" s="36">
        <f>$KN38*45</f>
        <v/>
      </c>
      <c r="IJ38" s="284" t="n"/>
      <c r="IK38" s="38" t="n">
        <v>0</v>
      </c>
      <c r="IL38" s="284" t="n"/>
      <c r="IM38" s="36">
        <f>$KN38*45</f>
        <v/>
      </c>
      <c r="IN38" s="284" t="n"/>
      <c r="IO38" s="38" t="n">
        <v>0</v>
      </c>
      <c r="IP38" s="284" t="n"/>
      <c r="IQ38" s="36">
        <f>$KN38*50</f>
        <v/>
      </c>
      <c r="IR38" s="284" t="n"/>
      <c r="IS38" s="38" t="n">
        <v>0</v>
      </c>
      <c r="IT38" s="284" t="n"/>
      <c r="IU38" s="36">
        <f>$KN38*55</f>
        <v/>
      </c>
      <c r="IV38" s="284" t="n"/>
      <c r="IW38" s="38" t="n">
        <v>0</v>
      </c>
      <c r="IX38" s="284" t="n"/>
      <c r="IY38" s="36">
        <f>$KN38*55</f>
        <v/>
      </c>
      <c r="IZ38" s="284" t="n"/>
      <c r="JA38" s="38" t="n">
        <v>0</v>
      </c>
      <c r="JB38" s="284" t="n"/>
      <c r="JC38" s="36">
        <f>$KN38*55</f>
        <v/>
      </c>
      <c r="JD38" s="284" t="n"/>
      <c r="JE38" s="38" t="n">
        <v>0</v>
      </c>
      <c r="JF38" s="284" t="n"/>
      <c r="JG38" s="36">
        <f>$KN38*60</f>
        <v/>
      </c>
      <c r="JH38" s="284" t="n"/>
      <c r="JI38" s="38" t="n">
        <v>0</v>
      </c>
      <c r="JJ38" s="284" t="n"/>
      <c r="JK38" s="36">
        <f>$KN38*60</f>
        <v/>
      </c>
      <c r="JL38" s="284" t="n"/>
      <c r="JM38" s="38" t="n">
        <v>0</v>
      </c>
      <c r="JN38" s="284" t="n"/>
      <c r="JO38" s="36">
        <f>$KN38*60</f>
        <v/>
      </c>
      <c r="JP38" s="284" t="n"/>
      <c r="JQ38" s="38" t="n">
        <v>0</v>
      </c>
      <c r="JR38" s="284" t="n"/>
      <c r="JS38" s="36">
        <f>$KN38*60</f>
        <v/>
      </c>
      <c r="JT38" s="284" t="n"/>
      <c r="JU38" s="38" t="n">
        <v>0</v>
      </c>
      <c r="JV38" s="284" t="n"/>
      <c r="JW38" s="36">
        <f>$KN38*60</f>
        <v/>
      </c>
      <c r="JX38" s="284" t="n"/>
      <c r="JY38" s="38" t="n">
        <v>0</v>
      </c>
      <c r="JZ38" s="284" t="n"/>
      <c r="KA38" s="36">
        <f>$KN38*60</f>
        <v/>
      </c>
      <c r="KB38" s="284" t="n"/>
      <c r="KC38" s="38" t="n">
        <v>0</v>
      </c>
      <c r="KD38" s="284" t="n"/>
      <c r="KE38" s="338">
        <f t="array" ref="KE38">SUMPRODUCT(--(MOD(COLUMN($II38:$KD38),4)=MOD(COLUMN($II38),4)),$II38:$KD38)</f>
        <v/>
      </c>
      <c r="KF38" s="339">
        <f>KE38*$J38</f>
        <v/>
      </c>
      <c r="KG38" s="340">
        <f t="array" ref="KG38">SUMPRODUCT(--(MOD(COLUMN($II38:$KD38),4)=MOD(COLUMN($IJ38),4)),$II38:$KD38)</f>
        <v/>
      </c>
      <c r="KH38" s="341">
        <f>KG38*$J38</f>
        <v/>
      </c>
      <c r="KI38" s="342">
        <f t="array" ref="KI38">SUMPRODUCT(--(MOD(COLUMN($II38:$KD38),4)=MOD(COLUMN($IK38),4)),$II38:$KD38)</f>
        <v/>
      </c>
      <c r="KJ38" s="346">
        <f>KI38*$J38</f>
        <v/>
      </c>
      <c r="KK38" s="80" t="n"/>
      <c r="KL38" s="80" t="n"/>
      <c r="KM38" s="80" t="n"/>
      <c r="KN38" s="51" t="n">
        <v>1</v>
      </c>
      <c r="KO38" s="347" t="n"/>
    </row>
    <row r="39" outlineLevel="1" ht="60" customFormat="1" customHeight="1" s="68">
      <c r="A39" s="347" t="n"/>
      <c r="B39" s="347" t="n"/>
      <c r="C39" s="347" t="n"/>
      <c r="D39" s="347" t="n"/>
      <c r="E39" s="15" t="n">
        <v>3</v>
      </c>
      <c r="F39" s="15" t="n">
        <v>1</v>
      </c>
      <c r="G39" s="33" t="n">
        <v>9710029000</v>
      </c>
      <c r="H39" s="34" t="inlineStr">
        <is>
          <t>Воздухораспределитель с клапаном растормаживания</t>
        </is>
      </c>
      <c r="I39" s="337">
        <f>639/1.2/0.98</f>
        <v/>
      </c>
      <c r="J39" s="337">
        <f>639/1.2</f>
        <v/>
      </c>
      <c r="K39" s="348" t="n"/>
      <c r="L39" s="348" t="n"/>
      <c r="M39" s="36" t="n">
        <v>0</v>
      </c>
      <c r="N39" s="284" t="n">
        <v>0</v>
      </c>
      <c r="O39" s="38" t="n">
        <v>0</v>
      </c>
      <c r="P39" s="284" t="n"/>
      <c r="Q39" s="36" t="n">
        <v>0</v>
      </c>
      <c r="R39" s="284" t="n">
        <v>0</v>
      </c>
      <c r="S39" s="38" t="n">
        <v>0</v>
      </c>
      <c r="T39" s="284" t="n"/>
      <c r="U39" s="36" t="n">
        <v>0</v>
      </c>
      <c r="V39" s="284" t="n">
        <v>0</v>
      </c>
      <c r="W39" s="38" t="n">
        <v>0</v>
      </c>
      <c r="X39" s="284" t="n"/>
      <c r="Y39" s="36" t="n">
        <v>5</v>
      </c>
      <c r="Z39" s="39" t="n">
        <v>0</v>
      </c>
      <c r="AA39" s="38" t="n">
        <v>0</v>
      </c>
      <c r="AB39" s="347" t="n"/>
      <c r="AC39" s="36" t="n">
        <v>20</v>
      </c>
      <c r="AD39" s="284" t="n">
        <v>0</v>
      </c>
      <c r="AE39" s="38" t="n">
        <v>0</v>
      </c>
      <c r="AF39" s="347" t="n"/>
      <c r="AG39" s="36" t="n">
        <v>20</v>
      </c>
      <c r="AH39" s="284" t="n">
        <v>0</v>
      </c>
      <c r="AI39" s="38" t="n">
        <v>0</v>
      </c>
      <c r="AJ39" s="347" t="n"/>
      <c r="AK39" s="36" t="n">
        <v>20</v>
      </c>
      <c r="AL39" s="284" t="n">
        <v>0</v>
      </c>
      <c r="AM39" s="38" t="n">
        <v>0</v>
      </c>
      <c r="AN39" s="347" t="n"/>
      <c r="AO39" s="36" t="n">
        <v>20</v>
      </c>
      <c r="AP39" s="284" t="n">
        <v>0</v>
      </c>
      <c r="AQ39" s="38" t="n">
        <v>0</v>
      </c>
      <c r="AR39" s="347" t="n"/>
      <c r="AS39" s="36" t="n">
        <v>20</v>
      </c>
      <c r="AT39" s="284" t="n">
        <v>0</v>
      </c>
      <c r="AU39" s="38" t="n">
        <v>0</v>
      </c>
      <c r="AV39" s="347" t="n"/>
      <c r="AW39" s="36" t="n">
        <v>20</v>
      </c>
      <c r="AX39" s="284" t="n">
        <v>0</v>
      </c>
      <c r="AY39" s="54" t="n">
        <v>0</v>
      </c>
      <c r="AZ39" s="347" t="n"/>
      <c r="BA39" s="36" t="n">
        <v>20</v>
      </c>
      <c r="BB39" s="284" t="n">
        <v>0</v>
      </c>
      <c r="BC39" s="92" t="n">
        <v>0</v>
      </c>
      <c r="BD39" s="284" t="n"/>
      <c r="BE39" s="36" t="n">
        <v>20</v>
      </c>
      <c r="BF39" s="284">
        <f>$KN39*0</f>
        <v/>
      </c>
      <c r="BG39" s="54" t="n">
        <v>0</v>
      </c>
      <c r="BH39" s="284" t="n"/>
      <c r="BI39" s="338">
        <f>SUMPRODUCT(--(MOD(COLUMN($M39:$BH39),4)=MOD(COLUMN($M39),4)),$M39:$BH39)</f>
        <v/>
      </c>
      <c r="BJ39" s="339">
        <f>BI39*$I39</f>
        <v/>
      </c>
      <c r="BK39" s="340">
        <f>SUMPRODUCT(--(MOD(COLUMN($M39:$BH39),4)=MOD(COLUMN($M39)+1,4)),$M39:$BH39)</f>
        <v/>
      </c>
      <c r="BL39" s="341">
        <f>BK39*$I39</f>
        <v/>
      </c>
      <c r="BM39" s="342">
        <f>SUMPRODUCT(--(MOD(COLUMN($M39:$BH39),4)=MOD(COLUMN($M39)+2,4)),$M39:$BH39)</f>
        <v/>
      </c>
      <c r="BN39" s="343">
        <f>BM39*$I39</f>
        <v/>
      </c>
      <c r="BO39" s="36">
        <f>$KN39*5</f>
        <v/>
      </c>
      <c r="BP39" s="47">
        <f>$KN39*0</f>
        <v/>
      </c>
      <c r="BQ39" s="284">
        <f>$KN39*5</f>
        <v/>
      </c>
      <c r="BR39" s="38" t="n">
        <v>0</v>
      </c>
      <c r="BS39" s="284" t="n"/>
      <c r="BT39" s="36">
        <f>$KN39*5</f>
        <v/>
      </c>
      <c r="BU39" s="47">
        <f>$KN39*1</f>
        <v/>
      </c>
      <c r="BV39" s="284">
        <f>$KN39*0</f>
        <v/>
      </c>
      <c r="BW39" s="38" t="n">
        <v>0</v>
      </c>
      <c r="BX39" s="284" t="n"/>
      <c r="BY39" s="36">
        <f>$KN39*5</f>
        <v/>
      </c>
      <c r="BZ39" s="47">
        <f>$KN39*0</f>
        <v/>
      </c>
      <c r="CA39" s="284">
        <f>$KN39*0</f>
        <v/>
      </c>
      <c r="CB39" s="38" t="n">
        <v>0</v>
      </c>
      <c r="CC39" s="284" t="n"/>
      <c r="CD39" s="36">
        <f>$KN39*5</f>
        <v/>
      </c>
      <c r="CE39" s="47">
        <f>$KN39*0</f>
        <v/>
      </c>
      <c r="CF39" s="284">
        <f>$KN39*0</f>
        <v/>
      </c>
      <c r="CG39" s="38" t="n">
        <v>0</v>
      </c>
      <c r="CH39" s="284" t="n"/>
      <c r="CI39" s="36">
        <f>$KN39*5</f>
        <v/>
      </c>
      <c r="CJ39" s="47">
        <f>$KN39*5</f>
        <v/>
      </c>
      <c r="CK39" s="284">
        <f>$KN39*0</f>
        <v/>
      </c>
      <c r="CL39" s="38" t="n">
        <v>0</v>
      </c>
      <c r="CM39" s="284" t="n"/>
      <c r="CN39" s="36">
        <f>$KN39*5</f>
        <v/>
      </c>
      <c r="CO39" s="47">
        <f>$KN39*5</f>
        <v/>
      </c>
      <c r="CP39" s="284">
        <f>$KN39*0</f>
        <v/>
      </c>
      <c r="CQ39" s="38" t="n">
        <v>0</v>
      </c>
      <c r="CR39" s="284" t="n"/>
      <c r="CS39" s="36">
        <f>$KN39*20</f>
        <v/>
      </c>
      <c r="CT39" s="47">
        <f>$KN39*20</f>
        <v/>
      </c>
      <c r="CU39" s="39">
        <f>$KN39*0</f>
        <v/>
      </c>
      <c r="CV39" s="38" t="n">
        <v>0</v>
      </c>
      <c r="CW39" s="284" t="n"/>
      <c r="CX39" s="36">
        <f>$KN39*20</f>
        <v/>
      </c>
      <c r="CY39" s="47">
        <f>$KN39*20</f>
        <v/>
      </c>
      <c r="CZ39" s="39">
        <f>$KN39*0</f>
        <v/>
      </c>
      <c r="DA39" s="38" t="n">
        <v>0</v>
      </c>
      <c r="DB39" s="284" t="n"/>
      <c r="DC39" s="36">
        <f>$KN39*20</f>
        <v/>
      </c>
      <c r="DD39" s="47">
        <f>$KN39*20</f>
        <v/>
      </c>
      <c r="DE39" s="284">
        <f>$KN39*0</f>
        <v/>
      </c>
      <c r="DF39" s="38" t="n">
        <v>0</v>
      </c>
      <c r="DG39" s="284" t="n"/>
      <c r="DH39" s="36">
        <f>$KN39*20</f>
        <v/>
      </c>
      <c r="DI39" s="47">
        <f>$KN39*20</f>
        <v/>
      </c>
      <c r="DJ39" s="284">
        <f>$KN39*0</f>
        <v/>
      </c>
      <c r="DK39" s="38" t="n">
        <v>0</v>
      </c>
      <c r="DL39" s="284" t="n"/>
      <c r="DM39" s="36">
        <f>$KN39*20</f>
        <v/>
      </c>
      <c r="DN39" s="47">
        <f>$KN39*20</f>
        <v/>
      </c>
      <c r="DO39" s="284">
        <f>$KN39*0</f>
        <v/>
      </c>
      <c r="DP39" s="38" t="n">
        <v>0</v>
      </c>
      <c r="DQ39" s="227" t="n"/>
      <c r="DR39" s="36">
        <f>$KN39*20</f>
        <v/>
      </c>
      <c r="DS39" s="47">
        <f>$KN39*20</f>
        <v/>
      </c>
      <c r="DT39" s="284">
        <f>$KN39*0</f>
        <v/>
      </c>
      <c r="DU39" s="38" t="n">
        <v>0</v>
      </c>
      <c r="DV39" s="284" t="n"/>
      <c r="DW39" s="338">
        <f t="array" ref="DW39">SUMPRODUCT(--(MOD(COLUMN($BO39:$DV39),5)=MOD(COLUMN($BO39),5)),$BO39:$DV39)</f>
        <v/>
      </c>
      <c r="DX39" s="339">
        <f>DW39*$J39</f>
        <v/>
      </c>
      <c r="DY39" s="344">
        <f t="array" ref="DY39">SUMPRODUCT(--(MOD(COLUMN($BO39:$DV39),5)=MOD(COLUMN($BP39),5)),$BO39:$DV39)</f>
        <v/>
      </c>
      <c r="DZ39" s="345">
        <f>DY39*$J39</f>
        <v/>
      </c>
      <c r="EA39" s="340">
        <f t="array" ref="EA39">SUMPRODUCT(--(MOD(COLUMN($BO39:$DV39),5)=MOD(COLUMN($BQ39),5)),$BO39:$DV39)</f>
        <v/>
      </c>
      <c r="EB39" s="341">
        <f>EA39*$J39</f>
        <v/>
      </c>
      <c r="EC39" s="342">
        <f t="array" ref="EC39">SUMPRODUCT(--(MOD(COLUMN($BO39:$DV39),5)=MOD(COLUMN($BR39),5)),$BO39:$DV39)</f>
        <v/>
      </c>
      <c r="ED39" s="343">
        <f>EC39*$J39</f>
        <v/>
      </c>
      <c r="EE39" s="36">
        <f>$KN39*0</f>
        <v/>
      </c>
      <c r="EF39" s="284" t="n">
        <v>2</v>
      </c>
      <c r="EG39" s="38" t="n">
        <v>0</v>
      </c>
      <c r="EH39" s="284" t="n"/>
      <c r="EI39" s="36" t="n">
        <v>5</v>
      </c>
      <c r="EJ39" s="284" t="n">
        <v>2</v>
      </c>
      <c r="EK39" s="38" t="n">
        <v>2</v>
      </c>
      <c r="EL39" s="284" t="n"/>
      <c r="EM39" s="36" t="n">
        <v>5</v>
      </c>
      <c r="EN39" s="284" t="n">
        <v>0</v>
      </c>
      <c r="EO39" s="38" t="n">
        <v>0</v>
      </c>
      <c r="EP39" s="284" t="n"/>
      <c r="EQ39" s="36">
        <f>$KN39*10</f>
        <v/>
      </c>
      <c r="ER39" s="284" t="n">
        <v>0</v>
      </c>
      <c r="ES39" s="38" t="n">
        <v>0</v>
      </c>
      <c r="ET39" s="347" t="n"/>
      <c r="EU39" s="36">
        <f>$KN39*15</f>
        <v/>
      </c>
      <c r="EV39" s="155" t="n">
        <v>2</v>
      </c>
      <c r="EW39" s="38" t="n">
        <v>0</v>
      </c>
      <c r="EX39" s="284" t="n"/>
      <c r="EY39" s="36">
        <f>$KN39*20</f>
        <v/>
      </c>
      <c r="EZ39" s="155" t="n">
        <v>0</v>
      </c>
      <c r="FA39" s="38" t="n">
        <v>0</v>
      </c>
      <c r="FB39" s="284" t="n"/>
      <c r="FC39" s="36">
        <f>$KN39*25</f>
        <v/>
      </c>
      <c r="FD39" s="284" t="n">
        <v>0</v>
      </c>
      <c r="FE39" s="38" t="n">
        <v>0</v>
      </c>
      <c r="FF39" s="284" t="n"/>
      <c r="FG39" s="36">
        <f>$KN39*30</f>
        <v/>
      </c>
      <c r="FH39" s="284" t="n">
        <v>10</v>
      </c>
      <c r="FI39" s="38" t="n">
        <v>0</v>
      </c>
      <c r="FJ39" s="284" t="n"/>
      <c r="FK39" s="36">
        <f>$KN39*35</f>
        <v/>
      </c>
      <c r="FL39" s="284" t="n">
        <v>10</v>
      </c>
      <c r="FM39" s="38" t="n">
        <v>0</v>
      </c>
      <c r="FN39" s="284" t="n"/>
      <c r="FO39" s="36">
        <f>$KN39*40</f>
        <v/>
      </c>
      <c r="FP39" s="284" t="n">
        <v>15</v>
      </c>
      <c r="FQ39" s="38" t="n">
        <v>0</v>
      </c>
      <c r="FR39" s="284" t="n"/>
      <c r="FS39" s="36">
        <f>$KN39*45</f>
        <v/>
      </c>
      <c r="FT39" s="284" t="n">
        <v>15</v>
      </c>
      <c r="FU39" s="38" t="n">
        <v>0</v>
      </c>
      <c r="FV39" s="284" t="n"/>
      <c r="FW39" s="36">
        <f>$KN39*50</f>
        <v/>
      </c>
      <c r="FX39" s="284" t="n">
        <v>15</v>
      </c>
      <c r="FY39" s="38" t="n">
        <v>0</v>
      </c>
      <c r="FZ39" s="284" t="n"/>
      <c r="GA39" s="338">
        <f t="array" ref="GA39">SUMPRODUCT(--(MOD(COLUMN($EE39:$FZ39),4)=MOD(COLUMN($EE39),4)),$EE39:$FZ39)</f>
        <v/>
      </c>
      <c r="GB39" s="339">
        <f>GA39*$J39</f>
        <v/>
      </c>
      <c r="GC39" s="340">
        <f t="array" ref="GC39">SUMPRODUCT(--(MOD(COLUMN($EE39:$FZ39),4)=MOD(COLUMN($EF39),4)),$EE39:$FZ39)</f>
        <v/>
      </c>
      <c r="GD39" s="341">
        <f>GC39*$J39</f>
        <v/>
      </c>
      <c r="GE39" s="342">
        <f t="array" ref="GE39">SUMPRODUCT(--(MOD(COLUMN($EE39:$FZ39),4)=MOD(COLUMN($EG39),4)),$EE39:$FZ39)</f>
        <v/>
      </c>
      <c r="GF39" s="343">
        <f>GE39*$J39</f>
        <v/>
      </c>
      <c r="GG39" s="36">
        <f>$KN39*40</f>
        <v/>
      </c>
      <c r="GH39" s="284" t="n"/>
      <c r="GI39" s="38" t="n">
        <v>0</v>
      </c>
      <c r="GJ39" s="284" t="n"/>
      <c r="GK39" s="36">
        <f>$KN39*40</f>
        <v/>
      </c>
      <c r="GL39" s="284" t="n"/>
      <c r="GM39" s="38" t="n">
        <v>0</v>
      </c>
      <c r="GN39" s="284" t="n"/>
      <c r="GO39" s="36">
        <f>$KN39*45</f>
        <v/>
      </c>
      <c r="GP39" s="284" t="n"/>
      <c r="GQ39" s="38" t="n">
        <v>0</v>
      </c>
      <c r="GR39" s="284" t="n"/>
      <c r="GS39" s="36">
        <f>$KN39*50</f>
        <v/>
      </c>
      <c r="GT39" s="284" t="n"/>
      <c r="GU39" s="38" t="n">
        <v>0</v>
      </c>
      <c r="GV39" s="284" t="n"/>
      <c r="GW39" s="36">
        <f>$KN39*50</f>
        <v/>
      </c>
      <c r="GX39" s="284" t="n"/>
      <c r="GY39" s="38" t="n">
        <v>0</v>
      </c>
      <c r="GZ39" s="284" t="n"/>
      <c r="HA39" s="36">
        <f>$KN39*50</f>
        <v/>
      </c>
      <c r="HB39" s="284" t="n"/>
      <c r="HC39" s="38" t="n">
        <v>0</v>
      </c>
      <c r="HD39" s="284" t="n"/>
      <c r="HE39" s="36">
        <f>$KN39*50</f>
        <v/>
      </c>
      <c r="HF39" s="284" t="n"/>
      <c r="HG39" s="38" t="n">
        <v>0</v>
      </c>
      <c r="HH39" s="284" t="n"/>
      <c r="HI39" s="36">
        <f>$KN39*50</f>
        <v/>
      </c>
      <c r="HJ39" s="284" t="n"/>
      <c r="HK39" s="38" t="n">
        <v>0</v>
      </c>
      <c r="HL39" s="284" t="n"/>
      <c r="HM39" s="36">
        <f>$KN39*50</f>
        <v/>
      </c>
      <c r="HN39" s="284" t="n"/>
      <c r="HO39" s="38" t="n">
        <v>0</v>
      </c>
      <c r="HP39" s="284" t="n"/>
      <c r="HQ39" s="36">
        <f>$KN39*50</f>
        <v/>
      </c>
      <c r="HR39" s="284" t="n"/>
      <c r="HS39" s="38" t="n">
        <v>0</v>
      </c>
      <c r="HT39" s="284" t="n"/>
      <c r="HU39" s="36">
        <f>$KN39*50</f>
        <v/>
      </c>
      <c r="HV39" s="284" t="n"/>
      <c r="HW39" s="38" t="n">
        <v>0</v>
      </c>
      <c r="HX39" s="284" t="n"/>
      <c r="HY39" s="36">
        <f>$KN39*50</f>
        <v/>
      </c>
      <c r="HZ39" s="284" t="n"/>
      <c r="IA39" s="38" t="n">
        <v>0</v>
      </c>
      <c r="IB39" s="284" t="n"/>
      <c r="IC39" s="338">
        <f t="array" ref="IC39">SUMPRODUCT(--(MOD(COLUMN($GG39:$IB39),4)=MOD(COLUMN($GG39),4)),$GG39:$IB39)</f>
        <v/>
      </c>
      <c r="ID39" s="339">
        <f>IC39*$J39</f>
        <v/>
      </c>
      <c r="IE39" s="340">
        <f t="array" ref="IE39">SUMPRODUCT(--(MOD(COLUMN($GG39:$IB39),4)=MOD(COLUMN($GH39),4)),$GG39:$IB39)</f>
        <v/>
      </c>
      <c r="IF39" s="341">
        <f>IE39*$J39</f>
        <v/>
      </c>
      <c r="IG39" s="342">
        <f t="array" ref="IG39">SUMPRODUCT(--(MOD(COLUMN($GG39:$IB39),4)=MOD(COLUMN($GI39),4)),$GG39:$IB39)</f>
        <v/>
      </c>
      <c r="IH39" s="343">
        <f>IG39*$J39</f>
        <v/>
      </c>
      <c r="II39" s="36">
        <f>$KN39*45</f>
        <v/>
      </c>
      <c r="IJ39" s="284" t="n"/>
      <c r="IK39" s="38" t="n">
        <v>0</v>
      </c>
      <c r="IL39" s="284" t="n"/>
      <c r="IM39" s="36">
        <f>$KN39*45</f>
        <v/>
      </c>
      <c r="IN39" s="284" t="n"/>
      <c r="IO39" s="38" t="n">
        <v>0</v>
      </c>
      <c r="IP39" s="284" t="n"/>
      <c r="IQ39" s="36">
        <f>$KN39*50</f>
        <v/>
      </c>
      <c r="IR39" s="284" t="n"/>
      <c r="IS39" s="38" t="n">
        <v>0</v>
      </c>
      <c r="IT39" s="284" t="n"/>
      <c r="IU39" s="36">
        <f>$KN39*55</f>
        <v/>
      </c>
      <c r="IV39" s="284" t="n"/>
      <c r="IW39" s="38" t="n">
        <v>0</v>
      </c>
      <c r="IX39" s="284" t="n"/>
      <c r="IY39" s="36">
        <f>$KN39*55</f>
        <v/>
      </c>
      <c r="IZ39" s="284" t="n"/>
      <c r="JA39" s="38" t="n">
        <v>0</v>
      </c>
      <c r="JB39" s="284" t="n"/>
      <c r="JC39" s="36">
        <f>$KN39*55</f>
        <v/>
      </c>
      <c r="JD39" s="284" t="n"/>
      <c r="JE39" s="38" t="n">
        <v>0</v>
      </c>
      <c r="JF39" s="284" t="n"/>
      <c r="JG39" s="36">
        <f>$KN39*60</f>
        <v/>
      </c>
      <c r="JH39" s="284" t="n"/>
      <c r="JI39" s="38" t="n">
        <v>0</v>
      </c>
      <c r="JJ39" s="284" t="n"/>
      <c r="JK39" s="36">
        <f>$KN39*60</f>
        <v/>
      </c>
      <c r="JL39" s="284" t="n"/>
      <c r="JM39" s="38" t="n">
        <v>0</v>
      </c>
      <c r="JN39" s="284" t="n"/>
      <c r="JO39" s="36">
        <f>$KN39*60</f>
        <v/>
      </c>
      <c r="JP39" s="284" t="n"/>
      <c r="JQ39" s="38" t="n">
        <v>0</v>
      </c>
      <c r="JR39" s="284" t="n"/>
      <c r="JS39" s="36">
        <f>$KN39*60</f>
        <v/>
      </c>
      <c r="JT39" s="284" t="n"/>
      <c r="JU39" s="38" t="n">
        <v>0</v>
      </c>
      <c r="JV39" s="284" t="n"/>
      <c r="JW39" s="36">
        <f>$KN39*60</f>
        <v/>
      </c>
      <c r="JX39" s="284" t="n"/>
      <c r="JY39" s="38" t="n">
        <v>0</v>
      </c>
      <c r="JZ39" s="284" t="n"/>
      <c r="KA39" s="36">
        <f>$KN39*60</f>
        <v/>
      </c>
      <c r="KB39" s="284" t="n"/>
      <c r="KC39" s="38" t="n">
        <v>0</v>
      </c>
      <c r="KD39" s="284" t="n"/>
      <c r="KE39" s="338">
        <f t="array" ref="KE39">SUMPRODUCT(--(MOD(COLUMN($II39:$KD39),4)=MOD(COLUMN($II39),4)),$II39:$KD39)</f>
        <v/>
      </c>
      <c r="KF39" s="339">
        <f>KE39*$J39</f>
        <v/>
      </c>
      <c r="KG39" s="340">
        <f t="array" ref="KG39">SUMPRODUCT(--(MOD(COLUMN($II39:$KD39),4)=MOD(COLUMN($IJ39),4)),$II39:$KD39)</f>
        <v/>
      </c>
      <c r="KH39" s="341">
        <f>KG39*$J39</f>
        <v/>
      </c>
      <c r="KI39" s="342">
        <f t="array" ref="KI39">SUMPRODUCT(--(MOD(COLUMN($II39:$KD39),4)=MOD(COLUMN($IK39),4)),$II39:$KD39)</f>
        <v/>
      </c>
      <c r="KJ39" s="346">
        <f>KI39*$J39</f>
        <v/>
      </c>
      <c r="KK39" s="80" t="n"/>
      <c r="KL39" s="80" t="n"/>
      <c r="KM39" s="80" t="n"/>
      <c r="KN39" s="51" t="n">
        <v>1</v>
      </c>
      <c r="KO39" s="347" t="n"/>
    </row>
    <row r="40" outlineLevel="1" ht="28.8" customFormat="1" customHeight="1" s="68">
      <c r="A40" s="347" t="n"/>
      <c r="B40" s="347" t="n"/>
      <c r="C40" s="347" t="n"/>
      <c r="D40" s="347" t="n"/>
      <c r="E40" s="15" t="n">
        <v>4</v>
      </c>
      <c r="F40" s="15" t="n">
        <v>1</v>
      </c>
      <c r="G40" s="33" t="n">
        <v>4801020640</v>
      </c>
      <c r="H40" s="34" t="inlineStr">
        <is>
          <t>Модулятор EBS, с PEM, без фит.</t>
        </is>
      </c>
      <c r="I40" s="348">
        <f>4169.1/1.2*1.048</f>
        <v/>
      </c>
      <c r="J40" s="337">
        <f>4169/1.2*1.048*1.05</f>
        <v/>
      </c>
      <c r="K40" s="348" t="n"/>
      <c r="L40" s="348" t="n"/>
      <c r="M40" s="36" t="n">
        <v>0</v>
      </c>
      <c r="N40" s="284" t="n">
        <v>0</v>
      </c>
      <c r="O40" s="38" t="n">
        <v>0</v>
      </c>
      <c r="P40" s="284" t="n"/>
      <c r="Q40" s="36" t="n">
        <v>0</v>
      </c>
      <c r="R40" s="284" t="n">
        <v>0</v>
      </c>
      <c r="S40" s="38" t="n">
        <v>0</v>
      </c>
      <c r="T40" s="284" t="n"/>
      <c r="U40" s="36" t="n">
        <v>0</v>
      </c>
      <c r="V40" s="284" t="n">
        <v>0</v>
      </c>
      <c r="W40" s="38" t="n">
        <v>0</v>
      </c>
      <c r="X40" s="284" t="n"/>
      <c r="Y40" s="36" t="n">
        <v>5</v>
      </c>
      <c r="Z40" s="39" t="n">
        <v>0</v>
      </c>
      <c r="AA40" s="38" t="n">
        <v>0</v>
      </c>
      <c r="AB40" s="347" t="n"/>
      <c r="AC40" s="36" t="n">
        <v>20</v>
      </c>
      <c r="AD40" s="284" t="n">
        <v>0</v>
      </c>
      <c r="AE40" s="38" t="n">
        <v>0</v>
      </c>
      <c r="AF40" s="347" t="n"/>
      <c r="AG40" s="36" t="n">
        <v>20</v>
      </c>
      <c r="AH40" s="284" t="n">
        <v>0</v>
      </c>
      <c r="AI40" s="38" t="n">
        <v>0</v>
      </c>
      <c r="AJ40" s="347" t="n"/>
      <c r="AK40" s="36" t="n">
        <v>20</v>
      </c>
      <c r="AL40" s="284" t="n">
        <v>0</v>
      </c>
      <c r="AM40" s="38" t="n">
        <v>0</v>
      </c>
      <c r="AN40" s="347" t="n"/>
      <c r="AO40" s="36" t="n">
        <v>20</v>
      </c>
      <c r="AP40" s="284" t="n">
        <v>0</v>
      </c>
      <c r="AQ40" s="38" t="n">
        <v>0</v>
      </c>
      <c r="AR40" s="347" t="n"/>
      <c r="AS40" s="36" t="n">
        <v>20</v>
      </c>
      <c r="AT40" s="284" t="n">
        <v>0</v>
      </c>
      <c r="AU40" s="38" t="n">
        <v>0</v>
      </c>
      <c r="AV40" s="347" t="n"/>
      <c r="AW40" s="36" t="n">
        <v>20</v>
      </c>
      <c r="AX40" s="284" t="n">
        <v>0</v>
      </c>
      <c r="AY40" s="54" t="n">
        <v>0</v>
      </c>
      <c r="AZ40" s="347" t="n"/>
      <c r="BA40" s="36" t="n">
        <v>20</v>
      </c>
      <c r="BB40" s="284" t="n">
        <v>0</v>
      </c>
      <c r="BC40" s="92" t="n">
        <v>0</v>
      </c>
      <c r="BD40" s="284" t="n"/>
      <c r="BE40" s="36" t="n">
        <v>20</v>
      </c>
      <c r="BF40" s="284">
        <f>$KN40*0</f>
        <v/>
      </c>
      <c r="BG40" s="54" t="n">
        <v>0</v>
      </c>
      <c r="BH40" s="284" t="n"/>
      <c r="BI40" s="338">
        <f>SUMPRODUCT(--(MOD(COLUMN($M40:$BH40),4)=MOD(COLUMN($M40),4)),$M40:$BH40)</f>
        <v/>
      </c>
      <c r="BJ40" s="339">
        <f>BI40*$I40</f>
        <v/>
      </c>
      <c r="BK40" s="340">
        <f>SUMPRODUCT(--(MOD(COLUMN($M40:$BH40),4)=MOD(COLUMN($M40)+1,4)),$M40:$BH40)</f>
        <v/>
      </c>
      <c r="BL40" s="341">
        <f>BK40*$I40</f>
        <v/>
      </c>
      <c r="BM40" s="342">
        <f>SUMPRODUCT(--(MOD(COLUMN($M40:$BH40),4)=MOD(COLUMN($M40)+2,4)),$M40:$BH40)</f>
        <v/>
      </c>
      <c r="BN40" s="343">
        <f>BM40*$I40</f>
        <v/>
      </c>
      <c r="BO40" s="36">
        <f>$KN40*5</f>
        <v/>
      </c>
      <c r="BP40" s="47">
        <f>$KN40*0</f>
        <v/>
      </c>
      <c r="BQ40" s="284">
        <f>$KN40*5</f>
        <v/>
      </c>
      <c r="BR40" s="38" t="n">
        <v>2</v>
      </c>
      <c r="BS40" s="284" t="n"/>
      <c r="BT40" s="36">
        <f>$KN40*5</f>
        <v/>
      </c>
      <c r="BU40" s="47">
        <f>$KN40*1</f>
        <v/>
      </c>
      <c r="BV40" s="284">
        <f>$KN40*0</f>
        <v/>
      </c>
      <c r="BW40" s="38" t="n">
        <v>10</v>
      </c>
      <c r="BX40" s="284" t="n"/>
      <c r="BY40" s="36">
        <f>$KN40*5</f>
        <v/>
      </c>
      <c r="BZ40" s="47">
        <f>$KN40*0</f>
        <v/>
      </c>
      <c r="CA40" s="284">
        <f>$KN40*0</f>
        <v/>
      </c>
      <c r="CB40" s="38" t="n">
        <v>0</v>
      </c>
      <c r="CC40" s="284" t="n"/>
      <c r="CD40" s="36">
        <f>$KN40*5</f>
        <v/>
      </c>
      <c r="CE40" s="47">
        <f>$KN40*0</f>
        <v/>
      </c>
      <c r="CF40" s="284">
        <f>$KN40*0</f>
        <v/>
      </c>
      <c r="CG40" s="38" t="n">
        <v>0</v>
      </c>
      <c r="CH40" s="284" t="n"/>
      <c r="CI40" s="36">
        <f>$KN40*5</f>
        <v/>
      </c>
      <c r="CJ40" s="47">
        <f>$KN40*5</f>
        <v/>
      </c>
      <c r="CK40" s="284">
        <f>$KN40*0</f>
        <v/>
      </c>
      <c r="CL40" s="38" t="n">
        <v>0</v>
      </c>
      <c r="CM40" s="284" t="n"/>
      <c r="CN40" s="36">
        <f>$KN40*5</f>
        <v/>
      </c>
      <c r="CO40" s="47">
        <f>$KN40*5</f>
        <v/>
      </c>
      <c r="CP40" s="284">
        <f>$KN40*0</f>
        <v/>
      </c>
      <c r="CQ40" s="38" t="n">
        <v>0</v>
      </c>
      <c r="CR40" s="284" t="n"/>
      <c r="CS40" s="36">
        <f>$KN40*20</f>
        <v/>
      </c>
      <c r="CT40" s="47">
        <f>$KN40*20</f>
        <v/>
      </c>
      <c r="CU40" s="39">
        <f>$KN40*0</f>
        <v/>
      </c>
      <c r="CV40" s="38" t="n">
        <v>0</v>
      </c>
      <c r="CW40" s="284" t="n"/>
      <c r="CX40" s="36">
        <f>$KN40*20</f>
        <v/>
      </c>
      <c r="CY40" s="47">
        <f>$KN40*20</f>
        <v/>
      </c>
      <c r="CZ40" s="39">
        <f>$KN40*0</f>
        <v/>
      </c>
      <c r="DA40" s="38" t="n">
        <v>0</v>
      </c>
      <c r="DB40" s="284" t="n"/>
      <c r="DC40" s="36">
        <f>$KN40*20</f>
        <v/>
      </c>
      <c r="DD40" s="47">
        <f>$KN40*20</f>
        <v/>
      </c>
      <c r="DE40" s="284">
        <f>$KN40*0</f>
        <v/>
      </c>
      <c r="DF40" s="38" t="n">
        <v>0</v>
      </c>
      <c r="DG40" s="284" t="n"/>
      <c r="DH40" s="36">
        <f>$KN40*20</f>
        <v/>
      </c>
      <c r="DI40" s="47">
        <f>$KN40*20</f>
        <v/>
      </c>
      <c r="DJ40" s="284">
        <f>$KN40*0</f>
        <v/>
      </c>
      <c r="DK40" s="38" t="n">
        <v>0</v>
      </c>
      <c r="DL40" s="284" t="n"/>
      <c r="DM40" s="36">
        <f>$KN40*20</f>
        <v/>
      </c>
      <c r="DN40" s="47">
        <f>$KN40*20</f>
        <v/>
      </c>
      <c r="DO40" s="284">
        <f>$KN40*0</f>
        <v/>
      </c>
      <c r="DP40" s="38" t="n">
        <v>0</v>
      </c>
      <c r="DQ40" s="227" t="n"/>
      <c r="DR40" s="36">
        <f>$KN40*20</f>
        <v/>
      </c>
      <c r="DS40" s="47">
        <f>$KN40*20</f>
        <v/>
      </c>
      <c r="DT40" s="284">
        <f>$KN40*0</f>
        <v/>
      </c>
      <c r="DU40" s="38" t="n">
        <v>0</v>
      </c>
      <c r="DV40" s="284" t="n"/>
      <c r="DW40" s="338">
        <f t="array" ref="DW40">SUMPRODUCT(--(MOD(COLUMN($BO40:$DV40),5)=MOD(COLUMN($BO40),5)),$BO40:$DV40)</f>
        <v/>
      </c>
      <c r="DX40" s="339">
        <f>DW40*$J40</f>
        <v/>
      </c>
      <c r="DY40" s="344">
        <f t="array" ref="DY40">SUMPRODUCT(--(MOD(COLUMN($BO40:$DV40),5)=MOD(COLUMN($BP40),5)),$BO40:$DV40)</f>
        <v/>
      </c>
      <c r="DZ40" s="345">
        <f>DY40*$J40</f>
        <v/>
      </c>
      <c r="EA40" s="340">
        <f t="array" ref="EA40">SUMPRODUCT(--(MOD(COLUMN($BO40:$DV40),5)=MOD(COLUMN($BQ40),5)),$BO40:$DV40)</f>
        <v/>
      </c>
      <c r="EB40" s="341">
        <f>EA40*$J40</f>
        <v/>
      </c>
      <c r="EC40" s="342">
        <f t="array" ref="EC40">SUMPRODUCT(--(MOD(COLUMN($BO40:$DV40),5)=MOD(COLUMN($BR40),5)),$BO40:$DV40)</f>
        <v/>
      </c>
      <c r="ED40" s="343">
        <f>EC40*$J40</f>
        <v/>
      </c>
      <c r="EE40" s="36">
        <f>$KN40*0</f>
        <v/>
      </c>
      <c r="EF40" s="284" t="n">
        <v>2</v>
      </c>
      <c r="EG40" s="38" t="n">
        <v>0</v>
      </c>
      <c r="EH40" s="284" t="n"/>
      <c r="EI40" s="36" t="n">
        <v>5</v>
      </c>
      <c r="EJ40" s="284" t="n">
        <v>2</v>
      </c>
      <c r="EK40" s="38" t="n">
        <v>2</v>
      </c>
      <c r="EL40" s="284" t="n"/>
      <c r="EM40" s="36" t="n">
        <v>5</v>
      </c>
      <c r="EN40" s="284" t="n">
        <v>0</v>
      </c>
      <c r="EO40" s="38" t="n">
        <v>0</v>
      </c>
      <c r="EP40" s="284" t="n"/>
      <c r="EQ40" s="36">
        <f>$KN40*10</f>
        <v/>
      </c>
      <c r="ER40" s="284" t="n">
        <v>0</v>
      </c>
      <c r="ES40" s="38" t="n">
        <v>0</v>
      </c>
      <c r="ET40" s="347" t="n"/>
      <c r="EU40" s="36">
        <f>$KN40*15</f>
        <v/>
      </c>
      <c r="EV40" s="155" t="n">
        <v>2</v>
      </c>
      <c r="EW40" s="38" t="n">
        <v>0</v>
      </c>
      <c r="EX40" s="284" t="n"/>
      <c r="EY40" s="36">
        <f>$KN40*20</f>
        <v/>
      </c>
      <c r="EZ40" s="155" t="n">
        <v>16</v>
      </c>
      <c r="FA40" s="38" t="n">
        <v>0</v>
      </c>
      <c r="FB40" s="284" t="n"/>
      <c r="FC40" s="36">
        <f>$KN40*25</f>
        <v/>
      </c>
      <c r="FD40" s="284" t="n">
        <v>18</v>
      </c>
      <c r="FE40" s="38" t="n">
        <v>0</v>
      </c>
      <c r="FF40" s="284" t="n"/>
      <c r="FG40" s="36">
        <f>$KN40*30</f>
        <v/>
      </c>
      <c r="FH40" s="284" t="n">
        <v>10</v>
      </c>
      <c r="FI40" s="38" t="n">
        <v>0</v>
      </c>
      <c r="FJ40" s="284" t="n"/>
      <c r="FK40" s="36">
        <f>$KN40*35</f>
        <v/>
      </c>
      <c r="FL40" s="284" t="n">
        <v>10</v>
      </c>
      <c r="FM40" s="38" t="n">
        <v>0</v>
      </c>
      <c r="FN40" s="284" t="n"/>
      <c r="FO40" s="36">
        <f>$KN40*40</f>
        <v/>
      </c>
      <c r="FP40" s="284" t="n">
        <v>15</v>
      </c>
      <c r="FQ40" s="38" t="n">
        <v>0</v>
      </c>
      <c r="FR40" s="284" t="n"/>
      <c r="FS40" s="36">
        <f>$KN40*45</f>
        <v/>
      </c>
      <c r="FT40" s="284" t="n">
        <v>15</v>
      </c>
      <c r="FU40" s="38" t="n">
        <v>0</v>
      </c>
      <c r="FV40" s="284" t="n"/>
      <c r="FW40" s="36">
        <f>$KN40*50</f>
        <v/>
      </c>
      <c r="FX40" s="284" t="n">
        <v>15</v>
      </c>
      <c r="FY40" s="38" t="n">
        <v>0</v>
      </c>
      <c r="FZ40" s="284" t="n"/>
      <c r="GA40" s="338">
        <f t="array" ref="GA40">SUMPRODUCT(--(MOD(COLUMN($EE40:$FZ40),4)=MOD(COLUMN($EE40),4)),$EE40:$FZ40)</f>
        <v/>
      </c>
      <c r="GB40" s="339">
        <f>GA40*$J40</f>
        <v/>
      </c>
      <c r="GC40" s="340">
        <f t="array" ref="GC40">SUMPRODUCT(--(MOD(COLUMN($EE40:$FZ40),4)=MOD(COLUMN($EF40),4)),$EE40:$FZ40)</f>
        <v/>
      </c>
      <c r="GD40" s="341">
        <f>GC40*$J40</f>
        <v/>
      </c>
      <c r="GE40" s="342">
        <f t="array" ref="GE40">SUMPRODUCT(--(MOD(COLUMN($EE40:$FZ40),4)=MOD(COLUMN($EG40),4)),$EE40:$FZ40)</f>
        <v/>
      </c>
      <c r="GF40" s="343">
        <f>GE40*$J40</f>
        <v/>
      </c>
      <c r="GG40" s="36">
        <f>$KN40*40</f>
        <v/>
      </c>
      <c r="GH40" s="284" t="n"/>
      <c r="GI40" s="38" t="n">
        <v>0</v>
      </c>
      <c r="GJ40" s="284" t="n"/>
      <c r="GK40" s="36">
        <f>$KN40*40</f>
        <v/>
      </c>
      <c r="GL40" s="284" t="n"/>
      <c r="GM40" s="38" t="n">
        <v>0</v>
      </c>
      <c r="GN40" s="284" t="n"/>
      <c r="GO40" s="36">
        <f>$KN40*45</f>
        <v/>
      </c>
      <c r="GP40" s="284" t="n"/>
      <c r="GQ40" s="38" t="n">
        <v>0</v>
      </c>
      <c r="GR40" s="284" t="n"/>
      <c r="GS40" s="36">
        <f>$KN40*50</f>
        <v/>
      </c>
      <c r="GT40" s="284" t="n"/>
      <c r="GU40" s="38" t="n">
        <v>0</v>
      </c>
      <c r="GV40" s="284" t="n"/>
      <c r="GW40" s="36">
        <f>$KN40*50</f>
        <v/>
      </c>
      <c r="GX40" s="284" t="n"/>
      <c r="GY40" s="38" t="n">
        <v>0</v>
      </c>
      <c r="GZ40" s="284" t="n"/>
      <c r="HA40" s="36">
        <f>$KN40*50</f>
        <v/>
      </c>
      <c r="HB40" s="284" t="n"/>
      <c r="HC40" s="38" t="n">
        <v>0</v>
      </c>
      <c r="HD40" s="284" t="n"/>
      <c r="HE40" s="36">
        <f>$KN40*50</f>
        <v/>
      </c>
      <c r="HF40" s="284" t="n"/>
      <c r="HG40" s="38" t="n">
        <v>0</v>
      </c>
      <c r="HH40" s="284" t="n"/>
      <c r="HI40" s="36">
        <f>$KN40*50</f>
        <v/>
      </c>
      <c r="HJ40" s="284" t="n"/>
      <c r="HK40" s="38" t="n">
        <v>0</v>
      </c>
      <c r="HL40" s="284" t="n"/>
      <c r="HM40" s="36">
        <f>$KN40*50</f>
        <v/>
      </c>
      <c r="HN40" s="284" t="n"/>
      <c r="HO40" s="38" t="n">
        <v>0</v>
      </c>
      <c r="HP40" s="284" t="n"/>
      <c r="HQ40" s="36">
        <f>$KN40*50</f>
        <v/>
      </c>
      <c r="HR40" s="284" t="n"/>
      <c r="HS40" s="38" t="n">
        <v>0</v>
      </c>
      <c r="HT40" s="284" t="n"/>
      <c r="HU40" s="36">
        <f>$KN40*50</f>
        <v/>
      </c>
      <c r="HV40" s="284" t="n"/>
      <c r="HW40" s="38" t="n">
        <v>0</v>
      </c>
      <c r="HX40" s="284" t="n"/>
      <c r="HY40" s="36">
        <f>$KN40*50</f>
        <v/>
      </c>
      <c r="HZ40" s="284" t="n"/>
      <c r="IA40" s="38" t="n">
        <v>0</v>
      </c>
      <c r="IB40" s="284" t="n"/>
      <c r="IC40" s="338">
        <f t="array" ref="IC40">SUMPRODUCT(--(MOD(COLUMN($GG40:$IB40),4)=MOD(COLUMN($GG40),4)),$GG40:$IB40)</f>
        <v/>
      </c>
      <c r="ID40" s="339">
        <f>IC40*$J40</f>
        <v/>
      </c>
      <c r="IE40" s="340">
        <f t="array" ref="IE40">SUMPRODUCT(--(MOD(COLUMN($GG40:$IB40),4)=MOD(COLUMN($GH40),4)),$GG40:$IB40)</f>
        <v/>
      </c>
      <c r="IF40" s="341">
        <f>IE40*$J40</f>
        <v/>
      </c>
      <c r="IG40" s="342">
        <f t="array" ref="IG40">SUMPRODUCT(--(MOD(COLUMN($GG40:$IB40),4)=MOD(COLUMN($GI40),4)),$GG40:$IB40)</f>
        <v/>
      </c>
      <c r="IH40" s="343">
        <f>IG40*$J40</f>
        <v/>
      </c>
      <c r="II40" s="36">
        <f>$KN40*45</f>
        <v/>
      </c>
      <c r="IJ40" s="284" t="n"/>
      <c r="IK40" s="38" t="n">
        <v>0</v>
      </c>
      <c r="IL40" s="284" t="n"/>
      <c r="IM40" s="36">
        <f>$KN40*45</f>
        <v/>
      </c>
      <c r="IN40" s="284" t="n"/>
      <c r="IO40" s="38" t="n">
        <v>0</v>
      </c>
      <c r="IP40" s="284" t="n"/>
      <c r="IQ40" s="36">
        <f>$KN40*50</f>
        <v/>
      </c>
      <c r="IR40" s="284" t="n"/>
      <c r="IS40" s="38" t="n">
        <v>0</v>
      </c>
      <c r="IT40" s="284" t="n"/>
      <c r="IU40" s="36">
        <f>$KN40*55</f>
        <v/>
      </c>
      <c r="IV40" s="284" t="n"/>
      <c r="IW40" s="38" t="n">
        <v>0</v>
      </c>
      <c r="IX40" s="284" t="n"/>
      <c r="IY40" s="36">
        <f>$KN40*55</f>
        <v/>
      </c>
      <c r="IZ40" s="284" t="n"/>
      <c r="JA40" s="38" t="n">
        <v>0</v>
      </c>
      <c r="JB40" s="284" t="n"/>
      <c r="JC40" s="36">
        <f>$KN40*55</f>
        <v/>
      </c>
      <c r="JD40" s="284" t="n"/>
      <c r="JE40" s="38" t="n">
        <v>0</v>
      </c>
      <c r="JF40" s="284" t="n"/>
      <c r="JG40" s="36">
        <f>$KN40*60</f>
        <v/>
      </c>
      <c r="JH40" s="284" t="n"/>
      <c r="JI40" s="38" t="n">
        <v>0</v>
      </c>
      <c r="JJ40" s="284" t="n"/>
      <c r="JK40" s="36">
        <f>$KN40*60</f>
        <v/>
      </c>
      <c r="JL40" s="284" t="n"/>
      <c r="JM40" s="38" t="n">
        <v>0</v>
      </c>
      <c r="JN40" s="284" t="n"/>
      <c r="JO40" s="36">
        <f>$KN40*60</f>
        <v/>
      </c>
      <c r="JP40" s="284" t="n"/>
      <c r="JQ40" s="38" t="n">
        <v>0</v>
      </c>
      <c r="JR40" s="284" t="n"/>
      <c r="JS40" s="36">
        <f>$KN40*60</f>
        <v/>
      </c>
      <c r="JT40" s="284" t="n"/>
      <c r="JU40" s="38" t="n">
        <v>0</v>
      </c>
      <c r="JV40" s="284" t="n"/>
      <c r="JW40" s="36">
        <f>$KN40*60</f>
        <v/>
      </c>
      <c r="JX40" s="284" t="n"/>
      <c r="JY40" s="38" t="n">
        <v>0</v>
      </c>
      <c r="JZ40" s="284" t="n"/>
      <c r="KA40" s="36">
        <f>$KN40*60</f>
        <v/>
      </c>
      <c r="KB40" s="284" t="n"/>
      <c r="KC40" s="38" t="n">
        <v>0</v>
      </c>
      <c r="KD40" s="284" t="n"/>
      <c r="KE40" s="338">
        <f t="array" ref="KE40">SUMPRODUCT(--(MOD(COLUMN($II40:$KD40),4)=MOD(COLUMN($II40),4)),$II40:$KD40)</f>
        <v/>
      </c>
      <c r="KF40" s="339">
        <f>KE40*$J40</f>
        <v/>
      </c>
      <c r="KG40" s="340">
        <f t="array" ref="KG40">SUMPRODUCT(--(MOD(COLUMN($II40:$KD40),4)=MOD(COLUMN($IJ40),4)),$II40:$KD40)</f>
        <v/>
      </c>
      <c r="KH40" s="341">
        <f>KG40*$J40</f>
        <v/>
      </c>
      <c r="KI40" s="342">
        <f t="array" ref="KI40">SUMPRODUCT(--(MOD(COLUMN($II40:$KD40),4)=MOD(COLUMN($IK40),4)),$II40:$KD40)</f>
        <v/>
      </c>
      <c r="KJ40" s="346">
        <f>KI40*$J40</f>
        <v/>
      </c>
      <c r="KK40" s="80" t="n"/>
      <c r="KL40" s="80" t="n"/>
      <c r="KM40" s="80" t="n"/>
      <c r="KN40" s="51" t="n">
        <v>1</v>
      </c>
      <c r="KO40" s="347" t="n"/>
    </row>
    <row r="41" outlineLevel="1" customFormat="1" s="68">
      <c r="A41" s="347" t="n"/>
      <c r="B41" s="347" t="n"/>
      <c r="C41" s="347" t="n"/>
      <c r="D41" s="347" t="n"/>
      <c r="E41" s="15" t="n">
        <v>5</v>
      </c>
      <c r="F41" s="15" t="n">
        <v>1</v>
      </c>
      <c r="G41" s="33" t="n">
        <v>4491731200</v>
      </c>
      <c r="H41" s="34" t="inlineStr">
        <is>
          <t>Кабель питания, 12 м</t>
        </is>
      </c>
      <c r="I41" s="337">
        <f>842.2/1.2/0.98</f>
        <v/>
      </c>
      <c r="J41" s="337">
        <f>842.2/1.2</f>
        <v/>
      </c>
      <c r="K41" s="348" t="n"/>
      <c r="L41" s="348" t="n"/>
      <c r="M41" s="36" t="n">
        <v>0</v>
      </c>
      <c r="N41" s="284" t="n">
        <v>0</v>
      </c>
      <c r="O41" s="38" t="n">
        <v>0</v>
      </c>
      <c r="P41" s="284" t="n"/>
      <c r="Q41" s="36" t="n">
        <v>0</v>
      </c>
      <c r="R41" s="284" t="n">
        <v>0</v>
      </c>
      <c r="S41" s="38" t="n">
        <v>0</v>
      </c>
      <c r="T41" s="284" t="n"/>
      <c r="U41" s="36" t="n">
        <v>0</v>
      </c>
      <c r="V41" s="284" t="n">
        <v>0</v>
      </c>
      <c r="W41" s="38" t="n">
        <v>0</v>
      </c>
      <c r="X41" s="284" t="n"/>
      <c r="Y41" s="36" t="n">
        <v>5</v>
      </c>
      <c r="Z41" s="39" t="n">
        <v>0</v>
      </c>
      <c r="AA41" s="38" t="n">
        <v>0</v>
      </c>
      <c r="AB41" s="347" t="n"/>
      <c r="AC41" s="36" t="n">
        <v>20</v>
      </c>
      <c r="AD41" s="284" t="n">
        <v>0</v>
      </c>
      <c r="AE41" s="38" t="n">
        <v>0</v>
      </c>
      <c r="AF41" s="347" t="n"/>
      <c r="AG41" s="36" t="n">
        <v>20</v>
      </c>
      <c r="AH41" s="284" t="n">
        <v>0</v>
      </c>
      <c r="AI41" s="38" t="n">
        <v>0</v>
      </c>
      <c r="AJ41" s="347" t="n"/>
      <c r="AK41" s="36" t="n">
        <v>20</v>
      </c>
      <c r="AL41" s="284" t="n">
        <v>0</v>
      </c>
      <c r="AM41" s="38" t="n">
        <v>0</v>
      </c>
      <c r="AN41" s="347" t="n"/>
      <c r="AO41" s="36" t="n">
        <v>20</v>
      </c>
      <c r="AP41" s="284" t="n">
        <v>0</v>
      </c>
      <c r="AQ41" s="38" t="n">
        <v>0</v>
      </c>
      <c r="AR41" s="347" t="n"/>
      <c r="AS41" s="36" t="n">
        <v>20</v>
      </c>
      <c r="AT41" s="284" t="n">
        <v>0</v>
      </c>
      <c r="AU41" s="38" t="n">
        <v>0</v>
      </c>
      <c r="AV41" s="347" t="n"/>
      <c r="AW41" s="36" t="n">
        <v>20</v>
      </c>
      <c r="AX41" s="284" t="n">
        <v>0</v>
      </c>
      <c r="AY41" s="54" t="n">
        <v>0</v>
      </c>
      <c r="AZ41" s="347" t="n"/>
      <c r="BA41" s="36" t="n">
        <v>20</v>
      </c>
      <c r="BB41" s="284" t="n">
        <v>0</v>
      </c>
      <c r="BC41" s="92" t="n">
        <v>0</v>
      </c>
      <c r="BD41" s="284" t="n"/>
      <c r="BE41" s="36" t="n">
        <v>20</v>
      </c>
      <c r="BF41" s="284">
        <f>$KN41*0</f>
        <v/>
      </c>
      <c r="BG41" s="54" t="n">
        <v>0</v>
      </c>
      <c r="BH41" s="284" t="n"/>
      <c r="BI41" s="338">
        <f>SUMPRODUCT(--(MOD(COLUMN($M41:$BH41),4)=MOD(COLUMN($M41),4)),$M41:$BH41)</f>
        <v/>
      </c>
      <c r="BJ41" s="339">
        <f>BI41*$I41</f>
        <v/>
      </c>
      <c r="BK41" s="340">
        <f>SUMPRODUCT(--(MOD(COLUMN($M41:$BH41),4)=MOD(COLUMN($M41)+1,4)),$M41:$BH41)</f>
        <v/>
      </c>
      <c r="BL41" s="341">
        <f>BK41*$I41</f>
        <v/>
      </c>
      <c r="BM41" s="342">
        <f>SUMPRODUCT(--(MOD(COLUMN($M41:$BH41),4)=MOD(COLUMN($M41)+2,4)),$M41:$BH41)</f>
        <v/>
      </c>
      <c r="BN41" s="343">
        <f>BM41*$I41</f>
        <v/>
      </c>
      <c r="BO41" s="36">
        <f>$KN41*5</f>
        <v/>
      </c>
      <c r="BP41" s="47">
        <f>$KN41*0</f>
        <v/>
      </c>
      <c r="BQ41" s="284">
        <f>$KN41*5</f>
        <v/>
      </c>
      <c r="BR41" s="38" t="n">
        <v>2</v>
      </c>
      <c r="BS41" s="284" t="n"/>
      <c r="BT41" s="36">
        <f>$KN41*5</f>
        <v/>
      </c>
      <c r="BU41" s="47">
        <f>$KN41*1</f>
        <v/>
      </c>
      <c r="BV41" s="284">
        <f>$KN41*0</f>
        <v/>
      </c>
      <c r="BW41" s="38" t="n">
        <v>10</v>
      </c>
      <c r="BX41" s="284" t="n"/>
      <c r="BY41" s="36">
        <f>$KN41*5</f>
        <v/>
      </c>
      <c r="BZ41" s="47">
        <f>$KN41*0</f>
        <v/>
      </c>
      <c r="CA41" s="284">
        <f>$KN41*0</f>
        <v/>
      </c>
      <c r="CB41" s="38" t="n">
        <v>0</v>
      </c>
      <c r="CC41" s="284" t="n"/>
      <c r="CD41" s="36">
        <f>$KN41*5</f>
        <v/>
      </c>
      <c r="CE41" s="47">
        <f>$KN41*0</f>
        <v/>
      </c>
      <c r="CF41" s="284">
        <f>$KN41*0</f>
        <v/>
      </c>
      <c r="CG41" s="38" t="n">
        <v>0</v>
      </c>
      <c r="CH41" s="284" t="n"/>
      <c r="CI41" s="36">
        <f>$KN41*5</f>
        <v/>
      </c>
      <c r="CJ41" s="47">
        <f>$KN41*5</f>
        <v/>
      </c>
      <c r="CK41" s="284">
        <f>$KN41*0</f>
        <v/>
      </c>
      <c r="CL41" s="38" t="n">
        <v>0</v>
      </c>
      <c r="CM41" s="284" t="n"/>
      <c r="CN41" s="36">
        <f>$KN41*5</f>
        <v/>
      </c>
      <c r="CO41" s="47">
        <f>$KN41*5</f>
        <v/>
      </c>
      <c r="CP41" s="284">
        <f>$KN41*0</f>
        <v/>
      </c>
      <c r="CQ41" s="38" t="n">
        <v>0</v>
      </c>
      <c r="CR41" s="284" t="n"/>
      <c r="CS41" s="36">
        <f>$KN41*20</f>
        <v/>
      </c>
      <c r="CT41" s="47">
        <f>$KN41*20</f>
        <v/>
      </c>
      <c r="CU41" s="39">
        <f>$KN41*0</f>
        <v/>
      </c>
      <c r="CV41" s="38" t="n">
        <v>0</v>
      </c>
      <c r="CW41" s="284" t="n"/>
      <c r="CX41" s="36">
        <f>$KN41*20</f>
        <v/>
      </c>
      <c r="CY41" s="47">
        <f>$KN41*20</f>
        <v/>
      </c>
      <c r="CZ41" s="39">
        <f>$KN41*0</f>
        <v/>
      </c>
      <c r="DA41" s="38" t="n">
        <v>0</v>
      </c>
      <c r="DB41" s="284" t="n"/>
      <c r="DC41" s="36">
        <f>$KN41*20</f>
        <v/>
      </c>
      <c r="DD41" s="47">
        <f>$KN41*20</f>
        <v/>
      </c>
      <c r="DE41" s="284">
        <f>$KN41*0</f>
        <v/>
      </c>
      <c r="DF41" s="38" t="n">
        <v>0</v>
      </c>
      <c r="DG41" s="284" t="n"/>
      <c r="DH41" s="36">
        <f>$KN41*20</f>
        <v/>
      </c>
      <c r="DI41" s="47">
        <f>$KN41*20</f>
        <v/>
      </c>
      <c r="DJ41" s="284">
        <f>$KN41*0</f>
        <v/>
      </c>
      <c r="DK41" s="38" t="n">
        <v>0</v>
      </c>
      <c r="DL41" s="284" t="n"/>
      <c r="DM41" s="36">
        <f>$KN41*20</f>
        <v/>
      </c>
      <c r="DN41" s="47">
        <f>$KN41*20</f>
        <v/>
      </c>
      <c r="DO41" s="284">
        <f>$KN41*0</f>
        <v/>
      </c>
      <c r="DP41" s="38" t="n">
        <v>0</v>
      </c>
      <c r="DQ41" s="227" t="n"/>
      <c r="DR41" s="36">
        <f>$KN41*20</f>
        <v/>
      </c>
      <c r="DS41" s="47">
        <f>$KN41*20</f>
        <v/>
      </c>
      <c r="DT41" s="284">
        <f>$KN41*0</f>
        <v/>
      </c>
      <c r="DU41" s="38" t="n">
        <v>0</v>
      </c>
      <c r="DV41" s="284" t="n"/>
      <c r="DW41" s="338">
        <f t="array" ref="DW41">SUMPRODUCT(--(MOD(COLUMN($BO41:$DV41),5)=MOD(COLUMN($BO41),5)),$BO41:$DV41)</f>
        <v/>
      </c>
      <c r="DX41" s="339">
        <f>DW41*$J41</f>
        <v/>
      </c>
      <c r="DY41" s="344">
        <f t="array" ref="DY41">SUMPRODUCT(--(MOD(COLUMN($BO41:$DV41),5)=MOD(COLUMN($BP41),5)),$BO41:$DV41)</f>
        <v/>
      </c>
      <c r="DZ41" s="345">
        <f>DY41*$J41</f>
        <v/>
      </c>
      <c r="EA41" s="340">
        <f t="array" ref="EA41">SUMPRODUCT(--(MOD(COLUMN($BO41:$DV41),5)=MOD(COLUMN($BQ41),5)),$BO41:$DV41)</f>
        <v/>
      </c>
      <c r="EB41" s="341">
        <f>EA41*$J41</f>
        <v/>
      </c>
      <c r="EC41" s="342">
        <f t="array" ref="EC41">SUMPRODUCT(--(MOD(COLUMN($BO41:$DV41),5)=MOD(COLUMN($BR41),5)),$BO41:$DV41)</f>
        <v/>
      </c>
      <c r="ED41" s="343">
        <f>EC41*$J41</f>
        <v/>
      </c>
      <c r="EE41" s="36">
        <f>$KN41*0</f>
        <v/>
      </c>
      <c r="EF41" s="284" t="n">
        <v>0</v>
      </c>
      <c r="EG41" s="38" t="n">
        <v>0</v>
      </c>
      <c r="EH41" s="284" t="n"/>
      <c r="EI41" s="36" t="n">
        <v>5</v>
      </c>
      <c r="EJ41" s="284" t="n"/>
      <c r="EK41" s="38" t="n">
        <v>0</v>
      </c>
      <c r="EL41" s="284" t="n"/>
      <c r="EM41" s="36" t="n">
        <v>5</v>
      </c>
      <c r="EN41" s="284" t="n">
        <v>0</v>
      </c>
      <c r="EO41" s="38" t="n">
        <v>0</v>
      </c>
      <c r="EP41" s="284" t="n"/>
      <c r="EQ41" s="36">
        <f>$KN41*10</f>
        <v/>
      </c>
      <c r="ER41" s="284" t="n">
        <v>0</v>
      </c>
      <c r="ES41" s="38" t="n">
        <v>0</v>
      </c>
      <c r="ET41" s="347" t="n"/>
      <c r="EU41" s="36">
        <f>$KN41*15</f>
        <v/>
      </c>
      <c r="EV41" s="155" t="n">
        <v>0</v>
      </c>
      <c r="EW41" s="38" t="n">
        <v>0</v>
      </c>
      <c r="EX41" s="284" t="n"/>
      <c r="EY41" s="36">
        <f>$KN41*20</f>
        <v/>
      </c>
      <c r="EZ41" s="155" t="n">
        <v>0</v>
      </c>
      <c r="FA41" s="38" t="n">
        <v>0</v>
      </c>
      <c r="FB41" s="284" t="n"/>
      <c r="FC41" s="36">
        <f>$KN41*25</f>
        <v/>
      </c>
      <c r="FD41" s="284" t="n">
        <v>0</v>
      </c>
      <c r="FE41" s="38" t="n">
        <v>0</v>
      </c>
      <c r="FF41" s="284" t="n"/>
      <c r="FG41" s="36">
        <f>$KN41*30</f>
        <v/>
      </c>
      <c r="FH41" s="284" t="n">
        <v>10</v>
      </c>
      <c r="FI41" s="38" t="n">
        <v>0</v>
      </c>
      <c r="FJ41" s="284" t="n"/>
      <c r="FK41" s="36">
        <f>$KN41*35</f>
        <v/>
      </c>
      <c r="FL41" s="284" t="n">
        <v>10</v>
      </c>
      <c r="FM41" s="38" t="n">
        <v>0</v>
      </c>
      <c r="FN41" s="284" t="n"/>
      <c r="FO41" s="36">
        <f>$KN41*40</f>
        <v/>
      </c>
      <c r="FP41" s="284" t="n">
        <v>15</v>
      </c>
      <c r="FQ41" s="38" t="n">
        <v>0</v>
      </c>
      <c r="FR41" s="284" t="n"/>
      <c r="FS41" s="36">
        <f>$KN41*45</f>
        <v/>
      </c>
      <c r="FT41" s="284" t="n">
        <v>15</v>
      </c>
      <c r="FU41" s="38" t="n">
        <v>0</v>
      </c>
      <c r="FV41" s="284" t="n"/>
      <c r="FW41" s="36">
        <f>$KN41*50</f>
        <v/>
      </c>
      <c r="FX41" s="284" t="n">
        <v>15</v>
      </c>
      <c r="FY41" s="38" t="n">
        <v>0</v>
      </c>
      <c r="FZ41" s="284" t="n"/>
      <c r="GA41" s="338">
        <f t="array" ref="GA41">SUMPRODUCT(--(MOD(COLUMN($EE41:$FZ41),4)=MOD(COLUMN($EE41),4)),$EE41:$FZ41)</f>
        <v/>
      </c>
      <c r="GB41" s="339">
        <f>GA41*$J41</f>
        <v/>
      </c>
      <c r="GC41" s="340">
        <f t="array" ref="GC41">SUMPRODUCT(--(MOD(COLUMN($EE41:$FZ41),4)=MOD(COLUMN($EF41),4)),$EE41:$FZ41)</f>
        <v/>
      </c>
      <c r="GD41" s="341">
        <f>GC41*$J41</f>
        <v/>
      </c>
      <c r="GE41" s="342">
        <f t="array" ref="GE41">SUMPRODUCT(--(MOD(COLUMN($EE41:$FZ41),4)=MOD(COLUMN($EG41),4)),$EE41:$FZ41)</f>
        <v/>
      </c>
      <c r="GF41" s="343">
        <f>GE41*$J41</f>
        <v/>
      </c>
      <c r="GG41" s="36">
        <f>$KN41*40</f>
        <v/>
      </c>
      <c r="GH41" s="284" t="n"/>
      <c r="GI41" s="38" t="n">
        <v>0</v>
      </c>
      <c r="GJ41" s="284" t="n"/>
      <c r="GK41" s="36">
        <f>$KN41*40</f>
        <v/>
      </c>
      <c r="GL41" s="284" t="n"/>
      <c r="GM41" s="38" t="n">
        <v>0</v>
      </c>
      <c r="GN41" s="284" t="n"/>
      <c r="GO41" s="36">
        <f>$KN41*45</f>
        <v/>
      </c>
      <c r="GP41" s="284" t="n"/>
      <c r="GQ41" s="38" t="n">
        <v>0</v>
      </c>
      <c r="GR41" s="284" t="n"/>
      <c r="GS41" s="36">
        <f>$KN41*50</f>
        <v/>
      </c>
      <c r="GT41" s="284" t="n"/>
      <c r="GU41" s="38" t="n">
        <v>0</v>
      </c>
      <c r="GV41" s="284" t="n"/>
      <c r="GW41" s="36">
        <f>$KN41*50</f>
        <v/>
      </c>
      <c r="GX41" s="284" t="n"/>
      <c r="GY41" s="38" t="n">
        <v>0</v>
      </c>
      <c r="GZ41" s="284" t="n"/>
      <c r="HA41" s="36">
        <f>$KN41*50</f>
        <v/>
      </c>
      <c r="HB41" s="284" t="n"/>
      <c r="HC41" s="38" t="n">
        <v>0</v>
      </c>
      <c r="HD41" s="284" t="n"/>
      <c r="HE41" s="36">
        <f>$KN41*50</f>
        <v/>
      </c>
      <c r="HF41" s="284" t="n"/>
      <c r="HG41" s="38" t="n">
        <v>0</v>
      </c>
      <c r="HH41" s="284" t="n"/>
      <c r="HI41" s="36">
        <f>$KN41*50</f>
        <v/>
      </c>
      <c r="HJ41" s="284" t="n"/>
      <c r="HK41" s="38" t="n">
        <v>0</v>
      </c>
      <c r="HL41" s="284" t="n"/>
      <c r="HM41" s="36">
        <f>$KN41*50</f>
        <v/>
      </c>
      <c r="HN41" s="284" t="n"/>
      <c r="HO41" s="38" t="n">
        <v>0</v>
      </c>
      <c r="HP41" s="284" t="n"/>
      <c r="HQ41" s="36">
        <f>$KN41*50</f>
        <v/>
      </c>
      <c r="HR41" s="284" t="n"/>
      <c r="HS41" s="38" t="n">
        <v>0</v>
      </c>
      <c r="HT41" s="284" t="n"/>
      <c r="HU41" s="36">
        <f>$KN41*50</f>
        <v/>
      </c>
      <c r="HV41" s="284" t="n"/>
      <c r="HW41" s="38" t="n">
        <v>0</v>
      </c>
      <c r="HX41" s="284" t="n"/>
      <c r="HY41" s="36">
        <f>$KN41*50</f>
        <v/>
      </c>
      <c r="HZ41" s="284" t="n"/>
      <c r="IA41" s="38" t="n">
        <v>0</v>
      </c>
      <c r="IB41" s="284" t="n"/>
      <c r="IC41" s="338">
        <f t="array" ref="IC41">SUMPRODUCT(--(MOD(COLUMN($GG41:$IB41),4)=MOD(COLUMN($GG41),4)),$GG41:$IB41)</f>
        <v/>
      </c>
      <c r="ID41" s="339">
        <f>IC41*$J41</f>
        <v/>
      </c>
      <c r="IE41" s="340">
        <f t="array" ref="IE41">SUMPRODUCT(--(MOD(COLUMN($GG41:$IB41),4)=MOD(COLUMN($GH41),4)),$GG41:$IB41)</f>
        <v/>
      </c>
      <c r="IF41" s="341">
        <f>IE41*$J41</f>
        <v/>
      </c>
      <c r="IG41" s="342">
        <f t="array" ref="IG41">SUMPRODUCT(--(MOD(COLUMN($GG41:$IB41),4)=MOD(COLUMN($GI41),4)),$GG41:$IB41)</f>
        <v/>
      </c>
      <c r="IH41" s="343">
        <f>IG41*$J41</f>
        <v/>
      </c>
      <c r="II41" s="36">
        <f>$KN41*45</f>
        <v/>
      </c>
      <c r="IJ41" s="284" t="n"/>
      <c r="IK41" s="38" t="n">
        <v>0</v>
      </c>
      <c r="IL41" s="284" t="n"/>
      <c r="IM41" s="36">
        <f>$KN41*45</f>
        <v/>
      </c>
      <c r="IN41" s="284" t="n"/>
      <c r="IO41" s="38" t="n">
        <v>0</v>
      </c>
      <c r="IP41" s="284" t="n"/>
      <c r="IQ41" s="36">
        <f>$KN41*50</f>
        <v/>
      </c>
      <c r="IR41" s="284" t="n"/>
      <c r="IS41" s="38" t="n">
        <v>0</v>
      </c>
      <c r="IT41" s="284" t="n"/>
      <c r="IU41" s="36">
        <f>$KN41*55</f>
        <v/>
      </c>
      <c r="IV41" s="284" t="n"/>
      <c r="IW41" s="38" t="n">
        <v>0</v>
      </c>
      <c r="IX41" s="284" t="n"/>
      <c r="IY41" s="36">
        <f>$KN41*55</f>
        <v/>
      </c>
      <c r="IZ41" s="284" t="n"/>
      <c r="JA41" s="38" t="n">
        <v>0</v>
      </c>
      <c r="JB41" s="284" t="n"/>
      <c r="JC41" s="36">
        <f>$KN41*55</f>
        <v/>
      </c>
      <c r="JD41" s="284" t="n"/>
      <c r="JE41" s="38" t="n">
        <v>0</v>
      </c>
      <c r="JF41" s="284" t="n"/>
      <c r="JG41" s="36">
        <f>$KN41*60</f>
        <v/>
      </c>
      <c r="JH41" s="284" t="n"/>
      <c r="JI41" s="38" t="n">
        <v>0</v>
      </c>
      <c r="JJ41" s="284" t="n"/>
      <c r="JK41" s="36">
        <f>$KN41*60</f>
        <v/>
      </c>
      <c r="JL41" s="284" t="n"/>
      <c r="JM41" s="38" t="n">
        <v>0</v>
      </c>
      <c r="JN41" s="284" t="n"/>
      <c r="JO41" s="36">
        <f>$KN41*60</f>
        <v/>
      </c>
      <c r="JP41" s="284" t="n"/>
      <c r="JQ41" s="38" t="n">
        <v>0</v>
      </c>
      <c r="JR41" s="284" t="n"/>
      <c r="JS41" s="36">
        <f>$KN41*60</f>
        <v/>
      </c>
      <c r="JT41" s="284" t="n"/>
      <c r="JU41" s="38" t="n">
        <v>0</v>
      </c>
      <c r="JV41" s="284" t="n"/>
      <c r="JW41" s="36">
        <f>$KN41*60</f>
        <v/>
      </c>
      <c r="JX41" s="284" t="n"/>
      <c r="JY41" s="38" t="n">
        <v>0</v>
      </c>
      <c r="JZ41" s="284" t="n"/>
      <c r="KA41" s="36">
        <f>$KN41*60</f>
        <v/>
      </c>
      <c r="KB41" s="284" t="n"/>
      <c r="KC41" s="38" t="n">
        <v>0</v>
      </c>
      <c r="KD41" s="284" t="n"/>
      <c r="KE41" s="338">
        <f t="array" ref="KE41">SUMPRODUCT(--(MOD(COLUMN($II41:$KD41),4)=MOD(COLUMN($II41),4)),$II41:$KD41)</f>
        <v/>
      </c>
      <c r="KF41" s="339">
        <f>KE41*$J41</f>
        <v/>
      </c>
      <c r="KG41" s="340">
        <f t="array" ref="KG41">SUMPRODUCT(--(MOD(COLUMN($II41:$KD41),4)=MOD(COLUMN($IJ41),4)),$II41:$KD41)</f>
        <v/>
      </c>
      <c r="KH41" s="341">
        <f>KG41*$J41</f>
        <v/>
      </c>
      <c r="KI41" s="342">
        <f t="array" ref="KI41">SUMPRODUCT(--(MOD(COLUMN($II41:$KD41),4)=MOD(COLUMN($IK41),4)),$II41:$KD41)</f>
        <v/>
      </c>
      <c r="KJ41" s="346">
        <f>KI41*$J41</f>
        <v/>
      </c>
      <c r="KK41" s="80" t="n"/>
      <c r="KL41" s="80" t="n"/>
      <c r="KM41" s="80" t="n"/>
      <c r="KN41" s="51" t="n">
        <v>1</v>
      </c>
      <c r="KO41" s="347" t="n"/>
    </row>
    <row r="42" outlineLevel="1" customFormat="1" s="68">
      <c r="A42" s="347" t="n"/>
      <c r="B42" s="347" t="n"/>
      <c r="C42" s="347" t="n"/>
      <c r="D42" s="347" t="n"/>
      <c r="E42" s="15" t="n">
        <v>6</v>
      </c>
      <c r="F42" s="202" t="n">
        <v>1</v>
      </c>
      <c r="G42" s="147" t="n">
        <v>4492731200</v>
      </c>
      <c r="H42" s="148" t="inlineStr">
        <is>
          <t>Кабель питания, 12 м</t>
        </is>
      </c>
      <c r="I42" s="349" t="n">
        <v>1037</v>
      </c>
      <c r="J42" s="349" t="n">
        <v>1037</v>
      </c>
      <c r="K42" s="368" t="n"/>
      <c r="L42" s="368" t="n"/>
      <c r="M42" s="175" t="n"/>
      <c r="N42" s="315" t="n"/>
      <c r="O42" s="177" t="n"/>
      <c r="P42" s="315" t="n"/>
      <c r="Q42" s="175" t="n"/>
      <c r="R42" s="315" t="n"/>
      <c r="S42" s="177" t="n"/>
      <c r="T42" s="315" t="n"/>
      <c r="U42" s="175" t="n"/>
      <c r="V42" s="315" t="n"/>
      <c r="W42" s="177" t="n"/>
      <c r="X42" s="315" t="n"/>
      <c r="Y42" s="175" t="n"/>
      <c r="Z42" s="206" t="n"/>
      <c r="AA42" s="177" t="n"/>
      <c r="AB42" s="347" t="n"/>
      <c r="AC42" s="175" t="n"/>
      <c r="AD42" s="315" t="n"/>
      <c r="AE42" s="177" t="n"/>
      <c r="AF42" s="347" t="n"/>
      <c r="AG42" s="175" t="n"/>
      <c r="AH42" s="315" t="n"/>
      <c r="AI42" s="177" t="n"/>
      <c r="AJ42" s="347" t="n"/>
      <c r="AK42" s="175" t="n"/>
      <c r="AL42" s="315" t="n"/>
      <c r="AM42" s="177" t="n"/>
      <c r="AN42" s="347" t="n"/>
      <c r="AO42" s="175" t="n"/>
      <c r="AP42" s="315" t="n"/>
      <c r="AQ42" s="177" t="n"/>
      <c r="AR42" s="347" t="n"/>
      <c r="AS42" s="175" t="n"/>
      <c r="AT42" s="315" t="n"/>
      <c r="AU42" s="177" t="n"/>
      <c r="AV42" s="347" t="n"/>
      <c r="AW42" s="175" t="n"/>
      <c r="AX42" s="315" t="n"/>
      <c r="AY42" s="208" t="n"/>
      <c r="AZ42" s="347" t="n"/>
      <c r="BA42" s="175" t="n"/>
      <c r="BB42" s="315" t="n"/>
      <c r="BC42" s="207" t="n"/>
      <c r="BD42" s="315" t="n"/>
      <c r="BE42" s="175" t="n"/>
      <c r="BF42" s="315" t="n"/>
      <c r="BG42" s="208" t="n"/>
      <c r="BH42" s="315" t="n"/>
      <c r="BI42" s="350" t="n"/>
      <c r="BJ42" s="351" t="n"/>
      <c r="BK42" s="352" t="n"/>
      <c r="BL42" s="353" t="n"/>
      <c r="BM42" s="354" t="n"/>
      <c r="BN42" s="355" t="n"/>
      <c r="BO42" s="175" t="n"/>
      <c r="BP42" s="186" t="n"/>
      <c r="BQ42" s="315" t="n"/>
      <c r="BR42" s="177" t="n"/>
      <c r="BS42" s="315" t="n"/>
      <c r="BT42" s="175" t="n"/>
      <c r="BU42" s="186" t="n"/>
      <c r="BV42" s="315" t="n"/>
      <c r="BW42" s="177" t="n"/>
      <c r="BX42" s="315" t="n"/>
      <c r="BY42" s="175" t="n"/>
      <c r="BZ42" s="186" t="n"/>
      <c r="CA42" s="315" t="n"/>
      <c r="CB42" s="177" t="n"/>
      <c r="CC42" s="315" t="n"/>
      <c r="CD42" s="175" t="n"/>
      <c r="CE42" s="186" t="n"/>
      <c r="CF42" s="315" t="n"/>
      <c r="CG42" s="177" t="n"/>
      <c r="CH42" s="315" t="n"/>
      <c r="CI42" s="175" t="n"/>
      <c r="CJ42" s="186" t="n"/>
      <c r="CK42" s="315" t="n"/>
      <c r="CL42" s="177" t="n"/>
      <c r="CM42" s="315" t="n"/>
      <c r="CN42" s="175" t="n"/>
      <c r="CO42" s="186" t="n"/>
      <c r="CP42" s="315" t="n"/>
      <c r="CQ42" s="177" t="n"/>
      <c r="CR42" s="315" t="n"/>
      <c r="CS42" s="175" t="n"/>
      <c r="CT42" s="186" t="n"/>
      <c r="CU42" s="206" t="n"/>
      <c r="CV42" s="177" t="n"/>
      <c r="CW42" s="315" t="n"/>
      <c r="CX42" s="175" t="n"/>
      <c r="CY42" s="186" t="n"/>
      <c r="CZ42" s="206" t="n"/>
      <c r="DA42" s="177" t="n"/>
      <c r="DB42" s="315" t="n"/>
      <c r="DC42" s="175" t="n"/>
      <c r="DD42" s="186" t="n"/>
      <c r="DE42" s="315" t="n"/>
      <c r="DF42" s="177" t="n"/>
      <c r="DG42" s="315" t="n"/>
      <c r="DH42" s="175" t="n"/>
      <c r="DI42" s="186" t="n"/>
      <c r="DJ42" s="315" t="n"/>
      <c r="DK42" s="177" t="n"/>
      <c r="DL42" s="315" t="n"/>
      <c r="DM42" s="175" t="n"/>
      <c r="DN42" s="186" t="n"/>
      <c r="DO42" s="315" t="n"/>
      <c r="DP42" s="177" t="n"/>
      <c r="DQ42" s="227" t="n"/>
      <c r="DR42" s="175" t="n"/>
      <c r="DS42" s="186" t="n"/>
      <c r="DT42" s="315" t="n"/>
      <c r="DU42" s="177" t="n"/>
      <c r="DV42" s="315" t="n"/>
      <c r="DW42" s="350" t="n"/>
      <c r="DX42" s="351" t="n"/>
      <c r="DY42" s="356" t="n"/>
      <c r="DZ42" s="357" t="n"/>
      <c r="EA42" s="352" t="n"/>
      <c r="EB42" s="353" t="n"/>
      <c r="EC42" s="354" t="n"/>
      <c r="ED42" s="355" t="n"/>
      <c r="EE42" s="175" t="n"/>
      <c r="EF42" s="315" t="n"/>
      <c r="EG42" s="177" t="n"/>
      <c r="EH42" s="315" t="n"/>
      <c r="EI42" s="175" t="n"/>
      <c r="EJ42" s="315" t="n"/>
      <c r="EK42" s="177" t="n"/>
      <c r="EL42" s="315" t="n"/>
      <c r="EM42" s="175" t="n"/>
      <c r="EN42" s="315" t="n"/>
      <c r="EO42" s="38" t="n">
        <v>0</v>
      </c>
      <c r="EP42" s="315" t="n"/>
      <c r="EQ42" s="175" t="n"/>
      <c r="ER42" s="315" t="n">
        <v>0</v>
      </c>
      <c r="ES42" s="177" t="n"/>
      <c r="ET42" s="347" t="n"/>
      <c r="EU42" s="175" t="n"/>
      <c r="EV42" s="155" t="n">
        <v>1</v>
      </c>
      <c r="EW42" s="177" t="n">
        <v>0</v>
      </c>
      <c r="EX42" s="315" t="n"/>
      <c r="EY42" s="175" t="n"/>
      <c r="EZ42" s="238" t="n"/>
      <c r="FA42" s="177" t="n"/>
      <c r="FB42" s="315" t="n"/>
      <c r="FC42" s="175" t="n"/>
      <c r="FD42" s="315" t="n"/>
      <c r="FE42" s="177" t="n"/>
      <c r="FF42" s="315" t="n"/>
      <c r="FG42" s="175" t="n"/>
      <c r="FH42" s="315" t="n"/>
      <c r="FI42" s="177" t="n"/>
      <c r="FJ42" s="315" t="n"/>
      <c r="FK42" s="175" t="n"/>
      <c r="FL42" s="315" t="n"/>
      <c r="FM42" s="177" t="n"/>
      <c r="FN42" s="315" t="n"/>
      <c r="FO42" s="175" t="n"/>
      <c r="FP42" s="315" t="n"/>
      <c r="FQ42" s="177" t="n"/>
      <c r="FR42" s="315" t="n"/>
      <c r="FS42" s="175" t="n"/>
      <c r="FT42" s="315" t="n"/>
      <c r="FU42" s="177" t="n"/>
      <c r="FV42" s="315" t="n"/>
      <c r="FW42" s="175" t="n"/>
      <c r="FX42" s="315" t="n"/>
      <c r="FY42" s="177" t="n"/>
      <c r="FZ42" s="315" t="n"/>
      <c r="GA42" s="338">
        <f t="array" ref="GA42">SUMPRODUCT(--(MOD(COLUMN($EE42:$FZ42),4)=MOD(COLUMN($EE42),4)),$EE42:$FZ42)</f>
        <v/>
      </c>
      <c r="GB42" s="339">
        <f>GA42*$J42</f>
        <v/>
      </c>
      <c r="GC42" s="340">
        <f t="array" ref="GC42">SUMPRODUCT(--(MOD(COLUMN($EE42:$FZ42),4)=MOD(COLUMN($EF42),4)),$EE42:$FZ42)</f>
        <v/>
      </c>
      <c r="GD42" s="341">
        <f>GC42*$J42</f>
        <v/>
      </c>
      <c r="GE42" s="342">
        <f t="array" ref="GE42">SUMPRODUCT(--(MOD(COLUMN($EE42:$FZ42),4)=MOD(COLUMN($EG42),4)),$EE42:$FZ42)</f>
        <v/>
      </c>
      <c r="GF42" s="343">
        <f>GE42*$J42</f>
        <v/>
      </c>
      <c r="GG42" s="175" t="n"/>
      <c r="GH42" s="315" t="n"/>
      <c r="GI42" s="177" t="n"/>
      <c r="GJ42" s="315" t="n"/>
      <c r="GK42" s="175" t="n"/>
      <c r="GL42" s="315" t="n"/>
      <c r="GM42" s="177" t="n"/>
      <c r="GN42" s="315" t="n"/>
      <c r="GO42" s="175" t="n"/>
      <c r="GP42" s="315" t="n"/>
      <c r="GQ42" s="177" t="n"/>
      <c r="GR42" s="315" t="n"/>
      <c r="GS42" s="175" t="n"/>
      <c r="GT42" s="315" t="n"/>
      <c r="GU42" s="177" t="n"/>
      <c r="GV42" s="315" t="n"/>
      <c r="GW42" s="175" t="n"/>
      <c r="GX42" s="315" t="n"/>
      <c r="GY42" s="177" t="n"/>
      <c r="GZ42" s="315" t="n"/>
      <c r="HA42" s="175" t="n"/>
      <c r="HB42" s="315" t="n"/>
      <c r="HC42" s="177" t="n"/>
      <c r="HD42" s="315" t="n"/>
      <c r="HE42" s="175" t="n"/>
      <c r="HF42" s="315" t="n"/>
      <c r="HG42" s="177" t="n"/>
      <c r="HH42" s="315" t="n"/>
      <c r="HI42" s="175" t="n"/>
      <c r="HJ42" s="315" t="n"/>
      <c r="HK42" s="177" t="n"/>
      <c r="HL42" s="315" t="n"/>
      <c r="HM42" s="175" t="n"/>
      <c r="HN42" s="315" t="n"/>
      <c r="HO42" s="177" t="n"/>
      <c r="HP42" s="315" t="n"/>
      <c r="HQ42" s="175" t="n"/>
      <c r="HR42" s="315" t="n"/>
      <c r="HS42" s="177" t="n"/>
      <c r="HT42" s="315" t="n"/>
      <c r="HU42" s="175" t="n"/>
      <c r="HV42" s="315" t="n"/>
      <c r="HW42" s="177" t="n"/>
      <c r="HX42" s="315" t="n"/>
      <c r="HY42" s="175" t="n"/>
      <c r="HZ42" s="315" t="n"/>
      <c r="IA42" s="177" t="n"/>
      <c r="IB42" s="315" t="n"/>
      <c r="IC42" s="338">
        <f t="array" ref="IC42">SUMPRODUCT(--(MOD(COLUMN($GG42:$IB42),4)=MOD(COLUMN($GG42),4)),$GG42:$IB42)</f>
        <v/>
      </c>
      <c r="ID42" s="339">
        <f>IC42*$J42</f>
        <v/>
      </c>
      <c r="IE42" s="340">
        <f t="array" ref="IE42">SUMPRODUCT(--(MOD(COLUMN($GG42:$IB42),4)=MOD(COLUMN($GH42),4)),$GG42:$IB42)</f>
        <v/>
      </c>
      <c r="IF42" s="341">
        <f>IE42*$J42</f>
        <v/>
      </c>
      <c r="IG42" s="342">
        <f t="array" ref="IG42">SUMPRODUCT(--(MOD(COLUMN($GG42:$IB42),4)=MOD(COLUMN($GI42),4)),$GG42:$IB42)</f>
        <v/>
      </c>
      <c r="IH42" s="343">
        <f>IG42*$J42</f>
        <v/>
      </c>
      <c r="II42" s="175" t="n"/>
      <c r="IJ42" s="315" t="n"/>
      <c r="IK42" s="177" t="n"/>
      <c r="IL42" s="315" t="n"/>
      <c r="IM42" s="175" t="n"/>
      <c r="IN42" s="315" t="n"/>
      <c r="IO42" s="177" t="n"/>
      <c r="IP42" s="315" t="n"/>
      <c r="IQ42" s="175" t="n"/>
      <c r="IR42" s="315" t="n"/>
      <c r="IS42" s="177" t="n"/>
      <c r="IT42" s="315" t="n"/>
      <c r="IU42" s="175" t="n"/>
      <c r="IV42" s="315" t="n"/>
      <c r="IW42" s="177" t="n"/>
      <c r="IX42" s="315" t="n"/>
      <c r="IY42" s="175" t="n"/>
      <c r="IZ42" s="315" t="n"/>
      <c r="JA42" s="177" t="n"/>
      <c r="JB42" s="315" t="n"/>
      <c r="JC42" s="175" t="n"/>
      <c r="JD42" s="315" t="n"/>
      <c r="JE42" s="177" t="n"/>
      <c r="JF42" s="315" t="n"/>
      <c r="JG42" s="175" t="n"/>
      <c r="JH42" s="315" t="n"/>
      <c r="JI42" s="177" t="n"/>
      <c r="JJ42" s="315" t="n"/>
      <c r="JK42" s="175" t="n"/>
      <c r="JL42" s="315" t="n"/>
      <c r="JM42" s="177" t="n"/>
      <c r="JN42" s="315" t="n"/>
      <c r="JO42" s="175" t="n"/>
      <c r="JP42" s="315" t="n"/>
      <c r="JQ42" s="177" t="n"/>
      <c r="JR42" s="315" t="n"/>
      <c r="JS42" s="175" t="n"/>
      <c r="JT42" s="315" t="n"/>
      <c r="JU42" s="177" t="n"/>
      <c r="JV42" s="315" t="n"/>
      <c r="JW42" s="175" t="n"/>
      <c r="JX42" s="315" t="n"/>
      <c r="JY42" s="177" t="n"/>
      <c r="JZ42" s="315" t="n"/>
      <c r="KA42" s="175" t="n"/>
      <c r="KB42" s="315" t="n"/>
      <c r="KC42" s="177" t="n"/>
      <c r="KD42" s="315" t="n"/>
      <c r="KE42" s="338">
        <f t="array" ref="KE42">SUMPRODUCT(--(MOD(COLUMN($II42:$KD42),4)=MOD(COLUMN($II42),4)),$II42:$KD42)</f>
        <v/>
      </c>
      <c r="KF42" s="339">
        <f>KE42*$J42</f>
        <v/>
      </c>
      <c r="KG42" s="340">
        <f t="array" ref="KG42">SUMPRODUCT(--(MOD(COLUMN($II42:$KD42),4)=MOD(COLUMN($IJ42),4)),$II42:$KD42)</f>
        <v/>
      </c>
      <c r="KH42" s="341">
        <f>KG42*$J42</f>
        <v/>
      </c>
      <c r="KI42" s="342">
        <f t="array" ref="KI42">SUMPRODUCT(--(MOD(COLUMN($II42:$KD42),4)=MOD(COLUMN($IK42),4)),$II42:$KD42)</f>
        <v/>
      </c>
      <c r="KJ42" s="346">
        <f>KI42*$J42</f>
        <v/>
      </c>
      <c r="KK42" s="189" t="n"/>
      <c r="KL42" s="189" t="n"/>
      <c r="KM42" s="189" t="n"/>
      <c r="KN42" s="190" t="n"/>
      <c r="KO42" s="347" t="n"/>
    </row>
    <row r="43" outlineLevel="1" ht="28.95" customFormat="1" customHeight="1" s="68">
      <c r="A43" s="347" t="n"/>
      <c r="B43" s="347" t="n"/>
      <c r="C43" s="347" t="n"/>
      <c r="D43" s="347" t="n"/>
      <c r="E43" s="15" t="n">
        <v>7</v>
      </c>
      <c r="F43" s="15" t="n">
        <v>1</v>
      </c>
      <c r="G43" s="147" t="n">
        <v>4491731500</v>
      </c>
      <c r="H43" s="148" t="inlineStr">
        <is>
          <t>Кабель питания, 15 м</t>
        </is>
      </c>
      <c r="I43" s="337" t="n">
        <v>762.4</v>
      </c>
      <c r="J43" s="337" t="n">
        <v>762.4</v>
      </c>
      <c r="K43" s="348" t="n"/>
      <c r="L43" s="348" t="n"/>
      <c r="M43" s="36" t="n"/>
      <c r="N43" s="284" t="n"/>
      <c r="O43" s="38" t="n"/>
      <c r="P43" s="284" t="n"/>
      <c r="Q43" s="36" t="n"/>
      <c r="R43" s="284" t="n"/>
      <c r="S43" s="38" t="n"/>
      <c r="T43" s="284" t="n"/>
      <c r="U43" s="36" t="n"/>
      <c r="V43" s="284" t="n"/>
      <c r="W43" s="38" t="n"/>
      <c r="X43" s="284" t="n"/>
      <c r="Y43" s="36" t="n"/>
      <c r="Z43" s="39" t="n"/>
      <c r="AA43" s="38" t="n"/>
      <c r="AB43" s="347" t="n"/>
      <c r="AC43" s="36" t="n"/>
      <c r="AD43" s="284" t="n"/>
      <c r="AE43" s="38" t="n"/>
      <c r="AF43" s="347" t="n"/>
      <c r="AG43" s="36" t="n"/>
      <c r="AH43" s="284" t="n"/>
      <c r="AI43" s="38" t="n"/>
      <c r="AJ43" s="347" t="n"/>
      <c r="AK43" s="36" t="n"/>
      <c r="AL43" s="284" t="n"/>
      <c r="AM43" s="38" t="n"/>
      <c r="AN43" s="347" t="n"/>
      <c r="AO43" s="36" t="n"/>
      <c r="AP43" s="284" t="n"/>
      <c r="AQ43" s="38" t="n"/>
      <c r="AR43" s="347" t="n"/>
      <c r="AS43" s="36" t="n"/>
      <c r="AT43" s="284" t="n"/>
      <c r="AU43" s="38" t="n"/>
      <c r="AV43" s="347" t="n"/>
      <c r="AW43" s="36" t="n"/>
      <c r="AX43" s="284" t="n"/>
      <c r="AY43" s="54" t="n"/>
      <c r="AZ43" s="347" t="n"/>
      <c r="BA43" s="36" t="n"/>
      <c r="BB43" s="284" t="n"/>
      <c r="BC43" s="92" t="n"/>
      <c r="BD43" s="284" t="n"/>
      <c r="BE43" s="36" t="n"/>
      <c r="BF43" s="284" t="n"/>
      <c r="BG43" s="54" t="n"/>
      <c r="BH43" s="284" t="n"/>
      <c r="BI43" s="338" t="n"/>
      <c r="BJ43" s="339" t="n"/>
      <c r="BK43" s="340" t="n"/>
      <c r="BL43" s="341" t="n"/>
      <c r="BM43" s="342" t="n"/>
      <c r="BN43" s="343" t="n"/>
      <c r="BO43" s="36" t="n"/>
      <c r="BP43" s="47" t="n"/>
      <c r="BQ43" s="284" t="n"/>
      <c r="BR43" s="38" t="n"/>
      <c r="BS43" s="284" t="n"/>
      <c r="BT43" s="36" t="n"/>
      <c r="BU43" s="47" t="n"/>
      <c r="BV43" s="284" t="n"/>
      <c r="BW43" s="38" t="n"/>
      <c r="BX43" s="284" t="n"/>
      <c r="BY43" s="36" t="n"/>
      <c r="BZ43" s="47" t="n"/>
      <c r="CA43" s="284" t="n"/>
      <c r="CB43" s="38" t="n"/>
      <c r="CC43" s="284" t="n"/>
      <c r="CD43" s="36" t="n"/>
      <c r="CE43" s="47" t="n"/>
      <c r="CF43" s="284" t="n"/>
      <c r="CG43" s="38" t="n"/>
      <c r="CH43" s="284" t="n"/>
      <c r="CI43" s="36" t="n"/>
      <c r="CJ43" s="47" t="n"/>
      <c r="CK43" s="284" t="n"/>
      <c r="CL43" s="38" t="n"/>
      <c r="CM43" s="284" t="n"/>
      <c r="CN43" s="36" t="n"/>
      <c r="CO43" s="47" t="n"/>
      <c r="CP43" s="284" t="n"/>
      <c r="CQ43" s="38" t="n"/>
      <c r="CR43" s="284" t="n"/>
      <c r="CS43" s="36" t="n"/>
      <c r="CT43" s="47" t="n"/>
      <c r="CU43" s="39" t="n"/>
      <c r="CV43" s="38" t="n"/>
      <c r="CW43" s="284" t="n"/>
      <c r="CX43" s="36" t="n"/>
      <c r="CY43" s="47" t="n"/>
      <c r="CZ43" s="39" t="n"/>
      <c r="DA43" s="38" t="n"/>
      <c r="DB43" s="284" t="n"/>
      <c r="DC43" s="36" t="n"/>
      <c r="DD43" s="47" t="n"/>
      <c r="DE43" s="284" t="n"/>
      <c r="DF43" s="38" t="n"/>
      <c r="DG43" s="284" t="n"/>
      <c r="DH43" s="36" t="n"/>
      <c r="DI43" s="47" t="n"/>
      <c r="DJ43" s="284" t="n"/>
      <c r="DK43" s="38" t="n"/>
      <c r="DL43" s="284" t="n"/>
      <c r="DM43" s="36" t="n"/>
      <c r="DN43" s="47" t="n"/>
      <c r="DO43" s="284" t="n"/>
      <c r="DP43" s="38" t="n"/>
      <c r="DQ43" s="227" t="n"/>
      <c r="DR43" s="36" t="n"/>
      <c r="DS43" s="47" t="n"/>
      <c r="DT43" s="284" t="n"/>
      <c r="DU43" s="38" t="n">
        <v>0</v>
      </c>
      <c r="DV43" s="284" t="n"/>
      <c r="DW43" s="338">
        <f t="array" ref="DW43">SUMPRODUCT(--(MOD(COLUMN($BO43:$DV43),5)=MOD(COLUMN($BO43),5)),$BO43:$DV43)</f>
        <v/>
      </c>
      <c r="DX43" s="339">
        <f>DW43*$J43</f>
        <v/>
      </c>
      <c r="DY43" s="344">
        <f t="array" ref="DY43">SUMPRODUCT(--(MOD(COLUMN($BO43:$DV43),5)=MOD(COLUMN($BP43),5)),$BO43:$DV43)</f>
        <v/>
      </c>
      <c r="DZ43" s="345">
        <f>DY43*$J43</f>
        <v/>
      </c>
      <c r="EA43" s="340">
        <f t="array" ref="EA43">SUMPRODUCT(--(MOD(COLUMN($BO43:$DV43),5)=MOD(COLUMN($BQ43),5)),$BO43:$DV43)</f>
        <v/>
      </c>
      <c r="EB43" s="341">
        <f>EA43*$J43</f>
        <v/>
      </c>
      <c r="EC43" s="342">
        <f t="array" ref="EC43">SUMPRODUCT(--(MOD(COLUMN($BO43:$DV43),5)=MOD(COLUMN($BR43),5)),$BO43:$DV43)</f>
        <v/>
      </c>
      <c r="ED43" s="343">
        <f>EC43*$J43</f>
        <v/>
      </c>
      <c r="EE43" s="36">
        <f>$KN43*0</f>
        <v/>
      </c>
      <c r="EF43" s="284" t="n">
        <v>1</v>
      </c>
      <c r="EG43" s="38" t="n">
        <v>0</v>
      </c>
      <c r="EH43" s="284" t="inlineStr">
        <is>
          <t>Новый артикул</t>
        </is>
      </c>
      <c r="EI43" s="36" t="n"/>
      <c r="EJ43" s="284" t="n">
        <v>1</v>
      </c>
      <c r="EK43" s="38" t="n">
        <v>1</v>
      </c>
      <c r="EL43" s="284" t="n"/>
      <c r="EM43" s="36" t="n"/>
      <c r="EN43" s="284" t="n">
        <v>0</v>
      </c>
      <c r="EO43" s="38" t="n">
        <v>0</v>
      </c>
      <c r="EP43" s="284" t="n"/>
      <c r="EQ43" s="36" t="n"/>
      <c r="ER43" s="284" t="n">
        <v>0</v>
      </c>
      <c r="ES43" s="38" t="n"/>
      <c r="ET43" s="347" t="n"/>
      <c r="EU43" s="36" t="n"/>
      <c r="EV43" s="155" t="n">
        <v>1</v>
      </c>
      <c r="EW43" s="38" t="n">
        <v>0</v>
      </c>
      <c r="EX43" s="284" t="n"/>
      <c r="EY43" s="36" t="n"/>
      <c r="EZ43" s="155" t="n">
        <v>16</v>
      </c>
      <c r="FA43" s="38" t="n">
        <v>0</v>
      </c>
      <c r="FB43" s="284" t="n"/>
      <c r="FC43" s="36" t="n"/>
      <c r="FD43" s="284" t="n">
        <v>18</v>
      </c>
      <c r="FE43" s="38" t="n">
        <v>0</v>
      </c>
      <c r="FF43" s="284" t="n"/>
      <c r="FG43" s="36" t="n"/>
      <c r="FH43" s="284" t="n"/>
      <c r="FI43" s="38" t="n"/>
      <c r="FJ43" s="284" t="n"/>
      <c r="FK43" s="36" t="n"/>
      <c r="FL43" s="284" t="n"/>
      <c r="FM43" s="38" t="n"/>
      <c r="FN43" s="284" t="n"/>
      <c r="FO43" s="36" t="n"/>
      <c r="FP43" s="284" t="n"/>
      <c r="FQ43" s="38" t="n"/>
      <c r="FR43" s="284" t="n"/>
      <c r="FS43" s="36" t="n"/>
      <c r="FT43" s="284" t="n"/>
      <c r="FU43" s="38" t="n"/>
      <c r="FV43" s="284" t="n"/>
      <c r="FW43" s="36" t="n"/>
      <c r="FX43" s="284" t="n"/>
      <c r="FY43" s="38" t="n"/>
      <c r="FZ43" s="284" t="n"/>
      <c r="GA43" s="338">
        <f t="array" ref="GA43">SUMPRODUCT(--(MOD(COLUMN($EE43:$FZ43),4)=MOD(COLUMN($EE43),4)),$EE43:$FZ43)</f>
        <v/>
      </c>
      <c r="GB43" s="339">
        <f>GA43*$J43</f>
        <v/>
      </c>
      <c r="GC43" s="340">
        <f t="array" ref="GC43">SUMPRODUCT(--(MOD(COLUMN($EE43:$FZ43),4)=MOD(COLUMN($EF43),4)),$EE43:$FZ43)</f>
        <v/>
      </c>
      <c r="GD43" s="341">
        <f>GC43*$J43</f>
        <v/>
      </c>
      <c r="GE43" s="342">
        <f t="array" ref="GE43">SUMPRODUCT(--(MOD(COLUMN($EE43:$FZ43),4)=MOD(COLUMN($EG43),4)),$EE43:$FZ43)</f>
        <v/>
      </c>
      <c r="GF43" s="343">
        <f>GE43*$J43</f>
        <v/>
      </c>
      <c r="GG43" s="36" t="n"/>
      <c r="GH43" s="284" t="n"/>
      <c r="GI43" s="38" t="n"/>
      <c r="GJ43" s="284" t="n"/>
      <c r="GK43" s="36" t="n"/>
      <c r="GL43" s="284" t="n"/>
      <c r="GM43" s="38" t="n"/>
      <c r="GN43" s="284" t="n"/>
      <c r="GO43" s="36" t="n"/>
      <c r="GP43" s="284" t="n"/>
      <c r="GQ43" s="38" t="n"/>
      <c r="GR43" s="284" t="n"/>
      <c r="GS43" s="36" t="n"/>
      <c r="GT43" s="284" t="n"/>
      <c r="GU43" s="38" t="n"/>
      <c r="GV43" s="284" t="n"/>
      <c r="GW43" s="36" t="n"/>
      <c r="GX43" s="284" t="n"/>
      <c r="GY43" s="38" t="n"/>
      <c r="GZ43" s="284" t="n"/>
      <c r="HA43" s="36" t="n"/>
      <c r="HB43" s="284" t="n"/>
      <c r="HC43" s="38" t="n"/>
      <c r="HD43" s="284" t="n"/>
      <c r="HE43" s="36" t="n"/>
      <c r="HF43" s="284" t="n"/>
      <c r="HG43" s="38" t="n"/>
      <c r="HH43" s="284" t="n"/>
      <c r="HI43" s="36" t="n"/>
      <c r="HJ43" s="284" t="n"/>
      <c r="HK43" s="38" t="n"/>
      <c r="HL43" s="284" t="n"/>
      <c r="HM43" s="36" t="n"/>
      <c r="HN43" s="284" t="n"/>
      <c r="HO43" s="38" t="n"/>
      <c r="HP43" s="284" t="n"/>
      <c r="HQ43" s="36" t="n"/>
      <c r="HR43" s="284" t="n"/>
      <c r="HS43" s="38" t="n"/>
      <c r="HT43" s="284" t="n"/>
      <c r="HU43" s="36" t="n"/>
      <c r="HV43" s="284" t="n"/>
      <c r="HW43" s="38" t="n"/>
      <c r="HX43" s="284" t="n"/>
      <c r="HY43" s="36" t="n"/>
      <c r="HZ43" s="284" t="n"/>
      <c r="IA43" s="38" t="n"/>
      <c r="IB43" s="284" t="n"/>
      <c r="IC43" s="338">
        <f t="array" ref="IC43">SUMPRODUCT(--(MOD(COLUMN($GG43:$IB43),4)=MOD(COLUMN($GG43),4)),$GG43:$IB43)</f>
        <v/>
      </c>
      <c r="ID43" s="339">
        <f>IC43*$J43</f>
        <v/>
      </c>
      <c r="IE43" s="340">
        <f t="array" ref="IE43">SUMPRODUCT(--(MOD(COLUMN($GG43:$IB43),4)=MOD(COLUMN($GH43),4)),$GG43:$IB43)</f>
        <v/>
      </c>
      <c r="IF43" s="341">
        <f>IE43*$J43</f>
        <v/>
      </c>
      <c r="IG43" s="342">
        <f t="array" ref="IG43">SUMPRODUCT(--(MOD(COLUMN($GG43:$IB43),4)=MOD(COLUMN($GI43),4)),$GG43:$IB43)</f>
        <v/>
      </c>
      <c r="IH43" s="343">
        <f>IG43*$J43</f>
        <v/>
      </c>
      <c r="II43" s="36" t="n"/>
      <c r="IJ43" s="284" t="n"/>
      <c r="IK43" s="38" t="n"/>
      <c r="IL43" s="284" t="n"/>
      <c r="IM43" s="36" t="n"/>
      <c r="IN43" s="284" t="n"/>
      <c r="IO43" s="38" t="n"/>
      <c r="IP43" s="284" t="n"/>
      <c r="IQ43" s="36" t="n"/>
      <c r="IR43" s="284" t="n"/>
      <c r="IS43" s="38" t="n"/>
      <c r="IT43" s="284" t="n"/>
      <c r="IU43" s="36" t="n"/>
      <c r="IV43" s="284" t="n"/>
      <c r="IW43" s="38" t="n"/>
      <c r="IX43" s="284" t="n"/>
      <c r="IY43" s="36" t="n"/>
      <c r="IZ43" s="284" t="n"/>
      <c r="JA43" s="38" t="n"/>
      <c r="JB43" s="284" t="n"/>
      <c r="JC43" s="36" t="n"/>
      <c r="JD43" s="284" t="n"/>
      <c r="JE43" s="38" t="n"/>
      <c r="JF43" s="284" t="n"/>
      <c r="JG43" s="36" t="n"/>
      <c r="JH43" s="284" t="n"/>
      <c r="JI43" s="38" t="n"/>
      <c r="JJ43" s="284" t="n"/>
      <c r="JK43" s="36" t="n"/>
      <c r="JL43" s="284" t="n"/>
      <c r="JM43" s="38" t="n"/>
      <c r="JN43" s="284" t="n"/>
      <c r="JO43" s="36" t="n"/>
      <c r="JP43" s="284" t="n"/>
      <c r="JQ43" s="38" t="n"/>
      <c r="JR43" s="284" t="n"/>
      <c r="JS43" s="36" t="n"/>
      <c r="JT43" s="284" t="n"/>
      <c r="JU43" s="38" t="n"/>
      <c r="JV43" s="284" t="n"/>
      <c r="JW43" s="36" t="n"/>
      <c r="JX43" s="284" t="n"/>
      <c r="JY43" s="38" t="n"/>
      <c r="JZ43" s="284" t="n"/>
      <c r="KA43" s="36" t="n"/>
      <c r="KB43" s="284" t="n"/>
      <c r="KC43" s="38" t="n"/>
      <c r="KD43" s="284" t="n"/>
      <c r="KE43" s="338">
        <f t="array" ref="KE43">SUMPRODUCT(--(MOD(COLUMN($II43:$KD43),4)=MOD(COLUMN($II43),4)),$II43:$KD43)</f>
        <v/>
      </c>
      <c r="KF43" s="339">
        <f>KE43*$J43</f>
        <v/>
      </c>
      <c r="KG43" s="340">
        <f t="array" ref="KG43">SUMPRODUCT(--(MOD(COLUMN($II43:$KD43),4)=MOD(COLUMN($IJ43),4)),$II43:$KD43)</f>
        <v/>
      </c>
      <c r="KH43" s="341">
        <f>KG43*$J43</f>
        <v/>
      </c>
      <c r="KI43" s="342">
        <f t="array" ref="KI43">SUMPRODUCT(--(MOD(COLUMN($II43:$KD43),4)=MOD(COLUMN($IK43),4)),$II43:$KD43)</f>
        <v/>
      </c>
      <c r="KJ43" s="346">
        <f>KI43*$J43</f>
        <v/>
      </c>
      <c r="KK43" s="80" t="n"/>
      <c r="KL43" s="80" t="n"/>
      <c r="KM43" s="80" t="n"/>
      <c r="KN43" s="51" t="n">
        <v>1</v>
      </c>
      <c r="KO43" s="347" t="n"/>
    </row>
    <row r="44" outlineLevel="1" customFormat="1" s="68">
      <c r="A44" s="347" t="n"/>
      <c r="B44" s="347" t="n"/>
      <c r="C44" s="347" t="n"/>
      <c r="D44" s="347" t="n"/>
      <c r="E44" s="15" t="n">
        <v>8</v>
      </c>
      <c r="F44" s="15" t="n">
        <v>1</v>
      </c>
      <c r="G44" s="33" t="n">
        <v>4497230300</v>
      </c>
      <c r="H44" s="34" t="inlineStr">
        <is>
          <t>Кабель датчика, 3 м</t>
        </is>
      </c>
      <c r="I44" s="337" t="n"/>
      <c r="J44" s="337">
        <f>68.4/1.2</f>
        <v/>
      </c>
      <c r="K44" s="348" t="n"/>
      <c r="L44" s="348" t="n"/>
      <c r="M44" s="36" t="n"/>
      <c r="N44" s="284" t="n"/>
      <c r="O44" s="38" t="n"/>
      <c r="P44" s="284" t="n"/>
      <c r="Q44" s="36" t="n"/>
      <c r="R44" s="284" t="n"/>
      <c r="S44" s="38" t="n"/>
      <c r="T44" s="284" t="n"/>
      <c r="U44" s="36" t="n"/>
      <c r="V44" s="284" t="n"/>
      <c r="W44" s="38" t="n"/>
      <c r="X44" s="284" t="n"/>
      <c r="Y44" s="36" t="n"/>
      <c r="Z44" s="39" t="n"/>
      <c r="AA44" s="38" t="n"/>
      <c r="AB44" s="347" t="n"/>
      <c r="AC44" s="36" t="n"/>
      <c r="AD44" s="284" t="n"/>
      <c r="AE44" s="38" t="n"/>
      <c r="AF44" s="347" t="n"/>
      <c r="AG44" s="36" t="n"/>
      <c r="AH44" s="284" t="n"/>
      <c r="AI44" s="38" t="n"/>
      <c r="AJ44" s="347" t="n"/>
      <c r="AK44" s="36" t="n"/>
      <c r="AL44" s="284" t="n"/>
      <c r="AM44" s="38" t="n"/>
      <c r="AN44" s="347" t="n"/>
      <c r="AO44" s="36" t="n"/>
      <c r="AP44" s="284" t="n"/>
      <c r="AQ44" s="38" t="n"/>
      <c r="AR44" s="347" t="n"/>
      <c r="AS44" s="36" t="n"/>
      <c r="AT44" s="284" t="n"/>
      <c r="AU44" s="38" t="n"/>
      <c r="AV44" s="347" t="n"/>
      <c r="AW44" s="36" t="n"/>
      <c r="AX44" s="284" t="n"/>
      <c r="AY44" s="54" t="n"/>
      <c r="AZ44" s="347" t="n"/>
      <c r="BA44" s="36" t="n"/>
      <c r="BB44" s="284" t="n"/>
      <c r="BC44" s="92" t="n"/>
      <c r="BD44" s="284" t="n"/>
      <c r="BE44" s="36" t="n"/>
      <c r="BF44" s="284" t="n"/>
      <c r="BG44" s="54" t="n"/>
      <c r="BH44" s="284" t="n"/>
      <c r="BI44" s="338" t="n"/>
      <c r="BJ44" s="339" t="n"/>
      <c r="BK44" s="340" t="n"/>
      <c r="BL44" s="341" t="n"/>
      <c r="BM44" s="342" t="n"/>
      <c r="BN44" s="343" t="n"/>
      <c r="BO44" s="36" t="n"/>
      <c r="BP44" s="47" t="n"/>
      <c r="BQ44" s="284" t="n"/>
      <c r="BR44" s="38" t="n">
        <v>4</v>
      </c>
      <c r="BS44" s="284" t="n"/>
      <c r="BT44" s="36" t="n"/>
      <c r="BU44" s="47" t="n"/>
      <c r="BV44" s="284" t="n"/>
      <c r="BW44" s="38" t="n">
        <v>20</v>
      </c>
      <c r="BX44" s="284" t="n"/>
      <c r="BY44" s="36" t="n"/>
      <c r="BZ44" s="47" t="n"/>
      <c r="CA44" s="284" t="n"/>
      <c r="CB44" s="38" t="n"/>
      <c r="CC44" s="284" t="n"/>
      <c r="CD44" s="36" t="n"/>
      <c r="CE44" s="47" t="n"/>
      <c r="CF44" s="284" t="n"/>
      <c r="CG44" s="38" t="n"/>
      <c r="CH44" s="284" t="n"/>
      <c r="CI44" s="36" t="n"/>
      <c r="CJ44" s="47" t="n"/>
      <c r="CK44" s="284" t="n"/>
      <c r="CL44" s="38" t="n"/>
      <c r="CM44" s="284" t="n"/>
      <c r="CN44" s="36" t="n"/>
      <c r="CO44" s="47" t="n"/>
      <c r="CP44" s="284" t="n">
        <v>4</v>
      </c>
      <c r="CQ44" s="38" t="n">
        <v>4</v>
      </c>
      <c r="CR44" s="284" t="n"/>
      <c r="CS44" s="36" t="n"/>
      <c r="CT44" s="47" t="n"/>
      <c r="CU44" s="39" t="n"/>
      <c r="CV44" s="38" t="n">
        <v>0</v>
      </c>
      <c r="CW44" s="284" t="n"/>
      <c r="CX44" s="36" t="n"/>
      <c r="CY44" s="47" t="n"/>
      <c r="CZ44" s="39" t="n"/>
      <c r="DA44" s="38" t="n">
        <v>0</v>
      </c>
      <c r="DB44" s="284" t="n"/>
      <c r="DC44" s="36" t="n"/>
      <c r="DD44" s="47" t="n"/>
      <c r="DE44" s="284">
        <f>$KN44*0</f>
        <v/>
      </c>
      <c r="DF44" s="38" t="n">
        <v>0</v>
      </c>
      <c r="DG44" s="284" t="n"/>
      <c r="DH44" s="36" t="n"/>
      <c r="DI44" s="47" t="n"/>
      <c r="DJ44" s="284">
        <f>$KN44*0</f>
        <v/>
      </c>
      <c r="DK44" s="38" t="n">
        <v>0</v>
      </c>
      <c r="DL44" s="284" t="n"/>
      <c r="DM44" s="36" t="n"/>
      <c r="DN44" s="47" t="n"/>
      <c r="DO44" s="284">
        <f>$KN44*0</f>
        <v/>
      </c>
      <c r="DP44" s="38" t="n">
        <v>0</v>
      </c>
      <c r="DQ44" s="227" t="n"/>
      <c r="DR44" s="36" t="n"/>
      <c r="DS44" s="47" t="n"/>
      <c r="DT44" s="284">
        <f>$KN44*0</f>
        <v/>
      </c>
      <c r="DU44" s="38" t="n">
        <v>0</v>
      </c>
      <c r="DV44" s="284" t="n"/>
      <c r="DW44" s="338">
        <f t="array" ref="DW44">SUMPRODUCT(--(MOD(COLUMN($BO44:$DV44),5)=MOD(COLUMN($BO44),5)),$BO44:$DV44)</f>
        <v/>
      </c>
      <c r="DX44" s="339">
        <f>DW44*$J44</f>
        <v/>
      </c>
      <c r="DY44" s="344">
        <f t="array" ref="DY44">SUMPRODUCT(--(MOD(COLUMN($BO44:$DV44),5)=MOD(COLUMN($BP44),5)),$BO44:$DV44)</f>
        <v/>
      </c>
      <c r="DZ44" s="345">
        <f>DY44*$J44</f>
        <v/>
      </c>
      <c r="EA44" s="340">
        <f t="array" ref="EA44">SUMPRODUCT(--(MOD(COLUMN($BO44:$DV44),5)=MOD(COLUMN($BQ44),5)),$BO44:$DV44)</f>
        <v/>
      </c>
      <c r="EB44" s="341">
        <f>EA44*$J44</f>
        <v/>
      </c>
      <c r="EC44" s="342">
        <f t="array" ref="EC44">SUMPRODUCT(--(MOD(COLUMN($BO44:$DV44),5)=MOD(COLUMN($BR44),5)),$BO44:$DV44)</f>
        <v/>
      </c>
      <c r="ED44" s="343">
        <f>EC44*$J44</f>
        <v/>
      </c>
      <c r="EE44" s="36">
        <f>$KN44*0</f>
        <v/>
      </c>
      <c r="EF44" s="284" t="n">
        <v>6</v>
      </c>
      <c r="EG44" s="38" t="n">
        <v>0</v>
      </c>
      <c r="EH44" s="284" t="n"/>
      <c r="EI44" s="36" t="n">
        <v>0</v>
      </c>
      <c r="EJ44" s="284" t="n">
        <v>6</v>
      </c>
      <c r="EK44" s="38" t="n">
        <v>6</v>
      </c>
      <c r="EL44" s="284" t="n"/>
      <c r="EM44" s="36" t="n">
        <v>0</v>
      </c>
      <c r="EN44" s="284" t="n">
        <v>0</v>
      </c>
      <c r="EO44" s="38" t="n">
        <v>0</v>
      </c>
      <c r="EP44" s="284" t="n"/>
      <c r="EQ44" s="36">
        <f>$KN44*10</f>
        <v/>
      </c>
      <c r="ER44" s="284" t="n">
        <v>0</v>
      </c>
      <c r="ES44" s="38" t="n"/>
      <c r="ET44" s="347" t="n"/>
      <c r="EU44" s="36">
        <f>$KN44*15</f>
        <v/>
      </c>
      <c r="EV44" s="155" t="n">
        <v>0</v>
      </c>
      <c r="EW44" s="38" t="n"/>
      <c r="EX44" s="284" t="n"/>
      <c r="EY44" s="36">
        <f>$KN44*20</f>
        <v/>
      </c>
      <c r="EZ44" s="155" t="n">
        <v>64</v>
      </c>
      <c r="FA44" s="38" t="n">
        <v>0</v>
      </c>
      <c r="FB44" s="284" t="n"/>
      <c r="FC44" s="36">
        <f>$KN44*25</f>
        <v/>
      </c>
      <c r="FD44" s="284" t="n">
        <v>66</v>
      </c>
      <c r="FE44" s="38" t="n">
        <v>0</v>
      </c>
      <c r="FF44" s="284" t="n"/>
      <c r="FG44" s="36">
        <f>$KN44*30</f>
        <v/>
      </c>
      <c r="FH44" s="284" t="n">
        <v>0</v>
      </c>
      <c r="FI44" s="38" t="n"/>
      <c r="FJ44" s="284" t="n"/>
      <c r="FK44" s="36" t="n"/>
      <c r="FL44" s="284" t="n">
        <v>0</v>
      </c>
      <c r="FM44" s="38" t="n"/>
      <c r="FN44" s="284" t="n"/>
      <c r="FO44" s="36" t="n"/>
      <c r="FP44" s="284" t="n">
        <v>0</v>
      </c>
      <c r="FQ44" s="38" t="n"/>
      <c r="FR44" s="284" t="n"/>
      <c r="FS44" s="36" t="n"/>
      <c r="FT44" s="284" t="n">
        <v>0</v>
      </c>
      <c r="FU44" s="38" t="n"/>
      <c r="FV44" s="284" t="n"/>
      <c r="FW44" s="36" t="n"/>
      <c r="FX44" s="284" t="n">
        <v>0</v>
      </c>
      <c r="FY44" s="38" t="n"/>
      <c r="FZ44" s="284" t="n"/>
      <c r="GA44" s="338">
        <f t="array" ref="GA44">SUMPRODUCT(--(MOD(COLUMN($EE44:$FZ44),4)=MOD(COLUMN($EE44),4)),$EE44:$FZ44)</f>
        <v/>
      </c>
      <c r="GB44" s="339">
        <f>GA44*$J44</f>
        <v/>
      </c>
      <c r="GC44" s="340">
        <f t="array" ref="GC44">SUMPRODUCT(--(MOD(COLUMN($EE44:$FZ44),4)=MOD(COLUMN($EF44),4)),$EE44:$FZ44)</f>
        <v/>
      </c>
      <c r="GD44" s="341">
        <f>GC44*$J44</f>
        <v/>
      </c>
      <c r="GE44" s="342">
        <f t="array" ref="GE44">SUMPRODUCT(--(MOD(COLUMN($EE44:$FZ44),4)=MOD(COLUMN($EG44),4)),$EE44:$FZ44)</f>
        <v/>
      </c>
      <c r="GF44" s="343">
        <f>GE44*$J44</f>
        <v/>
      </c>
      <c r="GG44" s="36" t="n"/>
      <c r="GH44" s="284" t="n"/>
      <c r="GI44" s="38" t="n"/>
      <c r="GJ44" s="284" t="n"/>
      <c r="GK44" s="36" t="n"/>
      <c r="GL44" s="284" t="n"/>
      <c r="GM44" s="38" t="n"/>
      <c r="GN44" s="284" t="n"/>
      <c r="GO44" s="36" t="n"/>
      <c r="GP44" s="284" t="n"/>
      <c r="GQ44" s="38" t="n"/>
      <c r="GR44" s="284" t="n"/>
      <c r="GS44" s="36" t="n"/>
      <c r="GT44" s="284" t="n"/>
      <c r="GU44" s="38" t="n"/>
      <c r="GV44" s="284" t="n"/>
      <c r="GW44" s="36" t="n"/>
      <c r="GX44" s="284" t="n"/>
      <c r="GY44" s="38" t="n"/>
      <c r="GZ44" s="284" t="n"/>
      <c r="HA44" s="36" t="n"/>
      <c r="HB44" s="284" t="n"/>
      <c r="HC44" s="38" t="n"/>
      <c r="HD44" s="284" t="n"/>
      <c r="HE44" s="36" t="n"/>
      <c r="HF44" s="284" t="n"/>
      <c r="HG44" s="38" t="n"/>
      <c r="HH44" s="284" t="n"/>
      <c r="HI44" s="36" t="n"/>
      <c r="HJ44" s="284" t="n"/>
      <c r="HK44" s="38" t="n"/>
      <c r="HL44" s="284" t="n"/>
      <c r="HM44" s="36" t="n"/>
      <c r="HN44" s="284" t="n"/>
      <c r="HO44" s="38" t="n"/>
      <c r="HP44" s="284" t="n"/>
      <c r="HQ44" s="36" t="n"/>
      <c r="HR44" s="284" t="n"/>
      <c r="HS44" s="38" t="n"/>
      <c r="HT44" s="284" t="n"/>
      <c r="HU44" s="36" t="n"/>
      <c r="HV44" s="284" t="n"/>
      <c r="HW44" s="38" t="n"/>
      <c r="HX44" s="284" t="n"/>
      <c r="HY44" s="36" t="n"/>
      <c r="HZ44" s="284" t="n"/>
      <c r="IA44" s="38" t="n"/>
      <c r="IB44" s="284" t="n"/>
      <c r="IC44" s="338">
        <f t="array" ref="IC44">SUMPRODUCT(--(MOD(COLUMN($GG44:$IB44),4)=MOD(COLUMN($GG44),4)),$GG44:$IB44)</f>
        <v/>
      </c>
      <c r="ID44" s="339">
        <f>IC44*$J44</f>
        <v/>
      </c>
      <c r="IE44" s="340">
        <f t="array" ref="IE44">SUMPRODUCT(--(MOD(COLUMN($GG44:$IB44),4)=MOD(COLUMN($GH44),4)),$GG44:$IB44)</f>
        <v/>
      </c>
      <c r="IF44" s="341">
        <f>IE44*$J44</f>
        <v/>
      </c>
      <c r="IG44" s="342">
        <f t="array" ref="IG44">SUMPRODUCT(--(MOD(COLUMN($GG44:$IB44),4)=MOD(COLUMN($GI44),4)),$GG44:$IB44)</f>
        <v/>
      </c>
      <c r="IH44" s="343">
        <f>IG44*$J44</f>
        <v/>
      </c>
      <c r="II44" s="36" t="n"/>
      <c r="IJ44" s="284" t="n"/>
      <c r="IK44" s="38" t="n"/>
      <c r="IL44" s="284" t="n"/>
      <c r="IM44" s="36" t="n"/>
      <c r="IN44" s="284" t="n"/>
      <c r="IO44" s="38" t="n"/>
      <c r="IP44" s="284" t="n"/>
      <c r="IQ44" s="36" t="n"/>
      <c r="IR44" s="284" t="n"/>
      <c r="IS44" s="38" t="n"/>
      <c r="IT44" s="284" t="n"/>
      <c r="IU44" s="36" t="n"/>
      <c r="IV44" s="284" t="n"/>
      <c r="IW44" s="38" t="n"/>
      <c r="IX44" s="284" t="n"/>
      <c r="IY44" s="36" t="n"/>
      <c r="IZ44" s="284" t="n"/>
      <c r="JA44" s="38" t="n"/>
      <c r="JB44" s="284" t="n"/>
      <c r="JC44" s="36" t="n"/>
      <c r="JD44" s="284" t="n"/>
      <c r="JE44" s="38" t="n"/>
      <c r="JF44" s="284" t="n"/>
      <c r="JG44" s="36" t="n"/>
      <c r="JH44" s="284" t="n"/>
      <c r="JI44" s="38" t="n"/>
      <c r="JJ44" s="284" t="n"/>
      <c r="JK44" s="36" t="n"/>
      <c r="JL44" s="284" t="n"/>
      <c r="JM44" s="38" t="n"/>
      <c r="JN44" s="284" t="n"/>
      <c r="JO44" s="36" t="n"/>
      <c r="JP44" s="284" t="n"/>
      <c r="JQ44" s="38" t="n"/>
      <c r="JR44" s="284" t="n"/>
      <c r="JS44" s="36" t="n"/>
      <c r="JT44" s="284" t="n"/>
      <c r="JU44" s="38" t="n"/>
      <c r="JV44" s="284" t="n"/>
      <c r="JW44" s="36" t="n"/>
      <c r="JX44" s="284" t="n"/>
      <c r="JY44" s="38" t="n"/>
      <c r="JZ44" s="284" t="n"/>
      <c r="KA44" s="36" t="n"/>
      <c r="KB44" s="284" t="n"/>
      <c r="KC44" s="38" t="n"/>
      <c r="KD44" s="284" t="n"/>
      <c r="KE44" s="338">
        <f t="array" ref="KE44">SUMPRODUCT(--(MOD(COLUMN($II44:$KD44),4)=MOD(COLUMN($II44),4)),$II44:$KD44)</f>
        <v/>
      </c>
      <c r="KF44" s="339">
        <f>KE44*$J44</f>
        <v/>
      </c>
      <c r="KG44" s="340">
        <f t="array" ref="KG44">SUMPRODUCT(--(MOD(COLUMN($II44:$KD44),4)=MOD(COLUMN($IJ44),4)),$II44:$KD44)</f>
        <v/>
      </c>
      <c r="KH44" s="341">
        <f>KG44*$J44</f>
        <v/>
      </c>
      <c r="KI44" s="342">
        <f t="array" ref="KI44">SUMPRODUCT(--(MOD(COLUMN($II44:$KD44),4)=MOD(COLUMN($IK44),4)),$II44:$KD44)</f>
        <v/>
      </c>
      <c r="KJ44" s="346">
        <f>KI44*$J44</f>
        <v/>
      </c>
      <c r="KK44" s="80" t="n"/>
      <c r="KL44" s="80" t="n"/>
      <c r="KM44" s="80" t="n"/>
      <c r="KN44" s="51" t="n"/>
      <c r="KO44" s="347" t="n"/>
    </row>
    <row r="45" outlineLevel="1" customFormat="1" s="68">
      <c r="A45" s="347" t="n"/>
      <c r="B45" s="347" t="n"/>
      <c r="C45" s="347" t="n"/>
      <c r="D45" s="347" t="n"/>
      <c r="E45" s="15" t="n">
        <v>9</v>
      </c>
      <c r="F45" s="15" t="n">
        <v>1</v>
      </c>
      <c r="G45" s="33" t="n">
        <v>4497230500</v>
      </c>
      <c r="H45" s="34" t="inlineStr">
        <is>
          <t>Кабель датчика, 5 м</t>
        </is>
      </c>
      <c r="I45" s="337">
        <f>71.7/1.2/0.98</f>
        <v/>
      </c>
      <c r="J45" s="337">
        <f>71.7/1.2</f>
        <v/>
      </c>
      <c r="K45" s="348" t="n"/>
      <c r="L45" s="348" t="n"/>
      <c r="M45" s="36" t="n">
        <v>0</v>
      </c>
      <c r="N45" s="284" t="n">
        <v>0</v>
      </c>
      <c r="O45" s="38" t="n">
        <v>0</v>
      </c>
      <c r="P45" s="284" t="n"/>
      <c r="Q45" s="36" t="n">
        <v>0</v>
      </c>
      <c r="R45" s="284" t="n">
        <v>0</v>
      </c>
      <c r="S45" s="38" t="n">
        <v>0</v>
      </c>
      <c r="T45" s="284" t="n"/>
      <c r="U45" s="36" t="n">
        <v>0</v>
      </c>
      <c r="V45" s="284" t="n">
        <v>0</v>
      </c>
      <c r="W45" s="38" t="n">
        <v>0</v>
      </c>
      <c r="X45" s="284" t="n"/>
      <c r="Y45" s="36" t="n">
        <v>10</v>
      </c>
      <c r="Z45" s="39" t="n">
        <v>0</v>
      </c>
      <c r="AA45" s="38" t="n">
        <v>0</v>
      </c>
      <c r="AB45" s="347" t="n"/>
      <c r="AC45" s="36" t="n">
        <v>40</v>
      </c>
      <c r="AD45" s="284" t="n">
        <v>0</v>
      </c>
      <c r="AE45" s="38" t="n">
        <v>0</v>
      </c>
      <c r="AF45" s="347" t="n"/>
      <c r="AG45" s="36" t="n">
        <v>40</v>
      </c>
      <c r="AH45" s="284" t="n">
        <v>0</v>
      </c>
      <c r="AI45" s="38" t="n">
        <v>0</v>
      </c>
      <c r="AJ45" s="347" t="n"/>
      <c r="AK45" s="36" t="n">
        <v>40</v>
      </c>
      <c r="AL45" s="284" t="n">
        <v>0</v>
      </c>
      <c r="AM45" s="38" t="n">
        <v>0</v>
      </c>
      <c r="AN45" s="347" t="n"/>
      <c r="AO45" s="36" t="n">
        <v>40</v>
      </c>
      <c r="AP45" s="284" t="n">
        <v>0</v>
      </c>
      <c r="AQ45" s="38" t="n">
        <v>0</v>
      </c>
      <c r="AR45" s="347" t="n"/>
      <c r="AS45" s="36" t="n">
        <v>40</v>
      </c>
      <c r="AT45" s="284" t="n">
        <v>0</v>
      </c>
      <c r="AU45" s="38" t="n">
        <v>0</v>
      </c>
      <c r="AV45" s="347" t="n"/>
      <c r="AW45" s="36" t="n">
        <v>40</v>
      </c>
      <c r="AX45" s="284" t="n">
        <v>0</v>
      </c>
      <c r="AY45" s="54" t="n">
        <v>0</v>
      </c>
      <c r="AZ45" s="347" t="n"/>
      <c r="BA45" s="36" t="n">
        <v>40</v>
      </c>
      <c r="BB45" s="284" t="n">
        <v>0</v>
      </c>
      <c r="BC45" s="92" t="n">
        <v>0</v>
      </c>
      <c r="BD45" s="284" t="n"/>
      <c r="BE45" s="36" t="n">
        <v>40</v>
      </c>
      <c r="BF45" s="284">
        <f>$KN45*0</f>
        <v/>
      </c>
      <c r="BG45" s="54" t="n">
        <v>0</v>
      </c>
      <c r="BH45" s="284" t="n"/>
      <c r="BI45" s="338">
        <f>SUMPRODUCT(--(MOD(COLUMN($M45:$BH45),4)=MOD(COLUMN($M45),4)),$M45:$BH45)</f>
        <v/>
      </c>
      <c r="BJ45" s="339">
        <f>BI45*$I45</f>
        <v/>
      </c>
      <c r="BK45" s="340">
        <f>SUMPRODUCT(--(MOD(COLUMN($M45:$BH45),4)=MOD(COLUMN($M45)+1,4)),$M45:$BH45)</f>
        <v/>
      </c>
      <c r="BL45" s="341">
        <f>BK45*$I45</f>
        <v/>
      </c>
      <c r="BM45" s="342">
        <f>SUMPRODUCT(--(MOD(COLUMN($M45:$BH45),4)=MOD(COLUMN($M45)+2,4)),$M45:$BH45)</f>
        <v/>
      </c>
      <c r="BN45" s="343">
        <f>BM45*$I45</f>
        <v/>
      </c>
      <c r="BO45" s="36">
        <f>$KN45*5</f>
        <v/>
      </c>
      <c r="BP45" s="47">
        <f>$KN45*0</f>
        <v/>
      </c>
      <c r="BQ45" s="284">
        <f>$KN45*5</f>
        <v/>
      </c>
      <c r="BR45" s="38" t="n">
        <v>0</v>
      </c>
      <c r="BS45" s="284" t="n"/>
      <c r="BT45" s="36">
        <f>$KN45*5</f>
        <v/>
      </c>
      <c r="BU45" s="47">
        <f>$KN45*1</f>
        <v/>
      </c>
      <c r="BV45" s="284">
        <f>$KN45*0</f>
        <v/>
      </c>
      <c r="BW45" s="38" t="n">
        <v>0</v>
      </c>
      <c r="BX45" s="284" t="n"/>
      <c r="BY45" s="36">
        <f>$KN45*5</f>
        <v/>
      </c>
      <c r="BZ45" s="47">
        <f>$KN45*0</f>
        <v/>
      </c>
      <c r="CA45" s="284">
        <f>$KN45*0</f>
        <v/>
      </c>
      <c r="CB45" s="38" t="n">
        <v>0</v>
      </c>
      <c r="CC45" s="284" t="n"/>
      <c r="CD45" s="36">
        <f>$KN45*5</f>
        <v/>
      </c>
      <c r="CE45" s="47">
        <f>$KN45*0</f>
        <v/>
      </c>
      <c r="CF45" s="284">
        <f>$KN45*0</f>
        <v/>
      </c>
      <c r="CG45" s="38" t="n">
        <v>0</v>
      </c>
      <c r="CH45" s="284" t="n"/>
      <c r="CI45" s="36">
        <f>$KN45*5</f>
        <v/>
      </c>
      <c r="CJ45" s="47">
        <f>$KN45*5</f>
        <v/>
      </c>
      <c r="CK45" s="284">
        <f>$KN45*0</f>
        <v/>
      </c>
      <c r="CL45" s="38" t="n">
        <v>0</v>
      </c>
      <c r="CM45" s="284" t="n"/>
      <c r="CN45" s="36">
        <f>$KN45*5</f>
        <v/>
      </c>
      <c r="CO45" s="47">
        <f>$KN45*5</f>
        <v/>
      </c>
      <c r="CP45" s="284">
        <f>$KN45*0</f>
        <v/>
      </c>
      <c r="CQ45" s="38" t="n">
        <v>0</v>
      </c>
      <c r="CR45" s="284" t="n"/>
      <c r="CS45" s="36">
        <f>$KN45*20</f>
        <v/>
      </c>
      <c r="CT45" s="47">
        <f>$KN45*20</f>
        <v/>
      </c>
      <c r="CU45" s="39">
        <f>$KN45*0</f>
        <v/>
      </c>
      <c r="CV45" s="38" t="n">
        <v>0</v>
      </c>
      <c r="CW45" s="284" t="n"/>
      <c r="CX45" s="36">
        <f>$KN45*20</f>
        <v/>
      </c>
      <c r="CY45" s="47">
        <f>$KN45*20</f>
        <v/>
      </c>
      <c r="CZ45" s="39">
        <f>$KN45*0</f>
        <v/>
      </c>
      <c r="DA45" s="38" t="n">
        <v>0</v>
      </c>
      <c r="DB45" s="284" t="n"/>
      <c r="DC45" s="36">
        <f>$KN45*20</f>
        <v/>
      </c>
      <c r="DD45" s="47">
        <f>$KN45*20</f>
        <v/>
      </c>
      <c r="DE45" s="284">
        <f>$KN45*0</f>
        <v/>
      </c>
      <c r="DF45" s="38" t="n">
        <v>0</v>
      </c>
      <c r="DG45" s="284" t="n"/>
      <c r="DH45" s="36">
        <f>$KN45*20</f>
        <v/>
      </c>
      <c r="DI45" s="47">
        <f>$KN45*20</f>
        <v/>
      </c>
      <c r="DJ45" s="284">
        <f>$KN45*0</f>
        <v/>
      </c>
      <c r="DK45" s="38" t="n">
        <v>0</v>
      </c>
      <c r="DL45" s="284" t="n"/>
      <c r="DM45" s="36">
        <f>$KN45*20</f>
        <v/>
      </c>
      <c r="DN45" s="47">
        <f>$KN45*20</f>
        <v/>
      </c>
      <c r="DO45" s="284">
        <f>$KN45*0</f>
        <v/>
      </c>
      <c r="DP45" s="38" t="n">
        <v>0</v>
      </c>
      <c r="DQ45" s="227" t="n"/>
      <c r="DR45" s="36">
        <f>$KN45*20</f>
        <v/>
      </c>
      <c r="DS45" s="47">
        <f>$KN45*20</f>
        <v/>
      </c>
      <c r="DT45" s="284">
        <f>$KN45*0</f>
        <v/>
      </c>
      <c r="DU45" s="38" t="n">
        <v>0</v>
      </c>
      <c r="DV45" s="284" t="n"/>
      <c r="DW45" s="338">
        <f t="array" ref="DW45">SUMPRODUCT(--(MOD(COLUMN($BO45:$DV45),5)=MOD(COLUMN($BO45),5)),$BO45:$DV45)</f>
        <v/>
      </c>
      <c r="DX45" s="339">
        <f>DW45*$J45</f>
        <v/>
      </c>
      <c r="DY45" s="344">
        <f t="array" ref="DY45">SUMPRODUCT(--(MOD(COLUMN($BO45:$DV45),5)=MOD(COLUMN($BP45),5)),$BO45:$DV45)</f>
        <v/>
      </c>
      <c r="DZ45" s="345">
        <f>DY45*$J45</f>
        <v/>
      </c>
      <c r="EA45" s="340">
        <f t="array" ref="EA45">SUMPRODUCT(--(MOD(COLUMN($BO45:$DV45),5)=MOD(COLUMN($BQ45),5)),$BO45:$DV45)</f>
        <v/>
      </c>
      <c r="EB45" s="341">
        <f>EA45*$J45</f>
        <v/>
      </c>
      <c r="EC45" s="342">
        <f t="array" ref="EC45">SUMPRODUCT(--(MOD(COLUMN($BO45:$DV45),5)=MOD(COLUMN($BR45),5)),$BO45:$DV45)</f>
        <v/>
      </c>
      <c r="ED45" s="343">
        <f>EC45*$J45</f>
        <v/>
      </c>
      <c r="EE45" s="36">
        <f>$KN45*0</f>
        <v/>
      </c>
      <c r="EF45" s="284" t="n">
        <v>0</v>
      </c>
      <c r="EG45" s="38" t="n">
        <v>0</v>
      </c>
      <c r="EH45" s="284" t="n"/>
      <c r="EI45" s="36" t="n">
        <v>10</v>
      </c>
      <c r="EJ45" s="284" t="n"/>
      <c r="EK45" s="38" t="n">
        <v>0</v>
      </c>
      <c r="EL45" s="284" t="n"/>
      <c r="EM45" s="36" t="n">
        <v>10</v>
      </c>
      <c r="EN45" s="284" t="n">
        <v>0</v>
      </c>
      <c r="EO45" s="38" t="n">
        <v>0</v>
      </c>
      <c r="EP45" s="284" t="n"/>
      <c r="EQ45" s="36">
        <f>$KN45*10</f>
        <v/>
      </c>
      <c r="ER45" s="284" t="n">
        <v>0</v>
      </c>
      <c r="ES45" s="38" t="n">
        <v>0</v>
      </c>
      <c r="ET45" s="347" t="n"/>
      <c r="EU45" s="36">
        <f>$KN45*15</f>
        <v/>
      </c>
      <c r="EV45" s="155" t="n">
        <v>4</v>
      </c>
      <c r="EW45" s="38" t="n">
        <v>0</v>
      </c>
      <c r="EX45" s="284" t="n"/>
      <c r="EY45" s="36">
        <f>$KN45*20</f>
        <v/>
      </c>
      <c r="EZ45" s="155" t="n">
        <v>0</v>
      </c>
      <c r="FA45" s="38" t="n">
        <v>0</v>
      </c>
      <c r="FB45" s="284" t="n"/>
      <c r="FC45" s="36">
        <f>$KN45*25</f>
        <v/>
      </c>
      <c r="FD45" s="284" t="n">
        <v>0</v>
      </c>
      <c r="FE45" s="38" t="n">
        <v>0</v>
      </c>
      <c r="FF45" s="284" t="n"/>
      <c r="FG45" s="36">
        <f>$KN45*30</f>
        <v/>
      </c>
      <c r="FH45" s="284" t="n">
        <v>20</v>
      </c>
      <c r="FI45" s="38" t="n">
        <v>0</v>
      </c>
      <c r="FJ45" s="284" t="n"/>
      <c r="FK45" s="36">
        <f>$KN45*35</f>
        <v/>
      </c>
      <c r="FL45" s="284" t="n">
        <v>20</v>
      </c>
      <c r="FM45" s="38" t="n">
        <v>0</v>
      </c>
      <c r="FN45" s="284" t="n"/>
      <c r="FO45" s="36">
        <f>$KN45*40</f>
        <v/>
      </c>
      <c r="FP45" s="284" t="n">
        <v>30</v>
      </c>
      <c r="FQ45" s="38" t="n">
        <v>0</v>
      </c>
      <c r="FR45" s="284" t="n"/>
      <c r="FS45" s="36">
        <f>$KN45*45</f>
        <v/>
      </c>
      <c r="FT45" s="284" t="n">
        <v>30</v>
      </c>
      <c r="FU45" s="38" t="n">
        <v>0</v>
      </c>
      <c r="FV45" s="284" t="n"/>
      <c r="FW45" s="36">
        <f>$KN45*50</f>
        <v/>
      </c>
      <c r="FX45" s="284" t="n">
        <v>30</v>
      </c>
      <c r="FY45" s="38" t="n">
        <v>0</v>
      </c>
      <c r="FZ45" s="284" t="n"/>
      <c r="GA45" s="338">
        <f t="array" ref="GA45">SUMPRODUCT(--(MOD(COLUMN($EE45:$FZ45),4)=MOD(COLUMN($EE45),4)),$EE45:$FZ45)</f>
        <v/>
      </c>
      <c r="GB45" s="339">
        <f>GA45*$J45</f>
        <v/>
      </c>
      <c r="GC45" s="340">
        <f t="array" ref="GC45">SUMPRODUCT(--(MOD(COLUMN($EE45:$FZ45),4)=MOD(COLUMN($EF45),4)),$EE45:$FZ45)</f>
        <v/>
      </c>
      <c r="GD45" s="341">
        <f>GC45*$J45</f>
        <v/>
      </c>
      <c r="GE45" s="342">
        <f t="array" ref="GE45">SUMPRODUCT(--(MOD(COLUMN($EE45:$FZ45),4)=MOD(COLUMN($EG45),4)),$EE45:$FZ45)</f>
        <v/>
      </c>
      <c r="GF45" s="343">
        <f>GE45*$J45</f>
        <v/>
      </c>
      <c r="GG45" s="36">
        <f>$KN45*40</f>
        <v/>
      </c>
      <c r="GH45" s="284" t="n"/>
      <c r="GI45" s="38" t="n">
        <v>0</v>
      </c>
      <c r="GJ45" s="284" t="n"/>
      <c r="GK45" s="36">
        <f>$KN45*40</f>
        <v/>
      </c>
      <c r="GL45" s="284" t="n"/>
      <c r="GM45" s="38" t="n">
        <v>0</v>
      </c>
      <c r="GN45" s="284" t="n"/>
      <c r="GO45" s="36">
        <f>$KN45*45</f>
        <v/>
      </c>
      <c r="GP45" s="284" t="n"/>
      <c r="GQ45" s="38" t="n">
        <v>0</v>
      </c>
      <c r="GR45" s="284" t="n"/>
      <c r="GS45" s="36">
        <f>$KN45*50</f>
        <v/>
      </c>
      <c r="GT45" s="284" t="n"/>
      <c r="GU45" s="38" t="n">
        <v>0</v>
      </c>
      <c r="GV45" s="284" t="n"/>
      <c r="GW45" s="36">
        <f>$KN45*50</f>
        <v/>
      </c>
      <c r="GX45" s="284" t="n"/>
      <c r="GY45" s="38" t="n">
        <v>0</v>
      </c>
      <c r="GZ45" s="284" t="n"/>
      <c r="HA45" s="36">
        <f>$KN45*50</f>
        <v/>
      </c>
      <c r="HB45" s="284" t="n"/>
      <c r="HC45" s="38" t="n">
        <v>0</v>
      </c>
      <c r="HD45" s="284" t="n"/>
      <c r="HE45" s="36">
        <f>$KN45*50</f>
        <v/>
      </c>
      <c r="HF45" s="284" t="n"/>
      <c r="HG45" s="38" t="n">
        <v>0</v>
      </c>
      <c r="HH45" s="284" t="n"/>
      <c r="HI45" s="36">
        <f>$KN45*50</f>
        <v/>
      </c>
      <c r="HJ45" s="284" t="n"/>
      <c r="HK45" s="38" t="n">
        <v>0</v>
      </c>
      <c r="HL45" s="284" t="n"/>
      <c r="HM45" s="36">
        <f>$KN45*50</f>
        <v/>
      </c>
      <c r="HN45" s="284" t="n"/>
      <c r="HO45" s="38" t="n">
        <v>0</v>
      </c>
      <c r="HP45" s="284" t="n"/>
      <c r="HQ45" s="36">
        <f>$KN45*50</f>
        <v/>
      </c>
      <c r="HR45" s="284" t="n"/>
      <c r="HS45" s="38" t="n">
        <v>0</v>
      </c>
      <c r="HT45" s="284" t="n"/>
      <c r="HU45" s="36">
        <f>$KN45*50</f>
        <v/>
      </c>
      <c r="HV45" s="284" t="n"/>
      <c r="HW45" s="38" t="n">
        <v>0</v>
      </c>
      <c r="HX45" s="284" t="n"/>
      <c r="HY45" s="36">
        <f>$KN45*50</f>
        <v/>
      </c>
      <c r="HZ45" s="284" t="n"/>
      <c r="IA45" s="38" t="n">
        <v>0</v>
      </c>
      <c r="IB45" s="284" t="n"/>
      <c r="IC45" s="338">
        <f t="array" ref="IC45">SUMPRODUCT(--(MOD(COLUMN($GG45:$IB45),4)=MOD(COLUMN($GG45),4)),$GG45:$IB45)</f>
        <v/>
      </c>
      <c r="ID45" s="339">
        <f>IC45*$J45</f>
        <v/>
      </c>
      <c r="IE45" s="340">
        <f t="array" ref="IE45">SUMPRODUCT(--(MOD(COLUMN($GG45:$IB45),4)=MOD(COLUMN($GH45),4)),$GG45:$IB45)</f>
        <v/>
      </c>
      <c r="IF45" s="341">
        <f>IE45*$J45</f>
        <v/>
      </c>
      <c r="IG45" s="342">
        <f t="array" ref="IG45">SUMPRODUCT(--(MOD(COLUMN($GG45:$IB45),4)=MOD(COLUMN($GI45),4)),$GG45:$IB45)</f>
        <v/>
      </c>
      <c r="IH45" s="343">
        <f>IG45*$J45</f>
        <v/>
      </c>
      <c r="II45" s="36">
        <f>$KN45*45</f>
        <v/>
      </c>
      <c r="IJ45" s="284" t="n"/>
      <c r="IK45" s="38" t="n">
        <v>0</v>
      </c>
      <c r="IL45" s="284" t="n"/>
      <c r="IM45" s="36">
        <f>$KN45*45</f>
        <v/>
      </c>
      <c r="IN45" s="284" t="n"/>
      <c r="IO45" s="38" t="n">
        <v>0</v>
      </c>
      <c r="IP45" s="284" t="n"/>
      <c r="IQ45" s="36">
        <f>$KN45*50</f>
        <v/>
      </c>
      <c r="IR45" s="284" t="n"/>
      <c r="IS45" s="38" t="n">
        <v>0</v>
      </c>
      <c r="IT45" s="284" t="n"/>
      <c r="IU45" s="36">
        <f>$KN45*55</f>
        <v/>
      </c>
      <c r="IV45" s="284" t="n"/>
      <c r="IW45" s="38" t="n">
        <v>0</v>
      </c>
      <c r="IX45" s="284" t="n"/>
      <c r="IY45" s="36">
        <f>$KN45*55</f>
        <v/>
      </c>
      <c r="IZ45" s="284" t="n"/>
      <c r="JA45" s="38" t="n">
        <v>0</v>
      </c>
      <c r="JB45" s="284" t="n"/>
      <c r="JC45" s="36">
        <f>$KN45*55</f>
        <v/>
      </c>
      <c r="JD45" s="284" t="n"/>
      <c r="JE45" s="38" t="n">
        <v>0</v>
      </c>
      <c r="JF45" s="284" t="n"/>
      <c r="JG45" s="36">
        <f>$KN45*60</f>
        <v/>
      </c>
      <c r="JH45" s="284" t="n"/>
      <c r="JI45" s="38" t="n">
        <v>0</v>
      </c>
      <c r="JJ45" s="284" t="n"/>
      <c r="JK45" s="36">
        <f>$KN45*60</f>
        <v/>
      </c>
      <c r="JL45" s="284" t="n"/>
      <c r="JM45" s="38" t="n">
        <v>0</v>
      </c>
      <c r="JN45" s="284" t="n"/>
      <c r="JO45" s="36">
        <f>$KN45*60</f>
        <v/>
      </c>
      <c r="JP45" s="284" t="n"/>
      <c r="JQ45" s="38" t="n">
        <v>0</v>
      </c>
      <c r="JR45" s="284" t="n"/>
      <c r="JS45" s="36">
        <f>$KN45*60</f>
        <v/>
      </c>
      <c r="JT45" s="284" t="n"/>
      <c r="JU45" s="38" t="n">
        <v>0</v>
      </c>
      <c r="JV45" s="284" t="n"/>
      <c r="JW45" s="36">
        <f>$KN45*60</f>
        <v/>
      </c>
      <c r="JX45" s="284" t="n"/>
      <c r="JY45" s="38" t="n">
        <v>0</v>
      </c>
      <c r="JZ45" s="284" t="n"/>
      <c r="KA45" s="36">
        <f>$KN45*60</f>
        <v/>
      </c>
      <c r="KB45" s="284" t="n"/>
      <c r="KC45" s="38" t="n">
        <v>0</v>
      </c>
      <c r="KD45" s="284" t="n"/>
      <c r="KE45" s="338">
        <f t="array" ref="KE45">SUMPRODUCT(--(MOD(COLUMN($II45:$KD45),4)=MOD(COLUMN($II45),4)),$II45:$KD45)</f>
        <v/>
      </c>
      <c r="KF45" s="339">
        <f>KE45*$J45</f>
        <v/>
      </c>
      <c r="KG45" s="340">
        <f t="array" ref="KG45">SUMPRODUCT(--(MOD(COLUMN($II45:$KD45),4)=MOD(COLUMN($IJ45),4)),$II45:$KD45)</f>
        <v/>
      </c>
      <c r="KH45" s="341">
        <f>KG45*$J45</f>
        <v/>
      </c>
      <c r="KI45" s="342">
        <f t="array" ref="KI45">SUMPRODUCT(--(MOD(COLUMN($II45:$KD45),4)=MOD(COLUMN($IK45),4)),$II45:$KD45)</f>
        <v/>
      </c>
      <c r="KJ45" s="346">
        <f>KI45*$J45</f>
        <v/>
      </c>
      <c r="KK45" s="80" t="n"/>
      <c r="KL45" s="80" t="n"/>
      <c r="KM45" s="80" t="n"/>
      <c r="KN45" s="51" t="n">
        <v>2</v>
      </c>
      <c r="KO45" s="347" t="n"/>
    </row>
    <row r="46" outlineLevel="1" customFormat="1" s="68">
      <c r="A46" s="347" t="n"/>
      <c r="B46" s="347" t="n"/>
      <c r="C46" s="347" t="n"/>
      <c r="D46" s="347" t="n"/>
      <c r="E46" s="15" t="n">
        <v>10</v>
      </c>
      <c r="F46" s="202" t="n">
        <v>1</v>
      </c>
      <c r="G46" s="147" t="n">
        <v>4497230800</v>
      </c>
      <c r="H46" s="148" t="inlineStr">
        <is>
          <t>Кабель датчика, 8 м</t>
        </is>
      </c>
      <c r="I46" s="349" t="n">
        <v>209.6</v>
      </c>
      <c r="J46" s="349" t="n">
        <v>209.6</v>
      </c>
      <c r="K46" s="368" t="n"/>
      <c r="L46" s="368" t="n"/>
      <c r="M46" s="175" t="n"/>
      <c r="N46" s="315" t="n"/>
      <c r="O46" s="177" t="n"/>
      <c r="P46" s="315" t="n"/>
      <c r="Q46" s="175" t="n"/>
      <c r="R46" s="315" t="n"/>
      <c r="S46" s="177" t="n"/>
      <c r="T46" s="315" t="n"/>
      <c r="U46" s="175" t="n"/>
      <c r="V46" s="315" t="n"/>
      <c r="W46" s="177" t="n"/>
      <c r="X46" s="315" t="n"/>
      <c r="Y46" s="175" t="n"/>
      <c r="Z46" s="206" t="n"/>
      <c r="AA46" s="177" t="n"/>
      <c r="AB46" s="347" t="n"/>
      <c r="AC46" s="175" t="n"/>
      <c r="AD46" s="315" t="n"/>
      <c r="AE46" s="177" t="n"/>
      <c r="AF46" s="347" t="n"/>
      <c r="AG46" s="175" t="n"/>
      <c r="AH46" s="315" t="n"/>
      <c r="AI46" s="177" t="n"/>
      <c r="AJ46" s="347" t="n"/>
      <c r="AK46" s="175" t="n"/>
      <c r="AL46" s="315" t="n"/>
      <c r="AM46" s="177" t="n"/>
      <c r="AN46" s="347" t="n"/>
      <c r="AO46" s="175" t="n"/>
      <c r="AP46" s="315" t="n"/>
      <c r="AQ46" s="177" t="n"/>
      <c r="AR46" s="347" t="n"/>
      <c r="AS46" s="175" t="n"/>
      <c r="AT46" s="315" t="n"/>
      <c r="AU46" s="177" t="n"/>
      <c r="AV46" s="347" t="n"/>
      <c r="AW46" s="175" t="n"/>
      <c r="AX46" s="315" t="n"/>
      <c r="AY46" s="208" t="n"/>
      <c r="AZ46" s="347" t="n"/>
      <c r="BA46" s="175" t="n"/>
      <c r="BB46" s="315" t="n"/>
      <c r="BC46" s="207" t="n"/>
      <c r="BD46" s="315" t="n"/>
      <c r="BE46" s="175" t="n"/>
      <c r="BF46" s="315" t="n"/>
      <c r="BG46" s="208" t="n"/>
      <c r="BH46" s="315" t="n"/>
      <c r="BI46" s="350" t="n"/>
      <c r="BJ46" s="351" t="n"/>
      <c r="BK46" s="352" t="n"/>
      <c r="BL46" s="353" t="n"/>
      <c r="BM46" s="354" t="n"/>
      <c r="BN46" s="355" t="n"/>
      <c r="BO46" s="175" t="n"/>
      <c r="BP46" s="186" t="n"/>
      <c r="BQ46" s="315" t="n"/>
      <c r="BR46" s="177" t="n"/>
      <c r="BS46" s="315" t="n"/>
      <c r="BT46" s="175" t="n"/>
      <c r="BU46" s="186" t="n"/>
      <c r="BV46" s="315" t="n"/>
      <c r="BW46" s="177" t="n"/>
      <c r="BX46" s="315" t="n"/>
      <c r="BY46" s="175" t="n"/>
      <c r="BZ46" s="186" t="n"/>
      <c r="CA46" s="315" t="n"/>
      <c r="CB46" s="177" t="n"/>
      <c r="CC46" s="315" t="n"/>
      <c r="CD46" s="175" t="n"/>
      <c r="CE46" s="186" t="n"/>
      <c r="CF46" s="315" t="n"/>
      <c r="CG46" s="177" t="n"/>
      <c r="CH46" s="315" t="n"/>
      <c r="CI46" s="175" t="n"/>
      <c r="CJ46" s="186" t="n"/>
      <c r="CK46" s="315" t="n"/>
      <c r="CL46" s="177" t="n"/>
      <c r="CM46" s="315" t="n"/>
      <c r="CN46" s="175" t="n"/>
      <c r="CO46" s="186" t="n"/>
      <c r="CP46" s="315" t="n"/>
      <c r="CQ46" s="177" t="n"/>
      <c r="CR46" s="315" t="n"/>
      <c r="CS46" s="175" t="n"/>
      <c r="CT46" s="186" t="n"/>
      <c r="CU46" s="206" t="n"/>
      <c r="CV46" s="177" t="n"/>
      <c r="CW46" s="315" t="n"/>
      <c r="CX46" s="175" t="n"/>
      <c r="CY46" s="186" t="n"/>
      <c r="CZ46" s="206" t="n"/>
      <c r="DA46" s="177" t="n"/>
      <c r="DB46" s="315" t="n"/>
      <c r="DC46" s="175" t="n"/>
      <c r="DD46" s="186" t="n"/>
      <c r="DE46" s="315" t="n"/>
      <c r="DF46" s="177" t="n"/>
      <c r="DG46" s="315" t="n"/>
      <c r="DH46" s="175" t="n"/>
      <c r="DI46" s="186" t="n"/>
      <c r="DJ46" s="315" t="n"/>
      <c r="DK46" s="177" t="n"/>
      <c r="DL46" s="315" t="n"/>
      <c r="DM46" s="175" t="n"/>
      <c r="DN46" s="186" t="n"/>
      <c r="DO46" s="315" t="n"/>
      <c r="DP46" s="177" t="n"/>
      <c r="DQ46" s="227" t="n"/>
      <c r="DR46" s="175" t="n"/>
      <c r="DS46" s="186" t="n"/>
      <c r="DT46" s="315" t="n"/>
      <c r="DU46" s="177" t="n"/>
      <c r="DV46" s="315" t="n"/>
      <c r="DW46" s="350" t="n"/>
      <c r="DX46" s="351" t="n"/>
      <c r="DY46" s="356" t="n"/>
      <c r="DZ46" s="357" t="n"/>
      <c r="EA46" s="352" t="n"/>
      <c r="EB46" s="353" t="n"/>
      <c r="EC46" s="354" t="n"/>
      <c r="ED46" s="355" t="n"/>
      <c r="EE46" s="175" t="n"/>
      <c r="EF46" s="315" t="n"/>
      <c r="EG46" s="177" t="n"/>
      <c r="EH46" s="315" t="n"/>
      <c r="EI46" s="175" t="n"/>
      <c r="EJ46" s="315" t="n"/>
      <c r="EK46" s="177" t="n"/>
      <c r="EL46" s="315" t="n"/>
      <c r="EM46" s="175" t="n"/>
      <c r="EN46" s="315" t="n"/>
      <c r="EO46" s="38" t="n">
        <v>0</v>
      </c>
      <c r="EP46" s="315" t="n"/>
      <c r="EQ46" s="175" t="n"/>
      <c r="ER46" s="315" t="n">
        <v>0</v>
      </c>
      <c r="ES46" s="177" t="n"/>
      <c r="ET46" s="347" t="n"/>
      <c r="EU46" s="175" t="n"/>
      <c r="EV46" s="155" t="n">
        <v>2</v>
      </c>
      <c r="EW46" s="177" t="n">
        <v>0</v>
      </c>
      <c r="EX46" s="315" t="n"/>
      <c r="EY46" s="175" t="n"/>
      <c r="EZ46" s="238" t="n"/>
      <c r="FA46" s="177" t="n"/>
      <c r="FB46" s="315" t="n"/>
      <c r="FC46" s="175" t="n"/>
      <c r="FD46" s="315" t="n"/>
      <c r="FE46" s="177" t="n"/>
      <c r="FF46" s="315" t="n"/>
      <c r="FG46" s="175" t="n"/>
      <c r="FH46" s="315" t="n"/>
      <c r="FI46" s="177" t="n"/>
      <c r="FJ46" s="315" t="n"/>
      <c r="FK46" s="175" t="n"/>
      <c r="FL46" s="315" t="n"/>
      <c r="FM46" s="177" t="n"/>
      <c r="FN46" s="315" t="n"/>
      <c r="FO46" s="175" t="n"/>
      <c r="FP46" s="315" t="n"/>
      <c r="FQ46" s="177" t="n"/>
      <c r="FR46" s="315" t="n"/>
      <c r="FS46" s="175" t="n"/>
      <c r="FT46" s="315" t="n"/>
      <c r="FU46" s="177" t="n"/>
      <c r="FV46" s="315" t="n"/>
      <c r="FW46" s="175" t="n"/>
      <c r="FX46" s="315" t="n"/>
      <c r="FY46" s="177" t="n"/>
      <c r="FZ46" s="315" t="n"/>
      <c r="GA46" s="338">
        <f t="array" ref="GA46">SUMPRODUCT(--(MOD(COLUMN($EE46:$FZ46),4)=MOD(COLUMN($EE46),4)),$EE46:$FZ46)</f>
        <v/>
      </c>
      <c r="GB46" s="339">
        <f>GA46*$J46</f>
        <v/>
      </c>
      <c r="GC46" s="340">
        <f t="array" ref="GC46">SUMPRODUCT(--(MOD(COLUMN($EE46:$FZ46),4)=MOD(COLUMN($EF46),4)),$EE46:$FZ46)</f>
        <v/>
      </c>
      <c r="GD46" s="341">
        <f>GC46*$J46</f>
        <v/>
      </c>
      <c r="GE46" s="342">
        <f t="array" ref="GE46">SUMPRODUCT(--(MOD(COLUMN($EE46:$FZ46),4)=MOD(COLUMN($EG46),4)),$EE46:$FZ46)</f>
        <v/>
      </c>
      <c r="GF46" s="343">
        <f>GE46*$J46</f>
        <v/>
      </c>
      <c r="GG46" s="175" t="n"/>
      <c r="GH46" s="315" t="n"/>
      <c r="GI46" s="177" t="n"/>
      <c r="GJ46" s="315" t="n"/>
      <c r="GK46" s="175" t="n"/>
      <c r="GL46" s="315" t="n"/>
      <c r="GM46" s="177" t="n"/>
      <c r="GN46" s="315" t="n"/>
      <c r="GO46" s="175" t="n"/>
      <c r="GP46" s="315" t="n"/>
      <c r="GQ46" s="177" t="n"/>
      <c r="GR46" s="315" t="n"/>
      <c r="GS46" s="175" t="n"/>
      <c r="GT46" s="315" t="n"/>
      <c r="GU46" s="177" t="n"/>
      <c r="GV46" s="315" t="n"/>
      <c r="GW46" s="175" t="n"/>
      <c r="GX46" s="315" t="n"/>
      <c r="GY46" s="177" t="n"/>
      <c r="GZ46" s="315" t="n"/>
      <c r="HA46" s="175" t="n"/>
      <c r="HB46" s="315" t="n"/>
      <c r="HC46" s="177" t="n"/>
      <c r="HD46" s="315" t="n"/>
      <c r="HE46" s="175" t="n"/>
      <c r="HF46" s="315" t="n"/>
      <c r="HG46" s="177" t="n"/>
      <c r="HH46" s="315" t="n"/>
      <c r="HI46" s="175" t="n"/>
      <c r="HJ46" s="315" t="n"/>
      <c r="HK46" s="177" t="n"/>
      <c r="HL46" s="315" t="n"/>
      <c r="HM46" s="175" t="n"/>
      <c r="HN46" s="315" t="n"/>
      <c r="HO46" s="177" t="n"/>
      <c r="HP46" s="315" t="n"/>
      <c r="HQ46" s="175" t="n"/>
      <c r="HR46" s="315" t="n"/>
      <c r="HS46" s="177" t="n"/>
      <c r="HT46" s="315" t="n"/>
      <c r="HU46" s="175" t="n"/>
      <c r="HV46" s="315" t="n"/>
      <c r="HW46" s="177" t="n"/>
      <c r="HX46" s="315" t="n"/>
      <c r="HY46" s="175" t="n"/>
      <c r="HZ46" s="315" t="n"/>
      <c r="IA46" s="177" t="n"/>
      <c r="IB46" s="315" t="n"/>
      <c r="IC46" s="338">
        <f t="array" ref="IC46">SUMPRODUCT(--(MOD(COLUMN($GG46:$IB46),4)=MOD(COLUMN($GG46),4)),$GG46:$IB46)</f>
        <v/>
      </c>
      <c r="ID46" s="339">
        <f>IC46*$J46</f>
        <v/>
      </c>
      <c r="IE46" s="340">
        <f t="array" ref="IE46">SUMPRODUCT(--(MOD(COLUMN($GG46:$IB46),4)=MOD(COLUMN($GH46),4)),$GG46:$IB46)</f>
        <v/>
      </c>
      <c r="IF46" s="341">
        <f>IE46*$J46</f>
        <v/>
      </c>
      <c r="IG46" s="342">
        <f t="array" ref="IG46">SUMPRODUCT(--(MOD(COLUMN($GG46:$IB46),4)=MOD(COLUMN($GI46),4)),$GG46:$IB46)</f>
        <v/>
      </c>
      <c r="IH46" s="343">
        <f>IG46*$J46</f>
        <v/>
      </c>
      <c r="II46" s="175" t="n"/>
      <c r="IJ46" s="315" t="n"/>
      <c r="IK46" s="177" t="n"/>
      <c r="IL46" s="315" t="n"/>
      <c r="IM46" s="175" t="n"/>
      <c r="IN46" s="315" t="n"/>
      <c r="IO46" s="177" t="n"/>
      <c r="IP46" s="315" t="n"/>
      <c r="IQ46" s="175" t="n"/>
      <c r="IR46" s="315" t="n"/>
      <c r="IS46" s="177" t="n"/>
      <c r="IT46" s="315" t="n"/>
      <c r="IU46" s="175" t="n"/>
      <c r="IV46" s="315" t="n"/>
      <c r="IW46" s="177" t="n"/>
      <c r="IX46" s="315" t="n"/>
      <c r="IY46" s="175" t="n"/>
      <c r="IZ46" s="315" t="n"/>
      <c r="JA46" s="177" t="n"/>
      <c r="JB46" s="315" t="n"/>
      <c r="JC46" s="175" t="n"/>
      <c r="JD46" s="315" t="n"/>
      <c r="JE46" s="177" t="n"/>
      <c r="JF46" s="315" t="n"/>
      <c r="JG46" s="175" t="n"/>
      <c r="JH46" s="315" t="n"/>
      <c r="JI46" s="177" t="n"/>
      <c r="JJ46" s="315" t="n"/>
      <c r="JK46" s="175" t="n"/>
      <c r="JL46" s="315" t="n"/>
      <c r="JM46" s="177" t="n"/>
      <c r="JN46" s="315" t="n"/>
      <c r="JO46" s="175" t="n"/>
      <c r="JP46" s="315" t="n"/>
      <c r="JQ46" s="177" t="n"/>
      <c r="JR46" s="315" t="n"/>
      <c r="JS46" s="175" t="n"/>
      <c r="JT46" s="315" t="n"/>
      <c r="JU46" s="177" t="n"/>
      <c r="JV46" s="315" t="n"/>
      <c r="JW46" s="175" t="n"/>
      <c r="JX46" s="315" t="n"/>
      <c r="JY46" s="177" t="n"/>
      <c r="JZ46" s="315" t="n"/>
      <c r="KA46" s="175" t="n"/>
      <c r="KB46" s="315" t="n"/>
      <c r="KC46" s="177" t="n"/>
      <c r="KD46" s="315" t="n"/>
      <c r="KE46" s="338">
        <f t="array" ref="KE46">SUMPRODUCT(--(MOD(COLUMN($II46:$KD46),4)=MOD(COLUMN($II46),4)),$II46:$KD46)</f>
        <v/>
      </c>
      <c r="KF46" s="339">
        <f>KE46*$J46</f>
        <v/>
      </c>
      <c r="KG46" s="340">
        <f t="array" ref="KG46">SUMPRODUCT(--(MOD(COLUMN($II46:$KD46),4)=MOD(COLUMN($IJ46),4)),$II46:$KD46)</f>
        <v/>
      </c>
      <c r="KH46" s="341">
        <f>KG46*$J46</f>
        <v/>
      </c>
      <c r="KI46" s="342">
        <f t="array" ref="KI46">SUMPRODUCT(--(MOD(COLUMN($II46:$KD46),4)=MOD(COLUMN($IK46),4)),$II46:$KD46)</f>
        <v/>
      </c>
      <c r="KJ46" s="346">
        <f>KI46*$J46</f>
        <v/>
      </c>
      <c r="KK46" s="189" t="n"/>
      <c r="KL46" s="189" t="n"/>
      <c r="KM46" s="189" t="n"/>
      <c r="KN46" s="190" t="n"/>
      <c r="KO46" s="347" t="n"/>
    </row>
    <row r="47" outlineLevel="1" ht="28.8" customFormat="1" customHeight="1" s="68">
      <c r="A47" s="347" t="n"/>
      <c r="B47" s="347" t="n"/>
      <c r="C47" s="347" t="n"/>
      <c r="D47" s="347" t="n"/>
      <c r="E47" s="15" t="n">
        <v>11</v>
      </c>
      <c r="F47" s="15" t="n">
        <v>1</v>
      </c>
      <c r="G47" s="33" t="n">
        <v>4640061000</v>
      </c>
      <c r="H47" s="34" t="inlineStr">
        <is>
          <t>Кран уровня пола, 5-ти портовый</t>
        </is>
      </c>
      <c r="I47" s="337">
        <f>584/1.2/0.98</f>
        <v/>
      </c>
      <c r="J47" s="337">
        <f>584/1.2</f>
        <v/>
      </c>
      <c r="K47" s="348" t="n"/>
      <c r="L47" s="348" t="n"/>
      <c r="M47" s="36" t="n">
        <v>0</v>
      </c>
      <c r="N47" s="284" t="n">
        <v>0</v>
      </c>
      <c r="O47" s="38" t="n">
        <v>0</v>
      </c>
      <c r="P47" s="284" t="n"/>
      <c r="Q47" s="36" t="n">
        <v>0</v>
      </c>
      <c r="R47" s="284" t="n">
        <v>0</v>
      </c>
      <c r="S47" s="38" t="n">
        <v>0</v>
      </c>
      <c r="T47" s="284" t="n"/>
      <c r="U47" s="36" t="n">
        <v>0</v>
      </c>
      <c r="V47" s="284" t="n">
        <v>0</v>
      </c>
      <c r="W47" s="38" t="n">
        <v>0</v>
      </c>
      <c r="X47" s="284" t="n"/>
      <c r="Y47" s="36" t="n">
        <v>5</v>
      </c>
      <c r="Z47" s="39" t="n">
        <v>0</v>
      </c>
      <c r="AA47" s="38" t="n">
        <v>0</v>
      </c>
      <c r="AB47" s="347" t="n"/>
      <c r="AC47" s="36" t="n">
        <v>20</v>
      </c>
      <c r="AD47" s="284" t="n">
        <v>0</v>
      </c>
      <c r="AE47" s="38" t="n">
        <v>0</v>
      </c>
      <c r="AF47" s="347" t="n"/>
      <c r="AG47" s="36" t="n">
        <v>20</v>
      </c>
      <c r="AH47" s="284" t="n">
        <v>0</v>
      </c>
      <c r="AI47" s="38" t="n">
        <v>0</v>
      </c>
      <c r="AJ47" s="347" t="n"/>
      <c r="AK47" s="36" t="n">
        <v>20</v>
      </c>
      <c r="AL47" s="284" t="n">
        <v>0</v>
      </c>
      <c r="AM47" s="38" t="n">
        <v>0</v>
      </c>
      <c r="AN47" s="347" t="n"/>
      <c r="AO47" s="36" t="n">
        <v>20</v>
      </c>
      <c r="AP47" s="284" t="n">
        <v>0</v>
      </c>
      <c r="AQ47" s="38" t="n">
        <v>0</v>
      </c>
      <c r="AR47" s="347" t="n"/>
      <c r="AS47" s="36" t="n">
        <v>20</v>
      </c>
      <c r="AT47" s="284" t="n">
        <v>0</v>
      </c>
      <c r="AU47" s="38" t="n">
        <v>0</v>
      </c>
      <c r="AV47" s="347" t="n"/>
      <c r="AW47" s="36" t="n">
        <v>20</v>
      </c>
      <c r="AX47" s="284" t="n">
        <v>0</v>
      </c>
      <c r="AY47" s="54" t="n">
        <v>0</v>
      </c>
      <c r="AZ47" s="347" t="n"/>
      <c r="BA47" s="36" t="n">
        <v>20</v>
      </c>
      <c r="BB47" s="284" t="n">
        <v>0</v>
      </c>
      <c r="BC47" s="92" t="n">
        <v>0</v>
      </c>
      <c r="BD47" s="284" t="n"/>
      <c r="BE47" s="36" t="n">
        <v>20</v>
      </c>
      <c r="BF47" s="284">
        <f>$KN47*0</f>
        <v/>
      </c>
      <c r="BG47" s="54" t="n">
        <v>0</v>
      </c>
      <c r="BH47" s="284" t="n"/>
      <c r="BI47" s="338">
        <f>SUMPRODUCT(--(MOD(COLUMN($M47:$BH47),4)=MOD(COLUMN($M47),4)),$M47:$BH47)</f>
        <v/>
      </c>
      <c r="BJ47" s="339">
        <f>BI47*$I47</f>
        <v/>
      </c>
      <c r="BK47" s="340">
        <f>SUMPRODUCT(--(MOD(COLUMN($M47:$BH47),4)=MOD(COLUMN($M47)+1,4)),$M47:$BH47)</f>
        <v/>
      </c>
      <c r="BL47" s="341">
        <f>BK47*$I47</f>
        <v/>
      </c>
      <c r="BM47" s="342">
        <f>SUMPRODUCT(--(MOD(COLUMN($M47:$BH47),4)=MOD(COLUMN($M47)+2,4)),$M47:$BH47)</f>
        <v/>
      </c>
      <c r="BN47" s="343">
        <f>BM47*$I47</f>
        <v/>
      </c>
      <c r="BO47" s="36">
        <f>$KN47*5</f>
        <v/>
      </c>
      <c r="BP47" s="47">
        <f>$KN47*0</f>
        <v/>
      </c>
      <c r="BQ47" s="284">
        <f>$KN47*5</f>
        <v/>
      </c>
      <c r="BR47" s="38" t="n">
        <v>2</v>
      </c>
      <c r="BS47" s="284" t="n"/>
      <c r="BT47" s="36">
        <f>$KN47*5</f>
        <v/>
      </c>
      <c r="BU47" s="47">
        <f>$KN47*1</f>
        <v/>
      </c>
      <c r="BV47" s="284">
        <f>$KN47*0</f>
        <v/>
      </c>
      <c r="BW47" s="38" t="n">
        <v>10</v>
      </c>
      <c r="BX47" s="284" t="n"/>
      <c r="BY47" s="36">
        <f>$KN47*5</f>
        <v/>
      </c>
      <c r="BZ47" s="47">
        <f>$KN47*0</f>
        <v/>
      </c>
      <c r="CA47" s="284">
        <f>$KN47*0</f>
        <v/>
      </c>
      <c r="CB47" s="38" t="n">
        <v>0</v>
      </c>
      <c r="CC47" s="284" t="n"/>
      <c r="CD47" s="36">
        <f>$KN47*5</f>
        <v/>
      </c>
      <c r="CE47" s="47">
        <f>$KN47*0</f>
        <v/>
      </c>
      <c r="CF47" s="284">
        <f>$KN47*0</f>
        <v/>
      </c>
      <c r="CG47" s="38" t="n">
        <v>0</v>
      </c>
      <c r="CH47" s="284" t="n"/>
      <c r="CI47" s="36">
        <f>$KN47*5</f>
        <v/>
      </c>
      <c r="CJ47" s="47">
        <f>$KN47*5</f>
        <v/>
      </c>
      <c r="CK47" s="284">
        <f>$KN47*0</f>
        <v/>
      </c>
      <c r="CL47" s="38" t="n">
        <v>0</v>
      </c>
      <c r="CM47" s="284" t="n"/>
      <c r="CN47" s="36">
        <f>$KN47*5</f>
        <v/>
      </c>
      <c r="CO47" s="47">
        <f>$KN47*5</f>
        <v/>
      </c>
      <c r="CP47" s="284">
        <f>$KN47*0</f>
        <v/>
      </c>
      <c r="CQ47" s="38" t="n">
        <v>0</v>
      </c>
      <c r="CR47" s="284" t="n"/>
      <c r="CS47" s="36">
        <f>$KN47*20</f>
        <v/>
      </c>
      <c r="CT47" s="47">
        <f>$KN47*20</f>
        <v/>
      </c>
      <c r="CU47" s="39">
        <f>$KN47*0</f>
        <v/>
      </c>
      <c r="CV47" s="38" t="n">
        <v>0</v>
      </c>
      <c r="CW47" s="284" t="n"/>
      <c r="CX47" s="36">
        <f>$KN47*20</f>
        <v/>
      </c>
      <c r="CY47" s="47">
        <f>$KN47*20</f>
        <v/>
      </c>
      <c r="CZ47" s="39">
        <f>$KN47*0</f>
        <v/>
      </c>
      <c r="DA47" s="38" t="n">
        <v>0</v>
      </c>
      <c r="DB47" s="284" t="n"/>
      <c r="DC47" s="36">
        <f>$KN47*20</f>
        <v/>
      </c>
      <c r="DD47" s="47">
        <f>$KN47*20</f>
        <v/>
      </c>
      <c r="DE47" s="284">
        <f>$KN47*0</f>
        <v/>
      </c>
      <c r="DF47" s="38" t="n">
        <v>0</v>
      </c>
      <c r="DG47" s="284" t="n"/>
      <c r="DH47" s="36">
        <f>$KN47*20</f>
        <v/>
      </c>
      <c r="DI47" s="47">
        <f>$KN47*20</f>
        <v/>
      </c>
      <c r="DJ47" s="284">
        <f>$KN47*0</f>
        <v/>
      </c>
      <c r="DK47" s="38" t="n">
        <v>0</v>
      </c>
      <c r="DL47" s="284" t="n"/>
      <c r="DM47" s="36">
        <f>$KN47*20</f>
        <v/>
      </c>
      <c r="DN47" s="47">
        <f>$KN47*20</f>
        <v/>
      </c>
      <c r="DO47" s="284">
        <f>$KN47*0</f>
        <v/>
      </c>
      <c r="DP47" s="38" t="n">
        <v>0</v>
      </c>
      <c r="DQ47" s="227" t="n"/>
      <c r="DR47" s="36">
        <f>$KN47*20</f>
        <v/>
      </c>
      <c r="DS47" s="47">
        <f>$KN47*20</f>
        <v/>
      </c>
      <c r="DT47" s="284">
        <f>$KN47*0</f>
        <v/>
      </c>
      <c r="DU47" s="38" t="n">
        <v>0</v>
      </c>
      <c r="DV47" s="284" t="n"/>
      <c r="DW47" s="338">
        <f t="array" ref="DW47">SUMPRODUCT(--(MOD(COLUMN($BO47:$DV47),5)=MOD(COLUMN($BO47),5)),$BO47:$DV47)</f>
        <v/>
      </c>
      <c r="DX47" s="339">
        <f>DW47*$J47</f>
        <v/>
      </c>
      <c r="DY47" s="344">
        <f t="array" ref="DY47">SUMPRODUCT(--(MOD(COLUMN($BO47:$DV47),5)=MOD(COLUMN($BP47),5)),$BO47:$DV47)</f>
        <v/>
      </c>
      <c r="DZ47" s="345">
        <f>DY47*$J47</f>
        <v/>
      </c>
      <c r="EA47" s="340">
        <f t="array" ref="EA47">SUMPRODUCT(--(MOD(COLUMN($BO47:$DV47),5)=MOD(COLUMN($BQ47),5)),$BO47:$DV47)</f>
        <v/>
      </c>
      <c r="EB47" s="341">
        <f>EA47*$J47</f>
        <v/>
      </c>
      <c r="EC47" s="342">
        <f t="array" ref="EC47">SUMPRODUCT(--(MOD(COLUMN($BO47:$DV47),5)=MOD(COLUMN($BR47),5)),$BO47:$DV47)</f>
        <v/>
      </c>
      <c r="ED47" s="343">
        <f>EC47*$J47</f>
        <v/>
      </c>
      <c r="EE47" s="36">
        <f>$KN47*0</f>
        <v/>
      </c>
      <c r="EF47" s="284" t="n">
        <v>2</v>
      </c>
      <c r="EG47" s="38" t="n">
        <v>0</v>
      </c>
      <c r="EH47" s="284" t="n"/>
      <c r="EI47" s="36" t="n">
        <v>5</v>
      </c>
      <c r="EJ47" s="284" t="n">
        <v>2</v>
      </c>
      <c r="EK47" s="38" t="n">
        <v>2</v>
      </c>
      <c r="EL47" s="284" t="n"/>
      <c r="EM47" s="36" t="n">
        <v>5</v>
      </c>
      <c r="EN47" s="284" t="n">
        <v>0</v>
      </c>
      <c r="EO47" s="38" t="n">
        <v>0</v>
      </c>
      <c r="EP47" s="284" t="n"/>
      <c r="EQ47" s="36">
        <f>$KN47*10</f>
        <v/>
      </c>
      <c r="ER47" s="284" t="n">
        <v>0</v>
      </c>
      <c r="ES47" s="38" t="n">
        <v>0</v>
      </c>
      <c r="ET47" s="347" t="n"/>
      <c r="EU47" s="36">
        <f>$KN47*15</f>
        <v/>
      </c>
      <c r="EV47" s="155" t="n">
        <v>1</v>
      </c>
      <c r="EW47" s="38" t="n">
        <v>0</v>
      </c>
      <c r="EX47" s="284" t="n"/>
      <c r="EY47" s="36">
        <f>$KN47*20</f>
        <v/>
      </c>
      <c r="EZ47" s="155" t="n">
        <v>16</v>
      </c>
      <c r="FA47" s="38" t="n">
        <v>0</v>
      </c>
      <c r="FB47" s="284" t="n"/>
      <c r="FC47" s="36">
        <f>$KN47*25</f>
        <v/>
      </c>
      <c r="FD47" s="284" t="n">
        <v>18</v>
      </c>
      <c r="FE47" s="38" t="n">
        <v>0</v>
      </c>
      <c r="FF47" s="284" t="n"/>
      <c r="FG47" s="36">
        <f>$KN47*30</f>
        <v/>
      </c>
      <c r="FH47" s="284" t="n">
        <v>10</v>
      </c>
      <c r="FI47" s="38" t="n">
        <v>0</v>
      </c>
      <c r="FJ47" s="284" t="n"/>
      <c r="FK47" s="36">
        <f>$KN47*35</f>
        <v/>
      </c>
      <c r="FL47" s="284" t="n">
        <v>10</v>
      </c>
      <c r="FM47" s="38" t="n">
        <v>0</v>
      </c>
      <c r="FN47" s="284" t="n"/>
      <c r="FO47" s="36">
        <f>$KN47*40</f>
        <v/>
      </c>
      <c r="FP47" s="284" t="n">
        <v>15</v>
      </c>
      <c r="FQ47" s="38" t="n">
        <v>0</v>
      </c>
      <c r="FR47" s="284" t="n"/>
      <c r="FS47" s="36">
        <f>$KN47*45</f>
        <v/>
      </c>
      <c r="FT47" s="284" t="n">
        <v>15</v>
      </c>
      <c r="FU47" s="38" t="n">
        <v>0</v>
      </c>
      <c r="FV47" s="284" t="n"/>
      <c r="FW47" s="36">
        <f>$KN47*50</f>
        <v/>
      </c>
      <c r="FX47" s="284" t="n">
        <v>15</v>
      </c>
      <c r="FY47" s="38" t="n">
        <v>0</v>
      </c>
      <c r="FZ47" s="284" t="n"/>
      <c r="GA47" s="338">
        <f t="array" ref="GA47">SUMPRODUCT(--(MOD(COLUMN($EE47:$FZ47),4)=MOD(COLUMN($EE47),4)),$EE47:$FZ47)</f>
        <v/>
      </c>
      <c r="GB47" s="339">
        <f>GA47*$J47</f>
        <v/>
      </c>
      <c r="GC47" s="340">
        <f t="array" ref="GC47">SUMPRODUCT(--(MOD(COLUMN($EE47:$FZ47),4)=MOD(COLUMN($EF47),4)),$EE47:$FZ47)</f>
        <v/>
      </c>
      <c r="GD47" s="341">
        <f>GC47*$J47</f>
        <v/>
      </c>
      <c r="GE47" s="342">
        <f t="array" ref="GE47">SUMPRODUCT(--(MOD(COLUMN($EE47:$FZ47),4)=MOD(COLUMN($EG47),4)),$EE47:$FZ47)</f>
        <v/>
      </c>
      <c r="GF47" s="343">
        <f>GE47*$J47</f>
        <v/>
      </c>
      <c r="GG47" s="36">
        <f>$KN47*40</f>
        <v/>
      </c>
      <c r="GH47" s="284" t="n"/>
      <c r="GI47" s="38" t="n">
        <v>0</v>
      </c>
      <c r="GJ47" s="284" t="n"/>
      <c r="GK47" s="36">
        <f>$KN47*40</f>
        <v/>
      </c>
      <c r="GL47" s="284" t="n"/>
      <c r="GM47" s="38" t="n">
        <v>0</v>
      </c>
      <c r="GN47" s="284" t="n"/>
      <c r="GO47" s="36">
        <f>$KN47*45</f>
        <v/>
      </c>
      <c r="GP47" s="284" t="n"/>
      <c r="GQ47" s="38" t="n">
        <v>0</v>
      </c>
      <c r="GR47" s="284" t="n"/>
      <c r="GS47" s="36">
        <f>$KN47*50</f>
        <v/>
      </c>
      <c r="GT47" s="284" t="n"/>
      <c r="GU47" s="38" t="n">
        <v>0</v>
      </c>
      <c r="GV47" s="284" t="n"/>
      <c r="GW47" s="36">
        <f>$KN47*50</f>
        <v/>
      </c>
      <c r="GX47" s="284" t="n"/>
      <c r="GY47" s="38" t="n">
        <v>0</v>
      </c>
      <c r="GZ47" s="284" t="n"/>
      <c r="HA47" s="36">
        <f>$KN47*50</f>
        <v/>
      </c>
      <c r="HB47" s="284" t="n"/>
      <c r="HC47" s="38" t="n">
        <v>0</v>
      </c>
      <c r="HD47" s="284" t="n"/>
      <c r="HE47" s="36">
        <f>$KN47*50</f>
        <v/>
      </c>
      <c r="HF47" s="284" t="n"/>
      <c r="HG47" s="38" t="n">
        <v>0</v>
      </c>
      <c r="HH47" s="284" t="n"/>
      <c r="HI47" s="36">
        <f>$KN47*50</f>
        <v/>
      </c>
      <c r="HJ47" s="284" t="n"/>
      <c r="HK47" s="38" t="n">
        <v>0</v>
      </c>
      <c r="HL47" s="284" t="n"/>
      <c r="HM47" s="36">
        <f>$KN47*50</f>
        <v/>
      </c>
      <c r="HN47" s="284" t="n"/>
      <c r="HO47" s="38" t="n">
        <v>0</v>
      </c>
      <c r="HP47" s="284" t="n"/>
      <c r="HQ47" s="36">
        <f>$KN47*50</f>
        <v/>
      </c>
      <c r="HR47" s="284" t="n"/>
      <c r="HS47" s="38" t="n">
        <v>0</v>
      </c>
      <c r="HT47" s="284" t="n"/>
      <c r="HU47" s="36">
        <f>$KN47*50</f>
        <v/>
      </c>
      <c r="HV47" s="284" t="n"/>
      <c r="HW47" s="38" t="n">
        <v>0</v>
      </c>
      <c r="HX47" s="284" t="n"/>
      <c r="HY47" s="36">
        <f>$KN47*50</f>
        <v/>
      </c>
      <c r="HZ47" s="284" t="n"/>
      <c r="IA47" s="38" t="n">
        <v>0</v>
      </c>
      <c r="IB47" s="284" t="n"/>
      <c r="IC47" s="338">
        <f t="array" ref="IC47">SUMPRODUCT(--(MOD(COLUMN($GG47:$IB47),4)=MOD(COLUMN($GG47),4)),$GG47:$IB47)</f>
        <v/>
      </c>
      <c r="ID47" s="339">
        <f>IC47*$J47</f>
        <v/>
      </c>
      <c r="IE47" s="340">
        <f t="array" ref="IE47">SUMPRODUCT(--(MOD(COLUMN($GG47:$IB47),4)=MOD(COLUMN($GH47),4)),$GG47:$IB47)</f>
        <v/>
      </c>
      <c r="IF47" s="341">
        <f>IE47*$J47</f>
        <v/>
      </c>
      <c r="IG47" s="342">
        <f t="array" ref="IG47">SUMPRODUCT(--(MOD(COLUMN($GG47:$IB47),4)=MOD(COLUMN($GI47),4)),$GG47:$IB47)</f>
        <v/>
      </c>
      <c r="IH47" s="343">
        <f>IG47*$J47</f>
        <v/>
      </c>
      <c r="II47" s="36">
        <f>$KN47*45</f>
        <v/>
      </c>
      <c r="IJ47" s="284" t="n"/>
      <c r="IK47" s="38" t="n">
        <v>0</v>
      </c>
      <c r="IL47" s="284" t="n"/>
      <c r="IM47" s="36">
        <f>$KN47*45</f>
        <v/>
      </c>
      <c r="IN47" s="284" t="n"/>
      <c r="IO47" s="38" t="n">
        <v>0</v>
      </c>
      <c r="IP47" s="284" t="n"/>
      <c r="IQ47" s="36">
        <f>$KN47*50</f>
        <v/>
      </c>
      <c r="IR47" s="284" t="n"/>
      <c r="IS47" s="38" t="n">
        <v>0</v>
      </c>
      <c r="IT47" s="284" t="n"/>
      <c r="IU47" s="36">
        <f>$KN47*55</f>
        <v/>
      </c>
      <c r="IV47" s="284" t="n"/>
      <c r="IW47" s="38" t="n">
        <v>0</v>
      </c>
      <c r="IX47" s="284" t="n"/>
      <c r="IY47" s="36">
        <f>$KN47*55</f>
        <v/>
      </c>
      <c r="IZ47" s="284" t="n"/>
      <c r="JA47" s="38" t="n">
        <v>0</v>
      </c>
      <c r="JB47" s="284" t="n"/>
      <c r="JC47" s="36">
        <f>$KN47*55</f>
        <v/>
      </c>
      <c r="JD47" s="284" t="n"/>
      <c r="JE47" s="38" t="n">
        <v>0</v>
      </c>
      <c r="JF47" s="284" t="n"/>
      <c r="JG47" s="36">
        <f>$KN47*60</f>
        <v/>
      </c>
      <c r="JH47" s="284" t="n"/>
      <c r="JI47" s="38" t="n">
        <v>0</v>
      </c>
      <c r="JJ47" s="284" t="n"/>
      <c r="JK47" s="36">
        <f>$KN47*60</f>
        <v/>
      </c>
      <c r="JL47" s="284" t="n"/>
      <c r="JM47" s="38" t="n">
        <v>0</v>
      </c>
      <c r="JN47" s="284" t="n"/>
      <c r="JO47" s="36">
        <f>$KN47*60</f>
        <v/>
      </c>
      <c r="JP47" s="284" t="n"/>
      <c r="JQ47" s="38" t="n">
        <v>0</v>
      </c>
      <c r="JR47" s="284" t="n"/>
      <c r="JS47" s="36">
        <f>$KN47*60</f>
        <v/>
      </c>
      <c r="JT47" s="284" t="n"/>
      <c r="JU47" s="38" t="n">
        <v>0</v>
      </c>
      <c r="JV47" s="284" t="n"/>
      <c r="JW47" s="36">
        <f>$KN47*60</f>
        <v/>
      </c>
      <c r="JX47" s="284" t="n"/>
      <c r="JY47" s="38" t="n">
        <v>0</v>
      </c>
      <c r="JZ47" s="284" t="n"/>
      <c r="KA47" s="36">
        <f>$KN47*60</f>
        <v/>
      </c>
      <c r="KB47" s="284" t="n"/>
      <c r="KC47" s="38" t="n">
        <v>0</v>
      </c>
      <c r="KD47" s="284" t="n"/>
      <c r="KE47" s="338">
        <f t="array" ref="KE47">SUMPRODUCT(--(MOD(COLUMN($II47:$KD47),4)=MOD(COLUMN($II47),4)),$II47:$KD47)</f>
        <v/>
      </c>
      <c r="KF47" s="339">
        <f>KE47*$J47</f>
        <v/>
      </c>
      <c r="KG47" s="340">
        <f t="array" ref="KG47">SUMPRODUCT(--(MOD(COLUMN($II47:$KD47),4)=MOD(COLUMN($IJ47),4)),$II47:$KD47)</f>
        <v/>
      </c>
      <c r="KH47" s="341">
        <f>KG47*$J47</f>
        <v/>
      </c>
      <c r="KI47" s="342">
        <f t="array" ref="KI47">SUMPRODUCT(--(MOD(COLUMN($II47:$KD47),4)=MOD(COLUMN($IK47),4)),$II47:$KD47)</f>
        <v/>
      </c>
      <c r="KJ47" s="346">
        <f>KI47*$J47</f>
        <v/>
      </c>
      <c r="KK47" s="80" t="n"/>
      <c r="KL47" s="80" t="n"/>
      <c r="KM47" s="80" t="n"/>
      <c r="KN47" s="51" t="n">
        <v>1</v>
      </c>
      <c r="KO47" s="347" t="n"/>
    </row>
    <row r="48" outlineLevel="1" ht="28.8" customFormat="1" customHeight="1" s="68">
      <c r="A48" s="347" t="n"/>
      <c r="B48" s="347" t="n"/>
      <c r="C48" s="347" t="n"/>
      <c r="D48" s="347" t="n"/>
      <c r="E48" s="15" t="n">
        <v>12</v>
      </c>
      <c r="F48" s="15" t="n">
        <v>1</v>
      </c>
      <c r="G48" s="33" t="n">
        <v>4630320200</v>
      </c>
      <c r="H48" s="34" t="inlineStr">
        <is>
          <t>Кран ручного управления</t>
        </is>
      </c>
      <c r="I48" s="337">
        <f>537.4/1.2/0.98</f>
        <v/>
      </c>
      <c r="J48" s="337">
        <f>537.4/1.2</f>
        <v/>
      </c>
      <c r="K48" s="348" t="n"/>
      <c r="L48" s="348" t="n"/>
      <c r="M48" s="36" t="n">
        <v>0</v>
      </c>
      <c r="N48" s="284" t="n">
        <v>0</v>
      </c>
      <c r="O48" s="38" t="n">
        <v>0</v>
      </c>
      <c r="P48" s="284" t="n"/>
      <c r="Q48" s="36" t="n">
        <v>0</v>
      </c>
      <c r="R48" s="284" t="n">
        <v>0</v>
      </c>
      <c r="S48" s="38" t="n">
        <v>0</v>
      </c>
      <c r="T48" s="284" t="n"/>
      <c r="U48" s="36" t="n">
        <v>0</v>
      </c>
      <c r="V48" s="284" t="n">
        <v>0</v>
      </c>
      <c r="W48" s="38" t="n">
        <v>0</v>
      </c>
      <c r="X48" s="284" t="n"/>
      <c r="Y48" s="36" t="n">
        <v>5</v>
      </c>
      <c r="Z48" s="39" t="n">
        <v>0</v>
      </c>
      <c r="AA48" s="38" t="n">
        <v>0</v>
      </c>
      <c r="AB48" s="347" t="n"/>
      <c r="AC48" s="36" t="n">
        <v>20</v>
      </c>
      <c r="AD48" s="284" t="n">
        <v>0</v>
      </c>
      <c r="AE48" s="38" t="n">
        <v>0</v>
      </c>
      <c r="AF48" s="347" t="n"/>
      <c r="AG48" s="36" t="n">
        <v>20</v>
      </c>
      <c r="AH48" s="284" t="n">
        <v>0</v>
      </c>
      <c r="AI48" s="38" t="n">
        <v>0</v>
      </c>
      <c r="AJ48" s="347" t="n"/>
      <c r="AK48" s="36" t="n">
        <v>20</v>
      </c>
      <c r="AL48" s="284" t="n">
        <v>0</v>
      </c>
      <c r="AM48" s="38" t="n">
        <v>0</v>
      </c>
      <c r="AN48" s="347" t="n"/>
      <c r="AO48" s="36" t="n">
        <v>20</v>
      </c>
      <c r="AP48" s="284" t="n">
        <v>0</v>
      </c>
      <c r="AQ48" s="38" t="n">
        <v>0</v>
      </c>
      <c r="AR48" s="347" t="n"/>
      <c r="AS48" s="36" t="n">
        <v>20</v>
      </c>
      <c r="AT48" s="284" t="n">
        <v>0</v>
      </c>
      <c r="AU48" s="38" t="n">
        <v>0</v>
      </c>
      <c r="AV48" s="347" t="n"/>
      <c r="AW48" s="36" t="n">
        <v>20</v>
      </c>
      <c r="AX48" s="284" t="n">
        <v>0</v>
      </c>
      <c r="AY48" s="54" t="n">
        <v>0</v>
      </c>
      <c r="AZ48" s="347" t="n"/>
      <c r="BA48" s="36" t="n">
        <v>20</v>
      </c>
      <c r="BB48" s="284" t="n">
        <v>0</v>
      </c>
      <c r="BC48" s="92" t="n">
        <v>0</v>
      </c>
      <c r="BD48" s="284" t="n"/>
      <c r="BE48" s="36" t="n">
        <v>20</v>
      </c>
      <c r="BF48" s="284">
        <f>$KN48*0</f>
        <v/>
      </c>
      <c r="BG48" s="54" t="n">
        <v>0</v>
      </c>
      <c r="BH48" s="284" t="n"/>
      <c r="BI48" s="338">
        <f>SUMPRODUCT(--(MOD(COLUMN($M48:$BH48),4)=MOD(COLUMN($M48),4)),$M48:$BH48)</f>
        <v/>
      </c>
      <c r="BJ48" s="339">
        <f>BI48*$I48</f>
        <v/>
      </c>
      <c r="BK48" s="340">
        <f>SUMPRODUCT(--(MOD(COLUMN($M48:$BH48),4)=MOD(COLUMN($M48)+1,4)),$M48:$BH48)</f>
        <v/>
      </c>
      <c r="BL48" s="341">
        <f>BK48*$I48</f>
        <v/>
      </c>
      <c r="BM48" s="342">
        <f>SUMPRODUCT(--(MOD(COLUMN($M48:$BH48),4)=MOD(COLUMN($M48)+2,4)),$M48:$BH48)</f>
        <v/>
      </c>
      <c r="BN48" s="343">
        <f>BM48*$I48</f>
        <v/>
      </c>
      <c r="BO48" s="36">
        <f>$KN48*5</f>
        <v/>
      </c>
      <c r="BP48" s="47">
        <f>$KN48*0</f>
        <v/>
      </c>
      <c r="BQ48" s="284">
        <f>$KN48*5</f>
        <v/>
      </c>
      <c r="BR48" s="38" t="n">
        <v>2</v>
      </c>
      <c r="BS48" s="284" t="n"/>
      <c r="BT48" s="36">
        <f>$KN48*5</f>
        <v/>
      </c>
      <c r="BU48" s="47">
        <f>$KN48*1</f>
        <v/>
      </c>
      <c r="BV48" s="284">
        <f>$KN48*0</f>
        <v/>
      </c>
      <c r="BW48" s="38" t="n">
        <v>10</v>
      </c>
      <c r="BX48" s="284" t="n"/>
      <c r="BY48" s="36">
        <f>$KN48*5</f>
        <v/>
      </c>
      <c r="BZ48" s="47">
        <f>$KN48*0</f>
        <v/>
      </c>
      <c r="CA48" s="284">
        <f>$KN48*0</f>
        <v/>
      </c>
      <c r="CB48" s="38" t="n">
        <v>0</v>
      </c>
      <c r="CC48" s="284" t="n"/>
      <c r="CD48" s="36">
        <f>$KN48*5</f>
        <v/>
      </c>
      <c r="CE48" s="47">
        <f>$KN48*0</f>
        <v/>
      </c>
      <c r="CF48" s="284">
        <f>$KN48*0</f>
        <v/>
      </c>
      <c r="CG48" s="38" t="n">
        <v>0</v>
      </c>
      <c r="CH48" s="284" t="n"/>
      <c r="CI48" s="36">
        <f>$KN48*5</f>
        <v/>
      </c>
      <c r="CJ48" s="47">
        <f>$KN48*5</f>
        <v/>
      </c>
      <c r="CK48" s="284">
        <f>$KN48*0</f>
        <v/>
      </c>
      <c r="CL48" s="38" t="n">
        <v>0</v>
      </c>
      <c r="CM48" s="284" t="n"/>
      <c r="CN48" s="36">
        <f>$KN48*5</f>
        <v/>
      </c>
      <c r="CO48" s="47">
        <f>$KN48*5</f>
        <v/>
      </c>
      <c r="CP48" s="284">
        <f>$KN48*0</f>
        <v/>
      </c>
      <c r="CQ48" s="38" t="n">
        <v>0</v>
      </c>
      <c r="CR48" s="284" t="n"/>
      <c r="CS48" s="36">
        <f>$KN48*20</f>
        <v/>
      </c>
      <c r="CT48" s="47">
        <f>$KN48*20</f>
        <v/>
      </c>
      <c r="CU48" s="39">
        <f>$KN48*0</f>
        <v/>
      </c>
      <c r="CV48" s="38" t="n">
        <v>0</v>
      </c>
      <c r="CW48" s="284" t="n"/>
      <c r="CX48" s="36">
        <f>$KN48*20</f>
        <v/>
      </c>
      <c r="CY48" s="47">
        <f>$KN48*20</f>
        <v/>
      </c>
      <c r="CZ48" s="39">
        <f>$KN48*0</f>
        <v/>
      </c>
      <c r="DA48" s="38" t="n">
        <v>0</v>
      </c>
      <c r="DB48" s="284" t="n"/>
      <c r="DC48" s="36">
        <f>$KN48*20</f>
        <v/>
      </c>
      <c r="DD48" s="47">
        <f>$KN48*20</f>
        <v/>
      </c>
      <c r="DE48" s="284">
        <f>$KN48*0</f>
        <v/>
      </c>
      <c r="DF48" s="38" t="n">
        <v>0</v>
      </c>
      <c r="DG48" s="284" t="n"/>
      <c r="DH48" s="36">
        <f>$KN48*20</f>
        <v/>
      </c>
      <c r="DI48" s="47">
        <f>$KN48*20</f>
        <v/>
      </c>
      <c r="DJ48" s="284">
        <f>$KN48*0</f>
        <v/>
      </c>
      <c r="DK48" s="38" t="n">
        <v>0</v>
      </c>
      <c r="DL48" s="284" t="n"/>
      <c r="DM48" s="36">
        <f>$KN48*20</f>
        <v/>
      </c>
      <c r="DN48" s="47">
        <f>$KN48*20</f>
        <v/>
      </c>
      <c r="DO48" s="284">
        <f>$KN48*0</f>
        <v/>
      </c>
      <c r="DP48" s="38" t="n">
        <v>0</v>
      </c>
      <c r="DQ48" s="227" t="n"/>
      <c r="DR48" s="36">
        <f>$KN48*20</f>
        <v/>
      </c>
      <c r="DS48" s="47">
        <f>$KN48*20</f>
        <v/>
      </c>
      <c r="DT48" s="284">
        <f>$KN48*0</f>
        <v/>
      </c>
      <c r="DU48" s="38" t="n">
        <v>0</v>
      </c>
      <c r="DV48" s="284" t="n"/>
      <c r="DW48" s="338">
        <f t="array" ref="DW48">SUMPRODUCT(--(MOD(COLUMN($BO48:$DV48),5)=MOD(COLUMN($BO48),5)),$BO48:$DV48)</f>
        <v/>
      </c>
      <c r="DX48" s="339">
        <f>DW48*$J48</f>
        <v/>
      </c>
      <c r="DY48" s="344">
        <f t="array" ref="DY48">SUMPRODUCT(--(MOD(COLUMN($BO48:$DV48),5)=MOD(COLUMN($BP48),5)),$BO48:$DV48)</f>
        <v/>
      </c>
      <c r="DZ48" s="345">
        <f>DY48*$J48</f>
        <v/>
      </c>
      <c r="EA48" s="340">
        <f t="array" ref="EA48">SUMPRODUCT(--(MOD(COLUMN($BO48:$DV48),5)=MOD(COLUMN($BQ48),5)),$BO48:$DV48)</f>
        <v/>
      </c>
      <c r="EB48" s="341">
        <f>EA48*$J48</f>
        <v/>
      </c>
      <c r="EC48" s="342">
        <f t="array" ref="EC48">SUMPRODUCT(--(MOD(COLUMN($BO48:$DV48),5)=MOD(COLUMN($BR48),5)),$BO48:$DV48)</f>
        <v/>
      </c>
      <c r="ED48" s="343">
        <f>EC48*$J48</f>
        <v/>
      </c>
      <c r="EE48" s="36">
        <f>$KN48*0</f>
        <v/>
      </c>
      <c r="EF48" s="284" t="n">
        <v>2</v>
      </c>
      <c r="EG48" s="38" t="n">
        <v>0</v>
      </c>
      <c r="EH48" s="284" t="n"/>
      <c r="EI48" s="36" t="n">
        <v>5</v>
      </c>
      <c r="EJ48" s="39" t="n">
        <v>3</v>
      </c>
      <c r="EK48" s="38" t="n">
        <v>2</v>
      </c>
      <c r="EL48" s="284" t="n"/>
      <c r="EM48" s="36" t="n">
        <v>5</v>
      </c>
      <c r="EN48" s="284" t="n">
        <v>1</v>
      </c>
      <c r="EO48" s="38" t="n">
        <v>0</v>
      </c>
      <c r="EP48" s="284" t="n"/>
      <c r="EQ48" s="36">
        <f>$KN48*10</f>
        <v/>
      </c>
      <c r="ER48" s="284" t="n">
        <v>0</v>
      </c>
      <c r="ES48" s="38" t="n">
        <v>0</v>
      </c>
      <c r="ET48" s="347" t="n"/>
      <c r="EU48" s="36">
        <f>$KN48*15</f>
        <v/>
      </c>
      <c r="EV48" s="155" t="n">
        <v>2</v>
      </c>
      <c r="EW48" s="38" t="n">
        <v>0</v>
      </c>
      <c r="EX48" s="284" t="n"/>
      <c r="EY48" s="36">
        <f>$KN48*20</f>
        <v/>
      </c>
      <c r="EZ48" s="155" t="n">
        <v>16</v>
      </c>
      <c r="FA48" s="38" t="n">
        <v>0</v>
      </c>
      <c r="FB48" s="284" t="n"/>
      <c r="FC48" s="36">
        <f>$KN48*25</f>
        <v/>
      </c>
      <c r="FD48" s="284" t="n">
        <v>18</v>
      </c>
      <c r="FE48" s="38" t="n">
        <v>0</v>
      </c>
      <c r="FF48" s="284" t="n"/>
      <c r="FG48" s="36">
        <f>$KN48*30</f>
        <v/>
      </c>
      <c r="FH48" s="284" t="n">
        <v>10</v>
      </c>
      <c r="FI48" s="38" t="n">
        <v>0</v>
      </c>
      <c r="FJ48" s="284" t="n"/>
      <c r="FK48" s="36">
        <f>$KN48*35</f>
        <v/>
      </c>
      <c r="FL48" s="284" t="n">
        <v>10</v>
      </c>
      <c r="FM48" s="38" t="n">
        <v>0</v>
      </c>
      <c r="FN48" s="284" t="n"/>
      <c r="FO48" s="36">
        <f>$KN48*40</f>
        <v/>
      </c>
      <c r="FP48" s="284" t="n">
        <v>15</v>
      </c>
      <c r="FQ48" s="38" t="n">
        <v>0</v>
      </c>
      <c r="FR48" s="284" t="n"/>
      <c r="FS48" s="36">
        <f>$KN48*45</f>
        <v/>
      </c>
      <c r="FT48" s="284" t="n">
        <v>15</v>
      </c>
      <c r="FU48" s="38" t="n">
        <v>0</v>
      </c>
      <c r="FV48" s="284" t="n"/>
      <c r="FW48" s="36">
        <f>$KN48*50</f>
        <v/>
      </c>
      <c r="FX48" s="284" t="n">
        <v>15</v>
      </c>
      <c r="FY48" s="38" t="n">
        <v>0</v>
      </c>
      <c r="FZ48" s="284" t="n"/>
      <c r="GA48" s="338">
        <f t="array" ref="GA48">SUMPRODUCT(--(MOD(COLUMN($EE48:$FZ48),4)=MOD(COLUMN($EE48),4)),$EE48:$FZ48)</f>
        <v/>
      </c>
      <c r="GB48" s="339">
        <f>GA48*$J48</f>
        <v/>
      </c>
      <c r="GC48" s="340">
        <f t="array" ref="GC48">SUMPRODUCT(--(MOD(COLUMN($EE48:$FZ48),4)=MOD(COLUMN($EF48),4)),$EE48:$FZ48)</f>
        <v/>
      </c>
      <c r="GD48" s="341">
        <f>GC48*$J48</f>
        <v/>
      </c>
      <c r="GE48" s="342">
        <f t="array" ref="GE48">SUMPRODUCT(--(MOD(COLUMN($EE48:$FZ48),4)=MOD(COLUMN($EG48),4)),$EE48:$FZ48)</f>
        <v/>
      </c>
      <c r="GF48" s="343">
        <f>GE48*$J48</f>
        <v/>
      </c>
      <c r="GG48" s="36">
        <f>$KN48*40</f>
        <v/>
      </c>
      <c r="GH48" s="284" t="n"/>
      <c r="GI48" s="38" t="n">
        <v>0</v>
      </c>
      <c r="GJ48" s="284" t="n"/>
      <c r="GK48" s="36">
        <f>$KN48*40</f>
        <v/>
      </c>
      <c r="GL48" s="284" t="n"/>
      <c r="GM48" s="38" t="n">
        <v>0</v>
      </c>
      <c r="GN48" s="284" t="n"/>
      <c r="GO48" s="36">
        <f>$KN48*45</f>
        <v/>
      </c>
      <c r="GP48" s="284" t="n"/>
      <c r="GQ48" s="38" t="n">
        <v>0</v>
      </c>
      <c r="GR48" s="284" t="n"/>
      <c r="GS48" s="36">
        <f>$KN48*50</f>
        <v/>
      </c>
      <c r="GT48" s="284" t="n"/>
      <c r="GU48" s="38" t="n">
        <v>0</v>
      </c>
      <c r="GV48" s="284" t="n"/>
      <c r="GW48" s="36">
        <f>$KN48*50</f>
        <v/>
      </c>
      <c r="GX48" s="284" t="n"/>
      <c r="GY48" s="38" t="n">
        <v>0</v>
      </c>
      <c r="GZ48" s="284" t="n"/>
      <c r="HA48" s="36">
        <f>$KN48*50</f>
        <v/>
      </c>
      <c r="HB48" s="284" t="n"/>
      <c r="HC48" s="38" t="n">
        <v>0</v>
      </c>
      <c r="HD48" s="284" t="n"/>
      <c r="HE48" s="36">
        <f>$KN48*50</f>
        <v/>
      </c>
      <c r="HF48" s="284" t="n"/>
      <c r="HG48" s="38" t="n">
        <v>0</v>
      </c>
      <c r="HH48" s="284" t="n"/>
      <c r="HI48" s="36">
        <f>$KN48*50</f>
        <v/>
      </c>
      <c r="HJ48" s="284" t="n"/>
      <c r="HK48" s="38" t="n">
        <v>0</v>
      </c>
      <c r="HL48" s="284" t="n"/>
      <c r="HM48" s="36">
        <f>$KN48*50</f>
        <v/>
      </c>
      <c r="HN48" s="284" t="n"/>
      <c r="HO48" s="38" t="n">
        <v>0</v>
      </c>
      <c r="HP48" s="284" t="n"/>
      <c r="HQ48" s="36">
        <f>$KN48*50</f>
        <v/>
      </c>
      <c r="HR48" s="284" t="n"/>
      <c r="HS48" s="38" t="n">
        <v>0</v>
      </c>
      <c r="HT48" s="284" t="n"/>
      <c r="HU48" s="36">
        <f>$KN48*50</f>
        <v/>
      </c>
      <c r="HV48" s="284" t="n"/>
      <c r="HW48" s="38" t="n">
        <v>0</v>
      </c>
      <c r="HX48" s="284" t="n"/>
      <c r="HY48" s="36">
        <f>$KN48*50</f>
        <v/>
      </c>
      <c r="HZ48" s="284" t="n"/>
      <c r="IA48" s="38" t="n">
        <v>0</v>
      </c>
      <c r="IB48" s="284" t="n"/>
      <c r="IC48" s="338">
        <f t="array" ref="IC48">SUMPRODUCT(--(MOD(COLUMN($GG48:$IB48),4)=MOD(COLUMN($GG48),4)),$GG48:$IB48)</f>
        <v/>
      </c>
      <c r="ID48" s="339">
        <f>IC48*$J48</f>
        <v/>
      </c>
      <c r="IE48" s="340">
        <f t="array" ref="IE48">SUMPRODUCT(--(MOD(COLUMN($GG48:$IB48),4)=MOD(COLUMN($GH48),4)),$GG48:$IB48)</f>
        <v/>
      </c>
      <c r="IF48" s="341">
        <f>IE48*$J48</f>
        <v/>
      </c>
      <c r="IG48" s="342">
        <f t="array" ref="IG48">SUMPRODUCT(--(MOD(COLUMN($GG48:$IB48),4)=MOD(COLUMN($GI48),4)),$GG48:$IB48)</f>
        <v/>
      </c>
      <c r="IH48" s="343">
        <f>IG48*$J48</f>
        <v/>
      </c>
      <c r="II48" s="36">
        <f>$KN48*45</f>
        <v/>
      </c>
      <c r="IJ48" s="284" t="n"/>
      <c r="IK48" s="38" t="n">
        <v>0</v>
      </c>
      <c r="IL48" s="284" t="n"/>
      <c r="IM48" s="36">
        <f>$KN48*45</f>
        <v/>
      </c>
      <c r="IN48" s="284" t="n"/>
      <c r="IO48" s="38" t="n">
        <v>0</v>
      </c>
      <c r="IP48" s="284" t="n"/>
      <c r="IQ48" s="36">
        <f>$KN48*50</f>
        <v/>
      </c>
      <c r="IR48" s="284" t="n"/>
      <c r="IS48" s="38" t="n">
        <v>0</v>
      </c>
      <c r="IT48" s="284" t="n"/>
      <c r="IU48" s="36">
        <f>$KN48*55</f>
        <v/>
      </c>
      <c r="IV48" s="284" t="n"/>
      <c r="IW48" s="38" t="n">
        <v>0</v>
      </c>
      <c r="IX48" s="284" t="n"/>
      <c r="IY48" s="36">
        <f>$KN48*55</f>
        <v/>
      </c>
      <c r="IZ48" s="284" t="n"/>
      <c r="JA48" s="38" t="n">
        <v>0</v>
      </c>
      <c r="JB48" s="284" t="n"/>
      <c r="JC48" s="36">
        <f>$KN48*55</f>
        <v/>
      </c>
      <c r="JD48" s="284" t="n"/>
      <c r="JE48" s="38" t="n">
        <v>0</v>
      </c>
      <c r="JF48" s="284" t="n"/>
      <c r="JG48" s="36">
        <f>$KN48*60</f>
        <v/>
      </c>
      <c r="JH48" s="284" t="n"/>
      <c r="JI48" s="38" t="n">
        <v>0</v>
      </c>
      <c r="JJ48" s="284" t="n"/>
      <c r="JK48" s="36">
        <f>$KN48*60</f>
        <v/>
      </c>
      <c r="JL48" s="284" t="n"/>
      <c r="JM48" s="38" t="n">
        <v>0</v>
      </c>
      <c r="JN48" s="284" t="n"/>
      <c r="JO48" s="36">
        <f>$KN48*60</f>
        <v/>
      </c>
      <c r="JP48" s="284" t="n"/>
      <c r="JQ48" s="38" t="n">
        <v>0</v>
      </c>
      <c r="JR48" s="284" t="n"/>
      <c r="JS48" s="36">
        <f>$KN48*60</f>
        <v/>
      </c>
      <c r="JT48" s="284" t="n"/>
      <c r="JU48" s="38" t="n">
        <v>0</v>
      </c>
      <c r="JV48" s="284" t="n"/>
      <c r="JW48" s="36">
        <f>$KN48*60</f>
        <v/>
      </c>
      <c r="JX48" s="284" t="n"/>
      <c r="JY48" s="38" t="n">
        <v>0</v>
      </c>
      <c r="JZ48" s="284" t="n"/>
      <c r="KA48" s="36">
        <f>$KN48*60</f>
        <v/>
      </c>
      <c r="KB48" s="284" t="n"/>
      <c r="KC48" s="38" t="n">
        <v>0</v>
      </c>
      <c r="KD48" s="284" t="n"/>
      <c r="KE48" s="338">
        <f t="array" ref="KE48">SUMPRODUCT(--(MOD(COLUMN($II48:$KD48),4)=MOD(COLUMN($II48),4)),$II48:$KD48)</f>
        <v/>
      </c>
      <c r="KF48" s="339">
        <f>KE48*$J48</f>
        <v/>
      </c>
      <c r="KG48" s="340">
        <f t="array" ref="KG48">SUMPRODUCT(--(MOD(COLUMN($II48:$KD48),4)=MOD(COLUMN($IJ48),4)),$II48:$KD48)</f>
        <v/>
      </c>
      <c r="KH48" s="341">
        <f>KG48*$J48</f>
        <v/>
      </c>
      <c r="KI48" s="342">
        <f t="array" ref="KI48">SUMPRODUCT(--(MOD(COLUMN($II48:$KD48),4)=MOD(COLUMN($IK48),4)),$II48:$KD48)</f>
        <v/>
      </c>
      <c r="KJ48" s="346">
        <f>KI48*$J48</f>
        <v/>
      </c>
      <c r="KK48" s="80" t="n"/>
      <c r="KL48" s="80" t="n"/>
      <c r="KM48" s="80" t="n"/>
      <c r="KN48" s="51" t="n">
        <v>1</v>
      </c>
      <c r="KO48" s="347" t="n"/>
    </row>
    <row r="49" outlineLevel="1" customFormat="1" s="68">
      <c r="A49" s="347" t="n"/>
      <c r="B49" s="347" t="n"/>
      <c r="C49" s="347" t="n"/>
      <c r="D49" s="347" t="n"/>
      <c r="E49" s="15" t="n">
        <v>13</v>
      </c>
      <c r="F49" s="15" t="n">
        <v>1</v>
      </c>
      <c r="G49" s="33" t="n">
        <v>4334010030</v>
      </c>
      <c r="H49" s="34" t="inlineStr">
        <is>
          <t>Упругий элемент</t>
        </is>
      </c>
      <c r="I49" s="337">
        <f>41.9/1.2/0.98</f>
        <v/>
      </c>
      <c r="J49" s="337">
        <f>41.9/1.2</f>
        <v/>
      </c>
      <c r="K49" s="348" t="n"/>
      <c r="L49" s="348" t="n"/>
      <c r="M49" s="36" t="n">
        <v>0</v>
      </c>
      <c r="N49" s="284" t="n">
        <v>0</v>
      </c>
      <c r="O49" s="38" t="n">
        <v>0</v>
      </c>
      <c r="P49" s="284" t="n"/>
      <c r="Q49" s="36" t="n">
        <v>0</v>
      </c>
      <c r="R49" s="284" t="n">
        <v>0</v>
      </c>
      <c r="S49" s="38" t="n">
        <v>0</v>
      </c>
      <c r="T49" s="284" t="n"/>
      <c r="U49" s="36" t="n">
        <v>0</v>
      </c>
      <c r="V49" s="284" t="n">
        <v>0</v>
      </c>
      <c r="W49" s="38" t="n">
        <v>0</v>
      </c>
      <c r="X49" s="284" t="n"/>
      <c r="Y49" s="36" t="n">
        <v>5</v>
      </c>
      <c r="Z49" s="39" t="n">
        <v>0</v>
      </c>
      <c r="AA49" s="38" t="n">
        <v>0</v>
      </c>
      <c r="AB49" s="347" t="n"/>
      <c r="AC49" s="36" t="n">
        <v>20</v>
      </c>
      <c r="AD49" s="284" t="n">
        <v>0</v>
      </c>
      <c r="AE49" s="38" t="n">
        <v>0</v>
      </c>
      <c r="AF49" s="347" t="n"/>
      <c r="AG49" s="36" t="n">
        <v>20</v>
      </c>
      <c r="AH49" s="284" t="n">
        <v>0</v>
      </c>
      <c r="AI49" s="38" t="n">
        <v>0</v>
      </c>
      <c r="AJ49" s="347" t="n"/>
      <c r="AK49" s="36" t="n">
        <v>20</v>
      </c>
      <c r="AL49" s="284" t="n">
        <v>0</v>
      </c>
      <c r="AM49" s="38" t="n">
        <v>0</v>
      </c>
      <c r="AN49" s="347" t="n"/>
      <c r="AO49" s="36" t="n">
        <v>20</v>
      </c>
      <c r="AP49" s="284" t="n">
        <v>0</v>
      </c>
      <c r="AQ49" s="38" t="n">
        <v>0</v>
      </c>
      <c r="AR49" s="347" t="n"/>
      <c r="AS49" s="36" t="n">
        <v>20</v>
      </c>
      <c r="AT49" s="284" t="n">
        <v>0</v>
      </c>
      <c r="AU49" s="38" t="n">
        <v>0</v>
      </c>
      <c r="AV49" s="347" t="n"/>
      <c r="AW49" s="36" t="n">
        <v>20</v>
      </c>
      <c r="AX49" s="284" t="n">
        <v>0</v>
      </c>
      <c r="AY49" s="54" t="n">
        <v>0</v>
      </c>
      <c r="AZ49" s="347" t="n"/>
      <c r="BA49" s="36" t="n">
        <v>20</v>
      </c>
      <c r="BB49" s="284" t="n">
        <v>0</v>
      </c>
      <c r="BC49" s="92" t="n">
        <v>0</v>
      </c>
      <c r="BD49" s="284" t="n"/>
      <c r="BE49" s="36" t="n">
        <v>20</v>
      </c>
      <c r="BF49" s="284">
        <f>$KN49*0</f>
        <v/>
      </c>
      <c r="BG49" s="54" t="n">
        <v>0</v>
      </c>
      <c r="BH49" s="284" t="n"/>
      <c r="BI49" s="338">
        <f>SUMPRODUCT(--(MOD(COLUMN($M49:$BH49),4)=MOD(COLUMN($M49),4)),$M49:$BH49)</f>
        <v/>
      </c>
      <c r="BJ49" s="339">
        <f>BI49*$I49</f>
        <v/>
      </c>
      <c r="BK49" s="340">
        <f>SUMPRODUCT(--(MOD(COLUMN($M49:$BH49),4)=MOD(COLUMN($M49)+1,4)),$M49:$BH49)</f>
        <v/>
      </c>
      <c r="BL49" s="341">
        <f>BK49*$I49</f>
        <v/>
      </c>
      <c r="BM49" s="342">
        <f>SUMPRODUCT(--(MOD(COLUMN($M49:$BH49),4)=MOD(COLUMN($M49)+2,4)),$M49:$BH49)</f>
        <v/>
      </c>
      <c r="BN49" s="343">
        <f>BM49*$I49</f>
        <v/>
      </c>
      <c r="BO49" s="36">
        <f>$KN49*5</f>
        <v/>
      </c>
      <c r="BP49" s="47">
        <f>$KN49*0</f>
        <v/>
      </c>
      <c r="BQ49" s="284">
        <f>$KN49*5</f>
        <v/>
      </c>
      <c r="BR49" s="38" t="n">
        <v>2</v>
      </c>
      <c r="BS49" s="284" t="n"/>
      <c r="BT49" s="36">
        <f>$KN49*5</f>
        <v/>
      </c>
      <c r="BU49" s="47">
        <f>$KN49*1</f>
        <v/>
      </c>
      <c r="BV49" s="284">
        <f>$KN49*0</f>
        <v/>
      </c>
      <c r="BW49" s="38" t="n">
        <v>10</v>
      </c>
      <c r="BX49" s="284" t="n"/>
      <c r="BY49" s="36">
        <f>$KN49*5</f>
        <v/>
      </c>
      <c r="BZ49" s="47">
        <f>$KN49*0</f>
        <v/>
      </c>
      <c r="CA49" s="284">
        <f>$KN49*0</f>
        <v/>
      </c>
      <c r="CB49" s="38" t="n">
        <v>0</v>
      </c>
      <c r="CC49" s="284" t="n"/>
      <c r="CD49" s="36">
        <f>$KN49*5</f>
        <v/>
      </c>
      <c r="CE49" s="47">
        <f>$KN49*0</f>
        <v/>
      </c>
      <c r="CF49" s="284">
        <f>$KN49*0</f>
        <v/>
      </c>
      <c r="CG49" s="38" t="n">
        <v>0</v>
      </c>
      <c r="CH49" s="284" t="n"/>
      <c r="CI49" s="36">
        <f>$KN49*5</f>
        <v/>
      </c>
      <c r="CJ49" s="47">
        <f>$KN49*5</f>
        <v/>
      </c>
      <c r="CK49" s="284">
        <f>$KN49*0</f>
        <v/>
      </c>
      <c r="CL49" s="38" t="n">
        <v>0</v>
      </c>
      <c r="CM49" s="284" t="n"/>
      <c r="CN49" s="36">
        <f>$KN49*5</f>
        <v/>
      </c>
      <c r="CO49" s="47">
        <f>$KN49*5</f>
        <v/>
      </c>
      <c r="CP49" s="284">
        <f>$KN49*0</f>
        <v/>
      </c>
      <c r="CQ49" s="38" t="n">
        <v>0</v>
      </c>
      <c r="CR49" s="284" t="n"/>
      <c r="CS49" s="36">
        <f>$KN49*20</f>
        <v/>
      </c>
      <c r="CT49" s="47">
        <f>$KN49*20</f>
        <v/>
      </c>
      <c r="CU49" s="39">
        <f>$KN49*0</f>
        <v/>
      </c>
      <c r="CV49" s="38" t="n">
        <v>0</v>
      </c>
      <c r="CW49" s="284" t="n"/>
      <c r="CX49" s="36">
        <f>$KN49*20</f>
        <v/>
      </c>
      <c r="CY49" s="47">
        <f>$KN49*20</f>
        <v/>
      </c>
      <c r="CZ49" s="39">
        <f>$KN49*0</f>
        <v/>
      </c>
      <c r="DA49" s="38" t="n">
        <v>0</v>
      </c>
      <c r="DB49" s="284" t="n"/>
      <c r="DC49" s="36">
        <f>$KN49*20</f>
        <v/>
      </c>
      <c r="DD49" s="47">
        <f>$KN49*20</f>
        <v/>
      </c>
      <c r="DE49" s="284">
        <f>$KN49*0</f>
        <v/>
      </c>
      <c r="DF49" s="38" t="n">
        <v>0</v>
      </c>
      <c r="DG49" s="284" t="n"/>
      <c r="DH49" s="36">
        <f>$KN49*20</f>
        <v/>
      </c>
      <c r="DI49" s="47">
        <f>$KN49*20</f>
        <v/>
      </c>
      <c r="DJ49" s="284">
        <f>$KN49*0</f>
        <v/>
      </c>
      <c r="DK49" s="38" t="n">
        <v>0</v>
      </c>
      <c r="DL49" s="284" t="n"/>
      <c r="DM49" s="36">
        <f>$KN49*20</f>
        <v/>
      </c>
      <c r="DN49" s="47">
        <f>$KN49*20</f>
        <v/>
      </c>
      <c r="DO49" s="284">
        <f>$KN49*0</f>
        <v/>
      </c>
      <c r="DP49" s="38" t="n">
        <v>0</v>
      </c>
      <c r="DQ49" s="227" t="n"/>
      <c r="DR49" s="36">
        <f>$KN49*20</f>
        <v/>
      </c>
      <c r="DS49" s="47">
        <f>$KN49*20</f>
        <v/>
      </c>
      <c r="DT49" s="284">
        <f>$KN49*0</f>
        <v/>
      </c>
      <c r="DU49" s="38" t="n">
        <v>0</v>
      </c>
      <c r="DV49" s="284" t="n"/>
      <c r="DW49" s="338">
        <f t="array" ref="DW49">SUMPRODUCT(--(MOD(COLUMN($BO49:$DV49),5)=MOD(COLUMN($BO49),5)),$BO49:$DV49)</f>
        <v/>
      </c>
      <c r="DX49" s="339">
        <f>DW49*$J49</f>
        <v/>
      </c>
      <c r="DY49" s="344">
        <f t="array" ref="DY49">SUMPRODUCT(--(MOD(COLUMN($BO49:$DV49),5)=MOD(COLUMN($BP49),5)),$BO49:$DV49)</f>
        <v/>
      </c>
      <c r="DZ49" s="345">
        <f>DY49*$J49</f>
        <v/>
      </c>
      <c r="EA49" s="340">
        <f t="array" ref="EA49">SUMPRODUCT(--(MOD(COLUMN($BO49:$DV49),5)=MOD(COLUMN($BQ49),5)),$BO49:$DV49)</f>
        <v/>
      </c>
      <c r="EB49" s="341">
        <f>EA49*$J49</f>
        <v/>
      </c>
      <c r="EC49" s="342">
        <f t="array" ref="EC49">SUMPRODUCT(--(MOD(COLUMN($BO49:$DV49),5)=MOD(COLUMN($BR49),5)),$BO49:$DV49)</f>
        <v/>
      </c>
      <c r="ED49" s="343">
        <f>EC49*$J49</f>
        <v/>
      </c>
      <c r="EE49" s="36">
        <f>$KN49*0</f>
        <v/>
      </c>
      <c r="EF49" s="284" t="n">
        <v>2</v>
      </c>
      <c r="EG49" s="38" t="n">
        <v>0</v>
      </c>
      <c r="EH49" s="284" t="n"/>
      <c r="EI49" s="36" t="n">
        <v>5</v>
      </c>
      <c r="EJ49" s="39" t="n">
        <v>3</v>
      </c>
      <c r="EK49" s="38" t="n">
        <v>2</v>
      </c>
      <c r="EL49" s="284" t="n"/>
      <c r="EM49" s="36" t="n">
        <v>5</v>
      </c>
      <c r="EN49" s="284" t="n">
        <v>1</v>
      </c>
      <c r="EO49" s="38" t="n">
        <v>0</v>
      </c>
      <c r="EP49" s="284" t="n"/>
      <c r="EQ49" s="36">
        <f>$KN49*10</f>
        <v/>
      </c>
      <c r="ER49" s="284" t="n">
        <v>0</v>
      </c>
      <c r="ES49" s="38" t="n">
        <v>0</v>
      </c>
      <c r="ET49" s="347" t="n"/>
      <c r="EU49" s="36">
        <f>$KN49*15</f>
        <v/>
      </c>
      <c r="EV49" s="155" t="n">
        <v>4</v>
      </c>
      <c r="EW49" s="38" t="n">
        <v>0</v>
      </c>
      <c r="EX49" s="284" t="n"/>
      <c r="EY49" s="36">
        <f>$KN49*20</f>
        <v/>
      </c>
      <c r="EZ49" s="155" t="n">
        <v>16</v>
      </c>
      <c r="FA49" s="38" t="n">
        <v>0</v>
      </c>
      <c r="FB49" s="284" t="n"/>
      <c r="FC49" s="36">
        <f>$KN49*25</f>
        <v/>
      </c>
      <c r="FD49" s="284" t="n">
        <v>18</v>
      </c>
      <c r="FE49" s="38" t="n">
        <v>0</v>
      </c>
      <c r="FF49" s="284" t="n"/>
      <c r="FG49" s="36">
        <f>$KN49*30</f>
        <v/>
      </c>
      <c r="FH49" s="284" t="n">
        <v>10</v>
      </c>
      <c r="FI49" s="38" t="n">
        <v>0</v>
      </c>
      <c r="FJ49" s="284" t="n"/>
      <c r="FK49" s="36">
        <f>$KN49*35</f>
        <v/>
      </c>
      <c r="FL49" s="284" t="n">
        <v>10</v>
      </c>
      <c r="FM49" s="38" t="n">
        <v>0</v>
      </c>
      <c r="FN49" s="284" t="n"/>
      <c r="FO49" s="36">
        <f>$KN49*40</f>
        <v/>
      </c>
      <c r="FP49" s="284" t="n">
        <v>15</v>
      </c>
      <c r="FQ49" s="38" t="n">
        <v>0</v>
      </c>
      <c r="FR49" s="284" t="n"/>
      <c r="FS49" s="36">
        <f>$KN49*45</f>
        <v/>
      </c>
      <c r="FT49" s="284" t="n">
        <v>15</v>
      </c>
      <c r="FU49" s="38" t="n">
        <v>0</v>
      </c>
      <c r="FV49" s="284" t="n"/>
      <c r="FW49" s="36">
        <f>$KN49*50</f>
        <v/>
      </c>
      <c r="FX49" s="284" t="n">
        <v>15</v>
      </c>
      <c r="FY49" s="38" t="n">
        <v>0</v>
      </c>
      <c r="FZ49" s="284" t="n"/>
      <c r="GA49" s="338">
        <f t="array" ref="GA49">SUMPRODUCT(--(MOD(COLUMN($EE49:$FZ49),4)=MOD(COLUMN($EE49),4)),$EE49:$FZ49)</f>
        <v/>
      </c>
      <c r="GB49" s="339">
        <f>GA49*$J49</f>
        <v/>
      </c>
      <c r="GC49" s="340">
        <f t="array" ref="GC49">SUMPRODUCT(--(MOD(COLUMN($EE49:$FZ49),4)=MOD(COLUMN($EF49),4)),$EE49:$FZ49)</f>
        <v/>
      </c>
      <c r="GD49" s="341">
        <f>GC49*$J49</f>
        <v/>
      </c>
      <c r="GE49" s="342">
        <f t="array" ref="GE49">SUMPRODUCT(--(MOD(COLUMN($EE49:$FZ49),4)=MOD(COLUMN($EG49),4)),$EE49:$FZ49)</f>
        <v/>
      </c>
      <c r="GF49" s="343">
        <f>GE49*$J49</f>
        <v/>
      </c>
      <c r="GG49" s="36">
        <f>$KN49*40</f>
        <v/>
      </c>
      <c r="GH49" s="284" t="n"/>
      <c r="GI49" s="38" t="n">
        <v>0</v>
      </c>
      <c r="GJ49" s="284" t="n"/>
      <c r="GK49" s="36">
        <f>$KN49*40</f>
        <v/>
      </c>
      <c r="GL49" s="284" t="n"/>
      <c r="GM49" s="38" t="n">
        <v>0</v>
      </c>
      <c r="GN49" s="284" t="n"/>
      <c r="GO49" s="36">
        <f>$KN49*45</f>
        <v/>
      </c>
      <c r="GP49" s="284" t="n"/>
      <c r="GQ49" s="38" t="n">
        <v>0</v>
      </c>
      <c r="GR49" s="284" t="n"/>
      <c r="GS49" s="36">
        <f>$KN49*50</f>
        <v/>
      </c>
      <c r="GT49" s="284" t="n"/>
      <c r="GU49" s="38" t="n">
        <v>0</v>
      </c>
      <c r="GV49" s="284" t="n"/>
      <c r="GW49" s="36">
        <f>$KN49*50</f>
        <v/>
      </c>
      <c r="GX49" s="284" t="n"/>
      <c r="GY49" s="38" t="n">
        <v>0</v>
      </c>
      <c r="GZ49" s="284" t="n"/>
      <c r="HA49" s="36">
        <f>$KN49*50</f>
        <v/>
      </c>
      <c r="HB49" s="284" t="n"/>
      <c r="HC49" s="38" t="n">
        <v>0</v>
      </c>
      <c r="HD49" s="284" t="n"/>
      <c r="HE49" s="36">
        <f>$KN49*50</f>
        <v/>
      </c>
      <c r="HF49" s="284" t="n"/>
      <c r="HG49" s="38" t="n">
        <v>0</v>
      </c>
      <c r="HH49" s="284" t="n"/>
      <c r="HI49" s="36">
        <f>$KN49*50</f>
        <v/>
      </c>
      <c r="HJ49" s="284" t="n"/>
      <c r="HK49" s="38" t="n">
        <v>0</v>
      </c>
      <c r="HL49" s="284" t="n"/>
      <c r="HM49" s="36">
        <f>$KN49*50</f>
        <v/>
      </c>
      <c r="HN49" s="284" t="n"/>
      <c r="HO49" s="38" t="n">
        <v>0</v>
      </c>
      <c r="HP49" s="284" t="n"/>
      <c r="HQ49" s="36">
        <f>$KN49*50</f>
        <v/>
      </c>
      <c r="HR49" s="284" t="n"/>
      <c r="HS49" s="38" t="n">
        <v>0</v>
      </c>
      <c r="HT49" s="284" t="n"/>
      <c r="HU49" s="36">
        <f>$KN49*50</f>
        <v/>
      </c>
      <c r="HV49" s="284" t="n"/>
      <c r="HW49" s="38" t="n">
        <v>0</v>
      </c>
      <c r="HX49" s="284" t="n"/>
      <c r="HY49" s="36">
        <f>$KN49*50</f>
        <v/>
      </c>
      <c r="HZ49" s="284" t="n"/>
      <c r="IA49" s="38" t="n">
        <v>0</v>
      </c>
      <c r="IB49" s="284" t="n"/>
      <c r="IC49" s="338">
        <f t="array" ref="IC49">SUMPRODUCT(--(MOD(COLUMN($GG49:$IB49),4)=MOD(COLUMN($GG49),4)),$GG49:$IB49)</f>
        <v/>
      </c>
      <c r="ID49" s="339">
        <f>IC49*$J49</f>
        <v/>
      </c>
      <c r="IE49" s="340">
        <f t="array" ref="IE49">SUMPRODUCT(--(MOD(COLUMN($GG49:$IB49),4)=MOD(COLUMN($GH49),4)),$GG49:$IB49)</f>
        <v/>
      </c>
      <c r="IF49" s="341">
        <f>IE49*$J49</f>
        <v/>
      </c>
      <c r="IG49" s="342">
        <f t="array" ref="IG49">SUMPRODUCT(--(MOD(COLUMN($GG49:$IB49),4)=MOD(COLUMN($GI49),4)),$GG49:$IB49)</f>
        <v/>
      </c>
      <c r="IH49" s="343">
        <f>IG49*$J49</f>
        <v/>
      </c>
      <c r="II49" s="36">
        <f>$KN49*45</f>
        <v/>
      </c>
      <c r="IJ49" s="284" t="n"/>
      <c r="IK49" s="38" t="n">
        <v>0</v>
      </c>
      <c r="IL49" s="284" t="n"/>
      <c r="IM49" s="36">
        <f>$KN49*45</f>
        <v/>
      </c>
      <c r="IN49" s="284" t="n"/>
      <c r="IO49" s="38" t="n">
        <v>0</v>
      </c>
      <c r="IP49" s="284" t="n"/>
      <c r="IQ49" s="36">
        <f>$KN49*50</f>
        <v/>
      </c>
      <c r="IR49" s="284" t="n"/>
      <c r="IS49" s="38" t="n">
        <v>0</v>
      </c>
      <c r="IT49" s="284" t="n"/>
      <c r="IU49" s="36">
        <f>$KN49*55</f>
        <v/>
      </c>
      <c r="IV49" s="284" t="n"/>
      <c r="IW49" s="38" t="n">
        <v>0</v>
      </c>
      <c r="IX49" s="284" t="n"/>
      <c r="IY49" s="36">
        <f>$KN49*55</f>
        <v/>
      </c>
      <c r="IZ49" s="284" t="n"/>
      <c r="JA49" s="38" t="n">
        <v>0</v>
      </c>
      <c r="JB49" s="284" t="n"/>
      <c r="JC49" s="36">
        <f>$KN49*55</f>
        <v/>
      </c>
      <c r="JD49" s="284" t="n"/>
      <c r="JE49" s="38" t="n">
        <v>0</v>
      </c>
      <c r="JF49" s="284" t="n"/>
      <c r="JG49" s="36">
        <f>$KN49*60</f>
        <v/>
      </c>
      <c r="JH49" s="284" t="n"/>
      <c r="JI49" s="38" t="n">
        <v>0</v>
      </c>
      <c r="JJ49" s="284" t="n"/>
      <c r="JK49" s="36">
        <f>$KN49*60</f>
        <v/>
      </c>
      <c r="JL49" s="284" t="n"/>
      <c r="JM49" s="38" t="n">
        <v>0</v>
      </c>
      <c r="JN49" s="284" t="n"/>
      <c r="JO49" s="36">
        <f>$KN49*60</f>
        <v/>
      </c>
      <c r="JP49" s="284" t="n"/>
      <c r="JQ49" s="38" t="n">
        <v>0</v>
      </c>
      <c r="JR49" s="284" t="n"/>
      <c r="JS49" s="36">
        <f>$KN49*60</f>
        <v/>
      </c>
      <c r="JT49" s="284" t="n"/>
      <c r="JU49" s="38" t="n">
        <v>0</v>
      </c>
      <c r="JV49" s="284" t="n"/>
      <c r="JW49" s="36">
        <f>$KN49*60</f>
        <v/>
      </c>
      <c r="JX49" s="284" t="n"/>
      <c r="JY49" s="38" t="n">
        <v>0</v>
      </c>
      <c r="JZ49" s="284" t="n"/>
      <c r="KA49" s="36">
        <f>$KN49*60</f>
        <v/>
      </c>
      <c r="KB49" s="284" t="n"/>
      <c r="KC49" s="38" t="n">
        <v>0</v>
      </c>
      <c r="KD49" s="284" t="n"/>
      <c r="KE49" s="338">
        <f t="array" ref="KE49">SUMPRODUCT(--(MOD(COLUMN($II49:$KD49),4)=MOD(COLUMN($II49),4)),$II49:$KD49)</f>
        <v/>
      </c>
      <c r="KF49" s="339">
        <f>KE49*$J49</f>
        <v/>
      </c>
      <c r="KG49" s="340">
        <f t="array" ref="KG49">SUMPRODUCT(--(MOD(COLUMN($II49:$KD49),4)=MOD(COLUMN($IJ49),4)),$II49:$KD49)</f>
        <v/>
      </c>
      <c r="KH49" s="341">
        <f>KG49*$J49</f>
        <v/>
      </c>
      <c r="KI49" s="342">
        <f t="array" ref="KI49">SUMPRODUCT(--(MOD(COLUMN($II49:$KD49),4)=MOD(COLUMN($IK49),4)),$II49:$KD49)</f>
        <v/>
      </c>
      <c r="KJ49" s="346">
        <f>KI49*$J49</f>
        <v/>
      </c>
      <c r="KK49" s="80" t="n"/>
      <c r="KL49" s="80" t="n"/>
      <c r="KM49" s="80" t="n"/>
      <c r="KN49" s="51" t="n">
        <v>1</v>
      </c>
      <c r="KO49" s="333" t="n"/>
    </row>
    <row r="50" outlineLevel="1" ht="43.2" customFormat="1" customHeight="1" s="68">
      <c r="A50" s="347" t="n"/>
      <c r="B50" s="347" t="n"/>
      <c r="C50" s="347" t="n"/>
      <c r="D50" s="347" t="n"/>
      <c r="E50" s="15" t="n">
        <v>14</v>
      </c>
      <c r="F50" s="15" t="n">
        <v>1</v>
      </c>
      <c r="G50" s="33" t="n">
        <v>4630840310</v>
      </c>
      <c r="H50" s="34" t="inlineStr">
        <is>
          <t>Клапан управления подъемом оси (LACV)</t>
        </is>
      </c>
      <c r="I50" s="337">
        <f>657.1/1.2/0.98</f>
        <v/>
      </c>
      <c r="J50" s="337">
        <f>657.1/1.2</f>
        <v/>
      </c>
      <c r="K50" s="348" t="n"/>
      <c r="L50" s="348" t="n"/>
      <c r="M50" s="36" t="n">
        <v>0</v>
      </c>
      <c r="N50" s="284" t="n">
        <v>0</v>
      </c>
      <c r="O50" s="38" t="n">
        <v>0</v>
      </c>
      <c r="P50" s="284" t="n"/>
      <c r="Q50" s="36" t="n">
        <v>0</v>
      </c>
      <c r="R50" s="284" t="n">
        <v>0</v>
      </c>
      <c r="S50" s="38" t="n">
        <v>0</v>
      </c>
      <c r="T50" s="284" t="n"/>
      <c r="U50" s="36" t="n">
        <v>0</v>
      </c>
      <c r="V50" s="284" t="n">
        <v>0</v>
      </c>
      <c r="W50" s="38" t="n">
        <v>0</v>
      </c>
      <c r="X50" s="284" t="n"/>
      <c r="Y50" s="36" t="n">
        <v>5</v>
      </c>
      <c r="Z50" s="39" t="n">
        <v>0</v>
      </c>
      <c r="AA50" s="38" t="n">
        <v>0</v>
      </c>
      <c r="AB50" s="347" t="n"/>
      <c r="AC50" s="36" t="n">
        <v>20</v>
      </c>
      <c r="AD50" s="284" t="n">
        <v>0</v>
      </c>
      <c r="AE50" s="38" t="n">
        <v>0</v>
      </c>
      <c r="AF50" s="347" t="n"/>
      <c r="AG50" s="36" t="n">
        <v>20</v>
      </c>
      <c r="AH50" s="284" t="n">
        <v>0</v>
      </c>
      <c r="AI50" s="38" t="n">
        <v>0</v>
      </c>
      <c r="AJ50" s="347" t="n"/>
      <c r="AK50" s="36" t="n">
        <v>20</v>
      </c>
      <c r="AL50" s="284" t="n">
        <v>0</v>
      </c>
      <c r="AM50" s="38" t="n">
        <v>0</v>
      </c>
      <c r="AN50" s="347" t="n"/>
      <c r="AO50" s="36" t="n">
        <v>20</v>
      </c>
      <c r="AP50" s="284" t="n">
        <v>0</v>
      </c>
      <c r="AQ50" s="38" t="n">
        <v>0</v>
      </c>
      <c r="AR50" s="347" t="n"/>
      <c r="AS50" s="36" t="n">
        <v>20</v>
      </c>
      <c r="AT50" s="284" t="n">
        <v>0</v>
      </c>
      <c r="AU50" s="38" t="n">
        <v>0</v>
      </c>
      <c r="AV50" s="347" t="n"/>
      <c r="AW50" s="36" t="n">
        <v>20</v>
      </c>
      <c r="AX50" s="284" t="n">
        <v>0</v>
      </c>
      <c r="AY50" s="38" t="n">
        <v>0</v>
      </c>
      <c r="AZ50" s="347" t="n"/>
      <c r="BA50" s="36" t="n">
        <v>20</v>
      </c>
      <c r="BB50" s="284" t="n">
        <v>0</v>
      </c>
      <c r="BC50" s="92" t="n">
        <v>0</v>
      </c>
      <c r="BD50" s="284" t="n"/>
      <c r="BE50" s="36" t="n">
        <v>20</v>
      </c>
      <c r="BF50" s="284">
        <f>$KN50*0</f>
        <v/>
      </c>
      <c r="BG50" s="54" t="n">
        <v>0</v>
      </c>
      <c r="BH50" s="284" t="n"/>
      <c r="BI50" s="338">
        <f>SUMPRODUCT(--(MOD(COLUMN($M50:$BH50),4)=MOD(COLUMN($M50),4)),$M50:$BH50)</f>
        <v/>
      </c>
      <c r="BJ50" s="339">
        <f>BI50*$I50</f>
        <v/>
      </c>
      <c r="BK50" s="340">
        <f>SUMPRODUCT(--(MOD(COLUMN($M50:$BH50),4)=MOD(COLUMN($M50)+1,4)),$M50:$BH50)</f>
        <v/>
      </c>
      <c r="BL50" s="341">
        <f>BK50*$I50</f>
        <v/>
      </c>
      <c r="BM50" s="342">
        <f>SUMPRODUCT(--(MOD(COLUMN($M50:$BH50),4)=MOD(COLUMN($M50)+2,4)),$M50:$BH50)</f>
        <v/>
      </c>
      <c r="BN50" s="343">
        <f>BM50*$I50</f>
        <v/>
      </c>
      <c r="BO50" s="36">
        <f>$KN50*5</f>
        <v/>
      </c>
      <c r="BP50" s="47">
        <f>$KN50*0</f>
        <v/>
      </c>
      <c r="BQ50" s="284">
        <f>$KN50*5</f>
        <v/>
      </c>
      <c r="BR50" s="38" t="n">
        <v>2</v>
      </c>
      <c r="BS50" s="284" t="n"/>
      <c r="BT50" s="36">
        <f>$KN50*5</f>
        <v/>
      </c>
      <c r="BU50" s="47">
        <f>$KN50*1</f>
        <v/>
      </c>
      <c r="BV50" s="284">
        <f>$KN50*10</f>
        <v/>
      </c>
      <c r="BW50" s="38" t="n">
        <v>10</v>
      </c>
      <c r="BX50" s="284" t="n"/>
      <c r="BY50" s="36">
        <f>$KN50*5</f>
        <v/>
      </c>
      <c r="BZ50" s="47">
        <f>$KN50*0</f>
        <v/>
      </c>
      <c r="CA50" s="284">
        <f>$KN50*0</f>
        <v/>
      </c>
      <c r="CB50" s="38" t="n">
        <v>0</v>
      </c>
      <c r="CC50" s="284" t="n"/>
      <c r="CD50" s="36">
        <f>$KN50*5</f>
        <v/>
      </c>
      <c r="CE50" s="47">
        <f>$KN50*0</f>
        <v/>
      </c>
      <c r="CF50" s="284">
        <f>$KN50*0</f>
        <v/>
      </c>
      <c r="CG50" s="38" t="n">
        <v>0</v>
      </c>
      <c r="CH50" s="284" t="n"/>
      <c r="CI50" s="36">
        <f>$KN50*5</f>
        <v/>
      </c>
      <c r="CJ50" s="47">
        <f>$KN50*5</f>
        <v/>
      </c>
      <c r="CK50" s="284">
        <f>$KN50*0</f>
        <v/>
      </c>
      <c r="CL50" s="38" t="n">
        <v>0</v>
      </c>
      <c r="CM50" s="284" t="n"/>
      <c r="CN50" s="36">
        <f>$KN50*5</f>
        <v/>
      </c>
      <c r="CO50" s="47">
        <f>$KN50*5</f>
        <v/>
      </c>
      <c r="CP50" s="284">
        <f>$KN50*0</f>
        <v/>
      </c>
      <c r="CQ50" s="38" t="n">
        <v>0</v>
      </c>
      <c r="CR50" s="284" t="n"/>
      <c r="CS50" s="36">
        <f>$KN50*20</f>
        <v/>
      </c>
      <c r="CT50" s="47">
        <f>$KN50*20</f>
        <v/>
      </c>
      <c r="CU50" s="39">
        <f>$KN50*0</f>
        <v/>
      </c>
      <c r="CV50" s="38" t="n">
        <v>0</v>
      </c>
      <c r="CW50" s="284" t="n"/>
      <c r="CX50" s="36">
        <f>$KN50*20</f>
        <v/>
      </c>
      <c r="CY50" s="47">
        <f>$KN50*20</f>
        <v/>
      </c>
      <c r="CZ50" s="39">
        <f>$KN50*0</f>
        <v/>
      </c>
      <c r="DA50" s="38" t="n">
        <v>0</v>
      </c>
      <c r="DB50" s="284" t="n"/>
      <c r="DC50" s="36">
        <f>$KN50*20</f>
        <v/>
      </c>
      <c r="DD50" s="47">
        <f>$KN50*20</f>
        <v/>
      </c>
      <c r="DE50" s="284">
        <f>$KN50*0</f>
        <v/>
      </c>
      <c r="DF50" s="38" t="n">
        <v>0</v>
      </c>
      <c r="DG50" s="284" t="n"/>
      <c r="DH50" s="36">
        <f>$KN50*20</f>
        <v/>
      </c>
      <c r="DI50" s="47">
        <f>$KN50*20</f>
        <v/>
      </c>
      <c r="DJ50" s="284">
        <f>$KN50*0</f>
        <v/>
      </c>
      <c r="DK50" s="38" t="n">
        <v>0</v>
      </c>
      <c r="DL50" s="284" t="n"/>
      <c r="DM50" s="36">
        <f>$KN50*20</f>
        <v/>
      </c>
      <c r="DN50" s="47">
        <f>$KN50*20</f>
        <v/>
      </c>
      <c r="DO50" s="284">
        <f>$KN50*0</f>
        <v/>
      </c>
      <c r="DP50" s="38" t="n">
        <v>0</v>
      </c>
      <c r="DQ50" s="227" t="n"/>
      <c r="DR50" s="36">
        <f>$KN50*20</f>
        <v/>
      </c>
      <c r="DS50" s="47">
        <f>$KN50*20</f>
        <v/>
      </c>
      <c r="DT50" s="284">
        <f>$KN50*0</f>
        <v/>
      </c>
      <c r="DU50" s="38" t="n">
        <v>0</v>
      </c>
      <c r="DV50" s="284" t="n"/>
      <c r="DW50" s="338">
        <f t="array" ref="DW50">SUMPRODUCT(--(MOD(COLUMN($BO50:$DV50),5)=MOD(COLUMN($BO50),5)),$BO50:$DV50)</f>
        <v/>
      </c>
      <c r="DX50" s="339">
        <f>DW50*$J50</f>
        <v/>
      </c>
      <c r="DY50" s="344">
        <f t="array" ref="DY50">SUMPRODUCT(--(MOD(COLUMN($BO50:$DV50),5)=MOD(COLUMN($BP50),5)),$BO50:$DV50)</f>
        <v/>
      </c>
      <c r="DZ50" s="345">
        <f>DY50*$J50</f>
        <v/>
      </c>
      <c r="EA50" s="340">
        <f t="array" ref="EA50">SUMPRODUCT(--(MOD(COLUMN($BO50:$DV50),5)=MOD(COLUMN($BQ50),5)),$BO50:$DV50)</f>
        <v/>
      </c>
      <c r="EB50" s="341">
        <f>EA50*$J50</f>
        <v/>
      </c>
      <c r="EC50" s="342">
        <f t="array" ref="EC50">SUMPRODUCT(--(MOD(COLUMN($BO50:$DV50),5)=MOD(COLUMN($BR50),5)),$BO50:$DV50)</f>
        <v/>
      </c>
      <c r="ED50" s="343">
        <f>EC50*$J50</f>
        <v/>
      </c>
      <c r="EE50" s="36">
        <f>$KN50*0</f>
        <v/>
      </c>
      <c r="EF50" s="284" t="n">
        <v>1</v>
      </c>
      <c r="EG50" s="38" t="n">
        <v>0</v>
      </c>
      <c r="EH50" s="284" t="n"/>
      <c r="EI50" s="36" t="n">
        <v>5</v>
      </c>
      <c r="EJ50" s="284" t="n">
        <v>1</v>
      </c>
      <c r="EK50" s="38" t="n">
        <v>1</v>
      </c>
      <c r="EL50" s="284" t="n"/>
      <c r="EM50" s="36" t="n">
        <v>5</v>
      </c>
      <c r="EN50" s="284" t="n">
        <v>0</v>
      </c>
      <c r="EO50" s="38" t="n">
        <v>0</v>
      </c>
      <c r="EP50" s="284" t="n"/>
      <c r="EQ50" s="36">
        <f>$KN50*10</f>
        <v/>
      </c>
      <c r="ER50" s="284" t="n">
        <v>0</v>
      </c>
      <c r="ES50" s="38" t="n">
        <v>1</v>
      </c>
      <c r="ET50" s="347" t="n"/>
      <c r="EU50" s="36">
        <f>$KN50*15</f>
        <v/>
      </c>
      <c r="EV50" s="155" t="n">
        <v>2</v>
      </c>
      <c r="EW50" s="38" t="n">
        <v>0</v>
      </c>
      <c r="EX50" s="284" t="n"/>
      <c r="EY50" s="36">
        <f>$KN50*20</f>
        <v/>
      </c>
      <c r="EZ50" s="155" t="n">
        <v>32</v>
      </c>
      <c r="FA50" s="38" t="n">
        <v>0</v>
      </c>
      <c r="FB50" s="284" t="n"/>
      <c r="FC50" s="36">
        <f>$KN50*25</f>
        <v/>
      </c>
      <c r="FD50" s="284" t="n">
        <v>33</v>
      </c>
      <c r="FE50" s="38" t="n">
        <v>0</v>
      </c>
      <c r="FF50" s="284" t="n"/>
      <c r="FG50" s="36">
        <f>$KN50*30</f>
        <v/>
      </c>
      <c r="FH50" s="284" t="n">
        <v>10</v>
      </c>
      <c r="FI50" s="38" t="n">
        <v>0</v>
      </c>
      <c r="FJ50" s="284" t="n"/>
      <c r="FK50" s="36">
        <f>$KN50*35</f>
        <v/>
      </c>
      <c r="FL50" s="284" t="n">
        <v>10</v>
      </c>
      <c r="FM50" s="38" t="n">
        <v>0</v>
      </c>
      <c r="FN50" s="284" t="n"/>
      <c r="FO50" s="36">
        <f>$KN50*40</f>
        <v/>
      </c>
      <c r="FP50" s="284" t="n">
        <v>15</v>
      </c>
      <c r="FQ50" s="38" t="n">
        <v>0</v>
      </c>
      <c r="FR50" s="284" t="n"/>
      <c r="FS50" s="36">
        <f>$KN50*45</f>
        <v/>
      </c>
      <c r="FT50" s="284" t="n">
        <v>15</v>
      </c>
      <c r="FU50" s="38" t="n">
        <v>0</v>
      </c>
      <c r="FV50" s="284" t="n"/>
      <c r="FW50" s="36">
        <f>$KN50*50</f>
        <v/>
      </c>
      <c r="FX50" s="284" t="n">
        <v>15</v>
      </c>
      <c r="FY50" s="38" t="n">
        <v>0</v>
      </c>
      <c r="FZ50" s="284" t="n"/>
      <c r="GA50" s="338">
        <f>SUMPRODUCT(--(MOD(COLUMN($EE50:$FZ50),4)=MOD(COLUMN($EE50),4)),$EE50:$FZ50)</f>
        <v/>
      </c>
      <c r="GB50" s="339">
        <f>GA50*$J50</f>
        <v/>
      </c>
      <c r="GC50" s="340">
        <f>SUMPRODUCT(--(MOD(COLUMN($EE50:$FZ50),4)=MOD(COLUMN($EF50),4)),$EE50:$FZ50)</f>
        <v/>
      </c>
      <c r="GD50" s="341">
        <f>GC50*$J50</f>
        <v/>
      </c>
      <c r="GE50" s="342">
        <f>SUMPRODUCT(--(MOD(COLUMN($EE50:$FZ50),4)=MOD(COLUMN($EG50),4)),$EE50:$FZ50)</f>
        <v/>
      </c>
      <c r="GF50" s="343">
        <f>GE50*$J50</f>
        <v/>
      </c>
      <c r="GG50" s="36">
        <f>$KN50*40</f>
        <v/>
      </c>
      <c r="GH50" s="284" t="n"/>
      <c r="GI50" s="38" t="n">
        <v>0</v>
      </c>
      <c r="GJ50" s="284" t="n"/>
      <c r="GK50" s="36">
        <f>$KN50*40</f>
        <v/>
      </c>
      <c r="GL50" s="284" t="n"/>
      <c r="GM50" s="38" t="n">
        <v>0</v>
      </c>
      <c r="GN50" s="284" t="n"/>
      <c r="GO50" s="36">
        <f>$KN50*45</f>
        <v/>
      </c>
      <c r="GP50" s="284" t="n"/>
      <c r="GQ50" s="38" t="n">
        <v>0</v>
      </c>
      <c r="GR50" s="284" t="n"/>
      <c r="GS50" s="36">
        <f>$KN50*50</f>
        <v/>
      </c>
      <c r="GT50" s="284" t="n"/>
      <c r="GU50" s="38" t="n">
        <v>0</v>
      </c>
      <c r="GV50" s="284" t="n"/>
      <c r="GW50" s="36">
        <f>$KN50*50</f>
        <v/>
      </c>
      <c r="GX50" s="284" t="n"/>
      <c r="GY50" s="38" t="n">
        <v>0</v>
      </c>
      <c r="GZ50" s="284" t="n"/>
      <c r="HA50" s="36">
        <f>$KN50*50</f>
        <v/>
      </c>
      <c r="HB50" s="284" t="n"/>
      <c r="HC50" s="38" t="n">
        <v>0</v>
      </c>
      <c r="HD50" s="284" t="n"/>
      <c r="HE50" s="36">
        <f>$KN50*50</f>
        <v/>
      </c>
      <c r="HF50" s="284" t="n"/>
      <c r="HG50" s="38" t="n">
        <v>0</v>
      </c>
      <c r="HH50" s="284" t="n"/>
      <c r="HI50" s="36">
        <f>$KN50*50</f>
        <v/>
      </c>
      <c r="HJ50" s="284" t="n"/>
      <c r="HK50" s="38" t="n">
        <v>0</v>
      </c>
      <c r="HL50" s="284" t="n"/>
      <c r="HM50" s="36">
        <f>$KN50*50</f>
        <v/>
      </c>
      <c r="HN50" s="284" t="n"/>
      <c r="HO50" s="38" t="n">
        <v>0</v>
      </c>
      <c r="HP50" s="284" t="n"/>
      <c r="HQ50" s="36">
        <f>$KN50*50</f>
        <v/>
      </c>
      <c r="HR50" s="284" t="n"/>
      <c r="HS50" s="38" t="n">
        <v>0</v>
      </c>
      <c r="HT50" s="284" t="n"/>
      <c r="HU50" s="36">
        <f>$KN50*50</f>
        <v/>
      </c>
      <c r="HV50" s="284" t="n"/>
      <c r="HW50" s="38" t="n">
        <v>0</v>
      </c>
      <c r="HX50" s="284" t="n"/>
      <c r="HY50" s="36">
        <f>$KN50*50</f>
        <v/>
      </c>
      <c r="HZ50" s="284" t="n"/>
      <c r="IA50" s="38" t="n">
        <v>0</v>
      </c>
      <c r="IB50" s="284" t="n"/>
      <c r="IC50" s="338">
        <f t="array" ref="IC50">SUMPRODUCT(--(MOD(COLUMN($GG50:$IB50),4)=MOD(COLUMN($GG50),4)),$GG50:$IB50)</f>
        <v/>
      </c>
      <c r="ID50" s="339">
        <f>IC50*$J50</f>
        <v/>
      </c>
      <c r="IE50" s="340">
        <f t="array" ref="IE50">SUMPRODUCT(--(MOD(COLUMN($GG50:$IB50),4)=MOD(COLUMN($GH50),4)),$GG50:$IB50)</f>
        <v/>
      </c>
      <c r="IF50" s="341">
        <f>IE50*$J50</f>
        <v/>
      </c>
      <c r="IG50" s="342">
        <f t="array" ref="IG50">SUMPRODUCT(--(MOD(COLUMN($GG50:$IB50),4)=MOD(COLUMN($GI50),4)),$GG50:$IB50)</f>
        <v/>
      </c>
      <c r="IH50" s="343">
        <f>IG50*$J50</f>
        <v/>
      </c>
      <c r="II50" s="36">
        <f>$KN50*45</f>
        <v/>
      </c>
      <c r="IJ50" s="284" t="n"/>
      <c r="IK50" s="38" t="n">
        <v>0</v>
      </c>
      <c r="IL50" s="284" t="n"/>
      <c r="IM50" s="36">
        <f>$KN50*45</f>
        <v/>
      </c>
      <c r="IN50" s="284" t="n"/>
      <c r="IO50" s="38" t="n">
        <v>0</v>
      </c>
      <c r="IP50" s="284" t="n"/>
      <c r="IQ50" s="36">
        <f>$KN50*50</f>
        <v/>
      </c>
      <c r="IR50" s="284" t="n"/>
      <c r="IS50" s="38" t="n">
        <v>0</v>
      </c>
      <c r="IT50" s="284" t="n"/>
      <c r="IU50" s="36">
        <f>$KN50*55</f>
        <v/>
      </c>
      <c r="IV50" s="284" t="n"/>
      <c r="IW50" s="38" t="n">
        <v>0</v>
      </c>
      <c r="IX50" s="284" t="n"/>
      <c r="IY50" s="36">
        <f>$KN50*55</f>
        <v/>
      </c>
      <c r="IZ50" s="284" t="n"/>
      <c r="JA50" s="38" t="n">
        <v>0</v>
      </c>
      <c r="JB50" s="284" t="n"/>
      <c r="JC50" s="36">
        <f>$KN50*55</f>
        <v/>
      </c>
      <c r="JD50" s="284" t="n"/>
      <c r="JE50" s="38" t="n">
        <v>0</v>
      </c>
      <c r="JF50" s="284" t="n"/>
      <c r="JG50" s="36">
        <f>$KN50*60</f>
        <v/>
      </c>
      <c r="JH50" s="284" t="n"/>
      <c r="JI50" s="38" t="n">
        <v>0</v>
      </c>
      <c r="JJ50" s="284" t="n"/>
      <c r="JK50" s="36">
        <f>$KN50*60</f>
        <v/>
      </c>
      <c r="JL50" s="284" t="n"/>
      <c r="JM50" s="38" t="n">
        <v>0</v>
      </c>
      <c r="JN50" s="284" t="n"/>
      <c r="JO50" s="36">
        <f>$KN50*60</f>
        <v/>
      </c>
      <c r="JP50" s="284" t="n"/>
      <c r="JQ50" s="38" t="n">
        <v>0</v>
      </c>
      <c r="JR50" s="284" t="n"/>
      <c r="JS50" s="36">
        <f>$KN50*60</f>
        <v/>
      </c>
      <c r="JT50" s="284" t="n"/>
      <c r="JU50" s="38" t="n">
        <v>0</v>
      </c>
      <c r="JV50" s="284" t="n"/>
      <c r="JW50" s="36">
        <f>$KN50*60</f>
        <v/>
      </c>
      <c r="JX50" s="284" t="n"/>
      <c r="JY50" s="38" t="n">
        <v>0</v>
      </c>
      <c r="JZ50" s="284" t="n"/>
      <c r="KA50" s="36">
        <f>$KN50*60</f>
        <v/>
      </c>
      <c r="KB50" s="284" t="n"/>
      <c r="KC50" s="38" t="n">
        <v>0</v>
      </c>
      <c r="KD50" s="284" t="n"/>
      <c r="KE50" s="338">
        <f t="array" ref="KE50">SUMPRODUCT(--(MOD(COLUMN($II50:$KD50),4)=MOD(COLUMN($II50),4)),$II50:$KD50)</f>
        <v/>
      </c>
      <c r="KF50" s="339">
        <f>KE50*$J50</f>
        <v/>
      </c>
      <c r="KG50" s="340">
        <f t="array" ref="KG50">SUMPRODUCT(--(MOD(COLUMN($II50:$KD50),4)=MOD(COLUMN($IJ50),4)),$II50:$KD50)</f>
        <v/>
      </c>
      <c r="KH50" s="341">
        <f>KG50*$J50</f>
        <v/>
      </c>
      <c r="KI50" s="342">
        <f t="array" ref="KI50">SUMPRODUCT(--(MOD(COLUMN($II50:$KD50),4)=MOD(COLUMN($IK50),4)),$II50:$KD50)</f>
        <v/>
      </c>
      <c r="KJ50" s="346">
        <f>KI50*$J50</f>
        <v/>
      </c>
      <c r="KK50" s="80" t="n"/>
      <c r="KL50" s="80" t="n"/>
      <c r="KM50" s="80" t="n"/>
      <c r="KN50" s="51" t="n">
        <v>1</v>
      </c>
      <c r="KO50" s="285" t="inlineStr">
        <is>
          <t>LACV</t>
        </is>
      </c>
    </row>
    <row r="51" outlineLevel="1" ht="43.2" customFormat="1" customHeight="1" s="68">
      <c r="A51" s="347" t="n"/>
      <c r="B51" s="347" t="n"/>
      <c r="C51" s="347" t="n"/>
      <c r="D51" s="347" t="n"/>
      <c r="E51" s="15" t="n">
        <v>15</v>
      </c>
      <c r="F51" s="15" t="n">
        <v>1</v>
      </c>
      <c r="G51" s="33" t="n">
        <v>4494430600</v>
      </c>
      <c r="H51" s="34" t="inlineStr">
        <is>
          <t>Кабель клапана управления подъемом оси, 6 м</t>
        </is>
      </c>
      <c r="I51" s="337">
        <f>164.2/1.2/0.98</f>
        <v/>
      </c>
      <c r="J51" s="337">
        <f>164.2/1.2</f>
        <v/>
      </c>
      <c r="K51" s="348" t="n"/>
      <c r="L51" s="348" t="n"/>
      <c r="M51" s="36" t="n">
        <v>0</v>
      </c>
      <c r="N51" s="284" t="n">
        <v>0</v>
      </c>
      <c r="O51" s="38" t="n">
        <v>0</v>
      </c>
      <c r="P51" s="284" t="n"/>
      <c r="Q51" s="36" t="n">
        <v>0</v>
      </c>
      <c r="R51" s="284" t="n">
        <v>0</v>
      </c>
      <c r="S51" s="38" t="n">
        <v>0</v>
      </c>
      <c r="T51" s="284" t="n"/>
      <c r="U51" s="36" t="n">
        <v>0</v>
      </c>
      <c r="V51" s="284" t="n">
        <v>0</v>
      </c>
      <c r="W51" s="38" t="n">
        <v>0</v>
      </c>
      <c r="X51" s="284" t="n"/>
      <c r="Y51" s="36" t="n">
        <v>5</v>
      </c>
      <c r="Z51" s="39" t="n">
        <v>0</v>
      </c>
      <c r="AA51" s="38" t="n">
        <v>0</v>
      </c>
      <c r="AB51" s="333" t="n"/>
      <c r="AC51" s="36" t="n">
        <v>20</v>
      </c>
      <c r="AD51" s="284" t="n">
        <v>0</v>
      </c>
      <c r="AE51" s="38" t="n">
        <v>0</v>
      </c>
      <c r="AF51" s="333" t="n"/>
      <c r="AG51" s="36" t="n">
        <v>20</v>
      </c>
      <c r="AH51" s="284" t="n">
        <v>0</v>
      </c>
      <c r="AI51" s="38" t="n">
        <v>0</v>
      </c>
      <c r="AJ51" s="333" t="n"/>
      <c r="AK51" s="36" t="n">
        <v>20</v>
      </c>
      <c r="AL51" s="284" t="n">
        <v>0</v>
      </c>
      <c r="AM51" s="38" t="n">
        <v>0</v>
      </c>
      <c r="AN51" s="333" t="n"/>
      <c r="AO51" s="36" t="n">
        <v>20</v>
      </c>
      <c r="AP51" s="284" t="n">
        <v>0</v>
      </c>
      <c r="AQ51" s="38" t="n">
        <v>0</v>
      </c>
      <c r="AR51" s="333" t="n"/>
      <c r="AS51" s="36" t="n">
        <v>20</v>
      </c>
      <c r="AT51" s="284" t="n">
        <v>0</v>
      </c>
      <c r="AU51" s="38" t="n">
        <v>0</v>
      </c>
      <c r="AV51" s="333" t="n"/>
      <c r="AW51" s="36" t="n">
        <v>20</v>
      </c>
      <c r="AX51" s="284" t="n">
        <v>0</v>
      </c>
      <c r="AY51" s="38" t="n">
        <v>0</v>
      </c>
      <c r="AZ51" s="333" t="n"/>
      <c r="BA51" s="36" t="n">
        <v>20</v>
      </c>
      <c r="BB51" s="284" t="n">
        <v>0</v>
      </c>
      <c r="BC51" s="92" t="n">
        <v>0</v>
      </c>
      <c r="BD51" s="284" t="n"/>
      <c r="BE51" s="36" t="n">
        <v>20</v>
      </c>
      <c r="BF51" s="284">
        <f>$KN51*0</f>
        <v/>
      </c>
      <c r="BG51" s="54" t="n">
        <v>0</v>
      </c>
      <c r="BH51" s="284" t="n"/>
      <c r="BI51" s="338">
        <f>SUMPRODUCT(--(MOD(COLUMN($M51:$BH51),4)=MOD(COLUMN($M51),4)),$M51:$BH51)</f>
        <v/>
      </c>
      <c r="BJ51" s="339">
        <f>BI51*$I51</f>
        <v/>
      </c>
      <c r="BK51" s="340">
        <f>SUMPRODUCT(--(MOD(COLUMN($M51:$BH51),4)=MOD(COLUMN($M51)+1,4)),$M51:$BH51)</f>
        <v/>
      </c>
      <c r="BL51" s="341">
        <f>BK51*$I51</f>
        <v/>
      </c>
      <c r="BM51" s="342">
        <f>SUMPRODUCT(--(MOD(COLUMN($M51:$BH51),4)=MOD(COLUMN($M51)+2,4)),$M51:$BH51)</f>
        <v/>
      </c>
      <c r="BN51" s="343">
        <f>BM51*$I51</f>
        <v/>
      </c>
      <c r="BO51" s="36">
        <f>$KN51*5</f>
        <v/>
      </c>
      <c r="BP51" s="47">
        <f>$KN51*0</f>
        <v/>
      </c>
      <c r="BQ51" s="284">
        <f>$KN51*5</f>
        <v/>
      </c>
      <c r="BR51" s="38" t="n">
        <v>2</v>
      </c>
      <c r="BS51" s="284" t="n"/>
      <c r="BT51" s="36">
        <f>$KN51*5</f>
        <v/>
      </c>
      <c r="BU51" s="47">
        <f>$KN51*1</f>
        <v/>
      </c>
      <c r="BV51" s="284">
        <f>$KN51*10</f>
        <v/>
      </c>
      <c r="BW51" s="38" t="n">
        <v>7</v>
      </c>
      <c r="BX51" s="284" t="n"/>
      <c r="BY51" s="36">
        <f>$KN51*5</f>
        <v/>
      </c>
      <c r="BZ51" s="47">
        <f>$KN51*0</f>
        <v/>
      </c>
      <c r="CA51" s="284">
        <f>$KN51*0</f>
        <v/>
      </c>
      <c r="CB51" s="38" t="n">
        <v>0</v>
      </c>
      <c r="CC51" s="284" t="n"/>
      <c r="CD51" s="36">
        <f>$KN51*5</f>
        <v/>
      </c>
      <c r="CE51" s="47">
        <f>$KN51*0</f>
        <v/>
      </c>
      <c r="CF51" s="284">
        <f>$KN51*0</f>
        <v/>
      </c>
      <c r="CG51" s="38" t="n">
        <v>0</v>
      </c>
      <c r="CH51" s="284" t="n"/>
      <c r="CI51" s="36">
        <f>$KN51*5</f>
        <v/>
      </c>
      <c r="CJ51" s="47">
        <f>$KN51*5</f>
        <v/>
      </c>
      <c r="CK51" s="284">
        <f>$KN51*0</f>
        <v/>
      </c>
      <c r="CL51" s="38" t="n">
        <v>0</v>
      </c>
      <c r="CM51" s="284" t="n"/>
      <c r="CN51" s="36">
        <f>$KN51*5</f>
        <v/>
      </c>
      <c r="CO51" s="47">
        <f>$KN51*5</f>
        <v/>
      </c>
      <c r="CP51" s="284">
        <f>$KN51*0</f>
        <v/>
      </c>
      <c r="CQ51" s="38" t="n">
        <v>0</v>
      </c>
      <c r="CR51" s="284" t="n"/>
      <c r="CS51" s="36">
        <f>$KN51*20</f>
        <v/>
      </c>
      <c r="CT51" s="47">
        <f>$KN51*20</f>
        <v/>
      </c>
      <c r="CU51" s="39">
        <f>$KN51*0</f>
        <v/>
      </c>
      <c r="CV51" s="38" t="n">
        <v>0</v>
      </c>
      <c r="CW51" s="284" t="n"/>
      <c r="CX51" s="36">
        <f>$KN51*20</f>
        <v/>
      </c>
      <c r="CY51" s="47">
        <f>$KN51*20</f>
        <v/>
      </c>
      <c r="CZ51" s="39">
        <f>$KN51*0</f>
        <v/>
      </c>
      <c r="DA51" s="38" t="n">
        <v>0</v>
      </c>
      <c r="DB51" s="284" t="n"/>
      <c r="DC51" s="36">
        <f>$KN51*20</f>
        <v/>
      </c>
      <c r="DD51" s="47">
        <f>$KN51*20</f>
        <v/>
      </c>
      <c r="DE51" s="284">
        <f>$KN51*0</f>
        <v/>
      </c>
      <c r="DF51" s="38" t="n">
        <v>0</v>
      </c>
      <c r="DG51" s="284" t="n"/>
      <c r="DH51" s="36">
        <f>$KN51*20</f>
        <v/>
      </c>
      <c r="DI51" s="47">
        <f>$KN51*20</f>
        <v/>
      </c>
      <c r="DJ51" s="284">
        <f>$KN51*0</f>
        <v/>
      </c>
      <c r="DK51" s="38" t="n">
        <v>0</v>
      </c>
      <c r="DL51" s="284" t="n"/>
      <c r="DM51" s="36">
        <f>$KN51*20</f>
        <v/>
      </c>
      <c r="DN51" s="47">
        <f>$KN51*20</f>
        <v/>
      </c>
      <c r="DO51" s="284">
        <f>$KN51*0</f>
        <v/>
      </c>
      <c r="DP51" s="38" t="n">
        <v>0</v>
      </c>
      <c r="DQ51" s="227" t="n"/>
      <c r="DR51" s="36">
        <f>$KN51*20</f>
        <v/>
      </c>
      <c r="DS51" s="47">
        <f>$KN51*20</f>
        <v/>
      </c>
      <c r="DT51" s="284">
        <f>$KN51*0</f>
        <v/>
      </c>
      <c r="DU51" s="38" t="n">
        <v>0</v>
      </c>
      <c r="DV51" s="284" t="n"/>
      <c r="DW51" s="338">
        <f t="array" ref="DW51">SUMPRODUCT(--(MOD(COLUMN($BO51:$DV51),5)=MOD(COLUMN($BO51),5)),$BO51:$DV51)</f>
        <v/>
      </c>
      <c r="DX51" s="339">
        <f>DW51*$J51</f>
        <v/>
      </c>
      <c r="DY51" s="344">
        <f t="array" ref="DY51">SUMPRODUCT(--(MOD(COLUMN($BO51:$DV51),5)=MOD(COLUMN($BP51),5)),$BO51:$DV51)</f>
        <v/>
      </c>
      <c r="DZ51" s="345">
        <f>DY51*$J51</f>
        <v/>
      </c>
      <c r="EA51" s="340">
        <f t="array" ref="EA51">SUMPRODUCT(--(MOD(COLUMN($BO51:$DV51),5)=MOD(COLUMN($BQ51),5)),$BO51:$DV51)</f>
        <v/>
      </c>
      <c r="EB51" s="341">
        <f>EA51*$J51</f>
        <v/>
      </c>
      <c r="EC51" s="342">
        <f t="array" ref="EC51">SUMPRODUCT(--(MOD(COLUMN($BO51:$DV51),5)=MOD(COLUMN($BR51),5)),$BO51:$DV51)</f>
        <v/>
      </c>
      <c r="ED51" s="343">
        <f>EC51*$J51</f>
        <v/>
      </c>
      <c r="EE51" s="36">
        <f>$KN51*0</f>
        <v/>
      </c>
      <c r="EF51" s="284" t="n">
        <v>3</v>
      </c>
      <c r="EG51" s="38" t="n">
        <v>0</v>
      </c>
      <c r="EH51" s="284" t="n"/>
      <c r="EI51" s="36" t="n">
        <v>5</v>
      </c>
      <c r="EJ51" s="284" t="n">
        <v>3</v>
      </c>
      <c r="EK51" s="38" t="n">
        <v>3</v>
      </c>
      <c r="EL51" s="284" t="n"/>
      <c r="EM51" s="36" t="n">
        <v>5</v>
      </c>
      <c r="EN51" s="284" t="n">
        <v>0</v>
      </c>
      <c r="EO51" s="38" t="n">
        <v>0</v>
      </c>
      <c r="EP51" s="284" t="n"/>
      <c r="EQ51" s="36">
        <f>$KN51*10</f>
        <v/>
      </c>
      <c r="ER51" s="284" t="n">
        <v>0</v>
      </c>
      <c r="ES51" s="38" t="n">
        <v>1</v>
      </c>
      <c r="ET51" s="347" t="n"/>
      <c r="EU51" s="36">
        <f>$KN51*15</f>
        <v/>
      </c>
      <c r="EV51" s="155" t="n">
        <v>2</v>
      </c>
      <c r="EW51" s="38" t="n">
        <v>0</v>
      </c>
      <c r="EX51" s="284" t="n"/>
      <c r="EY51" s="36">
        <f>$KN51*20</f>
        <v/>
      </c>
      <c r="EZ51" s="155" t="n">
        <v>32</v>
      </c>
      <c r="FA51" s="38" t="n">
        <v>0</v>
      </c>
      <c r="FB51" s="284" t="n"/>
      <c r="FC51" s="36">
        <f>$KN51*25</f>
        <v/>
      </c>
      <c r="FD51" s="284" t="n">
        <v>33</v>
      </c>
      <c r="FE51" s="38" t="n">
        <v>0</v>
      </c>
      <c r="FF51" s="284" t="n"/>
      <c r="FG51" s="36">
        <f>$KN51*30</f>
        <v/>
      </c>
      <c r="FH51" s="284" t="n">
        <v>10</v>
      </c>
      <c r="FI51" s="38" t="n">
        <v>0</v>
      </c>
      <c r="FJ51" s="284" t="n"/>
      <c r="FK51" s="36">
        <f>$KN51*35</f>
        <v/>
      </c>
      <c r="FL51" s="284" t="n">
        <v>10</v>
      </c>
      <c r="FM51" s="38" t="n">
        <v>0</v>
      </c>
      <c r="FN51" s="284" t="n"/>
      <c r="FO51" s="36">
        <f>$KN51*40</f>
        <v/>
      </c>
      <c r="FP51" s="284" t="n">
        <v>15</v>
      </c>
      <c r="FQ51" s="38" t="n">
        <v>0</v>
      </c>
      <c r="FR51" s="284" t="n"/>
      <c r="FS51" s="36">
        <f>$KN51*45</f>
        <v/>
      </c>
      <c r="FT51" s="284" t="n">
        <v>15</v>
      </c>
      <c r="FU51" s="38" t="n">
        <v>0</v>
      </c>
      <c r="FV51" s="284" t="n"/>
      <c r="FW51" s="36">
        <f>$KN51*50</f>
        <v/>
      </c>
      <c r="FX51" s="284" t="n">
        <v>15</v>
      </c>
      <c r="FY51" s="38" t="n">
        <v>0</v>
      </c>
      <c r="FZ51" s="284" t="n"/>
      <c r="GA51" s="338">
        <f>SUMPRODUCT(--(MOD(COLUMN($EE51:$FZ51),4)=MOD(COLUMN($EE51),4)),$EE51:$FZ51)</f>
        <v/>
      </c>
      <c r="GB51" s="339">
        <f>GA51*$J51</f>
        <v/>
      </c>
      <c r="GC51" s="340">
        <f>SUMPRODUCT(--(MOD(COLUMN($EE51:$FZ51),4)=MOD(COLUMN($EF51),4)),$EE51:$FZ51)</f>
        <v/>
      </c>
      <c r="GD51" s="341">
        <f>GC51*$J51</f>
        <v/>
      </c>
      <c r="GE51" s="342">
        <f>SUMPRODUCT(--(MOD(COLUMN($EE51:$FZ51),4)=MOD(COLUMN($EG51),4)),$EE51:$FZ51)</f>
        <v/>
      </c>
      <c r="GF51" s="343">
        <f>GE51*$J51</f>
        <v/>
      </c>
      <c r="GG51" s="36">
        <f>$KN51*40</f>
        <v/>
      </c>
      <c r="GH51" s="284" t="n"/>
      <c r="GI51" s="38" t="n">
        <v>0</v>
      </c>
      <c r="GJ51" s="284" t="n"/>
      <c r="GK51" s="36">
        <f>$KN51*40</f>
        <v/>
      </c>
      <c r="GL51" s="284" t="n"/>
      <c r="GM51" s="38" t="n">
        <v>0</v>
      </c>
      <c r="GN51" s="284" t="n"/>
      <c r="GO51" s="36">
        <f>$KN51*45</f>
        <v/>
      </c>
      <c r="GP51" s="284" t="n"/>
      <c r="GQ51" s="38" t="n">
        <v>0</v>
      </c>
      <c r="GR51" s="284" t="n"/>
      <c r="GS51" s="36">
        <f>$KN51*50</f>
        <v/>
      </c>
      <c r="GT51" s="284" t="n"/>
      <c r="GU51" s="38" t="n">
        <v>0</v>
      </c>
      <c r="GV51" s="284" t="n"/>
      <c r="GW51" s="36">
        <f>$KN51*50</f>
        <v/>
      </c>
      <c r="GX51" s="284" t="n"/>
      <c r="GY51" s="38" t="n">
        <v>0</v>
      </c>
      <c r="GZ51" s="284" t="n"/>
      <c r="HA51" s="36">
        <f>$KN51*50</f>
        <v/>
      </c>
      <c r="HB51" s="284" t="n"/>
      <c r="HC51" s="38" t="n">
        <v>0</v>
      </c>
      <c r="HD51" s="284" t="n"/>
      <c r="HE51" s="36">
        <f>$KN51*50</f>
        <v/>
      </c>
      <c r="HF51" s="284" t="n"/>
      <c r="HG51" s="38" t="n">
        <v>0</v>
      </c>
      <c r="HH51" s="284" t="n"/>
      <c r="HI51" s="36">
        <f>$KN51*50</f>
        <v/>
      </c>
      <c r="HJ51" s="284" t="n"/>
      <c r="HK51" s="38" t="n">
        <v>0</v>
      </c>
      <c r="HL51" s="284" t="n"/>
      <c r="HM51" s="36">
        <f>$KN51*50</f>
        <v/>
      </c>
      <c r="HN51" s="284" t="n"/>
      <c r="HO51" s="38" t="n">
        <v>0</v>
      </c>
      <c r="HP51" s="284" t="n"/>
      <c r="HQ51" s="36">
        <f>$KN51*50</f>
        <v/>
      </c>
      <c r="HR51" s="284" t="n"/>
      <c r="HS51" s="38" t="n">
        <v>0</v>
      </c>
      <c r="HT51" s="284" t="n"/>
      <c r="HU51" s="36">
        <f>$KN51*50</f>
        <v/>
      </c>
      <c r="HV51" s="284" t="n"/>
      <c r="HW51" s="38" t="n">
        <v>0</v>
      </c>
      <c r="HX51" s="284" t="n"/>
      <c r="HY51" s="36">
        <f>$KN51*50</f>
        <v/>
      </c>
      <c r="HZ51" s="284" t="n"/>
      <c r="IA51" s="38" t="n">
        <v>0</v>
      </c>
      <c r="IB51" s="284" t="n"/>
      <c r="IC51" s="338">
        <f t="array" ref="IC51">SUMPRODUCT(--(MOD(COLUMN($GG51:$IB51),4)=MOD(COLUMN($GG51),4)),$GG51:$IB51)</f>
        <v/>
      </c>
      <c r="ID51" s="339">
        <f>IC51*$J51</f>
        <v/>
      </c>
      <c r="IE51" s="340">
        <f t="array" ref="IE51">SUMPRODUCT(--(MOD(COLUMN($GG51:$IB51),4)=MOD(COLUMN($GH51),4)),$GG51:$IB51)</f>
        <v/>
      </c>
      <c r="IF51" s="341">
        <f>IE51*$J51</f>
        <v/>
      </c>
      <c r="IG51" s="342">
        <f t="array" ref="IG51">SUMPRODUCT(--(MOD(COLUMN($GG51:$IB51),4)=MOD(COLUMN($GI51),4)),$GG51:$IB51)</f>
        <v/>
      </c>
      <c r="IH51" s="343">
        <f>IG51*$J51</f>
        <v/>
      </c>
      <c r="II51" s="36">
        <f>$KN51*45</f>
        <v/>
      </c>
      <c r="IJ51" s="284" t="n"/>
      <c r="IK51" s="38" t="n">
        <v>0</v>
      </c>
      <c r="IL51" s="284" t="n"/>
      <c r="IM51" s="36">
        <f>$KN51*45</f>
        <v/>
      </c>
      <c r="IN51" s="284" t="n"/>
      <c r="IO51" s="38" t="n">
        <v>0</v>
      </c>
      <c r="IP51" s="284" t="n"/>
      <c r="IQ51" s="36">
        <f>$KN51*50</f>
        <v/>
      </c>
      <c r="IR51" s="284" t="n"/>
      <c r="IS51" s="38" t="n">
        <v>0</v>
      </c>
      <c r="IT51" s="284" t="n"/>
      <c r="IU51" s="36">
        <f>$KN51*55</f>
        <v/>
      </c>
      <c r="IV51" s="284" t="n"/>
      <c r="IW51" s="38" t="n">
        <v>0</v>
      </c>
      <c r="IX51" s="284" t="n"/>
      <c r="IY51" s="36">
        <f>$KN51*55</f>
        <v/>
      </c>
      <c r="IZ51" s="284" t="n"/>
      <c r="JA51" s="38" t="n">
        <v>0</v>
      </c>
      <c r="JB51" s="284" t="n"/>
      <c r="JC51" s="36">
        <f>$KN51*55</f>
        <v/>
      </c>
      <c r="JD51" s="284" t="n"/>
      <c r="JE51" s="38" t="n">
        <v>0</v>
      </c>
      <c r="JF51" s="284" t="n"/>
      <c r="JG51" s="36">
        <f>$KN51*60</f>
        <v/>
      </c>
      <c r="JH51" s="284" t="n"/>
      <c r="JI51" s="38" t="n">
        <v>0</v>
      </c>
      <c r="JJ51" s="284" t="n"/>
      <c r="JK51" s="36">
        <f>$KN51*60</f>
        <v/>
      </c>
      <c r="JL51" s="284" t="n"/>
      <c r="JM51" s="38" t="n">
        <v>0</v>
      </c>
      <c r="JN51" s="284" t="n"/>
      <c r="JO51" s="36">
        <f>$KN51*60</f>
        <v/>
      </c>
      <c r="JP51" s="284" t="n"/>
      <c r="JQ51" s="38" t="n">
        <v>0</v>
      </c>
      <c r="JR51" s="284" t="n"/>
      <c r="JS51" s="36">
        <f>$KN51*60</f>
        <v/>
      </c>
      <c r="JT51" s="284" t="n"/>
      <c r="JU51" s="38" t="n">
        <v>0</v>
      </c>
      <c r="JV51" s="284" t="n"/>
      <c r="JW51" s="36">
        <f>$KN51*60</f>
        <v/>
      </c>
      <c r="JX51" s="284" t="n"/>
      <c r="JY51" s="38" t="n">
        <v>0</v>
      </c>
      <c r="JZ51" s="284" t="n"/>
      <c r="KA51" s="36">
        <f>$KN51*60</f>
        <v/>
      </c>
      <c r="KB51" s="284" t="n"/>
      <c r="KC51" s="38" t="n">
        <v>0</v>
      </c>
      <c r="KD51" s="284" t="n"/>
      <c r="KE51" s="338">
        <f t="array" ref="KE51">SUMPRODUCT(--(MOD(COLUMN($II51:$KD51),4)=MOD(COLUMN($II51),4)),$II51:$KD51)</f>
        <v/>
      </c>
      <c r="KF51" s="339">
        <f>KE51*$J51</f>
        <v/>
      </c>
      <c r="KG51" s="340">
        <f t="array" ref="KG51">SUMPRODUCT(--(MOD(COLUMN($II51:$KD51),4)=MOD(COLUMN($IJ51),4)),$II51:$KD51)</f>
        <v/>
      </c>
      <c r="KH51" s="341">
        <f>KG51*$J51</f>
        <v/>
      </c>
      <c r="KI51" s="342">
        <f t="array" ref="KI51">SUMPRODUCT(--(MOD(COLUMN($II51:$KD51),4)=MOD(COLUMN($IK51),4)),$II51:$KD51)</f>
        <v/>
      </c>
      <c r="KJ51" s="346">
        <f>KI51*$J51</f>
        <v/>
      </c>
      <c r="KK51" s="80" t="n"/>
      <c r="KL51" s="80" t="n"/>
      <c r="KM51" s="80" t="n"/>
      <c r="KN51" s="51" t="n">
        <v>1</v>
      </c>
      <c r="KO51" s="333" t="n"/>
    </row>
    <row r="52" outlineLevel="1" ht="28.8" customFormat="1" customHeight="1" s="68">
      <c r="A52" s="347" t="n"/>
      <c r="B52" s="347" t="n"/>
      <c r="C52" s="347" t="n"/>
      <c r="D52" s="347" t="n"/>
      <c r="E52" s="15" t="n">
        <v>16</v>
      </c>
      <c r="F52" s="60" t="n">
        <v>1</v>
      </c>
      <c r="G52" s="62" t="n">
        <v>4802070100</v>
      </c>
      <c r="H52" s="63" t="inlineStr">
        <is>
          <t>Ускорительный клапан TEBS</t>
        </is>
      </c>
      <c r="I52" s="369" t="n">
        <v>3264</v>
      </c>
      <c r="J52" s="369" t="n">
        <v>3264</v>
      </c>
      <c r="K52" s="348" t="n"/>
      <c r="L52" s="348" t="n"/>
      <c r="M52" s="36" t="n"/>
      <c r="N52" s="284" t="n">
        <v>1</v>
      </c>
      <c r="O52" s="38" t="n">
        <v>0</v>
      </c>
      <c r="P52" s="284" t="n"/>
      <c r="Q52" s="36" t="n"/>
      <c r="R52" s="284" t="n">
        <v>1</v>
      </c>
      <c r="S52" s="38" t="n">
        <v>1</v>
      </c>
      <c r="T52" s="284" t="n"/>
      <c r="U52" s="36" t="n"/>
      <c r="V52" s="284" t="n"/>
      <c r="W52" s="38" t="n"/>
      <c r="X52" s="284" t="n"/>
      <c r="Y52" s="36" t="n"/>
      <c r="Z52" s="39" t="n"/>
      <c r="AA52" s="38" t="n"/>
      <c r="AB52" s="247" t="n"/>
      <c r="AC52" s="36" t="n"/>
      <c r="AD52" s="284" t="n"/>
      <c r="AE52" s="38" t="n"/>
      <c r="AF52" s="247" t="n"/>
      <c r="AG52" s="36" t="n"/>
      <c r="AH52" s="284" t="n"/>
      <c r="AI52" s="38" t="n"/>
      <c r="AJ52" s="247" t="n"/>
      <c r="AK52" s="36" t="n"/>
      <c r="AL52" s="284" t="n"/>
      <c r="AM52" s="38" t="n"/>
      <c r="AN52" s="247" t="n"/>
      <c r="AO52" s="36" t="n"/>
      <c r="AP52" s="284" t="n"/>
      <c r="AQ52" s="38" t="n"/>
      <c r="AR52" s="247" t="n"/>
      <c r="AS52" s="36" t="n"/>
      <c r="AT52" s="284" t="n"/>
      <c r="AU52" s="38" t="n"/>
      <c r="AV52" s="247" t="n"/>
      <c r="AW52" s="36" t="n"/>
      <c r="AX52" s="284" t="n"/>
      <c r="AY52" s="38" t="n"/>
      <c r="AZ52" s="247" t="n"/>
      <c r="BA52" s="36" t="n"/>
      <c r="BB52" s="284" t="n"/>
      <c r="BC52" s="92" t="n"/>
      <c r="BD52" s="284" t="n"/>
      <c r="BE52" s="36" t="n"/>
      <c r="BF52" s="284" t="n"/>
      <c r="BG52" s="54" t="n"/>
      <c r="BH52" s="284" t="n"/>
      <c r="BI52" s="338" t="n"/>
      <c r="BJ52" s="339" t="n"/>
      <c r="BK52" s="340" t="n"/>
      <c r="BL52" s="341" t="n"/>
      <c r="BM52" s="342" t="n"/>
      <c r="BN52" s="343" t="n"/>
      <c r="BO52" s="36" t="n"/>
      <c r="BP52" s="47" t="n"/>
      <c r="BQ52" s="284" t="n"/>
      <c r="BR52" s="38" t="n"/>
      <c r="BS52" s="284" t="n"/>
      <c r="BT52" s="36" t="n"/>
      <c r="BU52" s="47" t="n"/>
      <c r="BV52" s="284" t="n"/>
      <c r="BW52" s="38" t="n"/>
      <c r="BX52" s="245" t="n"/>
      <c r="BY52" s="36" t="n"/>
      <c r="BZ52" s="47" t="n"/>
      <c r="CA52" s="284" t="n"/>
      <c r="CB52" s="38" t="n"/>
      <c r="CC52" s="284" t="n"/>
      <c r="CD52" s="36" t="n"/>
      <c r="CE52" s="47" t="n"/>
      <c r="CF52" s="284" t="n"/>
      <c r="CG52" s="38" t="n"/>
      <c r="CH52" s="284" t="n"/>
      <c r="CI52" s="36" t="n"/>
      <c r="CJ52" s="47" t="n"/>
      <c r="CK52" s="284" t="n"/>
      <c r="CL52" s="38" t="n"/>
      <c r="CM52" s="284" t="n"/>
      <c r="CN52" s="36" t="n"/>
      <c r="CO52" s="47" t="n"/>
      <c r="CP52" s="284" t="n"/>
      <c r="CQ52" s="38" t="n"/>
      <c r="CR52" s="284" t="n"/>
      <c r="CS52" s="36" t="n"/>
      <c r="CT52" s="47" t="n"/>
      <c r="CU52" s="39" t="n"/>
      <c r="CV52" s="38" t="n"/>
      <c r="CW52" s="284" t="n"/>
      <c r="CX52" s="36" t="n"/>
      <c r="CY52" s="47" t="n"/>
      <c r="CZ52" s="39" t="n"/>
      <c r="DA52" s="38" t="n"/>
      <c r="DB52" s="284" t="n"/>
      <c r="DC52" s="36" t="n"/>
      <c r="DD52" s="47" t="n"/>
      <c r="DE52" s="284" t="n"/>
      <c r="DF52" s="38" t="n"/>
      <c r="DG52" s="284" t="n"/>
      <c r="DH52" s="36" t="n"/>
      <c r="DI52" s="47" t="n"/>
      <c r="DJ52" s="284" t="n"/>
      <c r="DK52" s="38" t="n"/>
      <c r="DL52" s="284" t="n"/>
      <c r="DM52" s="36" t="n"/>
      <c r="DN52" s="47" t="n"/>
      <c r="DO52" s="284" t="n"/>
      <c r="DP52" s="38" t="n"/>
      <c r="DQ52" s="227" t="n"/>
      <c r="DR52" s="36" t="n"/>
      <c r="DS52" s="47" t="n"/>
      <c r="DT52" s="284" t="n"/>
      <c r="DU52" s="38" t="n">
        <v>0</v>
      </c>
      <c r="DV52" s="284" t="n"/>
      <c r="DW52" s="338">
        <f t="array" ref="DW52">SUMPRODUCT(--(MOD(COLUMN($BO52:$DV52),5)=MOD(COLUMN($BO52),5)),$BO52:$DV52)</f>
        <v/>
      </c>
      <c r="DX52" s="339">
        <f>DW52*$J52</f>
        <v/>
      </c>
      <c r="DY52" s="344">
        <f t="array" ref="DY52">SUMPRODUCT(--(MOD(COLUMN($BO52:$DV52),5)=MOD(COLUMN($BP52),5)),$BO52:$DV52)</f>
        <v/>
      </c>
      <c r="DZ52" s="345">
        <f>DY52*$J52</f>
        <v/>
      </c>
      <c r="EA52" s="340">
        <f t="array" ref="EA52">SUMPRODUCT(--(MOD(COLUMN($BO52:$DV52),5)=MOD(COLUMN($BQ52),5)),$BO52:$DV52)</f>
        <v/>
      </c>
      <c r="EB52" s="341">
        <f>EA52*$J52</f>
        <v/>
      </c>
      <c r="EC52" s="342">
        <f t="array" ref="EC52">SUMPRODUCT(--(MOD(COLUMN($BO52:$DV52),5)=MOD(COLUMN($BR52),5)),$BO52:$DV52)</f>
        <v/>
      </c>
      <c r="ED52" s="343">
        <f>EC52*$J52</f>
        <v/>
      </c>
      <c r="EE52" s="36" t="n"/>
      <c r="EF52" s="284" t="n">
        <v>1</v>
      </c>
      <c r="EG52" s="38" t="n">
        <v>0</v>
      </c>
      <c r="EH52" s="284" t="inlineStr">
        <is>
          <t>Новый артикул</t>
        </is>
      </c>
      <c r="EI52" s="36" t="n"/>
      <c r="EJ52" s="284" t="n">
        <v>1</v>
      </c>
      <c r="EK52" s="38" t="n">
        <v>1</v>
      </c>
      <c r="EL52" s="284" t="inlineStr">
        <is>
          <t>Изменение артикула</t>
        </is>
      </c>
      <c r="EM52" s="36" t="n"/>
      <c r="EN52" s="284" t="n"/>
      <c r="EO52" s="38" t="n">
        <v>0</v>
      </c>
      <c r="EP52" s="284" t="n"/>
      <c r="EQ52" s="36" t="n"/>
      <c r="ER52" s="284" t="n">
        <v>0</v>
      </c>
      <c r="ES52" s="38" t="n"/>
      <c r="ET52" s="347" t="n"/>
      <c r="EU52" s="36" t="n"/>
      <c r="EV52" s="284" t="n"/>
      <c r="EW52" s="38" t="n"/>
      <c r="EX52" s="284" t="n"/>
      <c r="EY52" s="36" t="n"/>
      <c r="EZ52" s="284" t="n"/>
      <c r="FA52" s="38" t="n"/>
      <c r="FB52" s="284" t="n"/>
      <c r="FC52" s="36" t="n"/>
      <c r="FD52" s="284" t="n"/>
      <c r="FE52" s="38" t="n"/>
      <c r="FF52" s="284" t="n"/>
      <c r="FG52" s="36" t="n"/>
      <c r="FH52" s="284" t="n"/>
      <c r="FI52" s="38" t="n"/>
      <c r="FJ52" s="284" t="n"/>
      <c r="FK52" s="36" t="n"/>
      <c r="FL52" s="284" t="n"/>
      <c r="FM52" s="38" t="n"/>
      <c r="FN52" s="284" t="n"/>
      <c r="FO52" s="36" t="n"/>
      <c r="FP52" s="284" t="n"/>
      <c r="FQ52" s="38" t="n"/>
      <c r="FR52" s="284" t="n"/>
      <c r="FS52" s="36" t="n"/>
      <c r="FT52" s="284" t="n"/>
      <c r="FU52" s="38" t="n"/>
      <c r="FV52" s="284" t="n"/>
      <c r="FW52" s="36" t="n"/>
      <c r="FX52" s="284" t="n"/>
      <c r="FY52" s="38" t="n"/>
      <c r="FZ52" s="284" t="n"/>
      <c r="GA52" s="338">
        <f t="array" ref="GA52">SUMPRODUCT(--(MOD(COLUMN($EE52:$FZ52),4)=MOD(COLUMN($EE52),4)),$EE52:$FZ52)</f>
        <v/>
      </c>
      <c r="GB52" s="339">
        <f>GA52*$J52</f>
        <v/>
      </c>
      <c r="GC52" s="340">
        <f t="array" ref="GC52">SUMPRODUCT(--(MOD(COLUMN($EE52:$FZ52),4)=MOD(COLUMN($EF52),4)),$EE52:$FZ52)</f>
        <v/>
      </c>
      <c r="GD52" s="341">
        <f>GC52*$J52</f>
        <v/>
      </c>
      <c r="GE52" s="342">
        <f t="array" ref="GE52">SUMPRODUCT(--(MOD(COLUMN($EE52:$FZ52),4)=MOD(COLUMN($EG52),4)),$EE52:$FZ52)</f>
        <v/>
      </c>
      <c r="GF52" s="343">
        <f>GE52*$J52</f>
        <v/>
      </c>
      <c r="GG52" s="36" t="n"/>
      <c r="GH52" s="284" t="n"/>
      <c r="GI52" s="38" t="n"/>
      <c r="GJ52" s="284" t="n"/>
      <c r="GK52" s="36" t="n"/>
      <c r="GL52" s="284" t="n"/>
      <c r="GM52" s="38" t="n"/>
      <c r="GN52" s="284" t="n"/>
      <c r="GO52" s="36" t="n"/>
      <c r="GP52" s="284" t="n"/>
      <c r="GQ52" s="38" t="n"/>
      <c r="GR52" s="284" t="n"/>
      <c r="GS52" s="36" t="n"/>
      <c r="GT52" s="284" t="n"/>
      <c r="GU52" s="38" t="n"/>
      <c r="GV52" s="284" t="n"/>
      <c r="GW52" s="36" t="n"/>
      <c r="GX52" s="284" t="n"/>
      <c r="GY52" s="38" t="n"/>
      <c r="GZ52" s="284" t="n"/>
      <c r="HA52" s="36" t="n"/>
      <c r="HB52" s="284" t="n"/>
      <c r="HC52" s="38" t="n"/>
      <c r="HD52" s="284" t="n"/>
      <c r="HE52" s="36" t="n"/>
      <c r="HF52" s="284" t="n"/>
      <c r="HG52" s="38" t="n"/>
      <c r="HH52" s="284" t="n"/>
      <c r="HI52" s="36" t="n"/>
      <c r="HJ52" s="284" t="n"/>
      <c r="HK52" s="38" t="n"/>
      <c r="HL52" s="284" t="n"/>
      <c r="HM52" s="36" t="n"/>
      <c r="HN52" s="284" t="n"/>
      <c r="HO52" s="38" t="n"/>
      <c r="HP52" s="284" t="n"/>
      <c r="HQ52" s="36" t="n"/>
      <c r="HR52" s="284" t="n"/>
      <c r="HS52" s="38" t="n"/>
      <c r="HT52" s="284" t="n"/>
      <c r="HU52" s="36" t="n"/>
      <c r="HV52" s="284" t="n"/>
      <c r="HW52" s="38" t="n"/>
      <c r="HX52" s="284" t="n"/>
      <c r="HY52" s="36" t="n"/>
      <c r="HZ52" s="284" t="n"/>
      <c r="IA52" s="38" t="n"/>
      <c r="IB52" s="284" t="n"/>
      <c r="IC52" s="338">
        <f t="array" ref="IC52">SUMPRODUCT(--(MOD(COLUMN($GG52:$IB52),4)=MOD(COLUMN($GG52),4)),$GG52:$IB52)</f>
        <v/>
      </c>
      <c r="ID52" s="339">
        <f>IC52*$J52</f>
        <v/>
      </c>
      <c r="IE52" s="340">
        <f t="array" ref="IE52">SUMPRODUCT(--(MOD(COLUMN($GG52:$IB52),4)=MOD(COLUMN($GH52),4)),$GG52:$IB52)</f>
        <v/>
      </c>
      <c r="IF52" s="341">
        <f>IE52*$J52</f>
        <v/>
      </c>
      <c r="IG52" s="342">
        <f t="array" ref="IG52">SUMPRODUCT(--(MOD(COLUMN($GG52:$IB52),4)=MOD(COLUMN($GI52),4)),$GG52:$IB52)</f>
        <v/>
      </c>
      <c r="IH52" s="343">
        <f>IG52*$J52</f>
        <v/>
      </c>
      <c r="II52" s="36" t="n"/>
      <c r="IJ52" s="284" t="n"/>
      <c r="IK52" s="38" t="n"/>
      <c r="IL52" s="284" t="n"/>
      <c r="IM52" s="36" t="n"/>
      <c r="IN52" s="284" t="n"/>
      <c r="IO52" s="38" t="n"/>
      <c r="IP52" s="284" t="n"/>
      <c r="IQ52" s="36" t="n"/>
      <c r="IR52" s="284" t="n"/>
      <c r="IS52" s="38" t="n"/>
      <c r="IT52" s="284" t="n"/>
      <c r="IU52" s="36" t="n"/>
      <c r="IV52" s="284" t="n"/>
      <c r="IW52" s="38" t="n"/>
      <c r="IX52" s="284" t="n"/>
      <c r="IY52" s="36" t="n"/>
      <c r="IZ52" s="284" t="n"/>
      <c r="JA52" s="38" t="n"/>
      <c r="JB52" s="284" t="n"/>
      <c r="JC52" s="36" t="n"/>
      <c r="JD52" s="284" t="n"/>
      <c r="JE52" s="38" t="n"/>
      <c r="JF52" s="284" t="n"/>
      <c r="JG52" s="36" t="n"/>
      <c r="JH52" s="284" t="n"/>
      <c r="JI52" s="38" t="n"/>
      <c r="JJ52" s="284" t="n"/>
      <c r="JK52" s="36" t="n"/>
      <c r="JL52" s="284" t="n"/>
      <c r="JM52" s="38" t="n"/>
      <c r="JN52" s="284" t="n"/>
      <c r="JO52" s="36" t="n"/>
      <c r="JP52" s="284" t="n"/>
      <c r="JQ52" s="38" t="n"/>
      <c r="JR52" s="284" t="n"/>
      <c r="JS52" s="36" t="n"/>
      <c r="JT52" s="284" t="n"/>
      <c r="JU52" s="38" t="n"/>
      <c r="JV52" s="284" t="n"/>
      <c r="JW52" s="36" t="n"/>
      <c r="JX52" s="284" t="n"/>
      <c r="JY52" s="38" t="n"/>
      <c r="JZ52" s="284" t="n"/>
      <c r="KA52" s="36" t="n"/>
      <c r="KB52" s="284" t="n"/>
      <c r="KC52" s="38" t="n"/>
      <c r="KD52" s="284" t="n"/>
      <c r="KE52" s="338">
        <f t="array" ref="KE52">SUMPRODUCT(--(MOD(COLUMN($II52:$KD52),4)=MOD(COLUMN($II52),4)),$II52:$KD52)</f>
        <v/>
      </c>
      <c r="KF52" s="339">
        <f>KE52*$J52</f>
        <v/>
      </c>
      <c r="KG52" s="340">
        <f t="array" ref="KG52">SUMPRODUCT(--(MOD(COLUMN($II52:$KD52),4)=MOD(COLUMN($IJ52),4)),$II52:$KD52)</f>
        <v/>
      </c>
      <c r="KH52" s="341">
        <f>KG52*$J52</f>
        <v/>
      </c>
      <c r="KI52" s="342">
        <f t="array" ref="KI52">SUMPRODUCT(--(MOD(COLUMN($II52:$KD52),4)=MOD(COLUMN($IK52),4)),$II52:$KD52)</f>
        <v/>
      </c>
      <c r="KJ52" s="346">
        <f>KI52*$J52</f>
        <v/>
      </c>
      <c r="KK52" s="80" t="n"/>
      <c r="KL52" s="80" t="n"/>
      <c r="KM52" s="80" t="n"/>
      <c r="KN52" s="51" t="n"/>
      <c r="KO52" s="285" t="n"/>
    </row>
    <row r="53" outlineLevel="1" ht="28.8" customFormat="1" customHeight="1" s="68">
      <c r="A53" s="347" t="n"/>
      <c r="B53" s="347" t="n"/>
      <c r="C53" s="347" t="n"/>
      <c r="D53" s="347" t="n"/>
      <c r="E53" s="15" t="n">
        <v>17</v>
      </c>
      <c r="F53" s="60" t="n">
        <v>1</v>
      </c>
      <c r="G53" s="62" t="n">
        <v>4802070600</v>
      </c>
      <c r="H53" s="63" t="inlineStr">
        <is>
          <t>Ускорительный клапан TEBS</t>
        </is>
      </c>
      <c r="I53" s="369" t="n">
        <v>1056</v>
      </c>
      <c r="J53" s="369" t="n">
        <v>1056</v>
      </c>
      <c r="K53" s="348" t="n"/>
      <c r="L53" s="348" t="n"/>
      <c r="M53" s="36" t="n"/>
      <c r="N53" s="284" t="n"/>
      <c r="O53" s="38" t="n"/>
      <c r="P53" s="284" t="n"/>
      <c r="Q53" s="36" t="n"/>
      <c r="R53" s="284" t="n"/>
      <c r="S53" s="38" t="n"/>
      <c r="T53" s="284" t="n"/>
      <c r="U53" s="36" t="n"/>
      <c r="V53" s="284" t="n"/>
      <c r="W53" s="38" t="n"/>
      <c r="X53" s="284" t="n"/>
      <c r="Y53" s="36" t="n"/>
      <c r="Z53" s="39" t="n"/>
      <c r="AA53" s="38" t="n"/>
      <c r="AB53" s="247" t="n"/>
      <c r="AC53" s="36" t="n"/>
      <c r="AD53" s="284" t="n"/>
      <c r="AE53" s="38" t="n"/>
      <c r="AF53" s="247" t="n"/>
      <c r="AG53" s="36" t="n"/>
      <c r="AH53" s="284" t="n"/>
      <c r="AI53" s="38" t="n"/>
      <c r="AJ53" s="247" t="n"/>
      <c r="AK53" s="36" t="n"/>
      <c r="AL53" s="284" t="n"/>
      <c r="AM53" s="38" t="n"/>
      <c r="AN53" s="247" t="n"/>
      <c r="AO53" s="36" t="n"/>
      <c r="AP53" s="284" t="n"/>
      <c r="AQ53" s="38" t="n"/>
      <c r="AR53" s="247" t="n"/>
      <c r="AS53" s="36" t="n"/>
      <c r="AT53" s="284" t="n"/>
      <c r="AU53" s="38" t="n"/>
      <c r="AV53" s="247" t="n"/>
      <c r="AW53" s="36" t="n"/>
      <c r="AX53" s="284" t="n"/>
      <c r="AY53" s="38" t="n"/>
      <c r="AZ53" s="247" t="n"/>
      <c r="BA53" s="36" t="n"/>
      <c r="BB53" s="284" t="n"/>
      <c r="BC53" s="92" t="n"/>
      <c r="BD53" s="284" t="n"/>
      <c r="BE53" s="36" t="n"/>
      <c r="BF53" s="284" t="n"/>
      <c r="BG53" s="54" t="n"/>
      <c r="BH53" s="284" t="n"/>
      <c r="BI53" s="338" t="n"/>
      <c r="BJ53" s="339" t="n"/>
      <c r="BK53" s="340" t="n"/>
      <c r="BL53" s="341" t="n"/>
      <c r="BM53" s="342" t="n"/>
      <c r="BN53" s="343" t="n"/>
      <c r="BO53" s="36" t="n"/>
      <c r="BP53" s="47" t="n"/>
      <c r="BQ53" s="284" t="n"/>
      <c r="BR53" s="38" t="n"/>
      <c r="BS53" s="284" t="n"/>
      <c r="BT53" s="36" t="n"/>
      <c r="BU53" s="47" t="n"/>
      <c r="BV53" s="284" t="n"/>
      <c r="BW53" s="38" t="n"/>
      <c r="BX53" s="245" t="n"/>
      <c r="BY53" s="36" t="n"/>
      <c r="BZ53" s="47" t="n"/>
      <c r="CA53" s="284" t="n"/>
      <c r="CB53" s="38" t="n"/>
      <c r="CC53" s="284" t="n"/>
      <c r="CD53" s="36" t="n"/>
      <c r="CE53" s="47" t="n"/>
      <c r="CF53" s="284" t="n"/>
      <c r="CG53" s="38" t="n"/>
      <c r="CH53" s="284" t="n"/>
      <c r="CI53" s="36" t="n"/>
      <c r="CJ53" s="47" t="n"/>
      <c r="CK53" s="284" t="n"/>
      <c r="CL53" s="38" t="n"/>
      <c r="CM53" s="284" t="n"/>
      <c r="CN53" s="36" t="n"/>
      <c r="CO53" s="47" t="n"/>
      <c r="CP53" s="284" t="n"/>
      <c r="CQ53" s="38" t="n"/>
      <c r="CR53" s="284" t="n"/>
      <c r="CS53" s="36" t="n"/>
      <c r="CT53" s="47" t="n"/>
      <c r="CU53" s="39" t="n"/>
      <c r="CV53" s="38" t="n"/>
      <c r="CW53" s="284" t="n"/>
      <c r="CX53" s="36" t="n"/>
      <c r="CY53" s="47" t="n"/>
      <c r="CZ53" s="39" t="n"/>
      <c r="DA53" s="38" t="n"/>
      <c r="DB53" s="284" t="n"/>
      <c r="DC53" s="36" t="n"/>
      <c r="DD53" s="47" t="n"/>
      <c r="DE53" s="284" t="n"/>
      <c r="DF53" s="38" t="n"/>
      <c r="DG53" s="284" t="n"/>
      <c r="DH53" s="36" t="n"/>
      <c r="DI53" s="47" t="n"/>
      <c r="DJ53" s="284" t="n"/>
      <c r="DK53" s="38" t="n"/>
      <c r="DL53" s="284" t="n"/>
      <c r="DM53" s="36" t="n"/>
      <c r="DN53" s="47" t="n"/>
      <c r="DO53" s="284" t="n"/>
      <c r="DP53" s="38" t="n"/>
      <c r="DQ53" s="227" t="n"/>
      <c r="DR53" s="36" t="n"/>
      <c r="DS53" s="47" t="n"/>
      <c r="DT53" s="284" t="n"/>
      <c r="DU53" s="38" t="n">
        <v>0</v>
      </c>
      <c r="DV53" s="284" t="n"/>
      <c r="DW53" s="338">
        <f t="array" ref="DW53">SUMPRODUCT(--(MOD(COLUMN($BO53:$DV53),5)=MOD(COLUMN($BO53),5)),$BO53:$DV53)</f>
        <v/>
      </c>
      <c r="DX53" s="339">
        <f>DW53*$J53</f>
        <v/>
      </c>
      <c r="DY53" s="344">
        <f t="array" ref="DY53">SUMPRODUCT(--(MOD(COLUMN($BO53:$DV53),5)=MOD(COLUMN($BP53),5)),$BO53:$DV53)</f>
        <v/>
      </c>
      <c r="DZ53" s="345">
        <f>DY53*$J53</f>
        <v/>
      </c>
      <c r="EA53" s="340">
        <f t="array" ref="EA53">SUMPRODUCT(--(MOD(COLUMN($BO53:$DV53),5)=MOD(COLUMN($BQ53),5)),$BO53:$DV53)</f>
        <v/>
      </c>
      <c r="EB53" s="341">
        <f>EA53*$J53</f>
        <v/>
      </c>
      <c r="EC53" s="342">
        <f t="array" ref="EC53">SUMPRODUCT(--(MOD(COLUMN($BO53:$DV53),5)=MOD(COLUMN($BR53),5)),$BO53:$DV53)</f>
        <v/>
      </c>
      <c r="ED53" s="343">
        <f>EC53*$J53</f>
        <v/>
      </c>
      <c r="EE53" s="36" t="n"/>
      <c r="EF53" s="284" t="n">
        <v>1</v>
      </c>
      <c r="EG53" s="38" t="n">
        <v>0</v>
      </c>
      <c r="EH53" s="284" t="inlineStr">
        <is>
          <t>Новый артикул</t>
        </is>
      </c>
      <c r="EI53" s="36" t="n"/>
      <c r="EJ53" s="284" t="n">
        <v>1</v>
      </c>
      <c r="EK53" s="38" t="n">
        <v>1</v>
      </c>
      <c r="EL53" s="284" t="inlineStr">
        <is>
          <t>Изменение артикула</t>
        </is>
      </c>
      <c r="EM53" s="36" t="n"/>
      <c r="EN53" s="284" t="n"/>
      <c r="EO53" s="38" t="n">
        <v>0</v>
      </c>
      <c r="EP53" s="284" t="n"/>
      <c r="EQ53" s="36" t="n"/>
      <c r="ER53" s="284" t="n">
        <v>0</v>
      </c>
      <c r="ES53" s="38" t="n"/>
      <c r="ET53" s="347" t="n"/>
      <c r="EU53" s="36" t="n"/>
      <c r="EV53" s="284" t="n">
        <v>2</v>
      </c>
      <c r="EW53" s="38" t="n">
        <v>0</v>
      </c>
      <c r="EX53" s="284" t="n"/>
      <c r="EY53" s="36" t="n"/>
      <c r="EZ53" s="284" t="n">
        <v>16</v>
      </c>
      <c r="FA53" s="38" t="n">
        <v>0</v>
      </c>
      <c r="FB53" s="284" t="n"/>
      <c r="FC53" s="36" t="n"/>
      <c r="FD53" s="284" t="n">
        <v>15</v>
      </c>
      <c r="FE53" s="38" t="n">
        <v>0</v>
      </c>
      <c r="FF53" s="284" t="n"/>
      <c r="FG53" s="36" t="n"/>
      <c r="FH53" s="284" t="n"/>
      <c r="FI53" s="38" t="n"/>
      <c r="FJ53" s="284" t="n"/>
      <c r="FK53" s="36" t="n"/>
      <c r="FL53" s="284" t="n"/>
      <c r="FM53" s="38" t="n"/>
      <c r="FN53" s="284" t="n"/>
      <c r="FO53" s="36" t="n"/>
      <c r="FP53" s="284" t="n"/>
      <c r="FQ53" s="38" t="n"/>
      <c r="FR53" s="284" t="n"/>
      <c r="FS53" s="36" t="n"/>
      <c r="FT53" s="284" t="n"/>
      <c r="FU53" s="38" t="n"/>
      <c r="FV53" s="284" t="n"/>
      <c r="FW53" s="36" t="n"/>
      <c r="FX53" s="284" t="n"/>
      <c r="FY53" s="38" t="n"/>
      <c r="FZ53" s="284" t="n"/>
      <c r="GA53" s="338">
        <f t="array" ref="GA53">SUMPRODUCT(--(MOD(COLUMN($EE53:$FZ53),4)=MOD(COLUMN($EE53),4)),$EE53:$FZ53)</f>
        <v/>
      </c>
      <c r="GB53" s="339">
        <f>GA53*$J53</f>
        <v/>
      </c>
      <c r="GC53" s="340">
        <f t="array" ref="GC53">SUMPRODUCT(--(MOD(COLUMN($EE53:$FZ53),4)=MOD(COLUMN($EF53),4)),$EE53:$FZ53)</f>
        <v/>
      </c>
      <c r="GD53" s="341">
        <f>GC53*$J53</f>
        <v/>
      </c>
      <c r="GE53" s="342">
        <f t="array" ref="GE53">SUMPRODUCT(--(MOD(COLUMN($EE53:$FZ53),4)=MOD(COLUMN($EG53),4)),$EE53:$FZ53)</f>
        <v/>
      </c>
      <c r="GF53" s="343">
        <f>GE53*$J53</f>
        <v/>
      </c>
      <c r="GG53" s="36" t="n"/>
      <c r="GH53" s="284" t="n"/>
      <c r="GI53" s="38" t="n"/>
      <c r="GJ53" s="284" t="n"/>
      <c r="GK53" s="36" t="n"/>
      <c r="GL53" s="284" t="n"/>
      <c r="GM53" s="38" t="n"/>
      <c r="GN53" s="284" t="n"/>
      <c r="GO53" s="36" t="n"/>
      <c r="GP53" s="284" t="n"/>
      <c r="GQ53" s="38" t="n"/>
      <c r="GR53" s="284" t="n"/>
      <c r="GS53" s="36" t="n"/>
      <c r="GT53" s="284" t="n"/>
      <c r="GU53" s="38" t="n"/>
      <c r="GV53" s="284" t="n"/>
      <c r="GW53" s="36" t="n"/>
      <c r="GX53" s="284" t="n"/>
      <c r="GY53" s="38" t="n"/>
      <c r="GZ53" s="284" t="n"/>
      <c r="HA53" s="36" t="n"/>
      <c r="HB53" s="284" t="n"/>
      <c r="HC53" s="38" t="n"/>
      <c r="HD53" s="284" t="n"/>
      <c r="HE53" s="36" t="n"/>
      <c r="HF53" s="284" t="n"/>
      <c r="HG53" s="38" t="n"/>
      <c r="HH53" s="284" t="n"/>
      <c r="HI53" s="36" t="n"/>
      <c r="HJ53" s="284" t="n"/>
      <c r="HK53" s="38" t="n"/>
      <c r="HL53" s="284" t="n"/>
      <c r="HM53" s="36" t="n"/>
      <c r="HN53" s="284" t="n"/>
      <c r="HO53" s="38" t="n"/>
      <c r="HP53" s="284" t="n"/>
      <c r="HQ53" s="36" t="n"/>
      <c r="HR53" s="284" t="n"/>
      <c r="HS53" s="38" t="n"/>
      <c r="HT53" s="284" t="n"/>
      <c r="HU53" s="36" t="n"/>
      <c r="HV53" s="284" t="n"/>
      <c r="HW53" s="38" t="n"/>
      <c r="HX53" s="284" t="n"/>
      <c r="HY53" s="36" t="n"/>
      <c r="HZ53" s="284" t="n"/>
      <c r="IA53" s="38" t="n"/>
      <c r="IB53" s="284" t="n"/>
      <c r="IC53" s="338">
        <f t="array" ref="IC53">SUMPRODUCT(--(MOD(COLUMN($GG53:$IB53),4)=MOD(COLUMN($GG53),4)),$GG53:$IB53)</f>
        <v/>
      </c>
      <c r="ID53" s="339">
        <f>IC53*$J53</f>
        <v/>
      </c>
      <c r="IE53" s="340">
        <f t="array" ref="IE53">SUMPRODUCT(--(MOD(COLUMN($GG53:$IB53),4)=MOD(COLUMN($GH53),4)),$GG53:$IB53)</f>
        <v/>
      </c>
      <c r="IF53" s="341">
        <f>IE53*$J53</f>
        <v/>
      </c>
      <c r="IG53" s="342">
        <f t="array" ref="IG53">SUMPRODUCT(--(MOD(COLUMN($GG53:$IB53),4)=MOD(COLUMN($GI53),4)),$GG53:$IB53)</f>
        <v/>
      </c>
      <c r="IH53" s="343">
        <f>IG53*$J53</f>
        <v/>
      </c>
      <c r="II53" s="36" t="n"/>
      <c r="IJ53" s="284" t="n"/>
      <c r="IK53" s="38" t="n"/>
      <c r="IL53" s="284" t="n"/>
      <c r="IM53" s="36" t="n"/>
      <c r="IN53" s="284" t="n"/>
      <c r="IO53" s="38" t="n"/>
      <c r="IP53" s="284" t="n"/>
      <c r="IQ53" s="36" t="n"/>
      <c r="IR53" s="284" t="n"/>
      <c r="IS53" s="38" t="n"/>
      <c r="IT53" s="284" t="n"/>
      <c r="IU53" s="36" t="n"/>
      <c r="IV53" s="284" t="n"/>
      <c r="IW53" s="38" t="n"/>
      <c r="IX53" s="284" t="n"/>
      <c r="IY53" s="36" t="n"/>
      <c r="IZ53" s="284" t="n"/>
      <c r="JA53" s="38" t="n"/>
      <c r="JB53" s="284" t="n"/>
      <c r="JC53" s="36" t="n"/>
      <c r="JD53" s="284" t="n"/>
      <c r="JE53" s="38" t="n"/>
      <c r="JF53" s="284" t="n"/>
      <c r="JG53" s="36" t="n"/>
      <c r="JH53" s="284" t="n"/>
      <c r="JI53" s="38" t="n"/>
      <c r="JJ53" s="284" t="n"/>
      <c r="JK53" s="36" t="n"/>
      <c r="JL53" s="284" t="n"/>
      <c r="JM53" s="38" t="n"/>
      <c r="JN53" s="284" t="n"/>
      <c r="JO53" s="36" t="n"/>
      <c r="JP53" s="284" t="n"/>
      <c r="JQ53" s="38" t="n"/>
      <c r="JR53" s="284" t="n"/>
      <c r="JS53" s="36" t="n"/>
      <c r="JT53" s="284" t="n"/>
      <c r="JU53" s="38" t="n"/>
      <c r="JV53" s="284" t="n"/>
      <c r="JW53" s="36" t="n"/>
      <c r="JX53" s="284" t="n"/>
      <c r="JY53" s="38" t="n"/>
      <c r="JZ53" s="284" t="n"/>
      <c r="KA53" s="36" t="n"/>
      <c r="KB53" s="284" t="n"/>
      <c r="KC53" s="38" t="n"/>
      <c r="KD53" s="284" t="n"/>
      <c r="KE53" s="338">
        <f t="array" ref="KE53">SUMPRODUCT(--(MOD(COLUMN($II53:$KD53),4)=MOD(COLUMN($II53),4)),$II53:$KD53)</f>
        <v/>
      </c>
      <c r="KF53" s="339">
        <f>KE53*$J53</f>
        <v/>
      </c>
      <c r="KG53" s="340">
        <f t="array" ref="KG53">SUMPRODUCT(--(MOD(COLUMN($II53:$KD53),4)=MOD(COLUMN($IJ53),4)),$II53:$KD53)</f>
        <v/>
      </c>
      <c r="KH53" s="341">
        <f>KG53*$J53</f>
        <v/>
      </c>
      <c r="KI53" s="342">
        <f t="array" ref="KI53">SUMPRODUCT(--(MOD(COLUMN($II53:$KD53),4)=MOD(COLUMN($IK53),4)),$II53:$KD53)</f>
        <v/>
      </c>
      <c r="KJ53" s="346">
        <f>KI53*$J53</f>
        <v/>
      </c>
      <c r="KK53" s="80" t="n"/>
      <c r="KL53" s="80" t="n"/>
      <c r="KM53" s="80" t="n"/>
      <c r="KN53" s="51" t="n"/>
      <c r="KO53" s="285" t="n"/>
    </row>
    <row r="54" outlineLevel="1" ht="43.2" customFormat="1" customHeight="1" s="68">
      <c r="A54" s="347" t="n"/>
      <c r="B54" s="347" t="n"/>
      <c r="C54" s="347" t="n"/>
      <c r="D54" s="347" t="n"/>
      <c r="E54" s="15" t="n">
        <v>18</v>
      </c>
      <c r="F54" s="202" t="n">
        <v>1</v>
      </c>
      <c r="G54" s="147" t="n">
        <v>4494300600</v>
      </c>
      <c r="H54" s="148" t="inlineStr">
        <is>
          <t>Кабель клапана ускорительного TEBS, 6 м</t>
        </is>
      </c>
      <c r="I54" s="370" t="n">
        <v>429</v>
      </c>
      <c r="J54" s="370" t="n">
        <v>429</v>
      </c>
      <c r="K54" s="368" t="n"/>
      <c r="L54" s="368" t="n"/>
      <c r="M54" s="175" t="n"/>
      <c r="N54" s="315" t="n"/>
      <c r="O54" s="177" t="n"/>
      <c r="P54" s="315" t="n"/>
      <c r="Q54" s="175" t="n"/>
      <c r="R54" s="315" t="n"/>
      <c r="S54" s="177" t="n"/>
      <c r="T54" s="315" t="n"/>
      <c r="U54" s="175" t="n"/>
      <c r="V54" s="315" t="n"/>
      <c r="W54" s="177" t="n"/>
      <c r="X54" s="315" t="n"/>
      <c r="Y54" s="175" t="n"/>
      <c r="Z54" s="206" t="n"/>
      <c r="AA54" s="177" t="n"/>
      <c r="AB54" s="247" t="n"/>
      <c r="AC54" s="175" t="n"/>
      <c r="AD54" s="315" t="n"/>
      <c r="AE54" s="177" t="n"/>
      <c r="AF54" s="247" t="n"/>
      <c r="AG54" s="175" t="n"/>
      <c r="AH54" s="315" t="n"/>
      <c r="AI54" s="177" t="n"/>
      <c r="AJ54" s="247" t="n"/>
      <c r="AK54" s="175" t="n"/>
      <c r="AL54" s="315" t="n"/>
      <c r="AM54" s="177" t="n"/>
      <c r="AN54" s="247" t="n"/>
      <c r="AO54" s="175" t="n"/>
      <c r="AP54" s="315" t="n"/>
      <c r="AQ54" s="177" t="n"/>
      <c r="AR54" s="247" t="n"/>
      <c r="AS54" s="175" t="n"/>
      <c r="AT54" s="315" t="n"/>
      <c r="AU54" s="177" t="n"/>
      <c r="AV54" s="247" t="n"/>
      <c r="AW54" s="175" t="n"/>
      <c r="AX54" s="315" t="n"/>
      <c r="AY54" s="177" t="n"/>
      <c r="AZ54" s="247" t="n"/>
      <c r="BA54" s="175" t="n"/>
      <c r="BB54" s="315" t="n"/>
      <c r="BC54" s="207" t="n"/>
      <c r="BD54" s="315" t="n"/>
      <c r="BE54" s="175" t="n"/>
      <c r="BF54" s="315" t="n"/>
      <c r="BG54" s="208" t="n"/>
      <c r="BH54" s="315" t="n"/>
      <c r="BI54" s="350" t="n"/>
      <c r="BJ54" s="351" t="n"/>
      <c r="BK54" s="352" t="n"/>
      <c r="BL54" s="353" t="n"/>
      <c r="BM54" s="354" t="n"/>
      <c r="BN54" s="355" t="n"/>
      <c r="BO54" s="175" t="n"/>
      <c r="BP54" s="186" t="n"/>
      <c r="BQ54" s="315" t="n"/>
      <c r="BR54" s="177" t="n"/>
      <c r="BS54" s="315" t="n"/>
      <c r="BT54" s="175" t="n"/>
      <c r="BU54" s="186" t="n"/>
      <c r="BV54" s="315" t="n"/>
      <c r="BW54" s="177" t="n"/>
      <c r="BX54" s="245" t="n"/>
      <c r="BY54" s="175" t="n"/>
      <c r="BZ54" s="186" t="n"/>
      <c r="CA54" s="315" t="n"/>
      <c r="CB54" s="177" t="n"/>
      <c r="CC54" s="315" t="n"/>
      <c r="CD54" s="175" t="n"/>
      <c r="CE54" s="186" t="n"/>
      <c r="CF54" s="315" t="n"/>
      <c r="CG54" s="177" t="n"/>
      <c r="CH54" s="315" t="n"/>
      <c r="CI54" s="175" t="n"/>
      <c r="CJ54" s="186" t="n"/>
      <c r="CK54" s="315" t="n"/>
      <c r="CL54" s="177" t="n"/>
      <c r="CM54" s="315" t="n"/>
      <c r="CN54" s="175" t="n"/>
      <c r="CO54" s="186" t="n"/>
      <c r="CP54" s="315" t="n"/>
      <c r="CQ54" s="177" t="n"/>
      <c r="CR54" s="315" t="n"/>
      <c r="CS54" s="175" t="n"/>
      <c r="CT54" s="186" t="n"/>
      <c r="CU54" s="206" t="n"/>
      <c r="CV54" s="177" t="n"/>
      <c r="CW54" s="315" t="n"/>
      <c r="CX54" s="175" t="n"/>
      <c r="CY54" s="186" t="n"/>
      <c r="CZ54" s="206" t="n"/>
      <c r="DA54" s="177" t="n"/>
      <c r="DB54" s="315" t="n"/>
      <c r="DC54" s="175" t="n"/>
      <c r="DD54" s="186" t="n"/>
      <c r="DE54" s="315" t="n"/>
      <c r="DF54" s="177" t="n"/>
      <c r="DG54" s="315" t="n"/>
      <c r="DH54" s="175" t="n"/>
      <c r="DI54" s="186" t="n"/>
      <c r="DJ54" s="315" t="n"/>
      <c r="DK54" s="177" t="n"/>
      <c r="DL54" s="315" t="n"/>
      <c r="DM54" s="175" t="n"/>
      <c r="DN54" s="186" t="n"/>
      <c r="DO54" s="315" t="n"/>
      <c r="DP54" s="177" t="n"/>
      <c r="DQ54" s="227" t="n"/>
      <c r="DR54" s="175" t="n"/>
      <c r="DS54" s="186" t="n"/>
      <c r="DT54" s="315" t="n"/>
      <c r="DU54" s="177" t="n"/>
      <c r="DV54" s="315" t="n"/>
      <c r="DW54" s="350" t="n"/>
      <c r="DX54" s="351" t="n"/>
      <c r="DY54" s="356" t="n"/>
      <c r="DZ54" s="357" t="n"/>
      <c r="EA54" s="352" t="n"/>
      <c r="EB54" s="353" t="n"/>
      <c r="EC54" s="354" t="n"/>
      <c r="ED54" s="355" t="n"/>
      <c r="EE54" s="175" t="n"/>
      <c r="EF54" s="315" t="n"/>
      <c r="EG54" s="177" t="n"/>
      <c r="EH54" s="315" t="n"/>
      <c r="EI54" s="175" t="n"/>
      <c r="EJ54" s="315" t="n"/>
      <c r="EK54" s="177" t="n"/>
      <c r="EL54" s="315" t="n"/>
      <c r="EM54" s="175" t="n"/>
      <c r="EN54" s="315" t="n"/>
      <c r="EO54" s="38" t="n">
        <v>0</v>
      </c>
      <c r="EP54" s="315" t="n"/>
      <c r="EQ54" s="175" t="n"/>
      <c r="ER54" s="315" t="n">
        <v>0</v>
      </c>
      <c r="ES54" s="177" t="n"/>
      <c r="ET54" s="333" t="n"/>
      <c r="EU54" s="175" t="n"/>
      <c r="EV54" s="315" t="n">
        <v>1</v>
      </c>
      <c r="EW54" s="177" t="n">
        <v>0</v>
      </c>
      <c r="EX54" s="315" t="n"/>
      <c r="EY54" s="175" t="n"/>
      <c r="EZ54" s="315" t="n">
        <v>16</v>
      </c>
      <c r="FA54" s="177" t="n">
        <v>0</v>
      </c>
      <c r="FB54" s="315" t="n"/>
      <c r="FC54" s="175" t="n"/>
      <c r="FD54" s="315" t="n">
        <v>15</v>
      </c>
      <c r="FE54" s="177" t="n">
        <v>0</v>
      </c>
      <c r="FF54" s="315" t="n"/>
      <c r="FG54" s="175" t="n"/>
      <c r="FH54" s="315" t="n"/>
      <c r="FI54" s="177" t="n"/>
      <c r="FJ54" s="315" t="n"/>
      <c r="FK54" s="175" t="n"/>
      <c r="FL54" s="315" t="n"/>
      <c r="FM54" s="177" t="n"/>
      <c r="FN54" s="315" t="n"/>
      <c r="FO54" s="175" t="n"/>
      <c r="FP54" s="315" t="n"/>
      <c r="FQ54" s="177" t="n"/>
      <c r="FR54" s="315" t="n"/>
      <c r="FS54" s="175" t="n"/>
      <c r="FT54" s="315" t="n"/>
      <c r="FU54" s="177" t="n"/>
      <c r="FV54" s="315" t="n"/>
      <c r="FW54" s="175" t="n"/>
      <c r="FX54" s="315" t="n"/>
      <c r="FY54" s="177" t="n"/>
      <c r="FZ54" s="315" t="n"/>
      <c r="GA54" s="338">
        <f t="array" ref="GA54">SUMPRODUCT(--(MOD(COLUMN($EE54:$FZ54),4)=MOD(COLUMN($EE54),4)),$EE54:$FZ54)</f>
        <v/>
      </c>
      <c r="GB54" s="339">
        <f>GA54*$J54</f>
        <v/>
      </c>
      <c r="GC54" s="340">
        <f t="array" ref="GC54">SUMPRODUCT(--(MOD(COLUMN($EE54:$FZ54),4)=MOD(COLUMN($EF54),4)),$EE54:$FZ54)</f>
        <v/>
      </c>
      <c r="GD54" s="341">
        <f>GC54*$J54</f>
        <v/>
      </c>
      <c r="GE54" s="342">
        <f t="array" ref="GE54">SUMPRODUCT(--(MOD(COLUMN($EE54:$FZ54),4)=MOD(COLUMN($EG54),4)),$EE54:$FZ54)</f>
        <v/>
      </c>
      <c r="GF54" s="343">
        <f>GE54*$J54</f>
        <v/>
      </c>
      <c r="GG54" s="175" t="n"/>
      <c r="GH54" s="315" t="n"/>
      <c r="GI54" s="177" t="n"/>
      <c r="GJ54" s="315" t="n"/>
      <c r="GK54" s="175" t="n"/>
      <c r="GL54" s="315" t="n"/>
      <c r="GM54" s="177" t="n"/>
      <c r="GN54" s="315" t="n"/>
      <c r="GO54" s="175" t="n"/>
      <c r="GP54" s="315" t="n"/>
      <c r="GQ54" s="177" t="n"/>
      <c r="GR54" s="315" t="n"/>
      <c r="GS54" s="175" t="n"/>
      <c r="GT54" s="315" t="n"/>
      <c r="GU54" s="177" t="n"/>
      <c r="GV54" s="315" t="n"/>
      <c r="GW54" s="175" t="n"/>
      <c r="GX54" s="315" t="n"/>
      <c r="GY54" s="177" t="n"/>
      <c r="GZ54" s="315" t="n"/>
      <c r="HA54" s="175" t="n"/>
      <c r="HB54" s="315" t="n"/>
      <c r="HC54" s="177" t="n"/>
      <c r="HD54" s="315" t="n"/>
      <c r="HE54" s="175" t="n"/>
      <c r="HF54" s="315" t="n"/>
      <c r="HG54" s="177" t="n"/>
      <c r="HH54" s="315" t="n"/>
      <c r="HI54" s="175" t="n"/>
      <c r="HJ54" s="315" t="n"/>
      <c r="HK54" s="177" t="n"/>
      <c r="HL54" s="315" t="n"/>
      <c r="HM54" s="175" t="n"/>
      <c r="HN54" s="315" t="n"/>
      <c r="HO54" s="177" t="n"/>
      <c r="HP54" s="315" t="n"/>
      <c r="HQ54" s="175" t="n"/>
      <c r="HR54" s="315" t="n"/>
      <c r="HS54" s="177" t="n"/>
      <c r="HT54" s="315" t="n"/>
      <c r="HU54" s="175" t="n"/>
      <c r="HV54" s="315" t="n"/>
      <c r="HW54" s="177" t="n"/>
      <c r="HX54" s="315" t="n"/>
      <c r="HY54" s="175" t="n"/>
      <c r="HZ54" s="315" t="n"/>
      <c r="IA54" s="177" t="n"/>
      <c r="IB54" s="315" t="n"/>
      <c r="IC54" s="338">
        <f t="array" ref="IC54">SUMPRODUCT(--(MOD(COLUMN($GG54:$IB54),4)=MOD(COLUMN($GG54),4)),$GG54:$IB54)</f>
        <v/>
      </c>
      <c r="ID54" s="339">
        <f>IC54*$J54</f>
        <v/>
      </c>
      <c r="IE54" s="340">
        <f t="array" ref="IE54">SUMPRODUCT(--(MOD(COLUMN($GG54:$IB54),4)=MOD(COLUMN($GH54),4)),$GG54:$IB54)</f>
        <v/>
      </c>
      <c r="IF54" s="341">
        <f>IE54*$J54</f>
        <v/>
      </c>
      <c r="IG54" s="342">
        <f t="array" ref="IG54">SUMPRODUCT(--(MOD(COLUMN($GG54:$IB54),4)=MOD(COLUMN($GI54),4)),$GG54:$IB54)</f>
        <v/>
      </c>
      <c r="IH54" s="343">
        <f>IG54*$J54</f>
        <v/>
      </c>
      <c r="II54" s="175" t="n"/>
      <c r="IJ54" s="315" t="n"/>
      <c r="IK54" s="177" t="n"/>
      <c r="IL54" s="315" t="n"/>
      <c r="IM54" s="175" t="n"/>
      <c r="IN54" s="315" t="n"/>
      <c r="IO54" s="177" t="n"/>
      <c r="IP54" s="315" t="n"/>
      <c r="IQ54" s="175" t="n"/>
      <c r="IR54" s="315" t="n"/>
      <c r="IS54" s="177" t="n"/>
      <c r="IT54" s="315" t="n"/>
      <c r="IU54" s="175" t="n"/>
      <c r="IV54" s="315" t="n"/>
      <c r="IW54" s="177" t="n"/>
      <c r="IX54" s="315" t="n"/>
      <c r="IY54" s="175" t="n"/>
      <c r="IZ54" s="315" t="n"/>
      <c r="JA54" s="177" t="n"/>
      <c r="JB54" s="315" t="n"/>
      <c r="JC54" s="175" t="n"/>
      <c r="JD54" s="315" t="n"/>
      <c r="JE54" s="177" t="n"/>
      <c r="JF54" s="315" t="n"/>
      <c r="JG54" s="175" t="n"/>
      <c r="JH54" s="315" t="n"/>
      <c r="JI54" s="177" t="n"/>
      <c r="JJ54" s="315" t="n"/>
      <c r="JK54" s="175" t="n"/>
      <c r="JL54" s="315" t="n"/>
      <c r="JM54" s="177" t="n"/>
      <c r="JN54" s="315" t="n"/>
      <c r="JO54" s="175" t="n"/>
      <c r="JP54" s="315" t="n"/>
      <c r="JQ54" s="177" t="n"/>
      <c r="JR54" s="315" t="n"/>
      <c r="JS54" s="175" t="n"/>
      <c r="JT54" s="315" t="n"/>
      <c r="JU54" s="177" t="n"/>
      <c r="JV54" s="315" t="n"/>
      <c r="JW54" s="175" t="n"/>
      <c r="JX54" s="315" t="n"/>
      <c r="JY54" s="177" t="n"/>
      <c r="JZ54" s="315" t="n"/>
      <c r="KA54" s="175" t="n"/>
      <c r="KB54" s="315" t="n"/>
      <c r="KC54" s="177" t="n"/>
      <c r="KD54" s="315" t="n"/>
      <c r="KE54" s="338">
        <f t="array" ref="KE54">SUMPRODUCT(--(MOD(COLUMN($II54:$KD54),4)=MOD(COLUMN($II54),4)),$II54:$KD54)</f>
        <v/>
      </c>
      <c r="KF54" s="339">
        <f>KE54*$J54</f>
        <v/>
      </c>
      <c r="KG54" s="340">
        <f t="array" ref="KG54">SUMPRODUCT(--(MOD(COLUMN($II54:$KD54),4)=MOD(COLUMN($IJ54),4)),$II54:$KD54)</f>
        <v/>
      </c>
      <c r="KH54" s="341">
        <f>KG54*$J54</f>
        <v/>
      </c>
      <c r="KI54" s="342">
        <f t="array" ref="KI54">SUMPRODUCT(--(MOD(COLUMN($II54:$KD54),4)=MOD(COLUMN($IK54),4)),$II54:$KD54)</f>
        <v/>
      </c>
      <c r="KJ54" s="346">
        <f>KI54*$J54</f>
        <v/>
      </c>
      <c r="KK54" s="189" t="n"/>
      <c r="KL54" s="189" t="n"/>
      <c r="KM54" s="189" t="n"/>
      <c r="KN54" s="190" t="n"/>
      <c r="KO54" s="291" t="n"/>
    </row>
    <row r="55" outlineLevel="1" ht="57.6" customFormat="1" customHeight="1" s="68">
      <c r="A55" s="347" t="n"/>
      <c r="B55" s="347" t="n"/>
      <c r="C55" s="347" t="n"/>
      <c r="D55" s="347" t="n"/>
      <c r="E55" s="15" t="n">
        <v>19</v>
      </c>
      <c r="F55" s="15" t="n">
        <v>1</v>
      </c>
      <c r="G55" s="153" t="n">
        <v>9522002220</v>
      </c>
      <c r="H55" s="148" t="inlineStr">
        <is>
          <t>Головка соединительная тягача (желтая, М16х1,5)</t>
        </is>
      </c>
      <c r="I55" s="337" t="n"/>
      <c r="J55" s="337">
        <f>66.45/1.2</f>
        <v/>
      </c>
      <c r="K55" s="348" t="n"/>
      <c r="L55" s="348" t="n"/>
      <c r="M55" s="36" t="n"/>
      <c r="N55" s="284" t="n"/>
      <c r="O55" s="38" t="n"/>
      <c r="P55" s="284" t="n"/>
      <c r="Q55" s="36" t="n"/>
      <c r="R55" s="284" t="n"/>
      <c r="S55" s="38" t="n"/>
      <c r="T55" s="284" t="n"/>
      <c r="U55" s="36" t="n"/>
      <c r="V55" s="284" t="n"/>
      <c r="W55" s="38" t="n"/>
      <c r="X55" s="284" t="n"/>
      <c r="Y55" s="36" t="n"/>
      <c r="Z55" s="39" t="n"/>
      <c r="AA55" s="38" t="n"/>
      <c r="AB55" s="247" t="n"/>
      <c r="AC55" s="36" t="n"/>
      <c r="AD55" s="284" t="n"/>
      <c r="AE55" s="38" t="n"/>
      <c r="AF55" s="247" t="n"/>
      <c r="AG55" s="36" t="n"/>
      <c r="AH55" s="284" t="n"/>
      <c r="AI55" s="38" t="n"/>
      <c r="AJ55" s="247" t="n"/>
      <c r="AK55" s="36" t="n"/>
      <c r="AL55" s="284" t="n"/>
      <c r="AM55" s="38" t="n"/>
      <c r="AN55" s="247" t="n"/>
      <c r="AO55" s="36" t="n"/>
      <c r="AP55" s="284" t="n"/>
      <c r="AQ55" s="38" t="n"/>
      <c r="AR55" s="247" t="n"/>
      <c r="AS55" s="36" t="n"/>
      <c r="AT55" s="284" t="n"/>
      <c r="AU55" s="38" t="n"/>
      <c r="AV55" s="247" t="n"/>
      <c r="AW55" s="36" t="n"/>
      <c r="AX55" s="284" t="n"/>
      <c r="AY55" s="38" t="n"/>
      <c r="AZ55" s="247" t="n"/>
      <c r="BA55" s="36" t="n"/>
      <c r="BB55" s="284" t="n"/>
      <c r="BC55" s="92" t="n"/>
      <c r="BD55" s="284" t="n"/>
      <c r="BE55" s="36" t="n"/>
      <c r="BF55" s="284" t="n"/>
      <c r="BG55" s="54" t="n"/>
      <c r="BH55" s="284" t="n"/>
      <c r="BI55" s="338" t="n"/>
      <c r="BJ55" s="339" t="n"/>
      <c r="BK55" s="340" t="n"/>
      <c r="BL55" s="341" t="n"/>
      <c r="BM55" s="342" t="n"/>
      <c r="BN55" s="343" t="n"/>
      <c r="BO55" s="36" t="n"/>
      <c r="BP55" s="47" t="n"/>
      <c r="BQ55" s="284" t="n"/>
      <c r="BR55" s="38" t="n"/>
      <c r="BS55" s="284" t="n"/>
      <c r="BT55" s="36" t="n"/>
      <c r="BU55" s="47" t="n"/>
      <c r="BV55" s="284" t="n"/>
      <c r="BW55" s="38" t="n"/>
      <c r="BX55" s="245" t="n"/>
      <c r="BY55" s="36" t="n"/>
      <c r="BZ55" s="47" t="n"/>
      <c r="CA55" s="284" t="n"/>
      <c r="CB55" s="38" t="n"/>
      <c r="CC55" s="284" t="n"/>
      <c r="CD55" s="36" t="n"/>
      <c r="CE55" s="47" t="n"/>
      <c r="CF55" s="284" t="n"/>
      <c r="CG55" s="38" t="n"/>
      <c r="CH55" s="284" t="n"/>
      <c r="CI55" s="36" t="n"/>
      <c r="CJ55" s="47" t="n"/>
      <c r="CK55" s="284" t="n"/>
      <c r="CL55" s="38" t="n"/>
      <c r="CM55" s="284" t="n"/>
      <c r="CN55" s="36" t="n"/>
      <c r="CO55" s="47" t="n"/>
      <c r="CP55" s="284" t="n"/>
      <c r="CQ55" s="38" t="n"/>
      <c r="CR55" s="284" t="n"/>
      <c r="CS55" s="36" t="n"/>
      <c r="CT55" s="47" t="n"/>
      <c r="CU55" s="39" t="n"/>
      <c r="CV55" s="38" t="n"/>
      <c r="CW55" s="284" t="n"/>
      <c r="CX55" s="36" t="n"/>
      <c r="CY55" s="47" t="n"/>
      <c r="CZ55" s="39" t="n"/>
      <c r="DA55" s="38" t="n"/>
      <c r="DB55" s="284" t="n"/>
      <c r="DC55" s="36" t="n"/>
      <c r="DD55" s="47" t="n"/>
      <c r="DE55" s="284" t="n"/>
      <c r="DF55" s="38" t="n"/>
      <c r="DG55" s="284" t="n"/>
      <c r="DH55" s="36" t="n"/>
      <c r="DI55" s="47" t="n"/>
      <c r="DJ55" s="284" t="n"/>
      <c r="DK55" s="38" t="n"/>
      <c r="DL55" s="284" t="n"/>
      <c r="DM55" s="36" t="n"/>
      <c r="DN55" s="47" t="n"/>
      <c r="DO55" s="284" t="n"/>
      <c r="DP55" s="38" t="n"/>
      <c r="DQ55" s="227" t="n"/>
      <c r="DR55" s="36" t="n"/>
      <c r="DS55" s="47" t="n"/>
      <c r="DT55" s="284" t="n"/>
      <c r="DU55" s="38" t="n">
        <v>0</v>
      </c>
      <c r="DV55" s="284" t="n"/>
      <c r="DW55" s="338">
        <f t="array" ref="DW55">SUMPRODUCT(--(MOD(COLUMN($BO55:$DV55),5)=MOD(COLUMN($BO55),5)),$BO55:$DV55)</f>
        <v/>
      </c>
      <c r="DX55" s="339">
        <f>DW55*$J55</f>
        <v/>
      </c>
      <c r="DY55" s="344">
        <f t="array" ref="DY55">SUMPRODUCT(--(MOD(COLUMN($BO55:$DV55),5)=MOD(COLUMN($BP55),5)),$BO55:$DV55)</f>
        <v/>
      </c>
      <c r="DZ55" s="345">
        <f>DY55*$J55</f>
        <v/>
      </c>
      <c r="EA55" s="340">
        <f t="array" ref="EA55">SUMPRODUCT(--(MOD(COLUMN($BO55:$DV55),5)=MOD(COLUMN($BQ55),5)),$BO55:$DV55)</f>
        <v/>
      </c>
      <c r="EB55" s="341">
        <f>EA55*$J55</f>
        <v/>
      </c>
      <c r="EC55" s="342">
        <f t="array" ref="EC55">SUMPRODUCT(--(MOD(COLUMN($BO55:$DV55),5)=MOD(COLUMN($BR55),5)),$BO55:$DV55)</f>
        <v/>
      </c>
      <c r="ED55" s="343">
        <f>EC55*$J55</f>
        <v/>
      </c>
      <c r="EE55" s="36" t="n"/>
      <c r="EF55" s="284" t="n">
        <v>1</v>
      </c>
      <c r="EG55" s="38" t="n">
        <v>0</v>
      </c>
      <c r="EH55" s="284" t="inlineStr">
        <is>
          <t>Новый артикул</t>
        </is>
      </c>
      <c r="EI55" s="36" t="n"/>
      <c r="EJ55" s="284" t="n">
        <v>1</v>
      </c>
      <c r="EK55" s="38" t="n">
        <v>1</v>
      </c>
      <c r="EL55" s="284" t="n"/>
      <c r="EM55" s="36" t="n"/>
      <c r="EN55" s="284" t="n"/>
      <c r="EO55" s="38" t="n">
        <v>0</v>
      </c>
      <c r="EP55" s="284" t="n"/>
      <c r="EQ55" s="36" t="n"/>
      <c r="ER55" s="284" t="n"/>
      <c r="ES55" s="38" t="n"/>
      <c r="ET55" s="284" t="n"/>
      <c r="EU55" s="36" t="n"/>
      <c r="EV55" s="284" t="n"/>
      <c r="EW55" s="38" t="n"/>
      <c r="EX55" s="284" t="n"/>
      <c r="EY55" s="36" t="n"/>
      <c r="EZ55" s="284" t="n"/>
      <c r="FA55" s="38" t="n"/>
      <c r="FB55" s="284" t="n"/>
      <c r="FC55" s="36" t="n"/>
      <c r="FD55" s="284" t="n"/>
      <c r="FE55" s="38" t="n"/>
      <c r="FF55" s="284" t="n"/>
      <c r="FG55" s="36" t="n"/>
      <c r="FH55" s="284" t="n"/>
      <c r="FI55" s="38" t="n"/>
      <c r="FJ55" s="284" t="n"/>
      <c r="FK55" s="36" t="n"/>
      <c r="FL55" s="284" t="n"/>
      <c r="FM55" s="38" t="n"/>
      <c r="FN55" s="284" t="n"/>
      <c r="FO55" s="36" t="n"/>
      <c r="FP55" s="284" t="n"/>
      <c r="FQ55" s="38" t="n"/>
      <c r="FR55" s="284" t="n"/>
      <c r="FS55" s="36" t="n"/>
      <c r="FT55" s="284" t="n"/>
      <c r="FU55" s="38" t="n"/>
      <c r="FV55" s="284" t="n"/>
      <c r="FW55" s="36" t="n"/>
      <c r="FX55" s="284" t="n"/>
      <c r="FY55" s="38" t="n"/>
      <c r="FZ55" s="284" t="n"/>
      <c r="GA55" s="338">
        <f t="array" ref="GA55">SUMPRODUCT(--(MOD(COLUMN($EE55:$FZ55),4)=MOD(COLUMN($EE55),4)),$EE55:$FZ55)</f>
        <v/>
      </c>
      <c r="GB55" s="339">
        <f>GA55*$J55</f>
        <v/>
      </c>
      <c r="GC55" s="340">
        <f t="array" ref="GC55">SUMPRODUCT(--(MOD(COLUMN($EE55:$FZ55),4)=MOD(COLUMN($EF55),4)),$EE55:$FZ55)</f>
        <v/>
      </c>
      <c r="GD55" s="341">
        <f>GC55*$J55</f>
        <v/>
      </c>
      <c r="GE55" s="342">
        <f t="array" ref="GE55">SUMPRODUCT(--(MOD(COLUMN($EE55:$FZ55),4)=MOD(COLUMN($EG55),4)),$EE55:$FZ55)</f>
        <v/>
      </c>
      <c r="GF55" s="343">
        <f>GE55*$J55</f>
        <v/>
      </c>
      <c r="GG55" s="36" t="n"/>
      <c r="GH55" s="284" t="n"/>
      <c r="GI55" s="38" t="n"/>
      <c r="GJ55" s="284" t="n"/>
      <c r="GK55" s="36" t="n"/>
      <c r="GL55" s="284" t="n"/>
      <c r="GM55" s="38" t="n"/>
      <c r="GN55" s="284" t="n"/>
      <c r="GO55" s="36" t="n"/>
      <c r="GP55" s="284" t="n"/>
      <c r="GQ55" s="38" t="n"/>
      <c r="GR55" s="284" t="n"/>
      <c r="GS55" s="36" t="n"/>
      <c r="GT55" s="284" t="n"/>
      <c r="GU55" s="38" t="n"/>
      <c r="GV55" s="284" t="n"/>
      <c r="GW55" s="36" t="n"/>
      <c r="GX55" s="284" t="n"/>
      <c r="GY55" s="38" t="n"/>
      <c r="GZ55" s="284" t="n"/>
      <c r="HA55" s="36" t="n"/>
      <c r="HB55" s="284" t="n"/>
      <c r="HC55" s="38" t="n"/>
      <c r="HD55" s="284" t="n"/>
      <c r="HE55" s="36" t="n"/>
      <c r="HF55" s="284" t="n"/>
      <c r="HG55" s="38" t="n"/>
      <c r="HH55" s="284" t="n"/>
      <c r="HI55" s="36" t="n"/>
      <c r="HJ55" s="284" t="n"/>
      <c r="HK55" s="38" t="n"/>
      <c r="HL55" s="284" t="n"/>
      <c r="HM55" s="36" t="n"/>
      <c r="HN55" s="284" t="n"/>
      <c r="HO55" s="38" t="n"/>
      <c r="HP55" s="284" t="n"/>
      <c r="HQ55" s="36" t="n"/>
      <c r="HR55" s="284" t="n"/>
      <c r="HS55" s="38" t="n"/>
      <c r="HT55" s="284" t="n"/>
      <c r="HU55" s="36" t="n"/>
      <c r="HV55" s="284" t="n"/>
      <c r="HW55" s="38" t="n"/>
      <c r="HX55" s="284" t="n"/>
      <c r="HY55" s="36" t="n"/>
      <c r="HZ55" s="284" t="n"/>
      <c r="IA55" s="38" t="n"/>
      <c r="IB55" s="284" t="n"/>
      <c r="IC55" s="338">
        <f t="array" ref="IC55">SUMPRODUCT(--(MOD(COLUMN($GG55:$IB55),4)=MOD(COLUMN($GG55),4)),$GG55:$IB55)</f>
        <v/>
      </c>
      <c r="ID55" s="339">
        <f>IC55*$J55</f>
        <v/>
      </c>
      <c r="IE55" s="340">
        <f t="array" ref="IE55">SUMPRODUCT(--(MOD(COLUMN($GG55:$IB55),4)=MOD(COLUMN($GH55),4)),$GG55:$IB55)</f>
        <v/>
      </c>
      <c r="IF55" s="341">
        <f>IE55*$J55</f>
        <v/>
      </c>
      <c r="IG55" s="342">
        <f t="array" ref="IG55">SUMPRODUCT(--(MOD(COLUMN($GG55:$IB55),4)=MOD(COLUMN($GI55),4)),$GG55:$IB55)</f>
        <v/>
      </c>
      <c r="IH55" s="343">
        <f>IG55*$J55</f>
        <v/>
      </c>
      <c r="II55" s="36" t="n"/>
      <c r="IJ55" s="284" t="n"/>
      <c r="IK55" s="38" t="n"/>
      <c r="IL55" s="284" t="n"/>
      <c r="IM55" s="36" t="n"/>
      <c r="IN55" s="284" t="n"/>
      <c r="IO55" s="38" t="n"/>
      <c r="IP55" s="284" t="n"/>
      <c r="IQ55" s="36" t="n"/>
      <c r="IR55" s="284" t="n"/>
      <c r="IS55" s="38" t="n"/>
      <c r="IT55" s="284" t="n"/>
      <c r="IU55" s="36" t="n"/>
      <c r="IV55" s="284" t="n"/>
      <c r="IW55" s="38" t="n"/>
      <c r="IX55" s="284" t="n"/>
      <c r="IY55" s="36" t="n"/>
      <c r="IZ55" s="284" t="n"/>
      <c r="JA55" s="38" t="n"/>
      <c r="JB55" s="284" t="n"/>
      <c r="JC55" s="36" t="n"/>
      <c r="JD55" s="284" t="n"/>
      <c r="JE55" s="38" t="n"/>
      <c r="JF55" s="284" t="n"/>
      <c r="JG55" s="36" t="n"/>
      <c r="JH55" s="284" t="n"/>
      <c r="JI55" s="38" t="n"/>
      <c r="JJ55" s="284" t="n"/>
      <c r="JK55" s="36" t="n"/>
      <c r="JL55" s="284" t="n"/>
      <c r="JM55" s="38" t="n"/>
      <c r="JN55" s="284" t="n"/>
      <c r="JO55" s="36" t="n"/>
      <c r="JP55" s="284" t="n"/>
      <c r="JQ55" s="38" t="n"/>
      <c r="JR55" s="284" t="n"/>
      <c r="JS55" s="36" t="n"/>
      <c r="JT55" s="284" t="n"/>
      <c r="JU55" s="38" t="n"/>
      <c r="JV55" s="284" t="n"/>
      <c r="JW55" s="36" t="n"/>
      <c r="JX55" s="284" t="n"/>
      <c r="JY55" s="38" t="n"/>
      <c r="JZ55" s="284" t="n"/>
      <c r="KA55" s="36" t="n"/>
      <c r="KB55" s="284" t="n"/>
      <c r="KC55" s="38" t="n"/>
      <c r="KD55" s="284" t="n"/>
      <c r="KE55" s="338">
        <f t="array" ref="KE55">SUMPRODUCT(--(MOD(COLUMN($II55:$KD55),4)=MOD(COLUMN($II55),4)),$II55:$KD55)</f>
        <v/>
      </c>
      <c r="KF55" s="339">
        <f>KE55*$J55</f>
        <v/>
      </c>
      <c r="KG55" s="340">
        <f t="array" ref="KG55">SUMPRODUCT(--(MOD(COLUMN($II55:$KD55),4)=MOD(COLUMN($IJ55),4)),$II55:$KD55)</f>
        <v/>
      </c>
      <c r="KH55" s="341">
        <f>KG55*$J55</f>
        <v/>
      </c>
      <c r="KI55" s="342">
        <f t="array" ref="KI55">SUMPRODUCT(--(MOD(COLUMN($II55:$KD55),4)=MOD(COLUMN($IK55),4)),$II55:$KD55)</f>
        <v/>
      </c>
      <c r="KJ55" s="346">
        <f>KI55*$J55</f>
        <v/>
      </c>
      <c r="KK55" s="80" t="n"/>
      <c r="KL55" s="80" t="n"/>
      <c r="KM55" s="80" t="n"/>
      <c r="KN55" s="51" t="n"/>
      <c r="KO55" s="285" t="n"/>
    </row>
    <row r="56" outlineLevel="1" ht="57.6" customFormat="1" customHeight="1" s="68">
      <c r="A56" s="347" t="n"/>
      <c r="B56" s="347" t="n"/>
      <c r="C56" s="347" t="n"/>
      <c r="D56" s="347" t="n"/>
      <c r="E56" s="15" t="n">
        <v>20</v>
      </c>
      <c r="F56" s="15" t="n">
        <v>1</v>
      </c>
      <c r="G56" s="153" t="n">
        <v>9522002210</v>
      </c>
      <c r="H56" s="148" t="inlineStr">
        <is>
          <t>Головка соединительная тягача (красная, М16х1,5)</t>
        </is>
      </c>
      <c r="I56" s="337" t="n"/>
      <c r="J56" s="337">
        <f>66.45/1.2</f>
        <v/>
      </c>
      <c r="K56" s="348" t="n"/>
      <c r="L56" s="348" t="n"/>
      <c r="M56" s="36" t="n"/>
      <c r="N56" s="284" t="n"/>
      <c r="O56" s="38" t="n"/>
      <c r="P56" s="284" t="n"/>
      <c r="Q56" s="36" t="n"/>
      <c r="R56" s="284" t="n"/>
      <c r="S56" s="38" t="n"/>
      <c r="T56" s="284" t="n"/>
      <c r="U56" s="36" t="n"/>
      <c r="V56" s="284" t="n"/>
      <c r="W56" s="38" t="n"/>
      <c r="X56" s="284" t="n"/>
      <c r="Y56" s="36" t="n"/>
      <c r="Z56" s="39" t="n"/>
      <c r="AA56" s="38" t="n"/>
      <c r="AB56" s="247" t="n"/>
      <c r="AC56" s="36" t="n"/>
      <c r="AD56" s="284" t="n"/>
      <c r="AE56" s="38" t="n"/>
      <c r="AF56" s="247" t="n"/>
      <c r="AG56" s="36" t="n"/>
      <c r="AH56" s="284" t="n"/>
      <c r="AI56" s="38" t="n"/>
      <c r="AJ56" s="247" t="n"/>
      <c r="AK56" s="36" t="n"/>
      <c r="AL56" s="284" t="n"/>
      <c r="AM56" s="38" t="n"/>
      <c r="AN56" s="247" t="n"/>
      <c r="AO56" s="36" t="n"/>
      <c r="AP56" s="284" t="n"/>
      <c r="AQ56" s="38" t="n"/>
      <c r="AR56" s="247" t="n"/>
      <c r="AS56" s="36" t="n"/>
      <c r="AT56" s="284" t="n"/>
      <c r="AU56" s="38" t="n"/>
      <c r="AV56" s="247" t="n"/>
      <c r="AW56" s="36" t="n"/>
      <c r="AX56" s="284" t="n"/>
      <c r="AY56" s="38" t="n"/>
      <c r="AZ56" s="247" t="n"/>
      <c r="BA56" s="36" t="n"/>
      <c r="BB56" s="284" t="n"/>
      <c r="BC56" s="92" t="n"/>
      <c r="BD56" s="284" t="n"/>
      <c r="BE56" s="36" t="n"/>
      <c r="BF56" s="284" t="n"/>
      <c r="BG56" s="54" t="n"/>
      <c r="BH56" s="284" t="n"/>
      <c r="BI56" s="338" t="n"/>
      <c r="BJ56" s="339" t="n"/>
      <c r="BK56" s="340" t="n"/>
      <c r="BL56" s="341" t="n"/>
      <c r="BM56" s="342" t="n"/>
      <c r="BN56" s="343" t="n"/>
      <c r="BO56" s="36" t="n"/>
      <c r="BP56" s="47" t="n"/>
      <c r="BQ56" s="284" t="n"/>
      <c r="BR56" s="38" t="n"/>
      <c r="BS56" s="284" t="n"/>
      <c r="BT56" s="36" t="n"/>
      <c r="BU56" s="47" t="n"/>
      <c r="BV56" s="284" t="n"/>
      <c r="BW56" s="38" t="n"/>
      <c r="BX56" s="245" t="n"/>
      <c r="BY56" s="36" t="n"/>
      <c r="BZ56" s="47" t="n"/>
      <c r="CA56" s="284" t="n"/>
      <c r="CB56" s="38" t="n"/>
      <c r="CC56" s="284" t="n"/>
      <c r="CD56" s="36" t="n"/>
      <c r="CE56" s="47" t="n"/>
      <c r="CF56" s="284" t="n"/>
      <c r="CG56" s="38" t="n"/>
      <c r="CH56" s="284" t="n"/>
      <c r="CI56" s="36" t="n"/>
      <c r="CJ56" s="47" t="n"/>
      <c r="CK56" s="284" t="n"/>
      <c r="CL56" s="38" t="n"/>
      <c r="CM56" s="284" t="n"/>
      <c r="CN56" s="36" t="n"/>
      <c r="CO56" s="47" t="n"/>
      <c r="CP56" s="284" t="n"/>
      <c r="CQ56" s="38" t="n"/>
      <c r="CR56" s="284" t="n"/>
      <c r="CS56" s="36" t="n"/>
      <c r="CT56" s="47" t="n"/>
      <c r="CU56" s="39" t="n"/>
      <c r="CV56" s="38" t="n"/>
      <c r="CW56" s="284" t="n"/>
      <c r="CX56" s="36" t="n"/>
      <c r="CY56" s="47" t="n"/>
      <c r="CZ56" s="39" t="n"/>
      <c r="DA56" s="38" t="n"/>
      <c r="DB56" s="284" t="n"/>
      <c r="DC56" s="36" t="n"/>
      <c r="DD56" s="47" t="n"/>
      <c r="DE56" s="284" t="n"/>
      <c r="DF56" s="38" t="n"/>
      <c r="DG56" s="284" t="n"/>
      <c r="DH56" s="36" t="n"/>
      <c r="DI56" s="47" t="n"/>
      <c r="DJ56" s="284" t="n"/>
      <c r="DK56" s="38" t="n"/>
      <c r="DL56" s="284" t="n"/>
      <c r="DM56" s="36" t="n"/>
      <c r="DN56" s="47" t="n"/>
      <c r="DO56" s="284" t="n"/>
      <c r="DP56" s="38" t="n"/>
      <c r="DQ56" s="227" t="n"/>
      <c r="DR56" s="36" t="n"/>
      <c r="DS56" s="47" t="n"/>
      <c r="DT56" s="284" t="n"/>
      <c r="DU56" s="38" t="n">
        <v>0</v>
      </c>
      <c r="DV56" s="284" t="n"/>
      <c r="DW56" s="338">
        <f t="array" ref="DW56">SUMPRODUCT(--(MOD(COLUMN($BO56:$DV56),5)=MOD(COLUMN($BO56),5)),$BO56:$DV56)</f>
        <v/>
      </c>
      <c r="DX56" s="339">
        <f>DW56*$J56</f>
        <v/>
      </c>
      <c r="DY56" s="344">
        <f t="array" ref="DY56">SUMPRODUCT(--(MOD(COLUMN($BO56:$DV56),5)=MOD(COLUMN($BP56),5)),$BO56:$DV56)</f>
        <v/>
      </c>
      <c r="DZ56" s="345">
        <f>DY56*$J56</f>
        <v/>
      </c>
      <c r="EA56" s="340">
        <f t="array" ref="EA56">SUMPRODUCT(--(MOD(COLUMN($BO56:$DV56),5)=MOD(COLUMN($BQ56),5)),$BO56:$DV56)</f>
        <v/>
      </c>
      <c r="EB56" s="341">
        <f>EA56*$J56</f>
        <v/>
      </c>
      <c r="EC56" s="342">
        <f t="array" ref="EC56">SUMPRODUCT(--(MOD(COLUMN($BO56:$DV56),5)=MOD(COLUMN($BR56),5)),$BO56:$DV56)</f>
        <v/>
      </c>
      <c r="ED56" s="343">
        <f>EC56*$J56</f>
        <v/>
      </c>
      <c r="EE56" s="36" t="n"/>
      <c r="EF56" s="284" t="n">
        <v>1</v>
      </c>
      <c r="EG56" s="38" t="n">
        <v>0</v>
      </c>
      <c r="EH56" s="284" t="inlineStr">
        <is>
          <t>Новый артикул</t>
        </is>
      </c>
      <c r="EI56" s="36" t="n"/>
      <c r="EJ56" s="284" t="n">
        <v>1</v>
      </c>
      <c r="EK56" s="38" t="n">
        <v>1</v>
      </c>
      <c r="EL56" s="284" t="n"/>
      <c r="EM56" s="36" t="n"/>
      <c r="EN56" s="284" t="n"/>
      <c r="EO56" s="38" t="n">
        <v>0</v>
      </c>
      <c r="EP56" s="284" t="n"/>
      <c r="EQ56" s="36" t="n"/>
      <c r="ER56" s="284" t="n"/>
      <c r="ES56" s="38" t="n"/>
      <c r="ET56" s="284" t="n"/>
      <c r="EU56" s="36" t="n"/>
      <c r="EV56" s="284" t="n"/>
      <c r="EW56" s="38" t="n"/>
      <c r="EX56" s="284" t="n"/>
      <c r="EY56" s="36" t="n"/>
      <c r="EZ56" s="284" t="n"/>
      <c r="FA56" s="38" t="n"/>
      <c r="FB56" s="284" t="n"/>
      <c r="FC56" s="36" t="n"/>
      <c r="FD56" s="284" t="n"/>
      <c r="FE56" s="38" t="n"/>
      <c r="FF56" s="284" t="n"/>
      <c r="FG56" s="36" t="n"/>
      <c r="FH56" s="284" t="n"/>
      <c r="FI56" s="38" t="n"/>
      <c r="FJ56" s="284" t="n"/>
      <c r="FK56" s="36" t="n"/>
      <c r="FL56" s="284" t="n"/>
      <c r="FM56" s="38" t="n"/>
      <c r="FN56" s="284" t="n"/>
      <c r="FO56" s="36" t="n"/>
      <c r="FP56" s="284" t="n"/>
      <c r="FQ56" s="38" t="n"/>
      <c r="FR56" s="284" t="n"/>
      <c r="FS56" s="36" t="n"/>
      <c r="FT56" s="284" t="n"/>
      <c r="FU56" s="38" t="n"/>
      <c r="FV56" s="284" t="n"/>
      <c r="FW56" s="36" t="n"/>
      <c r="FX56" s="284" t="n"/>
      <c r="FY56" s="38" t="n"/>
      <c r="FZ56" s="284" t="n"/>
      <c r="GA56" s="338">
        <f t="array" ref="GA56">SUMPRODUCT(--(MOD(COLUMN($EE56:$FZ56),4)=MOD(COLUMN($EE56),4)),$EE56:$FZ56)</f>
        <v/>
      </c>
      <c r="GB56" s="339">
        <f>GA56*$J56</f>
        <v/>
      </c>
      <c r="GC56" s="340">
        <f t="array" ref="GC56">SUMPRODUCT(--(MOD(COLUMN($EE56:$FZ56),4)=MOD(COLUMN($EF56),4)),$EE56:$FZ56)</f>
        <v/>
      </c>
      <c r="GD56" s="341">
        <f>GC56*$J56</f>
        <v/>
      </c>
      <c r="GE56" s="342">
        <f t="array" ref="GE56">SUMPRODUCT(--(MOD(COLUMN($EE56:$FZ56),4)=MOD(COLUMN($EG56),4)),$EE56:$FZ56)</f>
        <v/>
      </c>
      <c r="GF56" s="343">
        <f>GE56*$J56</f>
        <v/>
      </c>
      <c r="GG56" s="36" t="n"/>
      <c r="GH56" s="284" t="n"/>
      <c r="GI56" s="38" t="n"/>
      <c r="GJ56" s="284" t="n"/>
      <c r="GK56" s="36" t="n"/>
      <c r="GL56" s="284" t="n"/>
      <c r="GM56" s="38" t="n"/>
      <c r="GN56" s="284" t="n"/>
      <c r="GO56" s="36" t="n"/>
      <c r="GP56" s="284" t="n"/>
      <c r="GQ56" s="38" t="n"/>
      <c r="GR56" s="284" t="n"/>
      <c r="GS56" s="36" t="n"/>
      <c r="GT56" s="284" t="n"/>
      <c r="GU56" s="38" t="n"/>
      <c r="GV56" s="284" t="n"/>
      <c r="GW56" s="36" t="n"/>
      <c r="GX56" s="284" t="n"/>
      <c r="GY56" s="38" t="n"/>
      <c r="GZ56" s="284" t="n"/>
      <c r="HA56" s="36" t="n"/>
      <c r="HB56" s="284" t="n"/>
      <c r="HC56" s="38" t="n"/>
      <c r="HD56" s="284" t="n"/>
      <c r="HE56" s="36" t="n"/>
      <c r="HF56" s="284" t="n"/>
      <c r="HG56" s="38" t="n"/>
      <c r="HH56" s="284" t="n"/>
      <c r="HI56" s="36" t="n"/>
      <c r="HJ56" s="284" t="n"/>
      <c r="HK56" s="38" t="n"/>
      <c r="HL56" s="284" t="n"/>
      <c r="HM56" s="36" t="n"/>
      <c r="HN56" s="284" t="n"/>
      <c r="HO56" s="38" t="n"/>
      <c r="HP56" s="284" t="n"/>
      <c r="HQ56" s="36" t="n"/>
      <c r="HR56" s="284" t="n"/>
      <c r="HS56" s="38" t="n"/>
      <c r="HT56" s="284" t="n"/>
      <c r="HU56" s="36" t="n"/>
      <c r="HV56" s="284" t="n"/>
      <c r="HW56" s="38" t="n"/>
      <c r="HX56" s="284" t="n"/>
      <c r="HY56" s="36" t="n"/>
      <c r="HZ56" s="284" t="n"/>
      <c r="IA56" s="38" t="n"/>
      <c r="IB56" s="284" t="n"/>
      <c r="IC56" s="338">
        <f t="array" ref="IC56">SUMPRODUCT(--(MOD(COLUMN($GG56:$IB56),4)=MOD(COLUMN($GG56),4)),$GG56:$IB56)</f>
        <v/>
      </c>
      <c r="ID56" s="339">
        <f>IC56*$J56</f>
        <v/>
      </c>
      <c r="IE56" s="340">
        <f t="array" ref="IE56">SUMPRODUCT(--(MOD(COLUMN($GG56:$IB56),4)=MOD(COLUMN($GH56),4)),$GG56:$IB56)</f>
        <v/>
      </c>
      <c r="IF56" s="341">
        <f>IE56*$J56</f>
        <v/>
      </c>
      <c r="IG56" s="342">
        <f t="array" ref="IG56">SUMPRODUCT(--(MOD(COLUMN($GG56:$IB56),4)=MOD(COLUMN($GI56),4)),$GG56:$IB56)</f>
        <v/>
      </c>
      <c r="IH56" s="343">
        <f>IG56*$J56</f>
        <v/>
      </c>
      <c r="II56" s="36" t="n"/>
      <c r="IJ56" s="284" t="n"/>
      <c r="IK56" s="38" t="n"/>
      <c r="IL56" s="284" t="n"/>
      <c r="IM56" s="36" t="n"/>
      <c r="IN56" s="284" t="n"/>
      <c r="IO56" s="38" t="n"/>
      <c r="IP56" s="284" t="n"/>
      <c r="IQ56" s="36" t="n"/>
      <c r="IR56" s="284" t="n"/>
      <c r="IS56" s="38" t="n"/>
      <c r="IT56" s="284" t="n"/>
      <c r="IU56" s="36" t="n"/>
      <c r="IV56" s="284" t="n"/>
      <c r="IW56" s="38" t="n"/>
      <c r="IX56" s="284" t="n"/>
      <c r="IY56" s="36" t="n"/>
      <c r="IZ56" s="284" t="n"/>
      <c r="JA56" s="38" t="n"/>
      <c r="JB56" s="284" t="n"/>
      <c r="JC56" s="36" t="n"/>
      <c r="JD56" s="284" t="n"/>
      <c r="JE56" s="38" t="n"/>
      <c r="JF56" s="284" t="n"/>
      <c r="JG56" s="36" t="n"/>
      <c r="JH56" s="284" t="n"/>
      <c r="JI56" s="38" t="n"/>
      <c r="JJ56" s="284" t="n"/>
      <c r="JK56" s="36" t="n"/>
      <c r="JL56" s="284" t="n"/>
      <c r="JM56" s="38" t="n"/>
      <c r="JN56" s="284" t="n"/>
      <c r="JO56" s="36" t="n"/>
      <c r="JP56" s="284" t="n"/>
      <c r="JQ56" s="38" t="n"/>
      <c r="JR56" s="284" t="n"/>
      <c r="JS56" s="36" t="n"/>
      <c r="JT56" s="284" t="n"/>
      <c r="JU56" s="38" t="n"/>
      <c r="JV56" s="284" t="n"/>
      <c r="JW56" s="36" t="n"/>
      <c r="JX56" s="284" t="n"/>
      <c r="JY56" s="38" t="n"/>
      <c r="JZ56" s="284" t="n"/>
      <c r="KA56" s="36" t="n"/>
      <c r="KB56" s="284" t="n"/>
      <c r="KC56" s="38" t="n"/>
      <c r="KD56" s="284" t="n"/>
      <c r="KE56" s="338">
        <f t="array" ref="KE56">SUMPRODUCT(--(MOD(COLUMN($II56:$KD56),4)=MOD(COLUMN($II56),4)),$II56:$KD56)</f>
        <v/>
      </c>
      <c r="KF56" s="339">
        <f>KE56*$J56</f>
        <v/>
      </c>
      <c r="KG56" s="340">
        <f t="array" ref="KG56">SUMPRODUCT(--(MOD(COLUMN($II56:$KD56),4)=MOD(COLUMN($IJ56),4)),$II56:$KD56)</f>
        <v/>
      </c>
      <c r="KH56" s="341">
        <f>KG56*$J56</f>
        <v/>
      </c>
      <c r="KI56" s="342">
        <f t="array" ref="KI56">SUMPRODUCT(--(MOD(COLUMN($II56:$KD56),4)=MOD(COLUMN($IK56),4)),$II56:$KD56)</f>
        <v/>
      </c>
      <c r="KJ56" s="346">
        <f>KI56*$J56</f>
        <v/>
      </c>
      <c r="KK56" s="80" t="n"/>
      <c r="KL56" s="80" t="n"/>
      <c r="KM56" s="80" t="n"/>
      <c r="KN56" s="51" t="n"/>
      <c r="KO56" s="285" t="n"/>
    </row>
    <row r="57" outlineLevel="1" ht="43.2" customFormat="1" customHeight="1" s="68">
      <c r="A57" s="347" t="n"/>
      <c r="B57" s="347" t="n"/>
      <c r="C57" s="347" t="n"/>
      <c r="D57" s="347" t="n"/>
      <c r="E57" s="15" t="n">
        <v>21</v>
      </c>
      <c r="F57" s="205" t="n">
        <v>1</v>
      </c>
      <c r="G57" s="214" t="n">
        <v>4721950310</v>
      </c>
      <c r="H57" s="213" t="inlineStr">
        <is>
          <t>Ускорительный клапан АБС (3-й модулятор)</t>
        </is>
      </c>
      <c r="I57" s="349" t="n"/>
      <c r="J57" s="349" t="n">
        <v>258</v>
      </c>
      <c r="K57" s="368" t="n"/>
      <c r="L57" s="368" t="n"/>
      <c r="M57" s="175" t="n"/>
      <c r="N57" s="315" t="n"/>
      <c r="O57" s="177" t="n"/>
      <c r="P57" s="315" t="n"/>
      <c r="Q57" s="175" t="n"/>
      <c r="R57" s="315" t="n"/>
      <c r="S57" s="177" t="n"/>
      <c r="T57" s="315" t="n"/>
      <c r="U57" s="175" t="n"/>
      <c r="V57" s="315" t="n"/>
      <c r="W57" s="177" t="n"/>
      <c r="X57" s="315" t="n"/>
      <c r="Y57" s="175" t="n"/>
      <c r="Z57" s="206" t="n"/>
      <c r="AA57" s="177" t="n"/>
      <c r="AB57" s="247" t="n"/>
      <c r="AC57" s="175" t="n"/>
      <c r="AD57" s="315" t="n"/>
      <c r="AE57" s="177" t="n"/>
      <c r="AF57" s="247" t="n"/>
      <c r="AG57" s="175" t="n"/>
      <c r="AH57" s="315" t="n"/>
      <c r="AI57" s="177" t="n"/>
      <c r="AJ57" s="247" t="n"/>
      <c r="AK57" s="175" t="n"/>
      <c r="AL57" s="315" t="n"/>
      <c r="AM57" s="177" t="n"/>
      <c r="AN57" s="247" t="n"/>
      <c r="AO57" s="175" t="n"/>
      <c r="AP57" s="315" t="n"/>
      <c r="AQ57" s="177" t="n"/>
      <c r="AR57" s="247" t="n"/>
      <c r="AS57" s="175" t="n"/>
      <c r="AT57" s="315" t="n"/>
      <c r="AU57" s="177" t="n"/>
      <c r="AV57" s="247" t="n"/>
      <c r="AW57" s="175" t="n"/>
      <c r="AX57" s="315" t="n"/>
      <c r="AY57" s="177" t="n"/>
      <c r="AZ57" s="247" t="n"/>
      <c r="BA57" s="175" t="n"/>
      <c r="BB57" s="315" t="n"/>
      <c r="BC57" s="207" t="n"/>
      <c r="BD57" s="315" t="n"/>
      <c r="BE57" s="175" t="n"/>
      <c r="BF57" s="315" t="n"/>
      <c r="BG57" s="208" t="n"/>
      <c r="BH57" s="315" t="n"/>
      <c r="BI57" s="350" t="n"/>
      <c r="BJ57" s="351" t="n"/>
      <c r="BK57" s="352" t="n"/>
      <c r="BL57" s="353" t="n"/>
      <c r="BM57" s="354" t="n"/>
      <c r="BN57" s="355" t="n"/>
      <c r="BO57" s="175" t="n"/>
      <c r="BP57" s="186" t="n"/>
      <c r="BQ57" s="315" t="n"/>
      <c r="BR57" s="177" t="n"/>
      <c r="BS57" s="315" t="n"/>
      <c r="BT57" s="175" t="n"/>
      <c r="BU57" s="186" t="n"/>
      <c r="BV57" s="315" t="n"/>
      <c r="BW57" s="177" t="n"/>
      <c r="BX57" s="245" t="n"/>
      <c r="BY57" s="175" t="n"/>
      <c r="BZ57" s="186" t="n"/>
      <c r="CA57" s="315" t="n"/>
      <c r="CB57" s="177" t="n"/>
      <c r="CC57" s="315" t="n"/>
      <c r="CD57" s="175" t="n"/>
      <c r="CE57" s="186" t="n"/>
      <c r="CF57" s="315" t="n"/>
      <c r="CG57" s="177" t="n"/>
      <c r="CH57" s="315" t="n"/>
      <c r="CI57" s="175" t="n"/>
      <c r="CJ57" s="186" t="n"/>
      <c r="CK57" s="315" t="n"/>
      <c r="CL57" s="177" t="n"/>
      <c r="CM57" s="315" t="n"/>
      <c r="CN57" s="175" t="n"/>
      <c r="CO57" s="186" t="n"/>
      <c r="CP57" s="315" t="n"/>
      <c r="CQ57" s="177" t="n"/>
      <c r="CR57" s="315" t="n"/>
      <c r="CS57" s="175" t="n"/>
      <c r="CT57" s="186" t="n"/>
      <c r="CU57" s="206" t="n"/>
      <c r="CV57" s="177" t="n"/>
      <c r="CW57" s="315" t="n"/>
      <c r="CX57" s="175" t="n"/>
      <c r="CY57" s="186" t="n"/>
      <c r="CZ57" s="206" t="n"/>
      <c r="DA57" s="177" t="n"/>
      <c r="DB57" s="315" t="n"/>
      <c r="DC57" s="175" t="n"/>
      <c r="DD57" s="186" t="n"/>
      <c r="DE57" s="315" t="n"/>
      <c r="DF57" s="177" t="n"/>
      <c r="DG57" s="315" t="n"/>
      <c r="DH57" s="175" t="n"/>
      <c r="DI57" s="186" t="n"/>
      <c r="DJ57" s="315" t="n"/>
      <c r="DK57" s="177" t="n"/>
      <c r="DL57" s="315" t="n"/>
      <c r="DM57" s="175" t="n"/>
      <c r="DN57" s="186" t="n"/>
      <c r="DO57" s="315" t="n"/>
      <c r="DP57" s="177" t="n"/>
      <c r="DQ57" s="227" t="n"/>
      <c r="DR57" s="175" t="n"/>
      <c r="DS57" s="186" t="n"/>
      <c r="DT57" s="315" t="n"/>
      <c r="DU57" s="177" t="n"/>
      <c r="DV57" s="315" t="n"/>
      <c r="DW57" s="350" t="n"/>
      <c r="DX57" s="351" t="n"/>
      <c r="DY57" s="356" t="n"/>
      <c r="DZ57" s="357" t="n"/>
      <c r="EA57" s="352" t="n"/>
      <c r="EB57" s="353" t="n"/>
      <c r="EC57" s="354" t="n"/>
      <c r="ED57" s="355" t="n"/>
      <c r="EE57" s="175" t="n"/>
      <c r="EF57" s="315" t="n"/>
      <c r="EG57" s="177" t="n"/>
      <c r="EH57" s="284" t="inlineStr">
        <is>
          <t>Новый артикул</t>
        </is>
      </c>
      <c r="EI57" s="175" t="n"/>
      <c r="EJ57" s="315" t="n">
        <v>1</v>
      </c>
      <c r="EK57" s="177" t="n">
        <v>0</v>
      </c>
      <c r="EL57" s="284" t="n"/>
      <c r="EM57" s="175" t="n"/>
      <c r="EN57" s="315" t="n">
        <v>1</v>
      </c>
      <c r="EO57" s="38" t="n">
        <v>0</v>
      </c>
      <c r="EP57" s="284" t="inlineStr">
        <is>
          <t>Заказ февраля перенесена на март</t>
        </is>
      </c>
      <c r="EQ57" s="175" t="n"/>
      <c r="ER57" s="315" t="n"/>
      <c r="ES57" s="177" t="n"/>
      <c r="ET57" s="315" t="n"/>
      <c r="EU57" s="175" t="n"/>
      <c r="EV57" s="315" t="n">
        <v>1</v>
      </c>
      <c r="EW57" s="177" t="n">
        <v>0</v>
      </c>
      <c r="EX57" s="284" t="inlineStr">
        <is>
          <t>Заказ марта перенесен на май</t>
        </is>
      </c>
      <c r="EY57" s="175" t="n"/>
      <c r="EZ57" s="315" t="n"/>
      <c r="FA57" s="177" t="n"/>
      <c r="FB57" s="315" t="n"/>
      <c r="FC57" s="175" t="n"/>
      <c r="FD57" s="315" t="n"/>
      <c r="FE57" s="177" t="n"/>
      <c r="FF57" s="315" t="n"/>
      <c r="FG57" s="175" t="n"/>
      <c r="FH57" s="315" t="n"/>
      <c r="FI57" s="177" t="n"/>
      <c r="FJ57" s="315" t="n"/>
      <c r="FK57" s="175" t="n"/>
      <c r="FL57" s="315" t="n"/>
      <c r="FM57" s="177" t="n"/>
      <c r="FN57" s="315" t="n"/>
      <c r="FO57" s="175" t="n"/>
      <c r="FP57" s="315" t="n"/>
      <c r="FQ57" s="177" t="n"/>
      <c r="FR57" s="315" t="n"/>
      <c r="FS57" s="175" t="n"/>
      <c r="FT57" s="315" t="n"/>
      <c r="FU57" s="177" t="n"/>
      <c r="FV57" s="315" t="n"/>
      <c r="FW57" s="175" t="n"/>
      <c r="FX57" s="315" t="n"/>
      <c r="FY57" s="177" t="n"/>
      <c r="FZ57" s="315" t="n"/>
      <c r="GA57" s="338">
        <f t="array" ref="GA57">SUMPRODUCT(--(MOD(COLUMN($EE57:$FZ57),4)=MOD(COLUMN($EE57),4)),$EE57:$FZ57)</f>
        <v/>
      </c>
      <c r="GB57" s="339">
        <f>GA57*$J57</f>
        <v/>
      </c>
      <c r="GC57" s="340">
        <f t="array" ref="GC57">SUMPRODUCT(--(MOD(COLUMN($EE57:$FZ57),4)=MOD(COLUMN($EF57),4)),$EE57:$FZ57)</f>
        <v/>
      </c>
      <c r="GD57" s="341">
        <f>GC57*$J57</f>
        <v/>
      </c>
      <c r="GE57" s="342">
        <f t="array" ref="GE57">SUMPRODUCT(--(MOD(COLUMN($EE57:$FZ57),4)=MOD(COLUMN($EG57),4)),$EE57:$FZ57)</f>
        <v/>
      </c>
      <c r="GF57" s="343">
        <f>GE57*$J57</f>
        <v/>
      </c>
      <c r="GG57" s="175" t="n"/>
      <c r="GH57" s="315" t="n"/>
      <c r="GI57" s="177" t="n"/>
      <c r="GJ57" s="315" t="n"/>
      <c r="GK57" s="175" t="n"/>
      <c r="GL57" s="315" t="n"/>
      <c r="GM57" s="177" t="n"/>
      <c r="GN57" s="315" t="n"/>
      <c r="GO57" s="175" t="n"/>
      <c r="GP57" s="315" t="n"/>
      <c r="GQ57" s="177" t="n"/>
      <c r="GR57" s="315" t="n"/>
      <c r="GS57" s="175" t="n"/>
      <c r="GT57" s="315" t="n"/>
      <c r="GU57" s="177" t="n"/>
      <c r="GV57" s="315" t="n"/>
      <c r="GW57" s="175" t="n"/>
      <c r="GX57" s="315" t="n"/>
      <c r="GY57" s="177" t="n"/>
      <c r="GZ57" s="315" t="n"/>
      <c r="HA57" s="175" t="n"/>
      <c r="HB57" s="315" t="n"/>
      <c r="HC57" s="177" t="n"/>
      <c r="HD57" s="315" t="n"/>
      <c r="HE57" s="175" t="n"/>
      <c r="HF57" s="315" t="n"/>
      <c r="HG57" s="177" t="n"/>
      <c r="HH57" s="315" t="n"/>
      <c r="HI57" s="175" t="n"/>
      <c r="HJ57" s="315" t="n"/>
      <c r="HK57" s="177" t="n"/>
      <c r="HL57" s="315" t="n"/>
      <c r="HM57" s="175" t="n"/>
      <c r="HN57" s="315" t="n"/>
      <c r="HO57" s="177" t="n"/>
      <c r="HP57" s="315" t="n"/>
      <c r="HQ57" s="175" t="n"/>
      <c r="HR57" s="315" t="n"/>
      <c r="HS57" s="177" t="n"/>
      <c r="HT57" s="315" t="n"/>
      <c r="HU57" s="175" t="n"/>
      <c r="HV57" s="315" t="n"/>
      <c r="HW57" s="177" t="n"/>
      <c r="HX57" s="315" t="n"/>
      <c r="HY57" s="175" t="n"/>
      <c r="HZ57" s="315" t="n"/>
      <c r="IA57" s="177" t="n"/>
      <c r="IB57" s="315" t="n"/>
      <c r="IC57" s="350" t="n"/>
      <c r="ID57" s="351" t="n"/>
      <c r="IE57" s="352" t="n"/>
      <c r="IF57" s="353" t="n"/>
      <c r="IG57" s="354" t="n"/>
      <c r="IH57" s="355" t="n"/>
      <c r="II57" s="175" t="n"/>
      <c r="IJ57" s="315" t="n"/>
      <c r="IK57" s="177" t="n"/>
      <c r="IL57" s="315" t="n"/>
      <c r="IM57" s="175" t="n"/>
      <c r="IN57" s="315" t="n"/>
      <c r="IO57" s="177" t="n"/>
      <c r="IP57" s="315" t="n"/>
      <c r="IQ57" s="175" t="n"/>
      <c r="IR57" s="315" t="n"/>
      <c r="IS57" s="177" t="n"/>
      <c r="IT57" s="315" t="n"/>
      <c r="IU57" s="175" t="n"/>
      <c r="IV57" s="315" t="n"/>
      <c r="IW57" s="177" t="n"/>
      <c r="IX57" s="315" t="n"/>
      <c r="IY57" s="175" t="n"/>
      <c r="IZ57" s="315" t="n"/>
      <c r="JA57" s="177" t="n"/>
      <c r="JB57" s="315" t="n"/>
      <c r="JC57" s="175" t="n"/>
      <c r="JD57" s="315" t="n"/>
      <c r="JE57" s="177" t="n"/>
      <c r="JF57" s="315" t="n"/>
      <c r="JG57" s="175" t="n"/>
      <c r="JH57" s="315" t="n"/>
      <c r="JI57" s="177" t="n"/>
      <c r="JJ57" s="315" t="n"/>
      <c r="JK57" s="175" t="n"/>
      <c r="JL57" s="315" t="n"/>
      <c r="JM57" s="177" t="n"/>
      <c r="JN57" s="315" t="n"/>
      <c r="JO57" s="175" t="n"/>
      <c r="JP57" s="315" t="n"/>
      <c r="JQ57" s="177" t="n"/>
      <c r="JR57" s="315" t="n"/>
      <c r="JS57" s="175" t="n"/>
      <c r="JT57" s="315" t="n"/>
      <c r="JU57" s="177" t="n"/>
      <c r="JV57" s="315" t="n"/>
      <c r="JW57" s="175" t="n"/>
      <c r="JX57" s="315" t="n"/>
      <c r="JY57" s="177" t="n"/>
      <c r="JZ57" s="315" t="n"/>
      <c r="KA57" s="175" t="n"/>
      <c r="KB57" s="315" t="n"/>
      <c r="KC57" s="177" t="n"/>
      <c r="KD57" s="315" t="n"/>
      <c r="KE57" s="350" t="n"/>
      <c r="KF57" s="351" t="n"/>
      <c r="KG57" s="352" t="n"/>
      <c r="KH57" s="353" t="n"/>
      <c r="KI57" s="354" t="n"/>
      <c r="KJ57" s="358" t="n"/>
      <c r="KK57" s="189" t="n"/>
      <c r="KL57" s="189" t="n"/>
      <c r="KM57" s="189" t="n"/>
      <c r="KN57" s="190" t="n"/>
      <c r="KO57" s="291" t="n"/>
    </row>
    <row r="58" outlineLevel="1" ht="57.6" customFormat="1" customHeight="1" s="68">
      <c r="A58" s="347" t="n"/>
      <c r="B58" s="347" t="n"/>
      <c r="C58" s="347" t="n"/>
      <c r="D58" s="347" t="n"/>
      <c r="E58" s="15" t="n">
        <v>22</v>
      </c>
      <c r="F58" s="205" t="n">
        <v>1</v>
      </c>
      <c r="G58" s="214" t="n">
        <v>4496161560</v>
      </c>
      <c r="H58" s="213" t="inlineStr">
        <is>
          <t>Кабель ускорительного клапана АБС, 10 м / диагностики, 3 м</t>
        </is>
      </c>
      <c r="I58" s="349" t="n"/>
      <c r="J58" s="349" t="n">
        <v>205</v>
      </c>
      <c r="K58" s="368" t="n"/>
      <c r="L58" s="368" t="n"/>
      <c r="M58" s="175" t="n"/>
      <c r="N58" s="315" t="n"/>
      <c r="O58" s="177" t="n"/>
      <c r="P58" s="315" t="n"/>
      <c r="Q58" s="175" t="n"/>
      <c r="R58" s="315" t="n"/>
      <c r="S58" s="177" t="n"/>
      <c r="T58" s="315" t="n"/>
      <c r="U58" s="175" t="n"/>
      <c r="V58" s="315" t="n"/>
      <c r="W58" s="177" t="n"/>
      <c r="X58" s="315" t="n"/>
      <c r="Y58" s="175" t="n"/>
      <c r="Z58" s="206" t="n"/>
      <c r="AA58" s="177" t="n"/>
      <c r="AB58" s="247" t="n"/>
      <c r="AC58" s="175" t="n"/>
      <c r="AD58" s="315" t="n"/>
      <c r="AE58" s="177" t="n"/>
      <c r="AF58" s="247" t="n"/>
      <c r="AG58" s="175" t="n"/>
      <c r="AH58" s="315" t="n"/>
      <c r="AI58" s="177" t="n"/>
      <c r="AJ58" s="247" t="n"/>
      <c r="AK58" s="175" t="n"/>
      <c r="AL58" s="315" t="n"/>
      <c r="AM58" s="177" t="n"/>
      <c r="AN58" s="247" t="n"/>
      <c r="AO58" s="175" t="n"/>
      <c r="AP58" s="315" t="n"/>
      <c r="AQ58" s="177" t="n"/>
      <c r="AR58" s="247" t="n"/>
      <c r="AS58" s="175" t="n"/>
      <c r="AT58" s="315" t="n"/>
      <c r="AU58" s="177" t="n"/>
      <c r="AV58" s="247" t="n"/>
      <c r="AW58" s="175" t="n"/>
      <c r="AX58" s="315" t="n"/>
      <c r="AY58" s="177" t="n"/>
      <c r="AZ58" s="247" t="n"/>
      <c r="BA58" s="175" t="n"/>
      <c r="BB58" s="315" t="n"/>
      <c r="BC58" s="207" t="n"/>
      <c r="BD58" s="315" t="n"/>
      <c r="BE58" s="175" t="n"/>
      <c r="BF58" s="315" t="n"/>
      <c r="BG58" s="208" t="n"/>
      <c r="BH58" s="315" t="n"/>
      <c r="BI58" s="350" t="n"/>
      <c r="BJ58" s="351" t="n"/>
      <c r="BK58" s="352" t="n"/>
      <c r="BL58" s="353" t="n"/>
      <c r="BM58" s="354" t="n"/>
      <c r="BN58" s="355" t="n"/>
      <c r="BO58" s="175" t="n"/>
      <c r="BP58" s="186" t="n"/>
      <c r="BQ58" s="315" t="n"/>
      <c r="BR58" s="177" t="n"/>
      <c r="BS58" s="315" t="n"/>
      <c r="BT58" s="175" t="n"/>
      <c r="BU58" s="186" t="n"/>
      <c r="BV58" s="315" t="n"/>
      <c r="BW58" s="177" t="n"/>
      <c r="BX58" s="245" t="n"/>
      <c r="BY58" s="175" t="n"/>
      <c r="BZ58" s="186" t="n"/>
      <c r="CA58" s="315" t="n"/>
      <c r="CB58" s="177" t="n"/>
      <c r="CC58" s="315" t="n"/>
      <c r="CD58" s="175" t="n"/>
      <c r="CE58" s="186" t="n"/>
      <c r="CF58" s="315" t="n"/>
      <c r="CG58" s="177" t="n"/>
      <c r="CH58" s="315" t="n"/>
      <c r="CI58" s="175" t="n"/>
      <c r="CJ58" s="186" t="n"/>
      <c r="CK58" s="315" t="n"/>
      <c r="CL58" s="177" t="n"/>
      <c r="CM58" s="315" t="n"/>
      <c r="CN58" s="175" t="n"/>
      <c r="CO58" s="186" t="n"/>
      <c r="CP58" s="315" t="n"/>
      <c r="CQ58" s="177" t="n"/>
      <c r="CR58" s="315" t="n"/>
      <c r="CS58" s="175" t="n"/>
      <c r="CT58" s="186" t="n"/>
      <c r="CU58" s="206" t="n"/>
      <c r="CV58" s="177" t="n"/>
      <c r="CW58" s="315" t="n"/>
      <c r="CX58" s="175" t="n"/>
      <c r="CY58" s="186" t="n"/>
      <c r="CZ58" s="206" t="n"/>
      <c r="DA58" s="177" t="n"/>
      <c r="DB58" s="315" t="n"/>
      <c r="DC58" s="175" t="n"/>
      <c r="DD58" s="186" t="n"/>
      <c r="DE58" s="315" t="n"/>
      <c r="DF58" s="177" t="n"/>
      <c r="DG58" s="315" t="n"/>
      <c r="DH58" s="175" t="n"/>
      <c r="DI58" s="186" t="n"/>
      <c r="DJ58" s="315" t="n"/>
      <c r="DK58" s="177" t="n"/>
      <c r="DL58" s="315" t="n"/>
      <c r="DM58" s="175" t="n"/>
      <c r="DN58" s="186" t="n"/>
      <c r="DO58" s="315" t="n"/>
      <c r="DP58" s="177" t="n"/>
      <c r="DQ58" s="227" t="n"/>
      <c r="DR58" s="175" t="n"/>
      <c r="DS58" s="186" t="n"/>
      <c r="DT58" s="315" t="n"/>
      <c r="DU58" s="177" t="n"/>
      <c r="DV58" s="315" t="n"/>
      <c r="DW58" s="350" t="n"/>
      <c r="DX58" s="351" t="n"/>
      <c r="DY58" s="356" t="n"/>
      <c r="DZ58" s="357" t="n"/>
      <c r="EA58" s="352" t="n"/>
      <c r="EB58" s="353" t="n"/>
      <c r="EC58" s="354" t="n"/>
      <c r="ED58" s="355" t="n"/>
      <c r="EE58" s="175" t="n"/>
      <c r="EF58" s="315" t="n"/>
      <c r="EG58" s="177" t="n"/>
      <c r="EH58" s="347" t="n"/>
      <c r="EI58" s="175" t="n"/>
      <c r="EJ58" s="315" t="n">
        <v>1</v>
      </c>
      <c r="EK58" s="177" t="n">
        <v>0</v>
      </c>
      <c r="EL58" s="347" t="n"/>
      <c r="EM58" s="175" t="n"/>
      <c r="EN58" s="315" t="n">
        <v>1</v>
      </c>
      <c r="EO58" s="38" t="n">
        <v>0</v>
      </c>
      <c r="EP58" s="347" t="n"/>
      <c r="EQ58" s="175" t="n"/>
      <c r="ER58" s="315" t="n"/>
      <c r="ES58" s="177" t="n"/>
      <c r="ET58" s="315" t="n"/>
      <c r="EU58" s="175" t="n"/>
      <c r="EV58" s="315" t="n">
        <v>1</v>
      </c>
      <c r="EW58" s="177" t="n">
        <v>0</v>
      </c>
      <c r="EX58" s="347" t="n"/>
      <c r="EY58" s="175" t="n"/>
      <c r="EZ58" s="315" t="n"/>
      <c r="FA58" s="177" t="n"/>
      <c r="FB58" s="315" t="n"/>
      <c r="FC58" s="175" t="n"/>
      <c r="FD58" s="315" t="n"/>
      <c r="FE58" s="177" t="n"/>
      <c r="FF58" s="315" t="n"/>
      <c r="FG58" s="175" t="n"/>
      <c r="FH58" s="315" t="n"/>
      <c r="FI58" s="177" t="n"/>
      <c r="FJ58" s="315" t="n"/>
      <c r="FK58" s="175" t="n"/>
      <c r="FL58" s="315" t="n"/>
      <c r="FM58" s="177" t="n"/>
      <c r="FN58" s="315" t="n"/>
      <c r="FO58" s="175" t="n"/>
      <c r="FP58" s="315" t="n"/>
      <c r="FQ58" s="177" t="n"/>
      <c r="FR58" s="315" t="n"/>
      <c r="FS58" s="175" t="n"/>
      <c r="FT58" s="315" t="n"/>
      <c r="FU58" s="177" t="n"/>
      <c r="FV58" s="315" t="n"/>
      <c r="FW58" s="175" t="n"/>
      <c r="FX58" s="315" t="n"/>
      <c r="FY58" s="177" t="n"/>
      <c r="FZ58" s="315" t="n"/>
      <c r="GA58" s="338">
        <f t="array" ref="GA58">SUMPRODUCT(--(MOD(COLUMN($EE58:$FZ58),4)=MOD(COLUMN($EE58),4)),$EE58:$FZ58)</f>
        <v/>
      </c>
      <c r="GB58" s="339">
        <f>GA58*$J58</f>
        <v/>
      </c>
      <c r="GC58" s="340">
        <f t="array" ref="GC58">SUMPRODUCT(--(MOD(COLUMN($EE58:$FZ58),4)=MOD(COLUMN($EF58),4)),$EE58:$FZ58)</f>
        <v/>
      </c>
      <c r="GD58" s="341">
        <f>GC58*$J58</f>
        <v/>
      </c>
      <c r="GE58" s="342">
        <f t="array" ref="GE58">SUMPRODUCT(--(MOD(COLUMN($EE58:$FZ58),4)=MOD(COLUMN($EG58),4)),$EE58:$FZ58)</f>
        <v/>
      </c>
      <c r="GF58" s="343">
        <f>GE58*$J58</f>
        <v/>
      </c>
      <c r="GG58" s="175" t="n"/>
      <c r="GH58" s="315" t="n"/>
      <c r="GI58" s="177" t="n"/>
      <c r="GJ58" s="315" t="n"/>
      <c r="GK58" s="175" t="n"/>
      <c r="GL58" s="315" t="n"/>
      <c r="GM58" s="177" t="n"/>
      <c r="GN58" s="315" t="n"/>
      <c r="GO58" s="175" t="n"/>
      <c r="GP58" s="315" t="n"/>
      <c r="GQ58" s="177" t="n"/>
      <c r="GR58" s="315" t="n"/>
      <c r="GS58" s="175" t="n"/>
      <c r="GT58" s="315" t="n"/>
      <c r="GU58" s="177" t="n"/>
      <c r="GV58" s="315" t="n"/>
      <c r="GW58" s="175" t="n"/>
      <c r="GX58" s="315" t="n"/>
      <c r="GY58" s="177" t="n"/>
      <c r="GZ58" s="315" t="n"/>
      <c r="HA58" s="175" t="n"/>
      <c r="HB58" s="315" t="n"/>
      <c r="HC58" s="177" t="n"/>
      <c r="HD58" s="315" t="n"/>
      <c r="HE58" s="175" t="n"/>
      <c r="HF58" s="315" t="n"/>
      <c r="HG58" s="177" t="n"/>
      <c r="HH58" s="315" t="n"/>
      <c r="HI58" s="175" t="n"/>
      <c r="HJ58" s="315" t="n"/>
      <c r="HK58" s="177" t="n"/>
      <c r="HL58" s="315" t="n"/>
      <c r="HM58" s="175" t="n"/>
      <c r="HN58" s="315" t="n"/>
      <c r="HO58" s="177" t="n"/>
      <c r="HP58" s="315" t="n"/>
      <c r="HQ58" s="175" t="n"/>
      <c r="HR58" s="315" t="n"/>
      <c r="HS58" s="177" t="n"/>
      <c r="HT58" s="315" t="n"/>
      <c r="HU58" s="175" t="n"/>
      <c r="HV58" s="315" t="n"/>
      <c r="HW58" s="177" t="n"/>
      <c r="HX58" s="315" t="n"/>
      <c r="HY58" s="175" t="n"/>
      <c r="HZ58" s="315" t="n"/>
      <c r="IA58" s="177" t="n"/>
      <c r="IB58" s="315" t="n"/>
      <c r="IC58" s="350" t="n"/>
      <c r="ID58" s="351" t="n"/>
      <c r="IE58" s="352" t="n"/>
      <c r="IF58" s="353" t="n"/>
      <c r="IG58" s="354" t="n"/>
      <c r="IH58" s="355" t="n"/>
      <c r="II58" s="175" t="n"/>
      <c r="IJ58" s="315" t="n"/>
      <c r="IK58" s="177" t="n"/>
      <c r="IL58" s="315" t="n"/>
      <c r="IM58" s="175" t="n"/>
      <c r="IN58" s="315" t="n"/>
      <c r="IO58" s="177" t="n"/>
      <c r="IP58" s="315" t="n"/>
      <c r="IQ58" s="175" t="n"/>
      <c r="IR58" s="315" t="n"/>
      <c r="IS58" s="177" t="n"/>
      <c r="IT58" s="315" t="n"/>
      <c r="IU58" s="175" t="n"/>
      <c r="IV58" s="315" t="n"/>
      <c r="IW58" s="177" t="n"/>
      <c r="IX58" s="315" t="n"/>
      <c r="IY58" s="175" t="n"/>
      <c r="IZ58" s="315" t="n"/>
      <c r="JA58" s="177" t="n"/>
      <c r="JB58" s="315" t="n"/>
      <c r="JC58" s="175" t="n"/>
      <c r="JD58" s="315" t="n"/>
      <c r="JE58" s="177" t="n"/>
      <c r="JF58" s="315" t="n"/>
      <c r="JG58" s="175" t="n"/>
      <c r="JH58" s="315" t="n"/>
      <c r="JI58" s="177" t="n"/>
      <c r="JJ58" s="315" t="n"/>
      <c r="JK58" s="175" t="n"/>
      <c r="JL58" s="315" t="n"/>
      <c r="JM58" s="177" t="n"/>
      <c r="JN58" s="315" t="n"/>
      <c r="JO58" s="175" t="n"/>
      <c r="JP58" s="315" t="n"/>
      <c r="JQ58" s="177" t="n"/>
      <c r="JR58" s="315" t="n"/>
      <c r="JS58" s="175" t="n"/>
      <c r="JT58" s="315" t="n"/>
      <c r="JU58" s="177" t="n"/>
      <c r="JV58" s="315" t="n"/>
      <c r="JW58" s="175" t="n"/>
      <c r="JX58" s="315" t="n"/>
      <c r="JY58" s="177" t="n"/>
      <c r="JZ58" s="315" t="n"/>
      <c r="KA58" s="175" t="n"/>
      <c r="KB58" s="315" t="n"/>
      <c r="KC58" s="177" t="n"/>
      <c r="KD58" s="315" t="n"/>
      <c r="KE58" s="350" t="n"/>
      <c r="KF58" s="351" t="n"/>
      <c r="KG58" s="352" t="n"/>
      <c r="KH58" s="353" t="n"/>
      <c r="KI58" s="354" t="n"/>
      <c r="KJ58" s="358" t="n"/>
      <c r="KK58" s="189" t="n"/>
      <c r="KL58" s="189" t="n"/>
      <c r="KM58" s="189" t="n"/>
      <c r="KN58" s="190" t="n"/>
      <c r="KO58" s="291" t="n"/>
    </row>
    <row r="59" outlineLevel="1" ht="43.2" customFormat="1" customHeight="1" s="68">
      <c r="A59" s="347" t="n"/>
      <c r="B59" s="347" t="n"/>
      <c r="C59" s="347" t="n"/>
      <c r="D59" s="347" t="n"/>
      <c r="E59" s="15" t="n">
        <v>23</v>
      </c>
      <c r="F59" s="205" t="n">
        <v>1</v>
      </c>
      <c r="G59" s="214" t="n">
        <v>9630010510</v>
      </c>
      <c r="H59" s="213" t="inlineStr">
        <is>
          <t>Клапан растормаживания сдвоенный</t>
        </is>
      </c>
      <c r="I59" s="349" t="n"/>
      <c r="J59" s="349" t="n">
        <v>275</v>
      </c>
      <c r="K59" s="368" t="n"/>
      <c r="L59" s="368" t="n"/>
      <c r="M59" s="175" t="n"/>
      <c r="N59" s="315" t="n"/>
      <c r="O59" s="177" t="n"/>
      <c r="P59" s="315" t="n"/>
      <c r="Q59" s="175" t="n"/>
      <c r="R59" s="315" t="n"/>
      <c r="S59" s="177" t="n"/>
      <c r="T59" s="315" t="n"/>
      <c r="U59" s="175" t="n"/>
      <c r="V59" s="315" t="n"/>
      <c r="W59" s="177" t="n"/>
      <c r="X59" s="315" t="n"/>
      <c r="Y59" s="175" t="n"/>
      <c r="Z59" s="206" t="n"/>
      <c r="AA59" s="177" t="n"/>
      <c r="AB59" s="247" t="n"/>
      <c r="AC59" s="175" t="n"/>
      <c r="AD59" s="315" t="n"/>
      <c r="AE59" s="177" t="n"/>
      <c r="AF59" s="247" t="n"/>
      <c r="AG59" s="175" t="n"/>
      <c r="AH59" s="315" t="n"/>
      <c r="AI59" s="177" t="n"/>
      <c r="AJ59" s="247" t="n"/>
      <c r="AK59" s="175" t="n"/>
      <c r="AL59" s="315" t="n"/>
      <c r="AM59" s="177" t="n"/>
      <c r="AN59" s="247" t="n"/>
      <c r="AO59" s="175" t="n"/>
      <c r="AP59" s="315" t="n"/>
      <c r="AQ59" s="177" t="n"/>
      <c r="AR59" s="247" t="n"/>
      <c r="AS59" s="175" t="n"/>
      <c r="AT59" s="315" t="n"/>
      <c r="AU59" s="177" t="n"/>
      <c r="AV59" s="247" t="n"/>
      <c r="AW59" s="175" t="n"/>
      <c r="AX59" s="315" t="n"/>
      <c r="AY59" s="177" t="n"/>
      <c r="AZ59" s="247" t="n"/>
      <c r="BA59" s="175" t="n"/>
      <c r="BB59" s="315" t="n"/>
      <c r="BC59" s="207" t="n"/>
      <c r="BD59" s="315" t="n"/>
      <c r="BE59" s="175" t="n"/>
      <c r="BF59" s="315" t="n"/>
      <c r="BG59" s="208" t="n"/>
      <c r="BH59" s="315" t="n"/>
      <c r="BI59" s="350" t="n"/>
      <c r="BJ59" s="351" t="n"/>
      <c r="BK59" s="352" t="n"/>
      <c r="BL59" s="353" t="n"/>
      <c r="BM59" s="354" t="n"/>
      <c r="BN59" s="355" t="n"/>
      <c r="BO59" s="175" t="n"/>
      <c r="BP59" s="186" t="n"/>
      <c r="BQ59" s="315" t="n"/>
      <c r="BR59" s="177" t="n">
        <v>2</v>
      </c>
      <c r="BS59" s="315" t="n"/>
      <c r="BT59" s="175" t="n"/>
      <c r="BU59" s="186" t="n"/>
      <c r="BV59" s="315" t="n"/>
      <c r="BW59" s="177" t="n">
        <v>10</v>
      </c>
      <c r="BX59" s="245" t="n"/>
      <c r="BY59" s="175" t="n"/>
      <c r="BZ59" s="186" t="n"/>
      <c r="CA59" s="315" t="n"/>
      <c r="CB59" s="177" t="n"/>
      <c r="CC59" s="315" t="n"/>
      <c r="CD59" s="175" t="n"/>
      <c r="CE59" s="186" t="n"/>
      <c r="CF59" s="315" t="n"/>
      <c r="CG59" s="177" t="n"/>
      <c r="CH59" s="315" t="n"/>
      <c r="CI59" s="175" t="n"/>
      <c r="CJ59" s="186" t="n"/>
      <c r="CK59" s="315" t="n"/>
      <c r="CL59" s="177" t="n"/>
      <c r="CM59" s="315" t="n"/>
      <c r="CN59" s="175" t="n"/>
      <c r="CO59" s="186" t="n"/>
      <c r="CP59" s="315" t="n"/>
      <c r="CQ59" s="177" t="n"/>
      <c r="CR59" s="315" t="n"/>
      <c r="CS59" s="175" t="n"/>
      <c r="CT59" s="186" t="n"/>
      <c r="CU59" s="206" t="n"/>
      <c r="CV59" s="177" t="n"/>
      <c r="CW59" s="315" t="n"/>
      <c r="CX59" s="175" t="n"/>
      <c r="CY59" s="186" t="n"/>
      <c r="CZ59" s="206" t="n"/>
      <c r="DA59" s="177" t="n"/>
      <c r="DB59" s="315" t="n"/>
      <c r="DC59" s="175" t="n"/>
      <c r="DD59" s="186" t="n"/>
      <c r="DE59" s="315" t="n"/>
      <c r="DF59" s="177" t="n"/>
      <c r="DG59" s="315" t="n"/>
      <c r="DH59" s="175" t="n"/>
      <c r="DI59" s="186" t="n"/>
      <c r="DJ59" s="315" t="n"/>
      <c r="DK59" s="177" t="n"/>
      <c r="DL59" s="315" t="n"/>
      <c r="DM59" s="175" t="n"/>
      <c r="DN59" s="186" t="n"/>
      <c r="DO59" s="315" t="n"/>
      <c r="DP59" s="177" t="n">
        <v>0</v>
      </c>
      <c r="DQ59" s="227" t="n"/>
      <c r="DR59" s="175" t="n"/>
      <c r="DS59" s="186" t="n"/>
      <c r="DT59" s="315" t="n"/>
      <c r="DU59" s="177" t="n">
        <v>0</v>
      </c>
      <c r="DV59" s="315" t="n"/>
      <c r="DW59" s="350" t="n"/>
      <c r="DX59" s="351" t="n"/>
      <c r="DY59" s="356" t="n"/>
      <c r="DZ59" s="357" t="n"/>
      <c r="EA59" s="352" t="n"/>
      <c r="EB59" s="353" t="n"/>
      <c r="EC59" s="354" t="n"/>
      <c r="ED59" s="355" t="n"/>
      <c r="EE59" s="175" t="n"/>
      <c r="EF59" s="315" t="n"/>
      <c r="EG59" s="177" t="n"/>
      <c r="EH59" s="347" t="n"/>
      <c r="EI59" s="175" t="n"/>
      <c r="EJ59" s="315" t="n">
        <v>1</v>
      </c>
      <c r="EK59" s="177" t="n">
        <v>0</v>
      </c>
      <c r="EL59" s="347" t="n"/>
      <c r="EM59" s="175" t="n"/>
      <c r="EN59" s="315" t="n">
        <v>1</v>
      </c>
      <c r="EO59" s="38" t="n">
        <v>0</v>
      </c>
      <c r="EP59" s="347" t="n"/>
      <c r="EQ59" s="175" t="n"/>
      <c r="ER59" s="315" t="n"/>
      <c r="ES59" s="177" t="n"/>
      <c r="ET59" s="315" t="n"/>
      <c r="EU59" s="175" t="n"/>
      <c r="EV59" s="315" t="n">
        <v>1</v>
      </c>
      <c r="EW59" s="177" t="n">
        <v>0</v>
      </c>
      <c r="EX59" s="347" t="n"/>
      <c r="EY59" s="175" t="n"/>
      <c r="EZ59" s="315" t="n"/>
      <c r="FA59" s="177" t="n"/>
      <c r="FB59" s="315" t="n"/>
      <c r="FC59" s="175" t="n"/>
      <c r="FD59" s="315" t="n"/>
      <c r="FE59" s="177" t="n"/>
      <c r="FF59" s="315" t="n"/>
      <c r="FG59" s="175" t="n"/>
      <c r="FH59" s="315" t="n"/>
      <c r="FI59" s="177" t="n"/>
      <c r="FJ59" s="315" t="n"/>
      <c r="FK59" s="175" t="n"/>
      <c r="FL59" s="315" t="n"/>
      <c r="FM59" s="177" t="n"/>
      <c r="FN59" s="315" t="n"/>
      <c r="FO59" s="175" t="n"/>
      <c r="FP59" s="315" t="n"/>
      <c r="FQ59" s="177" t="n"/>
      <c r="FR59" s="315" t="n"/>
      <c r="FS59" s="175" t="n"/>
      <c r="FT59" s="315" t="n"/>
      <c r="FU59" s="177" t="n"/>
      <c r="FV59" s="315" t="n"/>
      <c r="FW59" s="175" t="n"/>
      <c r="FX59" s="315" t="n"/>
      <c r="FY59" s="177" t="n"/>
      <c r="FZ59" s="315" t="n"/>
      <c r="GA59" s="338">
        <f t="array" ref="GA59">SUMPRODUCT(--(MOD(COLUMN($EE59:$FZ59),4)=MOD(COLUMN($EE59),4)),$EE59:$FZ59)</f>
        <v/>
      </c>
      <c r="GB59" s="339">
        <f>GA59*$J59</f>
        <v/>
      </c>
      <c r="GC59" s="340">
        <f t="array" ref="GC59">SUMPRODUCT(--(MOD(COLUMN($EE59:$FZ59),4)=MOD(COLUMN($EF59),4)),$EE59:$FZ59)</f>
        <v/>
      </c>
      <c r="GD59" s="341">
        <f>GC59*$J59</f>
        <v/>
      </c>
      <c r="GE59" s="342">
        <f t="array" ref="GE59">SUMPRODUCT(--(MOD(COLUMN($EE59:$FZ59),4)=MOD(COLUMN($EG59),4)),$EE59:$FZ59)</f>
        <v/>
      </c>
      <c r="GF59" s="343">
        <f>GE59*$J59</f>
        <v/>
      </c>
      <c r="GG59" s="175" t="n"/>
      <c r="GH59" s="315" t="n"/>
      <c r="GI59" s="177" t="n"/>
      <c r="GJ59" s="315" t="n"/>
      <c r="GK59" s="175" t="n"/>
      <c r="GL59" s="315" t="n"/>
      <c r="GM59" s="177" t="n"/>
      <c r="GN59" s="315" t="n"/>
      <c r="GO59" s="175" t="n"/>
      <c r="GP59" s="315" t="n"/>
      <c r="GQ59" s="177" t="n"/>
      <c r="GR59" s="315" t="n"/>
      <c r="GS59" s="175" t="n"/>
      <c r="GT59" s="315" t="n"/>
      <c r="GU59" s="177" t="n"/>
      <c r="GV59" s="315" t="n"/>
      <c r="GW59" s="175" t="n"/>
      <c r="GX59" s="315" t="n"/>
      <c r="GY59" s="177" t="n"/>
      <c r="GZ59" s="315" t="n"/>
      <c r="HA59" s="175" t="n"/>
      <c r="HB59" s="315" t="n"/>
      <c r="HC59" s="177" t="n"/>
      <c r="HD59" s="315" t="n"/>
      <c r="HE59" s="175" t="n"/>
      <c r="HF59" s="315" t="n"/>
      <c r="HG59" s="177" t="n"/>
      <c r="HH59" s="315" t="n"/>
      <c r="HI59" s="175" t="n"/>
      <c r="HJ59" s="315" t="n"/>
      <c r="HK59" s="177" t="n"/>
      <c r="HL59" s="315" t="n"/>
      <c r="HM59" s="175" t="n"/>
      <c r="HN59" s="315" t="n"/>
      <c r="HO59" s="177" t="n"/>
      <c r="HP59" s="315" t="n"/>
      <c r="HQ59" s="175" t="n"/>
      <c r="HR59" s="315" t="n"/>
      <c r="HS59" s="177" t="n"/>
      <c r="HT59" s="315" t="n"/>
      <c r="HU59" s="175" t="n"/>
      <c r="HV59" s="315" t="n"/>
      <c r="HW59" s="177" t="n"/>
      <c r="HX59" s="315" t="n"/>
      <c r="HY59" s="175" t="n"/>
      <c r="HZ59" s="315" t="n"/>
      <c r="IA59" s="177" t="n"/>
      <c r="IB59" s="315" t="n"/>
      <c r="IC59" s="350" t="n"/>
      <c r="ID59" s="351" t="n"/>
      <c r="IE59" s="352" t="n"/>
      <c r="IF59" s="353" t="n"/>
      <c r="IG59" s="354" t="n"/>
      <c r="IH59" s="355" t="n"/>
      <c r="II59" s="175" t="n"/>
      <c r="IJ59" s="315" t="n"/>
      <c r="IK59" s="177" t="n"/>
      <c r="IL59" s="315" t="n"/>
      <c r="IM59" s="175" t="n"/>
      <c r="IN59" s="315" t="n"/>
      <c r="IO59" s="177" t="n"/>
      <c r="IP59" s="315" t="n"/>
      <c r="IQ59" s="175" t="n"/>
      <c r="IR59" s="315" t="n"/>
      <c r="IS59" s="177" t="n"/>
      <c r="IT59" s="315" t="n"/>
      <c r="IU59" s="175" t="n"/>
      <c r="IV59" s="315" t="n"/>
      <c r="IW59" s="177" t="n"/>
      <c r="IX59" s="315" t="n"/>
      <c r="IY59" s="175" t="n"/>
      <c r="IZ59" s="315" t="n"/>
      <c r="JA59" s="177" t="n"/>
      <c r="JB59" s="315" t="n"/>
      <c r="JC59" s="175" t="n"/>
      <c r="JD59" s="315" t="n"/>
      <c r="JE59" s="177" t="n"/>
      <c r="JF59" s="315" t="n"/>
      <c r="JG59" s="175" t="n"/>
      <c r="JH59" s="315" t="n"/>
      <c r="JI59" s="177" t="n"/>
      <c r="JJ59" s="315" t="n"/>
      <c r="JK59" s="175" t="n"/>
      <c r="JL59" s="315" t="n"/>
      <c r="JM59" s="177" t="n"/>
      <c r="JN59" s="315" t="n"/>
      <c r="JO59" s="175" t="n"/>
      <c r="JP59" s="315" t="n"/>
      <c r="JQ59" s="177" t="n"/>
      <c r="JR59" s="315" t="n"/>
      <c r="JS59" s="175" t="n"/>
      <c r="JT59" s="315" t="n"/>
      <c r="JU59" s="177" t="n"/>
      <c r="JV59" s="315" t="n"/>
      <c r="JW59" s="175" t="n"/>
      <c r="JX59" s="315" t="n"/>
      <c r="JY59" s="177" t="n"/>
      <c r="JZ59" s="315" t="n"/>
      <c r="KA59" s="175" t="n"/>
      <c r="KB59" s="315" t="n"/>
      <c r="KC59" s="177" t="n"/>
      <c r="KD59" s="315" t="n"/>
      <c r="KE59" s="350" t="n"/>
      <c r="KF59" s="351" t="n"/>
      <c r="KG59" s="352" t="n"/>
      <c r="KH59" s="353" t="n"/>
      <c r="KI59" s="354" t="n"/>
      <c r="KJ59" s="358" t="n"/>
      <c r="KK59" s="189" t="n"/>
      <c r="KL59" s="189" t="n"/>
      <c r="KM59" s="189" t="n"/>
      <c r="KN59" s="190" t="n"/>
      <c r="KO59" s="291" t="n"/>
    </row>
    <row r="60" outlineLevel="1" customFormat="1" s="68">
      <c r="A60" s="347" t="n"/>
      <c r="B60" s="347" t="n"/>
      <c r="C60" s="347" t="n"/>
      <c r="D60" s="347" t="n"/>
      <c r="E60" s="15" t="n">
        <v>24</v>
      </c>
      <c r="F60" s="205" t="n">
        <v>1</v>
      </c>
      <c r="G60" s="214" t="n">
        <v>4640060020</v>
      </c>
      <c r="H60" s="213" t="inlineStr">
        <is>
          <t>Кран уровня пола</t>
        </is>
      </c>
      <c r="I60" s="349" t="n"/>
      <c r="J60" s="349" t="n">
        <v>487</v>
      </c>
      <c r="K60" s="368" t="n"/>
      <c r="L60" s="368" t="n"/>
      <c r="M60" s="175" t="n"/>
      <c r="N60" s="315" t="n"/>
      <c r="O60" s="177" t="n"/>
      <c r="P60" s="315" t="n"/>
      <c r="Q60" s="175" t="n"/>
      <c r="R60" s="315" t="n"/>
      <c r="S60" s="177" t="n"/>
      <c r="T60" s="315" t="n"/>
      <c r="U60" s="175" t="n"/>
      <c r="V60" s="315" t="n"/>
      <c r="W60" s="177" t="n"/>
      <c r="X60" s="315" t="n"/>
      <c r="Y60" s="175" t="n"/>
      <c r="Z60" s="206" t="n"/>
      <c r="AA60" s="177" t="n"/>
      <c r="AB60" s="247" t="n"/>
      <c r="AC60" s="175" t="n"/>
      <c r="AD60" s="315" t="n"/>
      <c r="AE60" s="177" t="n"/>
      <c r="AF60" s="247" t="n"/>
      <c r="AG60" s="175" t="n"/>
      <c r="AH60" s="315" t="n"/>
      <c r="AI60" s="177" t="n"/>
      <c r="AJ60" s="247" t="n"/>
      <c r="AK60" s="175" t="n"/>
      <c r="AL60" s="315" t="n"/>
      <c r="AM60" s="177" t="n"/>
      <c r="AN60" s="247" t="n"/>
      <c r="AO60" s="175" t="n"/>
      <c r="AP60" s="315" t="n"/>
      <c r="AQ60" s="177" t="n"/>
      <c r="AR60" s="247" t="n"/>
      <c r="AS60" s="175" t="n"/>
      <c r="AT60" s="315" t="n"/>
      <c r="AU60" s="177" t="n"/>
      <c r="AV60" s="247" t="n"/>
      <c r="AW60" s="175" t="n"/>
      <c r="AX60" s="315" t="n"/>
      <c r="AY60" s="177" t="n"/>
      <c r="AZ60" s="247" t="n"/>
      <c r="BA60" s="175" t="n"/>
      <c r="BB60" s="315" t="n"/>
      <c r="BC60" s="207" t="n"/>
      <c r="BD60" s="315" t="n"/>
      <c r="BE60" s="175" t="n"/>
      <c r="BF60" s="315" t="n"/>
      <c r="BG60" s="208" t="n"/>
      <c r="BH60" s="315" t="n"/>
      <c r="BI60" s="350" t="n"/>
      <c r="BJ60" s="351" t="n"/>
      <c r="BK60" s="352" t="n"/>
      <c r="BL60" s="353" t="n"/>
      <c r="BM60" s="354" t="n"/>
      <c r="BN60" s="355" t="n"/>
      <c r="BO60" s="175" t="n"/>
      <c r="BP60" s="186" t="n"/>
      <c r="BQ60" s="315" t="n"/>
      <c r="BR60" s="177" t="n"/>
      <c r="BS60" s="315" t="n"/>
      <c r="BT60" s="175" t="n"/>
      <c r="BU60" s="186" t="n"/>
      <c r="BV60" s="315" t="n"/>
      <c r="BW60" s="177" t="n"/>
      <c r="BX60" s="245" t="n"/>
      <c r="BY60" s="175" t="n"/>
      <c r="BZ60" s="186" t="n"/>
      <c r="CA60" s="315" t="n"/>
      <c r="CB60" s="177" t="n"/>
      <c r="CC60" s="315" t="n"/>
      <c r="CD60" s="175" t="n"/>
      <c r="CE60" s="186" t="n"/>
      <c r="CF60" s="315" t="n"/>
      <c r="CG60" s="177" t="n"/>
      <c r="CH60" s="315" t="n"/>
      <c r="CI60" s="175" t="n"/>
      <c r="CJ60" s="186" t="n"/>
      <c r="CK60" s="315" t="n"/>
      <c r="CL60" s="177" t="n"/>
      <c r="CM60" s="315" t="n"/>
      <c r="CN60" s="175" t="n"/>
      <c r="CO60" s="186" t="n"/>
      <c r="CP60" s="315" t="n"/>
      <c r="CQ60" s="177" t="n"/>
      <c r="CR60" s="315" t="n"/>
      <c r="CS60" s="175" t="n"/>
      <c r="CT60" s="186" t="n"/>
      <c r="CU60" s="206" t="n"/>
      <c r="CV60" s="177" t="n"/>
      <c r="CW60" s="315" t="n"/>
      <c r="CX60" s="175" t="n"/>
      <c r="CY60" s="186" t="n"/>
      <c r="CZ60" s="206" t="n"/>
      <c r="DA60" s="177" t="n"/>
      <c r="DB60" s="315" t="n"/>
      <c r="DC60" s="175" t="n"/>
      <c r="DD60" s="186" t="n"/>
      <c r="DE60" s="315" t="n"/>
      <c r="DF60" s="177" t="n"/>
      <c r="DG60" s="315" t="n"/>
      <c r="DH60" s="175" t="n"/>
      <c r="DI60" s="186" t="n"/>
      <c r="DJ60" s="315" t="n"/>
      <c r="DK60" s="177" t="n"/>
      <c r="DL60" s="315" t="n"/>
      <c r="DM60" s="175" t="n"/>
      <c r="DN60" s="186" t="n"/>
      <c r="DO60" s="315" t="n"/>
      <c r="DP60" s="177" t="n"/>
      <c r="DQ60" s="227" t="n"/>
      <c r="DR60" s="175" t="n"/>
      <c r="DS60" s="186" t="n"/>
      <c r="DT60" s="315" t="n"/>
      <c r="DU60" s="177" t="n"/>
      <c r="DV60" s="315" t="n"/>
      <c r="DW60" s="350" t="n"/>
      <c r="DX60" s="351" t="n"/>
      <c r="DY60" s="356" t="n"/>
      <c r="DZ60" s="357" t="n"/>
      <c r="EA60" s="352" t="n"/>
      <c r="EB60" s="353" t="n"/>
      <c r="EC60" s="354" t="n"/>
      <c r="ED60" s="355" t="n"/>
      <c r="EE60" s="175" t="n"/>
      <c r="EF60" s="315" t="n"/>
      <c r="EG60" s="177" t="n"/>
      <c r="EH60" s="347" t="n"/>
      <c r="EI60" s="175" t="n"/>
      <c r="EJ60" s="315" t="n">
        <v>1</v>
      </c>
      <c r="EK60" s="177" t="n">
        <v>0</v>
      </c>
      <c r="EL60" s="347" t="n"/>
      <c r="EM60" s="175" t="n"/>
      <c r="EN60" s="315" t="n">
        <v>1</v>
      </c>
      <c r="EO60" s="38" t="n">
        <v>0</v>
      </c>
      <c r="EP60" s="347" t="n"/>
      <c r="EQ60" s="175" t="n"/>
      <c r="ER60" s="315" t="n"/>
      <c r="ES60" s="177" t="n"/>
      <c r="ET60" s="315" t="n"/>
      <c r="EU60" s="175" t="n"/>
      <c r="EV60" s="315" t="n">
        <v>1</v>
      </c>
      <c r="EW60" s="177" t="n">
        <v>0</v>
      </c>
      <c r="EX60" s="347" t="n"/>
      <c r="EY60" s="175" t="n"/>
      <c r="EZ60" s="315" t="n"/>
      <c r="FA60" s="177" t="n"/>
      <c r="FB60" s="315" t="n"/>
      <c r="FC60" s="175" t="n"/>
      <c r="FD60" s="315" t="n"/>
      <c r="FE60" s="177" t="n"/>
      <c r="FF60" s="315" t="n"/>
      <c r="FG60" s="175" t="n"/>
      <c r="FH60" s="315" t="n"/>
      <c r="FI60" s="177" t="n"/>
      <c r="FJ60" s="315" t="n"/>
      <c r="FK60" s="175" t="n"/>
      <c r="FL60" s="315" t="n"/>
      <c r="FM60" s="177" t="n"/>
      <c r="FN60" s="315" t="n"/>
      <c r="FO60" s="175" t="n"/>
      <c r="FP60" s="315" t="n"/>
      <c r="FQ60" s="177" t="n"/>
      <c r="FR60" s="315" t="n"/>
      <c r="FS60" s="175" t="n"/>
      <c r="FT60" s="315" t="n"/>
      <c r="FU60" s="177" t="n"/>
      <c r="FV60" s="315" t="n"/>
      <c r="FW60" s="175" t="n"/>
      <c r="FX60" s="315" t="n"/>
      <c r="FY60" s="177" t="n"/>
      <c r="FZ60" s="315" t="n"/>
      <c r="GA60" s="338">
        <f t="array" ref="GA60">SUMPRODUCT(--(MOD(COLUMN($EE60:$FZ60),4)=MOD(COLUMN($EE60),4)),$EE60:$FZ60)</f>
        <v/>
      </c>
      <c r="GB60" s="339">
        <f>GA60*$J60</f>
        <v/>
      </c>
      <c r="GC60" s="340">
        <f t="array" ref="GC60">SUMPRODUCT(--(MOD(COLUMN($EE60:$FZ60),4)=MOD(COLUMN($EF60),4)),$EE60:$FZ60)</f>
        <v/>
      </c>
      <c r="GD60" s="341">
        <f>GC60*$J60</f>
        <v/>
      </c>
      <c r="GE60" s="342">
        <f t="array" ref="GE60">SUMPRODUCT(--(MOD(COLUMN($EE60:$FZ60),4)=MOD(COLUMN($EG60),4)),$EE60:$FZ60)</f>
        <v/>
      </c>
      <c r="GF60" s="343">
        <f>GE60*$J60</f>
        <v/>
      </c>
      <c r="GG60" s="175" t="n"/>
      <c r="GH60" s="315" t="n"/>
      <c r="GI60" s="177" t="n"/>
      <c r="GJ60" s="315" t="n"/>
      <c r="GK60" s="175" t="n"/>
      <c r="GL60" s="315" t="n"/>
      <c r="GM60" s="177" t="n"/>
      <c r="GN60" s="315" t="n"/>
      <c r="GO60" s="175" t="n"/>
      <c r="GP60" s="315" t="n"/>
      <c r="GQ60" s="177" t="n"/>
      <c r="GR60" s="315" t="n"/>
      <c r="GS60" s="175" t="n"/>
      <c r="GT60" s="315" t="n"/>
      <c r="GU60" s="177" t="n"/>
      <c r="GV60" s="315" t="n"/>
      <c r="GW60" s="175" t="n"/>
      <c r="GX60" s="315" t="n"/>
      <c r="GY60" s="177" t="n"/>
      <c r="GZ60" s="315" t="n"/>
      <c r="HA60" s="175" t="n"/>
      <c r="HB60" s="315" t="n"/>
      <c r="HC60" s="177" t="n"/>
      <c r="HD60" s="315" t="n"/>
      <c r="HE60" s="175" t="n"/>
      <c r="HF60" s="315" t="n"/>
      <c r="HG60" s="177" t="n"/>
      <c r="HH60" s="315" t="n"/>
      <c r="HI60" s="175" t="n"/>
      <c r="HJ60" s="315" t="n"/>
      <c r="HK60" s="177" t="n"/>
      <c r="HL60" s="315" t="n"/>
      <c r="HM60" s="175" t="n"/>
      <c r="HN60" s="315" t="n"/>
      <c r="HO60" s="177" t="n"/>
      <c r="HP60" s="315" t="n"/>
      <c r="HQ60" s="175" t="n"/>
      <c r="HR60" s="315" t="n"/>
      <c r="HS60" s="177" t="n"/>
      <c r="HT60" s="315" t="n"/>
      <c r="HU60" s="175" t="n"/>
      <c r="HV60" s="315" t="n"/>
      <c r="HW60" s="177" t="n"/>
      <c r="HX60" s="315" t="n"/>
      <c r="HY60" s="175" t="n"/>
      <c r="HZ60" s="315" t="n"/>
      <c r="IA60" s="177" t="n"/>
      <c r="IB60" s="315" t="n"/>
      <c r="IC60" s="350" t="n"/>
      <c r="ID60" s="351" t="n"/>
      <c r="IE60" s="352" t="n"/>
      <c r="IF60" s="353" t="n"/>
      <c r="IG60" s="354" t="n"/>
      <c r="IH60" s="355" t="n"/>
      <c r="II60" s="175" t="n"/>
      <c r="IJ60" s="315" t="n"/>
      <c r="IK60" s="177" t="n"/>
      <c r="IL60" s="315" t="n"/>
      <c r="IM60" s="175" t="n"/>
      <c r="IN60" s="315" t="n"/>
      <c r="IO60" s="177" t="n"/>
      <c r="IP60" s="315" t="n"/>
      <c r="IQ60" s="175" t="n"/>
      <c r="IR60" s="315" t="n"/>
      <c r="IS60" s="177" t="n"/>
      <c r="IT60" s="315" t="n"/>
      <c r="IU60" s="175" t="n"/>
      <c r="IV60" s="315" t="n"/>
      <c r="IW60" s="177" t="n"/>
      <c r="IX60" s="315" t="n"/>
      <c r="IY60" s="175" t="n"/>
      <c r="IZ60" s="315" t="n"/>
      <c r="JA60" s="177" t="n"/>
      <c r="JB60" s="315" t="n"/>
      <c r="JC60" s="175" t="n"/>
      <c r="JD60" s="315" t="n"/>
      <c r="JE60" s="177" t="n"/>
      <c r="JF60" s="315" t="n"/>
      <c r="JG60" s="175" t="n"/>
      <c r="JH60" s="315" t="n"/>
      <c r="JI60" s="177" t="n"/>
      <c r="JJ60" s="315" t="n"/>
      <c r="JK60" s="175" t="n"/>
      <c r="JL60" s="315" t="n"/>
      <c r="JM60" s="177" t="n"/>
      <c r="JN60" s="315" t="n"/>
      <c r="JO60" s="175" t="n"/>
      <c r="JP60" s="315" t="n"/>
      <c r="JQ60" s="177" t="n"/>
      <c r="JR60" s="315" t="n"/>
      <c r="JS60" s="175" t="n"/>
      <c r="JT60" s="315" t="n"/>
      <c r="JU60" s="177" t="n"/>
      <c r="JV60" s="315" t="n"/>
      <c r="JW60" s="175" t="n"/>
      <c r="JX60" s="315" t="n"/>
      <c r="JY60" s="177" t="n"/>
      <c r="JZ60" s="315" t="n"/>
      <c r="KA60" s="175" t="n"/>
      <c r="KB60" s="315" t="n"/>
      <c r="KC60" s="177" t="n"/>
      <c r="KD60" s="315" t="n"/>
      <c r="KE60" s="350" t="n"/>
      <c r="KF60" s="351" t="n"/>
      <c r="KG60" s="352" t="n"/>
      <c r="KH60" s="353" t="n"/>
      <c r="KI60" s="354" t="n"/>
      <c r="KJ60" s="358" t="n"/>
      <c r="KK60" s="189" t="n"/>
      <c r="KL60" s="189" t="n"/>
      <c r="KM60" s="189" t="n"/>
      <c r="KN60" s="190" t="n"/>
      <c r="KO60" s="291" t="n"/>
    </row>
    <row r="61" outlineLevel="1" ht="28.8" customFormat="1" customHeight="1" s="68">
      <c r="A61" s="347" t="n"/>
      <c r="B61" s="347" t="n"/>
      <c r="C61" s="347" t="n"/>
      <c r="D61" s="347" t="n"/>
      <c r="E61" s="15" t="n">
        <v>25</v>
      </c>
      <c r="F61" s="205" t="n">
        <v>1</v>
      </c>
      <c r="G61" s="214" t="n">
        <v>4757145000</v>
      </c>
      <c r="H61" s="213" t="inlineStr">
        <is>
          <t>Регулятор тормозных сил</t>
        </is>
      </c>
      <c r="I61" s="349" t="n"/>
      <c r="J61" s="349" t="n">
        <v>528</v>
      </c>
      <c r="K61" s="368" t="n"/>
      <c r="L61" s="368" t="n"/>
      <c r="M61" s="175" t="n"/>
      <c r="N61" s="315" t="n"/>
      <c r="O61" s="177" t="n"/>
      <c r="P61" s="315" t="n"/>
      <c r="Q61" s="175" t="n"/>
      <c r="R61" s="315" t="n"/>
      <c r="S61" s="177" t="n"/>
      <c r="T61" s="315" t="n"/>
      <c r="U61" s="175" t="n"/>
      <c r="V61" s="315" t="n"/>
      <c r="W61" s="177" t="n"/>
      <c r="X61" s="315" t="n"/>
      <c r="Y61" s="175" t="n"/>
      <c r="Z61" s="206" t="n"/>
      <c r="AA61" s="177" t="n"/>
      <c r="AB61" s="247" t="n"/>
      <c r="AC61" s="175" t="n"/>
      <c r="AD61" s="315" t="n"/>
      <c r="AE61" s="177" t="n"/>
      <c r="AF61" s="247" t="n"/>
      <c r="AG61" s="175" t="n"/>
      <c r="AH61" s="315" t="n"/>
      <c r="AI61" s="177" t="n"/>
      <c r="AJ61" s="247" t="n"/>
      <c r="AK61" s="175" t="n"/>
      <c r="AL61" s="315" t="n"/>
      <c r="AM61" s="177" t="n"/>
      <c r="AN61" s="247" t="n"/>
      <c r="AO61" s="175" t="n"/>
      <c r="AP61" s="315" t="n"/>
      <c r="AQ61" s="177" t="n"/>
      <c r="AR61" s="247" t="n"/>
      <c r="AS61" s="175" t="n"/>
      <c r="AT61" s="315" t="n"/>
      <c r="AU61" s="177" t="n"/>
      <c r="AV61" s="247" t="n"/>
      <c r="AW61" s="175" t="n"/>
      <c r="AX61" s="315" t="n"/>
      <c r="AY61" s="177" t="n"/>
      <c r="AZ61" s="247" t="n"/>
      <c r="BA61" s="175" t="n"/>
      <c r="BB61" s="315" t="n"/>
      <c r="BC61" s="207" t="n"/>
      <c r="BD61" s="315" t="n"/>
      <c r="BE61" s="175" t="n"/>
      <c r="BF61" s="315" t="n"/>
      <c r="BG61" s="208" t="n"/>
      <c r="BH61" s="315" t="n"/>
      <c r="BI61" s="350" t="n"/>
      <c r="BJ61" s="351" t="n"/>
      <c r="BK61" s="352" t="n"/>
      <c r="BL61" s="353" t="n"/>
      <c r="BM61" s="354" t="n"/>
      <c r="BN61" s="355" t="n"/>
      <c r="BO61" s="175" t="n"/>
      <c r="BP61" s="186" t="n"/>
      <c r="BQ61" s="315" t="n"/>
      <c r="BR61" s="177" t="n"/>
      <c r="BS61" s="315" t="n"/>
      <c r="BT61" s="175" t="n"/>
      <c r="BU61" s="186" t="n"/>
      <c r="BV61" s="315" t="n"/>
      <c r="BW61" s="177" t="n"/>
      <c r="BX61" s="245" t="n"/>
      <c r="BY61" s="175" t="n"/>
      <c r="BZ61" s="186" t="n"/>
      <c r="CA61" s="315" t="n"/>
      <c r="CB61" s="177" t="n"/>
      <c r="CC61" s="315" t="n"/>
      <c r="CD61" s="175" t="n"/>
      <c r="CE61" s="186" t="n"/>
      <c r="CF61" s="315" t="n"/>
      <c r="CG61" s="177" t="n"/>
      <c r="CH61" s="315" t="n"/>
      <c r="CI61" s="175" t="n"/>
      <c r="CJ61" s="186" t="n"/>
      <c r="CK61" s="315" t="n"/>
      <c r="CL61" s="177" t="n"/>
      <c r="CM61" s="315" t="n"/>
      <c r="CN61" s="175" t="n"/>
      <c r="CO61" s="186" t="n"/>
      <c r="CP61" s="315" t="n"/>
      <c r="CQ61" s="177" t="n"/>
      <c r="CR61" s="315" t="n"/>
      <c r="CS61" s="175" t="n"/>
      <c r="CT61" s="186" t="n"/>
      <c r="CU61" s="206" t="n"/>
      <c r="CV61" s="177" t="n"/>
      <c r="CW61" s="315" t="n"/>
      <c r="CX61" s="175" t="n"/>
      <c r="CY61" s="186" t="n"/>
      <c r="CZ61" s="206" t="n"/>
      <c r="DA61" s="177" t="n"/>
      <c r="DB61" s="315" t="n"/>
      <c r="DC61" s="175" t="n"/>
      <c r="DD61" s="186" t="n"/>
      <c r="DE61" s="315" t="n"/>
      <c r="DF61" s="177" t="n"/>
      <c r="DG61" s="315" t="n"/>
      <c r="DH61" s="175" t="n"/>
      <c r="DI61" s="186" t="n"/>
      <c r="DJ61" s="315" t="n"/>
      <c r="DK61" s="177" t="n"/>
      <c r="DL61" s="315" t="n"/>
      <c r="DM61" s="175" t="n"/>
      <c r="DN61" s="186" t="n"/>
      <c r="DO61" s="315" t="n"/>
      <c r="DP61" s="177" t="n"/>
      <c r="DQ61" s="227" t="n"/>
      <c r="DR61" s="175" t="n"/>
      <c r="DS61" s="186" t="n"/>
      <c r="DT61" s="315" t="n"/>
      <c r="DU61" s="177" t="n"/>
      <c r="DV61" s="315" t="n"/>
      <c r="DW61" s="350" t="n"/>
      <c r="DX61" s="351" t="n"/>
      <c r="DY61" s="356" t="n"/>
      <c r="DZ61" s="357" t="n"/>
      <c r="EA61" s="352" t="n"/>
      <c r="EB61" s="353" t="n"/>
      <c r="EC61" s="354" t="n"/>
      <c r="ED61" s="355" t="n"/>
      <c r="EE61" s="175" t="n"/>
      <c r="EF61" s="315" t="n"/>
      <c r="EG61" s="177" t="n"/>
      <c r="EH61" s="347" t="n"/>
      <c r="EI61" s="175" t="n"/>
      <c r="EJ61" s="315" t="n">
        <v>1</v>
      </c>
      <c r="EK61" s="177" t="n">
        <v>0</v>
      </c>
      <c r="EL61" s="347" t="n"/>
      <c r="EM61" s="175" t="n"/>
      <c r="EN61" s="315" t="n">
        <v>1</v>
      </c>
      <c r="EO61" s="38" t="n">
        <v>0</v>
      </c>
      <c r="EP61" s="347" t="n"/>
      <c r="EQ61" s="175" t="n"/>
      <c r="ER61" s="315" t="n"/>
      <c r="ES61" s="177" t="n"/>
      <c r="ET61" s="315" t="n"/>
      <c r="EU61" s="175" t="n"/>
      <c r="EV61" s="315" t="n">
        <v>1</v>
      </c>
      <c r="EW61" s="177" t="n">
        <v>0</v>
      </c>
      <c r="EX61" s="347" t="n"/>
      <c r="EY61" s="175" t="n"/>
      <c r="EZ61" s="315" t="n"/>
      <c r="FA61" s="177" t="n"/>
      <c r="FB61" s="315" t="n"/>
      <c r="FC61" s="175" t="n"/>
      <c r="FD61" s="315" t="n"/>
      <c r="FE61" s="177" t="n"/>
      <c r="FF61" s="315" t="n"/>
      <c r="FG61" s="175" t="n"/>
      <c r="FH61" s="315" t="n"/>
      <c r="FI61" s="177" t="n"/>
      <c r="FJ61" s="315" t="n"/>
      <c r="FK61" s="175" t="n"/>
      <c r="FL61" s="315" t="n"/>
      <c r="FM61" s="177" t="n"/>
      <c r="FN61" s="315" t="n"/>
      <c r="FO61" s="175" t="n"/>
      <c r="FP61" s="315" t="n"/>
      <c r="FQ61" s="177" t="n"/>
      <c r="FR61" s="315" t="n"/>
      <c r="FS61" s="175" t="n"/>
      <c r="FT61" s="315" t="n"/>
      <c r="FU61" s="177" t="n"/>
      <c r="FV61" s="315" t="n"/>
      <c r="FW61" s="175" t="n"/>
      <c r="FX61" s="315" t="n"/>
      <c r="FY61" s="177" t="n"/>
      <c r="FZ61" s="315" t="n"/>
      <c r="GA61" s="338">
        <f t="array" ref="GA61">SUMPRODUCT(--(MOD(COLUMN($EE61:$FZ61),4)=MOD(COLUMN($EE61),4)),$EE61:$FZ61)</f>
        <v/>
      </c>
      <c r="GB61" s="339">
        <f>GA61*$J61</f>
        <v/>
      </c>
      <c r="GC61" s="340">
        <f t="array" ref="GC61">SUMPRODUCT(--(MOD(COLUMN($EE61:$FZ61),4)=MOD(COLUMN($EF61),4)),$EE61:$FZ61)</f>
        <v/>
      </c>
      <c r="GD61" s="341">
        <f>GC61*$J61</f>
        <v/>
      </c>
      <c r="GE61" s="342">
        <f t="array" ref="GE61">SUMPRODUCT(--(MOD(COLUMN($EE61:$FZ61),4)=MOD(COLUMN($EG61),4)),$EE61:$FZ61)</f>
        <v/>
      </c>
      <c r="GF61" s="343">
        <f>GE61*$J61</f>
        <v/>
      </c>
      <c r="GG61" s="175" t="n"/>
      <c r="GH61" s="315" t="n"/>
      <c r="GI61" s="177" t="n"/>
      <c r="GJ61" s="315" t="n"/>
      <c r="GK61" s="175" t="n"/>
      <c r="GL61" s="315" t="n"/>
      <c r="GM61" s="177" t="n"/>
      <c r="GN61" s="315" t="n"/>
      <c r="GO61" s="175" t="n"/>
      <c r="GP61" s="315" t="n"/>
      <c r="GQ61" s="177" t="n"/>
      <c r="GR61" s="315" t="n"/>
      <c r="GS61" s="175" t="n"/>
      <c r="GT61" s="315" t="n"/>
      <c r="GU61" s="177" t="n"/>
      <c r="GV61" s="315" t="n"/>
      <c r="GW61" s="175" t="n"/>
      <c r="GX61" s="315" t="n"/>
      <c r="GY61" s="177" t="n"/>
      <c r="GZ61" s="315" t="n"/>
      <c r="HA61" s="175" t="n"/>
      <c r="HB61" s="315" t="n"/>
      <c r="HC61" s="177" t="n"/>
      <c r="HD61" s="315" t="n"/>
      <c r="HE61" s="175" t="n"/>
      <c r="HF61" s="315" t="n"/>
      <c r="HG61" s="177" t="n"/>
      <c r="HH61" s="315" t="n"/>
      <c r="HI61" s="175" t="n"/>
      <c r="HJ61" s="315" t="n"/>
      <c r="HK61" s="177" t="n"/>
      <c r="HL61" s="315" t="n"/>
      <c r="HM61" s="175" t="n"/>
      <c r="HN61" s="315" t="n"/>
      <c r="HO61" s="177" t="n"/>
      <c r="HP61" s="315" t="n"/>
      <c r="HQ61" s="175" t="n"/>
      <c r="HR61" s="315" t="n"/>
      <c r="HS61" s="177" t="n"/>
      <c r="HT61" s="315" t="n"/>
      <c r="HU61" s="175" t="n"/>
      <c r="HV61" s="315" t="n"/>
      <c r="HW61" s="177" t="n"/>
      <c r="HX61" s="315" t="n"/>
      <c r="HY61" s="175" t="n"/>
      <c r="HZ61" s="315" t="n"/>
      <c r="IA61" s="177" t="n"/>
      <c r="IB61" s="315" t="n"/>
      <c r="IC61" s="350" t="n"/>
      <c r="ID61" s="351" t="n"/>
      <c r="IE61" s="352" t="n"/>
      <c r="IF61" s="353" t="n"/>
      <c r="IG61" s="354" t="n"/>
      <c r="IH61" s="355" t="n"/>
      <c r="II61" s="175" t="n"/>
      <c r="IJ61" s="315" t="n"/>
      <c r="IK61" s="177" t="n"/>
      <c r="IL61" s="315" t="n"/>
      <c r="IM61" s="175" t="n"/>
      <c r="IN61" s="315" t="n"/>
      <c r="IO61" s="177" t="n"/>
      <c r="IP61" s="315" t="n"/>
      <c r="IQ61" s="175" t="n"/>
      <c r="IR61" s="315" t="n"/>
      <c r="IS61" s="177" t="n"/>
      <c r="IT61" s="315" t="n"/>
      <c r="IU61" s="175" t="n"/>
      <c r="IV61" s="315" t="n"/>
      <c r="IW61" s="177" t="n"/>
      <c r="IX61" s="315" t="n"/>
      <c r="IY61" s="175" t="n"/>
      <c r="IZ61" s="315" t="n"/>
      <c r="JA61" s="177" t="n"/>
      <c r="JB61" s="315" t="n"/>
      <c r="JC61" s="175" t="n"/>
      <c r="JD61" s="315" t="n"/>
      <c r="JE61" s="177" t="n"/>
      <c r="JF61" s="315" t="n"/>
      <c r="JG61" s="175" t="n"/>
      <c r="JH61" s="315" t="n"/>
      <c r="JI61" s="177" t="n"/>
      <c r="JJ61" s="315" t="n"/>
      <c r="JK61" s="175" t="n"/>
      <c r="JL61" s="315" t="n"/>
      <c r="JM61" s="177" t="n"/>
      <c r="JN61" s="315" t="n"/>
      <c r="JO61" s="175" t="n"/>
      <c r="JP61" s="315" t="n"/>
      <c r="JQ61" s="177" t="n"/>
      <c r="JR61" s="315" t="n"/>
      <c r="JS61" s="175" t="n"/>
      <c r="JT61" s="315" t="n"/>
      <c r="JU61" s="177" t="n"/>
      <c r="JV61" s="315" t="n"/>
      <c r="JW61" s="175" t="n"/>
      <c r="JX61" s="315" t="n"/>
      <c r="JY61" s="177" t="n"/>
      <c r="JZ61" s="315" t="n"/>
      <c r="KA61" s="175" t="n"/>
      <c r="KB61" s="315" t="n"/>
      <c r="KC61" s="177" t="n"/>
      <c r="KD61" s="315" t="n"/>
      <c r="KE61" s="350" t="n"/>
      <c r="KF61" s="351" t="n"/>
      <c r="KG61" s="352" t="n"/>
      <c r="KH61" s="353" t="n"/>
      <c r="KI61" s="354" t="n"/>
      <c r="KJ61" s="358" t="n"/>
      <c r="KK61" s="189" t="n"/>
      <c r="KL61" s="189" t="n"/>
      <c r="KM61" s="189" t="n"/>
      <c r="KN61" s="190" t="n"/>
      <c r="KO61" s="291" t="n"/>
    </row>
    <row r="62" outlineLevel="1" ht="28.8" customFormat="1" customHeight="1" s="68">
      <c r="A62" s="347" t="n"/>
      <c r="B62" s="347" t="n"/>
      <c r="C62" s="347" t="n"/>
      <c r="D62" s="347" t="n"/>
      <c r="E62" s="15" t="n">
        <v>26</v>
      </c>
      <c r="F62" s="205" t="n">
        <v>1</v>
      </c>
      <c r="G62" s="214" t="n">
        <v>4750103050</v>
      </c>
      <c r="H62" s="213" t="inlineStr">
        <is>
          <t>Клапан ограничения давления</t>
        </is>
      </c>
      <c r="I62" s="349" t="n"/>
      <c r="J62" s="349" t="n">
        <v>104</v>
      </c>
      <c r="K62" s="368" t="n"/>
      <c r="L62" s="368" t="n"/>
      <c r="M62" s="175" t="n"/>
      <c r="N62" s="315" t="n"/>
      <c r="O62" s="177" t="n"/>
      <c r="P62" s="315" t="n"/>
      <c r="Q62" s="175" t="n"/>
      <c r="R62" s="315" t="n"/>
      <c r="S62" s="177" t="n"/>
      <c r="T62" s="315" t="n"/>
      <c r="U62" s="175" t="n"/>
      <c r="V62" s="315" t="n"/>
      <c r="W62" s="177" t="n"/>
      <c r="X62" s="315" t="n"/>
      <c r="Y62" s="175" t="n"/>
      <c r="Z62" s="206" t="n"/>
      <c r="AA62" s="177" t="n"/>
      <c r="AB62" s="247" t="n"/>
      <c r="AC62" s="175" t="n"/>
      <c r="AD62" s="315" t="n"/>
      <c r="AE62" s="177" t="n"/>
      <c r="AF62" s="247" t="n"/>
      <c r="AG62" s="175" t="n"/>
      <c r="AH62" s="315" t="n"/>
      <c r="AI62" s="177" t="n"/>
      <c r="AJ62" s="247" t="n"/>
      <c r="AK62" s="175" t="n"/>
      <c r="AL62" s="315" t="n"/>
      <c r="AM62" s="177" t="n"/>
      <c r="AN62" s="247" t="n"/>
      <c r="AO62" s="175" t="n"/>
      <c r="AP62" s="315" t="n"/>
      <c r="AQ62" s="177" t="n"/>
      <c r="AR62" s="247" t="n"/>
      <c r="AS62" s="175" t="n"/>
      <c r="AT62" s="315" t="n"/>
      <c r="AU62" s="177" t="n"/>
      <c r="AV62" s="247" t="n"/>
      <c r="AW62" s="175" t="n"/>
      <c r="AX62" s="315" t="n"/>
      <c r="AY62" s="177" t="n"/>
      <c r="AZ62" s="247" t="n"/>
      <c r="BA62" s="175" t="n"/>
      <c r="BB62" s="315" t="n"/>
      <c r="BC62" s="207" t="n"/>
      <c r="BD62" s="315" t="n"/>
      <c r="BE62" s="175" t="n"/>
      <c r="BF62" s="315" t="n"/>
      <c r="BG62" s="208" t="n"/>
      <c r="BH62" s="315" t="n"/>
      <c r="BI62" s="350" t="n"/>
      <c r="BJ62" s="351" t="n"/>
      <c r="BK62" s="352" t="n"/>
      <c r="BL62" s="353" t="n"/>
      <c r="BM62" s="354" t="n"/>
      <c r="BN62" s="355" t="n"/>
      <c r="BO62" s="175" t="n"/>
      <c r="BP62" s="186" t="n"/>
      <c r="BQ62" s="315" t="n"/>
      <c r="BR62" s="177" t="n"/>
      <c r="BS62" s="315" t="n"/>
      <c r="BT62" s="175" t="n"/>
      <c r="BU62" s="186" t="n"/>
      <c r="BV62" s="315" t="n"/>
      <c r="BW62" s="177" t="n"/>
      <c r="BX62" s="245" t="n"/>
      <c r="BY62" s="175" t="n"/>
      <c r="BZ62" s="186" t="n"/>
      <c r="CA62" s="315" t="n"/>
      <c r="CB62" s="177" t="n"/>
      <c r="CC62" s="315" t="n"/>
      <c r="CD62" s="175" t="n"/>
      <c r="CE62" s="186" t="n"/>
      <c r="CF62" s="315" t="n"/>
      <c r="CG62" s="177" t="n"/>
      <c r="CH62" s="315" t="n"/>
      <c r="CI62" s="175" t="n"/>
      <c r="CJ62" s="186" t="n"/>
      <c r="CK62" s="315" t="n"/>
      <c r="CL62" s="177" t="n"/>
      <c r="CM62" s="315" t="n"/>
      <c r="CN62" s="175" t="n"/>
      <c r="CO62" s="186" t="n"/>
      <c r="CP62" s="315" t="n"/>
      <c r="CQ62" s="177" t="n"/>
      <c r="CR62" s="315" t="n"/>
      <c r="CS62" s="175" t="n"/>
      <c r="CT62" s="186" t="n"/>
      <c r="CU62" s="206" t="n"/>
      <c r="CV62" s="177" t="n"/>
      <c r="CW62" s="315" t="n"/>
      <c r="CX62" s="175" t="n"/>
      <c r="CY62" s="186" t="n"/>
      <c r="CZ62" s="206" t="n"/>
      <c r="DA62" s="177" t="n"/>
      <c r="DB62" s="315" t="n"/>
      <c r="DC62" s="175" t="n"/>
      <c r="DD62" s="186" t="n"/>
      <c r="DE62" s="315" t="n"/>
      <c r="DF62" s="177" t="n"/>
      <c r="DG62" s="315" t="n"/>
      <c r="DH62" s="175" t="n"/>
      <c r="DI62" s="186" t="n"/>
      <c r="DJ62" s="315" t="n"/>
      <c r="DK62" s="177" t="n"/>
      <c r="DL62" s="315" t="n"/>
      <c r="DM62" s="175" t="n"/>
      <c r="DN62" s="186" t="n"/>
      <c r="DO62" s="315" t="n"/>
      <c r="DP62" s="177" t="n"/>
      <c r="DQ62" s="227" t="n"/>
      <c r="DR62" s="175" t="n"/>
      <c r="DS62" s="186" t="n"/>
      <c r="DT62" s="315" t="n"/>
      <c r="DU62" s="177" t="n"/>
      <c r="DV62" s="315" t="n"/>
      <c r="DW62" s="350" t="n"/>
      <c r="DX62" s="351" t="n"/>
      <c r="DY62" s="356" t="n"/>
      <c r="DZ62" s="357" t="n"/>
      <c r="EA62" s="352" t="n"/>
      <c r="EB62" s="353" t="n"/>
      <c r="EC62" s="354" t="n"/>
      <c r="ED62" s="355" t="n"/>
      <c r="EE62" s="175" t="n"/>
      <c r="EF62" s="315" t="n"/>
      <c r="EG62" s="177" t="n"/>
      <c r="EH62" s="347" t="n"/>
      <c r="EI62" s="175" t="n"/>
      <c r="EJ62" s="315" t="n">
        <v>1</v>
      </c>
      <c r="EK62" s="177" t="n">
        <v>0</v>
      </c>
      <c r="EL62" s="347" t="n"/>
      <c r="EM62" s="175" t="n"/>
      <c r="EN62" s="315" t="n">
        <v>1</v>
      </c>
      <c r="EO62" s="38" t="n">
        <v>0</v>
      </c>
      <c r="EP62" s="347" t="n"/>
      <c r="EQ62" s="175" t="n"/>
      <c r="ER62" s="315" t="n"/>
      <c r="ES62" s="177" t="n"/>
      <c r="ET62" s="315" t="n"/>
      <c r="EU62" s="175" t="n"/>
      <c r="EV62" s="315" t="n">
        <v>2</v>
      </c>
      <c r="EW62" s="177" t="n">
        <v>0</v>
      </c>
      <c r="EX62" s="347" t="n"/>
      <c r="EY62" s="175" t="n"/>
      <c r="EZ62" s="315" t="n"/>
      <c r="FA62" s="177" t="n"/>
      <c r="FB62" s="315" t="n"/>
      <c r="FC62" s="175" t="n"/>
      <c r="FD62" s="315" t="n"/>
      <c r="FE62" s="177" t="n"/>
      <c r="FF62" s="315" t="n"/>
      <c r="FG62" s="175" t="n"/>
      <c r="FH62" s="315" t="n"/>
      <c r="FI62" s="177" t="n"/>
      <c r="FJ62" s="315" t="n"/>
      <c r="FK62" s="175" t="n"/>
      <c r="FL62" s="315" t="n"/>
      <c r="FM62" s="177" t="n"/>
      <c r="FN62" s="315" t="n"/>
      <c r="FO62" s="175" t="n"/>
      <c r="FP62" s="315" t="n"/>
      <c r="FQ62" s="177" t="n"/>
      <c r="FR62" s="315" t="n"/>
      <c r="FS62" s="175" t="n"/>
      <c r="FT62" s="315" t="n"/>
      <c r="FU62" s="177" t="n"/>
      <c r="FV62" s="315" t="n"/>
      <c r="FW62" s="175" t="n"/>
      <c r="FX62" s="315" t="n"/>
      <c r="FY62" s="177" t="n"/>
      <c r="FZ62" s="315" t="n"/>
      <c r="GA62" s="338">
        <f t="array" ref="GA62">SUMPRODUCT(--(MOD(COLUMN($EE62:$FZ62),4)=MOD(COLUMN($EE62),4)),$EE62:$FZ62)</f>
        <v/>
      </c>
      <c r="GB62" s="339">
        <f>GA62*$J62</f>
        <v/>
      </c>
      <c r="GC62" s="340">
        <f t="array" ref="GC62">SUMPRODUCT(--(MOD(COLUMN($EE62:$FZ62),4)=MOD(COLUMN($EF62),4)),$EE62:$FZ62)</f>
        <v/>
      </c>
      <c r="GD62" s="341">
        <f>GC62*$J62</f>
        <v/>
      </c>
      <c r="GE62" s="342">
        <f t="array" ref="GE62">SUMPRODUCT(--(MOD(COLUMN($EE62:$FZ62),4)=MOD(COLUMN($EG62),4)),$EE62:$FZ62)</f>
        <v/>
      </c>
      <c r="GF62" s="343">
        <f>GE62*$J62</f>
        <v/>
      </c>
      <c r="GG62" s="175" t="n"/>
      <c r="GH62" s="315" t="n"/>
      <c r="GI62" s="177" t="n"/>
      <c r="GJ62" s="315" t="n"/>
      <c r="GK62" s="175" t="n"/>
      <c r="GL62" s="315" t="n"/>
      <c r="GM62" s="177" t="n"/>
      <c r="GN62" s="315" t="n"/>
      <c r="GO62" s="175" t="n"/>
      <c r="GP62" s="315" t="n"/>
      <c r="GQ62" s="177" t="n"/>
      <c r="GR62" s="315" t="n"/>
      <c r="GS62" s="175" t="n"/>
      <c r="GT62" s="315" t="n"/>
      <c r="GU62" s="177" t="n"/>
      <c r="GV62" s="315" t="n"/>
      <c r="GW62" s="175" t="n"/>
      <c r="GX62" s="315" t="n"/>
      <c r="GY62" s="177" t="n"/>
      <c r="GZ62" s="315" t="n"/>
      <c r="HA62" s="175" t="n"/>
      <c r="HB62" s="315" t="n"/>
      <c r="HC62" s="177" t="n"/>
      <c r="HD62" s="315" t="n"/>
      <c r="HE62" s="175" t="n"/>
      <c r="HF62" s="315" t="n"/>
      <c r="HG62" s="177" t="n"/>
      <c r="HH62" s="315" t="n"/>
      <c r="HI62" s="175" t="n"/>
      <c r="HJ62" s="315" t="n"/>
      <c r="HK62" s="177" t="n"/>
      <c r="HL62" s="315" t="n"/>
      <c r="HM62" s="175" t="n"/>
      <c r="HN62" s="315" t="n"/>
      <c r="HO62" s="177" t="n"/>
      <c r="HP62" s="315" t="n"/>
      <c r="HQ62" s="175" t="n"/>
      <c r="HR62" s="315" t="n"/>
      <c r="HS62" s="177" t="n"/>
      <c r="HT62" s="315" t="n"/>
      <c r="HU62" s="175" t="n"/>
      <c r="HV62" s="315" t="n"/>
      <c r="HW62" s="177" t="n"/>
      <c r="HX62" s="315" t="n"/>
      <c r="HY62" s="175" t="n"/>
      <c r="HZ62" s="315" t="n"/>
      <c r="IA62" s="177" t="n"/>
      <c r="IB62" s="315" t="n"/>
      <c r="IC62" s="350" t="n"/>
      <c r="ID62" s="351" t="n"/>
      <c r="IE62" s="352" t="n"/>
      <c r="IF62" s="353" t="n"/>
      <c r="IG62" s="354" t="n"/>
      <c r="IH62" s="355" t="n"/>
      <c r="II62" s="175" t="n"/>
      <c r="IJ62" s="315" t="n"/>
      <c r="IK62" s="177" t="n"/>
      <c r="IL62" s="315" t="n"/>
      <c r="IM62" s="175" t="n"/>
      <c r="IN62" s="315" t="n"/>
      <c r="IO62" s="177" t="n"/>
      <c r="IP62" s="315" t="n"/>
      <c r="IQ62" s="175" t="n"/>
      <c r="IR62" s="315" t="n"/>
      <c r="IS62" s="177" t="n"/>
      <c r="IT62" s="315" t="n"/>
      <c r="IU62" s="175" t="n"/>
      <c r="IV62" s="315" t="n"/>
      <c r="IW62" s="177" t="n"/>
      <c r="IX62" s="315" t="n"/>
      <c r="IY62" s="175" t="n"/>
      <c r="IZ62" s="315" t="n"/>
      <c r="JA62" s="177" t="n"/>
      <c r="JB62" s="315" t="n"/>
      <c r="JC62" s="175" t="n"/>
      <c r="JD62" s="315" t="n"/>
      <c r="JE62" s="177" t="n"/>
      <c r="JF62" s="315" t="n"/>
      <c r="JG62" s="175" t="n"/>
      <c r="JH62" s="315" t="n"/>
      <c r="JI62" s="177" t="n"/>
      <c r="JJ62" s="315" t="n"/>
      <c r="JK62" s="175" t="n"/>
      <c r="JL62" s="315" t="n"/>
      <c r="JM62" s="177" t="n"/>
      <c r="JN62" s="315" t="n"/>
      <c r="JO62" s="175" t="n"/>
      <c r="JP62" s="315" t="n"/>
      <c r="JQ62" s="177" t="n"/>
      <c r="JR62" s="315" t="n"/>
      <c r="JS62" s="175" t="n"/>
      <c r="JT62" s="315" t="n"/>
      <c r="JU62" s="177" t="n"/>
      <c r="JV62" s="315" t="n"/>
      <c r="JW62" s="175" t="n"/>
      <c r="JX62" s="315" t="n"/>
      <c r="JY62" s="177" t="n"/>
      <c r="JZ62" s="315" t="n"/>
      <c r="KA62" s="175" t="n"/>
      <c r="KB62" s="315" t="n"/>
      <c r="KC62" s="177" t="n"/>
      <c r="KD62" s="315" t="n"/>
      <c r="KE62" s="350" t="n"/>
      <c r="KF62" s="351" t="n"/>
      <c r="KG62" s="352" t="n"/>
      <c r="KH62" s="353" t="n"/>
      <c r="KI62" s="354" t="n"/>
      <c r="KJ62" s="358" t="n"/>
      <c r="KK62" s="189" t="n"/>
      <c r="KL62" s="189" t="n"/>
      <c r="KM62" s="189" t="n"/>
      <c r="KN62" s="190" t="n"/>
      <c r="KO62" s="291" t="n"/>
    </row>
    <row r="63" outlineLevel="1" ht="28.8" customFormat="1" customHeight="1" s="68">
      <c r="A63" s="347" t="n"/>
      <c r="B63" s="347" t="n"/>
      <c r="C63" s="347" t="n"/>
      <c r="D63" s="347" t="n"/>
      <c r="E63" s="15" t="n">
        <v>27</v>
      </c>
      <c r="F63" s="205" t="n">
        <v>2</v>
      </c>
      <c r="G63" s="214" t="n">
        <v>4493792810</v>
      </c>
      <c r="H63" s="213" t="inlineStr">
        <is>
          <t>Кабель питания, часть 1</t>
        </is>
      </c>
      <c r="I63" s="349" t="n"/>
      <c r="J63" s="349" t="n">
        <v>194</v>
      </c>
      <c r="K63" s="368" t="n"/>
      <c r="L63" s="368" t="n"/>
      <c r="M63" s="175" t="n"/>
      <c r="N63" s="315" t="n"/>
      <c r="O63" s="177" t="n"/>
      <c r="P63" s="315" t="n"/>
      <c r="Q63" s="175" t="n"/>
      <c r="R63" s="315" t="n"/>
      <c r="S63" s="177" t="n"/>
      <c r="T63" s="315" t="n"/>
      <c r="U63" s="175" t="n"/>
      <c r="V63" s="315" t="n"/>
      <c r="W63" s="177" t="n"/>
      <c r="X63" s="315" t="n"/>
      <c r="Y63" s="175" t="n"/>
      <c r="Z63" s="206" t="n"/>
      <c r="AA63" s="177" t="n"/>
      <c r="AB63" s="247" t="n"/>
      <c r="AC63" s="175" t="n"/>
      <c r="AD63" s="315" t="n"/>
      <c r="AE63" s="177" t="n"/>
      <c r="AF63" s="247" t="n"/>
      <c r="AG63" s="175" t="n"/>
      <c r="AH63" s="315" t="n"/>
      <c r="AI63" s="177" t="n"/>
      <c r="AJ63" s="247" t="n"/>
      <c r="AK63" s="175" t="n"/>
      <c r="AL63" s="315" t="n"/>
      <c r="AM63" s="177" t="n"/>
      <c r="AN63" s="247" t="n"/>
      <c r="AO63" s="175" t="n"/>
      <c r="AP63" s="315" t="n"/>
      <c r="AQ63" s="177" t="n"/>
      <c r="AR63" s="247" t="n"/>
      <c r="AS63" s="175" t="n"/>
      <c r="AT63" s="315" t="n"/>
      <c r="AU63" s="177" t="n"/>
      <c r="AV63" s="247" t="n"/>
      <c r="AW63" s="175" t="n"/>
      <c r="AX63" s="315" t="n"/>
      <c r="AY63" s="177" t="n"/>
      <c r="AZ63" s="247" t="n"/>
      <c r="BA63" s="175" t="n"/>
      <c r="BB63" s="315" t="n"/>
      <c r="BC63" s="207" t="n"/>
      <c r="BD63" s="315" t="n"/>
      <c r="BE63" s="175" t="n"/>
      <c r="BF63" s="315" t="n"/>
      <c r="BG63" s="208" t="n"/>
      <c r="BH63" s="315" t="n"/>
      <c r="BI63" s="350" t="n"/>
      <c r="BJ63" s="351" t="n"/>
      <c r="BK63" s="352" t="n"/>
      <c r="BL63" s="353" t="n"/>
      <c r="BM63" s="354" t="n"/>
      <c r="BN63" s="355" t="n"/>
      <c r="BO63" s="175" t="n"/>
      <c r="BP63" s="186" t="n"/>
      <c r="BQ63" s="315" t="n"/>
      <c r="BR63" s="177" t="n"/>
      <c r="BS63" s="315" t="n"/>
      <c r="BT63" s="175" t="n"/>
      <c r="BU63" s="186" t="n"/>
      <c r="BV63" s="315" t="n"/>
      <c r="BW63" s="177" t="n"/>
      <c r="BX63" s="245" t="n"/>
      <c r="BY63" s="175" t="n"/>
      <c r="BZ63" s="186" t="n"/>
      <c r="CA63" s="315" t="n"/>
      <c r="CB63" s="177" t="n"/>
      <c r="CC63" s="315" t="n"/>
      <c r="CD63" s="175" t="n"/>
      <c r="CE63" s="186" t="n"/>
      <c r="CF63" s="315" t="n"/>
      <c r="CG63" s="177" t="n"/>
      <c r="CH63" s="315" t="n"/>
      <c r="CI63" s="175" t="n"/>
      <c r="CJ63" s="186" t="n"/>
      <c r="CK63" s="315" t="n"/>
      <c r="CL63" s="177" t="n"/>
      <c r="CM63" s="315" t="n"/>
      <c r="CN63" s="175" t="n"/>
      <c r="CO63" s="186" t="n"/>
      <c r="CP63" s="315" t="n"/>
      <c r="CQ63" s="177" t="n"/>
      <c r="CR63" s="315" t="n"/>
      <c r="CS63" s="175" t="n"/>
      <c r="CT63" s="186" t="n"/>
      <c r="CU63" s="206" t="n"/>
      <c r="CV63" s="177" t="n"/>
      <c r="CW63" s="315" t="n"/>
      <c r="CX63" s="175" t="n"/>
      <c r="CY63" s="186" t="n"/>
      <c r="CZ63" s="206" t="n"/>
      <c r="DA63" s="177" t="n"/>
      <c r="DB63" s="315" t="n"/>
      <c r="DC63" s="175" t="n"/>
      <c r="DD63" s="186" t="n"/>
      <c r="DE63" s="315" t="n"/>
      <c r="DF63" s="177" t="n"/>
      <c r="DG63" s="315" t="n"/>
      <c r="DH63" s="175" t="n"/>
      <c r="DI63" s="186" t="n"/>
      <c r="DJ63" s="315" t="n"/>
      <c r="DK63" s="177" t="n"/>
      <c r="DL63" s="315" t="n"/>
      <c r="DM63" s="175" t="n"/>
      <c r="DN63" s="186" t="n"/>
      <c r="DO63" s="315" t="n"/>
      <c r="DP63" s="177" t="n"/>
      <c r="DQ63" s="227" t="n"/>
      <c r="DR63" s="175" t="n"/>
      <c r="DS63" s="186" t="n"/>
      <c r="DT63" s="315" t="n"/>
      <c r="DU63" s="177" t="n"/>
      <c r="DV63" s="315" t="n"/>
      <c r="DW63" s="350" t="n"/>
      <c r="DX63" s="351" t="n"/>
      <c r="DY63" s="356" t="n"/>
      <c r="DZ63" s="357" t="n"/>
      <c r="EA63" s="352" t="n"/>
      <c r="EB63" s="353" t="n"/>
      <c r="EC63" s="354" t="n"/>
      <c r="ED63" s="355" t="n"/>
      <c r="EE63" s="175" t="n"/>
      <c r="EF63" s="315" t="n"/>
      <c r="EG63" s="177" t="n"/>
      <c r="EH63" s="347" t="n"/>
      <c r="EI63" s="175" t="n"/>
      <c r="EJ63" s="315" t="n">
        <v>1</v>
      </c>
      <c r="EK63" s="177" t="n">
        <v>0</v>
      </c>
      <c r="EL63" s="347" t="n"/>
      <c r="EM63" s="175" t="n"/>
      <c r="EN63" s="315" t="n">
        <v>1</v>
      </c>
      <c r="EO63" s="38" t="n">
        <v>0</v>
      </c>
      <c r="EP63" s="347" t="n"/>
      <c r="EQ63" s="175" t="n"/>
      <c r="ER63" s="315" t="n"/>
      <c r="ES63" s="177" t="n"/>
      <c r="ET63" s="315" t="n"/>
      <c r="EU63" s="175" t="n"/>
      <c r="EV63" s="315" t="n">
        <v>1</v>
      </c>
      <c r="EW63" s="177" t="n">
        <v>0</v>
      </c>
      <c r="EX63" s="347" t="n"/>
      <c r="EY63" s="175" t="n"/>
      <c r="EZ63" s="315" t="n"/>
      <c r="FA63" s="177" t="n"/>
      <c r="FB63" s="315" t="n"/>
      <c r="FC63" s="175" t="n"/>
      <c r="FD63" s="315" t="n"/>
      <c r="FE63" s="177" t="n"/>
      <c r="FF63" s="315" t="n"/>
      <c r="FG63" s="175" t="n"/>
      <c r="FH63" s="315" t="n"/>
      <c r="FI63" s="177" t="n"/>
      <c r="FJ63" s="315" t="n"/>
      <c r="FK63" s="175" t="n"/>
      <c r="FL63" s="315" t="n"/>
      <c r="FM63" s="177" t="n"/>
      <c r="FN63" s="315" t="n"/>
      <c r="FO63" s="175" t="n"/>
      <c r="FP63" s="315" t="n"/>
      <c r="FQ63" s="177" t="n"/>
      <c r="FR63" s="315" t="n"/>
      <c r="FS63" s="175" t="n"/>
      <c r="FT63" s="315" t="n"/>
      <c r="FU63" s="177" t="n"/>
      <c r="FV63" s="315" t="n"/>
      <c r="FW63" s="175" t="n"/>
      <c r="FX63" s="315" t="n"/>
      <c r="FY63" s="177" t="n"/>
      <c r="FZ63" s="315" t="n"/>
      <c r="GA63" s="338">
        <f t="array" ref="GA63">SUMPRODUCT(--(MOD(COLUMN($EE63:$FZ63),4)=MOD(COLUMN($EE63),4)),$EE63:$FZ63)</f>
        <v/>
      </c>
      <c r="GB63" s="339">
        <f>GA63*$J63</f>
        <v/>
      </c>
      <c r="GC63" s="340">
        <f t="array" ref="GC63">SUMPRODUCT(--(MOD(COLUMN($EE63:$FZ63),4)=MOD(COLUMN($EF63),4)),$EE63:$FZ63)</f>
        <v/>
      </c>
      <c r="GD63" s="341">
        <f>GC63*$J63</f>
        <v/>
      </c>
      <c r="GE63" s="342">
        <f t="array" ref="GE63">SUMPRODUCT(--(MOD(COLUMN($EE63:$FZ63),4)=MOD(COLUMN($EG63),4)),$EE63:$FZ63)</f>
        <v/>
      </c>
      <c r="GF63" s="343">
        <f>GE63*$J63</f>
        <v/>
      </c>
      <c r="GG63" s="175" t="n"/>
      <c r="GH63" s="315" t="n"/>
      <c r="GI63" s="177" t="n"/>
      <c r="GJ63" s="315" t="n"/>
      <c r="GK63" s="175" t="n"/>
      <c r="GL63" s="315" t="n"/>
      <c r="GM63" s="177" t="n"/>
      <c r="GN63" s="315" t="n"/>
      <c r="GO63" s="175" t="n"/>
      <c r="GP63" s="315" t="n"/>
      <c r="GQ63" s="177" t="n"/>
      <c r="GR63" s="315" t="n"/>
      <c r="GS63" s="175" t="n"/>
      <c r="GT63" s="315" t="n"/>
      <c r="GU63" s="177" t="n"/>
      <c r="GV63" s="315" t="n"/>
      <c r="GW63" s="175" t="n"/>
      <c r="GX63" s="315" t="n"/>
      <c r="GY63" s="177" t="n"/>
      <c r="GZ63" s="315" t="n"/>
      <c r="HA63" s="175" t="n"/>
      <c r="HB63" s="315" t="n"/>
      <c r="HC63" s="177" t="n"/>
      <c r="HD63" s="315" t="n"/>
      <c r="HE63" s="175" t="n"/>
      <c r="HF63" s="315" t="n"/>
      <c r="HG63" s="177" t="n"/>
      <c r="HH63" s="315" t="n"/>
      <c r="HI63" s="175" t="n"/>
      <c r="HJ63" s="315" t="n"/>
      <c r="HK63" s="177" t="n"/>
      <c r="HL63" s="315" t="n"/>
      <c r="HM63" s="175" t="n"/>
      <c r="HN63" s="315" t="n"/>
      <c r="HO63" s="177" t="n"/>
      <c r="HP63" s="315" t="n"/>
      <c r="HQ63" s="175" t="n"/>
      <c r="HR63" s="315" t="n"/>
      <c r="HS63" s="177" t="n"/>
      <c r="HT63" s="315" t="n"/>
      <c r="HU63" s="175" t="n"/>
      <c r="HV63" s="315" t="n"/>
      <c r="HW63" s="177" t="n"/>
      <c r="HX63" s="315" t="n"/>
      <c r="HY63" s="175" t="n"/>
      <c r="HZ63" s="315" t="n"/>
      <c r="IA63" s="177" t="n"/>
      <c r="IB63" s="315" t="n"/>
      <c r="IC63" s="350" t="n"/>
      <c r="ID63" s="351" t="n"/>
      <c r="IE63" s="352" t="n"/>
      <c r="IF63" s="353" t="n"/>
      <c r="IG63" s="354" t="n"/>
      <c r="IH63" s="355" t="n"/>
      <c r="II63" s="175" t="n"/>
      <c r="IJ63" s="315" t="n"/>
      <c r="IK63" s="177" t="n"/>
      <c r="IL63" s="315" t="n"/>
      <c r="IM63" s="175" t="n"/>
      <c r="IN63" s="315" t="n"/>
      <c r="IO63" s="177" t="n"/>
      <c r="IP63" s="315" t="n"/>
      <c r="IQ63" s="175" t="n"/>
      <c r="IR63" s="315" t="n"/>
      <c r="IS63" s="177" t="n"/>
      <c r="IT63" s="315" t="n"/>
      <c r="IU63" s="175" t="n"/>
      <c r="IV63" s="315" t="n"/>
      <c r="IW63" s="177" t="n"/>
      <c r="IX63" s="315" t="n"/>
      <c r="IY63" s="175" t="n"/>
      <c r="IZ63" s="315" t="n"/>
      <c r="JA63" s="177" t="n"/>
      <c r="JB63" s="315" t="n"/>
      <c r="JC63" s="175" t="n"/>
      <c r="JD63" s="315" t="n"/>
      <c r="JE63" s="177" t="n"/>
      <c r="JF63" s="315" t="n"/>
      <c r="JG63" s="175" t="n"/>
      <c r="JH63" s="315" t="n"/>
      <c r="JI63" s="177" t="n"/>
      <c r="JJ63" s="315" t="n"/>
      <c r="JK63" s="175" t="n"/>
      <c r="JL63" s="315" t="n"/>
      <c r="JM63" s="177" t="n"/>
      <c r="JN63" s="315" t="n"/>
      <c r="JO63" s="175" t="n"/>
      <c r="JP63" s="315" t="n"/>
      <c r="JQ63" s="177" t="n"/>
      <c r="JR63" s="315" t="n"/>
      <c r="JS63" s="175" t="n"/>
      <c r="JT63" s="315" t="n"/>
      <c r="JU63" s="177" t="n"/>
      <c r="JV63" s="315" t="n"/>
      <c r="JW63" s="175" t="n"/>
      <c r="JX63" s="315" t="n"/>
      <c r="JY63" s="177" t="n"/>
      <c r="JZ63" s="315" t="n"/>
      <c r="KA63" s="175" t="n"/>
      <c r="KB63" s="315" t="n"/>
      <c r="KC63" s="177" t="n"/>
      <c r="KD63" s="315" t="n"/>
      <c r="KE63" s="350" t="n"/>
      <c r="KF63" s="351" t="n"/>
      <c r="KG63" s="352" t="n"/>
      <c r="KH63" s="353" t="n"/>
      <c r="KI63" s="354" t="n"/>
      <c r="KJ63" s="358" t="n"/>
      <c r="KK63" s="189" t="n"/>
      <c r="KL63" s="189" t="n"/>
      <c r="KM63" s="189" t="n"/>
      <c r="KN63" s="190" t="n"/>
      <c r="KO63" s="291" t="n"/>
    </row>
    <row r="64" outlineLevel="1" ht="28.8" customFormat="1" customHeight="1" s="68">
      <c r="A64" s="347" t="n"/>
      <c r="B64" s="347" t="n"/>
      <c r="C64" s="347" t="n"/>
      <c r="D64" s="347" t="n"/>
      <c r="E64" s="15" t="n">
        <v>28</v>
      </c>
      <c r="F64" s="205" t="n">
        <v>2</v>
      </c>
      <c r="G64" s="214" t="n">
        <v>4491301200</v>
      </c>
      <c r="H64" s="213" t="inlineStr">
        <is>
          <t>Кабель питания, часть 2,  12 м</t>
        </is>
      </c>
      <c r="I64" s="349" t="n"/>
      <c r="J64" s="349" t="n">
        <v>580</v>
      </c>
      <c r="K64" s="368" t="n"/>
      <c r="L64" s="368" t="n"/>
      <c r="M64" s="175" t="n"/>
      <c r="N64" s="315" t="n"/>
      <c r="O64" s="177" t="n"/>
      <c r="P64" s="315" t="n"/>
      <c r="Q64" s="175" t="n"/>
      <c r="R64" s="315" t="n"/>
      <c r="S64" s="177" t="n"/>
      <c r="T64" s="315" t="n"/>
      <c r="U64" s="175" t="n"/>
      <c r="V64" s="315" t="n"/>
      <c r="W64" s="177" t="n"/>
      <c r="X64" s="315" t="n"/>
      <c r="Y64" s="175" t="n"/>
      <c r="Z64" s="206" t="n"/>
      <c r="AA64" s="177" t="n"/>
      <c r="AB64" s="247" t="n"/>
      <c r="AC64" s="175" t="n"/>
      <c r="AD64" s="315" t="n"/>
      <c r="AE64" s="177" t="n"/>
      <c r="AF64" s="247" t="n"/>
      <c r="AG64" s="175" t="n"/>
      <c r="AH64" s="315" t="n"/>
      <c r="AI64" s="177" t="n"/>
      <c r="AJ64" s="247" t="n"/>
      <c r="AK64" s="175" t="n"/>
      <c r="AL64" s="315" t="n"/>
      <c r="AM64" s="177" t="n"/>
      <c r="AN64" s="247" t="n"/>
      <c r="AO64" s="175" t="n"/>
      <c r="AP64" s="315" t="n"/>
      <c r="AQ64" s="177" t="n"/>
      <c r="AR64" s="247" t="n"/>
      <c r="AS64" s="175" t="n"/>
      <c r="AT64" s="315" t="n"/>
      <c r="AU64" s="177" t="n"/>
      <c r="AV64" s="247" t="n"/>
      <c r="AW64" s="175" t="n"/>
      <c r="AX64" s="315" t="n"/>
      <c r="AY64" s="177" t="n"/>
      <c r="AZ64" s="247" t="n"/>
      <c r="BA64" s="175" t="n"/>
      <c r="BB64" s="315" t="n"/>
      <c r="BC64" s="207" t="n"/>
      <c r="BD64" s="315" t="n"/>
      <c r="BE64" s="175" t="n"/>
      <c r="BF64" s="315" t="n"/>
      <c r="BG64" s="208" t="n"/>
      <c r="BH64" s="315" t="n"/>
      <c r="BI64" s="350" t="n"/>
      <c r="BJ64" s="351" t="n"/>
      <c r="BK64" s="352" t="n"/>
      <c r="BL64" s="353" t="n"/>
      <c r="BM64" s="354" t="n"/>
      <c r="BN64" s="355" t="n"/>
      <c r="BO64" s="175" t="n"/>
      <c r="BP64" s="186" t="n"/>
      <c r="BQ64" s="315" t="n"/>
      <c r="BR64" s="177" t="n"/>
      <c r="BS64" s="315" t="n"/>
      <c r="BT64" s="175" t="n"/>
      <c r="BU64" s="186" t="n"/>
      <c r="BV64" s="315" t="n"/>
      <c r="BW64" s="177" t="n"/>
      <c r="BX64" s="245" t="n"/>
      <c r="BY64" s="175" t="n"/>
      <c r="BZ64" s="186" t="n"/>
      <c r="CA64" s="315" t="n"/>
      <c r="CB64" s="177" t="n"/>
      <c r="CC64" s="315" t="n"/>
      <c r="CD64" s="175" t="n"/>
      <c r="CE64" s="186" t="n"/>
      <c r="CF64" s="315" t="n"/>
      <c r="CG64" s="177" t="n"/>
      <c r="CH64" s="315" t="n"/>
      <c r="CI64" s="175" t="n"/>
      <c r="CJ64" s="186" t="n"/>
      <c r="CK64" s="315" t="n"/>
      <c r="CL64" s="177" t="n"/>
      <c r="CM64" s="315" t="n"/>
      <c r="CN64" s="175" t="n"/>
      <c r="CO64" s="186" t="n"/>
      <c r="CP64" s="315" t="n"/>
      <c r="CQ64" s="177" t="n"/>
      <c r="CR64" s="315" t="n"/>
      <c r="CS64" s="175" t="n"/>
      <c r="CT64" s="186" t="n"/>
      <c r="CU64" s="206" t="n"/>
      <c r="CV64" s="177" t="n"/>
      <c r="CW64" s="315" t="n"/>
      <c r="CX64" s="175" t="n"/>
      <c r="CY64" s="186" t="n"/>
      <c r="CZ64" s="206" t="n"/>
      <c r="DA64" s="177" t="n"/>
      <c r="DB64" s="315" t="n"/>
      <c r="DC64" s="175" t="n"/>
      <c r="DD64" s="186" t="n"/>
      <c r="DE64" s="315" t="n"/>
      <c r="DF64" s="177" t="n"/>
      <c r="DG64" s="315" t="n"/>
      <c r="DH64" s="175" t="n"/>
      <c r="DI64" s="186" t="n"/>
      <c r="DJ64" s="315" t="n"/>
      <c r="DK64" s="177" t="n"/>
      <c r="DL64" s="315" t="n"/>
      <c r="DM64" s="175" t="n"/>
      <c r="DN64" s="186" t="n"/>
      <c r="DO64" s="315" t="n"/>
      <c r="DP64" s="177" t="n"/>
      <c r="DQ64" s="227" t="n"/>
      <c r="DR64" s="175" t="n"/>
      <c r="DS64" s="186" t="n"/>
      <c r="DT64" s="315" t="n"/>
      <c r="DU64" s="177" t="n"/>
      <c r="DV64" s="315" t="n"/>
      <c r="DW64" s="350" t="n"/>
      <c r="DX64" s="351" t="n"/>
      <c r="DY64" s="356" t="n"/>
      <c r="DZ64" s="357" t="n"/>
      <c r="EA64" s="352" t="n"/>
      <c r="EB64" s="353" t="n"/>
      <c r="EC64" s="354" t="n"/>
      <c r="ED64" s="355" t="n"/>
      <c r="EE64" s="175" t="n"/>
      <c r="EF64" s="315" t="n"/>
      <c r="EG64" s="177" t="n"/>
      <c r="EH64" s="347" t="n"/>
      <c r="EI64" s="175" t="n"/>
      <c r="EJ64" s="315" t="n">
        <v>1</v>
      </c>
      <c r="EK64" s="177" t="n">
        <v>0</v>
      </c>
      <c r="EL64" s="347" t="n"/>
      <c r="EM64" s="175" t="n"/>
      <c r="EN64" s="315" t="n">
        <v>1</v>
      </c>
      <c r="EO64" s="38" t="n">
        <v>0</v>
      </c>
      <c r="EP64" s="347" t="n"/>
      <c r="EQ64" s="175" t="n"/>
      <c r="ER64" s="315" t="n"/>
      <c r="ES64" s="177" t="n"/>
      <c r="ET64" s="315" t="n"/>
      <c r="EU64" s="175" t="n"/>
      <c r="EV64" s="315" t="n">
        <v>1</v>
      </c>
      <c r="EW64" s="177" t="n">
        <v>0</v>
      </c>
      <c r="EX64" s="347" t="n"/>
      <c r="EY64" s="175" t="n"/>
      <c r="EZ64" s="315" t="n"/>
      <c r="FA64" s="177" t="n"/>
      <c r="FB64" s="315" t="n"/>
      <c r="FC64" s="175" t="n"/>
      <c r="FD64" s="315" t="n"/>
      <c r="FE64" s="177" t="n"/>
      <c r="FF64" s="315" t="n"/>
      <c r="FG64" s="175" t="n"/>
      <c r="FH64" s="315" t="n"/>
      <c r="FI64" s="177" t="n"/>
      <c r="FJ64" s="315" t="n"/>
      <c r="FK64" s="175" t="n"/>
      <c r="FL64" s="315" t="n"/>
      <c r="FM64" s="177" t="n"/>
      <c r="FN64" s="315" t="n"/>
      <c r="FO64" s="175" t="n"/>
      <c r="FP64" s="315" t="n"/>
      <c r="FQ64" s="177" t="n"/>
      <c r="FR64" s="315" t="n"/>
      <c r="FS64" s="175" t="n"/>
      <c r="FT64" s="315" t="n"/>
      <c r="FU64" s="177" t="n"/>
      <c r="FV64" s="315" t="n"/>
      <c r="FW64" s="175" t="n"/>
      <c r="FX64" s="315" t="n"/>
      <c r="FY64" s="177" t="n"/>
      <c r="FZ64" s="315" t="n"/>
      <c r="GA64" s="338">
        <f t="array" ref="GA64">SUMPRODUCT(--(MOD(COLUMN($EE64:$FZ64),4)=MOD(COLUMN($EE64),4)),$EE64:$FZ64)</f>
        <v/>
      </c>
      <c r="GB64" s="339">
        <f>GA64*$J64</f>
        <v/>
      </c>
      <c r="GC64" s="340">
        <f t="array" ref="GC64">SUMPRODUCT(--(MOD(COLUMN($EE64:$FZ64),4)=MOD(COLUMN($EF64),4)),$EE64:$FZ64)</f>
        <v/>
      </c>
      <c r="GD64" s="341">
        <f>GC64*$J64</f>
        <v/>
      </c>
      <c r="GE64" s="342">
        <f t="array" ref="GE64">SUMPRODUCT(--(MOD(COLUMN($EE64:$FZ64),4)=MOD(COLUMN($EG64),4)),$EE64:$FZ64)</f>
        <v/>
      </c>
      <c r="GF64" s="343">
        <f>GE64*$J64</f>
        <v/>
      </c>
      <c r="GG64" s="175" t="n"/>
      <c r="GH64" s="315" t="n"/>
      <c r="GI64" s="177" t="n"/>
      <c r="GJ64" s="315" t="n"/>
      <c r="GK64" s="175" t="n"/>
      <c r="GL64" s="315" t="n"/>
      <c r="GM64" s="177" t="n"/>
      <c r="GN64" s="315" t="n"/>
      <c r="GO64" s="175" t="n"/>
      <c r="GP64" s="315" t="n"/>
      <c r="GQ64" s="177" t="n"/>
      <c r="GR64" s="315" t="n"/>
      <c r="GS64" s="175" t="n"/>
      <c r="GT64" s="315" t="n"/>
      <c r="GU64" s="177" t="n"/>
      <c r="GV64" s="315" t="n"/>
      <c r="GW64" s="175" t="n"/>
      <c r="GX64" s="315" t="n"/>
      <c r="GY64" s="177" t="n"/>
      <c r="GZ64" s="315" t="n"/>
      <c r="HA64" s="175" t="n"/>
      <c r="HB64" s="315" t="n"/>
      <c r="HC64" s="177" t="n"/>
      <c r="HD64" s="315" t="n"/>
      <c r="HE64" s="175" t="n"/>
      <c r="HF64" s="315" t="n"/>
      <c r="HG64" s="177" t="n"/>
      <c r="HH64" s="315" t="n"/>
      <c r="HI64" s="175" t="n"/>
      <c r="HJ64" s="315" t="n"/>
      <c r="HK64" s="177" t="n"/>
      <c r="HL64" s="315" t="n"/>
      <c r="HM64" s="175" t="n"/>
      <c r="HN64" s="315" t="n"/>
      <c r="HO64" s="177" t="n"/>
      <c r="HP64" s="315" t="n"/>
      <c r="HQ64" s="175" t="n"/>
      <c r="HR64" s="315" t="n"/>
      <c r="HS64" s="177" t="n"/>
      <c r="HT64" s="315" t="n"/>
      <c r="HU64" s="175" t="n"/>
      <c r="HV64" s="315" t="n"/>
      <c r="HW64" s="177" t="n"/>
      <c r="HX64" s="315" t="n"/>
      <c r="HY64" s="175" t="n"/>
      <c r="HZ64" s="315" t="n"/>
      <c r="IA64" s="177" t="n"/>
      <c r="IB64" s="315" t="n"/>
      <c r="IC64" s="350" t="n"/>
      <c r="ID64" s="351" t="n"/>
      <c r="IE64" s="352" t="n"/>
      <c r="IF64" s="353" t="n"/>
      <c r="IG64" s="354" t="n"/>
      <c r="IH64" s="355" t="n"/>
      <c r="II64" s="175" t="n"/>
      <c r="IJ64" s="315" t="n"/>
      <c r="IK64" s="177" t="n"/>
      <c r="IL64" s="315" t="n"/>
      <c r="IM64" s="175" t="n"/>
      <c r="IN64" s="315" t="n"/>
      <c r="IO64" s="177" t="n"/>
      <c r="IP64" s="315" t="n"/>
      <c r="IQ64" s="175" t="n"/>
      <c r="IR64" s="315" t="n"/>
      <c r="IS64" s="177" t="n"/>
      <c r="IT64" s="315" t="n"/>
      <c r="IU64" s="175" t="n"/>
      <c r="IV64" s="315" t="n"/>
      <c r="IW64" s="177" t="n"/>
      <c r="IX64" s="315" t="n"/>
      <c r="IY64" s="175" t="n"/>
      <c r="IZ64" s="315" t="n"/>
      <c r="JA64" s="177" t="n"/>
      <c r="JB64" s="315" t="n"/>
      <c r="JC64" s="175" t="n"/>
      <c r="JD64" s="315" t="n"/>
      <c r="JE64" s="177" t="n"/>
      <c r="JF64" s="315" t="n"/>
      <c r="JG64" s="175" t="n"/>
      <c r="JH64" s="315" t="n"/>
      <c r="JI64" s="177" t="n"/>
      <c r="JJ64" s="315" t="n"/>
      <c r="JK64" s="175" t="n"/>
      <c r="JL64" s="315" t="n"/>
      <c r="JM64" s="177" t="n"/>
      <c r="JN64" s="315" t="n"/>
      <c r="JO64" s="175" t="n"/>
      <c r="JP64" s="315" t="n"/>
      <c r="JQ64" s="177" t="n"/>
      <c r="JR64" s="315" t="n"/>
      <c r="JS64" s="175" t="n"/>
      <c r="JT64" s="315" t="n"/>
      <c r="JU64" s="177" t="n"/>
      <c r="JV64" s="315" t="n"/>
      <c r="JW64" s="175" t="n"/>
      <c r="JX64" s="315" t="n"/>
      <c r="JY64" s="177" t="n"/>
      <c r="JZ64" s="315" t="n"/>
      <c r="KA64" s="175" t="n"/>
      <c r="KB64" s="315" t="n"/>
      <c r="KC64" s="177" t="n"/>
      <c r="KD64" s="315" t="n"/>
      <c r="KE64" s="350" t="n"/>
      <c r="KF64" s="351" t="n"/>
      <c r="KG64" s="352" t="n"/>
      <c r="KH64" s="353" t="n"/>
      <c r="KI64" s="354" t="n"/>
      <c r="KJ64" s="358" t="n"/>
      <c r="KK64" s="189" t="n"/>
      <c r="KL64" s="189" t="n"/>
      <c r="KM64" s="189" t="n"/>
      <c r="KN64" s="190" t="n"/>
      <c r="KO64" s="291" t="n"/>
    </row>
    <row r="65" outlineLevel="1" ht="28.8" customFormat="1" customHeight="1" s="68">
      <c r="A65" s="347" t="n"/>
      <c r="B65" s="347" t="n"/>
      <c r="C65" s="347" t="n"/>
      <c r="D65" s="347" t="n"/>
      <c r="E65" s="15" t="n">
        <v>29</v>
      </c>
      <c r="F65" s="205" t="n">
        <v>2</v>
      </c>
      <c r="G65" s="214" t="n">
        <v>4497490300</v>
      </c>
      <c r="H65" s="213" t="inlineStr">
        <is>
          <t>Кабель-удлинитель датчика АБС, 3 м</t>
        </is>
      </c>
      <c r="I65" s="349" t="n"/>
      <c r="J65" s="349" t="n">
        <v>58</v>
      </c>
      <c r="K65" s="368" t="n"/>
      <c r="L65" s="368" t="n"/>
      <c r="M65" s="175" t="n"/>
      <c r="N65" s="315" t="n"/>
      <c r="O65" s="177" t="n"/>
      <c r="P65" s="315" t="n"/>
      <c r="Q65" s="175" t="n"/>
      <c r="R65" s="315" t="n"/>
      <c r="S65" s="177" t="n"/>
      <c r="T65" s="315" t="n"/>
      <c r="U65" s="175" t="n"/>
      <c r="V65" s="315" t="n"/>
      <c r="W65" s="177" t="n"/>
      <c r="X65" s="315" t="n"/>
      <c r="Y65" s="175" t="n"/>
      <c r="Z65" s="206" t="n"/>
      <c r="AA65" s="177" t="n"/>
      <c r="AB65" s="247" t="n"/>
      <c r="AC65" s="175" t="n"/>
      <c r="AD65" s="315" t="n"/>
      <c r="AE65" s="177" t="n"/>
      <c r="AF65" s="247" t="n"/>
      <c r="AG65" s="175" t="n"/>
      <c r="AH65" s="315" t="n"/>
      <c r="AI65" s="177" t="n"/>
      <c r="AJ65" s="247" t="n"/>
      <c r="AK65" s="175" t="n"/>
      <c r="AL65" s="315" t="n"/>
      <c r="AM65" s="177" t="n"/>
      <c r="AN65" s="247" t="n"/>
      <c r="AO65" s="175" t="n"/>
      <c r="AP65" s="315" t="n"/>
      <c r="AQ65" s="177" t="n"/>
      <c r="AR65" s="247" t="n"/>
      <c r="AS65" s="175" t="n"/>
      <c r="AT65" s="315" t="n"/>
      <c r="AU65" s="177" t="n"/>
      <c r="AV65" s="247" t="n"/>
      <c r="AW65" s="175" t="n"/>
      <c r="AX65" s="315" t="n"/>
      <c r="AY65" s="177" t="n"/>
      <c r="AZ65" s="247" t="n"/>
      <c r="BA65" s="175" t="n"/>
      <c r="BB65" s="315" t="n"/>
      <c r="BC65" s="207" t="n"/>
      <c r="BD65" s="315" t="n"/>
      <c r="BE65" s="175" t="n"/>
      <c r="BF65" s="315" t="n"/>
      <c r="BG65" s="208" t="n"/>
      <c r="BH65" s="315" t="n"/>
      <c r="BI65" s="350" t="n"/>
      <c r="BJ65" s="351" t="n"/>
      <c r="BK65" s="352" t="n"/>
      <c r="BL65" s="353" t="n"/>
      <c r="BM65" s="354" t="n"/>
      <c r="BN65" s="355" t="n"/>
      <c r="BO65" s="175" t="n"/>
      <c r="BP65" s="186" t="n"/>
      <c r="BQ65" s="315" t="n"/>
      <c r="BR65" s="177" t="n"/>
      <c r="BS65" s="315" t="n"/>
      <c r="BT65" s="175" t="n"/>
      <c r="BU65" s="186" t="n"/>
      <c r="BV65" s="315" t="n"/>
      <c r="BW65" s="177" t="n"/>
      <c r="BX65" s="245" t="n"/>
      <c r="BY65" s="175" t="n"/>
      <c r="BZ65" s="186" t="n"/>
      <c r="CA65" s="315" t="n"/>
      <c r="CB65" s="177" t="n"/>
      <c r="CC65" s="315" t="n"/>
      <c r="CD65" s="175" t="n"/>
      <c r="CE65" s="186" t="n"/>
      <c r="CF65" s="315" t="n"/>
      <c r="CG65" s="177" t="n"/>
      <c r="CH65" s="315" t="n"/>
      <c r="CI65" s="175" t="n"/>
      <c r="CJ65" s="186" t="n"/>
      <c r="CK65" s="315" t="n"/>
      <c r="CL65" s="177" t="n"/>
      <c r="CM65" s="315" t="n"/>
      <c r="CN65" s="175" t="n"/>
      <c r="CO65" s="186" t="n"/>
      <c r="CP65" s="315" t="n"/>
      <c r="CQ65" s="177" t="n"/>
      <c r="CR65" s="315" t="n"/>
      <c r="CS65" s="175" t="n"/>
      <c r="CT65" s="186" t="n"/>
      <c r="CU65" s="206" t="n"/>
      <c r="CV65" s="177" t="n"/>
      <c r="CW65" s="315" t="n"/>
      <c r="CX65" s="175" t="n"/>
      <c r="CY65" s="186" t="n"/>
      <c r="CZ65" s="206" t="n"/>
      <c r="DA65" s="177" t="n"/>
      <c r="DB65" s="315" t="n"/>
      <c r="DC65" s="175" t="n"/>
      <c r="DD65" s="186" t="n"/>
      <c r="DE65" s="315" t="n"/>
      <c r="DF65" s="177" t="n"/>
      <c r="DG65" s="315" t="n"/>
      <c r="DH65" s="175" t="n"/>
      <c r="DI65" s="186" t="n"/>
      <c r="DJ65" s="315" t="n"/>
      <c r="DK65" s="177" t="n"/>
      <c r="DL65" s="315" t="n"/>
      <c r="DM65" s="175" t="n"/>
      <c r="DN65" s="186" t="n"/>
      <c r="DO65" s="315" t="n"/>
      <c r="DP65" s="177" t="n"/>
      <c r="DQ65" s="227" t="n"/>
      <c r="DR65" s="175" t="n"/>
      <c r="DS65" s="186" t="n"/>
      <c r="DT65" s="315" t="n"/>
      <c r="DU65" s="177" t="n"/>
      <c r="DV65" s="315" t="n"/>
      <c r="DW65" s="350" t="n"/>
      <c r="DX65" s="351" t="n"/>
      <c r="DY65" s="356" t="n"/>
      <c r="DZ65" s="357" t="n"/>
      <c r="EA65" s="352" t="n"/>
      <c r="EB65" s="353" t="n"/>
      <c r="EC65" s="354" t="n"/>
      <c r="ED65" s="355" t="n"/>
      <c r="EE65" s="175" t="n"/>
      <c r="EF65" s="315" t="n"/>
      <c r="EG65" s="177" t="n"/>
      <c r="EH65" s="333" t="n"/>
      <c r="EI65" s="175" t="n"/>
      <c r="EJ65" s="315" t="n">
        <v>4</v>
      </c>
      <c r="EK65" s="177" t="n">
        <v>0</v>
      </c>
      <c r="EL65" s="347" t="n"/>
      <c r="EM65" s="175" t="n"/>
      <c r="EN65" s="315" t="n">
        <v>4</v>
      </c>
      <c r="EO65" s="38" t="n">
        <v>0</v>
      </c>
      <c r="EP65" s="347" t="n"/>
      <c r="EQ65" s="175" t="n"/>
      <c r="ER65" s="315" t="n"/>
      <c r="ES65" s="177" t="n"/>
      <c r="ET65" s="315" t="n"/>
      <c r="EU65" s="175" t="n"/>
      <c r="EV65" s="315" t="n">
        <v>4</v>
      </c>
      <c r="EW65" s="177" t="n">
        <v>0</v>
      </c>
      <c r="EX65" s="347" t="n"/>
      <c r="EY65" s="175" t="n"/>
      <c r="EZ65" s="315" t="n"/>
      <c r="FA65" s="177" t="n"/>
      <c r="FB65" s="315" t="n"/>
      <c r="FC65" s="175" t="n"/>
      <c r="FD65" s="315" t="n"/>
      <c r="FE65" s="177" t="n"/>
      <c r="FF65" s="315" t="n"/>
      <c r="FG65" s="175" t="n"/>
      <c r="FH65" s="315" t="n"/>
      <c r="FI65" s="177" t="n"/>
      <c r="FJ65" s="315" t="n"/>
      <c r="FK65" s="175" t="n"/>
      <c r="FL65" s="315" t="n"/>
      <c r="FM65" s="177" t="n"/>
      <c r="FN65" s="315" t="n"/>
      <c r="FO65" s="175" t="n"/>
      <c r="FP65" s="315" t="n"/>
      <c r="FQ65" s="177" t="n"/>
      <c r="FR65" s="315" t="n"/>
      <c r="FS65" s="175" t="n"/>
      <c r="FT65" s="315" t="n"/>
      <c r="FU65" s="177" t="n"/>
      <c r="FV65" s="315" t="n"/>
      <c r="FW65" s="175" t="n"/>
      <c r="FX65" s="315" t="n"/>
      <c r="FY65" s="177" t="n"/>
      <c r="FZ65" s="315" t="n"/>
      <c r="GA65" s="338">
        <f t="array" ref="GA65">SUMPRODUCT(--(MOD(COLUMN($EE65:$FZ65),4)=MOD(COLUMN($EE65),4)),$EE65:$FZ65)</f>
        <v/>
      </c>
      <c r="GB65" s="339">
        <f>GA65*$J65</f>
        <v/>
      </c>
      <c r="GC65" s="340">
        <f t="array" ref="GC65">SUMPRODUCT(--(MOD(COLUMN($EE65:$FZ65),4)=MOD(COLUMN($EF65),4)),$EE65:$FZ65)</f>
        <v/>
      </c>
      <c r="GD65" s="341">
        <f>GC65*$J65</f>
        <v/>
      </c>
      <c r="GE65" s="342">
        <f t="array" ref="GE65">SUMPRODUCT(--(MOD(COLUMN($EE65:$FZ65),4)=MOD(COLUMN($EG65),4)),$EE65:$FZ65)</f>
        <v/>
      </c>
      <c r="GF65" s="343">
        <f>GE65*$J65</f>
        <v/>
      </c>
      <c r="GG65" s="175" t="n"/>
      <c r="GH65" s="315" t="n"/>
      <c r="GI65" s="177" t="n"/>
      <c r="GJ65" s="315" t="n"/>
      <c r="GK65" s="175" t="n"/>
      <c r="GL65" s="315" t="n"/>
      <c r="GM65" s="177" t="n"/>
      <c r="GN65" s="315" t="n"/>
      <c r="GO65" s="175" t="n"/>
      <c r="GP65" s="315" t="n"/>
      <c r="GQ65" s="177" t="n"/>
      <c r="GR65" s="315" t="n"/>
      <c r="GS65" s="175" t="n"/>
      <c r="GT65" s="315" t="n"/>
      <c r="GU65" s="177" t="n"/>
      <c r="GV65" s="315" t="n"/>
      <c r="GW65" s="175" t="n"/>
      <c r="GX65" s="315" t="n"/>
      <c r="GY65" s="177" t="n"/>
      <c r="GZ65" s="315" t="n"/>
      <c r="HA65" s="175" t="n"/>
      <c r="HB65" s="315" t="n"/>
      <c r="HC65" s="177" t="n"/>
      <c r="HD65" s="315" t="n"/>
      <c r="HE65" s="175" t="n"/>
      <c r="HF65" s="315" t="n"/>
      <c r="HG65" s="177" t="n"/>
      <c r="HH65" s="315" t="n"/>
      <c r="HI65" s="175" t="n"/>
      <c r="HJ65" s="315" t="n"/>
      <c r="HK65" s="177" t="n"/>
      <c r="HL65" s="315" t="n"/>
      <c r="HM65" s="175" t="n"/>
      <c r="HN65" s="315" t="n"/>
      <c r="HO65" s="177" t="n"/>
      <c r="HP65" s="315" t="n"/>
      <c r="HQ65" s="175" t="n"/>
      <c r="HR65" s="315" t="n"/>
      <c r="HS65" s="177" t="n"/>
      <c r="HT65" s="315" t="n"/>
      <c r="HU65" s="175" t="n"/>
      <c r="HV65" s="315" t="n"/>
      <c r="HW65" s="177" t="n"/>
      <c r="HX65" s="315" t="n"/>
      <c r="HY65" s="175" t="n"/>
      <c r="HZ65" s="315" t="n"/>
      <c r="IA65" s="177" t="n"/>
      <c r="IB65" s="315" t="n"/>
      <c r="IC65" s="350" t="n"/>
      <c r="ID65" s="351" t="n"/>
      <c r="IE65" s="352" t="n"/>
      <c r="IF65" s="353" t="n"/>
      <c r="IG65" s="354" t="n"/>
      <c r="IH65" s="355" t="n"/>
      <c r="II65" s="175" t="n"/>
      <c r="IJ65" s="315" t="n"/>
      <c r="IK65" s="177" t="n"/>
      <c r="IL65" s="315" t="n"/>
      <c r="IM65" s="175" t="n"/>
      <c r="IN65" s="315" t="n"/>
      <c r="IO65" s="177" t="n"/>
      <c r="IP65" s="315" t="n"/>
      <c r="IQ65" s="175" t="n"/>
      <c r="IR65" s="315" t="n"/>
      <c r="IS65" s="177" t="n"/>
      <c r="IT65" s="315" t="n"/>
      <c r="IU65" s="175" t="n"/>
      <c r="IV65" s="315" t="n"/>
      <c r="IW65" s="177" t="n"/>
      <c r="IX65" s="315" t="n"/>
      <c r="IY65" s="175" t="n"/>
      <c r="IZ65" s="315" t="n"/>
      <c r="JA65" s="177" t="n"/>
      <c r="JB65" s="315" t="n"/>
      <c r="JC65" s="175" t="n"/>
      <c r="JD65" s="315" t="n"/>
      <c r="JE65" s="177" t="n"/>
      <c r="JF65" s="315" t="n"/>
      <c r="JG65" s="175" t="n"/>
      <c r="JH65" s="315" t="n"/>
      <c r="JI65" s="177" t="n"/>
      <c r="JJ65" s="315" t="n"/>
      <c r="JK65" s="175" t="n"/>
      <c r="JL65" s="315" t="n"/>
      <c r="JM65" s="177" t="n"/>
      <c r="JN65" s="315" t="n"/>
      <c r="JO65" s="175" t="n"/>
      <c r="JP65" s="315" t="n"/>
      <c r="JQ65" s="177" t="n"/>
      <c r="JR65" s="315" t="n"/>
      <c r="JS65" s="175" t="n"/>
      <c r="JT65" s="315" t="n"/>
      <c r="JU65" s="177" t="n"/>
      <c r="JV65" s="315" t="n"/>
      <c r="JW65" s="175" t="n"/>
      <c r="JX65" s="315" t="n"/>
      <c r="JY65" s="177" t="n"/>
      <c r="JZ65" s="315" t="n"/>
      <c r="KA65" s="175" t="n"/>
      <c r="KB65" s="315" t="n"/>
      <c r="KC65" s="177" t="n"/>
      <c r="KD65" s="315" t="n"/>
      <c r="KE65" s="350" t="n"/>
      <c r="KF65" s="351" t="n"/>
      <c r="KG65" s="352" t="n"/>
      <c r="KH65" s="353" t="n"/>
      <c r="KI65" s="354" t="n"/>
      <c r="KJ65" s="358" t="n"/>
      <c r="KK65" s="189" t="n"/>
      <c r="KL65" s="189" t="n"/>
      <c r="KM65" s="189" t="n"/>
      <c r="KN65" s="190" t="n"/>
      <c r="KO65" s="291" t="n"/>
    </row>
    <row r="66" outlineLevel="1" ht="57.6" customFormat="1" customHeight="1" s="68">
      <c r="A66" s="347" t="n"/>
      <c r="B66" s="347" t="n"/>
      <c r="C66" s="347" t="n"/>
      <c r="D66" s="347" t="n"/>
      <c r="E66" s="15" t="n">
        <v>30</v>
      </c>
      <c r="F66" s="61" t="n">
        <v>2</v>
      </c>
      <c r="G66" s="62" t="n">
        <v>9522010010</v>
      </c>
      <c r="H66" s="63" t="inlineStr">
        <is>
          <t>Головка соединительная, с фильтром, управляющая</t>
        </is>
      </c>
      <c r="I66" s="359" t="n">
        <v>96.40000000000001</v>
      </c>
      <c r="J66" s="360">
        <f>138.5/1.2</f>
        <v/>
      </c>
      <c r="K66" s="360" t="n"/>
      <c r="L66" s="360" t="n"/>
      <c r="M66" s="36" t="n"/>
      <c r="N66" s="284" t="n"/>
      <c r="O66" s="38" t="n"/>
      <c r="P66" s="284" t="n"/>
      <c r="Q66" s="36" t="n"/>
      <c r="R66" s="284" t="n"/>
      <c r="S66" s="38" t="n"/>
      <c r="T66" s="284" t="n"/>
      <c r="U66" s="36" t="n"/>
      <c r="V66" s="284" t="n"/>
      <c r="W66" s="38" t="n"/>
      <c r="X66" s="284" t="n"/>
      <c r="Y66" s="36" t="n"/>
      <c r="Z66" s="39" t="n"/>
      <c r="AA66" s="38" t="n">
        <v>0</v>
      </c>
      <c r="AB66" s="247" t="n"/>
      <c r="AC66" s="36" t="n"/>
      <c r="AD66" s="284" t="n"/>
      <c r="AE66" s="38" t="n">
        <v>0</v>
      </c>
      <c r="AF66" s="247" t="n"/>
      <c r="AG66" s="36" t="n"/>
      <c r="AH66" s="284" t="n"/>
      <c r="AI66" s="38" t="n">
        <v>0</v>
      </c>
      <c r="AJ66" s="247" t="n"/>
      <c r="AK66" s="36" t="n"/>
      <c r="AL66" s="284" t="n"/>
      <c r="AM66" s="38" t="n">
        <v>0</v>
      </c>
      <c r="AN66" s="247" t="n"/>
      <c r="AO66" s="36" t="n"/>
      <c r="AP66" s="284" t="n"/>
      <c r="AQ66" s="38" t="n">
        <v>0</v>
      </c>
      <c r="AR66" s="247" t="n"/>
      <c r="AS66" s="36" t="n"/>
      <c r="AT66" s="284" t="n"/>
      <c r="AU66" s="38" t="n">
        <v>0</v>
      </c>
      <c r="AV66" s="247" t="n"/>
      <c r="AW66" s="36" t="n"/>
      <c r="AX66" s="284" t="n"/>
      <c r="AY66" s="38" t="n">
        <v>0</v>
      </c>
      <c r="AZ66" s="247" t="n"/>
      <c r="BA66" s="36" t="n"/>
      <c r="BB66" s="284" t="n"/>
      <c r="BC66" s="92" t="n">
        <v>0</v>
      </c>
      <c r="BD66" s="284" t="n"/>
      <c r="BE66" s="36" t="n"/>
      <c r="BF66" s="284">
        <f>$KN66*0</f>
        <v/>
      </c>
      <c r="BG66" s="54" t="n">
        <v>0</v>
      </c>
      <c r="BH66" s="284" t="n"/>
      <c r="BI66" s="338" t="n"/>
      <c r="BJ66" s="339" t="n"/>
      <c r="BK66" s="340" t="n"/>
      <c r="BL66" s="341" t="n"/>
      <c r="BM66" s="342" t="n"/>
      <c r="BN66" s="343" t="n"/>
      <c r="BO66" s="36" t="n"/>
      <c r="BP66" s="47" t="n"/>
      <c r="BQ66" s="284" t="n"/>
      <c r="BR66" s="38" t="n">
        <v>2</v>
      </c>
      <c r="BS66" s="284" t="n"/>
      <c r="BT66" s="36" t="n"/>
      <c r="BU66" s="47" t="n"/>
      <c r="BV66" s="284">
        <f>$KN66*10</f>
        <v/>
      </c>
      <c r="BW66" s="38" t="n">
        <v>5</v>
      </c>
      <c r="BX66" s="284" t="inlineStr">
        <is>
          <t>Договор на 10 комплектов, будут забирать в течении года по мере необходимости</t>
        </is>
      </c>
      <c r="BY66" s="36" t="n"/>
      <c r="BZ66" s="47" t="n"/>
      <c r="CA66" s="284" t="n"/>
      <c r="CB66" s="38" t="n">
        <v>0</v>
      </c>
      <c r="CC66" s="284" t="n"/>
      <c r="CD66" s="36" t="n"/>
      <c r="CE66" s="47" t="n"/>
      <c r="CF66" s="284" t="n"/>
      <c r="CG66" s="38" t="n">
        <v>0</v>
      </c>
      <c r="CH66" s="284" t="n"/>
      <c r="CI66" s="36" t="n"/>
      <c r="CJ66" s="47" t="n"/>
      <c r="CK66" s="284" t="n"/>
      <c r="CL66" s="38" t="n">
        <v>0</v>
      </c>
      <c r="CM66" s="284" t="n"/>
      <c r="CN66" s="36" t="n"/>
      <c r="CO66" s="47" t="n"/>
      <c r="CP66" s="284" t="n"/>
      <c r="CQ66" s="38" t="n">
        <v>0</v>
      </c>
      <c r="CR66" s="284" t="n"/>
      <c r="CS66" s="36" t="n"/>
      <c r="CT66" s="47" t="n"/>
      <c r="CU66" s="284" t="n"/>
      <c r="CV66" s="38" t="n">
        <v>0</v>
      </c>
      <c r="CW66" s="284" t="n"/>
      <c r="CX66" s="36" t="n"/>
      <c r="CY66" s="47" t="n"/>
      <c r="CZ66" s="284" t="n"/>
      <c r="DA66" s="38" t="n">
        <v>0</v>
      </c>
      <c r="DB66" s="284" t="n"/>
      <c r="DC66" s="36" t="n"/>
      <c r="DD66" s="47" t="n"/>
      <c r="DE66" s="284" t="n"/>
      <c r="DF66" s="38" t="n">
        <v>0</v>
      </c>
      <c r="DG66" s="284" t="n"/>
      <c r="DH66" s="36" t="n"/>
      <c r="DI66" s="47" t="n"/>
      <c r="DJ66" s="284" t="n"/>
      <c r="DK66" s="38" t="n">
        <v>0</v>
      </c>
      <c r="DL66" s="284" t="n"/>
      <c r="DM66" s="36" t="n"/>
      <c r="DN66" s="47" t="n"/>
      <c r="DO66" s="93">
        <f>$KN66*0</f>
        <v/>
      </c>
      <c r="DP66" s="38" t="n">
        <v>0</v>
      </c>
      <c r="DQ66" s="227" t="n"/>
      <c r="DR66" s="36" t="n"/>
      <c r="DS66" s="47" t="n"/>
      <c r="DT66" s="39">
        <f>$KN66*0</f>
        <v/>
      </c>
      <c r="DU66" s="38" t="n">
        <v>0</v>
      </c>
      <c r="DV66" s="284" t="n"/>
      <c r="DW66" s="338">
        <f t="array" ref="DW66">SUMPRODUCT(--(MOD(COLUMN($BO66:$DV66),5)=MOD(COLUMN($BO66),5)),$BO66:$DV66)</f>
        <v/>
      </c>
      <c r="DX66" s="339">
        <f>DW66*$J66</f>
        <v/>
      </c>
      <c r="DY66" s="344">
        <f t="array" ref="DY66">SUMPRODUCT(--(MOD(COLUMN($BO66:$DV66),5)=MOD(COLUMN($BP66),5)),$BO66:$DV66)</f>
        <v/>
      </c>
      <c r="DZ66" s="345">
        <f>DY66*$J66</f>
        <v/>
      </c>
      <c r="EA66" s="340">
        <f t="array" ref="EA66">SUMPRODUCT(--(MOD(COLUMN($BO66:$DV66),5)=MOD(COLUMN($BQ66),5)),$BO66:$DV66)</f>
        <v/>
      </c>
      <c r="EB66" s="341">
        <f>EA66*$J66</f>
        <v/>
      </c>
      <c r="EC66" s="342">
        <f t="array" ref="EC66">SUMPRODUCT(--(MOD(COLUMN($BO66:$DV66),5)=MOD(COLUMN($BR66),5)),$BO66:$DV66)</f>
        <v/>
      </c>
      <c r="ED66" s="343">
        <f>EC66*$J66</f>
        <v/>
      </c>
      <c r="EE66" s="36" t="n"/>
      <c r="EF66" s="284" t="n"/>
      <c r="EG66" s="38" t="n">
        <v>0</v>
      </c>
      <c r="EH66" s="284" t="n"/>
      <c r="EI66" s="36" t="n"/>
      <c r="EJ66" s="284" t="n">
        <v>1</v>
      </c>
      <c r="EK66" s="38" t="n">
        <v>2</v>
      </c>
      <c r="EL66" s="347" t="n"/>
      <c r="EM66" s="36" t="n"/>
      <c r="EN66" s="284" t="n">
        <v>1</v>
      </c>
      <c r="EO66" s="38" t="n">
        <v>0</v>
      </c>
      <c r="EP66" s="347" t="n"/>
      <c r="EQ66" s="36" t="n"/>
      <c r="ER66" s="284" t="n"/>
      <c r="ES66" s="38" t="n">
        <v>0</v>
      </c>
      <c r="ET66" s="284" t="n"/>
      <c r="EU66" s="36" t="n"/>
      <c r="EV66" s="284" t="n">
        <v>1</v>
      </c>
      <c r="EW66" s="38" t="n">
        <v>0</v>
      </c>
      <c r="EX66" s="347" t="n"/>
      <c r="EY66" s="36" t="n"/>
      <c r="EZ66" s="284" t="n"/>
      <c r="FA66" s="38" t="n">
        <v>0</v>
      </c>
      <c r="FB66" s="284" t="n"/>
      <c r="FC66" s="36" t="n"/>
      <c r="FD66" s="284" t="n"/>
      <c r="FE66" s="38" t="n">
        <v>0</v>
      </c>
      <c r="FF66" s="284" t="n"/>
      <c r="FG66" s="36" t="n"/>
      <c r="FH66" s="284" t="n"/>
      <c r="FI66" s="38" t="n">
        <v>0</v>
      </c>
      <c r="FJ66" s="284" t="n"/>
      <c r="FK66" s="36" t="n"/>
      <c r="FL66" s="284" t="n"/>
      <c r="FM66" s="38" t="n">
        <v>0</v>
      </c>
      <c r="FN66" s="284" t="n"/>
      <c r="FO66" s="36" t="n"/>
      <c r="FP66" s="284" t="n"/>
      <c r="FQ66" s="38" t="n">
        <v>0</v>
      </c>
      <c r="FR66" s="284" t="n"/>
      <c r="FS66" s="36" t="n"/>
      <c r="FT66" s="284" t="n"/>
      <c r="FU66" s="38" t="n">
        <v>0</v>
      </c>
      <c r="FV66" s="284" t="n"/>
      <c r="FW66" s="36" t="n"/>
      <c r="FX66" s="284" t="n"/>
      <c r="FY66" s="38" t="n">
        <v>0</v>
      </c>
      <c r="FZ66" s="284" t="n"/>
      <c r="GA66" s="338">
        <f t="array" ref="GA66">SUMPRODUCT(--(MOD(COLUMN($EE66:$FZ66),4)=MOD(COLUMN($EE66),4)),$EE66:$FZ66)</f>
        <v/>
      </c>
      <c r="GB66" s="339">
        <f>GA66*$J66</f>
        <v/>
      </c>
      <c r="GC66" s="340">
        <f t="array" ref="GC66">SUMPRODUCT(--(MOD(COLUMN($EE66:$FZ66),4)=MOD(COLUMN($EF66),4)),$EE66:$FZ66)</f>
        <v/>
      </c>
      <c r="GD66" s="341">
        <f>GC66*$J66</f>
        <v/>
      </c>
      <c r="GE66" s="342">
        <f t="array" ref="GE66">SUMPRODUCT(--(MOD(COLUMN($EE66:$FZ66),4)=MOD(COLUMN($EG66),4)),$EE66:$FZ66)</f>
        <v/>
      </c>
      <c r="GF66" s="343">
        <f>GE66*$J66</f>
        <v/>
      </c>
      <c r="GG66" s="36" t="n"/>
      <c r="GH66" s="284" t="n"/>
      <c r="GI66" s="38" t="n">
        <v>0</v>
      </c>
      <c r="GJ66" s="284" t="n"/>
      <c r="GK66" s="36" t="n"/>
      <c r="GL66" s="284" t="n"/>
      <c r="GM66" s="38" t="n">
        <v>0</v>
      </c>
      <c r="GN66" s="284" t="n"/>
      <c r="GO66" s="36" t="n"/>
      <c r="GP66" s="284" t="n"/>
      <c r="GQ66" s="38" t="n">
        <v>0</v>
      </c>
      <c r="GR66" s="284" t="n"/>
      <c r="GS66" s="36" t="n"/>
      <c r="GT66" s="284" t="n"/>
      <c r="GU66" s="38" t="n">
        <v>0</v>
      </c>
      <c r="GV66" s="284" t="n"/>
      <c r="GW66" s="36" t="n"/>
      <c r="GX66" s="284" t="n"/>
      <c r="GY66" s="38" t="n">
        <v>0</v>
      </c>
      <c r="GZ66" s="284" t="n"/>
      <c r="HA66" s="36" t="n"/>
      <c r="HB66" s="284" t="n"/>
      <c r="HC66" s="38" t="n">
        <v>0</v>
      </c>
      <c r="HD66" s="284" t="n"/>
      <c r="HE66" s="36" t="n"/>
      <c r="HF66" s="284" t="n"/>
      <c r="HG66" s="38" t="n">
        <v>0</v>
      </c>
      <c r="HH66" s="284" t="n"/>
      <c r="HI66" s="36" t="n"/>
      <c r="HJ66" s="284" t="n"/>
      <c r="HK66" s="38" t="n">
        <v>0</v>
      </c>
      <c r="HL66" s="284" t="n"/>
      <c r="HM66" s="36" t="n"/>
      <c r="HN66" s="284" t="n"/>
      <c r="HO66" s="38" t="n">
        <v>0</v>
      </c>
      <c r="HP66" s="284" t="n"/>
      <c r="HQ66" s="36" t="n"/>
      <c r="HR66" s="284" t="n"/>
      <c r="HS66" s="38" t="n">
        <v>0</v>
      </c>
      <c r="HT66" s="284" t="n"/>
      <c r="HU66" s="36" t="n"/>
      <c r="HV66" s="284" t="n"/>
      <c r="HW66" s="38" t="n">
        <v>0</v>
      </c>
      <c r="HX66" s="284" t="n"/>
      <c r="HY66" s="36" t="n"/>
      <c r="HZ66" s="284" t="n"/>
      <c r="IA66" s="38" t="n">
        <v>0</v>
      </c>
      <c r="IB66" s="284" t="n"/>
      <c r="IC66" s="338">
        <f t="array" ref="IC66">SUMPRODUCT(--(MOD(COLUMN($GG66:$IB66),4)=MOD(COLUMN($GG66),4)),$GG66:$IB66)</f>
        <v/>
      </c>
      <c r="ID66" s="339">
        <f>IC66*$J66</f>
        <v/>
      </c>
      <c r="IE66" s="340">
        <f t="array" ref="IE66">SUMPRODUCT(--(MOD(COLUMN($GG66:$IB66),4)=MOD(COLUMN($GH66),4)),$GG66:$IB66)</f>
        <v/>
      </c>
      <c r="IF66" s="341">
        <f>IE66*$J66</f>
        <v/>
      </c>
      <c r="IG66" s="342">
        <f t="array" ref="IG66">SUMPRODUCT(--(MOD(COLUMN($GG66:$IB66),4)=MOD(COLUMN($GI66),4)),$GG66:$IB66)</f>
        <v/>
      </c>
      <c r="IH66" s="343">
        <f>IG66*$J66</f>
        <v/>
      </c>
      <c r="II66" s="36" t="n"/>
      <c r="IJ66" s="284" t="n"/>
      <c r="IK66" s="38" t="n">
        <v>0</v>
      </c>
      <c r="IL66" s="284" t="n"/>
      <c r="IM66" s="36" t="n"/>
      <c r="IN66" s="284" t="n"/>
      <c r="IO66" s="38" t="n">
        <v>0</v>
      </c>
      <c r="IP66" s="284" t="n"/>
      <c r="IQ66" s="36" t="n"/>
      <c r="IR66" s="284" t="n"/>
      <c r="IS66" s="38" t="n">
        <v>0</v>
      </c>
      <c r="IT66" s="284" t="n"/>
      <c r="IU66" s="36" t="n"/>
      <c r="IV66" s="284" t="n"/>
      <c r="IW66" s="38" t="n">
        <v>0</v>
      </c>
      <c r="IX66" s="284" t="n"/>
      <c r="IY66" s="36" t="n"/>
      <c r="IZ66" s="284" t="n"/>
      <c r="JA66" s="38" t="n">
        <v>0</v>
      </c>
      <c r="JB66" s="284" t="n"/>
      <c r="JC66" s="36" t="n"/>
      <c r="JD66" s="284" t="n"/>
      <c r="JE66" s="38" t="n">
        <v>0</v>
      </c>
      <c r="JF66" s="284" t="n"/>
      <c r="JG66" s="36" t="n"/>
      <c r="JH66" s="284" t="n"/>
      <c r="JI66" s="38" t="n">
        <v>0</v>
      </c>
      <c r="JJ66" s="284" t="n"/>
      <c r="JK66" s="36" t="n"/>
      <c r="JL66" s="284" t="n"/>
      <c r="JM66" s="38" t="n">
        <v>0</v>
      </c>
      <c r="JN66" s="284" t="n"/>
      <c r="JO66" s="36" t="n"/>
      <c r="JP66" s="284" t="n"/>
      <c r="JQ66" s="38" t="n">
        <v>0</v>
      </c>
      <c r="JR66" s="284" t="n"/>
      <c r="JS66" s="36" t="n"/>
      <c r="JT66" s="284" t="n"/>
      <c r="JU66" s="38" t="n">
        <v>0</v>
      </c>
      <c r="JV66" s="284" t="n"/>
      <c r="JW66" s="36" t="n"/>
      <c r="JX66" s="284" t="n"/>
      <c r="JY66" s="38" t="n">
        <v>0</v>
      </c>
      <c r="JZ66" s="284" t="n"/>
      <c r="KA66" s="36" t="n"/>
      <c r="KB66" s="284" t="n"/>
      <c r="KC66" s="38" t="n">
        <v>0</v>
      </c>
      <c r="KD66" s="284" t="n"/>
      <c r="KE66" s="338">
        <f t="array" ref="KE66">SUMPRODUCT(--(MOD(COLUMN($II66:$KD66),4)=MOD(COLUMN($II66),4)),$II66:$KD66)</f>
        <v/>
      </c>
      <c r="KF66" s="339">
        <f>KE66*$J66</f>
        <v/>
      </c>
      <c r="KG66" s="340">
        <f t="array" ref="KG66">SUMPRODUCT(--(MOD(COLUMN($II66:$KD66),4)=MOD(COLUMN($IJ66),4)),$II66:$KD66)</f>
        <v/>
      </c>
      <c r="KH66" s="341">
        <f>KG66*$J66</f>
        <v/>
      </c>
      <c r="KI66" s="342">
        <f t="array" ref="KI66">SUMPRODUCT(--(MOD(COLUMN($II66:$KD66),4)=MOD(COLUMN($IK66),4)),$II66:$KD66)</f>
        <v/>
      </c>
      <c r="KJ66" s="346">
        <f>KI66*$J66</f>
        <v/>
      </c>
      <c r="KK66" s="80" t="n"/>
      <c r="KL66" s="80" t="n"/>
      <c r="KM66" s="80" t="n"/>
      <c r="KN66" s="51" t="n">
        <v>1</v>
      </c>
      <c r="KO66" s="285" t="inlineStr">
        <is>
          <t>TEBS
WABCO
2s/2m
12м</t>
        </is>
      </c>
    </row>
    <row r="67" outlineLevel="1" ht="43.2" customFormat="1" customHeight="1" s="68">
      <c r="A67" s="347" t="n"/>
      <c r="B67" s="347" t="n"/>
      <c r="C67" s="347" t="n"/>
      <c r="D67" s="347" t="n"/>
      <c r="E67" s="15" t="n">
        <v>31</v>
      </c>
      <c r="F67" s="61" t="n">
        <v>2</v>
      </c>
      <c r="G67" s="62" t="n">
        <v>9522010020</v>
      </c>
      <c r="H67" s="63" t="inlineStr">
        <is>
          <t>Головка соединительная, с фильтром, питающая</t>
        </is>
      </c>
      <c r="I67" s="359" t="n">
        <v>96.40000000000001</v>
      </c>
      <c r="J67" s="360">
        <f>138.5/1.2</f>
        <v/>
      </c>
      <c r="K67" s="360" t="n"/>
      <c r="L67" s="360" t="n"/>
      <c r="M67" s="36" t="n"/>
      <c r="N67" s="284" t="n"/>
      <c r="O67" s="38" t="n"/>
      <c r="P67" s="284" t="n"/>
      <c r="Q67" s="36" t="n"/>
      <c r="R67" s="284" t="n"/>
      <c r="S67" s="38" t="n"/>
      <c r="T67" s="284" t="n"/>
      <c r="U67" s="36" t="n"/>
      <c r="V67" s="284" t="n"/>
      <c r="W67" s="38" t="n"/>
      <c r="X67" s="284" t="n"/>
      <c r="Y67" s="36" t="n"/>
      <c r="Z67" s="39" t="n"/>
      <c r="AA67" s="38" t="n">
        <v>0</v>
      </c>
      <c r="AB67" s="247" t="n"/>
      <c r="AC67" s="36" t="n"/>
      <c r="AD67" s="284" t="n"/>
      <c r="AE67" s="38" t="n">
        <v>0</v>
      </c>
      <c r="AF67" s="247" t="n"/>
      <c r="AG67" s="36" t="n"/>
      <c r="AH67" s="284" t="n"/>
      <c r="AI67" s="38" t="n">
        <v>0</v>
      </c>
      <c r="AJ67" s="247" t="n"/>
      <c r="AK67" s="36" t="n"/>
      <c r="AL67" s="284" t="n"/>
      <c r="AM67" s="38" t="n">
        <v>0</v>
      </c>
      <c r="AN67" s="247" t="n"/>
      <c r="AO67" s="36" t="n"/>
      <c r="AP67" s="284" t="n"/>
      <c r="AQ67" s="38" t="n">
        <v>0</v>
      </c>
      <c r="AR67" s="247" t="n"/>
      <c r="AS67" s="36" t="n"/>
      <c r="AT67" s="284" t="n"/>
      <c r="AU67" s="38" t="n">
        <v>0</v>
      </c>
      <c r="AV67" s="247" t="n"/>
      <c r="AW67" s="36" t="n"/>
      <c r="AX67" s="284" t="n"/>
      <c r="AY67" s="38" t="n">
        <v>0</v>
      </c>
      <c r="AZ67" s="247" t="n"/>
      <c r="BA67" s="36" t="n"/>
      <c r="BB67" s="284" t="n"/>
      <c r="BC67" s="92" t="n">
        <v>0</v>
      </c>
      <c r="BD67" s="284" t="n"/>
      <c r="BE67" s="36" t="n"/>
      <c r="BF67" s="284">
        <f>$KN67*0</f>
        <v/>
      </c>
      <c r="BG67" s="54" t="n">
        <v>0</v>
      </c>
      <c r="BH67" s="284" t="n"/>
      <c r="BI67" s="338" t="n"/>
      <c r="BJ67" s="339" t="n"/>
      <c r="BK67" s="340" t="n"/>
      <c r="BL67" s="341" t="n"/>
      <c r="BM67" s="342" t="n"/>
      <c r="BN67" s="343" t="n"/>
      <c r="BO67" s="36" t="n"/>
      <c r="BP67" s="47" t="n"/>
      <c r="BQ67" s="284" t="n"/>
      <c r="BR67" s="38" t="n">
        <v>2</v>
      </c>
      <c r="BS67" s="284" t="n"/>
      <c r="BT67" s="36" t="n"/>
      <c r="BU67" s="47" t="n"/>
      <c r="BV67" s="284">
        <f>$KN67*10</f>
        <v/>
      </c>
      <c r="BW67" s="38" t="n">
        <v>6</v>
      </c>
      <c r="BX67" s="347" t="n"/>
      <c r="BY67" s="36" t="n"/>
      <c r="BZ67" s="47" t="n"/>
      <c r="CA67" s="284" t="n"/>
      <c r="CB67" s="38" t="n">
        <v>0</v>
      </c>
      <c r="CC67" s="284" t="n"/>
      <c r="CD67" s="36" t="n"/>
      <c r="CE67" s="47" t="n"/>
      <c r="CF67" s="284" t="n"/>
      <c r="CG67" s="38" t="n">
        <v>0</v>
      </c>
      <c r="CH67" s="284" t="n"/>
      <c r="CI67" s="36" t="n"/>
      <c r="CJ67" s="47" t="n"/>
      <c r="CK67" s="284" t="n"/>
      <c r="CL67" s="38" t="n">
        <v>0</v>
      </c>
      <c r="CM67" s="284" t="n"/>
      <c r="CN67" s="36" t="n"/>
      <c r="CO67" s="47" t="n"/>
      <c r="CP67" s="284" t="n"/>
      <c r="CQ67" s="38" t="n">
        <v>0</v>
      </c>
      <c r="CR67" s="284" t="n"/>
      <c r="CS67" s="36" t="n"/>
      <c r="CT67" s="47" t="n"/>
      <c r="CU67" s="284" t="n"/>
      <c r="CV67" s="38" t="n">
        <v>0</v>
      </c>
      <c r="CW67" s="284" t="n"/>
      <c r="CX67" s="36" t="n"/>
      <c r="CY67" s="47" t="n"/>
      <c r="CZ67" s="284" t="n"/>
      <c r="DA67" s="38" t="n">
        <v>0</v>
      </c>
      <c r="DB67" s="284" t="n"/>
      <c r="DC67" s="36" t="n"/>
      <c r="DD67" s="47" t="n"/>
      <c r="DE67" s="284" t="n"/>
      <c r="DF67" s="38" t="n">
        <v>0</v>
      </c>
      <c r="DG67" s="284" t="n"/>
      <c r="DH67" s="36" t="n"/>
      <c r="DI67" s="47" t="n"/>
      <c r="DJ67" s="284" t="n"/>
      <c r="DK67" s="38" t="n">
        <v>0</v>
      </c>
      <c r="DL67" s="284" t="n"/>
      <c r="DM67" s="36" t="n"/>
      <c r="DN67" s="47" t="n"/>
      <c r="DO67" s="93">
        <f>$KN67*0</f>
        <v/>
      </c>
      <c r="DP67" s="38" t="n">
        <v>0</v>
      </c>
      <c r="DQ67" s="227" t="n"/>
      <c r="DR67" s="36" t="n"/>
      <c r="DS67" s="47" t="n"/>
      <c r="DT67" s="93">
        <f>$KN67*0</f>
        <v/>
      </c>
      <c r="DU67" s="38" t="n">
        <v>0</v>
      </c>
      <c r="DV67" s="284" t="n"/>
      <c r="DW67" s="338">
        <f t="array" ref="DW67">SUMPRODUCT(--(MOD(COLUMN($BO67:$DV67),5)=MOD(COLUMN($BO67),5)),$BO67:$DV67)</f>
        <v/>
      </c>
      <c r="DX67" s="339">
        <f>DW67*$J67</f>
        <v/>
      </c>
      <c r="DY67" s="344">
        <f t="array" ref="DY67">SUMPRODUCT(--(MOD(COLUMN($BO67:$DV67),5)=MOD(COLUMN($BP67),5)),$BO67:$DV67)</f>
        <v/>
      </c>
      <c r="DZ67" s="345">
        <f>DY67*$J67</f>
        <v/>
      </c>
      <c r="EA67" s="340">
        <f t="array" ref="EA67">SUMPRODUCT(--(MOD(COLUMN($BO67:$DV67),5)=MOD(COLUMN($BQ67),5)),$BO67:$DV67)</f>
        <v/>
      </c>
      <c r="EB67" s="341">
        <f>EA67*$J67</f>
        <v/>
      </c>
      <c r="EC67" s="342">
        <f t="array" ref="EC67">SUMPRODUCT(--(MOD(COLUMN($BO67:$DV67),5)=MOD(COLUMN($BR67),5)),$BO67:$DV67)</f>
        <v/>
      </c>
      <c r="ED67" s="343">
        <f>EC67*$J67</f>
        <v/>
      </c>
      <c r="EE67" s="36" t="n"/>
      <c r="EF67" s="284" t="n"/>
      <c r="EG67" s="38" t="n">
        <v>0</v>
      </c>
      <c r="EH67" s="284" t="n"/>
      <c r="EI67" s="36" t="n"/>
      <c r="EJ67" s="284" t="n">
        <v>1</v>
      </c>
      <c r="EK67" s="38" t="n">
        <v>2</v>
      </c>
      <c r="EL67" s="333" t="n"/>
      <c r="EM67" s="36" t="n"/>
      <c r="EN67" s="284" t="n">
        <v>1</v>
      </c>
      <c r="EO67" s="38" t="n">
        <v>0</v>
      </c>
      <c r="EP67" s="333" t="n"/>
      <c r="EQ67" s="36" t="n"/>
      <c r="ER67" s="284" t="n"/>
      <c r="ES67" s="38" t="n">
        <v>0</v>
      </c>
      <c r="ET67" s="284" t="n"/>
      <c r="EU67" s="36" t="n"/>
      <c r="EV67" s="284" t="n">
        <v>1</v>
      </c>
      <c r="EW67" s="38" t="n">
        <v>0</v>
      </c>
      <c r="EX67" s="333" t="n"/>
      <c r="EY67" s="36" t="n"/>
      <c r="EZ67" s="284" t="n"/>
      <c r="FA67" s="38" t="n">
        <v>0</v>
      </c>
      <c r="FB67" s="284" t="n"/>
      <c r="FC67" s="36" t="n"/>
      <c r="FD67" s="284" t="n"/>
      <c r="FE67" s="38" t="n">
        <v>0</v>
      </c>
      <c r="FF67" s="284" t="n"/>
      <c r="FG67" s="36" t="n"/>
      <c r="FH67" s="284" t="n"/>
      <c r="FI67" s="38" t="n">
        <v>0</v>
      </c>
      <c r="FJ67" s="284" t="n"/>
      <c r="FK67" s="36" t="n"/>
      <c r="FL67" s="284" t="n"/>
      <c r="FM67" s="38" t="n">
        <v>0</v>
      </c>
      <c r="FN67" s="284" t="n"/>
      <c r="FO67" s="36" t="n"/>
      <c r="FP67" s="284" t="n"/>
      <c r="FQ67" s="38" t="n">
        <v>0</v>
      </c>
      <c r="FR67" s="284" t="n"/>
      <c r="FS67" s="36" t="n"/>
      <c r="FT67" s="284" t="n"/>
      <c r="FU67" s="38" t="n">
        <v>0</v>
      </c>
      <c r="FV67" s="284" t="n"/>
      <c r="FW67" s="36" t="n"/>
      <c r="FX67" s="284" t="n"/>
      <c r="FY67" s="38" t="n">
        <v>0</v>
      </c>
      <c r="FZ67" s="284" t="n"/>
      <c r="GA67" s="338">
        <f t="array" ref="GA67">SUMPRODUCT(--(MOD(COLUMN($EE67:$FZ67),4)=MOD(COLUMN($EE67),4)),$EE67:$FZ67)</f>
        <v/>
      </c>
      <c r="GB67" s="339">
        <f>GA67*$J67</f>
        <v/>
      </c>
      <c r="GC67" s="340">
        <f t="array" ref="GC67">SUMPRODUCT(--(MOD(COLUMN($EE67:$FZ67),4)=MOD(COLUMN($EF67),4)),$EE67:$FZ67)</f>
        <v/>
      </c>
      <c r="GD67" s="341">
        <f>GC67*$J67</f>
        <v/>
      </c>
      <c r="GE67" s="342">
        <f t="array" ref="GE67">SUMPRODUCT(--(MOD(COLUMN($EE67:$FZ67),4)=MOD(COLUMN($EG67),4)),$EE67:$FZ67)</f>
        <v/>
      </c>
      <c r="GF67" s="343">
        <f>GE67*$J67</f>
        <v/>
      </c>
      <c r="GG67" s="36" t="n"/>
      <c r="GH67" s="284" t="n"/>
      <c r="GI67" s="38" t="n">
        <v>0</v>
      </c>
      <c r="GJ67" s="284" t="n"/>
      <c r="GK67" s="36" t="n"/>
      <c r="GL67" s="284" t="n"/>
      <c r="GM67" s="38" t="n">
        <v>0</v>
      </c>
      <c r="GN67" s="284" t="n"/>
      <c r="GO67" s="36" t="n"/>
      <c r="GP67" s="284" t="n"/>
      <c r="GQ67" s="38" t="n">
        <v>0</v>
      </c>
      <c r="GR67" s="284" t="n"/>
      <c r="GS67" s="36" t="n"/>
      <c r="GT67" s="284" t="n"/>
      <c r="GU67" s="38" t="n">
        <v>0</v>
      </c>
      <c r="GV67" s="284" t="n"/>
      <c r="GW67" s="36" t="n"/>
      <c r="GX67" s="284" t="n"/>
      <c r="GY67" s="38" t="n">
        <v>0</v>
      </c>
      <c r="GZ67" s="284" t="n"/>
      <c r="HA67" s="36" t="n"/>
      <c r="HB67" s="284" t="n"/>
      <c r="HC67" s="38" t="n">
        <v>0</v>
      </c>
      <c r="HD67" s="284" t="n"/>
      <c r="HE67" s="36" t="n"/>
      <c r="HF67" s="284" t="n"/>
      <c r="HG67" s="38" t="n">
        <v>0</v>
      </c>
      <c r="HH67" s="284" t="n"/>
      <c r="HI67" s="36" t="n"/>
      <c r="HJ67" s="284" t="n"/>
      <c r="HK67" s="38" t="n">
        <v>0</v>
      </c>
      <c r="HL67" s="284" t="n"/>
      <c r="HM67" s="36" t="n"/>
      <c r="HN67" s="284" t="n"/>
      <c r="HO67" s="38" t="n">
        <v>0</v>
      </c>
      <c r="HP67" s="284" t="n"/>
      <c r="HQ67" s="36" t="n"/>
      <c r="HR67" s="284" t="n"/>
      <c r="HS67" s="38" t="n">
        <v>0</v>
      </c>
      <c r="HT67" s="284" t="n"/>
      <c r="HU67" s="36" t="n"/>
      <c r="HV67" s="284" t="n"/>
      <c r="HW67" s="38" t="n">
        <v>0</v>
      </c>
      <c r="HX67" s="284" t="n"/>
      <c r="HY67" s="36" t="n"/>
      <c r="HZ67" s="284" t="n"/>
      <c r="IA67" s="38" t="n">
        <v>0</v>
      </c>
      <c r="IB67" s="284" t="n"/>
      <c r="IC67" s="338">
        <f t="array" ref="IC67">SUMPRODUCT(--(MOD(COLUMN($GG67:$IB67),4)=MOD(COLUMN($GG67),4)),$GG67:$IB67)</f>
        <v/>
      </c>
      <c r="ID67" s="339">
        <f>IC67*$J67</f>
        <v/>
      </c>
      <c r="IE67" s="340">
        <f t="array" ref="IE67">SUMPRODUCT(--(MOD(COLUMN($GG67:$IB67),4)=MOD(COLUMN($GH67),4)),$GG67:$IB67)</f>
        <v/>
      </c>
      <c r="IF67" s="341">
        <f>IE67*$J67</f>
        <v/>
      </c>
      <c r="IG67" s="342">
        <f t="array" ref="IG67">SUMPRODUCT(--(MOD(COLUMN($GG67:$IB67),4)=MOD(COLUMN($GI67),4)),$GG67:$IB67)</f>
        <v/>
      </c>
      <c r="IH67" s="343">
        <f>IG67*$J67</f>
        <v/>
      </c>
      <c r="II67" s="36" t="n"/>
      <c r="IJ67" s="284" t="n"/>
      <c r="IK67" s="38" t="n">
        <v>0</v>
      </c>
      <c r="IL67" s="284" t="n"/>
      <c r="IM67" s="36" t="n"/>
      <c r="IN67" s="284" t="n"/>
      <c r="IO67" s="38" t="n">
        <v>0</v>
      </c>
      <c r="IP67" s="284" t="n"/>
      <c r="IQ67" s="36" t="n"/>
      <c r="IR67" s="284" t="n"/>
      <c r="IS67" s="38" t="n">
        <v>0</v>
      </c>
      <c r="IT67" s="284" t="n"/>
      <c r="IU67" s="36" t="n"/>
      <c r="IV67" s="284" t="n"/>
      <c r="IW67" s="38" t="n">
        <v>0</v>
      </c>
      <c r="IX67" s="284" t="n"/>
      <c r="IY67" s="36" t="n"/>
      <c r="IZ67" s="284" t="n"/>
      <c r="JA67" s="38" t="n">
        <v>0</v>
      </c>
      <c r="JB67" s="284" t="n"/>
      <c r="JC67" s="36" t="n"/>
      <c r="JD67" s="284" t="n"/>
      <c r="JE67" s="38" t="n">
        <v>0</v>
      </c>
      <c r="JF67" s="284" t="n"/>
      <c r="JG67" s="36" t="n"/>
      <c r="JH67" s="284" t="n"/>
      <c r="JI67" s="38" t="n">
        <v>0</v>
      </c>
      <c r="JJ67" s="284" t="n"/>
      <c r="JK67" s="36" t="n"/>
      <c r="JL67" s="284" t="n"/>
      <c r="JM67" s="38" t="n">
        <v>0</v>
      </c>
      <c r="JN67" s="284" t="n"/>
      <c r="JO67" s="36" t="n"/>
      <c r="JP67" s="284" t="n"/>
      <c r="JQ67" s="38" t="n">
        <v>0</v>
      </c>
      <c r="JR67" s="284" t="n"/>
      <c r="JS67" s="36" t="n"/>
      <c r="JT67" s="284" t="n"/>
      <c r="JU67" s="38" t="n">
        <v>0</v>
      </c>
      <c r="JV67" s="284" t="n"/>
      <c r="JW67" s="36" t="n"/>
      <c r="JX67" s="284" t="n"/>
      <c r="JY67" s="38" t="n">
        <v>0</v>
      </c>
      <c r="JZ67" s="284" t="n"/>
      <c r="KA67" s="36" t="n"/>
      <c r="KB67" s="284" t="n"/>
      <c r="KC67" s="38" t="n">
        <v>0</v>
      </c>
      <c r="KD67" s="284" t="n"/>
      <c r="KE67" s="338">
        <f t="array" ref="KE67">SUMPRODUCT(--(MOD(COLUMN($II67:$KD67),4)=MOD(COLUMN($II67),4)),$II67:$KD67)</f>
        <v/>
      </c>
      <c r="KF67" s="339">
        <f>KE67*$J67</f>
        <v/>
      </c>
      <c r="KG67" s="340">
        <f t="array" ref="KG67">SUMPRODUCT(--(MOD(COLUMN($II67:$KD67),4)=MOD(COLUMN($IJ67),4)),$II67:$KD67)</f>
        <v/>
      </c>
      <c r="KH67" s="341">
        <f>KG67*$J67</f>
        <v/>
      </c>
      <c r="KI67" s="342">
        <f t="array" ref="KI67">SUMPRODUCT(--(MOD(COLUMN($II67:$KD67),4)=MOD(COLUMN($IK67),4)),$II67:$KD67)</f>
        <v/>
      </c>
      <c r="KJ67" s="346">
        <f>KI67*$J67</f>
        <v/>
      </c>
      <c r="KK67" s="80" t="n"/>
      <c r="KL67" s="80" t="n"/>
      <c r="KM67" s="80" t="n"/>
      <c r="KN67" s="51" t="n">
        <v>1</v>
      </c>
      <c r="KO67" s="347" t="n"/>
    </row>
    <row r="68" outlineLevel="1" ht="43.2" customFormat="1" customHeight="1" s="68">
      <c r="A68" s="347" t="n"/>
      <c r="B68" s="347" t="n"/>
      <c r="C68" s="347" t="n"/>
      <c r="D68" s="347" t="n"/>
      <c r="E68" s="15" t="n">
        <v>32</v>
      </c>
      <c r="F68" s="61" t="n">
        <v>2</v>
      </c>
      <c r="G68" s="62" t="n">
        <v>9630010510</v>
      </c>
      <c r="H68" s="63" t="inlineStr">
        <is>
          <t>Клапан растормаживания, сдвоенный</t>
        </is>
      </c>
      <c r="I68" s="359" t="n">
        <v>370.6</v>
      </c>
      <c r="J68" s="360">
        <f>451/1.2</f>
        <v/>
      </c>
      <c r="K68" s="360" t="n"/>
      <c r="L68" s="360" t="n"/>
      <c r="M68" s="36" t="n"/>
      <c r="N68" s="284" t="n"/>
      <c r="O68" s="38" t="n"/>
      <c r="P68" s="284" t="n"/>
      <c r="Q68" s="36" t="n"/>
      <c r="R68" s="284" t="n"/>
      <c r="S68" s="38" t="n"/>
      <c r="T68" s="284" t="n"/>
      <c r="U68" s="36" t="n"/>
      <c r="V68" s="284" t="n"/>
      <c r="W68" s="38" t="n"/>
      <c r="X68" s="284" t="n"/>
      <c r="Y68" s="36" t="n"/>
      <c r="Z68" s="39" t="n"/>
      <c r="AA68" s="38" t="n"/>
      <c r="AB68" s="247" t="n"/>
      <c r="AC68" s="36" t="n"/>
      <c r="AD68" s="284" t="n"/>
      <c r="AE68" s="38" t="n"/>
      <c r="AF68" s="247" t="n"/>
      <c r="AG68" s="36" t="n"/>
      <c r="AH68" s="284" t="n"/>
      <c r="AI68" s="38" t="n"/>
      <c r="AJ68" s="247" t="n"/>
      <c r="AK68" s="36" t="n"/>
      <c r="AL68" s="284" t="n"/>
      <c r="AM68" s="38" t="n"/>
      <c r="AN68" s="247" t="n"/>
      <c r="AO68" s="36" t="n"/>
      <c r="AP68" s="284" t="n"/>
      <c r="AQ68" s="38" t="n"/>
      <c r="AR68" s="247" t="n"/>
      <c r="AS68" s="36" t="n"/>
      <c r="AT68" s="284" t="n"/>
      <c r="AU68" s="38" t="n"/>
      <c r="AV68" s="247" t="n"/>
      <c r="AW68" s="36" t="n"/>
      <c r="AX68" s="284" t="n"/>
      <c r="AY68" s="38" t="n"/>
      <c r="AZ68" s="247" t="n"/>
      <c r="BA68" s="36" t="n"/>
      <c r="BB68" s="284" t="n"/>
      <c r="BC68" s="92" t="n"/>
      <c r="BD68" s="284" t="n"/>
      <c r="BE68" s="36" t="n"/>
      <c r="BF68" s="284">
        <f>$KN68*0</f>
        <v/>
      </c>
      <c r="BG68" s="54" t="n"/>
      <c r="BH68" s="284" t="n"/>
      <c r="BI68" s="338" t="n"/>
      <c r="BJ68" s="339" t="n"/>
      <c r="BK68" s="340" t="n"/>
      <c r="BL68" s="341" t="n"/>
      <c r="BM68" s="342" t="n"/>
      <c r="BN68" s="343" t="n"/>
      <c r="BO68" s="36" t="n"/>
      <c r="BP68" s="47" t="n"/>
      <c r="BQ68" s="284" t="n"/>
      <c r="BR68" s="38" t="n">
        <v>2</v>
      </c>
      <c r="BS68" s="284" t="n"/>
      <c r="BT68" s="36" t="n"/>
      <c r="BU68" s="47" t="n"/>
      <c r="BV68" s="284">
        <f>$KN68*10</f>
        <v/>
      </c>
      <c r="BW68" s="38" t="n">
        <v>10</v>
      </c>
      <c r="BX68" s="347" t="n"/>
      <c r="BY68" s="36" t="n"/>
      <c r="BZ68" s="47" t="n"/>
      <c r="CA68" s="284" t="n"/>
      <c r="CB68" s="38" t="n">
        <v>0</v>
      </c>
      <c r="CC68" s="284" t="n"/>
      <c r="CD68" s="36" t="n"/>
      <c r="CE68" s="47" t="n"/>
      <c r="CF68" s="284" t="n"/>
      <c r="CG68" s="38" t="n">
        <v>0</v>
      </c>
      <c r="CH68" s="284" t="n"/>
      <c r="CI68" s="36" t="n"/>
      <c r="CJ68" s="47" t="n"/>
      <c r="CK68" s="284" t="n"/>
      <c r="CL68" s="38" t="n">
        <v>0</v>
      </c>
      <c r="CM68" s="284" t="n"/>
      <c r="CN68" s="36" t="n"/>
      <c r="CO68" s="47" t="n"/>
      <c r="CP68" s="284" t="n"/>
      <c r="CQ68" s="38" t="n">
        <v>0</v>
      </c>
      <c r="CR68" s="284" t="n"/>
      <c r="CS68" s="36" t="n"/>
      <c r="CT68" s="47" t="n"/>
      <c r="CU68" s="284" t="n"/>
      <c r="CV68" s="38" t="n">
        <v>0</v>
      </c>
      <c r="CW68" s="284" t="n"/>
      <c r="CX68" s="36" t="n"/>
      <c r="CY68" s="47" t="n"/>
      <c r="CZ68" s="284" t="n"/>
      <c r="DA68" s="38" t="n">
        <v>0</v>
      </c>
      <c r="DB68" s="284" t="n"/>
      <c r="DC68" s="36" t="n"/>
      <c r="DD68" s="47" t="n"/>
      <c r="DE68" s="284" t="n"/>
      <c r="DF68" s="38" t="n">
        <v>0</v>
      </c>
      <c r="DG68" s="284" t="n"/>
      <c r="DH68" s="36" t="n"/>
      <c r="DI68" s="47" t="n"/>
      <c r="DJ68" s="284" t="n"/>
      <c r="DK68" s="38" t="n">
        <v>0</v>
      </c>
      <c r="DL68" s="284" t="n"/>
      <c r="DM68" s="36" t="n"/>
      <c r="DN68" s="47" t="n"/>
      <c r="DO68" s="284">
        <f>$KN68*4</f>
        <v/>
      </c>
      <c r="DP68" s="38" t="n">
        <v>0</v>
      </c>
      <c r="DQ68" s="227" t="n"/>
      <c r="DR68" s="36" t="n"/>
      <c r="DS68" s="47" t="n"/>
      <c r="DT68" s="284">
        <f>$KN68*4</f>
        <v/>
      </c>
      <c r="DU68" s="38" t="n">
        <v>0</v>
      </c>
      <c r="DV68" s="284" t="n"/>
      <c r="DW68" s="338">
        <f t="array" ref="DW68">SUMPRODUCT(--(MOD(COLUMN($BO68:$DV68),5)=MOD(COLUMN($BO68),5)),$BO68:$DV68)</f>
        <v/>
      </c>
      <c r="DX68" s="339">
        <f>DW68*$J68</f>
        <v/>
      </c>
      <c r="DY68" s="344">
        <f t="array" ref="DY68">SUMPRODUCT(--(MOD(COLUMN($BO68:$DV68),5)=MOD(COLUMN($BP68),5)),$BO68:$DV68)</f>
        <v/>
      </c>
      <c r="DZ68" s="345">
        <f>DY68*$J68</f>
        <v/>
      </c>
      <c r="EA68" s="340">
        <f t="array" ref="EA68">SUMPRODUCT(--(MOD(COLUMN($BO68:$DV68),5)=MOD(COLUMN($BQ68),5)),$BO68:$DV68)</f>
        <v/>
      </c>
      <c r="EB68" s="341">
        <f>EA68*$J68</f>
        <v/>
      </c>
      <c r="EC68" s="342">
        <f t="array" ref="EC68">SUMPRODUCT(--(MOD(COLUMN($BO68:$DV68),5)=MOD(COLUMN($BR68),5)),$BO68:$DV68)</f>
        <v/>
      </c>
      <c r="ED68" s="343">
        <f>EC68*$J68</f>
        <v/>
      </c>
      <c r="EE68" s="36" t="n"/>
      <c r="EF68" s="284" t="n"/>
      <c r="EG68" s="38" t="n"/>
      <c r="EH68" s="284" t="n"/>
      <c r="EI68" s="36" t="n"/>
      <c r="EJ68" s="284" t="n"/>
      <c r="EK68" s="38" t="n">
        <v>0</v>
      </c>
      <c r="EL68" s="284" t="n"/>
      <c r="EM68" s="36" t="n"/>
      <c r="EN68" s="284" t="n"/>
      <c r="EO68" s="38" t="n">
        <v>0</v>
      </c>
      <c r="EP68" s="284" t="n"/>
      <c r="EQ68" s="36" t="n"/>
      <c r="ER68" s="284" t="n"/>
      <c r="ES68" s="38" t="n"/>
      <c r="ET68" s="284" t="n"/>
      <c r="EU68" s="36" t="n"/>
      <c r="EV68" s="284" t="n"/>
      <c r="EW68" s="38" t="n">
        <v>0</v>
      </c>
      <c r="EX68" s="284" t="n"/>
      <c r="EY68" s="36" t="n"/>
      <c r="EZ68" s="284" t="n"/>
      <c r="FA68" s="38" t="n"/>
      <c r="FB68" s="284" t="n"/>
      <c r="FC68" s="36" t="n"/>
      <c r="FD68" s="284" t="n"/>
      <c r="FE68" s="38" t="n"/>
      <c r="FF68" s="284" t="n"/>
      <c r="FG68" s="36" t="n"/>
      <c r="FH68" s="284" t="n"/>
      <c r="FI68" s="38" t="n"/>
      <c r="FJ68" s="284" t="n"/>
      <c r="FK68" s="36" t="n"/>
      <c r="FL68" s="284" t="n"/>
      <c r="FM68" s="38" t="n"/>
      <c r="FN68" s="284" t="n"/>
      <c r="FO68" s="36" t="n"/>
      <c r="FP68" s="284" t="n"/>
      <c r="FQ68" s="38" t="n"/>
      <c r="FR68" s="284" t="n"/>
      <c r="FS68" s="36" t="n"/>
      <c r="FT68" s="284" t="n"/>
      <c r="FU68" s="38" t="n"/>
      <c r="FV68" s="284" t="n"/>
      <c r="FW68" s="36" t="n"/>
      <c r="FX68" s="284" t="n"/>
      <c r="FY68" s="38" t="n"/>
      <c r="FZ68" s="284" t="n"/>
      <c r="GA68" s="338">
        <f t="array" ref="GA68">SUMPRODUCT(--(MOD(COLUMN($EE68:$FZ68),4)=MOD(COLUMN($EE68),4)),$EE68:$FZ68)</f>
        <v/>
      </c>
      <c r="GB68" s="339">
        <f>GA68*$J68</f>
        <v/>
      </c>
      <c r="GC68" s="340">
        <f t="array" ref="GC68">SUMPRODUCT(--(MOD(COLUMN($EE68:$FZ68),4)=MOD(COLUMN($EF68),4)),$EE68:$FZ68)</f>
        <v/>
      </c>
      <c r="GD68" s="341">
        <f>GC68*$J68</f>
        <v/>
      </c>
      <c r="GE68" s="342">
        <f t="array" ref="GE68">SUMPRODUCT(--(MOD(COLUMN($EE68:$FZ68),4)=MOD(COLUMN($EG68),4)),$EE68:$FZ68)</f>
        <v/>
      </c>
      <c r="GF68" s="343">
        <f>GE68*$J68</f>
        <v/>
      </c>
      <c r="GG68" s="36" t="n"/>
      <c r="GH68" s="284" t="n"/>
      <c r="GI68" s="38" t="n"/>
      <c r="GJ68" s="284" t="n"/>
      <c r="GK68" s="36" t="n"/>
      <c r="GL68" s="284" t="n"/>
      <c r="GM68" s="38" t="n"/>
      <c r="GN68" s="284" t="n"/>
      <c r="GO68" s="36" t="n"/>
      <c r="GP68" s="284" t="n"/>
      <c r="GQ68" s="38" t="n"/>
      <c r="GR68" s="284" t="n"/>
      <c r="GS68" s="36" t="n"/>
      <c r="GT68" s="284" t="n"/>
      <c r="GU68" s="38" t="n"/>
      <c r="GV68" s="284" t="n"/>
      <c r="GW68" s="36" t="n"/>
      <c r="GX68" s="284" t="n"/>
      <c r="GY68" s="38" t="n"/>
      <c r="GZ68" s="284" t="n"/>
      <c r="HA68" s="36" t="n"/>
      <c r="HB68" s="284" t="n"/>
      <c r="HC68" s="38" t="n"/>
      <c r="HD68" s="284" t="n"/>
      <c r="HE68" s="36" t="n"/>
      <c r="HF68" s="284" t="n"/>
      <c r="HG68" s="38" t="n"/>
      <c r="HH68" s="284" t="n"/>
      <c r="HI68" s="36" t="n"/>
      <c r="HJ68" s="284" t="n"/>
      <c r="HK68" s="38" t="n"/>
      <c r="HL68" s="284" t="n"/>
      <c r="HM68" s="36" t="n"/>
      <c r="HN68" s="284" t="n"/>
      <c r="HO68" s="38" t="n"/>
      <c r="HP68" s="284" t="n"/>
      <c r="HQ68" s="36" t="n"/>
      <c r="HR68" s="284" t="n"/>
      <c r="HS68" s="38" t="n"/>
      <c r="HT68" s="284" t="n"/>
      <c r="HU68" s="36" t="n"/>
      <c r="HV68" s="284" t="n"/>
      <c r="HW68" s="38" t="n"/>
      <c r="HX68" s="284" t="n"/>
      <c r="HY68" s="36" t="n"/>
      <c r="HZ68" s="284" t="n"/>
      <c r="IA68" s="38" t="n"/>
      <c r="IB68" s="284" t="n"/>
      <c r="IC68" s="338">
        <f t="array" ref="IC68">SUMPRODUCT(--(MOD(COLUMN($GG68:$IB68),4)=MOD(COLUMN($GG68),4)),$GG68:$IB68)</f>
        <v/>
      </c>
      <c r="ID68" s="339">
        <f>IC68*$J68</f>
        <v/>
      </c>
      <c r="IE68" s="340">
        <f t="array" ref="IE68">SUMPRODUCT(--(MOD(COLUMN($GG68:$IB68),4)=MOD(COLUMN($GH68),4)),$GG68:$IB68)</f>
        <v/>
      </c>
      <c r="IF68" s="341">
        <f>IE68*$J68</f>
        <v/>
      </c>
      <c r="IG68" s="342">
        <f t="array" ref="IG68">SUMPRODUCT(--(MOD(COLUMN($GG68:$IB68),4)=MOD(COLUMN($GI68),4)),$GG68:$IB68)</f>
        <v/>
      </c>
      <c r="IH68" s="343">
        <f>IG68*$J68</f>
        <v/>
      </c>
      <c r="II68" s="36" t="n"/>
      <c r="IJ68" s="284" t="n"/>
      <c r="IK68" s="38" t="n"/>
      <c r="IL68" s="284" t="n"/>
      <c r="IM68" s="36" t="n"/>
      <c r="IN68" s="284" t="n"/>
      <c r="IO68" s="38" t="n"/>
      <c r="IP68" s="284" t="n"/>
      <c r="IQ68" s="36" t="n"/>
      <c r="IR68" s="284" t="n"/>
      <c r="IS68" s="38" t="n"/>
      <c r="IT68" s="284" t="n"/>
      <c r="IU68" s="36" t="n"/>
      <c r="IV68" s="284" t="n"/>
      <c r="IW68" s="38" t="n"/>
      <c r="IX68" s="284" t="n"/>
      <c r="IY68" s="36" t="n"/>
      <c r="IZ68" s="284" t="n"/>
      <c r="JA68" s="38" t="n"/>
      <c r="JB68" s="284" t="n"/>
      <c r="JC68" s="36" t="n"/>
      <c r="JD68" s="284" t="n"/>
      <c r="JE68" s="38" t="n"/>
      <c r="JF68" s="284" t="n"/>
      <c r="JG68" s="36" t="n"/>
      <c r="JH68" s="284" t="n"/>
      <c r="JI68" s="38" t="n"/>
      <c r="JJ68" s="284" t="n"/>
      <c r="JK68" s="36" t="n"/>
      <c r="JL68" s="284" t="n"/>
      <c r="JM68" s="38" t="n"/>
      <c r="JN68" s="284" t="n"/>
      <c r="JO68" s="36" t="n"/>
      <c r="JP68" s="284" t="n"/>
      <c r="JQ68" s="38" t="n"/>
      <c r="JR68" s="284" t="n"/>
      <c r="JS68" s="36" t="n"/>
      <c r="JT68" s="284" t="n"/>
      <c r="JU68" s="38" t="n"/>
      <c r="JV68" s="284" t="n"/>
      <c r="JW68" s="36" t="n"/>
      <c r="JX68" s="284" t="n"/>
      <c r="JY68" s="38" t="n"/>
      <c r="JZ68" s="284" t="n"/>
      <c r="KA68" s="36" t="n"/>
      <c r="KB68" s="284" t="n"/>
      <c r="KC68" s="38" t="n"/>
      <c r="KD68" s="284" t="n"/>
      <c r="KE68" s="338">
        <f t="array" ref="KE68">SUMPRODUCT(--(MOD(COLUMN($II68:$KD68),4)=MOD(COLUMN($II68),4)),$II68:$KD68)</f>
        <v/>
      </c>
      <c r="KF68" s="339">
        <f>KE68*$J68</f>
        <v/>
      </c>
      <c r="KG68" s="340">
        <f t="array" ref="KG68">SUMPRODUCT(--(MOD(COLUMN($II68:$KD68),4)=MOD(COLUMN($IJ68),4)),$II68:$KD68)</f>
        <v/>
      </c>
      <c r="KH68" s="341">
        <f>KG68*$J68</f>
        <v/>
      </c>
      <c r="KI68" s="342">
        <f t="array" ref="KI68">SUMPRODUCT(--(MOD(COLUMN($II68:$KD68),4)=MOD(COLUMN($IK68),4)),$II68:$KD68)</f>
        <v/>
      </c>
      <c r="KJ68" s="346">
        <f>KI68*$J68</f>
        <v/>
      </c>
      <c r="KK68" s="80" t="n"/>
      <c r="KL68" s="80" t="n"/>
      <c r="KM68" s="80" t="n"/>
      <c r="KN68" s="51" t="n">
        <v>1</v>
      </c>
      <c r="KO68" s="347" t="n"/>
    </row>
    <row r="69" outlineLevel="1" ht="28.8" customFormat="1" customHeight="1" s="68">
      <c r="A69" s="347" t="n"/>
      <c r="B69" s="347" t="n"/>
      <c r="C69" s="347" t="n"/>
      <c r="D69" s="347" t="n"/>
      <c r="E69" s="15" t="n">
        <v>33</v>
      </c>
      <c r="F69" s="61" t="n">
        <v>2</v>
      </c>
      <c r="G69" s="62" t="n">
        <v>9710020400</v>
      </c>
      <c r="H69" s="63" t="inlineStr">
        <is>
          <t>Воздухораспределитель</t>
        </is>
      </c>
      <c r="I69" s="359" t="n">
        <v>366.7</v>
      </c>
      <c r="J69" s="360">
        <f>587.5/1.2</f>
        <v/>
      </c>
      <c r="K69" s="360" t="n"/>
      <c r="L69" s="360" t="n"/>
      <c r="M69" s="36" t="n"/>
      <c r="N69" s="284" t="n"/>
      <c r="O69" s="38" t="n"/>
      <c r="P69" s="284" t="n"/>
      <c r="Q69" s="36" t="n"/>
      <c r="R69" s="284" t="n"/>
      <c r="S69" s="38" t="n"/>
      <c r="T69" s="284" t="n"/>
      <c r="U69" s="36" t="n"/>
      <c r="V69" s="284" t="n"/>
      <c r="W69" s="38" t="n"/>
      <c r="X69" s="284" t="n"/>
      <c r="Y69" s="36" t="n"/>
      <c r="Z69" s="39" t="n"/>
      <c r="AA69" s="38" t="n"/>
      <c r="AB69" s="247" t="n"/>
      <c r="AC69" s="36" t="n"/>
      <c r="AD69" s="284" t="n"/>
      <c r="AE69" s="38" t="n"/>
      <c r="AF69" s="247" t="n"/>
      <c r="AG69" s="36" t="n"/>
      <c r="AH69" s="284" t="n"/>
      <c r="AI69" s="38" t="n"/>
      <c r="AJ69" s="247" t="n"/>
      <c r="AK69" s="36" t="n"/>
      <c r="AL69" s="284" t="n"/>
      <c r="AM69" s="38" t="n"/>
      <c r="AN69" s="247" t="n"/>
      <c r="AO69" s="36" t="n"/>
      <c r="AP69" s="284" t="n"/>
      <c r="AQ69" s="38" t="n"/>
      <c r="AR69" s="247" t="n"/>
      <c r="AS69" s="36" t="n"/>
      <c r="AT69" s="284" t="n"/>
      <c r="AU69" s="38" t="n"/>
      <c r="AV69" s="247" t="n"/>
      <c r="AW69" s="36" t="n"/>
      <c r="AX69" s="284" t="n"/>
      <c r="AY69" s="38" t="n"/>
      <c r="AZ69" s="247" t="n"/>
      <c r="BA69" s="36" t="n"/>
      <c r="BB69" s="284" t="n"/>
      <c r="BC69" s="92" t="n"/>
      <c r="BD69" s="284" t="n"/>
      <c r="BE69" s="36" t="n"/>
      <c r="BF69" s="284">
        <f>$KN69*0</f>
        <v/>
      </c>
      <c r="BG69" s="54" t="n"/>
      <c r="BH69" s="284" t="n"/>
      <c r="BI69" s="338" t="n"/>
      <c r="BJ69" s="339" t="n"/>
      <c r="BK69" s="340" t="n"/>
      <c r="BL69" s="341" t="n"/>
      <c r="BM69" s="342" t="n"/>
      <c r="BN69" s="343" t="n"/>
      <c r="BO69" s="36" t="n"/>
      <c r="BP69" s="47" t="n"/>
      <c r="BQ69" s="284" t="n"/>
      <c r="BR69" s="38" t="n">
        <v>2</v>
      </c>
      <c r="BS69" s="284" t="n"/>
      <c r="BT69" s="36" t="n"/>
      <c r="BU69" s="47" t="n"/>
      <c r="BV69" s="284">
        <f>$KN69*10</f>
        <v/>
      </c>
      <c r="BW69" s="38" t="n">
        <v>10</v>
      </c>
      <c r="BX69" s="347" t="n"/>
      <c r="BY69" s="36" t="n"/>
      <c r="BZ69" s="47" t="n"/>
      <c r="CA69" s="284" t="n"/>
      <c r="CB69" s="38" t="n">
        <v>0</v>
      </c>
      <c r="CC69" s="284" t="n"/>
      <c r="CD69" s="36" t="n"/>
      <c r="CE69" s="47" t="n"/>
      <c r="CF69" s="284" t="n"/>
      <c r="CG69" s="38" t="n">
        <v>0</v>
      </c>
      <c r="CH69" s="284" t="n"/>
      <c r="CI69" s="36" t="n"/>
      <c r="CJ69" s="47" t="n"/>
      <c r="CK69" s="284" t="n"/>
      <c r="CL69" s="38" t="n">
        <v>0</v>
      </c>
      <c r="CM69" s="284" t="n"/>
      <c r="CN69" s="36" t="n"/>
      <c r="CO69" s="47" t="n"/>
      <c r="CP69" s="284" t="n"/>
      <c r="CQ69" s="38" t="n">
        <v>0</v>
      </c>
      <c r="CR69" s="284" t="n"/>
      <c r="CS69" s="36" t="n"/>
      <c r="CT69" s="47" t="n"/>
      <c r="CU69" s="284" t="n"/>
      <c r="CV69" s="38" t="n">
        <v>0</v>
      </c>
      <c r="CW69" s="284" t="n"/>
      <c r="CX69" s="36" t="n"/>
      <c r="CY69" s="47" t="n"/>
      <c r="CZ69" s="284" t="n"/>
      <c r="DA69" s="38" t="n">
        <v>0</v>
      </c>
      <c r="DB69" s="284" t="n"/>
      <c r="DC69" s="36" t="n"/>
      <c r="DD69" s="47" t="n"/>
      <c r="DE69" s="284" t="n"/>
      <c r="DF69" s="38" t="n">
        <v>0</v>
      </c>
      <c r="DG69" s="284" t="n"/>
      <c r="DH69" s="36" t="n"/>
      <c r="DI69" s="47" t="n"/>
      <c r="DJ69" s="284" t="n"/>
      <c r="DK69" s="38" t="n">
        <v>0</v>
      </c>
      <c r="DL69" s="284" t="n"/>
      <c r="DM69" s="36" t="n"/>
      <c r="DN69" s="47" t="n"/>
      <c r="DO69" s="284">
        <f>$KN69*4</f>
        <v/>
      </c>
      <c r="DP69" s="38" t="n">
        <v>0</v>
      </c>
      <c r="DQ69" s="227" t="n"/>
      <c r="DR69" s="36" t="n"/>
      <c r="DS69" s="47" t="n"/>
      <c r="DT69" s="284">
        <f>$KN69*4</f>
        <v/>
      </c>
      <c r="DU69" s="38" t="n">
        <v>0</v>
      </c>
      <c r="DV69" s="284" t="n"/>
      <c r="DW69" s="338">
        <f t="array" ref="DW69">SUMPRODUCT(--(MOD(COLUMN($BO69:$DV69),5)=MOD(COLUMN($BO69),5)),$BO69:$DV69)</f>
        <v/>
      </c>
      <c r="DX69" s="339">
        <f>DW69*$J69</f>
        <v/>
      </c>
      <c r="DY69" s="344">
        <f t="array" ref="DY69">SUMPRODUCT(--(MOD(COLUMN($BO69:$DV69),5)=MOD(COLUMN($BP69),5)),$BO69:$DV69)</f>
        <v/>
      </c>
      <c r="DZ69" s="345">
        <f>DY69*$J69</f>
        <v/>
      </c>
      <c r="EA69" s="340">
        <f t="array" ref="EA69">SUMPRODUCT(--(MOD(COLUMN($BO69:$DV69),5)=MOD(COLUMN($BQ69),5)),$BO69:$DV69)</f>
        <v/>
      </c>
      <c r="EB69" s="341">
        <f>EA69*$J69</f>
        <v/>
      </c>
      <c r="EC69" s="342">
        <f t="array" ref="EC69">SUMPRODUCT(--(MOD(COLUMN($BO69:$DV69),5)=MOD(COLUMN($BR69),5)),$BO69:$DV69)</f>
        <v/>
      </c>
      <c r="ED69" s="343">
        <f>EC69*$J69</f>
        <v/>
      </c>
      <c r="EE69" s="36" t="n"/>
      <c r="EF69" s="284" t="n"/>
      <c r="EG69" s="38" t="n"/>
      <c r="EH69" s="284" t="n"/>
      <c r="EI69" s="36" t="n"/>
      <c r="EJ69" s="284" t="n"/>
      <c r="EK69" s="38" t="n"/>
      <c r="EL69" s="284" t="n"/>
      <c r="EM69" s="36" t="n"/>
      <c r="EN69" s="284" t="n"/>
      <c r="EO69" s="38" t="n"/>
      <c r="EP69" s="284" t="n"/>
      <c r="EQ69" s="36" t="n"/>
      <c r="ER69" s="284" t="n"/>
      <c r="ES69" s="38" t="n"/>
      <c r="ET69" s="284" t="n"/>
      <c r="EU69" s="36" t="n"/>
      <c r="EV69" s="284" t="n"/>
      <c r="EW69" s="38" t="n"/>
      <c r="EX69" s="284" t="n"/>
      <c r="EY69" s="36" t="n"/>
      <c r="EZ69" s="284" t="n"/>
      <c r="FA69" s="38" t="n"/>
      <c r="FB69" s="284" t="n"/>
      <c r="FC69" s="36" t="n"/>
      <c r="FD69" s="284" t="n"/>
      <c r="FE69" s="38" t="n"/>
      <c r="FF69" s="284" t="n"/>
      <c r="FG69" s="36" t="n"/>
      <c r="FH69" s="284" t="n"/>
      <c r="FI69" s="38" t="n"/>
      <c r="FJ69" s="284" t="n"/>
      <c r="FK69" s="36" t="n"/>
      <c r="FL69" s="284" t="n"/>
      <c r="FM69" s="38" t="n"/>
      <c r="FN69" s="284" t="n"/>
      <c r="FO69" s="36" t="n"/>
      <c r="FP69" s="284" t="n"/>
      <c r="FQ69" s="38" t="n"/>
      <c r="FR69" s="284" t="n"/>
      <c r="FS69" s="36" t="n"/>
      <c r="FT69" s="284" t="n"/>
      <c r="FU69" s="38" t="n"/>
      <c r="FV69" s="284" t="n"/>
      <c r="FW69" s="36" t="n"/>
      <c r="FX69" s="284" t="n"/>
      <c r="FY69" s="38" t="n"/>
      <c r="FZ69" s="284" t="n"/>
      <c r="GA69" s="338">
        <f t="array" ref="GA69">SUMPRODUCT(--(MOD(COLUMN($EE69:$FZ69),4)=MOD(COLUMN($EE69),4)),$EE69:$FZ69)</f>
        <v/>
      </c>
      <c r="GB69" s="339">
        <f>GA69*$J69</f>
        <v/>
      </c>
      <c r="GC69" s="340">
        <f t="array" ref="GC69">SUMPRODUCT(--(MOD(COLUMN($EE69:$FZ69),4)=MOD(COLUMN($EF69),4)),$EE69:$FZ69)</f>
        <v/>
      </c>
      <c r="GD69" s="341">
        <f>GC69*$J69</f>
        <v/>
      </c>
      <c r="GE69" s="342">
        <f t="array" ref="GE69">SUMPRODUCT(--(MOD(COLUMN($EE69:$FZ69),4)=MOD(COLUMN($EG69),4)),$EE69:$FZ69)</f>
        <v/>
      </c>
      <c r="GF69" s="343">
        <f>GE69*$J69</f>
        <v/>
      </c>
      <c r="GG69" s="36" t="n"/>
      <c r="GH69" s="284" t="n"/>
      <c r="GI69" s="38" t="n"/>
      <c r="GJ69" s="284" t="n"/>
      <c r="GK69" s="36" t="n"/>
      <c r="GL69" s="284" t="n"/>
      <c r="GM69" s="38" t="n"/>
      <c r="GN69" s="284" t="n"/>
      <c r="GO69" s="36" t="n"/>
      <c r="GP69" s="284" t="n"/>
      <c r="GQ69" s="38" t="n"/>
      <c r="GR69" s="284" t="n"/>
      <c r="GS69" s="36" t="n"/>
      <c r="GT69" s="284" t="n"/>
      <c r="GU69" s="38" t="n"/>
      <c r="GV69" s="284" t="n"/>
      <c r="GW69" s="36" t="n"/>
      <c r="GX69" s="284" t="n"/>
      <c r="GY69" s="38" t="n"/>
      <c r="GZ69" s="284" t="n"/>
      <c r="HA69" s="36" t="n"/>
      <c r="HB69" s="284" t="n"/>
      <c r="HC69" s="38" t="n"/>
      <c r="HD69" s="284" t="n"/>
      <c r="HE69" s="36" t="n"/>
      <c r="HF69" s="284" t="n"/>
      <c r="HG69" s="38" t="n"/>
      <c r="HH69" s="284" t="n"/>
      <c r="HI69" s="36" t="n"/>
      <c r="HJ69" s="284" t="n"/>
      <c r="HK69" s="38" t="n"/>
      <c r="HL69" s="284" t="n"/>
      <c r="HM69" s="36" t="n"/>
      <c r="HN69" s="284" t="n"/>
      <c r="HO69" s="38" t="n"/>
      <c r="HP69" s="284" t="n"/>
      <c r="HQ69" s="36" t="n"/>
      <c r="HR69" s="284" t="n"/>
      <c r="HS69" s="38" t="n"/>
      <c r="HT69" s="284" t="n"/>
      <c r="HU69" s="36" t="n"/>
      <c r="HV69" s="284" t="n"/>
      <c r="HW69" s="38" t="n"/>
      <c r="HX69" s="284" t="n"/>
      <c r="HY69" s="36" t="n"/>
      <c r="HZ69" s="284" t="n"/>
      <c r="IA69" s="38" t="n"/>
      <c r="IB69" s="284" t="n"/>
      <c r="IC69" s="338">
        <f t="array" ref="IC69">SUMPRODUCT(--(MOD(COLUMN($GG69:$IB69),4)=MOD(COLUMN($GG69),4)),$GG69:$IB69)</f>
        <v/>
      </c>
      <c r="ID69" s="339">
        <f>IC69*$J69</f>
        <v/>
      </c>
      <c r="IE69" s="340">
        <f t="array" ref="IE69">SUMPRODUCT(--(MOD(COLUMN($GG69:$IB69),4)=MOD(COLUMN($GH69),4)),$GG69:$IB69)</f>
        <v/>
      </c>
      <c r="IF69" s="341">
        <f>IE69*$J69</f>
        <v/>
      </c>
      <c r="IG69" s="342">
        <f t="array" ref="IG69">SUMPRODUCT(--(MOD(COLUMN($GG69:$IB69),4)=MOD(COLUMN($GI69),4)),$GG69:$IB69)</f>
        <v/>
      </c>
      <c r="IH69" s="343">
        <f>IG69*$J69</f>
        <v/>
      </c>
      <c r="II69" s="36" t="n"/>
      <c r="IJ69" s="284" t="n"/>
      <c r="IK69" s="38" t="n"/>
      <c r="IL69" s="284" t="n"/>
      <c r="IM69" s="36" t="n"/>
      <c r="IN69" s="284" t="n"/>
      <c r="IO69" s="38" t="n"/>
      <c r="IP69" s="284" t="n"/>
      <c r="IQ69" s="36" t="n"/>
      <c r="IR69" s="284" t="n"/>
      <c r="IS69" s="38" t="n"/>
      <c r="IT69" s="284" t="n"/>
      <c r="IU69" s="36" t="n"/>
      <c r="IV69" s="284" t="n"/>
      <c r="IW69" s="38" t="n"/>
      <c r="IX69" s="284" t="n"/>
      <c r="IY69" s="36" t="n"/>
      <c r="IZ69" s="284" t="n"/>
      <c r="JA69" s="38" t="n"/>
      <c r="JB69" s="284" t="n"/>
      <c r="JC69" s="36" t="n"/>
      <c r="JD69" s="284" t="n"/>
      <c r="JE69" s="38" t="n"/>
      <c r="JF69" s="284" t="n"/>
      <c r="JG69" s="36" t="n"/>
      <c r="JH69" s="284" t="n"/>
      <c r="JI69" s="38" t="n"/>
      <c r="JJ69" s="284" t="n"/>
      <c r="JK69" s="36" t="n"/>
      <c r="JL69" s="284" t="n"/>
      <c r="JM69" s="38" t="n"/>
      <c r="JN69" s="284" t="n"/>
      <c r="JO69" s="36" t="n"/>
      <c r="JP69" s="284" t="n"/>
      <c r="JQ69" s="38" t="n"/>
      <c r="JR69" s="284" t="n"/>
      <c r="JS69" s="36" t="n"/>
      <c r="JT69" s="284" t="n"/>
      <c r="JU69" s="38" t="n"/>
      <c r="JV69" s="284" t="n"/>
      <c r="JW69" s="36" t="n"/>
      <c r="JX69" s="284" t="n"/>
      <c r="JY69" s="38" t="n"/>
      <c r="JZ69" s="284" t="n"/>
      <c r="KA69" s="36" t="n"/>
      <c r="KB69" s="284" t="n"/>
      <c r="KC69" s="38" t="n"/>
      <c r="KD69" s="284" t="n"/>
      <c r="KE69" s="338">
        <f t="array" ref="KE69">SUMPRODUCT(--(MOD(COLUMN($II69:$KD69),4)=MOD(COLUMN($II69),4)),$II69:$KD69)</f>
        <v/>
      </c>
      <c r="KF69" s="339">
        <f>KE69*$J69</f>
        <v/>
      </c>
      <c r="KG69" s="340">
        <f t="array" ref="KG69">SUMPRODUCT(--(MOD(COLUMN($II69:$KD69),4)=MOD(COLUMN($IJ69),4)),$II69:$KD69)</f>
        <v/>
      </c>
      <c r="KH69" s="341">
        <f>KG69*$J69</f>
        <v/>
      </c>
      <c r="KI69" s="342">
        <f t="array" ref="KI69">SUMPRODUCT(--(MOD(COLUMN($II69:$KD69),4)=MOD(COLUMN($IK69),4)),$II69:$KD69)</f>
        <v/>
      </c>
      <c r="KJ69" s="346">
        <f>KI69*$J69</f>
        <v/>
      </c>
      <c r="KK69" s="80" t="n"/>
      <c r="KL69" s="80" t="n"/>
      <c r="KM69" s="80" t="n"/>
      <c r="KN69" s="51" t="n">
        <v>1</v>
      </c>
      <c r="KO69" s="347" t="n"/>
    </row>
    <row r="70" outlineLevel="1" ht="28.8" customFormat="1" customHeight="1" s="68">
      <c r="A70" s="347" t="n"/>
      <c r="B70" s="347" t="n"/>
      <c r="C70" s="347" t="n"/>
      <c r="D70" s="347" t="n"/>
      <c r="E70" s="15" t="n">
        <v>34</v>
      </c>
      <c r="F70" s="61" t="n">
        <v>2</v>
      </c>
      <c r="G70" s="62" t="n">
        <v>4801020640</v>
      </c>
      <c r="H70" s="63" t="inlineStr">
        <is>
          <t>Блок TEBS-E, 4S3M Premium</t>
        </is>
      </c>
      <c r="I70" s="359" t="n">
        <v>7690.4</v>
      </c>
      <c r="J70" s="360">
        <f>10350/1.2</f>
        <v/>
      </c>
      <c r="K70" s="360" t="n"/>
      <c r="L70" s="360" t="n"/>
      <c r="M70" s="36" t="n"/>
      <c r="N70" s="284" t="n"/>
      <c r="O70" s="38" t="n"/>
      <c r="P70" s="284" t="n"/>
      <c r="Q70" s="36" t="n"/>
      <c r="R70" s="284" t="n"/>
      <c r="S70" s="38" t="n"/>
      <c r="T70" s="284" t="n"/>
      <c r="U70" s="36" t="n"/>
      <c r="V70" s="284" t="n"/>
      <c r="W70" s="38" t="n"/>
      <c r="X70" s="284" t="n"/>
      <c r="Y70" s="36" t="n"/>
      <c r="Z70" s="39" t="n"/>
      <c r="AA70" s="38" t="n">
        <v>0</v>
      </c>
      <c r="AB70" s="247" t="n"/>
      <c r="AC70" s="36" t="n"/>
      <c r="AD70" s="284" t="n"/>
      <c r="AE70" s="38" t="n">
        <v>0</v>
      </c>
      <c r="AF70" s="247" t="n"/>
      <c r="AG70" s="36" t="n"/>
      <c r="AH70" s="284" t="n"/>
      <c r="AI70" s="38" t="n">
        <v>0</v>
      </c>
      <c r="AJ70" s="247" t="n"/>
      <c r="AK70" s="36" t="n"/>
      <c r="AL70" s="284" t="n"/>
      <c r="AM70" s="38" t="n">
        <v>0</v>
      </c>
      <c r="AN70" s="247" t="n"/>
      <c r="AO70" s="36" t="n"/>
      <c r="AP70" s="284" t="n"/>
      <c r="AQ70" s="38" t="n">
        <v>0</v>
      </c>
      <c r="AR70" s="247" t="n"/>
      <c r="AS70" s="36" t="n"/>
      <c r="AT70" s="284" t="n"/>
      <c r="AU70" s="38" t="n">
        <v>0</v>
      </c>
      <c r="AV70" s="247" t="n"/>
      <c r="AW70" s="36" t="n"/>
      <c r="AX70" s="284" t="n"/>
      <c r="AY70" s="38" t="n">
        <v>0</v>
      </c>
      <c r="AZ70" s="247" t="n"/>
      <c r="BA70" s="36" t="n"/>
      <c r="BB70" s="284" t="n"/>
      <c r="BC70" s="92" t="n">
        <v>0</v>
      </c>
      <c r="BD70" s="284" t="n"/>
      <c r="BE70" s="36" t="n"/>
      <c r="BF70" s="284">
        <f>$KN70*0</f>
        <v/>
      </c>
      <c r="BG70" s="54" t="n">
        <v>0</v>
      </c>
      <c r="BH70" s="284" t="n"/>
      <c r="BI70" s="338" t="n"/>
      <c r="BJ70" s="339" t="n"/>
      <c r="BK70" s="340" t="n"/>
      <c r="BL70" s="341" t="n"/>
      <c r="BM70" s="342" t="n"/>
      <c r="BN70" s="343" t="n"/>
      <c r="BO70" s="36" t="n"/>
      <c r="BP70" s="47" t="n"/>
      <c r="BQ70" s="284" t="n"/>
      <c r="BR70" s="38" t="n">
        <v>2</v>
      </c>
      <c r="BS70" s="284" t="n"/>
      <c r="BT70" s="36" t="n"/>
      <c r="BU70" s="47" t="n"/>
      <c r="BV70" s="284">
        <f>$KN70*10</f>
        <v/>
      </c>
      <c r="BW70" s="38" t="n">
        <v>10</v>
      </c>
      <c r="BX70" s="347" t="n"/>
      <c r="BY70" s="36" t="n"/>
      <c r="BZ70" s="47" t="n"/>
      <c r="CA70" s="284" t="n"/>
      <c r="CB70" s="38" t="n">
        <v>0</v>
      </c>
      <c r="CC70" s="284" t="n"/>
      <c r="CD70" s="36" t="n"/>
      <c r="CE70" s="47" t="n"/>
      <c r="CF70" s="284" t="n"/>
      <c r="CG70" s="38" t="n">
        <v>0</v>
      </c>
      <c r="CH70" s="284" t="n"/>
      <c r="CI70" s="36" t="n"/>
      <c r="CJ70" s="47" t="n"/>
      <c r="CK70" s="284" t="n"/>
      <c r="CL70" s="38" t="n">
        <v>0</v>
      </c>
      <c r="CM70" s="284" t="n"/>
      <c r="CN70" s="36" t="n"/>
      <c r="CO70" s="47" t="n"/>
      <c r="CP70" s="284" t="n"/>
      <c r="CQ70" s="38" t="n">
        <v>0</v>
      </c>
      <c r="CR70" s="284" t="n"/>
      <c r="CS70" s="36" t="n"/>
      <c r="CT70" s="47" t="n"/>
      <c r="CU70" s="284" t="n"/>
      <c r="CV70" s="38" t="n">
        <v>0</v>
      </c>
      <c r="CW70" s="284" t="n"/>
      <c r="CX70" s="36" t="n"/>
      <c r="CY70" s="47" t="n"/>
      <c r="CZ70" s="284" t="n"/>
      <c r="DA70" s="38" t="n">
        <v>0</v>
      </c>
      <c r="DB70" s="284" t="n"/>
      <c r="DC70" s="36" t="n"/>
      <c r="DD70" s="47" t="n"/>
      <c r="DE70" s="284" t="n"/>
      <c r="DF70" s="38" t="n">
        <v>0</v>
      </c>
      <c r="DG70" s="284" t="n"/>
      <c r="DH70" s="36" t="n"/>
      <c r="DI70" s="47" t="n"/>
      <c r="DJ70" s="284" t="n"/>
      <c r="DK70" s="38" t="n">
        <v>0</v>
      </c>
      <c r="DL70" s="284" t="n"/>
      <c r="DM70" s="36" t="n"/>
      <c r="DN70" s="47" t="n"/>
      <c r="DO70" s="284">
        <f>$KN70*4</f>
        <v/>
      </c>
      <c r="DP70" s="38" t="n">
        <v>0</v>
      </c>
      <c r="DQ70" s="227" t="n"/>
      <c r="DR70" s="36" t="n"/>
      <c r="DS70" s="47" t="n"/>
      <c r="DT70" s="284">
        <f>$KN70*4</f>
        <v/>
      </c>
      <c r="DU70" s="38" t="n">
        <v>0</v>
      </c>
      <c r="DV70" s="284" t="n"/>
      <c r="DW70" s="338">
        <f t="array" ref="DW70">SUMPRODUCT(--(MOD(COLUMN($BO70:$DV70),5)=MOD(COLUMN($BO70),5)),$BO70:$DV70)</f>
        <v/>
      </c>
      <c r="DX70" s="339">
        <f>DW70*$J70</f>
        <v/>
      </c>
      <c r="DY70" s="344">
        <f t="array" ref="DY70">SUMPRODUCT(--(MOD(COLUMN($BO70:$DV70),5)=MOD(COLUMN($BP70),5)),$BO70:$DV70)</f>
        <v/>
      </c>
      <c r="DZ70" s="345">
        <f>DY70*$J70</f>
        <v/>
      </c>
      <c r="EA70" s="340">
        <f t="array" ref="EA70">SUMPRODUCT(--(MOD(COLUMN($BO70:$DV70),5)=MOD(COLUMN($BQ70),5)),$BO70:$DV70)</f>
        <v/>
      </c>
      <c r="EB70" s="341">
        <f>EA70*$J70</f>
        <v/>
      </c>
      <c r="EC70" s="342">
        <f t="array" ref="EC70">SUMPRODUCT(--(MOD(COLUMN($BO70:$DV70),5)=MOD(COLUMN($BR70),5)),$BO70:$DV70)</f>
        <v/>
      </c>
      <c r="ED70" s="343">
        <f>EC70*$J70</f>
        <v/>
      </c>
      <c r="EE70" s="36" t="n"/>
      <c r="EF70" s="284" t="n"/>
      <c r="EG70" s="38" t="n">
        <v>0</v>
      </c>
      <c r="EH70" s="284" t="n"/>
      <c r="EI70" s="36" t="n"/>
      <c r="EJ70" s="284" t="n"/>
      <c r="EK70" s="38" t="n">
        <v>2</v>
      </c>
      <c r="EL70" s="284" t="n"/>
      <c r="EM70" s="36" t="n"/>
      <c r="EN70" s="284" t="n"/>
      <c r="EO70" s="38" t="n">
        <v>0</v>
      </c>
      <c r="EP70" s="284" t="n"/>
      <c r="EQ70" s="36" t="n"/>
      <c r="ER70" s="284" t="n"/>
      <c r="ES70" s="38" t="n">
        <v>0</v>
      </c>
      <c r="ET70" s="284" t="n"/>
      <c r="EU70" s="36" t="n"/>
      <c r="EV70" s="284" t="n"/>
      <c r="EW70" s="38" t="n">
        <v>0</v>
      </c>
      <c r="EX70" s="284" t="n"/>
      <c r="EY70" s="36" t="n"/>
      <c r="EZ70" s="284" t="n"/>
      <c r="FA70" s="38" t="n">
        <v>0</v>
      </c>
      <c r="FB70" s="284" t="n"/>
      <c r="FC70" s="36" t="n"/>
      <c r="FD70" s="284" t="n"/>
      <c r="FE70" s="38" t="n">
        <v>0</v>
      </c>
      <c r="FF70" s="284" t="n"/>
      <c r="FG70" s="36" t="n"/>
      <c r="FH70" s="284" t="n"/>
      <c r="FI70" s="38" t="n">
        <v>0</v>
      </c>
      <c r="FJ70" s="284" t="n"/>
      <c r="FK70" s="36" t="n"/>
      <c r="FL70" s="284" t="n"/>
      <c r="FM70" s="38" t="n">
        <v>0</v>
      </c>
      <c r="FN70" s="284" t="n"/>
      <c r="FO70" s="36" t="n"/>
      <c r="FP70" s="284" t="n"/>
      <c r="FQ70" s="38" t="n">
        <v>0</v>
      </c>
      <c r="FR70" s="284" t="n"/>
      <c r="FS70" s="36" t="n"/>
      <c r="FT70" s="284" t="n"/>
      <c r="FU70" s="38" t="n">
        <v>0</v>
      </c>
      <c r="FV70" s="284" t="n"/>
      <c r="FW70" s="36" t="n"/>
      <c r="FX70" s="284" t="n"/>
      <c r="FY70" s="38" t="n">
        <v>0</v>
      </c>
      <c r="FZ70" s="284" t="n"/>
      <c r="GA70" s="338">
        <f t="array" ref="GA70">SUMPRODUCT(--(MOD(COLUMN($EE70:$FZ70),4)=MOD(COLUMN($EE70),4)),$EE70:$FZ70)</f>
        <v/>
      </c>
      <c r="GB70" s="339">
        <f>GA70*$J70</f>
        <v/>
      </c>
      <c r="GC70" s="340">
        <f t="array" ref="GC70">SUMPRODUCT(--(MOD(COLUMN($EE70:$FZ70),4)=MOD(COLUMN($EF70),4)),$EE70:$FZ70)</f>
        <v/>
      </c>
      <c r="GD70" s="341">
        <f>GC70*$J70</f>
        <v/>
      </c>
      <c r="GE70" s="342">
        <f t="array" ref="GE70">SUMPRODUCT(--(MOD(COLUMN($EE70:$FZ70),4)=MOD(COLUMN($EG70),4)),$EE70:$FZ70)</f>
        <v/>
      </c>
      <c r="GF70" s="343">
        <f>GE70*$J70</f>
        <v/>
      </c>
      <c r="GG70" s="36" t="n"/>
      <c r="GH70" s="284" t="n"/>
      <c r="GI70" s="38" t="n">
        <v>0</v>
      </c>
      <c r="GJ70" s="284" t="n"/>
      <c r="GK70" s="36" t="n"/>
      <c r="GL70" s="284" t="n"/>
      <c r="GM70" s="38" t="n">
        <v>0</v>
      </c>
      <c r="GN70" s="284" t="n"/>
      <c r="GO70" s="36" t="n"/>
      <c r="GP70" s="284" t="n"/>
      <c r="GQ70" s="38" t="n">
        <v>0</v>
      </c>
      <c r="GR70" s="284" t="n"/>
      <c r="GS70" s="36" t="n"/>
      <c r="GT70" s="284" t="n"/>
      <c r="GU70" s="38" t="n">
        <v>0</v>
      </c>
      <c r="GV70" s="284" t="n"/>
      <c r="GW70" s="36" t="n"/>
      <c r="GX70" s="284" t="n"/>
      <c r="GY70" s="38" t="n">
        <v>0</v>
      </c>
      <c r="GZ70" s="284" t="n"/>
      <c r="HA70" s="36" t="n"/>
      <c r="HB70" s="284" t="n"/>
      <c r="HC70" s="38" t="n">
        <v>0</v>
      </c>
      <c r="HD70" s="284" t="n"/>
      <c r="HE70" s="36" t="n"/>
      <c r="HF70" s="284" t="n"/>
      <c r="HG70" s="38" t="n">
        <v>0</v>
      </c>
      <c r="HH70" s="284" t="n"/>
      <c r="HI70" s="36" t="n"/>
      <c r="HJ70" s="284" t="n"/>
      <c r="HK70" s="38" t="n">
        <v>0</v>
      </c>
      <c r="HL70" s="284" t="n"/>
      <c r="HM70" s="36" t="n"/>
      <c r="HN70" s="284" t="n"/>
      <c r="HO70" s="38" t="n">
        <v>0</v>
      </c>
      <c r="HP70" s="284" t="n"/>
      <c r="HQ70" s="36" t="n"/>
      <c r="HR70" s="284" t="n"/>
      <c r="HS70" s="38" t="n">
        <v>0</v>
      </c>
      <c r="HT70" s="284" t="n"/>
      <c r="HU70" s="36" t="n"/>
      <c r="HV70" s="284" t="n"/>
      <c r="HW70" s="38" t="n">
        <v>0</v>
      </c>
      <c r="HX70" s="284" t="n"/>
      <c r="HY70" s="36" t="n"/>
      <c r="HZ70" s="284" t="n"/>
      <c r="IA70" s="38" t="n">
        <v>0</v>
      </c>
      <c r="IB70" s="284" t="n"/>
      <c r="IC70" s="338">
        <f t="array" ref="IC70">SUMPRODUCT(--(MOD(COLUMN($GG70:$IB70),4)=MOD(COLUMN($GG70),4)),$GG70:$IB70)</f>
        <v/>
      </c>
      <c r="ID70" s="339">
        <f>IC70*$J70</f>
        <v/>
      </c>
      <c r="IE70" s="340">
        <f t="array" ref="IE70">SUMPRODUCT(--(MOD(COLUMN($GG70:$IB70),4)=MOD(COLUMN($GH70),4)),$GG70:$IB70)</f>
        <v/>
      </c>
      <c r="IF70" s="341">
        <f>IE70*$J70</f>
        <v/>
      </c>
      <c r="IG70" s="342">
        <f t="array" ref="IG70">SUMPRODUCT(--(MOD(COLUMN($GG70:$IB70),4)=MOD(COLUMN($GI70),4)),$GG70:$IB70)</f>
        <v/>
      </c>
      <c r="IH70" s="343">
        <f>IG70*$J70</f>
        <v/>
      </c>
      <c r="II70" s="36" t="n"/>
      <c r="IJ70" s="284" t="n"/>
      <c r="IK70" s="38" t="n">
        <v>0</v>
      </c>
      <c r="IL70" s="284" t="n"/>
      <c r="IM70" s="36" t="n"/>
      <c r="IN70" s="284" t="n"/>
      <c r="IO70" s="38" t="n">
        <v>0</v>
      </c>
      <c r="IP70" s="284" t="n"/>
      <c r="IQ70" s="36" t="n"/>
      <c r="IR70" s="284" t="n"/>
      <c r="IS70" s="38" t="n">
        <v>0</v>
      </c>
      <c r="IT70" s="284" t="n"/>
      <c r="IU70" s="36" t="n"/>
      <c r="IV70" s="284" t="n"/>
      <c r="IW70" s="38" t="n">
        <v>0</v>
      </c>
      <c r="IX70" s="284" t="n"/>
      <c r="IY70" s="36" t="n"/>
      <c r="IZ70" s="284" t="n"/>
      <c r="JA70" s="38" t="n">
        <v>0</v>
      </c>
      <c r="JB70" s="284" t="n"/>
      <c r="JC70" s="36" t="n"/>
      <c r="JD70" s="284" t="n"/>
      <c r="JE70" s="38" t="n">
        <v>0</v>
      </c>
      <c r="JF70" s="284" t="n"/>
      <c r="JG70" s="36" t="n"/>
      <c r="JH70" s="284" t="n"/>
      <c r="JI70" s="38" t="n">
        <v>0</v>
      </c>
      <c r="JJ70" s="284" t="n"/>
      <c r="JK70" s="36" t="n"/>
      <c r="JL70" s="284" t="n"/>
      <c r="JM70" s="38" t="n">
        <v>0</v>
      </c>
      <c r="JN70" s="284" t="n"/>
      <c r="JO70" s="36" t="n"/>
      <c r="JP70" s="284" t="n"/>
      <c r="JQ70" s="38" t="n">
        <v>0</v>
      </c>
      <c r="JR70" s="284" t="n"/>
      <c r="JS70" s="36" t="n"/>
      <c r="JT70" s="284" t="n"/>
      <c r="JU70" s="38" t="n">
        <v>0</v>
      </c>
      <c r="JV70" s="284" t="n"/>
      <c r="JW70" s="36" t="n"/>
      <c r="JX70" s="284" t="n"/>
      <c r="JY70" s="38" t="n">
        <v>0</v>
      </c>
      <c r="JZ70" s="284" t="n"/>
      <c r="KA70" s="36" t="n"/>
      <c r="KB70" s="284" t="n"/>
      <c r="KC70" s="38" t="n">
        <v>0</v>
      </c>
      <c r="KD70" s="284" t="n"/>
      <c r="KE70" s="338">
        <f t="array" ref="KE70">SUMPRODUCT(--(MOD(COLUMN($II70:$KD70),4)=MOD(COLUMN($II70),4)),$II70:$KD70)</f>
        <v/>
      </c>
      <c r="KF70" s="339">
        <f>KE70*$J70</f>
        <v/>
      </c>
      <c r="KG70" s="340">
        <f t="array" ref="KG70">SUMPRODUCT(--(MOD(COLUMN($II70:$KD70),4)=MOD(COLUMN($IJ70),4)),$II70:$KD70)</f>
        <v/>
      </c>
      <c r="KH70" s="341">
        <f>KG70*$J70</f>
        <v/>
      </c>
      <c r="KI70" s="342">
        <f t="array" ref="KI70">SUMPRODUCT(--(MOD(COLUMN($II70:$KD70),4)=MOD(COLUMN($IK70),4)),$II70:$KD70)</f>
        <v/>
      </c>
      <c r="KJ70" s="346">
        <f>KI70*$J70</f>
        <v/>
      </c>
      <c r="KK70" s="80" t="n"/>
      <c r="KL70" s="80" t="n"/>
      <c r="KM70" s="80" t="n"/>
      <c r="KN70" s="51" t="n">
        <v>1</v>
      </c>
      <c r="KO70" s="347" t="n"/>
    </row>
    <row r="71" outlineLevel="1" ht="28.8" customFormat="1" customHeight="1" s="68">
      <c r="A71" s="347" t="n"/>
      <c r="B71" s="347" t="n"/>
      <c r="C71" s="347" t="n"/>
      <c r="D71" s="347" t="n"/>
      <c r="E71" s="15" t="n">
        <v>35</v>
      </c>
      <c r="F71" s="61" t="n">
        <v>2</v>
      </c>
      <c r="G71" s="62" t="n">
        <v>4491731200</v>
      </c>
      <c r="H71" s="63" t="inlineStr">
        <is>
          <t>Кабель питания для прицепа, 12 м</t>
        </is>
      </c>
      <c r="I71" s="359" t="n">
        <v>912.4</v>
      </c>
      <c r="J71" s="360">
        <f>1244.4/1.2</f>
        <v/>
      </c>
      <c r="K71" s="360" t="n"/>
      <c r="L71" s="360" t="n"/>
      <c r="M71" s="36" t="n"/>
      <c r="N71" s="284" t="n"/>
      <c r="O71" s="38" t="n"/>
      <c r="P71" s="284" t="n"/>
      <c r="Q71" s="36" t="n"/>
      <c r="R71" s="284" t="n"/>
      <c r="S71" s="38" t="n"/>
      <c r="T71" s="284" t="n"/>
      <c r="U71" s="36" t="n"/>
      <c r="V71" s="284" t="n"/>
      <c r="W71" s="38" t="n"/>
      <c r="X71" s="284" t="n"/>
      <c r="Y71" s="36" t="n"/>
      <c r="Z71" s="39" t="n"/>
      <c r="AA71" s="38" t="n">
        <v>0</v>
      </c>
      <c r="AB71" s="247" t="n"/>
      <c r="AC71" s="36" t="n"/>
      <c r="AD71" s="284" t="n"/>
      <c r="AE71" s="38" t="n">
        <v>0</v>
      </c>
      <c r="AF71" s="247" t="n"/>
      <c r="AG71" s="36" t="n"/>
      <c r="AH71" s="284" t="n"/>
      <c r="AI71" s="38" t="n">
        <v>0</v>
      </c>
      <c r="AJ71" s="247" t="n"/>
      <c r="AK71" s="36" t="n"/>
      <c r="AL71" s="284" t="n"/>
      <c r="AM71" s="38" t="n">
        <v>0</v>
      </c>
      <c r="AN71" s="247" t="n"/>
      <c r="AO71" s="36" t="n"/>
      <c r="AP71" s="284" t="n"/>
      <c r="AQ71" s="38" t="n">
        <v>0</v>
      </c>
      <c r="AR71" s="247" t="n"/>
      <c r="AS71" s="36" t="n"/>
      <c r="AT71" s="284" t="n"/>
      <c r="AU71" s="38" t="n">
        <v>0</v>
      </c>
      <c r="AV71" s="247" t="n"/>
      <c r="AW71" s="36" t="n"/>
      <c r="AX71" s="284" t="n"/>
      <c r="AY71" s="38" t="n">
        <v>0</v>
      </c>
      <c r="AZ71" s="247" t="n"/>
      <c r="BA71" s="36" t="n"/>
      <c r="BB71" s="284" t="n"/>
      <c r="BC71" s="92" t="n">
        <v>0</v>
      </c>
      <c r="BD71" s="284" t="n"/>
      <c r="BE71" s="36" t="n"/>
      <c r="BF71" s="284">
        <f>$KN71*0</f>
        <v/>
      </c>
      <c r="BG71" s="54" t="n">
        <v>0</v>
      </c>
      <c r="BH71" s="284" t="n"/>
      <c r="BI71" s="338" t="n"/>
      <c r="BJ71" s="339" t="n"/>
      <c r="BK71" s="340" t="n"/>
      <c r="BL71" s="341" t="n"/>
      <c r="BM71" s="342" t="n"/>
      <c r="BN71" s="343" t="n"/>
      <c r="BO71" s="36" t="n"/>
      <c r="BP71" s="47" t="n"/>
      <c r="BQ71" s="284" t="n"/>
      <c r="BR71" s="38" t="n">
        <v>2</v>
      </c>
      <c r="BS71" s="284" t="n"/>
      <c r="BT71" s="36" t="n"/>
      <c r="BU71" s="47" t="n"/>
      <c r="BV71" s="284">
        <f>$KN71*10</f>
        <v/>
      </c>
      <c r="BW71" s="38" t="n">
        <v>10</v>
      </c>
      <c r="BX71" s="347" t="n"/>
      <c r="BY71" s="36" t="n"/>
      <c r="BZ71" s="47" t="n"/>
      <c r="CA71" s="284" t="n"/>
      <c r="CB71" s="38" t="n">
        <v>0</v>
      </c>
      <c r="CC71" s="284" t="n"/>
      <c r="CD71" s="36" t="n"/>
      <c r="CE71" s="47" t="n"/>
      <c r="CF71" s="284" t="n"/>
      <c r="CG71" s="38" t="n">
        <v>0</v>
      </c>
      <c r="CH71" s="284" t="n"/>
      <c r="CI71" s="36" t="n"/>
      <c r="CJ71" s="47" t="n"/>
      <c r="CK71" s="284" t="n"/>
      <c r="CL71" s="38" t="n">
        <v>0</v>
      </c>
      <c r="CM71" s="284" t="n"/>
      <c r="CN71" s="36" t="n"/>
      <c r="CO71" s="47" t="n"/>
      <c r="CP71" s="284" t="n"/>
      <c r="CQ71" s="38" t="n">
        <v>0</v>
      </c>
      <c r="CR71" s="284" t="n"/>
      <c r="CS71" s="36" t="n"/>
      <c r="CT71" s="47" t="n"/>
      <c r="CU71" s="284" t="n"/>
      <c r="CV71" s="38" t="n">
        <v>0</v>
      </c>
      <c r="CW71" s="284" t="n"/>
      <c r="CX71" s="36" t="n"/>
      <c r="CY71" s="47" t="n"/>
      <c r="CZ71" s="284" t="n"/>
      <c r="DA71" s="38" t="n">
        <v>0</v>
      </c>
      <c r="DB71" s="284" t="n"/>
      <c r="DC71" s="36" t="n"/>
      <c r="DD71" s="47" t="n"/>
      <c r="DE71" s="284" t="n"/>
      <c r="DF71" s="38" t="n">
        <v>0</v>
      </c>
      <c r="DG71" s="284" t="n"/>
      <c r="DH71" s="36" t="n"/>
      <c r="DI71" s="47" t="n"/>
      <c r="DJ71" s="284" t="n"/>
      <c r="DK71" s="38" t="n">
        <v>0</v>
      </c>
      <c r="DL71" s="284" t="n"/>
      <c r="DM71" s="36" t="n"/>
      <c r="DN71" s="47" t="n"/>
      <c r="DO71" s="284">
        <f>$KN71*0</f>
        <v/>
      </c>
      <c r="DP71" s="38" t="n">
        <v>0</v>
      </c>
      <c r="DQ71" s="227" t="n"/>
      <c r="DR71" s="36" t="n"/>
      <c r="DS71" s="47" t="n"/>
      <c r="DT71" s="284">
        <f>$KN71*0</f>
        <v/>
      </c>
      <c r="DU71" s="38" t="n">
        <v>0</v>
      </c>
      <c r="DV71" s="284" t="n"/>
      <c r="DW71" s="338">
        <f t="array" ref="DW71">SUMPRODUCT(--(MOD(COLUMN($BO71:$DV71),5)=MOD(COLUMN($BO71),5)),$BO71:$DV71)</f>
        <v/>
      </c>
      <c r="DX71" s="339">
        <f>DW71*$J71</f>
        <v/>
      </c>
      <c r="DY71" s="344">
        <f t="array" ref="DY71">SUMPRODUCT(--(MOD(COLUMN($BO71:$DV71),5)=MOD(COLUMN($BP71),5)),$BO71:$DV71)</f>
        <v/>
      </c>
      <c r="DZ71" s="345">
        <f>DY71*$J71</f>
        <v/>
      </c>
      <c r="EA71" s="340">
        <f t="array" ref="EA71">SUMPRODUCT(--(MOD(COLUMN($BO71:$DV71),5)=MOD(COLUMN($BQ71),5)),$BO71:$DV71)</f>
        <v/>
      </c>
      <c r="EB71" s="341">
        <f>EA71*$J71</f>
        <v/>
      </c>
      <c r="EC71" s="342">
        <f t="array" ref="EC71">SUMPRODUCT(--(MOD(COLUMN($BO71:$DV71),5)=MOD(COLUMN($BR71),5)),$BO71:$DV71)</f>
        <v/>
      </c>
      <c r="ED71" s="343">
        <f>EC71*$J71</f>
        <v/>
      </c>
      <c r="EE71" s="36" t="n"/>
      <c r="EF71" s="284" t="n"/>
      <c r="EG71" s="38" t="n"/>
      <c r="EH71" s="284" t="n"/>
      <c r="EI71" s="36" t="n"/>
      <c r="EJ71" s="284" t="n"/>
      <c r="EK71" s="38" t="n">
        <v>0</v>
      </c>
      <c r="EL71" s="284" t="n"/>
      <c r="EM71" s="36" t="n"/>
      <c r="EN71" s="284" t="n"/>
      <c r="EO71" s="38" t="n">
        <v>0</v>
      </c>
      <c r="EP71" s="284" t="n"/>
      <c r="EQ71" s="36" t="n"/>
      <c r="ER71" s="284" t="n"/>
      <c r="ES71" s="38" t="n">
        <v>0</v>
      </c>
      <c r="ET71" s="284" t="n"/>
      <c r="EU71" s="36" t="n"/>
      <c r="EV71" s="284" t="n"/>
      <c r="EW71" s="38" t="n">
        <v>0</v>
      </c>
      <c r="EX71" s="284" t="n"/>
      <c r="EY71" s="36" t="n"/>
      <c r="EZ71" s="284" t="n"/>
      <c r="FA71" s="38" t="n">
        <v>0</v>
      </c>
      <c r="FB71" s="284" t="n"/>
      <c r="FC71" s="36" t="n"/>
      <c r="FD71" s="284" t="n"/>
      <c r="FE71" s="38" t="n">
        <v>0</v>
      </c>
      <c r="FF71" s="284" t="n"/>
      <c r="FG71" s="36" t="n"/>
      <c r="FH71" s="284" t="n"/>
      <c r="FI71" s="38" t="n">
        <v>0</v>
      </c>
      <c r="FJ71" s="284" t="n"/>
      <c r="FK71" s="36" t="n"/>
      <c r="FL71" s="284" t="n"/>
      <c r="FM71" s="38" t="n">
        <v>0</v>
      </c>
      <c r="FN71" s="284" t="n"/>
      <c r="FO71" s="36" t="n"/>
      <c r="FP71" s="284" t="n"/>
      <c r="FQ71" s="38" t="n">
        <v>0</v>
      </c>
      <c r="FR71" s="284" t="n"/>
      <c r="FS71" s="36" t="n"/>
      <c r="FT71" s="284" t="n"/>
      <c r="FU71" s="38" t="n">
        <v>0</v>
      </c>
      <c r="FV71" s="284" t="n"/>
      <c r="FW71" s="36" t="n"/>
      <c r="FX71" s="284" t="n"/>
      <c r="FY71" s="38" t="n">
        <v>0</v>
      </c>
      <c r="FZ71" s="284" t="n"/>
      <c r="GA71" s="338">
        <f t="array" ref="GA71">SUMPRODUCT(--(MOD(COLUMN($EE71:$FZ71),4)=MOD(COLUMN($EE71),4)),$EE71:$FZ71)</f>
        <v/>
      </c>
      <c r="GB71" s="339">
        <f>GA71*$J71</f>
        <v/>
      </c>
      <c r="GC71" s="340">
        <f t="array" ref="GC71">SUMPRODUCT(--(MOD(COLUMN($EE71:$FZ71),4)=MOD(COLUMN($EF71),4)),$EE71:$FZ71)</f>
        <v/>
      </c>
      <c r="GD71" s="341">
        <f>GC71*$J71</f>
        <v/>
      </c>
      <c r="GE71" s="342">
        <f t="array" ref="GE71">SUMPRODUCT(--(MOD(COLUMN($EE71:$FZ71),4)=MOD(COLUMN($EG71),4)),$EE71:$FZ71)</f>
        <v/>
      </c>
      <c r="GF71" s="343">
        <f>GE71*$J71</f>
        <v/>
      </c>
      <c r="GG71" s="36" t="n"/>
      <c r="GH71" s="284" t="n"/>
      <c r="GI71" s="38" t="n">
        <v>0</v>
      </c>
      <c r="GJ71" s="284" t="n"/>
      <c r="GK71" s="36" t="n"/>
      <c r="GL71" s="284" t="n"/>
      <c r="GM71" s="38" t="n">
        <v>0</v>
      </c>
      <c r="GN71" s="284" t="n"/>
      <c r="GO71" s="36" t="n"/>
      <c r="GP71" s="284" t="n"/>
      <c r="GQ71" s="38" t="n">
        <v>0</v>
      </c>
      <c r="GR71" s="284" t="n"/>
      <c r="GS71" s="36" t="n"/>
      <c r="GT71" s="284" t="n"/>
      <c r="GU71" s="38" t="n">
        <v>0</v>
      </c>
      <c r="GV71" s="284" t="n"/>
      <c r="GW71" s="36" t="n"/>
      <c r="GX71" s="284" t="n"/>
      <c r="GY71" s="38" t="n">
        <v>0</v>
      </c>
      <c r="GZ71" s="284" t="n"/>
      <c r="HA71" s="36" t="n"/>
      <c r="HB71" s="284" t="n"/>
      <c r="HC71" s="38" t="n">
        <v>0</v>
      </c>
      <c r="HD71" s="284" t="n"/>
      <c r="HE71" s="36" t="n"/>
      <c r="HF71" s="284" t="n"/>
      <c r="HG71" s="38" t="n">
        <v>0</v>
      </c>
      <c r="HH71" s="284" t="n"/>
      <c r="HI71" s="36" t="n"/>
      <c r="HJ71" s="284" t="n"/>
      <c r="HK71" s="38" t="n">
        <v>0</v>
      </c>
      <c r="HL71" s="284" t="n"/>
      <c r="HM71" s="36" t="n"/>
      <c r="HN71" s="284" t="n"/>
      <c r="HO71" s="38" t="n">
        <v>0</v>
      </c>
      <c r="HP71" s="284" t="n"/>
      <c r="HQ71" s="36" t="n"/>
      <c r="HR71" s="284" t="n"/>
      <c r="HS71" s="38" t="n">
        <v>0</v>
      </c>
      <c r="HT71" s="284" t="n"/>
      <c r="HU71" s="36" t="n"/>
      <c r="HV71" s="284" t="n"/>
      <c r="HW71" s="38" t="n">
        <v>0</v>
      </c>
      <c r="HX71" s="284" t="n"/>
      <c r="HY71" s="36" t="n"/>
      <c r="HZ71" s="284" t="n"/>
      <c r="IA71" s="38" t="n">
        <v>0</v>
      </c>
      <c r="IB71" s="284" t="n"/>
      <c r="IC71" s="338">
        <f t="array" ref="IC71">SUMPRODUCT(--(MOD(COLUMN($GG71:$IB71),4)=MOD(COLUMN($GG71),4)),$GG71:$IB71)</f>
        <v/>
      </c>
      <c r="ID71" s="339">
        <f>IC71*$J71</f>
        <v/>
      </c>
      <c r="IE71" s="340">
        <f t="array" ref="IE71">SUMPRODUCT(--(MOD(COLUMN($GG71:$IB71),4)=MOD(COLUMN($GH71),4)),$GG71:$IB71)</f>
        <v/>
      </c>
      <c r="IF71" s="341">
        <f>IE71*$J71</f>
        <v/>
      </c>
      <c r="IG71" s="342">
        <f t="array" ref="IG71">SUMPRODUCT(--(MOD(COLUMN($GG71:$IB71),4)=MOD(COLUMN($GI71),4)),$GG71:$IB71)</f>
        <v/>
      </c>
      <c r="IH71" s="343">
        <f>IG71*$J71</f>
        <v/>
      </c>
      <c r="II71" s="36" t="n"/>
      <c r="IJ71" s="284" t="n"/>
      <c r="IK71" s="38" t="n">
        <v>0</v>
      </c>
      <c r="IL71" s="284" t="n"/>
      <c r="IM71" s="36" t="n"/>
      <c r="IN71" s="284" t="n"/>
      <c r="IO71" s="38" t="n">
        <v>0</v>
      </c>
      <c r="IP71" s="284" t="n"/>
      <c r="IQ71" s="36" t="n"/>
      <c r="IR71" s="284" t="n"/>
      <c r="IS71" s="38" t="n">
        <v>0</v>
      </c>
      <c r="IT71" s="284" t="n"/>
      <c r="IU71" s="36" t="n"/>
      <c r="IV71" s="284" t="n"/>
      <c r="IW71" s="38" t="n">
        <v>0</v>
      </c>
      <c r="IX71" s="284" t="n"/>
      <c r="IY71" s="36" t="n"/>
      <c r="IZ71" s="284" t="n"/>
      <c r="JA71" s="38" t="n">
        <v>0</v>
      </c>
      <c r="JB71" s="284" t="n"/>
      <c r="JC71" s="36" t="n"/>
      <c r="JD71" s="284" t="n"/>
      <c r="JE71" s="38" t="n">
        <v>0</v>
      </c>
      <c r="JF71" s="284" t="n"/>
      <c r="JG71" s="36" t="n"/>
      <c r="JH71" s="284" t="n"/>
      <c r="JI71" s="38" t="n">
        <v>0</v>
      </c>
      <c r="JJ71" s="284" t="n"/>
      <c r="JK71" s="36" t="n"/>
      <c r="JL71" s="284" t="n"/>
      <c r="JM71" s="38" t="n">
        <v>0</v>
      </c>
      <c r="JN71" s="284" t="n"/>
      <c r="JO71" s="36" t="n"/>
      <c r="JP71" s="284" t="n"/>
      <c r="JQ71" s="38" t="n">
        <v>0</v>
      </c>
      <c r="JR71" s="284" t="n"/>
      <c r="JS71" s="36" t="n"/>
      <c r="JT71" s="284" t="n"/>
      <c r="JU71" s="38" t="n">
        <v>0</v>
      </c>
      <c r="JV71" s="284" t="n"/>
      <c r="JW71" s="36" t="n"/>
      <c r="JX71" s="284" t="n"/>
      <c r="JY71" s="38" t="n">
        <v>0</v>
      </c>
      <c r="JZ71" s="284" t="n"/>
      <c r="KA71" s="36" t="n"/>
      <c r="KB71" s="284" t="n"/>
      <c r="KC71" s="38" t="n">
        <v>0</v>
      </c>
      <c r="KD71" s="284" t="n"/>
      <c r="KE71" s="338">
        <f t="array" ref="KE71">SUMPRODUCT(--(MOD(COLUMN($II71:$KD71),4)=MOD(COLUMN($II71),4)),$II71:$KD71)</f>
        <v/>
      </c>
      <c r="KF71" s="339">
        <f>KE71*$J71</f>
        <v/>
      </c>
      <c r="KG71" s="340">
        <f t="array" ref="KG71">SUMPRODUCT(--(MOD(COLUMN($II71:$KD71),4)=MOD(COLUMN($IJ71),4)),$II71:$KD71)</f>
        <v/>
      </c>
      <c r="KH71" s="341">
        <f>KG71*$J71</f>
        <v/>
      </c>
      <c r="KI71" s="342">
        <f t="array" ref="KI71">SUMPRODUCT(--(MOD(COLUMN($II71:$KD71),4)=MOD(COLUMN($IK71),4)),$II71:$KD71)</f>
        <v/>
      </c>
      <c r="KJ71" s="346">
        <f>KI71*$J71</f>
        <v/>
      </c>
      <c r="KK71" s="80" t="n"/>
      <c r="KL71" s="80" t="n"/>
      <c r="KM71" s="80" t="n"/>
      <c r="KN71" s="51" t="n">
        <v>1</v>
      </c>
      <c r="KO71" s="347" t="n"/>
    </row>
    <row r="72" outlineLevel="1" customFormat="1" s="68">
      <c r="A72" s="347" t="n"/>
      <c r="B72" s="347" t="n"/>
      <c r="C72" s="347" t="n"/>
      <c r="D72" s="347" t="n"/>
      <c r="E72" s="15" t="n">
        <v>36</v>
      </c>
      <c r="F72" s="61" t="n">
        <v>2</v>
      </c>
      <c r="G72" s="62" t="n">
        <v>4497230300</v>
      </c>
      <c r="H72" s="63" t="inlineStr">
        <is>
          <t>Кабель датчика АБС</t>
        </is>
      </c>
      <c r="I72" s="359" t="n">
        <v>82.40000000000001</v>
      </c>
      <c r="J72" s="360">
        <f>213.4/1.2</f>
        <v/>
      </c>
      <c r="K72" s="360" t="n"/>
      <c r="L72" s="360" t="n"/>
      <c r="M72" s="36" t="n"/>
      <c r="N72" s="284" t="n"/>
      <c r="O72" s="38" t="n"/>
      <c r="P72" s="284" t="n"/>
      <c r="Q72" s="36" t="n"/>
      <c r="R72" s="284" t="n"/>
      <c r="S72" s="38" t="n"/>
      <c r="T72" s="284" t="n"/>
      <c r="U72" s="36" t="n"/>
      <c r="V72" s="284" t="n"/>
      <c r="W72" s="38" t="n"/>
      <c r="X72" s="284" t="n"/>
      <c r="Y72" s="36" t="n"/>
      <c r="Z72" s="39" t="n"/>
      <c r="AA72" s="38" t="n"/>
      <c r="AB72" s="247" t="n"/>
      <c r="AC72" s="36" t="n"/>
      <c r="AD72" s="284" t="n"/>
      <c r="AE72" s="38" t="n"/>
      <c r="AF72" s="247" t="n"/>
      <c r="AG72" s="36" t="n"/>
      <c r="AH72" s="284" t="n"/>
      <c r="AI72" s="38" t="n"/>
      <c r="AJ72" s="247" t="n"/>
      <c r="AK72" s="36" t="n"/>
      <c r="AL72" s="284" t="n"/>
      <c r="AM72" s="38" t="n"/>
      <c r="AN72" s="247" t="n"/>
      <c r="AO72" s="36" t="n"/>
      <c r="AP72" s="284" t="n"/>
      <c r="AQ72" s="38" t="n"/>
      <c r="AR72" s="247" t="n"/>
      <c r="AS72" s="36" t="n"/>
      <c r="AT72" s="284" t="n"/>
      <c r="AU72" s="38" t="n"/>
      <c r="AV72" s="247" t="n"/>
      <c r="AW72" s="36" t="n"/>
      <c r="AX72" s="284" t="n"/>
      <c r="AY72" s="38" t="n"/>
      <c r="AZ72" s="247" t="n"/>
      <c r="BA72" s="36" t="n"/>
      <c r="BB72" s="284" t="n"/>
      <c r="BC72" s="92" t="n"/>
      <c r="BD72" s="284" t="n"/>
      <c r="BE72" s="36" t="n"/>
      <c r="BF72" s="284">
        <f>$KN72*0</f>
        <v/>
      </c>
      <c r="BG72" s="54" t="n"/>
      <c r="BH72" s="284" t="n"/>
      <c r="BI72" s="338" t="n"/>
      <c r="BJ72" s="339" t="n"/>
      <c r="BK72" s="340" t="n"/>
      <c r="BL72" s="341" t="n"/>
      <c r="BM72" s="342" t="n"/>
      <c r="BN72" s="343" t="n"/>
      <c r="BO72" s="36" t="n"/>
      <c r="BP72" s="47" t="n"/>
      <c r="BQ72" s="284" t="n"/>
      <c r="BR72" s="38" t="n">
        <v>4</v>
      </c>
      <c r="BS72" s="284" t="n"/>
      <c r="BT72" s="36" t="n"/>
      <c r="BU72" s="47" t="n"/>
      <c r="BV72" s="284">
        <f>$KN72*10</f>
        <v/>
      </c>
      <c r="BW72" s="38" t="n">
        <v>20</v>
      </c>
      <c r="BX72" s="347" t="n"/>
      <c r="BY72" s="36" t="n"/>
      <c r="BZ72" s="47" t="n"/>
      <c r="CA72" s="284" t="n"/>
      <c r="CB72" s="38" t="n">
        <v>0</v>
      </c>
      <c r="CC72" s="284" t="n"/>
      <c r="CD72" s="36" t="n"/>
      <c r="CE72" s="47" t="n"/>
      <c r="CF72" s="284" t="n"/>
      <c r="CG72" s="38" t="n">
        <v>0</v>
      </c>
      <c r="CH72" s="284" t="n"/>
      <c r="CI72" s="36" t="n"/>
      <c r="CJ72" s="47" t="n"/>
      <c r="CK72" s="284" t="n"/>
      <c r="CL72" s="38" t="n">
        <v>0</v>
      </c>
      <c r="CM72" s="284" t="n"/>
      <c r="CN72" s="36" t="n"/>
      <c r="CO72" s="47" t="n"/>
      <c r="CP72" s="284" t="n"/>
      <c r="CQ72" s="38" t="n">
        <v>4</v>
      </c>
      <c r="CR72" s="284" t="n"/>
      <c r="CS72" s="36" t="n"/>
      <c r="CT72" s="47" t="n"/>
      <c r="CU72" s="284" t="n"/>
      <c r="CV72" s="38" t="n">
        <v>0</v>
      </c>
      <c r="CW72" s="284" t="n"/>
      <c r="CX72" s="36" t="n"/>
      <c r="CY72" s="47" t="n"/>
      <c r="CZ72" s="284" t="n"/>
      <c r="DA72" s="38" t="n">
        <v>0</v>
      </c>
      <c r="DB72" s="284" t="n"/>
      <c r="DC72" s="36" t="n"/>
      <c r="DD72" s="47" t="n"/>
      <c r="DE72" s="284" t="n"/>
      <c r="DF72" s="38" t="n">
        <v>0</v>
      </c>
      <c r="DG72" s="284" t="n"/>
      <c r="DH72" s="36" t="n"/>
      <c r="DI72" s="47" t="n"/>
      <c r="DJ72" s="284" t="n"/>
      <c r="DK72" s="38" t="n">
        <v>0</v>
      </c>
      <c r="DL72" s="284" t="n"/>
      <c r="DM72" s="36" t="n"/>
      <c r="DN72" s="47" t="n"/>
      <c r="DO72" s="284">
        <f>$KN72*4</f>
        <v/>
      </c>
      <c r="DP72" s="38" t="n">
        <v>0</v>
      </c>
      <c r="DQ72" s="227" t="n"/>
      <c r="DR72" s="36" t="n"/>
      <c r="DS72" s="47" t="n"/>
      <c r="DT72" s="284">
        <f>$KN72*4</f>
        <v/>
      </c>
      <c r="DU72" s="38" t="n">
        <v>0</v>
      </c>
      <c r="DV72" s="284" t="n"/>
      <c r="DW72" s="338">
        <f t="array" ref="DW72">SUMPRODUCT(--(MOD(COLUMN($BO72:$DV72),5)=MOD(COLUMN($BO72),5)),$BO72:$DV72)</f>
        <v/>
      </c>
      <c r="DX72" s="339">
        <f>DW72*$J72</f>
        <v/>
      </c>
      <c r="DY72" s="344">
        <f t="array" ref="DY72">SUMPRODUCT(--(MOD(COLUMN($BO72:$DV72),5)=MOD(COLUMN($BP72),5)),$BO72:$DV72)</f>
        <v/>
      </c>
      <c r="DZ72" s="345">
        <f>DY72*$J72</f>
        <v/>
      </c>
      <c r="EA72" s="340">
        <f t="array" ref="EA72">SUMPRODUCT(--(MOD(COLUMN($BO72:$DV72),5)=MOD(COLUMN($BQ72),5)),$BO72:$DV72)</f>
        <v/>
      </c>
      <c r="EB72" s="341">
        <f>EA72*$J72</f>
        <v/>
      </c>
      <c r="EC72" s="342">
        <f t="array" ref="EC72">SUMPRODUCT(--(MOD(COLUMN($BO72:$DV72),5)=MOD(COLUMN($BR72),5)),$BO72:$DV72)</f>
        <v/>
      </c>
      <c r="ED72" s="343">
        <f>EC72*$J72</f>
        <v/>
      </c>
      <c r="EE72" s="36" t="n"/>
      <c r="EF72" s="284" t="n"/>
      <c r="EG72" s="38" t="n">
        <v>0</v>
      </c>
      <c r="EH72" s="284" t="n"/>
      <c r="EI72" s="36" t="n"/>
      <c r="EJ72" s="284" t="n"/>
      <c r="EK72" s="38" t="n">
        <v>6</v>
      </c>
      <c r="EL72" s="284" t="n"/>
      <c r="EM72" s="36" t="n"/>
      <c r="EN72" s="284" t="n"/>
      <c r="EO72" s="38" t="n"/>
      <c r="EP72" s="284" t="n"/>
      <c r="EQ72" s="36" t="n"/>
      <c r="ER72" s="284" t="n"/>
      <c r="ES72" s="38" t="n"/>
      <c r="ET72" s="284" t="n"/>
      <c r="EU72" s="36" t="n"/>
      <c r="EV72" s="284" t="n"/>
      <c r="EW72" s="38" t="n"/>
      <c r="EX72" s="284" t="n"/>
      <c r="EY72" s="36" t="n"/>
      <c r="EZ72" s="284" t="n"/>
      <c r="FA72" s="38" t="n">
        <v>0</v>
      </c>
      <c r="FB72" s="284" t="n"/>
      <c r="FC72" s="36" t="n"/>
      <c r="FD72" s="284" t="n"/>
      <c r="FE72" s="38" t="n">
        <v>0</v>
      </c>
      <c r="FF72" s="284" t="n"/>
      <c r="FG72" s="36" t="n"/>
      <c r="FH72" s="284" t="n"/>
      <c r="FI72" s="38" t="n"/>
      <c r="FJ72" s="284" t="n"/>
      <c r="FK72" s="36" t="n"/>
      <c r="FL72" s="284" t="n"/>
      <c r="FM72" s="38" t="n"/>
      <c r="FN72" s="284" t="n"/>
      <c r="FO72" s="36" t="n"/>
      <c r="FP72" s="284" t="n"/>
      <c r="FQ72" s="38" t="n"/>
      <c r="FR72" s="284" t="n"/>
      <c r="FS72" s="36" t="n"/>
      <c r="FT72" s="284" t="n"/>
      <c r="FU72" s="38" t="n"/>
      <c r="FV72" s="284" t="n"/>
      <c r="FW72" s="36" t="n"/>
      <c r="FX72" s="284" t="n"/>
      <c r="FY72" s="38" t="n"/>
      <c r="FZ72" s="284" t="n"/>
      <c r="GA72" s="338">
        <f t="array" ref="GA72">SUMPRODUCT(--(MOD(COLUMN($EE72:$FZ72),4)=MOD(COLUMN($EE72),4)),$EE72:$FZ72)</f>
        <v/>
      </c>
      <c r="GB72" s="339">
        <f>GA72*$J72</f>
        <v/>
      </c>
      <c r="GC72" s="340">
        <f t="array" ref="GC72">SUMPRODUCT(--(MOD(COLUMN($EE72:$FZ72),4)=MOD(COLUMN($EF72),4)),$EE72:$FZ72)</f>
        <v/>
      </c>
      <c r="GD72" s="341">
        <f>GC72*$J72</f>
        <v/>
      </c>
      <c r="GE72" s="342">
        <f t="array" ref="GE72">SUMPRODUCT(--(MOD(COLUMN($EE72:$FZ72),4)=MOD(COLUMN($EG72),4)),$EE72:$FZ72)</f>
        <v/>
      </c>
      <c r="GF72" s="343">
        <f>GE72*$J72</f>
        <v/>
      </c>
      <c r="GG72" s="36" t="n"/>
      <c r="GH72" s="284" t="n"/>
      <c r="GI72" s="38" t="n"/>
      <c r="GJ72" s="284" t="n"/>
      <c r="GK72" s="36" t="n"/>
      <c r="GL72" s="284" t="n"/>
      <c r="GM72" s="38" t="n"/>
      <c r="GN72" s="284" t="n"/>
      <c r="GO72" s="36" t="n"/>
      <c r="GP72" s="284" t="n"/>
      <c r="GQ72" s="38" t="n"/>
      <c r="GR72" s="284" t="n"/>
      <c r="GS72" s="36" t="n"/>
      <c r="GT72" s="284" t="n"/>
      <c r="GU72" s="38" t="n"/>
      <c r="GV72" s="284" t="n"/>
      <c r="GW72" s="36" t="n"/>
      <c r="GX72" s="284" t="n"/>
      <c r="GY72" s="38" t="n"/>
      <c r="GZ72" s="284" t="n"/>
      <c r="HA72" s="36" t="n"/>
      <c r="HB72" s="284" t="n"/>
      <c r="HC72" s="38" t="n"/>
      <c r="HD72" s="284" t="n"/>
      <c r="HE72" s="36" t="n"/>
      <c r="HF72" s="284" t="n"/>
      <c r="HG72" s="38" t="n"/>
      <c r="HH72" s="284" t="n"/>
      <c r="HI72" s="36" t="n"/>
      <c r="HJ72" s="284" t="n"/>
      <c r="HK72" s="38" t="n"/>
      <c r="HL72" s="284" t="n"/>
      <c r="HM72" s="36" t="n"/>
      <c r="HN72" s="284" t="n"/>
      <c r="HO72" s="38" t="n"/>
      <c r="HP72" s="284" t="n"/>
      <c r="HQ72" s="36" t="n"/>
      <c r="HR72" s="284" t="n"/>
      <c r="HS72" s="38" t="n"/>
      <c r="HT72" s="284" t="n"/>
      <c r="HU72" s="36" t="n"/>
      <c r="HV72" s="284" t="n"/>
      <c r="HW72" s="38" t="n"/>
      <c r="HX72" s="284" t="n"/>
      <c r="HY72" s="36" t="n"/>
      <c r="HZ72" s="284" t="n"/>
      <c r="IA72" s="38" t="n"/>
      <c r="IB72" s="284" t="n"/>
      <c r="IC72" s="338">
        <f t="array" ref="IC72">SUMPRODUCT(--(MOD(COLUMN($GG72:$IB72),4)=MOD(COLUMN($GG72),4)),$GG72:$IB72)</f>
        <v/>
      </c>
      <c r="ID72" s="339">
        <f>IC72*$J72</f>
        <v/>
      </c>
      <c r="IE72" s="340">
        <f t="array" ref="IE72">SUMPRODUCT(--(MOD(COLUMN($GG72:$IB72),4)=MOD(COLUMN($GH72),4)),$GG72:$IB72)</f>
        <v/>
      </c>
      <c r="IF72" s="341">
        <f>IE72*$J72</f>
        <v/>
      </c>
      <c r="IG72" s="342">
        <f t="array" ref="IG72">SUMPRODUCT(--(MOD(COLUMN($GG72:$IB72),4)=MOD(COLUMN($GI72),4)),$GG72:$IB72)</f>
        <v/>
      </c>
      <c r="IH72" s="343">
        <f>IG72*$J72</f>
        <v/>
      </c>
      <c r="II72" s="36" t="n"/>
      <c r="IJ72" s="284" t="n"/>
      <c r="IK72" s="38" t="n"/>
      <c r="IL72" s="284" t="n"/>
      <c r="IM72" s="36" t="n"/>
      <c r="IN72" s="284" t="n"/>
      <c r="IO72" s="38" t="n"/>
      <c r="IP72" s="284" t="n"/>
      <c r="IQ72" s="36" t="n"/>
      <c r="IR72" s="284" t="n"/>
      <c r="IS72" s="38" t="n"/>
      <c r="IT72" s="284" t="n"/>
      <c r="IU72" s="36" t="n"/>
      <c r="IV72" s="284" t="n"/>
      <c r="IW72" s="38" t="n"/>
      <c r="IX72" s="284" t="n"/>
      <c r="IY72" s="36" t="n"/>
      <c r="IZ72" s="284" t="n"/>
      <c r="JA72" s="38" t="n"/>
      <c r="JB72" s="284" t="n"/>
      <c r="JC72" s="36" t="n"/>
      <c r="JD72" s="284" t="n"/>
      <c r="JE72" s="38" t="n"/>
      <c r="JF72" s="284" t="n"/>
      <c r="JG72" s="36" t="n"/>
      <c r="JH72" s="284" t="n"/>
      <c r="JI72" s="38" t="n"/>
      <c r="JJ72" s="284" t="n"/>
      <c r="JK72" s="36" t="n"/>
      <c r="JL72" s="284" t="n"/>
      <c r="JM72" s="38" t="n"/>
      <c r="JN72" s="284" t="n"/>
      <c r="JO72" s="36" t="n"/>
      <c r="JP72" s="284" t="n"/>
      <c r="JQ72" s="38" t="n"/>
      <c r="JR72" s="284" t="n"/>
      <c r="JS72" s="36" t="n"/>
      <c r="JT72" s="284" t="n"/>
      <c r="JU72" s="38" t="n"/>
      <c r="JV72" s="284" t="n"/>
      <c r="JW72" s="36" t="n"/>
      <c r="JX72" s="284" t="n"/>
      <c r="JY72" s="38" t="n"/>
      <c r="JZ72" s="284" t="n"/>
      <c r="KA72" s="36" t="n"/>
      <c r="KB72" s="284" t="n"/>
      <c r="KC72" s="38" t="n"/>
      <c r="KD72" s="284" t="n"/>
      <c r="KE72" s="338">
        <f t="array" ref="KE72">SUMPRODUCT(--(MOD(COLUMN($II72:$KD72),4)=MOD(COLUMN($II72),4)),$II72:$KD72)</f>
        <v/>
      </c>
      <c r="KF72" s="339">
        <f>KE72*$J72</f>
        <v/>
      </c>
      <c r="KG72" s="340">
        <f t="array" ref="KG72">SUMPRODUCT(--(MOD(COLUMN($II72:$KD72),4)=MOD(COLUMN($IJ72),4)),$II72:$KD72)</f>
        <v/>
      </c>
      <c r="KH72" s="341">
        <f>KG72*$J72</f>
        <v/>
      </c>
      <c r="KI72" s="342">
        <f t="array" ref="KI72">SUMPRODUCT(--(MOD(COLUMN($II72:$KD72),4)=MOD(COLUMN($IK72),4)),$II72:$KD72)</f>
        <v/>
      </c>
      <c r="KJ72" s="346">
        <f>KI72*$J72</f>
        <v/>
      </c>
      <c r="KK72" s="80" t="n"/>
      <c r="KL72" s="80" t="n"/>
      <c r="KM72" s="80" t="n"/>
      <c r="KN72" s="51" t="n">
        <v>2</v>
      </c>
      <c r="KO72" s="347" t="n"/>
    </row>
    <row r="73" outlineLevel="1" ht="43.2" customFormat="1" customHeight="1" s="68">
      <c r="A73" s="347" t="n"/>
      <c r="B73" s="347" t="n"/>
      <c r="C73" s="347" t="n"/>
      <c r="D73" s="347" t="n"/>
      <c r="E73" s="15" t="n">
        <v>37</v>
      </c>
      <c r="F73" s="61" t="n">
        <v>2</v>
      </c>
      <c r="G73" s="62" t="n">
        <v>4493491000</v>
      </c>
      <c r="H73" s="63" t="inlineStr">
        <is>
          <t>Кабель питания от стоп-сигнала (24 N), 10 м</t>
        </is>
      </c>
      <c r="I73" s="359" t="n"/>
      <c r="J73" s="360">
        <f>259.4/1.2</f>
        <v/>
      </c>
      <c r="K73" s="360" t="n"/>
      <c r="L73" s="360" t="n"/>
      <c r="M73" s="36" t="n"/>
      <c r="N73" s="284" t="n"/>
      <c r="O73" s="38" t="n"/>
      <c r="P73" s="284" t="n"/>
      <c r="Q73" s="36" t="n"/>
      <c r="R73" s="284" t="n"/>
      <c r="S73" s="38" t="n"/>
      <c r="T73" s="284" t="n"/>
      <c r="U73" s="36" t="n"/>
      <c r="V73" s="284" t="n"/>
      <c r="W73" s="38" t="n"/>
      <c r="X73" s="284" t="n"/>
      <c r="Y73" s="36" t="n"/>
      <c r="Z73" s="39" t="n"/>
      <c r="AA73" s="38" t="n"/>
      <c r="AB73" s="247" t="n"/>
      <c r="AC73" s="36" t="n"/>
      <c r="AD73" s="284" t="n"/>
      <c r="AE73" s="38" t="n"/>
      <c r="AF73" s="247" t="n"/>
      <c r="AG73" s="36" t="n"/>
      <c r="AH73" s="284" t="n"/>
      <c r="AI73" s="38" t="n"/>
      <c r="AJ73" s="247" t="n"/>
      <c r="AK73" s="36" t="n"/>
      <c r="AL73" s="284" t="n"/>
      <c r="AM73" s="38" t="n"/>
      <c r="AN73" s="247" t="n"/>
      <c r="AO73" s="36" t="n"/>
      <c r="AP73" s="284" t="n"/>
      <c r="AQ73" s="38" t="n"/>
      <c r="AR73" s="247" t="n"/>
      <c r="AS73" s="36" t="n"/>
      <c r="AT73" s="284" t="n"/>
      <c r="AU73" s="38" t="n"/>
      <c r="AV73" s="247" t="n"/>
      <c r="AW73" s="36" t="n"/>
      <c r="AX73" s="284" t="n"/>
      <c r="AY73" s="38" t="n"/>
      <c r="AZ73" s="247" t="n"/>
      <c r="BA73" s="36" t="n"/>
      <c r="BB73" s="284" t="n"/>
      <c r="BC73" s="92" t="n"/>
      <c r="BD73" s="284" t="n"/>
      <c r="BE73" s="36" t="n"/>
      <c r="BF73" s="284">
        <f>$KN73*0</f>
        <v/>
      </c>
      <c r="BG73" s="54" t="n"/>
      <c r="BH73" s="284" t="n"/>
      <c r="BI73" s="338" t="n"/>
      <c r="BJ73" s="339" t="n"/>
      <c r="BK73" s="340" t="n"/>
      <c r="BL73" s="341" t="n"/>
      <c r="BM73" s="342" t="n"/>
      <c r="BN73" s="343" t="n"/>
      <c r="BO73" s="36" t="n"/>
      <c r="BP73" s="47" t="n"/>
      <c r="BQ73" s="284" t="n"/>
      <c r="BR73" s="38" t="n">
        <v>2</v>
      </c>
      <c r="BS73" s="284" t="n"/>
      <c r="BT73" s="36" t="n"/>
      <c r="BU73" s="47" t="n"/>
      <c r="BV73" s="284">
        <f>$KN73*10</f>
        <v/>
      </c>
      <c r="BW73" s="38" t="n">
        <v>10</v>
      </c>
      <c r="BX73" s="347" t="n"/>
      <c r="BY73" s="36" t="n"/>
      <c r="BZ73" s="47" t="n"/>
      <c r="CA73" s="284" t="n"/>
      <c r="CB73" s="38" t="n">
        <v>0</v>
      </c>
      <c r="CC73" s="284" t="n"/>
      <c r="CD73" s="36" t="n"/>
      <c r="CE73" s="47" t="n"/>
      <c r="CF73" s="284" t="n"/>
      <c r="CG73" s="38" t="n">
        <v>0</v>
      </c>
      <c r="CH73" s="284" t="n"/>
      <c r="CI73" s="36" t="n"/>
      <c r="CJ73" s="47" t="n"/>
      <c r="CK73" s="284" t="n">
        <v>1</v>
      </c>
      <c r="CL73" s="38" t="n">
        <v>1</v>
      </c>
      <c r="CM73" s="284" t="n"/>
      <c r="CN73" s="36" t="n"/>
      <c r="CO73" s="47" t="n"/>
      <c r="CP73" s="284" t="n"/>
      <c r="CQ73" s="38" t="n">
        <v>0</v>
      </c>
      <c r="CR73" s="284" t="n"/>
      <c r="CS73" s="36" t="n"/>
      <c r="CT73" s="47" t="n"/>
      <c r="CU73" s="284" t="n"/>
      <c r="CV73" s="38" t="n">
        <v>0</v>
      </c>
      <c r="CW73" s="284" t="n"/>
      <c r="CX73" s="36" t="n"/>
      <c r="CY73" s="47" t="n"/>
      <c r="CZ73" s="284" t="n"/>
      <c r="DA73" s="38" t="n">
        <v>0</v>
      </c>
      <c r="DB73" s="284" t="n"/>
      <c r="DC73" s="36" t="n"/>
      <c r="DD73" s="47" t="n"/>
      <c r="DE73" s="284" t="n"/>
      <c r="DF73" s="38" t="n">
        <v>0</v>
      </c>
      <c r="DG73" s="284" t="n"/>
      <c r="DH73" s="36" t="n"/>
      <c r="DI73" s="47" t="n"/>
      <c r="DJ73" s="284" t="n"/>
      <c r="DK73" s="38" t="n">
        <v>0</v>
      </c>
      <c r="DL73" s="284" t="n"/>
      <c r="DM73" s="36" t="n"/>
      <c r="DN73" s="47" t="n"/>
      <c r="DO73" s="284">
        <f>$KN73*0</f>
        <v/>
      </c>
      <c r="DP73" s="38" t="n">
        <v>0</v>
      </c>
      <c r="DQ73" s="227" t="n"/>
      <c r="DR73" s="36" t="n"/>
      <c r="DS73" s="47" t="n"/>
      <c r="DT73" s="284">
        <f>$KN73*0</f>
        <v/>
      </c>
      <c r="DU73" s="38" t="n">
        <v>0</v>
      </c>
      <c r="DV73" s="284" t="n"/>
      <c r="DW73" s="338">
        <f t="array" ref="DW73">SUMPRODUCT(--(MOD(COLUMN($BO73:$DV73),5)=MOD(COLUMN($BO73),5)),$BO73:$DV73)</f>
        <v/>
      </c>
      <c r="DX73" s="339">
        <f>DW73*$J73</f>
        <v/>
      </c>
      <c r="DY73" s="344">
        <f t="array" ref="DY73">SUMPRODUCT(--(MOD(COLUMN($BO73:$DV73),5)=MOD(COLUMN($BP73),5)),$BO73:$DV73)</f>
        <v/>
      </c>
      <c r="DZ73" s="345">
        <f>DY73*$J73</f>
        <v/>
      </c>
      <c r="EA73" s="340">
        <f t="array" ref="EA73">SUMPRODUCT(--(MOD(COLUMN($BO73:$DV73),5)=MOD(COLUMN($BQ73),5)),$BO73:$DV73)</f>
        <v/>
      </c>
      <c r="EB73" s="341">
        <f>EA73*$J73</f>
        <v/>
      </c>
      <c r="EC73" s="342">
        <f t="array" ref="EC73">SUMPRODUCT(--(MOD(COLUMN($BO73:$DV73),5)=MOD(COLUMN($BR73),5)),$BO73:$DV73)</f>
        <v/>
      </c>
      <c r="ED73" s="343">
        <f>EC73*$J73</f>
        <v/>
      </c>
      <c r="EE73" s="36" t="n"/>
      <c r="EF73" s="284" t="n"/>
      <c r="EG73" s="38" t="n"/>
      <c r="EH73" s="284" t="n"/>
      <c r="EI73" s="36" t="n"/>
      <c r="EJ73" s="284" t="n"/>
      <c r="EK73" s="38" t="n"/>
      <c r="EL73" s="284" t="n"/>
      <c r="EM73" s="36" t="n"/>
      <c r="EN73" s="284" t="n"/>
      <c r="EO73" s="38" t="n"/>
      <c r="EP73" s="284" t="n"/>
      <c r="EQ73" s="36" t="n"/>
      <c r="ER73" s="284" t="n"/>
      <c r="ES73" s="38" t="n"/>
      <c r="ET73" s="284" t="n"/>
      <c r="EU73" s="36" t="n"/>
      <c r="EV73" s="284" t="n"/>
      <c r="EW73" s="38" t="n"/>
      <c r="EX73" s="284" t="n"/>
      <c r="EY73" s="36" t="n"/>
      <c r="EZ73" s="284" t="n"/>
      <c r="FA73" s="38" t="n"/>
      <c r="FB73" s="284" t="n"/>
      <c r="FC73" s="36" t="n"/>
      <c r="FD73" s="284" t="n"/>
      <c r="FE73" s="38" t="n"/>
      <c r="FF73" s="284" t="n"/>
      <c r="FG73" s="36" t="n"/>
      <c r="FH73" s="284" t="n"/>
      <c r="FI73" s="38" t="n"/>
      <c r="FJ73" s="284" t="n"/>
      <c r="FK73" s="36" t="n"/>
      <c r="FL73" s="284" t="n"/>
      <c r="FM73" s="38" t="n"/>
      <c r="FN73" s="284" t="n"/>
      <c r="FO73" s="36" t="n"/>
      <c r="FP73" s="284" t="n"/>
      <c r="FQ73" s="38" t="n"/>
      <c r="FR73" s="284" t="n"/>
      <c r="FS73" s="36" t="n"/>
      <c r="FT73" s="284" t="n"/>
      <c r="FU73" s="38" t="n"/>
      <c r="FV73" s="284" t="n"/>
      <c r="FW73" s="36" t="n"/>
      <c r="FX73" s="284" t="n"/>
      <c r="FY73" s="38" t="n"/>
      <c r="FZ73" s="284" t="n"/>
      <c r="GA73" s="338">
        <f t="array" ref="GA73">SUMPRODUCT(--(MOD(COLUMN($EE73:$FZ73),4)=MOD(COLUMN($EE73),4)),$EE73:$FZ73)</f>
        <v/>
      </c>
      <c r="GB73" s="339">
        <f>GA73*$J73</f>
        <v/>
      </c>
      <c r="GC73" s="340">
        <f t="array" ref="GC73">SUMPRODUCT(--(MOD(COLUMN($EE73:$FZ73),4)=MOD(COLUMN($EF73),4)),$EE73:$FZ73)</f>
        <v/>
      </c>
      <c r="GD73" s="341">
        <f>GC73*$J73</f>
        <v/>
      </c>
      <c r="GE73" s="342">
        <f t="array" ref="GE73">SUMPRODUCT(--(MOD(COLUMN($EE73:$FZ73),4)=MOD(COLUMN($EG73),4)),$EE73:$FZ73)</f>
        <v/>
      </c>
      <c r="GF73" s="343">
        <f>GE73*$J73</f>
        <v/>
      </c>
      <c r="GG73" s="36" t="n"/>
      <c r="GH73" s="284" t="n"/>
      <c r="GI73" s="38" t="n"/>
      <c r="GJ73" s="284" t="n"/>
      <c r="GK73" s="36" t="n"/>
      <c r="GL73" s="284" t="n"/>
      <c r="GM73" s="38" t="n"/>
      <c r="GN73" s="284" t="n"/>
      <c r="GO73" s="36" t="n"/>
      <c r="GP73" s="284" t="n"/>
      <c r="GQ73" s="38" t="n"/>
      <c r="GR73" s="284" t="n"/>
      <c r="GS73" s="36" t="n"/>
      <c r="GT73" s="284" t="n"/>
      <c r="GU73" s="38" t="n"/>
      <c r="GV73" s="284" t="n"/>
      <c r="GW73" s="36" t="n"/>
      <c r="GX73" s="284" t="n"/>
      <c r="GY73" s="38" t="n"/>
      <c r="GZ73" s="284" t="n"/>
      <c r="HA73" s="36" t="n"/>
      <c r="HB73" s="284" t="n"/>
      <c r="HC73" s="38" t="n"/>
      <c r="HD73" s="284" t="n"/>
      <c r="HE73" s="36" t="n"/>
      <c r="HF73" s="284" t="n"/>
      <c r="HG73" s="38" t="n"/>
      <c r="HH73" s="284" t="n"/>
      <c r="HI73" s="36" t="n"/>
      <c r="HJ73" s="284" t="n"/>
      <c r="HK73" s="38" t="n"/>
      <c r="HL73" s="284" t="n"/>
      <c r="HM73" s="36" t="n"/>
      <c r="HN73" s="284" t="n"/>
      <c r="HO73" s="38" t="n"/>
      <c r="HP73" s="284" t="n"/>
      <c r="HQ73" s="36" t="n"/>
      <c r="HR73" s="284" t="n"/>
      <c r="HS73" s="38" t="n"/>
      <c r="HT73" s="284" t="n"/>
      <c r="HU73" s="36" t="n"/>
      <c r="HV73" s="284" t="n"/>
      <c r="HW73" s="38" t="n"/>
      <c r="HX73" s="284" t="n"/>
      <c r="HY73" s="36" t="n"/>
      <c r="HZ73" s="284" t="n"/>
      <c r="IA73" s="38" t="n"/>
      <c r="IB73" s="284" t="n"/>
      <c r="IC73" s="338">
        <f t="array" ref="IC73">SUMPRODUCT(--(MOD(COLUMN($GG73:$IB73),4)=MOD(COLUMN($GG73),4)),$GG73:$IB73)</f>
        <v/>
      </c>
      <c r="ID73" s="339">
        <f>IC73*$J73</f>
        <v/>
      </c>
      <c r="IE73" s="340">
        <f t="array" ref="IE73">SUMPRODUCT(--(MOD(COLUMN($GG73:$IB73),4)=MOD(COLUMN($GH73),4)),$GG73:$IB73)</f>
        <v/>
      </c>
      <c r="IF73" s="341">
        <f>IE73*$J73</f>
        <v/>
      </c>
      <c r="IG73" s="342">
        <f t="array" ref="IG73">SUMPRODUCT(--(MOD(COLUMN($GG73:$IB73),4)=MOD(COLUMN($GI73),4)),$GG73:$IB73)</f>
        <v/>
      </c>
      <c r="IH73" s="343">
        <f>IG73*$J73</f>
        <v/>
      </c>
      <c r="II73" s="36" t="n"/>
      <c r="IJ73" s="284" t="n"/>
      <c r="IK73" s="38" t="n"/>
      <c r="IL73" s="284" t="n"/>
      <c r="IM73" s="36" t="n"/>
      <c r="IN73" s="284" t="n"/>
      <c r="IO73" s="38" t="n"/>
      <c r="IP73" s="284" t="n"/>
      <c r="IQ73" s="36" t="n"/>
      <c r="IR73" s="284" t="n"/>
      <c r="IS73" s="38" t="n"/>
      <c r="IT73" s="284" t="n"/>
      <c r="IU73" s="36" t="n"/>
      <c r="IV73" s="284" t="n"/>
      <c r="IW73" s="38" t="n"/>
      <c r="IX73" s="284" t="n"/>
      <c r="IY73" s="36" t="n"/>
      <c r="IZ73" s="284" t="n"/>
      <c r="JA73" s="38" t="n"/>
      <c r="JB73" s="284" t="n"/>
      <c r="JC73" s="36" t="n"/>
      <c r="JD73" s="284" t="n"/>
      <c r="JE73" s="38" t="n"/>
      <c r="JF73" s="284" t="n"/>
      <c r="JG73" s="36" t="n"/>
      <c r="JH73" s="284" t="n"/>
      <c r="JI73" s="38" t="n"/>
      <c r="JJ73" s="284" t="n"/>
      <c r="JK73" s="36" t="n"/>
      <c r="JL73" s="284" t="n"/>
      <c r="JM73" s="38" t="n"/>
      <c r="JN73" s="284" t="n"/>
      <c r="JO73" s="36" t="n"/>
      <c r="JP73" s="284" t="n"/>
      <c r="JQ73" s="38" t="n"/>
      <c r="JR73" s="284" t="n"/>
      <c r="JS73" s="36" t="n"/>
      <c r="JT73" s="284" t="n"/>
      <c r="JU73" s="38" t="n"/>
      <c r="JV73" s="284" t="n"/>
      <c r="JW73" s="36" t="n"/>
      <c r="JX73" s="284" t="n"/>
      <c r="JY73" s="38" t="n"/>
      <c r="JZ73" s="284" t="n"/>
      <c r="KA73" s="36" t="n"/>
      <c r="KB73" s="284" t="n"/>
      <c r="KC73" s="38" t="n"/>
      <c r="KD73" s="284" t="n"/>
      <c r="KE73" s="338">
        <f t="array" ref="KE73">SUMPRODUCT(--(MOD(COLUMN($II73:$KD73),4)=MOD(COLUMN($II73),4)),$II73:$KD73)</f>
        <v/>
      </c>
      <c r="KF73" s="339">
        <f>KE73*$J73</f>
        <v/>
      </c>
      <c r="KG73" s="340">
        <f t="array" ref="KG73">SUMPRODUCT(--(MOD(COLUMN($II73:$KD73),4)=MOD(COLUMN($IJ73),4)),$II73:$KD73)</f>
        <v/>
      </c>
      <c r="KH73" s="341">
        <f>KG73*$J73</f>
        <v/>
      </c>
      <c r="KI73" s="342">
        <f t="array" ref="KI73">SUMPRODUCT(--(MOD(COLUMN($II73:$KD73),4)=MOD(COLUMN($IK73),4)),$II73:$KD73)</f>
        <v/>
      </c>
      <c r="KJ73" s="346">
        <f>KI73*$J73</f>
        <v/>
      </c>
      <c r="KK73" s="80" t="n"/>
      <c r="KL73" s="80" t="n"/>
      <c r="KM73" s="80" t="n"/>
      <c r="KN73" s="51" t="n">
        <v>1</v>
      </c>
      <c r="KO73" s="333" t="n"/>
    </row>
    <row r="74" outlineLevel="1" customFormat="1" s="68">
      <c r="A74" s="347" t="n"/>
      <c r="B74" s="347" t="n"/>
      <c r="C74" s="347" t="n"/>
      <c r="D74" s="347" t="n"/>
      <c r="E74" s="15" t="n">
        <v>38</v>
      </c>
      <c r="F74" s="61" t="n">
        <v>2</v>
      </c>
      <c r="G74" s="62" t="n">
        <v>4640061000</v>
      </c>
      <c r="H74" s="63" t="inlineStr">
        <is>
          <t>Кран уровня пола</t>
        </is>
      </c>
      <c r="I74" s="359" t="n">
        <v>743.8</v>
      </c>
      <c r="J74" s="360">
        <f>973.1/1.2</f>
        <v/>
      </c>
      <c r="K74" s="360" t="n"/>
      <c r="L74" s="360" t="n"/>
      <c r="M74" s="36" t="n"/>
      <c r="N74" s="284" t="n"/>
      <c r="O74" s="38" t="n"/>
      <c r="P74" s="284" t="n"/>
      <c r="Q74" s="36" t="n"/>
      <c r="R74" s="284" t="n"/>
      <c r="S74" s="38" t="n"/>
      <c r="T74" s="284" t="n"/>
      <c r="U74" s="36" t="n"/>
      <c r="V74" s="284" t="n"/>
      <c r="W74" s="38" t="n"/>
      <c r="X74" s="284" t="n"/>
      <c r="Y74" s="36" t="n"/>
      <c r="Z74" s="39" t="n"/>
      <c r="AA74" s="38" t="n">
        <v>0</v>
      </c>
      <c r="AB74" s="247" t="n"/>
      <c r="AC74" s="36" t="n"/>
      <c r="AD74" s="284" t="n"/>
      <c r="AE74" s="38" t="n">
        <v>0</v>
      </c>
      <c r="AF74" s="247" t="n"/>
      <c r="AG74" s="36" t="n"/>
      <c r="AH74" s="284" t="n"/>
      <c r="AI74" s="38" t="n">
        <v>0</v>
      </c>
      <c r="AJ74" s="247" t="n"/>
      <c r="AK74" s="36" t="n"/>
      <c r="AL74" s="284" t="n"/>
      <c r="AM74" s="38" t="n">
        <v>0</v>
      </c>
      <c r="AN74" s="247" t="n"/>
      <c r="AO74" s="36" t="n"/>
      <c r="AP74" s="284" t="n"/>
      <c r="AQ74" s="38" t="n">
        <v>0</v>
      </c>
      <c r="AR74" s="247" t="n"/>
      <c r="AS74" s="36" t="n"/>
      <c r="AT74" s="284" t="n"/>
      <c r="AU74" s="38" t="n">
        <v>0</v>
      </c>
      <c r="AV74" s="247" t="n"/>
      <c r="AW74" s="36" t="n"/>
      <c r="AX74" s="284" t="n"/>
      <c r="AY74" s="38" t="n">
        <v>0</v>
      </c>
      <c r="AZ74" s="247" t="n"/>
      <c r="BA74" s="36" t="n"/>
      <c r="BB74" s="284" t="n"/>
      <c r="BC74" s="92" t="n">
        <v>0</v>
      </c>
      <c r="BD74" s="284" t="n"/>
      <c r="BE74" s="36" t="n"/>
      <c r="BF74" s="284">
        <f>$KN74*0</f>
        <v/>
      </c>
      <c r="BG74" s="54" t="n">
        <v>0</v>
      </c>
      <c r="BH74" s="284" t="n"/>
      <c r="BI74" s="338" t="n"/>
      <c r="BJ74" s="339" t="n"/>
      <c r="BK74" s="340" t="n"/>
      <c r="BL74" s="341" t="n"/>
      <c r="BM74" s="342" t="n"/>
      <c r="BN74" s="343" t="n"/>
      <c r="BO74" s="36" t="n"/>
      <c r="BP74" s="47" t="n"/>
      <c r="BQ74" s="284" t="n"/>
      <c r="BR74" s="38" t="n">
        <v>2</v>
      </c>
      <c r="BS74" s="284" t="n"/>
      <c r="BT74" s="36" t="n"/>
      <c r="BU74" s="47" t="n"/>
      <c r="BV74" s="284">
        <f>$KN74*10</f>
        <v/>
      </c>
      <c r="BW74" s="38" t="n">
        <v>10</v>
      </c>
      <c r="BX74" s="347" t="n"/>
      <c r="BY74" s="36" t="n"/>
      <c r="BZ74" s="47" t="n"/>
      <c r="CA74" s="284" t="n"/>
      <c r="CB74" s="38" t="n">
        <v>0</v>
      </c>
      <c r="CC74" s="284" t="n"/>
      <c r="CD74" s="36" t="n"/>
      <c r="CE74" s="47" t="n"/>
      <c r="CF74" s="284" t="n"/>
      <c r="CG74" s="38" t="n">
        <v>0</v>
      </c>
      <c r="CH74" s="284" t="n"/>
      <c r="CI74" s="36" t="n"/>
      <c r="CJ74" s="47" t="n"/>
      <c r="CK74" s="284" t="n"/>
      <c r="CL74" s="38" t="n">
        <v>0</v>
      </c>
      <c r="CM74" s="284" t="n"/>
      <c r="CN74" s="36" t="n"/>
      <c r="CO74" s="47" t="n"/>
      <c r="CP74" s="284" t="n"/>
      <c r="CQ74" s="38" t="n">
        <v>0</v>
      </c>
      <c r="CR74" s="284" t="n"/>
      <c r="CS74" s="36" t="n"/>
      <c r="CT74" s="47" t="n"/>
      <c r="CU74" s="284" t="n"/>
      <c r="CV74" s="38" t="n">
        <v>0</v>
      </c>
      <c r="CW74" s="284" t="n"/>
      <c r="CX74" s="36" t="n"/>
      <c r="CY74" s="47" t="n"/>
      <c r="CZ74" s="284" t="n"/>
      <c r="DA74" s="38" t="n">
        <v>0</v>
      </c>
      <c r="DB74" s="284" t="n"/>
      <c r="DC74" s="36" t="n"/>
      <c r="DD74" s="47" t="n"/>
      <c r="DE74" s="284" t="n"/>
      <c r="DF74" s="38" t="n">
        <v>0</v>
      </c>
      <c r="DG74" s="284" t="n"/>
      <c r="DH74" s="36" t="n"/>
      <c r="DI74" s="47" t="n"/>
      <c r="DJ74" s="284" t="n"/>
      <c r="DK74" s="38" t="n">
        <v>0</v>
      </c>
      <c r="DL74" s="284" t="n"/>
      <c r="DM74" s="36" t="n"/>
      <c r="DN74" s="47" t="n"/>
      <c r="DO74" s="284">
        <f>$KN74*4</f>
        <v/>
      </c>
      <c r="DP74" s="38" t="n">
        <v>0</v>
      </c>
      <c r="DQ74" s="227" t="n"/>
      <c r="DR74" s="36" t="n"/>
      <c r="DS74" s="47" t="n"/>
      <c r="DT74" s="284">
        <f>$KN74*4</f>
        <v/>
      </c>
      <c r="DU74" s="38" t="n">
        <v>0</v>
      </c>
      <c r="DV74" s="284" t="n"/>
      <c r="DW74" s="338">
        <f t="array" ref="DW74">SUMPRODUCT(--(MOD(COLUMN($BO74:$DV74),5)=MOD(COLUMN($BO74),5)),$BO74:$DV74)</f>
        <v/>
      </c>
      <c r="DX74" s="339">
        <f>DW74*$J74</f>
        <v/>
      </c>
      <c r="DY74" s="344">
        <f t="array" ref="DY74">SUMPRODUCT(--(MOD(COLUMN($BO74:$DV74),5)=MOD(COLUMN($BP74),5)),$BO74:$DV74)</f>
        <v/>
      </c>
      <c r="DZ74" s="345">
        <f>DY74*$J74</f>
        <v/>
      </c>
      <c r="EA74" s="340">
        <f t="array" ref="EA74">SUMPRODUCT(--(MOD(COLUMN($BO74:$DV74),5)=MOD(COLUMN($BQ74),5)),$BO74:$DV74)</f>
        <v/>
      </c>
      <c r="EB74" s="341">
        <f>EA74*$J74</f>
        <v/>
      </c>
      <c r="EC74" s="342">
        <f t="array" ref="EC74">SUMPRODUCT(--(MOD(COLUMN($BO74:$DV74),5)=MOD(COLUMN($BR74),5)),$BO74:$DV74)</f>
        <v/>
      </c>
      <c r="ED74" s="343">
        <f>EC74*$J74</f>
        <v/>
      </c>
      <c r="EE74" s="36" t="n"/>
      <c r="EF74" s="284" t="n"/>
      <c r="EG74" s="38" t="n">
        <v>0</v>
      </c>
      <c r="EH74" s="284" t="n"/>
      <c r="EI74" s="36" t="n"/>
      <c r="EJ74" s="284" t="n"/>
      <c r="EK74" s="38" t="n">
        <v>2</v>
      </c>
      <c r="EL74" s="284" t="n"/>
      <c r="EM74" s="36" t="n"/>
      <c r="EN74" s="284" t="n"/>
      <c r="EO74" s="38" t="n">
        <v>0</v>
      </c>
      <c r="EP74" s="284" t="n"/>
      <c r="EQ74" s="36" t="n"/>
      <c r="ER74" s="284" t="n"/>
      <c r="ES74" s="38" t="n">
        <v>0</v>
      </c>
      <c r="ET74" s="284" t="n"/>
      <c r="EU74" s="36" t="n"/>
      <c r="EV74" s="284" t="n"/>
      <c r="EW74" s="38" t="n">
        <v>0</v>
      </c>
      <c r="EX74" s="284" t="n"/>
      <c r="EY74" s="36" t="n"/>
      <c r="EZ74" s="284" t="n"/>
      <c r="FA74" s="38" t="n">
        <v>0</v>
      </c>
      <c r="FB74" s="284" t="n"/>
      <c r="FC74" s="36" t="n"/>
      <c r="FD74" s="284" t="n"/>
      <c r="FE74" s="38" t="n">
        <v>0</v>
      </c>
      <c r="FF74" s="284" t="n"/>
      <c r="FG74" s="36" t="n"/>
      <c r="FH74" s="284" t="n"/>
      <c r="FI74" s="38" t="n">
        <v>0</v>
      </c>
      <c r="FJ74" s="284" t="n"/>
      <c r="FK74" s="36" t="n"/>
      <c r="FL74" s="284" t="n"/>
      <c r="FM74" s="38" t="n">
        <v>0</v>
      </c>
      <c r="FN74" s="284" t="n"/>
      <c r="FO74" s="36" t="n"/>
      <c r="FP74" s="284" t="n"/>
      <c r="FQ74" s="38" t="n">
        <v>0</v>
      </c>
      <c r="FR74" s="284" t="n"/>
      <c r="FS74" s="36" t="n"/>
      <c r="FT74" s="284" t="n"/>
      <c r="FU74" s="38" t="n">
        <v>0</v>
      </c>
      <c r="FV74" s="284" t="n"/>
      <c r="FW74" s="36" t="n"/>
      <c r="FX74" s="284" t="n"/>
      <c r="FY74" s="38" t="n">
        <v>0</v>
      </c>
      <c r="FZ74" s="284" t="n"/>
      <c r="GA74" s="338">
        <f t="array" ref="GA74">SUMPRODUCT(--(MOD(COLUMN($EE74:$FZ74),4)=MOD(COLUMN($EE74),4)),$EE74:$FZ74)</f>
        <v/>
      </c>
      <c r="GB74" s="339">
        <f>GA74*$J74</f>
        <v/>
      </c>
      <c r="GC74" s="340">
        <f t="array" ref="GC74">SUMPRODUCT(--(MOD(COLUMN($EE74:$FZ74),4)=MOD(COLUMN($EF74),4)),$EE74:$FZ74)</f>
        <v/>
      </c>
      <c r="GD74" s="341">
        <f>GC74*$J74</f>
        <v/>
      </c>
      <c r="GE74" s="342">
        <f t="array" ref="GE74">SUMPRODUCT(--(MOD(COLUMN($EE74:$FZ74),4)=MOD(COLUMN($EG74),4)),$EE74:$FZ74)</f>
        <v/>
      </c>
      <c r="GF74" s="343">
        <f>GE74*$J74</f>
        <v/>
      </c>
      <c r="GG74" s="36" t="n"/>
      <c r="GH74" s="284" t="n"/>
      <c r="GI74" s="38" t="n">
        <v>0</v>
      </c>
      <c r="GJ74" s="284" t="n"/>
      <c r="GK74" s="36" t="n"/>
      <c r="GL74" s="284" t="n"/>
      <c r="GM74" s="38" t="n">
        <v>0</v>
      </c>
      <c r="GN74" s="284" t="n"/>
      <c r="GO74" s="36" t="n"/>
      <c r="GP74" s="284" t="n"/>
      <c r="GQ74" s="38" t="n">
        <v>0</v>
      </c>
      <c r="GR74" s="284" t="n"/>
      <c r="GS74" s="36" t="n"/>
      <c r="GT74" s="284" t="n"/>
      <c r="GU74" s="38" t="n">
        <v>0</v>
      </c>
      <c r="GV74" s="284" t="n"/>
      <c r="GW74" s="36" t="n"/>
      <c r="GX74" s="284" t="n"/>
      <c r="GY74" s="38" t="n">
        <v>0</v>
      </c>
      <c r="GZ74" s="284" t="n"/>
      <c r="HA74" s="36" t="n"/>
      <c r="HB74" s="284" t="n"/>
      <c r="HC74" s="38" t="n">
        <v>0</v>
      </c>
      <c r="HD74" s="284" t="n"/>
      <c r="HE74" s="36" t="n"/>
      <c r="HF74" s="284" t="n"/>
      <c r="HG74" s="38" t="n">
        <v>0</v>
      </c>
      <c r="HH74" s="284" t="n"/>
      <c r="HI74" s="36" t="n"/>
      <c r="HJ74" s="284" t="n"/>
      <c r="HK74" s="38" t="n">
        <v>0</v>
      </c>
      <c r="HL74" s="284" t="n"/>
      <c r="HM74" s="36" t="n"/>
      <c r="HN74" s="284" t="n"/>
      <c r="HO74" s="38" t="n">
        <v>0</v>
      </c>
      <c r="HP74" s="284" t="n"/>
      <c r="HQ74" s="36" t="n"/>
      <c r="HR74" s="284" t="n"/>
      <c r="HS74" s="38" t="n">
        <v>0</v>
      </c>
      <c r="HT74" s="284" t="n"/>
      <c r="HU74" s="36" t="n"/>
      <c r="HV74" s="284" t="n"/>
      <c r="HW74" s="38" t="n">
        <v>0</v>
      </c>
      <c r="HX74" s="284" t="n"/>
      <c r="HY74" s="36" t="n"/>
      <c r="HZ74" s="284" t="n"/>
      <c r="IA74" s="38" t="n">
        <v>0</v>
      </c>
      <c r="IB74" s="284" t="n"/>
      <c r="IC74" s="338">
        <f t="array" ref="IC74">SUMPRODUCT(--(MOD(COLUMN($GG74:$IB74),4)=MOD(COLUMN($GG74),4)),$GG74:$IB74)</f>
        <v/>
      </c>
      <c r="ID74" s="339">
        <f>IC74*$J74</f>
        <v/>
      </c>
      <c r="IE74" s="340">
        <f t="array" ref="IE74">SUMPRODUCT(--(MOD(COLUMN($GG74:$IB74),4)=MOD(COLUMN($GH74),4)),$GG74:$IB74)</f>
        <v/>
      </c>
      <c r="IF74" s="341">
        <f>IE74*$J74</f>
        <v/>
      </c>
      <c r="IG74" s="342">
        <f t="array" ref="IG74">SUMPRODUCT(--(MOD(COLUMN($GG74:$IB74),4)=MOD(COLUMN($GI74),4)),$GG74:$IB74)</f>
        <v/>
      </c>
      <c r="IH74" s="343">
        <f>IG74*$J74</f>
        <v/>
      </c>
      <c r="II74" s="36" t="n"/>
      <c r="IJ74" s="284" t="n"/>
      <c r="IK74" s="38" t="n">
        <v>0</v>
      </c>
      <c r="IL74" s="284" t="n"/>
      <c r="IM74" s="36" t="n"/>
      <c r="IN74" s="284" t="n"/>
      <c r="IO74" s="38" t="n">
        <v>0</v>
      </c>
      <c r="IP74" s="284" t="n"/>
      <c r="IQ74" s="36" t="n"/>
      <c r="IR74" s="284" t="n"/>
      <c r="IS74" s="38" t="n">
        <v>0</v>
      </c>
      <c r="IT74" s="284" t="n"/>
      <c r="IU74" s="36" t="n"/>
      <c r="IV74" s="284" t="n"/>
      <c r="IW74" s="38" t="n">
        <v>0</v>
      </c>
      <c r="IX74" s="284" t="n"/>
      <c r="IY74" s="36" t="n"/>
      <c r="IZ74" s="284" t="n"/>
      <c r="JA74" s="38" t="n">
        <v>0</v>
      </c>
      <c r="JB74" s="284" t="n"/>
      <c r="JC74" s="36" t="n"/>
      <c r="JD74" s="284" t="n"/>
      <c r="JE74" s="38" t="n">
        <v>0</v>
      </c>
      <c r="JF74" s="284" t="n"/>
      <c r="JG74" s="36" t="n"/>
      <c r="JH74" s="284" t="n"/>
      <c r="JI74" s="38" t="n">
        <v>0</v>
      </c>
      <c r="JJ74" s="284" t="n"/>
      <c r="JK74" s="36" t="n"/>
      <c r="JL74" s="284" t="n"/>
      <c r="JM74" s="38" t="n">
        <v>0</v>
      </c>
      <c r="JN74" s="284" t="n"/>
      <c r="JO74" s="36" t="n"/>
      <c r="JP74" s="284" t="n"/>
      <c r="JQ74" s="38" t="n">
        <v>0</v>
      </c>
      <c r="JR74" s="284" t="n"/>
      <c r="JS74" s="36" t="n"/>
      <c r="JT74" s="284" t="n"/>
      <c r="JU74" s="38" t="n">
        <v>0</v>
      </c>
      <c r="JV74" s="284" t="n"/>
      <c r="JW74" s="36" t="n"/>
      <c r="JX74" s="284" t="n"/>
      <c r="JY74" s="38" t="n">
        <v>0</v>
      </c>
      <c r="JZ74" s="284" t="n"/>
      <c r="KA74" s="36" t="n"/>
      <c r="KB74" s="284" t="n"/>
      <c r="KC74" s="38" t="n">
        <v>0</v>
      </c>
      <c r="KD74" s="284" t="n"/>
      <c r="KE74" s="338">
        <f t="array" ref="KE74">SUMPRODUCT(--(MOD(COLUMN($II74:$KD74),4)=MOD(COLUMN($II74),4)),$II74:$KD74)</f>
        <v/>
      </c>
      <c r="KF74" s="339">
        <f>KE74*$J74</f>
        <v/>
      </c>
      <c r="KG74" s="340">
        <f t="array" ref="KG74">SUMPRODUCT(--(MOD(COLUMN($II74:$KD74),4)=MOD(COLUMN($IJ74),4)),$II74:$KD74)</f>
        <v/>
      </c>
      <c r="KH74" s="341">
        <f>KG74*$J74</f>
        <v/>
      </c>
      <c r="KI74" s="342">
        <f t="array" ref="KI74">SUMPRODUCT(--(MOD(COLUMN($II74:$KD74),4)=MOD(COLUMN($IK74),4)),$II74:$KD74)</f>
        <v/>
      </c>
      <c r="KJ74" s="346">
        <f>KI74*$J74</f>
        <v/>
      </c>
      <c r="KK74" s="80" t="n"/>
      <c r="KL74" s="80" t="n"/>
      <c r="KM74" s="80" t="n"/>
      <c r="KN74" s="51" t="n">
        <v>1</v>
      </c>
      <c r="KO74" s="285" t="inlineStr">
        <is>
          <t>WABCO
П/П</t>
        </is>
      </c>
    </row>
    <row r="75" outlineLevel="1" ht="28.8" customFormat="1" customHeight="1" s="68">
      <c r="A75" s="347" t="n"/>
      <c r="B75" s="347" t="n"/>
      <c r="C75" s="347" t="n"/>
      <c r="D75" s="347" t="n"/>
      <c r="E75" s="15" t="n">
        <v>39</v>
      </c>
      <c r="F75" s="61" t="n">
        <v>2</v>
      </c>
      <c r="G75" s="62" t="n">
        <v>4630320200</v>
      </c>
      <c r="H75" s="63" t="inlineStr">
        <is>
          <t>Кран ручного управления</t>
        </is>
      </c>
      <c r="I75" s="359" t="n">
        <v>775</v>
      </c>
      <c r="J75" s="360">
        <f>981.5/1.2</f>
        <v/>
      </c>
      <c r="K75" s="360" t="n"/>
      <c r="L75" s="360" t="n"/>
      <c r="M75" s="36" t="n"/>
      <c r="N75" s="284" t="n"/>
      <c r="O75" s="38" t="n"/>
      <c r="P75" s="284" t="n"/>
      <c r="Q75" s="36" t="n"/>
      <c r="R75" s="284" t="n"/>
      <c r="S75" s="38" t="n"/>
      <c r="T75" s="284" t="n"/>
      <c r="U75" s="36" t="n"/>
      <c r="V75" s="284" t="n"/>
      <c r="W75" s="38" t="n"/>
      <c r="X75" s="284" t="n"/>
      <c r="Y75" s="36" t="n"/>
      <c r="Z75" s="39" t="n"/>
      <c r="AA75" s="38" t="n">
        <v>0</v>
      </c>
      <c r="AB75" s="247" t="n"/>
      <c r="AC75" s="36" t="n"/>
      <c r="AD75" s="284" t="n"/>
      <c r="AE75" s="38" t="n">
        <v>0</v>
      </c>
      <c r="AF75" s="247" t="n"/>
      <c r="AG75" s="36" t="n"/>
      <c r="AH75" s="284" t="n"/>
      <c r="AI75" s="38" t="n">
        <v>0</v>
      </c>
      <c r="AJ75" s="247" t="n"/>
      <c r="AK75" s="36" t="n"/>
      <c r="AL75" s="284" t="n"/>
      <c r="AM75" s="38" t="n">
        <v>0</v>
      </c>
      <c r="AN75" s="247" t="n"/>
      <c r="AO75" s="36" t="n"/>
      <c r="AP75" s="284" t="n"/>
      <c r="AQ75" s="38" t="n">
        <v>0</v>
      </c>
      <c r="AR75" s="247" t="n"/>
      <c r="AS75" s="36" t="n"/>
      <c r="AT75" s="284" t="n"/>
      <c r="AU75" s="38" t="n">
        <v>0</v>
      </c>
      <c r="AV75" s="247" t="n"/>
      <c r="AW75" s="36" t="n"/>
      <c r="AX75" s="284" t="n"/>
      <c r="AY75" s="38" t="n">
        <v>0</v>
      </c>
      <c r="AZ75" s="247" t="n"/>
      <c r="BA75" s="36" t="n"/>
      <c r="BB75" s="284" t="n"/>
      <c r="BC75" s="92" t="n">
        <v>0</v>
      </c>
      <c r="BD75" s="284" t="n"/>
      <c r="BE75" s="36" t="n"/>
      <c r="BF75" s="284">
        <f>$KN75*0</f>
        <v/>
      </c>
      <c r="BG75" s="54" t="n">
        <v>0</v>
      </c>
      <c r="BH75" s="284" t="n"/>
      <c r="BI75" s="338" t="n"/>
      <c r="BJ75" s="339" t="n"/>
      <c r="BK75" s="340" t="n"/>
      <c r="BL75" s="341" t="n"/>
      <c r="BM75" s="342" t="n"/>
      <c r="BN75" s="343" t="n"/>
      <c r="BO75" s="36" t="n"/>
      <c r="BP75" s="47" t="n"/>
      <c r="BQ75" s="284" t="n"/>
      <c r="BR75" s="38" t="n">
        <v>2</v>
      </c>
      <c r="BS75" s="284" t="n"/>
      <c r="BT75" s="36" t="n"/>
      <c r="BU75" s="47" t="n"/>
      <c r="BV75" s="284">
        <f>$KN75*10</f>
        <v/>
      </c>
      <c r="BW75" s="38" t="n">
        <v>10</v>
      </c>
      <c r="BX75" s="347" t="n"/>
      <c r="BY75" s="36" t="n"/>
      <c r="BZ75" s="47" t="n"/>
      <c r="CA75" s="284" t="n"/>
      <c r="CB75" s="38" t="n">
        <v>0</v>
      </c>
      <c r="CC75" s="284" t="n"/>
      <c r="CD75" s="36" t="n"/>
      <c r="CE75" s="47" t="n"/>
      <c r="CF75" s="284" t="n"/>
      <c r="CG75" s="38" t="n">
        <v>0</v>
      </c>
      <c r="CH75" s="284" t="n"/>
      <c r="CI75" s="36" t="n"/>
      <c r="CJ75" s="47" t="n"/>
      <c r="CK75" s="284" t="n"/>
      <c r="CL75" s="38" t="n">
        <v>0</v>
      </c>
      <c r="CM75" s="284" t="n"/>
      <c r="CN75" s="36" t="n"/>
      <c r="CO75" s="47" t="n"/>
      <c r="CP75" s="284" t="n"/>
      <c r="CQ75" s="38" t="n">
        <v>0</v>
      </c>
      <c r="CR75" s="284" t="n"/>
      <c r="CS75" s="36" t="n"/>
      <c r="CT75" s="47" t="n"/>
      <c r="CU75" s="284" t="n"/>
      <c r="CV75" s="38" t="n">
        <v>0</v>
      </c>
      <c r="CW75" s="284" t="n"/>
      <c r="CX75" s="36" t="n"/>
      <c r="CY75" s="47" t="n"/>
      <c r="CZ75" s="284" t="n"/>
      <c r="DA75" s="38" t="n">
        <v>0</v>
      </c>
      <c r="DB75" s="284" t="n"/>
      <c r="DC75" s="36" t="n"/>
      <c r="DD75" s="47" t="n"/>
      <c r="DE75" s="284" t="n"/>
      <c r="DF75" s="38" t="n">
        <v>0</v>
      </c>
      <c r="DG75" s="284" t="n"/>
      <c r="DH75" s="36" t="n"/>
      <c r="DI75" s="47" t="n"/>
      <c r="DJ75" s="284" t="n"/>
      <c r="DK75" s="38" t="n">
        <v>0</v>
      </c>
      <c r="DL75" s="284" t="n"/>
      <c r="DM75" s="36" t="n"/>
      <c r="DN75" s="47" t="n"/>
      <c r="DO75" s="284">
        <f>$KN75*4</f>
        <v/>
      </c>
      <c r="DP75" s="38" t="n">
        <v>0</v>
      </c>
      <c r="DQ75" s="227" t="n"/>
      <c r="DR75" s="36" t="n"/>
      <c r="DS75" s="47" t="n"/>
      <c r="DT75" s="284">
        <f>$KN75*4</f>
        <v/>
      </c>
      <c r="DU75" s="38" t="n">
        <v>0</v>
      </c>
      <c r="DV75" s="284" t="n"/>
      <c r="DW75" s="338">
        <f t="array" ref="DW75">SUMPRODUCT(--(MOD(COLUMN($BO75:$DV75),5)=MOD(COLUMN($BO75),5)),$BO75:$DV75)</f>
        <v/>
      </c>
      <c r="DX75" s="339">
        <f>DW75*$J75</f>
        <v/>
      </c>
      <c r="DY75" s="344">
        <f t="array" ref="DY75">SUMPRODUCT(--(MOD(COLUMN($BO75:$DV75),5)=MOD(COLUMN($BP75),5)),$BO75:$DV75)</f>
        <v/>
      </c>
      <c r="DZ75" s="345">
        <f>DY75*$J75</f>
        <v/>
      </c>
      <c r="EA75" s="340">
        <f t="array" ref="EA75">SUMPRODUCT(--(MOD(COLUMN($BO75:$DV75),5)=MOD(COLUMN($BQ75),5)),$BO75:$DV75)</f>
        <v/>
      </c>
      <c r="EB75" s="341">
        <f>EA75*$J75</f>
        <v/>
      </c>
      <c r="EC75" s="342">
        <f t="array" ref="EC75">SUMPRODUCT(--(MOD(COLUMN($BO75:$DV75),5)=MOD(COLUMN($BR75),5)),$BO75:$DV75)</f>
        <v/>
      </c>
      <c r="ED75" s="343">
        <f>EC75*$J75</f>
        <v/>
      </c>
      <c r="EE75" s="36" t="n"/>
      <c r="EF75" s="284" t="n"/>
      <c r="EG75" s="38" t="n">
        <v>0</v>
      </c>
      <c r="EH75" s="284" t="n"/>
      <c r="EI75" s="36" t="n"/>
      <c r="EJ75" s="284" t="n"/>
      <c r="EK75" s="38" t="n">
        <v>2</v>
      </c>
      <c r="EL75" s="284" t="n"/>
      <c r="EM75" s="36" t="n"/>
      <c r="EN75" s="284" t="n"/>
      <c r="EO75" s="38" t="n">
        <v>0</v>
      </c>
      <c r="EP75" s="284" t="n"/>
      <c r="EQ75" s="36" t="n"/>
      <c r="ER75" s="284" t="n"/>
      <c r="ES75" s="38" t="n">
        <v>0</v>
      </c>
      <c r="ET75" s="284" t="n"/>
      <c r="EU75" s="36" t="n"/>
      <c r="EV75" s="284" t="n"/>
      <c r="EW75" s="38" t="n">
        <v>0</v>
      </c>
      <c r="EX75" s="284" t="n"/>
      <c r="EY75" s="36" t="n"/>
      <c r="EZ75" s="284" t="n"/>
      <c r="FA75" s="38" t="n">
        <v>0</v>
      </c>
      <c r="FB75" s="284" t="n"/>
      <c r="FC75" s="36" t="n"/>
      <c r="FD75" s="284" t="n"/>
      <c r="FE75" s="38" t="n">
        <v>0</v>
      </c>
      <c r="FF75" s="284" t="n"/>
      <c r="FG75" s="36" t="n"/>
      <c r="FH75" s="284" t="n"/>
      <c r="FI75" s="38" t="n">
        <v>0</v>
      </c>
      <c r="FJ75" s="284" t="n"/>
      <c r="FK75" s="36" t="n"/>
      <c r="FL75" s="284" t="n"/>
      <c r="FM75" s="38" t="n">
        <v>0</v>
      </c>
      <c r="FN75" s="284" t="n"/>
      <c r="FO75" s="36" t="n"/>
      <c r="FP75" s="284" t="n"/>
      <c r="FQ75" s="38" t="n">
        <v>0</v>
      </c>
      <c r="FR75" s="284" t="n"/>
      <c r="FS75" s="36" t="n"/>
      <c r="FT75" s="284" t="n"/>
      <c r="FU75" s="38" t="n">
        <v>0</v>
      </c>
      <c r="FV75" s="284" t="n"/>
      <c r="FW75" s="36" t="n"/>
      <c r="FX75" s="284" t="n"/>
      <c r="FY75" s="38" t="n">
        <v>0</v>
      </c>
      <c r="FZ75" s="284" t="n"/>
      <c r="GA75" s="338">
        <f t="array" ref="GA75">SUMPRODUCT(--(MOD(COLUMN($EE75:$FZ75),4)=MOD(COLUMN($EE75),4)),$EE75:$FZ75)</f>
        <v/>
      </c>
      <c r="GB75" s="339">
        <f>GA75*$J75</f>
        <v/>
      </c>
      <c r="GC75" s="340">
        <f t="array" ref="GC75">SUMPRODUCT(--(MOD(COLUMN($EE75:$FZ75),4)=MOD(COLUMN($EF75),4)),$EE75:$FZ75)</f>
        <v/>
      </c>
      <c r="GD75" s="341">
        <f>GC75*$J75</f>
        <v/>
      </c>
      <c r="GE75" s="342">
        <f t="array" ref="GE75">SUMPRODUCT(--(MOD(COLUMN($EE75:$FZ75),4)=MOD(COLUMN($EG75),4)),$EE75:$FZ75)</f>
        <v/>
      </c>
      <c r="GF75" s="343">
        <f>GE75*$J75</f>
        <v/>
      </c>
      <c r="GG75" s="36" t="n"/>
      <c r="GH75" s="284" t="n"/>
      <c r="GI75" s="38" t="n">
        <v>0</v>
      </c>
      <c r="GJ75" s="284" t="n"/>
      <c r="GK75" s="36" t="n"/>
      <c r="GL75" s="284" t="n"/>
      <c r="GM75" s="38" t="n">
        <v>0</v>
      </c>
      <c r="GN75" s="284" t="n"/>
      <c r="GO75" s="36" t="n"/>
      <c r="GP75" s="284" t="n"/>
      <c r="GQ75" s="38" t="n">
        <v>0</v>
      </c>
      <c r="GR75" s="284" t="n"/>
      <c r="GS75" s="36" t="n"/>
      <c r="GT75" s="284" t="n"/>
      <c r="GU75" s="38" t="n">
        <v>0</v>
      </c>
      <c r="GV75" s="284" t="n"/>
      <c r="GW75" s="36" t="n"/>
      <c r="GX75" s="284" t="n"/>
      <c r="GY75" s="38" t="n">
        <v>0</v>
      </c>
      <c r="GZ75" s="284" t="n"/>
      <c r="HA75" s="36" t="n"/>
      <c r="HB75" s="284" t="n"/>
      <c r="HC75" s="38" t="n">
        <v>0</v>
      </c>
      <c r="HD75" s="284" t="n"/>
      <c r="HE75" s="36" t="n"/>
      <c r="HF75" s="284" t="n"/>
      <c r="HG75" s="38" t="n">
        <v>0</v>
      </c>
      <c r="HH75" s="284" t="n"/>
      <c r="HI75" s="36" t="n"/>
      <c r="HJ75" s="284" t="n"/>
      <c r="HK75" s="38" t="n">
        <v>0</v>
      </c>
      <c r="HL75" s="284" t="n"/>
      <c r="HM75" s="36" t="n"/>
      <c r="HN75" s="284" t="n"/>
      <c r="HO75" s="38" t="n">
        <v>0</v>
      </c>
      <c r="HP75" s="284" t="n"/>
      <c r="HQ75" s="36" t="n"/>
      <c r="HR75" s="284" t="n"/>
      <c r="HS75" s="38" t="n">
        <v>0</v>
      </c>
      <c r="HT75" s="284" t="n"/>
      <c r="HU75" s="36" t="n"/>
      <c r="HV75" s="284" t="n"/>
      <c r="HW75" s="38" t="n">
        <v>0</v>
      </c>
      <c r="HX75" s="284" t="n"/>
      <c r="HY75" s="36" t="n"/>
      <c r="HZ75" s="284" t="n"/>
      <c r="IA75" s="38" t="n">
        <v>0</v>
      </c>
      <c r="IB75" s="284" t="n"/>
      <c r="IC75" s="338">
        <f t="array" ref="IC75">SUMPRODUCT(--(MOD(COLUMN($GG75:$IB75),4)=MOD(COLUMN($GG75),4)),$GG75:$IB75)</f>
        <v/>
      </c>
      <c r="ID75" s="339">
        <f>IC75*$J75</f>
        <v/>
      </c>
      <c r="IE75" s="340">
        <f t="array" ref="IE75">SUMPRODUCT(--(MOD(COLUMN($GG75:$IB75),4)=MOD(COLUMN($GH75),4)),$GG75:$IB75)</f>
        <v/>
      </c>
      <c r="IF75" s="341">
        <f>IE75*$J75</f>
        <v/>
      </c>
      <c r="IG75" s="342">
        <f t="array" ref="IG75">SUMPRODUCT(--(MOD(COLUMN($GG75:$IB75),4)=MOD(COLUMN($GI75),4)),$GG75:$IB75)</f>
        <v/>
      </c>
      <c r="IH75" s="343">
        <f>IG75*$J75</f>
        <v/>
      </c>
      <c r="II75" s="36" t="n"/>
      <c r="IJ75" s="284" t="n"/>
      <c r="IK75" s="38" t="n">
        <v>0</v>
      </c>
      <c r="IL75" s="284" t="n"/>
      <c r="IM75" s="36" t="n"/>
      <c r="IN75" s="284" t="n"/>
      <c r="IO75" s="38" t="n">
        <v>0</v>
      </c>
      <c r="IP75" s="284" t="n"/>
      <c r="IQ75" s="36" t="n"/>
      <c r="IR75" s="284" t="n"/>
      <c r="IS75" s="38" t="n">
        <v>0</v>
      </c>
      <c r="IT75" s="284" t="n"/>
      <c r="IU75" s="36" t="n"/>
      <c r="IV75" s="284" t="n"/>
      <c r="IW75" s="38" t="n">
        <v>0</v>
      </c>
      <c r="IX75" s="284" t="n"/>
      <c r="IY75" s="36" t="n"/>
      <c r="IZ75" s="284" t="n"/>
      <c r="JA75" s="38" t="n">
        <v>0</v>
      </c>
      <c r="JB75" s="284" t="n"/>
      <c r="JC75" s="36" t="n"/>
      <c r="JD75" s="284" t="n"/>
      <c r="JE75" s="38" t="n">
        <v>0</v>
      </c>
      <c r="JF75" s="284" t="n"/>
      <c r="JG75" s="36" t="n"/>
      <c r="JH75" s="284" t="n"/>
      <c r="JI75" s="38" t="n">
        <v>0</v>
      </c>
      <c r="JJ75" s="284" t="n"/>
      <c r="JK75" s="36" t="n"/>
      <c r="JL75" s="284" t="n"/>
      <c r="JM75" s="38" t="n">
        <v>0</v>
      </c>
      <c r="JN75" s="284" t="n"/>
      <c r="JO75" s="36" t="n"/>
      <c r="JP75" s="284" t="n"/>
      <c r="JQ75" s="38" t="n">
        <v>0</v>
      </c>
      <c r="JR75" s="284" t="n"/>
      <c r="JS75" s="36" t="n"/>
      <c r="JT75" s="284" t="n"/>
      <c r="JU75" s="38" t="n">
        <v>0</v>
      </c>
      <c r="JV75" s="284" t="n"/>
      <c r="JW75" s="36" t="n"/>
      <c r="JX75" s="284" t="n"/>
      <c r="JY75" s="38" t="n">
        <v>0</v>
      </c>
      <c r="JZ75" s="284" t="n"/>
      <c r="KA75" s="36" t="n"/>
      <c r="KB75" s="284" t="n"/>
      <c r="KC75" s="38" t="n">
        <v>0</v>
      </c>
      <c r="KD75" s="284" t="n"/>
      <c r="KE75" s="338">
        <f t="array" ref="KE75">SUMPRODUCT(--(MOD(COLUMN($II75:$KD75),4)=MOD(COLUMN($II75),4)),$II75:$KD75)</f>
        <v/>
      </c>
      <c r="KF75" s="339">
        <f>KE75*$J75</f>
        <v/>
      </c>
      <c r="KG75" s="340">
        <f t="array" ref="KG75">SUMPRODUCT(--(MOD(COLUMN($II75:$KD75),4)=MOD(COLUMN($IJ75),4)),$II75:$KD75)</f>
        <v/>
      </c>
      <c r="KH75" s="341">
        <f>KG75*$J75</f>
        <v/>
      </c>
      <c r="KI75" s="342">
        <f t="array" ref="KI75">SUMPRODUCT(--(MOD(COLUMN($II75:$KD75),4)=MOD(COLUMN($IK75),4)),$II75:$KD75)</f>
        <v/>
      </c>
      <c r="KJ75" s="346">
        <f>KI75*$J75</f>
        <v/>
      </c>
      <c r="KK75" s="80" t="n"/>
      <c r="KL75" s="80" t="n"/>
      <c r="KM75" s="80" t="n"/>
      <c r="KN75" s="51" t="n">
        <v>1</v>
      </c>
      <c r="KO75" s="347" t="n"/>
    </row>
    <row r="76" outlineLevel="1" customFormat="1" s="68">
      <c r="A76" s="347" t="n"/>
      <c r="B76" s="347" t="n"/>
      <c r="C76" s="347" t="n"/>
      <c r="D76" s="347" t="n"/>
      <c r="E76" s="15" t="n">
        <v>40</v>
      </c>
      <c r="F76" s="61" t="n">
        <v>2</v>
      </c>
      <c r="G76" s="62" t="n">
        <v>4334010030</v>
      </c>
      <c r="H76" s="63" t="inlineStr">
        <is>
          <t>Упругий элемент</t>
        </is>
      </c>
      <c r="I76" s="359" t="n">
        <v>67.3</v>
      </c>
      <c r="J76" s="360">
        <f>77/1.2</f>
        <v/>
      </c>
      <c r="K76" s="360" t="n"/>
      <c r="L76" s="360" t="n"/>
      <c r="M76" s="36" t="n"/>
      <c r="N76" s="284" t="n"/>
      <c r="O76" s="38" t="n"/>
      <c r="P76" s="284" t="n"/>
      <c r="Q76" s="36" t="n"/>
      <c r="R76" s="284" t="n"/>
      <c r="S76" s="38" t="n"/>
      <c r="T76" s="284" t="n"/>
      <c r="U76" s="36" t="n"/>
      <c r="V76" s="284" t="n"/>
      <c r="W76" s="38" t="n"/>
      <c r="X76" s="284" t="n"/>
      <c r="Y76" s="36" t="n"/>
      <c r="Z76" s="39" t="n"/>
      <c r="AA76" s="38" t="n">
        <v>0</v>
      </c>
      <c r="AB76" s="247" t="n"/>
      <c r="AC76" s="36" t="n"/>
      <c r="AD76" s="284" t="n"/>
      <c r="AE76" s="38" t="n">
        <v>0</v>
      </c>
      <c r="AF76" s="247" t="n"/>
      <c r="AG76" s="36" t="n"/>
      <c r="AH76" s="284" t="n"/>
      <c r="AI76" s="38" t="n">
        <v>0</v>
      </c>
      <c r="AJ76" s="247" t="n"/>
      <c r="AK76" s="36" t="n"/>
      <c r="AL76" s="284" t="n"/>
      <c r="AM76" s="38" t="n">
        <v>0</v>
      </c>
      <c r="AN76" s="247" t="n"/>
      <c r="AO76" s="36" t="n"/>
      <c r="AP76" s="284" t="n"/>
      <c r="AQ76" s="38" t="n">
        <v>0</v>
      </c>
      <c r="AR76" s="247" t="n"/>
      <c r="AS76" s="36" t="n"/>
      <c r="AT76" s="284" t="n"/>
      <c r="AU76" s="38" t="n">
        <v>0</v>
      </c>
      <c r="AV76" s="247" t="n"/>
      <c r="AW76" s="36" t="n"/>
      <c r="AX76" s="284" t="n"/>
      <c r="AY76" s="38" t="n">
        <v>0</v>
      </c>
      <c r="AZ76" s="247" t="n"/>
      <c r="BA76" s="36" t="n"/>
      <c r="BB76" s="284" t="n"/>
      <c r="BC76" s="92" t="n">
        <v>0</v>
      </c>
      <c r="BD76" s="284" t="n"/>
      <c r="BE76" s="36" t="n"/>
      <c r="BF76" s="284">
        <f>$KN76*0</f>
        <v/>
      </c>
      <c r="BG76" s="54" t="n">
        <v>0</v>
      </c>
      <c r="BH76" s="284" t="n"/>
      <c r="BI76" s="338" t="n"/>
      <c r="BJ76" s="339" t="n"/>
      <c r="BK76" s="340" t="n"/>
      <c r="BL76" s="341" t="n"/>
      <c r="BM76" s="342" t="n"/>
      <c r="BN76" s="343" t="n"/>
      <c r="BO76" s="36" t="n"/>
      <c r="BP76" s="47" t="n"/>
      <c r="BQ76" s="284" t="n"/>
      <c r="BR76" s="38" t="n">
        <v>2</v>
      </c>
      <c r="BS76" s="284" t="n"/>
      <c r="BT76" s="36" t="n"/>
      <c r="BU76" s="47" t="n"/>
      <c r="BV76" s="284">
        <f>$KN76*10</f>
        <v/>
      </c>
      <c r="BW76" s="38" t="n">
        <v>10</v>
      </c>
      <c r="BX76" s="333" t="n"/>
      <c r="BY76" s="36" t="n"/>
      <c r="BZ76" s="47" t="n"/>
      <c r="CA76" s="284" t="n"/>
      <c r="CB76" s="38" t="n">
        <v>0</v>
      </c>
      <c r="CC76" s="284" t="n"/>
      <c r="CD76" s="36" t="n"/>
      <c r="CE76" s="47" t="n"/>
      <c r="CF76" s="284" t="n"/>
      <c r="CG76" s="38" t="n">
        <v>0</v>
      </c>
      <c r="CH76" s="284" t="n"/>
      <c r="CI76" s="36" t="n"/>
      <c r="CJ76" s="47" t="n"/>
      <c r="CK76" s="284" t="n"/>
      <c r="CL76" s="38" t="n">
        <v>0</v>
      </c>
      <c r="CM76" s="284" t="n"/>
      <c r="CN76" s="36" t="n"/>
      <c r="CO76" s="47" t="n"/>
      <c r="CP76" s="284" t="n"/>
      <c r="CQ76" s="38" t="n">
        <v>0</v>
      </c>
      <c r="CR76" s="284" t="n"/>
      <c r="CS76" s="36" t="n"/>
      <c r="CT76" s="47" t="n"/>
      <c r="CU76" s="284" t="n"/>
      <c r="CV76" s="38" t="n">
        <v>0</v>
      </c>
      <c r="CW76" s="284" t="n"/>
      <c r="CX76" s="36" t="n"/>
      <c r="CY76" s="47" t="n"/>
      <c r="CZ76" s="284" t="n"/>
      <c r="DA76" s="38" t="n">
        <v>0</v>
      </c>
      <c r="DB76" s="284" t="n"/>
      <c r="DC76" s="36" t="n"/>
      <c r="DD76" s="47" t="n"/>
      <c r="DE76" s="284" t="n"/>
      <c r="DF76" s="38" t="n">
        <v>0</v>
      </c>
      <c r="DG76" s="284" t="n"/>
      <c r="DH76" s="36" t="n"/>
      <c r="DI76" s="47" t="n"/>
      <c r="DJ76" s="284" t="n"/>
      <c r="DK76" s="38" t="n">
        <v>0</v>
      </c>
      <c r="DL76" s="284" t="n"/>
      <c r="DM76" s="36" t="n"/>
      <c r="DN76" s="47" t="n"/>
      <c r="DO76" s="284">
        <f>$KN76*4</f>
        <v/>
      </c>
      <c r="DP76" s="38" t="n">
        <v>0</v>
      </c>
      <c r="DQ76" s="227" t="n"/>
      <c r="DR76" s="36" t="n"/>
      <c r="DS76" s="47" t="n"/>
      <c r="DT76" s="284">
        <f>$KN76*4</f>
        <v/>
      </c>
      <c r="DU76" s="38" t="n">
        <v>0</v>
      </c>
      <c r="DV76" s="284" t="n"/>
      <c r="DW76" s="338">
        <f t="array" ref="DW76">SUMPRODUCT(--(MOD(COLUMN($BO76:$DV76),5)=MOD(COLUMN($BO76),5)),$BO76:$DV76)</f>
        <v/>
      </c>
      <c r="DX76" s="339">
        <f>DW76*$J76</f>
        <v/>
      </c>
      <c r="DY76" s="344">
        <f t="array" ref="DY76">SUMPRODUCT(--(MOD(COLUMN($BO76:$DV76),5)=MOD(COLUMN($BP76),5)),$BO76:$DV76)</f>
        <v/>
      </c>
      <c r="DZ76" s="345">
        <f>DY76*$J76</f>
        <v/>
      </c>
      <c r="EA76" s="340">
        <f t="array" ref="EA76">SUMPRODUCT(--(MOD(COLUMN($BO76:$DV76),5)=MOD(COLUMN($BQ76),5)),$BO76:$DV76)</f>
        <v/>
      </c>
      <c r="EB76" s="341">
        <f>EA76*$J76</f>
        <v/>
      </c>
      <c r="EC76" s="342">
        <f t="array" ref="EC76">SUMPRODUCT(--(MOD(COLUMN($BO76:$DV76),5)=MOD(COLUMN($BR76),5)),$BO76:$DV76)</f>
        <v/>
      </c>
      <c r="ED76" s="343">
        <f>EC76*$J76</f>
        <v/>
      </c>
      <c r="EE76" s="36" t="n"/>
      <c r="EF76" s="284" t="n"/>
      <c r="EG76" s="38" t="n">
        <v>0</v>
      </c>
      <c r="EH76" s="284" t="n"/>
      <c r="EI76" s="36" t="n"/>
      <c r="EJ76" s="284" t="n"/>
      <c r="EK76" s="38" t="n">
        <v>2</v>
      </c>
      <c r="EL76" s="284" t="n"/>
      <c r="EM76" s="36" t="n"/>
      <c r="EN76" s="284" t="n"/>
      <c r="EO76" s="38" t="n">
        <v>0</v>
      </c>
      <c r="EP76" s="284" t="n"/>
      <c r="EQ76" s="36" t="n"/>
      <c r="ER76" s="284" t="n"/>
      <c r="ES76" s="38" t="n">
        <v>0</v>
      </c>
      <c r="ET76" s="284" t="n"/>
      <c r="EU76" s="36" t="n"/>
      <c r="EV76" s="284" t="n"/>
      <c r="EW76" s="38" t="n">
        <v>0</v>
      </c>
      <c r="EX76" s="284" t="n"/>
      <c r="EY76" s="36" t="n"/>
      <c r="EZ76" s="284" t="n"/>
      <c r="FA76" s="38" t="n">
        <v>0</v>
      </c>
      <c r="FB76" s="284" t="n"/>
      <c r="FC76" s="36" t="n"/>
      <c r="FD76" s="284" t="n"/>
      <c r="FE76" s="38" t="n">
        <v>0</v>
      </c>
      <c r="FF76" s="284" t="n"/>
      <c r="FG76" s="36" t="n"/>
      <c r="FH76" s="284" t="n"/>
      <c r="FI76" s="38" t="n">
        <v>0</v>
      </c>
      <c r="FJ76" s="284" t="n"/>
      <c r="FK76" s="36" t="n"/>
      <c r="FL76" s="284" t="n"/>
      <c r="FM76" s="38" t="n">
        <v>0</v>
      </c>
      <c r="FN76" s="284" t="n"/>
      <c r="FO76" s="36" t="n"/>
      <c r="FP76" s="284" t="n"/>
      <c r="FQ76" s="38" t="n">
        <v>0</v>
      </c>
      <c r="FR76" s="284" t="n"/>
      <c r="FS76" s="36" t="n"/>
      <c r="FT76" s="284" t="n"/>
      <c r="FU76" s="38" t="n">
        <v>0</v>
      </c>
      <c r="FV76" s="284" t="n"/>
      <c r="FW76" s="36" t="n"/>
      <c r="FX76" s="284" t="n"/>
      <c r="FY76" s="38" t="n">
        <v>0</v>
      </c>
      <c r="FZ76" s="284" t="n"/>
      <c r="GA76" s="338">
        <f t="array" ref="GA76">SUMPRODUCT(--(MOD(COLUMN($EE76:$FZ76),4)=MOD(COLUMN($EE76),4)),$EE76:$FZ76)</f>
        <v/>
      </c>
      <c r="GB76" s="339">
        <f>GA76*$J76</f>
        <v/>
      </c>
      <c r="GC76" s="340">
        <f t="array" ref="GC76">SUMPRODUCT(--(MOD(COLUMN($EE76:$FZ76),4)=MOD(COLUMN($EF76),4)),$EE76:$FZ76)</f>
        <v/>
      </c>
      <c r="GD76" s="341">
        <f>GC76*$J76</f>
        <v/>
      </c>
      <c r="GE76" s="342">
        <f t="array" ref="GE76">SUMPRODUCT(--(MOD(COLUMN($EE76:$FZ76),4)=MOD(COLUMN($EG76),4)),$EE76:$FZ76)</f>
        <v/>
      </c>
      <c r="GF76" s="343">
        <f>GE76*$J76</f>
        <v/>
      </c>
      <c r="GG76" s="36" t="n"/>
      <c r="GH76" s="284" t="n"/>
      <c r="GI76" s="38" t="n">
        <v>0</v>
      </c>
      <c r="GJ76" s="284" t="n"/>
      <c r="GK76" s="36" t="n"/>
      <c r="GL76" s="284" t="n"/>
      <c r="GM76" s="38" t="n">
        <v>0</v>
      </c>
      <c r="GN76" s="284" t="n"/>
      <c r="GO76" s="36" t="n"/>
      <c r="GP76" s="284" t="n"/>
      <c r="GQ76" s="38" t="n">
        <v>0</v>
      </c>
      <c r="GR76" s="284" t="n"/>
      <c r="GS76" s="36" t="n"/>
      <c r="GT76" s="284" t="n"/>
      <c r="GU76" s="38" t="n">
        <v>0</v>
      </c>
      <c r="GV76" s="284" t="n"/>
      <c r="GW76" s="36" t="n"/>
      <c r="GX76" s="284" t="n"/>
      <c r="GY76" s="38" t="n">
        <v>0</v>
      </c>
      <c r="GZ76" s="284" t="n"/>
      <c r="HA76" s="36" t="n"/>
      <c r="HB76" s="284" t="n"/>
      <c r="HC76" s="38" t="n">
        <v>0</v>
      </c>
      <c r="HD76" s="284" t="n"/>
      <c r="HE76" s="36" t="n"/>
      <c r="HF76" s="284" t="n"/>
      <c r="HG76" s="38" t="n">
        <v>0</v>
      </c>
      <c r="HH76" s="284" t="n"/>
      <c r="HI76" s="36" t="n"/>
      <c r="HJ76" s="284" t="n"/>
      <c r="HK76" s="38" t="n">
        <v>0</v>
      </c>
      <c r="HL76" s="284" t="n"/>
      <c r="HM76" s="36" t="n"/>
      <c r="HN76" s="284" t="n"/>
      <c r="HO76" s="38" t="n">
        <v>0</v>
      </c>
      <c r="HP76" s="284" t="n"/>
      <c r="HQ76" s="36" t="n"/>
      <c r="HR76" s="284" t="n"/>
      <c r="HS76" s="38" t="n">
        <v>0</v>
      </c>
      <c r="HT76" s="284" t="n"/>
      <c r="HU76" s="36" t="n"/>
      <c r="HV76" s="284" t="n"/>
      <c r="HW76" s="38" t="n">
        <v>0</v>
      </c>
      <c r="HX76" s="284" t="n"/>
      <c r="HY76" s="36" t="n"/>
      <c r="HZ76" s="284" t="n"/>
      <c r="IA76" s="38" t="n">
        <v>0</v>
      </c>
      <c r="IB76" s="284" t="n"/>
      <c r="IC76" s="338">
        <f t="array" ref="IC76">SUMPRODUCT(--(MOD(COLUMN($GG76:$IB76),4)=MOD(COLUMN($GG76),4)),$GG76:$IB76)</f>
        <v/>
      </c>
      <c r="ID76" s="339">
        <f>IC76*$J76</f>
        <v/>
      </c>
      <c r="IE76" s="340">
        <f t="array" ref="IE76">SUMPRODUCT(--(MOD(COLUMN($GG76:$IB76),4)=MOD(COLUMN($GH76),4)),$GG76:$IB76)</f>
        <v/>
      </c>
      <c r="IF76" s="341">
        <f>IE76*$J76</f>
        <v/>
      </c>
      <c r="IG76" s="342">
        <f t="array" ref="IG76">SUMPRODUCT(--(MOD(COLUMN($GG76:$IB76),4)=MOD(COLUMN($GI76),4)),$GG76:$IB76)</f>
        <v/>
      </c>
      <c r="IH76" s="343">
        <f>IG76*$J76</f>
        <v/>
      </c>
      <c r="II76" s="36" t="n"/>
      <c r="IJ76" s="284" t="n"/>
      <c r="IK76" s="38" t="n">
        <v>0</v>
      </c>
      <c r="IL76" s="284" t="n"/>
      <c r="IM76" s="36" t="n"/>
      <c r="IN76" s="284" t="n"/>
      <c r="IO76" s="38" t="n">
        <v>0</v>
      </c>
      <c r="IP76" s="284" t="n"/>
      <c r="IQ76" s="36" t="n"/>
      <c r="IR76" s="284" t="n"/>
      <c r="IS76" s="38" t="n">
        <v>0</v>
      </c>
      <c r="IT76" s="284" t="n"/>
      <c r="IU76" s="36" t="n"/>
      <c r="IV76" s="284" t="n"/>
      <c r="IW76" s="38" t="n">
        <v>0</v>
      </c>
      <c r="IX76" s="284" t="n"/>
      <c r="IY76" s="36" t="n"/>
      <c r="IZ76" s="284" t="n"/>
      <c r="JA76" s="38" t="n">
        <v>0</v>
      </c>
      <c r="JB76" s="284" t="n"/>
      <c r="JC76" s="36" t="n"/>
      <c r="JD76" s="284" t="n"/>
      <c r="JE76" s="38" t="n">
        <v>0</v>
      </c>
      <c r="JF76" s="284" t="n"/>
      <c r="JG76" s="36" t="n"/>
      <c r="JH76" s="284" t="n"/>
      <c r="JI76" s="38" t="n">
        <v>0</v>
      </c>
      <c r="JJ76" s="284" t="n"/>
      <c r="JK76" s="36" t="n"/>
      <c r="JL76" s="284" t="n"/>
      <c r="JM76" s="38" t="n">
        <v>0</v>
      </c>
      <c r="JN76" s="284" t="n"/>
      <c r="JO76" s="36" t="n"/>
      <c r="JP76" s="284" t="n"/>
      <c r="JQ76" s="38" t="n">
        <v>0</v>
      </c>
      <c r="JR76" s="284" t="n"/>
      <c r="JS76" s="36" t="n"/>
      <c r="JT76" s="284" t="n"/>
      <c r="JU76" s="38" t="n">
        <v>0</v>
      </c>
      <c r="JV76" s="284" t="n"/>
      <c r="JW76" s="36" t="n"/>
      <c r="JX76" s="284" t="n"/>
      <c r="JY76" s="38" t="n">
        <v>0</v>
      </c>
      <c r="JZ76" s="284" t="n"/>
      <c r="KA76" s="36" t="n"/>
      <c r="KB76" s="284" t="n"/>
      <c r="KC76" s="38" t="n">
        <v>0</v>
      </c>
      <c r="KD76" s="284" t="n"/>
      <c r="KE76" s="338">
        <f t="array" ref="KE76">SUMPRODUCT(--(MOD(COLUMN($II76:$KD76),4)=MOD(COLUMN($II76),4)),$II76:$KD76)</f>
        <v/>
      </c>
      <c r="KF76" s="339">
        <f>KE76*$J76</f>
        <v/>
      </c>
      <c r="KG76" s="340">
        <f t="array" ref="KG76">SUMPRODUCT(--(MOD(COLUMN($II76:$KD76),4)=MOD(COLUMN($IJ76),4)),$II76:$KD76)</f>
        <v/>
      </c>
      <c r="KH76" s="341">
        <f>KG76*$J76</f>
        <v/>
      </c>
      <c r="KI76" s="342">
        <f t="array" ref="KI76">SUMPRODUCT(--(MOD(COLUMN($II76:$KD76),4)=MOD(COLUMN($IK76),4)),$II76:$KD76)</f>
        <v/>
      </c>
      <c r="KJ76" s="346">
        <f>KI76*$J76</f>
        <v/>
      </c>
      <c r="KK76" s="80" t="n"/>
      <c r="KL76" s="80" t="n"/>
      <c r="KM76" s="80" t="n"/>
      <c r="KN76" s="51" t="n">
        <v>1</v>
      </c>
      <c r="KO76" s="333" t="n"/>
    </row>
    <row r="77" outlineLevel="1" customFormat="1" s="68">
      <c r="A77" s="347" t="n"/>
      <c r="B77" s="347" t="n"/>
      <c r="C77" s="347" t="n"/>
      <c r="D77" s="347" t="n"/>
      <c r="E77" s="15" t="n">
        <v>41</v>
      </c>
      <c r="F77" s="149" t="n">
        <v>2</v>
      </c>
      <c r="G77" s="112" t="n">
        <v>4461220500</v>
      </c>
      <c r="H77" s="154" t="inlineStr">
        <is>
          <t>CAN Router</t>
        </is>
      </c>
      <c r="I77" s="359" t="n"/>
      <c r="J77" s="360" t="n">
        <v>9205.9</v>
      </c>
      <c r="K77" s="360" t="n"/>
      <c r="L77" s="360" t="n"/>
      <c r="M77" s="36" t="n"/>
      <c r="N77" s="284" t="n"/>
      <c r="O77" s="38" t="n"/>
      <c r="P77" s="284" t="n"/>
      <c r="Q77" s="36" t="n"/>
      <c r="R77" s="284" t="n"/>
      <c r="S77" s="38" t="n"/>
      <c r="T77" s="284" t="n"/>
      <c r="U77" s="36" t="n"/>
      <c r="V77" s="284" t="n"/>
      <c r="W77" s="38" t="n"/>
      <c r="X77" s="284" t="n"/>
      <c r="Y77" s="36" t="n"/>
      <c r="Z77" s="39" t="n"/>
      <c r="AA77" s="38" t="n"/>
      <c r="AB77" s="247" t="n"/>
      <c r="AC77" s="36" t="n"/>
      <c r="AD77" s="284" t="n"/>
      <c r="AE77" s="38" t="n"/>
      <c r="AF77" s="247" t="n"/>
      <c r="AG77" s="36" t="n"/>
      <c r="AH77" s="284" t="n"/>
      <c r="AI77" s="38" t="n"/>
      <c r="AJ77" s="247" t="n"/>
      <c r="AK77" s="36" t="n"/>
      <c r="AL77" s="284" t="n"/>
      <c r="AM77" s="38" t="n"/>
      <c r="AN77" s="247" t="n"/>
      <c r="AO77" s="36" t="n"/>
      <c r="AP77" s="284" t="n"/>
      <c r="AQ77" s="38" t="n"/>
      <c r="AR77" s="247" t="n"/>
      <c r="AS77" s="36" t="n"/>
      <c r="AT77" s="284" t="n"/>
      <c r="AU77" s="38" t="n"/>
      <c r="AV77" s="247" t="n"/>
      <c r="AW77" s="36" t="n"/>
      <c r="AX77" s="284" t="n"/>
      <c r="AY77" s="38" t="n"/>
      <c r="AZ77" s="247" t="n"/>
      <c r="BA77" s="36" t="n"/>
      <c r="BB77" s="284" t="n"/>
      <c r="BC77" s="92" t="n"/>
      <c r="BD77" s="284" t="n"/>
      <c r="BE77" s="36" t="n"/>
      <c r="BF77" s="284" t="n"/>
      <c r="BG77" s="54" t="n"/>
      <c r="BH77" s="284" t="n"/>
      <c r="BI77" s="338" t="n"/>
      <c r="BJ77" s="339" t="n"/>
      <c r="BK77" s="340" t="n"/>
      <c r="BL77" s="341" t="n"/>
      <c r="BM77" s="342" t="n"/>
      <c r="BN77" s="343" t="n"/>
      <c r="BO77" s="36" t="n"/>
      <c r="BP77" s="47" t="n"/>
      <c r="BQ77" s="284" t="n"/>
      <c r="BR77" s="38" t="n"/>
      <c r="BS77" s="284" t="n"/>
      <c r="BT77" s="36" t="n"/>
      <c r="BU77" s="47" t="n"/>
      <c r="BV77" s="284" t="n"/>
      <c r="BW77" s="38" t="n"/>
      <c r="BX77" s="247" t="n"/>
      <c r="BY77" s="36" t="n"/>
      <c r="BZ77" s="47" t="n"/>
      <c r="CA77" s="284" t="n"/>
      <c r="CB77" s="38" t="n"/>
      <c r="CC77" s="284" t="n"/>
      <c r="CD77" s="36" t="n"/>
      <c r="CE77" s="47" t="n"/>
      <c r="CF77" s="284" t="n"/>
      <c r="CG77" s="38" t="n"/>
      <c r="CH77" s="245" t="n"/>
      <c r="CI77" s="36" t="n"/>
      <c r="CJ77" s="47" t="n"/>
      <c r="CK77" s="284" t="n"/>
      <c r="CL77" s="38" t="n"/>
      <c r="CM77" s="284" t="n"/>
      <c r="CN77" s="36" t="n"/>
      <c r="CO77" s="47" t="n"/>
      <c r="CP77" s="284" t="n"/>
      <c r="CQ77" s="38" t="n"/>
      <c r="CR77" s="284" t="n"/>
      <c r="CS77" s="36" t="n"/>
      <c r="CT77" s="47" t="n"/>
      <c r="CU77" s="284" t="n"/>
      <c r="CV77" s="38" t="n"/>
      <c r="CW77" s="284" t="n"/>
      <c r="CX77" s="36" t="n"/>
      <c r="CY77" s="47" t="n"/>
      <c r="CZ77" s="284" t="n"/>
      <c r="DA77" s="38" t="n"/>
      <c r="DB77" s="284" t="n"/>
      <c r="DC77" s="36" t="n"/>
      <c r="DD77" s="47" t="n"/>
      <c r="DE77" s="284" t="n"/>
      <c r="DF77" s="38" t="n"/>
      <c r="DG77" s="284" t="n"/>
      <c r="DH77" s="36" t="n"/>
      <c r="DI77" s="47" t="n"/>
      <c r="DJ77" s="284" t="n"/>
      <c r="DK77" s="38" t="n"/>
      <c r="DL77" s="284" t="n"/>
      <c r="DM77" s="36" t="n"/>
      <c r="DN77" s="47" t="n"/>
      <c r="DO77" s="284" t="n"/>
      <c r="DP77" s="38" t="n"/>
      <c r="DQ77" s="227" t="n"/>
      <c r="DR77" s="36" t="n"/>
      <c r="DS77" s="47" t="n"/>
      <c r="DT77" s="284" t="n"/>
      <c r="DU77" s="38" t="n">
        <v>0</v>
      </c>
      <c r="DV77" s="284" t="n"/>
      <c r="DW77" s="338">
        <f t="array" ref="DW77">SUMPRODUCT(--(MOD(COLUMN($BO77:$DV77),5)=MOD(COLUMN($BO77),5)),$BO77:$DV77)</f>
        <v/>
      </c>
      <c r="DX77" s="339">
        <f>DW77*$J77</f>
        <v/>
      </c>
      <c r="DY77" s="344">
        <f t="array" ref="DY77">SUMPRODUCT(--(MOD(COLUMN($BO77:$DV77),5)=MOD(COLUMN($BP77),5)),$BO77:$DV77)</f>
        <v/>
      </c>
      <c r="DZ77" s="345">
        <f>DY77*$J77</f>
        <v/>
      </c>
      <c r="EA77" s="340">
        <f t="array" ref="EA77">SUMPRODUCT(--(MOD(COLUMN($BO77:$DV77),5)=MOD(COLUMN($BQ77),5)),$BO77:$DV77)</f>
        <v/>
      </c>
      <c r="EB77" s="341">
        <f>EA77*$J77</f>
        <v/>
      </c>
      <c r="EC77" s="342">
        <f t="array" ref="EC77">SUMPRODUCT(--(MOD(COLUMN($BO77:$DV77),5)=MOD(COLUMN($BR77),5)),$BO77:$DV77)</f>
        <v/>
      </c>
      <c r="ED77" s="343">
        <f>EC77*$J77</f>
        <v/>
      </c>
      <c r="EE77" s="36" t="n"/>
      <c r="EF77" s="284" t="n">
        <v>0</v>
      </c>
      <c r="EG77" s="38" t="n"/>
      <c r="EH77" s="284" t="inlineStr">
        <is>
          <t>Новый артикул</t>
        </is>
      </c>
      <c r="EI77" s="36" t="n"/>
      <c r="EJ77" s="284" t="n"/>
      <c r="EK77" s="38" t="n"/>
      <c r="EL77" s="284" t="n"/>
      <c r="EM77" s="36" t="n"/>
      <c r="EN77" s="284" t="n"/>
      <c r="EO77" s="38" t="n"/>
      <c r="EP77" s="284" t="n"/>
      <c r="EQ77" s="36" t="n"/>
      <c r="ER77" s="284" t="n">
        <v>1</v>
      </c>
      <c r="ES77" s="38" t="n">
        <v>1</v>
      </c>
      <c r="ET77" s="284" t="inlineStr">
        <is>
          <t>Заказ мая отгрузили раньше</t>
        </is>
      </c>
      <c r="EU77" s="36" t="n"/>
      <c r="EV77" s="284" t="n">
        <v>0</v>
      </c>
      <c r="EW77" s="38" t="n"/>
      <c r="EX77" s="284" t="inlineStr">
        <is>
          <t>Отгрузили в апреле</t>
        </is>
      </c>
      <c r="EY77" s="36" t="n"/>
      <c r="EZ77" s="284" t="n"/>
      <c r="FA77" s="38" t="n"/>
      <c r="FB77" s="284" t="n"/>
      <c r="FC77" s="36" t="n"/>
      <c r="FD77" s="284" t="n"/>
      <c r="FE77" s="38" t="n"/>
      <c r="FF77" s="284" t="n"/>
      <c r="FG77" s="36" t="n"/>
      <c r="FH77" s="284" t="n"/>
      <c r="FI77" s="38" t="n"/>
      <c r="FJ77" s="284" t="n"/>
      <c r="FK77" s="36" t="n"/>
      <c r="FL77" s="284" t="n"/>
      <c r="FM77" s="38" t="n"/>
      <c r="FN77" s="284" t="n"/>
      <c r="FO77" s="36" t="n"/>
      <c r="FP77" s="284" t="n"/>
      <c r="FQ77" s="38" t="n"/>
      <c r="FR77" s="284" t="n"/>
      <c r="FS77" s="36" t="n"/>
      <c r="FT77" s="284" t="n"/>
      <c r="FU77" s="38" t="n"/>
      <c r="FV77" s="284" t="n"/>
      <c r="FW77" s="36" t="n"/>
      <c r="FX77" s="284" t="n"/>
      <c r="FY77" s="38" t="n"/>
      <c r="FZ77" s="284" t="n"/>
      <c r="GA77" s="338">
        <f>SUMPRODUCT(--(MOD(COLUMN($EE77:$FZ77),4)=MOD(COLUMN($EE77),4)),$EE77:$FZ77)</f>
        <v/>
      </c>
      <c r="GB77" s="339">
        <f>GA77*$J77</f>
        <v/>
      </c>
      <c r="GC77" s="340">
        <f>SUMPRODUCT(--(MOD(COLUMN($EE77:$FZ77),4)=MOD(COLUMN($EF77),4)),$EE77:$FZ77)</f>
        <v/>
      </c>
      <c r="GD77" s="341">
        <f>GC77*$J77</f>
        <v/>
      </c>
      <c r="GE77" s="342">
        <f>SUMPRODUCT(--(MOD(COLUMN($EE77:$FZ77),4)=MOD(COLUMN($EG77),4)),$EE77:$FZ77)</f>
        <v/>
      </c>
      <c r="GF77" s="343">
        <f>GE77*$J77</f>
        <v/>
      </c>
      <c r="GG77" s="36" t="n"/>
      <c r="GH77" s="284" t="n"/>
      <c r="GI77" s="38" t="n"/>
      <c r="GJ77" s="284" t="n"/>
      <c r="GK77" s="36" t="n"/>
      <c r="GL77" s="284" t="n"/>
      <c r="GM77" s="38" t="n"/>
      <c r="GN77" s="284" t="n"/>
      <c r="GO77" s="36" t="n"/>
      <c r="GP77" s="284" t="n"/>
      <c r="GQ77" s="38" t="n"/>
      <c r="GR77" s="284" t="n"/>
      <c r="GS77" s="36" t="n"/>
      <c r="GT77" s="284" t="n"/>
      <c r="GU77" s="38" t="n"/>
      <c r="GV77" s="284" t="n"/>
      <c r="GW77" s="36" t="n"/>
      <c r="GX77" s="284" t="n"/>
      <c r="GY77" s="38" t="n"/>
      <c r="GZ77" s="284" t="n"/>
      <c r="HA77" s="36" t="n"/>
      <c r="HB77" s="284" t="n"/>
      <c r="HC77" s="38" t="n"/>
      <c r="HD77" s="284" t="n"/>
      <c r="HE77" s="36" t="n"/>
      <c r="HF77" s="284" t="n"/>
      <c r="HG77" s="38" t="n"/>
      <c r="HH77" s="284" t="n"/>
      <c r="HI77" s="36" t="n"/>
      <c r="HJ77" s="284" t="n"/>
      <c r="HK77" s="38" t="n"/>
      <c r="HL77" s="284" t="n"/>
      <c r="HM77" s="36" t="n"/>
      <c r="HN77" s="284" t="n"/>
      <c r="HO77" s="38" t="n"/>
      <c r="HP77" s="284" t="n"/>
      <c r="HQ77" s="36" t="n"/>
      <c r="HR77" s="284" t="n"/>
      <c r="HS77" s="38" t="n"/>
      <c r="HT77" s="284" t="n"/>
      <c r="HU77" s="36" t="n"/>
      <c r="HV77" s="284" t="n"/>
      <c r="HW77" s="38" t="n"/>
      <c r="HX77" s="284" t="n"/>
      <c r="HY77" s="36" t="n"/>
      <c r="HZ77" s="284" t="n"/>
      <c r="IA77" s="38" t="n"/>
      <c r="IB77" s="284" t="n"/>
      <c r="IC77" s="338">
        <f t="array" ref="IC77">SUMPRODUCT(--(MOD(COLUMN($GG77:$IB77),4)=MOD(COLUMN($GG77),4)),$GG77:$IB77)</f>
        <v/>
      </c>
      <c r="ID77" s="339">
        <f>IC77*$J77</f>
        <v/>
      </c>
      <c r="IE77" s="340">
        <f t="array" ref="IE77">SUMPRODUCT(--(MOD(COLUMN($GG77:$IB77),4)=MOD(COLUMN($GH77),4)),$GG77:$IB77)</f>
        <v/>
      </c>
      <c r="IF77" s="341">
        <f>IE77*$J77</f>
        <v/>
      </c>
      <c r="IG77" s="342">
        <f t="array" ref="IG77">SUMPRODUCT(--(MOD(COLUMN($GG77:$IB77),4)=MOD(COLUMN($GI77),4)),$GG77:$IB77)</f>
        <v/>
      </c>
      <c r="IH77" s="343">
        <f>IG77*$J77</f>
        <v/>
      </c>
      <c r="II77" s="36" t="n"/>
      <c r="IJ77" s="284" t="n"/>
      <c r="IK77" s="38" t="n"/>
      <c r="IL77" s="284" t="n"/>
      <c r="IM77" s="36" t="n"/>
      <c r="IN77" s="284" t="n"/>
      <c r="IO77" s="38" t="n"/>
      <c r="IP77" s="284" t="n"/>
      <c r="IQ77" s="36" t="n"/>
      <c r="IR77" s="284" t="n"/>
      <c r="IS77" s="38" t="n"/>
      <c r="IT77" s="284" t="n"/>
      <c r="IU77" s="36" t="n"/>
      <c r="IV77" s="284" t="n"/>
      <c r="IW77" s="38" t="n"/>
      <c r="IX77" s="284" t="n"/>
      <c r="IY77" s="36" t="n"/>
      <c r="IZ77" s="284" t="n"/>
      <c r="JA77" s="38" t="n"/>
      <c r="JB77" s="284" t="n"/>
      <c r="JC77" s="36" t="n"/>
      <c r="JD77" s="284" t="n"/>
      <c r="JE77" s="38" t="n"/>
      <c r="JF77" s="284" t="n"/>
      <c r="JG77" s="36" t="n"/>
      <c r="JH77" s="284" t="n"/>
      <c r="JI77" s="38" t="n"/>
      <c r="JJ77" s="284" t="n"/>
      <c r="JK77" s="36" t="n"/>
      <c r="JL77" s="284" t="n"/>
      <c r="JM77" s="38" t="n"/>
      <c r="JN77" s="284" t="n"/>
      <c r="JO77" s="36" t="n"/>
      <c r="JP77" s="284" t="n"/>
      <c r="JQ77" s="38" t="n"/>
      <c r="JR77" s="284" t="n"/>
      <c r="JS77" s="36" t="n"/>
      <c r="JT77" s="284" t="n"/>
      <c r="JU77" s="38" t="n"/>
      <c r="JV77" s="284" t="n"/>
      <c r="JW77" s="36" t="n"/>
      <c r="JX77" s="284" t="n"/>
      <c r="JY77" s="38" t="n"/>
      <c r="JZ77" s="284" t="n"/>
      <c r="KA77" s="36" t="n"/>
      <c r="KB77" s="284" t="n"/>
      <c r="KC77" s="38" t="n"/>
      <c r="KD77" s="284" t="n"/>
      <c r="KE77" s="338">
        <f t="array" ref="KE77">SUMPRODUCT(--(MOD(COLUMN($II77:$KD77),4)=MOD(COLUMN($II77),4)),$II77:$KD77)</f>
        <v/>
      </c>
      <c r="KF77" s="339">
        <f>KE77*$J77</f>
        <v/>
      </c>
      <c r="KG77" s="340">
        <f t="array" ref="KG77">SUMPRODUCT(--(MOD(COLUMN($II77:$KD77),4)=MOD(COLUMN($IJ77),4)),$II77:$KD77)</f>
        <v/>
      </c>
      <c r="KH77" s="341">
        <f>KG77*$J77</f>
        <v/>
      </c>
      <c r="KI77" s="342">
        <f t="array" ref="KI77">SUMPRODUCT(--(MOD(COLUMN($II77:$KD77),4)=MOD(COLUMN($IK77),4)),$II77:$KD77)</f>
        <v/>
      </c>
      <c r="KJ77" s="346">
        <f>KI77*$J77</f>
        <v/>
      </c>
      <c r="KK77" s="80" t="n"/>
      <c r="KL77" s="80" t="n"/>
      <c r="KM77" s="80" t="n"/>
      <c r="KN77" s="51" t="n"/>
      <c r="KO77" s="285" t="n"/>
    </row>
    <row r="78" outlineLevel="1" customFormat="1" s="68">
      <c r="A78" s="347" t="n"/>
      <c r="B78" s="347" t="n"/>
      <c r="C78" s="347" t="n"/>
      <c r="D78" s="347" t="n"/>
      <c r="E78" s="15" t="n">
        <v>42</v>
      </c>
      <c r="F78" s="149" t="n">
        <v>2</v>
      </c>
      <c r="G78" s="112" t="n">
        <v>4491331200</v>
      </c>
      <c r="H78" s="154" t="inlineStr">
        <is>
          <t>Power Cable</t>
        </is>
      </c>
      <c r="I78" s="359" t="n"/>
      <c r="J78" s="360" t="n">
        <v>3400</v>
      </c>
      <c r="K78" s="360" t="n"/>
      <c r="L78" s="360" t="n"/>
      <c r="M78" s="36" t="n"/>
      <c r="N78" s="284" t="n"/>
      <c r="O78" s="38" t="n"/>
      <c r="P78" s="284" t="n"/>
      <c r="Q78" s="36" t="n"/>
      <c r="R78" s="284" t="n"/>
      <c r="S78" s="38" t="n"/>
      <c r="T78" s="284" t="n"/>
      <c r="U78" s="36" t="n"/>
      <c r="V78" s="284" t="n"/>
      <c r="W78" s="38" t="n"/>
      <c r="X78" s="284" t="n"/>
      <c r="Y78" s="36" t="n"/>
      <c r="Z78" s="39" t="n"/>
      <c r="AA78" s="38" t="n"/>
      <c r="AB78" s="247" t="n"/>
      <c r="AC78" s="36" t="n"/>
      <c r="AD78" s="284" t="n"/>
      <c r="AE78" s="38" t="n"/>
      <c r="AF78" s="247" t="n"/>
      <c r="AG78" s="36" t="n"/>
      <c r="AH78" s="284" t="n"/>
      <c r="AI78" s="38" t="n"/>
      <c r="AJ78" s="247" t="n"/>
      <c r="AK78" s="36" t="n"/>
      <c r="AL78" s="284" t="n"/>
      <c r="AM78" s="38" t="n"/>
      <c r="AN78" s="247" t="n"/>
      <c r="AO78" s="36" t="n"/>
      <c r="AP78" s="284" t="n"/>
      <c r="AQ78" s="38" t="n"/>
      <c r="AR78" s="247" t="n"/>
      <c r="AS78" s="36" t="n"/>
      <c r="AT78" s="284" t="n"/>
      <c r="AU78" s="38" t="n"/>
      <c r="AV78" s="247" t="n"/>
      <c r="AW78" s="36" t="n"/>
      <c r="AX78" s="284" t="n"/>
      <c r="AY78" s="38" t="n"/>
      <c r="AZ78" s="247" t="n"/>
      <c r="BA78" s="36" t="n"/>
      <c r="BB78" s="284" t="n"/>
      <c r="BC78" s="92" t="n"/>
      <c r="BD78" s="284" t="n"/>
      <c r="BE78" s="36" t="n"/>
      <c r="BF78" s="284" t="n"/>
      <c r="BG78" s="54" t="n"/>
      <c r="BH78" s="284" t="n"/>
      <c r="BI78" s="338" t="n"/>
      <c r="BJ78" s="339" t="n"/>
      <c r="BK78" s="340" t="n"/>
      <c r="BL78" s="341" t="n"/>
      <c r="BM78" s="342" t="n"/>
      <c r="BN78" s="343" t="n"/>
      <c r="BO78" s="36" t="n"/>
      <c r="BP78" s="47" t="n"/>
      <c r="BQ78" s="284" t="n"/>
      <c r="BR78" s="38" t="n"/>
      <c r="BS78" s="284" t="n"/>
      <c r="BT78" s="36" t="n"/>
      <c r="BU78" s="47" t="n"/>
      <c r="BV78" s="284" t="n"/>
      <c r="BW78" s="38" t="n"/>
      <c r="BX78" s="247" t="n"/>
      <c r="BY78" s="36" t="n"/>
      <c r="BZ78" s="47" t="n"/>
      <c r="CA78" s="284" t="n"/>
      <c r="CB78" s="38" t="n"/>
      <c r="CC78" s="284" t="n"/>
      <c r="CD78" s="36" t="n"/>
      <c r="CE78" s="47" t="n"/>
      <c r="CF78" s="284" t="n"/>
      <c r="CG78" s="38" t="n"/>
      <c r="CH78" s="245" t="n"/>
      <c r="CI78" s="36" t="n"/>
      <c r="CJ78" s="47" t="n"/>
      <c r="CK78" s="284" t="n"/>
      <c r="CL78" s="38" t="n"/>
      <c r="CM78" s="284" t="n"/>
      <c r="CN78" s="36" t="n"/>
      <c r="CO78" s="47" t="n"/>
      <c r="CP78" s="284" t="n"/>
      <c r="CQ78" s="38" t="n"/>
      <c r="CR78" s="284" t="n"/>
      <c r="CS78" s="36" t="n"/>
      <c r="CT78" s="47" t="n"/>
      <c r="CU78" s="284" t="n"/>
      <c r="CV78" s="38" t="n"/>
      <c r="CW78" s="284" t="n"/>
      <c r="CX78" s="36" t="n"/>
      <c r="CY78" s="47" t="n"/>
      <c r="CZ78" s="284" t="n"/>
      <c r="DA78" s="38" t="n"/>
      <c r="DB78" s="284" t="n"/>
      <c r="DC78" s="36" t="n"/>
      <c r="DD78" s="47" t="n"/>
      <c r="DE78" s="284" t="n"/>
      <c r="DF78" s="38" t="n"/>
      <c r="DG78" s="284" t="n"/>
      <c r="DH78" s="36" t="n"/>
      <c r="DI78" s="47" t="n"/>
      <c r="DJ78" s="284" t="n"/>
      <c r="DK78" s="38" t="n"/>
      <c r="DL78" s="284" t="n"/>
      <c r="DM78" s="36" t="n"/>
      <c r="DN78" s="47" t="n"/>
      <c r="DO78" s="284" t="n"/>
      <c r="DP78" s="38" t="n"/>
      <c r="DQ78" s="227" t="n"/>
      <c r="DR78" s="36" t="n"/>
      <c r="DS78" s="47" t="n"/>
      <c r="DT78" s="284" t="n"/>
      <c r="DU78" s="38" t="n">
        <v>0</v>
      </c>
      <c r="DV78" s="284" t="n"/>
      <c r="DW78" s="338">
        <f t="array" ref="DW78">SUMPRODUCT(--(MOD(COLUMN($BO78:$DV78),5)=MOD(COLUMN($BO78),5)),$BO78:$DV78)</f>
        <v/>
      </c>
      <c r="DX78" s="339">
        <f>DW78*$J78</f>
        <v/>
      </c>
      <c r="DY78" s="344">
        <f t="array" ref="DY78">SUMPRODUCT(--(MOD(COLUMN($BO78:$DV78),5)=MOD(COLUMN($BP78),5)),$BO78:$DV78)</f>
        <v/>
      </c>
      <c r="DZ78" s="345">
        <f>DY78*$J78</f>
        <v/>
      </c>
      <c r="EA78" s="340">
        <f t="array" ref="EA78">SUMPRODUCT(--(MOD(COLUMN($BO78:$DV78),5)=MOD(COLUMN($BQ78),5)),$BO78:$DV78)</f>
        <v/>
      </c>
      <c r="EB78" s="341">
        <f>EA78*$J78</f>
        <v/>
      </c>
      <c r="EC78" s="342">
        <f t="array" ref="EC78">SUMPRODUCT(--(MOD(COLUMN($BO78:$DV78),5)=MOD(COLUMN($BR78),5)),$BO78:$DV78)</f>
        <v/>
      </c>
      <c r="ED78" s="343">
        <f>EC78*$J78</f>
        <v/>
      </c>
      <c r="EE78" s="36" t="n"/>
      <c r="EF78" s="284" t="n">
        <v>0</v>
      </c>
      <c r="EG78" s="38" t="n"/>
      <c r="EH78" s="284" t="inlineStr">
        <is>
          <t>Новый артикул</t>
        </is>
      </c>
      <c r="EI78" s="36" t="n"/>
      <c r="EJ78" s="284" t="n"/>
      <c r="EK78" s="38" t="n"/>
      <c r="EL78" s="284" t="n"/>
      <c r="EM78" s="36" t="n"/>
      <c r="EN78" s="284" t="n"/>
      <c r="EO78" s="38" t="n"/>
      <c r="EP78" s="284" t="n"/>
      <c r="EQ78" s="36" t="n"/>
      <c r="ER78" s="284" t="n">
        <v>1</v>
      </c>
      <c r="ES78" s="38" t="n">
        <v>1</v>
      </c>
      <c r="ET78" s="347" t="n"/>
      <c r="EU78" s="36" t="n"/>
      <c r="EV78" s="284" t="n">
        <v>0</v>
      </c>
      <c r="EW78" s="38" t="n"/>
      <c r="EX78" s="347" t="n"/>
      <c r="EY78" s="36" t="n"/>
      <c r="EZ78" s="284" t="n"/>
      <c r="FA78" s="38" t="n"/>
      <c r="FB78" s="284" t="n"/>
      <c r="FC78" s="36" t="n"/>
      <c r="FD78" s="284" t="n"/>
      <c r="FE78" s="38" t="n"/>
      <c r="FF78" s="284" t="n"/>
      <c r="FG78" s="36" t="n"/>
      <c r="FH78" s="284" t="n"/>
      <c r="FI78" s="38" t="n"/>
      <c r="FJ78" s="284" t="n"/>
      <c r="FK78" s="36" t="n"/>
      <c r="FL78" s="284" t="n"/>
      <c r="FM78" s="38" t="n"/>
      <c r="FN78" s="284" t="n"/>
      <c r="FO78" s="36" t="n"/>
      <c r="FP78" s="284" t="n"/>
      <c r="FQ78" s="38" t="n"/>
      <c r="FR78" s="284" t="n"/>
      <c r="FS78" s="36" t="n"/>
      <c r="FT78" s="284" t="n"/>
      <c r="FU78" s="38" t="n"/>
      <c r="FV78" s="284" t="n"/>
      <c r="FW78" s="36" t="n"/>
      <c r="FX78" s="284" t="n"/>
      <c r="FY78" s="38" t="n"/>
      <c r="FZ78" s="284" t="n"/>
      <c r="GA78" s="338">
        <f>SUMPRODUCT(--(MOD(COLUMN($EE78:$FZ78),4)=MOD(COLUMN($EE78),4)),$EE78:$FZ78)</f>
        <v/>
      </c>
      <c r="GB78" s="339">
        <f>GA78*$J78</f>
        <v/>
      </c>
      <c r="GC78" s="340">
        <f>SUMPRODUCT(--(MOD(COLUMN($EE78:$FZ78),4)=MOD(COLUMN($EF78),4)),$EE78:$FZ78)</f>
        <v/>
      </c>
      <c r="GD78" s="341">
        <f>GC78*$J78</f>
        <v/>
      </c>
      <c r="GE78" s="342">
        <f>SUMPRODUCT(--(MOD(COLUMN($EE78:$FZ78),4)=MOD(COLUMN($EG78),4)),$EE78:$FZ78)</f>
        <v/>
      </c>
      <c r="GF78" s="343">
        <f>GE78*$J78</f>
        <v/>
      </c>
      <c r="GG78" s="36" t="n"/>
      <c r="GH78" s="284" t="n"/>
      <c r="GI78" s="38" t="n"/>
      <c r="GJ78" s="284" t="n"/>
      <c r="GK78" s="36" t="n"/>
      <c r="GL78" s="284" t="n"/>
      <c r="GM78" s="38" t="n"/>
      <c r="GN78" s="284" t="n"/>
      <c r="GO78" s="36" t="n"/>
      <c r="GP78" s="284" t="n"/>
      <c r="GQ78" s="38" t="n"/>
      <c r="GR78" s="284" t="n"/>
      <c r="GS78" s="36" t="n"/>
      <c r="GT78" s="284" t="n"/>
      <c r="GU78" s="38" t="n"/>
      <c r="GV78" s="284" t="n"/>
      <c r="GW78" s="36" t="n"/>
      <c r="GX78" s="284" t="n"/>
      <c r="GY78" s="38" t="n"/>
      <c r="GZ78" s="284" t="n"/>
      <c r="HA78" s="36" t="n"/>
      <c r="HB78" s="284" t="n"/>
      <c r="HC78" s="38" t="n"/>
      <c r="HD78" s="284" t="n"/>
      <c r="HE78" s="36" t="n"/>
      <c r="HF78" s="284" t="n"/>
      <c r="HG78" s="38" t="n"/>
      <c r="HH78" s="284" t="n"/>
      <c r="HI78" s="36" t="n"/>
      <c r="HJ78" s="284" t="n"/>
      <c r="HK78" s="38" t="n"/>
      <c r="HL78" s="284" t="n"/>
      <c r="HM78" s="36" t="n"/>
      <c r="HN78" s="284" t="n"/>
      <c r="HO78" s="38" t="n"/>
      <c r="HP78" s="284" t="n"/>
      <c r="HQ78" s="36" t="n"/>
      <c r="HR78" s="284" t="n"/>
      <c r="HS78" s="38" t="n"/>
      <c r="HT78" s="284" t="n"/>
      <c r="HU78" s="36" t="n"/>
      <c r="HV78" s="284" t="n"/>
      <c r="HW78" s="38" t="n"/>
      <c r="HX78" s="284" t="n"/>
      <c r="HY78" s="36" t="n"/>
      <c r="HZ78" s="284" t="n"/>
      <c r="IA78" s="38" t="n"/>
      <c r="IB78" s="284" t="n"/>
      <c r="IC78" s="338">
        <f t="array" ref="IC78">SUMPRODUCT(--(MOD(COLUMN($GG78:$IB78),4)=MOD(COLUMN($GG78),4)),$GG78:$IB78)</f>
        <v/>
      </c>
      <c r="ID78" s="339">
        <f>IC78*$J78</f>
        <v/>
      </c>
      <c r="IE78" s="340">
        <f t="array" ref="IE78">SUMPRODUCT(--(MOD(COLUMN($GG78:$IB78),4)=MOD(COLUMN($GH78),4)),$GG78:$IB78)</f>
        <v/>
      </c>
      <c r="IF78" s="341">
        <f>IE78*$J78</f>
        <v/>
      </c>
      <c r="IG78" s="342">
        <f t="array" ref="IG78">SUMPRODUCT(--(MOD(COLUMN($GG78:$IB78),4)=MOD(COLUMN($GI78),4)),$GG78:$IB78)</f>
        <v/>
      </c>
      <c r="IH78" s="343">
        <f>IG78*$J78</f>
        <v/>
      </c>
      <c r="II78" s="36" t="n"/>
      <c r="IJ78" s="284" t="n"/>
      <c r="IK78" s="38" t="n"/>
      <c r="IL78" s="284" t="n"/>
      <c r="IM78" s="36" t="n"/>
      <c r="IN78" s="284" t="n"/>
      <c r="IO78" s="38" t="n"/>
      <c r="IP78" s="284" t="n"/>
      <c r="IQ78" s="36" t="n"/>
      <c r="IR78" s="284" t="n"/>
      <c r="IS78" s="38" t="n"/>
      <c r="IT78" s="284" t="n"/>
      <c r="IU78" s="36" t="n"/>
      <c r="IV78" s="284" t="n"/>
      <c r="IW78" s="38" t="n"/>
      <c r="IX78" s="284" t="n"/>
      <c r="IY78" s="36" t="n"/>
      <c r="IZ78" s="284" t="n"/>
      <c r="JA78" s="38" t="n"/>
      <c r="JB78" s="284" t="n"/>
      <c r="JC78" s="36" t="n"/>
      <c r="JD78" s="284" t="n"/>
      <c r="JE78" s="38" t="n"/>
      <c r="JF78" s="284" t="n"/>
      <c r="JG78" s="36" t="n"/>
      <c r="JH78" s="284" t="n"/>
      <c r="JI78" s="38" t="n"/>
      <c r="JJ78" s="284" t="n"/>
      <c r="JK78" s="36" t="n"/>
      <c r="JL78" s="284" t="n"/>
      <c r="JM78" s="38" t="n"/>
      <c r="JN78" s="284" t="n"/>
      <c r="JO78" s="36" t="n"/>
      <c r="JP78" s="284" t="n"/>
      <c r="JQ78" s="38" t="n"/>
      <c r="JR78" s="284" t="n"/>
      <c r="JS78" s="36" t="n"/>
      <c r="JT78" s="284" t="n"/>
      <c r="JU78" s="38" t="n"/>
      <c r="JV78" s="284" t="n"/>
      <c r="JW78" s="36" t="n"/>
      <c r="JX78" s="284" t="n"/>
      <c r="JY78" s="38" t="n"/>
      <c r="JZ78" s="284" t="n"/>
      <c r="KA78" s="36" t="n"/>
      <c r="KB78" s="284" t="n"/>
      <c r="KC78" s="38" t="n"/>
      <c r="KD78" s="284" t="n"/>
      <c r="KE78" s="338">
        <f t="array" ref="KE78">SUMPRODUCT(--(MOD(COLUMN($II78:$KD78),4)=MOD(COLUMN($II78),4)),$II78:$KD78)</f>
        <v/>
      </c>
      <c r="KF78" s="339">
        <f>KE78*$J78</f>
        <v/>
      </c>
      <c r="KG78" s="340">
        <f t="array" ref="KG78">SUMPRODUCT(--(MOD(COLUMN($II78:$KD78),4)=MOD(COLUMN($IJ78),4)),$II78:$KD78)</f>
        <v/>
      </c>
      <c r="KH78" s="341">
        <f>KG78*$J78</f>
        <v/>
      </c>
      <c r="KI78" s="342">
        <f t="array" ref="KI78">SUMPRODUCT(--(MOD(COLUMN($II78:$KD78),4)=MOD(COLUMN($IK78),4)),$II78:$KD78)</f>
        <v/>
      </c>
      <c r="KJ78" s="346">
        <f>KI78*$J78</f>
        <v/>
      </c>
      <c r="KK78" s="80" t="n"/>
      <c r="KL78" s="80" t="n"/>
      <c r="KM78" s="80" t="n"/>
      <c r="KN78" s="51" t="n"/>
      <c r="KO78" s="285" t="n"/>
    </row>
    <row r="79" outlineLevel="1" customFormat="1" s="68">
      <c r="A79" s="347" t="n"/>
      <c r="B79" s="347" t="n"/>
      <c r="C79" s="347" t="n"/>
      <c r="D79" s="347" t="n"/>
      <c r="E79" s="15" t="n">
        <v>43</v>
      </c>
      <c r="F79" s="149" t="n">
        <v>2</v>
      </c>
      <c r="G79" s="112" t="n">
        <v>4493470800</v>
      </c>
      <c r="H79" s="154" t="inlineStr">
        <is>
          <t>Power Cable</t>
        </is>
      </c>
      <c r="I79" s="359" t="n"/>
      <c r="J79" s="360" t="n">
        <v>2150</v>
      </c>
      <c r="K79" s="360" t="n"/>
      <c r="L79" s="360" t="n"/>
      <c r="M79" s="36" t="n"/>
      <c r="N79" s="284" t="n"/>
      <c r="O79" s="38" t="n"/>
      <c r="P79" s="284" t="n"/>
      <c r="Q79" s="36" t="n"/>
      <c r="R79" s="284" t="n"/>
      <c r="S79" s="38" t="n"/>
      <c r="T79" s="284" t="n"/>
      <c r="U79" s="36" t="n"/>
      <c r="V79" s="284" t="n"/>
      <c r="W79" s="38" t="n"/>
      <c r="X79" s="284" t="n"/>
      <c r="Y79" s="36" t="n"/>
      <c r="Z79" s="39" t="n"/>
      <c r="AA79" s="38" t="n"/>
      <c r="AB79" s="247" t="n"/>
      <c r="AC79" s="36" t="n"/>
      <c r="AD79" s="284" t="n"/>
      <c r="AE79" s="38" t="n"/>
      <c r="AF79" s="247" t="n"/>
      <c r="AG79" s="36" t="n"/>
      <c r="AH79" s="284" t="n"/>
      <c r="AI79" s="38" t="n"/>
      <c r="AJ79" s="247" t="n"/>
      <c r="AK79" s="36" t="n"/>
      <c r="AL79" s="284" t="n"/>
      <c r="AM79" s="38" t="n"/>
      <c r="AN79" s="247" t="n"/>
      <c r="AO79" s="36" t="n"/>
      <c r="AP79" s="284" t="n"/>
      <c r="AQ79" s="38" t="n"/>
      <c r="AR79" s="247" t="n"/>
      <c r="AS79" s="36" t="n"/>
      <c r="AT79" s="284" t="n"/>
      <c r="AU79" s="38" t="n"/>
      <c r="AV79" s="247" t="n"/>
      <c r="AW79" s="36" t="n"/>
      <c r="AX79" s="284" t="n"/>
      <c r="AY79" s="38" t="n"/>
      <c r="AZ79" s="247" t="n"/>
      <c r="BA79" s="36" t="n"/>
      <c r="BB79" s="284" t="n"/>
      <c r="BC79" s="92" t="n"/>
      <c r="BD79" s="284" t="n"/>
      <c r="BE79" s="36" t="n"/>
      <c r="BF79" s="284" t="n"/>
      <c r="BG79" s="54" t="n"/>
      <c r="BH79" s="284" t="n"/>
      <c r="BI79" s="338" t="n"/>
      <c r="BJ79" s="339" t="n"/>
      <c r="BK79" s="340" t="n"/>
      <c r="BL79" s="341" t="n"/>
      <c r="BM79" s="342" t="n"/>
      <c r="BN79" s="343" t="n"/>
      <c r="BO79" s="36" t="n"/>
      <c r="BP79" s="47" t="n"/>
      <c r="BQ79" s="284" t="n"/>
      <c r="BR79" s="38" t="n"/>
      <c r="BS79" s="284" t="n"/>
      <c r="BT79" s="36" t="n"/>
      <c r="BU79" s="47" t="n"/>
      <c r="BV79" s="284" t="n"/>
      <c r="BW79" s="38" t="n"/>
      <c r="BX79" s="247" t="n"/>
      <c r="BY79" s="36" t="n"/>
      <c r="BZ79" s="47" t="n"/>
      <c r="CA79" s="284" t="n"/>
      <c r="CB79" s="38" t="n"/>
      <c r="CC79" s="284" t="n"/>
      <c r="CD79" s="36" t="n"/>
      <c r="CE79" s="47" t="n"/>
      <c r="CF79" s="284" t="n"/>
      <c r="CG79" s="38" t="n"/>
      <c r="CH79" s="245" t="n"/>
      <c r="CI79" s="36" t="n"/>
      <c r="CJ79" s="47" t="n"/>
      <c r="CK79" s="284" t="n"/>
      <c r="CL79" s="38" t="n"/>
      <c r="CM79" s="284" t="n"/>
      <c r="CN79" s="36" t="n"/>
      <c r="CO79" s="47" t="n"/>
      <c r="CP79" s="284" t="n"/>
      <c r="CQ79" s="38" t="n"/>
      <c r="CR79" s="284" t="n"/>
      <c r="CS79" s="36" t="n"/>
      <c r="CT79" s="47" t="n"/>
      <c r="CU79" s="284" t="n"/>
      <c r="CV79" s="38" t="n"/>
      <c r="CW79" s="284" t="n"/>
      <c r="CX79" s="36" t="n"/>
      <c r="CY79" s="47" t="n"/>
      <c r="CZ79" s="284" t="n"/>
      <c r="DA79" s="38" t="n"/>
      <c r="DB79" s="284" t="n"/>
      <c r="DC79" s="36" t="n"/>
      <c r="DD79" s="47" t="n"/>
      <c r="DE79" s="284" t="n"/>
      <c r="DF79" s="38" t="n"/>
      <c r="DG79" s="284" t="n"/>
      <c r="DH79" s="36" t="n"/>
      <c r="DI79" s="47" t="n"/>
      <c r="DJ79" s="284" t="n"/>
      <c r="DK79" s="38" t="n"/>
      <c r="DL79" s="284" t="n"/>
      <c r="DM79" s="36" t="n"/>
      <c r="DN79" s="47" t="n"/>
      <c r="DO79" s="284" t="n"/>
      <c r="DP79" s="38" t="n"/>
      <c r="DQ79" s="227" t="n"/>
      <c r="DR79" s="36" t="n"/>
      <c r="DS79" s="47" t="n"/>
      <c r="DT79" s="284" t="n"/>
      <c r="DU79" s="38" t="n">
        <v>0</v>
      </c>
      <c r="DV79" s="284" t="n"/>
      <c r="DW79" s="338">
        <f t="array" ref="DW79">SUMPRODUCT(--(MOD(COLUMN($BO79:$DV79),5)=MOD(COLUMN($BO79),5)),$BO79:$DV79)</f>
        <v/>
      </c>
      <c r="DX79" s="339">
        <f>DW79*$J79</f>
        <v/>
      </c>
      <c r="DY79" s="344">
        <f t="array" ref="DY79">SUMPRODUCT(--(MOD(COLUMN($BO79:$DV79),5)=MOD(COLUMN($BP79),5)),$BO79:$DV79)</f>
        <v/>
      </c>
      <c r="DZ79" s="345">
        <f>DY79*$J79</f>
        <v/>
      </c>
      <c r="EA79" s="340">
        <f t="array" ref="EA79">SUMPRODUCT(--(MOD(COLUMN($BO79:$DV79),5)=MOD(COLUMN($BQ79),5)),$BO79:$DV79)</f>
        <v/>
      </c>
      <c r="EB79" s="341">
        <f>EA79*$J79</f>
        <v/>
      </c>
      <c r="EC79" s="342">
        <f t="array" ref="EC79">SUMPRODUCT(--(MOD(COLUMN($BO79:$DV79),5)=MOD(COLUMN($BR79),5)),$BO79:$DV79)</f>
        <v/>
      </c>
      <c r="ED79" s="343">
        <f>EC79*$J79</f>
        <v/>
      </c>
      <c r="EE79" s="36" t="n"/>
      <c r="EF79" s="284" t="n">
        <v>0</v>
      </c>
      <c r="EG79" s="38" t="n"/>
      <c r="EH79" s="284" t="inlineStr">
        <is>
          <t>Новый артикул</t>
        </is>
      </c>
      <c r="EI79" s="36" t="n"/>
      <c r="EJ79" s="284" t="n"/>
      <c r="EK79" s="38" t="n"/>
      <c r="EL79" s="284" t="n"/>
      <c r="EM79" s="36" t="n"/>
      <c r="EN79" s="284" t="n"/>
      <c r="EO79" s="38" t="n"/>
      <c r="EP79" s="284" t="n"/>
      <c r="EQ79" s="36" t="n"/>
      <c r="ER79" s="284" t="n">
        <v>1</v>
      </c>
      <c r="ES79" s="38" t="n">
        <v>1</v>
      </c>
      <c r="ET79" s="347" t="n"/>
      <c r="EU79" s="36" t="n"/>
      <c r="EV79" s="284" t="n">
        <v>0</v>
      </c>
      <c r="EW79" s="38" t="n"/>
      <c r="EX79" s="347" t="n"/>
      <c r="EY79" s="36" t="n"/>
      <c r="EZ79" s="284" t="n"/>
      <c r="FA79" s="38" t="n"/>
      <c r="FB79" s="284" t="n"/>
      <c r="FC79" s="36" t="n"/>
      <c r="FD79" s="284" t="n"/>
      <c r="FE79" s="38" t="n"/>
      <c r="FF79" s="284" t="n"/>
      <c r="FG79" s="36" t="n"/>
      <c r="FH79" s="284" t="n"/>
      <c r="FI79" s="38" t="n"/>
      <c r="FJ79" s="284" t="n"/>
      <c r="FK79" s="36" t="n"/>
      <c r="FL79" s="284" t="n"/>
      <c r="FM79" s="38" t="n"/>
      <c r="FN79" s="284" t="n"/>
      <c r="FO79" s="36" t="n"/>
      <c r="FP79" s="284" t="n"/>
      <c r="FQ79" s="38" t="n"/>
      <c r="FR79" s="284" t="n"/>
      <c r="FS79" s="36" t="n"/>
      <c r="FT79" s="284" t="n"/>
      <c r="FU79" s="38" t="n"/>
      <c r="FV79" s="284" t="n"/>
      <c r="FW79" s="36" t="n"/>
      <c r="FX79" s="284" t="n"/>
      <c r="FY79" s="38" t="n"/>
      <c r="FZ79" s="284" t="n"/>
      <c r="GA79" s="338">
        <f>SUMPRODUCT(--(MOD(COLUMN($EE79:$FZ79),4)=MOD(COLUMN($EE79),4)),$EE79:$FZ79)</f>
        <v/>
      </c>
      <c r="GB79" s="339">
        <f>GA79*$J79</f>
        <v/>
      </c>
      <c r="GC79" s="340">
        <f>SUMPRODUCT(--(MOD(COLUMN($EE79:$FZ79),4)=MOD(COLUMN($EF79),4)),$EE79:$FZ79)</f>
        <v/>
      </c>
      <c r="GD79" s="341">
        <f>GC79*$J79</f>
        <v/>
      </c>
      <c r="GE79" s="342">
        <f>SUMPRODUCT(--(MOD(COLUMN($EE79:$FZ79),4)=MOD(COLUMN($EG79),4)),$EE79:$FZ79)</f>
        <v/>
      </c>
      <c r="GF79" s="343">
        <f>GE79*$J79</f>
        <v/>
      </c>
      <c r="GG79" s="36" t="n"/>
      <c r="GH79" s="284" t="n"/>
      <c r="GI79" s="38" t="n"/>
      <c r="GJ79" s="284" t="n"/>
      <c r="GK79" s="36" t="n"/>
      <c r="GL79" s="284" t="n"/>
      <c r="GM79" s="38" t="n"/>
      <c r="GN79" s="284" t="n"/>
      <c r="GO79" s="36" t="n"/>
      <c r="GP79" s="284" t="n"/>
      <c r="GQ79" s="38" t="n"/>
      <c r="GR79" s="284" t="n"/>
      <c r="GS79" s="36" t="n"/>
      <c r="GT79" s="284" t="n"/>
      <c r="GU79" s="38" t="n"/>
      <c r="GV79" s="284" t="n"/>
      <c r="GW79" s="36" t="n"/>
      <c r="GX79" s="284" t="n"/>
      <c r="GY79" s="38" t="n"/>
      <c r="GZ79" s="284" t="n"/>
      <c r="HA79" s="36" t="n"/>
      <c r="HB79" s="284" t="n"/>
      <c r="HC79" s="38" t="n"/>
      <c r="HD79" s="284" t="n"/>
      <c r="HE79" s="36" t="n"/>
      <c r="HF79" s="284" t="n"/>
      <c r="HG79" s="38" t="n"/>
      <c r="HH79" s="284" t="n"/>
      <c r="HI79" s="36" t="n"/>
      <c r="HJ79" s="284" t="n"/>
      <c r="HK79" s="38" t="n"/>
      <c r="HL79" s="284" t="n"/>
      <c r="HM79" s="36" t="n"/>
      <c r="HN79" s="284" t="n"/>
      <c r="HO79" s="38" t="n"/>
      <c r="HP79" s="284" t="n"/>
      <c r="HQ79" s="36" t="n"/>
      <c r="HR79" s="284" t="n"/>
      <c r="HS79" s="38" t="n"/>
      <c r="HT79" s="284" t="n"/>
      <c r="HU79" s="36" t="n"/>
      <c r="HV79" s="284" t="n"/>
      <c r="HW79" s="38" t="n"/>
      <c r="HX79" s="284" t="n"/>
      <c r="HY79" s="36" t="n"/>
      <c r="HZ79" s="284" t="n"/>
      <c r="IA79" s="38" t="n"/>
      <c r="IB79" s="284" t="n"/>
      <c r="IC79" s="338">
        <f t="array" ref="IC79">SUMPRODUCT(--(MOD(COLUMN($GG79:$IB79),4)=MOD(COLUMN($GG79),4)),$GG79:$IB79)</f>
        <v/>
      </c>
      <c r="ID79" s="339">
        <f>IC79*$J79</f>
        <v/>
      </c>
      <c r="IE79" s="340">
        <f t="array" ref="IE79">SUMPRODUCT(--(MOD(COLUMN($GG79:$IB79),4)=MOD(COLUMN($GH79),4)),$GG79:$IB79)</f>
        <v/>
      </c>
      <c r="IF79" s="341">
        <f>IE79*$J79</f>
        <v/>
      </c>
      <c r="IG79" s="342">
        <f t="array" ref="IG79">SUMPRODUCT(--(MOD(COLUMN($GG79:$IB79),4)=MOD(COLUMN($GI79),4)),$GG79:$IB79)</f>
        <v/>
      </c>
      <c r="IH79" s="343">
        <f>IG79*$J79</f>
        <v/>
      </c>
      <c r="II79" s="36" t="n"/>
      <c r="IJ79" s="284" t="n"/>
      <c r="IK79" s="38" t="n"/>
      <c r="IL79" s="284" t="n"/>
      <c r="IM79" s="36" t="n"/>
      <c r="IN79" s="284" t="n"/>
      <c r="IO79" s="38" t="n"/>
      <c r="IP79" s="284" t="n"/>
      <c r="IQ79" s="36" t="n"/>
      <c r="IR79" s="284" t="n"/>
      <c r="IS79" s="38" t="n"/>
      <c r="IT79" s="284" t="n"/>
      <c r="IU79" s="36" t="n"/>
      <c r="IV79" s="284" t="n"/>
      <c r="IW79" s="38" t="n"/>
      <c r="IX79" s="284" t="n"/>
      <c r="IY79" s="36" t="n"/>
      <c r="IZ79" s="284" t="n"/>
      <c r="JA79" s="38" t="n"/>
      <c r="JB79" s="284" t="n"/>
      <c r="JC79" s="36" t="n"/>
      <c r="JD79" s="284" t="n"/>
      <c r="JE79" s="38" t="n"/>
      <c r="JF79" s="284" t="n"/>
      <c r="JG79" s="36" t="n"/>
      <c r="JH79" s="284" t="n"/>
      <c r="JI79" s="38" t="n"/>
      <c r="JJ79" s="284" t="n"/>
      <c r="JK79" s="36" t="n"/>
      <c r="JL79" s="284" t="n"/>
      <c r="JM79" s="38" t="n"/>
      <c r="JN79" s="284" t="n"/>
      <c r="JO79" s="36" t="n"/>
      <c r="JP79" s="284" t="n"/>
      <c r="JQ79" s="38" t="n"/>
      <c r="JR79" s="284" t="n"/>
      <c r="JS79" s="36" t="n"/>
      <c r="JT79" s="284" t="n"/>
      <c r="JU79" s="38" t="n"/>
      <c r="JV79" s="284" t="n"/>
      <c r="JW79" s="36" t="n"/>
      <c r="JX79" s="284" t="n"/>
      <c r="JY79" s="38" t="n"/>
      <c r="JZ79" s="284" t="n"/>
      <c r="KA79" s="36" t="n"/>
      <c r="KB79" s="284" t="n"/>
      <c r="KC79" s="38" t="n"/>
      <c r="KD79" s="284" t="n"/>
      <c r="KE79" s="338">
        <f t="array" ref="KE79">SUMPRODUCT(--(MOD(COLUMN($II79:$KD79),4)=MOD(COLUMN($II79),4)),$II79:$KD79)</f>
        <v/>
      </c>
      <c r="KF79" s="339">
        <f>KE79*$J79</f>
        <v/>
      </c>
      <c r="KG79" s="340">
        <f t="array" ref="KG79">SUMPRODUCT(--(MOD(COLUMN($II79:$KD79),4)=MOD(COLUMN($IJ79),4)),$II79:$KD79)</f>
        <v/>
      </c>
      <c r="KH79" s="341">
        <f>KG79*$J79</f>
        <v/>
      </c>
      <c r="KI79" s="342">
        <f t="array" ref="KI79">SUMPRODUCT(--(MOD(COLUMN($II79:$KD79),4)=MOD(COLUMN($IK79),4)),$II79:$KD79)</f>
        <v/>
      </c>
      <c r="KJ79" s="346">
        <f>KI79*$J79</f>
        <v/>
      </c>
      <c r="KK79" s="80" t="n"/>
      <c r="KL79" s="80" t="n"/>
      <c r="KM79" s="80" t="n"/>
      <c r="KN79" s="51" t="n"/>
      <c r="KO79" s="285" t="n"/>
    </row>
    <row r="80" outlineLevel="1" customFormat="1" s="68">
      <c r="A80" s="347" t="n"/>
      <c r="B80" s="347" t="n"/>
      <c r="C80" s="347" t="n"/>
      <c r="D80" s="347" t="n"/>
      <c r="E80" s="15" t="n">
        <v>44</v>
      </c>
      <c r="F80" s="149" t="n">
        <v>2</v>
      </c>
      <c r="G80" s="112" t="n">
        <v>4491350600</v>
      </c>
      <c r="H80" s="154" t="inlineStr">
        <is>
          <t>Power Cable</t>
        </is>
      </c>
      <c r="I80" s="359" t="n"/>
      <c r="J80" s="360" t="n">
        <v>1960</v>
      </c>
      <c r="K80" s="360" t="n"/>
      <c r="L80" s="360" t="n"/>
      <c r="M80" s="36" t="n"/>
      <c r="N80" s="284" t="n"/>
      <c r="O80" s="38" t="n"/>
      <c r="P80" s="284" t="n"/>
      <c r="Q80" s="36" t="n"/>
      <c r="R80" s="284" t="n"/>
      <c r="S80" s="38" t="n"/>
      <c r="T80" s="284" t="n"/>
      <c r="U80" s="36" t="n"/>
      <c r="V80" s="284" t="n"/>
      <c r="W80" s="38" t="n"/>
      <c r="X80" s="284" t="n"/>
      <c r="Y80" s="36" t="n"/>
      <c r="Z80" s="39" t="n"/>
      <c r="AA80" s="38" t="n"/>
      <c r="AB80" s="247" t="n"/>
      <c r="AC80" s="36" t="n"/>
      <c r="AD80" s="284" t="n"/>
      <c r="AE80" s="38" t="n"/>
      <c r="AF80" s="247" t="n"/>
      <c r="AG80" s="36" t="n"/>
      <c r="AH80" s="284" t="n"/>
      <c r="AI80" s="38" t="n"/>
      <c r="AJ80" s="247" t="n"/>
      <c r="AK80" s="36" t="n"/>
      <c r="AL80" s="284" t="n"/>
      <c r="AM80" s="38" t="n"/>
      <c r="AN80" s="247" t="n"/>
      <c r="AO80" s="36" t="n"/>
      <c r="AP80" s="284" t="n"/>
      <c r="AQ80" s="38" t="n"/>
      <c r="AR80" s="247" t="n"/>
      <c r="AS80" s="36" t="n"/>
      <c r="AT80" s="284" t="n"/>
      <c r="AU80" s="38" t="n"/>
      <c r="AV80" s="247" t="n"/>
      <c r="AW80" s="36" t="n"/>
      <c r="AX80" s="284" t="n"/>
      <c r="AY80" s="38" t="n"/>
      <c r="AZ80" s="247" t="n"/>
      <c r="BA80" s="36" t="n"/>
      <c r="BB80" s="284" t="n"/>
      <c r="BC80" s="92" t="n"/>
      <c r="BD80" s="284" t="n"/>
      <c r="BE80" s="36" t="n"/>
      <c r="BF80" s="284" t="n"/>
      <c r="BG80" s="54" t="n"/>
      <c r="BH80" s="284" t="n"/>
      <c r="BI80" s="338" t="n"/>
      <c r="BJ80" s="339" t="n"/>
      <c r="BK80" s="340" t="n"/>
      <c r="BL80" s="341" t="n"/>
      <c r="BM80" s="342" t="n"/>
      <c r="BN80" s="343" t="n"/>
      <c r="BO80" s="36" t="n"/>
      <c r="BP80" s="47" t="n"/>
      <c r="BQ80" s="284" t="n"/>
      <c r="BR80" s="38" t="n"/>
      <c r="BS80" s="284" t="n"/>
      <c r="BT80" s="36" t="n"/>
      <c r="BU80" s="47" t="n"/>
      <c r="BV80" s="284" t="n"/>
      <c r="BW80" s="38" t="n"/>
      <c r="BX80" s="247" t="n"/>
      <c r="BY80" s="36" t="n"/>
      <c r="BZ80" s="47" t="n"/>
      <c r="CA80" s="284" t="n"/>
      <c r="CB80" s="38" t="n"/>
      <c r="CC80" s="284" t="n"/>
      <c r="CD80" s="36" t="n"/>
      <c r="CE80" s="47" t="n"/>
      <c r="CF80" s="284" t="n"/>
      <c r="CG80" s="38" t="n"/>
      <c r="CH80" s="245" t="n"/>
      <c r="CI80" s="36" t="n"/>
      <c r="CJ80" s="47" t="n"/>
      <c r="CK80" s="284" t="n"/>
      <c r="CL80" s="38" t="n"/>
      <c r="CM80" s="284" t="n"/>
      <c r="CN80" s="36" t="n"/>
      <c r="CO80" s="47" t="n"/>
      <c r="CP80" s="284" t="n"/>
      <c r="CQ80" s="38" t="n"/>
      <c r="CR80" s="284" t="n"/>
      <c r="CS80" s="36" t="n"/>
      <c r="CT80" s="47" t="n"/>
      <c r="CU80" s="284" t="n"/>
      <c r="CV80" s="38" t="n"/>
      <c r="CW80" s="284" t="n"/>
      <c r="CX80" s="36" t="n"/>
      <c r="CY80" s="47" t="n"/>
      <c r="CZ80" s="284" t="n"/>
      <c r="DA80" s="38" t="n"/>
      <c r="DB80" s="284" t="n"/>
      <c r="DC80" s="36" t="n"/>
      <c r="DD80" s="47" t="n"/>
      <c r="DE80" s="284" t="n"/>
      <c r="DF80" s="38" t="n"/>
      <c r="DG80" s="284" t="n"/>
      <c r="DH80" s="36" t="n"/>
      <c r="DI80" s="47" t="n"/>
      <c r="DJ80" s="284" t="n"/>
      <c r="DK80" s="38" t="n"/>
      <c r="DL80" s="284" t="n"/>
      <c r="DM80" s="36" t="n"/>
      <c r="DN80" s="47" t="n"/>
      <c r="DO80" s="284" t="n"/>
      <c r="DP80" s="38" t="n"/>
      <c r="DQ80" s="227" t="n"/>
      <c r="DR80" s="36" t="n"/>
      <c r="DS80" s="47" t="n"/>
      <c r="DT80" s="284" t="n"/>
      <c r="DU80" s="38" t="n">
        <v>0</v>
      </c>
      <c r="DV80" s="284" t="n"/>
      <c r="DW80" s="338">
        <f t="array" ref="DW80">SUMPRODUCT(--(MOD(COLUMN($BO80:$DV80),5)=MOD(COLUMN($BO80),5)),$BO80:$DV80)</f>
        <v/>
      </c>
      <c r="DX80" s="339">
        <f>DW80*$J80</f>
        <v/>
      </c>
      <c r="DY80" s="344">
        <f t="array" ref="DY80">SUMPRODUCT(--(MOD(COLUMN($BO80:$DV80),5)=MOD(COLUMN($BP80),5)),$BO80:$DV80)</f>
        <v/>
      </c>
      <c r="DZ80" s="345">
        <f>DY80*$J80</f>
        <v/>
      </c>
      <c r="EA80" s="340">
        <f t="array" ref="EA80">SUMPRODUCT(--(MOD(COLUMN($BO80:$DV80),5)=MOD(COLUMN($BQ80),5)),$BO80:$DV80)</f>
        <v/>
      </c>
      <c r="EB80" s="341">
        <f>EA80*$J80</f>
        <v/>
      </c>
      <c r="EC80" s="342">
        <f t="array" ref="EC80">SUMPRODUCT(--(MOD(COLUMN($BO80:$DV80),5)=MOD(COLUMN($BR80),5)),$BO80:$DV80)</f>
        <v/>
      </c>
      <c r="ED80" s="343">
        <f>EC80*$J80</f>
        <v/>
      </c>
      <c r="EE80" s="36" t="n"/>
      <c r="EF80" s="284" t="n">
        <v>0</v>
      </c>
      <c r="EG80" s="38" t="n"/>
      <c r="EH80" s="284" t="inlineStr">
        <is>
          <t>Новый артикул</t>
        </is>
      </c>
      <c r="EI80" s="36" t="n"/>
      <c r="EJ80" s="284" t="n"/>
      <c r="EK80" s="38" t="n"/>
      <c r="EL80" s="284" t="n"/>
      <c r="EM80" s="36" t="n"/>
      <c r="EN80" s="284" t="n"/>
      <c r="EO80" s="38" t="n"/>
      <c r="EP80" s="284" t="n"/>
      <c r="EQ80" s="36" t="n"/>
      <c r="ER80" s="284" t="n">
        <v>1</v>
      </c>
      <c r="ES80" s="38" t="n">
        <v>1</v>
      </c>
      <c r="ET80" s="347" t="n"/>
      <c r="EU80" s="36" t="n"/>
      <c r="EV80" s="284" t="n">
        <v>0</v>
      </c>
      <c r="EW80" s="38" t="n"/>
      <c r="EX80" s="347" t="n"/>
      <c r="EY80" s="36" t="n"/>
      <c r="EZ80" s="284" t="n"/>
      <c r="FA80" s="38" t="n"/>
      <c r="FB80" s="284" t="n"/>
      <c r="FC80" s="36" t="n"/>
      <c r="FD80" s="284" t="n"/>
      <c r="FE80" s="38" t="n"/>
      <c r="FF80" s="284" t="n"/>
      <c r="FG80" s="36" t="n"/>
      <c r="FH80" s="284" t="n"/>
      <c r="FI80" s="38" t="n"/>
      <c r="FJ80" s="284" t="n"/>
      <c r="FK80" s="36" t="n"/>
      <c r="FL80" s="284" t="n"/>
      <c r="FM80" s="38" t="n"/>
      <c r="FN80" s="284" t="n"/>
      <c r="FO80" s="36" t="n"/>
      <c r="FP80" s="284" t="n"/>
      <c r="FQ80" s="38" t="n"/>
      <c r="FR80" s="284" t="n"/>
      <c r="FS80" s="36" t="n"/>
      <c r="FT80" s="284" t="n"/>
      <c r="FU80" s="38" t="n"/>
      <c r="FV80" s="284" t="n"/>
      <c r="FW80" s="36" t="n"/>
      <c r="FX80" s="284" t="n"/>
      <c r="FY80" s="38" t="n"/>
      <c r="FZ80" s="284" t="n"/>
      <c r="GA80" s="338">
        <f>SUMPRODUCT(--(MOD(COLUMN($EE80:$FZ80),4)=MOD(COLUMN($EE80),4)),$EE80:$FZ80)</f>
        <v/>
      </c>
      <c r="GB80" s="339">
        <f>GA80*$J80</f>
        <v/>
      </c>
      <c r="GC80" s="340">
        <f>SUMPRODUCT(--(MOD(COLUMN($EE80:$FZ80),4)=MOD(COLUMN($EF80),4)),$EE80:$FZ80)</f>
        <v/>
      </c>
      <c r="GD80" s="341">
        <f>GC80*$J80</f>
        <v/>
      </c>
      <c r="GE80" s="342">
        <f>SUMPRODUCT(--(MOD(COLUMN($EE80:$FZ80),4)=MOD(COLUMN($EG80),4)),$EE80:$FZ80)</f>
        <v/>
      </c>
      <c r="GF80" s="343">
        <f>GE80*$J80</f>
        <v/>
      </c>
      <c r="GG80" s="36" t="n"/>
      <c r="GH80" s="284" t="n"/>
      <c r="GI80" s="38" t="n"/>
      <c r="GJ80" s="284" t="n"/>
      <c r="GK80" s="36" t="n"/>
      <c r="GL80" s="284" t="n"/>
      <c r="GM80" s="38" t="n"/>
      <c r="GN80" s="284" t="n"/>
      <c r="GO80" s="36" t="n"/>
      <c r="GP80" s="284" t="n"/>
      <c r="GQ80" s="38" t="n"/>
      <c r="GR80" s="284" t="n"/>
      <c r="GS80" s="36" t="n"/>
      <c r="GT80" s="284" t="n"/>
      <c r="GU80" s="38" t="n"/>
      <c r="GV80" s="284" t="n"/>
      <c r="GW80" s="36" t="n"/>
      <c r="GX80" s="284" t="n"/>
      <c r="GY80" s="38" t="n"/>
      <c r="GZ80" s="284" t="n"/>
      <c r="HA80" s="36" t="n"/>
      <c r="HB80" s="284" t="n"/>
      <c r="HC80" s="38" t="n"/>
      <c r="HD80" s="284" t="n"/>
      <c r="HE80" s="36" t="n"/>
      <c r="HF80" s="284" t="n"/>
      <c r="HG80" s="38" t="n"/>
      <c r="HH80" s="284" t="n"/>
      <c r="HI80" s="36" t="n"/>
      <c r="HJ80" s="284" t="n"/>
      <c r="HK80" s="38" t="n"/>
      <c r="HL80" s="284" t="n"/>
      <c r="HM80" s="36" t="n"/>
      <c r="HN80" s="284" t="n"/>
      <c r="HO80" s="38" t="n"/>
      <c r="HP80" s="284" t="n"/>
      <c r="HQ80" s="36" t="n"/>
      <c r="HR80" s="284" t="n"/>
      <c r="HS80" s="38" t="n"/>
      <c r="HT80" s="284" t="n"/>
      <c r="HU80" s="36" t="n"/>
      <c r="HV80" s="284" t="n"/>
      <c r="HW80" s="38" t="n"/>
      <c r="HX80" s="284" t="n"/>
      <c r="HY80" s="36" t="n"/>
      <c r="HZ80" s="284" t="n"/>
      <c r="IA80" s="38" t="n"/>
      <c r="IB80" s="284" t="n"/>
      <c r="IC80" s="338">
        <f t="array" ref="IC80">SUMPRODUCT(--(MOD(COLUMN($GG80:$IB80),4)=MOD(COLUMN($GG80),4)),$GG80:$IB80)</f>
        <v/>
      </c>
      <c r="ID80" s="339">
        <f>IC80*$J80</f>
        <v/>
      </c>
      <c r="IE80" s="340">
        <f t="array" ref="IE80">SUMPRODUCT(--(MOD(COLUMN($GG80:$IB80),4)=MOD(COLUMN($GH80),4)),$GG80:$IB80)</f>
        <v/>
      </c>
      <c r="IF80" s="341">
        <f>IE80*$J80</f>
        <v/>
      </c>
      <c r="IG80" s="342">
        <f t="array" ref="IG80">SUMPRODUCT(--(MOD(COLUMN($GG80:$IB80),4)=MOD(COLUMN($GI80),4)),$GG80:$IB80)</f>
        <v/>
      </c>
      <c r="IH80" s="343">
        <f>IG80*$J80</f>
        <v/>
      </c>
      <c r="II80" s="36" t="n"/>
      <c r="IJ80" s="284" t="n"/>
      <c r="IK80" s="38" t="n"/>
      <c r="IL80" s="284" t="n"/>
      <c r="IM80" s="36" t="n"/>
      <c r="IN80" s="284" t="n"/>
      <c r="IO80" s="38" t="n"/>
      <c r="IP80" s="284" t="n"/>
      <c r="IQ80" s="36" t="n"/>
      <c r="IR80" s="284" t="n"/>
      <c r="IS80" s="38" t="n"/>
      <c r="IT80" s="284" t="n"/>
      <c r="IU80" s="36" t="n"/>
      <c r="IV80" s="284" t="n"/>
      <c r="IW80" s="38" t="n"/>
      <c r="IX80" s="284" t="n"/>
      <c r="IY80" s="36" t="n"/>
      <c r="IZ80" s="284" t="n"/>
      <c r="JA80" s="38" t="n"/>
      <c r="JB80" s="284" t="n"/>
      <c r="JC80" s="36" t="n"/>
      <c r="JD80" s="284" t="n"/>
      <c r="JE80" s="38" t="n"/>
      <c r="JF80" s="284" t="n"/>
      <c r="JG80" s="36" t="n"/>
      <c r="JH80" s="284" t="n"/>
      <c r="JI80" s="38" t="n"/>
      <c r="JJ80" s="284" t="n"/>
      <c r="JK80" s="36" t="n"/>
      <c r="JL80" s="284" t="n"/>
      <c r="JM80" s="38" t="n"/>
      <c r="JN80" s="284" t="n"/>
      <c r="JO80" s="36" t="n"/>
      <c r="JP80" s="284" t="n"/>
      <c r="JQ80" s="38" t="n"/>
      <c r="JR80" s="284" t="n"/>
      <c r="JS80" s="36" t="n"/>
      <c r="JT80" s="284" t="n"/>
      <c r="JU80" s="38" t="n"/>
      <c r="JV80" s="284" t="n"/>
      <c r="JW80" s="36" t="n"/>
      <c r="JX80" s="284" t="n"/>
      <c r="JY80" s="38" t="n"/>
      <c r="JZ80" s="284" t="n"/>
      <c r="KA80" s="36" t="n"/>
      <c r="KB80" s="284" t="n"/>
      <c r="KC80" s="38" t="n"/>
      <c r="KD80" s="284" t="n"/>
      <c r="KE80" s="338">
        <f t="array" ref="KE80">SUMPRODUCT(--(MOD(COLUMN($II80:$KD80),4)=MOD(COLUMN($II80),4)),$II80:$KD80)</f>
        <v/>
      </c>
      <c r="KF80" s="339">
        <f>KE80*$J80</f>
        <v/>
      </c>
      <c r="KG80" s="340">
        <f t="array" ref="KG80">SUMPRODUCT(--(MOD(COLUMN($II80:$KD80),4)=MOD(COLUMN($IJ80),4)),$II80:$KD80)</f>
        <v/>
      </c>
      <c r="KH80" s="341">
        <f>KG80*$J80</f>
        <v/>
      </c>
      <c r="KI80" s="342">
        <f t="array" ref="KI80">SUMPRODUCT(--(MOD(COLUMN($II80:$KD80),4)=MOD(COLUMN($IK80),4)),$II80:$KD80)</f>
        <v/>
      </c>
      <c r="KJ80" s="346">
        <f>KI80*$J80</f>
        <v/>
      </c>
      <c r="KK80" s="80" t="n"/>
      <c r="KL80" s="80" t="n"/>
      <c r="KM80" s="80" t="n"/>
      <c r="KN80" s="51" t="n"/>
      <c r="KO80" s="285" t="n"/>
    </row>
    <row r="81" outlineLevel="1" customFormat="1" s="68">
      <c r="A81" s="347" t="n"/>
      <c r="B81" s="347" t="n"/>
      <c r="C81" s="347" t="n"/>
      <c r="D81" s="347" t="n"/>
      <c r="E81" s="15" t="n">
        <v>45</v>
      </c>
      <c r="F81" s="149" t="n">
        <v>2</v>
      </c>
      <c r="G81" s="112" t="n">
        <v>4340140000</v>
      </c>
      <c r="H81" s="154" t="inlineStr">
        <is>
          <t>Клапан обратный</t>
        </is>
      </c>
      <c r="I81" s="359" t="n"/>
      <c r="J81" s="360" t="n">
        <v>480</v>
      </c>
      <c r="K81" s="360" t="n"/>
      <c r="L81" s="360" t="n"/>
      <c r="M81" s="36" t="n"/>
      <c r="N81" s="284" t="n"/>
      <c r="O81" s="38" t="n"/>
      <c r="P81" s="284" t="n"/>
      <c r="Q81" s="36" t="n"/>
      <c r="R81" s="284" t="n"/>
      <c r="S81" s="38" t="n"/>
      <c r="T81" s="284" t="n"/>
      <c r="U81" s="36" t="n"/>
      <c r="V81" s="284" t="n"/>
      <c r="W81" s="38" t="n"/>
      <c r="X81" s="284" t="n"/>
      <c r="Y81" s="36" t="n"/>
      <c r="Z81" s="39" t="n"/>
      <c r="AA81" s="38" t="n"/>
      <c r="AB81" s="247" t="n"/>
      <c r="AC81" s="36" t="n"/>
      <c r="AD81" s="284" t="n"/>
      <c r="AE81" s="38" t="n"/>
      <c r="AF81" s="247" t="n"/>
      <c r="AG81" s="36" t="n"/>
      <c r="AH81" s="284" t="n"/>
      <c r="AI81" s="38" t="n"/>
      <c r="AJ81" s="247" t="n"/>
      <c r="AK81" s="36" t="n"/>
      <c r="AL81" s="284" t="n"/>
      <c r="AM81" s="38" t="n"/>
      <c r="AN81" s="247" t="n"/>
      <c r="AO81" s="36" t="n"/>
      <c r="AP81" s="284" t="n"/>
      <c r="AQ81" s="38" t="n"/>
      <c r="AR81" s="247" t="n"/>
      <c r="AS81" s="36" t="n"/>
      <c r="AT81" s="284" t="n"/>
      <c r="AU81" s="38" t="n"/>
      <c r="AV81" s="247" t="n"/>
      <c r="AW81" s="36" t="n"/>
      <c r="AX81" s="284" t="n"/>
      <c r="AY81" s="38" t="n"/>
      <c r="AZ81" s="247" t="n"/>
      <c r="BA81" s="36" t="n"/>
      <c r="BB81" s="284" t="n"/>
      <c r="BC81" s="92" t="n"/>
      <c r="BD81" s="284" t="n"/>
      <c r="BE81" s="36" t="n"/>
      <c r="BF81" s="284" t="n"/>
      <c r="BG81" s="54" t="n"/>
      <c r="BH81" s="284" t="n"/>
      <c r="BI81" s="338" t="n"/>
      <c r="BJ81" s="339" t="n"/>
      <c r="BK81" s="340" t="n"/>
      <c r="BL81" s="341" t="n"/>
      <c r="BM81" s="342" t="n"/>
      <c r="BN81" s="343" t="n"/>
      <c r="BO81" s="36" t="n"/>
      <c r="BP81" s="47" t="n"/>
      <c r="BQ81" s="284" t="n"/>
      <c r="BR81" s="38" t="n"/>
      <c r="BS81" s="284" t="n"/>
      <c r="BT81" s="36" t="n"/>
      <c r="BU81" s="47" t="n"/>
      <c r="BV81" s="284" t="n"/>
      <c r="BW81" s="38" t="n"/>
      <c r="BX81" s="247" t="n"/>
      <c r="BY81" s="36" t="n"/>
      <c r="BZ81" s="47" t="n"/>
      <c r="CA81" s="284" t="n"/>
      <c r="CB81" s="38" t="n"/>
      <c r="CC81" s="284" t="n"/>
      <c r="CD81" s="36" t="n"/>
      <c r="CE81" s="47" t="n"/>
      <c r="CF81" s="284" t="n"/>
      <c r="CG81" s="38" t="n"/>
      <c r="CH81" s="245" t="n"/>
      <c r="CI81" s="36" t="n"/>
      <c r="CJ81" s="47" t="n"/>
      <c r="CK81" s="284" t="n"/>
      <c r="CL81" s="38" t="n"/>
      <c r="CM81" s="284" t="n"/>
      <c r="CN81" s="36" t="n"/>
      <c r="CO81" s="47" t="n"/>
      <c r="CP81" s="284" t="n"/>
      <c r="CQ81" s="38" t="n"/>
      <c r="CR81" s="284" t="n"/>
      <c r="CS81" s="36" t="n"/>
      <c r="CT81" s="47" t="n"/>
      <c r="CU81" s="284" t="n"/>
      <c r="CV81" s="38" t="n"/>
      <c r="CW81" s="284" t="n"/>
      <c r="CX81" s="36" t="n"/>
      <c r="CY81" s="47" t="n"/>
      <c r="CZ81" s="284" t="n"/>
      <c r="DA81" s="38" t="n"/>
      <c r="DB81" s="284" t="n"/>
      <c r="DC81" s="36" t="n"/>
      <c r="DD81" s="47" t="n"/>
      <c r="DE81" s="284" t="n"/>
      <c r="DF81" s="38" t="n"/>
      <c r="DG81" s="284" t="n"/>
      <c r="DH81" s="36" t="n"/>
      <c r="DI81" s="47" t="n"/>
      <c r="DJ81" s="284" t="n"/>
      <c r="DK81" s="38" t="n"/>
      <c r="DL81" s="284" t="n"/>
      <c r="DM81" s="36" t="n"/>
      <c r="DN81" s="47" t="n"/>
      <c r="DO81" s="284" t="n"/>
      <c r="DP81" s="38" t="n"/>
      <c r="DQ81" s="227" t="n"/>
      <c r="DR81" s="36" t="n"/>
      <c r="DS81" s="47" t="n"/>
      <c r="DT81" s="284" t="n"/>
      <c r="DU81" s="38" t="n">
        <v>0</v>
      </c>
      <c r="DV81" s="284" t="n"/>
      <c r="DW81" s="338">
        <f t="array" ref="DW81">SUMPRODUCT(--(MOD(COLUMN($BO81:$DV81),5)=MOD(COLUMN($BO81),5)),$BO81:$DV81)</f>
        <v/>
      </c>
      <c r="DX81" s="339">
        <f>DW81*$J81</f>
        <v/>
      </c>
      <c r="DY81" s="344">
        <f t="array" ref="DY81">SUMPRODUCT(--(MOD(COLUMN($BO81:$DV81),5)=MOD(COLUMN($BP81),5)),$BO81:$DV81)</f>
        <v/>
      </c>
      <c r="DZ81" s="345">
        <f>DY81*$J81</f>
        <v/>
      </c>
      <c r="EA81" s="340">
        <f t="array" ref="EA81">SUMPRODUCT(--(MOD(COLUMN($BO81:$DV81),5)=MOD(COLUMN($BQ81),5)),$BO81:$DV81)</f>
        <v/>
      </c>
      <c r="EB81" s="341">
        <f>EA81*$J81</f>
        <v/>
      </c>
      <c r="EC81" s="342">
        <f t="array" ref="EC81">SUMPRODUCT(--(MOD(COLUMN($BO81:$DV81),5)=MOD(COLUMN($BR81),5)),$BO81:$DV81)</f>
        <v/>
      </c>
      <c r="ED81" s="343">
        <f>EC81*$J81</f>
        <v/>
      </c>
      <c r="EE81" s="36" t="n"/>
      <c r="EF81" s="284" t="n">
        <v>0</v>
      </c>
      <c r="EG81" s="38" t="n"/>
      <c r="EH81" s="284" t="inlineStr">
        <is>
          <t>Новый артикул</t>
        </is>
      </c>
      <c r="EI81" s="36" t="n"/>
      <c r="EJ81" s="284" t="n"/>
      <c r="EK81" s="38" t="n"/>
      <c r="EL81" s="284" t="n"/>
      <c r="EM81" s="36" t="n"/>
      <c r="EN81" s="284" t="n"/>
      <c r="EO81" s="38" t="n"/>
      <c r="EP81" s="284" t="n"/>
      <c r="EQ81" s="36" t="n"/>
      <c r="ER81" s="284" t="n">
        <v>1</v>
      </c>
      <c r="ES81" s="38" t="n">
        <v>1</v>
      </c>
      <c r="ET81" s="347" t="n"/>
      <c r="EU81" s="36" t="n"/>
      <c r="EV81" s="284" t="n">
        <v>0</v>
      </c>
      <c r="EW81" s="38" t="n"/>
      <c r="EX81" s="347" t="n"/>
      <c r="EY81" s="36" t="n"/>
      <c r="EZ81" s="284" t="n"/>
      <c r="FA81" s="38" t="n"/>
      <c r="FB81" s="284" t="n"/>
      <c r="FC81" s="36" t="n"/>
      <c r="FD81" s="284" t="n"/>
      <c r="FE81" s="38" t="n"/>
      <c r="FF81" s="284" t="n"/>
      <c r="FG81" s="36" t="n"/>
      <c r="FH81" s="284" t="n"/>
      <c r="FI81" s="38" t="n"/>
      <c r="FJ81" s="284" t="n"/>
      <c r="FK81" s="36" t="n"/>
      <c r="FL81" s="284" t="n"/>
      <c r="FM81" s="38" t="n"/>
      <c r="FN81" s="284" t="n"/>
      <c r="FO81" s="36" t="n"/>
      <c r="FP81" s="284" t="n"/>
      <c r="FQ81" s="38" t="n"/>
      <c r="FR81" s="284" t="n"/>
      <c r="FS81" s="36" t="n"/>
      <c r="FT81" s="284" t="n"/>
      <c r="FU81" s="38" t="n"/>
      <c r="FV81" s="284" t="n"/>
      <c r="FW81" s="36" t="n"/>
      <c r="FX81" s="284" t="n"/>
      <c r="FY81" s="38" t="n"/>
      <c r="FZ81" s="284" t="n"/>
      <c r="GA81" s="338">
        <f>SUMPRODUCT(--(MOD(COLUMN($EE81:$FZ81),4)=MOD(COLUMN($EE81),4)),$EE81:$FZ81)</f>
        <v/>
      </c>
      <c r="GB81" s="339">
        <f>GA81*$J81</f>
        <v/>
      </c>
      <c r="GC81" s="340">
        <f>SUMPRODUCT(--(MOD(COLUMN($EE81:$FZ81),4)=MOD(COLUMN($EF81),4)),$EE81:$FZ81)</f>
        <v/>
      </c>
      <c r="GD81" s="341">
        <f>GC81*$J81</f>
        <v/>
      </c>
      <c r="GE81" s="342">
        <f>SUMPRODUCT(--(MOD(COLUMN($EE81:$FZ81),4)=MOD(COLUMN($EG81),4)),$EE81:$FZ81)</f>
        <v/>
      </c>
      <c r="GF81" s="343">
        <f>GE81*$J81</f>
        <v/>
      </c>
      <c r="GG81" s="36" t="n"/>
      <c r="GH81" s="284" t="n"/>
      <c r="GI81" s="38" t="n"/>
      <c r="GJ81" s="284" t="n"/>
      <c r="GK81" s="36" t="n"/>
      <c r="GL81" s="284" t="n"/>
      <c r="GM81" s="38" t="n"/>
      <c r="GN81" s="284" t="n"/>
      <c r="GO81" s="36" t="n"/>
      <c r="GP81" s="284" t="n"/>
      <c r="GQ81" s="38" t="n"/>
      <c r="GR81" s="284" t="n"/>
      <c r="GS81" s="36" t="n"/>
      <c r="GT81" s="284" t="n"/>
      <c r="GU81" s="38" t="n"/>
      <c r="GV81" s="284" t="n"/>
      <c r="GW81" s="36" t="n"/>
      <c r="GX81" s="284" t="n"/>
      <c r="GY81" s="38" t="n"/>
      <c r="GZ81" s="284" t="n"/>
      <c r="HA81" s="36" t="n"/>
      <c r="HB81" s="284" t="n"/>
      <c r="HC81" s="38" t="n"/>
      <c r="HD81" s="284" t="n"/>
      <c r="HE81" s="36" t="n"/>
      <c r="HF81" s="284" t="n"/>
      <c r="HG81" s="38" t="n"/>
      <c r="HH81" s="284" t="n"/>
      <c r="HI81" s="36" t="n"/>
      <c r="HJ81" s="284" t="n"/>
      <c r="HK81" s="38" t="n"/>
      <c r="HL81" s="284" t="n"/>
      <c r="HM81" s="36" t="n"/>
      <c r="HN81" s="284" t="n"/>
      <c r="HO81" s="38" t="n"/>
      <c r="HP81" s="284" t="n"/>
      <c r="HQ81" s="36" t="n"/>
      <c r="HR81" s="284" t="n"/>
      <c r="HS81" s="38" t="n"/>
      <c r="HT81" s="284" t="n"/>
      <c r="HU81" s="36" t="n"/>
      <c r="HV81" s="284" t="n"/>
      <c r="HW81" s="38" t="n"/>
      <c r="HX81" s="284" t="n"/>
      <c r="HY81" s="36" t="n"/>
      <c r="HZ81" s="284" t="n"/>
      <c r="IA81" s="38" t="n"/>
      <c r="IB81" s="284" t="n"/>
      <c r="IC81" s="338">
        <f t="array" ref="IC81">SUMPRODUCT(--(MOD(COLUMN($GG81:$IB81),4)=MOD(COLUMN($GG81),4)),$GG81:$IB81)</f>
        <v/>
      </c>
      <c r="ID81" s="339">
        <f>IC81*$J81</f>
        <v/>
      </c>
      <c r="IE81" s="340">
        <f t="array" ref="IE81">SUMPRODUCT(--(MOD(COLUMN($GG81:$IB81),4)=MOD(COLUMN($GH81),4)),$GG81:$IB81)</f>
        <v/>
      </c>
      <c r="IF81" s="341">
        <f>IE81*$J81</f>
        <v/>
      </c>
      <c r="IG81" s="342">
        <f t="array" ref="IG81">SUMPRODUCT(--(MOD(COLUMN($GG81:$IB81),4)=MOD(COLUMN($GI81),4)),$GG81:$IB81)</f>
        <v/>
      </c>
      <c r="IH81" s="343">
        <f>IG81*$J81</f>
        <v/>
      </c>
      <c r="II81" s="36" t="n"/>
      <c r="IJ81" s="284" t="n"/>
      <c r="IK81" s="38" t="n"/>
      <c r="IL81" s="284" t="n"/>
      <c r="IM81" s="36" t="n"/>
      <c r="IN81" s="284" t="n"/>
      <c r="IO81" s="38" t="n"/>
      <c r="IP81" s="284" t="n"/>
      <c r="IQ81" s="36" t="n"/>
      <c r="IR81" s="284" t="n"/>
      <c r="IS81" s="38" t="n"/>
      <c r="IT81" s="284" t="n"/>
      <c r="IU81" s="36" t="n"/>
      <c r="IV81" s="284" t="n"/>
      <c r="IW81" s="38" t="n"/>
      <c r="IX81" s="284" t="n"/>
      <c r="IY81" s="36" t="n"/>
      <c r="IZ81" s="284" t="n"/>
      <c r="JA81" s="38" t="n"/>
      <c r="JB81" s="284" t="n"/>
      <c r="JC81" s="36" t="n"/>
      <c r="JD81" s="284" t="n"/>
      <c r="JE81" s="38" t="n"/>
      <c r="JF81" s="284" t="n"/>
      <c r="JG81" s="36" t="n"/>
      <c r="JH81" s="284" t="n"/>
      <c r="JI81" s="38" t="n"/>
      <c r="JJ81" s="284" t="n"/>
      <c r="JK81" s="36" t="n"/>
      <c r="JL81" s="284" t="n"/>
      <c r="JM81" s="38" t="n"/>
      <c r="JN81" s="284" t="n"/>
      <c r="JO81" s="36" t="n"/>
      <c r="JP81" s="284" t="n"/>
      <c r="JQ81" s="38" t="n"/>
      <c r="JR81" s="284" t="n"/>
      <c r="JS81" s="36" t="n"/>
      <c r="JT81" s="284" t="n"/>
      <c r="JU81" s="38" t="n"/>
      <c r="JV81" s="284" t="n"/>
      <c r="JW81" s="36" t="n"/>
      <c r="JX81" s="284" t="n"/>
      <c r="JY81" s="38" t="n"/>
      <c r="JZ81" s="284" t="n"/>
      <c r="KA81" s="36" t="n"/>
      <c r="KB81" s="284" t="n"/>
      <c r="KC81" s="38" t="n"/>
      <c r="KD81" s="284" t="n"/>
      <c r="KE81" s="338">
        <f t="array" ref="KE81">SUMPRODUCT(--(MOD(COLUMN($II81:$KD81),4)=MOD(COLUMN($II81),4)),$II81:$KD81)</f>
        <v/>
      </c>
      <c r="KF81" s="339">
        <f>KE81*$J81</f>
        <v/>
      </c>
      <c r="KG81" s="340">
        <f t="array" ref="KG81">SUMPRODUCT(--(MOD(COLUMN($II81:$KD81),4)=MOD(COLUMN($IJ81),4)),$II81:$KD81)</f>
        <v/>
      </c>
      <c r="KH81" s="341">
        <f>KG81*$J81</f>
        <v/>
      </c>
      <c r="KI81" s="342">
        <f t="array" ref="KI81">SUMPRODUCT(--(MOD(COLUMN($II81:$KD81),4)=MOD(COLUMN($IK81),4)),$II81:$KD81)</f>
        <v/>
      </c>
      <c r="KJ81" s="346">
        <f>KI81*$J81</f>
        <v/>
      </c>
      <c r="KK81" s="80" t="n"/>
      <c r="KL81" s="80" t="n"/>
      <c r="KM81" s="80" t="n"/>
      <c r="KN81" s="51" t="n"/>
      <c r="KO81" s="285" t="n"/>
    </row>
    <row r="82" outlineLevel="1" ht="28.8" customFormat="1" customHeight="1" s="68">
      <c r="A82" s="347" t="n"/>
      <c r="B82" s="347" t="n"/>
      <c r="C82" s="347" t="n"/>
      <c r="D82" s="347" t="n"/>
      <c r="E82" s="15" t="n">
        <v>46</v>
      </c>
      <c r="F82" s="149" t="n">
        <v>2</v>
      </c>
      <c r="G82" s="112" t="n">
        <v>4345000030</v>
      </c>
      <c r="H82" s="154" t="inlineStr">
        <is>
          <t>Клапан двойной, запорный</t>
        </is>
      </c>
      <c r="I82" s="359" t="n"/>
      <c r="J82" s="360" t="n">
        <v>730</v>
      </c>
      <c r="K82" s="360" t="n"/>
      <c r="L82" s="360" t="n"/>
      <c r="M82" s="36" t="n"/>
      <c r="N82" s="284" t="n"/>
      <c r="O82" s="38" t="n"/>
      <c r="P82" s="284" t="n"/>
      <c r="Q82" s="36" t="n"/>
      <c r="R82" s="284" t="n"/>
      <c r="S82" s="38" t="n"/>
      <c r="T82" s="284" t="n"/>
      <c r="U82" s="36" t="n"/>
      <c r="V82" s="284" t="n"/>
      <c r="W82" s="38" t="n"/>
      <c r="X82" s="284" t="n"/>
      <c r="Y82" s="36" t="n"/>
      <c r="Z82" s="39" t="n"/>
      <c r="AA82" s="38" t="n"/>
      <c r="AB82" s="247" t="n"/>
      <c r="AC82" s="36" t="n"/>
      <c r="AD82" s="284" t="n"/>
      <c r="AE82" s="38" t="n"/>
      <c r="AF82" s="247" t="n"/>
      <c r="AG82" s="36" t="n"/>
      <c r="AH82" s="284" t="n"/>
      <c r="AI82" s="38" t="n"/>
      <c r="AJ82" s="247" t="n"/>
      <c r="AK82" s="36" t="n"/>
      <c r="AL82" s="284" t="n"/>
      <c r="AM82" s="38" t="n"/>
      <c r="AN82" s="247" t="n"/>
      <c r="AO82" s="36" t="n"/>
      <c r="AP82" s="284" t="n"/>
      <c r="AQ82" s="38" t="n"/>
      <c r="AR82" s="247" t="n"/>
      <c r="AS82" s="36" t="n"/>
      <c r="AT82" s="284" t="n"/>
      <c r="AU82" s="38" t="n"/>
      <c r="AV82" s="247" t="n"/>
      <c r="AW82" s="36" t="n"/>
      <c r="AX82" s="284" t="n"/>
      <c r="AY82" s="38" t="n"/>
      <c r="AZ82" s="247" t="n"/>
      <c r="BA82" s="36" t="n"/>
      <c r="BB82" s="284" t="n"/>
      <c r="BC82" s="92" t="n"/>
      <c r="BD82" s="284" t="n"/>
      <c r="BE82" s="36" t="n"/>
      <c r="BF82" s="284" t="n"/>
      <c r="BG82" s="54" t="n"/>
      <c r="BH82" s="284" t="n"/>
      <c r="BI82" s="338" t="n"/>
      <c r="BJ82" s="339" t="n"/>
      <c r="BK82" s="340" t="n"/>
      <c r="BL82" s="341" t="n"/>
      <c r="BM82" s="342" t="n"/>
      <c r="BN82" s="343" t="n"/>
      <c r="BO82" s="36" t="n"/>
      <c r="BP82" s="47" t="n"/>
      <c r="BQ82" s="284" t="n"/>
      <c r="BR82" s="38" t="n"/>
      <c r="BS82" s="284" t="n"/>
      <c r="BT82" s="36" t="n"/>
      <c r="BU82" s="47" t="n"/>
      <c r="BV82" s="284" t="n"/>
      <c r="BW82" s="38" t="n"/>
      <c r="BX82" s="247" t="n"/>
      <c r="BY82" s="36" t="n"/>
      <c r="BZ82" s="47" t="n"/>
      <c r="CA82" s="284" t="n"/>
      <c r="CB82" s="38" t="n"/>
      <c r="CC82" s="284" t="n"/>
      <c r="CD82" s="36" t="n"/>
      <c r="CE82" s="47" t="n"/>
      <c r="CF82" s="284" t="n"/>
      <c r="CG82" s="38" t="n"/>
      <c r="CH82" s="245" t="n"/>
      <c r="CI82" s="36" t="n"/>
      <c r="CJ82" s="47" t="n"/>
      <c r="CK82" s="284" t="n"/>
      <c r="CL82" s="38" t="n"/>
      <c r="CM82" s="284" t="n"/>
      <c r="CN82" s="36" t="n"/>
      <c r="CO82" s="47" t="n"/>
      <c r="CP82" s="284" t="n"/>
      <c r="CQ82" s="38" t="n"/>
      <c r="CR82" s="284" t="n"/>
      <c r="CS82" s="36" t="n"/>
      <c r="CT82" s="47" t="n"/>
      <c r="CU82" s="284" t="n"/>
      <c r="CV82" s="38" t="n"/>
      <c r="CW82" s="284" t="n"/>
      <c r="CX82" s="36" t="n"/>
      <c r="CY82" s="47" t="n"/>
      <c r="CZ82" s="284" t="n"/>
      <c r="DA82" s="38" t="n"/>
      <c r="DB82" s="284" t="n"/>
      <c r="DC82" s="36" t="n"/>
      <c r="DD82" s="47" t="n"/>
      <c r="DE82" s="284" t="n"/>
      <c r="DF82" s="38" t="n"/>
      <c r="DG82" s="284" t="n"/>
      <c r="DH82" s="36" t="n"/>
      <c r="DI82" s="47" t="n"/>
      <c r="DJ82" s="284" t="n"/>
      <c r="DK82" s="38" t="n"/>
      <c r="DL82" s="284" t="n"/>
      <c r="DM82" s="36" t="n"/>
      <c r="DN82" s="47" t="n"/>
      <c r="DO82" s="284" t="n"/>
      <c r="DP82" s="38" t="n"/>
      <c r="DQ82" s="227" t="n"/>
      <c r="DR82" s="36" t="n"/>
      <c r="DS82" s="47" t="n"/>
      <c r="DT82" s="284" t="n"/>
      <c r="DU82" s="38" t="n">
        <v>0</v>
      </c>
      <c r="DV82" s="284" t="n"/>
      <c r="DW82" s="338">
        <f t="array" ref="DW82">SUMPRODUCT(--(MOD(COLUMN($BO82:$DV82),5)=MOD(COLUMN($BO82),5)),$BO82:$DV82)</f>
        <v/>
      </c>
      <c r="DX82" s="339">
        <f>DW82*$J82</f>
        <v/>
      </c>
      <c r="DY82" s="344">
        <f t="array" ref="DY82">SUMPRODUCT(--(MOD(COLUMN($BO82:$DV82),5)=MOD(COLUMN($BP82),5)),$BO82:$DV82)</f>
        <v/>
      </c>
      <c r="DZ82" s="345">
        <f>DY82*$J82</f>
        <v/>
      </c>
      <c r="EA82" s="340">
        <f t="array" ref="EA82">SUMPRODUCT(--(MOD(COLUMN($BO82:$DV82),5)=MOD(COLUMN($BQ82),5)),$BO82:$DV82)</f>
        <v/>
      </c>
      <c r="EB82" s="341">
        <f>EA82*$J82</f>
        <v/>
      </c>
      <c r="EC82" s="342">
        <f t="array" ref="EC82">SUMPRODUCT(--(MOD(COLUMN($BO82:$DV82),5)=MOD(COLUMN($BR82),5)),$BO82:$DV82)</f>
        <v/>
      </c>
      <c r="ED82" s="343">
        <f>EC82*$J82</f>
        <v/>
      </c>
      <c r="EE82" s="36" t="n"/>
      <c r="EF82" s="284" t="n">
        <v>0</v>
      </c>
      <c r="EG82" s="38" t="n"/>
      <c r="EH82" s="284" t="inlineStr">
        <is>
          <t>Новый артикул</t>
        </is>
      </c>
      <c r="EI82" s="36" t="n"/>
      <c r="EJ82" s="284" t="n"/>
      <c r="EK82" s="38" t="n"/>
      <c r="EL82" s="284" t="n"/>
      <c r="EM82" s="36" t="n"/>
      <c r="EN82" s="284" t="n"/>
      <c r="EO82" s="38" t="n"/>
      <c r="EP82" s="284" t="n"/>
      <c r="EQ82" s="36" t="n"/>
      <c r="ER82" s="284" t="n">
        <v>1</v>
      </c>
      <c r="ES82" s="38" t="n">
        <v>1</v>
      </c>
      <c r="ET82" s="347" t="n"/>
      <c r="EU82" s="36" t="n"/>
      <c r="EV82" s="284" t="n">
        <v>0</v>
      </c>
      <c r="EW82" s="38" t="n"/>
      <c r="EX82" s="347" t="n"/>
      <c r="EY82" s="36" t="n"/>
      <c r="EZ82" s="284" t="n"/>
      <c r="FA82" s="38" t="n"/>
      <c r="FB82" s="284" t="n"/>
      <c r="FC82" s="36" t="n"/>
      <c r="FD82" s="284" t="n"/>
      <c r="FE82" s="38" t="n"/>
      <c r="FF82" s="284" t="n"/>
      <c r="FG82" s="36" t="n"/>
      <c r="FH82" s="284" t="n"/>
      <c r="FI82" s="38" t="n"/>
      <c r="FJ82" s="284" t="n"/>
      <c r="FK82" s="36" t="n"/>
      <c r="FL82" s="284" t="n"/>
      <c r="FM82" s="38" t="n"/>
      <c r="FN82" s="284" t="n"/>
      <c r="FO82" s="36" t="n"/>
      <c r="FP82" s="284" t="n"/>
      <c r="FQ82" s="38" t="n"/>
      <c r="FR82" s="284" t="n"/>
      <c r="FS82" s="36" t="n"/>
      <c r="FT82" s="284" t="n"/>
      <c r="FU82" s="38" t="n"/>
      <c r="FV82" s="284" t="n"/>
      <c r="FW82" s="36" t="n"/>
      <c r="FX82" s="284" t="n"/>
      <c r="FY82" s="38" t="n"/>
      <c r="FZ82" s="284" t="n"/>
      <c r="GA82" s="338">
        <f>SUMPRODUCT(--(MOD(COLUMN($EE82:$FZ82),4)=MOD(COLUMN($EE82),4)),$EE82:$FZ82)</f>
        <v/>
      </c>
      <c r="GB82" s="339">
        <f>GA82*$J82</f>
        <v/>
      </c>
      <c r="GC82" s="340">
        <f>SUMPRODUCT(--(MOD(COLUMN($EE82:$FZ82),4)=MOD(COLUMN($EF82),4)),$EE82:$FZ82)</f>
        <v/>
      </c>
      <c r="GD82" s="341">
        <f>GC82*$J82</f>
        <v/>
      </c>
      <c r="GE82" s="342">
        <f>SUMPRODUCT(--(MOD(COLUMN($EE82:$FZ82),4)=MOD(COLUMN($EG82),4)),$EE82:$FZ82)</f>
        <v/>
      </c>
      <c r="GF82" s="343">
        <f>GE82*$J82</f>
        <v/>
      </c>
      <c r="GG82" s="36" t="n"/>
      <c r="GH82" s="284" t="n"/>
      <c r="GI82" s="38" t="n"/>
      <c r="GJ82" s="284" t="n"/>
      <c r="GK82" s="36" t="n"/>
      <c r="GL82" s="284" t="n"/>
      <c r="GM82" s="38" t="n"/>
      <c r="GN82" s="284" t="n"/>
      <c r="GO82" s="36" t="n"/>
      <c r="GP82" s="284" t="n"/>
      <c r="GQ82" s="38" t="n"/>
      <c r="GR82" s="284" t="n"/>
      <c r="GS82" s="36" t="n"/>
      <c r="GT82" s="284" t="n"/>
      <c r="GU82" s="38" t="n"/>
      <c r="GV82" s="284" t="n"/>
      <c r="GW82" s="36" t="n"/>
      <c r="GX82" s="284" t="n"/>
      <c r="GY82" s="38" t="n"/>
      <c r="GZ82" s="284" t="n"/>
      <c r="HA82" s="36" t="n"/>
      <c r="HB82" s="284" t="n"/>
      <c r="HC82" s="38" t="n"/>
      <c r="HD82" s="284" t="n"/>
      <c r="HE82" s="36" t="n"/>
      <c r="HF82" s="284" t="n"/>
      <c r="HG82" s="38" t="n"/>
      <c r="HH82" s="284" t="n"/>
      <c r="HI82" s="36" t="n"/>
      <c r="HJ82" s="284" t="n"/>
      <c r="HK82" s="38" t="n"/>
      <c r="HL82" s="284" t="n"/>
      <c r="HM82" s="36" t="n"/>
      <c r="HN82" s="284" t="n"/>
      <c r="HO82" s="38" t="n"/>
      <c r="HP82" s="284" t="n"/>
      <c r="HQ82" s="36" t="n"/>
      <c r="HR82" s="284" t="n"/>
      <c r="HS82" s="38" t="n"/>
      <c r="HT82" s="284" t="n"/>
      <c r="HU82" s="36" t="n"/>
      <c r="HV82" s="284" t="n"/>
      <c r="HW82" s="38" t="n"/>
      <c r="HX82" s="284" t="n"/>
      <c r="HY82" s="36" t="n"/>
      <c r="HZ82" s="284" t="n"/>
      <c r="IA82" s="38" t="n"/>
      <c r="IB82" s="284" t="n"/>
      <c r="IC82" s="338">
        <f t="array" ref="IC82">SUMPRODUCT(--(MOD(COLUMN($GG82:$IB82),4)=MOD(COLUMN($GG82),4)),$GG82:$IB82)</f>
        <v/>
      </c>
      <c r="ID82" s="339">
        <f>IC82*$J82</f>
        <v/>
      </c>
      <c r="IE82" s="340">
        <f t="array" ref="IE82">SUMPRODUCT(--(MOD(COLUMN($GG82:$IB82),4)=MOD(COLUMN($GH82),4)),$GG82:$IB82)</f>
        <v/>
      </c>
      <c r="IF82" s="341">
        <f>IE82*$J82</f>
        <v/>
      </c>
      <c r="IG82" s="342">
        <f t="array" ref="IG82">SUMPRODUCT(--(MOD(COLUMN($GG82:$IB82),4)=MOD(COLUMN($GI82),4)),$GG82:$IB82)</f>
        <v/>
      </c>
      <c r="IH82" s="343">
        <f>IG82*$J82</f>
        <v/>
      </c>
      <c r="II82" s="36" t="n"/>
      <c r="IJ82" s="284" t="n"/>
      <c r="IK82" s="38" t="n"/>
      <c r="IL82" s="284" t="n"/>
      <c r="IM82" s="36" t="n"/>
      <c r="IN82" s="284" t="n"/>
      <c r="IO82" s="38" t="n"/>
      <c r="IP82" s="284" t="n"/>
      <c r="IQ82" s="36" t="n"/>
      <c r="IR82" s="284" t="n"/>
      <c r="IS82" s="38" t="n"/>
      <c r="IT82" s="284" t="n"/>
      <c r="IU82" s="36" t="n"/>
      <c r="IV82" s="284" t="n"/>
      <c r="IW82" s="38" t="n"/>
      <c r="IX82" s="284" t="n"/>
      <c r="IY82" s="36" t="n"/>
      <c r="IZ82" s="284" t="n"/>
      <c r="JA82" s="38" t="n"/>
      <c r="JB82" s="284" t="n"/>
      <c r="JC82" s="36" t="n"/>
      <c r="JD82" s="284" t="n"/>
      <c r="JE82" s="38" t="n"/>
      <c r="JF82" s="284" t="n"/>
      <c r="JG82" s="36" t="n"/>
      <c r="JH82" s="284" t="n"/>
      <c r="JI82" s="38" t="n"/>
      <c r="JJ82" s="284" t="n"/>
      <c r="JK82" s="36" t="n"/>
      <c r="JL82" s="284" t="n"/>
      <c r="JM82" s="38" t="n"/>
      <c r="JN82" s="284" t="n"/>
      <c r="JO82" s="36" t="n"/>
      <c r="JP82" s="284" t="n"/>
      <c r="JQ82" s="38" t="n"/>
      <c r="JR82" s="284" t="n"/>
      <c r="JS82" s="36" t="n"/>
      <c r="JT82" s="284" t="n"/>
      <c r="JU82" s="38" t="n"/>
      <c r="JV82" s="284" t="n"/>
      <c r="JW82" s="36" t="n"/>
      <c r="JX82" s="284" t="n"/>
      <c r="JY82" s="38" t="n"/>
      <c r="JZ82" s="284" t="n"/>
      <c r="KA82" s="36" t="n"/>
      <c r="KB82" s="284" t="n"/>
      <c r="KC82" s="38" t="n"/>
      <c r="KD82" s="284" t="n"/>
      <c r="KE82" s="338">
        <f t="array" ref="KE82">SUMPRODUCT(--(MOD(COLUMN($II82:$KD82),4)=MOD(COLUMN($II82),4)),$II82:$KD82)</f>
        <v/>
      </c>
      <c r="KF82" s="339">
        <f>KE82*$J82</f>
        <v/>
      </c>
      <c r="KG82" s="340">
        <f t="array" ref="KG82">SUMPRODUCT(--(MOD(COLUMN($II82:$KD82),4)=MOD(COLUMN($IJ82),4)),$II82:$KD82)</f>
        <v/>
      </c>
      <c r="KH82" s="341">
        <f>KG82*$J82</f>
        <v/>
      </c>
      <c r="KI82" s="342">
        <f t="array" ref="KI82">SUMPRODUCT(--(MOD(COLUMN($II82:$KD82),4)=MOD(COLUMN($IK82),4)),$II82:$KD82)</f>
        <v/>
      </c>
      <c r="KJ82" s="346">
        <f>KI82*$J82</f>
        <v/>
      </c>
      <c r="KK82" s="80" t="n"/>
      <c r="KL82" s="80" t="n"/>
      <c r="KM82" s="80" t="n"/>
      <c r="KN82" s="51" t="n"/>
      <c r="KO82" s="285" t="n"/>
    </row>
    <row r="83" outlineLevel="1" ht="28.8" customFormat="1" customHeight="1" s="68">
      <c r="A83" s="347" t="n"/>
      <c r="B83" s="347" t="n"/>
      <c r="C83" s="347" t="n"/>
      <c r="D83" s="347" t="n"/>
      <c r="E83" s="15" t="n">
        <v>47</v>
      </c>
      <c r="F83" s="149" t="n">
        <v>2</v>
      </c>
      <c r="G83" s="112" t="n">
        <v>4342080290</v>
      </c>
      <c r="H83" s="154" t="inlineStr">
        <is>
          <t>Клапан 2х магистральный</t>
        </is>
      </c>
      <c r="I83" s="359" t="n"/>
      <c r="J83" s="360" t="n">
        <v>485</v>
      </c>
      <c r="K83" s="360" t="n"/>
      <c r="L83" s="360" t="n"/>
      <c r="M83" s="36" t="n"/>
      <c r="N83" s="284" t="n"/>
      <c r="O83" s="38" t="n"/>
      <c r="P83" s="284" t="n"/>
      <c r="Q83" s="36" t="n"/>
      <c r="R83" s="284" t="n"/>
      <c r="S83" s="38" t="n"/>
      <c r="T83" s="284" t="n"/>
      <c r="U83" s="36" t="n"/>
      <c r="V83" s="284" t="n"/>
      <c r="W83" s="38" t="n"/>
      <c r="X83" s="284" t="n"/>
      <c r="Y83" s="36" t="n"/>
      <c r="Z83" s="39" t="n"/>
      <c r="AA83" s="38" t="n"/>
      <c r="AB83" s="247" t="n"/>
      <c r="AC83" s="36" t="n"/>
      <c r="AD83" s="284" t="n"/>
      <c r="AE83" s="38" t="n"/>
      <c r="AF83" s="247" t="n"/>
      <c r="AG83" s="36" t="n"/>
      <c r="AH83" s="284" t="n"/>
      <c r="AI83" s="38" t="n"/>
      <c r="AJ83" s="247" t="n"/>
      <c r="AK83" s="36" t="n"/>
      <c r="AL83" s="284" t="n"/>
      <c r="AM83" s="38" t="n"/>
      <c r="AN83" s="247" t="n"/>
      <c r="AO83" s="36" t="n"/>
      <c r="AP83" s="284" t="n"/>
      <c r="AQ83" s="38" t="n"/>
      <c r="AR83" s="247" t="n"/>
      <c r="AS83" s="36" t="n"/>
      <c r="AT83" s="284" t="n"/>
      <c r="AU83" s="38" t="n"/>
      <c r="AV83" s="247" t="n"/>
      <c r="AW83" s="36" t="n"/>
      <c r="AX83" s="284" t="n"/>
      <c r="AY83" s="38" t="n"/>
      <c r="AZ83" s="247" t="n"/>
      <c r="BA83" s="36" t="n"/>
      <c r="BB83" s="284" t="n"/>
      <c r="BC83" s="92" t="n"/>
      <c r="BD83" s="284" t="n"/>
      <c r="BE83" s="36" t="n"/>
      <c r="BF83" s="284" t="n"/>
      <c r="BG83" s="54" t="n"/>
      <c r="BH83" s="284" t="n"/>
      <c r="BI83" s="338" t="n"/>
      <c r="BJ83" s="339" t="n"/>
      <c r="BK83" s="340" t="n"/>
      <c r="BL83" s="341" t="n"/>
      <c r="BM83" s="342" t="n"/>
      <c r="BN83" s="343" t="n"/>
      <c r="BO83" s="36" t="n"/>
      <c r="BP83" s="47" t="n"/>
      <c r="BQ83" s="284" t="n"/>
      <c r="BR83" s="38" t="n"/>
      <c r="BS83" s="284" t="n"/>
      <c r="BT83" s="36" t="n"/>
      <c r="BU83" s="47" t="n"/>
      <c r="BV83" s="284" t="n"/>
      <c r="BW83" s="38" t="n"/>
      <c r="BX83" s="247" t="n"/>
      <c r="BY83" s="36" t="n"/>
      <c r="BZ83" s="47" t="n"/>
      <c r="CA83" s="284" t="n"/>
      <c r="CB83" s="38" t="n"/>
      <c r="CC83" s="284" t="n"/>
      <c r="CD83" s="36" t="n"/>
      <c r="CE83" s="47" t="n"/>
      <c r="CF83" s="284" t="n"/>
      <c r="CG83" s="38" t="n"/>
      <c r="CH83" s="245" t="n"/>
      <c r="CI83" s="36" t="n"/>
      <c r="CJ83" s="47" t="n"/>
      <c r="CK83" s="284" t="n"/>
      <c r="CL83" s="38" t="n"/>
      <c r="CM83" s="284" t="n"/>
      <c r="CN83" s="36" t="n"/>
      <c r="CO83" s="47" t="n"/>
      <c r="CP83" s="284" t="n"/>
      <c r="CQ83" s="38" t="n"/>
      <c r="CR83" s="284" t="n"/>
      <c r="CS83" s="36" t="n"/>
      <c r="CT83" s="47" t="n"/>
      <c r="CU83" s="284" t="n"/>
      <c r="CV83" s="38" t="n"/>
      <c r="CW83" s="284" t="n"/>
      <c r="CX83" s="36" t="n"/>
      <c r="CY83" s="47" t="n"/>
      <c r="CZ83" s="284" t="n"/>
      <c r="DA83" s="38" t="n"/>
      <c r="DB83" s="284" t="n"/>
      <c r="DC83" s="36" t="n"/>
      <c r="DD83" s="47" t="n"/>
      <c r="DE83" s="284" t="n"/>
      <c r="DF83" s="38" t="n"/>
      <c r="DG83" s="284" t="n"/>
      <c r="DH83" s="36" t="n"/>
      <c r="DI83" s="47" t="n"/>
      <c r="DJ83" s="284" t="n"/>
      <c r="DK83" s="38" t="n"/>
      <c r="DL83" s="284" t="n"/>
      <c r="DM83" s="36" t="n"/>
      <c r="DN83" s="47" t="n"/>
      <c r="DO83" s="284" t="n"/>
      <c r="DP83" s="38" t="n"/>
      <c r="DQ83" s="227" t="n"/>
      <c r="DR83" s="36" t="n"/>
      <c r="DS83" s="47" t="n"/>
      <c r="DT83" s="284" t="n"/>
      <c r="DU83" s="38" t="n">
        <v>0</v>
      </c>
      <c r="DV83" s="284" t="n"/>
      <c r="DW83" s="338">
        <f t="array" ref="DW83">SUMPRODUCT(--(MOD(COLUMN($BO83:$DV83),5)=MOD(COLUMN($BO83),5)),$BO83:$DV83)</f>
        <v/>
      </c>
      <c r="DX83" s="339">
        <f>DW83*$J83</f>
        <v/>
      </c>
      <c r="DY83" s="344">
        <f t="array" ref="DY83">SUMPRODUCT(--(MOD(COLUMN($BO83:$DV83),5)=MOD(COLUMN($BP83),5)),$BO83:$DV83)</f>
        <v/>
      </c>
      <c r="DZ83" s="345">
        <f>DY83*$J83</f>
        <v/>
      </c>
      <c r="EA83" s="340">
        <f t="array" ref="EA83">SUMPRODUCT(--(MOD(COLUMN($BO83:$DV83),5)=MOD(COLUMN($BQ83),5)),$BO83:$DV83)</f>
        <v/>
      </c>
      <c r="EB83" s="341">
        <f>EA83*$J83</f>
        <v/>
      </c>
      <c r="EC83" s="342">
        <f t="array" ref="EC83">SUMPRODUCT(--(MOD(COLUMN($BO83:$DV83),5)=MOD(COLUMN($BR83),5)),$BO83:$DV83)</f>
        <v/>
      </c>
      <c r="ED83" s="343">
        <f>EC83*$J83</f>
        <v/>
      </c>
      <c r="EE83" s="36" t="n"/>
      <c r="EF83" s="284" t="n">
        <v>0</v>
      </c>
      <c r="EG83" s="38" t="n"/>
      <c r="EH83" s="284" t="inlineStr">
        <is>
          <t>Новый артикул</t>
        </is>
      </c>
      <c r="EI83" s="36" t="n"/>
      <c r="EJ83" s="284" t="n"/>
      <c r="EK83" s="38" t="n"/>
      <c r="EL83" s="284" t="n"/>
      <c r="EM83" s="36" t="n"/>
      <c r="EN83" s="284" t="n"/>
      <c r="EO83" s="38" t="n"/>
      <c r="EP83" s="284" t="n"/>
      <c r="EQ83" s="36" t="n"/>
      <c r="ER83" s="284" t="n">
        <v>1</v>
      </c>
      <c r="ES83" s="38" t="n">
        <v>1</v>
      </c>
      <c r="ET83" s="347" t="n"/>
      <c r="EU83" s="36" t="n"/>
      <c r="EV83" s="284" t="n">
        <v>0</v>
      </c>
      <c r="EW83" s="38" t="n"/>
      <c r="EX83" s="347" t="n"/>
      <c r="EY83" s="36" t="n"/>
      <c r="EZ83" s="284" t="n"/>
      <c r="FA83" s="38" t="n"/>
      <c r="FB83" s="284" t="n"/>
      <c r="FC83" s="36" t="n"/>
      <c r="FD83" s="284" t="n"/>
      <c r="FE83" s="38" t="n"/>
      <c r="FF83" s="284" t="n"/>
      <c r="FG83" s="36" t="n"/>
      <c r="FH83" s="284" t="n"/>
      <c r="FI83" s="38" t="n"/>
      <c r="FJ83" s="284" t="n"/>
      <c r="FK83" s="36" t="n"/>
      <c r="FL83" s="284" t="n"/>
      <c r="FM83" s="38" t="n"/>
      <c r="FN83" s="284" t="n"/>
      <c r="FO83" s="36" t="n"/>
      <c r="FP83" s="284" t="n"/>
      <c r="FQ83" s="38" t="n"/>
      <c r="FR83" s="284" t="n"/>
      <c r="FS83" s="36" t="n"/>
      <c r="FT83" s="284" t="n"/>
      <c r="FU83" s="38" t="n"/>
      <c r="FV83" s="284" t="n"/>
      <c r="FW83" s="36" t="n"/>
      <c r="FX83" s="284" t="n"/>
      <c r="FY83" s="38" t="n"/>
      <c r="FZ83" s="284" t="n"/>
      <c r="GA83" s="338">
        <f>SUMPRODUCT(--(MOD(COLUMN($EE83:$FZ83),4)=MOD(COLUMN($EE83),4)),$EE83:$FZ83)</f>
        <v/>
      </c>
      <c r="GB83" s="339">
        <f>GA83*$J83</f>
        <v/>
      </c>
      <c r="GC83" s="340">
        <f>SUMPRODUCT(--(MOD(COLUMN($EE83:$FZ83),4)=MOD(COLUMN($EF83),4)),$EE83:$FZ83)</f>
        <v/>
      </c>
      <c r="GD83" s="341">
        <f>GC83*$J83</f>
        <v/>
      </c>
      <c r="GE83" s="342">
        <f>SUMPRODUCT(--(MOD(COLUMN($EE83:$FZ83),4)=MOD(COLUMN($EG83),4)),$EE83:$FZ83)</f>
        <v/>
      </c>
      <c r="GF83" s="343">
        <f>GE83*$J83</f>
        <v/>
      </c>
      <c r="GG83" s="36" t="n"/>
      <c r="GH83" s="284" t="n"/>
      <c r="GI83" s="38" t="n"/>
      <c r="GJ83" s="284" t="n"/>
      <c r="GK83" s="36" t="n"/>
      <c r="GL83" s="284" t="n"/>
      <c r="GM83" s="38" t="n"/>
      <c r="GN83" s="284" t="n"/>
      <c r="GO83" s="36" t="n"/>
      <c r="GP83" s="284" t="n"/>
      <c r="GQ83" s="38" t="n"/>
      <c r="GR83" s="284" t="n"/>
      <c r="GS83" s="36" t="n"/>
      <c r="GT83" s="284" t="n"/>
      <c r="GU83" s="38" t="n"/>
      <c r="GV83" s="284" t="n"/>
      <c r="GW83" s="36" t="n"/>
      <c r="GX83" s="284" t="n"/>
      <c r="GY83" s="38" t="n"/>
      <c r="GZ83" s="284" t="n"/>
      <c r="HA83" s="36" t="n"/>
      <c r="HB83" s="284" t="n"/>
      <c r="HC83" s="38" t="n"/>
      <c r="HD83" s="284" t="n"/>
      <c r="HE83" s="36" t="n"/>
      <c r="HF83" s="284" t="n"/>
      <c r="HG83" s="38" t="n"/>
      <c r="HH83" s="284" t="n"/>
      <c r="HI83" s="36" t="n"/>
      <c r="HJ83" s="284" t="n"/>
      <c r="HK83" s="38" t="n"/>
      <c r="HL83" s="284" t="n"/>
      <c r="HM83" s="36" t="n"/>
      <c r="HN83" s="284" t="n"/>
      <c r="HO83" s="38" t="n"/>
      <c r="HP83" s="284" t="n"/>
      <c r="HQ83" s="36" t="n"/>
      <c r="HR83" s="284" t="n"/>
      <c r="HS83" s="38" t="n"/>
      <c r="HT83" s="284" t="n"/>
      <c r="HU83" s="36" t="n"/>
      <c r="HV83" s="284" t="n"/>
      <c r="HW83" s="38" t="n"/>
      <c r="HX83" s="284" t="n"/>
      <c r="HY83" s="36" t="n"/>
      <c r="HZ83" s="284" t="n"/>
      <c r="IA83" s="38" t="n"/>
      <c r="IB83" s="284" t="n"/>
      <c r="IC83" s="338">
        <f t="array" ref="IC83">SUMPRODUCT(--(MOD(COLUMN($GG83:$IB83),4)=MOD(COLUMN($GG83),4)),$GG83:$IB83)</f>
        <v/>
      </c>
      <c r="ID83" s="339">
        <f>IC83*$J83</f>
        <v/>
      </c>
      <c r="IE83" s="340">
        <f t="array" ref="IE83">SUMPRODUCT(--(MOD(COLUMN($GG83:$IB83),4)=MOD(COLUMN($GH83),4)),$GG83:$IB83)</f>
        <v/>
      </c>
      <c r="IF83" s="341">
        <f>IE83*$J83</f>
        <v/>
      </c>
      <c r="IG83" s="342">
        <f t="array" ref="IG83">SUMPRODUCT(--(MOD(COLUMN($GG83:$IB83),4)=MOD(COLUMN($GI83),4)),$GG83:$IB83)</f>
        <v/>
      </c>
      <c r="IH83" s="343">
        <f>IG83*$J83</f>
        <v/>
      </c>
      <c r="II83" s="36" t="n"/>
      <c r="IJ83" s="284" t="n"/>
      <c r="IK83" s="38" t="n"/>
      <c r="IL83" s="284" t="n"/>
      <c r="IM83" s="36" t="n"/>
      <c r="IN83" s="284" t="n"/>
      <c r="IO83" s="38" t="n"/>
      <c r="IP83" s="284" t="n"/>
      <c r="IQ83" s="36" t="n"/>
      <c r="IR83" s="284" t="n"/>
      <c r="IS83" s="38" t="n"/>
      <c r="IT83" s="284" t="n"/>
      <c r="IU83" s="36" t="n"/>
      <c r="IV83" s="284" t="n"/>
      <c r="IW83" s="38" t="n"/>
      <c r="IX83" s="284" t="n"/>
      <c r="IY83" s="36" t="n"/>
      <c r="IZ83" s="284" t="n"/>
      <c r="JA83" s="38" t="n"/>
      <c r="JB83" s="284" t="n"/>
      <c r="JC83" s="36" t="n"/>
      <c r="JD83" s="284" t="n"/>
      <c r="JE83" s="38" t="n"/>
      <c r="JF83" s="284" t="n"/>
      <c r="JG83" s="36" t="n"/>
      <c r="JH83" s="284" t="n"/>
      <c r="JI83" s="38" t="n"/>
      <c r="JJ83" s="284" t="n"/>
      <c r="JK83" s="36" t="n"/>
      <c r="JL83" s="284" t="n"/>
      <c r="JM83" s="38" t="n"/>
      <c r="JN83" s="284" t="n"/>
      <c r="JO83" s="36" t="n"/>
      <c r="JP83" s="284" t="n"/>
      <c r="JQ83" s="38" t="n"/>
      <c r="JR83" s="284" t="n"/>
      <c r="JS83" s="36" t="n"/>
      <c r="JT83" s="284" t="n"/>
      <c r="JU83" s="38" t="n"/>
      <c r="JV83" s="284" t="n"/>
      <c r="JW83" s="36" t="n"/>
      <c r="JX83" s="284" t="n"/>
      <c r="JY83" s="38" t="n"/>
      <c r="JZ83" s="284" t="n"/>
      <c r="KA83" s="36" t="n"/>
      <c r="KB83" s="284" t="n"/>
      <c r="KC83" s="38" t="n"/>
      <c r="KD83" s="284" t="n"/>
      <c r="KE83" s="338">
        <f t="array" ref="KE83">SUMPRODUCT(--(MOD(COLUMN($II83:$KD83),4)=MOD(COLUMN($II83),4)),$II83:$KD83)</f>
        <v/>
      </c>
      <c r="KF83" s="339">
        <f>KE83*$J83</f>
        <v/>
      </c>
      <c r="KG83" s="340">
        <f t="array" ref="KG83">SUMPRODUCT(--(MOD(COLUMN($II83:$KD83),4)=MOD(COLUMN($IJ83),4)),$II83:$KD83)</f>
        <v/>
      </c>
      <c r="KH83" s="341">
        <f>KG83*$J83</f>
        <v/>
      </c>
      <c r="KI83" s="342">
        <f t="array" ref="KI83">SUMPRODUCT(--(MOD(COLUMN($II83:$KD83),4)=MOD(COLUMN($IK83),4)),$II83:$KD83)</f>
        <v/>
      </c>
      <c r="KJ83" s="346">
        <f>KI83*$J83</f>
        <v/>
      </c>
      <c r="KK83" s="80" t="n"/>
      <c r="KL83" s="80" t="n"/>
      <c r="KM83" s="80" t="n"/>
      <c r="KN83" s="51" t="n"/>
      <c r="KO83" s="285" t="n"/>
    </row>
    <row r="84" outlineLevel="1" ht="28.8" customFormat="1" customHeight="1" s="68">
      <c r="A84" s="347" t="n"/>
      <c r="B84" s="347" t="n"/>
      <c r="C84" s="347" t="n"/>
      <c r="D84" s="347" t="n"/>
      <c r="E84" s="15" t="n">
        <v>48</v>
      </c>
      <c r="F84" s="149" t="n">
        <v>2</v>
      </c>
      <c r="G84" s="112" t="n">
        <v>9730090010</v>
      </c>
      <c r="H84" s="154" t="inlineStr">
        <is>
          <t>Клапан управления тормозами прицепа</t>
        </is>
      </c>
      <c r="I84" s="359" t="n"/>
      <c r="J84" s="360" t="n">
        <v>1590</v>
      </c>
      <c r="K84" s="360" t="n"/>
      <c r="L84" s="360" t="n"/>
      <c r="M84" s="36" t="n"/>
      <c r="N84" s="284" t="n"/>
      <c r="O84" s="38" t="n"/>
      <c r="P84" s="284" t="n"/>
      <c r="Q84" s="36" t="n"/>
      <c r="R84" s="284" t="n"/>
      <c r="S84" s="38" t="n"/>
      <c r="T84" s="284" t="n"/>
      <c r="U84" s="36" t="n"/>
      <c r="V84" s="284" t="n"/>
      <c r="W84" s="38" t="n"/>
      <c r="X84" s="284" t="n"/>
      <c r="Y84" s="36" t="n"/>
      <c r="Z84" s="39" t="n"/>
      <c r="AA84" s="38" t="n"/>
      <c r="AB84" s="247" t="n"/>
      <c r="AC84" s="36" t="n"/>
      <c r="AD84" s="284" t="n"/>
      <c r="AE84" s="38" t="n"/>
      <c r="AF84" s="247" t="n"/>
      <c r="AG84" s="36" t="n"/>
      <c r="AH84" s="284" t="n"/>
      <c r="AI84" s="38" t="n"/>
      <c r="AJ84" s="247" t="n"/>
      <c r="AK84" s="36" t="n"/>
      <c r="AL84" s="284" t="n"/>
      <c r="AM84" s="38" t="n"/>
      <c r="AN84" s="247" t="n"/>
      <c r="AO84" s="36" t="n"/>
      <c r="AP84" s="284" t="n"/>
      <c r="AQ84" s="38" t="n"/>
      <c r="AR84" s="247" t="n"/>
      <c r="AS84" s="36" t="n"/>
      <c r="AT84" s="284" t="n"/>
      <c r="AU84" s="38" t="n"/>
      <c r="AV84" s="247" t="n"/>
      <c r="AW84" s="36" t="n"/>
      <c r="AX84" s="284" t="n"/>
      <c r="AY84" s="38" t="n"/>
      <c r="AZ84" s="247" t="n"/>
      <c r="BA84" s="36" t="n"/>
      <c r="BB84" s="284" t="n"/>
      <c r="BC84" s="92" t="n"/>
      <c r="BD84" s="284" t="n"/>
      <c r="BE84" s="36" t="n"/>
      <c r="BF84" s="284" t="n"/>
      <c r="BG84" s="54" t="n"/>
      <c r="BH84" s="284" t="n"/>
      <c r="BI84" s="338" t="n"/>
      <c r="BJ84" s="339" t="n"/>
      <c r="BK84" s="340" t="n"/>
      <c r="BL84" s="341" t="n"/>
      <c r="BM84" s="342" t="n"/>
      <c r="BN84" s="343" t="n"/>
      <c r="BO84" s="36" t="n"/>
      <c r="BP84" s="47" t="n"/>
      <c r="BQ84" s="284" t="n"/>
      <c r="BR84" s="38" t="n"/>
      <c r="BS84" s="284" t="n"/>
      <c r="BT84" s="36" t="n"/>
      <c r="BU84" s="47" t="n"/>
      <c r="BV84" s="284" t="n"/>
      <c r="BW84" s="38" t="n"/>
      <c r="BX84" s="247" t="n"/>
      <c r="BY84" s="36" t="n"/>
      <c r="BZ84" s="47" t="n"/>
      <c r="CA84" s="284" t="n"/>
      <c r="CB84" s="38" t="n"/>
      <c r="CC84" s="284" t="n"/>
      <c r="CD84" s="36" t="n"/>
      <c r="CE84" s="47" t="n"/>
      <c r="CF84" s="284" t="n"/>
      <c r="CG84" s="38" t="n"/>
      <c r="CH84" s="245" t="n"/>
      <c r="CI84" s="36" t="n"/>
      <c r="CJ84" s="47" t="n"/>
      <c r="CK84" s="284" t="n"/>
      <c r="CL84" s="38" t="n"/>
      <c r="CM84" s="284" t="n"/>
      <c r="CN84" s="36" t="n"/>
      <c r="CO84" s="47" t="n"/>
      <c r="CP84" s="284" t="n"/>
      <c r="CQ84" s="38" t="n"/>
      <c r="CR84" s="284" t="n"/>
      <c r="CS84" s="36" t="n"/>
      <c r="CT84" s="47" t="n"/>
      <c r="CU84" s="284" t="n"/>
      <c r="CV84" s="38" t="n"/>
      <c r="CW84" s="284" t="n"/>
      <c r="CX84" s="36" t="n"/>
      <c r="CY84" s="47" t="n"/>
      <c r="CZ84" s="284" t="n"/>
      <c r="DA84" s="38" t="n"/>
      <c r="DB84" s="284" t="n"/>
      <c r="DC84" s="36" t="n"/>
      <c r="DD84" s="47" t="n"/>
      <c r="DE84" s="284" t="n"/>
      <c r="DF84" s="38" t="n"/>
      <c r="DG84" s="284" t="n"/>
      <c r="DH84" s="36" t="n"/>
      <c r="DI84" s="47" t="n"/>
      <c r="DJ84" s="284" t="n"/>
      <c r="DK84" s="38" t="n"/>
      <c r="DL84" s="284" t="n"/>
      <c r="DM84" s="36" t="n"/>
      <c r="DN84" s="47" t="n"/>
      <c r="DO84" s="284" t="n"/>
      <c r="DP84" s="38" t="n"/>
      <c r="DQ84" s="227" t="n"/>
      <c r="DR84" s="36" t="n"/>
      <c r="DS84" s="47" t="n"/>
      <c r="DT84" s="284" t="n"/>
      <c r="DU84" s="38" t="n">
        <v>0</v>
      </c>
      <c r="DV84" s="284" t="n"/>
      <c r="DW84" s="338">
        <f t="array" ref="DW84">SUMPRODUCT(--(MOD(COLUMN($BO84:$DV84),5)=MOD(COLUMN($BO84),5)),$BO84:$DV84)</f>
        <v/>
      </c>
      <c r="DX84" s="339">
        <f>DW84*$J84</f>
        <v/>
      </c>
      <c r="DY84" s="344">
        <f t="array" ref="DY84">SUMPRODUCT(--(MOD(COLUMN($BO84:$DV84),5)=MOD(COLUMN($BP84),5)),$BO84:$DV84)</f>
        <v/>
      </c>
      <c r="DZ84" s="345">
        <f>DY84*$J84</f>
        <v/>
      </c>
      <c r="EA84" s="340">
        <f t="array" ref="EA84">SUMPRODUCT(--(MOD(COLUMN($BO84:$DV84),5)=MOD(COLUMN($BQ84),5)),$BO84:$DV84)</f>
        <v/>
      </c>
      <c r="EB84" s="341">
        <f>EA84*$J84</f>
        <v/>
      </c>
      <c r="EC84" s="342">
        <f t="array" ref="EC84">SUMPRODUCT(--(MOD(COLUMN($BO84:$DV84),5)=MOD(COLUMN($BR84),5)),$BO84:$DV84)</f>
        <v/>
      </c>
      <c r="ED84" s="343">
        <f>EC84*$J84</f>
        <v/>
      </c>
      <c r="EE84" s="36" t="n"/>
      <c r="EF84" s="284" t="n">
        <v>0</v>
      </c>
      <c r="EG84" s="38" t="n"/>
      <c r="EH84" s="284" t="inlineStr">
        <is>
          <t>Новый артикул</t>
        </is>
      </c>
      <c r="EI84" s="36" t="n"/>
      <c r="EJ84" s="284" t="n"/>
      <c r="EK84" s="38" t="n"/>
      <c r="EL84" s="284" t="n"/>
      <c r="EM84" s="36" t="n"/>
      <c r="EN84" s="284" t="n"/>
      <c r="EO84" s="38" t="n"/>
      <c r="EP84" s="284" t="n"/>
      <c r="EQ84" s="36" t="n"/>
      <c r="ER84" s="284" t="n">
        <v>1</v>
      </c>
      <c r="ES84" s="38" t="n">
        <v>1</v>
      </c>
      <c r="ET84" s="333" t="n"/>
      <c r="EU84" s="36" t="n"/>
      <c r="EV84" s="284" t="n">
        <v>0</v>
      </c>
      <c r="EW84" s="38" t="n"/>
      <c r="EX84" s="333" t="n"/>
      <c r="EY84" s="36" t="n"/>
      <c r="EZ84" s="284" t="n"/>
      <c r="FA84" s="38" t="n"/>
      <c r="FB84" s="284" t="n"/>
      <c r="FC84" s="36" t="n"/>
      <c r="FD84" s="284" t="n"/>
      <c r="FE84" s="38" t="n"/>
      <c r="FF84" s="284" t="n"/>
      <c r="FG84" s="36" t="n"/>
      <c r="FH84" s="284" t="n"/>
      <c r="FI84" s="38" t="n"/>
      <c r="FJ84" s="284" t="n"/>
      <c r="FK84" s="36" t="n"/>
      <c r="FL84" s="284" t="n"/>
      <c r="FM84" s="38" t="n"/>
      <c r="FN84" s="284" t="n"/>
      <c r="FO84" s="36" t="n"/>
      <c r="FP84" s="284" t="n"/>
      <c r="FQ84" s="38" t="n"/>
      <c r="FR84" s="284" t="n"/>
      <c r="FS84" s="36" t="n"/>
      <c r="FT84" s="284" t="n"/>
      <c r="FU84" s="38" t="n"/>
      <c r="FV84" s="284" t="n"/>
      <c r="FW84" s="36" t="n"/>
      <c r="FX84" s="284" t="n"/>
      <c r="FY84" s="38" t="n"/>
      <c r="FZ84" s="284" t="n"/>
      <c r="GA84" s="338">
        <f>SUMPRODUCT(--(MOD(COLUMN($EE84:$FZ84),4)=MOD(COLUMN($EE84),4)),$EE84:$FZ84)</f>
        <v/>
      </c>
      <c r="GB84" s="339">
        <f>GA84*$J84</f>
        <v/>
      </c>
      <c r="GC84" s="340">
        <f>SUMPRODUCT(--(MOD(COLUMN($EE84:$FZ84),4)=MOD(COLUMN($EF84),4)),$EE84:$FZ84)</f>
        <v/>
      </c>
      <c r="GD84" s="341">
        <f>GC84*$J84</f>
        <v/>
      </c>
      <c r="GE84" s="342">
        <f>SUMPRODUCT(--(MOD(COLUMN($EE84:$FZ84),4)=MOD(COLUMN($EG84),4)),$EE84:$FZ84)</f>
        <v/>
      </c>
      <c r="GF84" s="343">
        <f>GE84*$J84</f>
        <v/>
      </c>
      <c r="GG84" s="36" t="n"/>
      <c r="GH84" s="284" t="n"/>
      <c r="GI84" s="38" t="n"/>
      <c r="GJ84" s="284" t="n"/>
      <c r="GK84" s="36" t="n"/>
      <c r="GL84" s="284" t="n"/>
      <c r="GM84" s="38" t="n"/>
      <c r="GN84" s="284" t="n"/>
      <c r="GO84" s="36" t="n"/>
      <c r="GP84" s="284" t="n"/>
      <c r="GQ84" s="38" t="n"/>
      <c r="GR84" s="284" t="n"/>
      <c r="GS84" s="36" t="n"/>
      <c r="GT84" s="284" t="n"/>
      <c r="GU84" s="38" t="n"/>
      <c r="GV84" s="284" t="n"/>
      <c r="GW84" s="36" t="n"/>
      <c r="GX84" s="284" t="n"/>
      <c r="GY84" s="38" t="n"/>
      <c r="GZ84" s="284" t="n"/>
      <c r="HA84" s="36" t="n"/>
      <c r="HB84" s="284" t="n"/>
      <c r="HC84" s="38" t="n"/>
      <c r="HD84" s="284" t="n"/>
      <c r="HE84" s="36" t="n"/>
      <c r="HF84" s="284" t="n"/>
      <c r="HG84" s="38" t="n"/>
      <c r="HH84" s="284" t="n"/>
      <c r="HI84" s="36" t="n"/>
      <c r="HJ84" s="284" t="n"/>
      <c r="HK84" s="38" t="n"/>
      <c r="HL84" s="284" t="n"/>
      <c r="HM84" s="36" t="n"/>
      <c r="HN84" s="284" t="n"/>
      <c r="HO84" s="38" t="n"/>
      <c r="HP84" s="284" t="n"/>
      <c r="HQ84" s="36" t="n"/>
      <c r="HR84" s="284" t="n"/>
      <c r="HS84" s="38" t="n"/>
      <c r="HT84" s="284" t="n"/>
      <c r="HU84" s="36" t="n"/>
      <c r="HV84" s="284" t="n"/>
      <c r="HW84" s="38" t="n"/>
      <c r="HX84" s="284" t="n"/>
      <c r="HY84" s="36" t="n"/>
      <c r="HZ84" s="284" t="n"/>
      <c r="IA84" s="38" t="n"/>
      <c r="IB84" s="284" t="n"/>
      <c r="IC84" s="338">
        <f t="array" ref="IC84">SUMPRODUCT(--(MOD(COLUMN($GG84:$IB84),4)=MOD(COLUMN($GG84),4)),$GG84:$IB84)</f>
        <v/>
      </c>
      <c r="ID84" s="339">
        <f>IC84*$J84</f>
        <v/>
      </c>
      <c r="IE84" s="340">
        <f t="array" ref="IE84">SUMPRODUCT(--(MOD(COLUMN($GG84:$IB84),4)=MOD(COLUMN($GH84),4)),$GG84:$IB84)</f>
        <v/>
      </c>
      <c r="IF84" s="341">
        <f>IE84*$J84</f>
        <v/>
      </c>
      <c r="IG84" s="342">
        <f t="array" ref="IG84">SUMPRODUCT(--(MOD(COLUMN($GG84:$IB84),4)=MOD(COLUMN($GI84),4)),$GG84:$IB84)</f>
        <v/>
      </c>
      <c r="IH84" s="343">
        <f>IG84*$J84</f>
        <v/>
      </c>
      <c r="II84" s="36" t="n"/>
      <c r="IJ84" s="284" t="n"/>
      <c r="IK84" s="38" t="n"/>
      <c r="IL84" s="284" t="n"/>
      <c r="IM84" s="36" t="n"/>
      <c r="IN84" s="284" t="n"/>
      <c r="IO84" s="38" t="n"/>
      <c r="IP84" s="284" t="n"/>
      <c r="IQ84" s="36" t="n"/>
      <c r="IR84" s="284" t="n"/>
      <c r="IS84" s="38" t="n"/>
      <c r="IT84" s="284" t="n"/>
      <c r="IU84" s="36" t="n"/>
      <c r="IV84" s="284" t="n"/>
      <c r="IW84" s="38" t="n"/>
      <c r="IX84" s="284" t="n"/>
      <c r="IY84" s="36" t="n"/>
      <c r="IZ84" s="284" t="n"/>
      <c r="JA84" s="38" t="n"/>
      <c r="JB84" s="284" t="n"/>
      <c r="JC84" s="36" t="n"/>
      <c r="JD84" s="284" t="n"/>
      <c r="JE84" s="38" t="n"/>
      <c r="JF84" s="284" t="n"/>
      <c r="JG84" s="36" t="n"/>
      <c r="JH84" s="284" t="n"/>
      <c r="JI84" s="38" t="n"/>
      <c r="JJ84" s="284" t="n"/>
      <c r="JK84" s="36" t="n"/>
      <c r="JL84" s="284" t="n"/>
      <c r="JM84" s="38" t="n"/>
      <c r="JN84" s="284" t="n"/>
      <c r="JO84" s="36" t="n"/>
      <c r="JP84" s="284" t="n"/>
      <c r="JQ84" s="38" t="n"/>
      <c r="JR84" s="284" t="n"/>
      <c r="JS84" s="36" t="n"/>
      <c r="JT84" s="284" t="n"/>
      <c r="JU84" s="38" t="n"/>
      <c r="JV84" s="284" t="n"/>
      <c r="JW84" s="36" t="n"/>
      <c r="JX84" s="284" t="n"/>
      <c r="JY84" s="38" t="n"/>
      <c r="JZ84" s="284" t="n"/>
      <c r="KA84" s="36" t="n"/>
      <c r="KB84" s="284" t="n"/>
      <c r="KC84" s="38" t="n"/>
      <c r="KD84" s="284" t="n"/>
      <c r="KE84" s="338">
        <f t="array" ref="KE84">SUMPRODUCT(--(MOD(COLUMN($II84:$KD84),4)=MOD(COLUMN($II84),4)),$II84:$KD84)</f>
        <v/>
      </c>
      <c r="KF84" s="339">
        <f>KE84*$J84</f>
        <v/>
      </c>
      <c r="KG84" s="340">
        <f t="array" ref="KG84">SUMPRODUCT(--(MOD(COLUMN($II84:$KD84),4)=MOD(COLUMN($IJ84),4)),$II84:$KD84)</f>
        <v/>
      </c>
      <c r="KH84" s="341">
        <f>KG84*$J84</f>
        <v/>
      </c>
      <c r="KI84" s="342">
        <f t="array" ref="KI84">SUMPRODUCT(--(MOD(COLUMN($II84:$KD84),4)=MOD(COLUMN($IK84),4)),$II84:$KD84)</f>
        <v/>
      </c>
      <c r="KJ84" s="346">
        <f>KI84*$J84</f>
        <v/>
      </c>
      <c r="KK84" s="80" t="n"/>
      <c r="KL84" s="80" t="n"/>
      <c r="KM84" s="80" t="n"/>
      <c r="KN84" s="51" t="n"/>
      <c r="KO84" s="285" t="n"/>
    </row>
    <row r="85" outlineLevel="1" ht="15" customFormat="1" customHeight="1" s="68">
      <c r="A85" s="347" t="n"/>
      <c r="B85" s="347" t="n"/>
      <c r="C85" s="347" t="n"/>
      <c r="D85" s="347" t="n"/>
      <c r="E85" s="15" t="n">
        <v>49</v>
      </c>
      <c r="F85" s="61" t="n">
        <v>2</v>
      </c>
      <c r="G85" s="62" t="n">
        <v>4462907000</v>
      </c>
      <c r="H85" s="63" t="inlineStr">
        <is>
          <t>OptiLink ECU</t>
        </is>
      </c>
      <c r="I85" s="371" t="n"/>
      <c r="J85" s="371">
        <f>1818/1.2</f>
        <v/>
      </c>
      <c r="K85" s="371" t="n"/>
      <c r="L85" s="371" t="n"/>
      <c r="M85" s="36" t="n"/>
      <c r="N85" s="284" t="n"/>
      <c r="O85" s="38" t="n"/>
      <c r="P85" s="284" t="n"/>
      <c r="Q85" s="36" t="n"/>
      <c r="R85" s="284" t="n"/>
      <c r="S85" s="38" t="n"/>
      <c r="T85" s="284" t="n"/>
      <c r="U85" s="36" t="n"/>
      <c r="V85" s="284" t="n"/>
      <c r="W85" s="38" t="n"/>
      <c r="X85" s="284" t="n"/>
      <c r="Y85" s="36" t="n"/>
      <c r="Z85" s="39" t="n"/>
      <c r="AA85" s="38" t="n"/>
      <c r="AB85" s="247" t="n"/>
      <c r="AC85" s="36" t="n"/>
      <c r="AD85" s="284" t="n"/>
      <c r="AE85" s="38" t="n"/>
      <c r="AF85" s="247" t="n"/>
      <c r="AG85" s="36" t="n"/>
      <c r="AH85" s="284" t="n"/>
      <c r="AI85" s="38" t="n"/>
      <c r="AJ85" s="247" t="n"/>
      <c r="AK85" s="36" t="n"/>
      <c r="AL85" s="284" t="n"/>
      <c r="AM85" s="38" t="n"/>
      <c r="AN85" s="247" t="n"/>
      <c r="AO85" s="36" t="n"/>
      <c r="AP85" s="284" t="n"/>
      <c r="AQ85" s="38" t="n"/>
      <c r="AR85" s="247" t="n"/>
      <c r="AS85" s="36" t="n"/>
      <c r="AT85" s="284" t="n"/>
      <c r="AU85" s="38" t="n"/>
      <c r="AV85" s="247" t="n"/>
      <c r="AW85" s="36" t="n"/>
      <c r="AX85" s="284" t="n"/>
      <c r="AY85" s="38" t="n"/>
      <c r="AZ85" s="247" t="n"/>
      <c r="BA85" s="36" t="n"/>
      <c r="BB85" s="284" t="n"/>
      <c r="BC85" s="92" t="n"/>
      <c r="BD85" s="284" t="n"/>
      <c r="BE85" s="36" t="n"/>
      <c r="BF85" s="284">
        <f>$KN85*0</f>
        <v/>
      </c>
      <c r="BG85" s="54" t="n"/>
      <c r="BH85" s="284" t="n"/>
      <c r="BI85" s="338" t="n"/>
      <c r="BJ85" s="339" t="n"/>
      <c r="BK85" s="340" t="n"/>
      <c r="BL85" s="341" t="n"/>
      <c r="BM85" s="342" t="n"/>
      <c r="BN85" s="343" t="n"/>
      <c r="BO85" s="36" t="n"/>
      <c r="BP85" s="47" t="n"/>
      <c r="BQ85" s="284" t="n"/>
      <c r="BR85" s="38" t="n"/>
      <c r="BS85" s="284" t="n"/>
      <c r="BT85" s="36" t="n"/>
      <c r="BU85" s="47" t="n"/>
      <c r="BV85" s="284" t="n"/>
      <c r="BW85" s="38" t="n"/>
      <c r="BX85" s="247" t="n"/>
      <c r="BY85" s="36" t="n"/>
      <c r="BZ85" s="47" t="n"/>
      <c r="CA85" s="284" t="n"/>
      <c r="CB85" s="38" t="n"/>
      <c r="CC85" s="284" t="n"/>
      <c r="CD85" s="36" t="n"/>
      <c r="CE85" s="47" t="n"/>
      <c r="CF85" s="284" t="n"/>
      <c r="CG85" s="38" t="n"/>
      <c r="CH85" s="247" t="n"/>
      <c r="CI85" s="36" t="n"/>
      <c r="CJ85" s="47" t="n"/>
      <c r="CK85" s="284" t="n">
        <v>1</v>
      </c>
      <c r="CL85" s="38" t="n">
        <v>1</v>
      </c>
      <c r="CM85" s="284" t="inlineStr">
        <is>
          <t>Новая номенклатура</t>
        </is>
      </c>
      <c r="CN85" s="36" t="n"/>
      <c r="CO85" s="47" t="n"/>
      <c r="CP85" s="284" t="n"/>
      <c r="CQ85" s="38" t="n">
        <v>0</v>
      </c>
      <c r="CR85" s="284" t="n"/>
      <c r="CS85" s="36" t="n"/>
      <c r="CT85" s="47" t="n"/>
      <c r="CU85" s="284" t="n"/>
      <c r="CV85" s="38" t="n">
        <v>0</v>
      </c>
      <c r="CW85" s="284" t="n"/>
      <c r="CX85" s="36" t="n"/>
      <c r="CY85" s="47" t="n"/>
      <c r="CZ85" s="284" t="n"/>
      <c r="DA85" s="38" t="n">
        <v>0</v>
      </c>
      <c r="DB85" s="284" t="n"/>
      <c r="DC85" s="36" t="n"/>
      <c r="DD85" s="47" t="n"/>
      <c r="DE85" s="284" t="n"/>
      <c r="DF85" s="38" t="n">
        <v>0</v>
      </c>
      <c r="DG85" s="284" t="n"/>
      <c r="DH85" s="36" t="n"/>
      <c r="DI85" s="47" t="n"/>
      <c r="DJ85" s="284" t="n"/>
      <c r="DK85" s="38" t="n">
        <v>0</v>
      </c>
      <c r="DL85" s="284" t="n"/>
      <c r="DM85" s="36" t="n"/>
      <c r="DN85" s="47" t="n"/>
      <c r="DO85" s="284" t="n"/>
      <c r="DP85" s="38" t="n"/>
      <c r="DQ85" s="227" t="n"/>
      <c r="DR85" s="36" t="n"/>
      <c r="DS85" s="47" t="n"/>
      <c r="DT85" s="284" t="n"/>
      <c r="DU85" s="38" t="n">
        <v>0</v>
      </c>
      <c r="DV85" s="284" t="n"/>
      <c r="DW85" s="338">
        <f t="array" ref="DW85">SUMPRODUCT(--(MOD(COLUMN($BO85:$DV85),5)=MOD(COLUMN($BO85),5)),$BO85:$DV85)</f>
        <v/>
      </c>
      <c r="DX85" s="339">
        <f>DW85*$J85</f>
        <v/>
      </c>
      <c r="DY85" s="344">
        <f t="array" ref="DY85">SUMPRODUCT(--(MOD(COLUMN($BO85:$DV85),5)=MOD(COLUMN($BP85),5)),$BO85:$DV85)</f>
        <v/>
      </c>
      <c r="DZ85" s="345">
        <f>DY85*$J85</f>
        <v/>
      </c>
      <c r="EA85" s="340">
        <f t="array" ref="EA85">SUMPRODUCT(--(MOD(COLUMN($BO85:$DV85),5)=MOD(COLUMN($BQ85),5)),$BO85:$DV85)</f>
        <v/>
      </c>
      <c r="EB85" s="341">
        <f>EA85*$J85</f>
        <v/>
      </c>
      <c r="EC85" s="342">
        <f t="array" ref="EC85">SUMPRODUCT(--(MOD(COLUMN($BO85:$DV85),5)=MOD(COLUMN($BR85),5)),$BO85:$DV85)</f>
        <v/>
      </c>
      <c r="ED85" s="343">
        <f>EC85*$J85</f>
        <v/>
      </c>
      <c r="EE85" s="36" t="n"/>
      <c r="EF85" s="284" t="n"/>
      <c r="EG85" s="38" t="n"/>
      <c r="EH85" s="247" t="n"/>
      <c r="EI85" s="36" t="n"/>
      <c r="EJ85" s="284" t="n"/>
      <c r="EK85" s="38" t="n"/>
      <c r="EL85" s="247" t="n"/>
      <c r="EM85" s="36" t="n"/>
      <c r="EN85" s="284" t="n"/>
      <c r="EO85" s="38" t="n"/>
      <c r="EP85" s="247" t="n"/>
      <c r="EQ85" s="36" t="n"/>
      <c r="ER85" s="284" t="n"/>
      <c r="ES85" s="38" t="n"/>
      <c r="ET85" s="247" t="n"/>
      <c r="EU85" s="36" t="n"/>
      <c r="EV85" s="284" t="n"/>
      <c r="EW85" s="38" t="n"/>
      <c r="EX85" s="247" t="n"/>
      <c r="EY85" s="36" t="n"/>
      <c r="EZ85" s="284" t="n"/>
      <c r="FA85" s="38" t="n"/>
      <c r="FB85" s="247" t="n"/>
      <c r="FC85" s="36" t="n"/>
      <c r="FD85" s="284" t="n"/>
      <c r="FE85" s="38" t="n"/>
      <c r="FF85" s="247" t="n"/>
      <c r="FG85" s="36" t="n"/>
      <c r="FH85" s="284" t="n"/>
      <c r="FI85" s="38" t="n"/>
      <c r="FJ85" s="247" t="n"/>
      <c r="FK85" s="36" t="n"/>
      <c r="FL85" s="284" t="n"/>
      <c r="FM85" s="38" t="n"/>
      <c r="FN85" s="247" t="n"/>
      <c r="FO85" s="36" t="n"/>
      <c r="FP85" s="284" t="n"/>
      <c r="FQ85" s="38" t="n"/>
      <c r="FR85" s="247" t="n"/>
      <c r="FS85" s="36" t="n"/>
      <c r="FT85" s="284" t="n"/>
      <c r="FU85" s="38" t="n"/>
      <c r="FV85" s="247" t="n"/>
      <c r="FW85" s="36" t="n"/>
      <c r="FX85" s="284" t="n"/>
      <c r="FY85" s="38" t="n"/>
      <c r="FZ85" s="247" t="n"/>
      <c r="GA85" s="338">
        <f t="array" ref="GA85">SUMPRODUCT(--(MOD(COLUMN($EE85:$FZ85),4)=MOD(COLUMN($EE85),4)),$EE85:$FZ85)</f>
        <v/>
      </c>
      <c r="GB85" s="339">
        <f>GA85*$J85</f>
        <v/>
      </c>
      <c r="GC85" s="340">
        <f t="array" ref="GC85">SUMPRODUCT(--(MOD(COLUMN($EE85:$FZ85),4)=MOD(COLUMN($EF85),4)),$EE85:$FZ85)</f>
        <v/>
      </c>
      <c r="GD85" s="341">
        <f>GC85*$J85</f>
        <v/>
      </c>
      <c r="GE85" s="342">
        <f t="array" ref="GE85">SUMPRODUCT(--(MOD(COLUMN($EE85:$FZ85),4)=MOD(COLUMN($EG85),4)),$EE85:$FZ85)</f>
        <v/>
      </c>
      <c r="GF85" s="343">
        <f>GE85*$J85</f>
        <v/>
      </c>
      <c r="GG85" s="36" t="n"/>
      <c r="GH85" s="284" t="n"/>
      <c r="GI85" s="38" t="n"/>
      <c r="GJ85" s="247" t="n"/>
      <c r="GK85" s="36" t="n"/>
      <c r="GL85" s="284" t="n"/>
      <c r="GM85" s="38" t="n"/>
      <c r="GN85" s="247" t="n"/>
      <c r="GO85" s="36" t="n"/>
      <c r="GP85" s="284" t="n"/>
      <c r="GQ85" s="38" t="n"/>
      <c r="GR85" s="247" t="n"/>
      <c r="GS85" s="36" t="n"/>
      <c r="GT85" s="284" t="n"/>
      <c r="GU85" s="38" t="n"/>
      <c r="GV85" s="247" t="n"/>
      <c r="GW85" s="36" t="n"/>
      <c r="GX85" s="284" t="n"/>
      <c r="GY85" s="38" t="n"/>
      <c r="GZ85" s="247" t="n"/>
      <c r="HA85" s="36" t="n"/>
      <c r="HB85" s="284" t="n"/>
      <c r="HC85" s="38" t="n"/>
      <c r="HD85" s="247" t="n"/>
      <c r="HE85" s="36" t="n"/>
      <c r="HF85" s="284" t="n"/>
      <c r="HG85" s="38" t="n"/>
      <c r="HH85" s="247" t="n"/>
      <c r="HI85" s="36" t="n"/>
      <c r="HJ85" s="284" t="n"/>
      <c r="HK85" s="38" t="n"/>
      <c r="HL85" s="247" t="n"/>
      <c r="HM85" s="36" t="n"/>
      <c r="HN85" s="284" t="n"/>
      <c r="HO85" s="38" t="n"/>
      <c r="HP85" s="247" t="n"/>
      <c r="HQ85" s="36" t="n"/>
      <c r="HR85" s="284" t="n"/>
      <c r="HS85" s="38" t="n"/>
      <c r="HT85" s="247" t="n"/>
      <c r="HU85" s="36" t="n"/>
      <c r="HV85" s="284" t="n"/>
      <c r="HW85" s="38" t="n"/>
      <c r="HX85" s="247" t="n"/>
      <c r="HY85" s="36" t="n"/>
      <c r="HZ85" s="284" t="n"/>
      <c r="IA85" s="38" t="n"/>
      <c r="IB85" s="247" t="n"/>
      <c r="IC85" s="338">
        <f t="array" ref="IC85">SUMPRODUCT(--(MOD(COLUMN($GG85:$IB85),4)=MOD(COLUMN($GG85),4)),$GG85:$IB85)</f>
        <v/>
      </c>
      <c r="ID85" s="339">
        <f>IC85*$J85</f>
        <v/>
      </c>
      <c r="IE85" s="340">
        <f t="array" ref="IE85">SUMPRODUCT(--(MOD(COLUMN($GG85:$IB85),4)=MOD(COLUMN($GH85),4)),$GG85:$IB85)</f>
        <v/>
      </c>
      <c r="IF85" s="341">
        <f>IE85*$J85</f>
        <v/>
      </c>
      <c r="IG85" s="342">
        <f t="array" ref="IG85">SUMPRODUCT(--(MOD(COLUMN($GG85:$IB85),4)=MOD(COLUMN($GI85),4)),$GG85:$IB85)</f>
        <v/>
      </c>
      <c r="IH85" s="343">
        <f>IG85*$J85</f>
        <v/>
      </c>
      <c r="II85" s="36" t="n"/>
      <c r="IJ85" s="284" t="n"/>
      <c r="IK85" s="38" t="n"/>
      <c r="IL85" s="247" t="n"/>
      <c r="IM85" s="36" t="n"/>
      <c r="IN85" s="284" t="n"/>
      <c r="IO85" s="38" t="n"/>
      <c r="IP85" s="247" t="n"/>
      <c r="IQ85" s="36" t="n"/>
      <c r="IR85" s="284" t="n"/>
      <c r="IS85" s="38" t="n"/>
      <c r="IT85" s="247" t="n"/>
      <c r="IU85" s="36" t="n"/>
      <c r="IV85" s="284" t="n"/>
      <c r="IW85" s="38" t="n"/>
      <c r="IX85" s="247" t="n"/>
      <c r="IY85" s="36" t="n"/>
      <c r="IZ85" s="284" t="n"/>
      <c r="JA85" s="38" t="n"/>
      <c r="JB85" s="247" t="n"/>
      <c r="JC85" s="36" t="n"/>
      <c r="JD85" s="284" t="n"/>
      <c r="JE85" s="38" t="n"/>
      <c r="JF85" s="247" t="n"/>
      <c r="JG85" s="36" t="n"/>
      <c r="JH85" s="284" t="n"/>
      <c r="JI85" s="38" t="n"/>
      <c r="JJ85" s="247" t="n"/>
      <c r="JK85" s="36" t="n"/>
      <c r="JL85" s="284" t="n"/>
      <c r="JM85" s="38" t="n"/>
      <c r="JN85" s="247" t="n"/>
      <c r="JO85" s="36" t="n"/>
      <c r="JP85" s="284" t="n"/>
      <c r="JQ85" s="38" t="n"/>
      <c r="JR85" s="247" t="n"/>
      <c r="JS85" s="36" t="n"/>
      <c r="JT85" s="284" t="n"/>
      <c r="JU85" s="38" t="n"/>
      <c r="JV85" s="247" t="n"/>
      <c r="JW85" s="36" t="n"/>
      <c r="JX85" s="284" t="n"/>
      <c r="JY85" s="38" t="n"/>
      <c r="JZ85" s="247" t="n"/>
      <c r="KA85" s="36" t="n"/>
      <c r="KB85" s="284" t="n"/>
      <c r="KC85" s="38" t="n"/>
      <c r="KD85" s="247" t="n"/>
      <c r="KE85" s="338">
        <f t="array" ref="KE85">SUMPRODUCT(--(MOD(COLUMN($II85:$KD85),4)=MOD(COLUMN($II85),4)),$II85:$KD85)</f>
        <v/>
      </c>
      <c r="KF85" s="339">
        <f>KE85*$J85</f>
        <v/>
      </c>
      <c r="KG85" s="340">
        <f t="array" ref="KG85">SUMPRODUCT(--(MOD(COLUMN($II85:$KD85),4)=MOD(COLUMN($IJ85),4)),$II85:$KD85)</f>
        <v/>
      </c>
      <c r="KH85" s="341">
        <f>KG85*$J85</f>
        <v/>
      </c>
      <c r="KI85" s="342">
        <f t="array" ref="KI85">SUMPRODUCT(--(MOD(COLUMN($II85:$KD85),4)=MOD(COLUMN($IK85),4)),$II85:$KD85)</f>
        <v/>
      </c>
      <c r="KJ85" s="346">
        <f>KI85*$J85</f>
        <v/>
      </c>
      <c r="KK85" s="80" t="n"/>
      <c r="KL85" s="80" t="n"/>
      <c r="KM85" s="80" t="n"/>
      <c r="KN85" s="51" t="n">
        <v>1</v>
      </c>
      <c r="KO85" s="285" t="n"/>
    </row>
    <row r="86" outlineLevel="1" ht="57.6" customFormat="1" customHeight="1" s="68">
      <c r="A86" s="347" t="n"/>
      <c r="B86" s="347" t="n"/>
      <c r="C86" s="347" t="n"/>
      <c r="D86" s="347" t="n"/>
      <c r="E86" s="15" t="n">
        <v>50</v>
      </c>
      <c r="F86" s="61" t="n">
        <v>2</v>
      </c>
      <c r="G86" s="33" t="n">
        <v>4499271200</v>
      </c>
      <c r="H86" s="63" t="inlineStr">
        <is>
          <t>Кабель Электронного блока-передатчика OptiLink, 12 м</t>
        </is>
      </c>
      <c r="I86" s="371" t="n"/>
      <c r="J86" s="371">
        <f>504/1.2</f>
        <v/>
      </c>
      <c r="K86" s="371" t="n"/>
      <c r="L86" s="371" t="n"/>
      <c r="M86" s="36" t="n"/>
      <c r="N86" s="284" t="n"/>
      <c r="O86" s="38" t="n"/>
      <c r="P86" s="284" t="n"/>
      <c r="Q86" s="36" t="n"/>
      <c r="R86" s="284" t="n"/>
      <c r="S86" s="38" t="n"/>
      <c r="T86" s="284" t="n"/>
      <c r="U86" s="36" t="n"/>
      <c r="V86" s="284" t="n"/>
      <c r="W86" s="38" t="n"/>
      <c r="X86" s="284" t="n"/>
      <c r="Y86" s="36" t="n"/>
      <c r="Z86" s="39" t="n"/>
      <c r="AA86" s="38" t="n"/>
      <c r="AB86" s="247" t="n"/>
      <c r="AC86" s="36" t="n"/>
      <c r="AD86" s="284" t="n"/>
      <c r="AE86" s="38" t="n"/>
      <c r="AF86" s="247" t="n"/>
      <c r="AG86" s="36" t="n"/>
      <c r="AH86" s="284" t="n"/>
      <c r="AI86" s="38" t="n"/>
      <c r="AJ86" s="247" t="n"/>
      <c r="AK86" s="36" t="n"/>
      <c r="AL86" s="284" t="n"/>
      <c r="AM86" s="38" t="n"/>
      <c r="AN86" s="247" t="n"/>
      <c r="AO86" s="36" t="n"/>
      <c r="AP86" s="284" t="n"/>
      <c r="AQ86" s="38" t="n"/>
      <c r="AR86" s="247" t="n"/>
      <c r="AS86" s="36" t="n"/>
      <c r="AT86" s="284" t="n"/>
      <c r="AU86" s="38" t="n"/>
      <c r="AV86" s="247" t="n"/>
      <c r="AW86" s="36" t="n"/>
      <c r="AX86" s="284" t="n"/>
      <c r="AY86" s="38" t="n"/>
      <c r="AZ86" s="247" t="n"/>
      <c r="BA86" s="36" t="n"/>
      <c r="BB86" s="284" t="n"/>
      <c r="BC86" s="92" t="n"/>
      <c r="BD86" s="284" t="n"/>
      <c r="BE86" s="36" t="n"/>
      <c r="BF86" s="284" t="n"/>
      <c r="BG86" s="54" t="n"/>
      <c r="BH86" s="284" t="n"/>
      <c r="BI86" s="338" t="n"/>
      <c r="BJ86" s="339" t="n"/>
      <c r="BK86" s="340" t="n"/>
      <c r="BL86" s="341" t="n"/>
      <c r="BM86" s="342" t="n"/>
      <c r="BN86" s="343" t="n"/>
      <c r="BO86" s="36" t="n"/>
      <c r="BP86" s="47" t="n"/>
      <c r="BQ86" s="284" t="n"/>
      <c r="BR86" s="38" t="n"/>
      <c r="BS86" s="284" t="n"/>
      <c r="BT86" s="36" t="n"/>
      <c r="BU86" s="47" t="n"/>
      <c r="BV86" s="284" t="n"/>
      <c r="BW86" s="38" t="n"/>
      <c r="BX86" s="247" t="n"/>
      <c r="BY86" s="36" t="n"/>
      <c r="BZ86" s="47" t="n"/>
      <c r="CA86" s="284" t="n"/>
      <c r="CB86" s="38" t="n"/>
      <c r="CC86" s="284" t="n"/>
      <c r="CD86" s="36" t="n"/>
      <c r="CE86" s="47" t="n"/>
      <c r="CF86" s="284" t="n"/>
      <c r="CG86" s="38" t="n"/>
      <c r="CH86" s="247" t="n"/>
      <c r="CI86" s="36" t="n"/>
      <c r="CJ86" s="47" t="n"/>
      <c r="CK86" s="284" t="n"/>
      <c r="CL86" s="38" t="n"/>
      <c r="CM86" s="347" t="n"/>
      <c r="CN86" s="36" t="n"/>
      <c r="CO86" s="47" t="n"/>
      <c r="CP86" s="284" t="n">
        <v>1</v>
      </c>
      <c r="CQ86" s="38" t="n">
        <v>1</v>
      </c>
      <c r="CR86" s="284" t="n"/>
      <c r="CS86" s="36" t="n"/>
      <c r="CT86" s="47" t="n"/>
      <c r="CU86" s="284" t="n"/>
      <c r="CV86" s="38" t="n">
        <v>0</v>
      </c>
      <c r="CW86" s="284" t="n"/>
      <c r="CX86" s="36" t="n"/>
      <c r="CY86" s="47" t="n"/>
      <c r="CZ86" s="284" t="n"/>
      <c r="DA86" s="38" t="n">
        <v>0</v>
      </c>
      <c r="DB86" s="284" t="n"/>
      <c r="DC86" s="36" t="n"/>
      <c r="DD86" s="47" t="n"/>
      <c r="DE86" s="284" t="n"/>
      <c r="DF86" s="38" t="n">
        <v>0</v>
      </c>
      <c r="DG86" s="284" t="n"/>
      <c r="DH86" s="36" t="n"/>
      <c r="DI86" s="47" t="n"/>
      <c r="DJ86" s="284" t="n"/>
      <c r="DK86" s="38" t="n">
        <v>0</v>
      </c>
      <c r="DL86" s="284" t="n"/>
      <c r="DM86" s="36" t="n"/>
      <c r="DN86" s="47" t="n"/>
      <c r="DO86" s="284" t="n"/>
      <c r="DP86" s="38" t="n"/>
      <c r="DQ86" s="227" t="n"/>
      <c r="DR86" s="36" t="n"/>
      <c r="DS86" s="47" t="n"/>
      <c r="DT86" s="284" t="n"/>
      <c r="DU86" s="38" t="n">
        <v>0</v>
      </c>
      <c r="DV86" s="284" t="n"/>
      <c r="DW86" s="338">
        <f t="array" ref="DW86">SUMPRODUCT(--(MOD(COLUMN($BO86:$DV86),5)=MOD(COLUMN($BO86),5)),$BO86:$DV86)</f>
        <v/>
      </c>
      <c r="DX86" s="339">
        <f>DW86*$J86</f>
        <v/>
      </c>
      <c r="DY86" s="344">
        <f t="array" ref="DY86">SUMPRODUCT(--(MOD(COLUMN($BO86:$DV86),5)=MOD(COLUMN($BP86),5)),$BO86:$DV86)</f>
        <v/>
      </c>
      <c r="DZ86" s="345">
        <f>DY86*$J86</f>
        <v/>
      </c>
      <c r="EA86" s="340">
        <f t="array" ref="EA86">SUMPRODUCT(--(MOD(COLUMN($BO86:$DV86),5)=MOD(COLUMN($BQ86),5)),$BO86:$DV86)</f>
        <v/>
      </c>
      <c r="EB86" s="341">
        <f>EA86*$J86</f>
        <v/>
      </c>
      <c r="EC86" s="342">
        <f t="array" ref="EC86">SUMPRODUCT(--(MOD(COLUMN($BO86:$DV86),5)=MOD(COLUMN($BR86),5)),$BO86:$DV86)</f>
        <v/>
      </c>
      <c r="ED86" s="343">
        <f>EC86*$J86</f>
        <v/>
      </c>
      <c r="EE86" s="36" t="n"/>
      <c r="EF86" s="284" t="n"/>
      <c r="EG86" s="38" t="n"/>
      <c r="EH86" s="247" t="n"/>
      <c r="EI86" s="36" t="n"/>
      <c r="EJ86" s="284" t="n"/>
      <c r="EK86" s="38" t="n"/>
      <c r="EL86" s="247" t="n"/>
      <c r="EM86" s="36" t="n"/>
      <c r="EN86" s="284" t="n"/>
      <c r="EO86" s="38" t="n"/>
      <c r="EP86" s="247" t="n"/>
      <c r="EQ86" s="36" t="n"/>
      <c r="ER86" s="284" t="n"/>
      <c r="ES86" s="38" t="n"/>
      <c r="ET86" s="247" t="n"/>
      <c r="EU86" s="36" t="n"/>
      <c r="EV86" s="284" t="n"/>
      <c r="EW86" s="38" t="n"/>
      <c r="EX86" s="247" t="n"/>
      <c r="EY86" s="36" t="n"/>
      <c r="EZ86" s="284" t="n"/>
      <c r="FA86" s="38" t="n"/>
      <c r="FB86" s="247" t="n"/>
      <c r="FC86" s="36" t="n"/>
      <c r="FD86" s="284" t="n"/>
      <c r="FE86" s="38" t="n"/>
      <c r="FF86" s="247" t="n"/>
      <c r="FG86" s="36" t="n"/>
      <c r="FH86" s="284" t="n"/>
      <c r="FI86" s="38" t="n"/>
      <c r="FJ86" s="247" t="n"/>
      <c r="FK86" s="36" t="n"/>
      <c r="FL86" s="284" t="n"/>
      <c r="FM86" s="38" t="n"/>
      <c r="FN86" s="247" t="n"/>
      <c r="FO86" s="36" t="n"/>
      <c r="FP86" s="284" t="n"/>
      <c r="FQ86" s="38" t="n"/>
      <c r="FR86" s="247" t="n"/>
      <c r="FS86" s="36" t="n"/>
      <c r="FT86" s="284" t="n"/>
      <c r="FU86" s="38" t="n"/>
      <c r="FV86" s="247" t="n"/>
      <c r="FW86" s="36" t="n"/>
      <c r="FX86" s="284" t="n"/>
      <c r="FY86" s="38" t="n"/>
      <c r="FZ86" s="247" t="n"/>
      <c r="GA86" s="338">
        <f t="array" ref="GA86">SUMPRODUCT(--(MOD(COLUMN($EE86:$FZ86),4)=MOD(COLUMN($EE86),4)),$EE86:$FZ86)</f>
        <v/>
      </c>
      <c r="GB86" s="339">
        <f>GA86*$J86</f>
        <v/>
      </c>
      <c r="GC86" s="340">
        <f t="array" ref="GC86">SUMPRODUCT(--(MOD(COLUMN($EE86:$FZ86),4)=MOD(COLUMN($EF86),4)),$EE86:$FZ86)</f>
        <v/>
      </c>
      <c r="GD86" s="341">
        <f>GC86*$J86</f>
        <v/>
      </c>
      <c r="GE86" s="342">
        <f t="array" ref="GE86">SUMPRODUCT(--(MOD(COLUMN($EE86:$FZ86),4)=MOD(COLUMN($EG86),4)),$EE86:$FZ86)</f>
        <v/>
      </c>
      <c r="GF86" s="343">
        <f>GE86*$J86</f>
        <v/>
      </c>
      <c r="GG86" s="36" t="n"/>
      <c r="GH86" s="284" t="n"/>
      <c r="GI86" s="38" t="n"/>
      <c r="GJ86" s="247" t="n"/>
      <c r="GK86" s="36" t="n"/>
      <c r="GL86" s="284" t="n"/>
      <c r="GM86" s="38" t="n"/>
      <c r="GN86" s="247" t="n"/>
      <c r="GO86" s="36" t="n"/>
      <c r="GP86" s="284" t="n"/>
      <c r="GQ86" s="38" t="n"/>
      <c r="GR86" s="247" t="n"/>
      <c r="GS86" s="36" t="n"/>
      <c r="GT86" s="284" t="n"/>
      <c r="GU86" s="38" t="n"/>
      <c r="GV86" s="247" t="n"/>
      <c r="GW86" s="36" t="n"/>
      <c r="GX86" s="284" t="n"/>
      <c r="GY86" s="38" t="n"/>
      <c r="GZ86" s="247" t="n"/>
      <c r="HA86" s="36" t="n"/>
      <c r="HB86" s="284" t="n"/>
      <c r="HC86" s="38" t="n"/>
      <c r="HD86" s="247" t="n"/>
      <c r="HE86" s="36" t="n"/>
      <c r="HF86" s="284" t="n"/>
      <c r="HG86" s="38" t="n"/>
      <c r="HH86" s="247" t="n"/>
      <c r="HI86" s="36" t="n"/>
      <c r="HJ86" s="284" t="n"/>
      <c r="HK86" s="38" t="n"/>
      <c r="HL86" s="247" t="n"/>
      <c r="HM86" s="36" t="n"/>
      <c r="HN86" s="284" t="n"/>
      <c r="HO86" s="38" t="n"/>
      <c r="HP86" s="247" t="n"/>
      <c r="HQ86" s="36" t="n"/>
      <c r="HR86" s="284" t="n"/>
      <c r="HS86" s="38" t="n"/>
      <c r="HT86" s="247" t="n"/>
      <c r="HU86" s="36" t="n"/>
      <c r="HV86" s="284" t="n"/>
      <c r="HW86" s="38" t="n"/>
      <c r="HX86" s="247" t="n"/>
      <c r="HY86" s="36" t="n"/>
      <c r="HZ86" s="284" t="n"/>
      <c r="IA86" s="38" t="n"/>
      <c r="IB86" s="247" t="n"/>
      <c r="IC86" s="338">
        <f t="array" ref="IC86">SUMPRODUCT(--(MOD(COLUMN($GG86:$IB86),4)=MOD(COLUMN($GG86),4)),$GG86:$IB86)</f>
        <v/>
      </c>
      <c r="ID86" s="339">
        <f>IC86*$J86</f>
        <v/>
      </c>
      <c r="IE86" s="340">
        <f t="array" ref="IE86">SUMPRODUCT(--(MOD(COLUMN($GG86:$IB86),4)=MOD(COLUMN($GH86),4)),$GG86:$IB86)</f>
        <v/>
      </c>
      <c r="IF86" s="341">
        <f>IE86*$J86</f>
        <v/>
      </c>
      <c r="IG86" s="342">
        <f t="array" ref="IG86">SUMPRODUCT(--(MOD(COLUMN($GG86:$IB86),4)=MOD(COLUMN($GI86),4)),$GG86:$IB86)</f>
        <v/>
      </c>
      <c r="IH86" s="343">
        <f>IG86*$J86</f>
        <v/>
      </c>
      <c r="II86" s="36" t="n"/>
      <c r="IJ86" s="284" t="n"/>
      <c r="IK86" s="38" t="n"/>
      <c r="IL86" s="247" t="n"/>
      <c r="IM86" s="36" t="n"/>
      <c r="IN86" s="284" t="n"/>
      <c r="IO86" s="38" t="n"/>
      <c r="IP86" s="247" t="n"/>
      <c r="IQ86" s="36" t="n"/>
      <c r="IR86" s="284" t="n"/>
      <c r="IS86" s="38" t="n"/>
      <c r="IT86" s="247" t="n"/>
      <c r="IU86" s="36" t="n"/>
      <c r="IV86" s="284" t="n"/>
      <c r="IW86" s="38" t="n"/>
      <c r="IX86" s="247" t="n"/>
      <c r="IY86" s="36" t="n"/>
      <c r="IZ86" s="284" t="n"/>
      <c r="JA86" s="38" t="n"/>
      <c r="JB86" s="247" t="n"/>
      <c r="JC86" s="36" t="n"/>
      <c r="JD86" s="284" t="n"/>
      <c r="JE86" s="38" t="n"/>
      <c r="JF86" s="247" t="n"/>
      <c r="JG86" s="36" t="n"/>
      <c r="JH86" s="284" t="n"/>
      <c r="JI86" s="38" t="n"/>
      <c r="JJ86" s="247" t="n"/>
      <c r="JK86" s="36" t="n"/>
      <c r="JL86" s="284" t="n"/>
      <c r="JM86" s="38" t="n"/>
      <c r="JN86" s="247" t="n"/>
      <c r="JO86" s="36" t="n"/>
      <c r="JP86" s="284" t="n"/>
      <c r="JQ86" s="38" t="n"/>
      <c r="JR86" s="247" t="n"/>
      <c r="JS86" s="36" t="n"/>
      <c r="JT86" s="284" t="n"/>
      <c r="JU86" s="38" t="n"/>
      <c r="JV86" s="247" t="n"/>
      <c r="JW86" s="36" t="n"/>
      <c r="JX86" s="284" t="n"/>
      <c r="JY86" s="38" t="n"/>
      <c r="JZ86" s="247" t="n"/>
      <c r="KA86" s="36" t="n"/>
      <c r="KB86" s="284" t="n"/>
      <c r="KC86" s="38" t="n"/>
      <c r="KD86" s="247" t="n"/>
      <c r="KE86" s="338">
        <f t="array" ref="KE86">SUMPRODUCT(--(MOD(COLUMN($II86:$KD86),4)=MOD(COLUMN($II86),4)),$II86:$KD86)</f>
        <v/>
      </c>
      <c r="KF86" s="339">
        <f>KE86*$J86</f>
        <v/>
      </c>
      <c r="KG86" s="340">
        <f t="array" ref="KG86">SUMPRODUCT(--(MOD(COLUMN($II86:$KD86),4)=MOD(COLUMN($IJ86),4)),$II86:$KD86)</f>
        <v/>
      </c>
      <c r="KH86" s="341">
        <f>KG86*$J86</f>
        <v/>
      </c>
      <c r="KI86" s="342">
        <f t="array" ref="KI86">SUMPRODUCT(--(MOD(COLUMN($II86:$KD86),4)=MOD(COLUMN($IK86),4)),$II86:$KD86)</f>
        <v/>
      </c>
      <c r="KJ86" s="346">
        <f>KI86*$J86</f>
        <v/>
      </c>
      <c r="KK86" s="80" t="n"/>
      <c r="KL86" s="80" t="n"/>
      <c r="KM86" s="80" t="n"/>
      <c r="KN86" s="51" t="n"/>
      <c r="KO86" s="347" t="n"/>
    </row>
    <row r="87" outlineLevel="1" ht="43.2" customFormat="1" customHeight="1" s="68">
      <c r="A87" s="347" t="n"/>
      <c r="B87" s="347" t="n"/>
      <c r="C87" s="347" t="n"/>
      <c r="D87" s="347" t="n"/>
      <c r="E87" s="15" t="n">
        <v>51</v>
      </c>
      <c r="F87" s="61" t="n">
        <v>2</v>
      </c>
      <c r="G87" s="62" t="n">
        <v>4630905020</v>
      </c>
      <c r="H87" s="63" t="inlineStr">
        <is>
          <t>Кран ручного управления уровнем пола eTASC</t>
        </is>
      </c>
      <c r="I87" s="371" t="n"/>
      <c r="J87" s="371">
        <f>2730/1.2</f>
        <v/>
      </c>
      <c r="K87" s="371" t="n"/>
      <c r="L87" s="371" t="n"/>
      <c r="M87" s="36" t="n"/>
      <c r="N87" s="284" t="n"/>
      <c r="O87" s="38" t="n"/>
      <c r="P87" s="284" t="n"/>
      <c r="Q87" s="36" t="n"/>
      <c r="R87" s="284" t="n"/>
      <c r="S87" s="38" t="n"/>
      <c r="T87" s="284" t="n"/>
      <c r="U87" s="36" t="n"/>
      <c r="V87" s="284" t="n"/>
      <c r="W87" s="38" t="n"/>
      <c r="X87" s="284" t="n"/>
      <c r="Y87" s="36" t="n"/>
      <c r="Z87" s="39" t="n"/>
      <c r="AA87" s="38" t="n"/>
      <c r="AB87" s="247" t="n"/>
      <c r="AC87" s="36" t="n"/>
      <c r="AD87" s="284" t="n"/>
      <c r="AE87" s="38" t="n"/>
      <c r="AF87" s="247" t="n"/>
      <c r="AG87" s="36" t="n"/>
      <c r="AH87" s="284" t="n"/>
      <c r="AI87" s="38" t="n"/>
      <c r="AJ87" s="247" t="n"/>
      <c r="AK87" s="36" t="n"/>
      <c r="AL87" s="284" t="n"/>
      <c r="AM87" s="38" t="n"/>
      <c r="AN87" s="247" t="n"/>
      <c r="AO87" s="36" t="n"/>
      <c r="AP87" s="284" t="n"/>
      <c r="AQ87" s="38" t="n"/>
      <c r="AR87" s="247" t="n"/>
      <c r="AS87" s="36" t="n"/>
      <c r="AT87" s="284" t="n"/>
      <c r="AU87" s="38" t="n"/>
      <c r="AV87" s="247" t="n"/>
      <c r="AW87" s="36" t="n"/>
      <c r="AX87" s="284" t="n"/>
      <c r="AY87" s="38" t="n"/>
      <c r="AZ87" s="247" t="n"/>
      <c r="BA87" s="36" t="n"/>
      <c r="BB87" s="284" t="n"/>
      <c r="BC87" s="92" t="n"/>
      <c r="BD87" s="284" t="n"/>
      <c r="BE87" s="36" t="n"/>
      <c r="BF87" s="284">
        <f>$KN87*0</f>
        <v/>
      </c>
      <c r="BG87" s="54" t="n"/>
      <c r="BH87" s="284" t="n"/>
      <c r="BI87" s="338" t="n"/>
      <c r="BJ87" s="339" t="n"/>
      <c r="BK87" s="340" t="n"/>
      <c r="BL87" s="341" t="n"/>
      <c r="BM87" s="342" t="n"/>
      <c r="BN87" s="343" t="n"/>
      <c r="BO87" s="36" t="n"/>
      <c r="BP87" s="47" t="n"/>
      <c r="BQ87" s="284" t="n"/>
      <c r="BR87" s="38" t="n"/>
      <c r="BS87" s="284" t="n"/>
      <c r="BT87" s="36" t="n"/>
      <c r="BU87" s="47" t="n"/>
      <c r="BV87" s="284" t="n"/>
      <c r="BW87" s="38" t="n"/>
      <c r="BX87" s="247" t="n"/>
      <c r="BY87" s="36" t="n"/>
      <c r="BZ87" s="47" t="n"/>
      <c r="CA87" s="284" t="n"/>
      <c r="CB87" s="38" t="n"/>
      <c r="CC87" s="284" t="n"/>
      <c r="CD87" s="36" t="n"/>
      <c r="CE87" s="47" t="n"/>
      <c r="CF87" s="284" t="n"/>
      <c r="CG87" s="38" t="n"/>
      <c r="CH87" s="247" t="n"/>
      <c r="CI87" s="36" t="n"/>
      <c r="CJ87" s="47" t="n"/>
      <c r="CK87" s="284" t="n">
        <v>1</v>
      </c>
      <c r="CL87" s="38" t="n">
        <v>1</v>
      </c>
      <c r="CM87" s="347" t="n"/>
      <c r="CN87" s="36" t="n"/>
      <c r="CO87" s="47" t="n"/>
      <c r="CP87" s="284" t="n"/>
      <c r="CQ87" s="38" t="n">
        <v>0</v>
      </c>
      <c r="CR87" s="284" t="n"/>
      <c r="CS87" s="36" t="n"/>
      <c r="CT87" s="47" t="n"/>
      <c r="CU87" s="284" t="n"/>
      <c r="CV87" s="38" t="n">
        <v>0</v>
      </c>
      <c r="CW87" s="284" t="n"/>
      <c r="CX87" s="36" t="n"/>
      <c r="CY87" s="47" t="n"/>
      <c r="CZ87" s="284" t="n"/>
      <c r="DA87" s="38" t="n">
        <v>0</v>
      </c>
      <c r="DB87" s="284" t="n"/>
      <c r="DC87" s="36" t="n"/>
      <c r="DD87" s="47" t="n"/>
      <c r="DE87" s="284" t="n"/>
      <c r="DF87" s="38" t="n">
        <v>0</v>
      </c>
      <c r="DG87" s="284" t="n"/>
      <c r="DH87" s="36" t="n"/>
      <c r="DI87" s="47" t="n"/>
      <c r="DJ87" s="284" t="n"/>
      <c r="DK87" s="38" t="n">
        <v>0</v>
      </c>
      <c r="DL87" s="284" t="n"/>
      <c r="DM87" s="36" t="n"/>
      <c r="DN87" s="47" t="n"/>
      <c r="DO87" s="284" t="n"/>
      <c r="DP87" s="38" t="n"/>
      <c r="DQ87" s="227" t="n"/>
      <c r="DR87" s="36" t="n"/>
      <c r="DS87" s="47" t="n"/>
      <c r="DT87" s="284" t="n"/>
      <c r="DU87" s="38" t="n">
        <v>0</v>
      </c>
      <c r="DV87" s="284" t="n"/>
      <c r="DW87" s="338">
        <f t="array" ref="DW87">SUMPRODUCT(--(MOD(COLUMN($BO87:$DV87),5)=MOD(COLUMN($BO87),5)),$BO87:$DV87)</f>
        <v/>
      </c>
      <c r="DX87" s="339">
        <f>DW87*$J87</f>
        <v/>
      </c>
      <c r="DY87" s="344">
        <f t="array" ref="DY87">SUMPRODUCT(--(MOD(COLUMN($BO87:$DV87),5)=MOD(COLUMN($BP87),5)),$BO87:$DV87)</f>
        <v/>
      </c>
      <c r="DZ87" s="345">
        <f>DY87*$J87</f>
        <v/>
      </c>
      <c r="EA87" s="340">
        <f t="array" ref="EA87">SUMPRODUCT(--(MOD(COLUMN($BO87:$DV87),5)=MOD(COLUMN($BQ87),5)),$BO87:$DV87)</f>
        <v/>
      </c>
      <c r="EB87" s="341">
        <f>EA87*$J87</f>
        <v/>
      </c>
      <c r="EC87" s="342">
        <f t="array" ref="EC87">SUMPRODUCT(--(MOD(COLUMN($BO87:$DV87),5)=MOD(COLUMN($BR87),5)),$BO87:$DV87)</f>
        <v/>
      </c>
      <c r="ED87" s="343">
        <f>EC87*$J87</f>
        <v/>
      </c>
      <c r="EE87" s="36" t="n"/>
      <c r="EF87" s="284" t="n"/>
      <c r="EG87" s="38" t="n"/>
      <c r="EH87" s="247" t="n"/>
      <c r="EI87" s="36" t="n"/>
      <c r="EJ87" s="284" t="n"/>
      <c r="EK87" s="38" t="n"/>
      <c r="EL87" s="247" t="n"/>
      <c r="EM87" s="36" t="n"/>
      <c r="EN87" s="284" t="n"/>
      <c r="EO87" s="38" t="n"/>
      <c r="EP87" s="247" t="n"/>
      <c r="EQ87" s="36" t="n"/>
      <c r="ER87" s="284" t="n"/>
      <c r="ES87" s="38" t="n"/>
      <c r="ET87" s="247" t="n"/>
      <c r="EU87" s="36" t="n"/>
      <c r="EV87" s="284" t="n"/>
      <c r="EW87" s="38" t="n"/>
      <c r="EX87" s="247" t="n"/>
      <c r="EY87" s="36" t="n"/>
      <c r="EZ87" s="284" t="n"/>
      <c r="FA87" s="38" t="n"/>
      <c r="FB87" s="247" t="n"/>
      <c r="FC87" s="36" t="n"/>
      <c r="FD87" s="284" t="n"/>
      <c r="FE87" s="38" t="n"/>
      <c r="FF87" s="247" t="n"/>
      <c r="FG87" s="36" t="n"/>
      <c r="FH87" s="284" t="n"/>
      <c r="FI87" s="38" t="n"/>
      <c r="FJ87" s="247" t="n"/>
      <c r="FK87" s="36" t="n"/>
      <c r="FL87" s="284" t="n"/>
      <c r="FM87" s="38" t="n"/>
      <c r="FN87" s="247" t="n"/>
      <c r="FO87" s="36" t="n"/>
      <c r="FP87" s="284" t="n"/>
      <c r="FQ87" s="38" t="n"/>
      <c r="FR87" s="247" t="n"/>
      <c r="FS87" s="36" t="n"/>
      <c r="FT87" s="284" t="n"/>
      <c r="FU87" s="38" t="n"/>
      <c r="FV87" s="247" t="n"/>
      <c r="FW87" s="36" t="n"/>
      <c r="FX87" s="284" t="n"/>
      <c r="FY87" s="38" t="n"/>
      <c r="FZ87" s="247" t="n"/>
      <c r="GA87" s="338">
        <f t="array" ref="GA87">SUMPRODUCT(--(MOD(COLUMN($EE87:$FZ87),4)=MOD(COLUMN($EE87),4)),$EE87:$FZ87)</f>
        <v/>
      </c>
      <c r="GB87" s="339">
        <f>GA87*$J87</f>
        <v/>
      </c>
      <c r="GC87" s="340">
        <f t="array" ref="GC87">SUMPRODUCT(--(MOD(COLUMN($EE87:$FZ87),4)=MOD(COLUMN($EF87),4)),$EE87:$FZ87)</f>
        <v/>
      </c>
      <c r="GD87" s="341">
        <f>GC87*$J87</f>
        <v/>
      </c>
      <c r="GE87" s="342">
        <f t="array" ref="GE87">SUMPRODUCT(--(MOD(COLUMN($EE87:$FZ87),4)=MOD(COLUMN($EG87),4)),$EE87:$FZ87)</f>
        <v/>
      </c>
      <c r="GF87" s="343">
        <f>GE87*$J87</f>
        <v/>
      </c>
      <c r="GG87" s="36" t="n"/>
      <c r="GH87" s="284" t="n"/>
      <c r="GI87" s="38" t="n"/>
      <c r="GJ87" s="247" t="n"/>
      <c r="GK87" s="36" t="n"/>
      <c r="GL87" s="284" t="n"/>
      <c r="GM87" s="38" t="n"/>
      <c r="GN87" s="247" t="n"/>
      <c r="GO87" s="36" t="n"/>
      <c r="GP87" s="284" t="n"/>
      <c r="GQ87" s="38" t="n"/>
      <c r="GR87" s="247" t="n"/>
      <c r="GS87" s="36" t="n"/>
      <c r="GT87" s="284" t="n"/>
      <c r="GU87" s="38" t="n"/>
      <c r="GV87" s="247" t="n"/>
      <c r="GW87" s="36" t="n"/>
      <c r="GX87" s="284" t="n"/>
      <c r="GY87" s="38" t="n"/>
      <c r="GZ87" s="247" t="n"/>
      <c r="HA87" s="36" t="n"/>
      <c r="HB87" s="284" t="n"/>
      <c r="HC87" s="38" t="n"/>
      <c r="HD87" s="247" t="n"/>
      <c r="HE87" s="36" t="n"/>
      <c r="HF87" s="284" t="n"/>
      <c r="HG87" s="38" t="n"/>
      <c r="HH87" s="247" t="n"/>
      <c r="HI87" s="36" t="n"/>
      <c r="HJ87" s="284" t="n"/>
      <c r="HK87" s="38" t="n"/>
      <c r="HL87" s="247" t="n"/>
      <c r="HM87" s="36" t="n"/>
      <c r="HN87" s="284" t="n"/>
      <c r="HO87" s="38" t="n"/>
      <c r="HP87" s="247" t="n"/>
      <c r="HQ87" s="36" t="n"/>
      <c r="HR87" s="284" t="n"/>
      <c r="HS87" s="38" t="n"/>
      <c r="HT87" s="247" t="n"/>
      <c r="HU87" s="36" t="n"/>
      <c r="HV87" s="284" t="n"/>
      <c r="HW87" s="38" t="n"/>
      <c r="HX87" s="247" t="n"/>
      <c r="HY87" s="36" t="n"/>
      <c r="HZ87" s="284" t="n"/>
      <c r="IA87" s="38" t="n"/>
      <c r="IB87" s="247" t="n"/>
      <c r="IC87" s="338">
        <f t="array" ref="IC87">SUMPRODUCT(--(MOD(COLUMN($GG87:$IB87),4)=MOD(COLUMN($GG87),4)),$GG87:$IB87)</f>
        <v/>
      </c>
      <c r="ID87" s="339">
        <f>IC87*$J87</f>
        <v/>
      </c>
      <c r="IE87" s="340">
        <f t="array" ref="IE87">SUMPRODUCT(--(MOD(COLUMN($GG87:$IB87),4)=MOD(COLUMN($GH87),4)),$GG87:$IB87)</f>
        <v/>
      </c>
      <c r="IF87" s="341">
        <f>IE87*$J87</f>
        <v/>
      </c>
      <c r="IG87" s="342">
        <f t="array" ref="IG87">SUMPRODUCT(--(MOD(COLUMN($GG87:$IB87),4)=MOD(COLUMN($GI87),4)),$GG87:$IB87)</f>
        <v/>
      </c>
      <c r="IH87" s="343">
        <f>IG87*$J87</f>
        <v/>
      </c>
      <c r="II87" s="36" t="n"/>
      <c r="IJ87" s="284" t="n"/>
      <c r="IK87" s="38" t="n"/>
      <c r="IL87" s="247" t="n"/>
      <c r="IM87" s="36" t="n"/>
      <c r="IN87" s="284" t="n"/>
      <c r="IO87" s="38" t="n"/>
      <c r="IP87" s="247" t="n"/>
      <c r="IQ87" s="36" t="n"/>
      <c r="IR87" s="284" t="n"/>
      <c r="IS87" s="38" t="n"/>
      <c r="IT87" s="247" t="n"/>
      <c r="IU87" s="36" t="n"/>
      <c r="IV87" s="284" t="n"/>
      <c r="IW87" s="38" t="n"/>
      <c r="IX87" s="247" t="n"/>
      <c r="IY87" s="36" t="n"/>
      <c r="IZ87" s="284" t="n"/>
      <c r="JA87" s="38" t="n"/>
      <c r="JB87" s="247" t="n"/>
      <c r="JC87" s="36" t="n"/>
      <c r="JD87" s="284" t="n"/>
      <c r="JE87" s="38" t="n"/>
      <c r="JF87" s="247" t="n"/>
      <c r="JG87" s="36" t="n"/>
      <c r="JH87" s="284" t="n"/>
      <c r="JI87" s="38" t="n"/>
      <c r="JJ87" s="247" t="n"/>
      <c r="JK87" s="36" t="n"/>
      <c r="JL87" s="284" t="n"/>
      <c r="JM87" s="38" t="n"/>
      <c r="JN87" s="247" t="n"/>
      <c r="JO87" s="36" t="n"/>
      <c r="JP87" s="284" t="n"/>
      <c r="JQ87" s="38" t="n"/>
      <c r="JR87" s="247" t="n"/>
      <c r="JS87" s="36" t="n"/>
      <c r="JT87" s="284" t="n"/>
      <c r="JU87" s="38" t="n"/>
      <c r="JV87" s="247" t="n"/>
      <c r="JW87" s="36" t="n"/>
      <c r="JX87" s="284" t="n"/>
      <c r="JY87" s="38" t="n"/>
      <c r="JZ87" s="247" t="n"/>
      <c r="KA87" s="36" t="n"/>
      <c r="KB87" s="284" t="n"/>
      <c r="KC87" s="38" t="n"/>
      <c r="KD87" s="247" t="n"/>
      <c r="KE87" s="338">
        <f t="array" ref="KE87">SUMPRODUCT(--(MOD(COLUMN($II87:$KD87),4)=MOD(COLUMN($II87),4)),$II87:$KD87)</f>
        <v/>
      </c>
      <c r="KF87" s="339">
        <f>KE87*$J87</f>
        <v/>
      </c>
      <c r="KG87" s="340">
        <f t="array" ref="KG87">SUMPRODUCT(--(MOD(COLUMN($II87:$KD87),4)=MOD(COLUMN($IJ87),4)),$II87:$KD87)</f>
        <v/>
      </c>
      <c r="KH87" s="341">
        <f>KG87*$J87</f>
        <v/>
      </c>
      <c r="KI87" s="342">
        <f t="array" ref="KI87">SUMPRODUCT(--(MOD(COLUMN($II87:$KD87),4)=MOD(COLUMN($IK87),4)),$II87:$KD87)</f>
        <v/>
      </c>
      <c r="KJ87" s="346">
        <f>KI87*$J87</f>
        <v/>
      </c>
      <c r="KK87" s="80" t="n"/>
      <c r="KL87" s="80" t="n"/>
      <c r="KM87" s="80" t="n"/>
      <c r="KN87" s="51" t="n">
        <v>1</v>
      </c>
      <c r="KO87" s="347" t="n"/>
    </row>
    <row r="88" outlineLevel="1" customFormat="1" s="68">
      <c r="A88" s="347" t="n"/>
      <c r="B88" s="347" t="n"/>
      <c r="C88" s="347" t="n"/>
      <c r="D88" s="347" t="n"/>
      <c r="E88" s="15" t="n">
        <v>52</v>
      </c>
      <c r="F88" s="61" t="n">
        <v>2</v>
      </c>
      <c r="G88" s="62" t="n">
        <v>4410501000</v>
      </c>
      <c r="H88" s="63" t="inlineStr">
        <is>
          <t xml:space="preserve">Датчик положения </t>
        </is>
      </c>
      <c r="I88" s="371" t="n"/>
      <c r="J88" s="371">
        <f>690/1.2</f>
        <v/>
      </c>
      <c r="K88" s="371" t="n"/>
      <c r="L88" s="371" t="n"/>
      <c r="M88" s="36" t="n"/>
      <c r="N88" s="284" t="n"/>
      <c r="O88" s="38" t="n"/>
      <c r="P88" s="284" t="n"/>
      <c r="Q88" s="36" t="n"/>
      <c r="R88" s="284" t="n"/>
      <c r="S88" s="38" t="n"/>
      <c r="T88" s="284" t="n"/>
      <c r="U88" s="36" t="n"/>
      <c r="V88" s="284" t="n"/>
      <c r="W88" s="38" t="n"/>
      <c r="X88" s="284" t="n"/>
      <c r="Y88" s="36" t="n"/>
      <c r="Z88" s="39" t="n"/>
      <c r="AA88" s="38" t="n"/>
      <c r="AB88" s="247" t="n"/>
      <c r="AC88" s="36" t="n"/>
      <c r="AD88" s="284" t="n"/>
      <c r="AE88" s="38" t="n"/>
      <c r="AF88" s="247" t="n"/>
      <c r="AG88" s="36" t="n"/>
      <c r="AH88" s="284" t="n"/>
      <c r="AI88" s="38" t="n"/>
      <c r="AJ88" s="247" t="n"/>
      <c r="AK88" s="36" t="n"/>
      <c r="AL88" s="284" t="n"/>
      <c r="AM88" s="38" t="n"/>
      <c r="AN88" s="247" t="n"/>
      <c r="AO88" s="36" t="n"/>
      <c r="AP88" s="284" t="n"/>
      <c r="AQ88" s="38" t="n"/>
      <c r="AR88" s="247" t="n"/>
      <c r="AS88" s="36" t="n"/>
      <c r="AT88" s="284" t="n"/>
      <c r="AU88" s="38" t="n"/>
      <c r="AV88" s="247" t="n"/>
      <c r="AW88" s="36" t="n"/>
      <c r="AX88" s="284" t="n"/>
      <c r="AY88" s="38" t="n"/>
      <c r="AZ88" s="247" t="n"/>
      <c r="BA88" s="36" t="n"/>
      <c r="BB88" s="284" t="n"/>
      <c r="BC88" s="92" t="n"/>
      <c r="BD88" s="284" t="n"/>
      <c r="BE88" s="36" t="n"/>
      <c r="BF88" s="284">
        <f>$KN88*0</f>
        <v/>
      </c>
      <c r="BG88" s="54" t="n"/>
      <c r="BH88" s="284" t="n"/>
      <c r="BI88" s="338" t="n"/>
      <c r="BJ88" s="339" t="n"/>
      <c r="BK88" s="340" t="n"/>
      <c r="BL88" s="341" t="n"/>
      <c r="BM88" s="342" t="n"/>
      <c r="BN88" s="343" t="n"/>
      <c r="BO88" s="36" t="n"/>
      <c r="BP88" s="47" t="n"/>
      <c r="BQ88" s="284" t="n"/>
      <c r="BR88" s="38" t="n"/>
      <c r="BS88" s="284" t="n"/>
      <c r="BT88" s="36" t="n"/>
      <c r="BU88" s="47" t="n"/>
      <c r="BV88" s="284" t="n"/>
      <c r="BW88" s="38" t="n"/>
      <c r="BX88" s="247" t="n"/>
      <c r="BY88" s="36" t="n"/>
      <c r="BZ88" s="47" t="n"/>
      <c r="CA88" s="284" t="n"/>
      <c r="CB88" s="38" t="n"/>
      <c r="CC88" s="284" t="n"/>
      <c r="CD88" s="36" t="n"/>
      <c r="CE88" s="47" t="n"/>
      <c r="CF88" s="284" t="n"/>
      <c r="CG88" s="38" t="n"/>
      <c r="CH88" s="247" t="n"/>
      <c r="CI88" s="36" t="n"/>
      <c r="CJ88" s="47" t="n"/>
      <c r="CK88" s="284" t="n">
        <v>1</v>
      </c>
      <c r="CL88" s="38" t="n">
        <v>1</v>
      </c>
      <c r="CM88" s="347" t="n"/>
      <c r="CN88" s="36" t="n"/>
      <c r="CO88" s="47" t="n"/>
      <c r="CP88" s="284" t="n"/>
      <c r="CQ88" s="38" t="n">
        <v>0</v>
      </c>
      <c r="CR88" s="284" t="n"/>
      <c r="CS88" s="36" t="n"/>
      <c r="CT88" s="47" t="n"/>
      <c r="CU88" s="284" t="n"/>
      <c r="CV88" s="38" t="n">
        <v>0</v>
      </c>
      <c r="CW88" s="284" t="n"/>
      <c r="CX88" s="36" t="n"/>
      <c r="CY88" s="47" t="n"/>
      <c r="CZ88" s="284" t="n"/>
      <c r="DA88" s="38" t="n">
        <v>0</v>
      </c>
      <c r="DB88" s="284" t="n"/>
      <c r="DC88" s="36" t="n"/>
      <c r="DD88" s="47" t="n"/>
      <c r="DE88" s="284" t="n"/>
      <c r="DF88" s="38" t="n">
        <v>0</v>
      </c>
      <c r="DG88" s="284" t="n"/>
      <c r="DH88" s="36" t="n"/>
      <c r="DI88" s="47" t="n"/>
      <c r="DJ88" s="284" t="n"/>
      <c r="DK88" s="38" t="n">
        <v>0</v>
      </c>
      <c r="DL88" s="284" t="n"/>
      <c r="DM88" s="36" t="n"/>
      <c r="DN88" s="47" t="n"/>
      <c r="DO88" s="284" t="n"/>
      <c r="DP88" s="38" t="n"/>
      <c r="DQ88" s="227" t="n"/>
      <c r="DR88" s="36" t="n"/>
      <c r="DS88" s="47" t="n"/>
      <c r="DT88" s="284" t="n"/>
      <c r="DU88" s="38" t="n">
        <v>0</v>
      </c>
      <c r="DV88" s="284" t="n"/>
      <c r="DW88" s="338">
        <f t="array" ref="DW88">SUMPRODUCT(--(MOD(COLUMN($BO88:$DV88),5)=MOD(COLUMN($BO88),5)),$BO88:$DV88)</f>
        <v/>
      </c>
      <c r="DX88" s="339">
        <f>DW88*$J88</f>
        <v/>
      </c>
      <c r="DY88" s="344">
        <f t="array" ref="DY88">SUMPRODUCT(--(MOD(COLUMN($BO88:$DV88),5)=MOD(COLUMN($BP88),5)),$BO88:$DV88)</f>
        <v/>
      </c>
      <c r="DZ88" s="345">
        <f>DY88*$J88</f>
        <v/>
      </c>
      <c r="EA88" s="340">
        <f t="array" ref="EA88">SUMPRODUCT(--(MOD(COLUMN($BO88:$DV88),5)=MOD(COLUMN($BQ88),5)),$BO88:$DV88)</f>
        <v/>
      </c>
      <c r="EB88" s="341">
        <f>EA88*$J88</f>
        <v/>
      </c>
      <c r="EC88" s="342">
        <f t="array" ref="EC88">SUMPRODUCT(--(MOD(COLUMN($BO88:$DV88),5)=MOD(COLUMN($BR88),5)),$BO88:$DV88)</f>
        <v/>
      </c>
      <c r="ED88" s="343">
        <f>EC88*$J88</f>
        <v/>
      </c>
      <c r="EE88" s="36" t="n"/>
      <c r="EF88" s="284" t="n"/>
      <c r="EG88" s="38" t="n"/>
      <c r="EH88" s="247" t="n"/>
      <c r="EI88" s="36" t="n"/>
      <c r="EJ88" s="284" t="n"/>
      <c r="EK88" s="38" t="n"/>
      <c r="EL88" s="247" t="n"/>
      <c r="EM88" s="36" t="n"/>
      <c r="EN88" s="284" t="n"/>
      <c r="EO88" s="38" t="n"/>
      <c r="EP88" s="247" t="n"/>
      <c r="EQ88" s="36" t="n"/>
      <c r="ER88" s="284" t="n"/>
      <c r="ES88" s="38" t="n"/>
      <c r="ET88" s="247" t="n"/>
      <c r="EU88" s="36" t="n"/>
      <c r="EV88" s="284" t="n"/>
      <c r="EW88" s="38" t="n"/>
      <c r="EX88" s="247" t="n"/>
      <c r="EY88" s="36" t="n"/>
      <c r="EZ88" s="284" t="n"/>
      <c r="FA88" s="38" t="n"/>
      <c r="FB88" s="247" t="n"/>
      <c r="FC88" s="36" t="n"/>
      <c r="FD88" s="284" t="n"/>
      <c r="FE88" s="38" t="n"/>
      <c r="FF88" s="247" t="n"/>
      <c r="FG88" s="36" t="n"/>
      <c r="FH88" s="284" t="n"/>
      <c r="FI88" s="38" t="n"/>
      <c r="FJ88" s="247" t="n"/>
      <c r="FK88" s="36" t="n"/>
      <c r="FL88" s="284" t="n"/>
      <c r="FM88" s="38" t="n"/>
      <c r="FN88" s="247" t="n"/>
      <c r="FO88" s="36" t="n"/>
      <c r="FP88" s="284" t="n"/>
      <c r="FQ88" s="38" t="n"/>
      <c r="FR88" s="247" t="n"/>
      <c r="FS88" s="36" t="n"/>
      <c r="FT88" s="284" t="n"/>
      <c r="FU88" s="38" t="n"/>
      <c r="FV88" s="247" t="n"/>
      <c r="FW88" s="36" t="n"/>
      <c r="FX88" s="284" t="n"/>
      <c r="FY88" s="38" t="n"/>
      <c r="FZ88" s="247" t="n"/>
      <c r="GA88" s="338">
        <f t="array" ref="GA88">SUMPRODUCT(--(MOD(COLUMN($EE88:$FZ88),4)=MOD(COLUMN($EE88),4)),$EE88:$FZ88)</f>
        <v/>
      </c>
      <c r="GB88" s="339">
        <f>GA88*$J88</f>
        <v/>
      </c>
      <c r="GC88" s="340">
        <f t="array" ref="GC88">SUMPRODUCT(--(MOD(COLUMN($EE88:$FZ88),4)=MOD(COLUMN($EF88),4)),$EE88:$FZ88)</f>
        <v/>
      </c>
      <c r="GD88" s="341">
        <f>GC88*$J88</f>
        <v/>
      </c>
      <c r="GE88" s="342">
        <f t="array" ref="GE88">SUMPRODUCT(--(MOD(COLUMN($EE88:$FZ88),4)=MOD(COLUMN($EG88),4)),$EE88:$FZ88)</f>
        <v/>
      </c>
      <c r="GF88" s="343">
        <f>GE88*$J88</f>
        <v/>
      </c>
      <c r="GG88" s="36" t="n"/>
      <c r="GH88" s="284" t="n"/>
      <c r="GI88" s="38" t="n"/>
      <c r="GJ88" s="247" t="n"/>
      <c r="GK88" s="36" t="n"/>
      <c r="GL88" s="284" t="n"/>
      <c r="GM88" s="38" t="n"/>
      <c r="GN88" s="247" t="n"/>
      <c r="GO88" s="36" t="n"/>
      <c r="GP88" s="284" t="n"/>
      <c r="GQ88" s="38" t="n"/>
      <c r="GR88" s="247" t="n"/>
      <c r="GS88" s="36" t="n"/>
      <c r="GT88" s="284" t="n"/>
      <c r="GU88" s="38" t="n"/>
      <c r="GV88" s="247" t="n"/>
      <c r="GW88" s="36" t="n"/>
      <c r="GX88" s="284" t="n"/>
      <c r="GY88" s="38" t="n"/>
      <c r="GZ88" s="247" t="n"/>
      <c r="HA88" s="36" t="n"/>
      <c r="HB88" s="284" t="n"/>
      <c r="HC88" s="38" t="n"/>
      <c r="HD88" s="247" t="n"/>
      <c r="HE88" s="36" t="n"/>
      <c r="HF88" s="284" t="n"/>
      <c r="HG88" s="38" t="n"/>
      <c r="HH88" s="247" t="n"/>
      <c r="HI88" s="36" t="n"/>
      <c r="HJ88" s="284" t="n"/>
      <c r="HK88" s="38" t="n"/>
      <c r="HL88" s="247" t="n"/>
      <c r="HM88" s="36" t="n"/>
      <c r="HN88" s="284" t="n"/>
      <c r="HO88" s="38" t="n"/>
      <c r="HP88" s="247" t="n"/>
      <c r="HQ88" s="36" t="n"/>
      <c r="HR88" s="284" t="n"/>
      <c r="HS88" s="38" t="n"/>
      <c r="HT88" s="247" t="n"/>
      <c r="HU88" s="36" t="n"/>
      <c r="HV88" s="284" t="n"/>
      <c r="HW88" s="38" t="n"/>
      <c r="HX88" s="247" t="n"/>
      <c r="HY88" s="36" t="n"/>
      <c r="HZ88" s="284" t="n"/>
      <c r="IA88" s="38" t="n"/>
      <c r="IB88" s="247" t="n"/>
      <c r="IC88" s="338">
        <f t="array" ref="IC88">SUMPRODUCT(--(MOD(COLUMN($GG88:$IB88),4)=MOD(COLUMN($GG88),4)),$GG88:$IB88)</f>
        <v/>
      </c>
      <c r="ID88" s="339">
        <f>IC88*$J88</f>
        <v/>
      </c>
      <c r="IE88" s="340">
        <f t="array" ref="IE88">SUMPRODUCT(--(MOD(COLUMN($GG88:$IB88),4)=MOD(COLUMN($GH88),4)),$GG88:$IB88)</f>
        <v/>
      </c>
      <c r="IF88" s="341">
        <f>IE88*$J88</f>
        <v/>
      </c>
      <c r="IG88" s="342">
        <f t="array" ref="IG88">SUMPRODUCT(--(MOD(COLUMN($GG88:$IB88),4)=MOD(COLUMN($GI88),4)),$GG88:$IB88)</f>
        <v/>
      </c>
      <c r="IH88" s="343">
        <f>IG88*$J88</f>
        <v/>
      </c>
      <c r="II88" s="36" t="n"/>
      <c r="IJ88" s="284" t="n"/>
      <c r="IK88" s="38" t="n"/>
      <c r="IL88" s="247" t="n"/>
      <c r="IM88" s="36" t="n"/>
      <c r="IN88" s="284" t="n"/>
      <c r="IO88" s="38" t="n"/>
      <c r="IP88" s="247" t="n"/>
      <c r="IQ88" s="36" t="n"/>
      <c r="IR88" s="284" t="n"/>
      <c r="IS88" s="38" t="n"/>
      <c r="IT88" s="247" t="n"/>
      <c r="IU88" s="36" t="n"/>
      <c r="IV88" s="284" t="n"/>
      <c r="IW88" s="38" t="n"/>
      <c r="IX88" s="247" t="n"/>
      <c r="IY88" s="36" t="n"/>
      <c r="IZ88" s="284" t="n"/>
      <c r="JA88" s="38" t="n"/>
      <c r="JB88" s="247" t="n"/>
      <c r="JC88" s="36" t="n"/>
      <c r="JD88" s="284" t="n"/>
      <c r="JE88" s="38" t="n"/>
      <c r="JF88" s="247" t="n"/>
      <c r="JG88" s="36" t="n"/>
      <c r="JH88" s="284" t="n"/>
      <c r="JI88" s="38" t="n"/>
      <c r="JJ88" s="247" t="n"/>
      <c r="JK88" s="36" t="n"/>
      <c r="JL88" s="284" t="n"/>
      <c r="JM88" s="38" t="n"/>
      <c r="JN88" s="247" t="n"/>
      <c r="JO88" s="36" t="n"/>
      <c r="JP88" s="284" t="n"/>
      <c r="JQ88" s="38" t="n"/>
      <c r="JR88" s="247" t="n"/>
      <c r="JS88" s="36" t="n"/>
      <c r="JT88" s="284" t="n"/>
      <c r="JU88" s="38" t="n"/>
      <c r="JV88" s="247" t="n"/>
      <c r="JW88" s="36" t="n"/>
      <c r="JX88" s="284" t="n"/>
      <c r="JY88" s="38" t="n"/>
      <c r="JZ88" s="247" t="n"/>
      <c r="KA88" s="36" t="n"/>
      <c r="KB88" s="284" t="n"/>
      <c r="KC88" s="38" t="n"/>
      <c r="KD88" s="247" t="n"/>
      <c r="KE88" s="338">
        <f t="array" ref="KE88">SUMPRODUCT(--(MOD(COLUMN($II88:$KD88),4)=MOD(COLUMN($II88),4)),$II88:$KD88)</f>
        <v/>
      </c>
      <c r="KF88" s="339">
        <f>KE88*$J88</f>
        <v/>
      </c>
      <c r="KG88" s="340">
        <f t="array" ref="KG88">SUMPRODUCT(--(MOD(COLUMN($II88:$KD88),4)=MOD(COLUMN($IJ88),4)),$II88:$KD88)</f>
        <v/>
      </c>
      <c r="KH88" s="341">
        <f>KG88*$J88</f>
        <v/>
      </c>
      <c r="KI88" s="342">
        <f t="array" ref="KI88">SUMPRODUCT(--(MOD(COLUMN($II88:$KD88),4)=MOD(COLUMN($IK88),4)),$II88:$KD88)</f>
        <v/>
      </c>
      <c r="KJ88" s="346">
        <f>KI88*$J88</f>
        <v/>
      </c>
      <c r="KK88" s="80" t="n"/>
      <c r="KL88" s="80" t="n"/>
      <c r="KM88" s="80" t="n"/>
      <c r="KN88" s="51" t="n">
        <v>1</v>
      </c>
      <c r="KO88" s="347" t="n"/>
    </row>
    <row r="89" outlineLevel="1" ht="28.8" customFormat="1" customHeight="1" s="68">
      <c r="A89" s="347" t="n"/>
      <c r="B89" s="347" t="n"/>
      <c r="C89" s="347" t="n"/>
      <c r="D89" s="347" t="n"/>
      <c r="E89" s="15" t="n">
        <v>53</v>
      </c>
      <c r="F89" s="61" t="n">
        <v>2</v>
      </c>
      <c r="G89" s="62" t="n">
        <v>4410507182</v>
      </c>
      <c r="H89" s="63" t="inlineStr">
        <is>
          <t xml:space="preserve">Рычаг удлиннитель датчика положения </t>
        </is>
      </c>
      <c r="I89" s="371" t="n"/>
      <c r="J89" s="371">
        <f>174/1.2</f>
        <v/>
      </c>
      <c r="K89" s="371" t="n"/>
      <c r="L89" s="371" t="n"/>
      <c r="M89" s="36" t="n"/>
      <c r="N89" s="284" t="n"/>
      <c r="O89" s="38" t="n"/>
      <c r="P89" s="284" t="n"/>
      <c r="Q89" s="36" t="n"/>
      <c r="R89" s="284" t="n"/>
      <c r="S89" s="38" t="n"/>
      <c r="T89" s="284" t="n"/>
      <c r="U89" s="36" t="n"/>
      <c r="V89" s="284" t="n"/>
      <c r="W89" s="38" t="n"/>
      <c r="X89" s="284" t="n"/>
      <c r="Y89" s="36" t="n"/>
      <c r="Z89" s="39" t="n"/>
      <c r="AA89" s="38" t="n"/>
      <c r="AB89" s="247" t="n"/>
      <c r="AC89" s="36" t="n"/>
      <c r="AD89" s="284" t="n"/>
      <c r="AE89" s="38" t="n"/>
      <c r="AF89" s="247" t="n"/>
      <c r="AG89" s="36" t="n"/>
      <c r="AH89" s="284" t="n"/>
      <c r="AI89" s="38" t="n"/>
      <c r="AJ89" s="247" t="n"/>
      <c r="AK89" s="36" t="n"/>
      <c r="AL89" s="284" t="n"/>
      <c r="AM89" s="38" t="n"/>
      <c r="AN89" s="247" t="n"/>
      <c r="AO89" s="36" t="n"/>
      <c r="AP89" s="284" t="n"/>
      <c r="AQ89" s="38" t="n"/>
      <c r="AR89" s="247" t="n"/>
      <c r="AS89" s="36" t="n"/>
      <c r="AT89" s="284" t="n"/>
      <c r="AU89" s="38" t="n"/>
      <c r="AV89" s="247" t="n"/>
      <c r="AW89" s="36" t="n"/>
      <c r="AX89" s="284" t="n"/>
      <c r="AY89" s="38" t="n"/>
      <c r="AZ89" s="247" t="n"/>
      <c r="BA89" s="36" t="n"/>
      <c r="BB89" s="284" t="n"/>
      <c r="BC89" s="92" t="n"/>
      <c r="BD89" s="284" t="n"/>
      <c r="BE89" s="36" t="n"/>
      <c r="BF89" s="284">
        <f>$KN89*0</f>
        <v/>
      </c>
      <c r="BG89" s="54" t="n"/>
      <c r="BH89" s="284" t="n"/>
      <c r="BI89" s="338" t="n"/>
      <c r="BJ89" s="339" t="n"/>
      <c r="BK89" s="340" t="n"/>
      <c r="BL89" s="341" t="n"/>
      <c r="BM89" s="342" t="n"/>
      <c r="BN89" s="343" t="n"/>
      <c r="BO89" s="36" t="n"/>
      <c r="BP89" s="47" t="n"/>
      <c r="BQ89" s="284" t="n"/>
      <c r="BR89" s="38" t="n"/>
      <c r="BS89" s="284" t="n"/>
      <c r="BT89" s="36" t="n"/>
      <c r="BU89" s="47" t="n"/>
      <c r="BV89" s="284" t="n"/>
      <c r="BW89" s="38" t="n"/>
      <c r="BX89" s="247" t="n"/>
      <c r="BY89" s="36" t="n"/>
      <c r="BZ89" s="47" t="n"/>
      <c r="CA89" s="284" t="n"/>
      <c r="CB89" s="38" t="n"/>
      <c r="CC89" s="284" t="n"/>
      <c r="CD89" s="36" t="n"/>
      <c r="CE89" s="47" t="n"/>
      <c r="CF89" s="284" t="n"/>
      <c r="CG89" s="38" t="n"/>
      <c r="CH89" s="247" t="n"/>
      <c r="CI89" s="36" t="n"/>
      <c r="CJ89" s="47" t="n"/>
      <c r="CK89" s="284" t="n">
        <v>1</v>
      </c>
      <c r="CL89" s="38" t="n">
        <v>1</v>
      </c>
      <c r="CM89" s="347" t="n"/>
      <c r="CN89" s="36" t="n"/>
      <c r="CO89" s="47" t="n"/>
      <c r="CP89" s="284" t="n"/>
      <c r="CQ89" s="38" t="n">
        <v>0</v>
      </c>
      <c r="CR89" s="284" t="n"/>
      <c r="CS89" s="36" t="n"/>
      <c r="CT89" s="47" t="n"/>
      <c r="CU89" s="284" t="n"/>
      <c r="CV89" s="38" t="n">
        <v>0</v>
      </c>
      <c r="CW89" s="284" t="n"/>
      <c r="CX89" s="36" t="n"/>
      <c r="CY89" s="47" t="n"/>
      <c r="CZ89" s="284" t="n"/>
      <c r="DA89" s="38" t="n">
        <v>0</v>
      </c>
      <c r="DB89" s="284" t="n"/>
      <c r="DC89" s="36" t="n"/>
      <c r="DD89" s="47" t="n"/>
      <c r="DE89" s="284" t="n"/>
      <c r="DF89" s="38" t="n">
        <v>0</v>
      </c>
      <c r="DG89" s="284" t="n"/>
      <c r="DH89" s="36" t="n"/>
      <c r="DI89" s="47" t="n"/>
      <c r="DJ89" s="284" t="n"/>
      <c r="DK89" s="38" t="n">
        <v>0</v>
      </c>
      <c r="DL89" s="284" t="n"/>
      <c r="DM89" s="36" t="n"/>
      <c r="DN89" s="47" t="n"/>
      <c r="DO89" s="284" t="n"/>
      <c r="DP89" s="38" t="n"/>
      <c r="DQ89" s="227" t="n"/>
      <c r="DR89" s="36" t="n"/>
      <c r="DS89" s="47" t="n"/>
      <c r="DT89" s="284" t="n"/>
      <c r="DU89" s="38" t="n">
        <v>0</v>
      </c>
      <c r="DV89" s="284" t="n"/>
      <c r="DW89" s="338">
        <f t="array" ref="DW89">SUMPRODUCT(--(MOD(COLUMN($BO89:$DV89),5)=MOD(COLUMN($BO89),5)),$BO89:$DV89)</f>
        <v/>
      </c>
      <c r="DX89" s="339">
        <f>DW89*$J89</f>
        <v/>
      </c>
      <c r="DY89" s="344">
        <f t="array" ref="DY89">SUMPRODUCT(--(MOD(COLUMN($BO89:$DV89),5)=MOD(COLUMN($BP89),5)),$BO89:$DV89)</f>
        <v/>
      </c>
      <c r="DZ89" s="345">
        <f>DY89*$J89</f>
        <v/>
      </c>
      <c r="EA89" s="340">
        <f t="array" ref="EA89">SUMPRODUCT(--(MOD(COLUMN($BO89:$DV89),5)=MOD(COLUMN($BQ89),5)),$BO89:$DV89)</f>
        <v/>
      </c>
      <c r="EB89" s="341">
        <f>EA89*$J89</f>
        <v/>
      </c>
      <c r="EC89" s="342">
        <f t="array" ref="EC89">SUMPRODUCT(--(MOD(COLUMN($BO89:$DV89),5)=MOD(COLUMN($BR89),5)),$BO89:$DV89)</f>
        <v/>
      </c>
      <c r="ED89" s="343">
        <f>EC89*$J89</f>
        <v/>
      </c>
      <c r="EE89" s="36" t="n"/>
      <c r="EF89" s="284" t="n"/>
      <c r="EG89" s="38" t="n"/>
      <c r="EH89" s="247" t="n"/>
      <c r="EI89" s="36" t="n"/>
      <c r="EJ89" s="284" t="n"/>
      <c r="EK89" s="38" t="n"/>
      <c r="EL89" s="247" t="n"/>
      <c r="EM89" s="36" t="n"/>
      <c r="EN89" s="284" t="n"/>
      <c r="EO89" s="38" t="n"/>
      <c r="EP89" s="247" t="n"/>
      <c r="EQ89" s="36" t="n"/>
      <c r="ER89" s="284" t="n"/>
      <c r="ES89" s="38" t="n"/>
      <c r="ET89" s="247" t="n"/>
      <c r="EU89" s="36" t="n"/>
      <c r="EV89" s="284" t="n"/>
      <c r="EW89" s="38" t="n"/>
      <c r="EX89" s="247" t="n"/>
      <c r="EY89" s="36" t="n"/>
      <c r="EZ89" s="284" t="n"/>
      <c r="FA89" s="38" t="n"/>
      <c r="FB89" s="247" t="n"/>
      <c r="FC89" s="36" t="n"/>
      <c r="FD89" s="284" t="n"/>
      <c r="FE89" s="38" t="n"/>
      <c r="FF89" s="247" t="n"/>
      <c r="FG89" s="36" t="n"/>
      <c r="FH89" s="284" t="n"/>
      <c r="FI89" s="38" t="n"/>
      <c r="FJ89" s="247" t="n"/>
      <c r="FK89" s="36" t="n"/>
      <c r="FL89" s="284" t="n"/>
      <c r="FM89" s="38" t="n"/>
      <c r="FN89" s="247" t="n"/>
      <c r="FO89" s="36" t="n"/>
      <c r="FP89" s="284" t="n"/>
      <c r="FQ89" s="38" t="n"/>
      <c r="FR89" s="247" t="n"/>
      <c r="FS89" s="36" t="n"/>
      <c r="FT89" s="284" t="n"/>
      <c r="FU89" s="38" t="n"/>
      <c r="FV89" s="247" t="n"/>
      <c r="FW89" s="36" t="n"/>
      <c r="FX89" s="284" t="n"/>
      <c r="FY89" s="38" t="n"/>
      <c r="FZ89" s="247" t="n"/>
      <c r="GA89" s="338">
        <f t="array" ref="GA89">SUMPRODUCT(--(MOD(COLUMN($EE89:$FZ89),4)=MOD(COLUMN($EE89),4)),$EE89:$FZ89)</f>
        <v/>
      </c>
      <c r="GB89" s="339">
        <f>GA89*$J89</f>
        <v/>
      </c>
      <c r="GC89" s="340">
        <f t="array" ref="GC89">SUMPRODUCT(--(MOD(COLUMN($EE89:$FZ89),4)=MOD(COLUMN($EF89),4)),$EE89:$FZ89)</f>
        <v/>
      </c>
      <c r="GD89" s="341">
        <f>GC89*$J89</f>
        <v/>
      </c>
      <c r="GE89" s="342">
        <f t="array" ref="GE89">SUMPRODUCT(--(MOD(COLUMN($EE89:$FZ89),4)=MOD(COLUMN($EG89),4)),$EE89:$FZ89)</f>
        <v/>
      </c>
      <c r="GF89" s="343">
        <f>GE89*$J89</f>
        <v/>
      </c>
      <c r="GG89" s="36" t="n"/>
      <c r="GH89" s="284" t="n"/>
      <c r="GI89" s="38" t="n"/>
      <c r="GJ89" s="247" t="n"/>
      <c r="GK89" s="36" t="n"/>
      <c r="GL89" s="284" t="n"/>
      <c r="GM89" s="38" t="n"/>
      <c r="GN89" s="247" t="n"/>
      <c r="GO89" s="36" t="n"/>
      <c r="GP89" s="284" t="n"/>
      <c r="GQ89" s="38" t="n"/>
      <c r="GR89" s="247" t="n"/>
      <c r="GS89" s="36" t="n"/>
      <c r="GT89" s="284" t="n"/>
      <c r="GU89" s="38" t="n"/>
      <c r="GV89" s="247" t="n"/>
      <c r="GW89" s="36" t="n"/>
      <c r="GX89" s="284" t="n"/>
      <c r="GY89" s="38" t="n"/>
      <c r="GZ89" s="247" t="n"/>
      <c r="HA89" s="36" t="n"/>
      <c r="HB89" s="284" t="n"/>
      <c r="HC89" s="38" t="n"/>
      <c r="HD89" s="247" t="n"/>
      <c r="HE89" s="36" t="n"/>
      <c r="HF89" s="284" t="n"/>
      <c r="HG89" s="38" t="n"/>
      <c r="HH89" s="247" t="n"/>
      <c r="HI89" s="36" t="n"/>
      <c r="HJ89" s="284" t="n"/>
      <c r="HK89" s="38" t="n"/>
      <c r="HL89" s="247" t="n"/>
      <c r="HM89" s="36" t="n"/>
      <c r="HN89" s="284" t="n"/>
      <c r="HO89" s="38" t="n"/>
      <c r="HP89" s="247" t="n"/>
      <c r="HQ89" s="36" t="n"/>
      <c r="HR89" s="284" t="n"/>
      <c r="HS89" s="38" t="n"/>
      <c r="HT89" s="247" t="n"/>
      <c r="HU89" s="36" t="n"/>
      <c r="HV89" s="284" t="n"/>
      <c r="HW89" s="38" t="n"/>
      <c r="HX89" s="247" t="n"/>
      <c r="HY89" s="36" t="n"/>
      <c r="HZ89" s="284" t="n"/>
      <c r="IA89" s="38" t="n"/>
      <c r="IB89" s="247" t="n"/>
      <c r="IC89" s="338">
        <f t="array" ref="IC89">SUMPRODUCT(--(MOD(COLUMN($GG89:$IB89),4)=MOD(COLUMN($GG89),4)),$GG89:$IB89)</f>
        <v/>
      </c>
      <c r="ID89" s="339">
        <f>IC89*$J89</f>
        <v/>
      </c>
      <c r="IE89" s="340">
        <f t="array" ref="IE89">SUMPRODUCT(--(MOD(COLUMN($GG89:$IB89),4)=MOD(COLUMN($GH89),4)),$GG89:$IB89)</f>
        <v/>
      </c>
      <c r="IF89" s="341">
        <f>IE89*$J89</f>
        <v/>
      </c>
      <c r="IG89" s="342">
        <f t="array" ref="IG89">SUMPRODUCT(--(MOD(COLUMN($GG89:$IB89),4)=MOD(COLUMN($GI89),4)),$GG89:$IB89)</f>
        <v/>
      </c>
      <c r="IH89" s="343">
        <f>IG89*$J89</f>
        <v/>
      </c>
      <c r="II89" s="36" t="n"/>
      <c r="IJ89" s="284" t="n"/>
      <c r="IK89" s="38" t="n"/>
      <c r="IL89" s="247" t="n"/>
      <c r="IM89" s="36" t="n"/>
      <c r="IN89" s="284" t="n"/>
      <c r="IO89" s="38" t="n"/>
      <c r="IP89" s="247" t="n"/>
      <c r="IQ89" s="36" t="n"/>
      <c r="IR89" s="284" t="n"/>
      <c r="IS89" s="38" t="n"/>
      <c r="IT89" s="247" t="n"/>
      <c r="IU89" s="36" t="n"/>
      <c r="IV89" s="284" t="n"/>
      <c r="IW89" s="38" t="n"/>
      <c r="IX89" s="247" t="n"/>
      <c r="IY89" s="36" t="n"/>
      <c r="IZ89" s="284" t="n"/>
      <c r="JA89" s="38" t="n"/>
      <c r="JB89" s="247" t="n"/>
      <c r="JC89" s="36" t="n"/>
      <c r="JD89" s="284" t="n"/>
      <c r="JE89" s="38" t="n"/>
      <c r="JF89" s="247" t="n"/>
      <c r="JG89" s="36" t="n"/>
      <c r="JH89" s="284" t="n"/>
      <c r="JI89" s="38" t="n"/>
      <c r="JJ89" s="247" t="n"/>
      <c r="JK89" s="36" t="n"/>
      <c r="JL89" s="284" t="n"/>
      <c r="JM89" s="38" t="n"/>
      <c r="JN89" s="247" t="n"/>
      <c r="JO89" s="36" t="n"/>
      <c r="JP89" s="284" t="n"/>
      <c r="JQ89" s="38" t="n"/>
      <c r="JR89" s="247" t="n"/>
      <c r="JS89" s="36" t="n"/>
      <c r="JT89" s="284" t="n"/>
      <c r="JU89" s="38" t="n"/>
      <c r="JV89" s="247" t="n"/>
      <c r="JW89" s="36" t="n"/>
      <c r="JX89" s="284" t="n"/>
      <c r="JY89" s="38" t="n"/>
      <c r="JZ89" s="247" t="n"/>
      <c r="KA89" s="36" t="n"/>
      <c r="KB89" s="284" t="n"/>
      <c r="KC89" s="38" t="n"/>
      <c r="KD89" s="247" t="n"/>
      <c r="KE89" s="338">
        <f t="array" ref="KE89">SUMPRODUCT(--(MOD(COLUMN($II89:$KD89),4)=MOD(COLUMN($II89),4)),$II89:$KD89)</f>
        <v/>
      </c>
      <c r="KF89" s="339">
        <f>KE89*$J89</f>
        <v/>
      </c>
      <c r="KG89" s="340">
        <f t="array" ref="KG89">SUMPRODUCT(--(MOD(COLUMN($II89:$KD89),4)=MOD(COLUMN($IJ89),4)),$II89:$KD89)</f>
        <v/>
      </c>
      <c r="KH89" s="341">
        <f>KG89*$J89</f>
        <v/>
      </c>
      <c r="KI89" s="342">
        <f t="array" ref="KI89">SUMPRODUCT(--(MOD(COLUMN($II89:$KD89),4)=MOD(COLUMN($IK89),4)),$II89:$KD89)</f>
        <v/>
      </c>
      <c r="KJ89" s="346">
        <f>KI89*$J89</f>
        <v/>
      </c>
      <c r="KK89" s="80" t="n"/>
      <c r="KL89" s="80" t="n"/>
      <c r="KM89" s="80" t="n"/>
      <c r="KN89" s="51" t="n">
        <v>1</v>
      </c>
      <c r="KO89" s="347" t="n"/>
    </row>
    <row r="90" outlineLevel="1" customFormat="1" s="68">
      <c r="A90" s="347" t="n"/>
      <c r="B90" s="347" t="n"/>
      <c r="C90" s="347" t="n"/>
      <c r="D90" s="347" t="n"/>
      <c r="E90" s="15" t="n">
        <v>54</v>
      </c>
      <c r="F90" s="61" t="n">
        <v>2</v>
      </c>
      <c r="G90" s="62" t="n">
        <v>4494450500</v>
      </c>
      <c r="H90" s="63" t="inlineStr">
        <is>
          <t xml:space="preserve">Кабель, 5 м </t>
        </is>
      </c>
      <c r="I90" s="371" t="n"/>
      <c r="J90" s="371">
        <f>648/1.2</f>
        <v/>
      </c>
      <c r="K90" s="371" t="n"/>
      <c r="L90" s="371" t="n"/>
      <c r="M90" s="36" t="n"/>
      <c r="N90" s="284" t="n"/>
      <c r="O90" s="38" t="n"/>
      <c r="P90" s="284" t="n"/>
      <c r="Q90" s="36" t="n"/>
      <c r="R90" s="284" t="n"/>
      <c r="S90" s="38" t="n"/>
      <c r="T90" s="284" t="n"/>
      <c r="U90" s="36" t="n"/>
      <c r="V90" s="284" t="n"/>
      <c r="W90" s="38" t="n"/>
      <c r="X90" s="284" t="n"/>
      <c r="Y90" s="36" t="n"/>
      <c r="Z90" s="39" t="n"/>
      <c r="AA90" s="38" t="n"/>
      <c r="AB90" s="247" t="n"/>
      <c r="AC90" s="36" t="n"/>
      <c r="AD90" s="284" t="n"/>
      <c r="AE90" s="38" t="n"/>
      <c r="AF90" s="247" t="n"/>
      <c r="AG90" s="36" t="n"/>
      <c r="AH90" s="284" t="n"/>
      <c r="AI90" s="38" t="n"/>
      <c r="AJ90" s="247" t="n"/>
      <c r="AK90" s="36" t="n"/>
      <c r="AL90" s="284" t="n"/>
      <c r="AM90" s="38" t="n"/>
      <c r="AN90" s="247" t="n"/>
      <c r="AO90" s="36" t="n"/>
      <c r="AP90" s="284" t="n"/>
      <c r="AQ90" s="38" t="n"/>
      <c r="AR90" s="247" t="n"/>
      <c r="AS90" s="36" t="n"/>
      <c r="AT90" s="284" t="n"/>
      <c r="AU90" s="38" t="n"/>
      <c r="AV90" s="247" t="n"/>
      <c r="AW90" s="36" t="n"/>
      <c r="AX90" s="284" t="n"/>
      <c r="AY90" s="38" t="n"/>
      <c r="AZ90" s="247" t="n"/>
      <c r="BA90" s="36" t="n"/>
      <c r="BB90" s="284" t="n"/>
      <c r="BC90" s="92" t="n"/>
      <c r="BD90" s="284" t="n"/>
      <c r="BE90" s="36" t="n"/>
      <c r="BF90" s="284">
        <f>$KN90*0</f>
        <v/>
      </c>
      <c r="BG90" s="54" t="n"/>
      <c r="BH90" s="284" t="n"/>
      <c r="BI90" s="338" t="n"/>
      <c r="BJ90" s="339" t="n"/>
      <c r="BK90" s="340" t="n"/>
      <c r="BL90" s="341" t="n"/>
      <c r="BM90" s="342" t="n"/>
      <c r="BN90" s="343" t="n"/>
      <c r="BO90" s="36" t="n"/>
      <c r="BP90" s="47" t="n"/>
      <c r="BQ90" s="284" t="n"/>
      <c r="BR90" s="38" t="n"/>
      <c r="BS90" s="284" t="n"/>
      <c r="BT90" s="36" t="n"/>
      <c r="BU90" s="47" t="n"/>
      <c r="BV90" s="284" t="n"/>
      <c r="BW90" s="38" t="n"/>
      <c r="BX90" s="247" t="n"/>
      <c r="BY90" s="36" t="n"/>
      <c r="BZ90" s="47" t="n"/>
      <c r="CA90" s="284" t="n"/>
      <c r="CB90" s="38" t="n"/>
      <c r="CC90" s="284" t="n"/>
      <c r="CD90" s="36" t="n"/>
      <c r="CE90" s="47" t="n"/>
      <c r="CF90" s="284" t="n"/>
      <c r="CG90" s="38" t="n"/>
      <c r="CH90" s="247" t="n"/>
      <c r="CI90" s="36" t="n"/>
      <c r="CJ90" s="47" t="n"/>
      <c r="CK90" s="284" t="n">
        <v>1</v>
      </c>
      <c r="CL90" s="38" t="n">
        <v>1</v>
      </c>
      <c r="CM90" s="347" t="n"/>
      <c r="CN90" s="36" t="n"/>
      <c r="CO90" s="47" t="n"/>
      <c r="CP90" s="284" t="n"/>
      <c r="CQ90" s="38" t="n">
        <v>0</v>
      </c>
      <c r="CR90" s="284" t="n"/>
      <c r="CS90" s="36" t="n"/>
      <c r="CT90" s="47" t="n"/>
      <c r="CU90" s="284" t="n"/>
      <c r="CV90" s="38" t="n">
        <v>0</v>
      </c>
      <c r="CW90" s="284" t="n"/>
      <c r="CX90" s="36" t="n"/>
      <c r="CY90" s="47" t="n"/>
      <c r="CZ90" s="284" t="n"/>
      <c r="DA90" s="38" t="n">
        <v>0</v>
      </c>
      <c r="DB90" s="284" t="n"/>
      <c r="DC90" s="36" t="n"/>
      <c r="DD90" s="47" t="n"/>
      <c r="DE90" s="284" t="n"/>
      <c r="DF90" s="38" t="n">
        <v>0</v>
      </c>
      <c r="DG90" s="284" t="n"/>
      <c r="DH90" s="36" t="n"/>
      <c r="DI90" s="47" t="n"/>
      <c r="DJ90" s="284" t="n"/>
      <c r="DK90" s="38" t="n">
        <v>0</v>
      </c>
      <c r="DL90" s="284" t="n"/>
      <c r="DM90" s="36" t="n"/>
      <c r="DN90" s="47" t="n"/>
      <c r="DO90" s="284" t="n"/>
      <c r="DP90" s="38" t="n"/>
      <c r="DQ90" s="227" t="n"/>
      <c r="DR90" s="36" t="n"/>
      <c r="DS90" s="47" t="n"/>
      <c r="DT90" s="284" t="n"/>
      <c r="DU90" s="38" t="n">
        <v>0</v>
      </c>
      <c r="DV90" s="284" t="n"/>
      <c r="DW90" s="338">
        <f t="array" ref="DW90">SUMPRODUCT(--(MOD(COLUMN($BO90:$DV90),5)=MOD(COLUMN($BO90),5)),$BO90:$DV90)</f>
        <v/>
      </c>
      <c r="DX90" s="339">
        <f>DW90*$J90</f>
        <v/>
      </c>
      <c r="DY90" s="344">
        <f t="array" ref="DY90">SUMPRODUCT(--(MOD(COLUMN($BO90:$DV90),5)=MOD(COLUMN($BP90),5)),$BO90:$DV90)</f>
        <v/>
      </c>
      <c r="DZ90" s="345">
        <f>DY90*$J90</f>
        <v/>
      </c>
      <c r="EA90" s="340">
        <f t="array" ref="EA90">SUMPRODUCT(--(MOD(COLUMN($BO90:$DV90),5)=MOD(COLUMN($BQ90),5)),$BO90:$DV90)</f>
        <v/>
      </c>
      <c r="EB90" s="341">
        <f>EA90*$J90</f>
        <v/>
      </c>
      <c r="EC90" s="342">
        <f t="array" ref="EC90">SUMPRODUCT(--(MOD(COLUMN($BO90:$DV90),5)=MOD(COLUMN($BR90),5)),$BO90:$DV90)</f>
        <v/>
      </c>
      <c r="ED90" s="343">
        <f>EC90*$J90</f>
        <v/>
      </c>
      <c r="EE90" s="36" t="n"/>
      <c r="EF90" s="284" t="n"/>
      <c r="EG90" s="38" t="n"/>
      <c r="EH90" s="247" t="n"/>
      <c r="EI90" s="36" t="n"/>
      <c r="EJ90" s="284" t="n"/>
      <c r="EK90" s="38" t="n"/>
      <c r="EL90" s="247" t="n"/>
      <c r="EM90" s="36" t="n"/>
      <c r="EN90" s="284" t="n"/>
      <c r="EO90" s="38" t="n"/>
      <c r="EP90" s="247" t="n"/>
      <c r="EQ90" s="36" t="n"/>
      <c r="ER90" s="284" t="n"/>
      <c r="ES90" s="38" t="n"/>
      <c r="ET90" s="247" t="n"/>
      <c r="EU90" s="36" t="n"/>
      <c r="EV90" s="284" t="n"/>
      <c r="EW90" s="38" t="n"/>
      <c r="EX90" s="247" t="n"/>
      <c r="EY90" s="36" t="n"/>
      <c r="EZ90" s="284" t="n"/>
      <c r="FA90" s="38" t="n"/>
      <c r="FB90" s="247" t="n"/>
      <c r="FC90" s="36" t="n"/>
      <c r="FD90" s="284" t="n"/>
      <c r="FE90" s="38" t="n"/>
      <c r="FF90" s="247" t="n"/>
      <c r="FG90" s="36" t="n"/>
      <c r="FH90" s="284" t="n"/>
      <c r="FI90" s="38" t="n"/>
      <c r="FJ90" s="247" t="n"/>
      <c r="FK90" s="36" t="n"/>
      <c r="FL90" s="284" t="n"/>
      <c r="FM90" s="38" t="n"/>
      <c r="FN90" s="247" t="n"/>
      <c r="FO90" s="36" t="n"/>
      <c r="FP90" s="284" t="n"/>
      <c r="FQ90" s="38" t="n"/>
      <c r="FR90" s="247" t="n"/>
      <c r="FS90" s="36" t="n"/>
      <c r="FT90" s="284" t="n"/>
      <c r="FU90" s="38" t="n"/>
      <c r="FV90" s="247" t="n"/>
      <c r="FW90" s="36" t="n"/>
      <c r="FX90" s="284" t="n"/>
      <c r="FY90" s="38" t="n"/>
      <c r="FZ90" s="247" t="n"/>
      <c r="GA90" s="338">
        <f t="array" ref="GA90">SUMPRODUCT(--(MOD(COLUMN($EE90:$FZ90),4)=MOD(COLUMN($EE90),4)),$EE90:$FZ90)</f>
        <v/>
      </c>
      <c r="GB90" s="339">
        <f>GA90*$J90</f>
        <v/>
      </c>
      <c r="GC90" s="340">
        <f t="array" ref="GC90">SUMPRODUCT(--(MOD(COLUMN($EE90:$FZ90),4)=MOD(COLUMN($EF90),4)),$EE90:$FZ90)</f>
        <v/>
      </c>
      <c r="GD90" s="341">
        <f>GC90*$J90</f>
        <v/>
      </c>
      <c r="GE90" s="342">
        <f t="array" ref="GE90">SUMPRODUCT(--(MOD(COLUMN($EE90:$FZ90),4)=MOD(COLUMN($EG90),4)),$EE90:$FZ90)</f>
        <v/>
      </c>
      <c r="GF90" s="343">
        <f>GE90*$J90</f>
        <v/>
      </c>
      <c r="GG90" s="36" t="n"/>
      <c r="GH90" s="284" t="n"/>
      <c r="GI90" s="38" t="n"/>
      <c r="GJ90" s="247" t="n"/>
      <c r="GK90" s="36" t="n"/>
      <c r="GL90" s="284" t="n"/>
      <c r="GM90" s="38" t="n"/>
      <c r="GN90" s="247" t="n"/>
      <c r="GO90" s="36" t="n"/>
      <c r="GP90" s="284" t="n"/>
      <c r="GQ90" s="38" t="n"/>
      <c r="GR90" s="247" t="n"/>
      <c r="GS90" s="36" t="n"/>
      <c r="GT90" s="284" t="n"/>
      <c r="GU90" s="38" t="n"/>
      <c r="GV90" s="247" t="n"/>
      <c r="GW90" s="36" t="n"/>
      <c r="GX90" s="284" t="n"/>
      <c r="GY90" s="38" t="n"/>
      <c r="GZ90" s="247" t="n"/>
      <c r="HA90" s="36" t="n"/>
      <c r="HB90" s="284" t="n"/>
      <c r="HC90" s="38" t="n"/>
      <c r="HD90" s="247" t="n"/>
      <c r="HE90" s="36" t="n"/>
      <c r="HF90" s="284" t="n"/>
      <c r="HG90" s="38" t="n"/>
      <c r="HH90" s="247" t="n"/>
      <c r="HI90" s="36" t="n"/>
      <c r="HJ90" s="284" t="n"/>
      <c r="HK90" s="38" t="n"/>
      <c r="HL90" s="247" t="n"/>
      <c r="HM90" s="36" t="n"/>
      <c r="HN90" s="284" t="n"/>
      <c r="HO90" s="38" t="n"/>
      <c r="HP90" s="247" t="n"/>
      <c r="HQ90" s="36" t="n"/>
      <c r="HR90" s="284" t="n"/>
      <c r="HS90" s="38" t="n"/>
      <c r="HT90" s="247" t="n"/>
      <c r="HU90" s="36" t="n"/>
      <c r="HV90" s="284" t="n"/>
      <c r="HW90" s="38" t="n"/>
      <c r="HX90" s="247" t="n"/>
      <c r="HY90" s="36" t="n"/>
      <c r="HZ90" s="284" t="n"/>
      <c r="IA90" s="38" t="n"/>
      <c r="IB90" s="247" t="n"/>
      <c r="IC90" s="338">
        <f t="array" ref="IC90">SUMPRODUCT(--(MOD(COLUMN($GG90:$IB90),4)=MOD(COLUMN($GG90),4)),$GG90:$IB90)</f>
        <v/>
      </c>
      <c r="ID90" s="339">
        <f>IC90*$J90</f>
        <v/>
      </c>
      <c r="IE90" s="340">
        <f t="array" ref="IE90">SUMPRODUCT(--(MOD(COLUMN($GG90:$IB90),4)=MOD(COLUMN($GH90),4)),$GG90:$IB90)</f>
        <v/>
      </c>
      <c r="IF90" s="341">
        <f>IE90*$J90</f>
        <v/>
      </c>
      <c r="IG90" s="342">
        <f t="array" ref="IG90">SUMPRODUCT(--(MOD(COLUMN($GG90:$IB90),4)=MOD(COLUMN($GI90),4)),$GG90:$IB90)</f>
        <v/>
      </c>
      <c r="IH90" s="343">
        <f>IG90*$J90</f>
        <v/>
      </c>
      <c r="II90" s="36" t="n"/>
      <c r="IJ90" s="284" t="n"/>
      <c r="IK90" s="38" t="n"/>
      <c r="IL90" s="247" t="n"/>
      <c r="IM90" s="36" t="n"/>
      <c r="IN90" s="284" t="n"/>
      <c r="IO90" s="38" t="n"/>
      <c r="IP90" s="247" t="n"/>
      <c r="IQ90" s="36" t="n"/>
      <c r="IR90" s="284" t="n"/>
      <c r="IS90" s="38" t="n"/>
      <c r="IT90" s="247" t="n"/>
      <c r="IU90" s="36" t="n"/>
      <c r="IV90" s="284" t="n"/>
      <c r="IW90" s="38" t="n"/>
      <c r="IX90" s="247" t="n"/>
      <c r="IY90" s="36" t="n"/>
      <c r="IZ90" s="284" t="n"/>
      <c r="JA90" s="38" t="n"/>
      <c r="JB90" s="247" t="n"/>
      <c r="JC90" s="36" t="n"/>
      <c r="JD90" s="284" t="n"/>
      <c r="JE90" s="38" t="n"/>
      <c r="JF90" s="247" t="n"/>
      <c r="JG90" s="36" t="n"/>
      <c r="JH90" s="284" t="n"/>
      <c r="JI90" s="38" t="n"/>
      <c r="JJ90" s="247" t="n"/>
      <c r="JK90" s="36" t="n"/>
      <c r="JL90" s="284" t="n"/>
      <c r="JM90" s="38" t="n"/>
      <c r="JN90" s="247" t="n"/>
      <c r="JO90" s="36" t="n"/>
      <c r="JP90" s="284" t="n"/>
      <c r="JQ90" s="38" t="n"/>
      <c r="JR90" s="247" t="n"/>
      <c r="JS90" s="36" t="n"/>
      <c r="JT90" s="284" t="n"/>
      <c r="JU90" s="38" t="n"/>
      <c r="JV90" s="247" t="n"/>
      <c r="JW90" s="36" t="n"/>
      <c r="JX90" s="284" t="n"/>
      <c r="JY90" s="38" t="n"/>
      <c r="JZ90" s="247" t="n"/>
      <c r="KA90" s="36" t="n"/>
      <c r="KB90" s="284" t="n"/>
      <c r="KC90" s="38" t="n"/>
      <c r="KD90" s="247" t="n"/>
      <c r="KE90" s="338">
        <f t="array" ref="KE90">SUMPRODUCT(--(MOD(COLUMN($II90:$KD90),4)=MOD(COLUMN($II90),4)),$II90:$KD90)</f>
        <v/>
      </c>
      <c r="KF90" s="339">
        <f>KE90*$J90</f>
        <v/>
      </c>
      <c r="KG90" s="340">
        <f t="array" ref="KG90">SUMPRODUCT(--(MOD(COLUMN($II90:$KD90),4)=MOD(COLUMN($IJ90),4)),$II90:$KD90)</f>
        <v/>
      </c>
      <c r="KH90" s="341">
        <f>KG90*$J90</f>
        <v/>
      </c>
      <c r="KI90" s="342">
        <f t="array" ref="KI90">SUMPRODUCT(--(MOD(COLUMN($II90:$KD90),4)=MOD(COLUMN($IK90),4)),$II90:$KD90)</f>
        <v/>
      </c>
      <c r="KJ90" s="346">
        <f>KI90*$J90</f>
        <v/>
      </c>
      <c r="KK90" s="80" t="n"/>
      <c r="KL90" s="80" t="n"/>
      <c r="KM90" s="80" t="n"/>
      <c r="KN90" s="51" t="n">
        <v>1</v>
      </c>
      <c r="KO90" s="347" t="n"/>
    </row>
    <row r="91" outlineLevel="1" ht="28.8" customFormat="1" customHeight="1" s="68">
      <c r="A91" s="347" t="n"/>
      <c r="B91" s="347" t="n"/>
      <c r="C91" s="347" t="n"/>
      <c r="D91" s="347" t="n"/>
      <c r="E91" s="15" t="n">
        <v>55</v>
      </c>
      <c r="F91" s="61" t="n">
        <v>2</v>
      </c>
      <c r="G91" s="62" t="n">
        <v>4498110300</v>
      </c>
      <c r="H91" s="63" t="inlineStr">
        <is>
          <t xml:space="preserve">Кабель датчика положения, 3м </t>
        </is>
      </c>
      <c r="I91" s="371" t="n"/>
      <c r="J91" s="371">
        <f>756/1.2</f>
        <v/>
      </c>
      <c r="K91" s="371" t="n"/>
      <c r="L91" s="371" t="n"/>
      <c r="M91" s="36" t="n"/>
      <c r="N91" s="284" t="n"/>
      <c r="O91" s="38" t="n"/>
      <c r="P91" s="284" t="n"/>
      <c r="Q91" s="36" t="n"/>
      <c r="R91" s="284" t="n"/>
      <c r="S91" s="38" t="n"/>
      <c r="T91" s="284" t="n"/>
      <c r="U91" s="36" t="n"/>
      <c r="V91" s="284" t="n"/>
      <c r="W91" s="38" t="n"/>
      <c r="X91" s="284" t="n"/>
      <c r="Y91" s="36" t="n"/>
      <c r="Z91" s="39" t="n"/>
      <c r="AA91" s="38" t="n"/>
      <c r="AB91" s="247" t="n"/>
      <c r="AC91" s="36" t="n"/>
      <c r="AD91" s="284" t="n"/>
      <c r="AE91" s="38" t="n"/>
      <c r="AF91" s="247" t="n"/>
      <c r="AG91" s="36" t="n"/>
      <c r="AH91" s="284" t="n"/>
      <c r="AI91" s="38" t="n"/>
      <c r="AJ91" s="247" t="n"/>
      <c r="AK91" s="36" t="n"/>
      <c r="AL91" s="284" t="n"/>
      <c r="AM91" s="38" t="n"/>
      <c r="AN91" s="247" t="n"/>
      <c r="AO91" s="36" t="n"/>
      <c r="AP91" s="284" t="n"/>
      <c r="AQ91" s="38" t="n"/>
      <c r="AR91" s="247" t="n"/>
      <c r="AS91" s="36" t="n"/>
      <c r="AT91" s="284" t="n"/>
      <c r="AU91" s="38" t="n"/>
      <c r="AV91" s="247" t="n"/>
      <c r="AW91" s="36" t="n"/>
      <c r="AX91" s="284" t="n"/>
      <c r="AY91" s="38" t="n"/>
      <c r="AZ91" s="247" t="n"/>
      <c r="BA91" s="36" t="n"/>
      <c r="BB91" s="284" t="n"/>
      <c r="BC91" s="92" t="n"/>
      <c r="BD91" s="284" t="n"/>
      <c r="BE91" s="36" t="n"/>
      <c r="BF91" s="284">
        <f>$KN91*0</f>
        <v/>
      </c>
      <c r="BG91" s="54" t="n"/>
      <c r="BH91" s="284" t="n"/>
      <c r="BI91" s="338" t="n"/>
      <c r="BJ91" s="339" t="n"/>
      <c r="BK91" s="340" t="n"/>
      <c r="BL91" s="341" t="n"/>
      <c r="BM91" s="342" t="n"/>
      <c r="BN91" s="343" t="n"/>
      <c r="BO91" s="36" t="n"/>
      <c r="BP91" s="47" t="n"/>
      <c r="BQ91" s="284" t="n"/>
      <c r="BR91" s="38" t="n"/>
      <c r="BS91" s="284" t="n"/>
      <c r="BT91" s="36" t="n"/>
      <c r="BU91" s="47" t="n"/>
      <c r="BV91" s="284" t="n"/>
      <c r="BW91" s="38" t="n"/>
      <c r="BX91" s="247" t="n"/>
      <c r="BY91" s="36" t="n"/>
      <c r="BZ91" s="47" t="n"/>
      <c r="CA91" s="284" t="n"/>
      <c r="CB91" s="38" t="n"/>
      <c r="CC91" s="284" t="n"/>
      <c r="CD91" s="36" t="n"/>
      <c r="CE91" s="47" t="n"/>
      <c r="CF91" s="284" t="n"/>
      <c r="CG91" s="38" t="n"/>
      <c r="CH91" s="247" t="n"/>
      <c r="CI91" s="36" t="n"/>
      <c r="CJ91" s="47" t="n"/>
      <c r="CK91" s="284" t="n">
        <v>1</v>
      </c>
      <c r="CL91" s="38" t="n">
        <v>1</v>
      </c>
      <c r="CM91" s="333" t="n"/>
      <c r="CN91" s="36" t="n"/>
      <c r="CO91" s="47" t="n"/>
      <c r="CP91" s="284" t="n"/>
      <c r="CQ91" s="38" t="n">
        <v>0</v>
      </c>
      <c r="CR91" s="284" t="n"/>
      <c r="CS91" s="36" t="n"/>
      <c r="CT91" s="47" t="n"/>
      <c r="CU91" s="284" t="n"/>
      <c r="CV91" s="38" t="n">
        <v>0</v>
      </c>
      <c r="CW91" s="284" t="n"/>
      <c r="CX91" s="36" t="n"/>
      <c r="CY91" s="47" t="n"/>
      <c r="CZ91" s="284" t="n"/>
      <c r="DA91" s="38" t="n">
        <v>0</v>
      </c>
      <c r="DB91" s="284" t="n"/>
      <c r="DC91" s="36" t="n"/>
      <c r="DD91" s="47" t="n"/>
      <c r="DE91" s="284" t="n"/>
      <c r="DF91" s="38" t="n">
        <v>0</v>
      </c>
      <c r="DG91" s="284" t="n"/>
      <c r="DH91" s="36" t="n"/>
      <c r="DI91" s="47" t="n"/>
      <c r="DJ91" s="284" t="n"/>
      <c r="DK91" s="38" t="n">
        <v>0</v>
      </c>
      <c r="DL91" s="284" t="n"/>
      <c r="DM91" s="36" t="n"/>
      <c r="DN91" s="47" t="n"/>
      <c r="DO91" s="284" t="n"/>
      <c r="DP91" s="38" t="n"/>
      <c r="DQ91" s="227" t="n"/>
      <c r="DR91" s="36" t="n"/>
      <c r="DS91" s="47" t="n"/>
      <c r="DT91" s="284" t="n"/>
      <c r="DU91" s="38" t="n">
        <v>0</v>
      </c>
      <c r="DV91" s="284" t="n"/>
      <c r="DW91" s="338">
        <f t="array" ref="DW91">SUMPRODUCT(--(MOD(COLUMN($BO91:$DV91),5)=MOD(COLUMN($BO91),5)),$BO91:$DV91)</f>
        <v/>
      </c>
      <c r="DX91" s="339">
        <f>DW91*$J91</f>
        <v/>
      </c>
      <c r="DY91" s="344">
        <f t="array" ref="DY91">SUMPRODUCT(--(MOD(COLUMN($BO91:$DV91),5)=MOD(COLUMN($BP91),5)),$BO91:$DV91)</f>
        <v/>
      </c>
      <c r="DZ91" s="345">
        <f>DY91*$J91</f>
        <v/>
      </c>
      <c r="EA91" s="340">
        <f t="array" ref="EA91">SUMPRODUCT(--(MOD(COLUMN($BO91:$DV91),5)=MOD(COLUMN($BQ91),5)),$BO91:$DV91)</f>
        <v/>
      </c>
      <c r="EB91" s="341">
        <f>EA91*$J91</f>
        <v/>
      </c>
      <c r="EC91" s="342">
        <f t="array" ref="EC91">SUMPRODUCT(--(MOD(COLUMN($BO91:$DV91),5)=MOD(COLUMN($BR91),5)),$BO91:$DV91)</f>
        <v/>
      </c>
      <c r="ED91" s="343">
        <f>EC91*$J91</f>
        <v/>
      </c>
      <c r="EE91" s="36" t="n"/>
      <c r="EF91" s="284" t="n"/>
      <c r="EG91" s="38" t="n"/>
      <c r="EH91" s="247" t="n"/>
      <c r="EI91" s="36" t="n"/>
      <c r="EJ91" s="284" t="n"/>
      <c r="EK91" s="38" t="n"/>
      <c r="EL91" s="247" t="n"/>
      <c r="EM91" s="36" t="n"/>
      <c r="EN91" s="284" t="n"/>
      <c r="EO91" s="38" t="n"/>
      <c r="EP91" s="247" t="n"/>
      <c r="EQ91" s="36" t="n"/>
      <c r="ER91" s="284" t="n"/>
      <c r="ES91" s="38" t="n"/>
      <c r="ET91" s="247" t="n"/>
      <c r="EU91" s="36" t="n"/>
      <c r="EV91" s="284" t="n"/>
      <c r="EW91" s="38" t="n"/>
      <c r="EX91" s="247" t="n"/>
      <c r="EY91" s="36" t="n"/>
      <c r="EZ91" s="284" t="n"/>
      <c r="FA91" s="38" t="n"/>
      <c r="FB91" s="247" t="n"/>
      <c r="FC91" s="36" t="n"/>
      <c r="FD91" s="284" t="n"/>
      <c r="FE91" s="38" t="n"/>
      <c r="FF91" s="247" t="n"/>
      <c r="FG91" s="36" t="n"/>
      <c r="FH91" s="284" t="n"/>
      <c r="FI91" s="38" t="n"/>
      <c r="FJ91" s="247" t="n"/>
      <c r="FK91" s="36" t="n"/>
      <c r="FL91" s="284" t="n"/>
      <c r="FM91" s="38" t="n"/>
      <c r="FN91" s="247" t="n"/>
      <c r="FO91" s="36" t="n"/>
      <c r="FP91" s="284" t="n"/>
      <c r="FQ91" s="38" t="n"/>
      <c r="FR91" s="247" t="n"/>
      <c r="FS91" s="36" t="n"/>
      <c r="FT91" s="284" t="n"/>
      <c r="FU91" s="38" t="n"/>
      <c r="FV91" s="247" t="n"/>
      <c r="FW91" s="36" t="n"/>
      <c r="FX91" s="284" t="n"/>
      <c r="FY91" s="38" t="n"/>
      <c r="FZ91" s="247" t="n"/>
      <c r="GA91" s="338">
        <f t="array" ref="GA91">SUMPRODUCT(--(MOD(COLUMN($EE91:$FZ91),4)=MOD(COLUMN($EE91),4)),$EE91:$FZ91)</f>
        <v/>
      </c>
      <c r="GB91" s="339">
        <f>GA91*$J91</f>
        <v/>
      </c>
      <c r="GC91" s="340">
        <f t="array" ref="GC91">SUMPRODUCT(--(MOD(COLUMN($EE91:$FZ91),4)=MOD(COLUMN($EF91),4)),$EE91:$FZ91)</f>
        <v/>
      </c>
      <c r="GD91" s="341">
        <f>GC91*$J91</f>
        <v/>
      </c>
      <c r="GE91" s="342">
        <f t="array" ref="GE91">SUMPRODUCT(--(MOD(COLUMN($EE91:$FZ91),4)=MOD(COLUMN($EG91),4)),$EE91:$FZ91)</f>
        <v/>
      </c>
      <c r="GF91" s="343">
        <f>GE91*$J91</f>
        <v/>
      </c>
      <c r="GG91" s="36" t="n"/>
      <c r="GH91" s="284" t="n"/>
      <c r="GI91" s="38" t="n"/>
      <c r="GJ91" s="247" t="n"/>
      <c r="GK91" s="36" t="n"/>
      <c r="GL91" s="284" t="n"/>
      <c r="GM91" s="38" t="n"/>
      <c r="GN91" s="247" t="n"/>
      <c r="GO91" s="36" t="n"/>
      <c r="GP91" s="284" t="n"/>
      <c r="GQ91" s="38" t="n"/>
      <c r="GR91" s="247" t="n"/>
      <c r="GS91" s="36" t="n"/>
      <c r="GT91" s="284" t="n"/>
      <c r="GU91" s="38" t="n"/>
      <c r="GV91" s="247" t="n"/>
      <c r="GW91" s="36" t="n"/>
      <c r="GX91" s="284" t="n"/>
      <c r="GY91" s="38" t="n"/>
      <c r="GZ91" s="247" t="n"/>
      <c r="HA91" s="36" t="n"/>
      <c r="HB91" s="284" t="n"/>
      <c r="HC91" s="38" t="n"/>
      <c r="HD91" s="247" t="n"/>
      <c r="HE91" s="36" t="n"/>
      <c r="HF91" s="284" t="n"/>
      <c r="HG91" s="38" t="n"/>
      <c r="HH91" s="247" t="n"/>
      <c r="HI91" s="36" t="n"/>
      <c r="HJ91" s="284" t="n"/>
      <c r="HK91" s="38" t="n"/>
      <c r="HL91" s="247" t="n"/>
      <c r="HM91" s="36" t="n"/>
      <c r="HN91" s="284" t="n"/>
      <c r="HO91" s="38" t="n"/>
      <c r="HP91" s="247" t="n"/>
      <c r="HQ91" s="36" t="n"/>
      <c r="HR91" s="284" t="n"/>
      <c r="HS91" s="38" t="n"/>
      <c r="HT91" s="247" t="n"/>
      <c r="HU91" s="36" t="n"/>
      <c r="HV91" s="284" t="n"/>
      <c r="HW91" s="38" t="n"/>
      <c r="HX91" s="247" t="n"/>
      <c r="HY91" s="36" t="n"/>
      <c r="HZ91" s="284" t="n"/>
      <c r="IA91" s="38" t="n"/>
      <c r="IB91" s="247" t="n"/>
      <c r="IC91" s="338">
        <f t="array" ref="IC91">SUMPRODUCT(--(MOD(COLUMN($GG91:$IB91),4)=MOD(COLUMN($GG91),4)),$GG91:$IB91)</f>
        <v/>
      </c>
      <c r="ID91" s="339">
        <f>IC91*$J91</f>
        <v/>
      </c>
      <c r="IE91" s="340">
        <f t="array" ref="IE91">SUMPRODUCT(--(MOD(COLUMN($GG91:$IB91),4)=MOD(COLUMN($GH91),4)),$GG91:$IB91)</f>
        <v/>
      </c>
      <c r="IF91" s="341">
        <f>IE91*$J91</f>
        <v/>
      </c>
      <c r="IG91" s="342">
        <f t="array" ref="IG91">SUMPRODUCT(--(MOD(COLUMN($GG91:$IB91),4)=MOD(COLUMN($GI91),4)),$GG91:$IB91)</f>
        <v/>
      </c>
      <c r="IH91" s="343">
        <f>IG91*$J91</f>
        <v/>
      </c>
      <c r="II91" s="36" t="n"/>
      <c r="IJ91" s="284" t="n"/>
      <c r="IK91" s="38" t="n"/>
      <c r="IL91" s="247" t="n"/>
      <c r="IM91" s="36" t="n"/>
      <c r="IN91" s="284" t="n"/>
      <c r="IO91" s="38" t="n"/>
      <c r="IP91" s="247" t="n"/>
      <c r="IQ91" s="36" t="n"/>
      <c r="IR91" s="284" t="n"/>
      <c r="IS91" s="38" t="n"/>
      <c r="IT91" s="247" t="n"/>
      <c r="IU91" s="36" t="n"/>
      <c r="IV91" s="284" t="n"/>
      <c r="IW91" s="38" t="n"/>
      <c r="IX91" s="247" t="n"/>
      <c r="IY91" s="36" t="n"/>
      <c r="IZ91" s="284" t="n"/>
      <c r="JA91" s="38" t="n"/>
      <c r="JB91" s="247" t="n"/>
      <c r="JC91" s="36" t="n"/>
      <c r="JD91" s="284" t="n"/>
      <c r="JE91" s="38" t="n"/>
      <c r="JF91" s="247" t="n"/>
      <c r="JG91" s="36" t="n"/>
      <c r="JH91" s="284" t="n"/>
      <c r="JI91" s="38" t="n"/>
      <c r="JJ91" s="247" t="n"/>
      <c r="JK91" s="36" t="n"/>
      <c r="JL91" s="284" t="n"/>
      <c r="JM91" s="38" t="n"/>
      <c r="JN91" s="247" t="n"/>
      <c r="JO91" s="36" t="n"/>
      <c r="JP91" s="284" t="n"/>
      <c r="JQ91" s="38" t="n"/>
      <c r="JR91" s="247" t="n"/>
      <c r="JS91" s="36" t="n"/>
      <c r="JT91" s="284" t="n"/>
      <c r="JU91" s="38" t="n"/>
      <c r="JV91" s="247" t="n"/>
      <c r="JW91" s="36" t="n"/>
      <c r="JX91" s="284" t="n"/>
      <c r="JY91" s="38" t="n"/>
      <c r="JZ91" s="247" t="n"/>
      <c r="KA91" s="36" t="n"/>
      <c r="KB91" s="284" t="n"/>
      <c r="KC91" s="38" t="n"/>
      <c r="KD91" s="247" t="n"/>
      <c r="KE91" s="338">
        <f t="array" ref="KE91">SUMPRODUCT(--(MOD(COLUMN($II91:$KD91),4)=MOD(COLUMN($II91),4)),$II91:$KD91)</f>
        <v/>
      </c>
      <c r="KF91" s="339">
        <f>KE91*$J91</f>
        <v/>
      </c>
      <c r="KG91" s="340">
        <f t="array" ref="KG91">SUMPRODUCT(--(MOD(COLUMN($II91:$KD91),4)=MOD(COLUMN($IJ91),4)),$II91:$KD91)</f>
        <v/>
      </c>
      <c r="KH91" s="341">
        <f>KG91*$J91</f>
        <v/>
      </c>
      <c r="KI91" s="342">
        <f t="array" ref="KI91">SUMPRODUCT(--(MOD(COLUMN($II91:$KD91),4)=MOD(COLUMN($IK91),4)),$II91:$KD91)</f>
        <v/>
      </c>
      <c r="KJ91" s="346">
        <f>KI91*$J91</f>
        <v/>
      </c>
      <c r="KK91" s="80" t="n"/>
      <c r="KL91" s="80" t="n"/>
      <c r="KM91" s="80" t="n"/>
      <c r="KN91" s="51" t="n">
        <v>1</v>
      </c>
      <c r="KO91" s="333" t="n"/>
    </row>
    <row r="92" outlineLevel="1" ht="15" customFormat="1" customHeight="1" s="68">
      <c r="A92" s="347" t="n"/>
      <c r="B92" s="347" t="n"/>
      <c r="C92" s="347" t="n"/>
      <c r="D92" s="347" t="n"/>
      <c r="E92" s="15" t="n">
        <v>56</v>
      </c>
      <c r="F92" s="61" t="n">
        <v>2</v>
      </c>
      <c r="G92" s="62" t="n">
        <v>4802070010</v>
      </c>
      <c r="H92" s="63" t="inlineStr">
        <is>
          <t>Модулятор EBS</t>
        </is>
      </c>
      <c r="I92" s="371" t="n"/>
      <c r="J92" s="371">
        <f>4618.8/1.2</f>
        <v/>
      </c>
      <c r="K92" s="371" t="n"/>
      <c r="L92" s="371" t="n"/>
      <c r="M92" s="36" t="n"/>
      <c r="N92" s="284" t="n"/>
      <c r="O92" s="38" t="n"/>
      <c r="P92" s="284" t="n"/>
      <c r="Q92" s="36" t="n"/>
      <c r="R92" s="284" t="n"/>
      <c r="S92" s="38" t="n"/>
      <c r="T92" s="284" t="n"/>
      <c r="U92" s="36" t="n"/>
      <c r="V92" s="284" t="n"/>
      <c r="W92" s="38" t="n"/>
      <c r="X92" s="284" t="n"/>
      <c r="Y92" s="36" t="n"/>
      <c r="Z92" s="39" t="n"/>
      <c r="AA92" s="38" t="n"/>
      <c r="AB92" s="247" t="n"/>
      <c r="AC92" s="36" t="n"/>
      <c r="AD92" s="284" t="n"/>
      <c r="AE92" s="38" t="n"/>
      <c r="AF92" s="247" t="n"/>
      <c r="AG92" s="36" t="n"/>
      <c r="AH92" s="284" t="n"/>
      <c r="AI92" s="38" t="n"/>
      <c r="AJ92" s="247" t="n"/>
      <c r="AK92" s="36" t="n"/>
      <c r="AL92" s="284" t="n"/>
      <c r="AM92" s="38" t="n"/>
      <c r="AN92" s="247" t="n"/>
      <c r="AO92" s="36" t="n"/>
      <c r="AP92" s="284" t="n"/>
      <c r="AQ92" s="38" t="n"/>
      <c r="AR92" s="247" t="n"/>
      <c r="AS92" s="36" t="n"/>
      <c r="AT92" s="284" t="n"/>
      <c r="AU92" s="38" t="n"/>
      <c r="AV92" s="247" t="n"/>
      <c r="AW92" s="36" t="n"/>
      <c r="AX92" s="284" t="n"/>
      <c r="AY92" s="38" t="n"/>
      <c r="AZ92" s="247" t="n"/>
      <c r="BA92" s="36" t="n"/>
      <c r="BB92" s="284" t="n"/>
      <c r="BC92" s="92" t="n"/>
      <c r="BD92" s="284" t="n"/>
      <c r="BE92" s="36" t="n"/>
      <c r="BF92" s="284">
        <f>$KN92*0</f>
        <v/>
      </c>
      <c r="BG92" s="54" t="n"/>
      <c r="BH92" s="284" t="n"/>
      <c r="BI92" s="338" t="n"/>
      <c r="BJ92" s="339" t="n"/>
      <c r="BK92" s="340" t="n"/>
      <c r="BL92" s="341" t="n"/>
      <c r="BM92" s="342" t="n"/>
      <c r="BN92" s="343" t="n"/>
      <c r="BO92" s="36" t="n"/>
      <c r="BP92" s="47" t="n"/>
      <c r="BQ92" s="284" t="n"/>
      <c r="BR92" s="38" t="n"/>
      <c r="BS92" s="284" t="n"/>
      <c r="BT92" s="36" t="n"/>
      <c r="BU92" s="47" t="n"/>
      <c r="BV92" s="284" t="n"/>
      <c r="BW92" s="38" t="n"/>
      <c r="BX92" s="247" t="n"/>
      <c r="BY92" s="36" t="n"/>
      <c r="BZ92" s="47" t="n"/>
      <c r="CA92" s="284" t="n"/>
      <c r="CB92" s="38" t="n"/>
      <c r="CC92" s="284" t="n"/>
      <c r="CD92" s="36" t="n"/>
      <c r="CE92" s="47" t="n"/>
      <c r="CF92" s="284" t="n"/>
      <c r="CG92" s="38" t="n"/>
      <c r="CH92" s="247" t="n"/>
      <c r="CI92" s="36" t="n"/>
      <c r="CJ92" s="47" t="n"/>
      <c r="CK92" s="284" t="n"/>
      <c r="CL92" s="38" t="n"/>
      <c r="CM92" s="247" t="n"/>
      <c r="CN92" s="36" t="n"/>
      <c r="CO92" s="47" t="n"/>
      <c r="CP92" s="284" t="n"/>
      <c r="CQ92" s="38" t="n"/>
      <c r="CR92" s="284" t="n"/>
      <c r="CS92" s="36" t="n"/>
      <c r="CT92" s="47" t="n"/>
      <c r="CU92" s="284" t="n"/>
      <c r="CV92" s="38" t="n"/>
      <c r="CW92" s="284" t="n"/>
      <c r="CX92" s="36" t="n"/>
      <c r="CY92" s="47" t="n"/>
      <c r="CZ92" s="284" t="n"/>
      <c r="DA92" s="38" t="n"/>
      <c r="DB92" s="284" t="n"/>
      <c r="DC92" s="36" t="n"/>
      <c r="DD92" s="47" t="n"/>
      <c r="DE92" s="284" t="n"/>
      <c r="DF92" s="38" t="n"/>
      <c r="DG92" s="284" t="n"/>
      <c r="DH92" s="36" t="n"/>
      <c r="DI92" s="47" t="n"/>
      <c r="DJ92" s="284" t="n"/>
      <c r="DK92" s="38" t="n">
        <v>0</v>
      </c>
      <c r="DL92" s="284" t="n"/>
      <c r="DM92" s="36" t="n"/>
      <c r="DN92" s="47" t="n"/>
      <c r="DO92" s="284">
        <f>$KN92*3</f>
        <v/>
      </c>
      <c r="DP92" s="38" t="n">
        <v>0</v>
      </c>
      <c r="DQ92" s="227" t="n"/>
      <c r="DR92" s="36" t="n"/>
      <c r="DS92" s="47" t="n"/>
      <c r="DT92" s="284">
        <f>$KN92*3</f>
        <v/>
      </c>
      <c r="DU92" s="38" t="n">
        <v>0</v>
      </c>
      <c r="DV92" s="284" t="n"/>
      <c r="DW92" s="338">
        <f t="array" ref="DW92">SUMPRODUCT(--(MOD(COLUMN($BO92:$DV92),5)=MOD(COLUMN($BO92),5)),$BO92:$DV92)</f>
        <v/>
      </c>
      <c r="DX92" s="339">
        <f>DW92*$J92</f>
        <v/>
      </c>
      <c r="DY92" s="344">
        <f t="array" ref="DY92">SUMPRODUCT(--(MOD(COLUMN($BO92:$DV92),5)=MOD(COLUMN($BP92),5)),$BO92:$DV92)</f>
        <v/>
      </c>
      <c r="DZ92" s="345">
        <f>DY92*$J92</f>
        <v/>
      </c>
      <c r="EA92" s="340">
        <f t="array" ref="EA92">SUMPRODUCT(--(MOD(COLUMN($BO92:$DV92),5)=MOD(COLUMN($BQ92),5)),$BO92:$DV92)</f>
        <v/>
      </c>
      <c r="EB92" s="341">
        <f>EA92*$J92</f>
        <v/>
      </c>
      <c r="EC92" s="342">
        <f t="array" ref="EC92">SUMPRODUCT(--(MOD(COLUMN($BO92:$DV92),5)=MOD(COLUMN($BR92),5)),$BO92:$DV92)</f>
        <v/>
      </c>
      <c r="ED92" s="343">
        <f>EC92*$J92</f>
        <v/>
      </c>
      <c r="EE92" s="36" t="n"/>
      <c r="EF92" s="284" t="n"/>
      <c r="EG92" s="38" t="n"/>
      <c r="EH92" s="247" t="n"/>
      <c r="EI92" s="36" t="n"/>
      <c r="EJ92" s="284" t="n"/>
      <c r="EK92" s="38" t="n"/>
      <c r="EL92" s="247" t="n"/>
      <c r="EM92" s="36" t="n"/>
      <c r="EN92" s="284" t="n"/>
      <c r="EO92" s="38" t="n"/>
      <c r="EP92" s="247" t="n"/>
      <c r="EQ92" s="36" t="n"/>
      <c r="ER92" s="284" t="n"/>
      <c r="ES92" s="38" t="n"/>
      <c r="ET92" s="247" t="n"/>
      <c r="EU92" s="36" t="n"/>
      <c r="EV92" s="284" t="n"/>
      <c r="EW92" s="38" t="n"/>
      <c r="EX92" s="247" t="n"/>
      <c r="EY92" s="36" t="n"/>
      <c r="EZ92" s="284" t="n"/>
      <c r="FA92" s="38" t="n"/>
      <c r="FB92" s="247" t="n"/>
      <c r="FC92" s="36" t="n"/>
      <c r="FD92" s="284" t="n"/>
      <c r="FE92" s="38" t="n"/>
      <c r="FF92" s="247" t="n"/>
      <c r="FG92" s="36" t="n"/>
      <c r="FH92" s="284" t="n"/>
      <c r="FI92" s="38" t="n"/>
      <c r="FJ92" s="247" t="n"/>
      <c r="FK92" s="36" t="n"/>
      <c r="FL92" s="284" t="n"/>
      <c r="FM92" s="38" t="n"/>
      <c r="FN92" s="247" t="n"/>
      <c r="FO92" s="36" t="n"/>
      <c r="FP92" s="284" t="n"/>
      <c r="FQ92" s="38" t="n"/>
      <c r="FR92" s="247" t="n"/>
      <c r="FS92" s="36" t="n"/>
      <c r="FT92" s="284" t="n"/>
      <c r="FU92" s="38" t="n"/>
      <c r="FV92" s="247" t="n"/>
      <c r="FW92" s="36" t="n"/>
      <c r="FX92" s="284" t="n"/>
      <c r="FY92" s="38" t="n"/>
      <c r="FZ92" s="247" t="n"/>
      <c r="GA92" s="338">
        <f t="array" ref="GA92">SUMPRODUCT(--(MOD(COLUMN($EE92:$FZ92),4)=MOD(COLUMN($EE92),4)),$EE92:$FZ92)</f>
        <v/>
      </c>
      <c r="GB92" s="339">
        <f>GA92*$J92</f>
        <v/>
      </c>
      <c r="GC92" s="340">
        <f t="array" ref="GC92">SUMPRODUCT(--(MOD(COLUMN($EE92:$FZ92),4)=MOD(COLUMN($EF92),4)),$EE92:$FZ92)</f>
        <v/>
      </c>
      <c r="GD92" s="341">
        <f>GC92*$J92</f>
        <v/>
      </c>
      <c r="GE92" s="342">
        <f t="array" ref="GE92">SUMPRODUCT(--(MOD(COLUMN($EE92:$FZ92),4)=MOD(COLUMN($EG92),4)),$EE92:$FZ92)</f>
        <v/>
      </c>
      <c r="GF92" s="343">
        <f>GE92*$J92</f>
        <v/>
      </c>
      <c r="GG92" s="36" t="n"/>
      <c r="GH92" s="284" t="n"/>
      <c r="GI92" s="38" t="n"/>
      <c r="GJ92" s="247" t="n"/>
      <c r="GK92" s="36" t="n"/>
      <c r="GL92" s="284" t="n"/>
      <c r="GM92" s="38" t="n"/>
      <c r="GN92" s="247" t="n"/>
      <c r="GO92" s="36" t="n"/>
      <c r="GP92" s="284" t="n"/>
      <c r="GQ92" s="38" t="n"/>
      <c r="GR92" s="247" t="n"/>
      <c r="GS92" s="36" t="n"/>
      <c r="GT92" s="284" t="n"/>
      <c r="GU92" s="38" t="n"/>
      <c r="GV92" s="247" t="n"/>
      <c r="GW92" s="36" t="n"/>
      <c r="GX92" s="284" t="n"/>
      <c r="GY92" s="38" t="n"/>
      <c r="GZ92" s="247" t="n"/>
      <c r="HA92" s="36" t="n"/>
      <c r="HB92" s="284" t="n"/>
      <c r="HC92" s="38" t="n"/>
      <c r="HD92" s="247" t="n"/>
      <c r="HE92" s="36" t="n"/>
      <c r="HF92" s="284" t="n"/>
      <c r="HG92" s="38" t="n"/>
      <c r="HH92" s="247" t="n"/>
      <c r="HI92" s="36" t="n"/>
      <c r="HJ92" s="284" t="n"/>
      <c r="HK92" s="38" t="n"/>
      <c r="HL92" s="247" t="n"/>
      <c r="HM92" s="36" t="n"/>
      <c r="HN92" s="284" t="n"/>
      <c r="HO92" s="38" t="n"/>
      <c r="HP92" s="247" t="n"/>
      <c r="HQ92" s="36" t="n"/>
      <c r="HR92" s="284" t="n"/>
      <c r="HS92" s="38" t="n"/>
      <c r="HT92" s="247" t="n"/>
      <c r="HU92" s="36" t="n"/>
      <c r="HV92" s="284" t="n"/>
      <c r="HW92" s="38" t="n"/>
      <c r="HX92" s="247" t="n"/>
      <c r="HY92" s="36" t="n"/>
      <c r="HZ92" s="284" t="n"/>
      <c r="IA92" s="38" t="n"/>
      <c r="IB92" s="247" t="n"/>
      <c r="IC92" s="338">
        <f t="array" ref="IC92">SUMPRODUCT(--(MOD(COLUMN($GG92:$IB92),4)=MOD(COLUMN($GG92),4)),$GG92:$IB92)</f>
        <v/>
      </c>
      <c r="ID92" s="339">
        <f>IC92*$J92</f>
        <v/>
      </c>
      <c r="IE92" s="340">
        <f t="array" ref="IE92">SUMPRODUCT(--(MOD(COLUMN($GG92:$IB92),4)=MOD(COLUMN($GH92),4)),$GG92:$IB92)</f>
        <v/>
      </c>
      <c r="IF92" s="341">
        <f>IE92*$J92</f>
        <v/>
      </c>
      <c r="IG92" s="342">
        <f t="array" ref="IG92">SUMPRODUCT(--(MOD(COLUMN($GG92:$IB92),4)=MOD(COLUMN($GI92),4)),$GG92:$IB92)</f>
        <v/>
      </c>
      <c r="IH92" s="343">
        <f>IG92*$J92</f>
        <v/>
      </c>
      <c r="II92" s="36" t="n"/>
      <c r="IJ92" s="284" t="n"/>
      <c r="IK92" s="38" t="n"/>
      <c r="IL92" s="247" t="n"/>
      <c r="IM92" s="36" t="n"/>
      <c r="IN92" s="284" t="n"/>
      <c r="IO92" s="38" t="n"/>
      <c r="IP92" s="247" t="n"/>
      <c r="IQ92" s="36" t="n"/>
      <c r="IR92" s="284" t="n"/>
      <c r="IS92" s="38" t="n"/>
      <c r="IT92" s="247" t="n"/>
      <c r="IU92" s="36" t="n"/>
      <c r="IV92" s="284" t="n"/>
      <c r="IW92" s="38" t="n"/>
      <c r="IX92" s="247" t="n"/>
      <c r="IY92" s="36" t="n"/>
      <c r="IZ92" s="284" t="n"/>
      <c r="JA92" s="38" t="n"/>
      <c r="JB92" s="247" t="n"/>
      <c r="JC92" s="36" t="n"/>
      <c r="JD92" s="284" t="n"/>
      <c r="JE92" s="38" t="n"/>
      <c r="JF92" s="247" t="n"/>
      <c r="JG92" s="36" t="n"/>
      <c r="JH92" s="284" t="n"/>
      <c r="JI92" s="38" t="n"/>
      <c r="JJ92" s="247" t="n"/>
      <c r="JK92" s="36" t="n"/>
      <c r="JL92" s="284" t="n"/>
      <c r="JM92" s="38" t="n"/>
      <c r="JN92" s="247" t="n"/>
      <c r="JO92" s="36" t="n"/>
      <c r="JP92" s="284" t="n"/>
      <c r="JQ92" s="38" t="n"/>
      <c r="JR92" s="247" t="n"/>
      <c r="JS92" s="36" t="n"/>
      <c r="JT92" s="284" t="n"/>
      <c r="JU92" s="38" t="n"/>
      <c r="JV92" s="247" t="n"/>
      <c r="JW92" s="36" t="n"/>
      <c r="JX92" s="284" t="n"/>
      <c r="JY92" s="38" t="n"/>
      <c r="JZ92" s="247" t="n"/>
      <c r="KA92" s="36" t="n"/>
      <c r="KB92" s="284" t="n"/>
      <c r="KC92" s="38" t="n"/>
      <c r="KD92" s="247" t="n"/>
      <c r="KE92" s="338">
        <f t="array" ref="KE92">SUMPRODUCT(--(MOD(COLUMN($II92:$KD92),4)=MOD(COLUMN($II92),4)),$II92:$KD92)</f>
        <v/>
      </c>
      <c r="KF92" s="339">
        <f>KE92*$J92</f>
        <v/>
      </c>
      <c r="KG92" s="340">
        <f t="array" ref="KG92">SUMPRODUCT(--(MOD(COLUMN($II92:$KD92),4)=MOD(COLUMN($IJ92),4)),$II92:$KD92)</f>
        <v/>
      </c>
      <c r="KH92" s="341">
        <f>KG92*$J92</f>
        <v/>
      </c>
      <c r="KI92" s="342">
        <f t="array" ref="KI92">SUMPRODUCT(--(MOD(COLUMN($II92:$KD92),4)=MOD(COLUMN($IK92),4)),$II92:$KD92)</f>
        <v/>
      </c>
      <c r="KJ92" s="346">
        <f>KI92*$J92</f>
        <v/>
      </c>
      <c r="KK92" s="80" t="n"/>
      <c r="KL92" s="80" t="n"/>
      <c r="KM92" s="80" t="n"/>
      <c r="KN92" s="51" t="n">
        <v>1</v>
      </c>
      <c r="KO92" s="285" t="n"/>
    </row>
    <row r="93" outlineLevel="1" ht="28.8" customFormat="1" customHeight="1" s="68">
      <c r="A93" s="333" t="n"/>
      <c r="B93" s="333" t="n"/>
      <c r="C93" s="333" t="n"/>
      <c r="D93" s="333" t="n"/>
      <c r="E93" s="15" t="n">
        <v>57</v>
      </c>
      <c r="F93" s="61" t="n">
        <v>2</v>
      </c>
      <c r="G93" s="62" t="n">
        <v>4494290800</v>
      </c>
      <c r="H93" s="63" t="inlineStr">
        <is>
          <t>Кабель модулятора EBS, 8 м</t>
        </is>
      </c>
      <c r="I93" s="371" t="n"/>
      <c r="J93" s="371">
        <f>1568.4/1.2</f>
        <v/>
      </c>
      <c r="K93" s="371" t="n"/>
      <c r="L93" s="371" t="n"/>
      <c r="M93" s="36" t="n"/>
      <c r="N93" s="284" t="n"/>
      <c r="O93" s="38" t="n"/>
      <c r="P93" s="284" t="n"/>
      <c r="Q93" s="36" t="n"/>
      <c r="R93" s="284" t="n"/>
      <c r="S93" s="38" t="n"/>
      <c r="T93" s="284" t="n"/>
      <c r="U93" s="36" t="n"/>
      <c r="V93" s="284" t="n"/>
      <c r="W93" s="38" t="n"/>
      <c r="X93" s="284" t="n"/>
      <c r="Y93" s="36" t="n"/>
      <c r="Z93" s="39" t="n"/>
      <c r="AA93" s="38" t="n"/>
      <c r="AB93" s="247" t="n"/>
      <c r="AC93" s="36" t="n"/>
      <c r="AD93" s="284" t="n"/>
      <c r="AE93" s="38" t="n"/>
      <c r="AF93" s="247" t="n"/>
      <c r="AG93" s="36" t="n"/>
      <c r="AH93" s="284" t="n"/>
      <c r="AI93" s="38" t="n"/>
      <c r="AJ93" s="247" t="n"/>
      <c r="AK93" s="36" t="n"/>
      <c r="AL93" s="284" t="n"/>
      <c r="AM93" s="38" t="n"/>
      <c r="AN93" s="247" t="n"/>
      <c r="AO93" s="36" t="n"/>
      <c r="AP93" s="284" t="n"/>
      <c r="AQ93" s="38" t="n"/>
      <c r="AR93" s="247" t="n"/>
      <c r="AS93" s="36" t="n"/>
      <c r="AT93" s="284" t="n"/>
      <c r="AU93" s="38" t="n"/>
      <c r="AV93" s="247" t="n"/>
      <c r="AW93" s="36" t="n"/>
      <c r="AX93" s="284" t="n"/>
      <c r="AY93" s="38" t="n"/>
      <c r="AZ93" s="247" t="n"/>
      <c r="BA93" s="36" t="n"/>
      <c r="BB93" s="284" t="n"/>
      <c r="BC93" s="92" t="n"/>
      <c r="BD93" s="284" t="n"/>
      <c r="BE93" s="36" t="n"/>
      <c r="BF93" s="284">
        <f>$KN93*0</f>
        <v/>
      </c>
      <c r="BG93" s="54" t="n"/>
      <c r="BH93" s="284" t="n"/>
      <c r="BI93" s="338" t="n"/>
      <c r="BJ93" s="339" t="n"/>
      <c r="BK93" s="340" t="n"/>
      <c r="BL93" s="341" t="n"/>
      <c r="BM93" s="342" t="n"/>
      <c r="BN93" s="343" t="n"/>
      <c r="BO93" s="36" t="n"/>
      <c r="BP93" s="47" t="n"/>
      <c r="BQ93" s="284" t="n"/>
      <c r="BR93" s="38" t="n"/>
      <c r="BS93" s="284" t="n"/>
      <c r="BT93" s="36" t="n"/>
      <c r="BU93" s="47" t="n"/>
      <c r="BV93" s="284" t="n"/>
      <c r="BW93" s="38" t="n"/>
      <c r="BX93" s="247" t="n"/>
      <c r="BY93" s="36" t="n"/>
      <c r="BZ93" s="47" t="n"/>
      <c r="CA93" s="284" t="n"/>
      <c r="CB93" s="38" t="n"/>
      <c r="CC93" s="284" t="n"/>
      <c r="CD93" s="36" t="n"/>
      <c r="CE93" s="47" t="n"/>
      <c r="CF93" s="284" t="n"/>
      <c r="CG93" s="38" t="n"/>
      <c r="CH93" s="247" t="n"/>
      <c r="CI93" s="36" t="n"/>
      <c r="CJ93" s="47" t="n"/>
      <c r="CK93" s="284" t="n"/>
      <c r="CL93" s="38" t="n"/>
      <c r="CM93" s="247" t="n"/>
      <c r="CN93" s="36" t="n"/>
      <c r="CO93" s="47" t="n"/>
      <c r="CP93" s="284" t="n"/>
      <c r="CQ93" s="38" t="n"/>
      <c r="CR93" s="284" t="n"/>
      <c r="CS93" s="36" t="n"/>
      <c r="CT93" s="47" t="n"/>
      <c r="CU93" s="284" t="n"/>
      <c r="CV93" s="38" t="n"/>
      <c r="CW93" s="284" t="n"/>
      <c r="CX93" s="36" t="n"/>
      <c r="CY93" s="47" t="n"/>
      <c r="CZ93" s="284" t="n"/>
      <c r="DA93" s="38" t="n"/>
      <c r="DB93" s="284" t="n"/>
      <c r="DC93" s="36" t="n"/>
      <c r="DD93" s="47" t="n"/>
      <c r="DE93" s="284" t="n"/>
      <c r="DF93" s="38" t="n"/>
      <c r="DG93" s="284" t="n"/>
      <c r="DH93" s="36" t="n"/>
      <c r="DI93" s="47" t="n"/>
      <c r="DJ93" s="284" t="n"/>
      <c r="DK93" s="38" t="n">
        <v>0</v>
      </c>
      <c r="DL93" s="284" t="n"/>
      <c r="DM93" s="36" t="n"/>
      <c r="DN93" s="47" t="n"/>
      <c r="DO93" s="284">
        <f>$KN93*3</f>
        <v/>
      </c>
      <c r="DP93" s="38" t="n">
        <v>0</v>
      </c>
      <c r="DQ93" s="228" t="n"/>
      <c r="DR93" s="36" t="n"/>
      <c r="DS93" s="47" t="n"/>
      <c r="DT93" s="284">
        <f>$KN93*3</f>
        <v/>
      </c>
      <c r="DU93" s="38" t="n">
        <v>0</v>
      </c>
      <c r="DV93" s="284" t="n"/>
      <c r="DW93" s="338">
        <f t="array" ref="DW93">SUMPRODUCT(--(MOD(COLUMN($BO93:$DV93),5)=MOD(COLUMN($BO93),5)),$BO93:$DV93)</f>
        <v/>
      </c>
      <c r="DX93" s="339">
        <f>DW93*$J93</f>
        <v/>
      </c>
      <c r="DY93" s="344">
        <f t="array" ref="DY93">SUMPRODUCT(--(MOD(COLUMN($BO93:$DV93),5)=MOD(COLUMN($BP93),5)),$BO93:$DV93)</f>
        <v/>
      </c>
      <c r="DZ93" s="345">
        <f>DY93*$J93</f>
        <v/>
      </c>
      <c r="EA93" s="340">
        <f t="array" ref="EA93">SUMPRODUCT(--(MOD(COLUMN($BO93:$DV93),5)=MOD(COLUMN($BQ93),5)),$BO93:$DV93)</f>
        <v/>
      </c>
      <c r="EB93" s="341">
        <f>EA93*$J93</f>
        <v/>
      </c>
      <c r="EC93" s="342">
        <f t="array" ref="EC93">SUMPRODUCT(--(MOD(COLUMN($BO93:$DV93),5)=MOD(COLUMN($BR93),5)),$BO93:$DV93)</f>
        <v/>
      </c>
      <c r="ED93" s="343">
        <f>EC93*$J93</f>
        <v/>
      </c>
      <c r="EE93" s="36" t="n"/>
      <c r="EF93" s="284" t="n"/>
      <c r="EG93" s="38" t="n"/>
      <c r="EH93" s="247" t="n"/>
      <c r="EI93" s="36" t="n"/>
      <c r="EJ93" s="284" t="n"/>
      <c r="EK93" s="38" t="n"/>
      <c r="EL93" s="247" t="n"/>
      <c r="EM93" s="36" t="n"/>
      <c r="EN93" s="284" t="n"/>
      <c r="EO93" s="38" t="n"/>
      <c r="EP93" s="247" t="n"/>
      <c r="EQ93" s="36" t="n"/>
      <c r="ER93" s="284" t="n"/>
      <c r="ES93" s="38" t="n"/>
      <c r="ET93" s="247" t="n"/>
      <c r="EU93" s="36" t="n"/>
      <c r="EV93" s="284" t="n"/>
      <c r="EW93" s="38" t="n"/>
      <c r="EX93" s="247" t="n"/>
      <c r="EY93" s="36" t="n"/>
      <c r="EZ93" s="284" t="n"/>
      <c r="FA93" s="38" t="n"/>
      <c r="FB93" s="247" t="n"/>
      <c r="FC93" s="36" t="n"/>
      <c r="FD93" s="284" t="n"/>
      <c r="FE93" s="38" t="n"/>
      <c r="FF93" s="247" t="n"/>
      <c r="FG93" s="36" t="n"/>
      <c r="FH93" s="284" t="n"/>
      <c r="FI93" s="38" t="n"/>
      <c r="FJ93" s="247" t="n"/>
      <c r="FK93" s="36" t="n"/>
      <c r="FL93" s="284" t="n"/>
      <c r="FM93" s="38" t="n"/>
      <c r="FN93" s="247" t="n"/>
      <c r="FO93" s="36" t="n"/>
      <c r="FP93" s="284" t="n"/>
      <c r="FQ93" s="38" t="n"/>
      <c r="FR93" s="247" t="n"/>
      <c r="FS93" s="36" t="n"/>
      <c r="FT93" s="284" t="n"/>
      <c r="FU93" s="38" t="n"/>
      <c r="FV93" s="247" t="n"/>
      <c r="FW93" s="36" t="n"/>
      <c r="FX93" s="284" t="n"/>
      <c r="FY93" s="38" t="n"/>
      <c r="FZ93" s="247" t="n"/>
      <c r="GA93" s="338">
        <f t="array" ref="GA93">SUMPRODUCT(--(MOD(COLUMN($EE93:$FZ93),4)=MOD(COLUMN($EE93),4)),$EE93:$FZ93)</f>
        <v/>
      </c>
      <c r="GB93" s="339">
        <f>GA93*$J93</f>
        <v/>
      </c>
      <c r="GC93" s="340">
        <f t="array" ref="GC93">SUMPRODUCT(--(MOD(COLUMN($EE93:$FZ93),4)=MOD(COLUMN($EF93),4)),$EE93:$FZ93)</f>
        <v/>
      </c>
      <c r="GD93" s="341">
        <f>GC93*$J93</f>
        <v/>
      </c>
      <c r="GE93" s="342">
        <f t="array" ref="GE93">SUMPRODUCT(--(MOD(COLUMN($EE93:$FZ93),4)=MOD(COLUMN($EG93),4)),$EE93:$FZ93)</f>
        <v/>
      </c>
      <c r="GF93" s="343">
        <f>GE93*$J93</f>
        <v/>
      </c>
      <c r="GG93" s="36" t="n"/>
      <c r="GH93" s="284" t="n"/>
      <c r="GI93" s="38" t="n"/>
      <c r="GJ93" s="247" t="n"/>
      <c r="GK93" s="36" t="n"/>
      <c r="GL93" s="284" t="n"/>
      <c r="GM93" s="38" t="n"/>
      <c r="GN93" s="247" t="n"/>
      <c r="GO93" s="36" t="n"/>
      <c r="GP93" s="284" t="n"/>
      <c r="GQ93" s="38" t="n"/>
      <c r="GR93" s="247" t="n"/>
      <c r="GS93" s="36" t="n"/>
      <c r="GT93" s="284" t="n"/>
      <c r="GU93" s="38" t="n"/>
      <c r="GV93" s="247" t="n"/>
      <c r="GW93" s="36" t="n"/>
      <c r="GX93" s="284" t="n"/>
      <c r="GY93" s="38" t="n"/>
      <c r="GZ93" s="247" t="n"/>
      <c r="HA93" s="36" t="n"/>
      <c r="HB93" s="284" t="n"/>
      <c r="HC93" s="38" t="n"/>
      <c r="HD93" s="247" t="n"/>
      <c r="HE93" s="36" t="n"/>
      <c r="HF93" s="284" t="n"/>
      <c r="HG93" s="38" t="n"/>
      <c r="HH93" s="247" t="n"/>
      <c r="HI93" s="36" t="n"/>
      <c r="HJ93" s="284" t="n"/>
      <c r="HK93" s="38" t="n"/>
      <c r="HL93" s="247" t="n"/>
      <c r="HM93" s="36" t="n"/>
      <c r="HN93" s="284" t="n"/>
      <c r="HO93" s="38" t="n"/>
      <c r="HP93" s="247" t="n"/>
      <c r="HQ93" s="36" t="n"/>
      <c r="HR93" s="284" t="n"/>
      <c r="HS93" s="38" t="n"/>
      <c r="HT93" s="247" t="n"/>
      <c r="HU93" s="36" t="n"/>
      <c r="HV93" s="284" t="n"/>
      <c r="HW93" s="38" t="n"/>
      <c r="HX93" s="247" t="n"/>
      <c r="HY93" s="36" t="n"/>
      <c r="HZ93" s="284" t="n"/>
      <c r="IA93" s="38" t="n"/>
      <c r="IB93" s="247" t="n"/>
      <c r="IC93" s="338">
        <f t="array" ref="IC93">SUMPRODUCT(--(MOD(COLUMN($GG93:$IB93),4)=MOD(COLUMN($GG93),4)),$GG93:$IB93)</f>
        <v/>
      </c>
      <c r="ID93" s="339">
        <f>IC93*$J93</f>
        <v/>
      </c>
      <c r="IE93" s="340">
        <f t="array" ref="IE93">SUMPRODUCT(--(MOD(COLUMN($GG93:$IB93),4)=MOD(COLUMN($GH93),4)),$GG93:$IB93)</f>
        <v/>
      </c>
      <c r="IF93" s="341">
        <f>IE93*$J93</f>
        <v/>
      </c>
      <c r="IG93" s="342">
        <f t="array" ref="IG93">SUMPRODUCT(--(MOD(COLUMN($GG93:$IB93),4)=MOD(COLUMN($GI93),4)),$GG93:$IB93)</f>
        <v/>
      </c>
      <c r="IH93" s="343">
        <f>IG93*$J93</f>
        <v/>
      </c>
      <c r="II93" s="36" t="n"/>
      <c r="IJ93" s="284" t="n"/>
      <c r="IK93" s="38" t="n"/>
      <c r="IL93" s="247" t="n"/>
      <c r="IM93" s="36" t="n"/>
      <c r="IN93" s="284" t="n"/>
      <c r="IO93" s="38" t="n"/>
      <c r="IP93" s="247" t="n"/>
      <c r="IQ93" s="36" t="n"/>
      <c r="IR93" s="284" t="n"/>
      <c r="IS93" s="38" t="n"/>
      <c r="IT93" s="247" t="n"/>
      <c r="IU93" s="36" t="n"/>
      <c r="IV93" s="284" t="n"/>
      <c r="IW93" s="38" t="n"/>
      <c r="IX93" s="247" t="n"/>
      <c r="IY93" s="36" t="n"/>
      <c r="IZ93" s="284" t="n"/>
      <c r="JA93" s="38" t="n"/>
      <c r="JB93" s="247" t="n"/>
      <c r="JC93" s="36" t="n"/>
      <c r="JD93" s="284" t="n"/>
      <c r="JE93" s="38" t="n"/>
      <c r="JF93" s="247" t="n"/>
      <c r="JG93" s="36" t="n"/>
      <c r="JH93" s="284" t="n"/>
      <c r="JI93" s="38" t="n"/>
      <c r="JJ93" s="247" t="n"/>
      <c r="JK93" s="36" t="n"/>
      <c r="JL93" s="284" t="n"/>
      <c r="JM93" s="38" t="n"/>
      <c r="JN93" s="247" t="n"/>
      <c r="JO93" s="36" t="n"/>
      <c r="JP93" s="284" t="n"/>
      <c r="JQ93" s="38" t="n"/>
      <c r="JR93" s="247" t="n"/>
      <c r="JS93" s="36" t="n"/>
      <c r="JT93" s="284" t="n"/>
      <c r="JU93" s="38" t="n"/>
      <c r="JV93" s="247" t="n"/>
      <c r="JW93" s="36" t="n"/>
      <c r="JX93" s="284" t="n"/>
      <c r="JY93" s="38" t="n"/>
      <c r="JZ93" s="247" t="n"/>
      <c r="KA93" s="36" t="n"/>
      <c r="KB93" s="284" t="n"/>
      <c r="KC93" s="38" t="n"/>
      <c r="KD93" s="247" t="n"/>
      <c r="KE93" s="338">
        <f t="array" ref="KE93">SUMPRODUCT(--(MOD(COLUMN($II93:$KD93),4)=MOD(COLUMN($II93),4)),$II93:$KD93)</f>
        <v/>
      </c>
      <c r="KF93" s="339">
        <f>KE93*$J93</f>
        <v/>
      </c>
      <c r="KG93" s="340">
        <f t="array" ref="KG93">SUMPRODUCT(--(MOD(COLUMN($II93:$KD93),4)=MOD(COLUMN($IJ93),4)),$II93:$KD93)</f>
        <v/>
      </c>
      <c r="KH93" s="341">
        <f>KG93*$J93</f>
        <v/>
      </c>
      <c r="KI93" s="342">
        <f t="array" ref="KI93">SUMPRODUCT(--(MOD(COLUMN($II93:$KD93),4)=MOD(COLUMN($IK93),4)),$II93:$KD93)</f>
        <v/>
      </c>
      <c r="KJ93" s="346">
        <f>KI93*$J93</f>
        <v/>
      </c>
      <c r="KK93" s="80" t="n"/>
      <c r="KL93" s="80" t="n"/>
      <c r="KM93" s="80" t="n"/>
      <c r="KN93" s="51" t="n">
        <v>1</v>
      </c>
      <c r="KO93" s="285" t="n"/>
    </row>
    <row r="94" outlineLevel="1" customFormat="1" s="68">
      <c r="A94" s="252" t="n"/>
      <c r="B94" s="69" t="n"/>
      <c r="C94" s="256" t="n"/>
      <c r="D94" s="256" t="n"/>
      <c r="E94" s="70" t="n"/>
      <c r="F94" s="70" t="n"/>
      <c r="G94" s="71" t="n"/>
      <c r="H94" s="72" t="inlineStr">
        <is>
          <t>Итого</t>
        </is>
      </c>
      <c r="I94" s="361" t="n"/>
      <c r="J94" s="360" t="n"/>
      <c r="K94" s="360" t="n"/>
      <c r="L94" s="360" t="n"/>
      <c r="M94" s="74" t="n"/>
      <c r="N94" s="75" t="n"/>
      <c r="O94" s="28" t="n"/>
      <c r="P94" s="75" t="n"/>
      <c r="Q94" s="74" t="n"/>
      <c r="R94" s="75" t="n"/>
      <c r="S94" s="28" t="n"/>
      <c r="T94" s="75" t="n"/>
      <c r="U94" s="74" t="n"/>
      <c r="V94" s="75" t="n"/>
      <c r="W94" s="28" t="n"/>
      <c r="X94" s="75" t="n"/>
      <c r="Y94" s="74" t="n"/>
      <c r="Z94" s="75" t="n"/>
      <c r="AA94" s="38" t="n"/>
      <c r="AB94" s="75" t="n"/>
      <c r="AC94" s="74" t="n"/>
      <c r="AD94" s="75" t="n"/>
      <c r="AE94" s="28" t="n"/>
      <c r="AF94" s="75" t="n"/>
      <c r="AG94" s="74" t="n"/>
      <c r="AH94" s="75" t="n"/>
      <c r="AI94" s="38" t="n"/>
      <c r="AJ94" s="75" t="n"/>
      <c r="AK94" s="74" t="n"/>
      <c r="AL94" s="75" t="n"/>
      <c r="AM94" s="38" t="n"/>
      <c r="AN94" s="75" t="n"/>
      <c r="AO94" s="74" t="n"/>
      <c r="AP94" s="75" t="n"/>
      <c r="AQ94" s="38" t="n"/>
      <c r="AR94" s="75" t="n"/>
      <c r="AS94" s="74" t="n"/>
      <c r="AT94" s="75" t="n"/>
      <c r="AU94" s="38" t="n"/>
      <c r="AV94" s="75" t="n"/>
      <c r="AW94" s="74" t="n"/>
      <c r="AX94" s="75" t="n"/>
      <c r="AY94" s="28" t="n"/>
      <c r="AZ94" s="75" t="n"/>
      <c r="BA94" s="74" t="n"/>
      <c r="BB94" s="97" t="n"/>
      <c r="BC94" s="77" t="n"/>
      <c r="BD94" s="75" t="n"/>
      <c r="BE94" s="74" t="n"/>
      <c r="BF94" s="76" t="n"/>
      <c r="BG94" s="78" t="n"/>
      <c r="BH94" s="75" t="n"/>
      <c r="BI94" s="338">
        <f>SUMPRODUCT(--(MOD(COLUMN($M94:$BH94),4)=MOD(COLUMN($M94),4)),$M94:$BH94)</f>
        <v/>
      </c>
      <c r="BJ94" s="339">
        <f>BI94*$I94</f>
        <v/>
      </c>
      <c r="BK94" s="340">
        <f>SUMPRODUCT(--(MOD(COLUMN($M94:$BH94),4)=MOD(COLUMN($M94)+1,4)),$M94:$BH94)</f>
        <v/>
      </c>
      <c r="BL94" s="341">
        <f>BK94*$I94</f>
        <v/>
      </c>
      <c r="BM94" s="342">
        <f>SUMPRODUCT(--(MOD(COLUMN($M94:$BH94),4)=MOD(COLUMN($M94)+2,4)),$M94:$BH94)</f>
        <v/>
      </c>
      <c r="BN94" s="343">
        <f>BM94*$I94</f>
        <v/>
      </c>
      <c r="BO94" s="74" t="n"/>
      <c r="BP94" s="79" t="n"/>
      <c r="BQ94" s="75" t="n"/>
      <c r="BR94" s="28" t="n"/>
      <c r="BS94" s="75" t="n"/>
      <c r="BT94" s="74" t="n"/>
      <c r="BU94" s="79" t="n"/>
      <c r="BV94" s="75" t="n"/>
      <c r="BW94" s="28" t="n"/>
      <c r="BX94" s="75" t="n"/>
      <c r="BY94" s="74" t="n"/>
      <c r="BZ94" s="79" t="n"/>
      <c r="CA94" s="75" t="n"/>
      <c r="CB94" s="28" t="n"/>
      <c r="CC94" s="75" t="n"/>
      <c r="CD94" s="74" t="n"/>
      <c r="CE94" s="79" t="n"/>
      <c r="CF94" s="75" t="n"/>
      <c r="CG94" s="28" t="n"/>
      <c r="CH94" s="75" t="n"/>
      <c r="CI94" s="74" t="n"/>
      <c r="CJ94" s="79" t="n"/>
      <c r="CK94" s="75" t="n"/>
      <c r="CL94" s="28" t="n"/>
      <c r="CM94" s="75" t="n"/>
      <c r="CN94" s="74" t="n"/>
      <c r="CO94" s="79" t="n"/>
      <c r="CP94" s="75" t="n"/>
      <c r="CQ94" s="28" t="n"/>
      <c r="CR94" s="75" t="n"/>
      <c r="CS94" s="74" t="n"/>
      <c r="CT94" s="79" t="n"/>
      <c r="CU94" s="75" t="n"/>
      <c r="CV94" s="28" t="n"/>
      <c r="CW94" s="75" t="n"/>
      <c r="CX94" s="74" t="n"/>
      <c r="CY94" s="79" t="n"/>
      <c r="CZ94" s="75" t="n"/>
      <c r="DA94" s="28" t="n"/>
      <c r="DB94" s="75" t="n"/>
      <c r="DC94" s="74" t="n"/>
      <c r="DD94" s="79" t="n"/>
      <c r="DE94" s="75" t="n"/>
      <c r="DF94" s="28" t="n"/>
      <c r="DG94" s="75" t="n"/>
      <c r="DH94" s="74" t="n"/>
      <c r="DI94" s="79" t="n"/>
      <c r="DJ94" s="75" t="n"/>
      <c r="DK94" s="28" t="n"/>
      <c r="DL94" s="75" t="n"/>
      <c r="DM94" s="74" t="n"/>
      <c r="DN94" s="79" t="n"/>
      <c r="DO94" s="75" t="n"/>
      <c r="DP94" s="28" t="n"/>
      <c r="DQ94" s="75" t="n"/>
      <c r="DR94" s="74" t="n"/>
      <c r="DS94" s="79" t="n"/>
      <c r="DT94" s="75" t="n"/>
      <c r="DU94" s="28" t="n"/>
      <c r="DV94" s="75" t="n"/>
      <c r="DW94" s="338" t="n"/>
      <c r="DX94" s="339" t="n"/>
      <c r="DY94" s="344" t="n"/>
      <c r="DZ94" s="345" t="n"/>
      <c r="EA94" s="340" t="n"/>
      <c r="EB94" s="341" t="n"/>
      <c r="EC94" s="342" t="n"/>
      <c r="ED94" s="343" t="n"/>
      <c r="EE94" s="74" t="n"/>
      <c r="EF94" s="75" t="n"/>
      <c r="EG94" s="28" t="n"/>
      <c r="EH94" s="75" t="n"/>
      <c r="EI94" s="74" t="n"/>
      <c r="EJ94" s="75" t="n"/>
      <c r="EK94" s="28" t="n"/>
      <c r="EL94" s="75" t="n"/>
      <c r="EM94" s="74" t="n"/>
      <c r="EN94" s="75" t="n"/>
      <c r="EO94" s="28" t="n"/>
      <c r="EP94" s="75" t="n"/>
      <c r="EQ94" s="74" t="n"/>
      <c r="ER94" s="75" t="n"/>
      <c r="ES94" s="28" t="n"/>
      <c r="ET94" s="75" t="n"/>
      <c r="EU94" s="74" t="n"/>
      <c r="EV94" s="75" t="n"/>
      <c r="EW94" s="28" t="n"/>
      <c r="EX94" s="75" t="n"/>
      <c r="EY94" s="74" t="n"/>
      <c r="EZ94" s="75" t="n"/>
      <c r="FA94" s="28" t="n"/>
      <c r="FB94" s="75" t="n"/>
      <c r="FC94" s="74" t="n"/>
      <c r="FD94" s="75" t="n"/>
      <c r="FE94" s="28" t="n"/>
      <c r="FF94" s="75" t="n"/>
      <c r="FG94" s="74" t="n"/>
      <c r="FH94" s="75" t="n"/>
      <c r="FI94" s="28" t="n"/>
      <c r="FJ94" s="75" t="n"/>
      <c r="FK94" s="74" t="n"/>
      <c r="FL94" s="75" t="n"/>
      <c r="FM94" s="28" t="n"/>
      <c r="FN94" s="75" t="n"/>
      <c r="FO94" s="74" t="n"/>
      <c r="FP94" s="75" t="n"/>
      <c r="FQ94" s="28" t="n"/>
      <c r="FR94" s="75" t="n"/>
      <c r="FS94" s="74" t="n"/>
      <c r="FT94" s="75" t="n"/>
      <c r="FU94" s="28" t="n"/>
      <c r="FV94" s="75" t="n"/>
      <c r="FW94" s="74" t="n"/>
      <c r="FX94" s="75" t="n"/>
      <c r="FY94" s="28" t="n"/>
      <c r="FZ94" s="75" t="n"/>
      <c r="GA94" s="338" t="n"/>
      <c r="GB94" s="339" t="n"/>
      <c r="GC94" s="340" t="n"/>
      <c r="GD94" s="341" t="n"/>
      <c r="GE94" s="342" t="n"/>
      <c r="GF94" s="343" t="n"/>
      <c r="GG94" s="74" t="n"/>
      <c r="GH94" s="75" t="n"/>
      <c r="GI94" s="28" t="n"/>
      <c r="GJ94" s="75" t="n"/>
      <c r="GK94" s="74" t="n"/>
      <c r="GL94" s="75" t="n"/>
      <c r="GM94" s="28" t="n"/>
      <c r="GN94" s="75" t="n"/>
      <c r="GO94" s="74" t="n"/>
      <c r="GP94" s="75" t="n"/>
      <c r="GQ94" s="28" t="n"/>
      <c r="GR94" s="75" t="n"/>
      <c r="GS94" s="74" t="n"/>
      <c r="GT94" s="75" t="n"/>
      <c r="GU94" s="28" t="n"/>
      <c r="GV94" s="75" t="n"/>
      <c r="GW94" s="74" t="n"/>
      <c r="GX94" s="75" t="n"/>
      <c r="GY94" s="28" t="n"/>
      <c r="GZ94" s="75" t="n"/>
      <c r="HA94" s="74" t="n"/>
      <c r="HB94" s="75" t="n"/>
      <c r="HC94" s="28" t="n"/>
      <c r="HD94" s="75" t="n"/>
      <c r="HE94" s="74" t="n"/>
      <c r="HF94" s="75" t="n"/>
      <c r="HG94" s="28" t="n"/>
      <c r="HH94" s="75" t="n"/>
      <c r="HI94" s="74" t="n"/>
      <c r="HJ94" s="75" t="n"/>
      <c r="HK94" s="28" t="n"/>
      <c r="HL94" s="75" t="n"/>
      <c r="HM94" s="74" t="n"/>
      <c r="HN94" s="75" t="n"/>
      <c r="HO94" s="28" t="n"/>
      <c r="HP94" s="75" t="n"/>
      <c r="HQ94" s="74" t="n"/>
      <c r="HR94" s="75" t="n"/>
      <c r="HS94" s="28" t="n"/>
      <c r="HT94" s="75" t="n"/>
      <c r="HU94" s="74" t="n"/>
      <c r="HV94" s="75" t="n"/>
      <c r="HW94" s="28" t="n"/>
      <c r="HX94" s="75" t="n"/>
      <c r="HY94" s="74" t="n"/>
      <c r="HZ94" s="75" t="n"/>
      <c r="IA94" s="28" t="n"/>
      <c r="IB94" s="75" t="n"/>
      <c r="IC94" s="338" t="n"/>
      <c r="ID94" s="339" t="n"/>
      <c r="IE94" s="340" t="n"/>
      <c r="IF94" s="341" t="n"/>
      <c r="IG94" s="342" t="n"/>
      <c r="IH94" s="343" t="n"/>
      <c r="II94" s="74" t="n"/>
      <c r="IJ94" s="75" t="n"/>
      <c r="IK94" s="28" t="n"/>
      <c r="IL94" s="75" t="n"/>
      <c r="IM94" s="74" t="n"/>
      <c r="IN94" s="75" t="n"/>
      <c r="IO94" s="28" t="n"/>
      <c r="IP94" s="75" t="n"/>
      <c r="IQ94" s="74" t="n"/>
      <c r="IR94" s="75" t="n"/>
      <c r="IS94" s="28" t="n"/>
      <c r="IT94" s="75" t="n"/>
      <c r="IU94" s="74" t="n"/>
      <c r="IV94" s="75" t="n"/>
      <c r="IW94" s="28" t="n"/>
      <c r="IX94" s="75" t="n"/>
      <c r="IY94" s="74" t="n"/>
      <c r="IZ94" s="75" t="n"/>
      <c r="JA94" s="28" t="n"/>
      <c r="JB94" s="75" t="n"/>
      <c r="JC94" s="74" t="n"/>
      <c r="JD94" s="75" t="n"/>
      <c r="JE94" s="28" t="n"/>
      <c r="JF94" s="75" t="n"/>
      <c r="JG94" s="74" t="n"/>
      <c r="JH94" s="75" t="n"/>
      <c r="JI94" s="28" t="n"/>
      <c r="JJ94" s="75" t="n"/>
      <c r="JK94" s="74" t="n"/>
      <c r="JL94" s="75" t="n"/>
      <c r="JM94" s="28" t="n"/>
      <c r="JN94" s="75" t="n"/>
      <c r="JO94" s="74" t="n"/>
      <c r="JP94" s="75" t="n"/>
      <c r="JQ94" s="28" t="n"/>
      <c r="JR94" s="75" t="n"/>
      <c r="JS94" s="74" t="n"/>
      <c r="JT94" s="75" t="n"/>
      <c r="JU94" s="28" t="n"/>
      <c r="JV94" s="75" t="n"/>
      <c r="JW94" s="74" t="n"/>
      <c r="JX94" s="75" t="n"/>
      <c r="JY94" s="28" t="n"/>
      <c r="JZ94" s="75" t="n"/>
      <c r="KA94" s="74" t="n"/>
      <c r="KB94" s="75" t="n"/>
      <c r="KC94" s="28" t="n"/>
      <c r="KD94" s="75" t="n"/>
      <c r="KE94" s="338" t="n"/>
      <c r="KF94" s="339" t="n"/>
      <c r="KG94" s="340" t="n"/>
      <c r="KH94" s="341" t="n"/>
      <c r="KI94" s="342" t="n"/>
      <c r="KJ94" s="346" t="n"/>
      <c r="KK94" s="80" t="n"/>
      <c r="KL94" s="80" t="n"/>
      <c r="KM94" s="80" t="n"/>
      <c r="KN94" s="253" t="n"/>
      <c r="KO94" s="253" t="n"/>
    </row>
    <row r="95" customFormat="1" s="68">
      <c r="A95" s="82" t="inlineStr">
        <is>
          <t>ПАО «ТЗА»</t>
        </is>
      </c>
      <c r="B95" s="81" t="n"/>
      <c r="C95" s="82" t="n"/>
      <c r="D95" s="82" t="n"/>
      <c r="E95" s="83" t="n"/>
      <c r="F95" s="83" t="n"/>
      <c r="G95" s="84" t="n"/>
      <c r="H95" s="85" t="n"/>
      <c r="I95" s="362" t="n"/>
      <c r="J95" s="362" t="n"/>
      <c r="K95" s="362" t="n"/>
      <c r="L95" s="362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1" t="n"/>
      <c r="Y95" s="81" t="n"/>
      <c r="Z95" s="81" t="n"/>
      <c r="AA95" s="81" t="n"/>
      <c r="AB95" s="81" t="n"/>
      <c r="AC95" s="81" t="n"/>
      <c r="AD95" s="81" t="n"/>
      <c r="AE95" s="81" t="n"/>
      <c r="AF95" s="81" t="n"/>
      <c r="AG95" s="81" t="n"/>
      <c r="AH95" s="81" t="n"/>
      <c r="AI95" s="81" t="n"/>
      <c r="AJ95" s="81" t="n"/>
      <c r="AK95" s="81" t="n"/>
      <c r="AL95" s="81" t="n"/>
      <c r="AM95" s="81" t="n"/>
      <c r="AN95" s="81" t="n"/>
      <c r="AO95" s="81" t="n"/>
      <c r="AP95" s="81" t="n"/>
      <c r="AQ95" s="81" t="n"/>
      <c r="AR95" s="81" t="n"/>
      <c r="AS95" s="81" t="n"/>
      <c r="AT95" s="81" t="n"/>
      <c r="AU95" s="81" t="n"/>
      <c r="AV95" s="81" t="n"/>
      <c r="AW95" s="81" t="n"/>
      <c r="AX95" s="81" t="n"/>
      <c r="AY95" s="87" t="n"/>
      <c r="AZ95" s="81" t="n"/>
      <c r="BA95" s="87" t="n"/>
      <c r="BB95" s="87" t="n"/>
      <c r="BC95" s="88" t="n"/>
      <c r="BD95" s="81" t="n"/>
      <c r="BE95" s="87" t="n"/>
      <c r="BF95" s="87" t="n"/>
      <c r="BG95" s="87" t="n"/>
      <c r="BH95" s="81" t="n"/>
      <c r="BI95" s="363">
        <f>SUMPRODUCT(--(MOD(COLUMN($M95:$BH95),4)=MOD(COLUMN($M95),4)),$M95:$BH95)</f>
        <v/>
      </c>
      <c r="BJ95" s="364">
        <f>BI95*$I95</f>
        <v/>
      </c>
      <c r="BK95" s="363">
        <f>SUMPRODUCT(--(MOD(COLUMN($M95:$BH95),4)=MOD(COLUMN($M95)+1,4)),$M95:$BH95)</f>
        <v/>
      </c>
      <c r="BL95" s="364">
        <f>BK95*$I95</f>
        <v/>
      </c>
      <c r="BM95" s="363">
        <f>SUMPRODUCT(--(MOD(COLUMN($M95:$BH95),4)=MOD(COLUMN($M95)+2,4)),$M95:$BH95)</f>
        <v/>
      </c>
      <c r="BN95" s="364">
        <f>BM95*$I95</f>
        <v/>
      </c>
      <c r="BO95" s="81" t="n"/>
      <c r="BP95" s="81" t="n"/>
      <c r="BQ95" s="81" t="n"/>
      <c r="BR95" s="81" t="n"/>
      <c r="BS95" s="81" t="n"/>
      <c r="BT95" s="81" t="n"/>
      <c r="BU95" s="81" t="n"/>
      <c r="BV95" s="81" t="n"/>
      <c r="BW95" s="81" t="n"/>
      <c r="BX95" s="81" t="n"/>
      <c r="BY95" s="81" t="n"/>
      <c r="BZ95" s="81" t="n"/>
      <c r="CA95" s="81" t="n"/>
      <c r="CB95" s="81" t="n"/>
      <c r="CC95" s="81" t="n"/>
      <c r="CD95" s="81" t="n"/>
      <c r="CE95" s="81" t="n"/>
      <c r="CF95" s="81" t="n"/>
      <c r="CG95" s="81" t="n"/>
      <c r="CH95" s="81" t="n"/>
      <c r="CI95" s="81" t="n"/>
      <c r="CJ95" s="81" t="n"/>
      <c r="CK95" s="81" t="n"/>
      <c r="CL95" s="81" t="n"/>
      <c r="CM95" s="81" t="n"/>
      <c r="CN95" s="81" t="n"/>
      <c r="CO95" s="81" t="n"/>
      <c r="CP95" s="81" t="n"/>
      <c r="CQ95" s="81" t="n"/>
      <c r="CR95" s="81" t="n"/>
      <c r="CS95" s="81" t="n"/>
      <c r="CT95" s="81" t="n"/>
      <c r="CU95" s="81" t="n"/>
      <c r="CV95" s="81" t="n"/>
      <c r="CW95" s="81" t="n"/>
      <c r="CX95" s="81" t="n"/>
      <c r="CY95" s="81" t="n"/>
      <c r="CZ95" s="81" t="n"/>
      <c r="DA95" s="81" t="n"/>
      <c r="DB95" s="81" t="n"/>
      <c r="DC95" s="81" t="n"/>
      <c r="DD95" s="81" t="n"/>
      <c r="DE95" s="81" t="n"/>
      <c r="DF95" s="81" t="n"/>
      <c r="DG95" s="81" t="n"/>
      <c r="DH95" s="81" t="n"/>
      <c r="DI95" s="81" t="n"/>
      <c r="DJ95" s="81" t="n"/>
      <c r="DK95" s="81" t="n"/>
      <c r="DL95" s="81" t="n"/>
      <c r="DM95" s="81" t="n"/>
      <c r="DN95" s="81" t="n"/>
      <c r="DO95" s="81" t="n"/>
      <c r="DP95" s="81" t="n"/>
      <c r="DQ95" s="81" t="n"/>
      <c r="DR95" s="81" t="n"/>
      <c r="DS95" s="81" t="n"/>
      <c r="DT95" s="81" t="n"/>
      <c r="DU95" s="81" t="n"/>
      <c r="DV95" s="81" t="n"/>
      <c r="DW95" s="363">
        <f>SUMPRODUCT(--(MOD(COLUMN($BO95:$DV95),5)=MOD(COLUMN($BO95),5)),$BO95:$DV95)</f>
        <v/>
      </c>
      <c r="DX95" s="364">
        <f>DW95*$J95</f>
        <v/>
      </c>
      <c r="DY95" s="363">
        <f>SUMPRODUCT(--(MOD(COLUMN($BO95:$DV95),5)=MOD(COLUMN($BO95),5)+1),$BO95:$DV95)</f>
        <v/>
      </c>
      <c r="DZ95" s="364">
        <f>DY95*$J95</f>
        <v/>
      </c>
      <c r="EA95" s="363">
        <f>SUMPRODUCT(--(MOD(COLUMN($BO95:$DV95),5)=MOD(COLUMN($BO95),5)+2),$BO95:$DV95)</f>
        <v/>
      </c>
      <c r="EB95" s="364">
        <f>EA95*$J95</f>
        <v/>
      </c>
      <c r="EC95" s="363">
        <f>SUMPRODUCT(--(MOD(COLUMN($BO95:$DV95),5)=MOD(COLUMN($BO95),5)+3),$BO95:$DV95)</f>
        <v/>
      </c>
      <c r="ED95" s="364">
        <f>EC95*$J95</f>
        <v/>
      </c>
      <c r="EE95" s="81" t="n"/>
      <c r="EF95" s="81" t="n"/>
      <c r="EG95" s="81" t="n"/>
      <c r="EH95" s="81" t="n"/>
      <c r="EI95" s="81" t="n"/>
      <c r="EJ95" s="81" t="n"/>
      <c r="EK95" s="81" t="n"/>
      <c r="EL95" s="81" t="n"/>
      <c r="EM95" s="81" t="n"/>
      <c r="EN95" s="81" t="n"/>
      <c r="EO95" s="81" t="n"/>
      <c r="EP95" s="81" t="n"/>
      <c r="EQ95" s="81" t="n"/>
      <c r="ER95" s="81" t="n"/>
      <c r="ES95" s="81" t="n"/>
      <c r="ET95" s="81" t="n"/>
      <c r="EU95" s="81" t="n"/>
      <c r="EV95" s="81" t="n"/>
      <c r="EW95" s="81" t="n"/>
      <c r="EX95" s="81" t="n"/>
      <c r="EY95" s="81" t="n"/>
      <c r="EZ95" s="81" t="n"/>
      <c r="FA95" s="81" t="n"/>
      <c r="FB95" s="81" t="n"/>
      <c r="FC95" s="81" t="n"/>
      <c r="FD95" s="81" t="n"/>
      <c r="FE95" s="81" t="n"/>
      <c r="FF95" s="81" t="n"/>
      <c r="FG95" s="81" t="n"/>
      <c r="FH95" s="81" t="n"/>
      <c r="FI95" s="81" t="n"/>
      <c r="FJ95" s="81" t="n"/>
      <c r="FK95" s="81" t="n"/>
      <c r="FL95" s="81" t="n"/>
      <c r="FM95" s="81" t="n"/>
      <c r="FN95" s="81" t="n"/>
      <c r="FO95" s="81" t="n"/>
      <c r="FP95" s="81" t="n"/>
      <c r="FQ95" s="81" t="n"/>
      <c r="FR95" s="81" t="n"/>
      <c r="FS95" s="81" t="n"/>
      <c r="FT95" s="81" t="n"/>
      <c r="FU95" s="81" t="n"/>
      <c r="FV95" s="81" t="n"/>
      <c r="FW95" s="81" t="n"/>
      <c r="FX95" s="81" t="n"/>
      <c r="FY95" s="81" t="n"/>
      <c r="FZ95" s="81" t="n"/>
      <c r="GA95" s="363" t="n"/>
      <c r="GB95" s="364" t="n"/>
      <c r="GC95" s="365" t="n"/>
      <c r="GD95" s="366" t="n"/>
      <c r="GE95" s="363" t="n"/>
      <c r="GF95" s="364" t="n"/>
      <c r="GG95" s="81" t="n"/>
      <c r="GH95" s="81" t="n"/>
      <c r="GI95" s="81" t="n"/>
      <c r="GJ95" s="81" t="n"/>
      <c r="GK95" s="81" t="n"/>
      <c r="GL95" s="81" t="n"/>
      <c r="GM95" s="81" t="n"/>
      <c r="GN95" s="81" t="n"/>
      <c r="GO95" s="81" t="n"/>
      <c r="GP95" s="81" t="n"/>
      <c r="GQ95" s="81" t="n"/>
      <c r="GR95" s="81" t="n"/>
      <c r="GS95" s="81" t="n"/>
      <c r="GT95" s="81" t="n"/>
      <c r="GU95" s="81" t="n"/>
      <c r="GV95" s="81" t="n"/>
      <c r="GW95" s="81" t="n"/>
      <c r="GX95" s="81" t="n"/>
      <c r="GY95" s="81" t="n"/>
      <c r="GZ95" s="81" t="n"/>
      <c r="HA95" s="81" t="n"/>
      <c r="HB95" s="81" t="n"/>
      <c r="HC95" s="81" t="n"/>
      <c r="HD95" s="81" t="n"/>
      <c r="HE95" s="81" t="n"/>
      <c r="HF95" s="81" t="n"/>
      <c r="HG95" s="81" t="n"/>
      <c r="HH95" s="81" t="n"/>
      <c r="HI95" s="81" t="n"/>
      <c r="HJ95" s="81" t="n"/>
      <c r="HK95" s="81" t="n"/>
      <c r="HL95" s="81" t="n"/>
      <c r="HM95" s="81" t="n"/>
      <c r="HN95" s="81" t="n"/>
      <c r="HO95" s="81" t="n"/>
      <c r="HP95" s="81" t="n"/>
      <c r="HQ95" s="81" t="n"/>
      <c r="HR95" s="81" t="n"/>
      <c r="HS95" s="81" t="n"/>
      <c r="HT95" s="81" t="n"/>
      <c r="HU95" s="81" t="n"/>
      <c r="HV95" s="81" t="n"/>
      <c r="HW95" s="81" t="n"/>
      <c r="HX95" s="81" t="n"/>
      <c r="HY95" s="81" t="n"/>
      <c r="HZ95" s="81" t="n"/>
      <c r="IA95" s="81" t="n"/>
      <c r="IB95" s="81" t="n"/>
      <c r="IC95" s="363" t="n"/>
      <c r="ID95" s="364" t="n"/>
      <c r="IE95" s="365" t="n"/>
      <c r="IF95" s="366" t="n"/>
      <c r="IG95" s="363" t="n"/>
      <c r="IH95" s="364" t="n"/>
      <c r="II95" s="81" t="n"/>
      <c r="IJ95" s="81" t="n"/>
      <c r="IK95" s="81" t="n"/>
      <c r="IL95" s="81" t="n"/>
      <c r="IM95" s="81" t="n"/>
      <c r="IN95" s="81" t="n"/>
      <c r="IO95" s="81" t="n"/>
      <c r="IP95" s="81" t="n"/>
      <c r="IQ95" s="81" t="n"/>
      <c r="IR95" s="81" t="n"/>
      <c r="IS95" s="81" t="n"/>
      <c r="IT95" s="81" t="n"/>
      <c r="IU95" s="81" t="n"/>
      <c r="IV95" s="81" t="n"/>
      <c r="IW95" s="81" t="n"/>
      <c r="IX95" s="81" t="n"/>
      <c r="IY95" s="81" t="n"/>
      <c r="IZ95" s="81" t="n"/>
      <c r="JA95" s="81" t="n"/>
      <c r="JB95" s="81" t="n"/>
      <c r="JC95" s="81" t="n"/>
      <c r="JD95" s="81" t="n"/>
      <c r="JE95" s="81" t="n"/>
      <c r="JF95" s="81" t="n"/>
      <c r="JG95" s="81" t="n"/>
      <c r="JH95" s="81" t="n"/>
      <c r="JI95" s="81" t="n"/>
      <c r="JJ95" s="81" t="n"/>
      <c r="JK95" s="81" t="n"/>
      <c r="JL95" s="81" t="n"/>
      <c r="JM95" s="81" t="n"/>
      <c r="JN95" s="81" t="n"/>
      <c r="JO95" s="81" t="n"/>
      <c r="JP95" s="81" t="n"/>
      <c r="JQ95" s="81" t="n"/>
      <c r="JR95" s="81" t="n"/>
      <c r="JS95" s="81" t="n"/>
      <c r="JT95" s="81" t="n"/>
      <c r="JU95" s="81" t="n"/>
      <c r="JV95" s="81" t="n"/>
      <c r="JW95" s="81" t="n"/>
      <c r="JX95" s="81" t="n"/>
      <c r="JY95" s="81" t="n"/>
      <c r="JZ95" s="81" t="n"/>
      <c r="KA95" s="81" t="n"/>
      <c r="KB95" s="81" t="n"/>
      <c r="KC95" s="81" t="n"/>
      <c r="KD95" s="81" t="n"/>
      <c r="KE95" s="363" t="n"/>
      <c r="KF95" s="364" t="n"/>
      <c r="KG95" s="365" t="n"/>
      <c r="KH95" s="366" t="n"/>
      <c r="KI95" s="363" t="n"/>
      <c r="KJ95" s="367" t="n"/>
      <c r="KK95" s="80" t="n"/>
      <c r="KL95" s="80" t="n"/>
      <c r="KM95" s="80" t="n"/>
      <c r="KN95" s="253" t="n"/>
      <c r="KO95" s="253" t="n"/>
    </row>
    <row r="96" outlineLevel="1" ht="88.95" customFormat="1" customHeight="1" s="68">
      <c r="A96" s="334" t="inlineStr">
        <is>
          <t>СпецАвтоКам</t>
        </is>
      </c>
      <c r="B96" s="335" t="inlineStr">
        <is>
          <t>Предоплата 100%</t>
        </is>
      </c>
      <c r="C96" s="372" t="inlineStr">
        <is>
          <t>ВБК РУС</t>
        </is>
      </c>
      <c r="D96" s="336" t="inlineStr">
        <is>
          <t>Мустафин Ринат</t>
        </is>
      </c>
      <c r="E96" s="61" t="n">
        <v>1</v>
      </c>
      <c r="F96" s="60" t="n">
        <v>1</v>
      </c>
      <c r="G96" s="56" t="n">
        <v>9522010010</v>
      </c>
      <c r="H96" s="57" t="inlineStr">
        <is>
          <t>Головка соединительная (управляющая)</t>
        </is>
      </c>
      <c r="I96" s="348">
        <f>89.6/1.2/0.98</f>
        <v/>
      </c>
      <c r="J96" s="348">
        <f>89.6/1.2*1.0863</f>
        <v/>
      </c>
      <c r="K96" s="348" t="n"/>
      <c r="L96" s="348" t="n"/>
      <c r="M96" s="36" t="n"/>
      <c r="N96" s="284" t="n"/>
      <c r="O96" s="38" t="n"/>
      <c r="P96" s="284" t="n"/>
      <c r="Q96" s="36" t="n"/>
      <c r="R96" s="284" t="n"/>
      <c r="S96" s="38" t="n"/>
      <c r="T96" s="284" t="n"/>
      <c r="U96" s="36" t="n"/>
      <c r="V96" s="39" t="n"/>
      <c r="W96" s="38" t="n"/>
      <c r="X96" s="284" t="n"/>
      <c r="Y96" s="36" t="n"/>
      <c r="Z96" s="284" t="n"/>
      <c r="AA96" s="38" t="n"/>
      <c r="AB96" s="245" t="n"/>
      <c r="AC96" s="36" t="n"/>
      <c r="AD96" s="284" t="n"/>
      <c r="AE96" s="38" t="n"/>
      <c r="AF96" s="284" t="n"/>
      <c r="AG96" s="36" t="n"/>
      <c r="AH96" s="284" t="n"/>
      <c r="AI96" s="38" t="n"/>
      <c r="AJ96" s="284" t="n"/>
      <c r="AK96" s="36" t="n"/>
      <c r="AL96" s="284" t="n"/>
      <c r="AM96" s="54" t="n"/>
      <c r="AN96" s="284" t="n"/>
      <c r="AO96" s="36" t="n"/>
      <c r="AP96" s="284" t="n"/>
      <c r="AQ96" s="38" t="n"/>
      <c r="AR96" s="284" t="n"/>
      <c r="AS96" s="36" t="n"/>
      <c r="AT96" s="284" t="n"/>
      <c r="AU96" s="38" t="n"/>
      <c r="AV96" s="284" t="n"/>
      <c r="AW96" s="36" t="n"/>
      <c r="AX96" s="284" t="n"/>
      <c r="AY96" s="38" t="n"/>
      <c r="AZ96" s="284" t="n"/>
      <c r="BA96" s="36" t="n"/>
      <c r="BB96" s="284" t="n"/>
      <c r="BC96" s="92" t="n"/>
      <c r="BD96" s="284" t="n"/>
      <c r="BE96" s="36" t="n"/>
      <c r="BF96" s="284" t="n"/>
      <c r="BG96" s="54" t="n"/>
      <c r="BH96" s="284" t="n"/>
      <c r="BI96" s="338" t="n"/>
      <c r="BJ96" s="339" t="n"/>
      <c r="BK96" s="340" t="n"/>
      <c r="BL96" s="341" t="n"/>
      <c r="BM96" s="342" t="n"/>
      <c r="BN96" s="343" t="n"/>
      <c r="BO96" s="36" t="n"/>
      <c r="BP96" s="47" t="n"/>
      <c r="BQ96" s="284" t="n"/>
      <c r="BR96" s="38" t="n"/>
      <c r="BS96" s="284" t="n"/>
      <c r="BT96" s="36" t="n"/>
      <c r="BU96" s="47" t="n"/>
      <c r="BV96" s="284" t="n"/>
      <c r="BW96" s="38" t="n"/>
      <c r="BX96" s="284" t="n"/>
      <c r="BY96" s="36" t="n"/>
      <c r="BZ96" s="47" t="n"/>
      <c r="CA96" s="284" t="n"/>
      <c r="CB96" s="38" t="n"/>
      <c r="CC96" s="284" t="n"/>
      <c r="CD96" s="36" t="n"/>
      <c r="CE96" s="47" t="n"/>
      <c r="CF96" s="284" t="n"/>
      <c r="CG96" s="38" t="n"/>
      <c r="CH96" s="284" t="n"/>
      <c r="CI96" s="36" t="n"/>
      <c r="CJ96" s="47" t="n"/>
      <c r="CK96" s="284" t="n"/>
      <c r="CL96" s="38" t="n">
        <v>0</v>
      </c>
      <c r="CM96" s="284" t="n"/>
      <c r="CN96" s="36" t="n"/>
      <c r="CO96" s="47" t="n"/>
      <c r="CP96" s="284" t="n"/>
      <c r="CQ96" s="38" t="n">
        <v>0</v>
      </c>
      <c r="CR96" s="284" t="n"/>
      <c r="CS96" s="36" t="n"/>
      <c r="CT96" s="47" t="n"/>
      <c r="CU96" s="284" t="n"/>
      <c r="CV96" s="38" t="n">
        <v>0</v>
      </c>
      <c r="CW96" s="284" t="n"/>
      <c r="CX96" s="36" t="n"/>
      <c r="CY96" s="47" t="n"/>
      <c r="CZ96" s="284" t="n"/>
      <c r="DA96" s="38" t="n">
        <v>0</v>
      </c>
      <c r="DB96" s="284" t="n"/>
      <c r="DC96" s="36" t="n"/>
      <c r="DD96" s="47" t="n"/>
      <c r="DE96" s="284" t="n"/>
      <c r="DF96" s="38" t="n">
        <v>0</v>
      </c>
      <c r="DG96" s="284" t="n"/>
      <c r="DH96" s="36" t="n"/>
      <c r="DI96" s="47" t="n"/>
      <c r="DJ96" s="284" t="n"/>
      <c r="DK96" s="38" t="n">
        <v>0</v>
      </c>
      <c r="DL96" s="284" t="n"/>
      <c r="DM96" s="36" t="n"/>
      <c r="DN96" s="47" t="n"/>
      <c r="DO96" s="284" t="n"/>
      <c r="DP96" s="38" t="n">
        <v>0</v>
      </c>
      <c r="DQ96" s="284" t="n"/>
      <c r="DR96" s="36" t="n"/>
      <c r="DS96" s="47" t="n"/>
      <c r="DT96" s="284" t="n"/>
      <c r="DU96" s="38" t="n"/>
      <c r="DV96" s="284" t="n"/>
      <c r="DW96" s="338">
        <f t="array" ref="DW96">SUMPRODUCT(--(MOD(COLUMN($BO96:$DV96),5)=MOD(COLUMN($BO96),5)),$BO96:$DV96)</f>
        <v/>
      </c>
      <c r="DX96" s="339">
        <f>DW96*$J96</f>
        <v/>
      </c>
      <c r="DY96" s="344">
        <f t="array" ref="DY96">SUMPRODUCT(--(MOD(COLUMN($BO96:$DV96),5)=MOD(COLUMN($BP96),5)),$BO96:$DV96)</f>
        <v/>
      </c>
      <c r="DZ96" s="345">
        <f>DY96*$J96</f>
        <v/>
      </c>
      <c r="EA96" s="340">
        <f t="array" ref="EA96">SUMPRODUCT(--(MOD(COLUMN($BO96:$DV96),5)=MOD(COLUMN($BQ96),5)),$BO96:$DV96)</f>
        <v/>
      </c>
      <c r="EB96" s="341">
        <f>EA96*$J96</f>
        <v/>
      </c>
      <c r="EC96" s="342">
        <f t="array" ref="EC96">SUMPRODUCT(--(MOD(COLUMN($BO96:$DV96),5)=MOD(COLUMN($BR96),5)),$BO96:$DV96)</f>
        <v/>
      </c>
      <c r="ED96" s="343">
        <f>EC96*$J96</f>
        <v/>
      </c>
      <c r="EE96" s="36" t="n">
        <v>0</v>
      </c>
      <c r="EF96" s="284" t="n">
        <v>0</v>
      </c>
      <c r="EG96" s="38" t="n">
        <v>0</v>
      </c>
      <c r="EH96" s="284" t="n"/>
      <c r="EI96" s="36" t="n">
        <v>0</v>
      </c>
      <c r="EJ96" s="284" t="n">
        <v>0</v>
      </c>
      <c r="EK96" s="38" t="n">
        <v>0</v>
      </c>
      <c r="EL96" s="284" t="n"/>
      <c r="EM96" s="36" t="n"/>
      <c r="EN96" s="284" t="n"/>
      <c r="EO96" s="38" t="n">
        <v>0</v>
      </c>
      <c r="EP96" s="284" t="n"/>
      <c r="EQ96" s="36">
        <f>$KN96*5</f>
        <v/>
      </c>
      <c r="ER96" s="39" t="n">
        <v>0</v>
      </c>
      <c r="ES96" s="38" t="n">
        <v>0</v>
      </c>
      <c r="ET96" s="284" t="n"/>
      <c r="EU96" s="36">
        <f>$KN96*5</f>
        <v/>
      </c>
      <c r="EV96" s="155" t="n">
        <v>0</v>
      </c>
      <c r="EW96" s="38" t="n">
        <v>0</v>
      </c>
      <c r="EX96" s="284" t="n"/>
      <c r="EY96" s="36">
        <f>$KN96*5</f>
        <v/>
      </c>
      <c r="EZ96" s="155" t="n">
        <v>0</v>
      </c>
      <c r="FA96" s="38" t="n">
        <v>0</v>
      </c>
      <c r="FB96" s="284" t="n"/>
      <c r="FC96" s="36">
        <f>$KN96*10</f>
        <v/>
      </c>
      <c r="FD96" s="284" t="n">
        <v>5</v>
      </c>
      <c r="FE96" s="38" t="n">
        <v>0</v>
      </c>
      <c r="FF96" s="284" t="n"/>
      <c r="FG96" s="36">
        <f>$KN96*10</f>
        <v/>
      </c>
      <c r="FH96" s="284" t="n">
        <v>5</v>
      </c>
      <c r="FI96" s="38" t="n">
        <v>0</v>
      </c>
      <c r="FJ96" s="284" t="n"/>
      <c r="FK96" s="36">
        <f>$KN96*10</f>
        <v/>
      </c>
      <c r="FL96" s="284" t="n">
        <v>10</v>
      </c>
      <c r="FM96" s="38" t="n">
        <v>0</v>
      </c>
      <c r="FN96" s="284" t="n"/>
      <c r="FO96" s="36">
        <f>$KN96*10</f>
        <v/>
      </c>
      <c r="FP96" s="284" t="n">
        <v>10</v>
      </c>
      <c r="FQ96" s="38" t="n">
        <v>0</v>
      </c>
      <c r="FR96" s="284" t="n"/>
      <c r="FS96" s="36">
        <f>$KN96*10</f>
        <v/>
      </c>
      <c r="FT96" s="284" t="n">
        <v>10</v>
      </c>
      <c r="FU96" s="38" t="n">
        <v>0</v>
      </c>
      <c r="FV96" s="284" t="n"/>
      <c r="FW96" s="36">
        <f>$KN96*10</f>
        <v/>
      </c>
      <c r="FX96" s="284" t="n">
        <v>10</v>
      </c>
      <c r="FY96" s="38" t="n">
        <v>0</v>
      </c>
      <c r="FZ96" s="284" t="n"/>
      <c r="GA96" s="338">
        <f t="array" ref="GA96">SUMPRODUCT(--(MOD(COLUMN($EE96:$FZ96),4)=MOD(COLUMN($EE96),4)),$EE96:$FZ96)</f>
        <v/>
      </c>
      <c r="GB96" s="339">
        <f>GA96*$J96</f>
        <v/>
      </c>
      <c r="GC96" s="340">
        <f t="array" ref="GC96">SUMPRODUCT(--(MOD(COLUMN($EE96:$FZ96),4)=MOD(COLUMN($EF96),4)),$EE96:$FZ96)</f>
        <v/>
      </c>
      <c r="GD96" s="341">
        <f>GC96*$J96</f>
        <v/>
      </c>
      <c r="GE96" s="342">
        <f t="array" ref="GE96">SUMPRODUCT(--(MOD(COLUMN($EE96:$FZ96),4)=MOD(COLUMN($EG96),4)),$EE96:$FZ96)</f>
        <v/>
      </c>
      <c r="GF96" s="343">
        <f>GE96*$J96</f>
        <v/>
      </c>
      <c r="GG96" s="36">
        <f>$KN96*10</f>
        <v/>
      </c>
      <c r="GH96" s="284" t="n"/>
      <c r="GI96" s="38" t="n">
        <v>0</v>
      </c>
      <c r="GJ96" s="284" t="n"/>
      <c r="GK96" s="36">
        <f>$KN96*10</f>
        <v/>
      </c>
      <c r="GL96" s="284" t="n"/>
      <c r="GM96" s="38" t="n">
        <v>0</v>
      </c>
      <c r="GN96" s="284" t="n"/>
      <c r="GO96" s="36">
        <f>$KN96*15</f>
        <v/>
      </c>
      <c r="GP96" s="284" t="n"/>
      <c r="GQ96" s="38" t="n">
        <v>0</v>
      </c>
      <c r="GR96" s="284" t="n"/>
      <c r="GS96" s="36">
        <f>$KN96*20</f>
        <v/>
      </c>
      <c r="GT96" s="284" t="n"/>
      <c r="GU96" s="38" t="n">
        <v>0</v>
      </c>
      <c r="GV96" s="284" t="n"/>
      <c r="GW96" s="36">
        <f>$KN96*20</f>
        <v/>
      </c>
      <c r="GX96" s="284" t="n"/>
      <c r="GY96" s="38" t="n">
        <v>0</v>
      </c>
      <c r="GZ96" s="284" t="n"/>
      <c r="HA96" s="36">
        <f>$KN96*20</f>
        <v/>
      </c>
      <c r="HB96" s="284" t="n"/>
      <c r="HC96" s="38" t="n">
        <v>0</v>
      </c>
      <c r="HD96" s="284" t="n"/>
      <c r="HE96" s="36">
        <f>$KN96*20</f>
        <v/>
      </c>
      <c r="HF96" s="284" t="n"/>
      <c r="HG96" s="38" t="n">
        <v>0</v>
      </c>
      <c r="HH96" s="284" t="n"/>
      <c r="HI96" s="36">
        <f>$KN96*20</f>
        <v/>
      </c>
      <c r="HJ96" s="284" t="n"/>
      <c r="HK96" s="38" t="n">
        <v>0</v>
      </c>
      <c r="HL96" s="284" t="n"/>
      <c r="HM96" s="36">
        <f>$KN96*20</f>
        <v/>
      </c>
      <c r="HN96" s="284" t="n"/>
      <c r="HO96" s="38" t="n">
        <v>0</v>
      </c>
      <c r="HP96" s="284" t="n"/>
      <c r="HQ96" s="36">
        <f>$KN96*20</f>
        <v/>
      </c>
      <c r="HR96" s="284" t="n"/>
      <c r="HS96" s="38" t="n">
        <v>0</v>
      </c>
      <c r="HT96" s="284" t="n"/>
      <c r="HU96" s="36">
        <f>$KN96*20</f>
        <v/>
      </c>
      <c r="HV96" s="284" t="n"/>
      <c r="HW96" s="38" t="n">
        <v>0</v>
      </c>
      <c r="HX96" s="284" t="n"/>
      <c r="HY96" s="36">
        <f>$KN96*20</f>
        <v/>
      </c>
      <c r="HZ96" s="284" t="n"/>
      <c r="IA96" s="38" t="n">
        <v>0</v>
      </c>
      <c r="IB96" s="284" t="n"/>
      <c r="IC96" s="338">
        <f t="array" ref="IC96">SUMPRODUCT(--(MOD(COLUMN($GG96:$IB96),4)=MOD(COLUMN($GG96),4)),$GG96:$IB96)</f>
        <v/>
      </c>
      <c r="ID96" s="339">
        <f>IC96*$J96</f>
        <v/>
      </c>
      <c r="IE96" s="340">
        <f t="array" ref="IE96">SUMPRODUCT(--(MOD(COLUMN($GG96:$IB96),4)=MOD(COLUMN($GH96),4)),$GG96:$IB96)</f>
        <v/>
      </c>
      <c r="IF96" s="341">
        <f>IE96*$J96</f>
        <v/>
      </c>
      <c r="IG96" s="342">
        <f t="array" ref="IG96">SUMPRODUCT(--(MOD(COLUMN($GG96:$IB96),4)=MOD(COLUMN($GI96),4)),$GG96:$IB96)</f>
        <v/>
      </c>
      <c r="IH96" s="343">
        <f>IG96*$J96</f>
        <v/>
      </c>
      <c r="II96" s="36">
        <f>$KN96*10</f>
        <v/>
      </c>
      <c r="IJ96" s="284" t="n"/>
      <c r="IK96" s="38" t="n">
        <v>0</v>
      </c>
      <c r="IL96" s="284" t="n"/>
      <c r="IM96" s="36">
        <f>$KN96*10</f>
        <v/>
      </c>
      <c r="IN96" s="284" t="n"/>
      <c r="IO96" s="38" t="n">
        <v>0</v>
      </c>
      <c r="IP96" s="284" t="n"/>
      <c r="IQ96" s="36">
        <f>$KN96*15</f>
        <v/>
      </c>
      <c r="IR96" s="284" t="n"/>
      <c r="IS96" s="38" t="n">
        <v>0</v>
      </c>
      <c r="IT96" s="284" t="n"/>
      <c r="IU96" s="36">
        <f>$KN96*20</f>
        <v/>
      </c>
      <c r="IV96" s="284" t="n"/>
      <c r="IW96" s="38" t="n">
        <v>0</v>
      </c>
      <c r="IX96" s="284" t="n"/>
      <c r="IY96" s="36">
        <f>$KN96*20</f>
        <v/>
      </c>
      <c r="IZ96" s="284" t="n"/>
      <c r="JA96" s="38" t="n">
        <v>0</v>
      </c>
      <c r="JB96" s="284" t="n"/>
      <c r="JC96" s="36">
        <f>$KN96*20</f>
        <v/>
      </c>
      <c r="JD96" s="284" t="n"/>
      <c r="JE96" s="38" t="n">
        <v>0</v>
      </c>
      <c r="JF96" s="284" t="n"/>
      <c r="JG96" s="36">
        <f>$KN96*20</f>
        <v/>
      </c>
      <c r="JH96" s="284" t="n"/>
      <c r="JI96" s="38" t="n">
        <v>0</v>
      </c>
      <c r="JJ96" s="284" t="n"/>
      <c r="JK96" s="36">
        <f>$KN96*20</f>
        <v/>
      </c>
      <c r="JL96" s="284" t="n"/>
      <c r="JM96" s="38" t="n">
        <v>0</v>
      </c>
      <c r="JN96" s="284" t="n"/>
      <c r="JO96" s="36">
        <f>$KN96*20</f>
        <v/>
      </c>
      <c r="JP96" s="284" t="n"/>
      <c r="JQ96" s="38" t="n">
        <v>0</v>
      </c>
      <c r="JR96" s="284" t="n"/>
      <c r="JS96" s="36">
        <f>$KN96*20</f>
        <v/>
      </c>
      <c r="JT96" s="284" t="n"/>
      <c r="JU96" s="38" t="n">
        <v>0</v>
      </c>
      <c r="JV96" s="284" t="n"/>
      <c r="JW96" s="36">
        <f>$KN96*20</f>
        <v/>
      </c>
      <c r="JX96" s="284" t="n"/>
      <c r="JY96" s="38" t="n">
        <v>0</v>
      </c>
      <c r="JZ96" s="284" t="n"/>
      <c r="KA96" s="36">
        <f>$KN96*20</f>
        <v/>
      </c>
      <c r="KB96" s="284" t="n"/>
      <c r="KC96" s="38" t="n">
        <v>0</v>
      </c>
      <c r="KD96" s="284" t="n"/>
      <c r="KE96" s="338">
        <f t="array" ref="KE96">SUMPRODUCT(--(MOD(COLUMN($II96:$KD96),4)=MOD(COLUMN($II96),4)),$II96:$KD96)</f>
        <v/>
      </c>
      <c r="KF96" s="339">
        <f>KE96*$J96</f>
        <v/>
      </c>
      <c r="KG96" s="340">
        <f t="array" ref="KG96">SUMPRODUCT(--(MOD(COLUMN($II96:$KD96),4)=MOD(COLUMN($IJ96),4)),$II96:$KD96)</f>
        <v/>
      </c>
      <c r="KH96" s="341">
        <f>KG96*$J96</f>
        <v/>
      </c>
      <c r="KI96" s="342">
        <f t="array" ref="KI96">SUMPRODUCT(--(MOD(COLUMN($II96:$KD96),4)=MOD(COLUMN($IK96),4)),$II96:$KD96)</f>
        <v/>
      </c>
      <c r="KJ96" s="346">
        <f>KI96*$J96</f>
        <v/>
      </c>
      <c r="KK96" s="80" t="n"/>
      <c r="KL96" s="80" t="n"/>
      <c r="KM96" s="80" t="n"/>
      <c r="KN96" s="51" t="n">
        <v>1</v>
      </c>
      <c r="KO96" s="285" t="inlineStr">
        <is>
          <t>TEBS 4s/3m 
12м</t>
        </is>
      </c>
    </row>
    <row r="97" outlineLevel="1" ht="43.2" customFormat="1" customHeight="1" s="68">
      <c r="A97" s="347" t="n"/>
      <c r="B97" s="347" t="n"/>
      <c r="C97" s="347" t="n"/>
      <c r="D97" s="347" t="n"/>
      <c r="E97" s="61" t="n">
        <v>2</v>
      </c>
      <c r="F97" s="60" t="n">
        <v>1</v>
      </c>
      <c r="G97" s="56" t="n">
        <v>9522010020</v>
      </c>
      <c r="H97" s="57" t="inlineStr">
        <is>
          <t>Головка соединительная (питающая)</t>
        </is>
      </c>
      <c r="I97" s="348">
        <f>89.6/1.2/0.98</f>
        <v/>
      </c>
      <c r="J97" s="348">
        <f>89.6/1.2*1.0863</f>
        <v/>
      </c>
      <c r="K97" s="348" t="n"/>
      <c r="L97" s="348" t="n"/>
      <c r="M97" s="36" t="n"/>
      <c r="N97" s="284" t="n"/>
      <c r="O97" s="38" t="n"/>
      <c r="P97" s="284" t="n"/>
      <c r="Q97" s="36" t="n"/>
      <c r="R97" s="284" t="n"/>
      <c r="S97" s="38" t="n"/>
      <c r="T97" s="284" t="n"/>
      <c r="U97" s="36" t="n"/>
      <c r="V97" s="39" t="n"/>
      <c r="W97" s="38" t="n"/>
      <c r="X97" s="284" t="n"/>
      <c r="Y97" s="36" t="n"/>
      <c r="Z97" s="284" t="n"/>
      <c r="AA97" s="38" t="n"/>
      <c r="AB97" s="245" t="n"/>
      <c r="AC97" s="36" t="n"/>
      <c r="AD97" s="284" t="n"/>
      <c r="AE97" s="38" t="n"/>
      <c r="AF97" s="284" t="n"/>
      <c r="AG97" s="36" t="n"/>
      <c r="AH97" s="284" t="n"/>
      <c r="AI97" s="38" t="n"/>
      <c r="AJ97" s="284" t="n"/>
      <c r="AK97" s="36" t="n"/>
      <c r="AL97" s="284" t="n"/>
      <c r="AM97" s="54" t="n"/>
      <c r="AN97" s="284" t="n"/>
      <c r="AO97" s="36" t="n"/>
      <c r="AP97" s="284" t="n"/>
      <c r="AQ97" s="38" t="n"/>
      <c r="AR97" s="284" t="n"/>
      <c r="AS97" s="36" t="n"/>
      <c r="AT97" s="284" t="n"/>
      <c r="AU97" s="38" t="n"/>
      <c r="AV97" s="284" t="n"/>
      <c r="AW97" s="36" t="n"/>
      <c r="AX97" s="284" t="n"/>
      <c r="AY97" s="38" t="n"/>
      <c r="AZ97" s="284" t="n"/>
      <c r="BA97" s="36" t="n"/>
      <c r="BB97" s="284" t="n"/>
      <c r="BC97" s="92" t="n"/>
      <c r="BD97" s="284" t="n"/>
      <c r="BE97" s="36" t="n"/>
      <c r="BF97" s="284" t="n"/>
      <c r="BG97" s="54" t="n"/>
      <c r="BH97" s="284" t="n"/>
      <c r="BI97" s="338" t="n"/>
      <c r="BJ97" s="339" t="n"/>
      <c r="BK97" s="340" t="n"/>
      <c r="BL97" s="341" t="n"/>
      <c r="BM97" s="342" t="n"/>
      <c r="BN97" s="343" t="n"/>
      <c r="BO97" s="36" t="n"/>
      <c r="BP97" s="47" t="n"/>
      <c r="BQ97" s="284" t="n"/>
      <c r="BR97" s="38" t="n"/>
      <c r="BS97" s="284" t="n"/>
      <c r="BT97" s="36" t="n"/>
      <c r="BU97" s="47" t="n"/>
      <c r="BV97" s="284" t="n"/>
      <c r="BW97" s="38" t="n"/>
      <c r="BX97" s="284" t="n"/>
      <c r="BY97" s="36" t="n"/>
      <c r="BZ97" s="47" t="n"/>
      <c r="CA97" s="284" t="n"/>
      <c r="CB97" s="38" t="n"/>
      <c r="CC97" s="284" t="n"/>
      <c r="CD97" s="36" t="n"/>
      <c r="CE97" s="47" t="n"/>
      <c r="CF97" s="284" t="n"/>
      <c r="CG97" s="38" t="n"/>
      <c r="CH97" s="284" t="n"/>
      <c r="CI97" s="36" t="n"/>
      <c r="CJ97" s="47" t="n"/>
      <c r="CK97" s="284" t="n"/>
      <c r="CL97" s="38" t="n">
        <v>0</v>
      </c>
      <c r="CM97" s="284" t="n"/>
      <c r="CN97" s="36" t="n"/>
      <c r="CO97" s="47" t="n"/>
      <c r="CP97" s="284" t="n"/>
      <c r="CQ97" s="38" t="n">
        <v>0</v>
      </c>
      <c r="CR97" s="284" t="n"/>
      <c r="CS97" s="36" t="n"/>
      <c r="CT97" s="47" t="n"/>
      <c r="CU97" s="284" t="n"/>
      <c r="CV97" s="38" t="n">
        <v>0</v>
      </c>
      <c r="CW97" s="284" t="n"/>
      <c r="CX97" s="36" t="n"/>
      <c r="CY97" s="47" t="n"/>
      <c r="CZ97" s="284" t="n"/>
      <c r="DA97" s="38" t="n">
        <v>0</v>
      </c>
      <c r="DB97" s="284" t="n"/>
      <c r="DC97" s="36" t="n"/>
      <c r="DD97" s="47" t="n"/>
      <c r="DE97" s="284" t="n"/>
      <c r="DF97" s="38" t="n">
        <v>0</v>
      </c>
      <c r="DG97" s="284" t="n"/>
      <c r="DH97" s="36" t="n"/>
      <c r="DI97" s="47" t="n"/>
      <c r="DJ97" s="284" t="n"/>
      <c r="DK97" s="38" t="n">
        <v>0</v>
      </c>
      <c r="DL97" s="284" t="n"/>
      <c r="DM97" s="36" t="n"/>
      <c r="DN97" s="47" t="n"/>
      <c r="DO97" s="284" t="n"/>
      <c r="DP97" s="38" t="n">
        <v>0</v>
      </c>
      <c r="DQ97" s="284" t="n"/>
      <c r="DR97" s="36" t="n"/>
      <c r="DS97" s="47" t="n"/>
      <c r="DT97" s="284" t="n"/>
      <c r="DU97" s="38" t="n"/>
      <c r="DV97" s="284" t="n"/>
      <c r="DW97" s="338">
        <f t="array" ref="DW97">SUMPRODUCT(--(MOD(COLUMN($BO97:$DV97),5)=MOD(COLUMN($BO97),5)),$BO97:$DV97)</f>
        <v/>
      </c>
      <c r="DX97" s="339">
        <f>DW97*$J97</f>
        <v/>
      </c>
      <c r="DY97" s="344">
        <f t="array" ref="DY97">SUMPRODUCT(--(MOD(COLUMN($BO97:$DV97),5)=MOD(COLUMN($BP97),5)),$BO97:$DV97)</f>
        <v/>
      </c>
      <c r="DZ97" s="345">
        <f>DY97*$J97</f>
        <v/>
      </c>
      <c r="EA97" s="340">
        <f t="array" ref="EA97">SUMPRODUCT(--(MOD(COLUMN($BO97:$DV97),5)=MOD(COLUMN($BQ97),5)),$BO97:$DV97)</f>
        <v/>
      </c>
      <c r="EB97" s="341">
        <f>EA97*$J97</f>
        <v/>
      </c>
      <c r="EC97" s="342">
        <f t="array" ref="EC97">SUMPRODUCT(--(MOD(COLUMN($BO97:$DV97),5)=MOD(COLUMN($BR97),5)),$BO97:$DV97)</f>
        <v/>
      </c>
      <c r="ED97" s="343">
        <f>EC97*$J97</f>
        <v/>
      </c>
      <c r="EE97" s="36" t="n">
        <v>0</v>
      </c>
      <c r="EF97" s="284" t="n">
        <v>0</v>
      </c>
      <c r="EG97" s="38" t="n">
        <v>0</v>
      </c>
      <c r="EH97" s="284" t="n"/>
      <c r="EI97" s="36" t="n">
        <v>0</v>
      </c>
      <c r="EJ97" s="284" t="n">
        <v>0</v>
      </c>
      <c r="EK97" s="38" t="n">
        <v>0</v>
      </c>
      <c r="EL97" s="284" t="n"/>
      <c r="EM97" s="36" t="n"/>
      <c r="EN97" s="284" t="n"/>
      <c r="EO97" s="38" t="n">
        <v>0</v>
      </c>
      <c r="EP97" s="284" t="n"/>
      <c r="EQ97" s="36">
        <f>$KN97*5</f>
        <v/>
      </c>
      <c r="ER97" s="39" t="n">
        <v>0</v>
      </c>
      <c r="ES97" s="38" t="n">
        <v>0</v>
      </c>
      <c r="ET97" s="284" t="n"/>
      <c r="EU97" s="36">
        <f>$KN97*5</f>
        <v/>
      </c>
      <c r="EV97" s="155" t="n">
        <v>0</v>
      </c>
      <c r="EW97" s="38" t="n">
        <v>0</v>
      </c>
      <c r="EX97" s="284" t="n"/>
      <c r="EY97" s="36">
        <f>$KN97*5</f>
        <v/>
      </c>
      <c r="EZ97" s="155" t="n">
        <v>0</v>
      </c>
      <c r="FA97" s="38" t="n">
        <v>0</v>
      </c>
      <c r="FB97" s="284" t="n"/>
      <c r="FC97" s="36">
        <f>$KN97*10</f>
        <v/>
      </c>
      <c r="FD97" s="284" t="n">
        <v>5</v>
      </c>
      <c r="FE97" s="38" t="n">
        <v>0</v>
      </c>
      <c r="FF97" s="284" t="n"/>
      <c r="FG97" s="36">
        <f>$KN97*10</f>
        <v/>
      </c>
      <c r="FH97" s="284" t="n">
        <v>5</v>
      </c>
      <c r="FI97" s="38" t="n">
        <v>0</v>
      </c>
      <c r="FJ97" s="284" t="n"/>
      <c r="FK97" s="36">
        <f>$KN97*10</f>
        <v/>
      </c>
      <c r="FL97" s="284" t="n">
        <v>10</v>
      </c>
      <c r="FM97" s="38" t="n">
        <v>0</v>
      </c>
      <c r="FN97" s="284" t="n"/>
      <c r="FO97" s="36">
        <f>$KN97*10</f>
        <v/>
      </c>
      <c r="FP97" s="284" t="n">
        <v>10</v>
      </c>
      <c r="FQ97" s="38" t="n">
        <v>0</v>
      </c>
      <c r="FR97" s="284" t="n"/>
      <c r="FS97" s="36">
        <f>$KN97*10</f>
        <v/>
      </c>
      <c r="FT97" s="284" t="n">
        <v>10</v>
      </c>
      <c r="FU97" s="38" t="n">
        <v>0</v>
      </c>
      <c r="FV97" s="284" t="n"/>
      <c r="FW97" s="36">
        <f>$KN97*10</f>
        <v/>
      </c>
      <c r="FX97" s="284" t="n">
        <v>10</v>
      </c>
      <c r="FY97" s="38" t="n">
        <v>0</v>
      </c>
      <c r="FZ97" s="284" t="n"/>
      <c r="GA97" s="338">
        <f t="array" ref="GA97">SUMPRODUCT(--(MOD(COLUMN($EE97:$FZ97),4)=MOD(COLUMN($EE97),4)),$EE97:$FZ97)</f>
        <v/>
      </c>
      <c r="GB97" s="339">
        <f>GA97*$J97</f>
        <v/>
      </c>
      <c r="GC97" s="340">
        <f t="array" ref="GC97">SUMPRODUCT(--(MOD(COLUMN($EE97:$FZ97),4)=MOD(COLUMN($EF97),4)),$EE97:$FZ97)</f>
        <v/>
      </c>
      <c r="GD97" s="341">
        <f>GC97*$J97</f>
        <v/>
      </c>
      <c r="GE97" s="342">
        <f t="array" ref="GE97">SUMPRODUCT(--(MOD(COLUMN($EE97:$FZ97),4)=MOD(COLUMN($EG97),4)),$EE97:$FZ97)</f>
        <v/>
      </c>
      <c r="GF97" s="343">
        <f>GE97*$J97</f>
        <v/>
      </c>
      <c r="GG97" s="36">
        <f>$KN97*10</f>
        <v/>
      </c>
      <c r="GH97" s="284" t="n"/>
      <c r="GI97" s="38" t="n">
        <v>0</v>
      </c>
      <c r="GJ97" s="284" t="n"/>
      <c r="GK97" s="36">
        <f>$KN97*10</f>
        <v/>
      </c>
      <c r="GL97" s="284" t="n"/>
      <c r="GM97" s="38" t="n">
        <v>0</v>
      </c>
      <c r="GN97" s="284" t="n"/>
      <c r="GO97" s="36">
        <f>$KN97*15</f>
        <v/>
      </c>
      <c r="GP97" s="284" t="n"/>
      <c r="GQ97" s="38" t="n">
        <v>0</v>
      </c>
      <c r="GR97" s="284" t="n"/>
      <c r="GS97" s="36">
        <f>$KN97*20</f>
        <v/>
      </c>
      <c r="GT97" s="284" t="n"/>
      <c r="GU97" s="38" t="n">
        <v>0</v>
      </c>
      <c r="GV97" s="284" t="n"/>
      <c r="GW97" s="36">
        <f>$KN97*20</f>
        <v/>
      </c>
      <c r="GX97" s="284" t="n"/>
      <c r="GY97" s="38" t="n">
        <v>0</v>
      </c>
      <c r="GZ97" s="284" t="n"/>
      <c r="HA97" s="36">
        <f>$KN97*20</f>
        <v/>
      </c>
      <c r="HB97" s="284" t="n"/>
      <c r="HC97" s="38" t="n">
        <v>0</v>
      </c>
      <c r="HD97" s="284" t="n"/>
      <c r="HE97" s="36">
        <f>$KN97*20</f>
        <v/>
      </c>
      <c r="HF97" s="284" t="n"/>
      <c r="HG97" s="38" t="n">
        <v>0</v>
      </c>
      <c r="HH97" s="284" t="n"/>
      <c r="HI97" s="36">
        <f>$KN97*20</f>
        <v/>
      </c>
      <c r="HJ97" s="284" t="n"/>
      <c r="HK97" s="38" t="n">
        <v>0</v>
      </c>
      <c r="HL97" s="284" t="n"/>
      <c r="HM97" s="36">
        <f>$KN97*20</f>
        <v/>
      </c>
      <c r="HN97" s="284" t="n"/>
      <c r="HO97" s="38" t="n">
        <v>0</v>
      </c>
      <c r="HP97" s="284" t="n"/>
      <c r="HQ97" s="36">
        <f>$KN97*20</f>
        <v/>
      </c>
      <c r="HR97" s="284" t="n"/>
      <c r="HS97" s="38" t="n">
        <v>0</v>
      </c>
      <c r="HT97" s="284" t="n"/>
      <c r="HU97" s="36">
        <f>$KN97*20</f>
        <v/>
      </c>
      <c r="HV97" s="284" t="n"/>
      <c r="HW97" s="38" t="n">
        <v>0</v>
      </c>
      <c r="HX97" s="284" t="n"/>
      <c r="HY97" s="36">
        <f>$KN97*20</f>
        <v/>
      </c>
      <c r="HZ97" s="284" t="n"/>
      <c r="IA97" s="38" t="n">
        <v>0</v>
      </c>
      <c r="IB97" s="284" t="n"/>
      <c r="IC97" s="338">
        <f t="array" ref="IC97">SUMPRODUCT(--(MOD(COLUMN($GG97:$IB97),4)=MOD(COLUMN($GG97),4)),$GG97:$IB97)</f>
        <v/>
      </c>
      <c r="ID97" s="339">
        <f>IC97*$J97</f>
        <v/>
      </c>
      <c r="IE97" s="340">
        <f t="array" ref="IE97">SUMPRODUCT(--(MOD(COLUMN($GG97:$IB97),4)=MOD(COLUMN($GH97),4)),$GG97:$IB97)</f>
        <v/>
      </c>
      <c r="IF97" s="341">
        <f>IE97*$J97</f>
        <v/>
      </c>
      <c r="IG97" s="342">
        <f t="array" ref="IG97">SUMPRODUCT(--(MOD(COLUMN($GG97:$IB97),4)=MOD(COLUMN($GI97),4)),$GG97:$IB97)</f>
        <v/>
      </c>
      <c r="IH97" s="343">
        <f>IG97*$J97</f>
        <v/>
      </c>
      <c r="II97" s="36">
        <f>$KN97*10</f>
        <v/>
      </c>
      <c r="IJ97" s="284" t="n"/>
      <c r="IK97" s="38" t="n">
        <v>0</v>
      </c>
      <c r="IL97" s="284" t="n"/>
      <c r="IM97" s="36">
        <f>$KN97*10</f>
        <v/>
      </c>
      <c r="IN97" s="284" t="n"/>
      <c r="IO97" s="38" t="n">
        <v>0</v>
      </c>
      <c r="IP97" s="284" t="n"/>
      <c r="IQ97" s="36">
        <f>$KN97*15</f>
        <v/>
      </c>
      <c r="IR97" s="284" t="n"/>
      <c r="IS97" s="38" t="n">
        <v>0</v>
      </c>
      <c r="IT97" s="284" t="n"/>
      <c r="IU97" s="36">
        <f>$KN97*20</f>
        <v/>
      </c>
      <c r="IV97" s="284" t="n"/>
      <c r="IW97" s="38" t="n">
        <v>0</v>
      </c>
      <c r="IX97" s="284" t="n"/>
      <c r="IY97" s="36">
        <f>$KN97*20</f>
        <v/>
      </c>
      <c r="IZ97" s="284" t="n"/>
      <c r="JA97" s="38" t="n">
        <v>0</v>
      </c>
      <c r="JB97" s="284" t="n"/>
      <c r="JC97" s="36">
        <f>$KN97*20</f>
        <v/>
      </c>
      <c r="JD97" s="284" t="n"/>
      <c r="JE97" s="38" t="n">
        <v>0</v>
      </c>
      <c r="JF97" s="284" t="n"/>
      <c r="JG97" s="36">
        <f>$KN97*20</f>
        <v/>
      </c>
      <c r="JH97" s="284" t="n"/>
      <c r="JI97" s="38" t="n">
        <v>0</v>
      </c>
      <c r="JJ97" s="284" t="n"/>
      <c r="JK97" s="36">
        <f>$KN97*20</f>
        <v/>
      </c>
      <c r="JL97" s="284" t="n"/>
      <c r="JM97" s="38" t="n">
        <v>0</v>
      </c>
      <c r="JN97" s="284" t="n"/>
      <c r="JO97" s="36">
        <f>$KN97*20</f>
        <v/>
      </c>
      <c r="JP97" s="284" t="n"/>
      <c r="JQ97" s="38" t="n">
        <v>0</v>
      </c>
      <c r="JR97" s="284" t="n"/>
      <c r="JS97" s="36">
        <f>$KN97*20</f>
        <v/>
      </c>
      <c r="JT97" s="284" t="n"/>
      <c r="JU97" s="38" t="n">
        <v>0</v>
      </c>
      <c r="JV97" s="284" t="n"/>
      <c r="JW97" s="36">
        <f>$KN97*20</f>
        <v/>
      </c>
      <c r="JX97" s="284" t="n"/>
      <c r="JY97" s="38" t="n">
        <v>0</v>
      </c>
      <c r="JZ97" s="284" t="n"/>
      <c r="KA97" s="36">
        <f>$KN97*20</f>
        <v/>
      </c>
      <c r="KB97" s="284" t="n"/>
      <c r="KC97" s="38" t="n">
        <v>0</v>
      </c>
      <c r="KD97" s="284" t="n"/>
      <c r="KE97" s="338">
        <f t="array" ref="KE97">SUMPRODUCT(--(MOD(COLUMN($II97:$KD97),4)=MOD(COLUMN($II97),4)),$II97:$KD97)</f>
        <v/>
      </c>
      <c r="KF97" s="339">
        <f>KE97*$J97</f>
        <v/>
      </c>
      <c r="KG97" s="340">
        <f t="array" ref="KG97">SUMPRODUCT(--(MOD(COLUMN($II97:$KD97),4)=MOD(COLUMN($IJ97),4)),$II97:$KD97)</f>
        <v/>
      </c>
      <c r="KH97" s="341">
        <f>KG97*$J97</f>
        <v/>
      </c>
      <c r="KI97" s="342">
        <f t="array" ref="KI97">SUMPRODUCT(--(MOD(COLUMN($II97:$KD97),4)=MOD(COLUMN($IK97),4)),$II97:$KD97)</f>
        <v/>
      </c>
      <c r="KJ97" s="346">
        <f>KI97*$J97</f>
        <v/>
      </c>
      <c r="KK97" s="80" t="n"/>
      <c r="KL97" s="80" t="n"/>
      <c r="KM97" s="80" t="n"/>
      <c r="KN97" s="51" t="n">
        <v>1</v>
      </c>
      <c r="KO97" s="347" t="n"/>
    </row>
    <row r="98" outlineLevel="1" ht="43.2" customFormat="1" customHeight="1" s="68">
      <c r="A98" s="347" t="n"/>
      <c r="B98" s="347" t="n"/>
      <c r="C98" s="347" t="n"/>
      <c r="D98" s="347" t="n"/>
      <c r="E98" s="61" t="n">
        <v>3</v>
      </c>
      <c r="F98" s="60" t="n">
        <v>1</v>
      </c>
      <c r="G98" s="56" t="n">
        <v>9710029000</v>
      </c>
      <c r="H98" s="57" t="inlineStr">
        <is>
          <t>Воздухораспределитель с клапаном растормаживания</t>
        </is>
      </c>
      <c r="I98" s="348">
        <f>639/1.2/0.98</f>
        <v/>
      </c>
      <c r="J98" s="348">
        <f>639/1.2*1.0863</f>
        <v/>
      </c>
      <c r="K98" s="348" t="n"/>
      <c r="L98" s="348" t="n"/>
      <c r="M98" s="36" t="n"/>
      <c r="N98" s="284" t="n"/>
      <c r="O98" s="38" t="n"/>
      <c r="P98" s="284" t="n"/>
      <c r="Q98" s="36" t="n"/>
      <c r="R98" s="284" t="n"/>
      <c r="S98" s="38" t="n"/>
      <c r="T98" s="284" t="n"/>
      <c r="U98" s="36" t="n"/>
      <c r="V98" s="39" t="n"/>
      <c r="W98" s="38" t="n"/>
      <c r="X98" s="284" t="n"/>
      <c r="Y98" s="36" t="n"/>
      <c r="Z98" s="284" t="n"/>
      <c r="AA98" s="38" t="n"/>
      <c r="AB98" s="245" t="n"/>
      <c r="AC98" s="36" t="n"/>
      <c r="AD98" s="284" t="n"/>
      <c r="AE98" s="38" t="n"/>
      <c r="AF98" s="284" t="n"/>
      <c r="AG98" s="36" t="n"/>
      <c r="AH98" s="284" t="n"/>
      <c r="AI98" s="38" t="n"/>
      <c r="AJ98" s="284" t="n"/>
      <c r="AK98" s="36" t="n"/>
      <c r="AL98" s="284" t="n"/>
      <c r="AM98" s="54" t="n"/>
      <c r="AN98" s="284" t="n"/>
      <c r="AO98" s="36" t="n"/>
      <c r="AP98" s="284" t="n"/>
      <c r="AQ98" s="38" t="n"/>
      <c r="AR98" s="284" t="n"/>
      <c r="AS98" s="36" t="n"/>
      <c r="AT98" s="284" t="n"/>
      <c r="AU98" s="38" t="n"/>
      <c r="AV98" s="284" t="n"/>
      <c r="AW98" s="36" t="n"/>
      <c r="AX98" s="284" t="n"/>
      <c r="AY98" s="38" t="n"/>
      <c r="AZ98" s="284" t="n"/>
      <c r="BA98" s="36" t="n"/>
      <c r="BB98" s="284" t="n"/>
      <c r="BC98" s="92" t="n"/>
      <c r="BD98" s="284" t="n"/>
      <c r="BE98" s="36" t="n"/>
      <c r="BF98" s="284" t="n"/>
      <c r="BG98" s="54" t="n"/>
      <c r="BH98" s="284" t="n"/>
      <c r="BI98" s="338" t="n"/>
      <c r="BJ98" s="339" t="n"/>
      <c r="BK98" s="340" t="n"/>
      <c r="BL98" s="341" t="n"/>
      <c r="BM98" s="342" t="n"/>
      <c r="BN98" s="343" t="n"/>
      <c r="BO98" s="36" t="n"/>
      <c r="BP98" s="47" t="n"/>
      <c r="BQ98" s="284" t="n"/>
      <c r="BR98" s="38" t="n"/>
      <c r="BS98" s="284" t="n"/>
      <c r="BT98" s="36" t="n"/>
      <c r="BU98" s="47" t="n"/>
      <c r="BV98" s="284" t="n"/>
      <c r="BW98" s="38" t="n"/>
      <c r="BX98" s="284" t="n"/>
      <c r="BY98" s="36" t="n"/>
      <c r="BZ98" s="47" t="n"/>
      <c r="CA98" s="284" t="n"/>
      <c r="CB98" s="38" t="n"/>
      <c r="CC98" s="284" t="n"/>
      <c r="CD98" s="36" t="n"/>
      <c r="CE98" s="47" t="n"/>
      <c r="CF98" s="284" t="n"/>
      <c r="CG98" s="38" t="n"/>
      <c r="CH98" s="284" t="n"/>
      <c r="CI98" s="36" t="n"/>
      <c r="CJ98" s="47" t="n"/>
      <c r="CK98" s="284" t="n"/>
      <c r="CL98" s="38" t="n">
        <v>0</v>
      </c>
      <c r="CM98" s="284" t="n"/>
      <c r="CN98" s="36" t="n"/>
      <c r="CO98" s="47" t="n"/>
      <c r="CP98" s="284" t="n"/>
      <c r="CQ98" s="38" t="n">
        <v>0</v>
      </c>
      <c r="CR98" s="284" t="n"/>
      <c r="CS98" s="36" t="n"/>
      <c r="CT98" s="47" t="n"/>
      <c r="CU98" s="284" t="n"/>
      <c r="CV98" s="38" t="n">
        <v>0</v>
      </c>
      <c r="CW98" s="284" t="n"/>
      <c r="CX98" s="36" t="n"/>
      <c r="CY98" s="47" t="n"/>
      <c r="CZ98" s="284" t="n"/>
      <c r="DA98" s="38" t="n">
        <v>0</v>
      </c>
      <c r="DB98" s="284" t="n"/>
      <c r="DC98" s="36" t="n"/>
      <c r="DD98" s="47" t="n"/>
      <c r="DE98" s="284" t="n"/>
      <c r="DF98" s="38" t="n">
        <v>0</v>
      </c>
      <c r="DG98" s="284" t="n"/>
      <c r="DH98" s="36" t="n"/>
      <c r="DI98" s="47" t="n"/>
      <c r="DJ98" s="284" t="n"/>
      <c r="DK98" s="38" t="n">
        <v>0</v>
      </c>
      <c r="DL98" s="284" t="n"/>
      <c r="DM98" s="36" t="n"/>
      <c r="DN98" s="47" t="n"/>
      <c r="DO98" s="284" t="n"/>
      <c r="DP98" s="38" t="n">
        <v>0</v>
      </c>
      <c r="DQ98" s="284" t="n"/>
      <c r="DR98" s="36" t="n"/>
      <c r="DS98" s="47" t="n"/>
      <c r="DT98" s="284" t="n"/>
      <c r="DU98" s="38" t="n"/>
      <c r="DV98" s="284" t="n"/>
      <c r="DW98" s="338">
        <f t="array" ref="DW98">SUMPRODUCT(--(MOD(COLUMN($BO98:$DV98),5)=MOD(COLUMN($BO98),5)),$BO98:$DV98)</f>
        <v/>
      </c>
      <c r="DX98" s="339">
        <f>DW98*$J98</f>
        <v/>
      </c>
      <c r="DY98" s="344">
        <f t="array" ref="DY98">SUMPRODUCT(--(MOD(COLUMN($BO98:$DV98),5)=MOD(COLUMN($BP98),5)),$BO98:$DV98)</f>
        <v/>
      </c>
      <c r="DZ98" s="345">
        <f>DY98*$J98</f>
        <v/>
      </c>
      <c r="EA98" s="340">
        <f t="array" ref="EA98">SUMPRODUCT(--(MOD(COLUMN($BO98:$DV98),5)=MOD(COLUMN($BQ98),5)),$BO98:$DV98)</f>
        <v/>
      </c>
      <c r="EB98" s="341">
        <f>EA98*$J98</f>
        <v/>
      </c>
      <c r="EC98" s="342">
        <f t="array" ref="EC98">SUMPRODUCT(--(MOD(COLUMN($BO98:$DV98),5)=MOD(COLUMN($BR98),5)),$BO98:$DV98)</f>
        <v/>
      </c>
      <c r="ED98" s="343">
        <f>EC98*$J98</f>
        <v/>
      </c>
      <c r="EE98" s="36" t="n">
        <v>0</v>
      </c>
      <c r="EF98" s="284" t="n">
        <v>0</v>
      </c>
      <c r="EG98" s="38" t="n">
        <v>0</v>
      </c>
      <c r="EH98" s="284" t="n"/>
      <c r="EI98" s="36" t="n">
        <v>0</v>
      </c>
      <c r="EJ98" s="284" t="n">
        <v>0</v>
      </c>
      <c r="EK98" s="38" t="n">
        <v>0</v>
      </c>
      <c r="EL98" s="284" t="n"/>
      <c r="EM98" s="36" t="n"/>
      <c r="EN98" s="284" t="n"/>
      <c r="EO98" s="38" t="n">
        <v>0</v>
      </c>
      <c r="EP98" s="284" t="n"/>
      <c r="EQ98" s="36">
        <f>$KN98*5</f>
        <v/>
      </c>
      <c r="ER98" s="39" t="n">
        <v>0</v>
      </c>
      <c r="ES98" s="38" t="n">
        <v>0</v>
      </c>
      <c r="ET98" s="284" t="n"/>
      <c r="EU98" s="36">
        <f>$KN98*5</f>
        <v/>
      </c>
      <c r="EV98" s="155" t="n">
        <v>0</v>
      </c>
      <c r="EW98" s="38" t="n">
        <v>0</v>
      </c>
      <c r="EX98" s="284" t="n"/>
      <c r="EY98" s="36">
        <f>$KN98*5</f>
        <v/>
      </c>
      <c r="EZ98" s="155" t="n">
        <v>0</v>
      </c>
      <c r="FA98" s="38" t="n">
        <v>0</v>
      </c>
      <c r="FB98" s="284" t="n"/>
      <c r="FC98" s="36">
        <f>$KN98*10</f>
        <v/>
      </c>
      <c r="FD98" s="284" t="n">
        <v>5</v>
      </c>
      <c r="FE98" s="38" t="n">
        <v>0</v>
      </c>
      <c r="FF98" s="284" t="n"/>
      <c r="FG98" s="36">
        <f>$KN98*10</f>
        <v/>
      </c>
      <c r="FH98" s="284" t="n">
        <v>5</v>
      </c>
      <c r="FI98" s="38" t="n">
        <v>0</v>
      </c>
      <c r="FJ98" s="284" t="n"/>
      <c r="FK98" s="36">
        <f>$KN98*10</f>
        <v/>
      </c>
      <c r="FL98" s="284" t="n">
        <v>10</v>
      </c>
      <c r="FM98" s="38" t="n">
        <v>0</v>
      </c>
      <c r="FN98" s="284" t="n"/>
      <c r="FO98" s="36">
        <f>$KN98*10</f>
        <v/>
      </c>
      <c r="FP98" s="284" t="n">
        <v>10</v>
      </c>
      <c r="FQ98" s="38" t="n">
        <v>0</v>
      </c>
      <c r="FR98" s="284" t="n"/>
      <c r="FS98" s="36">
        <f>$KN98*10</f>
        <v/>
      </c>
      <c r="FT98" s="284" t="n">
        <v>10</v>
      </c>
      <c r="FU98" s="38" t="n">
        <v>0</v>
      </c>
      <c r="FV98" s="284" t="n"/>
      <c r="FW98" s="36">
        <f>$KN98*10</f>
        <v/>
      </c>
      <c r="FX98" s="284" t="n">
        <v>10</v>
      </c>
      <c r="FY98" s="38" t="n">
        <v>0</v>
      </c>
      <c r="FZ98" s="284" t="n"/>
      <c r="GA98" s="338">
        <f t="array" ref="GA98">SUMPRODUCT(--(MOD(COLUMN($EE98:$FZ98),4)=MOD(COLUMN($EE98),4)),$EE98:$FZ98)</f>
        <v/>
      </c>
      <c r="GB98" s="339">
        <f>GA98*$J98</f>
        <v/>
      </c>
      <c r="GC98" s="340">
        <f t="array" ref="GC98">SUMPRODUCT(--(MOD(COLUMN($EE98:$FZ98),4)=MOD(COLUMN($EF98),4)),$EE98:$FZ98)</f>
        <v/>
      </c>
      <c r="GD98" s="341">
        <f>GC98*$J98</f>
        <v/>
      </c>
      <c r="GE98" s="342">
        <f t="array" ref="GE98">SUMPRODUCT(--(MOD(COLUMN($EE98:$FZ98),4)=MOD(COLUMN($EG98),4)),$EE98:$FZ98)</f>
        <v/>
      </c>
      <c r="GF98" s="343">
        <f>GE98*$J98</f>
        <v/>
      </c>
      <c r="GG98" s="36">
        <f>$KN98*10</f>
        <v/>
      </c>
      <c r="GH98" s="284" t="n"/>
      <c r="GI98" s="38" t="n">
        <v>0</v>
      </c>
      <c r="GJ98" s="284" t="n"/>
      <c r="GK98" s="36">
        <f>$KN98*10</f>
        <v/>
      </c>
      <c r="GL98" s="284" t="n"/>
      <c r="GM98" s="38" t="n">
        <v>0</v>
      </c>
      <c r="GN98" s="284" t="n"/>
      <c r="GO98" s="36">
        <f>$KN98*15</f>
        <v/>
      </c>
      <c r="GP98" s="284" t="n"/>
      <c r="GQ98" s="38" t="n">
        <v>0</v>
      </c>
      <c r="GR98" s="284" t="n"/>
      <c r="GS98" s="36">
        <f>$KN98*20</f>
        <v/>
      </c>
      <c r="GT98" s="284" t="n"/>
      <c r="GU98" s="38" t="n">
        <v>0</v>
      </c>
      <c r="GV98" s="284" t="n"/>
      <c r="GW98" s="36">
        <f>$KN98*20</f>
        <v/>
      </c>
      <c r="GX98" s="284" t="n"/>
      <c r="GY98" s="38" t="n">
        <v>0</v>
      </c>
      <c r="GZ98" s="284" t="n"/>
      <c r="HA98" s="36">
        <f>$KN98*20</f>
        <v/>
      </c>
      <c r="HB98" s="284" t="n"/>
      <c r="HC98" s="38" t="n">
        <v>0</v>
      </c>
      <c r="HD98" s="284" t="n"/>
      <c r="HE98" s="36">
        <f>$KN98*20</f>
        <v/>
      </c>
      <c r="HF98" s="284" t="n"/>
      <c r="HG98" s="38" t="n">
        <v>0</v>
      </c>
      <c r="HH98" s="284" t="n"/>
      <c r="HI98" s="36">
        <f>$KN98*20</f>
        <v/>
      </c>
      <c r="HJ98" s="284" t="n"/>
      <c r="HK98" s="38" t="n">
        <v>0</v>
      </c>
      <c r="HL98" s="284" t="n"/>
      <c r="HM98" s="36">
        <f>$KN98*20</f>
        <v/>
      </c>
      <c r="HN98" s="284" t="n"/>
      <c r="HO98" s="38" t="n">
        <v>0</v>
      </c>
      <c r="HP98" s="284" t="n"/>
      <c r="HQ98" s="36">
        <f>$KN98*20</f>
        <v/>
      </c>
      <c r="HR98" s="284" t="n"/>
      <c r="HS98" s="38" t="n">
        <v>0</v>
      </c>
      <c r="HT98" s="284" t="n"/>
      <c r="HU98" s="36">
        <f>$KN98*20</f>
        <v/>
      </c>
      <c r="HV98" s="284" t="n"/>
      <c r="HW98" s="38" t="n">
        <v>0</v>
      </c>
      <c r="HX98" s="284" t="n"/>
      <c r="HY98" s="36">
        <f>$KN98*20</f>
        <v/>
      </c>
      <c r="HZ98" s="284" t="n"/>
      <c r="IA98" s="38" t="n">
        <v>0</v>
      </c>
      <c r="IB98" s="284" t="n"/>
      <c r="IC98" s="338">
        <f t="array" ref="IC98">SUMPRODUCT(--(MOD(COLUMN($GG98:$IB98),4)=MOD(COLUMN($GG98),4)),$GG98:$IB98)</f>
        <v/>
      </c>
      <c r="ID98" s="339">
        <f>IC98*$J98</f>
        <v/>
      </c>
      <c r="IE98" s="340">
        <f t="array" ref="IE98">SUMPRODUCT(--(MOD(COLUMN($GG98:$IB98),4)=MOD(COLUMN($GH98),4)),$GG98:$IB98)</f>
        <v/>
      </c>
      <c r="IF98" s="341">
        <f>IE98*$J98</f>
        <v/>
      </c>
      <c r="IG98" s="342">
        <f t="array" ref="IG98">SUMPRODUCT(--(MOD(COLUMN($GG98:$IB98),4)=MOD(COLUMN($GI98),4)),$GG98:$IB98)</f>
        <v/>
      </c>
      <c r="IH98" s="343">
        <f>IG98*$J98</f>
        <v/>
      </c>
      <c r="II98" s="36">
        <f>$KN98*10</f>
        <v/>
      </c>
      <c r="IJ98" s="284" t="n"/>
      <c r="IK98" s="38" t="n">
        <v>0</v>
      </c>
      <c r="IL98" s="284" t="n"/>
      <c r="IM98" s="36">
        <f>$KN98*10</f>
        <v/>
      </c>
      <c r="IN98" s="284" t="n"/>
      <c r="IO98" s="38" t="n">
        <v>0</v>
      </c>
      <c r="IP98" s="284" t="n"/>
      <c r="IQ98" s="36">
        <f>$KN98*15</f>
        <v/>
      </c>
      <c r="IR98" s="284" t="n"/>
      <c r="IS98" s="38" t="n">
        <v>0</v>
      </c>
      <c r="IT98" s="284" t="n"/>
      <c r="IU98" s="36">
        <f>$KN98*20</f>
        <v/>
      </c>
      <c r="IV98" s="284" t="n"/>
      <c r="IW98" s="38" t="n">
        <v>0</v>
      </c>
      <c r="IX98" s="284" t="n"/>
      <c r="IY98" s="36">
        <f>$KN98*20</f>
        <v/>
      </c>
      <c r="IZ98" s="284" t="n"/>
      <c r="JA98" s="38" t="n">
        <v>0</v>
      </c>
      <c r="JB98" s="284" t="n"/>
      <c r="JC98" s="36">
        <f>$KN98*20</f>
        <v/>
      </c>
      <c r="JD98" s="284" t="n"/>
      <c r="JE98" s="38" t="n">
        <v>0</v>
      </c>
      <c r="JF98" s="284" t="n"/>
      <c r="JG98" s="36">
        <f>$KN98*20</f>
        <v/>
      </c>
      <c r="JH98" s="284" t="n"/>
      <c r="JI98" s="38" t="n">
        <v>0</v>
      </c>
      <c r="JJ98" s="284" t="n"/>
      <c r="JK98" s="36">
        <f>$KN98*20</f>
        <v/>
      </c>
      <c r="JL98" s="284" t="n"/>
      <c r="JM98" s="38" t="n">
        <v>0</v>
      </c>
      <c r="JN98" s="284" t="n"/>
      <c r="JO98" s="36">
        <f>$KN98*20</f>
        <v/>
      </c>
      <c r="JP98" s="284" t="n"/>
      <c r="JQ98" s="38" t="n">
        <v>0</v>
      </c>
      <c r="JR98" s="284" t="n"/>
      <c r="JS98" s="36">
        <f>$KN98*20</f>
        <v/>
      </c>
      <c r="JT98" s="284" t="n"/>
      <c r="JU98" s="38" t="n">
        <v>0</v>
      </c>
      <c r="JV98" s="284" t="n"/>
      <c r="JW98" s="36">
        <f>$KN98*20</f>
        <v/>
      </c>
      <c r="JX98" s="284" t="n"/>
      <c r="JY98" s="38" t="n">
        <v>0</v>
      </c>
      <c r="JZ98" s="284" t="n"/>
      <c r="KA98" s="36">
        <f>$KN98*20</f>
        <v/>
      </c>
      <c r="KB98" s="284" t="n"/>
      <c r="KC98" s="38" t="n">
        <v>0</v>
      </c>
      <c r="KD98" s="284" t="n"/>
      <c r="KE98" s="338">
        <f t="array" ref="KE98">SUMPRODUCT(--(MOD(COLUMN($II98:$KD98),4)=MOD(COLUMN($II98),4)),$II98:$KD98)</f>
        <v/>
      </c>
      <c r="KF98" s="339">
        <f>KE98*$J98</f>
        <v/>
      </c>
      <c r="KG98" s="340">
        <f t="array" ref="KG98">SUMPRODUCT(--(MOD(COLUMN($II98:$KD98),4)=MOD(COLUMN($IJ98),4)),$II98:$KD98)</f>
        <v/>
      </c>
      <c r="KH98" s="341">
        <f>KG98*$J98</f>
        <v/>
      </c>
      <c r="KI98" s="342">
        <f t="array" ref="KI98">SUMPRODUCT(--(MOD(COLUMN($II98:$KD98),4)=MOD(COLUMN($IK98),4)),$II98:$KD98)</f>
        <v/>
      </c>
      <c r="KJ98" s="346">
        <f>KI98*$J98</f>
        <v/>
      </c>
      <c r="KK98" s="80" t="n"/>
      <c r="KL98" s="80" t="n"/>
      <c r="KM98" s="80" t="n"/>
      <c r="KN98" s="51" t="n">
        <v>1</v>
      </c>
      <c r="KO98" s="347" t="n"/>
    </row>
    <row r="99" outlineLevel="1" ht="28.8" customFormat="1" customHeight="1" s="68">
      <c r="A99" s="347" t="n"/>
      <c r="B99" s="347" t="n"/>
      <c r="C99" s="347" t="n"/>
      <c r="D99" s="347" t="n"/>
      <c r="E99" s="61" t="n">
        <v>4</v>
      </c>
      <c r="F99" s="60" t="n">
        <v>1</v>
      </c>
      <c r="G99" s="56" t="n">
        <v>4801020640</v>
      </c>
      <c r="H99" s="57" t="inlineStr">
        <is>
          <t>Модулятор EBS, с PEM, без фит.</t>
        </is>
      </c>
      <c r="I99" s="348">
        <f>4169.2/1.2/0.98</f>
        <v/>
      </c>
      <c r="J99" s="348">
        <f>4169.1/1.2*1.0863*1.048</f>
        <v/>
      </c>
      <c r="K99" s="348" t="n"/>
      <c r="L99" s="348" t="n"/>
      <c r="M99" s="36" t="n"/>
      <c r="N99" s="284" t="n"/>
      <c r="O99" s="38" t="n"/>
      <c r="P99" s="284" t="n"/>
      <c r="Q99" s="36" t="n"/>
      <c r="R99" s="284" t="n"/>
      <c r="S99" s="38" t="n"/>
      <c r="T99" s="284" t="n"/>
      <c r="U99" s="36" t="n"/>
      <c r="V99" s="39" t="n"/>
      <c r="W99" s="38" t="n"/>
      <c r="X99" s="284" t="n"/>
      <c r="Y99" s="36" t="n"/>
      <c r="Z99" s="284" t="n"/>
      <c r="AA99" s="38" t="n"/>
      <c r="AB99" s="245" t="n"/>
      <c r="AC99" s="36" t="n"/>
      <c r="AD99" s="284" t="n"/>
      <c r="AE99" s="38" t="n"/>
      <c r="AF99" s="284" t="n"/>
      <c r="AG99" s="36" t="n"/>
      <c r="AH99" s="284" t="n"/>
      <c r="AI99" s="38" t="n"/>
      <c r="AJ99" s="284" t="n"/>
      <c r="AK99" s="36" t="n"/>
      <c r="AL99" s="284" t="n"/>
      <c r="AM99" s="54" t="n"/>
      <c r="AN99" s="284" t="n"/>
      <c r="AO99" s="36" t="n"/>
      <c r="AP99" s="284" t="n"/>
      <c r="AQ99" s="38" t="n"/>
      <c r="AR99" s="284" t="n"/>
      <c r="AS99" s="36" t="n"/>
      <c r="AT99" s="284" t="n"/>
      <c r="AU99" s="38" t="n"/>
      <c r="AV99" s="284" t="n"/>
      <c r="AW99" s="36" t="n"/>
      <c r="AX99" s="284" t="n"/>
      <c r="AY99" s="38" t="n"/>
      <c r="AZ99" s="284" t="n"/>
      <c r="BA99" s="36" t="n"/>
      <c r="BB99" s="284" t="n"/>
      <c r="BC99" s="92" t="n"/>
      <c r="BD99" s="284" t="n"/>
      <c r="BE99" s="36" t="n"/>
      <c r="BF99" s="284" t="n"/>
      <c r="BG99" s="54" t="n"/>
      <c r="BH99" s="284" t="n"/>
      <c r="BI99" s="338" t="n"/>
      <c r="BJ99" s="339" t="n"/>
      <c r="BK99" s="340" t="n"/>
      <c r="BL99" s="341" t="n"/>
      <c r="BM99" s="342" t="n"/>
      <c r="BN99" s="343" t="n"/>
      <c r="BO99" s="36" t="n"/>
      <c r="BP99" s="47" t="n"/>
      <c r="BQ99" s="284" t="n"/>
      <c r="BR99" s="38" t="n"/>
      <c r="BS99" s="284" t="n"/>
      <c r="BT99" s="36" t="n"/>
      <c r="BU99" s="47" t="n"/>
      <c r="BV99" s="284" t="n"/>
      <c r="BW99" s="38" t="n"/>
      <c r="BX99" s="284" t="n"/>
      <c r="BY99" s="36" t="n"/>
      <c r="BZ99" s="47" t="n"/>
      <c r="CA99" s="284" t="n"/>
      <c r="CB99" s="38" t="n"/>
      <c r="CC99" s="284" t="n"/>
      <c r="CD99" s="36" t="n"/>
      <c r="CE99" s="47" t="n"/>
      <c r="CF99" s="284" t="n"/>
      <c r="CG99" s="38" t="n"/>
      <c r="CH99" s="284" t="n"/>
      <c r="CI99" s="36" t="n"/>
      <c r="CJ99" s="47" t="n"/>
      <c r="CK99" s="284" t="n"/>
      <c r="CL99" s="38" t="n">
        <v>0</v>
      </c>
      <c r="CM99" s="284" t="n"/>
      <c r="CN99" s="36" t="n"/>
      <c r="CO99" s="47" t="n"/>
      <c r="CP99" s="284" t="n"/>
      <c r="CQ99" s="38" t="n">
        <v>0</v>
      </c>
      <c r="CR99" s="284" t="n"/>
      <c r="CS99" s="36" t="n"/>
      <c r="CT99" s="47" t="n"/>
      <c r="CU99" s="284" t="n"/>
      <c r="CV99" s="38" t="n">
        <v>0</v>
      </c>
      <c r="CW99" s="284" t="n"/>
      <c r="CX99" s="36" t="n"/>
      <c r="CY99" s="47" t="n"/>
      <c r="CZ99" s="284" t="n"/>
      <c r="DA99" s="38" t="n">
        <v>0</v>
      </c>
      <c r="DB99" s="284" t="n"/>
      <c r="DC99" s="36" t="n"/>
      <c r="DD99" s="47" t="n"/>
      <c r="DE99" s="284" t="n"/>
      <c r="DF99" s="38" t="n">
        <v>0</v>
      </c>
      <c r="DG99" s="284" t="n"/>
      <c r="DH99" s="36" t="n"/>
      <c r="DI99" s="47" t="n"/>
      <c r="DJ99" s="284" t="n"/>
      <c r="DK99" s="38" t="n">
        <v>0</v>
      </c>
      <c r="DL99" s="284" t="n"/>
      <c r="DM99" s="36" t="n"/>
      <c r="DN99" s="47" t="n"/>
      <c r="DO99" s="284" t="n"/>
      <c r="DP99" s="38" t="n">
        <v>0</v>
      </c>
      <c r="DQ99" s="284" t="n"/>
      <c r="DR99" s="36" t="n"/>
      <c r="DS99" s="47" t="n"/>
      <c r="DT99" s="284" t="n"/>
      <c r="DU99" s="38" t="n"/>
      <c r="DV99" s="284" t="n"/>
      <c r="DW99" s="338">
        <f t="array" ref="DW99">SUMPRODUCT(--(MOD(COLUMN($BO99:$DV99),5)=MOD(COLUMN($BO99),5)),$BO99:$DV99)</f>
        <v/>
      </c>
      <c r="DX99" s="339">
        <f>DW99*$J99</f>
        <v/>
      </c>
      <c r="DY99" s="344">
        <f t="array" ref="DY99">SUMPRODUCT(--(MOD(COLUMN($BO99:$DV99),5)=MOD(COLUMN($BP99),5)),$BO99:$DV99)</f>
        <v/>
      </c>
      <c r="DZ99" s="345">
        <f>DY99*$J99</f>
        <v/>
      </c>
      <c r="EA99" s="340">
        <f t="array" ref="EA99">SUMPRODUCT(--(MOD(COLUMN($BO99:$DV99),5)=MOD(COLUMN($BQ99),5)),$BO99:$DV99)</f>
        <v/>
      </c>
      <c r="EB99" s="341">
        <f>EA99*$J99</f>
        <v/>
      </c>
      <c r="EC99" s="342">
        <f t="array" ref="EC99">SUMPRODUCT(--(MOD(COLUMN($BO99:$DV99),5)=MOD(COLUMN($BR99),5)),$BO99:$DV99)</f>
        <v/>
      </c>
      <c r="ED99" s="343">
        <f>EC99*$J99</f>
        <v/>
      </c>
      <c r="EE99" s="36" t="n">
        <v>0</v>
      </c>
      <c r="EF99" s="284" t="n">
        <v>0</v>
      </c>
      <c r="EG99" s="38" t="n">
        <v>0</v>
      </c>
      <c r="EH99" s="284" t="n"/>
      <c r="EI99" s="36" t="n">
        <v>0</v>
      </c>
      <c r="EJ99" s="284" t="n">
        <v>0</v>
      </c>
      <c r="EK99" s="38" t="n">
        <v>0</v>
      </c>
      <c r="EL99" s="284" t="n"/>
      <c r="EM99" s="36" t="n"/>
      <c r="EN99" s="284" t="n"/>
      <c r="EO99" s="38" t="n">
        <v>0</v>
      </c>
      <c r="EP99" s="284" t="n"/>
      <c r="EQ99" s="36">
        <f>$KN99*5</f>
        <v/>
      </c>
      <c r="ER99" s="39" t="n">
        <v>0</v>
      </c>
      <c r="ES99" s="38" t="n">
        <v>0</v>
      </c>
      <c r="ET99" s="284" t="n"/>
      <c r="EU99" s="36">
        <f>$KN99*5</f>
        <v/>
      </c>
      <c r="EV99" s="155" t="n">
        <v>0</v>
      </c>
      <c r="EW99" s="38" t="n">
        <v>0</v>
      </c>
      <c r="EX99" s="284" t="n"/>
      <c r="EY99" s="36">
        <f>$KN99*5</f>
        <v/>
      </c>
      <c r="EZ99" s="155" t="n">
        <v>0</v>
      </c>
      <c r="FA99" s="38" t="n">
        <v>0</v>
      </c>
      <c r="FB99" s="284" t="n"/>
      <c r="FC99" s="36">
        <f>$KN99*10</f>
        <v/>
      </c>
      <c r="FD99" s="284" t="n">
        <v>5</v>
      </c>
      <c r="FE99" s="38" t="n">
        <v>0</v>
      </c>
      <c r="FF99" s="284" t="n"/>
      <c r="FG99" s="36">
        <f>$KN99*10</f>
        <v/>
      </c>
      <c r="FH99" s="284" t="n">
        <v>5</v>
      </c>
      <c r="FI99" s="38" t="n">
        <v>0</v>
      </c>
      <c r="FJ99" s="284" t="n"/>
      <c r="FK99" s="36">
        <f>$KN99*10</f>
        <v/>
      </c>
      <c r="FL99" s="284" t="n">
        <v>10</v>
      </c>
      <c r="FM99" s="38" t="n">
        <v>0</v>
      </c>
      <c r="FN99" s="284" t="n"/>
      <c r="FO99" s="36">
        <f>$KN99*10</f>
        <v/>
      </c>
      <c r="FP99" s="284" t="n">
        <v>10</v>
      </c>
      <c r="FQ99" s="38" t="n">
        <v>0</v>
      </c>
      <c r="FR99" s="284" t="n"/>
      <c r="FS99" s="36">
        <f>$KN99*10</f>
        <v/>
      </c>
      <c r="FT99" s="284" t="n">
        <v>10</v>
      </c>
      <c r="FU99" s="38" t="n">
        <v>0</v>
      </c>
      <c r="FV99" s="284" t="n"/>
      <c r="FW99" s="36">
        <f>$KN99*10</f>
        <v/>
      </c>
      <c r="FX99" s="284" t="n">
        <v>10</v>
      </c>
      <c r="FY99" s="38" t="n">
        <v>0</v>
      </c>
      <c r="FZ99" s="284" t="n"/>
      <c r="GA99" s="338">
        <f t="array" ref="GA99">SUMPRODUCT(--(MOD(COLUMN($EE99:$FZ99),4)=MOD(COLUMN($EE99),4)),$EE99:$FZ99)</f>
        <v/>
      </c>
      <c r="GB99" s="339">
        <f>GA99*$J99</f>
        <v/>
      </c>
      <c r="GC99" s="340">
        <f t="array" ref="GC99">SUMPRODUCT(--(MOD(COLUMN($EE99:$FZ99),4)=MOD(COLUMN($EF99),4)),$EE99:$FZ99)</f>
        <v/>
      </c>
      <c r="GD99" s="341">
        <f>GC99*$J99</f>
        <v/>
      </c>
      <c r="GE99" s="342">
        <f t="array" ref="GE99">SUMPRODUCT(--(MOD(COLUMN($EE99:$FZ99),4)=MOD(COLUMN($EG99),4)),$EE99:$FZ99)</f>
        <v/>
      </c>
      <c r="GF99" s="343">
        <f>GE99*$J99</f>
        <v/>
      </c>
      <c r="GG99" s="36">
        <f>$KN99*10</f>
        <v/>
      </c>
      <c r="GH99" s="284" t="n"/>
      <c r="GI99" s="38" t="n">
        <v>0</v>
      </c>
      <c r="GJ99" s="284" t="n"/>
      <c r="GK99" s="36">
        <f>$KN99*10</f>
        <v/>
      </c>
      <c r="GL99" s="284" t="n"/>
      <c r="GM99" s="38" t="n">
        <v>0</v>
      </c>
      <c r="GN99" s="284" t="n"/>
      <c r="GO99" s="36">
        <f>$KN99*15</f>
        <v/>
      </c>
      <c r="GP99" s="284" t="n"/>
      <c r="GQ99" s="38" t="n">
        <v>0</v>
      </c>
      <c r="GR99" s="284" t="n"/>
      <c r="GS99" s="36">
        <f>$KN99*20</f>
        <v/>
      </c>
      <c r="GT99" s="284" t="n"/>
      <c r="GU99" s="38" t="n">
        <v>0</v>
      </c>
      <c r="GV99" s="284" t="n"/>
      <c r="GW99" s="36">
        <f>$KN99*20</f>
        <v/>
      </c>
      <c r="GX99" s="284" t="n"/>
      <c r="GY99" s="38" t="n">
        <v>0</v>
      </c>
      <c r="GZ99" s="284" t="n"/>
      <c r="HA99" s="36">
        <f>$KN99*20</f>
        <v/>
      </c>
      <c r="HB99" s="284" t="n"/>
      <c r="HC99" s="38" t="n">
        <v>0</v>
      </c>
      <c r="HD99" s="284" t="n"/>
      <c r="HE99" s="36">
        <f>$KN99*20</f>
        <v/>
      </c>
      <c r="HF99" s="284" t="n"/>
      <c r="HG99" s="38" t="n">
        <v>0</v>
      </c>
      <c r="HH99" s="284" t="n"/>
      <c r="HI99" s="36">
        <f>$KN99*20</f>
        <v/>
      </c>
      <c r="HJ99" s="284" t="n"/>
      <c r="HK99" s="38" t="n">
        <v>0</v>
      </c>
      <c r="HL99" s="284" t="n"/>
      <c r="HM99" s="36">
        <f>$KN99*20</f>
        <v/>
      </c>
      <c r="HN99" s="284" t="n"/>
      <c r="HO99" s="38" t="n">
        <v>0</v>
      </c>
      <c r="HP99" s="284" t="n"/>
      <c r="HQ99" s="36">
        <f>$KN99*20</f>
        <v/>
      </c>
      <c r="HR99" s="284" t="n"/>
      <c r="HS99" s="38" t="n">
        <v>0</v>
      </c>
      <c r="HT99" s="284" t="n"/>
      <c r="HU99" s="36">
        <f>$KN99*20</f>
        <v/>
      </c>
      <c r="HV99" s="284" t="n"/>
      <c r="HW99" s="38" t="n">
        <v>0</v>
      </c>
      <c r="HX99" s="284" t="n"/>
      <c r="HY99" s="36">
        <f>$KN99*20</f>
        <v/>
      </c>
      <c r="HZ99" s="284" t="n"/>
      <c r="IA99" s="38" t="n">
        <v>0</v>
      </c>
      <c r="IB99" s="284" t="n"/>
      <c r="IC99" s="338">
        <f t="array" ref="IC99">SUMPRODUCT(--(MOD(COLUMN($GG99:$IB99),4)=MOD(COLUMN($GG99),4)),$GG99:$IB99)</f>
        <v/>
      </c>
      <c r="ID99" s="339">
        <f>IC99*$J99</f>
        <v/>
      </c>
      <c r="IE99" s="340">
        <f t="array" ref="IE99">SUMPRODUCT(--(MOD(COLUMN($GG99:$IB99),4)=MOD(COLUMN($GH99),4)),$GG99:$IB99)</f>
        <v/>
      </c>
      <c r="IF99" s="341">
        <f>IE99*$J99</f>
        <v/>
      </c>
      <c r="IG99" s="342">
        <f t="array" ref="IG99">SUMPRODUCT(--(MOD(COLUMN($GG99:$IB99),4)=MOD(COLUMN($GI99),4)),$GG99:$IB99)</f>
        <v/>
      </c>
      <c r="IH99" s="343">
        <f>IG99*$J99</f>
        <v/>
      </c>
      <c r="II99" s="36">
        <f>$KN99*10</f>
        <v/>
      </c>
      <c r="IJ99" s="284" t="n"/>
      <c r="IK99" s="38" t="n">
        <v>0</v>
      </c>
      <c r="IL99" s="284" t="n"/>
      <c r="IM99" s="36">
        <f>$KN99*10</f>
        <v/>
      </c>
      <c r="IN99" s="284" t="n"/>
      <c r="IO99" s="38" t="n">
        <v>0</v>
      </c>
      <c r="IP99" s="284" t="n"/>
      <c r="IQ99" s="36">
        <f>$KN99*15</f>
        <v/>
      </c>
      <c r="IR99" s="284" t="n"/>
      <c r="IS99" s="38" t="n">
        <v>0</v>
      </c>
      <c r="IT99" s="284" t="n"/>
      <c r="IU99" s="36">
        <f>$KN99*20</f>
        <v/>
      </c>
      <c r="IV99" s="284" t="n"/>
      <c r="IW99" s="38" t="n">
        <v>0</v>
      </c>
      <c r="IX99" s="284" t="n"/>
      <c r="IY99" s="36">
        <f>$KN99*20</f>
        <v/>
      </c>
      <c r="IZ99" s="284" t="n"/>
      <c r="JA99" s="38" t="n">
        <v>0</v>
      </c>
      <c r="JB99" s="284" t="n"/>
      <c r="JC99" s="36">
        <f>$KN99*20</f>
        <v/>
      </c>
      <c r="JD99" s="284" t="n"/>
      <c r="JE99" s="38" t="n">
        <v>0</v>
      </c>
      <c r="JF99" s="284" t="n"/>
      <c r="JG99" s="36">
        <f>$KN99*20</f>
        <v/>
      </c>
      <c r="JH99" s="284" t="n"/>
      <c r="JI99" s="38" t="n">
        <v>0</v>
      </c>
      <c r="JJ99" s="284" t="n"/>
      <c r="JK99" s="36">
        <f>$KN99*20</f>
        <v/>
      </c>
      <c r="JL99" s="284" t="n"/>
      <c r="JM99" s="38" t="n">
        <v>0</v>
      </c>
      <c r="JN99" s="284" t="n"/>
      <c r="JO99" s="36">
        <f>$KN99*20</f>
        <v/>
      </c>
      <c r="JP99" s="284" t="n"/>
      <c r="JQ99" s="38" t="n">
        <v>0</v>
      </c>
      <c r="JR99" s="284" t="n"/>
      <c r="JS99" s="36">
        <f>$KN99*20</f>
        <v/>
      </c>
      <c r="JT99" s="284" t="n"/>
      <c r="JU99" s="38" t="n">
        <v>0</v>
      </c>
      <c r="JV99" s="284" t="n"/>
      <c r="JW99" s="36">
        <f>$KN99*20</f>
        <v/>
      </c>
      <c r="JX99" s="284" t="n"/>
      <c r="JY99" s="38" t="n">
        <v>0</v>
      </c>
      <c r="JZ99" s="284" t="n"/>
      <c r="KA99" s="36">
        <f>$KN99*20</f>
        <v/>
      </c>
      <c r="KB99" s="284" t="n"/>
      <c r="KC99" s="38" t="n">
        <v>0</v>
      </c>
      <c r="KD99" s="284" t="n"/>
      <c r="KE99" s="338">
        <f t="array" ref="KE99">SUMPRODUCT(--(MOD(COLUMN($II99:$KD99),4)=MOD(COLUMN($II99),4)),$II99:$KD99)</f>
        <v/>
      </c>
      <c r="KF99" s="339">
        <f>KE99*$J99</f>
        <v/>
      </c>
      <c r="KG99" s="340">
        <f t="array" ref="KG99">SUMPRODUCT(--(MOD(COLUMN($II99:$KD99),4)=MOD(COLUMN($IJ99),4)),$II99:$KD99)</f>
        <v/>
      </c>
      <c r="KH99" s="341">
        <f>KG99*$J99</f>
        <v/>
      </c>
      <c r="KI99" s="342">
        <f t="array" ref="KI99">SUMPRODUCT(--(MOD(COLUMN($II99:$KD99),4)=MOD(COLUMN($IK99),4)),$II99:$KD99)</f>
        <v/>
      </c>
      <c r="KJ99" s="346">
        <f>KI99*$J99</f>
        <v/>
      </c>
      <c r="KK99" s="80" t="n"/>
      <c r="KL99" s="80" t="n"/>
      <c r="KM99" s="80" t="n"/>
      <c r="KN99" s="51" t="n">
        <v>1</v>
      </c>
      <c r="KO99" s="347" t="n"/>
    </row>
    <row r="100" outlineLevel="1" customFormat="1" s="68">
      <c r="A100" s="347" t="n"/>
      <c r="B100" s="347" t="n"/>
      <c r="C100" s="347" t="n"/>
      <c r="D100" s="347" t="n"/>
      <c r="E100" s="61" t="n">
        <v>5</v>
      </c>
      <c r="F100" s="60" t="n">
        <v>1</v>
      </c>
      <c r="G100" s="56" t="n">
        <v>4492731200</v>
      </c>
      <c r="H100" s="57" t="inlineStr">
        <is>
          <t>Кабель питания, 12 м</t>
        </is>
      </c>
      <c r="I100" s="348">
        <f>842.2/1.2/0.98</f>
        <v/>
      </c>
      <c r="J100" s="348">
        <f>842.2/1.2*1.0863</f>
        <v/>
      </c>
      <c r="K100" s="348" t="n"/>
      <c r="L100" s="348" t="n"/>
      <c r="M100" s="36" t="n"/>
      <c r="N100" s="284" t="n"/>
      <c r="O100" s="38" t="n"/>
      <c r="P100" s="284" t="n"/>
      <c r="Q100" s="36" t="n"/>
      <c r="R100" s="284" t="n"/>
      <c r="S100" s="38" t="n"/>
      <c r="T100" s="284" t="n"/>
      <c r="U100" s="36" t="n"/>
      <c r="V100" s="39" t="n"/>
      <c r="W100" s="38" t="n"/>
      <c r="X100" s="284" t="n"/>
      <c r="Y100" s="36" t="n"/>
      <c r="Z100" s="284" t="n"/>
      <c r="AA100" s="38" t="n"/>
      <c r="AB100" s="245" t="n"/>
      <c r="AC100" s="36" t="n"/>
      <c r="AD100" s="284" t="n"/>
      <c r="AE100" s="38" t="n"/>
      <c r="AF100" s="284" t="n"/>
      <c r="AG100" s="36" t="n"/>
      <c r="AH100" s="284" t="n"/>
      <c r="AI100" s="38" t="n"/>
      <c r="AJ100" s="284" t="n"/>
      <c r="AK100" s="36" t="n"/>
      <c r="AL100" s="284" t="n"/>
      <c r="AM100" s="54" t="n"/>
      <c r="AN100" s="284" t="n"/>
      <c r="AO100" s="36" t="n"/>
      <c r="AP100" s="284" t="n"/>
      <c r="AQ100" s="38" t="n"/>
      <c r="AR100" s="284" t="n"/>
      <c r="AS100" s="36" t="n"/>
      <c r="AT100" s="284" t="n"/>
      <c r="AU100" s="38" t="n"/>
      <c r="AV100" s="284" t="n"/>
      <c r="AW100" s="36" t="n"/>
      <c r="AX100" s="284" t="n"/>
      <c r="AY100" s="38" t="n"/>
      <c r="AZ100" s="284" t="n"/>
      <c r="BA100" s="36" t="n"/>
      <c r="BB100" s="284" t="n"/>
      <c r="BC100" s="92" t="n"/>
      <c r="BD100" s="284" t="n"/>
      <c r="BE100" s="36" t="n"/>
      <c r="BF100" s="284" t="n"/>
      <c r="BG100" s="54" t="n"/>
      <c r="BH100" s="284" t="n"/>
      <c r="BI100" s="338" t="n"/>
      <c r="BJ100" s="339" t="n"/>
      <c r="BK100" s="340" t="n"/>
      <c r="BL100" s="341" t="n"/>
      <c r="BM100" s="342" t="n"/>
      <c r="BN100" s="343" t="n"/>
      <c r="BO100" s="36" t="n"/>
      <c r="BP100" s="47" t="n"/>
      <c r="BQ100" s="284" t="n"/>
      <c r="BR100" s="38" t="n"/>
      <c r="BS100" s="284" t="n"/>
      <c r="BT100" s="36" t="n"/>
      <c r="BU100" s="47" t="n"/>
      <c r="BV100" s="284" t="n"/>
      <c r="BW100" s="38" t="n"/>
      <c r="BX100" s="284" t="n"/>
      <c r="BY100" s="36" t="n"/>
      <c r="BZ100" s="47" t="n"/>
      <c r="CA100" s="284" t="n"/>
      <c r="CB100" s="38" t="n"/>
      <c r="CC100" s="284" t="n"/>
      <c r="CD100" s="36" t="n"/>
      <c r="CE100" s="47" t="n"/>
      <c r="CF100" s="284" t="n"/>
      <c r="CG100" s="38" t="n"/>
      <c r="CH100" s="284" t="n"/>
      <c r="CI100" s="36" t="n"/>
      <c r="CJ100" s="47" t="n"/>
      <c r="CK100" s="284" t="n"/>
      <c r="CL100" s="38" t="n">
        <v>0</v>
      </c>
      <c r="CM100" s="284" t="n"/>
      <c r="CN100" s="36" t="n"/>
      <c r="CO100" s="47" t="n"/>
      <c r="CP100" s="284" t="n"/>
      <c r="CQ100" s="38" t="n">
        <v>0</v>
      </c>
      <c r="CR100" s="284" t="n"/>
      <c r="CS100" s="36" t="n"/>
      <c r="CT100" s="47" t="n"/>
      <c r="CU100" s="284" t="n"/>
      <c r="CV100" s="38" t="n">
        <v>0</v>
      </c>
      <c r="CW100" s="284" t="n"/>
      <c r="CX100" s="36" t="n"/>
      <c r="CY100" s="47" t="n"/>
      <c r="CZ100" s="284" t="n"/>
      <c r="DA100" s="38" t="n">
        <v>0</v>
      </c>
      <c r="DB100" s="284" t="n"/>
      <c r="DC100" s="36" t="n"/>
      <c r="DD100" s="47" t="n"/>
      <c r="DE100" s="284" t="n"/>
      <c r="DF100" s="38" t="n">
        <v>0</v>
      </c>
      <c r="DG100" s="284" t="n"/>
      <c r="DH100" s="36" t="n"/>
      <c r="DI100" s="47" t="n"/>
      <c r="DJ100" s="284" t="n"/>
      <c r="DK100" s="38" t="n">
        <v>0</v>
      </c>
      <c r="DL100" s="284" t="n"/>
      <c r="DM100" s="36" t="n"/>
      <c r="DN100" s="47" t="n"/>
      <c r="DO100" s="284" t="n"/>
      <c r="DP100" s="38" t="n">
        <v>0</v>
      </c>
      <c r="DQ100" s="284" t="n"/>
      <c r="DR100" s="36" t="n"/>
      <c r="DS100" s="47" t="n"/>
      <c r="DT100" s="284" t="n"/>
      <c r="DU100" s="38" t="n"/>
      <c r="DV100" s="284" t="n"/>
      <c r="DW100" s="338">
        <f t="array" ref="DW100">SUMPRODUCT(--(MOD(COLUMN($BO100:$DV100),5)=MOD(COLUMN($BO100),5)),$BO100:$DV100)</f>
        <v/>
      </c>
      <c r="DX100" s="339">
        <f>DW100*$J100</f>
        <v/>
      </c>
      <c r="DY100" s="344">
        <f t="array" ref="DY100">SUMPRODUCT(--(MOD(COLUMN($BO100:$DV100),5)=MOD(COLUMN($BP100),5)),$BO100:$DV100)</f>
        <v/>
      </c>
      <c r="DZ100" s="345">
        <f>DY100*$J100</f>
        <v/>
      </c>
      <c r="EA100" s="340">
        <f t="array" ref="EA100">SUMPRODUCT(--(MOD(COLUMN($BO100:$DV100),5)=MOD(COLUMN($BQ100),5)),$BO100:$DV100)</f>
        <v/>
      </c>
      <c r="EB100" s="341">
        <f>EA100*$J100</f>
        <v/>
      </c>
      <c r="EC100" s="342">
        <f t="array" ref="EC100">SUMPRODUCT(--(MOD(COLUMN($BO100:$DV100),5)=MOD(COLUMN($BR100),5)),$BO100:$DV100)</f>
        <v/>
      </c>
      <c r="ED100" s="343">
        <f>EC100*$J100</f>
        <v/>
      </c>
      <c r="EE100" s="36" t="n">
        <v>0</v>
      </c>
      <c r="EF100" s="284" t="n">
        <v>0</v>
      </c>
      <c r="EG100" s="38" t="n">
        <v>0</v>
      </c>
      <c r="EH100" s="284" t="n"/>
      <c r="EI100" s="36" t="n">
        <v>0</v>
      </c>
      <c r="EJ100" s="284" t="n">
        <v>0</v>
      </c>
      <c r="EK100" s="38" t="n">
        <v>0</v>
      </c>
      <c r="EL100" s="284" t="n"/>
      <c r="EM100" s="36" t="n"/>
      <c r="EN100" s="284" t="n"/>
      <c r="EO100" s="38" t="n">
        <v>0</v>
      </c>
      <c r="EP100" s="284" t="n"/>
      <c r="EQ100" s="36">
        <f>$KN100*5</f>
        <v/>
      </c>
      <c r="ER100" s="39" t="n">
        <v>0</v>
      </c>
      <c r="ES100" s="38" t="n">
        <v>0</v>
      </c>
      <c r="ET100" s="284" t="n"/>
      <c r="EU100" s="36">
        <f>$KN100*5</f>
        <v/>
      </c>
      <c r="EV100" s="155" t="n">
        <v>0</v>
      </c>
      <c r="EW100" s="38" t="n">
        <v>0</v>
      </c>
      <c r="EX100" s="284" t="n"/>
      <c r="EY100" s="36">
        <f>$KN100*5</f>
        <v/>
      </c>
      <c r="EZ100" s="155" t="n">
        <v>0</v>
      </c>
      <c r="FA100" s="38" t="n">
        <v>0</v>
      </c>
      <c r="FB100" s="284" t="n"/>
      <c r="FC100" s="36">
        <f>$KN100*10</f>
        <v/>
      </c>
      <c r="FD100" s="284" t="n">
        <v>5</v>
      </c>
      <c r="FE100" s="38" t="n">
        <v>0</v>
      </c>
      <c r="FF100" s="284" t="n"/>
      <c r="FG100" s="36">
        <f>$KN100*10</f>
        <v/>
      </c>
      <c r="FH100" s="284" t="n">
        <v>5</v>
      </c>
      <c r="FI100" s="38" t="n">
        <v>0</v>
      </c>
      <c r="FJ100" s="284" t="n"/>
      <c r="FK100" s="36">
        <f>$KN100*10</f>
        <v/>
      </c>
      <c r="FL100" s="284" t="n">
        <v>10</v>
      </c>
      <c r="FM100" s="38" t="n">
        <v>0</v>
      </c>
      <c r="FN100" s="284" t="n"/>
      <c r="FO100" s="36">
        <f>$KN100*10</f>
        <v/>
      </c>
      <c r="FP100" s="284" t="n">
        <v>10</v>
      </c>
      <c r="FQ100" s="38" t="n">
        <v>0</v>
      </c>
      <c r="FR100" s="284" t="n"/>
      <c r="FS100" s="36">
        <f>$KN100*10</f>
        <v/>
      </c>
      <c r="FT100" s="284" t="n">
        <v>10</v>
      </c>
      <c r="FU100" s="38" t="n">
        <v>0</v>
      </c>
      <c r="FV100" s="284" t="n"/>
      <c r="FW100" s="36">
        <f>$KN100*10</f>
        <v/>
      </c>
      <c r="FX100" s="284" t="n">
        <v>10</v>
      </c>
      <c r="FY100" s="38" t="n">
        <v>0</v>
      </c>
      <c r="FZ100" s="284" t="n"/>
      <c r="GA100" s="338">
        <f t="array" ref="GA100">SUMPRODUCT(--(MOD(COLUMN($EE100:$FZ100),4)=MOD(COLUMN($EE100),4)),$EE100:$FZ100)</f>
        <v/>
      </c>
      <c r="GB100" s="339">
        <f>GA100*$J100</f>
        <v/>
      </c>
      <c r="GC100" s="340">
        <f t="array" ref="GC100">SUMPRODUCT(--(MOD(COLUMN($EE100:$FZ100),4)=MOD(COLUMN($EF100),4)),$EE100:$FZ100)</f>
        <v/>
      </c>
      <c r="GD100" s="341">
        <f>GC100*$J100</f>
        <v/>
      </c>
      <c r="GE100" s="342">
        <f t="array" ref="GE100">SUMPRODUCT(--(MOD(COLUMN($EE100:$FZ100),4)=MOD(COLUMN($EG100),4)),$EE100:$FZ100)</f>
        <v/>
      </c>
      <c r="GF100" s="343">
        <f>GE100*$J100</f>
        <v/>
      </c>
      <c r="GG100" s="36">
        <f>$KN100*10</f>
        <v/>
      </c>
      <c r="GH100" s="284" t="n"/>
      <c r="GI100" s="38" t="n">
        <v>0</v>
      </c>
      <c r="GJ100" s="284" t="n"/>
      <c r="GK100" s="36">
        <f>$KN100*10</f>
        <v/>
      </c>
      <c r="GL100" s="284" t="n"/>
      <c r="GM100" s="38" t="n">
        <v>0</v>
      </c>
      <c r="GN100" s="284" t="n"/>
      <c r="GO100" s="36">
        <f>$KN100*15</f>
        <v/>
      </c>
      <c r="GP100" s="284" t="n"/>
      <c r="GQ100" s="38" t="n">
        <v>0</v>
      </c>
      <c r="GR100" s="284" t="n"/>
      <c r="GS100" s="36">
        <f>$KN100*20</f>
        <v/>
      </c>
      <c r="GT100" s="284" t="n"/>
      <c r="GU100" s="38" t="n">
        <v>0</v>
      </c>
      <c r="GV100" s="284" t="n"/>
      <c r="GW100" s="36">
        <f>$KN100*20</f>
        <v/>
      </c>
      <c r="GX100" s="284" t="n"/>
      <c r="GY100" s="38" t="n">
        <v>0</v>
      </c>
      <c r="GZ100" s="284" t="n"/>
      <c r="HA100" s="36">
        <f>$KN100*20</f>
        <v/>
      </c>
      <c r="HB100" s="284" t="n"/>
      <c r="HC100" s="38" t="n">
        <v>0</v>
      </c>
      <c r="HD100" s="284" t="n"/>
      <c r="HE100" s="36">
        <f>$KN100*20</f>
        <v/>
      </c>
      <c r="HF100" s="284" t="n"/>
      <c r="HG100" s="38" t="n">
        <v>0</v>
      </c>
      <c r="HH100" s="284" t="n"/>
      <c r="HI100" s="36">
        <f>$KN100*20</f>
        <v/>
      </c>
      <c r="HJ100" s="284" t="n"/>
      <c r="HK100" s="38" t="n">
        <v>0</v>
      </c>
      <c r="HL100" s="284" t="n"/>
      <c r="HM100" s="36">
        <f>$KN100*20</f>
        <v/>
      </c>
      <c r="HN100" s="284" t="n"/>
      <c r="HO100" s="38" t="n">
        <v>0</v>
      </c>
      <c r="HP100" s="284" t="n"/>
      <c r="HQ100" s="36">
        <f>$KN100*20</f>
        <v/>
      </c>
      <c r="HR100" s="284" t="n"/>
      <c r="HS100" s="38" t="n">
        <v>0</v>
      </c>
      <c r="HT100" s="284" t="n"/>
      <c r="HU100" s="36">
        <f>$KN100*20</f>
        <v/>
      </c>
      <c r="HV100" s="284" t="n"/>
      <c r="HW100" s="38" t="n">
        <v>0</v>
      </c>
      <c r="HX100" s="284" t="n"/>
      <c r="HY100" s="36">
        <f>$KN100*20</f>
        <v/>
      </c>
      <c r="HZ100" s="284" t="n"/>
      <c r="IA100" s="38" t="n">
        <v>0</v>
      </c>
      <c r="IB100" s="284" t="n"/>
      <c r="IC100" s="338">
        <f t="array" ref="IC100">SUMPRODUCT(--(MOD(COLUMN($GG100:$IB100),4)=MOD(COLUMN($GG100),4)),$GG100:$IB100)</f>
        <v/>
      </c>
      <c r="ID100" s="339">
        <f>IC100*$J100</f>
        <v/>
      </c>
      <c r="IE100" s="340">
        <f t="array" ref="IE100">SUMPRODUCT(--(MOD(COLUMN($GG100:$IB100),4)=MOD(COLUMN($GH100),4)),$GG100:$IB100)</f>
        <v/>
      </c>
      <c r="IF100" s="341">
        <f>IE100*$J100</f>
        <v/>
      </c>
      <c r="IG100" s="342">
        <f t="array" ref="IG100">SUMPRODUCT(--(MOD(COLUMN($GG100:$IB100),4)=MOD(COLUMN($GI100),4)),$GG100:$IB100)</f>
        <v/>
      </c>
      <c r="IH100" s="343">
        <f>IG100*$J100</f>
        <v/>
      </c>
      <c r="II100" s="36">
        <f>$KN100*10</f>
        <v/>
      </c>
      <c r="IJ100" s="284" t="n"/>
      <c r="IK100" s="38" t="n">
        <v>0</v>
      </c>
      <c r="IL100" s="284" t="n"/>
      <c r="IM100" s="36">
        <f>$KN100*10</f>
        <v/>
      </c>
      <c r="IN100" s="284" t="n"/>
      <c r="IO100" s="38" t="n">
        <v>0</v>
      </c>
      <c r="IP100" s="284" t="n"/>
      <c r="IQ100" s="36">
        <f>$KN100*15</f>
        <v/>
      </c>
      <c r="IR100" s="284" t="n"/>
      <c r="IS100" s="38" t="n">
        <v>0</v>
      </c>
      <c r="IT100" s="284" t="n"/>
      <c r="IU100" s="36">
        <f>$KN100*20</f>
        <v/>
      </c>
      <c r="IV100" s="284" t="n"/>
      <c r="IW100" s="38" t="n">
        <v>0</v>
      </c>
      <c r="IX100" s="284" t="n"/>
      <c r="IY100" s="36">
        <f>$KN100*20</f>
        <v/>
      </c>
      <c r="IZ100" s="284" t="n"/>
      <c r="JA100" s="38" t="n">
        <v>0</v>
      </c>
      <c r="JB100" s="284" t="n"/>
      <c r="JC100" s="36">
        <f>$KN100*20</f>
        <v/>
      </c>
      <c r="JD100" s="284" t="n"/>
      <c r="JE100" s="38" t="n">
        <v>0</v>
      </c>
      <c r="JF100" s="284" t="n"/>
      <c r="JG100" s="36">
        <f>$KN100*20</f>
        <v/>
      </c>
      <c r="JH100" s="284" t="n"/>
      <c r="JI100" s="38" t="n">
        <v>0</v>
      </c>
      <c r="JJ100" s="284" t="n"/>
      <c r="JK100" s="36">
        <f>$KN100*20</f>
        <v/>
      </c>
      <c r="JL100" s="284" t="n"/>
      <c r="JM100" s="38" t="n">
        <v>0</v>
      </c>
      <c r="JN100" s="284" t="n"/>
      <c r="JO100" s="36">
        <f>$KN100*20</f>
        <v/>
      </c>
      <c r="JP100" s="284" t="n"/>
      <c r="JQ100" s="38" t="n">
        <v>0</v>
      </c>
      <c r="JR100" s="284" t="n"/>
      <c r="JS100" s="36">
        <f>$KN100*20</f>
        <v/>
      </c>
      <c r="JT100" s="284" t="n"/>
      <c r="JU100" s="38" t="n">
        <v>0</v>
      </c>
      <c r="JV100" s="284" t="n"/>
      <c r="JW100" s="36">
        <f>$KN100*20</f>
        <v/>
      </c>
      <c r="JX100" s="284" t="n"/>
      <c r="JY100" s="38" t="n">
        <v>0</v>
      </c>
      <c r="JZ100" s="284" t="n"/>
      <c r="KA100" s="36">
        <f>$KN100*20</f>
        <v/>
      </c>
      <c r="KB100" s="284" t="n"/>
      <c r="KC100" s="38" t="n">
        <v>0</v>
      </c>
      <c r="KD100" s="284" t="n"/>
      <c r="KE100" s="338">
        <f t="array" ref="KE100">SUMPRODUCT(--(MOD(COLUMN($II100:$KD100),4)=MOD(COLUMN($II100),4)),$II100:$KD100)</f>
        <v/>
      </c>
      <c r="KF100" s="339">
        <f>KE100*$J100</f>
        <v/>
      </c>
      <c r="KG100" s="340">
        <f t="array" ref="KG100">SUMPRODUCT(--(MOD(COLUMN($II100:$KD100),4)=MOD(COLUMN($IJ100),4)),$II100:$KD100)</f>
        <v/>
      </c>
      <c r="KH100" s="341">
        <f>KG100*$J100</f>
        <v/>
      </c>
      <c r="KI100" s="342">
        <f t="array" ref="KI100">SUMPRODUCT(--(MOD(COLUMN($II100:$KD100),4)=MOD(COLUMN($IK100),4)),$II100:$KD100)</f>
        <v/>
      </c>
      <c r="KJ100" s="346">
        <f>KI100*$J100</f>
        <v/>
      </c>
      <c r="KK100" s="80" t="n"/>
      <c r="KL100" s="80" t="n"/>
      <c r="KM100" s="80" t="n"/>
      <c r="KN100" s="51" t="n">
        <v>1</v>
      </c>
      <c r="KO100" s="347" t="n"/>
    </row>
    <row r="101" outlineLevel="1" customFormat="1" s="68">
      <c r="A101" s="347" t="n"/>
      <c r="B101" s="347" t="n"/>
      <c r="C101" s="347" t="n"/>
      <c r="D101" s="347" t="n"/>
      <c r="E101" s="61" t="n">
        <v>6</v>
      </c>
      <c r="F101" s="60" t="n">
        <v>1</v>
      </c>
      <c r="G101" s="56" t="n">
        <v>4497230500</v>
      </c>
      <c r="H101" s="57" t="inlineStr">
        <is>
          <t>Кабель датчика, 5 м</t>
        </is>
      </c>
      <c r="I101" s="348">
        <f>71.7/1.2/0.98</f>
        <v/>
      </c>
      <c r="J101" s="348">
        <f>71.7/1.2*1.0863</f>
        <v/>
      </c>
      <c r="K101" s="348" t="n"/>
      <c r="L101" s="348" t="n"/>
      <c r="M101" s="36" t="n"/>
      <c r="N101" s="284" t="n"/>
      <c r="O101" s="38" t="n"/>
      <c r="P101" s="284" t="n"/>
      <c r="Q101" s="36" t="n"/>
      <c r="R101" s="284" t="n"/>
      <c r="S101" s="38" t="n"/>
      <c r="T101" s="284" t="n"/>
      <c r="U101" s="36" t="n"/>
      <c r="V101" s="39" t="n"/>
      <c r="W101" s="38" t="n"/>
      <c r="X101" s="284" t="n"/>
      <c r="Y101" s="36" t="n"/>
      <c r="Z101" s="284" t="n"/>
      <c r="AA101" s="38" t="n"/>
      <c r="AB101" s="245" t="n"/>
      <c r="AC101" s="36" t="n"/>
      <c r="AD101" s="284" t="n"/>
      <c r="AE101" s="38" t="n"/>
      <c r="AF101" s="284" t="n"/>
      <c r="AG101" s="36" t="n"/>
      <c r="AH101" s="284" t="n"/>
      <c r="AI101" s="38" t="n"/>
      <c r="AJ101" s="284" t="n"/>
      <c r="AK101" s="36" t="n"/>
      <c r="AL101" s="284" t="n"/>
      <c r="AM101" s="54" t="n"/>
      <c r="AN101" s="284" t="n"/>
      <c r="AO101" s="36" t="n"/>
      <c r="AP101" s="284" t="n"/>
      <c r="AQ101" s="38" t="n"/>
      <c r="AR101" s="284" t="n"/>
      <c r="AS101" s="36" t="n"/>
      <c r="AT101" s="284" t="n"/>
      <c r="AU101" s="38" t="n"/>
      <c r="AV101" s="284" t="n"/>
      <c r="AW101" s="36" t="n"/>
      <c r="AX101" s="284" t="n"/>
      <c r="AY101" s="38" t="n"/>
      <c r="AZ101" s="284" t="n"/>
      <c r="BA101" s="36" t="n"/>
      <c r="BB101" s="284" t="n"/>
      <c r="BC101" s="92" t="n"/>
      <c r="BD101" s="284" t="n"/>
      <c r="BE101" s="36" t="n"/>
      <c r="BF101" s="284" t="n"/>
      <c r="BG101" s="54" t="n"/>
      <c r="BH101" s="284" t="n"/>
      <c r="BI101" s="338" t="n"/>
      <c r="BJ101" s="339" t="n"/>
      <c r="BK101" s="340" t="n"/>
      <c r="BL101" s="341" t="n"/>
      <c r="BM101" s="342" t="n"/>
      <c r="BN101" s="343" t="n"/>
      <c r="BO101" s="36" t="n"/>
      <c r="BP101" s="47" t="n"/>
      <c r="BQ101" s="284" t="n"/>
      <c r="BR101" s="38" t="n"/>
      <c r="BS101" s="284" t="n"/>
      <c r="BT101" s="36" t="n"/>
      <c r="BU101" s="47" t="n"/>
      <c r="BV101" s="284" t="n"/>
      <c r="BW101" s="38" t="n"/>
      <c r="BX101" s="284" t="n"/>
      <c r="BY101" s="36" t="n"/>
      <c r="BZ101" s="47" t="n"/>
      <c r="CA101" s="284" t="n"/>
      <c r="CB101" s="38" t="n"/>
      <c r="CC101" s="284" t="n"/>
      <c r="CD101" s="36" t="n"/>
      <c r="CE101" s="47" t="n"/>
      <c r="CF101" s="284" t="n"/>
      <c r="CG101" s="38" t="n"/>
      <c r="CH101" s="284" t="n"/>
      <c r="CI101" s="36" t="n"/>
      <c r="CJ101" s="47" t="n"/>
      <c r="CK101" s="284" t="n"/>
      <c r="CL101" s="38" t="n">
        <v>0</v>
      </c>
      <c r="CM101" s="284" t="n"/>
      <c r="CN101" s="36" t="n"/>
      <c r="CO101" s="47" t="n"/>
      <c r="CP101" s="284" t="n"/>
      <c r="CQ101" s="38" t="n">
        <v>0</v>
      </c>
      <c r="CR101" s="284" t="n"/>
      <c r="CS101" s="36" t="n"/>
      <c r="CT101" s="47" t="n"/>
      <c r="CU101" s="284" t="n"/>
      <c r="CV101" s="38" t="n">
        <v>0</v>
      </c>
      <c r="CW101" s="284" t="n"/>
      <c r="CX101" s="36" t="n"/>
      <c r="CY101" s="47" t="n"/>
      <c r="CZ101" s="284" t="n"/>
      <c r="DA101" s="38" t="n">
        <v>0</v>
      </c>
      <c r="DB101" s="284" t="n"/>
      <c r="DC101" s="36" t="n"/>
      <c r="DD101" s="47" t="n"/>
      <c r="DE101" s="284" t="n"/>
      <c r="DF101" s="38" t="n">
        <v>0</v>
      </c>
      <c r="DG101" s="284" t="n"/>
      <c r="DH101" s="36" t="n"/>
      <c r="DI101" s="47" t="n"/>
      <c r="DJ101" s="284" t="n"/>
      <c r="DK101" s="38" t="n">
        <v>0</v>
      </c>
      <c r="DL101" s="284" t="n"/>
      <c r="DM101" s="36" t="n"/>
      <c r="DN101" s="47" t="n"/>
      <c r="DO101" s="284" t="n"/>
      <c r="DP101" s="38" t="n">
        <v>0</v>
      </c>
      <c r="DQ101" s="284" t="n"/>
      <c r="DR101" s="36" t="n"/>
      <c r="DS101" s="47" t="n"/>
      <c r="DT101" s="284" t="n"/>
      <c r="DU101" s="38" t="n"/>
      <c r="DV101" s="284" t="n"/>
      <c r="DW101" s="338">
        <f t="array" ref="DW101">SUMPRODUCT(--(MOD(COLUMN($BO101:$DV101),5)=MOD(COLUMN($BO101),5)),$BO101:$DV101)</f>
        <v/>
      </c>
      <c r="DX101" s="339">
        <f>DW101*$J101</f>
        <v/>
      </c>
      <c r="DY101" s="344">
        <f t="array" ref="DY101">SUMPRODUCT(--(MOD(COLUMN($BO101:$DV101),5)=MOD(COLUMN($BP101),5)),$BO101:$DV101)</f>
        <v/>
      </c>
      <c r="DZ101" s="345">
        <f>DY101*$J101</f>
        <v/>
      </c>
      <c r="EA101" s="340">
        <f t="array" ref="EA101">SUMPRODUCT(--(MOD(COLUMN($BO101:$DV101),5)=MOD(COLUMN($BQ101),5)),$BO101:$DV101)</f>
        <v/>
      </c>
      <c r="EB101" s="341">
        <f>EA101*$J101</f>
        <v/>
      </c>
      <c r="EC101" s="342">
        <f t="array" ref="EC101">SUMPRODUCT(--(MOD(COLUMN($BO101:$DV101),5)=MOD(COLUMN($BR101),5)),$BO101:$DV101)</f>
        <v/>
      </c>
      <c r="ED101" s="343">
        <f>EC101*$J101</f>
        <v/>
      </c>
      <c r="EE101" s="36" t="n">
        <v>0</v>
      </c>
      <c r="EF101" s="284" t="n">
        <v>0</v>
      </c>
      <c r="EG101" s="38" t="n">
        <v>0</v>
      </c>
      <c r="EH101" s="284" t="n"/>
      <c r="EI101" s="36" t="n">
        <v>0</v>
      </c>
      <c r="EJ101" s="284" t="n">
        <v>0</v>
      </c>
      <c r="EK101" s="38" t="n">
        <v>0</v>
      </c>
      <c r="EL101" s="284" t="n"/>
      <c r="EM101" s="36" t="n"/>
      <c r="EN101" s="284" t="n"/>
      <c r="EO101" s="38" t="n">
        <v>0</v>
      </c>
      <c r="EP101" s="284" t="n"/>
      <c r="EQ101" s="36">
        <f>$KN101*5</f>
        <v/>
      </c>
      <c r="ER101" s="39" t="n">
        <v>0</v>
      </c>
      <c r="ES101" s="38" t="n">
        <v>0</v>
      </c>
      <c r="ET101" s="284" t="n"/>
      <c r="EU101" s="36">
        <f>$KN101*5</f>
        <v/>
      </c>
      <c r="EV101" s="155" t="n">
        <v>0</v>
      </c>
      <c r="EW101" s="38" t="n">
        <v>0</v>
      </c>
      <c r="EX101" s="284" t="n"/>
      <c r="EY101" s="36">
        <f>$KN101*5</f>
        <v/>
      </c>
      <c r="EZ101" s="155" t="n">
        <v>0</v>
      </c>
      <c r="FA101" s="38" t="n">
        <v>0</v>
      </c>
      <c r="FB101" s="284" t="n"/>
      <c r="FC101" s="36">
        <f>$KN101*10</f>
        <v/>
      </c>
      <c r="FD101" s="284" t="n">
        <v>20</v>
      </c>
      <c r="FE101" s="38" t="n">
        <v>0</v>
      </c>
      <c r="FF101" s="284" t="n"/>
      <c r="FG101" s="36">
        <f>$KN101*10</f>
        <v/>
      </c>
      <c r="FH101" s="284" t="n">
        <v>20</v>
      </c>
      <c r="FI101" s="38" t="n">
        <v>0</v>
      </c>
      <c r="FJ101" s="284" t="n"/>
      <c r="FK101" s="36">
        <f>$KN101*10</f>
        <v/>
      </c>
      <c r="FL101" s="284" t="n">
        <v>40</v>
      </c>
      <c r="FM101" s="38" t="n">
        <v>0</v>
      </c>
      <c r="FN101" s="284" t="n"/>
      <c r="FO101" s="36">
        <f>$KN101*10</f>
        <v/>
      </c>
      <c r="FP101" s="284" t="n">
        <v>40</v>
      </c>
      <c r="FQ101" s="38" t="n">
        <v>0</v>
      </c>
      <c r="FR101" s="284" t="n"/>
      <c r="FS101" s="36">
        <f>$KN101*10</f>
        <v/>
      </c>
      <c r="FT101" s="284" t="n">
        <v>40</v>
      </c>
      <c r="FU101" s="38" t="n">
        <v>0</v>
      </c>
      <c r="FV101" s="284" t="n"/>
      <c r="FW101" s="36">
        <f>$KN101*10</f>
        <v/>
      </c>
      <c r="FX101" s="284" t="n">
        <v>40</v>
      </c>
      <c r="FY101" s="38" t="n">
        <v>0</v>
      </c>
      <c r="FZ101" s="284" t="n"/>
      <c r="GA101" s="338">
        <f t="array" ref="GA101">SUMPRODUCT(--(MOD(COLUMN($EE101:$FZ101),4)=MOD(COLUMN($EE101),4)),$EE101:$FZ101)</f>
        <v/>
      </c>
      <c r="GB101" s="339">
        <f>GA101*$J101</f>
        <v/>
      </c>
      <c r="GC101" s="340">
        <f t="array" ref="GC101">SUMPRODUCT(--(MOD(COLUMN($EE101:$FZ101),4)=MOD(COLUMN($EF101),4)),$EE101:$FZ101)</f>
        <v/>
      </c>
      <c r="GD101" s="341">
        <f>GC101*$J101</f>
        <v/>
      </c>
      <c r="GE101" s="342">
        <f t="array" ref="GE101">SUMPRODUCT(--(MOD(COLUMN($EE101:$FZ101),4)=MOD(COLUMN($EG101),4)),$EE101:$FZ101)</f>
        <v/>
      </c>
      <c r="GF101" s="343">
        <f>GE101*$J101</f>
        <v/>
      </c>
      <c r="GG101" s="36">
        <f>$KN101*10</f>
        <v/>
      </c>
      <c r="GH101" s="284" t="n"/>
      <c r="GI101" s="38" t="n">
        <v>0</v>
      </c>
      <c r="GJ101" s="284" t="n"/>
      <c r="GK101" s="36">
        <f>$KN101*10</f>
        <v/>
      </c>
      <c r="GL101" s="284" t="n"/>
      <c r="GM101" s="38" t="n">
        <v>0</v>
      </c>
      <c r="GN101" s="284" t="n"/>
      <c r="GO101" s="36">
        <f>$KN101*15</f>
        <v/>
      </c>
      <c r="GP101" s="284" t="n"/>
      <c r="GQ101" s="38" t="n">
        <v>0</v>
      </c>
      <c r="GR101" s="284" t="n"/>
      <c r="GS101" s="36">
        <f>$KN101*20</f>
        <v/>
      </c>
      <c r="GT101" s="284" t="n"/>
      <c r="GU101" s="38" t="n">
        <v>0</v>
      </c>
      <c r="GV101" s="284" t="n"/>
      <c r="GW101" s="36">
        <f>$KN101*20</f>
        <v/>
      </c>
      <c r="GX101" s="284" t="n"/>
      <c r="GY101" s="38" t="n">
        <v>0</v>
      </c>
      <c r="GZ101" s="284" t="n"/>
      <c r="HA101" s="36">
        <f>$KN101*20</f>
        <v/>
      </c>
      <c r="HB101" s="284" t="n"/>
      <c r="HC101" s="38" t="n">
        <v>0</v>
      </c>
      <c r="HD101" s="284" t="n"/>
      <c r="HE101" s="36">
        <f>$KN101*20</f>
        <v/>
      </c>
      <c r="HF101" s="284" t="n"/>
      <c r="HG101" s="38" t="n">
        <v>0</v>
      </c>
      <c r="HH101" s="284" t="n"/>
      <c r="HI101" s="36">
        <f>$KN101*20</f>
        <v/>
      </c>
      <c r="HJ101" s="284" t="n"/>
      <c r="HK101" s="38" t="n">
        <v>0</v>
      </c>
      <c r="HL101" s="284" t="n"/>
      <c r="HM101" s="36">
        <f>$KN101*20</f>
        <v/>
      </c>
      <c r="HN101" s="284" t="n"/>
      <c r="HO101" s="38" t="n">
        <v>0</v>
      </c>
      <c r="HP101" s="284" t="n"/>
      <c r="HQ101" s="36">
        <f>$KN101*20</f>
        <v/>
      </c>
      <c r="HR101" s="284" t="n"/>
      <c r="HS101" s="38" t="n">
        <v>0</v>
      </c>
      <c r="HT101" s="284" t="n"/>
      <c r="HU101" s="36">
        <f>$KN101*20</f>
        <v/>
      </c>
      <c r="HV101" s="284" t="n"/>
      <c r="HW101" s="38" t="n">
        <v>0</v>
      </c>
      <c r="HX101" s="284" t="n"/>
      <c r="HY101" s="36">
        <f>$KN101*20</f>
        <v/>
      </c>
      <c r="HZ101" s="284" t="n"/>
      <c r="IA101" s="38" t="n">
        <v>0</v>
      </c>
      <c r="IB101" s="284" t="n"/>
      <c r="IC101" s="338">
        <f t="array" ref="IC101">SUMPRODUCT(--(MOD(COLUMN($GG101:$IB101),4)=MOD(COLUMN($GG101),4)),$GG101:$IB101)</f>
        <v/>
      </c>
      <c r="ID101" s="339">
        <f>IC101*$J101</f>
        <v/>
      </c>
      <c r="IE101" s="340">
        <f t="array" ref="IE101">SUMPRODUCT(--(MOD(COLUMN($GG101:$IB101),4)=MOD(COLUMN($GH101),4)),$GG101:$IB101)</f>
        <v/>
      </c>
      <c r="IF101" s="341">
        <f>IE101*$J101</f>
        <v/>
      </c>
      <c r="IG101" s="342">
        <f t="array" ref="IG101">SUMPRODUCT(--(MOD(COLUMN($GG101:$IB101),4)=MOD(COLUMN($GI101),4)),$GG101:$IB101)</f>
        <v/>
      </c>
      <c r="IH101" s="343">
        <f>IG101*$J101</f>
        <v/>
      </c>
      <c r="II101" s="36">
        <f>$KN101*10</f>
        <v/>
      </c>
      <c r="IJ101" s="284" t="n"/>
      <c r="IK101" s="38" t="n">
        <v>0</v>
      </c>
      <c r="IL101" s="284" t="n"/>
      <c r="IM101" s="36">
        <f>$KN101*10</f>
        <v/>
      </c>
      <c r="IN101" s="284" t="n"/>
      <c r="IO101" s="38" t="n">
        <v>0</v>
      </c>
      <c r="IP101" s="284" t="n"/>
      <c r="IQ101" s="36">
        <f>$KN101*15</f>
        <v/>
      </c>
      <c r="IR101" s="284" t="n"/>
      <c r="IS101" s="38" t="n">
        <v>0</v>
      </c>
      <c r="IT101" s="284" t="n"/>
      <c r="IU101" s="36">
        <f>$KN101*20</f>
        <v/>
      </c>
      <c r="IV101" s="284" t="n"/>
      <c r="IW101" s="38" t="n">
        <v>0</v>
      </c>
      <c r="IX101" s="284" t="n"/>
      <c r="IY101" s="36">
        <f>$KN101*20</f>
        <v/>
      </c>
      <c r="IZ101" s="284" t="n"/>
      <c r="JA101" s="38" t="n">
        <v>0</v>
      </c>
      <c r="JB101" s="284" t="n"/>
      <c r="JC101" s="36">
        <f>$KN101*20</f>
        <v/>
      </c>
      <c r="JD101" s="284" t="n"/>
      <c r="JE101" s="38" t="n">
        <v>0</v>
      </c>
      <c r="JF101" s="284" t="n"/>
      <c r="JG101" s="36">
        <f>$KN101*20</f>
        <v/>
      </c>
      <c r="JH101" s="284" t="n"/>
      <c r="JI101" s="38" t="n">
        <v>0</v>
      </c>
      <c r="JJ101" s="284" t="n"/>
      <c r="JK101" s="36">
        <f>$KN101*20</f>
        <v/>
      </c>
      <c r="JL101" s="284" t="n"/>
      <c r="JM101" s="38" t="n">
        <v>0</v>
      </c>
      <c r="JN101" s="284" t="n"/>
      <c r="JO101" s="36">
        <f>$KN101*20</f>
        <v/>
      </c>
      <c r="JP101" s="284" t="n"/>
      <c r="JQ101" s="38" t="n">
        <v>0</v>
      </c>
      <c r="JR101" s="284" t="n"/>
      <c r="JS101" s="36">
        <f>$KN101*20</f>
        <v/>
      </c>
      <c r="JT101" s="284" t="n"/>
      <c r="JU101" s="38" t="n">
        <v>0</v>
      </c>
      <c r="JV101" s="284" t="n"/>
      <c r="JW101" s="36">
        <f>$KN101*20</f>
        <v/>
      </c>
      <c r="JX101" s="284" t="n"/>
      <c r="JY101" s="38" t="n">
        <v>0</v>
      </c>
      <c r="JZ101" s="284" t="n"/>
      <c r="KA101" s="36">
        <f>$KN101*20</f>
        <v/>
      </c>
      <c r="KB101" s="284" t="n"/>
      <c r="KC101" s="38" t="n">
        <v>0</v>
      </c>
      <c r="KD101" s="284" t="n"/>
      <c r="KE101" s="338">
        <f t="array" ref="KE101">SUMPRODUCT(--(MOD(COLUMN($II101:$KD101),4)=MOD(COLUMN($II101),4)),$II101:$KD101)</f>
        <v/>
      </c>
      <c r="KF101" s="339">
        <f>KE101*$J101</f>
        <v/>
      </c>
      <c r="KG101" s="340">
        <f t="array" ref="KG101">SUMPRODUCT(--(MOD(COLUMN($II101:$KD101),4)=MOD(COLUMN($IJ101),4)),$II101:$KD101)</f>
        <v/>
      </c>
      <c r="KH101" s="341">
        <f>KG101*$J101</f>
        <v/>
      </c>
      <c r="KI101" s="342">
        <f t="array" ref="KI101">SUMPRODUCT(--(MOD(COLUMN($II101:$KD101),4)=MOD(COLUMN($IK101),4)),$II101:$KD101)</f>
        <v/>
      </c>
      <c r="KJ101" s="346">
        <f>KI101*$J101</f>
        <v/>
      </c>
      <c r="KK101" s="80" t="n"/>
      <c r="KL101" s="80" t="n"/>
      <c r="KM101" s="80" t="n"/>
      <c r="KN101" s="51" t="n">
        <v>4</v>
      </c>
      <c r="KO101" s="347" t="n"/>
    </row>
    <row r="102" outlineLevel="1" ht="28.8" customFormat="1" customHeight="1" s="68">
      <c r="A102" s="347" t="n"/>
      <c r="B102" s="347" t="n"/>
      <c r="C102" s="347" t="n"/>
      <c r="D102" s="347" t="n"/>
      <c r="E102" s="61" t="n">
        <v>7</v>
      </c>
      <c r="F102" s="60" t="n">
        <v>1</v>
      </c>
      <c r="G102" s="56" t="n">
        <v>4640061000</v>
      </c>
      <c r="H102" s="57" t="inlineStr">
        <is>
          <t>Кран уровня пола, 5-ти портовый</t>
        </is>
      </c>
      <c r="I102" s="348">
        <f>584/1.2/0.98</f>
        <v/>
      </c>
      <c r="J102" s="348">
        <f>584/1.2*1.0863</f>
        <v/>
      </c>
      <c r="K102" s="348" t="n"/>
      <c r="L102" s="348" t="n"/>
      <c r="M102" s="36" t="n"/>
      <c r="N102" s="284" t="n"/>
      <c r="O102" s="38" t="n"/>
      <c r="P102" s="284" t="n"/>
      <c r="Q102" s="36" t="n"/>
      <c r="R102" s="284" t="n"/>
      <c r="S102" s="38" t="n"/>
      <c r="T102" s="284" t="n"/>
      <c r="U102" s="36" t="n"/>
      <c r="V102" s="39" t="n"/>
      <c r="W102" s="38" t="n"/>
      <c r="X102" s="284" t="n"/>
      <c r="Y102" s="36" t="n"/>
      <c r="Z102" s="284" t="n"/>
      <c r="AA102" s="38" t="n"/>
      <c r="AB102" s="245" t="n"/>
      <c r="AC102" s="36" t="n"/>
      <c r="AD102" s="284" t="n"/>
      <c r="AE102" s="38" t="n"/>
      <c r="AF102" s="284" t="n"/>
      <c r="AG102" s="36" t="n"/>
      <c r="AH102" s="284" t="n"/>
      <c r="AI102" s="38" t="n"/>
      <c r="AJ102" s="284" t="n"/>
      <c r="AK102" s="36" t="n"/>
      <c r="AL102" s="284" t="n"/>
      <c r="AM102" s="54" t="n"/>
      <c r="AN102" s="284" t="n"/>
      <c r="AO102" s="36" t="n"/>
      <c r="AP102" s="284" t="n"/>
      <c r="AQ102" s="38" t="n"/>
      <c r="AR102" s="284" t="n"/>
      <c r="AS102" s="36" t="n"/>
      <c r="AT102" s="284" t="n"/>
      <c r="AU102" s="38" t="n"/>
      <c r="AV102" s="284" t="n"/>
      <c r="AW102" s="36" t="n"/>
      <c r="AX102" s="284" t="n"/>
      <c r="AY102" s="38" t="n"/>
      <c r="AZ102" s="284" t="n"/>
      <c r="BA102" s="36" t="n"/>
      <c r="BB102" s="284" t="n"/>
      <c r="BC102" s="92" t="n"/>
      <c r="BD102" s="284" t="n"/>
      <c r="BE102" s="36" t="n"/>
      <c r="BF102" s="284" t="n"/>
      <c r="BG102" s="54" t="n"/>
      <c r="BH102" s="284" t="n"/>
      <c r="BI102" s="338" t="n"/>
      <c r="BJ102" s="339" t="n"/>
      <c r="BK102" s="340" t="n"/>
      <c r="BL102" s="341" t="n"/>
      <c r="BM102" s="342" t="n"/>
      <c r="BN102" s="343" t="n"/>
      <c r="BO102" s="36" t="n"/>
      <c r="BP102" s="47" t="n"/>
      <c r="BQ102" s="284" t="n"/>
      <c r="BR102" s="38" t="n"/>
      <c r="BS102" s="284" t="n"/>
      <c r="BT102" s="36" t="n"/>
      <c r="BU102" s="47" t="n"/>
      <c r="BV102" s="284" t="n"/>
      <c r="BW102" s="38" t="n"/>
      <c r="BX102" s="284" t="n"/>
      <c r="BY102" s="36" t="n"/>
      <c r="BZ102" s="47" t="n"/>
      <c r="CA102" s="284" t="n"/>
      <c r="CB102" s="38" t="n"/>
      <c r="CC102" s="284" t="n"/>
      <c r="CD102" s="36" t="n"/>
      <c r="CE102" s="47" t="n"/>
      <c r="CF102" s="284" t="n"/>
      <c r="CG102" s="38" t="n"/>
      <c r="CH102" s="284" t="n"/>
      <c r="CI102" s="36" t="n"/>
      <c r="CJ102" s="47" t="n"/>
      <c r="CK102" s="284" t="n"/>
      <c r="CL102" s="38" t="n">
        <v>0</v>
      </c>
      <c r="CM102" s="284" t="n"/>
      <c r="CN102" s="36" t="n"/>
      <c r="CO102" s="47" t="n"/>
      <c r="CP102" s="284" t="n"/>
      <c r="CQ102" s="38" t="n">
        <v>0</v>
      </c>
      <c r="CR102" s="284" t="n"/>
      <c r="CS102" s="36" t="n"/>
      <c r="CT102" s="47" t="n"/>
      <c r="CU102" s="284" t="n"/>
      <c r="CV102" s="38" t="n">
        <v>0</v>
      </c>
      <c r="CW102" s="284" t="n"/>
      <c r="CX102" s="36" t="n"/>
      <c r="CY102" s="47" t="n"/>
      <c r="CZ102" s="284" t="n"/>
      <c r="DA102" s="38" t="n">
        <v>0</v>
      </c>
      <c r="DB102" s="284" t="n"/>
      <c r="DC102" s="36" t="n"/>
      <c r="DD102" s="47" t="n"/>
      <c r="DE102" s="284" t="n"/>
      <c r="DF102" s="38" t="n">
        <v>0</v>
      </c>
      <c r="DG102" s="284" t="n"/>
      <c r="DH102" s="36" t="n"/>
      <c r="DI102" s="47" t="n"/>
      <c r="DJ102" s="284" t="n"/>
      <c r="DK102" s="38" t="n">
        <v>0</v>
      </c>
      <c r="DL102" s="284" t="n"/>
      <c r="DM102" s="36" t="n"/>
      <c r="DN102" s="47" t="n"/>
      <c r="DO102" s="284" t="n"/>
      <c r="DP102" s="38" t="n">
        <v>0</v>
      </c>
      <c r="DQ102" s="284" t="n"/>
      <c r="DR102" s="36" t="n"/>
      <c r="DS102" s="47" t="n"/>
      <c r="DT102" s="284" t="n"/>
      <c r="DU102" s="38" t="n"/>
      <c r="DV102" s="284" t="n"/>
      <c r="DW102" s="338">
        <f t="array" ref="DW102">SUMPRODUCT(--(MOD(COLUMN($BO102:$DV102),5)=MOD(COLUMN($BO102),5)),$BO102:$DV102)</f>
        <v/>
      </c>
      <c r="DX102" s="339">
        <f>DW102*$J102</f>
        <v/>
      </c>
      <c r="DY102" s="344">
        <f t="array" ref="DY102">SUMPRODUCT(--(MOD(COLUMN($BO102:$DV102),5)=MOD(COLUMN($BP102),5)),$BO102:$DV102)</f>
        <v/>
      </c>
      <c r="DZ102" s="345">
        <f>DY102*$J102</f>
        <v/>
      </c>
      <c r="EA102" s="340">
        <f t="array" ref="EA102">SUMPRODUCT(--(MOD(COLUMN($BO102:$DV102),5)=MOD(COLUMN($BQ102),5)),$BO102:$DV102)</f>
        <v/>
      </c>
      <c r="EB102" s="341">
        <f>EA102*$J102</f>
        <v/>
      </c>
      <c r="EC102" s="342">
        <f t="array" ref="EC102">SUMPRODUCT(--(MOD(COLUMN($BO102:$DV102),5)=MOD(COLUMN($BR102),5)),$BO102:$DV102)</f>
        <v/>
      </c>
      <c r="ED102" s="343">
        <f>EC102*$J102</f>
        <v/>
      </c>
      <c r="EE102" s="36" t="n">
        <v>0</v>
      </c>
      <c r="EF102" s="284" t="n">
        <v>0</v>
      </c>
      <c r="EG102" s="38" t="n">
        <v>0</v>
      </c>
      <c r="EH102" s="284" t="n"/>
      <c r="EI102" s="36" t="n">
        <v>0</v>
      </c>
      <c r="EJ102" s="284" t="n">
        <v>0</v>
      </c>
      <c r="EK102" s="38" t="n">
        <v>0</v>
      </c>
      <c r="EL102" s="284" t="n"/>
      <c r="EM102" s="36" t="n"/>
      <c r="EN102" s="284" t="n"/>
      <c r="EO102" s="38" t="n">
        <v>0</v>
      </c>
      <c r="EP102" s="284" t="n"/>
      <c r="EQ102" s="36">
        <f>$KN102*5</f>
        <v/>
      </c>
      <c r="ER102" s="39" t="n">
        <v>0</v>
      </c>
      <c r="ES102" s="38" t="n">
        <v>0</v>
      </c>
      <c r="ET102" s="284" t="n"/>
      <c r="EU102" s="36">
        <f>$KN102*5</f>
        <v/>
      </c>
      <c r="EV102" s="155" t="n">
        <v>0</v>
      </c>
      <c r="EW102" s="38" t="n">
        <v>0</v>
      </c>
      <c r="EX102" s="284" t="n"/>
      <c r="EY102" s="36">
        <f>$KN102*5</f>
        <v/>
      </c>
      <c r="EZ102" s="155" t="n">
        <v>0</v>
      </c>
      <c r="FA102" s="38" t="n">
        <v>0</v>
      </c>
      <c r="FB102" s="284" t="n"/>
      <c r="FC102" s="36">
        <f>$KN102*10</f>
        <v/>
      </c>
      <c r="FD102" s="284" t="n">
        <v>10</v>
      </c>
      <c r="FE102" s="38" t="n">
        <v>0</v>
      </c>
      <c r="FF102" s="284" t="n"/>
      <c r="FG102" s="36">
        <f>$KN102*10</f>
        <v/>
      </c>
      <c r="FH102" s="284" t="n">
        <v>10</v>
      </c>
      <c r="FI102" s="38" t="n">
        <v>0</v>
      </c>
      <c r="FJ102" s="284" t="n"/>
      <c r="FK102" s="36">
        <f>$KN102*10</f>
        <v/>
      </c>
      <c r="FL102" s="284" t="n">
        <v>20</v>
      </c>
      <c r="FM102" s="38" t="n">
        <v>0</v>
      </c>
      <c r="FN102" s="284" t="n"/>
      <c r="FO102" s="36">
        <f>$KN102*10</f>
        <v/>
      </c>
      <c r="FP102" s="284" t="n">
        <v>20</v>
      </c>
      <c r="FQ102" s="38" t="n">
        <v>0</v>
      </c>
      <c r="FR102" s="284" t="n"/>
      <c r="FS102" s="36">
        <f>$KN102*10</f>
        <v/>
      </c>
      <c r="FT102" s="284" t="n">
        <v>20</v>
      </c>
      <c r="FU102" s="38" t="n">
        <v>0</v>
      </c>
      <c r="FV102" s="284" t="n"/>
      <c r="FW102" s="36">
        <f>$KN102*10</f>
        <v/>
      </c>
      <c r="FX102" s="284" t="n">
        <v>20</v>
      </c>
      <c r="FY102" s="38" t="n">
        <v>0</v>
      </c>
      <c r="FZ102" s="284" t="n"/>
      <c r="GA102" s="338">
        <f t="array" ref="GA102">SUMPRODUCT(--(MOD(COLUMN($EE102:$FZ102),4)=MOD(COLUMN($EE102),4)),$EE102:$FZ102)</f>
        <v/>
      </c>
      <c r="GB102" s="339">
        <f>GA102*$J102</f>
        <v/>
      </c>
      <c r="GC102" s="340">
        <f t="array" ref="GC102">SUMPRODUCT(--(MOD(COLUMN($EE102:$FZ102),4)=MOD(COLUMN($EF102),4)),$EE102:$FZ102)</f>
        <v/>
      </c>
      <c r="GD102" s="341">
        <f>GC102*$J102</f>
        <v/>
      </c>
      <c r="GE102" s="342">
        <f t="array" ref="GE102">SUMPRODUCT(--(MOD(COLUMN($EE102:$FZ102),4)=MOD(COLUMN($EG102),4)),$EE102:$FZ102)</f>
        <v/>
      </c>
      <c r="GF102" s="343">
        <f>GE102*$J102</f>
        <v/>
      </c>
      <c r="GG102" s="36">
        <f>$KN102*10</f>
        <v/>
      </c>
      <c r="GH102" s="284" t="n"/>
      <c r="GI102" s="38" t="n">
        <v>0</v>
      </c>
      <c r="GJ102" s="284" t="n"/>
      <c r="GK102" s="36">
        <f>$KN102*10</f>
        <v/>
      </c>
      <c r="GL102" s="284" t="n"/>
      <c r="GM102" s="38" t="n">
        <v>0</v>
      </c>
      <c r="GN102" s="284" t="n"/>
      <c r="GO102" s="36">
        <f>$KN102*15</f>
        <v/>
      </c>
      <c r="GP102" s="284" t="n"/>
      <c r="GQ102" s="38" t="n">
        <v>0</v>
      </c>
      <c r="GR102" s="284" t="n"/>
      <c r="GS102" s="36">
        <f>$KN102*20</f>
        <v/>
      </c>
      <c r="GT102" s="284" t="n"/>
      <c r="GU102" s="38" t="n">
        <v>0</v>
      </c>
      <c r="GV102" s="284" t="n"/>
      <c r="GW102" s="36">
        <f>$KN102*20</f>
        <v/>
      </c>
      <c r="GX102" s="284" t="n"/>
      <c r="GY102" s="38" t="n">
        <v>0</v>
      </c>
      <c r="GZ102" s="284" t="n"/>
      <c r="HA102" s="36">
        <f>$KN102*20</f>
        <v/>
      </c>
      <c r="HB102" s="284" t="n"/>
      <c r="HC102" s="38" t="n">
        <v>0</v>
      </c>
      <c r="HD102" s="284" t="n"/>
      <c r="HE102" s="36">
        <f>$KN102*20</f>
        <v/>
      </c>
      <c r="HF102" s="284" t="n"/>
      <c r="HG102" s="38" t="n">
        <v>0</v>
      </c>
      <c r="HH102" s="284" t="n"/>
      <c r="HI102" s="36">
        <f>$KN102*20</f>
        <v/>
      </c>
      <c r="HJ102" s="284" t="n"/>
      <c r="HK102" s="38" t="n">
        <v>0</v>
      </c>
      <c r="HL102" s="284" t="n"/>
      <c r="HM102" s="36">
        <f>$KN102*20</f>
        <v/>
      </c>
      <c r="HN102" s="284" t="n"/>
      <c r="HO102" s="38" t="n">
        <v>0</v>
      </c>
      <c r="HP102" s="284" t="n"/>
      <c r="HQ102" s="36">
        <f>$KN102*20</f>
        <v/>
      </c>
      <c r="HR102" s="284" t="n"/>
      <c r="HS102" s="38" t="n">
        <v>0</v>
      </c>
      <c r="HT102" s="284" t="n"/>
      <c r="HU102" s="36">
        <f>$KN102*20</f>
        <v/>
      </c>
      <c r="HV102" s="284" t="n"/>
      <c r="HW102" s="38" t="n">
        <v>0</v>
      </c>
      <c r="HX102" s="284" t="n"/>
      <c r="HY102" s="36">
        <f>$KN102*20</f>
        <v/>
      </c>
      <c r="HZ102" s="284" t="n"/>
      <c r="IA102" s="38" t="n">
        <v>0</v>
      </c>
      <c r="IB102" s="284" t="n"/>
      <c r="IC102" s="338">
        <f t="array" ref="IC102">SUMPRODUCT(--(MOD(COLUMN($GG102:$IB102),4)=MOD(COLUMN($GG102),4)),$GG102:$IB102)</f>
        <v/>
      </c>
      <c r="ID102" s="339">
        <f>IC102*$J102</f>
        <v/>
      </c>
      <c r="IE102" s="340">
        <f t="array" ref="IE102">SUMPRODUCT(--(MOD(COLUMN($GG102:$IB102),4)=MOD(COLUMN($GH102),4)),$GG102:$IB102)</f>
        <v/>
      </c>
      <c r="IF102" s="341">
        <f>IE102*$J102</f>
        <v/>
      </c>
      <c r="IG102" s="342">
        <f t="array" ref="IG102">SUMPRODUCT(--(MOD(COLUMN($GG102:$IB102),4)=MOD(COLUMN($GI102),4)),$GG102:$IB102)</f>
        <v/>
      </c>
      <c r="IH102" s="343">
        <f>IG102*$J102</f>
        <v/>
      </c>
      <c r="II102" s="36">
        <f>$KN102*10</f>
        <v/>
      </c>
      <c r="IJ102" s="284" t="n"/>
      <c r="IK102" s="38" t="n">
        <v>0</v>
      </c>
      <c r="IL102" s="284" t="n"/>
      <c r="IM102" s="36">
        <f>$KN102*10</f>
        <v/>
      </c>
      <c r="IN102" s="284" t="n"/>
      <c r="IO102" s="38" t="n">
        <v>0</v>
      </c>
      <c r="IP102" s="284" t="n"/>
      <c r="IQ102" s="36">
        <f>$KN102*15</f>
        <v/>
      </c>
      <c r="IR102" s="284" t="n"/>
      <c r="IS102" s="38" t="n">
        <v>0</v>
      </c>
      <c r="IT102" s="284" t="n"/>
      <c r="IU102" s="36">
        <f>$KN102*20</f>
        <v/>
      </c>
      <c r="IV102" s="284" t="n"/>
      <c r="IW102" s="38" t="n">
        <v>0</v>
      </c>
      <c r="IX102" s="284" t="n"/>
      <c r="IY102" s="36">
        <f>$KN102*20</f>
        <v/>
      </c>
      <c r="IZ102" s="284" t="n"/>
      <c r="JA102" s="38" t="n">
        <v>0</v>
      </c>
      <c r="JB102" s="284" t="n"/>
      <c r="JC102" s="36">
        <f>$KN102*20</f>
        <v/>
      </c>
      <c r="JD102" s="284" t="n"/>
      <c r="JE102" s="38" t="n">
        <v>0</v>
      </c>
      <c r="JF102" s="284" t="n"/>
      <c r="JG102" s="36">
        <f>$KN102*20</f>
        <v/>
      </c>
      <c r="JH102" s="284" t="n"/>
      <c r="JI102" s="38" t="n">
        <v>0</v>
      </c>
      <c r="JJ102" s="284" t="n"/>
      <c r="JK102" s="36">
        <f>$KN102*20</f>
        <v/>
      </c>
      <c r="JL102" s="284" t="n"/>
      <c r="JM102" s="38" t="n">
        <v>0</v>
      </c>
      <c r="JN102" s="284" t="n"/>
      <c r="JO102" s="36">
        <f>$KN102*20</f>
        <v/>
      </c>
      <c r="JP102" s="284" t="n"/>
      <c r="JQ102" s="38" t="n">
        <v>0</v>
      </c>
      <c r="JR102" s="284" t="n"/>
      <c r="JS102" s="36">
        <f>$KN102*20</f>
        <v/>
      </c>
      <c r="JT102" s="284" t="n"/>
      <c r="JU102" s="38" t="n">
        <v>0</v>
      </c>
      <c r="JV102" s="284" t="n"/>
      <c r="JW102" s="36">
        <f>$KN102*20</f>
        <v/>
      </c>
      <c r="JX102" s="284" t="n"/>
      <c r="JY102" s="38" t="n">
        <v>0</v>
      </c>
      <c r="JZ102" s="284" t="n"/>
      <c r="KA102" s="36">
        <f>$KN102*20</f>
        <v/>
      </c>
      <c r="KB102" s="284" t="n"/>
      <c r="KC102" s="38" t="n">
        <v>0</v>
      </c>
      <c r="KD102" s="284" t="n"/>
      <c r="KE102" s="338">
        <f t="array" ref="KE102">SUMPRODUCT(--(MOD(COLUMN($II102:$KD102),4)=MOD(COLUMN($II102),4)),$II102:$KD102)</f>
        <v/>
      </c>
      <c r="KF102" s="339">
        <f>KE102*$J102</f>
        <v/>
      </c>
      <c r="KG102" s="340">
        <f t="array" ref="KG102">SUMPRODUCT(--(MOD(COLUMN($II102:$KD102),4)=MOD(COLUMN($IJ102),4)),$II102:$KD102)</f>
        <v/>
      </c>
      <c r="KH102" s="341">
        <f>KG102*$J102</f>
        <v/>
      </c>
      <c r="KI102" s="342">
        <f t="array" ref="KI102">SUMPRODUCT(--(MOD(COLUMN($II102:$KD102),4)=MOD(COLUMN($IK102),4)),$II102:$KD102)</f>
        <v/>
      </c>
      <c r="KJ102" s="346">
        <f>KI102*$J102</f>
        <v/>
      </c>
      <c r="KK102" s="80" t="n"/>
      <c r="KL102" s="80" t="n"/>
      <c r="KM102" s="80" t="n"/>
      <c r="KN102" s="51" t="n">
        <v>2</v>
      </c>
      <c r="KO102" s="347" t="n"/>
    </row>
    <row r="103" outlineLevel="1" ht="28.8" customFormat="1" customHeight="1" s="68">
      <c r="A103" s="347" t="n"/>
      <c r="B103" s="347" t="n"/>
      <c r="C103" s="347" t="n"/>
      <c r="D103" s="347" t="n"/>
      <c r="E103" s="61" t="n">
        <v>8</v>
      </c>
      <c r="F103" s="60" t="n">
        <v>1</v>
      </c>
      <c r="G103" s="56" t="n">
        <v>4630320200</v>
      </c>
      <c r="H103" s="57" t="inlineStr">
        <is>
          <t>Кран ручного управления</t>
        </is>
      </c>
      <c r="I103" s="348">
        <f>537.4/1.2/0.98</f>
        <v/>
      </c>
      <c r="J103" s="348">
        <f>537.4/1.2*1.0863</f>
        <v/>
      </c>
      <c r="K103" s="348" t="n"/>
      <c r="L103" s="348" t="n"/>
      <c r="M103" s="36" t="n"/>
      <c r="N103" s="284" t="n"/>
      <c r="O103" s="38" t="n"/>
      <c r="P103" s="284" t="n"/>
      <c r="Q103" s="36" t="n"/>
      <c r="R103" s="284" t="n"/>
      <c r="S103" s="38" t="n"/>
      <c r="T103" s="284" t="n"/>
      <c r="U103" s="36" t="n"/>
      <c r="V103" s="39" t="n"/>
      <c r="W103" s="38" t="n"/>
      <c r="X103" s="284" t="n"/>
      <c r="Y103" s="36" t="n"/>
      <c r="Z103" s="284" t="n"/>
      <c r="AA103" s="38" t="n"/>
      <c r="AB103" s="245" t="n"/>
      <c r="AC103" s="36" t="n"/>
      <c r="AD103" s="284" t="n"/>
      <c r="AE103" s="38" t="n"/>
      <c r="AF103" s="284" t="n"/>
      <c r="AG103" s="36" t="n"/>
      <c r="AH103" s="284" t="n"/>
      <c r="AI103" s="38" t="n"/>
      <c r="AJ103" s="284" t="n"/>
      <c r="AK103" s="36" t="n"/>
      <c r="AL103" s="284" t="n"/>
      <c r="AM103" s="54" t="n"/>
      <c r="AN103" s="284" t="n"/>
      <c r="AO103" s="36" t="n"/>
      <c r="AP103" s="284" t="n"/>
      <c r="AQ103" s="38" t="n"/>
      <c r="AR103" s="284" t="n"/>
      <c r="AS103" s="36" t="n"/>
      <c r="AT103" s="284" t="n"/>
      <c r="AU103" s="38" t="n"/>
      <c r="AV103" s="284" t="n"/>
      <c r="AW103" s="36" t="n"/>
      <c r="AX103" s="284" t="n"/>
      <c r="AY103" s="38" t="n"/>
      <c r="AZ103" s="284" t="n"/>
      <c r="BA103" s="36" t="n"/>
      <c r="BB103" s="284" t="n"/>
      <c r="BC103" s="92" t="n"/>
      <c r="BD103" s="284" t="n"/>
      <c r="BE103" s="36" t="n"/>
      <c r="BF103" s="284" t="n"/>
      <c r="BG103" s="54" t="n"/>
      <c r="BH103" s="284" t="n"/>
      <c r="BI103" s="338" t="n"/>
      <c r="BJ103" s="339" t="n"/>
      <c r="BK103" s="340" t="n"/>
      <c r="BL103" s="341" t="n"/>
      <c r="BM103" s="342" t="n"/>
      <c r="BN103" s="343" t="n"/>
      <c r="BO103" s="36" t="n"/>
      <c r="BP103" s="47" t="n"/>
      <c r="BQ103" s="284" t="n"/>
      <c r="BR103" s="38" t="n"/>
      <c r="BS103" s="284" t="n"/>
      <c r="BT103" s="36" t="n"/>
      <c r="BU103" s="47" t="n"/>
      <c r="BV103" s="284" t="n"/>
      <c r="BW103" s="38" t="n"/>
      <c r="BX103" s="284" t="n"/>
      <c r="BY103" s="36" t="n"/>
      <c r="BZ103" s="47" t="n"/>
      <c r="CA103" s="284" t="n"/>
      <c r="CB103" s="38" t="n"/>
      <c r="CC103" s="284" t="n"/>
      <c r="CD103" s="36" t="n"/>
      <c r="CE103" s="47" t="n"/>
      <c r="CF103" s="284" t="n"/>
      <c r="CG103" s="38" t="n"/>
      <c r="CH103" s="284" t="n"/>
      <c r="CI103" s="36" t="n"/>
      <c r="CJ103" s="47" t="n"/>
      <c r="CK103" s="284" t="n"/>
      <c r="CL103" s="38" t="n">
        <v>0</v>
      </c>
      <c r="CM103" s="284" t="n"/>
      <c r="CN103" s="36" t="n"/>
      <c r="CO103" s="47" t="n"/>
      <c r="CP103" s="284" t="n"/>
      <c r="CQ103" s="38" t="n">
        <v>0</v>
      </c>
      <c r="CR103" s="284" t="n"/>
      <c r="CS103" s="36" t="n"/>
      <c r="CT103" s="47" t="n"/>
      <c r="CU103" s="284" t="n"/>
      <c r="CV103" s="38" t="n">
        <v>0</v>
      </c>
      <c r="CW103" s="284" t="n"/>
      <c r="CX103" s="36" t="n"/>
      <c r="CY103" s="47" t="n"/>
      <c r="CZ103" s="284" t="n"/>
      <c r="DA103" s="38" t="n">
        <v>0</v>
      </c>
      <c r="DB103" s="284" t="n"/>
      <c r="DC103" s="36" t="n"/>
      <c r="DD103" s="47" t="n"/>
      <c r="DE103" s="284" t="n"/>
      <c r="DF103" s="38" t="n">
        <v>0</v>
      </c>
      <c r="DG103" s="284" t="n"/>
      <c r="DH103" s="36" t="n"/>
      <c r="DI103" s="47" t="n"/>
      <c r="DJ103" s="284" t="n"/>
      <c r="DK103" s="38" t="n">
        <v>0</v>
      </c>
      <c r="DL103" s="284" t="n"/>
      <c r="DM103" s="36" t="n"/>
      <c r="DN103" s="47" t="n"/>
      <c r="DO103" s="284" t="n"/>
      <c r="DP103" s="38" t="n">
        <v>0</v>
      </c>
      <c r="DQ103" s="284" t="n"/>
      <c r="DR103" s="36" t="n"/>
      <c r="DS103" s="47" t="n"/>
      <c r="DT103" s="284" t="n"/>
      <c r="DU103" s="38" t="n"/>
      <c r="DV103" s="284" t="n"/>
      <c r="DW103" s="338">
        <f t="array" ref="DW103">SUMPRODUCT(--(MOD(COLUMN($BO103:$DV103),5)=MOD(COLUMN($BO103),5)),$BO103:$DV103)</f>
        <v/>
      </c>
      <c r="DX103" s="339">
        <f>DW103*$J103</f>
        <v/>
      </c>
      <c r="DY103" s="344">
        <f t="array" ref="DY103">SUMPRODUCT(--(MOD(COLUMN($BO103:$DV103),5)=MOD(COLUMN($BP103),5)),$BO103:$DV103)</f>
        <v/>
      </c>
      <c r="DZ103" s="345">
        <f>DY103*$J103</f>
        <v/>
      </c>
      <c r="EA103" s="340">
        <f t="array" ref="EA103">SUMPRODUCT(--(MOD(COLUMN($BO103:$DV103),5)=MOD(COLUMN($BQ103),5)),$BO103:$DV103)</f>
        <v/>
      </c>
      <c r="EB103" s="341">
        <f>EA103*$J103</f>
        <v/>
      </c>
      <c r="EC103" s="342">
        <f t="array" ref="EC103">SUMPRODUCT(--(MOD(COLUMN($BO103:$DV103),5)=MOD(COLUMN($BR103),5)),$BO103:$DV103)</f>
        <v/>
      </c>
      <c r="ED103" s="343">
        <f>EC103*$J103</f>
        <v/>
      </c>
      <c r="EE103" s="36" t="n">
        <v>0</v>
      </c>
      <c r="EF103" s="284" t="n">
        <v>0</v>
      </c>
      <c r="EG103" s="38" t="n"/>
      <c r="EH103" s="284" t="n"/>
      <c r="EI103" s="36" t="n">
        <v>0</v>
      </c>
      <c r="EJ103" s="284" t="n">
        <v>0</v>
      </c>
      <c r="EK103" s="38" t="n">
        <v>0</v>
      </c>
      <c r="EL103" s="284" t="n"/>
      <c r="EM103" s="36" t="n"/>
      <c r="EN103" s="284" t="n"/>
      <c r="EO103" s="38" t="n">
        <v>0</v>
      </c>
      <c r="EP103" s="284" t="n"/>
      <c r="EQ103" s="36">
        <f>$KN103*5</f>
        <v/>
      </c>
      <c r="ER103" s="39" t="n">
        <v>0</v>
      </c>
      <c r="ES103" s="38" t="n">
        <v>0</v>
      </c>
      <c r="ET103" s="284" t="n"/>
      <c r="EU103" s="36">
        <f>$KN103*5</f>
        <v/>
      </c>
      <c r="EV103" s="155" t="n">
        <v>0</v>
      </c>
      <c r="EW103" s="38" t="n">
        <v>0</v>
      </c>
      <c r="EX103" s="284" t="n"/>
      <c r="EY103" s="36">
        <f>$KN103*5</f>
        <v/>
      </c>
      <c r="EZ103" s="155" t="n">
        <v>0</v>
      </c>
      <c r="FA103" s="38" t="n">
        <v>0</v>
      </c>
      <c r="FB103" s="284" t="n"/>
      <c r="FC103" s="36">
        <f>$KN103*10</f>
        <v/>
      </c>
      <c r="FD103" s="284" t="n">
        <v>10</v>
      </c>
      <c r="FE103" s="38" t="n">
        <v>0</v>
      </c>
      <c r="FF103" s="284" t="n"/>
      <c r="FG103" s="36">
        <f>$KN103*10</f>
        <v/>
      </c>
      <c r="FH103" s="284" t="n">
        <v>10</v>
      </c>
      <c r="FI103" s="38" t="n">
        <v>0</v>
      </c>
      <c r="FJ103" s="284" t="n"/>
      <c r="FK103" s="36">
        <f>$KN103*10</f>
        <v/>
      </c>
      <c r="FL103" s="284" t="n">
        <v>20</v>
      </c>
      <c r="FM103" s="38" t="n">
        <v>0</v>
      </c>
      <c r="FN103" s="284" t="n"/>
      <c r="FO103" s="36">
        <f>$KN103*10</f>
        <v/>
      </c>
      <c r="FP103" s="284" t="n">
        <v>20</v>
      </c>
      <c r="FQ103" s="38" t="n">
        <v>0</v>
      </c>
      <c r="FR103" s="284" t="n"/>
      <c r="FS103" s="36">
        <f>$KN103*10</f>
        <v/>
      </c>
      <c r="FT103" s="284" t="n">
        <v>20</v>
      </c>
      <c r="FU103" s="38" t="n">
        <v>0</v>
      </c>
      <c r="FV103" s="284" t="n"/>
      <c r="FW103" s="36">
        <f>$KN103*10</f>
        <v/>
      </c>
      <c r="FX103" s="284" t="n">
        <v>20</v>
      </c>
      <c r="FY103" s="38" t="n">
        <v>0</v>
      </c>
      <c r="FZ103" s="284" t="n"/>
      <c r="GA103" s="338">
        <f t="array" ref="GA103">SUMPRODUCT(--(MOD(COLUMN($EE103:$FZ103),4)=MOD(COLUMN($EE103),4)),$EE103:$FZ103)</f>
        <v/>
      </c>
      <c r="GB103" s="339">
        <f>GA103*$J103</f>
        <v/>
      </c>
      <c r="GC103" s="340">
        <f t="array" ref="GC103">SUMPRODUCT(--(MOD(COLUMN($EE103:$FZ103),4)=MOD(COLUMN($EF103),4)),$EE103:$FZ103)</f>
        <v/>
      </c>
      <c r="GD103" s="341">
        <f>GC103*$J103</f>
        <v/>
      </c>
      <c r="GE103" s="342">
        <f t="array" ref="GE103">SUMPRODUCT(--(MOD(COLUMN($EE103:$FZ103),4)=MOD(COLUMN($EG103),4)),$EE103:$FZ103)</f>
        <v/>
      </c>
      <c r="GF103" s="343">
        <f>GE103*$J103</f>
        <v/>
      </c>
      <c r="GG103" s="36">
        <f>$KN103*10</f>
        <v/>
      </c>
      <c r="GH103" s="284" t="n"/>
      <c r="GI103" s="38" t="n">
        <v>0</v>
      </c>
      <c r="GJ103" s="284" t="n"/>
      <c r="GK103" s="36">
        <f>$KN103*10</f>
        <v/>
      </c>
      <c r="GL103" s="284" t="n"/>
      <c r="GM103" s="38" t="n">
        <v>0</v>
      </c>
      <c r="GN103" s="284" t="n"/>
      <c r="GO103" s="36">
        <f>$KN103*15</f>
        <v/>
      </c>
      <c r="GP103" s="284" t="n"/>
      <c r="GQ103" s="38" t="n">
        <v>0</v>
      </c>
      <c r="GR103" s="284" t="n"/>
      <c r="GS103" s="36">
        <f>$KN103*20</f>
        <v/>
      </c>
      <c r="GT103" s="284" t="n"/>
      <c r="GU103" s="38" t="n">
        <v>0</v>
      </c>
      <c r="GV103" s="284" t="n"/>
      <c r="GW103" s="36">
        <f>$KN103*20</f>
        <v/>
      </c>
      <c r="GX103" s="284" t="n"/>
      <c r="GY103" s="38" t="n">
        <v>0</v>
      </c>
      <c r="GZ103" s="284" t="n"/>
      <c r="HA103" s="36">
        <f>$KN103*20</f>
        <v/>
      </c>
      <c r="HB103" s="284" t="n"/>
      <c r="HC103" s="38" t="n">
        <v>0</v>
      </c>
      <c r="HD103" s="284" t="n"/>
      <c r="HE103" s="36">
        <f>$KN103*20</f>
        <v/>
      </c>
      <c r="HF103" s="284" t="n"/>
      <c r="HG103" s="38" t="n">
        <v>0</v>
      </c>
      <c r="HH103" s="284" t="n"/>
      <c r="HI103" s="36">
        <f>$KN103*20</f>
        <v/>
      </c>
      <c r="HJ103" s="284" t="n"/>
      <c r="HK103" s="38" t="n">
        <v>0</v>
      </c>
      <c r="HL103" s="284" t="n"/>
      <c r="HM103" s="36">
        <f>$KN103*20</f>
        <v/>
      </c>
      <c r="HN103" s="284" t="n"/>
      <c r="HO103" s="38" t="n">
        <v>0</v>
      </c>
      <c r="HP103" s="284" t="n"/>
      <c r="HQ103" s="36">
        <f>$KN103*20</f>
        <v/>
      </c>
      <c r="HR103" s="284" t="n"/>
      <c r="HS103" s="38" t="n">
        <v>0</v>
      </c>
      <c r="HT103" s="284" t="n"/>
      <c r="HU103" s="36">
        <f>$KN103*20</f>
        <v/>
      </c>
      <c r="HV103" s="284" t="n"/>
      <c r="HW103" s="38" t="n">
        <v>0</v>
      </c>
      <c r="HX103" s="284" t="n"/>
      <c r="HY103" s="36">
        <f>$KN103*20</f>
        <v/>
      </c>
      <c r="HZ103" s="284" t="n"/>
      <c r="IA103" s="38" t="n">
        <v>0</v>
      </c>
      <c r="IB103" s="284" t="n"/>
      <c r="IC103" s="338">
        <f t="array" ref="IC103">SUMPRODUCT(--(MOD(COLUMN($GG103:$IB103),4)=MOD(COLUMN($GG103),4)),$GG103:$IB103)</f>
        <v/>
      </c>
      <c r="ID103" s="339">
        <f>IC103*$J103</f>
        <v/>
      </c>
      <c r="IE103" s="340">
        <f t="array" ref="IE103">SUMPRODUCT(--(MOD(COLUMN($GG103:$IB103),4)=MOD(COLUMN($GH103),4)),$GG103:$IB103)</f>
        <v/>
      </c>
      <c r="IF103" s="341">
        <f>IE103*$J103</f>
        <v/>
      </c>
      <c r="IG103" s="342">
        <f t="array" ref="IG103">SUMPRODUCT(--(MOD(COLUMN($GG103:$IB103),4)=MOD(COLUMN($GI103),4)),$GG103:$IB103)</f>
        <v/>
      </c>
      <c r="IH103" s="343">
        <f>IG103*$J103</f>
        <v/>
      </c>
      <c r="II103" s="36">
        <f>$KN103*10</f>
        <v/>
      </c>
      <c r="IJ103" s="284" t="n"/>
      <c r="IK103" s="38" t="n">
        <v>0</v>
      </c>
      <c r="IL103" s="284" t="n"/>
      <c r="IM103" s="36">
        <f>$KN103*10</f>
        <v/>
      </c>
      <c r="IN103" s="284" t="n"/>
      <c r="IO103" s="38" t="n">
        <v>0</v>
      </c>
      <c r="IP103" s="284" t="n"/>
      <c r="IQ103" s="36">
        <f>$KN103*15</f>
        <v/>
      </c>
      <c r="IR103" s="284" t="n"/>
      <c r="IS103" s="38" t="n">
        <v>0</v>
      </c>
      <c r="IT103" s="284" t="n"/>
      <c r="IU103" s="36">
        <f>$KN103*20</f>
        <v/>
      </c>
      <c r="IV103" s="284" t="n"/>
      <c r="IW103" s="38" t="n">
        <v>0</v>
      </c>
      <c r="IX103" s="284" t="n"/>
      <c r="IY103" s="36">
        <f>$KN103*20</f>
        <v/>
      </c>
      <c r="IZ103" s="284" t="n"/>
      <c r="JA103" s="38" t="n">
        <v>0</v>
      </c>
      <c r="JB103" s="284" t="n"/>
      <c r="JC103" s="36">
        <f>$KN103*20</f>
        <v/>
      </c>
      <c r="JD103" s="284" t="n"/>
      <c r="JE103" s="38" t="n">
        <v>0</v>
      </c>
      <c r="JF103" s="284" t="n"/>
      <c r="JG103" s="36">
        <f>$KN103*20</f>
        <v/>
      </c>
      <c r="JH103" s="284" t="n"/>
      <c r="JI103" s="38" t="n">
        <v>0</v>
      </c>
      <c r="JJ103" s="284" t="n"/>
      <c r="JK103" s="36">
        <f>$KN103*20</f>
        <v/>
      </c>
      <c r="JL103" s="284" t="n"/>
      <c r="JM103" s="38" t="n">
        <v>0</v>
      </c>
      <c r="JN103" s="284" t="n"/>
      <c r="JO103" s="36">
        <f>$KN103*20</f>
        <v/>
      </c>
      <c r="JP103" s="284" t="n"/>
      <c r="JQ103" s="38" t="n">
        <v>0</v>
      </c>
      <c r="JR103" s="284" t="n"/>
      <c r="JS103" s="36">
        <f>$KN103*20</f>
        <v/>
      </c>
      <c r="JT103" s="284" t="n"/>
      <c r="JU103" s="38" t="n">
        <v>0</v>
      </c>
      <c r="JV103" s="284" t="n"/>
      <c r="JW103" s="36">
        <f>$KN103*20</f>
        <v/>
      </c>
      <c r="JX103" s="284" t="n"/>
      <c r="JY103" s="38" t="n">
        <v>0</v>
      </c>
      <c r="JZ103" s="284" t="n"/>
      <c r="KA103" s="36">
        <f>$KN103*20</f>
        <v/>
      </c>
      <c r="KB103" s="284" t="n"/>
      <c r="KC103" s="38" t="n">
        <v>0</v>
      </c>
      <c r="KD103" s="284" t="n"/>
      <c r="KE103" s="338">
        <f t="array" ref="KE103">SUMPRODUCT(--(MOD(COLUMN($II103:$KD103),4)=MOD(COLUMN($II103),4)),$II103:$KD103)</f>
        <v/>
      </c>
      <c r="KF103" s="339">
        <f>KE103*$J103</f>
        <v/>
      </c>
      <c r="KG103" s="340">
        <f t="array" ref="KG103">SUMPRODUCT(--(MOD(COLUMN($II103:$KD103),4)=MOD(COLUMN($IJ103),4)),$II103:$KD103)</f>
        <v/>
      </c>
      <c r="KH103" s="341">
        <f>KG103*$J103</f>
        <v/>
      </c>
      <c r="KI103" s="342">
        <f t="array" ref="KI103">SUMPRODUCT(--(MOD(COLUMN($II103:$KD103),4)=MOD(COLUMN($IK103),4)),$II103:$KD103)</f>
        <v/>
      </c>
      <c r="KJ103" s="346">
        <f>KI103*$J103</f>
        <v/>
      </c>
      <c r="KK103" s="80" t="n"/>
      <c r="KL103" s="80" t="n"/>
      <c r="KM103" s="80" t="n"/>
      <c r="KN103" s="51" t="n">
        <v>2</v>
      </c>
      <c r="KO103" s="347" t="n"/>
    </row>
    <row r="104" outlineLevel="1" customFormat="1" s="68">
      <c r="A104" s="347" t="n"/>
      <c r="B104" s="347" t="n"/>
      <c r="C104" s="347" t="n"/>
      <c r="D104" s="347" t="n"/>
      <c r="E104" s="61" t="n">
        <v>9</v>
      </c>
      <c r="F104" s="60" t="n">
        <v>1</v>
      </c>
      <c r="G104" s="56" t="n">
        <v>4334010030</v>
      </c>
      <c r="H104" s="57" t="inlineStr">
        <is>
          <t>Упругий элемент</t>
        </is>
      </c>
      <c r="I104" s="348">
        <f>41.9/1.2/0.98</f>
        <v/>
      </c>
      <c r="J104" s="348">
        <f>41.9/1.2*1.0863</f>
        <v/>
      </c>
      <c r="K104" s="348" t="n"/>
      <c r="L104" s="348" t="n"/>
      <c r="M104" s="36" t="n"/>
      <c r="N104" s="284" t="n"/>
      <c r="O104" s="38" t="n"/>
      <c r="P104" s="284" t="n"/>
      <c r="Q104" s="36" t="n"/>
      <c r="R104" s="284" t="n"/>
      <c r="S104" s="38" t="n"/>
      <c r="T104" s="284" t="n"/>
      <c r="U104" s="36" t="n"/>
      <c r="V104" s="39" t="n"/>
      <c r="W104" s="38" t="n"/>
      <c r="X104" s="284" t="n"/>
      <c r="Y104" s="36" t="n"/>
      <c r="Z104" s="284" t="n"/>
      <c r="AA104" s="38" t="n"/>
      <c r="AB104" s="245" t="n"/>
      <c r="AC104" s="36" t="n"/>
      <c r="AD104" s="284" t="n"/>
      <c r="AE104" s="38" t="n"/>
      <c r="AF104" s="284" t="n"/>
      <c r="AG104" s="36" t="n"/>
      <c r="AH104" s="284" t="n"/>
      <c r="AI104" s="38" t="n"/>
      <c r="AJ104" s="284" t="n"/>
      <c r="AK104" s="36" t="n"/>
      <c r="AL104" s="284" t="n"/>
      <c r="AM104" s="54" t="n"/>
      <c r="AN104" s="284" t="n"/>
      <c r="AO104" s="36" t="n"/>
      <c r="AP104" s="284" t="n"/>
      <c r="AQ104" s="38" t="n"/>
      <c r="AR104" s="284" t="n"/>
      <c r="AS104" s="36" t="n"/>
      <c r="AT104" s="284" t="n"/>
      <c r="AU104" s="38" t="n"/>
      <c r="AV104" s="284" t="n"/>
      <c r="AW104" s="36" t="n"/>
      <c r="AX104" s="284" t="n"/>
      <c r="AY104" s="38" t="n"/>
      <c r="AZ104" s="284" t="n"/>
      <c r="BA104" s="36" t="n"/>
      <c r="BB104" s="284" t="n"/>
      <c r="BC104" s="92" t="n"/>
      <c r="BD104" s="284" t="n"/>
      <c r="BE104" s="36" t="n"/>
      <c r="BF104" s="284" t="n"/>
      <c r="BG104" s="54" t="n"/>
      <c r="BH104" s="284" t="n"/>
      <c r="BI104" s="338" t="n"/>
      <c r="BJ104" s="339" t="n"/>
      <c r="BK104" s="340" t="n"/>
      <c r="BL104" s="341" t="n"/>
      <c r="BM104" s="342" t="n"/>
      <c r="BN104" s="343" t="n"/>
      <c r="BO104" s="36" t="n"/>
      <c r="BP104" s="47" t="n"/>
      <c r="BQ104" s="284" t="n"/>
      <c r="BR104" s="38" t="n"/>
      <c r="BS104" s="284" t="n"/>
      <c r="BT104" s="36" t="n"/>
      <c r="BU104" s="47" t="n"/>
      <c r="BV104" s="284" t="n"/>
      <c r="BW104" s="38" t="n"/>
      <c r="BX104" s="284" t="n"/>
      <c r="BY104" s="36" t="n"/>
      <c r="BZ104" s="47" t="n"/>
      <c r="CA104" s="284" t="n"/>
      <c r="CB104" s="38" t="n"/>
      <c r="CC104" s="284" t="n"/>
      <c r="CD104" s="36" t="n"/>
      <c r="CE104" s="47" t="n"/>
      <c r="CF104" s="284" t="n"/>
      <c r="CG104" s="38" t="n"/>
      <c r="CH104" s="284" t="n"/>
      <c r="CI104" s="36" t="n"/>
      <c r="CJ104" s="47" t="n"/>
      <c r="CK104" s="284" t="n"/>
      <c r="CL104" s="38" t="n">
        <v>0</v>
      </c>
      <c r="CM104" s="284" t="n"/>
      <c r="CN104" s="36" t="n"/>
      <c r="CO104" s="47" t="n"/>
      <c r="CP104" s="284" t="n"/>
      <c r="CQ104" s="38" t="n">
        <v>0</v>
      </c>
      <c r="CR104" s="284" t="n"/>
      <c r="CS104" s="36" t="n"/>
      <c r="CT104" s="47" t="n"/>
      <c r="CU104" s="284" t="n"/>
      <c r="CV104" s="38" t="n">
        <v>0</v>
      </c>
      <c r="CW104" s="284" t="n"/>
      <c r="CX104" s="36" t="n"/>
      <c r="CY104" s="47" t="n"/>
      <c r="CZ104" s="284" t="n"/>
      <c r="DA104" s="38" t="n">
        <v>0</v>
      </c>
      <c r="DB104" s="284" t="n"/>
      <c r="DC104" s="36" t="n"/>
      <c r="DD104" s="47" t="n"/>
      <c r="DE104" s="284" t="n"/>
      <c r="DF104" s="38" t="n">
        <v>0</v>
      </c>
      <c r="DG104" s="284" t="n"/>
      <c r="DH104" s="36" t="n"/>
      <c r="DI104" s="47" t="n"/>
      <c r="DJ104" s="284" t="n"/>
      <c r="DK104" s="38" t="n">
        <v>0</v>
      </c>
      <c r="DL104" s="284" t="n"/>
      <c r="DM104" s="36" t="n"/>
      <c r="DN104" s="47" t="n"/>
      <c r="DO104" s="284" t="n"/>
      <c r="DP104" s="38" t="n">
        <v>0</v>
      </c>
      <c r="DQ104" s="284" t="n"/>
      <c r="DR104" s="36" t="n"/>
      <c r="DS104" s="47" t="n"/>
      <c r="DT104" s="284" t="n"/>
      <c r="DU104" s="38" t="n"/>
      <c r="DV104" s="284" t="n"/>
      <c r="DW104" s="338">
        <f t="array" ref="DW104">SUMPRODUCT(--(MOD(COLUMN($BO104:$DV104),5)=MOD(COLUMN($BO104),5)),$BO104:$DV104)</f>
        <v/>
      </c>
      <c r="DX104" s="339">
        <f>DW104*$J104</f>
        <v/>
      </c>
      <c r="DY104" s="344">
        <f t="array" ref="DY104">SUMPRODUCT(--(MOD(COLUMN($BO104:$DV104),5)=MOD(COLUMN($BP104),5)),$BO104:$DV104)</f>
        <v/>
      </c>
      <c r="DZ104" s="345">
        <f>DY104*$J104</f>
        <v/>
      </c>
      <c r="EA104" s="340">
        <f t="array" ref="EA104">SUMPRODUCT(--(MOD(COLUMN($BO104:$DV104),5)=MOD(COLUMN($BQ104),5)),$BO104:$DV104)</f>
        <v/>
      </c>
      <c r="EB104" s="341">
        <f>EA104*$J104</f>
        <v/>
      </c>
      <c r="EC104" s="342">
        <f t="array" ref="EC104">SUMPRODUCT(--(MOD(COLUMN($BO104:$DV104),5)=MOD(COLUMN($BR104),5)),$BO104:$DV104)</f>
        <v/>
      </c>
      <c r="ED104" s="343">
        <f>EC104*$J104</f>
        <v/>
      </c>
      <c r="EE104" s="36" t="n">
        <v>0</v>
      </c>
      <c r="EF104" s="284" t="n">
        <v>0</v>
      </c>
      <c r="EG104" s="38" t="n"/>
      <c r="EH104" s="284" t="n"/>
      <c r="EI104" s="36" t="n">
        <v>0</v>
      </c>
      <c r="EJ104" s="284" t="n">
        <v>0</v>
      </c>
      <c r="EK104" s="38" t="n">
        <v>0</v>
      </c>
      <c r="EL104" s="284" t="n"/>
      <c r="EM104" s="36" t="n"/>
      <c r="EN104" s="284" t="n"/>
      <c r="EO104" s="38" t="n">
        <v>0</v>
      </c>
      <c r="EP104" s="284" t="n"/>
      <c r="EQ104" s="36">
        <f>$KN104*5</f>
        <v/>
      </c>
      <c r="ER104" s="39" t="n">
        <v>0</v>
      </c>
      <c r="ES104" s="38" t="n">
        <v>0</v>
      </c>
      <c r="ET104" s="284" t="n"/>
      <c r="EU104" s="36">
        <f>$KN104*5</f>
        <v/>
      </c>
      <c r="EV104" s="155" t="n">
        <v>0</v>
      </c>
      <c r="EW104" s="38" t="n">
        <v>0</v>
      </c>
      <c r="EX104" s="284" t="n"/>
      <c r="EY104" s="36">
        <f>$KN104*5</f>
        <v/>
      </c>
      <c r="EZ104" s="155" t="n">
        <v>0</v>
      </c>
      <c r="FA104" s="38" t="n">
        <v>0</v>
      </c>
      <c r="FB104" s="284" t="n"/>
      <c r="FC104" s="36">
        <f>$KN104*10</f>
        <v/>
      </c>
      <c r="FD104" s="284" t="n">
        <v>10</v>
      </c>
      <c r="FE104" s="38" t="n">
        <v>0</v>
      </c>
      <c r="FF104" s="284" t="n"/>
      <c r="FG104" s="36">
        <f>$KN104*10</f>
        <v/>
      </c>
      <c r="FH104" s="284" t="n">
        <v>10</v>
      </c>
      <c r="FI104" s="38" t="n">
        <v>0</v>
      </c>
      <c r="FJ104" s="284" t="n"/>
      <c r="FK104" s="36">
        <f>$KN104*10</f>
        <v/>
      </c>
      <c r="FL104" s="284" t="n">
        <v>20</v>
      </c>
      <c r="FM104" s="38" t="n">
        <v>0</v>
      </c>
      <c r="FN104" s="284" t="n"/>
      <c r="FO104" s="36">
        <f>$KN104*10</f>
        <v/>
      </c>
      <c r="FP104" s="284" t="n">
        <v>20</v>
      </c>
      <c r="FQ104" s="38" t="n">
        <v>0</v>
      </c>
      <c r="FR104" s="284" t="n"/>
      <c r="FS104" s="36">
        <f>$KN104*10</f>
        <v/>
      </c>
      <c r="FT104" s="284" t="n">
        <v>20</v>
      </c>
      <c r="FU104" s="38" t="n">
        <v>0</v>
      </c>
      <c r="FV104" s="284" t="n"/>
      <c r="FW104" s="36">
        <f>$KN104*10</f>
        <v/>
      </c>
      <c r="FX104" s="284" t="n">
        <v>20</v>
      </c>
      <c r="FY104" s="38" t="n">
        <v>0</v>
      </c>
      <c r="FZ104" s="284" t="n"/>
      <c r="GA104" s="338">
        <f t="array" ref="GA104">SUMPRODUCT(--(MOD(COLUMN($EE104:$FZ104),4)=MOD(COLUMN($EE104),4)),$EE104:$FZ104)</f>
        <v/>
      </c>
      <c r="GB104" s="339">
        <f>GA104*$J104</f>
        <v/>
      </c>
      <c r="GC104" s="340">
        <f t="array" ref="GC104">SUMPRODUCT(--(MOD(COLUMN($EE104:$FZ104),4)=MOD(COLUMN($EF104),4)),$EE104:$FZ104)</f>
        <v/>
      </c>
      <c r="GD104" s="341">
        <f>GC104*$J104</f>
        <v/>
      </c>
      <c r="GE104" s="342">
        <f t="array" ref="GE104">SUMPRODUCT(--(MOD(COLUMN($EE104:$FZ104),4)=MOD(COLUMN($EG104),4)),$EE104:$FZ104)</f>
        <v/>
      </c>
      <c r="GF104" s="343">
        <f>GE104*$J104</f>
        <v/>
      </c>
      <c r="GG104" s="36">
        <f>$KN104*10</f>
        <v/>
      </c>
      <c r="GH104" s="284" t="n"/>
      <c r="GI104" s="38" t="n">
        <v>0</v>
      </c>
      <c r="GJ104" s="284" t="n"/>
      <c r="GK104" s="36">
        <f>$KN104*10</f>
        <v/>
      </c>
      <c r="GL104" s="284" t="n"/>
      <c r="GM104" s="38" t="n">
        <v>0</v>
      </c>
      <c r="GN104" s="284" t="n"/>
      <c r="GO104" s="36">
        <f>$KN104*15</f>
        <v/>
      </c>
      <c r="GP104" s="284" t="n"/>
      <c r="GQ104" s="38" t="n">
        <v>0</v>
      </c>
      <c r="GR104" s="284" t="n"/>
      <c r="GS104" s="36">
        <f>$KN104*20</f>
        <v/>
      </c>
      <c r="GT104" s="284" t="n"/>
      <c r="GU104" s="38" t="n">
        <v>0</v>
      </c>
      <c r="GV104" s="284" t="n"/>
      <c r="GW104" s="36">
        <f>$KN104*20</f>
        <v/>
      </c>
      <c r="GX104" s="284" t="n"/>
      <c r="GY104" s="38" t="n">
        <v>0</v>
      </c>
      <c r="GZ104" s="284" t="n"/>
      <c r="HA104" s="36">
        <f>$KN104*20</f>
        <v/>
      </c>
      <c r="HB104" s="284" t="n"/>
      <c r="HC104" s="38" t="n">
        <v>0</v>
      </c>
      <c r="HD104" s="284" t="n"/>
      <c r="HE104" s="36">
        <f>$KN104*20</f>
        <v/>
      </c>
      <c r="HF104" s="284" t="n"/>
      <c r="HG104" s="38" t="n">
        <v>0</v>
      </c>
      <c r="HH104" s="284" t="n"/>
      <c r="HI104" s="36">
        <f>$KN104*20</f>
        <v/>
      </c>
      <c r="HJ104" s="284" t="n"/>
      <c r="HK104" s="38" t="n">
        <v>0</v>
      </c>
      <c r="HL104" s="284" t="n"/>
      <c r="HM104" s="36">
        <f>$KN104*20</f>
        <v/>
      </c>
      <c r="HN104" s="284" t="n"/>
      <c r="HO104" s="38" t="n">
        <v>0</v>
      </c>
      <c r="HP104" s="284" t="n"/>
      <c r="HQ104" s="36">
        <f>$KN104*20</f>
        <v/>
      </c>
      <c r="HR104" s="284" t="n"/>
      <c r="HS104" s="38" t="n">
        <v>0</v>
      </c>
      <c r="HT104" s="284" t="n"/>
      <c r="HU104" s="36">
        <f>$KN104*20</f>
        <v/>
      </c>
      <c r="HV104" s="284" t="n"/>
      <c r="HW104" s="38" t="n">
        <v>0</v>
      </c>
      <c r="HX104" s="284" t="n"/>
      <c r="HY104" s="36">
        <f>$KN104*20</f>
        <v/>
      </c>
      <c r="HZ104" s="284" t="n"/>
      <c r="IA104" s="38" t="n">
        <v>0</v>
      </c>
      <c r="IB104" s="284" t="n"/>
      <c r="IC104" s="338">
        <f t="array" ref="IC104">SUMPRODUCT(--(MOD(COLUMN($GG104:$IB104),4)=MOD(COLUMN($GG104),4)),$GG104:$IB104)</f>
        <v/>
      </c>
      <c r="ID104" s="339">
        <f>IC104*$J104</f>
        <v/>
      </c>
      <c r="IE104" s="340">
        <f t="array" ref="IE104">SUMPRODUCT(--(MOD(COLUMN($GG104:$IB104),4)=MOD(COLUMN($GH104),4)),$GG104:$IB104)</f>
        <v/>
      </c>
      <c r="IF104" s="341">
        <f>IE104*$J104</f>
        <v/>
      </c>
      <c r="IG104" s="342">
        <f t="array" ref="IG104">SUMPRODUCT(--(MOD(COLUMN($GG104:$IB104),4)=MOD(COLUMN($GI104),4)),$GG104:$IB104)</f>
        <v/>
      </c>
      <c r="IH104" s="343">
        <f>IG104*$J104</f>
        <v/>
      </c>
      <c r="II104" s="36">
        <f>$KN104*10</f>
        <v/>
      </c>
      <c r="IJ104" s="284" t="n"/>
      <c r="IK104" s="38" t="n">
        <v>0</v>
      </c>
      <c r="IL104" s="284" t="n"/>
      <c r="IM104" s="36">
        <f>$KN104*10</f>
        <v/>
      </c>
      <c r="IN104" s="284" t="n"/>
      <c r="IO104" s="38" t="n">
        <v>0</v>
      </c>
      <c r="IP104" s="284" t="n"/>
      <c r="IQ104" s="36">
        <f>$KN104*15</f>
        <v/>
      </c>
      <c r="IR104" s="284" t="n"/>
      <c r="IS104" s="38" t="n">
        <v>0</v>
      </c>
      <c r="IT104" s="284" t="n"/>
      <c r="IU104" s="36">
        <f>$KN104*20</f>
        <v/>
      </c>
      <c r="IV104" s="284" t="n"/>
      <c r="IW104" s="38" t="n">
        <v>0</v>
      </c>
      <c r="IX104" s="284" t="n"/>
      <c r="IY104" s="36">
        <f>$KN104*20</f>
        <v/>
      </c>
      <c r="IZ104" s="284" t="n"/>
      <c r="JA104" s="38" t="n">
        <v>0</v>
      </c>
      <c r="JB104" s="284" t="n"/>
      <c r="JC104" s="36">
        <f>$KN104*20</f>
        <v/>
      </c>
      <c r="JD104" s="284" t="n"/>
      <c r="JE104" s="38" t="n">
        <v>0</v>
      </c>
      <c r="JF104" s="284" t="n"/>
      <c r="JG104" s="36">
        <f>$KN104*20</f>
        <v/>
      </c>
      <c r="JH104" s="284" t="n"/>
      <c r="JI104" s="38" t="n">
        <v>0</v>
      </c>
      <c r="JJ104" s="284" t="n"/>
      <c r="JK104" s="36">
        <f>$KN104*20</f>
        <v/>
      </c>
      <c r="JL104" s="284" t="n"/>
      <c r="JM104" s="38" t="n">
        <v>0</v>
      </c>
      <c r="JN104" s="284" t="n"/>
      <c r="JO104" s="36">
        <f>$KN104*20</f>
        <v/>
      </c>
      <c r="JP104" s="284" t="n"/>
      <c r="JQ104" s="38" t="n">
        <v>0</v>
      </c>
      <c r="JR104" s="284" t="n"/>
      <c r="JS104" s="36">
        <f>$KN104*20</f>
        <v/>
      </c>
      <c r="JT104" s="284" t="n"/>
      <c r="JU104" s="38" t="n">
        <v>0</v>
      </c>
      <c r="JV104" s="284" t="n"/>
      <c r="JW104" s="36">
        <f>$KN104*20</f>
        <v/>
      </c>
      <c r="JX104" s="284" t="n"/>
      <c r="JY104" s="38" t="n">
        <v>0</v>
      </c>
      <c r="JZ104" s="284" t="n"/>
      <c r="KA104" s="36">
        <f>$KN104*20</f>
        <v/>
      </c>
      <c r="KB104" s="284" t="n"/>
      <c r="KC104" s="38" t="n">
        <v>0</v>
      </c>
      <c r="KD104" s="284" t="n"/>
      <c r="KE104" s="338">
        <f t="array" ref="KE104">SUMPRODUCT(--(MOD(COLUMN($II104:$KD104),4)=MOD(COLUMN($II104),4)),$II104:$KD104)</f>
        <v/>
      </c>
      <c r="KF104" s="339">
        <f>KE104*$J104</f>
        <v/>
      </c>
      <c r="KG104" s="340">
        <f t="array" ref="KG104">SUMPRODUCT(--(MOD(COLUMN($II104:$KD104),4)=MOD(COLUMN($IJ104),4)),$II104:$KD104)</f>
        <v/>
      </c>
      <c r="KH104" s="341">
        <f>KG104*$J104</f>
        <v/>
      </c>
      <c r="KI104" s="342">
        <f t="array" ref="KI104">SUMPRODUCT(--(MOD(COLUMN($II104:$KD104),4)=MOD(COLUMN($IK104),4)),$II104:$KD104)</f>
        <v/>
      </c>
      <c r="KJ104" s="346">
        <f>KI104*$J104</f>
        <v/>
      </c>
      <c r="KK104" s="80" t="n"/>
      <c r="KL104" s="80" t="n"/>
      <c r="KM104" s="80" t="n"/>
      <c r="KN104" s="51" t="n">
        <v>2</v>
      </c>
      <c r="KO104" s="347" t="n"/>
    </row>
    <row r="105" outlineLevel="1" ht="28.8" customFormat="1" customHeight="1" s="68">
      <c r="A105" s="347" t="n"/>
      <c r="B105" s="347" t="n"/>
      <c r="C105" s="347" t="n"/>
      <c r="D105" s="347" t="n"/>
      <c r="E105" s="61" t="n">
        <v>10</v>
      </c>
      <c r="F105" s="61" t="n">
        <v>1</v>
      </c>
      <c r="G105" s="33" t="n">
        <v>4802070600</v>
      </c>
      <c r="H105" s="34" t="inlineStr">
        <is>
          <t>Ускорительный клапан TEBS</t>
        </is>
      </c>
      <c r="I105" s="360">
        <f>3465/1.2</f>
        <v/>
      </c>
      <c r="J105" s="360">
        <f>3465/1.2</f>
        <v/>
      </c>
      <c r="K105" s="360" t="n"/>
      <c r="L105" s="360" t="n"/>
      <c r="M105" s="36" t="n"/>
      <c r="N105" s="284" t="n"/>
      <c r="O105" s="38" t="n"/>
      <c r="P105" s="284" t="n"/>
      <c r="Q105" s="36" t="n"/>
      <c r="R105" s="284" t="n"/>
      <c r="S105" s="38" t="n"/>
      <c r="T105" s="284" t="n"/>
      <c r="U105" s="36" t="n"/>
      <c r="V105" s="39" t="n"/>
      <c r="W105" s="38" t="n"/>
      <c r="X105" s="284" t="n"/>
      <c r="Y105" s="36" t="n"/>
      <c r="Z105" s="284" t="n"/>
      <c r="AA105" s="38" t="n"/>
      <c r="AB105" s="245" t="n"/>
      <c r="AC105" s="36" t="n"/>
      <c r="AD105" s="284" t="n"/>
      <c r="AE105" s="38" t="n"/>
      <c r="AF105" s="284" t="n"/>
      <c r="AG105" s="36" t="n"/>
      <c r="AH105" s="284" t="n"/>
      <c r="AI105" s="38" t="n"/>
      <c r="AJ105" s="284" t="n"/>
      <c r="AK105" s="36" t="n"/>
      <c r="AL105" s="284" t="n"/>
      <c r="AM105" s="54" t="n"/>
      <c r="AN105" s="284" t="n"/>
      <c r="AO105" s="36" t="n"/>
      <c r="AP105" s="284" t="n"/>
      <c r="AQ105" s="38" t="n"/>
      <c r="AR105" s="284" t="n"/>
      <c r="AS105" s="36" t="n"/>
      <c r="AT105" s="284" t="n"/>
      <c r="AU105" s="38" t="n"/>
      <c r="AV105" s="284" t="n"/>
      <c r="AW105" s="36" t="n"/>
      <c r="AX105" s="284" t="n"/>
      <c r="AY105" s="38" t="n"/>
      <c r="AZ105" s="284" t="n"/>
      <c r="BA105" s="36" t="n"/>
      <c r="BB105" s="284" t="n"/>
      <c r="BC105" s="92" t="n"/>
      <c r="BD105" s="284" t="n"/>
      <c r="BE105" s="36" t="n"/>
      <c r="BF105" s="284" t="n"/>
      <c r="BG105" s="54" t="n"/>
      <c r="BH105" s="284" t="n"/>
      <c r="BI105" s="338" t="n"/>
      <c r="BJ105" s="339" t="n"/>
      <c r="BK105" s="340" t="n"/>
      <c r="BL105" s="341" t="n"/>
      <c r="BM105" s="342" t="n"/>
      <c r="BN105" s="343" t="n"/>
      <c r="BO105" s="36" t="n"/>
      <c r="BP105" s="47" t="n"/>
      <c r="BQ105" s="284" t="n"/>
      <c r="BR105" s="38" t="n"/>
      <c r="BS105" s="284" t="n"/>
      <c r="BT105" s="36" t="n"/>
      <c r="BU105" s="47" t="n"/>
      <c r="BV105" s="284" t="n"/>
      <c r="BW105" s="38" t="n"/>
      <c r="BX105" s="284" t="n"/>
      <c r="BY105" s="36" t="n"/>
      <c r="BZ105" s="47" t="n"/>
      <c r="CA105" s="284" t="n"/>
      <c r="CB105" s="38" t="n"/>
      <c r="CC105" s="284" t="n"/>
      <c r="CD105" s="36" t="n"/>
      <c r="CE105" s="47" t="n"/>
      <c r="CF105" s="284" t="n"/>
      <c r="CG105" s="38" t="n"/>
      <c r="CH105" s="284" t="n"/>
      <c r="CI105" s="36" t="n"/>
      <c r="CJ105" s="47" t="n"/>
      <c r="CK105" s="284" t="n"/>
      <c r="CL105" s="38" t="n">
        <v>0</v>
      </c>
      <c r="CM105" s="284" t="n"/>
      <c r="CN105" s="36" t="n"/>
      <c r="CO105" s="47" t="n"/>
      <c r="CP105" s="284" t="n"/>
      <c r="CQ105" s="38" t="n">
        <v>0</v>
      </c>
      <c r="CR105" s="284" t="n"/>
      <c r="CS105" s="36" t="n"/>
      <c r="CT105" s="47" t="n"/>
      <c r="CU105" s="284" t="n"/>
      <c r="CV105" s="38" t="n">
        <v>0</v>
      </c>
      <c r="CW105" s="284" t="n"/>
      <c r="CX105" s="36" t="n"/>
      <c r="CY105" s="47" t="n"/>
      <c r="CZ105" s="284" t="n"/>
      <c r="DA105" s="38" t="n">
        <v>0</v>
      </c>
      <c r="DB105" s="284" t="n"/>
      <c r="DC105" s="36" t="n"/>
      <c r="DD105" s="47" t="n"/>
      <c r="DE105" s="284" t="n"/>
      <c r="DF105" s="38" t="n">
        <v>0</v>
      </c>
      <c r="DG105" s="284" t="n"/>
      <c r="DH105" s="36" t="n"/>
      <c r="DI105" s="47" t="n"/>
      <c r="DJ105" s="284" t="n"/>
      <c r="DK105" s="38" t="n">
        <v>0</v>
      </c>
      <c r="DL105" s="284" t="n"/>
      <c r="DM105" s="36" t="n"/>
      <c r="DN105" s="47" t="n"/>
      <c r="DO105" s="284" t="n"/>
      <c r="DP105" s="38" t="n">
        <v>0</v>
      </c>
      <c r="DQ105" s="284" t="n"/>
      <c r="DR105" s="36" t="n"/>
      <c r="DS105" s="47" t="n"/>
      <c r="DT105" s="284" t="n"/>
      <c r="DU105" s="38" t="n"/>
      <c r="DV105" s="284" t="n"/>
      <c r="DW105" s="338">
        <f t="array" ref="DW105">SUMPRODUCT(--(MOD(COLUMN($BO105:$DV105),5)=MOD(COLUMN($BO105),5)),$BO105:$DV105)</f>
        <v/>
      </c>
      <c r="DX105" s="339">
        <f>DW105*$J105</f>
        <v/>
      </c>
      <c r="DY105" s="344">
        <f t="array" ref="DY105">SUMPRODUCT(--(MOD(COLUMN($BO105:$DV105),5)=MOD(COLUMN($BP105),5)),$BO105:$DV105)</f>
        <v/>
      </c>
      <c r="DZ105" s="345">
        <f>DY105*$J105</f>
        <v/>
      </c>
      <c r="EA105" s="340">
        <f t="array" ref="EA105">SUMPRODUCT(--(MOD(COLUMN($BO105:$DV105),5)=MOD(COLUMN($BQ105),5)),$BO105:$DV105)</f>
        <v/>
      </c>
      <c r="EB105" s="341">
        <f>EA105*$J105</f>
        <v/>
      </c>
      <c r="EC105" s="342">
        <f t="array" ref="EC105">SUMPRODUCT(--(MOD(COLUMN($BO105:$DV105),5)=MOD(COLUMN($BR105),5)),$BO105:$DV105)</f>
        <v/>
      </c>
      <c r="ED105" s="343">
        <f>EC105*$J105</f>
        <v/>
      </c>
      <c r="EE105" s="36" t="n">
        <v>0</v>
      </c>
      <c r="EF105" s="284" t="n">
        <v>0</v>
      </c>
      <c r="EG105" s="38" t="n"/>
      <c r="EH105" s="284" t="n"/>
      <c r="EI105" s="36" t="n">
        <v>0</v>
      </c>
      <c r="EJ105" s="284" t="n">
        <v>0</v>
      </c>
      <c r="EK105" s="38" t="n">
        <v>0</v>
      </c>
      <c r="EL105" s="284" t="n"/>
      <c r="EM105" s="36" t="n"/>
      <c r="EN105" s="284" t="n"/>
      <c r="EO105" s="38" t="n"/>
      <c r="EP105" s="284" t="n"/>
      <c r="EQ105" s="36">
        <f>$KN105*5</f>
        <v/>
      </c>
      <c r="ER105" s="39" t="n">
        <v>0</v>
      </c>
      <c r="ES105" s="38" t="n">
        <v>0</v>
      </c>
      <c r="ET105" s="284" t="n"/>
      <c r="EU105" s="36">
        <f>$KN105*5</f>
        <v/>
      </c>
      <c r="EV105" s="155" t="n">
        <v>0</v>
      </c>
      <c r="EW105" s="38" t="n">
        <v>0</v>
      </c>
      <c r="EX105" s="284" t="n"/>
      <c r="EY105" s="36">
        <f>$KN105*5</f>
        <v/>
      </c>
      <c r="EZ105" s="155" t="n">
        <v>0</v>
      </c>
      <c r="FA105" s="38" t="n">
        <v>0</v>
      </c>
      <c r="FB105" s="284" t="n"/>
      <c r="FC105" s="36">
        <f>$KN105*10</f>
        <v/>
      </c>
      <c r="FD105" s="284" t="n">
        <v>5</v>
      </c>
      <c r="FE105" s="38" t="n">
        <v>0</v>
      </c>
      <c r="FF105" s="284" t="n"/>
      <c r="FG105" s="36">
        <f>$KN105*10</f>
        <v/>
      </c>
      <c r="FH105" s="284" t="n">
        <v>5</v>
      </c>
      <c r="FI105" s="38" t="n">
        <v>0</v>
      </c>
      <c r="FJ105" s="284" t="n"/>
      <c r="FK105" s="36">
        <f>$KN105*10</f>
        <v/>
      </c>
      <c r="FL105" s="284" t="n">
        <v>10</v>
      </c>
      <c r="FM105" s="38" t="n">
        <v>0</v>
      </c>
      <c r="FN105" s="284" t="n"/>
      <c r="FO105" s="36">
        <f>$KN105*10</f>
        <v/>
      </c>
      <c r="FP105" s="284" t="n">
        <v>10</v>
      </c>
      <c r="FQ105" s="38" t="n">
        <v>0</v>
      </c>
      <c r="FR105" s="284" t="n"/>
      <c r="FS105" s="36">
        <f>$KN105*10</f>
        <v/>
      </c>
      <c r="FT105" s="284" t="n">
        <v>10</v>
      </c>
      <c r="FU105" s="38" t="n">
        <v>0</v>
      </c>
      <c r="FV105" s="284" t="n"/>
      <c r="FW105" s="36">
        <f>$KN105*10</f>
        <v/>
      </c>
      <c r="FX105" s="284" t="n">
        <v>10</v>
      </c>
      <c r="FY105" s="38" t="n">
        <v>0</v>
      </c>
      <c r="FZ105" s="284" t="n"/>
      <c r="GA105" s="338">
        <f t="array" ref="GA105">SUMPRODUCT(--(MOD(COLUMN($EE105:$FZ105),4)=MOD(COLUMN($EE105),4)),$EE105:$FZ105)</f>
        <v/>
      </c>
      <c r="GB105" s="339">
        <f>GA105*$J105</f>
        <v/>
      </c>
      <c r="GC105" s="340">
        <f t="array" ref="GC105">SUMPRODUCT(--(MOD(COLUMN($EE105:$FZ105),4)=MOD(COLUMN($EF105),4)),$EE105:$FZ105)</f>
        <v/>
      </c>
      <c r="GD105" s="341">
        <f>GC105*$J105</f>
        <v/>
      </c>
      <c r="GE105" s="342">
        <f t="array" ref="GE105">SUMPRODUCT(--(MOD(COLUMN($EE105:$FZ105),4)=MOD(COLUMN($EG105),4)),$EE105:$FZ105)</f>
        <v/>
      </c>
      <c r="GF105" s="343">
        <f>GE105*$J105</f>
        <v/>
      </c>
      <c r="GG105" s="36">
        <f>$KN105*10</f>
        <v/>
      </c>
      <c r="GH105" s="284" t="n"/>
      <c r="GI105" s="38" t="n">
        <v>0</v>
      </c>
      <c r="GJ105" s="284" t="n"/>
      <c r="GK105" s="36">
        <f>$KN105*10</f>
        <v/>
      </c>
      <c r="GL105" s="284" t="n"/>
      <c r="GM105" s="38" t="n">
        <v>0</v>
      </c>
      <c r="GN105" s="284" t="n"/>
      <c r="GO105" s="36">
        <f>$KN105*15</f>
        <v/>
      </c>
      <c r="GP105" s="284" t="n"/>
      <c r="GQ105" s="38" t="n">
        <v>0</v>
      </c>
      <c r="GR105" s="284" t="n"/>
      <c r="GS105" s="36">
        <f>$KN105*20</f>
        <v/>
      </c>
      <c r="GT105" s="284" t="n"/>
      <c r="GU105" s="38" t="n">
        <v>0</v>
      </c>
      <c r="GV105" s="284" t="n"/>
      <c r="GW105" s="36">
        <f>$KN105*20</f>
        <v/>
      </c>
      <c r="GX105" s="284" t="n"/>
      <c r="GY105" s="38" t="n">
        <v>0</v>
      </c>
      <c r="GZ105" s="284" t="n"/>
      <c r="HA105" s="36">
        <f>$KN105*20</f>
        <v/>
      </c>
      <c r="HB105" s="284" t="n"/>
      <c r="HC105" s="38" t="n">
        <v>0</v>
      </c>
      <c r="HD105" s="284" t="n"/>
      <c r="HE105" s="36">
        <f>$KN105*20</f>
        <v/>
      </c>
      <c r="HF105" s="284" t="n"/>
      <c r="HG105" s="38" t="n">
        <v>0</v>
      </c>
      <c r="HH105" s="284" t="n"/>
      <c r="HI105" s="36">
        <f>$KN105*20</f>
        <v/>
      </c>
      <c r="HJ105" s="284" t="n"/>
      <c r="HK105" s="38" t="n">
        <v>0</v>
      </c>
      <c r="HL105" s="284" t="n"/>
      <c r="HM105" s="36">
        <f>$KN105*20</f>
        <v/>
      </c>
      <c r="HN105" s="284" t="n"/>
      <c r="HO105" s="38" t="n">
        <v>0</v>
      </c>
      <c r="HP105" s="284" t="n"/>
      <c r="HQ105" s="36">
        <f>$KN105*20</f>
        <v/>
      </c>
      <c r="HR105" s="284" t="n"/>
      <c r="HS105" s="38" t="n">
        <v>0</v>
      </c>
      <c r="HT105" s="284" t="n"/>
      <c r="HU105" s="36">
        <f>$KN105*20</f>
        <v/>
      </c>
      <c r="HV105" s="284" t="n"/>
      <c r="HW105" s="38" t="n">
        <v>0</v>
      </c>
      <c r="HX105" s="284" t="n"/>
      <c r="HY105" s="36">
        <f>$KN105*20</f>
        <v/>
      </c>
      <c r="HZ105" s="284" t="n"/>
      <c r="IA105" s="38" t="n">
        <v>0</v>
      </c>
      <c r="IB105" s="284" t="n"/>
      <c r="IC105" s="338">
        <f t="array" ref="IC105">SUMPRODUCT(--(MOD(COLUMN($GG105:$IB105),4)=MOD(COLUMN($GG105),4)),$GG105:$IB105)</f>
        <v/>
      </c>
      <c r="ID105" s="339">
        <f>IC105*$J105</f>
        <v/>
      </c>
      <c r="IE105" s="340">
        <f t="array" ref="IE105">SUMPRODUCT(--(MOD(COLUMN($GG105:$IB105),4)=MOD(COLUMN($GH105),4)),$GG105:$IB105)</f>
        <v/>
      </c>
      <c r="IF105" s="341">
        <f>IE105*$J105</f>
        <v/>
      </c>
      <c r="IG105" s="342">
        <f t="array" ref="IG105">SUMPRODUCT(--(MOD(COLUMN($GG105:$IB105),4)=MOD(COLUMN($GI105),4)),$GG105:$IB105)</f>
        <v/>
      </c>
      <c r="IH105" s="343">
        <f>IG105*$J105</f>
        <v/>
      </c>
      <c r="II105" s="36">
        <f>$KN105*10</f>
        <v/>
      </c>
      <c r="IJ105" s="284" t="n"/>
      <c r="IK105" s="38" t="n">
        <v>0</v>
      </c>
      <c r="IL105" s="284" t="n"/>
      <c r="IM105" s="36">
        <f>$KN105*10</f>
        <v/>
      </c>
      <c r="IN105" s="284" t="n"/>
      <c r="IO105" s="38" t="n">
        <v>0</v>
      </c>
      <c r="IP105" s="284" t="n"/>
      <c r="IQ105" s="36">
        <f>$KN105*15</f>
        <v/>
      </c>
      <c r="IR105" s="284" t="n"/>
      <c r="IS105" s="38" t="n">
        <v>0</v>
      </c>
      <c r="IT105" s="284" t="n"/>
      <c r="IU105" s="36">
        <f>$KN105*20</f>
        <v/>
      </c>
      <c r="IV105" s="284" t="n"/>
      <c r="IW105" s="38" t="n">
        <v>0</v>
      </c>
      <c r="IX105" s="284" t="n"/>
      <c r="IY105" s="36">
        <f>$KN105*20</f>
        <v/>
      </c>
      <c r="IZ105" s="284" t="n"/>
      <c r="JA105" s="38" t="n">
        <v>0</v>
      </c>
      <c r="JB105" s="284" t="n"/>
      <c r="JC105" s="36">
        <f>$KN105*20</f>
        <v/>
      </c>
      <c r="JD105" s="284" t="n"/>
      <c r="JE105" s="38" t="n">
        <v>0</v>
      </c>
      <c r="JF105" s="284" t="n"/>
      <c r="JG105" s="36">
        <f>$KN105*20</f>
        <v/>
      </c>
      <c r="JH105" s="284" t="n"/>
      <c r="JI105" s="38" t="n">
        <v>0</v>
      </c>
      <c r="JJ105" s="284" t="n"/>
      <c r="JK105" s="36">
        <f>$KN105*20</f>
        <v/>
      </c>
      <c r="JL105" s="284" t="n"/>
      <c r="JM105" s="38" t="n">
        <v>0</v>
      </c>
      <c r="JN105" s="284" t="n"/>
      <c r="JO105" s="36">
        <f>$KN105*20</f>
        <v/>
      </c>
      <c r="JP105" s="284" t="n"/>
      <c r="JQ105" s="38" t="n">
        <v>0</v>
      </c>
      <c r="JR105" s="284" t="n"/>
      <c r="JS105" s="36">
        <f>$KN105*20</f>
        <v/>
      </c>
      <c r="JT105" s="284" t="n"/>
      <c r="JU105" s="38" t="n">
        <v>0</v>
      </c>
      <c r="JV105" s="284" t="n"/>
      <c r="JW105" s="36">
        <f>$KN105*20</f>
        <v/>
      </c>
      <c r="JX105" s="284" t="n"/>
      <c r="JY105" s="38" t="n">
        <v>0</v>
      </c>
      <c r="JZ105" s="284" t="n"/>
      <c r="KA105" s="36">
        <f>$KN105*20</f>
        <v/>
      </c>
      <c r="KB105" s="284" t="n"/>
      <c r="KC105" s="38" t="n">
        <v>0</v>
      </c>
      <c r="KD105" s="284" t="n"/>
      <c r="KE105" s="338">
        <f t="array" ref="KE105">SUMPRODUCT(--(MOD(COLUMN($II105:$KD105),4)=MOD(COLUMN($II105),4)),$II105:$KD105)</f>
        <v/>
      </c>
      <c r="KF105" s="339">
        <f>KE105*$J105</f>
        <v/>
      </c>
      <c r="KG105" s="340">
        <f t="array" ref="KG105">SUMPRODUCT(--(MOD(COLUMN($II105:$KD105),4)=MOD(COLUMN($IJ105),4)),$II105:$KD105)</f>
        <v/>
      </c>
      <c r="KH105" s="341">
        <f>KG105*$J105</f>
        <v/>
      </c>
      <c r="KI105" s="342">
        <f t="array" ref="KI105">SUMPRODUCT(--(MOD(COLUMN($II105:$KD105),4)=MOD(COLUMN($IK105),4)),$II105:$KD105)</f>
        <v/>
      </c>
      <c r="KJ105" s="346">
        <f>KI105*$J105</f>
        <v/>
      </c>
      <c r="KK105" s="80" t="n"/>
      <c r="KL105" s="80" t="n"/>
      <c r="KM105" s="80" t="n"/>
      <c r="KN105" s="51" t="n">
        <v>1</v>
      </c>
      <c r="KO105" s="347" t="n"/>
    </row>
    <row r="106" outlineLevel="1" ht="43.2" customFormat="1" customHeight="1" s="68">
      <c r="A106" s="333" t="n"/>
      <c r="B106" s="333" t="n"/>
      <c r="C106" s="333" t="n"/>
      <c r="D106" s="333" t="n"/>
      <c r="E106" s="61" t="n">
        <v>11</v>
      </c>
      <c r="F106" s="61" t="n">
        <v>1</v>
      </c>
      <c r="G106" s="147" t="n">
        <v>4494300900</v>
      </c>
      <c r="H106" s="148" t="inlineStr">
        <is>
          <t>Кабель ускорительного клапана TEBS, 9 м</t>
        </is>
      </c>
      <c r="I106" s="360">
        <f>1726.2/1.2</f>
        <v/>
      </c>
      <c r="J106" s="360">
        <f>1726.2/1.2</f>
        <v/>
      </c>
      <c r="K106" s="360" t="n"/>
      <c r="L106" s="360" t="n"/>
      <c r="M106" s="36" t="n"/>
      <c r="N106" s="284" t="n"/>
      <c r="O106" s="38" t="n"/>
      <c r="P106" s="284" t="n"/>
      <c r="Q106" s="36" t="n"/>
      <c r="R106" s="284" t="n"/>
      <c r="S106" s="38" t="n"/>
      <c r="T106" s="284" t="n"/>
      <c r="U106" s="36" t="n"/>
      <c r="V106" s="39" t="n"/>
      <c r="W106" s="38" t="n"/>
      <c r="X106" s="284" t="n"/>
      <c r="Y106" s="36" t="n"/>
      <c r="Z106" s="284" t="n"/>
      <c r="AA106" s="38" t="n"/>
      <c r="AB106" s="245" t="n"/>
      <c r="AC106" s="36" t="n"/>
      <c r="AD106" s="284" t="n"/>
      <c r="AE106" s="38" t="n"/>
      <c r="AF106" s="284" t="n"/>
      <c r="AG106" s="36" t="n"/>
      <c r="AH106" s="284" t="n"/>
      <c r="AI106" s="38" t="n"/>
      <c r="AJ106" s="284" t="n"/>
      <c r="AK106" s="36" t="n"/>
      <c r="AL106" s="284" t="n"/>
      <c r="AM106" s="54" t="n"/>
      <c r="AN106" s="284" t="n"/>
      <c r="AO106" s="36" t="n"/>
      <c r="AP106" s="284" t="n"/>
      <c r="AQ106" s="38" t="n"/>
      <c r="AR106" s="284" t="n"/>
      <c r="AS106" s="36" t="n"/>
      <c r="AT106" s="284" t="n"/>
      <c r="AU106" s="38" t="n"/>
      <c r="AV106" s="284" t="n"/>
      <c r="AW106" s="36" t="n"/>
      <c r="AX106" s="284" t="n"/>
      <c r="AY106" s="38" t="n"/>
      <c r="AZ106" s="284" t="n"/>
      <c r="BA106" s="36" t="n"/>
      <c r="BB106" s="284" t="n"/>
      <c r="BC106" s="92" t="n"/>
      <c r="BD106" s="284" t="n"/>
      <c r="BE106" s="36" t="n"/>
      <c r="BF106" s="284" t="n"/>
      <c r="BG106" s="54" t="n"/>
      <c r="BH106" s="284" t="n"/>
      <c r="BI106" s="338" t="n"/>
      <c r="BJ106" s="339" t="n"/>
      <c r="BK106" s="340" t="n"/>
      <c r="BL106" s="341" t="n"/>
      <c r="BM106" s="342" t="n"/>
      <c r="BN106" s="343" t="n"/>
      <c r="BO106" s="36" t="n"/>
      <c r="BP106" s="47" t="n"/>
      <c r="BQ106" s="284" t="n"/>
      <c r="BR106" s="38" t="n"/>
      <c r="BS106" s="284" t="n"/>
      <c r="BT106" s="36" t="n"/>
      <c r="BU106" s="47" t="n"/>
      <c r="BV106" s="284" t="n"/>
      <c r="BW106" s="38" t="n"/>
      <c r="BX106" s="284" t="n"/>
      <c r="BY106" s="36" t="n"/>
      <c r="BZ106" s="47" t="n"/>
      <c r="CA106" s="284" t="n"/>
      <c r="CB106" s="38" t="n"/>
      <c r="CC106" s="284" t="n"/>
      <c r="CD106" s="36" t="n"/>
      <c r="CE106" s="47" t="n"/>
      <c r="CF106" s="284" t="n"/>
      <c r="CG106" s="38" t="n"/>
      <c r="CH106" s="284" t="n"/>
      <c r="CI106" s="36" t="n"/>
      <c r="CJ106" s="47" t="n"/>
      <c r="CK106" s="284" t="n"/>
      <c r="CL106" s="38" t="n">
        <v>0</v>
      </c>
      <c r="CM106" s="284" t="n"/>
      <c r="CN106" s="36" t="n"/>
      <c r="CO106" s="47" t="n"/>
      <c r="CP106" s="284" t="n"/>
      <c r="CQ106" s="38" t="n">
        <v>0</v>
      </c>
      <c r="CR106" s="284" t="n"/>
      <c r="CS106" s="36" t="n"/>
      <c r="CT106" s="47" t="n"/>
      <c r="CU106" s="284" t="n"/>
      <c r="CV106" s="38" t="n">
        <v>0</v>
      </c>
      <c r="CW106" s="284" t="n"/>
      <c r="CX106" s="36" t="n"/>
      <c r="CY106" s="47" t="n"/>
      <c r="CZ106" s="284" t="n"/>
      <c r="DA106" s="38" t="n">
        <v>0</v>
      </c>
      <c r="DB106" s="284" t="n"/>
      <c r="DC106" s="36" t="n"/>
      <c r="DD106" s="47" t="n"/>
      <c r="DE106" s="284" t="n"/>
      <c r="DF106" s="38" t="n">
        <v>0</v>
      </c>
      <c r="DG106" s="284" t="n"/>
      <c r="DH106" s="36" t="n"/>
      <c r="DI106" s="47" t="n"/>
      <c r="DJ106" s="284" t="n"/>
      <c r="DK106" s="38" t="n">
        <v>0</v>
      </c>
      <c r="DL106" s="284" t="n"/>
      <c r="DM106" s="36" t="n"/>
      <c r="DN106" s="47" t="n"/>
      <c r="DO106" s="284" t="n"/>
      <c r="DP106" s="38" t="n">
        <v>0</v>
      </c>
      <c r="DQ106" s="284" t="n"/>
      <c r="DR106" s="36" t="n"/>
      <c r="DS106" s="47" t="n"/>
      <c r="DT106" s="284" t="n"/>
      <c r="DU106" s="38" t="n"/>
      <c r="DV106" s="284" t="n"/>
      <c r="DW106" s="338">
        <f t="array" ref="DW106">SUMPRODUCT(--(MOD(COLUMN($BO106:$DV106),5)=MOD(COLUMN($BO106),5)),$BO106:$DV106)</f>
        <v/>
      </c>
      <c r="DX106" s="339">
        <f>DW106*$J106</f>
        <v/>
      </c>
      <c r="DY106" s="344">
        <f t="array" ref="DY106">SUMPRODUCT(--(MOD(COLUMN($BO106:$DV106),5)=MOD(COLUMN($BP106),5)),$BO106:$DV106)</f>
        <v/>
      </c>
      <c r="DZ106" s="345">
        <f>DY106*$J106</f>
        <v/>
      </c>
      <c r="EA106" s="340">
        <f t="array" ref="EA106">SUMPRODUCT(--(MOD(COLUMN($BO106:$DV106),5)=MOD(COLUMN($BQ106),5)),$BO106:$DV106)</f>
        <v/>
      </c>
      <c r="EB106" s="341">
        <f>EA106*$J106</f>
        <v/>
      </c>
      <c r="EC106" s="342">
        <f t="array" ref="EC106">SUMPRODUCT(--(MOD(COLUMN($BO106:$DV106),5)=MOD(COLUMN($BR106),5)),$BO106:$DV106)</f>
        <v/>
      </c>
      <c r="ED106" s="343">
        <f>EC106*$J106</f>
        <v/>
      </c>
      <c r="EE106" s="36" t="n">
        <v>0</v>
      </c>
      <c r="EF106" s="284" t="n">
        <v>0</v>
      </c>
      <c r="EG106" s="38" t="n"/>
      <c r="EH106" s="284" t="n"/>
      <c r="EI106" s="36" t="n">
        <v>0</v>
      </c>
      <c r="EJ106" s="284" t="n">
        <v>0</v>
      </c>
      <c r="EK106" s="38" t="n">
        <v>0</v>
      </c>
      <c r="EL106" s="284" t="n"/>
      <c r="EM106" s="36" t="n"/>
      <c r="EN106" s="284" t="n"/>
      <c r="EO106" s="38" t="n"/>
      <c r="EP106" s="284" t="n"/>
      <c r="EQ106" s="36">
        <f>$KN106*5</f>
        <v/>
      </c>
      <c r="ER106" s="39" t="n">
        <v>0</v>
      </c>
      <c r="ES106" s="38" t="n">
        <v>0</v>
      </c>
      <c r="ET106" s="284" t="n"/>
      <c r="EU106" s="36">
        <f>$KN106*5</f>
        <v/>
      </c>
      <c r="EV106" s="155" t="n">
        <v>0</v>
      </c>
      <c r="EW106" s="38" t="n">
        <v>0</v>
      </c>
      <c r="EX106" s="284" t="n"/>
      <c r="EY106" s="36">
        <f>$KN106*5</f>
        <v/>
      </c>
      <c r="EZ106" s="155" t="n">
        <v>0</v>
      </c>
      <c r="FA106" s="38" t="n">
        <v>0</v>
      </c>
      <c r="FB106" s="284" t="n"/>
      <c r="FC106" s="36">
        <f>$KN106*10</f>
        <v/>
      </c>
      <c r="FD106" s="284" t="n">
        <v>5</v>
      </c>
      <c r="FE106" s="38" t="n">
        <v>0</v>
      </c>
      <c r="FF106" s="284" t="n"/>
      <c r="FG106" s="36">
        <f>$KN106*10</f>
        <v/>
      </c>
      <c r="FH106" s="284" t="n">
        <v>5</v>
      </c>
      <c r="FI106" s="38" t="n">
        <v>0</v>
      </c>
      <c r="FJ106" s="284" t="n"/>
      <c r="FK106" s="36">
        <f>$KN106*10</f>
        <v/>
      </c>
      <c r="FL106" s="284" t="n">
        <v>10</v>
      </c>
      <c r="FM106" s="38" t="n">
        <v>0</v>
      </c>
      <c r="FN106" s="284" t="n"/>
      <c r="FO106" s="36">
        <f>$KN106*10</f>
        <v/>
      </c>
      <c r="FP106" s="284" t="n">
        <v>10</v>
      </c>
      <c r="FQ106" s="38" t="n">
        <v>0</v>
      </c>
      <c r="FR106" s="284" t="n"/>
      <c r="FS106" s="36">
        <f>$KN106*10</f>
        <v/>
      </c>
      <c r="FT106" s="284" t="n">
        <v>10</v>
      </c>
      <c r="FU106" s="38" t="n">
        <v>0</v>
      </c>
      <c r="FV106" s="284" t="n"/>
      <c r="FW106" s="36">
        <f>$KN106*10</f>
        <v/>
      </c>
      <c r="FX106" s="284" t="n">
        <v>10</v>
      </c>
      <c r="FY106" s="38" t="n">
        <v>0</v>
      </c>
      <c r="FZ106" s="284" t="n"/>
      <c r="GA106" s="338">
        <f t="array" ref="GA106">SUMPRODUCT(--(MOD(COLUMN($EE106:$FZ106),4)=MOD(COLUMN($EE106),4)),$EE106:$FZ106)</f>
        <v/>
      </c>
      <c r="GB106" s="339">
        <f>GA106*$J106</f>
        <v/>
      </c>
      <c r="GC106" s="340">
        <f t="array" ref="GC106">SUMPRODUCT(--(MOD(COLUMN($EE106:$FZ106),4)=MOD(COLUMN($EF106),4)),$EE106:$FZ106)</f>
        <v/>
      </c>
      <c r="GD106" s="341">
        <f>GC106*$J106</f>
        <v/>
      </c>
      <c r="GE106" s="342">
        <f t="array" ref="GE106">SUMPRODUCT(--(MOD(COLUMN($EE106:$FZ106),4)=MOD(COLUMN($EG106),4)),$EE106:$FZ106)</f>
        <v/>
      </c>
      <c r="GF106" s="343">
        <f>GE106*$J106</f>
        <v/>
      </c>
      <c r="GG106" s="36">
        <f>$KN106*10</f>
        <v/>
      </c>
      <c r="GH106" s="284" t="n"/>
      <c r="GI106" s="38" t="n">
        <v>0</v>
      </c>
      <c r="GJ106" s="284" t="n"/>
      <c r="GK106" s="36">
        <f>$KN106*10</f>
        <v/>
      </c>
      <c r="GL106" s="284" t="n"/>
      <c r="GM106" s="38" t="n">
        <v>0</v>
      </c>
      <c r="GN106" s="284" t="n"/>
      <c r="GO106" s="36">
        <f>$KN106*15</f>
        <v/>
      </c>
      <c r="GP106" s="284" t="n"/>
      <c r="GQ106" s="38" t="n">
        <v>0</v>
      </c>
      <c r="GR106" s="284" t="n"/>
      <c r="GS106" s="36">
        <f>$KN106*20</f>
        <v/>
      </c>
      <c r="GT106" s="284" t="n"/>
      <c r="GU106" s="38" t="n">
        <v>0</v>
      </c>
      <c r="GV106" s="284" t="n"/>
      <c r="GW106" s="36">
        <f>$KN106*20</f>
        <v/>
      </c>
      <c r="GX106" s="284" t="n"/>
      <c r="GY106" s="38" t="n">
        <v>0</v>
      </c>
      <c r="GZ106" s="284" t="n"/>
      <c r="HA106" s="36">
        <f>$KN106*20</f>
        <v/>
      </c>
      <c r="HB106" s="284" t="n"/>
      <c r="HC106" s="38" t="n">
        <v>0</v>
      </c>
      <c r="HD106" s="284" t="n"/>
      <c r="HE106" s="36">
        <f>$KN106*20</f>
        <v/>
      </c>
      <c r="HF106" s="284" t="n"/>
      <c r="HG106" s="38" t="n">
        <v>0</v>
      </c>
      <c r="HH106" s="284" t="n"/>
      <c r="HI106" s="36">
        <f>$KN106*20</f>
        <v/>
      </c>
      <c r="HJ106" s="284" t="n"/>
      <c r="HK106" s="38" t="n">
        <v>0</v>
      </c>
      <c r="HL106" s="284" t="n"/>
      <c r="HM106" s="36">
        <f>$KN106*20</f>
        <v/>
      </c>
      <c r="HN106" s="284" t="n"/>
      <c r="HO106" s="38" t="n">
        <v>0</v>
      </c>
      <c r="HP106" s="284" t="n"/>
      <c r="HQ106" s="36">
        <f>$KN106*20</f>
        <v/>
      </c>
      <c r="HR106" s="284" t="n"/>
      <c r="HS106" s="38" t="n">
        <v>0</v>
      </c>
      <c r="HT106" s="284" t="n"/>
      <c r="HU106" s="36">
        <f>$KN106*20</f>
        <v/>
      </c>
      <c r="HV106" s="284" t="n"/>
      <c r="HW106" s="38" t="n">
        <v>0</v>
      </c>
      <c r="HX106" s="284" t="n"/>
      <c r="HY106" s="36">
        <f>$KN106*20</f>
        <v/>
      </c>
      <c r="HZ106" s="284" t="n"/>
      <c r="IA106" s="38" t="n">
        <v>0</v>
      </c>
      <c r="IB106" s="284" t="n"/>
      <c r="IC106" s="338">
        <f t="array" ref="IC106">SUMPRODUCT(--(MOD(COLUMN($GG106:$IB106),4)=MOD(COLUMN($GG106),4)),$GG106:$IB106)</f>
        <v/>
      </c>
      <c r="ID106" s="339">
        <f>IC106*$J106</f>
        <v/>
      </c>
      <c r="IE106" s="340">
        <f t="array" ref="IE106">SUMPRODUCT(--(MOD(COLUMN($GG106:$IB106),4)=MOD(COLUMN($GH106),4)),$GG106:$IB106)</f>
        <v/>
      </c>
      <c r="IF106" s="341">
        <f>IE106*$J106</f>
        <v/>
      </c>
      <c r="IG106" s="342">
        <f t="array" ref="IG106">SUMPRODUCT(--(MOD(COLUMN($GG106:$IB106),4)=MOD(COLUMN($GI106),4)),$GG106:$IB106)</f>
        <v/>
      </c>
      <c r="IH106" s="343">
        <f>IG106*$J106</f>
        <v/>
      </c>
      <c r="II106" s="36">
        <f>$KN106*10</f>
        <v/>
      </c>
      <c r="IJ106" s="284" t="n"/>
      <c r="IK106" s="38" t="n">
        <v>0</v>
      </c>
      <c r="IL106" s="284" t="n"/>
      <c r="IM106" s="36">
        <f>$KN106*10</f>
        <v/>
      </c>
      <c r="IN106" s="284" t="n"/>
      <c r="IO106" s="38" t="n">
        <v>0</v>
      </c>
      <c r="IP106" s="284" t="n"/>
      <c r="IQ106" s="36">
        <f>$KN106*15</f>
        <v/>
      </c>
      <c r="IR106" s="284" t="n"/>
      <c r="IS106" s="38" t="n">
        <v>0</v>
      </c>
      <c r="IT106" s="284" t="n"/>
      <c r="IU106" s="36">
        <f>$KN106*20</f>
        <v/>
      </c>
      <c r="IV106" s="284" t="n"/>
      <c r="IW106" s="38" t="n">
        <v>0</v>
      </c>
      <c r="IX106" s="284" t="n"/>
      <c r="IY106" s="36">
        <f>$KN106*20</f>
        <v/>
      </c>
      <c r="IZ106" s="284" t="n"/>
      <c r="JA106" s="38" t="n">
        <v>0</v>
      </c>
      <c r="JB106" s="284" t="n"/>
      <c r="JC106" s="36">
        <f>$KN106*20</f>
        <v/>
      </c>
      <c r="JD106" s="284" t="n"/>
      <c r="JE106" s="38" t="n">
        <v>0</v>
      </c>
      <c r="JF106" s="284" t="n"/>
      <c r="JG106" s="36">
        <f>$KN106*20</f>
        <v/>
      </c>
      <c r="JH106" s="284" t="n"/>
      <c r="JI106" s="38" t="n">
        <v>0</v>
      </c>
      <c r="JJ106" s="284" t="n"/>
      <c r="JK106" s="36">
        <f>$KN106*20</f>
        <v/>
      </c>
      <c r="JL106" s="284" t="n"/>
      <c r="JM106" s="38" t="n">
        <v>0</v>
      </c>
      <c r="JN106" s="284" t="n"/>
      <c r="JO106" s="36">
        <f>$KN106*20</f>
        <v/>
      </c>
      <c r="JP106" s="284" t="n"/>
      <c r="JQ106" s="38" t="n">
        <v>0</v>
      </c>
      <c r="JR106" s="284" t="n"/>
      <c r="JS106" s="36">
        <f>$KN106*20</f>
        <v/>
      </c>
      <c r="JT106" s="284" t="n"/>
      <c r="JU106" s="38" t="n">
        <v>0</v>
      </c>
      <c r="JV106" s="284" t="n"/>
      <c r="JW106" s="36">
        <f>$KN106*20</f>
        <v/>
      </c>
      <c r="JX106" s="284" t="n"/>
      <c r="JY106" s="38" t="n">
        <v>0</v>
      </c>
      <c r="JZ106" s="284" t="n"/>
      <c r="KA106" s="36">
        <f>$KN106*20</f>
        <v/>
      </c>
      <c r="KB106" s="284" t="n"/>
      <c r="KC106" s="38" t="n">
        <v>0</v>
      </c>
      <c r="KD106" s="284" t="n"/>
      <c r="KE106" s="338">
        <f t="array" ref="KE106">SUMPRODUCT(--(MOD(COLUMN($II106:$KD106),4)=MOD(COLUMN($II106),4)),$II106:$KD106)</f>
        <v/>
      </c>
      <c r="KF106" s="339">
        <f>KE106*$J106</f>
        <v/>
      </c>
      <c r="KG106" s="340">
        <f t="array" ref="KG106">SUMPRODUCT(--(MOD(COLUMN($II106:$KD106),4)=MOD(COLUMN($IJ106),4)),$II106:$KD106)</f>
        <v/>
      </c>
      <c r="KH106" s="341">
        <f>KG106*$J106</f>
        <v/>
      </c>
      <c r="KI106" s="342">
        <f t="array" ref="KI106">SUMPRODUCT(--(MOD(COLUMN($II106:$KD106),4)=MOD(COLUMN($IK106),4)),$II106:$KD106)</f>
        <v/>
      </c>
      <c r="KJ106" s="346">
        <f>KI106*$J106</f>
        <v/>
      </c>
      <c r="KK106" s="80" t="n"/>
      <c r="KL106" s="80" t="n"/>
      <c r="KM106" s="80" t="n"/>
      <c r="KN106" s="51" t="n">
        <v>1</v>
      </c>
      <c r="KO106" s="333" t="n"/>
    </row>
    <row r="107" outlineLevel="1" customFormat="1" s="68">
      <c r="A107" s="252" t="n"/>
      <c r="B107" s="69" t="n"/>
      <c r="C107" s="256" t="n"/>
      <c r="D107" s="256" t="n"/>
      <c r="E107" s="70" t="n"/>
      <c r="F107" s="70" t="n"/>
      <c r="G107" s="71" t="n"/>
      <c r="H107" s="72" t="inlineStr">
        <is>
          <t>Итого</t>
        </is>
      </c>
      <c r="I107" s="361" t="n"/>
      <c r="J107" s="360" t="n"/>
      <c r="K107" s="360" t="n"/>
      <c r="L107" s="360" t="n"/>
      <c r="M107" s="74" t="n"/>
      <c r="N107" s="75" t="n"/>
      <c r="O107" s="28" t="n"/>
      <c r="P107" s="75" t="n"/>
      <c r="Q107" s="74" t="n"/>
      <c r="R107" s="75" t="n"/>
      <c r="S107" s="28" t="n"/>
      <c r="T107" s="75" t="n"/>
      <c r="U107" s="74" t="n"/>
      <c r="V107" s="75" t="n"/>
      <c r="W107" s="28" t="n"/>
      <c r="X107" s="75" t="n"/>
      <c r="Y107" s="74" t="n"/>
      <c r="Z107" s="75" t="n"/>
      <c r="AA107" s="38" t="n"/>
      <c r="AB107" s="75" t="n"/>
      <c r="AC107" s="74" t="n"/>
      <c r="AD107" s="75" t="n"/>
      <c r="AE107" s="28" t="n"/>
      <c r="AF107" s="75" t="n"/>
      <c r="AG107" s="74" t="n"/>
      <c r="AH107" s="75" t="n"/>
      <c r="AI107" s="38" t="n"/>
      <c r="AJ107" s="75" t="n"/>
      <c r="AK107" s="74" t="n"/>
      <c r="AL107" s="75" t="n"/>
      <c r="AM107" s="38" t="n"/>
      <c r="AN107" s="75" t="n"/>
      <c r="AO107" s="74" t="n"/>
      <c r="AP107" s="75" t="n"/>
      <c r="AQ107" s="38" t="n"/>
      <c r="AR107" s="75" t="n"/>
      <c r="AS107" s="74" t="n"/>
      <c r="AT107" s="75" t="n"/>
      <c r="AU107" s="38" t="n">
        <v>0</v>
      </c>
      <c r="AV107" s="75" t="n"/>
      <c r="AW107" s="74" t="n"/>
      <c r="AX107" s="75" t="n"/>
      <c r="AY107" s="28" t="n"/>
      <c r="AZ107" s="75" t="n"/>
      <c r="BA107" s="74" t="n"/>
      <c r="BB107" s="97" t="n"/>
      <c r="BC107" s="77" t="n"/>
      <c r="BD107" s="75" t="n"/>
      <c r="BE107" s="74" t="n"/>
      <c r="BF107" s="76" t="n"/>
      <c r="BG107" s="78" t="n"/>
      <c r="BH107" s="75" t="n"/>
      <c r="BI107" s="338">
        <f>SUMPRODUCT(--(MOD(COLUMN($M107:$BH107),4)=MOD(COLUMN($M107),4)),$M107:$BH107)</f>
        <v/>
      </c>
      <c r="BJ107" s="339">
        <f>BI107*$I107</f>
        <v/>
      </c>
      <c r="BK107" s="340">
        <f>SUMPRODUCT(--(MOD(COLUMN($M107:$BH107),4)=MOD(COLUMN($M107)+1,4)),$M107:$BH107)</f>
        <v/>
      </c>
      <c r="BL107" s="341">
        <f>BK107*$I107</f>
        <v/>
      </c>
      <c r="BM107" s="342">
        <f>SUMPRODUCT(--(MOD(COLUMN($M107:$BH107),4)=MOD(COLUMN($M107)+2,4)),$M107:$BH107)</f>
        <v/>
      </c>
      <c r="BN107" s="343">
        <f>BM107*$I107</f>
        <v/>
      </c>
      <c r="BO107" s="74" t="n"/>
      <c r="BP107" s="79" t="n"/>
      <c r="BQ107" s="75" t="n"/>
      <c r="BR107" s="28" t="n"/>
      <c r="BS107" s="75" t="n"/>
      <c r="BT107" s="74" t="n"/>
      <c r="BU107" s="79" t="n"/>
      <c r="BV107" s="75" t="n"/>
      <c r="BW107" s="28" t="n"/>
      <c r="BX107" s="75" t="n"/>
      <c r="BY107" s="74" t="n"/>
      <c r="BZ107" s="79" t="n"/>
      <c r="CA107" s="75" t="n"/>
      <c r="CB107" s="28" t="n"/>
      <c r="CC107" s="75" t="n"/>
      <c r="CD107" s="74" t="n"/>
      <c r="CE107" s="79" t="n"/>
      <c r="CF107" s="75" t="n"/>
      <c r="CG107" s="28" t="n"/>
      <c r="CH107" s="75" t="n"/>
      <c r="CI107" s="74" t="n"/>
      <c r="CJ107" s="79" t="n"/>
      <c r="CK107" s="75" t="n"/>
      <c r="CL107" s="28" t="n"/>
      <c r="CM107" s="75" t="n"/>
      <c r="CN107" s="74" t="n"/>
      <c r="CO107" s="79" t="n"/>
      <c r="CP107" s="75" t="n"/>
      <c r="CQ107" s="28" t="n"/>
      <c r="CR107" s="75" t="n"/>
      <c r="CS107" s="74" t="n"/>
      <c r="CT107" s="79" t="n"/>
      <c r="CU107" s="75" t="n"/>
      <c r="CV107" s="28" t="n"/>
      <c r="CW107" s="75" t="n"/>
      <c r="CX107" s="74" t="n"/>
      <c r="CY107" s="79" t="n"/>
      <c r="CZ107" s="75" t="n"/>
      <c r="DA107" s="28" t="n"/>
      <c r="DB107" s="75" t="n"/>
      <c r="DC107" s="74" t="n"/>
      <c r="DD107" s="79" t="n"/>
      <c r="DE107" s="75" t="n"/>
      <c r="DF107" s="28" t="n"/>
      <c r="DG107" s="75" t="n"/>
      <c r="DH107" s="74" t="n"/>
      <c r="DI107" s="79" t="n"/>
      <c r="DJ107" s="75" t="n"/>
      <c r="DK107" s="28" t="n"/>
      <c r="DL107" s="75" t="n"/>
      <c r="DM107" s="74" t="n"/>
      <c r="DN107" s="79" t="n"/>
      <c r="DO107" s="75" t="n"/>
      <c r="DP107" s="28" t="n"/>
      <c r="DQ107" s="75" t="n"/>
      <c r="DR107" s="74" t="n"/>
      <c r="DS107" s="79" t="n"/>
      <c r="DT107" s="75" t="n"/>
      <c r="DU107" s="28" t="n"/>
      <c r="DV107" s="75" t="n"/>
      <c r="DW107" s="338" t="n"/>
      <c r="DX107" s="339" t="n"/>
      <c r="DY107" s="344" t="n"/>
      <c r="DZ107" s="345" t="n"/>
      <c r="EA107" s="340" t="n"/>
      <c r="EB107" s="341" t="n"/>
      <c r="EC107" s="342" t="n"/>
      <c r="ED107" s="343" t="n"/>
      <c r="EE107" s="74" t="n"/>
      <c r="EF107" s="75" t="n"/>
      <c r="EG107" s="28" t="n"/>
      <c r="EH107" s="75" t="n"/>
      <c r="EI107" s="74" t="n"/>
      <c r="EJ107" s="75" t="n"/>
      <c r="EK107" s="28" t="n"/>
      <c r="EL107" s="75" t="n"/>
      <c r="EM107" s="74" t="n"/>
      <c r="EN107" s="75" t="n"/>
      <c r="EO107" s="28" t="n"/>
      <c r="EP107" s="75" t="n"/>
      <c r="EQ107" s="74" t="n"/>
      <c r="ER107" s="75" t="n"/>
      <c r="ES107" s="28" t="n"/>
      <c r="ET107" s="75" t="n"/>
      <c r="EU107" s="74" t="n"/>
      <c r="EV107" s="75" t="n"/>
      <c r="EW107" s="28" t="n"/>
      <c r="EX107" s="75" t="n"/>
      <c r="EY107" s="74" t="n"/>
      <c r="EZ107" s="75" t="n"/>
      <c r="FA107" s="28" t="n"/>
      <c r="FB107" s="75" t="n"/>
      <c r="FC107" s="74" t="n"/>
      <c r="FD107" s="75" t="n"/>
      <c r="FE107" s="28" t="n"/>
      <c r="FF107" s="75" t="n"/>
      <c r="FG107" s="74" t="n"/>
      <c r="FH107" s="75" t="n"/>
      <c r="FI107" s="28" t="n"/>
      <c r="FJ107" s="75" t="n"/>
      <c r="FK107" s="74" t="n"/>
      <c r="FL107" s="75" t="n"/>
      <c r="FM107" s="28" t="n"/>
      <c r="FN107" s="75" t="n"/>
      <c r="FO107" s="74" t="n"/>
      <c r="FP107" s="75" t="n"/>
      <c r="FQ107" s="28" t="n"/>
      <c r="FR107" s="75" t="n"/>
      <c r="FS107" s="74" t="n"/>
      <c r="FT107" s="75" t="n"/>
      <c r="FU107" s="28" t="n"/>
      <c r="FV107" s="75" t="n"/>
      <c r="FW107" s="74" t="n"/>
      <c r="FX107" s="75" t="n"/>
      <c r="FY107" s="28" t="n"/>
      <c r="FZ107" s="75" t="n"/>
      <c r="GA107" s="338" t="n"/>
      <c r="GB107" s="339" t="n"/>
      <c r="GC107" s="340" t="n"/>
      <c r="GD107" s="341" t="n"/>
      <c r="GE107" s="342" t="n"/>
      <c r="GF107" s="343" t="n"/>
      <c r="GG107" s="74" t="n"/>
      <c r="GH107" s="75" t="n"/>
      <c r="GI107" s="28" t="n"/>
      <c r="GJ107" s="75" t="n"/>
      <c r="GK107" s="74" t="n"/>
      <c r="GL107" s="75" t="n"/>
      <c r="GM107" s="28" t="n"/>
      <c r="GN107" s="75" t="n"/>
      <c r="GO107" s="74" t="n"/>
      <c r="GP107" s="75" t="n"/>
      <c r="GQ107" s="28" t="n"/>
      <c r="GR107" s="75" t="n"/>
      <c r="GS107" s="74" t="n"/>
      <c r="GT107" s="75" t="n"/>
      <c r="GU107" s="28" t="n"/>
      <c r="GV107" s="75" t="n"/>
      <c r="GW107" s="74" t="n"/>
      <c r="GX107" s="75" t="n"/>
      <c r="GY107" s="28" t="n"/>
      <c r="GZ107" s="75" t="n"/>
      <c r="HA107" s="74" t="n"/>
      <c r="HB107" s="75" t="n"/>
      <c r="HC107" s="28" t="n"/>
      <c r="HD107" s="75" t="n"/>
      <c r="HE107" s="74" t="n"/>
      <c r="HF107" s="75" t="n"/>
      <c r="HG107" s="28" t="n"/>
      <c r="HH107" s="75" t="n"/>
      <c r="HI107" s="74" t="n"/>
      <c r="HJ107" s="75" t="n"/>
      <c r="HK107" s="28" t="n"/>
      <c r="HL107" s="75" t="n"/>
      <c r="HM107" s="74" t="n"/>
      <c r="HN107" s="75" t="n"/>
      <c r="HO107" s="28" t="n"/>
      <c r="HP107" s="75" t="n"/>
      <c r="HQ107" s="74" t="n"/>
      <c r="HR107" s="75" t="n"/>
      <c r="HS107" s="28" t="n"/>
      <c r="HT107" s="75" t="n"/>
      <c r="HU107" s="74" t="n"/>
      <c r="HV107" s="75" t="n"/>
      <c r="HW107" s="28" t="n"/>
      <c r="HX107" s="75" t="n"/>
      <c r="HY107" s="74" t="n"/>
      <c r="HZ107" s="75" t="n"/>
      <c r="IA107" s="28" t="n"/>
      <c r="IB107" s="75" t="n"/>
      <c r="IC107" s="338" t="n"/>
      <c r="ID107" s="339" t="n"/>
      <c r="IE107" s="340" t="n"/>
      <c r="IF107" s="341" t="n"/>
      <c r="IG107" s="342" t="n"/>
      <c r="IH107" s="343" t="n"/>
      <c r="II107" s="74" t="n"/>
      <c r="IJ107" s="75" t="n"/>
      <c r="IK107" s="28" t="n"/>
      <c r="IL107" s="75" t="n"/>
      <c r="IM107" s="74" t="n"/>
      <c r="IN107" s="75" t="n"/>
      <c r="IO107" s="28" t="n"/>
      <c r="IP107" s="75" t="n"/>
      <c r="IQ107" s="74" t="n"/>
      <c r="IR107" s="75" t="n"/>
      <c r="IS107" s="28" t="n"/>
      <c r="IT107" s="75" t="n"/>
      <c r="IU107" s="74" t="n"/>
      <c r="IV107" s="75" t="n"/>
      <c r="IW107" s="28" t="n"/>
      <c r="IX107" s="75" t="n"/>
      <c r="IY107" s="74" t="n"/>
      <c r="IZ107" s="75" t="n"/>
      <c r="JA107" s="28" t="n"/>
      <c r="JB107" s="75" t="n"/>
      <c r="JC107" s="74" t="n"/>
      <c r="JD107" s="75" t="n"/>
      <c r="JE107" s="28" t="n"/>
      <c r="JF107" s="75" t="n"/>
      <c r="JG107" s="74" t="n"/>
      <c r="JH107" s="75" t="n"/>
      <c r="JI107" s="28" t="n"/>
      <c r="JJ107" s="75" t="n"/>
      <c r="JK107" s="74" t="n"/>
      <c r="JL107" s="75" t="n"/>
      <c r="JM107" s="28" t="n"/>
      <c r="JN107" s="75" t="n"/>
      <c r="JO107" s="74" t="n"/>
      <c r="JP107" s="75" t="n"/>
      <c r="JQ107" s="28" t="n"/>
      <c r="JR107" s="75" t="n"/>
      <c r="JS107" s="74" t="n"/>
      <c r="JT107" s="75" t="n"/>
      <c r="JU107" s="28" t="n"/>
      <c r="JV107" s="75" t="n"/>
      <c r="JW107" s="74" t="n"/>
      <c r="JX107" s="75" t="n"/>
      <c r="JY107" s="28" t="n"/>
      <c r="JZ107" s="75" t="n"/>
      <c r="KA107" s="74" t="n"/>
      <c r="KB107" s="75" t="n"/>
      <c r="KC107" s="28" t="n"/>
      <c r="KD107" s="75" t="n"/>
      <c r="KE107" s="338" t="n"/>
      <c r="KF107" s="339" t="n"/>
      <c r="KG107" s="340" t="n"/>
      <c r="KH107" s="341" t="n"/>
      <c r="KI107" s="342" t="n"/>
      <c r="KJ107" s="346" t="n"/>
      <c r="KK107" s="80" t="n"/>
      <c r="KL107" s="80" t="n"/>
      <c r="KM107" s="80" t="n"/>
      <c r="KN107" s="253" t="n"/>
      <c r="KO107" s="253" t="n"/>
    </row>
    <row r="108" customFormat="1" s="68">
      <c r="A108" s="82" t="inlineStr">
        <is>
          <t>СпецАвтоКам</t>
        </is>
      </c>
      <c r="B108" s="81" t="n"/>
      <c r="C108" s="82" t="n"/>
      <c r="D108" s="82" t="n"/>
      <c r="E108" s="83" t="n"/>
      <c r="F108" s="83" t="n"/>
      <c r="G108" s="84" t="n"/>
      <c r="H108" s="85" t="n"/>
      <c r="I108" s="362" t="n"/>
      <c r="J108" s="362" t="n"/>
      <c r="K108" s="362" t="n"/>
      <c r="L108" s="362" t="n"/>
      <c r="M108" s="81" t="n"/>
      <c r="N108" s="81" t="n"/>
      <c r="O108" s="81" t="n"/>
      <c r="P108" s="81" t="n"/>
      <c r="Q108" s="81" t="n"/>
      <c r="R108" s="81" t="n"/>
      <c r="S108" s="81" t="n"/>
      <c r="T108" s="81" t="n"/>
      <c r="U108" s="81" t="n"/>
      <c r="V108" s="81" t="n"/>
      <c r="W108" s="81" t="n"/>
      <c r="X108" s="81" t="n"/>
      <c r="Y108" s="81" t="n"/>
      <c r="Z108" s="81" t="n"/>
      <c r="AA108" s="81" t="n"/>
      <c r="AB108" s="81" t="n"/>
      <c r="AC108" s="81" t="n"/>
      <c r="AD108" s="81" t="n"/>
      <c r="AE108" s="81" t="n"/>
      <c r="AF108" s="81" t="n"/>
      <c r="AG108" s="81" t="n"/>
      <c r="AH108" s="81" t="n"/>
      <c r="AI108" s="81" t="n"/>
      <c r="AJ108" s="81" t="n"/>
      <c r="AK108" s="81" t="n"/>
      <c r="AL108" s="81" t="n"/>
      <c r="AM108" s="81" t="n"/>
      <c r="AN108" s="81" t="n"/>
      <c r="AO108" s="81" t="n"/>
      <c r="AP108" s="81" t="n"/>
      <c r="AQ108" s="81" t="n"/>
      <c r="AR108" s="81" t="n"/>
      <c r="AS108" s="81" t="n"/>
      <c r="AT108" s="81" t="n"/>
      <c r="AU108" s="81" t="n"/>
      <c r="AV108" s="81" t="n"/>
      <c r="AW108" s="81" t="n"/>
      <c r="AX108" s="81" t="n"/>
      <c r="AY108" s="87" t="n"/>
      <c r="AZ108" s="81" t="n"/>
      <c r="BA108" s="87" t="n"/>
      <c r="BB108" s="87" t="n"/>
      <c r="BC108" s="88" t="n"/>
      <c r="BD108" s="81" t="n"/>
      <c r="BE108" s="87" t="n"/>
      <c r="BF108" s="87" t="n"/>
      <c r="BG108" s="87" t="n"/>
      <c r="BH108" s="81" t="n"/>
      <c r="BI108" s="363">
        <f>SUMPRODUCT(--(MOD(COLUMN($M108:$BH108),4)=MOD(COLUMN($M108),4)),$M108:$BH108)</f>
        <v/>
      </c>
      <c r="BJ108" s="364">
        <f>BI108*$I108</f>
        <v/>
      </c>
      <c r="BK108" s="363">
        <f>SUMPRODUCT(--(MOD(COLUMN($M108:$BH108),4)=MOD(COLUMN($M108)+1,4)),$M108:$BH108)</f>
        <v/>
      </c>
      <c r="BL108" s="364">
        <f>BK108*$I108</f>
        <v/>
      </c>
      <c r="BM108" s="363">
        <f>SUMPRODUCT(--(MOD(COLUMN($M108:$BH108),4)=MOD(COLUMN($M108)+2,4)),$M108:$BH108)</f>
        <v/>
      </c>
      <c r="BN108" s="364">
        <f>BM108*$I108</f>
        <v/>
      </c>
      <c r="BO108" s="81" t="n"/>
      <c r="BP108" s="81" t="n"/>
      <c r="BQ108" s="81" t="n"/>
      <c r="BR108" s="81" t="n"/>
      <c r="BS108" s="81" t="n"/>
      <c r="BT108" s="81" t="n"/>
      <c r="BU108" s="81" t="n"/>
      <c r="BV108" s="81" t="n"/>
      <c r="BW108" s="81" t="n"/>
      <c r="BX108" s="81" t="n"/>
      <c r="BY108" s="81" t="n"/>
      <c r="BZ108" s="81" t="n"/>
      <c r="CA108" s="81" t="n"/>
      <c r="CB108" s="81" t="n"/>
      <c r="CC108" s="81" t="n"/>
      <c r="CD108" s="81" t="n"/>
      <c r="CE108" s="81" t="n"/>
      <c r="CF108" s="81" t="n"/>
      <c r="CG108" s="81" t="n"/>
      <c r="CH108" s="81" t="n"/>
      <c r="CI108" s="81" t="n"/>
      <c r="CJ108" s="81" t="n"/>
      <c r="CK108" s="81" t="n"/>
      <c r="CL108" s="81" t="n"/>
      <c r="CM108" s="81" t="n"/>
      <c r="CN108" s="81" t="n"/>
      <c r="CO108" s="81" t="n"/>
      <c r="CP108" s="81" t="n"/>
      <c r="CQ108" s="81" t="n"/>
      <c r="CR108" s="81" t="n"/>
      <c r="CS108" s="81" t="n"/>
      <c r="CT108" s="81" t="n"/>
      <c r="CU108" s="81" t="n"/>
      <c r="CV108" s="81" t="n"/>
      <c r="CW108" s="81" t="n"/>
      <c r="CX108" s="81" t="n"/>
      <c r="CY108" s="81" t="n"/>
      <c r="CZ108" s="81" t="n"/>
      <c r="DA108" s="81" t="n"/>
      <c r="DB108" s="81" t="n"/>
      <c r="DC108" s="81" t="n"/>
      <c r="DD108" s="81" t="n"/>
      <c r="DE108" s="81" t="n"/>
      <c r="DF108" s="81" t="n"/>
      <c r="DG108" s="81" t="n"/>
      <c r="DH108" s="81" t="n"/>
      <c r="DI108" s="81" t="n"/>
      <c r="DJ108" s="81" t="n"/>
      <c r="DK108" s="81" t="n"/>
      <c r="DL108" s="81" t="n"/>
      <c r="DM108" s="81" t="n"/>
      <c r="DN108" s="81" t="n"/>
      <c r="DO108" s="81" t="n"/>
      <c r="DP108" s="81" t="n"/>
      <c r="DQ108" s="81" t="n"/>
      <c r="DR108" s="81" t="n"/>
      <c r="DS108" s="81" t="n"/>
      <c r="DT108" s="81" t="n"/>
      <c r="DU108" s="81" t="n"/>
      <c r="DV108" s="81" t="n"/>
      <c r="DW108" s="363">
        <f>SUMPRODUCT(--(MOD(COLUMN($BO108:$DV108),5)=MOD(COLUMN($BO108),5)),$BO108:$DV108)</f>
        <v/>
      </c>
      <c r="DX108" s="364">
        <f>DW108*$J108</f>
        <v/>
      </c>
      <c r="DY108" s="363">
        <f>SUMPRODUCT(--(MOD(COLUMN($BO108:$DV108),5)=MOD(COLUMN($BO108),5)+1),$BO108:$DV108)</f>
        <v/>
      </c>
      <c r="DZ108" s="364">
        <f>DY108*$J108</f>
        <v/>
      </c>
      <c r="EA108" s="363">
        <f>SUMPRODUCT(--(MOD(COLUMN($BO108:$DV108),5)=MOD(COLUMN($BO108),5)+2),$BO108:$DV108)</f>
        <v/>
      </c>
      <c r="EB108" s="364">
        <f>EA108*$J108</f>
        <v/>
      </c>
      <c r="EC108" s="363">
        <f>SUMPRODUCT(--(MOD(COLUMN($BO108:$DV108),5)=MOD(COLUMN($BO108),5)+3),$BO108:$DV108)</f>
        <v/>
      </c>
      <c r="ED108" s="364">
        <f>EC108*$J108</f>
        <v/>
      </c>
      <c r="EE108" s="81" t="n"/>
      <c r="EF108" s="81" t="n"/>
      <c r="EG108" s="81" t="n"/>
      <c r="EH108" s="81" t="n"/>
      <c r="EI108" s="81" t="n"/>
      <c r="EJ108" s="81" t="n"/>
      <c r="EK108" s="81" t="n"/>
      <c r="EL108" s="81" t="n"/>
      <c r="EM108" s="81" t="n"/>
      <c r="EN108" s="81" t="n"/>
      <c r="EO108" s="81" t="n"/>
      <c r="EP108" s="81" t="n"/>
      <c r="EQ108" s="81" t="n"/>
      <c r="ER108" s="81" t="n"/>
      <c r="ES108" s="81" t="n"/>
      <c r="ET108" s="81" t="n"/>
      <c r="EU108" s="81" t="n"/>
      <c r="EV108" s="81" t="n"/>
      <c r="EW108" s="81" t="n"/>
      <c r="EX108" s="81" t="n"/>
      <c r="EY108" s="81" t="n"/>
      <c r="EZ108" s="81" t="n"/>
      <c r="FA108" s="81" t="n"/>
      <c r="FB108" s="81" t="n"/>
      <c r="FC108" s="81" t="n"/>
      <c r="FD108" s="81" t="n"/>
      <c r="FE108" s="81" t="n"/>
      <c r="FF108" s="81" t="n"/>
      <c r="FG108" s="81" t="n"/>
      <c r="FH108" s="81" t="n"/>
      <c r="FI108" s="81" t="n"/>
      <c r="FJ108" s="81" t="n"/>
      <c r="FK108" s="81" t="n"/>
      <c r="FL108" s="81" t="n"/>
      <c r="FM108" s="81" t="n"/>
      <c r="FN108" s="81" t="n"/>
      <c r="FO108" s="81" t="n"/>
      <c r="FP108" s="81" t="n"/>
      <c r="FQ108" s="81" t="n"/>
      <c r="FR108" s="81" t="n"/>
      <c r="FS108" s="81" t="n"/>
      <c r="FT108" s="81" t="n"/>
      <c r="FU108" s="81" t="n"/>
      <c r="FV108" s="81" t="n"/>
      <c r="FW108" s="81" t="n"/>
      <c r="FX108" s="81" t="n"/>
      <c r="FY108" s="81" t="n"/>
      <c r="FZ108" s="81" t="n"/>
      <c r="GA108" s="363" t="n"/>
      <c r="GB108" s="364" t="n"/>
      <c r="GC108" s="365" t="n"/>
      <c r="GD108" s="366" t="n"/>
      <c r="GE108" s="363" t="n"/>
      <c r="GF108" s="364" t="n"/>
      <c r="GG108" s="81" t="n"/>
      <c r="GH108" s="81" t="n"/>
      <c r="GI108" s="81" t="n"/>
      <c r="GJ108" s="81" t="n"/>
      <c r="GK108" s="81" t="n"/>
      <c r="GL108" s="81" t="n"/>
      <c r="GM108" s="81" t="n"/>
      <c r="GN108" s="81" t="n"/>
      <c r="GO108" s="81" t="n"/>
      <c r="GP108" s="81" t="n"/>
      <c r="GQ108" s="81" t="n"/>
      <c r="GR108" s="81" t="n"/>
      <c r="GS108" s="81" t="n"/>
      <c r="GT108" s="81" t="n"/>
      <c r="GU108" s="81" t="n"/>
      <c r="GV108" s="81" t="n"/>
      <c r="GW108" s="81" t="n"/>
      <c r="GX108" s="81" t="n"/>
      <c r="GY108" s="81" t="n"/>
      <c r="GZ108" s="81" t="n"/>
      <c r="HA108" s="81" t="n"/>
      <c r="HB108" s="81" t="n"/>
      <c r="HC108" s="81" t="n"/>
      <c r="HD108" s="81" t="n"/>
      <c r="HE108" s="81" t="n"/>
      <c r="HF108" s="81" t="n"/>
      <c r="HG108" s="81" t="n"/>
      <c r="HH108" s="81" t="n"/>
      <c r="HI108" s="81" t="n"/>
      <c r="HJ108" s="81" t="n"/>
      <c r="HK108" s="81" t="n"/>
      <c r="HL108" s="81" t="n"/>
      <c r="HM108" s="81" t="n"/>
      <c r="HN108" s="81" t="n"/>
      <c r="HO108" s="81" t="n"/>
      <c r="HP108" s="81" t="n"/>
      <c r="HQ108" s="81" t="n"/>
      <c r="HR108" s="81" t="n"/>
      <c r="HS108" s="81" t="n"/>
      <c r="HT108" s="81" t="n"/>
      <c r="HU108" s="81" t="n"/>
      <c r="HV108" s="81" t="n"/>
      <c r="HW108" s="81" t="n"/>
      <c r="HX108" s="81" t="n"/>
      <c r="HY108" s="81" t="n"/>
      <c r="HZ108" s="81" t="n"/>
      <c r="IA108" s="81" t="n"/>
      <c r="IB108" s="81" t="n"/>
      <c r="IC108" s="363" t="n"/>
      <c r="ID108" s="364" t="n"/>
      <c r="IE108" s="365" t="n"/>
      <c r="IF108" s="366" t="n"/>
      <c r="IG108" s="363" t="n"/>
      <c r="IH108" s="364" t="n"/>
      <c r="II108" s="81" t="n"/>
      <c r="IJ108" s="81" t="n"/>
      <c r="IK108" s="81" t="n"/>
      <c r="IL108" s="81" t="n"/>
      <c r="IM108" s="81" t="n"/>
      <c r="IN108" s="81" t="n"/>
      <c r="IO108" s="81" t="n"/>
      <c r="IP108" s="81" t="n"/>
      <c r="IQ108" s="81" t="n"/>
      <c r="IR108" s="81" t="n"/>
      <c r="IS108" s="81" t="n"/>
      <c r="IT108" s="81" t="n"/>
      <c r="IU108" s="81" t="n"/>
      <c r="IV108" s="81" t="n"/>
      <c r="IW108" s="81" t="n"/>
      <c r="IX108" s="81" t="n"/>
      <c r="IY108" s="81" t="n"/>
      <c r="IZ108" s="81" t="n"/>
      <c r="JA108" s="81" t="n"/>
      <c r="JB108" s="81" t="n"/>
      <c r="JC108" s="81" t="n"/>
      <c r="JD108" s="81" t="n"/>
      <c r="JE108" s="81" t="n"/>
      <c r="JF108" s="81" t="n"/>
      <c r="JG108" s="81" t="n"/>
      <c r="JH108" s="81" t="n"/>
      <c r="JI108" s="81" t="n"/>
      <c r="JJ108" s="81" t="n"/>
      <c r="JK108" s="81" t="n"/>
      <c r="JL108" s="81" t="n"/>
      <c r="JM108" s="81" t="n"/>
      <c r="JN108" s="81" t="n"/>
      <c r="JO108" s="81" t="n"/>
      <c r="JP108" s="81" t="n"/>
      <c r="JQ108" s="81" t="n"/>
      <c r="JR108" s="81" t="n"/>
      <c r="JS108" s="81" t="n"/>
      <c r="JT108" s="81" t="n"/>
      <c r="JU108" s="81" t="n"/>
      <c r="JV108" s="81" t="n"/>
      <c r="JW108" s="81" t="n"/>
      <c r="JX108" s="81" t="n"/>
      <c r="JY108" s="81" t="n"/>
      <c r="JZ108" s="81" t="n"/>
      <c r="KA108" s="81" t="n"/>
      <c r="KB108" s="81" t="n"/>
      <c r="KC108" s="81" t="n"/>
      <c r="KD108" s="81" t="n"/>
      <c r="KE108" s="363" t="n"/>
      <c r="KF108" s="364" t="n"/>
      <c r="KG108" s="365" t="n"/>
      <c r="KH108" s="366" t="n"/>
      <c r="KI108" s="363" t="n"/>
      <c r="KJ108" s="367" t="n"/>
      <c r="KK108" s="80" t="n"/>
      <c r="KL108" s="80" t="n"/>
      <c r="KM108" s="80" t="n"/>
      <c r="KN108" s="253" t="n"/>
      <c r="KO108" s="253" t="n"/>
    </row>
    <row r="109" outlineLevel="1" ht="30" customFormat="1" customHeight="1" s="68">
      <c r="A109" s="295" t="inlineStr">
        <is>
          <t>РИАТ
(не заведен в 1С)</t>
        </is>
      </c>
      <c r="B109" s="277" t="inlineStr">
        <is>
          <t>Договор не подписан. Оплата по счету</t>
        </is>
      </c>
      <c r="C109" s="297" t="inlineStr">
        <is>
          <t>ВБК РУС</t>
        </is>
      </c>
      <c r="D109" s="281" t="inlineStr">
        <is>
          <t>Мустафин Ринат</t>
        </is>
      </c>
      <c r="E109" s="15" t="n">
        <v>1</v>
      </c>
      <c r="F109" s="15" t="n">
        <v>1</v>
      </c>
      <c r="G109" s="33" t="n">
        <v>9522010010</v>
      </c>
      <c r="H109" s="34" t="inlineStr">
        <is>
          <t>Головка соединительная (управляющая)</t>
        </is>
      </c>
      <c r="I109" s="348">
        <f>89.6/1.2/0.98</f>
        <v/>
      </c>
      <c r="J109" s="337">
        <f>89.6/1.2*1.0863</f>
        <v/>
      </c>
      <c r="K109" s="348" t="n"/>
      <c r="L109" s="348" t="n"/>
      <c r="M109" s="36" t="n">
        <v>0</v>
      </c>
      <c r="N109" s="284" t="n">
        <v>0</v>
      </c>
      <c r="O109" s="38" t="n">
        <v>0</v>
      </c>
      <c r="P109" s="284" t="n"/>
      <c r="Q109" s="36" t="n">
        <v>0</v>
      </c>
      <c r="R109" s="284" t="n">
        <v>0</v>
      </c>
      <c r="S109" s="38" t="n">
        <v>0</v>
      </c>
      <c r="T109" s="284" t="n"/>
      <c r="U109" s="36" t="n">
        <v>0</v>
      </c>
      <c r="V109" s="284" t="n">
        <v>0</v>
      </c>
      <c r="W109" s="38" t="n">
        <v>0</v>
      </c>
      <c r="X109" s="284" t="n"/>
      <c r="Y109" s="36" t="n">
        <v>5</v>
      </c>
      <c r="Z109" s="39" t="n">
        <v>0</v>
      </c>
      <c r="AA109" s="38" t="n">
        <v>0</v>
      </c>
      <c r="AB109" s="284" t="inlineStr">
        <is>
          <t>Клиент ожидает 3 модулятор ЕБС и ОДР</t>
        </is>
      </c>
      <c r="AC109" s="36" t="n">
        <v>20</v>
      </c>
      <c r="AD109" s="284" t="n">
        <v>0</v>
      </c>
      <c r="AE109" s="38" t="n">
        <v>0</v>
      </c>
      <c r="AF109" s="284" t="inlineStr">
        <is>
          <t>Клиент ожидает 3 модулятор ЕБС и ОДР</t>
        </is>
      </c>
      <c r="AG109" s="36" t="n">
        <v>20</v>
      </c>
      <c r="AH109" s="284" t="n">
        <v>0</v>
      </c>
      <c r="AI109" s="38" t="n">
        <v>0</v>
      </c>
      <c r="AJ109" s="284" t="inlineStr">
        <is>
          <t>Клиент ожидает 3 модулятор ЕБС и ОДР</t>
        </is>
      </c>
      <c r="AK109" s="36" t="n">
        <v>20</v>
      </c>
      <c r="AL109" s="284" t="n">
        <v>0</v>
      </c>
      <c r="AM109" s="38" t="n">
        <v>0</v>
      </c>
      <c r="AN109" s="284" t="inlineStr">
        <is>
          <t>Клиент ожидает 3 модулятор ТЕБС и ОДР, работающий с подъемными осями</t>
        </is>
      </c>
      <c r="AO109" s="36" t="n">
        <v>20</v>
      </c>
      <c r="AP109" s="284" t="n">
        <v>0</v>
      </c>
      <c r="AQ109" s="38" t="n">
        <v>0</v>
      </c>
      <c r="AR109" s="284" t="inlineStr">
        <is>
          <t>Клиент ожидает 3 модулятор ТЕБС и ОДР, работающий с подъемными осями</t>
        </is>
      </c>
      <c r="AS109" s="36" t="n">
        <v>20</v>
      </c>
      <c r="AT109" s="284" t="n">
        <v>0</v>
      </c>
      <c r="AU109" s="38" t="n">
        <v>0</v>
      </c>
      <c r="AV109" s="284" t="inlineStr">
        <is>
          <t>Клиент ожидает 3 модулятор ТЕБС и ОДР, работающий с подъемными осями, 
также имеет место общий спад производства в 4-5 раз</t>
        </is>
      </c>
      <c r="AW109" s="36" t="n">
        <v>20</v>
      </c>
      <c r="AX109" s="284" t="n">
        <v>0</v>
      </c>
      <c r="AY109" s="38" t="n">
        <v>0</v>
      </c>
      <c r="AZ109" s="284" t="inlineStr">
        <is>
          <t>Клиент ожидает 3 модулятор ТЕБС и ОДР, работающий с подъемными осями, 
также имеет место общий спад производства в 4-5 раз</t>
        </is>
      </c>
      <c r="BA109" s="36" t="n">
        <v>20</v>
      </c>
      <c r="BB109" s="284" t="n">
        <v>0</v>
      </c>
      <c r="BC109" s="38" t="n">
        <v>0</v>
      </c>
      <c r="BD109" s="284" t="inlineStr">
        <is>
          <t>Клиент ожидает 3 модулятор ТЕБС и ОДР, работающий с подъемными осями, 
также имеет место общий спад производства в 4-5 раз</t>
        </is>
      </c>
      <c r="BE109" s="36" t="n">
        <v>20</v>
      </c>
      <c r="BF109" s="284">
        <f>$KN109*5</f>
        <v/>
      </c>
      <c r="BG109" s="54" t="n">
        <v>0</v>
      </c>
      <c r="BH109" s="284" t="inlineStr">
        <is>
          <t>Клиент ожидает 3 модулятор ТЕБС и ОДР, работающий с подъемными осями, 
также имеет место общий спад производства в 4-5 раз</t>
        </is>
      </c>
      <c r="BI109" s="338">
        <f>SUMPRODUCT(--(MOD(COLUMN($M109:$BH109),4)=MOD(COLUMN($M109),4)),$M109:$BH109)</f>
        <v/>
      </c>
      <c r="BJ109" s="339">
        <f>BI109*$I109</f>
        <v/>
      </c>
      <c r="BK109" s="340">
        <f>SUMPRODUCT(--(MOD(COLUMN($M109:$BH109),4)=MOD(COLUMN($M109)+1,4)),$M109:$BH109)</f>
        <v/>
      </c>
      <c r="BL109" s="341">
        <f>BK109*$I109</f>
        <v/>
      </c>
      <c r="BM109" s="342">
        <f>SUMPRODUCT(--(MOD(COLUMN($M109:$BH109),4)=MOD(COLUMN($M109)+2,4)),$M109:$BH109)</f>
        <v/>
      </c>
      <c r="BN109" s="343">
        <f>BM109*$I109</f>
        <v/>
      </c>
      <c r="BO109" s="36">
        <f>$KN109*0</f>
        <v/>
      </c>
      <c r="BP109" s="47">
        <f>$KN109*0</f>
        <v/>
      </c>
      <c r="BQ109" s="284">
        <f>$KN109*5</f>
        <v/>
      </c>
      <c r="BR109" s="38" t="n">
        <v>0</v>
      </c>
      <c r="BS109" s="245" t="inlineStr">
        <is>
          <t>Заявка декабря 2024 перенесена на январь</t>
        </is>
      </c>
      <c r="BT109" s="36">
        <f>$KN109*0</f>
        <v/>
      </c>
      <c r="BU109" s="47">
        <f>$KN109*0</f>
        <v/>
      </c>
      <c r="BV109" s="284">
        <f>$KN109*0</f>
        <v/>
      </c>
      <c r="BW109" s="38" t="n">
        <v>0</v>
      </c>
      <c r="BX109" s="245" t="inlineStr">
        <is>
          <t>Заявка аннулирована, до принятия решения по стратегии развития предприятия. 22 февраля озвучат решение, объемы</t>
        </is>
      </c>
      <c r="BY109" s="36">
        <f>$KN109*5</f>
        <v/>
      </c>
      <c r="BZ109" s="47">
        <f>$KN109*3</f>
        <v/>
      </c>
      <c r="CA109" s="284">
        <f>$KN109*0</f>
        <v/>
      </c>
      <c r="CB109" s="38" t="n">
        <v>0</v>
      </c>
      <c r="CC109" s="284" t="n"/>
      <c r="CD109" s="36">
        <f>$KN109*0</f>
        <v/>
      </c>
      <c r="CE109" s="47">
        <f>$KN109*0</f>
        <v/>
      </c>
      <c r="CF109" s="284">
        <f>$KN109*0</f>
        <v/>
      </c>
      <c r="CG109" s="38" t="n">
        <v>0</v>
      </c>
      <c r="CH109" s="284" t="n"/>
      <c r="CI109" s="36">
        <f>$KN109*5</f>
        <v/>
      </c>
      <c r="CJ109" s="47">
        <f>$KN109*3</f>
        <v/>
      </c>
      <c r="CK109" s="284">
        <f>$KN109*0</f>
        <v/>
      </c>
      <c r="CL109" s="38" t="n">
        <v>0</v>
      </c>
      <c r="CM109" s="284" t="n"/>
      <c r="CN109" s="36" t="n">
        <v>5</v>
      </c>
      <c r="CO109" s="47">
        <f>$KN109*3</f>
        <v/>
      </c>
      <c r="CP109" s="39">
        <f>$KN109*0</f>
        <v/>
      </c>
      <c r="CQ109" s="38" t="n">
        <v>0</v>
      </c>
      <c r="CR109" s="284" t="n"/>
      <c r="CS109" s="36">
        <f>$KN109*5</f>
        <v/>
      </c>
      <c r="CT109" s="47">
        <f>$KN109*3</f>
        <v/>
      </c>
      <c r="CU109" s="39">
        <f>$KN109*0</f>
        <v/>
      </c>
      <c r="CV109" s="38" t="n">
        <v>0</v>
      </c>
      <c r="CW109" s="284" t="n"/>
      <c r="CX109" s="36">
        <f>$KN109*5</f>
        <v/>
      </c>
      <c r="CY109" s="47">
        <f>$KN109*3</f>
        <v/>
      </c>
      <c r="CZ109" s="39">
        <f>$KN109*0</f>
        <v/>
      </c>
      <c r="DA109" s="38" t="n">
        <v>0</v>
      </c>
      <c r="DB109" s="284" t="n"/>
      <c r="DC109" s="36">
        <f>$KN109*5</f>
        <v/>
      </c>
      <c r="DD109" s="47">
        <f>$KN109*3</f>
        <v/>
      </c>
      <c r="DE109" s="284">
        <f>$KN109*0</f>
        <v/>
      </c>
      <c r="DF109" s="38" t="n">
        <v>0</v>
      </c>
      <c r="DG109" s="284" t="n"/>
      <c r="DH109" s="36">
        <f>$KN109*5</f>
        <v/>
      </c>
      <c r="DI109" s="47">
        <f>$KN109*3</f>
        <v/>
      </c>
      <c r="DJ109" s="284">
        <f>$KN109*0</f>
        <v/>
      </c>
      <c r="DK109" s="38" t="n">
        <v>0</v>
      </c>
      <c r="DL109" s="284" t="n"/>
      <c r="DM109" s="36">
        <f>$KN109*5</f>
        <v/>
      </c>
      <c r="DN109" s="47">
        <f>$KN109*3</f>
        <v/>
      </c>
      <c r="DO109" s="284">
        <f>$KN109*0</f>
        <v/>
      </c>
      <c r="DP109" s="38" t="n">
        <v>0</v>
      </c>
      <c r="DQ109" s="284" t="n"/>
      <c r="DR109" s="36">
        <f>$KN109*5</f>
        <v/>
      </c>
      <c r="DS109" s="47">
        <f>$KN109*3</f>
        <v/>
      </c>
      <c r="DT109" s="284">
        <f>$KN109*0</f>
        <v/>
      </c>
      <c r="DU109" s="38" t="n">
        <v>0</v>
      </c>
      <c r="DV109" s="284" t="n"/>
      <c r="DW109" s="338">
        <f t="array" ref="DW109">SUMPRODUCT(--(MOD(COLUMN($BO109:$DV109),5)=MOD(COLUMN($BO109),5)),$BO109:$DV109)</f>
        <v/>
      </c>
      <c r="DX109" s="339">
        <f>DW109*$J109</f>
        <v/>
      </c>
      <c r="DY109" s="344">
        <f t="array" ref="DY109">SUMPRODUCT(--(MOD(COLUMN($BO109:$DV109),5)=MOD(COLUMN($BP109),5)),$BO109:$DV109)</f>
        <v/>
      </c>
      <c r="DZ109" s="345">
        <f>DY109*$J109</f>
        <v/>
      </c>
      <c r="EA109" s="340">
        <f t="array" ref="EA109">SUMPRODUCT(--(MOD(COLUMN($BO109:$DV109),5)=MOD(COLUMN($BQ109),5)),$BO109:$DV109)</f>
        <v/>
      </c>
      <c r="EB109" s="341">
        <f>EA109*$J109</f>
        <v/>
      </c>
      <c r="EC109" s="342">
        <f t="array" ref="EC109">SUMPRODUCT(--(MOD(COLUMN($BO109:$DV109),5)=MOD(COLUMN($BR109),5)),$BO109:$DV109)</f>
        <v/>
      </c>
      <c r="ED109" s="343">
        <f>EC109*$J109</f>
        <v/>
      </c>
      <c r="EE109" s="36" t="n">
        <v>0</v>
      </c>
      <c r="EF109" s="284" t="n">
        <v>0</v>
      </c>
      <c r="EG109" s="38" t="n">
        <v>0</v>
      </c>
      <c r="EH109" s="284" t="n"/>
      <c r="EI109" s="36" t="n">
        <v>0</v>
      </c>
      <c r="EJ109" s="284" t="n">
        <v>0</v>
      </c>
      <c r="EK109" s="38" t="n"/>
      <c r="EL109" s="284" t="n"/>
      <c r="EM109" s="36" t="n">
        <v>0</v>
      </c>
      <c r="EN109" s="284" t="n">
        <v>0</v>
      </c>
      <c r="EO109" s="38" t="n"/>
      <c r="EP109" s="284" t="n"/>
      <c r="EQ109" s="36">
        <f>$KN109*2</f>
        <v/>
      </c>
      <c r="ER109" s="284" t="n">
        <v>0</v>
      </c>
      <c r="ES109" s="38" t="n">
        <v>0</v>
      </c>
      <c r="ET109" s="284" t="n"/>
      <c r="EU109" s="36">
        <f>$KN109*3</f>
        <v/>
      </c>
      <c r="EV109" s="284" t="n">
        <v>0</v>
      </c>
      <c r="EW109" s="38" t="n">
        <v>0</v>
      </c>
      <c r="EX109" s="284" t="n"/>
      <c r="EY109" s="36">
        <f>$KN109*4</f>
        <v/>
      </c>
      <c r="EZ109" s="284" t="n">
        <v>0</v>
      </c>
      <c r="FA109" s="38" t="n">
        <v>0</v>
      </c>
      <c r="FB109" s="284" t="n"/>
      <c r="FC109" s="36">
        <f>$KN109*5</f>
        <v/>
      </c>
      <c r="FD109" s="284" t="n">
        <v>0</v>
      </c>
      <c r="FE109" s="38" t="n">
        <v>0</v>
      </c>
      <c r="FF109" s="284" t="n"/>
      <c r="FG109" s="36">
        <f>$KN109*5</f>
        <v/>
      </c>
      <c r="FH109" s="284" t="n">
        <v>0</v>
      </c>
      <c r="FI109" s="38" t="n">
        <v>0</v>
      </c>
      <c r="FJ109" s="284" t="n"/>
      <c r="FK109" s="36">
        <f>$KN109*5</f>
        <v/>
      </c>
      <c r="FL109" s="284" t="n">
        <v>0</v>
      </c>
      <c r="FM109" s="38" t="n">
        <v>0</v>
      </c>
      <c r="FN109" s="284" t="n"/>
      <c r="FO109" s="36">
        <f>$KN109*6</f>
        <v/>
      </c>
      <c r="FP109" s="284" t="n">
        <v>6</v>
      </c>
      <c r="FQ109" s="38" t="n">
        <v>0</v>
      </c>
      <c r="FR109" s="284" t="n"/>
      <c r="FS109" s="36">
        <f>$KN109*6</f>
        <v/>
      </c>
      <c r="FT109" s="284" t="n">
        <v>6</v>
      </c>
      <c r="FU109" s="38" t="n">
        <v>0</v>
      </c>
      <c r="FV109" s="284" t="n"/>
      <c r="FW109" s="36">
        <f>$KN109*6</f>
        <v/>
      </c>
      <c r="FX109" s="284" t="n">
        <v>6</v>
      </c>
      <c r="FY109" s="38" t="n">
        <v>0</v>
      </c>
      <c r="FZ109" s="284" t="n"/>
      <c r="GA109" s="338">
        <f>SUMPRODUCT(--(MOD(COLUMN($EE109:$FZ109),4)=MOD(COLUMN($EE109),4)),$EE109:$FZ109)</f>
        <v/>
      </c>
      <c r="GB109" s="339">
        <f>GA109*$J109</f>
        <v/>
      </c>
      <c r="GC109" s="340">
        <f>SUMPRODUCT(--(MOD(COLUMN($EE109:$FZ109),4)=MOD(COLUMN($EF109),4)),$EE109:$FZ109)</f>
        <v/>
      </c>
      <c r="GD109" s="341">
        <f>GC109*$J109</f>
        <v/>
      </c>
      <c r="GE109" s="342">
        <f>SUMPRODUCT(--(MOD(COLUMN($EE109:$FZ109),4)=MOD(COLUMN($EG109),4)),$EE109:$FZ109)</f>
        <v/>
      </c>
      <c r="GF109" s="343">
        <f>GE109*$J109</f>
        <v/>
      </c>
      <c r="GG109" s="36">
        <f>$KN109*5</f>
        <v/>
      </c>
      <c r="GH109" s="284" t="n"/>
      <c r="GI109" s="38" t="n">
        <v>0</v>
      </c>
      <c r="GJ109" s="284" t="n"/>
      <c r="GK109" s="36">
        <f>$KN109*5</f>
        <v/>
      </c>
      <c r="GL109" s="284" t="n"/>
      <c r="GM109" s="38" t="n">
        <v>0</v>
      </c>
      <c r="GN109" s="284" t="n"/>
      <c r="GO109" s="36">
        <f>$KN109*7</f>
        <v/>
      </c>
      <c r="GP109" s="284" t="n"/>
      <c r="GQ109" s="38" t="n">
        <v>0</v>
      </c>
      <c r="GR109" s="284" t="n"/>
      <c r="GS109" s="36">
        <f>$KN109*10</f>
        <v/>
      </c>
      <c r="GT109" s="284" t="n"/>
      <c r="GU109" s="38" t="n">
        <v>0</v>
      </c>
      <c r="GV109" s="284" t="n"/>
      <c r="GW109" s="36">
        <f>$KN109*10</f>
        <v/>
      </c>
      <c r="GX109" s="284" t="n"/>
      <c r="GY109" s="38" t="n">
        <v>0</v>
      </c>
      <c r="GZ109" s="284" t="n"/>
      <c r="HA109" s="36">
        <f>$KN109*10</f>
        <v/>
      </c>
      <c r="HB109" s="284" t="n"/>
      <c r="HC109" s="38" t="n">
        <v>0</v>
      </c>
      <c r="HD109" s="284" t="n"/>
      <c r="HE109" s="36">
        <f>$KN109*10</f>
        <v/>
      </c>
      <c r="HF109" s="284" t="n"/>
      <c r="HG109" s="38" t="n">
        <v>0</v>
      </c>
      <c r="HH109" s="284" t="n"/>
      <c r="HI109" s="36">
        <f>$KN109*10</f>
        <v/>
      </c>
      <c r="HJ109" s="284" t="n"/>
      <c r="HK109" s="38" t="n">
        <v>0</v>
      </c>
      <c r="HL109" s="284" t="n"/>
      <c r="HM109" s="36">
        <f>$KN109*10</f>
        <v/>
      </c>
      <c r="HN109" s="284" t="n"/>
      <c r="HO109" s="38" t="n">
        <v>0</v>
      </c>
      <c r="HP109" s="284" t="n"/>
      <c r="HQ109" s="36">
        <f>$KN109*10</f>
        <v/>
      </c>
      <c r="HR109" s="284" t="n"/>
      <c r="HS109" s="38" t="n">
        <v>0</v>
      </c>
      <c r="HT109" s="284" t="n"/>
      <c r="HU109" s="36">
        <f>$KN109*10</f>
        <v/>
      </c>
      <c r="HV109" s="284" t="n"/>
      <c r="HW109" s="38" t="n">
        <v>0</v>
      </c>
      <c r="HX109" s="284" t="n"/>
      <c r="HY109" s="36">
        <f>$KN109*10</f>
        <v/>
      </c>
      <c r="HZ109" s="284" t="n"/>
      <c r="IA109" s="38" t="n">
        <v>0</v>
      </c>
      <c r="IB109" s="284" t="n"/>
      <c r="IC109" s="338">
        <f t="array" ref="IC109">SUMPRODUCT(--(MOD(COLUMN($GG109:$IB109),4)=MOD(COLUMN($GG109),4)),$GG109:$IB109)</f>
        <v/>
      </c>
      <c r="ID109" s="339">
        <f>IC109*$J109</f>
        <v/>
      </c>
      <c r="IE109" s="340">
        <f t="array" ref="IE109">SUMPRODUCT(--(MOD(COLUMN($GG109:$IB109),4)=MOD(COLUMN($GH109),4)),$GG109:$IB109)</f>
        <v/>
      </c>
      <c r="IF109" s="341">
        <f>IE109*$J109</f>
        <v/>
      </c>
      <c r="IG109" s="342">
        <f t="array" ref="IG109">SUMPRODUCT(--(MOD(COLUMN($GG109:$IB109),4)=MOD(COLUMN($GI109),4)),$GG109:$IB109)</f>
        <v/>
      </c>
      <c r="IH109" s="343">
        <f>IG109*$J109</f>
        <v/>
      </c>
      <c r="II109" s="36">
        <f>$KN109*5</f>
        <v/>
      </c>
      <c r="IJ109" s="284" t="n"/>
      <c r="IK109" s="38" t="n">
        <v>0</v>
      </c>
      <c r="IL109" s="284" t="n"/>
      <c r="IM109" s="36">
        <f>$KN109*5</f>
        <v/>
      </c>
      <c r="IN109" s="284" t="n"/>
      <c r="IO109" s="38" t="n">
        <v>0</v>
      </c>
      <c r="IP109" s="284" t="n"/>
      <c r="IQ109" s="36">
        <f>$KN109*7</f>
        <v/>
      </c>
      <c r="IR109" s="284" t="n"/>
      <c r="IS109" s="38" t="n">
        <v>0</v>
      </c>
      <c r="IT109" s="284" t="n"/>
      <c r="IU109" s="36">
        <f>$KN109*10</f>
        <v/>
      </c>
      <c r="IV109" s="284" t="n"/>
      <c r="IW109" s="38" t="n">
        <v>0</v>
      </c>
      <c r="IX109" s="284" t="n"/>
      <c r="IY109" s="36">
        <f>$KN109*10</f>
        <v/>
      </c>
      <c r="IZ109" s="284" t="n"/>
      <c r="JA109" s="38" t="n">
        <v>0</v>
      </c>
      <c r="JB109" s="284" t="n"/>
      <c r="JC109" s="36">
        <f>$KN109*10</f>
        <v/>
      </c>
      <c r="JD109" s="284" t="n"/>
      <c r="JE109" s="38" t="n">
        <v>0</v>
      </c>
      <c r="JF109" s="284" t="n"/>
      <c r="JG109" s="36">
        <f>$KN109*10</f>
        <v/>
      </c>
      <c r="JH109" s="284" t="n"/>
      <c r="JI109" s="38" t="n">
        <v>0</v>
      </c>
      <c r="JJ109" s="284" t="n"/>
      <c r="JK109" s="36">
        <f>$KN109*10</f>
        <v/>
      </c>
      <c r="JL109" s="284" t="n"/>
      <c r="JM109" s="38" t="n">
        <v>0</v>
      </c>
      <c r="JN109" s="284" t="n"/>
      <c r="JO109" s="36">
        <f>$KN109*10</f>
        <v/>
      </c>
      <c r="JP109" s="284" t="n"/>
      <c r="JQ109" s="38" t="n">
        <v>0</v>
      </c>
      <c r="JR109" s="284" t="n"/>
      <c r="JS109" s="36">
        <f>$KN109*10</f>
        <v/>
      </c>
      <c r="JT109" s="284" t="n"/>
      <c r="JU109" s="38" t="n">
        <v>0</v>
      </c>
      <c r="JV109" s="284" t="n"/>
      <c r="JW109" s="36">
        <f>$KN109*10</f>
        <v/>
      </c>
      <c r="JX109" s="284" t="n"/>
      <c r="JY109" s="38" t="n">
        <v>0</v>
      </c>
      <c r="JZ109" s="284" t="n"/>
      <c r="KA109" s="36">
        <f>$KN109*10</f>
        <v/>
      </c>
      <c r="KB109" s="284" t="n"/>
      <c r="KC109" s="38" t="n">
        <v>0</v>
      </c>
      <c r="KD109" s="284" t="n"/>
      <c r="KE109" s="338">
        <f t="array" ref="KE109">SUMPRODUCT(--(MOD(COLUMN($II109:$KD109),4)=MOD(COLUMN($II109),4)),$II109:$KD109)</f>
        <v/>
      </c>
      <c r="KF109" s="339">
        <f>KE109*$J109</f>
        <v/>
      </c>
      <c r="KG109" s="340">
        <f t="array" ref="KG109">SUMPRODUCT(--(MOD(COLUMN($II109:$KD109),4)=MOD(COLUMN($IJ109),4)),$II109:$KD109)</f>
        <v/>
      </c>
      <c r="KH109" s="341">
        <f>KG109*$J109</f>
        <v/>
      </c>
      <c r="KI109" s="342">
        <f t="array" ref="KI109">SUMPRODUCT(--(MOD(COLUMN($II109:$KD109),4)=MOD(COLUMN($IK109),4)),$II109:$KD109)</f>
        <v/>
      </c>
      <c r="KJ109" s="346">
        <f>KI109*$J109</f>
        <v/>
      </c>
      <c r="KK109" s="80" t="n"/>
      <c r="KL109" s="80" t="n"/>
      <c r="KM109" s="80" t="n"/>
      <c r="KN109" s="51" t="n">
        <v>1</v>
      </c>
      <c r="KO109" s="285" t="inlineStr">
        <is>
          <t>TEBS 2s/2m 
12м</t>
        </is>
      </c>
    </row>
    <row r="110" outlineLevel="1" ht="43.2" customFormat="1" customHeight="1" s="68">
      <c r="A110" s="347" t="n"/>
      <c r="B110" s="347" t="n"/>
      <c r="C110" s="347" t="n"/>
      <c r="D110" s="347" t="n"/>
      <c r="E110" s="15" t="n">
        <v>2</v>
      </c>
      <c r="F110" s="15" t="n">
        <v>1</v>
      </c>
      <c r="G110" s="33" t="n">
        <v>9522010020</v>
      </c>
      <c r="H110" s="34" t="inlineStr">
        <is>
          <t>Головка соединительная (питающая)</t>
        </is>
      </c>
      <c r="I110" s="348">
        <f>89.6/1.2/0.98</f>
        <v/>
      </c>
      <c r="J110" s="337">
        <f>89.6/1.2*1.0863</f>
        <v/>
      </c>
      <c r="K110" s="348" t="n"/>
      <c r="L110" s="348" t="n"/>
      <c r="M110" s="36" t="n">
        <v>0</v>
      </c>
      <c r="N110" s="284" t="n">
        <v>0</v>
      </c>
      <c r="O110" s="38" t="n">
        <v>0</v>
      </c>
      <c r="P110" s="284" t="n"/>
      <c r="Q110" s="36" t="n">
        <v>0</v>
      </c>
      <c r="R110" s="284" t="n">
        <v>0</v>
      </c>
      <c r="S110" s="38" t="n">
        <v>0</v>
      </c>
      <c r="T110" s="284" t="n"/>
      <c r="U110" s="36" t="n">
        <v>0</v>
      </c>
      <c r="V110" s="284" t="n">
        <v>0</v>
      </c>
      <c r="W110" s="38" t="n">
        <v>0</v>
      </c>
      <c r="X110" s="284" t="n"/>
      <c r="Y110" s="36" t="n">
        <v>5</v>
      </c>
      <c r="Z110" s="39" t="n">
        <v>0</v>
      </c>
      <c r="AA110" s="38" t="n">
        <v>0</v>
      </c>
      <c r="AB110" s="347" t="n"/>
      <c r="AC110" s="36" t="n">
        <v>20</v>
      </c>
      <c r="AD110" s="284" t="n">
        <v>0</v>
      </c>
      <c r="AE110" s="38" t="n">
        <v>0</v>
      </c>
      <c r="AF110" s="347" t="n"/>
      <c r="AG110" s="36" t="n">
        <v>20</v>
      </c>
      <c r="AH110" s="284" t="n">
        <v>0</v>
      </c>
      <c r="AI110" s="38" t="n">
        <v>0</v>
      </c>
      <c r="AJ110" s="347" t="n"/>
      <c r="AK110" s="36" t="n">
        <v>20</v>
      </c>
      <c r="AL110" s="284" t="n">
        <v>0</v>
      </c>
      <c r="AM110" s="38" t="n">
        <v>0</v>
      </c>
      <c r="AN110" s="347" t="n"/>
      <c r="AO110" s="36" t="n">
        <v>20</v>
      </c>
      <c r="AP110" s="284" t="n">
        <v>0</v>
      </c>
      <c r="AQ110" s="38" t="n">
        <v>0</v>
      </c>
      <c r="AR110" s="347" t="n"/>
      <c r="AS110" s="36" t="n">
        <v>20</v>
      </c>
      <c r="AT110" s="284" t="n">
        <v>0</v>
      </c>
      <c r="AU110" s="38" t="n">
        <v>0</v>
      </c>
      <c r="AV110" s="347" t="n"/>
      <c r="AW110" s="36" t="n">
        <v>20</v>
      </c>
      <c r="AX110" s="284" t="n">
        <v>0</v>
      </c>
      <c r="AY110" s="38" t="n">
        <v>0</v>
      </c>
      <c r="AZ110" s="347" t="n"/>
      <c r="BA110" s="36" t="n">
        <v>20</v>
      </c>
      <c r="BB110" s="284" t="n">
        <v>0</v>
      </c>
      <c r="BC110" s="38" t="n">
        <v>0</v>
      </c>
      <c r="BD110" s="347" t="n"/>
      <c r="BE110" s="36" t="n">
        <v>20</v>
      </c>
      <c r="BF110" s="284">
        <f>$KN110*5</f>
        <v/>
      </c>
      <c r="BG110" s="54" t="n">
        <v>0</v>
      </c>
      <c r="BH110" s="347" t="n"/>
      <c r="BI110" s="338">
        <f>SUMPRODUCT(--(MOD(COLUMN($M110:$BH110),4)=MOD(COLUMN($M110),4)),$M110:$BH110)</f>
        <v/>
      </c>
      <c r="BJ110" s="339">
        <f>BI110*$I110</f>
        <v/>
      </c>
      <c r="BK110" s="340">
        <f>SUMPRODUCT(--(MOD(COLUMN($M110:$BH110),4)=MOD(COLUMN($M110)+1,4)),$M110:$BH110)</f>
        <v/>
      </c>
      <c r="BL110" s="341">
        <f>BK110*$I110</f>
        <v/>
      </c>
      <c r="BM110" s="342">
        <f>SUMPRODUCT(--(MOD(COLUMN($M110:$BH110),4)=MOD(COLUMN($M110)+2,4)),$M110:$BH110)</f>
        <v/>
      </c>
      <c r="BN110" s="343">
        <f>BM110*$I110</f>
        <v/>
      </c>
      <c r="BO110" s="36">
        <f>$KN110*0</f>
        <v/>
      </c>
      <c r="BP110" s="47">
        <f>$KN110*0</f>
        <v/>
      </c>
      <c r="BQ110" s="284">
        <f>$KN110*5</f>
        <v/>
      </c>
      <c r="BR110" s="38" t="n">
        <v>0</v>
      </c>
      <c r="BS110" s="347" t="n"/>
      <c r="BT110" s="36">
        <f>$KN110*0</f>
        <v/>
      </c>
      <c r="BU110" s="47">
        <f>$KN110*0</f>
        <v/>
      </c>
      <c r="BV110" s="284">
        <f>$KN110*0</f>
        <v/>
      </c>
      <c r="BW110" s="38" t="n">
        <v>0</v>
      </c>
      <c r="BX110" s="347" t="n"/>
      <c r="BY110" s="36">
        <f>$KN110*5</f>
        <v/>
      </c>
      <c r="BZ110" s="47">
        <f>$KN110*3</f>
        <v/>
      </c>
      <c r="CA110" s="284">
        <f>$KN110*0</f>
        <v/>
      </c>
      <c r="CB110" s="38" t="n">
        <v>0</v>
      </c>
      <c r="CC110" s="284" t="n"/>
      <c r="CD110" s="36">
        <f>$KN110*0</f>
        <v/>
      </c>
      <c r="CE110" s="47">
        <f>$KN110*0</f>
        <v/>
      </c>
      <c r="CF110" s="284">
        <f>$KN110*0</f>
        <v/>
      </c>
      <c r="CG110" s="38" t="n">
        <v>0</v>
      </c>
      <c r="CH110" s="284" t="n"/>
      <c r="CI110" s="36">
        <f>$KN110*5</f>
        <v/>
      </c>
      <c r="CJ110" s="47">
        <f>$KN110*3</f>
        <v/>
      </c>
      <c r="CK110" s="284">
        <f>$KN110*0</f>
        <v/>
      </c>
      <c r="CL110" s="38" t="n">
        <v>0</v>
      </c>
      <c r="CM110" s="284" t="n"/>
      <c r="CN110" s="36">
        <f>$KN110*5</f>
        <v/>
      </c>
      <c r="CO110" s="47">
        <f>$KN110*3</f>
        <v/>
      </c>
      <c r="CP110" s="39">
        <f>$KN110*0</f>
        <v/>
      </c>
      <c r="CQ110" s="38" t="n">
        <v>0</v>
      </c>
      <c r="CR110" s="284" t="n"/>
      <c r="CS110" s="36">
        <f>$KN110*5</f>
        <v/>
      </c>
      <c r="CT110" s="47">
        <f>$KN110*3</f>
        <v/>
      </c>
      <c r="CU110" s="39">
        <f>$KN110*0</f>
        <v/>
      </c>
      <c r="CV110" s="38" t="n">
        <v>0</v>
      </c>
      <c r="CW110" s="284" t="n"/>
      <c r="CX110" s="36">
        <f>$KN110*5</f>
        <v/>
      </c>
      <c r="CY110" s="47">
        <f>$KN110*3</f>
        <v/>
      </c>
      <c r="CZ110" s="39">
        <f>$KN110*0</f>
        <v/>
      </c>
      <c r="DA110" s="38" t="n">
        <v>0</v>
      </c>
      <c r="DB110" s="284" t="n"/>
      <c r="DC110" s="36">
        <f>$KN110*5</f>
        <v/>
      </c>
      <c r="DD110" s="47">
        <f>$KN110*3</f>
        <v/>
      </c>
      <c r="DE110" s="284">
        <f>$KN110*0</f>
        <v/>
      </c>
      <c r="DF110" s="38" t="n">
        <v>0</v>
      </c>
      <c r="DG110" s="284" t="n"/>
      <c r="DH110" s="36">
        <f>$KN110*5</f>
        <v/>
      </c>
      <c r="DI110" s="47">
        <f>$KN110*3</f>
        <v/>
      </c>
      <c r="DJ110" s="284">
        <f>$KN110*0</f>
        <v/>
      </c>
      <c r="DK110" s="38" t="n">
        <v>0</v>
      </c>
      <c r="DL110" s="284" t="n"/>
      <c r="DM110" s="36">
        <f>$KN110*5</f>
        <v/>
      </c>
      <c r="DN110" s="47">
        <f>$KN110*3</f>
        <v/>
      </c>
      <c r="DO110" s="284">
        <f>$KN110*0</f>
        <v/>
      </c>
      <c r="DP110" s="38" t="n">
        <v>0</v>
      </c>
      <c r="DQ110" s="284" t="n"/>
      <c r="DR110" s="36">
        <f>$KN110*5</f>
        <v/>
      </c>
      <c r="DS110" s="47">
        <f>$KN110*3</f>
        <v/>
      </c>
      <c r="DT110" s="284" t="n">
        <v>0</v>
      </c>
      <c r="DU110" s="38" t="n">
        <v>0</v>
      </c>
      <c r="DV110" s="284" t="n"/>
      <c r="DW110" s="338">
        <f t="array" ref="DW110">SUMPRODUCT(--(MOD(COLUMN($BO110:$DV110),5)=MOD(COLUMN($BO110),5)),$BO110:$DV110)</f>
        <v/>
      </c>
      <c r="DX110" s="339">
        <f>DW110*$J110</f>
        <v/>
      </c>
      <c r="DY110" s="344">
        <f t="array" ref="DY110">SUMPRODUCT(--(MOD(COLUMN($BO110:$DV110),5)=MOD(COLUMN($BP110),5)),$BO110:$DV110)</f>
        <v/>
      </c>
      <c r="DZ110" s="345">
        <f>DY110*$J110</f>
        <v/>
      </c>
      <c r="EA110" s="340">
        <f t="array" ref="EA110">SUMPRODUCT(--(MOD(COLUMN($BO110:$DV110),5)=MOD(COLUMN($BQ110),5)),$BO110:$DV110)</f>
        <v/>
      </c>
      <c r="EB110" s="341">
        <f>EA110*$J110</f>
        <v/>
      </c>
      <c r="EC110" s="342">
        <f t="array" ref="EC110">SUMPRODUCT(--(MOD(COLUMN($BO110:$DV110),5)=MOD(COLUMN($BR110),5)),$BO110:$DV110)</f>
        <v/>
      </c>
      <c r="ED110" s="343">
        <f>EC110*$J110</f>
        <v/>
      </c>
      <c r="EE110" s="36" t="n">
        <v>0</v>
      </c>
      <c r="EF110" s="284" t="n">
        <v>0</v>
      </c>
      <c r="EG110" s="38" t="n"/>
      <c r="EH110" s="284" t="n"/>
      <c r="EI110" s="36" t="n">
        <v>0</v>
      </c>
      <c r="EJ110" s="284" t="n">
        <v>0</v>
      </c>
      <c r="EK110" s="38" t="n"/>
      <c r="EL110" s="284" t="n"/>
      <c r="EM110" s="36" t="n">
        <v>0</v>
      </c>
      <c r="EN110" s="284" t="n">
        <v>0</v>
      </c>
      <c r="EO110" s="38" t="n"/>
      <c r="EP110" s="284" t="n"/>
      <c r="EQ110" s="36">
        <f>$KN110*2</f>
        <v/>
      </c>
      <c r="ER110" s="284" t="n">
        <v>0</v>
      </c>
      <c r="ES110" s="38" t="n">
        <v>0</v>
      </c>
      <c r="ET110" s="284" t="n"/>
      <c r="EU110" s="36">
        <f>$KN110*3</f>
        <v/>
      </c>
      <c r="EV110" s="284" t="n">
        <v>0</v>
      </c>
      <c r="EW110" s="38" t="n">
        <v>0</v>
      </c>
      <c r="EX110" s="284" t="n"/>
      <c r="EY110" s="36">
        <f>$KN110*4</f>
        <v/>
      </c>
      <c r="EZ110" s="284" t="n">
        <v>0</v>
      </c>
      <c r="FA110" s="38" t="n">
        <v>0</v>
      </c>
      <c r="FB110" s="284" t="n"/>
      <c r="FC110" s="36">
        <f>$KN110*5</f>
        <v/>
      </c>
      <c r="FD110" s="284" t="n">
        <v>0</v>
      </c>
      <c r="FE110" s="38" t="n">
        <v>0</v>
      </c>
      <c r="FF110" s="284" t="n"/>
      <c r="FG110" s="36">
        <f>$KN110*5</f>
        <v/>
      </c>
      <c r="FH110" s="284" t="n">
        <v>0</v>
      </c>
      <c r="FI110" s="38" t="n">
        <v>0</v>
      </c>
      <c r="FJ110" s="284" t="n"/>
      <c r="FK110" s="36">
        <f>$KN110*5</f>
        <v/>
      </c>
      <c r="FL110" s="284" t="n">
        <v>0</v>
      </c>
      <c r="FM110" s="38" t="n">
        <v>0</v>
      </c>
      <c r="FN110" s="284" t="n"/>
      <c r="FO110" s="36">
        <f>$KN110*6</f>
        <v/>
      </c>
      <c r="FP110" s="284" t="n">
        <v>6</v>
      </c>
      <c r="FQ110" s="38" t="n">
        <v>0</v>
      </c>
      <c r="FR110" s="284" t="n"/>
      <c r="FS110" s="36">
        <f>$KN110*6</f>
        <v/>
      </c>
      <c r="FT110" s="284" t="n">
        <v>6</v>
      </c>
      <c r="FU110" s="38" t="n">
        <v>0</v>
      </c>
      <c r="FV110" s="284" t="n"/>
      <c r="FW110" s="36">
        <f>$KN110*6</f>
        <v/>
      </c>
      <c r="FX110" s="284" t="n">
        <v>6</v>
      </c>
      <c r="FY110" s="38" t="n">
        <v>0</v>
      </c>
      <c r="FZ110" s="284" t="n"/>
      <c r="GA110" s="338">
        <f t="array" ref="GA110">SUMPRODUCT(--(MOD(COLUMN($EE110:$FZ110),4)=MOD(COLUMN($EE110),4)),$EE110:$FZ110)</f>
        <v/>
      </c>
      <c r="GB110" s="339">
        <f>GA110*$J110</f>
        <v/>
      </c>
      <c r="GC110" s="340">
        <f t="array" ref="GC110">SUMPRODUCT(--(MOD(COLUMN($EE110:$FZ110),4)=MOD(COLUMN($EF110),4)),$EE110:$FZ110)</f>
        <v/>
      </c>
      <c r="GD110" s="341">
        <f>GC110*$J110</f>
        <v/>
      </c>
      <c r="GE110" s="342">
        <f t="array" ref="GE110">SUMPRODUCT(--(MOD(COLUMN($EE110:$FZ110),4)=MOD(COLUMN($EG110),4)),$EE110:$FZ110)</f>
        <v/>
      </c>
      <c r="GF110" s="343">
        <f>GE110*$J110</f>
        <v/>
      </c>
      <c r="GG110" s="36">
        <f>$KN110*5</f>
        <v/>
      </c>
      <c r="GH110" s="284" t="n"/>
      <c r="GI110" s="38" t="n">
        <v>0</v>
      </c>
      <c r="GJ110" s="284" t="n"/>
      <c r="GK110" s="36">
        <f>$KN110*5</f>
        <v/>
      </c>
      <c r="GL110" s="284" t="n"/>
      <c r="GM110" s="38" t="n">
        <v>0</v>
      </c>
      <c r="GN110" s="284" t="n"/>
      <c r="GO110" s="36">
        <f>$KN110*7</f>
        <v/>
      </c>
      <c r="GP110" s="284" t="n"/>
      <c r="GQ110" s="38" t="n">
        <v>0</v>
      </c>
      <c r="GR110" s="284" t="n"/>
      <c r="GS110" s="36">
        <f>$KN110*10</f>
        <v/>
      </c>
      <c r="GT110" s="284" t="n"/>
      <c r="GU110" s="38" t="n">
        <v>0</v>
      </c>
      <c r="GV110" s="284" t="n"/>
      <c r="GW110" s="36">
        <f>$KN110*10</f>
        <v/>
      </c>
      <c r="GX110" s="284" t="n"/>
      <c r="GY110" s="38" t="n">
        <v>0</v>
      </c>
      <c r="GZ110" s="284" t="n"/>
      <c r="HA110" s="36">
        <f>$KN110*10</f>
        <v/>
      </c>
      <c r="HB110" s="284" t="n"/>
      <c r="HC110" s="38" t="n">
        <v>0</v>
      </c>
      <c r="HD110" s="284" t="n"/>
      <c r="HE110" s="36">
        <f>$KN110*10</f>
        <v/>
      </c>
      <c r="HF110" s="284" t="n"/>
      <c r="HG110" s="38" t="n">
        <v>0</v>
      </c>
      <c r="HH110" s="284" t="n"/>
      <c r="HI110" s="36">
        <f>$KN110*10</f>
        <v/>
      </c>
      <c r="HJ110" s="284" t="n"/>
      <c r="HK110" s="38" t="n">
        <v>0</v>
      </c>
      <c r="HL110" s="284" t="n"/>
      <c r="HM110" s="36">
        <f>$KN110*10</f>
        <v/>
      </c>
      <c r="HN110" s="284" t="n"/>
      <c r="HO110" s="38" t="n">
        <v>0</v>
      </c>
      <c r="HP110" s="284" t="n"/>
      <c r="HQ110" s="36">
        <f>$KN110*10</f>
        <v/>
      </c>
      <c r="HR110" s="284" t="n"/>
      <c r="HS110" s="38" t="n">
        <v>0</v>
      </c>
      <c r="HT110" s="284" t="n"/>
      <c r="HU110" s="36">
        <f>$KN110*10</f>
        <v/>
      </c>
      <c r="HV110" s="284" t="n"/>
      <c r="HW110" s="38" t="n">
        <v>0</v>
      </c>
      <c r="HX110" s="284" t="n"/>
      <c r="HY110" s="36">
        <f>$KN110*10</f>
        <v/>
      </c>
      <c r="HZ110" s="284" t="n"/>
      <c r="IA110" s="38" t="n">
        <v>0</v>
      </c>
      <c r="IB110" s="284" t="n"/>
      <c r="IC110" s="338">
        <f t="array" ref="IC110">SUMPRODUCT(--(MOD(COLUMN($GG110:$IB110),4)=MOD(COLUMN($GG110),4)),$GG110:$IB110)</f>
        <v/>
      </c>
      <c r="ID110" s="339">
        <f>IC110*$J110</f>
        <v/>
      </c>
      <c r="IE110" s="340">
        <f t="array" ref="IE110">SUMPRODUCT(--(MOD(COLUMN($GG110:$IB110),4)=MOD(COLUMN($GH110),4)),$GG110:$IB110)</f>
        <v/>
      </c>
      <c r="IF110" s="341">
        <f>IE110*$J110</f>
        <v/>
      </c>
      <c r="IG110" s="342">
        <f t="array" ref="IG110">SUMPRODUCT(--(MOD(COLUMN($GG110:$IB110),4)=MOD(COLUMN($GI110),4)),$GG110:$IB110)</f>
        <v/>
      </c>
      <c r="IH110" s="343">
        <f>IG110*$J110</f>
        <v/>
      </c>
      <c r="II110" s="36">
        <f>$KN110*5</f>
        <v/>
      </c>
      <c r="IJ110" s="284" t="n"/>
      <c r="IK110" s="38" t="n">
        <v>0</v>
      </c>
      <c r="IL110" s="284" t="n"/>
      <c r="IM110" s="36">
        <f>$KN110*5</f>
        <v/>
      </c>
      <c r="IN110" s="284" t="n"/>
      <c r="IO110" s="38" t="n">
        <v>0</v>
      </c>
      <c r="IP110" s="284" t="n"/>
      <c r="IQ110" s="36">
        <f>$KN110*7</f>
        <v/>
      </c>
      <c r="IR110" s="284" t="n"/>
      <c r="IS110" s="38" t="n">
        <v>0</v>
      </c>
      <c r="IT110" s="284" t="n"/>
      <c r="IU110" s="36">
        <f>$KN110*10</f>
        <v/>
      </c>
      <c r="IV110" s="284" t="n"/>
      <c r="IW110" s="38" t="n">
        <v>0</v>
      </c>
      <c r="IX110" s="284" t="n"/>
      <c r="IY110" s="36">
        <f>$KN110*10</f>
        <v/>
      </c>
      <c r="IZ110" s="284" t="n"/>
      <c r="JA110" s="38" t="n">
        <v>0</v>
      </c>
      <c r="JB110" s="284" t="n"/>
      <c r="JC110" s="36">
        <f>$KN110*10</f>
        <v/>
      </c>
      <c r="JD110" s="284" t="n"/>
      <c r="JE110" s="38" t="n">
        <v>0</v>
      </c>
      <c r="JF110" s="284" t="n"/>
      <c r="JG110" s="36">
        <f>$KN110*10</f>
        <v/>
      </c>
      <c r="JH110" s="284" t="n"/>
      <c r="JI110" s="38" t="n">
        <v>0</v>
      </c>
      <c r="JJ110" s="284" t="n"/>
      <c r="JK110" s="36">
        <f>$KN110*10</f>
        <v/>
      </c>
      <c r="JL110" s="284" t="n"/>
      <c r="JM110" s="38" t="n">
        <v>0</v>
      </c>
      <c r="JN110" s="284" t="n"/>
      <c r="JO110" s="36">
        <f>$KN110*10</f>
        <v/>
      </c>
      <c r="JP110" s="284" t="n"/>
      <c r="JQ110" s="38" t="n">
        <v>0</v>
      </c>
      <c r="JR110" s="284" t="n"/>
      <c r="JS110" s="36">
        <f>$KN110*10</f>
        <v/>
      </c>
      <c r="JT110" s="284" t="n"/>
      <c r="JU110" s="38" t="n">
        <v>0</v>
      </c>
      <c r="JV110" s="284" t="n"/>
      <c r="JW110" s="36">
        <f>$KN110*10</f>
        <v/>
      </c>
      <c r="JX110" s="284" t="n"/>
      <c r="JY110" s="38" t="n">
        <v>0</v>
      </c>
      <c r="JZ110" s="284" t="n"/>
      <c r="KA110" s="36">
        <f>$KN110*10</f>
        <v/>
      </c>
      <c r="KB110" s="284" t="n"/>
      <c r="KC110" s="38" t="n">
        <v>0</v>
      </c>
      <c r="KD110" s="284" t="n"/>
      <c r="KE110" s="338">
        <f t="array" ref="KE110">SUMPRODUCT(--(MOD(COLUMN($II110:$KD110),4)=MOD(COLUMN($II110),4)),$II110:$KD110)</f>
        <v/>
      </c>
      <c r="KF110" s="339">
        <f>KE110*$J110</f>
        <v/>
      </c>
      <c r="KG110" s="340">
        <f t="array" ref="KG110">SUMPRODUCT(--(MOD(COLUMN($II110:$KD110),4)=MOD(COLUMN($IJ110),4)),$II110:$KD110)</f>
        <v/>
      </c>
      <c r="KH110" s="341">
        <f>KG110*$J110</f>
        <v/>
      </c>
      <c r="KI110" s="342">
        <f t="array" ref="KI110">SUMPRODUCT(--(MOD(COLUMN($II110:$KD110),4)=MOD(COLUMN($IK110),4)),$II110:$KD110)</f>
        <v/>
      </c>
      <c r="KJ110" s="346">
        <f>KI110*$J110</f>
        <v/>
      </c>
      <c r="KK110" s="80" t="n"/>
      <c r="KL110" s="80" t="n"/>
      <c r="KM110" s="80" t="n"/>
      <c r="KN110" s="51" t="n">
        <v>1</v>
      </c>
      <c r="KO110" s="347" t="n"/>
    </row>
    <row r="111" outlineLevel="1" ht="43.2" customFormat="1" customHeight="1" s="68">
      <c r="A111" s="347" t="n"/>
      <c r="B111" s="347" t="n"/>
      <c r="C111" s="347" t="n"/>
      <c r="D111" s="347" t="n"/>
      <c r="E111" s="15" t="n">
        <v>3</v>
      </c>
      <c r="F111" s="15" t="n">
        <v>1</v>
      </c>
      <c r="G111" s="33" t="n">
        <v>9710029000</v>
      </c>
      <c r="H111" s="34" t="inlineStr">
        <is>
          <t>Воздухораспределитель с клапаном растормаживания</t>
        </is>
      </c>
      <c r="I111" s="348">
        <f>639/1.2/0.98</f>
        <v/>
      </c>
      <c r="J111" s="337">
        <f>639/1.2*1.0863</f>
        <v/>
      </c>
      <c r="K111" s="348" t="n"/>
      <c r="L111" s="348" t="n"/>
      <c r="M111" s="36" t="n">
        <v>0</v>
      </c>
      <c r="N111" s="284" t="n">
        <v>0</v>
      </c>
      <c r="O111" s="38" t="n">
        <v>0</v>
      </c>
      <c r="P111" s="284" t="n"/>
      <c r="Q111" s="36" t="n">
        <v>0</v>
      </c>
      <c r="R111" s="284" t="n">
        <v>0</v>
      </c>
      <c r="S111" s="38" t="n">
        <v>0</v>
      </c>
      <c r="T111" s="284" t="n"/>
      <c r="U111" s="36" t="n">
        <v>0</v>
      </c>
      <c r="V111" s="284" t="n">
        <v>0</v>
      </c>
      <c r="W111" s="38" t="n">
        <v>0</v>
      </c>
      <c r="X111" s="284" t="n"/>
      <c r="Y111" s="36" t="n">
        <v>5</v>
      </c>
      <c r="Z111" s="39" t="n">
        <v>0</v>
      </c>
      <c r="AA111" s="38" t="n">
        <v>0</v>
      </c>
      <c r="AB111" s="347" t="n"/>
      <c r="AC111" s="36" t="n">
        <v>20</v>
      </c>
      <c r="AD111" s="284" t="n">
        <v>0</v>
      </c>
      <c r="AE111" s="38" t="n">
        <v>0</v>
      </c>
      <c r="AF111" s="347" t="n"/>
      <c r="AG111" s="36" t="n">
        <v>20</v>
      </c>
      <c r="AH111" s="284" t="n">
        <v>0</v>
      </c>
      <c r="AI111" s="38" t="n">
        <v>0</v>
      </c>
      <c r="AJ111" s="347" t="n"/>
      <c r="AK111" s="36" t="n">
        <v>20</v>
      </c>
      <c r="AL111" s="284" t="n">
        <v>0</v>
      </c>
      <c r="AM111" s="38" t="n">
        <v>0</v>
      </c>
      <c r="AN111" s="347" t="n"/>
      <c r="AO111" s="36" t="n">
        <v>20</v>
      </c>
      <c r="AP111" s="284" t="n">
        <v>0</v>
      </c>
      <c r="AQ111" s="38" t="n">
        <v>0</v>
      </c>
      <c r="AR111" s="347" t="n"/>
      <c r="AS111" s="36" t="n">
        <v>20</v>
      </c>
      <c r="AT111" s="284" t="n">
        <v>0</v>
      </c>
      <c r="AU111" s="38" t="n">
        <v>0</v>
      </c>
      <c r="AV111" s="347" t="n"/>
      <c r="AW111" s="36" t="n">
        <v>20</v>
      </c>
      <c r="AX111" s="284" t="n">
        <v>0</v>
      </c>
      <c r="AY111" s="54" t="n">
        <v>0</v>
      </c>
      <c r="AZ111" s="347" t="n"/>
      <c r="BA111" s="36" t="n">
        <v>20</v>
      </c>
      <c r="BB111" s="284" t="n">
        <v>0</v>
      </c>
      <c r="BC111" s="38" t="n">
        <v>0</v>
      </c>
      <c r="BD111" s="347" t="n"/>
      <c r="BE111" s="36" t="n">
        <v>20</v>
      </c>
      <c r="BF111" s="284">
        <f>$KN111*5</f>
        <v/>
      </c>
      <c r="BG111" s="54" t="n">
        <v>0</v>
      </c>
      <c r="BH111" s="347" t="n"/>
      <c r="BI111" s="338">
        <f>SUMPRODUCT(--(MOD(COLUMN($M111:$BH111),4)=MOD(COLUMN($M111),4)),$M111:$BH111)</f>
        <v/>
      </c>
      <c r="BJ111" s="339">
        <f>BI111*$I111</f>
        <v/>
      </c>
      <c r="BK111" s="340">
        <f>SUMPRODUCT(--(MOD(COLUMN($M111:$BH111),4)=MOD(COLUMN($M111)+1,4)),$M111:$BH111)</f>
        <v/>
      </c>
      <c r="BL111" s="341">
        <f>BK111*$I111</f>
        <v/>
      </c>
      <c r="BM111" s="342">
        <f>SUMPRODUCT(--(MOD(COLUMN($M111:$BH111),4)=MOD(COLUMN($M111)+2,4)),$M111:$BH111)</f>
        <v/>
      </c>
      <c r="BN111" s="343">
        <f>BM111*$I111</f>
        <v/>
      </c>
      <c r="BO111" s="36">
        <f>$KN111*0</f>
        <v/>
      </c>
      <c r="BP111" s="47">
        <f>$KN111*0</f>
        <v/>
      </c>
      <c r="BQ111" s="284">
        <f>$KN111*5</f>
        <v/>
      </c>
      <c r="BR111" s="38" t="n">
        <v>0</v>
      </c>
      <c r="BS111" s="347" t="n"/>
      <c r="BT111" s="36">
        <f>$KN111*0</f>
        <v/>
      </c>
      <c r="BU111" s="47">
        <f>$KN111*0</f>
        <v/>
      </c>
      <c r="BV111" s="284">
        <f>$KN111*0</f>
        <v/>
      </c>
      <c r="BW111" s="38" t="n">
        <v>0</v>
      </c>
      <c r="BX111" s="347" t="n"/>
      <c r="BY111" s="36">
        <f>$KN111*5</f>
        <v/>
      </c>
      <c r="BZ111" s="47">
        <f>$KN111*3</f>
        <v/>
      </c>
      <c r="CA111" s="284">
        <f>$KN111*0</f>
        <v/>
      </c>
      <c r="CB111" s="38" t="n">
        <v>0</v>
      </c>
      <c r="CC111" s="284" t="n"/>
      <c r="CD111" s="36">
        <f>$KN111*0</f>
        <v/>
      </c>
      <c r="CE111" s="47">
        <f>$KN111*0</f>
        <v/>
      </c>
      <c r="CF111" s="284">
        <f>$KN111*0</f>
        <v/>
      </c>
      <c r="CG111" s="38" t="n">
        <v>0</v>
      </c>
      <c r="CH111" s="284" t="n"/>
      <c r="CI111" s="36">
        <f>$KN111*5</f>
        <v/>
      </c>
      <c r="CJ111" s="47">
        <f>$KN111*3</f>
        <v/>
      </c>
      <c r="CK111" s="284">
        <f>$KN111*0</f>
        <v/>
      </c>
      <c r="CL111" s="38" t="n">
        <v>0</v>
      </c>
      <c r="CM111" s="284" t="n"/>
      <c r="CN111" s="36">
        <f>$KN111*5</f>
        <v/>
      </c>
      <c r="CO111" s="47">
        <f>$KN111*3</f>
        <v/>
      </c>
      <c r="CP111" s="39">
        <f>$KN111*0</f>
        <v/>
      </c>
      <c r="CQ111" s="38" t="n">
        <v>0</v>
      </c>
      <c r="CR111" s="284" t="n"/>
      <c r="CS111" s="36">
        <f>$KN111*5</f>
        <v/>
      </c>
      <c r="CT111" s="47">
        <f>$KN111*3</f>
        <v/>
      </c>
      <c r="CU111" s="39">
        <f>$KN111*0</f>
        <v/>
      </c>
      <c r="CV111" s="38" t="n">
        <v>0</v>
      </c>
      <c r="CW111" s="284" t="n"/>
      <c r="CX111" s="36">
        <f>$KN111*5</f>
        <v/>
      </c>
      <c r="CY111" s="47">
        <f>$KN111*3</f>
        <v/>
      </c>
      <c r="CZ111" s="39">
        <f>$KN111*0</f>
        <v/>
      </c>
      <c r="DA111" s="38" t="n">
        <v>0</v>
      </c>
      <c r="DB111" s="284" t="n"/>
      <c r="DC111" s="36">
        <f>$KN111*5</f>
        <v/>
      </c>
      <c r="DD111" s="47">
        <f>$KN111*3</f>
        <v/>
      </c>
      <c r="DE111" s="284">
        <f>$KN111*0</f>
        <v/>
      </c>
      <c r="DF111" s="38" t="n">
        <v>0</v>
      </c>
      <c r="DG111" s="284" t="n"/>
      <c r="DH111" s="36">
        <f>$KN111*5</f>
        <v/>
      </c>
      <c r="DI111" s="47">
        <f>$KN111*3</f>
        <v/>
      </c>
      <c r="DJ111" s="284">
        <f>$KN111*0</f>
        <v/>
      </c>
      <c r="DK111" s="38" t="n">
        <v>0</v>
      </c>
      <c r="DL111" s="284" t="n"/>
      <c r="DM111" s="36">
        <f>$KN111*5</f>
        <v/>
      </c>
      <c r="DN111" s="47">
        <f>$KN111*3</f>
        <v/>
      </c>
      <c r="DO111" s="284">
        <f>$KN111*0</f>
        <v/>
      </c>
      <c r="DP111" s="38" t="n">
        <v>0</v>
      </c>
      <c r="DQ111" s="284" t="n"/>
      <c r="DR111" s="36">
        <f>$KN111*5</f>
        <v/>
      </c>
      <c r="DS111" s="47">
        <f>$KN111*3</f>
        <v/>
      </c>
      <c r="DT111" s="284">
        <f>$KN111*0</f>
        <v/>
      </c>
      <c r="DU111" s="38" t="n">
        <v>0</v>
      </c>
      <c r="DV111" s="284" t="n"/>
      <c r="DW111" s="338">
        <f t="array" ref="DW111">SUMPRODUCT(--(MOD(COLUMN($BO111:$DV111),5)=MOD(COLUMN($BO111),5)),$BO111:$DV111)</f>
        <v/>
      </c>
      <c r="DX111" s="339">
        <f>DW111*$J111</f>
        <v/>
      </c>
      <c r="DY111" s="344">
        <f t="array" ref="DY111">SUMPRODUCT(--(MOD(COLUMN($BO111:$DV111),5)=MOD(COLUMN($BP111),5)),$BO111:$DV111)</f>
        <v/>
      </c>
      <c r="DZ111" s="345">
        <f>DY111*$J111</f>
        <v/>
      </c>
      <c r="EA111" s="340">
        <f t="array" ref="EA111">SUMPRODUCT(--(MOD(COLUMN($BO111:$DV111),5)=MOD(COLUMN($BQ111),5)),$BO111:$DV111)</f>
        <v/>
      </c>
      <c r="EB111" s="341">
        <f>EA111*$J111</f>
        <v/>
      </c>
      <c r="EC111" s="342">
        <f t="array" ref="EC111">SUMPRODUCT(--(MOD(COLUMN($BO111:$DV111),5)=MOD(COLUMN($BR111),5)),$BO111:$DV111)</f>
        <v/>
      </c>
      <c r="ED111" s="343">
        <f>EC111*$J111</f>
        <v/>
      </c>
      <c r="EE111" s="36" t="n">
        <v>0</v>
      </c>
      <c r="EF111" s="284" t="n">
        <v>0</v>
      </c>
      <c r="EG111" s="38" t="n"/>
      <c r="EH111" s="284" t="n"/>
      <c r="EI111" s="36" t="n">
        <v>0</v>
      </c>
      <c r="EJ111" s="284" t="n">
        <v>0</v>
      </c>
      <c r="EK111" s="38" t="n"/>
      <c r="EL111" s="284" t="n"/>
      <c r="EM111" s="36" t="n">
        <v>0</v>
      </c>
      <c r="EN111" s="284" t="n">
        <v>0</v>
      </c>
      <c r="EO111" s="38" t="n"/>
      <c r="EP111" s="284" t="n"/>
      <c r="EQ111" s="36">
        <f>$KN111*2</f>
        <v/>
      </c>
      <c r="ER111" s="284" t="n">
        <v>0</v>
      </c>
      <c r="ES111" s="38" t="n">
        <v>0</v>
      </c>
      <c r="ET111" s="284" t="n"/>
      <c r="EU111" s="36">
        <f>$KN111*3</f>
        <v/>
      </c>
      <c r="EV111" s="284" t="n">
        <v>0</v>
      </c>
      <c r="EW111" s="38" t="n">
        <v>0</v>
      </c>
      <c r="EX111" s="284" t="n"/>
      <c r="EY111" s="36">
        <f>$KN111*4</f>
        <v/>
      </c>
      <c r="EZ111" s="284" t="n">
        <v>0</v>
      </c>
      <c r="FA111" s="38" t="n">
        <v>0</v>
      </c>
      <c r="FB111" s="284" t="n"/>
      <c r="FC111" s="36">
        <f>$KN111*5</f>
        <v/>
      </c>
      <c r="FD111" s="284" t="n">
        <v>0</v>
      </c>
      <c r="FE111" s="38" t="n">
        <v>0</v>
      </c>
      <c r="FF111" s="284" t="n"/>
      <c r="FG111" s="36">
        <f>$KN111*5</f>
        <v/>
      </c>
      <c r="FH111" s="284" t="n">
        <v>0</v>
      </c>
      <c r="FI111" s="38" t="n">
        <v>0</v>
      </c>
      <c r="FJ111" s="284" t="n"/>
      <c r="FK111" s="36">
        <f>$KN111*5</f>
        <v/>
      </c>
      <c r="FL111" s="284" t="n">
        <v>0</v>
      </c>
      <c r="FM111" s="38" t="n">
        <v>0</v>
      </c>
      <c r="FN111" s="284" t="n"/>
      <c r="FO111" s="36">
        <f>$KN111*6</f>
        <v/>
      </c>
      <c r="FP111" s="284" t="n">
        <v>6</v>
      </c>
      <c r="FQ111" s="38" t="n">
        <v>0</v>
      </c>
      <c r="FR111" s="284" t="n"/>
      <c r="FS111" s="36">
        <f>$KN111*6</f>
        <v/>
      </c>
      <c r="FT111" s="284" t="n">
        <v>6</v>
      </c>
      <c r="FU111" s="38" t="n">
        <v>0</v>
      </c>
      <c r="FV111" s="284" t="n"/>
      <c r="FW111" s="36">
        <f>$KN111*6</f>
        <v/>
      </c>
      <c r="FX111" s="284" t="n">
        <v>6</v>
      </c>
      <c r="FY111" s="38" t="n">
        <v>0</v>
      </c>
      <c r="FZ111" s="284" t="n"/>
      <c r="GA111" s="338">
        <f t="array" ref="GA111">SUMPRODUCT(--(MOD(COLUMN($EE111:$FZ111),4)=MOD(COLUMN($EE111),4)),$EE111:$FZ111)</f>
        <v/>
      </c>
      <c r="GB111" s="339">
        <f>GA111*$J111</f>
        <v/>
      </c>
      <c r="GC111" s="340">
        <f t="array" ref="GC111">SUMPRODUCT(--(MOD(COLUMN($EE111:$FZ111),4)=MOD(COLUMN($EF111),4)),$EE111:$FZ111)</f>
        <v/>
      </c>
      <c r="GD111" s="341">
        <f>GC111*$J111</f>
        <v/>
      </c>
      <c r="GE111" s="342">
        <f t="array" ref="GE111">SUMPRODUCT(--(MOD(COLUMN($EE111:$FZ111),4)=MOD(COLUMN($EG111),4)),$EE111:$FZ111)</f>
        <v/>
      </c>
      <c r="GF111" s="343">
        <f>GE111*$J111</f>
        <v/>
      </c>
      <c r="GG111" s="36">
        <f>$KN111*5</f>
        <v/>
      </c>
      <c r="GH111" s="284" t="n"/>
      <c r="GI111" s="38" t="n">
        <v>0</v>
      </c>
      <c r="GJ111" s="284" t="n"/>
      <c r="GK111" s="36">
        <f>$KN111*5</f>
        <v/>
      </c>
      <c r="GL111" s="284" t="n"/>
      <c r="GM111" s="38" t="n">
        <v>0</v>
      </c>
      <c r="GN111" s="284" t="n"/>
      <c r="GO111" s="36">
        <f>$KN111*7</f>
        <v/>
      </c>
      <c r="GP111" s="284" t="n"/>
      <c r="GQ111" s="38" t="n">
        <v>0</v>
      </c>
      <c r="GR111" s="284" t="n"/>
      <c r="GS111" s="36">
        <f>$KN111*10</f>
        <v/>
      </c>
      <c r="GT111" s="284" t="n"/>
      <c r="GU111" s="38" t="n">
        <v>0</v>
      </c>
      <c r="GV111" s="284" t="n"/>
      <c r="GW111" s="36">
        <f>$KN111*10</f>
        <v/>
      </c>
      <c r="GX111" s="284" t="n"/>
      <c r="GY111" s="38" t="n">
        <v>0</v>
      </c>
      <c r="GZ111" s="284" t="n"/>
      <c r="HA111" s="36">
        <f>$KN111*10</f>
        <v/>
      </c>
      <c r="HB111" s="284" t="n"/>
      <c r="HC111" s="38" t="n">
        <v>0</v>
      </c>
      <c r="HD111" s="284" t="n"/>
      <c r="HE111" s="36">
        <f>$KN111*10</f>
        <v/>
      </c>
      <c r="HF111" s="284" t="n"/>
      <c r="HG111" s="38" t="n">
        <v>0</v>
      </c>
      <c r="HH111" s="284" t="n"/>
      <c r="HI111" s="36">
        <f>$KN111*10</f>
        <v/>
      </c>
      <c r="HJ111" s="284" t="n"/>
      <c r="HK111" s="38" t="n">
        <v>0</v>
      </c>
      <c r="HL111" s="284" t="n"/>
      <c r="HM111" s="36">
        <f>$KN111*10</f>
        <v/>
      </c>
      <c r="HN111" s="284" t="n"/>
      <c r="HO111" s="38" t="n">
        <v>0</v>
      </c>
      <c r="HP111" s="284" t="n"/>
      <c r="HQ111" s="36">
        <f>$KN111*10</f>
        <v/>
      </c>
      <c r="HR111" s="284" t="n"/>
      <c r="HS111" s="38" t="n">
        <v>0</v>
      </c>
      <c r="HT111" s="284" t="n"/>
      <c r="HU111" s="36">
        <f>$KN111*10</f>
        <v/>
      </c>
      <c r="HV111" s="284" t="n"/>
      <c r="HW111" s="38" t="n">
        <v>0</v>
      </c>
      <c r="HX111" s="284" t="n"/>
      <c r="HY111" s="36">
        <f>$KN111*10</f>
        <v/>
      </c>
      <c r="HZ111" s="284" t="n"/>
      <c r="IA111" s="38" t="n">
        <v>0</v>
      </c>
      <c r="IB111" s="284" t="n"/>
      <c r="IC111" s="338">
        <f t="array" ref="IC111">SUMPRODUCT(--(MOD(COLUMN($GG111:$IB111),4)=MOD(COLUMN($GG111),4)),$GG111:$IB111)</f>
        <v/>
      </c>
      <c r="ID111" s="339">
        <f>IC111*$J111</f>
        <v/>
      </c>
      <c r="IE111" s="340">
        <f t="array" ref="IE111">SUMPRODUCT(--(MOD(COLUMN($GG111:$IB111),4)=MOD(COLUMN($GH111),4)),$GG111:$IB111)</f>
        <v/>
      </c>
      <c r="IF111" s="341">
        <f>IE111*$J111</f>
        <v/>
      </c>
      <c r="IG111" s="342">
        <f t="array" ref="IG111">SUMPRODUCT(--(MOD(COLUMN($GG111:$IB111),4)=MOD(COLUMN($GI111),4)),$GG111:$IB111)</f>
        <v/>
      </c>
      <c r="IH111" s="343">
        <f>IG111*$J111</f>
        <v/>
      </c>
      <c r="II111" s="36">
        <f>$KN111*5</f>
        <v/>
      </c>
      <c r="IJ111" s="284" t="n"/>
      <c r="IK111" s="38" t="n">
        <v>0</v>
      </c>
      <c r="IL111" s="284" t="n"/>
      <c r="IM111" s="36">
        <f>$KN111*5</f>
        <v/>
      </c>
      <c r="IN111" s="284" t="n"/>
      <c r="IO111" s="38" t="n">
        <v>0</v>
      </c>
      <c r="IP111" s="284" t="n"/>
      <c r="IQ111" s="36">
        <f>$KN111*7</f>
        <v/>
      </c>
      <c r="IR111" s="284" t="n"/>
      <c r="IS111" s="38" t="n">
        <v>0</v>
      </c>
      <c r="IT111" s="284" t="n"/>
      <c r="IU111" s="36">
        <f>$KN111*10</f>
        <v/>
      </c>
      <c r="IV111" s="284" t="n"/>
      <c r="IW111" s="38" t="n">
        <v>0</v>
      </c>
      <c r="IX111" s="284" t="n"/>
      <c r="IY111" s="36">
        <f>$KN111*10</f>
        <v/>
      </c>
      <c r="IZ111" s="284" t="n"/>
      <c r="JA111" s="38" t="n">
        <v>0</v>
      </c>
      <c r="JB111" s="284" t="n"/>
      <c r="JC111" s="36">
        <f>$KN111*10</f>
        <v/>
      </c>
      <c r="JD111" s="284" t="n"/>
      <c r="JE111" s="38" t="n">
        <v>0</v>
      </c>
      <c r="JF111" s="284" t="n"/>
      <c r="JG111" s="36">
        <f>$KN111*10</f>
        <v/>
      </c>
      <c r="JH111" s="284" t="n"/>
      <c r="JI111" s="38" t="n">
        <v>0</v>
      </c>
      <c r="JJ111" s="284" t="n"/>
      <c r="JK111" s="36">
        <f>$KN111*10</f>
        <v/>
      </c>
      <c r="JL111" s="284" t="n"/>
      <c r="JM111" s="38" t="n">
        <v>0</v>
      </c>
      <c r="JN111" s="284" t="n"/>
      <c r="JO111" s="36">
        <f>$KN111*10</f>
        <v/>
      </c>
      <c r="JP111" s="284" t="n"/>
      <c r="JQ111" s="38" t="n">
        <v>0</v>
      </c>
      <c r="JR111" s="284" t="n"/>
      <c r="JS111" s="36">
        <f>$KN111*10</f>
        <v/>
      </c>
      <c r="JT111" s="284" t="n"/>
      <c r="JU111" s="38" t="n">
        <v>0</v>
      </c>
      <c r="JV111" s="284" t="n"/>
      <c r="JW111" s="36">
        <f>$KN111*10</f>
        <v/>
      </c>
      <c r="JX111" s="284" t="n"/>
      <c r="JY111" s="38" t="n">
        <v>0</v>
      </c>
      <c r="JZ111" s="284" t="n"/>
      <c r="KA111" s="36">
        <f>$KN111*10</f>
        <v/>
      </c>
      <c r="KB111" s="284" t="n"/>
      <c r="KC111" s="38" t="n">
        <v>0</v>
      </c>
      <c r="KD111" s="284" t="n"/>
      <c r="KE111" s="338">
        <f t="array" ref="KE111">SUMPRODUCT(--(MOD(COLUMN($II111:$KD111),4)=MOD(COLUMN($II111),4)),$II111:$KD111)</f>
        <v/>
      </c>
      <c r="KF111" s="339">
        <f>KE111*$J111</f>
        <v/>
      </c>
      <c r="KG111" s="340">
        <f t="array" ref="KG111">SUMPRODUCT(--(MOD(COLUMN($II111:$KD111),4)=MOD(COLUMN($IJ111),4)),$II111:$KD111)</f>
        <v/>
      </c>
      <c r="KH111" s="341">
        <f>KG111*$J111</f>
        <v/>
      </c>
      <c r="KI111" s="342">
        <f t="array" ref="KI111">SUMPRODUCT(--(MOD(COLUMN($II111:$KD111),4)=MOD(COLUMN($IK111),4)),$II111:$KD111)</f>
        <v/>
      </c>
      <c r="KJ111" s="346">
        <f>KI111*$J111</f>
        <v/>
      </c>
      <c r="KK111" s="80" t="n"/>
      <c r="KL111" s="80" t="n"/>
      <c r="KM111" s="80" t="n"/>
      <c r="KN111" s="51" t="n">
        <v>1</v>
      </c>
      <c r="KO111" s="347" t="n"/>
    </row>
    <row r="112" outlineLevel="1" ht="28.8" customFormat="1" customHeight="1" s="68">
      <c r="A112" s="347" t="n"/>
      <c r="B112" s="347" t="n"/>
      <c r="C112" s="347" t="n"/>
      <c r="D112" s="347" t="n"/>
      <c r="E112" s="15" t="n">
        <v>4</v>
      </c>
      <c r="F112" s="15" t="n">
        <v>1</v>
      </c>
      <c r="G112" s="33" t="n">
        <v>4801020640</v>
      </c>
      <c r="H112" s="34" t="inlineStr">
        <is>
          <t>Модулятор EBS, с PEM, без фит.</t>
        </is>
      </c>
      <c r="I112" s="348">
        <f>4169.1/1.2*1.0863*1.048</f>
        <v/>
      </c>
      <c r="J112" s="337">
        <f>4169/1.2*1.0863*1.048*1.05</f>
        <v/>
      </c>
      <c r="K112" s="348" t="n"/>
      <c r="L112" s="348" t="n"/>
      <c r="M112" s="36" t="n">
        <v>0</v>
      </c>
      <c r="N112" s="284" t="n">
        <v>0</v>
      </c>
      <c r="O112" s="38" t="n">
        <v>0</v>
      </c>
      <c r="P112" s="284" t="n"/>
      <c r="Q112" s="36" t="n">
        <v>0</v>
      </c>
      <c r="R112" s="284" t="n">
        <v>0</v>
      </c>
      <c r="S112" s="38" t="n">
        <v>0</v>
      </c>
      <c r="T112" s="284" t="n"/>
      <c r="U112" s="36" t="n">
        <v>0</v>
      </c>
      <c r="V112" s="284" t="n">
        <v>0</v>
      </c>
      <c r="W112" s="38" t="n">
        <v>0</v>
      </c>
      <c r="X112" s="284" t="n"/>
      <c r="Y112" s="36" t="n">
        <v>5</v>
      </c>
      <c r="Z112" s="39" t="n">
        <v>0</v>
      </c>
      <c r="AA112" s="38" t="n">
        <v>0</v>
      </c>
      <c r="AB112" s="347" t="n"/>
      <c r="AC112" s="36" t="n">
        <v>20</v>
      </c>
      <c r="AD112" s="284" t="n">
        <v>0</v>
      </c>
      <c r="AE112" s="38" t="n">
        <v>0</v>
      </c>
      <c r="AF112" s="347" t="n"/>
      <c r="AG112" s="36" t="n">
        <v>20</v>
      </c>
      <c r="AH112" s="284" t="n">
        <v>0</v>
      </c>
      <c r="AI112" s="38" t="n">
        <v>0</v>
      </c>
      <c r="AJ112" s="347" t="n"/>
      <c r="AK112" s="36" t="n">
        <v>20</v>
      </c>
      <c r="AL112" s="284" t="n">
        <v>0</v>
      </c>
      <c r="AM112" s="38" t="n">
        <v>0</v>
      </c>
      <c r="AN112" s="347" t="n"/>
      <c r="AO112" s="36" t="n">
        <v>20</v>
      </c>
      <c r="AP112" s="284" t="n">
        <v>0</v>
      </c>
      <c r="AQ112" s="38" t="n">
        <v>0</v>
      </c>
      <c r="AR112" s="347" t="n"/>
      <c r="AS112" s="36" t="n">
        <v>20</v>
      </c>
      <c r="AT112" s="284" t="n">
        <v>0</v>
      </c>
      <c r="AU112" s="38" t="n">
        <v>0</v>
      </c>
      <c r="AV112" s="347" t="n"/>
      <c r="AW112" s="36" t="n">
        <v>20</v>
      </c>
      <c r="AX112" s="284" t="n">
        <v>0</v>
      </c>
      <c r="AY112" s="54" t="n">
        <v>0</v>
      </c>
      <c r="AZ112" s="347" t="n"/>
      <c r="BA112" s="36" t="n">
        <v>20</v>
      </c>
      <c r="BB112" s="284" t="n">
        <v>0</v>
      </c>
      <c r="BC112" s="38" t="n">
        <v>0</v>
      </c>
      <c r="BD112" s="347" t="n"/>
      <c r="BE112" s="36" t="n">
        <v>20</v>
      </c>
      <c r="BF112" s="284">
        <f>$KN112*5</f>
        <v/>
      </c>
      <c r="BG112" s="54" t="n">
        <v>0</v>
      </c>
      <c r="BH112" s="347" t="n"/>
      <c r="BI112" s="338">
        <f>SUMPRODUCT(--(MOD(COLUMN($M112:$BH112),4)=MOD(COLUMN($M112),4)),$M112:$BH112)</f>
        <v/>
      </c>
      <c r="BJ112" s="339">
        <f>BI112*$I112</f>
        <v/>
      </c>
      <c r="BK112" s="340">
        <f>SUMPRODUCT(--(MOD(COLUMN($M112:$BH112),4)=MOD(COLUMN($M112)+1,4)),$M112:$BH112)</f>
        <v/>
      </c>
      <c r="BL112" s="341">
        <f>BK112*$I112</f>
        <v/>
      </c>
      <c r="BM112" s="342">
        <f>SUMPRODUCT(--(MOD(COLUMN($M112:$BH112),4)=MOD(COLUMN($M112)+2,4)),$M112:$BH112)</f>
        <v/>
      </c>
      <c r="BN112" s="343">
        <f>BM112*$I112</f>
        <v/>
      </c>
      <c r="BO112" s="36">
        <f>$KN112*0</f>
        <v/>
      </c>
      <c r="BP112" s="47">
        <f>$KN112*0</f>
        <v/>
      </c>
      <c r="BQ112" s="284">
        <f>$KN112*5</f>
        <v/>
      </c>
      <c r="BR112" s="38" t="n">
        <v>0</v>
      </c>
      <c r="BS112" s="347" t="n"/>
      <c r="BT112" s="36">
        <f>$KN112*0</f>
        <v/>
      </c>
      <c r="BU112" s="47">
        <f>$KN112*0</f>
        <v/>
      </c>
      <c r="BV112" s="284">
        <f>$KN112*0</f>
        <v/>
      </c>
      <c r="BW112" s="38" t="n">
        <v>0</v>
      </c>
      <c r="BX112" s="347" t="n"/>
      <c r="BY112" s="36">
        <f>$KN112*5</f>
        <v/>
      </c>
      <c r="BZ112" s="47">
        <f>$KN112*3</f>
        <v/>
      </c>
      <c r="CA112" s="284">
        <f>$KN112*0</f>
        <v/>
      </c>
      <c r="CB112" s="38" t="n">
        <v>0</v>
      </c>
      <c r="CC112" s="284" t="n"/>
      <c r="CD112" s="36">
        <f>$KN112*0</f>
        <v/>
      </c>
      <c r="CE112" s="47">
        <f>$KN112*0</f>
        <v/>
      </c>
      <c r="CF112" s="284">
        <f>$KN112*0</f>
        <v/>
      </c>
      <c r="CG112" s="38" t="n">
        <v>0</v>
      </c>
      <c r="CH112" s="284" t="n"/>
      <c r="CI112" s="36">
        <f>$KN112*5</f>
        <v/>
      </c>
      <c r="CJ112" s="47">
        <f>$KN112*3</f>
        <v/>
      </c>
      <c r="CK112" s="284">
        <f>$KN112*0</f>
        <v/>
      </c>
      <c r="CL112" s="38" t="n">
        <v>0</v>
      </c>
      <c r="CM112" s="284" t="n"/>
      <c r="CN112" s="36">
        <f>$KN112*5</f>
        <v/>
      </c>
      <c r="CO112" s="47">
        <f>$KN112*3</f>
        <v/>
      </c>
      <c r="CP112" s="39">
        <f>$KN112*0</f>
        <v/>
      </c>
      <c r="CQ112" s="38" t="n">
        <v>0</v>
      </c>
      <c r="CR112" s="284" t="n"/>
      <c r="CS112" s="36">
        <f>$KN112*5</f>
        <v/>
      </c>
      <c r="CT112" s="47">
        <f>$KN112*3</f>
        <v/>
      </c>
      <c r="CU112" s="39">
        <f>$KN112*0</f>
        <v/>
      </c>
      <c r="CV112" s="38" t="n">
        <v>0</v>
      </c>
      <c r="CW112" s="284" t="n"/>
      <c r="CX112" s="36">
        <f>$KN112*5</f>
        <v/>
      </c>
      <c r="CY112" s="47">
        <f>$KN112*3</f>
        <v/>
      </c>
      <c r="CZ112" s="39">
        <f>$KN112*0</f>
        <v/>
      </c>
      <c r="DA112" s="38" t="n">
        <v>0</v>
      </c>
      <c r="DB112" s="284" t="n"/>
      <c r="DC112" s="36">
        <f>$KN112*5</f>
        <v/>
      </c>
      <c r="DD112" s="47">
        <f>$KN112*3</f>
        <v/>
      </c>
      <c r="DE112" s="284">
        <f>$KN112*0</f>
        <v/>
      </c>
      <c r="DF112" s="38" t="n">
        <v>0</v>
      </c>
      <c r="DG112" s="284" t="n"/>
      <c r="DH112" s="36">
        <f>$KN112*5</f>
        <v/>
      </c>
      <c r="DI112" s="47">
        <f>$KN112*3</f>
        <v/>
      </c>
      <c r="DJ112" s="284">
        <f>$KN112*0</f>
        <v/>
      </c>
      <c r="DK112" s="38" t="n">
        <v>0</v>
      </c>
      <c r="DL112" s="284" t="n"/>
      <c r="DM112" s="36">
        <f>$KN112*5</f>
        <v/>
      </c>
      <c r="DN112" s="47">
        <f>$KN112*3</f>
        <v/>
      </c>
      <c r="DO112" s="284">
        <f>$KN112*0</f>
        <v/>
      </c>
      <c r="DP112" s="38" t="n">
        <v>0</v>
      </c>
      <c r="DQ112" s="284" t="n"/>
      <c r="DR112" s="36">
        <f>$KN112*5</f>
        <v/>
      </c>
      <c r="DS112" s="47">
        <f>$KN112*3</f>
        <v/>
      </c>
      <c r="DT112" s="284">
        <f>$KN112*0</f>
        <v/>
      </c>
      <c r="DU112" s="38" t="n">
        <v>0</v>
      </c>
      <c r="DV112" s="284" t="n"/>
      <c r="DW112" s="338">
        <f t="array" ref="DW112">SUMPRODUCT(--(MOD(COLUMN($BO112:$DV112),5)=MOD(COLUMN($BO112),5)),$BO112:$DV112)</f>
        <v/>
      </c>
      <c r="DX112" s="339">
        <f>DW112*$J112</f>
        <v/>
      </c>
      <c r="DY112" s="344">
        <f t="array" ref="DY112">SUMPRODUCT(--(MOD(COLUMN($BO112:$DV112),5)=MOD(COLUMN($BP112),5)),$BO112:$DV112)</f>
        <v/>
      </c>
      <c r="DZ112" s="345">
        <f>DY112*$J112</f>
        <v/>
      </c>
      <c r="EA112" s="340">
        <f t="array" ref="EA112">SUMPRODUCT(--(MOD(COLUMN($BO112:$DV112),5)=MOD(COLUMN($BQ112),5)),$BO112:$DV112)</f>
        <v/>
      </c>
      <c r="EB112" s="341">
        <f>EA112*$J112</f>
        <v/>
      </c>
      <c r="EC112" s="342">
        <f t="array" ref="EC112">SUMPRODUCT(--(MOD(COLUMN($BO112:$DV112),5)=MOD(COLUMN($BR112),5)),$BO112:$DV112)</f>
        <v/>
      </c>
      <c r="ED112" s="343">
        <f>EC112*$J112</f>
        <v/>
      </c>
      <c r="EE112" s="36" t="n">
        <v>0</v>
      </c>
      <c r="EF112" s="284" t="n">
        <v>0</v>
      </c>
      <c r="EG112" s="38" t="n"/>
      <c r="EH112" s="284" t="n"/>
      <c r="EI112" s="36" t="n">
        <v>0</v>
      </c>
      <c r="EJ112" s="284" t="n">
        <v>0</v>
      </c>
      <c r="EK112" s="38" t="n"/>
      <c r="EL112" s="284" t="n"/>
      <c r="EM112" s="36" t="n">
        <v>0</v>
      </c>
      <c r="EN112" s="284" t="n">
        <v>0</v>
      </c>
      <c r="EO112" s="38" t="n"/>
      <c r="EP112" s="284" t="n"/>
      <c r="EQ112" s="36">
        <f>$KN112*2</f>
        <v/>
      </c>
      <c r="ER112" s="284" t="n">
        <v>0</v>
      </c>
      <c r="ES112" s="38" t="n">
        <v>0</v>
      </c>
      <c r="ET112" s="284" t="n"/>
      <c r="EU112" s="36">
        <f>$KN112*3</f>
        <v/>
      </c>
      <c r="EV112" s="284" t="n">
        <v>0</v>
      </c>
      <c r="EW112" s="38" t="n">
        <v>0</v>
      </c>
      <c r="EX112" s="284" t="n"/>
      <c r="EY112" s="36">
        <f>$KN112*4</f>
        <v/>
      </c>
      <c r="EZ112" s="284" t="n">
        <v>0</v>
      </c>
      <c r="FA112" s="38" t="n">
        <v>0</v>
      </c>
      <c r="FB112" s="284" t="n"/>
      <c r="FC112" s="36">
        <f>$KN112*5</f>
        <v/>
      </c>
      <c r="FD112" s="284" t="n">
        <v>0</v>
      </c>
      <c r="FE112" s="38" t="n">
        <v>0</v>
      </c>
      <c r="FF112" s="284" t="n"/>
      <c r="FG112" s="36">
        <f>$KN112*5</f>
        <v/>
      </c>
      <c r="FH112" s="284" t="n">
        <v>0</v>
      </c>
      <c r="FI112" s="38" t="n">
        <v>0</v>
      </c>
      <c r="FJ112" s="284" t="n"/>
      <c r="FK112" s="36">
        <f>$KN112*5</f>
        <v/>
      </c>
      <c r="FL112" s="284" t="n">
        <v>0</v>
      </c>
      <c r="FM112" s="38" t="n">
        <v>0</v>
      </c>
      <c r="FN112" s="284" t="n"/>
      <c r="FO112" s="36">
        <f>$KN112*6</f>
        <v/>
      </c>
      <c r="FP112" s="284" t="n">
        <v>6</v>
      </c>
      <c r="FQ112" s="38" t="n">
        <v>0</v>
      </c>
      <c r="FR112" s="284" t="n"/>
      <c r="FS112" s="36">
        <f>$KN112*6</f>
        <v/>
      </c>
      <c r="FT112" s="284" t="n">
        <v>6</v>
      </c>
      <c r="FU112" s="38" t="n">
        <v>0</v>
      </c>
      <c r="FV112" s="284" t="n"/>
      <c r="FW112" s="36">
        <f>$KN112*6</f>
        <v/>
      </c>
      <c r="FX112" s="284" t="n">
        <v>6</v>
      </c>
      <c r="FY112" s="38" t="n">
        <v>0</v>
      </c>
      <c r="FZ112" s="284" t="n"/>
      <c r="GA112" s="338">
        <f t="array" ref="GA112">SUMPRODUCT(--(MOD(COLUMN($EE112:$FZ112),4)=MOD(COLUMN($EE112),4)),$EE112:$FZ112)</f>
        <v/>
      </c>
      <c r="GB112" s="339">
        <f>GA112*$J112</f>
        <v/>
      </c>
      <c r="GC112" s="340">
        <f t="array" ref="GC112">SUMPRODUCT(--(MOD(COLUMN($EE112:$FZ112),4)=MOD(COLUMN($EF112),4)),$EE112:$FZ112)</f>
        <v/>
      </c>
      <c r="GD112" s="341">
        <f>GC112*$J112</f>
        <v/>
      </c>
      <c r="GE112" s="342">
        <f t="array" ref="GE112">SUMPRODUCT(--(MOD(COLUMN($EE112:$FZ112),4)=MOD(COLUMN($EG112),4)),$EE112:$FZ112)</f>
        <v/>
      </c>
      <c r="GF112" s="343">
        <f>GE112*$J112</f>
        <v/>
      </c>
      <c r="GG112" s="36">
        <f>$KN112*5</f>
        <v/>
      </c>
      <c r="GH112" s="284" t="n"/>
      <c r="GI112" s="38" t="n">
        <v>0</v>
      </c>
      <c r="GJ112" s="284" t="n"/>
      <c r="GK112" s="36">
        <f>$KN112*5</f>
        <v/>
      </c>
      <c r="GL112" s="284" t="n"/>
      <c r="GM112" s="38" t="n">
        <v>0</v>
      </c>
      <c r="GN112" s="284" t="n"/>
      <c r="GO112" s="36">
        <f>$KN112*7</f>
        <v/>
      </c>
      <c r="GP112" s="284" t="n"/>
      <c r="GQ112" s="38" t="n">
        <v>0</v>
      </c>
      <c r="GR112" s="284" t="n"/>
      <c r="GS112" s="36">
        <f>$KN112*10</f>
        <v/>
      </c>
      <c r="GT112" s="284" t="n"/>
      <c r="GU112" s="38" t="n">
        <v>0</v>
      </c>
      <c r="GV112" s="284" t="n"/>
      <c r="GW112" s="36">
        <f>$KN112*10</f>
        <v/>
      </c>
      <c r="GX112" s="284" t="n"/>
      <c r="GY112" s="38" t="n">
        <v>0</v>
      </c>
      <c r="GZ112" s="284" t="n"/>
      <c r="HA112" s="36">
        <f>$KN112*10</f>
        <v/>
      </c>
      <c r="HB112" s="284" t="n"/>
      <c r="HC112" s="38" t="n">
        <v>0</v>
      </c>
      <c r="HD112" s="284" t="n"/>
      <c r="HE112" s="36">
        <f>$KN112*10</f>
        <v/>
      </c>
      <c r="HF112" s="284" t="n"/>
      <c r="HG112" s="38" t="n">
        <v>0</v>
      </c>
      <c r="HH112" s="284" t="n"/>
      <c r="HI112" s="36">
        <f>$KN112*10</f>
        <v/>
      </c>
      <c r="HJ112" s="284" t="n"/>
      <c r="HK112" s="38" t="n">
        <v>0</v>
      </c>
      <c r="HL112" s="284" t="n"/>
      <c r="HM112" s="36">
        <f>$KN112*10</f>
        <v/>
      </c>
      <c r="HN112" s="284" t="n"/>
      <c r="HO112" s="38" t="n">
        <v>0</v>
      </c>
      <c r="HP112" s="284" t="n"/>
      <c r="HQ112" s="36">
        <f>$KN112*10</f>
        <v/>
      </c>
      <c r="HR112" s="284" t="n"/>
      <c r="HS112" s="38" t="n">
        <v>0</v>
      </c>
      <c r="HT112" s="284" t="n"/>
      <c r="HU112" s="36">
        <f>$KN112*10</f>
        <v/>
      </c>
      <c r="HV112" s="284" t="n"/>
      <c r="HW112" s="38" t="n">
        <v>0</v>
      </c>
      <c r="HX112" s="284" t="n"/>
      <c r="HY112" s="36">
        <f>$KN112*10</f>
        <v/>
      </c>
      <c r="HZ112" s="284" t="n"/>
      <c r="IA112" s="38" t="n">
        <v>0</v>
      </c>
      <c r="IB112" s="284" t="n"/>
      <c r="IC112" s="338">
        <f t="array" ref="IC112">SUMPRODUCT(--(MOD(COLUMN($GG112:$IB112),4)=MOD(COLUMN($GG112),4)),$GG112:$IB112)</f>
        <v/>
      </c>
      <c r="ID112" s="339">
        <f>IC112*$J112</f>
        <v/>
      </c>
      <c r="IE112" s="340">
        <f t="array" ref="IE112">SUMPRODUCT(--(MOD(COLUMN($GG112:$IB112),4)=MOD(COLUMN($GH112),4)),$GG112:$IB112)</f>
        <v/>
      </c>
      <c r="IF112" s="341">
        <f>IE112*$J112</f>
        <v/>
      </c>
      <c r="IG112" s="342">
        <f t="array" ref="IG112">SUMPRODUCT(--(MOD(COLUMN($GG112:$IB112),4)=MOD(COLUMN($GI112),4)),$GG112:$IB112)</f>
        <v/>
      </c>
      <c r="IH112" s="343">
        <f>IG112*$J112</f>
        <v/>
      </c>
      <c r="II112" s="36">
        <f>$KN112*5</f>
        <v/>
      </c>
      <c r="IJ112" s="284" t="n"/>
      <c r="IK112" s="38" t="n">
        <v>0</v>
      </c>
      <c r="IL112" s="284" t="n"/>
      <c r="IM112" s="36">
        <f>$KN112*5</f>
        <v/>
      </c>
      <c r="IN112" s="284" t="n"/>
      <c r="IO112" s="38" t="n">
        <v>0</v>
      </c>
      <c r="IP112" s="284" t="n"/>
      <c r="IQ112" s="36">
        <f>$KN112*7</f>
        <v/>
      </c>
      <c r="IR112" s="284" t="n"/>
      <c r="IS112" s="38" t="n">
        <v>0</v>
      </c>
      <c r="IT112" s="284" t="n"/>
      <c r="IU112" s="36">
        <f>$KN112*10</f>
        <v/>
      </c>
      <c r="IV112" s="284" t="n"/>
      <c r="IW112" s="38" t="n">
        <v>0</v>
      </c>
      <c r="IX112" s="284" t="n"/>
      <c r="IY112" s="36">
        <f>$KN112*10</f>
        <v/>
      </c>
      <c r="IZ112" s="284" t="n"/>
      <c r="JA112" s="38" t="n">
        <v>0</v>
      </c>
      <c r="JB112" s="284" t="n"/>
      <c r="JC112" s="36">
        <f>$KN112*10</f>
        <v/>
      </c>
      <c r="JD112" s="284" t="n"/>
      <c r="JE112" s="38" t="n">
        <v>0</v>
      </c>
      <c r="JF112" s="284" t="n"/>
      <c r="JG112" s="36">
        <f>$KN112*10</f>
        <v/>
      </c>
      <c r="JH112" s="284" t="n"/>
      <c r="JI112" s="38" t="n">
        <v>0</v>
      </c>
      <c r="JJ112" s="284" t="n"/>
      <c r="JK112" s="36">
        <f>$KN112*10</f>
        <v/>
      </c>
      <c r="JL112" s="284" t="n"/>
      <c r="JM112" s="38" t="n">
        <v>0</v>
      </c>
      <c r="JN112" s="284" t="n"/>
      <c r="JO112" s="36">
        <f>$KN112*10</f>
        <v/>
      </c>
      <c r="JP112" s="284" t="n"/>
      <c r="JQ112" s="38" t="n">
        <v>0</v>
      </c>
      <c r="JR112" s="284" t="n"/>
      <c r="JS112" s="36">
        <f>$KN112*10</f>
        <v/>
      </c>
      <c r="JT112" s="284" t="n"/>
      <c r="JU112" s="38" t="n">
        <v>0</v>
      </c>
      <c r="JV112" s="284" t="n"/>
      <c r="JW112" s="36">
        <f>$KN112*10</f>
        <v/>
      </c>
      <c r="JX112" s="284" t="n"/>
      <c r="JY112" s="38" t="n">
        <v>0</v>
      </c>
      <c r="JZ112" s="284" t="n"/>
      <c r="KA112" s="36">
        <f>$KN112*10</f>
        <v/>
      </c>
      <c r="KB112" s="284" t="n"/>
      <c r="KC112" s="38" t="n">
        <v>0</v>
      </c>
      <c r="KD112" s="284" t="n"/>
      <c r="KE112" s="338">
        <f t="array" ref="KE112">SUMPRODUCT(--(MOD(COLUMN($II112:$KD112),4)=MOD(COLUMN($II112),4)),$II112:$KD112)</f>
        <v/>
      </c>
      <c r="KF112" s="339">
        <f>KE112*$J112</f>
        <v/>
      </c>
      <c r="KG112" s="340">
        <f t="array" ref="KG112">SUMPRODUCT(--(MOD(COLUMN($II112:$KD112),4)=MOD(COLUMN($IJ112),4)),$II112:$KD112)</f>
        <v/>
      </c>
      <c r="KH112" s="341">
        <f>KG112*$J112</f>
        <v/>
      </c>
      <c r="KI112" s="342">
        <f t="array" ref="KI112">SUMPRODUCT(--(MOD(COLUMN($II112:$KD112),4)=MOD(COLUMN($IK112),4)),$II112:$KD112)</f>
        <v/>
      </c>
      <c r="KJ112" s="346">
        <f>KI112*$J112</f>
        <v/>
      </c>
      <c r="KK112" s="80" t="n"/>
      <c r="KL112" s="80" t="n"/>
      <c r="KM112" s="80" t="n"/>
      <c r="KN112" s="51" t="n">
        <v>1</v>
      </c>
      <c r="KO112" s="347" t="n"/>
    </row>
    <row r="113" outlineLevel="1" customFormat="1" s="68">
      <c r="A113" s="347" t="n"/>
      <c r="B113" s="347" t="n"/>
      <c r="C113" s="347" t="n"/>
      <c r="D113" s="347" t="n"/>
      <c r="E113" s="15" t="n">
        <v>5</v>
      </c>
      <c r="F113" s="15" t="n">
        <v>1</v>
      </c>
      <c r="G113" s="33" t="n">
        <v>4491731200</v>
      </c>
      <c r="H113" s="34" t="inlineStr">
        <is>
          <t>Кабель питания, 12 м</t>
        </is>
      </c>
      <c r="I113" s="348">
        <f>842.2/1.2/0.98</f>
        <v/>
      </c>
      <c r="J113" s="337">
        <f>842.2/1.2*1.0863</f>
        <v/>
      </c>
      <c r="K113" s="348" t="n"/>
      <c r="L113" s="348" t="n"/>
      <c r="M113" s="36" t="n">
        <v>0</v>
      </c>
      <c r="N113" s="284" t="n">
        <v>0</v>
      </c>
      <c r="O113" s="38" t="n">
        <v>0</v>
      </c>
      <c r="P113" s="284" t="n"/>
      <c r="Q113" s="36" t="n">
        <v>0</v>
      </c>
      <c r="R113" s="284" t="n">
        <v>0</v>
      </c>
      <c r="S113" s="38" t="n">
        <v>0</v>
      </c>
      <c r="T113" s="284" t="n"/>
      <c r="U113" s="36" t="n">
        <v>0</v>
      </c>
      <c r="V113" s="284" t="n">
        <v>0</v>
      </c>
      <c r="W113" s="38" t="n">
        <v>0</v>
      </c>
      <c r="X113" s="284" t="n"/>
      <c r="Y113" s="36" t="n">
        <v>5</v>
      </c>
      <c r="Z113" s="39" t="n">
        <v>0</v>
      </c>
      <c r="AA113" s="38" t="n">
        <v>0</v>
      </c>
      <c r="AB113" s="347" t="n"/>
      <c r="AC113" s="36" t="n">
        <v>20</v>
      </c>
      <c r="AD113" s="284" t="n">
        <v>0</v>
      </c>
      <c r="AE113" s="38" t="n">
        <v>0</v>
      </c>
      <c r="AF113" s="347" t="n"/>
      <c r="AG113" s="36" t="n">
        <v>20</v>
      </c>
      <c r="AH113" s="284" t="n">
        <v>0</v>
      </c>
      <c r="AI113" s="38" t="n">
        <v>0</v>
      </c>
      <c r="AJ113" s="347" t="n"/>
      <c r="AK113" s="36" t="n">
        <v>20</v>
      </c>
      <c r="AL113" s="284" t="n">
        <v>0</v>
      </c>
      <c r="AM113" s="38" t="n">
        <v>0</v>
      </c>
      <c r="AN113" s="347" t="n"/>
      <c r="AO113" s="36" t="n">
        <v>20</v>
      </c>
      <c r="AP113" s="284" t="n">
        <v>0</v>
      </c>
      <c r="AQ113" s="38" t="n">
        <v>0</v>
      </c>
      <c r="AR113" s="347" t="n"/>
      <c r="AS113" s="36" t="n">
        <v>20</v>
      </c>
      <c r="AT113" s="284" t="n">
        <v>0</v>
      </c>
      <c r="AU113" s="38" t="n">
        <v>0</v>
      </c>
      <c r="AV113" s="347" t="n"/>
      <c r="AW113" s="36" t="n">
        <v>20</v>
      </c>
      <c r="AX113" s="284" t="n">
        <v>0</v>
      </c>
      <c r="AY113" s="54" t="n">
        <v>0</v>
      </c>
      <c r="AZ113" s="347" t="n"/>
      <c r="BA113" s="36" t="n">
        <v>20</v>
      </c>
      <c r="BB113" s="284" t="n">
        <v>0</v>
      </c>
      <c r="BC113" s="38" t="n">
        <v>0</v>
      </c>
      <c r="BD113" s="347" t="n"/>
      <c r="BE113" s="36" t="n">
        <v>20</v>
      </c>
      <c r="BF113" s="284">
        <f>$KN113*0</f>
        <v/>
      </c>
      <c r="BG113" s="54" t="n">
        <v>0</v>
      </c>
      <c r="BH113" s="347" t="n"/>
      <c r="BI113" s="338">
        <f>SUMPRODUCT(--(MOD(COLUMN($M113:$BH113),4)=MOD(COLUMN($M113),4)),$M113:$BH113)</f>
        <v/>
      </c>
      <c r="BJ113" s="339">
        <f>BI113*$I113</f>
        <v/>
      </c>
      <c r="BK113" s="340">
        <f>SUMPRODUCT(--(MOD(COLUMN($M113:$BH113),4)=MOD(COLUMN($M113)+1,4)),$M113:$BH113)</f>
        <v/>
      </c>
      <c r="BL113" s="341">
        <f>BK113*$I113</f>
        <v/>
      </c>
      <c r="BM113" s="342">
        <f>SUMPRODUCT(--(MOD(COLUMN($M113:$BH113),4)=MOD(COLUMN($M113)+2,4)),$M113:$BH113)</f>
        <v/>
      </c>
      <c r="BN113" s="343">
        <f>BM113*$I113</f>
        <v/>
      </c>
      <c r="BO113" s="36">
        <f>$KN113*0</f>
        <v/>
      </c>
      <c r="BP113" s="47">
        <f>$KN113*0</f>
        <v/>
      </c>
      <c r="BQ113" s="284">
        <f>$KN113*0</f>
        <v/>
      </c>
      <c r="BR113" s="38" t="n">
        <v>0</v>
      </c>
      <c r="BS113" s="347" t="n"/>
      <c r="BT113" s="36">
        <f>$KN113*0</f>
        <v/>
      </c>
      <c r="BU113" s="47">
        <f>$KN113*0</f>
        <v/>
      </c>
      <c r="BV113" s="284">
        <f>$KN113*0</f>
        <v/>
      </c>
      <c r="BW113" s="38" t="n">
        <v>0</v>
      </c>
      <c r="BX113" s="347" t="n"/>
      <c r="BY113" s="36">
        <f>$KN113*5</f>
        <v/>
      </c>
      <c r="BZ113" s="47">
        <f>$KN113*3</f>
        <v/>
      </c>
      <c r="CA113" s="284">
        <f>$KN113*0</f>
        <v/>
      </c>
      <c r="CB113" s="38" t="n">
        <v>0</v>
      </c>
      <c r="CC113" s="284" t="n"/>
      <c r="CD113" s="36">
        <f>$KN113*0</f>
        <v/>
      </c>
      <c r="CE113" s="47">
        <f>$KN113*0</f>
        <v/>
      </c>
      <c r="CF113" s="284">
        <f>$KN113*0</f>
        <v/>
      </c>
      <c r="CG113" s="38" t="n">
        <v>0</v>
      </c>
      <c r="CH113" s="284" t="n"/>
      <c r="CI113" s="36">
        <f>$KN113*5</f>
        <v/>
      </c>
      <c r="CJ113" s="47">
        <f>$KN113*3</f>
        <v/>
      </c>
      <c r="CK113" s="284">
        <f>$KN113*0</f>
        <v/>
      </c>
      <c r="CL113" s="38" t="n">
        <v>0</v>
      </c>
      <c r="CM113" s="284" t="n"/>
      <c r="CN113" s="36">
        <f>$KN113*5</f>
        <v/>
      </c>
      <c r="CO113" s="47">
        <f>$KN113*3</f>
        <v/>
      </c>
      <c r="CP113" s="39">
        <f>$KN113*0</f>
        <v/>
      </c>
      <c r="CQ113" s="38" t="n">
        <v>0</v>
      </c>
      <c r="CR113" s="284" t="n"/>
      <c r="CS113" s="36">
        <f>$KN113*5</f>
        <v/>
      </c>
      <c r="CT113" s="47">
        <f>$KN113*3</f>
        <v/>
      </c>
      <c r="CU113" s="39">
        <f>$KN113*0</f>
        <v/>
      </c>
      <c r="CV113" s="38" t="n">
        <v>0</v>
      </c>
      <c r="CW113" s="284" t="n"/>
      <c r="CX113" s="36">
        <f>$KN113*5</f>
        <v/>
      </c>
      <c r="CY113" s="47">
        <f>$KN113*3</f>
        <v/>
      </c>
      <c r="CZ113" s="39">
        <f>$KN113*0</f>
        <v/>
      </c>
      <c r="DA113" s="38" t="n">
        <v>0</v>
      </c>
      <c r="DB113" s="284" t="n"/>
      <c r="DC113" s="36">
        <f>$KN113*5</f>
        <v/>
      </c>
      <c r="DD113" s="47">
        <f>$KN113*3</f>
        <v/>
      </c>
      <c r="DE113" s="284">
        <f>$KN113*0</f>
        <v/>
      </c>
      <c r="DF113" s="38" t="n">
        <v>0</v>
      </c>
      <c r="DG113" s="284" t="n"/>
      <c r="DH113" s="36">
        <f>$KN113*5</f>
        <v/>
      </c>
      <c r="DI113" s="47">
        <f>$KN113*3</f>
        <v/>
      </c>
      <c r="DJ113" s="284">
        <f>$KN113*0</f>
        <v/>
      </c>
      <c r="DK113" s="38" t="n">
        <v>0</v>
      </c>
      <c r="DL113" s="284" t="n"/>
      <c r="DM113" s="36">
        <f>$KN113*5</f>
        <v/>
      </c>
      <c r="DN113" s="47">
        <f>$KN113*3</f>
        <v/>
      </c>
      <c r="DO113" s="284">
        <f>$KN113*0</f>
        <v/>
      </c>
      <c r="DP113" s="38" t="n">
        <v>0</v>
      </c>
      <c r="DQ113" s="284" t="n"/>
      <c r="DR113" s="36">
        <f>$KN113*5</f>
        <v/>
      </c>
      <c r="DS113" s="47">
        <f>$KN113*3</f>
        <v/>
      </c>
      <c r="DT113" s="284">
        <f>$KN113*0</f>
        <v/>
      </c>
      <c r="DU113" s="38" t="n">
        <v>0</v>
      </c>
      <c r="DV113" s="284" t="n"/>
      <c r="DW113" s="338">
        <f t="array" ref="DW113">SUMPRODUCT(--(MOD(COLUMN($BO113:$DV113),5)=MOD(COLUMN($BO113),5)),$BO113:$DV113)</f>
        <v/>
      </c>
      <c r="DX113" s="339">
        <f>DW113*$J113</f>
        <v/>
      </c>
      <c r="DY113" s="344">
        <f t="array" ref="DY113">SUMPRODUCT(--(MOD(COLUMN($BO113:$DV113),5)=MOD(COLUMN($BP113),5)),$BO113:$DV113)</f>
        <v/>
      </c>
      <c r="DZ113" s="345">
        <f>DY113*$J113</f>
        <v/>
      </c>
      <c r="EA113" s="340">
        <f t="array" ref="EA113">SUMPRODUCT(--(MOD(COLUMN($BO113:$DV113),5)=MOD(COLUMN($BQ113),5)),$BO113:$DV113)</f>
        <v/>
      </c>
      <c r="EB113" s="341">
        <f>EA113*$J113</f>
        <v/>
      </c>
      <c r="EC113" s="342">
        <f t="array" ref="EC113">SUMPRODUCT(--(MOD(COLUMN($BO113:$DV113),5)=MOD(COLUMN($BR113),5)),$BO113:$DV113)</f>
        <v/>
      </c>
      <c r="ED113" s="343">
        <f>EC113*$J113</f>
        <v/>
      </c>
      <c r="EE113" s="36" t="n">
        <v>0</v>
      </c>
      <c r="EF113" s="284" t="n">
        <v>0</v>
      </c>
      <c r="EG113" s="38" t="n"/>
      <c r="EH113" s="284" t="n"/>
      <c r="EI113" s="36" t="n">
        <v>0</v>
      </c>
      <c r="EJ113" s="284" t="n">
        <v>0</v>
      </c>
      <c r="EK113" s="38" t="n"/>
      <c r="EL113" s="284" t="n"/>
      <c r="EM113" s="36" t="n">
        <v>0</v>
      </c>
      <c r="EN113" s="284" t="n">
        <v>0</v>
      </c>
      <c r="EO113" s="38" t="n"/>
      <c r="EP113" s="284" t="n"/>
      <c r="EQ113" s="36">
        <f>$KN113*2</f>
        <v/>
      </c>
      <c r="ER113" s="284" t="n">
        <v>0</v>
      </c>
      <c r="ES113" s="38" t="n">
        <v>0</v>
      </c>
      <c r="ET113" s="284" t="n"/>
      <c r="EU113" s="36">
        <f>$KN113*3</f>
        <v/>
      </c>
      <c r="EV113" s="284" t="n">
        <v>0</v>
      </c>
      <c r="EW113" s="38" t="n">
        <v>0</v>
      </c>
      <c r="EX113" s="284" t="n"/>
      <c r="EY113" s="36">
        <f>$KN113*4</f>
        <v/>
      </c>
      <c r="EZ113" s="284" t="n">
        <v>0</v>
      </c>
      <c r="FA113" s="38" t="n">
        <v>0</v>
      </c>
      <c r="FB113" s="284" t="n"/>
      <c r="FC113" s="36">
        <f>$KN113*5</f>
        <v/>
      </c>
      <c r="FD113" s="284" t="n">
        <v>0</v>
      </c>
      <c r="FE113" s="38" t="n">
        <v>0</v>
      </c>
      <c r="FF113" s="284" t="n"/>
      <c r="FG113" s="36">
        <f>$KN113*5</f>
        <v/>
      </c>
      <c r="FH113" s="284" t="n">
        <v>0</v>
      </c>
      <c r="FI113" s="38" t="n">
        <v>0</v>
      </c>
      <c r="FJ113" s="284" t="n"/>
      <c r="FK113" s="36">
        <f>$KN113*5</f>
        <v/>
      </c>
      <c r="FL113" s="284" t="n">
        <v>0</v>
      </c>
      <c r="FM113" s="38" t="n">
        <v>0</v>
      </c>
      <c r="FN113" s="284" t="n"/>
      <c r="FO113" s="36">
        <f>$KN113*6</f>
        <v/>
      </c>
      <c r="FP113" s="284" t="n">
        <v>6</v>
      </c>
      <c r="FQ113" s="38" t="n">
        <v>0</v>
      </c>
      <c r="FR113" s="284" t="n"/>
      <c r="FS113" s="36">
        <f>$KN113*6</f>
        <v/>
      </c>
      <c r="FT113" s="284" t="n">
        <v>6</v>
      </c>
      <c r="FU113" s="38" t="n">
        <v>0</v>
      </c>
      <c r="FV113" s="284" t="n"/>
      <c r="FW113" s="36">
        <f>$KN113*6</f>
        <v/>
      </c>
      <c r="FX113" s="284" t="n">
        <v>6</v>
      </c>
      <c r="FY113" s="38" t="n">
        <v>0</v>
      </c>
      <c r="FZ113" s="284" t="n"/>
      <c r="GA113" s="338">
        <f t="array" ref="GA113">SUMPRODUCT(--(MOD(COLUMN($EE113:$FZ113),4)=MOD(COLUMN($EE113),4)),$EE113:$FZ113)</f>
        <v/>
      </c>
      <c r="GB113" s="339">
        <f>GA113*$J113</f>
        <v/>
      </c>
      <c r="GC113" s="340">
        <f t="array" ref="GC113">SUMPRODUCT(--(MOD(COLUMN($EE113:$FZ113),4)=MOD(COLUMN($EF113),4)),$EE113:$FZ113)</f>
        <v/>
      </c>
      <c r="GD113" s="341">
        <f>GC113*$J113</f>
        <v/>
      </c>
      <c r="GE113" s="342">
        <f t="array" ref="GE113">SUMPRODUCT(--(MOD(COLUMN($EE113:$FZ113),4)=MOD(COLUMN($EG113),4)),$EE113:$FZ113)</f>
        <v/>
      </c>
      <c r="GF113" s="343">
        <f>GE113*$J113</f>
        <v/>
      </c>
      <c r="GG113" s="36">
        <f>$KN113*5</f>
        <v/>
      </c>
      <c r="GH113" s="284" t="n"/>
      <c r="GI113" s="38" t="n">
        <v>0</v>
      </c>
      <c r="GJ113" s="284" t="n"/>
      <c r="GK113" s="36">
        <f>$KN113*5</f>
        <v/>
      </c>
      <c r="GL113" s="284" t="n"/>
      <c r="GM113" s="38" t="n">
        <v>0</v>
      </c>
      <c r="GN113" s="284" t="n"/>
      <c r="GO113" s="36">
        <f>$KN113*7</f>
        <v/>
      </c>
      <c r="GP113" s="284" t="n"/>
      <c r="GQ113" s="38" t="n">
        <v>0</v>
      </c>
      <c r="GR113" s="284" t="n"/>
      <c r="GS113" s="36">
        <f>$KN113*10</f>
        <v/>
      </c>
      <c r="GT113" s="284" t="n"/>
      <c r="GU113" s="38" t="n">
        <v>0</v>
      </c>
      <c r="GV113" s="284" t="n"/>
      <c r="GW113" s="36">
        <f>$KN113*10</f>
        <v/>
      </c>
      <c r="GX113" s="284" t="n"/>
      <c r="GY113" s="38" t="n">
        <v>0</v>
      </c>
      <c r="GZ113" s="284" t="n"/>
      <c r="HA113" s="36">
        <f>$KN113*10</f>
        <v/>
      </c>
      <c r="HB113" s="284" t="n"/>
      <c r="HC113" s="38" t="n">
        <v>0</v>
      </c>
      <c r="HD113" s="284" t="n"/>
      <c r="HE113" s="36">
        <f>$KN113*10</f>
        <v/>
      </c>
      <c r="HF113" s="284" t="n"/>
      <c r="HG113" s="38" t="n">
        <v>0</v>
      </c>
      <c r="HH113" s="284" t="n"/>
      <c r="HI113" s="36">
        <f>$KN113*10</f>
        <v/>
      </c>
      <c r="HJ113" s="284" t="n"/>
      <c r="HK113" s="38" t="n">
        <v>0</v>
      </c>
      <c r="HL113" s="284" t="n"/>
      <c r="HM113" s="36">
        <f>$KN113*10</f>
        <v/>
      </c>
      <c r="HN113" s="284" t="n"/>
      <c r="HO113" s="38" t="n">
        <v>0</v>
      </c>
      <c r="HP113" s="284" t="n"/>
      <c r="HQ113" s="36">
        <f>$KN113*10</f>
        <v/>
      </c>
      <c r="HR113" s="284" t="n"/>
      <c r="HS113" s="38" t="n">
        <v>0</v>
      </c>
      <c r="HT113" s="284" t="n"/>
      <c r="HU113" s="36">
        <f>$KN113*10</f>
        <v/>
      </c>
      <c r="HV113" s="284" t="n"/>
      <c r="HW113" s="38" t="n">
        <v>0</v>
      </c>
      <c r="HX113" s="284" t="n"/>
      <c r="HY113" s="36">
        <f>$KN113*10</f>
        <v/>
      </c>
      <c r="HZ113" s="284" t="n"/>
      <c r="IA113" s="38" t="n">
        <v>0</v>
      </c>
      <c r="IB113" s="284" t="n"/>
      <c r="IC113" s="338">
        <f t="array" ref="IC113">SUMPRODUCT(--(MOD(COLUMN($GG113:$IB113),4)=MOD(COLUMN($GG113),4)),$GG113:$IB113)</f>
        <v/>
      </c>
      <c r="ID113" s="339">
        <f>IC113*$J113</f>
        <v/>
      </c>
      <c r="IE113" s="340">
        <f t="array" ref="IE113">SUMPRODUCT(--(MOD(COLUMN($GG113:$IB113),4)=MOD(COLUMN($GH113),4)),$GG113:$IB113)</f>
        <v/>
      </c>
      <c r="IF113" s="341">
        <f>IE113*$J113</f>
        <v/>
      </c>
      <c r="IG113" s="342">
        <f t="array" ref="IG113">SUMPRODUCT(--(MOD(COLUMN($GG113:$IB113),4)=MOD(COLUMN($GI113),4)),$GG113:$IB113)</f>
        <v/>
      </c>
      <c r="IH113" s="343">
        <f>IG113*$J113</f>
        <v/>
      </c>
      <c r="II113" s="36">
        <f>$KN113*5</f>
        <v/>
      </c>
      <c r="IJ113" s="284" t="n"/>
      <c r="IK113" s="38" t="n">
        <v>0</v>
      </c>
      <c r="IL113" s="284" t="n"/>
      <c r="IM113" s="36">
        <f>$KN113*5</f>
        <v/>
      </c>
      <c r="IN113" s="284" t="n"/>
      <c r="IO113" s="38" t="n">
        <v>0</v>
      </c>
      <c r="IP113" s="284" t="n"/>
      <c r="IQ113" s="36">
        <f>$KN113*7</f>
        <v/>
      </c>
      <c r="IR113" s="284" t="n"/>
      <c r="IS113" s="38" t="n">
        <v>0</v>
      </c>
      <c r="IT113" s="284" t="n"/>
      <c r="IU113" s="36">
        <f>$KN113*10</f>
        <v/>
      </c>
      <c r="IV113" s="284" t="n"/>
      <c r="IW113" s="38" t="n">
        <v>0</v>
      </c>
      <c r="IX113" s="284" t="n"/>
      <c r="IY113" s="36">
        <f>$KN113*10</f>
        <v/>
      </c>
      <c r="IZ113" s="284" t="n"/>
      <c r="JA113" s="38" t="n">
        <v>0</v>
      </c>
      <c r="JB113" s="284" t="n"/>
      <c r="JC113" s="36">
        <f>$KN113*10</f>
        <v/>
      </c>
      <c r="JD113" s="284" t="n"/>
      <c r="JE113" s="38" t="n">
        <v>0</v>
      </c>
      <c r="JF113" s="284" t="n"/>
      <c r="JG113" s="36">
        <f>$KN113*10</f>
        <v/>
      </c>
      <c r="JH113" s="284" t="n"/>
      <c r="JI113" s="38" t="n">
        <v>0</v>
      </c>
      <c r="JJ113" s="284" t="n"/>
      <c r="JK113" s="36">
        <f>$KN113*10</f>
        <v/>
      </c>
      <c r="JL113" s="284" t="n"/>
      <c r="JM113" s="38" t="n">
        <v>0</v>
      </c>
      <c r="JN113" s="284" t="n"/>
      <c r="JO113" s="36">
        <f>$KN113*10</f>
        <v/>
      </c>
      <c r="JP113" s="284" t="n"/>
      <c r="JQ113" s="38" t="n">
        <v>0</v>
      </c>
      <c r="JR113" s="284" t="n"/>
      <c r="JS113" s="36">
        <f>$KN113*10</f>
        <v/>
      </c>
      <c r="JT113" s="284" t="n"/>
      <c r="JU113" s="38" t="n">
        <v>0</v>
      </c>
      <c r="JV113" s="284" t="n"/>
      <c r="JW113" s="36">
        <f>$KN113*10</f>
        <v/>
      </c>
      <c r="JX113" s="284" t="n"/>
      <c r="JY113" s="38" t="n">
        <v>0</v>
      </c>
      <c r="JZ113" s="284" t="n"/>
      <c r="KA113" s="36">
        <f>$KN113*10</f>
        <v/>
      </c>
      <c r="KB113" s="284" t="n"/>
      <c r="KC113" s="38" t="n">
        <v>0</v>
      </c>
      <c r="KD113" s="284" t="n"/>
      <c r="KE113" s="338">
        <f t="array" ref="KE113">SUMPRODUCT(--(MOD(COLUMN($II113:$KD113),4)=MOD(COLUMN($II113),4)),$II113:$KD113)</f>
        <v/>
      </c>
      <c r="KF113" s="339">
        <f>KE113*$J113</f>
        <v/>
      </c>
      <c r="KG113" s="340">
        <f t="array" ref="KG113">SUMPRODUCT(--(MOD(COLUMN($II113:$KD113),4)=MOD(COLUMN($IJ113),4)),$II113:$KD113)</f>
        <v/>
      </c>
      <c r="KH113" s="341">
        <f>KG113*$J113</f>
        <v/>
      </c>
      <c r="KI113" s="342">
        <f t="array" ref="KI113">SUMPRODUCT(--(MOD(COLUMN($II113:$KD113),4)=MOD(COLUMN($IK113),4)),$II113:$KD113)</f>
        <v/>
      </c>
      <c r="KJ113" s="346">
        <f>KI113*$J113</f>
        <v/>
      </c>
      <c r="KK113" s="80" t="n"/>
      <c r="KL113" s="80" t="n"/>
      <c r="KM113" s="80" t="n"/>
      <c r="KN113" s="51" t="n">
        <v>1</v>
      </c>
      <c r="KO113" s="347" t="n"/>
    </row>
    <row r="114" outlineLevel="1" customFormat="1" s="68">
      <c r="A114" s="347" t="n"/>
      <c r="B114" s="347" t="n"/>
      <c r="C114" s="347" t="n"/>
      <c r="D114" s="347" t="n"/>
      <c r="E114" s="15" t="n">
        <v>6</v>
      </c>
      <c r="F114" s="15" t="n">
        <v>1</v>
      </c>
      <c r="G114" s="33" t="n">
        <v>4497230500</v>
      </c>
      <c r="H114" s="34" t="inlineStr">
        <is>
          <t>Кабель датчика, 5 м</t>
        </is>
      </c>
      <c r="I114" s="348">
        <f>71.7/1.2/0.98</f>
        <v/>
      </c>
      <c r="J114" s="337">
        <f>71.7/1.2*1.0863</f>
        <v/>
      </c>
      <c r="K114" s="348" t="n"/>
      <c r="L114" s="348" t="n"/>
      <c r="M114" s="36" t="n">
        <v>0</v>
      </c>
      <c r="N114" s="284" t="n">
        <v>0</v>
      </c>
      <c r="O114" s="38" t="n">
        <v>0</v>
      </c>
      <c r="P114" s="284" t="n"/>
      <c r="Q114" s="36" t="n">
        <v>0</v>
      </c>
      <c r="R114" s="284" t="n">
        <v>0</v>
      </c>
      <c r="S114" s="38" t="n">
        <v>0</v>
      </c>
      <c r="T114" s="284" t="n"/>
      <c r="U114" s="36" t="n">
        <v>0</v>
      </c>
      <c r="V114" s="284" t="n">
        <v>0</v>
      </c>
      <c r="W114" s="38" t="n">
        <v>0</v>
      </c>
      <c r="X114" s="284" t="n"/>
      <c r="Y114" s="36" t="n">
        <v>10</v>
      </c>
      <c r="Z114" s="39" t="n">
        <v>0</v>
      </c>
      <c r="AA114" s="38" t="n">
        <v>0</v>
      </c>
      <c r="AB114" s="347" t="n"/>
      <c r="AC114" s="36" t="n">
        <v>40</v>
      </c>
      <c r="AD114" s="284" t="n">
        <v>0</v>
      </c>
      <c r="AE114" s="38" t="n">
        <v>0</v>
      </c>
      <c r="AF114" s="347" t="n"/>
      <c r="AG114" s="36" t="n">
        <v>40</v>
      </c>
      <c r="AH114" s="284" t="n">
        <v>0</v>
      </c>
      <c r="AI114" s="38" t="n">
        <v>0</v>
      </c>
      <c r="AJ114" s="347" t="n"/>
      <c r="AK114" s="36" t="n">
        <v>40</v>
      </c>
      <c r="AL114" s="284" t="n">
        <v>0</v>
      </c>
      <c r="AM114" s="38" t="n">
        <v>0</v>
      </c>
      <c r="AN114" s="347" t="n"/>
      <c r="AO114" s="36" t="n">
        <v>40</v>
      </c>
      <c r="AP114" s="284" t="n">
        <v>0</v>
      </c>
      <c r="AQ114" s="38" t="n">
        <v>0</v>
      </c>
      <c r="AR114" s="347" t="n"/>
      <c r="AS114" s="36" t="n">
        <v>40</v>
      </c>
      <c r="AT114" s="284" t="n">
        <v>0</v>
      </c>
      <c r="AU114" s="38" t="n">
        <v>0</v>
      </c>
      <c r="AV114" s="347" t="n"/>
      <c r="AW114" s="36" t="n">
        <v>40</v>
      </c>
      <c r="AX114" s="284" t="n">
        <v>0</v>
      </c>
      <c r="AY114" s="54" t="n">
        <v>0</v>
      </c>
      <c r="AZ114" s="347" t="n"/>
      <c r="BA114" s="36" t="n">
        <v>40</v>
      </c>
      <c r="BB114" s="284" t="n">
        <v>0</v>
      </c>
      <c r="BC114" s="38" t="n">
        <v>0</v>
      </c>
      <c r="BD114" s="347" t="n"/>
      <c r="BE114" s="36" t="n">
        <v>40</v>
      </c>
      <c r="BF114" s="284">
        <f>$KN114*(5*2)</f>
        <v/>
      </c>
      <c r="BG114" s="54" t="n">
        <v>0</v>
      </c>
      <c r="BH114" s="347" t="n"/>
      <c r="BI114" s="338">
        <f>SUMPRODUCT(--(MOD(COLUMN($M114:$BH114),4)=MOD(COLUMN($M114),4)),$M114:$BH114)</f>
        <v/>
      </c>
      <c r="BJ114" s="339">
        <f>BI114*$I114</f>
        <v/>
      </c>
      <c r="BK114" s="340">
        <f>SUMPRODUCT(--(MOD(COLUMN($M114:$BH114),4)=MOD(COLUMN($M114)+1,4)),$M114:$BH114)</f>
        <v/>
      </c>
      <c r="BL114" s="341">
        <f>BK114*$I114</f>
        <v/>
      </c>
      <c r="BM114" s="342">
        <f>SUMPRODUCT(--(MOD(COLUMN($M114:$BH114),4)=MOD(COLUMN($M114)+2,4)),$M114:$BH114)</f>
        <v/>
      </c>
      <c r="BN114" s="343">
        <f>BM114*$I114</f>
        <v/>
      </c>
      <c r="BO114" s="36">
        <f>$KN114*0</f>
        <v/>
      </c>
      <c r="BP114" s="47">
        <f>$KN114*0</f>
        <v/>
      </c>
      <c r="BQ114" s="284">
        <f>$KN114*(5*2)</f>
        <v/>
      </c>
      <c r="BR114" s="38" t="n">
        <v>0</v>
      </c>
      <c r="BS114" s="347" t="n"/>
      <c r="BT114" s="36">
        <f>$KN114*0</f>
        <v/>
      </c>
      <c r="BU114" s="47">
        <f>$KN114*0</f>
        <v/>
      </c>
      <c r="BV114" s="284">
        <f>$KN114*0</f>
        <v/>
      </c>
      <c r="BW114" s="38" t="n">
        <v>0</v>
      </c>
      <c r="BX114" s="347" t="n"/>
      <c r="BY114" s="36">
        <f>$KN114*5</f>
        <v/>
      </c>
      <c r="BZ114" s="47">
        <f>$KN114*3</f>
        <v/>
      </c>
      <c r="CA114" s="284">
        <f>$KN114*0</f>
        <v/>
      </c>
      <c r="CB114" s="38" t="n">
        <v>0</v>
      </c>
      <c r="CC114" s="284" t="n"/>
      <c r="CD114" s="36">
        <f>$KN114*0</f>
        <v/>
      </c>
      <c r="CE114" s="47">
        <f>$KN114*0</f>
        <v/>
      </c>
      <c r="CF114" s="284">
        <f>$KN114*0</f>
        <v/>
      </c>
      <c r="CG114" s="38" t="n">
        <v>0</v>
      </c>
      <c r="CH114" s="284" t="n"/>
      <c r="CI114" s="36">
        <f>$KN114*5</f>
        <v/>
      </c>
      <c r="CJ114" s="47">
        <f>$KN114*3</f>
        <v/>
      </c>
      <c r="CK114" s="284">
        <f>$KN114*0</f>
        <v/>
      </c>
      <c r="CL114" s="38" t="n">
        <v>0</v>
      </c>
      <c r="CM114" s="284" t="n"/>
      <c r="CN114" s="36">
        <f>$KN114*5</f>
        <v/>
      </c>
      <c r="CO114" s="47">
        <f>$KN114*3</f>
        <v/>
      </c>
      <c r="CP114" s="39">
        <f>$KN114*0</f>
        <v/>
      </c>
      <c r="CQ114" s="38" t="n">
        <v>0</v>
      </c>
      <c r="CR114" s="284" t="n"/>
      <c r="CS114" s="36">
        <f>$KN114*5</f>
        <v/>
      </c>
      <c r="CT114" s="47">
        <f>$KN114*3</f>
        <v/>
      </c>
      <c r="CU114" s="39">
        <f>$KN114*0</f>
        <v/>
      </c>
      <c r="CV114" s="38" t="n">
        <v>0</v>
      </c>
      <c r="CW114" s="284" t="n"/>
      <c r="CX114" s="36">
        <f>$KN114*5</f>
        <v/>
      </c>
      <c r="CY114" s="47">
        <f>$KN114*3</f>
        <v/>
      </c>
      <c r="CZ114" s="39">
        <f>$KN114*0</f>
        <v/>
      </c>
      <c r="DA114" s="38" t="n">
        <v>0</v>
      </c>
      <c r="DB114" s="284" t="n"/>
      <c r="DC114" s="36">
        <f>$KN114*5</f>
        <v/>
      </c>
      <c r="DD114" s="47">
        <f>$KN114*3</f>
        <v/>
      </c>
      <c r="DE114" s="284">
        <f>$KN114*0</f>
        <v/>
      </c>
      <c r="DF114" s="38" t="n">
        <v>0</v>
      </c>
      <c r="DG114" s="284" t="n"/>
      <c r="DH114" s="36">
        <f>$KN114*5</f>
        <v/>
      </c>
      <c r="DI114" s="47">
        <f>$KN114*3</f>
        <v/>
      </c>
      <c r="DJ114" s="284">
        <f>$KN114*0</f>
        <v/>
      </c>
      <c r="DK114" s="38" t="n">
        <v>0</v>
      </c>
      <c r="DL114" s="284" t="n"/>
      <c r="DM114" s="36">
        <f>$KN114*5</f>
        <v/>
      </c>
      <c r="DN114" s="47">
        <f>$KN114*3</f>
        <v/>
      </c>
      <c r="DO114" s="284">
        <f>$KN114*0</f>
        <v/>
      </c>
      <c r="DP114" s="38" t="n">
        <v>0</v>
      </c>
      <c r="DQ114" s="284" t="n"/>
      <c r="DR114" s="36">
        <f>$KN114*5</f>
        <v/>
      </c>
      <c r="DS114" s="47">
        <f>$KN114*3</f>
        <v/>
      </c>
      <c r="DT114" s="284">
        <f>$KN114*0</f>
        <v/>
      </c>
      <c r="DU114" s="38" t="n">
        <v>0</v>
      </c>
      <c r="DV114" s="284" t="n"/>
      <c r="DW114" s="338">
        <f t="array" ref="DW114">SUMPRODUCT(--(MOD(COLUMN($BO114:$DV114),5)=MOD(COLUMN($BO114),5)),$BO114:$DV114)</f>
        <v/>
      </c>
      <c r="DX114" s="339">
        <f>DW114*$J114</f>
        <v/>
      </c>
      <c r="DY114" s="344">
        <f t="array" ref="DY114">SUMPRODUCT(--(MOD(COLUMN($BO114:$DV114),5)=MOD(COLUMN($BP114),5)),$BO114:$DV114)</f>
        <v/>
      </c>
      <c r="DZ114" s="345">
        <f>DY114*$J114</f>
        <v/>
      </c>
      <c r="EA114" s="340">
        <f t="array" ref="EA114">SUMPRODUCT(--(MOD(COLUMN($BO114:$DV114),5)=MOD(COLUMN($BQ114),5)),$BO114:$DV114)</f>
        <v/>
      </c>
      <c r="EB114" s="341">
        <f>EA114*$J114</f>
        <v/>
      </c>
      <c r="EC114" s="342">
        <f t="array" ref="EC114">SUMPRODUCT(--(MOD(COLUMN($BO114:$DV114),5)=MOD(COLUMN($BR114),5)),$BO114:$DV114)</f>
        <v/>
      </c>
      <c r="ED114" s="343">
        <f>EC114*$J114</f>
        <v/>
      </c>
      <c r="EE114" s="36" t="n">
        <v>0</v>
      </c>
      <c r="EF114" s="284" t="n">
        <v>0</v>
      </c>
      <c r="EG114" s="38" t="n"/>
      <c r="EH114" s="284" t="n"/>
      <c r="EI114" s="36" t="n">
        <v>0</v>
      </c>
      <c r="EJ114" s="284" t="n">
        <v>0</v>
      </c>
      <c r="EK114" s="38" t="n"/>
      <c r="EL114" s="284" t="n"/>
      <c r="EM114" s="36" t="n">
        <v>0</v>
      </c>
      <c r="EN114" s="284" t="n">
        <v>0</v>
      </c>
      <c r="EO114" s="38" t="n"/>
      <c r="EP114" s="284" t="n"/>
      <c r="EQ114" s="36">
        <f>$KN114*2</f>
        <v/>
      </c>
      <c r="ER114" s="284" t="n">
        <v>0</v>
      </c>
      <c r="ES114" s="38" t="n">
        <v>0</v>
      </c>
      <c r="ET114" s="284" t="n"/>
      <c r="EU114" s="36">
        <f>$KN114*3</f>
        <v/>
      </c>
      <c r="EV114" s="284" t="n">
        <v>0</v>
      </c>
      <c r="EW114" s="38" t="n">
        <v>0</v>
      </c>
      <c r="EX114" s="284" t="n"/>
      <c r="EY114" s="36">
        <f>$KN114*4</f>
        <v/>
      </c>
      <c r="EZ114" s="284" t="n">
        <v>0</v>
      </c>
      <c r="FA114" s="38" t="n">
        <v>0</v>
      </c>
      <c r="FB114" s="284" t="n"/>
      <c r="FC114" s="36">
        <f>$KN114*5</f>
        <v/>
      </c>
      <c r="FD114" s="284" t="n">
        <v>0</v>
      </c>
      <c r="FE114" s="38" t="n">
        <v>0</v>
      </c>
      <c r="FF114" s="284" t="n"/>
      <c r="FG114" s="36">
        <f>$KN114*5</f>
        <v/>
      </c>
      <c r="FH114" s="284" t="n">
        <v>0</v>
      </c>
      <c r="FI114" s="38" t="n">
        <v>0</v>
      </c>
      <c r="FJ114" s="284" t="n"/>
      <c r="FK114" s="36">
        <f>$KN114*5</f>
        <v/>
      </c>
      <c r="FL114" s="284" t="n">
        <v>0</v>
      </c>
      <c r="FM114" s="38" t="n">
        <v>0</v>
      </c>
      <c r="FN114" s="284" t="n"/>
      <c r="FO114" s="36">
        <f>$KN114*6</f>
        <v/>
      </c>
      <c r="FP114" s="284" t="n">
        <v>12</v>
      </c>
      <c r="FQ114" s="38" t="n">
        <v>0</v>
      </c>
      <c r="FR114" s="284" t="n"/>
      <c r="FS114" s="36">
        <f>$KN114*6</f>
        <v/>
      </c>
      <c r="FT114" s="284" t="n">
        <v>12</v>
      </c>
      <c r="FU114" s="38" t="n">
        <v>0</v>
      </c>
      <c r="FV114" s="284" t="n"/>
      <c r="FW114" s="36">
        <f>$KN114*6</f>
        <v/>
      </c>
      <c r="FX114" s="284" t="n">
        <v>12</v>
      </c>
      <c r="FY114" s="38" t="n">
        <v>0</v>
      </c>
      <c r="FZ114" s="284" t="n"/>
      <c r="GA114" s="338">
        <f t="array" ref="GA114">SUMPRODUCT(--(MOD(COLUMN($EE114:$FZ114),4)=MOD(COLUMN($EE114),4)),$EE114:$FZ114)</f>
        <v/>
      </c>
      <c r="GB114" s="339">
        <f>GA114*$J114</f>
        <v/>
      </c>
      <c r="GC114" s="340">
        <f t="array" ref="GC114">SUMPRODUCT(--(MOD(COLUMN($EE114:$FZ114),4)=MOD(COLUMN($EF114),4)),$EE114:$FZ114)</f>
        <v/>
      </c>
      <c r="GD114" s="341">
        <f>GC114*$J114</f>
        <v/>
      </c>
      <c r="GE114" s="342">
        <f t="array" ref="GE114">SUMPRODUCT(--(MOD(COLUMN($EE114:$FZ114),4)=MOD(COLUMN($EG114),4)),$EE114:$FZ114)</f>
        <v/>
      </c>
      <c r="GF114" s="343">
        <f>GE114*$J114</f>
        <v/>
      </c>
      <c r="GG114" s="36">
        <f>$KN114*5</f>
        <v/>
      </c>
      <c r="GH114" s="284" t="n"/>
      <c r="GI114" s="38" t="n">
        <v>0</v>
      </c>
      <c r="GJ114" s="284" t="n"/>
      <c r="GK114" s="36">
        <f>$KN114*5</f>
        <v/>
      </c>
      <c r="GL114" s="284" t="n"/>
      <c r="GM114" s="38" t="n">
        <v>0</v>
      </c>
      <c r="GN114" s="284" t="n"/>
      <c r="GO114" s="36">
        <f>$KN114*7</f>
        <v/>
      </c>
      <c r="GP114" s="284" t="n"/>
      <c r="GQ114" s="38" t="n">
        <v>0</v>
      </c>
      <c r="GR114" s="284" t="n"/>
      <c r="GS114" s="36">
        <f>$KN114*10</f>
        <v/>
      </c>
      <c r="GT114" s="284" t="n"/>
      <c r="GU114" s="38" t="n">
        <v>0</v>
      </c>
      <c r="GV114" s="284" t="n"/>
      <c r="GW114" s="36">
        <f>$KN114*10</f>
        <v/>
      </c>
      <c r="GX114" s="284" t="n"/>
      <c r="GY114" s="38" t="n">
        <v>0</v>
      </c>
      <c r="GZ114" s="284" t="n"/>
      <c r="HA114" s="36">
        <f>$KN114*10</f>
        <v/>
      </c>
      <c r="HB114" s="284" t="n"/>
      <c r="HC114" s="38" t="n">
        <v>0</v>
      </c>
      <c r="HD114" s="284" t="n"/>
      <c r="HE114" s="36">
        <f>$KN114*10</f>
        <v/>
      </c>
      <c r="HF114" s="284" t="n"/>
      <c r="HG114" s="38" t="n">
        <v>0</v>
      </c>
      <c r="HH114" s="284" t="n"/>
      <c r="HI114" s="36">
        <f>$KN114*10</f>
        <v/>
      </c>
      <c r="HJ114" s="284" t="n"/>
      <c r="HK114" s="38" t="n">
        <v>0</v>
      </c>
      <c r="HL114" s="284" t="n"/>
      <c r="HM114" s="36">
        <f>$KN114*10</f>
        <v/>
      </c>
      <c r="HN114" s="284" t="n"/>
      <c r="HO114" s="38" t="n">
        <v>0</v>
      </c>
      <c r="HP114" s="284" t="n"/>
      <c r="HQ114" s="36">
        <f>$KN114*10</f>
        <v/>
      </c>
      <c r="HR114" s="284" t="n"/>
      <c r="HS114" s="38" t="n">
        <v>0</v>
      </c>
      <c r="HT114" s="284" t="n"/>
      <c r="HU114" s="36">
        <f>$KN114*10</f>
        <v/>
      </c>
      <c r="HV114" s="284" t="n"/>
      <c r="HW114" s="38" t="n">
        <v>0</v>
      </c>
      <c r="HX114" s="284" t="n"/>
      <c r="HY114" s="36">
        <f>$KN114*10</f>
        <v/>
      </c>
      <c r="HZ114" s="284" t="n"/>
      <c r="IA114" s="38" t="n">
        <v>0</v>
      </c>
      <c r="IB114" s="284" t="n"/>
      <c r="IC114" s="338">
        <f t="array" ref="IC114">SUMPRODUCT(--(MOD(COLUMN($GG114:$IB114),4)=MOD(COLUMN($GG114),4)),$GG114:$IB114)</f>
        <v/>
      </c>
      <c r="ID114" s="339">
        <f>IC114*$J114</f>
        <v/>
      </c>
      <c r="IE114" s="340">
        <f t="array" ref="IE114">SUMPRODUCT(--(MOD(COLUMN($GG114:$IB114),4)=MOD(COLUMN($GH114),4)),$GG114:$IB114)</f>
        <v/>
      </c>
      <c r="IF114" s="341">
        <f>IE114*$J114</f>
        <v/>
      </c>
      <c r="IG114" s="342">
        <f t="array" ref="IG114">SUMPRODUCT(--(MOD(COLUMN($GG114:$IB114),4)=MOD(COLUMN($GI114),4)),$GG114:$IB114)</f>
        <v/>
      </c>
      <c r="IH114" s="343">
        <f>IG114*$J114</f>
        <v/>
      </c>
      <c r="II114" s="36">
        <f>$KN114*5</f>
        <v/>
      </c>
      <c r="IJ114" s="284" t="n"/>
      <c r="IK114" s="38" t="n">
        <v>0</v>
      </c>
      <c r="IL114" s="284" t="n"/>
      <c r="IM114" s="36">
        <f>$KN114*5</f>
        <v/>
      </c>
      <c r="IN114" s="284" t="n"/>
      <c r="IO114" s="38" t="n">
        <v>0</v>
      </c>
      <c r="IP114" s="284" t="n"/>
      <c r="IQ114" s="36">
        <f>$KN114*7</f>
        <v/>
      </c>
      <c r="IR114" s="284" t="n"/>
      <c r="IS114" s="38" t="n">
        <v>0</v>
      </c>
      <c r="IT114" s="284" t="n"/>
      <c r="IU114" s="36">
        <f>$KN114*10</f>
        <v/>
      </c>
      <c r="IV114" s="284" t="n"/>
      <c r="IW114" s="38" t="n">
        <v>0</v>
      </c>
      <c r="IX114" s="284" t="n"/>
      <c r="IY114" s="36">
        <f>$KN114*10</f>
        <v/>
      </c>
      <c r="IZ114" s="284" t="n"/>
      <c r="JA114" s="38" t="n">
        <v>0</v>
      </c>
      <c r="JB114" s="284" t="n"/>
      <c r="JC114" s="36">
        <f>$KN114*10</f>
        <v/>
      </c>
      <c r="JD114" s="284" t="n"/>
      <c r="JE114" s="38" t="n">
        <v>0</v>
      </c>
      <c r="JF114" s="284" t="n"/>
      <c r="JG114" s="36">
        <f>$KN114*10</f>
        <v/>
      </c>
      <c r="JH114" s="284" t="n"/>
      <c r="JI114" s="38" t="n">
        <v>0</v>
      </c>
      <c r="JJ114" s="284" t="n"/>
      <c r="JK114" s="36">
        <f>$KN114*10</f>
        <v/>
      </c>
      <c r="JL114" s="284" t="n"/>
      <c r="JM114" s="38" t="n">
        <v>0</v>
      </c>
      <c r="JN114" s="284" t="n"/>
      <c r="JO114" s="36">
        <f>$KN114*10</f>
        <v/>
      </c>
      <c r="JP114" s="284" t="n"/>
      <c r="JQ114" s="38" t="n">
        <v>0</v>
      </c>
      <c r="JR114" s="284" t="n"/>
      <c r="JS114" s="36">
        <f>$KN114*10</f>
        <v/>
      </c>
      <c r="JT114" s="284" t="n"/>
      <c r="JU114" s="38" t="n">
        <v>0</v>
      </c>
      <c r="JV114" s="284" t="n"/>
      <c r="JW114" s="36">
        <f>$KN114*10</f>
        <v/>
      </c>
      <c r="JX114" s="284" t="n"/>
      <c r="JY114" s="38" t="n">
        <v>0</v>
      </c>
      <c r="JZ114" s="284" t="n"/>
      <c r="KA114" s="36">
        <f>$KN114*10</f>
        <v/>
      </c>
      <c r="KB114" s="284" t="n"/>
      <c r="KC114" s="38" t="n">
        <v>0</v>
      </c>
      <c r="KD114" s="284" t="n"/>
      <c r="KE114" s="338">
        <f t="array" ref="KE114">SUMPRODUCT(--(MOD(COLUMN($II114:$KD114),4)=MOD(COLUMN($II114),4)),$II114:$KD114)</f>
        <v/>
      </c>
      <c r="KF114" s="339">
        <f>KE114*$J114</f>
        <v/>
      </c>
      <c r="KG114" s="340">
        <f t="array" ref="KG114">SUMPRODUCT(--(MOD(COLUMN($II114:$KD114),4)=MOD(COLUMN($IJ114),4)),$II114:$KD114)</f>
        <v/>
      </c>
      <c r="KH114" s="341">
        <f>KG114*$J114</f>
        <v/>
      </c>
      <c r="KI114" s="342">
        <f t="array" ref="KI114">SUMPRODUCT(--(MOD(COLUMN($II114:$KD114),4)=MOD(COLUMN($IK114),4)),$II114:$KD114)</f>
        <v/>
      </c>
      <c r="KJ114" s="346">
        <f>KI114*$J114</f>
        <v/>
      </c>
      <c r="KK114" s="80" t="n"/>
      <c r="KL114" s="80" t="n"/>
      <c r="KM114" s="80" t="n"/>
      <c r="KN114" s="51" t="n">
        <v>2</v>
      </c>
      <c r="KO114" s="347" t="n"/>
    </row>
    <row r="115" outlineLevel="1" ht="28.8" customFormat="1" customHeight="1" s="68">
      <c r="A115" s="347" t="n"/>
      <c r="B115" s="347" t="n"/>
      <c r="C115" s="347" t="n"/>
      <c r="D115" s="347" t="n"/>
      <c r="E115" s="15" t="n">
        <v>7</v>
      </c>
      <c r="F115" s="15" t="n">
        <v>1</v>
      </c>
      <c r="G115" s="33" t="n">
        <v>4640061000</v>
      </c>
      <c r="H115" s="34" t="inlineStr">
        <is>
          <t>Кран уровня пола, 5-ти портовый</t>
        </is>
      </c>
      <c r="I115" s="348">
        <f>584/1.2/0.98</f>
        <v/>
      </c>
      <c r="J115" s="337">
        <f>584/1.2*1.0863</f>
        <v/>
      </c>
      <c r="K115" s="348" t="n"/>
      <c r="L115" s="348" t="n"/>
      <c r="M115" s="36" t="n">
        <v>0</v>
      </c>
      <c r="N115" s="284" t="n">
        <v>0</v>
      </c>
      <c r="O115" s="38" t="n">
        <v>0</v>
      </c>
      <c r="P115" s="284" t="n"/>
      <c r="Q115" s="36" t="n">
        <v>0</v>
      </c>
      <c r="R115" s="284" t="n">
        <v>0</v>
      </c>
      <c r="S115" s="38" t="n">
        <v>0</v>
      </c>
      <c r="T115" s="284" t="n"/>
      <c r="U115" s="36" t="n">
        <v>0</v>
      </c>
      <c r="V115" s="284" t="n">
        <v>0</v>
      </c>
      <c r="W115" s="38" t="n">
        <v>0</v>
      </c>
      <c r="X115" s="284" t="n"/>
      <c r="Y115" s="36" t="n">
        <v>5</v>
      </c>
      <c r="Z115" s="39" t="n">
        <v>0</v>
      </c>
      <c r="AA115" s="38" t="n">
        <v>0</v>
      </c>
      <c r="AB115" s="347" t="n"/>
      <c r="AC115" s="36" t="n">
        <v>20</v>
      </c>
      <c r="AD115" s="284" t="n">
        <v>0</v>
      </c>
      <c r="AE115" s="38" t="n">
        <v>0</v>
      </c>
      <c r="AF115" s="347" t="n"/>
      <c r="AG115" s="36" t="n">
        <v>20</v>
      </c>
      <c r="AH115" s="284" t="n">
        <v>0</v>
      </c>
      <c r="AI115" s="38" t="n">
        <v>0</v>
      </c>
      <c r="AJ115" s="347" t="n"/>
      <c r="AK115" s="36" t="n">
        <v>20</v>
      </c>
      <c r="AL115" s="284" t="n">
        <v>0</v>
      </c>
      <c r="AM115" s="38" t="n">
        <v>0</v>
      </c>
      <c r="AN115" s="347" t="n"/>
      <c r="AO115" s="36" t="n">
        <v>20</v>
      </c>
      <c r="AP115" s="284" t="n">
        <v>0</v>
      </c>
      <c r="AQ115" s="38" t="n">
        <v>0</v>
      </c>
      <c r="AR115" s="347" t="n"/>
      <c r="AS115" s="36" t="n">
        <v>20</v>
      </c>
      <c r="AT115" s="284" t="n">
        <v>0</v>
      </c>
      <c r="AU115" s="38" t="n">
        <v>0</v>
      </c>
      <c r="AV115" s="347" t="n"/>
      <c r="AW115" s="36" t="n">
        <v>20</v>
      </c>
      <c r="AX115" s="284" t="n">
        <v>0</v>
      </c>
      <c r="AY115" s="54" t="n">
        <v>0</v>
      </c>
      <c r="AZ115" s="347" t="n"/>
      <c r="BA115" s="36" t="n">
        <v>20</v>
      </c>
      <c r="BB115" s="284" t="n">
        <v>0</v>
      </c>
      <c r="BC115" s="38" t="n">
        <v>0</v>
      </c>
      <c r="BD115" s="347" t="n"/>
      <c r="BE115" s="36" t="n">
        <v>20</v>
      </c>
      <c r="BF115" s="284">
        <f>$KN115*5</f>
        <v/>
      </c>
      <c r="BG115" s="54" t="n">
        <v>0</v>
      </c>
      <c r="BH115" s="347" t="n"/>
      <c r="BI115" s="338">
        <f>SUMPRODUCT(--(MOD(COLUMN($M115:$BH115),4)=MOD(COLUMN($M115),4)),$M115:$BH115)</f>
        <v/>
      </c>
      <c r="BJ115" s="339">
        <f>BI115*$I115</f>
        <v/>
      </c>
      <c r="BK115" s="340">
        <f>SUMPRODUCT(--(MOD(COLUMN($M115:$BH115),4)=MOD(COLUMN($M115)+1,4)),$M115:$BH115)</f>
        <v/>
      </c>
      <c r="BL115" s="341">
        <f>BK115*$I115</f>
        <v/>
      </c>
      <c r="BM115" s="342">
        <f>SUMPRODUCT(--(MOD(COLUMN($M115:$BH115),4)=MOD(COLUMN($M115)+2,4)),$M115:$BH115)</f>
        <v/>
      </c>
      <c r="BN115" s="343">
        <f>BM115*$I115</f>
        <v/>
      </c>
      <c r="BO115" s="36">
        <f>$KN115*0</f>
        <v/>
      </c>
      <c r="BP115" s="47">
        <f>$KN115*0</f>
        <v/>
      </c>
      <c r="BQ115" s="284">
        <f>$KN115*5</f>
        <v/>
      </c>
      <c r="BR115" s="38" t="n">
        <v>0</v>
      </c>
      <c r="BS115" s="347" t="n"/>
      <c r="BT115" s="36">
        <f>$KN115*0</f>
        <v/>
      </c>
      <c r="BU115" s="47">
        <f>$KN115*0</f>
        <v/>
      </c>
      <c r="BV115" s="284">
        <f>$KN115*0</f>
        <v/>
      </c>
      <c r="BW115" s="38" t="n">
        <v>0</v>
      </c>
      <c r="BX115" s="347" t="n"/>
      <c r="BY115" s="36">
        <f>$KN115*5</f>
        <v/>
      </c>
      <c r="BZ115" s="47">
        <f>$KN115*3</f>
        <v/>
      </c>
      <c r="CA115" s="284">
        <f>$KN115*0</f>
        <v/>
      </c>
      <c r="CB115" s="38" t="n">
        <v>0</v>
      </c>
      <c r="CC115" s="284" t="n"/>
      <c r="CD115" s="36">
        <f>$KN115*0</f>
        <v/>
      </c>
      <c r="CE115" s="47">
        <f>$KN115*0</f>
        <v/>
      </c>
      <c r="CF115" s="284">
        <f>$KN115*0</f>
        <v/>
      </c>
      <c r="CG115" s="38" t="n">
        <v>0</v>
      </c>
      <c r="CH115" s="284" t="n"/>
      <c r="CI115" s="36">
        <f>$KN115*5</f>
        <v/>
      </c>
      <c r="CJ115" s="47">
        <f>$KN115*3</f>
        <v/>
      </c>
      <c r="CK115" s="284">
        <f>$KN115*0</f>
        <v/>
      </c>
      <c r="CL115" s="38" t="n">
        <v>0</v>
      </c>
      <c r="CM115" s="284" t="n"/>
      <c r="CN115" s="36">
        <f>$KN115*5</f>
        <v/>
      </c>
      <c r="CO115" s="47">
        <f>$KN115*3</f>
        <v/>
      </c>
      <c r="CP115" s="39">
        <f>$KN115*0</f>
        <v/>
      </c>
      <c r="CQ115" s="38" t="n">
        <v>0</v>
      </c>
      <c r="CR115" s="284" t="n"/>
      <c r="CS115" s="36">
        <f>$KN115*5</f>
        <v/>
      </c>
      <c r="CT115" s="47">
        <f>$KN115*3</f>
        <v/>
      </c>
      <c r="CU115" s="39">
        <f>$KN115*0</f>
        <v/>
      </c>
      <c r="CV115" s="38" t="n">
        <v>0</v>
      </c>
      <c r="CW115" s="284" t="n"/>
      <c r="CX115" s="36">
        <f>$KN115*5</f>
        <v/>
      </c>
      <c r="CY115" s="47">
        <f>$KN115*3</f>
        <v/>
      </c>
      <c r="CZ115" s="39">
        <f>$KN115*0</f>
        <v/>
      </c>
      <c r="DA115" s="38" t="n">
        <v>0</v>
      </c>
      <c r="DB115" s="284" t="n"/>
      <c r="DC115" s="36">
        <f>$KN115*5</f>
        <v/>
      </c>
      <c r="DD115" s="47">
        <f>$KN115*3</f>
        <v/>
      </c>
      <c r="DE115" s="284">
        <f>$KN115*0</f>
        <v/>
      </c>
      <c r="DF115" s="38" t="n">
        <v>0</v>
      </c>
      <c r="DG115" s="284" t="n"/>
      <c r="DH115" s="36">
        <f>$KN115*5</f>
        <v/>
      </c>
      <c r="DI115" s="47">
        <f>$KN115*3</f>
        <v/>
      </c>
      <c r="DJ115" s="284">
        <f>$KN115*0</f>
        <v/>
      </c>
      <c r="DK115" s="38" t="n">
        <v>0</v>
      </c>
      <c r="DL115" s="284" t="n"/>
      <c r="DM115" s="36">
        <f>$KN115*5</f>
        <v/>
      </c>
      <c r="DN115" s="47">
        <f>$KN115*3</f>
        <v/>
      </c>
      <c r="DO115" s="284">
        <f>$KN115*0</f>
        <v/>
      </c>
      <c r="DP115" s="38" t="n">
        <v>0</v>
      </c>
      <c r="DQ115" s="284" t="n"/>
      <c r="DR115" s="36">
        <f>$KN115*5</f>
        <v/>
      </c>
      <c r="DS115" s="47">
        <f>$KN115*3</f>
        <v/>
      </c>
      <c r="DT115" s="284">
        <f>$KN115*0</f>
        <v/>
      </c>
      <c r="DU115" s="38" t="n">
        <v>0</v>
      </c>
      <c r="DV115" s="284" t="n"/>
      <c r="DW115" s="338">
        <f t="array" ref="DW115">SUMPRODUCT(--(MOD(COLUMN($BO115:$DV115),5)=MOD(COLUMN($BO115),5)),$BO115:$DV115)</f>
        <v/>
      </c>
      <c r="DX115" s="339">
        <f>DW115*$J115</f>
        <v/>
      </c>
      <c r="DY115" s="344">
        <f t="array" ref="DY115">SUMPRODUCT(--(MOD(COLUMN($BO115:$DV115),5)=MOD(COLUMN($BP115),5)),$BO115:$DV115)</f>
        <v/>
      </c>
      <c r="DZ115" s="345">
        <f>DY115*$J115</f>
        <v/>
      </c>
      <c r="EA115" s="340">
        <f t="array" ref="EA115">SUMPRODUCT(--(MOD(COLUMN($BO115:$DV115),5)=MOD(COLUMN($BQ115),5)),$BO115:$DV115)</f>
        <v/>
      </c>
      <c r="EB115" s="341">
        <f>EA115*$J115</f>
        <v/>
      </c>
      <c r="EC115" s="342">
        <f t="array" ref="EC115">SUMPRODUCT(--(MOD(COLUMN($BO115:$DV115),5)=MOD(COLUMN($BR115),5)),$BO115:$DV115)</f>
        <v/>
      </c>
      <c r="ED115" s="343">
        <f>EC115*$J115</f>
        <v/>
      </c>
      <c r="EE115" s="36" t="n">
        <v>0</v>
      </c>
      <c r="EF115" s="284" t="n">
        <v>0</v>
      </c>
      <c r="EG115" s="38" t="n"/>
      <c r="EH115" s="284" t="n"/>
      <c r="EI115" s="36" t="n">
        <v>0</v>
      </c>
      <c r="EJ115" s="284" t="n">
        <v>0</v>
      </c>
      <c r="EK115" s="38" t="n"/>
      <c r="EL115" s="284" t="n"/>
      <c r="EM115" s="36" t="n">
        <v>0</v>
      </c>
      <c r="EN115" s="284" t="n">
        <v>0</v>
      </c>
      <c r="EO115" s="38" t="n"/>
      <c r="EP115" s="284" t="n"/>
      <c r="EQ115" s="36">
        <f>$KN115*2</f>
        <v/>
      </c>
      <c r="ER115" s="284" t="n">
        <v>0</v>
      </c>
      <c r="ES115" s="38" t="n">
        <v>0</v>
      </c>
      <c r="ET115" s="284" t="n"/>
      <c r="EU115" s="36">
        <f>$KN115*3</f>
        <v/>
      </c>
      <c r="EV115" s="284" t="n">
        <v>0</v>
      </c>
      <c r="EW115" s="38" t="n">
        <v>0</v>
      </c>
      <c r="EX115" s="284" t="n"/>
      <c r="EY115" s="36">
        <f>$KN115*4</f>
        <v/>
      </c>
      <c r="EZ115" s="284" t="n">
        <v>0</v>
      </c>
      <c r="FA115" s="38" t="n">
        <v>0</v>
      </c>
      <c r="FB115" s="284" t="n"/>
      <c r="FC115" s="36">
        <f>$KN115*5</f>
        <v/>
      </c>
      <c r="FD115" s="284" t="n">
        <v>0</v>
      </c>
      <c r="FE115" s="38" t="n">
        <v>0</v>
      </c>
      <c r="FF115" s="284" t="n"/>
      <c r="FG115" s="36">
        <f>$KN115*5</f>
        <v/>
      </c>
      <c r="FH115" s="284" t="n">
        <v>0</v>
      </c>
      <c r="FI115" s="38" t="n">
        <v>0</v>
      </c>
      <c r="FJ115" s="284" t="n"/>
      <c r="FK115" s="36">
        <f>$KN115*5</f>
        <v/>
      </c>
      <c r="FL115" s="284" t="n">
        <v>0</v>
      </c>
      <c r="FM115" s="38" t="n">
        <v>0</v>
      </c>
      <c r="FN115" s="284" t="n"/>
      <c r="FO115" s="36">
        <f>$KN115*6</f>
        <v/>
      </c>
      <c r="FP115" s="284" t="n">
        <v>6</v>
      </c>
      <c r="FQ115" s="38" t="n">
        <v>0</v>
      </c>
      <c r="FR115" s="284" t="n"/>
      <c r="FS115" s="36">
        <f>$KN115*6</f>
        <v/>
      </c>
      <c r="FT115" s="284" t="n">
        <v>6</v>
      </c>
      <c r="FU115" s="38" t="n">
        <v>0</v>
      </c>
      <c r="FV115" s="284" t="n"/>
      <c r="FW115" s="36">
        <f>$KN115*6</f>
        <v/>
      </c>
      <c r="FX115" s="284" t="n">
        <v>6</v>
      </c>
      <c r="FY115" s="38" t="n">
        <v>0</v>
      </c>
      <c r="FZ115" s="284" t="n"/>
      <c r="GA115" s="338">
        <f t="array" ref="GA115">SUMPRODUCT(--(MOD(COLUMN($EE115:$FZ115),4)=MOD(COLUMN($EE115),4)),$EE115:$FZ115)</f>
        <v/>
      </c>
      <c r="GB115" s="339">
        <f>GA115*$J115</f>
        <v/>
      </c>
      <c r="GC115" s="340">
        <f t="array" ref="GC115">SUMPRODUCT(--(MOD(COLUMN($EE115:$FZ115),4)=MOD(COLUMN($EF115),4)),$EE115:$FZ115)</f>
        <v/>
      </c>
      <c r="GD115" s="341">
        <f>GC115*$J115</f>
        <v/>
      </c>
      <c r="GE115" s="342">
        <f t="array" ref="GE115">SUMPRODUCT(--(MOD(COLUMN($EE115:$FZ115),4)=MOD(COLUMN($EG115),4)),$EE115:$FZ115)</f>
        <v/>
      </c>
      <c r="GF115" s="343">
        <f>GE115*$J115</f>
        <v/>
      </c>
      <c r="GG115" s="36">
        <f>$KN115*5</f>
        <v/>
      </c>
      <c r="GH115" s="284" t="n"/>
      <c r="GI115" s="38" t="n">
        <v>0</v>
      </c>
      <c r="GJ115" s="284" t="n"/>
      <c r="GK115" s="36">
        <f>$KN115*5</f>
        <v/>
      </c>
      <c r="GL115" s="284" t="n"/>
      <c r="GM115" s="38" t="n">
        <v>0</v>
      </c>
      <c r="GN115" s="284" t="n"/>
      <c r="GO115" s="36">
        <f>$KN115*7</f>
        <v/>
      </c>
      <c r="GP115" s="284" t="n"/>
      <c r="GQ115" s="38" t="n">
        <v>0</v>
      </c>
      <c r="GR115" s="284" t="n"/>
      <c r="GS115" s="36">
        <f>$KN115*10</f>
        <v/>
      </c>
      <c r="GT115" s="284" t="n"/>
      <c r="GU115" s="38" t="n">
        <v>0</v>
      </c>
      <c r="GV115" s="284" t="n"/>
      <c r="GW115" s="36">
        <f>$KN115*10</f>
        <v/>
      </c>
      <c r="GX115" s="284" t="n"/>
      <c r="GY115" s="38" t="n">
        <v>0</v>
      </c>
      <c r="GZ115" s="284" t="n"/>
      <c r="HA115" s="36">
        <f>$KN115*10</f>
        <v/>
      </c>
      <c r="HB115" s="284" t="n"/>
      <c r="HC115" s="38" t="n">
        <v>0</v>
      </c>
      <c r="HD115" s="284" t="n"/>
      <c r="HE115" s="36">
        <f>$KN115*10</f>
        <v/>
      </c>
      <c r="HF115" s="284" t="n"/>
      <c r="HG115" s="38" t="n">
        <v>0</v>
      </c>
      <c r="HH115" s="284" t="n"/>
      <c r="HI115" s="36">
        <f>$KN115*10</f>
        <v/>
      </c>
      <c r="HJ115" s="284" t="n"/>
      <c r="HK115" s="38" t="n">
        <v>0</v>
      </c>
      <c r="HL115" s="284" t="n"/>
      <c r="HM115" s="36">
        <f>$KN115*10</f>
        <v/>
      </c>
      <c r="HN115" s="284" t="n"/>
      <c r="HO115" s="38" t="n">
        <v>0</v>
      </c>
      <c r="HP115" s="284" t="n"/>
      <c r="HQ115" s="36">
        <f>$KN115*10</f>
        <v/>
      </c>
      <c r="HR115" s="284" t="n"/>
      <c r="HS115" s="38" t="n">
        <v>0</v>
      </c>
      <c r="HT115" s="284" t="n"/>
      <c r="HU115" s="36">
        <f>$KN115*10</f>
        <v/>
      </c>
      <c r="HV115" s="284" t="n"/>
      <c r="HW115" s="38" t="n">
        <v>0</v>
      </c>
      <c r="HX115" s="284" t="n"/>
      <c r="HY115" s="36">
        <f>$KN115*10</f>
        <v/>
      </c>
      <c r="HZ115" s="284" t="n"/>
      <c r="IA115" s="38" t="n">
        <v>0</v>
      </c>
      <c r="IB115" s="284" t="n"/>
      <c r="IC115" s="338">
        <f t="array" ref="IC115">SUMPRODUCT(--(MOD(COLUMN($GG115:$IB115),4)=MOD(COLUMN($GG115),4)),$GG115:$IB115)</f>
        <v/>
      </c>
      <c r="ID115" s="339">
        <f>IC115*$J115</f>
        <v/>
      </c>
      <c r="IE115" s="340">
        <f t="array" ref="IE115">SUMPRODUCT(--(MOD(COLUMN($GG115:$IB115),4)=MOD(COLUMN($GH115),4)),$GG115:$IB115)</f>
        <v/>
      </c>
      <c r="IF115" s="341">
        <f>IE115*$J115</f>
        <v/>
      </c>
      <c r="IG115" s="342">
        <f t="array" ref="IG115">SUMPRODUCT(--(MOD(COLUMN($GG115:$IB115),4)=MOD(COLUMN($GI115),4)),$GG115:$IB115)</f>
        <v/>
      </c>
      <c r="IH115" s="343">
        <f>IG115*$J115</f>
        <v/>
      </c>
      <c r="II115" s="36">
        <f>$KN115*5</f>
        <v/>
      </c>
      <c r="IJ115" s="284" t="n"/>
      <c r="IK115" s="38" t="n">
        <v>0</v>
      </c>
      <c r="IL115" s="284" t="n"/>
      <c r="IM115" s="36">
        <f>$KN115*5</f>
        <v/>
      </c>
      <c r="IN115" s="284" t="n"/>
      <c r="IO115" s="38" t="n">
        <v>0</v>
      </c>
      <c r="IP115" s="284" t="n"/>
      <c r="IQ115" s="36">
        <f>$KN115*7</f>
        <v/>
      </c>
      <c r="IR115" s="284" t="n"/>
      <c r="IS115" s="38" t="n">
        <v>0</v>
      </c>
      <c r="IT115" s="284" t="n"/>
      <c r="IU115" s="36">
        <f>$KN115*10</f>
        <v/>
      </c>
      <c r="IV115" s="284" t="n"/>
      <c r="IW115" s="38" t="n">
        <v>0</v>
      </c>
      <c r="IX115" s="284" t="n"/>
      <c r="IY115" s="36">
        <f>$KN115*10</f>
        <v/>
      </c>
      <c r="IZ115" s="284" t="n"/>
      <c r="JA115" s="38" t="n">
        <v>0</v>
      </c>
      <c r="JB115" s="284" t="n"/>
      <c r="JC115" s="36">
        <f>$KN115*10</f>
        <v/>
      </c>
      <c r="JD115" s="284" t="n"/>
      <c r="JE115" s="38" t="n">
        <v>0</v>
      </c>
      <c r="JF115" s="284" t="n"/>
      <c r="JG115" s="36">
        <f>$KN115*10</f>
        <v/>
      </c>
      <c r="JH115" s="284" t="n"/>
      <c r="JI115" s="38" t="n">
        <v>0</v>
      </c>
      <c r="JJ115" s="284" t="n"/>
      <c r="JK115" s="36">
        <f>$KN115*10</f>
        <v/>
      </c>
      <c r="JL115" s="284" t="n"/>
      <c r="JM115" s="38" t="n">
        <v>0</v>
      </c>
      <c r="JN115" s="284" t="n"/>
      <c r="JO115" s="36">
        <f>$KN115*10</f>
        <v/>
      </c>
      <c r="JP115" s="284" t="n"/>
      <c r="JQ115" s="38" t="n">
        <v>0</v>
      </c>
      <c r="JR115" s="284" t="n"/>
      <c r="JS115" s="36">
        <f>$KN115*10</f>
        <v/>
      </c>
      <c r="JT115" s="284" t="n"/>
      <c r="JU115" s="38" t="n">
        <v>0</v>
      </c>
      <c r="JV115" s="284" t="n"/>
      <c r="JW115" s="36">
        <f>$KN115*10</f>
        <v/>
      </c>
      <c r="JX115" s="284" t="n"/>
      <c r="JY115" s="38" t="n">
        <v>0</v>
      </c>
      <c r="JZ115" s="284" t="n"/>
      <c r="KA115" s="36">
        <f>$KN115*10</f>
        <v/>
      </c>
      <c r="KB115" s="284" t="n"/>
      <c r="KC115" s="38" t="n">
        <v>0</v>
      </c>
      <c r="KD115" s="284" t="n"/>
      <c r="KE115" s="338">
        <f t="array" ref="KE115">SUMPRODUCT(--(MOD(COLUMN($II115:$KD115),4)=MOD(COLUMN($II115),4)),$II115:$KD115)</f>
        <v/>
      </c>
      <c r="KF115" s="339">
        <f>KE115*$J115</f>
        <v/>
      </c>
      <c r="KG115" s="340">
        <f t="array" ref="KG115">SUMPRODUCT(--(MOD(COLUMN($II115:$KD115),4)=MOD(COLUMN($IJ115),4)),$II115:$KD115)</f>
        <v/>
      </c>
      <c r="KH115" s="341">
        <f>KG115*$J115</f>
        <v/>
      </c>
      <c r="KI115" s="342">
        <f t="array" ref="KI115">SUMPRODUCT(--(MOD(COLUMN($II115:$KD115),4)=MOD(COLUMN($IK115),4)),$II115:$KD115)</f>
        <v/>
      </c>
      <c r="KJ115" s="346">
        <f>KI115*$J115</f>
        <v/>
      </c>
      <c r="KK115" s="80" t="n"/>
      <c r="KL115" s="80" t="n"/>
      <c r="KM115" s="80" t="n"/>
      <c r="KN115" s="51" t="n">
        <v>1</v>
      </c>
      <c r="KO115" s="347" t="n"/>
    </row>
    <row r="116" outlineLevel="1" ht="28.8" customFormat="1" customHeight="1" s="68">
      <c r="A116" s="347" t="n"/>
      <c r="B116" s="347" t="n"/>
      <c r="C116" s="347" t="n"/>
      <c r="D116" s="347" t="n"/>
      <c r="E116" s="15" t="n">
        <v>8</v>
      </c>
      <c r="F116" s="15" t="n">
        <v>1</v>
      </c>
      <c r="G116" s="33" t="n">
        <v>4630320200</v>
      </c>
      <c r="H116" s="34" t="inlineStr">
        <is>
          <t>Кран ручного управления</t>
        </is>
      </c>
      <c r="I116" s="348">
        <f>537.4/1.2/0.98</f>
        <v/>
      </c>
      <c r="J116" s="337">
        <f>537.4/1.2*1.0863</f>
        <v/>
      </c>
      <c r="K116" s="348" t="n"/>
      <c r="L116" s="348" t="n"/>
      <c r="M116" s="36" t="n">
        <v>0</v>
      </c>
      <c r="N116" s="284" t="n">
        <v>0</v>
      </c>
      <c r="O116" s="38" t="n">
        <v>0</v>
      </c>
      <c r="P116" s="284" t="n"/>
      <c r="Q116" s="36" t="n">
        <v>0</v>
      </c>
      <c r="R116" s="284" t="n">
        <v>0</v>
      </c>
      <c r="S116" s="38" t="n">
        <v>0</v>
      </c>
      <c r="T116" s="284" t="n"/>
      <c r="U116" s="36" t="n">
        <v>0</v>
      </c>
      <c r="V116" s="284" t="n">
        <v>0</v>
      </c>
      <c r="W116" s="38" t="n">
        <v>0</v>
      </c>
      <c r="X116" s="284" t="n"/>
      <c r="Y116" s="36" t="n">
        <v>5</v>
      </c>
      <c r="Z116" s="39" t="n">
        <v>0</v>
      </c>
      <c r="AA116" s="38" t="n">
        <v>0</v>
      </c>
      <c r="AB116" s="347" t="n"/>
      <c r="AC116" s="36" t="n">
        <v>20</v>
      </c>
      <c r="AD116" s="284" t="n">
        <v>0</v>
      </c>
      <c r="AE116" s="38" t="n">
        <v>0</v>
      </c>
      <c r="AF116" s="347" t="n"/>
      <c r="AG116" s="36" t="n">
        <v>20</v>
      </c>
      <c r="AH116" s="284" t="n">
        <v>0</v>
      </c>
      <c r="AI116" s="38" t="n">
        <v>0</v>
      </c>
      <c r="AJ116" s="347" t="n"/>
      <c r="AK116" s="36" t="n">
        <v>20</v>
      </c>
      <c r="AL116" s="284" t="n">
        <v>0</v>
      </c>
      <c r="AM116" s="38" t="n">
        <v>0</v>
      </c>
      <c r="AN116" s="347" t="n"/>
      <c r="AO116" s="36" t="n">
        <v>20</v>
      </c>
      <c r="AP116" s="284" t="n">
        <v>0</v>
      </c>
      <c r="AQ116" s="38" t="n">
        <v>0</v>
      </c>
      <c r="AR116" s="347" t="n"/>
      <c r="AS116" s="36" t="n">
        <v>20</v>
      </c>
      <c r="AT116" s="284" t="n">
        <v>0</v>
      </c>
      <c r="AU116" s="38" t="n">
        <v>0</v>
      </c>
      <c r="AV116" s="347" t="n"/>
      <c r="AW116" s="36" t="n">
        <v>20</v>
      </c>
      <c r="AX116" s="284" t="n">
        <v>0</v>
      </c>
      <c r="AY116" s="54" t="n">
        <v>0</v>
      </c>
      <c r="AZ116" s="347" t="n"/>
      <c r="BA116" s="36" t="n">
        <v>20</v>
      </c>
      <c r="BB116" s="284" t="n">
        <v>0</v>
      </c>
      <c r="BC116" s="38" t="n">
        <v>0</v>
      </c>
      <c r="BD116" s="347" t="n"/>
      <c r="BE116" s="36" t="n">
        <v>20</v>
      </c>
      <c r="BF116" s="284">
        <f>$KN116*5</f>
        <v/>
      </c>
      <c r="BG116" s="54" t="n">
        <v>0</v>
      </c>
      <c r="BH116" s="347" t="n"/>
      <c r="BI116" s="338">
        <f>SUMPRODUCT(--(MOD(COLUMN($M116:$BH116),4)=MOD(COLUMN($M116),4)),$M116:$BH116)</f>
        <v/>
      </c>
      <c r="BJ116" s="339">
        <f>BI116*$I116</f>
        <v/>
      </c>
      <c r="BK116" s="340">
        <f>SUMPRODUCT(--(MOD(COLUMN($M116:$BH116),4)=MOD(COLUMN($M116)+1,4)),$M116:$BH116)</f>
        <v/>
      </c>
      <c r="BL116" s="341">
        <f>BK116*$I116</f>
        <v/>
      </c>
      <c r="BM116" s="342">
        <f>SUMPRODUCT(--(MOD(COLUMN($M116:$BH116),4)=MOD(COLUMN($M116)+2,4)),$M116:$BH116)</f>
        <v/>
      </c>
      <c r="BN116" s="343">
        <f>BM116*$I116</f>
        <v/>
      </c>
      <c r="BO116" s="36">
        <f>$KN116*0</f>
        <v/>
      </c>
      <c r="BP116" s="47">
        <f>$KN116*0</f>
        <v/>
      </c>
      <c r="BQ116" s="284">
        <f>$KN116*5</f>
        <v/>
      </c>
      <c r="BR116" s="38" t="n">
        <v>0</v>
      </c>
      <c r="BS116" s="347" t="n"/>
      <c r="BT116" s="36">
        <f>$KN116*0</f>
        <v/>
      </c>
      <c r="BU116" s="47">
        <f>$KN116*0</f>
        <v/>
      </c>
      <c r="BV116" s="284">
        <f>$KN116*0</f>
        <v/>
      </c>
      <c r="BW116" s="38" t="n">
        <v>0</v>
      </c>
      <c r="BX116" s="347" t="n"/>
      <c r="BY116" s="36">
        <f>$KN116*5</f>
        <v/>
      </c>
      <c r="BZ116" s="47">
        <f>$KN116*3</f>
        <v/>
      </c>
      <c r="CA116" s="284">
        <f>$KN116*0</f>
        <v/>
      </c>
      <c r="CB116" s="38" t="n">
        <v>0</v>
      </c>
      <c r="CC116" s="284" t="n"/>
      <c r="CD116" s="36">
        <f>$KN116*0</f>
        <v/>
      </c>
      <c r="CE116" s="47">
        <f>$KN116*0</f>
        <v/>
      </c>
      <c r="CF116" s="284">
        <f>$KN116*0</f>
        <v/>
      </c>
      <c r="CG116" s="38" t="n">
        <v>0</v>
      </c>
      <c r="CH116" s="284" t="n"/>
      <c r="CI116" s="36">
        <f>$KN116*5</f>
        <v/>
      </c>
      <c r="CJ116" s="47">
        <f>$KN116*3</f>
        <v/>
      </c>
      <c r="CK116" s="284">
        <f>$KN116*0</f>
        <v/>
      </c>
      <c r="CL116" s="38" t="n">
        <v>0</v>
      </c>
      <c r="CM116" s="284" t="n"/>
      <c r="CN116" s="36">
        <f>$KN116*5</f>
        <v/>
      </c>
      <c r="CO116" s="47">
        <f>$KN116*3</f>
        <v/>
      </c>
      <c r="CP116" s="39">
        <f>$KN116*0</f>
        <v/>
      </c>
      <c r="CQ116" s="38" t="n">
        <v>0</v>
      </c>
      <c r="CR116" s="284" t="n"/>
      <c r="CS116" s="36">
        <f>$KN116*5</f>
        <v/>
      </c>
      <c r="CT116" s="47">
        <f>$KN116*3</f>
        <v/>
      </c>
      <c r="CU116" s="39">
        <f>$KN116*0</f>
        <v/>
      </c>
      <c r="CV116" s="38" t="n">
        <v>0</v>
      </c>
      <c r="CW116" s="284" t="n"/>
      <c r="CX116" s="36">
        <f>$KN116*5</f>
        <v/>
      </c>
      <c r="CY116" s="47">
        <f>$KN116*3</f>
        <v/>
      </c>
      <c r="CZ116" s="39">
        <f>$KN116*0</f>
        <v/>
      </c>
      <c r="DA116" s="38" t="n">
        <v>0</v>
      </c>
      <c r="DB116" s="284" t="n"/>
      <c r="DC116" s="36">
        <f>$KN116*5</f>
        <v/>
      </c>
      <c r="DD116" s="47">
        <f>$KN116*3</f>
        <v/>
      </c>
      <c r="DE116" s="284">
        <f>$KN116*0</f>
        <v/>
      </c>
      <c r="DF116" s="38" t="n">
        <v>0</v>
      </c>
      <c r="DG116" s="284" t="n"/>
      <c r="DH116" s="36">
        <f>$KN116*5</f>
        <v/>
      </c>
      <c r="DI116" s="47">
        <f>$KN116*3</f>
        <v/>
      </c>
      <c r="DJ116" s="284">
        <f>$KN116*0</f>
        <v/>
      </c>
      <c r="DK116" s="38" t="n">
        <v>0</v>
      </c>
      <c r="DL116" s="284" t="n"/>
      <c r="DM116" s="36">
        <f>$KN116*5</f>
        <v/>
      </c>
      <c r="DN116" s="47">
        <f>$KN116*3</f>
        <v/>
      </c>
      <c r="DO116" s="284">
        <f>$KN116*0</f>
        <v/>
      </c>
      <c r="DP116" s="38" t="n">
        <v>0</v>
      </c>
      <c r="DQ116" s="284" t="n"/>
      <c r="DR116" s="36">
        <f>$KN116*5</f>
        <v/>
      </c>
      <c r="DS116" s="47">
        <f>$KN116*3</f>
        <v/>
      </c>
      <c r="DT116" s="284">
        <f>$KN116*0</f>
        <v/>
      </c>
      <c r="DU116" s="38" t="n">
        <v>0</v>
      </c>
      <c r="DV116" s="284" t="n"/>
      <c r="DW116" s="338">
        <f t="array" ref="DW116">SUMPRODUCT(--(MOD(COLUMN($BO116:$DV116),5)=MOD(COLUMN($BO116),5)),$BO116:$DV116)</f>
        <v/>
      </c>
      <c r="DX116" s="339">
        <f>DW116*$J116</f>
        <v/>
      </c>
      <c r="DY116" s="344">
        <f t="array" ref="DY116">SUMPRODUCT(--(MOD(COLUMN($BO116:$DV116),5)=MOD(COLUMN($BP116),5)),$BO116:$DV116)</f>
        <v/>
      </c>
      <c r="DZ116" s="345">
        <f>DY116*$J116</f>
        <v/>
      </c>
      <c r="EA116" s="340">
        <f t="array" ref="EA116">SUMPRODUCT(--(MOD(COLUMN($BO116:$DV116),5)=MOD(COLUMN($BQ116),5)),$BO116:$DV116)</f>
        <v/>
      </c>
      <c r="EB116" s="341">
        <f>EA116*$J116</f>
        <v/>
      </c>
      <c r="EC116" s="342">
        <f t="array" ref="EC116">SUMPRODUCT(--(MOD(COLUMN($BO116:$DV116),5)=MOD(COLUMN($BR116),5)),$BO116:$DV116)</f>
        <v/>
      </c>
      <c r="ED116" s="343">
        <f>EC116*$J116</f>
        <v/>
      </c>
      <c r="EE116" s="36" t="n">
        <v>0</v>
      </c>
      <c r="EF116" s="284" t="n">
        <v>0</v>
      </c>
      <c r="EG116" s="38" t="n"/>
      <c r="EH116" s="284" t="n"/>
      <c r="EI116" s="36" t="n">
        <v>0</v>
      </c>
      <c r="EJ116" s="284" t="n">
        <v>0</v>
      </c>
      <c r="EK116" s="38" t="n"/>
      <c r="EL116" s="284" t="n"/>
      <c r="EM116" s="36" t="n">
        <v>0</v>
      </c>
      <c r="EN116" s="284" t="n">
        <v>0</v>
      </c>
      <c r="EO116" s="38" t="n"/>
      <c r="EP116" s="284" t="n"/>
      <c r="EQ116" s="36">
        <f>$KN116*2</f>
        <v/>
      </c>
      <c r="ER116" s="284" t="n">
        <v>0</v>
      </c>
      <c r="ES116" s="38" t="n">
        <v>0</v>
      </c>
      <c r="ET116" s="284" t="n"/>
      <c r="EU116" s="36">
        <f>$KN116*3</f>
        <v/>
      </c>
      <c r="EV116" s="284" t="n">
        <v>0</v>
      </c>
      <c r="EW116" s="38" t="n">
        <v>0</v>
      </c>
      <c r="EX116" s="284" t="n"/>
      <c r="EY116" s="36">
        <f>$KN116*4</f>
        <v/>
      </c>
      <c r="EZ116" s="284" t="n">
        <v>0</v>
      </c>
      <c r="FA116" s="38" t="n">
        <v>0</v>
      </c>
      <c r="FB116" s="284" t="n"/>
      <c r="FC116" s="36">
        <f>$KN116*5</f>
        <v/>
      </c>
      <c r="FD116" s="284" t="n">
        <v>0</v>
      </c>
      <c r="FE116" s="38" t="n">
        <v>0</v>
      </c>
      <c r="FF116" s="284" t="n"/>
      <c r="FG116" s="36">
        <f>$KN116*5</f>
        <v/>
      </c>
      <c r="FH116" s="284" t="n">
        <v>0</v>
      </c>
      <c r="FI116" s="38" t="n">
        <v>0</v>
      </c>
      <c r="FJ116" s="284" t="n"/>
      <c r="FK116" s="36">
        <f>$KN116*5</f>
        <v/>
      </c>
      <c r="FL116" s="284" t="n">
        <v>0</v>
      </c>
      <c r="FM116" s="38" t="n">
        <v>0</v>
      </c>
      <c r="FN116" s="284" t="n"/>
      <c r="FO116" s="36">
        <f>$KN116*6</f>
        <v/>
      </c>
      <c r="FP116" s="284" t="n">
        <v>6</v>
      </c>
      <c r="FQ116" s="38" t="n">
        <v>0</v>
      </c>
      <c r="FR116" s="284" t="n"/>
      <c r="FS116" s="36">
        <f>$KN116*6</f>
        <v/>
      </c>
      <c r="FT116" s="284" t="n">
        <v>6</v>
      </c>
      <c r="FU116" s="38" t="n">
        <v>0</v>
      </c>
      <c r="FV116" s="284" t="n"/>
      <c r="FW116" s="36">
        <f>$KN116*6</f>
        <v/>
      </c>
      <c r="FX116" s="284" t="n">
        <v>6</v>
      </c>
      <c r="FY116" s="38" t="n">
        <v>0</v>
      </c>
      <c r="FZ116" s="284" t="n"/>
      <c r="GA116" s="338">
        <f t="array" ref="GA116">SUMPRODUCT(--(MOD(COLUMN($EE116:$FZ116),4)=MOD(COLUMN($EE116),4)),$EE116:$FZ116)</f>
        <v/>
      </c>
      <c r="GB116" s="339">
        <f>GA116*$J116</f>
        <v/>
      </c>
      <c r="GC116" s="340">
        <f t="array" ref="GC116">SUMPRODUCT(--(MOD(COLUMN($EE116:$FZ116),4)=MOD(COLUMN($EF116),4)),$EE116:$FZ116)</f>
        <v/>
      </c>
      <c r="GD116" s="341">
        <f>GC116*$J116</f>
        <v/>
      </c>
      <c r="GE116" s="342">
        <f t="array" ref="GE116">SUMPRODUCT(--(MOD(COLUMN($EE116:$FZ116),4)=MOD(COLUMN($EG116),4)),$EE116:$FZ116)</f>
        <v/>
      </c>
      <c r="GF116" s="343">
        <f>GE116*$J116</f>
        <v/>
      </c>
      <c r="GG116" s="36">
        <f>$KN116*5</f>
        <v/>
      </c>
      <c r="GH116" s="284" t="n"/>
      <c r="GI116" s="38" t="n">
        <v>0</v>
      </c>
      <c r="GJ116" s="284" t="n"/>
      <c r="GK116" s="36">
        <f>$KN116*5</f>
        <v/>
      </c>
      <c r="GL116" s="284" t="n"/>
      <c r="GM116" s="38" t="n">
        <v>0</v>
      </c>
      <c r="GN116" s="284" t="n"/>
      <c r="GO116" s="36">
        <f>$KN116*7</f>
        <v/>
      </c>
      <c r="GP116" s="284" t="n"/>
      <c r="GQ116" s="38" t="n">
        <v>0</v>
      </c>
      <c r="GR116" s="284" t="n"/>
      <c r="GS116" s="36">
        <f>$KN116*10</f>
        <v/>
      </c>
      <c r="GT116" s="284" t="n"/>
      <c r="GU116" s="38" t="n">
        <v>0</v>
      </c>
      <c r="GV116" s="284" t="n"/>
      <c r="GW116" s="36">
        <f>$KN116*10</f>
        <v/>
      </c>
      <c r="GX116" s="284" t="n"/>
      <c r="GY116" s="38" t="n">
        <v>0</v>
      </c>
      <c r="GZ116" s="284" t="n"/>
      <c r="HA116" s="36">
        <f>$KN116*10</f>
        <v/>
      </c>
      <c r="HB116" s="284" t="n"/>
      <c r="HC116" s="38" t="n">
        <v>0</v>
      </c>
      <c r="HD116" s="284" t="n"/>
      <c r="HE116" s="36">
        <f>$KN116*10</f>
        <v/>
      </c>
      <c r="HF116" s="284" t="n"/>
      <c r="HG116" s="38" t="n">
        <v>0</v>
      </c>
      <c r="HH116" s="284" t="n"/>
      <c r="HI116" s="36">
        <f>$KN116*10</f>
        <v/>
      </c>
      <c r="HJ116" s="284" t="n"/>
      <c r="HK116" s="38" t="n">
        <v>0</v>
      </c>
      <c r="HL116" s="284" t="n"/>
      <c r="HM116" s="36">
        <f>$KN116*10</f>
        <v/>
      </c>
      <c r="HN116" s="284" t="n"/>
      <c r="HO116" s="38" t="n">
        <v>0</v>
      </c>
      <c r="HP116" s="284" t="n"/>
      <c r="HQ116" s="36">
        <f>$KN116*10</f>
        <v/>
      </c>
      <c r="HR116" s="284" t="n"/>
      <c r="HS116" s="38" t="n">
        <v>0</v>
      </c>
      <c r="HT116" s="284" t="n"/>
      <c r="HU116" s="36">
        <f>$KN116*10</f>
        <v/>
      </c>
      <c r="HV116" s="284" t="n"/>
      <c r="HW116" s="38" t="n">
        <v>0</v>
      </c>
      <c r="HX116" s="284" t="n"/>
      <c r="HY116" s="36">
        <f>$KN116*10</f>
        <v/>
      </c>
      <c r="HZ116" s="284" t="n"/>
      <c r="IA116" s="38" t="n">
        <v>0</v>
      </c>
      <c r="IB116" s="284" t="n"/>
      <c r="IC116" s="338">
        <f t="array" ref="IC116">SUMPRODUCT(--(MOD(COLUMN($GG116:$IB116),4)=MOD(COLUMN($GG116),4)),$GG116:$IB116)</f>
        <v/>
      </c>
      <c r="ID116" s="339">
        <f>IC116*$J116</f>
        <v/>
      </c>
      <c r="IE116" s="340">
        <f t="array" ref="IE116">SUMPRODUCT(--(MOD(COLUMN($GG116:$IB116),4)=MOD(COLUMN($GH116),4)),$GG116:$IB116)</f>
        <v/>
      </c>
      <c r="IF116" s="341">
        <f>IE116*$J116</f>
        <v/>
      </c>
      <c r="IG116" s="342">
        <f t="array" ref="IG116">SUMPRODUCT(--(MOD(COLUMN($GG116:$IB116),4)=MOD(COLUMN($GI116),4)),$GG116:$IB116)</f>
        <v/>
      </c>
      <c r="IH116" s="343">
        <f>IG116*$J116</f>
        <v/>
      </c>
      <c r="II116" s="36">
        <f>$KN116*5</f>
        <v/>
      </c>
      <c r="IJ116" s="284" t="n"/>
      <c r="IK116" s="38" t="n">
        <v>0</v>
      </c>
      <c r="IL116" s="284" t="n"/>
      <c r="IM116" s="36">
        <f>$KN116*5</f>
        <v/>
      </c>
      <c r="IN116" s="284" t="n"/>
      <c r="IO116" s="38" t="n">
        <v>0</v>
      </c>
      <c r="IP116" s="284" t="n"/>
      <c r="IQ116" s="36">
        <f>$KN116*7</f>
        <v/>
      </c>
      <c r="IR116" s="284" t="n"/>
      <c r="IS116" s="38" t="n">
        <v>0</v>
      </c>
      <c r="IT116" s="284" t="n"/>
      <c r="IU116" s="36">
        <f>$KN116*10</f>
        <v/>
      </c>
      <c r="IV116" s="284" t="n"/>
      <c r="IW116" s="38" t="n">
        <v>0</v>
      </c>
      <c r="IX116" s="284" t="n"/>
      <c r="IY116" s="36">
        <f>$KN116*10</f>
        <v/>
      </c>
      <c r="IZ116" s="284" t="n"/>
      <c r="JA116" s="38" t="n">
        <v>0</v>
      </c>
      <c r="JB116" s="284" t="n"/>
      <c r="JC116" s="36">
        <f>$KN116*10</f>
        <v/>
      </c>
      <c r="JD116" s="284" t="n"/>
      <c r="JE116" s="38" t="n">
        <v>0</v>
      </c>
      <c r="JF116" s="284" t="n"/>
      <c r="JG116" s="36">
        <f>$KN116*10</f>
        <v/>
      </c>
      <c r="JH116" s="284" t="n"/>
      <c r="JI116" s="38" t="n">
        <v>0</v>
      </c>
      <c r="JJ116" s="284" t="n"/>
      <c r="JK116" s="36">
        <f>$KN116*10</f>
        <v/>
      </c>
      <c r="JL116" s="284" t="n"/>
      <c r="JM116" s="38" t="n">
        <v>0</v>
      </c>
      <c r="JN116" s="284" t="n"/>
      <c r="JO116" s="36">
        <f>$KN116*10</f>
        <v/>
      </c>
      <c r="JP116" s="284" t="n"/>
      <c r="JQ116" s="38" t="n">
        <v>0</v>
      </c>
      <c r="JR116" s="284" t="n"/>
      <c r="JS116" s="36">
        <f>$KN116*10</f>
        <v/>
      </c>
      <c r="JT116" s="284" t="n"/>
      <c r="JU116" s="38" t="n">
        <v>0</v>
      </c>
      <c r="JV116" s="284" t="n"/>
      <c r="JW116" s="36">
        <f>$KN116*10</f>
        <v/>
      </c>
      <c r="JX116" s="284" t="n"/>
      <c r="JY116" s="38" t="n">
        <v>0</v>
      </c>
      <c r="JZ116" s="284" t="n"/>
      <c r="KA116" s="36">
        <f>$KN116*10</f>
        <v/>
      </c>
      <c r="KB116" s="284" t="n"/>
      <c r="KC116" s="38" t="n">
        <v>0</v>
      </c>
      <c r="KD116" s="284" t="n"/>
      <c r="KE116" s="338">
        <f t="array" ref="KE116">SUMPRODUCT(--(MOD(COLUMN($II116:$KD116),4)=MOD(COLUMN($II116),4)),$II116:$KD116)</f>
        <v/>
      </c>
      <c r="KF116" s="339">
        <f>KE116*$J116</f>
        <v/>
      </c>
      <c r="KG116" s="340">
        <f t="array" ref="KG116">SUMPRODUCT(--(MOD(COLUMN($II116:$KD116),4)=MOD(COLUMN($IJ116),4)),$II116:$KD116)</f>
        <v/>
      </c>
      <c r="KH116" s="341">
        <f>KG116*$J116</f>
        <v/>
      </c>
      <c r="KI116" s="342">
        <f t="array" ref="KI116">SUMPRODUCT(--(MOD(COLUMN($II116:$KD116),4)=MOD(COLUMN($IK116),4)),$II116:$KD116)</f>
        <v/>
      </c>
      <c r="KJ116" s="346">
        <f>KI116*$J116</f>
        <v/>
      </c>
      <c r="KK116" s="80" t="n"/>
      <c r="KL116" s="80" t="n"/>
      <c r="KM116" s="80" t="n"/>
      <c r="KN116" s="51" t="n">
        <v>1</v>
      </c>
      <c r="KO116" s="347" t="n"/>
    </row>
    <row r="117" outlineLevel="1" customFormat="1" s="68">
      <c r="A117" s="347" t="n"/>
      <c r="B117" s="347" t="n"/>
      <c r="C117" s="347" t="n"/>
      <c r="D117" s="347" t="n"/>
      <c r="E117" s="15" t="n">
        <v>9</v>
      </c>
      <c r="F117" s="15" t="n">
        <v>1</v>
      </c>
      <c r="G117" s="33" t="n">
        <v>4334010030</v>
      </c>
      <c r="H117" s="34" t="inlineStr">
        <is>
          <t>Упругий элемент</t>
        </is>
      </c>
      <c r="I117" s="348">
        <f>41.9/1.2/0.98</f>
        <v/>
      </c>
      <c r="J117" s="337">
        <f>41.9/1.2*1.0863</f>
        <v/>
      </c>
      <c r="K117" s="348" t="n"/>
      <c r="L117" s="348" t="n"/>
      <c r="M117" s="36" t="n">
        <v>0</v>
      </c>
      <c r="N117" s="284" t="n">
        <v>0</v>
      </c>
      <c r="O117" s="38" t="n">
        <v>0</v>
      </c>
      <c r="P117" s="284" t="n"/>
      <c r="Q117" s="36" t="n">
        <v>0</v>
      </c>
      <c r="R117" s="284" t="n">
        <v>0</v>
      </c>
      <c r="S117" s="38" t="n">
        <v>0</v>
      </c>
      <c r="T117" s="284" t="n"/>
      <c r="U117" s="36" t="n">
        <v>0</v>
      </c>
      <c r="V117" s="284" t="n">
        <v>0</v>
      </c>
      <c r="W117" s="38" t="n">
        <v>0</v>
      </c>
      <c r="X117" s="284" t="n"/>
      <c r="Y117" s="36" t="n">
        <v>5</v>
      </c>
      <c r="Z117" s="39" t="n">
        <v>0</v>
      </c>
      <c r="AA117" s="38" t="n">
        <v>0</v>
      </c>
      <c r="AB117" s="347" t="n"/>
      <c r="AC117" s="36" t="n">
        <v>20</v>
      </c>
      <c r="AD117" s="284" t="n">
        <v>0</v>
      </c>
      <c r="AE117" s="38" t="n">
        <v>0</v>
      </c>
      <c r="AF117" s="347" t="n"/>
      <c r="AG117" s="36" t="n">
        <v>20</v>
      </c>
      <c r="AH117" s="284" t="n">
        <v>0</v>
      </c>
      <c r="AI117" s="38" t="n">
        <v>0</v>
      </c>
      <c r="AJ117" s="347" t="n"/>
      <c r="AK117" s="36" t="n">
        <v>20</v>
      </c>
      <c r="AL117" s="284" t="n">
        <v>0</v>
      </c>
      <c r="AM117" s="38" t="n">
        <v>0</v>
      </c>
      <c r="AN117" s="347" t="n"/>
      <c r="AO117" s="36" t="n">
        <v>20</v>
      </c>
      <c r="AP117" s="284" t="n">
        <v>0</v>
      </c>
      <c r="AQ117" s="38" t="n">
        <v>0</v>
      </c>
      <c r="AR117" s="347" t="n"/>
      <c r="AS117" s="36" t="n">
        <v>20</v>
      </c>
      <c r="AT117" s="284" t="n">
        <v>0</v>
      </c>
      <c r="AU117" s="38" t="n">
        <v>0</v>
      </c>
      <c r="AV117" s="347" t="n"/>
      <c r="AW117" s="36" t="n">
        <v>20</v>
      </c>
      <c r="AX117" s="284" t="n">
        <v>0</v>
      </c>
      <c r="AY117" s="54" t="n">
        <v>0</v>
      </c>
      <c r="AZ117" s="347" t="n"/>
      <c r="BA117" s="36" t="n">
        <v>20</v>
      </c>
      <c r="BB117" s="284" t="n">
        <v>0</v>
      </c>
      <c r="BC117" s="38" t="n">
        <v>0</v>
      </c>
      <c r="BD117" s="347" t="n"/>
      <c r="BE117" s="36" t="n">
        <v>20</v>
      </c>
      <c r="BF117" s="284">
        <f>$KN117*5</f>
        <v/>
      </c>
      <c r="BG117" s="54" t="n">
        <v>0</v>
      </c>
      <c r="BH117" s="347" t="n"/>
      <c r="BI117" s="338">
        <f>SUMPRODUCT(--(MOD(COLUMN($M117:$BH117),4)=MOD(COLUMN($M117),4)),$M117:$BH117)</f>
        <v/>
      </c>
      <c r="BJ117" s="339">
        <f>BI117*$I117</f>
        <v/>
      </c>
      <c r="BK117" s="340">
        <f>SUMPRODUCT(--(MOD(COLUMN($M117:$BH117),4)=MOD(COLUMN($M117)+1,4)),$M117:$BH117)</f>
        <v/>
      </c>
      <c r="BL117" s="341">
        <f>BK117*$I117</f>
        <v/>
      </c>
      <c r="BM117" s="342">
        <f>SUMPRODUCT(--(MOD(COLUMN($M117:$BH117),4)=MOD(COLUMN($M117)+2,4)),$M117:$BH117)</f>
        <v/>
      </c>
      <c r="BN117" s="343">
        <f>BM117*$I117</f>
        <v/>
      </c>
      <c r="BO117" s="36">
        <f>$KN117*0</f>
        <v/>
      </c>
      <c r="BP117" s="47">
        <f>$KN117*0</f>
        <v/>
      </c>
      <c r="BQ117" s="284">
        <f>$KN117*5</f>
        <v/>
      </c>
      <c r="BR117" s="38" t="n">
        <v>0</v>
      </c>
      <c r="BS117" s="347" t="n"/>
      <c r="BT117" s="36">
        <f>$KN117*0</f>
        <v/>
      </c>
      <c r="BU117" s="47">
        <f>$KN117*0</f>
        <v/>
      </c>
      <c r="BV117" s="284">
        <f>$KN117*0</f>
        <v/>
      </c>
      <c r="BW117" s="38" t="n">
        <v>0</v>
      </c>
      <c r="BX117" s="347" t="n"/>
      <c r="BY117" s="36">
        <f>$KN117*5</f>
        <v/>
      </c>
      <c r="BZ117" s="47">
        <f>$KN117*3</f>
        <v/>
      </c>
      <c r="CA117" s="284">
        <f>$KN117*0</f>
        <v/>
      </c>
      <c r="CB117" s="38" t="n">
        <v>0</v>
      </c>
      <c r="CC117" s="284" t="n"/>
      <c r="CD117" s="36">
        <f>$KN117*0</f>
        <v/>
      </c>
      <c r="CE117" s="47">
        <f>$KN117*0</f>
        <v/>
      </c>
      <c r="CF117" s="284">
        <f>$KN117*0</f>
        <v/>
      </c>
      <c r="CG117" s="38" t="n">
        <v>0</v>
      </c>
      <c r="CH117" s="284" t="n"/>
      <c r="CI117" s="36">
        <f>$KN117*5</f>
        <v/>
      </c>
      <c r="CJ117" s="47">
        <f>$KN117*3</f>
        <v/>
      </c>
      <c r="CK117" s="284">
        <f>$KN117*0</f>
        <v/>
      </c>
      <c r="CL117" s="38" t="n">
        <v>0</v>
      </c>
      <c r="CM117" s="284" t="n"/>
      <c r="CN117" s="36">
        <f>$KN117*5</f>
        <v/>
      </c>
      <c r="CO117" s="47">
        <f>$KN117*3</f>
        <v/>
      </c>
      <c r="CP117" s="39">
        <f>$KN117*0</f>
        <v/>
      </c>
      <c r="CQ117" s="38" t="n">
        <v>0</v>
      </c>
      <c r="CR117" s="284" t="n"/>
      <c r="CS117" s="36">
        <f>$KN117*5</f>
        <v/>
      </c>
      <c r="CT117" s="47">
        <f>$KN117*3</f>
        <v/>
      </c>
      <c r="CU117" s="39">
        <f>$KN117*0</f>
        <v/>
      </c>
      <c r="CV117" s="38" t="n">
        <v>0</v>
      </c>
      <c r="CW117" s="284" t="n"/>
      <c r="CX117" s="36">
        <f>$KN117*5</f>
        <v/>
      </c>
      <c r="CY117" s="47">
        <f>$KN117*3</f>
        <v/>
      </c>
      <c r="CZ117" s="39">
        <f>$KN117*0</f>
        <v/>
      </c>
      <c r="DA117" s="38" t="n">
        <v>0</v>
      </c>
      <c r="DB117" s="284" t="n"/>
      <c r="DC117" s="36">
        <f>$KN117*5</f>
        <v/>
      </c>
      <c r="DD117" s="47">
        <f>$KN117*3</f>
        <v/>
      </c>
      <c r="DE117" s="284">
        <f>$KN117*0</f>
        <v/>
      </c>
      <c r="DF117" s="38" t="n">
        <v>0</v>
      </c>
      <c r="DG117" s="284" t="n"/>
      <c r="DH117" s="36">
        <f>$KN117*5</f>
        <v/>
      </c>
      <c r="DI117" s="47">
        <f>$KN117*3</f>
        <v/>
      </c>
      <c r="DJ117" s="284">
        <f>$KN117*0</f>
        <v/>
      </c>
      <c r="DK117" s="38" t="n">
        <v>0</v>
      </c>
      <c r="DL117" s="284" t="n"/>
      <c r="DM117" s="36">
        <f>$KN117*5</f>
        <v/>
      </c>
      <c r="DN117" s="47">
        <f>$KN117*3</f>
        <v/>
      </c>
      <c r="DO117" s="284">
        <f>$KN117*0</f>
        <v/>
      </c>
      <c r="DP117" s="38" t="n">
        <v>0</v>
      </c>
      <c r="DQ117" s="284" t="n"/>
      <c r="DR117" s="36">
        <f>$KN117*5</f>
        <v/>
      </c>
      <c r="DS117" s="47">
        <f>$KN117*3</f>
        <v/>
      </c>
      <c r="DT117" s="284">
        <f>$KN117*0</f>
        <v/>
      </c>
      <c r="DU117" s="38" t="n">
        <v>0</v>
      </c>
      <c r="DV117" s="284" t="n"/>
      <c r="DW117" s="338">
        <f t="array" ref="DW117">SUMPRODUCT(--(MOD(COLUMN($BO117:$DV117),5)=MOD(COLUMN($BO117),5)),$BO117:$DV117)</f>
        <v/>
      </c>
      <c r="DX117" s="339">
        <f>DW117*$J117</f>
        <v/>
      </c>
      <c r="DY117" s="344">
        <f t="array" ref="DY117">SUMPRODUCT(--(MOD(COLUMN($BO117:$DV117),5)=MOD(COLUMN($BP117),5)),$BO117:$DV117)</f>
        <v/>
      </c>
      <c r="DZ117" s="345">
        <f>DY117*$J117</f>
        <v/>
      </c>
      <c r="EA117" s="340">
        <f t="array" ref="EA117">SUMPRODUCT(--(MOD(COLUMN($BO117:$DV117),5)=MOD(COLUMN($BQ117),5)),$BO117:$DV117)</f>
        <v/>
      </c>
      <c r="EB117" s="341">
        <f>EA117*$J117</f>
        <v/>
      </c>
      <c r="EC117" s="342">
        <f t="array" ref="EC117">SUMPRODUCT(--(MOD(COLUMN($BO117:$DV117),5)=MOD(COLUMN($BR117),5)),$BO117:$DV117)</f>
        <v/>
      </c>
      <c r="ED117" s="343">
        <f>EC117*$J117</f>
        <v/>
      </c>
      <c r="EE117" s="36" t="n">
        <v>0</v>
      </c>
      <c r="EF117" s="284" t="n">
        <v>0</v>
      </c>
      <c r="EG117" s="38" t="n"/>
      <c r="EH117" s="284" t="n"/>
      <c r="EI117" s="36" t="n">
        <v>0</v>
      </c>
      <c r="EJ117" s="284" t="n">
        <v>0</v>
      </c>
      <c r="EK117" s="38" t="n"/>
      <c r="EL117" s="284" t="n"/>
      <c r="EM117" s="36" t="n">
        <v>0</v>
      </c>
      <c r="EN117" s="284" t="n">
        <v>0</v>
      </c>
      <c r="EO117" s="38" t="n"/>
      <c r="EP117" s="284" t="n"/>
      <c r="EQ117" s="36">
        <f>$KN117*2</f>
        <v/>
      </c>
      <c r="ER117" s="284" t="n">
        <v>0</v>
      </c>
      <c r="ES117" s="38" t="n">
        <v>0</v>
      </c>
      <c r="ET117" s="284" t="n"/>
      <c r="EU117" s="36">
        <f>$KN117*3</f>
        <v/>
      </c>
      <c r="EV117" s="284" t="n">
        <v>0</v>
      </c>
      <c r="EW117" s="38" t="n">
        <v>0</v>
      </c>
      <c r="EX117" s="284" t="n"/>
      <c r="EY117" s="36">
        <f>$KN117*4</f>
        <v/>
      </c>
      <c r="EZ117" s="284" t="n">
        <v>0</v>
      </c>
      <c r="FA117" s="38" t="n">
        <v>0</v>
      </c>
      <c r="FB117" s="284" t="n"/>
      <c r="FC117" s="36">
        <f>$KN117*5</f>
        <v/>
      </c>
      <c r="FD117" s="284" t="n">
        <v>0</v>
      </c>
      <c r="FE117" s="38" t="n">
        <v>0</v>
      </c>
      <c r="FF117" s="284" t="n"/>
      <c r="FG117" s="36">
        <f>$KN117*5</f>
        <v/>
      </c>
      <c r="FH117" s="284" t="n">
        <v>0</v>
      </c>
      <c r="FI117" s="38" t="n">
        <v>0</v>
      </c>
      <c r="FJ117" s="284" t="n"/>
      <c r="FK117" s="36">
        <f>$KN117*5</f>
        <v/>
      </c>
      <c r="FL117" s="284" t="n">
        <v>0</v>
      </c>
      <c r="FM117" s="38" t="n">
        <v>0</v>
      </c>
      <c r="FN117" s="284" t="n"/>
      <c r="FO117" s="36">
        <f>$KN117*6</f>
        <v/>
      </c>
      <c r="FP117" s="284" t="n">
        <v>6</v>
      </c>
      <c r="FQ117" s="38" t="n">
        <v>0</v>
      </c>
      <c r="FR117" s="284" t="n"/>
      <c r="FS117" s="36">
        <f>$KN117*6</f>
        <v/>
      </c>
      <c r="FT117" s="284" t="n">
        <v>6</v>
      </c>
      <c r="FU117" s="38" t="n">
        <v>0</v>
      </c>
      <c r="FV117" s="284" t="n"/>
      <c r="FW117" s="36">
        <f>$KN117*6</f>
        <v/>
      </c>
      <c r="FX117" s="284" t="n">
        <v>6</v>
      </c>
      <c r="FY117" s="38" t="n">
        <v>0</v>
      </c>
      <c r="FZ117" s="284" t="n"/>
      <c r="GA117" s="338">
        <f t="array" ref="GA117">SUMPRODUCT(--(MOD(COLUMN($EE117:$FZ117),4)=MOD(COLUMN($EE117),4)),$EE117:$FZ117)</f>
        <v/>
      </c>
      <c r="GB117" s="339">
        <f>GA117*$J117</f>
        <v/>
      </c>
      <c r="GC117" s="340">
        <f t="array" ref="GC117">SUMPRODUCT(--(MOD(COLUMN($EE117:$FZ117),4)=MOD(COLUMN($EF117),4)),$EE117:$FZ117)</f>
        <v/>
      </c>
      <c r="GD117" s="341">
        <f>GC117*$J117</f>
        <v/>
      </c>
      <c r="GE117" s="342">
        <f t="array" ref="GE117">SUMPRODUCT(--(MOD(COLUMN($EE117:$FZ117),4)=MOD(COLUMN($EG117),4)),$EE117:$FZ117)</f>
        <v/>
      </c>
      <c r="GF117" s="343">
        <f>GE117*$J117</f>
        <v/>
      </c>
      <c r="GG117" s="36">
        <f>$KN117*5</f>
        <v/>
      </c>
      <c r="GH117" s="284" t="n"/>
      <c r="GI117" s="38" t="n">
        <v>0</v>
      </c>
      <c r="GJ117" s="284" t="n"/>
      <c r="GK117" s="36">
        <f>$KN117*5</f>
        <v/>
      </c>
      <c r="GL117" s="284" t="n"/>
      <c r="GM117" s="38" t="n">
        <v>0</v>
      </c>
      <c r="GN117" s="284" t="n"/>
      <c r="GO117" s="36">
        <f>$KN117*7</f>
        <v/>
      </c>
      <c r="GP117" s="284" t="n"/>
      <c r="GQ117" s="38" t="n">
        <v>0</v>
      </c>
      <c r="GR117" s="284" t="n"/>
      <c r="GS117" s="36">
        <f>$KN117*10</f>
        <v/>
      </c>
      <c r="GT117" s="284" t="n"/>
      <c r="GU117" s="38" t="n">
        <v>0</v>
      </c>
      <c r="GV117" s="284" t="n"/>
      <c r="GW117" s="36">
        <f>$KN117*10</f>
        <v/>
      </c>
      <c r="GX117" s="284" t="n"/>
      <c r="GY117" s="38" t="n">
        <v>0</v>
      </c>
      <c r="GZ117" s="284" t="n"/>
      <c r="HA117" s="36">
        <f>$KN117*10</f>
        <v/>
      </c>
      <c r="HB117" s="284" t="n"/>
      <c r="HC117" s="38" t="n">
        <v>0</v>
      </c>
      <c r="HD117" s="284" t="n"/>
      <c r="HE117" s="36">
        <f>$KN117*10</f>
        <v/>
      </c>
      <c r="HF117" s="284" t="n"/>
      <c r="HG117" s="38" t="n">
        <v>0</v>
      </c>
      <c r="HH117" s="284" t="n"/>
      <c r="HI117" s="36">
        <f>$KN117*10</f>
        <v/>
      </c>
      <c r="HJ117" s="284" t="n"/>
      <c r="HK117" s="38" t="n">
        <v>0</v>
      </c>
      <c r="HL117" s="284" t="n"/>
      <c r="HM117" s="36">
        <f>$KN117*10</f>
        <v/>
      </c>
      <c r="HN117" s="284" t="n"/>
      <c r="HO117" s="38" t="n">
        <v>0</v>
      </c>
      <c r="HP117" s="284" t="n"/>
      <c r="HQ117" s="36">
        <f>$KN117*10</f>
        <v/>
      </c>
      <c r="HR117" s="284" t="n"/>
      <c r="HS117" s="38" t="n">
        <v>0</v>
      </c>
      <c r="HT117" s="284" t="n"/>
      <c r="HU117" s="36">
        <f>$KN117*10</f>
        <v/>
      </c>
      <c r="HV117" s="284" t="n"/>
      <c r="HW117" s="38" t="n">
        <v>0</v>
      </c>
      <c r="HX117" s="284" t="n"/>
      <c r="HY117" s="36">
        <f>$KN117*10</f>
        <v/>
      </c>
      <c r="HZ117" s="284" t="n"/>
      <c r="IA117" s="38" t="n">
        <v>0</v>
      </c>
      <c r="IB117" s="284" t="n"/>
      <c r="IC117" s="338">
        <f t="array" ref="IC117">SUMPRODUCT(--(MOD(COLUMN($GG117:$IB117),4)=MOD(COLUMN($GG117),4)),$GG117:$IB117)</f>
        <v/>
      </c>
      <c r="ID117" s="339">
        <f>IC117*$J117</f>
        <v/>
      </c>
      <c r="IE117" s="340">
        <f t="array" ref="IE117">SUMPRODUCT(--(MOD(COLUMN($GG117:$IB117),4)=MOD(COLUMN($GH117),4)),$GG117:$IB117)</f>
        <v/>
      </c>
      <c r="IF117" s="341">
        <f>IE117*$J117</f>
        <v/>
      </c>
      <c r="IG117" s="342">
        <f t="array" ref="IG117">SUMPRODUCT(--(MOD(COLUMN($GG117:$IB117),4)=MOD(COLUMN($GI117),4)),$GG117:$IB117)</f>
        <v/>
      </c>
      <c r="IH117" s="343">
        <f>IG117*$J117</f>
        <v/>
      </c>
      <c r="II117" s="36">
        <f>$KN117*5</f>
        <v/>
      </c>
      <c r="IJ117" s="284" t="n"/>
      <c r="IK117" s="38" t="n">
        <v>0</v>
      </c>
      <c r="IL117" s="284" t="n"/>
      <c r="IM117" s="36">
        <f>$KN117*5</f>
        <v/>
      </c>
      <c r="IN117" s="284" t="n"/>
      <c r="IO117" s="38" t="n">
        <v>0</v>
      </c>
      <c r="IP117" s="284" t="n"/>
      <c r="IQ117" s="36">
        <f>$KN117*7</f>
        <v/>
      </c>
      <c r="IR117" s="284" t="n"/>
      <c r="IS117" s="38" t="n">
        <v>0</v>
      </c>
      <c r="IT117" s="284" t="n"/>
      <c r="IU117" s="36">
        <f>$KN117*10</f>
        <v/>
      </c>
      <c r="IV117" s="284" t="n"/>
      <c r="IW117" s="38" t="n">
        <v>0</v>
      </c>
      <c r="IX117" s="284" t="n"/>
      <c r="IY117" s="36">
        <f>$KN117*10</f>
        <v/>
      </c>
      <c r="IZ117" s="284" t="n"/>
      <c r="JA117" s="38" t="n">
        <v>0</v>
      </c>
      <c r="JB117" s="284" t="n"/>
      <c r="JC117" s="36">
        <f>$KN117*10</f>
        <v/>
      </c>
      <c r="JD117" s="284" t="n"/>
      <c r="JE117" s="38" t="n">
        <v>0</v>
      </c>
      <c r="JF117" s="284" t="n"/>
      <c r="JG117" s="36">
        <f>$KN117*10</f>
        <v/>
      </c>
      <c r="JH117" s="284" t="n"/>
      <c r="JI117" s="38" t="n">
        <v>0</v>
      </c>
      <c r="JJ117" s="284" t="n"/>
      <c r="JK117" s="36">
        <f>$KN117*10</f>
        <v/>
      </c>
      <c r="JL117" s="284" t="n"/>
      <c r="JM117" s="38" t="n">
        <v>0</v>
      </c>
      <c r="JN117" s="284" t="n"/>
      <c r="JO117" s="36">
        <f>$KN117*10</f>
        <v/>
      </c>
      <c r="JP117" s="284" t="n"/>
      <c r="JQ117" s="38" t="n">
        <v>0</v>
      </c>
      <c r="JR117" s="284" t="n"/>
      <c r="JS117" s="36">
        <f>$KN117*10</f>
        <v/>
      </c>
      <c r="JT117" s="284" t="n"/>
      <c r="JU117" s="38" t="n">
        <v>0</v>
      </c>
      <c r="JV117" s="284" t="n"/>
      <c r="JW117" s="36">
        <f>$KN117*10</f>
        <v/>
      </c>
      <c r="JX117" s="284" t="n"/>
      <c r="JY117" s="38" t="n">
        <v>0</v>
      </c>
      <c r="JZ117" s="284" t="n"/>
      <c r="KA117" s="36">
        <f>$KN117*10</f>
        <v/>
      </c>
      <c r="KB117" s="284" t="n"/>
      <c r="KC117" s="38" t="n">
        <v>0</v>
      </c>
      <c r="KD117" s="284" t="n"/>
      <c r="KE117" s="338">
        <f t="array" ref="KE117">SUMPRODUCT(--(MOD(COLUMN($II117:$KD117),4)=MOD(COLUMN($II117),4)),$II117:$KD117)</f>
        <v/>
      </c>
      <c r="KF117" s="339">
        <f>KE117*$J117</f>
        <v/>
      </c>
      <c r="KG117" s="340">
        <f t="array" ref="KG117">SUMPRODUCT(--(MOD(COLUMN($II117:$KD117),4)=MOD(COLUMN($IJ117),4)),$II117:$KD117)</f>
        <v/>
      </c>
      <c r="KH117" s="341">
        <f>KG117*$J117</f>
        <v/>
      </c>
      <c r="KI117" s="342">
        <f t="array" ref="KI117">SUMPRODUCT(--(MOD(COLUMN($II117:$KD117),4)=MOD(COLUMN($IK117),4)),$II117:$KD117)</f>
        <v/>
      </c>
      <c r="KJ117" s="346">
        <f>KI117*$J117</f>
        <v/>
      </c>
      <c r="KK117" s="80" t="n"/>
      <c r="KL117" s="80" t="n"/>
      <c r="KM117" s="80" t="n"/>
      <c r="KN117" s="51" t="n">
        <v>1</v>
      </c>
      <c r="KO117" s="333" t="n"/>
    </row>
    <row r="118" outlineLevel="1" ht="43.2" customFormat="1" customHeight="1" s="68">
      <c r="A118" s="347" t="n"/>
      <c r="B118" s="347" t="n"/>
      <c r="C118" s="347" t="n"/>
      <c r="D118" s="347" t="n"/>
      <c r="E118" s="15" t="n">
        <v>10</v>
      </c>
      <c r="F118" s="15" t="n">
        <v>1</v>
      </c>
      <c r="G118" s="33" t="n">
        <v>4630840310</v>
      </c>
      <c r="H118" s="34" t="inlineStr">
        <is>
          <t>Клапан управления подъемом оси (LACV)</t>
        </is>
      </c>
      <c r="I118" s="348">
        <f>657.1/1.2/0.98</f>
        <v/>
      </c>
      <c r="J118" s="337">
        <f>657.1/1.2*1.015</f>
        <v/>
      </c>
      <c r="K118" s="348" t="n"/>
      <c r="L118" s="348" t="n"/>
      <c r="M118" s="36" t="n">
        <v>0</v>
      </c>
      <c r="N118" s="284" t="n">
        <v>0</v>
      </c>
      <c r="O118" s="38" t="n">
        <v>0</v>
      </c>
      <c r="P118" s="284" t="n"/>
      <c r="Q118" s="36" t="n">
        <v>0</v>
      </c>
      <c r="R118" s="284" t="n">
        <v>0</v>
      </c>
      <c r="S118" s="38" t="n">
        <v>0</v>
      </c>
      <c r="T118" s="284" t="n"/>
      <c r="U118" s="36" t="n">
        <v>0</v>
      </c>
      <c r="V118" s="284" t="n">
        <v>0</v>
      </c>
      <c r="W118" s="38" t="n">
        <v>0</v>
      </c>
      <c r="X118" s="284" t="n"/>
      <c r="Y118" s="36" t="n">
        <v>5</v>
      </c>
      <c r="Z118" s="39" t="n">
        <v>0</v>
      </c>
      <c r="AA118" s="38" t="n">
        <v>0</v>
      </c>
      <c r="AB118" s="347" t="n"/>
      <c r="AC118" s="36" t="n">
        <v>20</v>
      </c>
      <c r="AD118" s="284" t="n">
        <v>0</v>
      </c>
      <c r="AE118" s="38" t="n">
        <v>0</v>
      </c>
      <c r="AF118" s="347" t="n"/>
      <c r="AG118" s="36" t="n">
        <v>20</v>
      </c>
      <c r="AH118" s="284" t="n">
        <v>0</v>
      </c>
      <c r="AI118" s="38" t="n">
        <v>0</v>
      </c>
      <c r="AJ118" s="347" t="n"/>
      <c r="AK118" s="36" t="n">
        <v>20</v>
      </c>
      <c r="AL118" s="284" t="n">
        <v>0</v>
      </c>
      <c r="AM118" s="38" t="n">
        <v>0</v>
      </c>
      <c r="AN118" s="347" t="n"/>
      <c r="AO118" s="36" t="n">
        <v>20</v>
      </c>
      <c r="AP118" s="284" t="n">
        <v>0</v>
      </c>
      <c r="AQ118" s="38" t="n">
        <v>0</v>
      </c>
      <c r="AR118" s="347" t="n"/>
      <c r="AS118" s="36" t="n">
        <v>20</v>
      </c>
      <c r="AT118" s="284" t="n">
        <v>0</v>
      </c>
      <c r="AU118" s="38" t="n">
        <v>0</v>
      </c>
      <c r="AV118" s="347" t="n"/>
      <c r="AW118" s="36" t="n">
        <v>20</v>
      </c>
      <c r="AX118" s="284" t="n">
        <v>0</v>
      </c>
      <c r="AY118" s="38" t="n">
        <v>0</v>
      </c>
      <c r="AZ118" s="347" t="n"/>
      <c r="BA118" s="36" t="n">
        <v>20</v>
      </c>
      <c r="BB118" s="284" t="n">
        <v>0</v>
      </c>
      <c r="BC118" s="38" t="n">
        <v>0</v>
      </c>
      <c r="BD118" s="347" t="n"/>
      <c r="BE118" s="36" t="n">
        <v>20</v>
      </c>
      <c r="BF118" s="284">
        <f>$KN118*(5*2)</f>
        <v/>
      </c>
      <c r="BG118" s="54" t="n">
        <v>0</v>
      </c>
      <c r="BH118" s="347" t="n"/>
      <c r="BI118" s="338">
        <f>SUMPRODUCT(--(MOD(COLUMN($M118:$BH118),4)=MOD(COLUMN($M118),4)),$M118:$BH118)</f>
        <v/>
      </c>
      <c r="BJ118" s="339">
        <f>BI118*$I118</f>
        <v/>
      </c>
      <c r="BK118" s="340">
        <f>SUMPRODUCT(--(MOD(COLUMN($M118:$BH118),4)=MOD(COLUMN($M118)+1,4)),$M118:$BH118)</f>
        <v/>
      </c>
      <c r="BL118" s="341">
        <f>BK118*$I118</f>
        <v/>
      </c>
      <c r="BM118" s="342">
        <f>SUMPRODUCT(--(MOD(COLUMN($M118:$BH118),4)=MOD(COLUMN($M118)+2,4)),$M118:$BH118)</f>
        <v/>
      </c>
      <c r="BN118" s="343">
        <f>BM118*$I118</f>
        <v/>
      </c>
      <c r="BO118" s="36">
        <f>$KN118*0</f>
        <v/>
      </c>
      <c r="BP118" s="47">
        <f>$KN118*0</f>
        <v/>
      </c>
      <c r="BQ118" s="284">
        <f>$KN118*(5*2)+10</f>
        <v/>
      </c>
      <c r="BR118" s="38" t="n">
        <v>0</v>
      </c>
      <c r="BS118" s="347" t="n"/>
      <c r="BT118" s="36">
        <f>$KN118*0</f>
        <v/>
      </c>
      <c r="BU118" s="47">
        <f>$KN118*0</f>
        <v/>
      </c>
      <c r="BV118" s="284">
        <f>$KN118*0</f>
        <v/>
      </c>
      <c r="BW118" s="38" t="n">
        <v>0</v>
      </c>
      <c r="BX118" s="347" t="n"/>
      <c r="BY118" s="36">
        <f>$KN118*5</f>
        <v/>
      </c>
      <c r="BZ118" s="47">
        <f>$KN118*3</f>
        <v/>
      </c>
      <c r="CA118" s="284">
        <f>$KN118*0</f>
        <v/>
      </c>
      <c r="CB118" s="38" t="n">
        <v>0</v>
      </c>
      <c r="CC118" s="284" t="n"/>
      <c r="CD118" s="36">
        <f>$KN118*0</f>
        <v/>
      </c>
      <c r="CE118" s="47">
        <f>$KN118*0</f>
        <v/>
      </c>
      <c r="CF118" s="284">
        <f>$KN118*0</f>
        <v/>
      </c>
      <c r="CG118" s="38" t="n">
        <v>0</v>
      </c>
      <c r="CH118" s="284" t="n"/>
      <c r="CI118" s="36">
        <f>$KN118*5</f>
        <v/>
      </c>
      <c r="CJ118" s="47">
        <f>$KN118*3</f>
        <v/>
      </c>
      <c r="CK118" s="284">
        <f>$KN118*0</f>
        <v/>
      </c>
      <c r="CL118" s="38" t="n">
        <v>0</v>
      </c>
      <c r="CM118" s="284" t="n"/>
      <c r="CN118" s="36">
        <f>$KN118*5</f>
        <v/>
      </c>
      <c r="CO118" s="47">
        <f>$KN118*3</f>
        <v/>
      </c>
      <c r="CP118" s="39">
        <f>$KN118*0</f>
        <v/>
      </c>
      <c r="CQ118" s="38" t="n">
        <v>0</v>
      </c>
      <c r="CR118" s="284" t="n"/>
      <c r="CS118" s="36">
        <f>$KN118*5</f>
        <v/>
      </c>
      <c r="CT118" s="47">
        <f>$KN118*3</f>
        <v/>
      </c>
      <c r="CU118" s="39">
        <f>$KN118*0</f>
        <v/>
      </c>
      <c r="CV118" s="38" t="n">
        <v>0</v>
      </c>
      <c r="CW118" s="284" t="n"/>
      <c r="CX118" s="36">
        <f>$KN118*5</f>
        <v/>
      </c>
      <c r="CY118" s="47">
        <f>$KN118*3</f>
        <v/>
      </c>
      <c r="CZ118" s="39">
        <f>$KN118*0</f>
        <v/>
      </c>
      <c r="DA118" s="38" t="n">
        <v>0</v>
      </c>
      <c r="DB118" s="284" t="n"/>
      <c r="DC118" s="36">
        <f>$KN118*5</f>
        <v/>
      </c>
      <c r="DD118" s="47">
        <f>$KN118*3</f>
        <v/>
      </c>
      <c r="DE118" s="284">
        <f>$KN118*0</f>
        <v/>
      </c>
      <c r="DF118" s="38" t="n">
        <v>0</v>
      </c>
      <c r="DG118" s="284" t="n"/>
      <c r="DH118" s="36">
        <f>$KN118*5</f>
        <v/>
      </c>
      <c r="DI118" s="47">
        <f>$KN118*3</f>
        <v/>
      </c>
      <c r="DJ118" s="284">
        <f>$KN118*0</f>
        <v/>
      </c>
      <c r="DK118" s="38" t="n">
        <v>0</v>
      </c>
      <c r="DL118" s="284" t="n"/>
      <c r="DM118" s="36">
        <f>$KN118*5</f>
        <v/>
      </c>
      <c r="DN118" s="47">
        <f>$KN118*3</f>
        <v/>
      </c>
      <c r="DO118" s="284">
        <f>$KN118*0</f>
        <v/>
      </c>
      <c r="DP118" s="38" t="n">
        <v>0</v>
      </c>
      <c r="DQ118" s="284" t="n"/>
      <c r="DR118" s="36">
        <f>$KN118*5</f>
        <v/>
      </c>
      <c r="DS118" s="47">
        <f>$KN118*3</f>
        <v/>
      </c>
      <c r="DT118" s="284">
        <f>$KN118*0</f>
        <v/>
      </c>
      <c r="DU118" s="38" t="n">
        <v>0</v>
      </c>
      <c r="DV118" s="284" t="n"/>
      <c r="DW118" s="338">
        <f t="array" ref="DW118">SUMPRODUCT(--(MOD(COLUMN($BO118:$DV118),5)=MOD(COLUMN($BO118),5)),$BO118:$DV118)</f>
        <v/>
      </c>
      <c r="DX118" s="339">
        <f>DW118*$J118</f>
        <v/>
      </c>
      <c r="DY118" s="344">
        <f t="array" ref="DY118">SUMPRODUCT(--(MOD(COLUMN($BO118:$DV118),5)=MOD(COLUMN($BP118),5)),$BO118:$DV118)</f>
        <v/>
      </c>
      <c r="DZ118" s="345">
        <f>DY118*$J118</f>
        <v/>
      </c>
      <c r="EA118" s="340">
        <f t="array" ref="EA118">SUMPRODUCT(--(MOD(COLUMN($BO118:$DV118),5)=MOD(COLUMN($BQ118),5)),$BO118:$DV118)</f>
        <v/>
      </c>
      <c r="EB118" s="341">
        <f>EA118*$J118</f>
        <v/>
      </c>
      <c r="EC118" s="342">
        <f t="array" ref="EC118">SUMPRODUCT(--(MOD(COLUMN($BO118:$DV118),5)=MOD(COLUMN($BR118),5)),$BO118:$DV118)</f>
        <v/>
      </c>
      <c r="ED118" s="343">
        <f>EC118*$J118</f>
        <v/>
      </c>
      <c r="EE118" s="36" t="n">
        <v>0</v>
      </c>
      <c r="EF118" s="284" t="n">
        <v>0</v>
      </c>
      <c r="EG118" s="38" t="n"/>
      <c r="EH118" s="284" t="n"/>
      <c r="EI118" s="36" t="n">
        <v>0</v>
      </c>
      <c r="EJ118" s="284" t="n">
        <v>0</v>
      </c>
      <c r="EK118" s="38" t="n"/>
      <c r="EL118" s="284" t="n"/>
      <c r="EM118" s="36" t="n">
        <v>0</v>
      </c>
      <c r="EN118" s="284" t="n">
        <v>0</v>
      </c>
      <c r="EO118" s="38" t="n"/>
      <c r="EP118" s="284" t="n"/>
      <c r="EQ118" s="36">
        <f>$KN118*2</f>
        <v/>
      </c>
      <c r="ER118" s="284" t="n">
        <v>0</v>
      </c>
      <c r="ES118" s="38" t="n">
        <v>0</v>
      </c>
      <c r="ET118" s="284" t="n"/>
      <c r="EU118" s="36">
        <f>$KN118*3</f>
        <v/>
      </c>
      <c r="EV118" s="284" t="n">
        <v>0</v>
      </c>
      <c r="EW118" s="38" t="n">
        <v>0</v>
      </c>
      <c r="EX118" s="284" t="n"/>
      <c r="EY118" s="36">
        <f>$KN118*4</f>
        <v/>
      </c>
      <c r="EZ118" s="284" t="n">
        <v>0</v>
      </c>
      <c r="FA118" s="38" t="n">
        <v>0</v>
      </c>
      <c r="FB118" s="284" t="n"/>
      <c r="FC118" s="36">
        <f>$KN118*5</f>
        <v/>
      </c>
      <c r="FD118" s="284" t="n">
        <v>0</v>
      </c>
      <c r="FE118" s="38" t="n">
        <v>0</v>
      </c>
      <c r="FF118" s="284" t="n"/>
      <c r="FG118" s="36">
        <f>$KN118*5</f>
        <v/>
      </c>
      <c r="FH118" s="284" t="n">
        <v>0</v>
      </c>
      <c r="FI118" s="38" t="n">
        <v>0</v>
      </c>
      <c r="FJ118" s="284" t="n"/>
      <c r="FK118" s="36">
        <f>$KN118*5</f>
        <v/>
      </c>
      <c r="FL118" s="284" t="n">
        <v>0</v>
      </c>
      <c r="FM118" s="38" t="n">
        <v>0</v>
      </c>
      <c r="FN118" s="284" t="n"/>
      <c r="FO118" s="36">
        <f>$KN118*6</f>
        <v/>
      </c>
      <c r="FP118" s="284" t="n">
        <v>6</v>
      </c>
      <c r="FQ118" s="38" t="n">
        <v>0</v>
      </c>
      <c r="FR118" s="284" t="n"/>
      <c r="FS118" s="36">
        <f>$KN118*6</f>
        <v/>
      </c>
      <c r="FT118" s="284" t="n">
        <v>6</v>
      </c>
      <c r="FU118" s="38" t="n">
        <v>0</v>
      </c>
      <c r="FV118" s="284" t="n"/>
      <c r="FW118" s="36">
        <f>$KN118*6</f>
        <v/>
      </c>
      <c r="FX118" s="284" t="n">
        <v>6</v>
      </c>
      <c r="FY118" s="38" t="n">
        <v>0</v>
      </c>
      <c r="FZ118" s="284" t="n"/>
      <c r="GA118" s="338">
        <f t="array" ref="GA118">SUMPRODUCT(--(MOD(COLUMN($EE118:$FZ118),4)=MOD(COLUMN($EE118),4)),$EE118:$FZ118)</f>
        <v/>
      </c>
      <c r="GB118" s="339">
        <f>GA118*$J118</f>
        <v/>
      </c>
      <c r="GC118" s="340">
        <f t="array" ref="GC118">SUMPRODUCT(--(MOD(COLUMN($EE118:$FZ118),4)=MOD(COLUMN($EF118),4)),$EE118:$FZ118)</f>
        <v/>
      </c>
      <c r="GD118" s="341">
        <f>GC118*$J118</f>
        <v/>
      </c>
      <c r="GE118" s="342">
        <f t="array" ref="GE118">SUMPRODUCT(--(MOD(COLUMN($EE118:$FZ118),4)=MOD(COLUMN($EG118),4)),$EE118:$FZ118)</f>
        <v/>
      </c>
      <c r="GF118" s="343">
        <f>GE118*$J118</f>
        <v/>
      </c>
      <c r="GG118" s="36">
        <f>$KN118*5</f>
        <v/>
      </c>
      <c r="GH118" s="284" t="n"/>
      <c r="GI118" s="38" t="n">
        <v>0</v>
      </c>
      <c r="GJ118" s="284" t="n"/>
      <c r="GK118" s="36">
        <f>$KN118*5</f>
        <v/>
      </c>
      <c r="GL118" s="284" t="n"/>
      <c r="GM118" s="38" t="n">
        <v>0</v>
      </c>
      <c r="GN118" s="284" t="n"/>
      <c r="GO118" s="36">
        <f>$KN118*7</f>
        <v/>
      </c>
      <c r="GP118" s="284" t="n"/>
      <c r="GQ118" s="38" t="n">
        <v>0</v>
      </c>
      <c r="GR118" s="284" t="n"/>
      <c r="GS118" s="36">
        <f>$KN118*10</f>
        <v/>
      </c>
      <c r="GT118" s="284" t="n"/>
      <c r="GU118" s="38" t="n">
        <v>0</v>
      </c>
      <c r="GV118" s="284" t="n"/>
      <c r="GW118" s="36">
        <f>$KN118*10</f>
        <v/>
      </c>
      <c r="GX118" s="284" t="n"/>
      <c r="GY118" s="38" t="n">
        <v>0</v>
      </c>
      <c r="GZ118" s="284" t="n"/>
      <c r="HA118" s="36">
        <f>$KN118*10</f>
        <v/>
      </c>
      <c r="HB118" s="284" t="n"/>
      <c r="HC118" s="38" t="n">
        <v>0</v>
      </c>
      <c r="HD118" s="284" t="n"/>
      <c r="HE118" s="36">
        <f>$KN118*10</f>
        <v/>
      </c>
      <c r="HF118" s="284" t="n"/>
      <c r="HG118" s="38" t="n">
        <v>0</v>
      </c>
      <c r="HH118" s="284" t="n"/>
      <c r="HI118" s="36">
        <f>$KN118*10</f>
        <v/>
      </c>
      <c r="HJ118" s="284" t="n"/>
      <c r="HK118" s="38" t="n">
        <v>0</v>
      </c>
      <c r="HL118" s="284" t="n"/>
      <c r="HM118" s="36">
        <f>$KN118*10</f>
        <v/>
      </c>
      <c r="HN118" s="284" t="n"/>
      <c r="HO118" s="38" t="n">
        <v>0</v>
      </c>
      <c r="HP118" s="284" t="n"/>
      <c r="HQ118" s="36">
        <f>$KN118*10</f>
        <v/>
      </c>
      <c r="HR118" s="284" t="n"/>
      <c r="HS118" s="38" t="n">
        <v>0</v>
      </c>
      <c r="HT118" s="284" t="n"/>
      <c r="HU118" s="36">
        <f>$KN118*10</f>
        <v/>
      </c>
      <c r="HV118" s="284" t="n"/>
      <c r="HW118" s="38" t="n">
        <v>0</v>
      </c>
      <c r="HX118" s="284" t="n"/>
      <c r="HY118" s="36">
        <f>$KN118*10</f>
        <v/>
      </c>
      <c r="HZ118" s="284" t="n"/>
      <c r="IA118" s="38" t="n">
        <v>0</v>
      </c>
      <c r="IB118" s="284" t="n"/>
      <c r="IC118" s="338">
        <f t="array" ref="IC118">SUMPRODUCT(--(MOD(COLUMN($GG118:$IB118),4)=MOD(COLUMN($GG118),4)),$GG118:$IB118)</f>
        <v/>
      </c>
      <c r="ID118" s="339">
        <f>IC118*$J118</f>
        <v/>
      </c>
      <c r="IE118" s="340">
        <f t="array" ref="IE118">SUMPRODUCT(--(MOD(COLUMN($GG118:$IB118),4)=MOD(COLUMN($GH118),4)),$GG118:$IB118)</f>
        <v/>
      </c>
      <c r="IF118" s="341">
        <f>IE118*$J118</f>
        <v/>
      </c>
      <c r="IG118" s="342">
        <f t="array" ref="IG118">SUMPRODUCT(--(MOD(COLUMN($GG118:$IB118),4)=MOD(COLUMN($GI118),4)),$GG118:$IB118)</f>
        <v/>
      </c>
      <c r="IH118" s="343">
        <f>IG118*$J118</f>
        <v/>
      </c>
      <c r="II118" s="36">
        <f>$KN118*5</f>
        <v/>
      </c>
      <c r="IJ118" s="284" t="n"/>
      <c r="IK118" s="38" t="n">
        <v>0</v>
      </c>
      <c r="IL118" s="284" t="n"/>
      <c r="IM118" s="36">
        <f>$KN118*5</f>
        <v/>
      </c>
      <c r="IN118" s="284" t="n"/>
      <c r="IO118" s="38" t="n">
        <v>0</v>
      </c>
      <c r="IP118" s="284" t="n"/>
      <c r="IQ118" s="36">
        <f>$KN118*7</f>
        <v/>
      </c>
      <c r="IR118" s="284" t="n"/>
      <c r="IS118" s="38" t="n">
        <v>0</v>
      </c>
      <c r="IT118" s="284" t="n"/>
      <c r="IU118" s="36">
        <f>$KN118*10</f>
        <v/>
      </c>
      <c r="IV118" s="284" t="n"/>
      <c r="IW118" s="38" t="n">
        <v>0</v>
      </c>
      <c r="IX118" s="284" t="n"/>
      <c r="IY118" s="36">
        <f>$KN118*10</f>
        <v/>
      </c>
      <c r="IZ118" s="284" t="n"/>
      <c r="JA118" s="38" t="n">
        <v>0</v>
      </c>
      <c r="JB118" s="284" t="n"/>
      <c r="JC118" s="36">
        <f>$KN118*10</f>
        <v/>
      </c>
      <c r="JD118" s="284" t="n"/>
      <c r="JE118" s="38" t="n">
        <v>0</v>
      </c>
      <c r="JF118" s="284" t="n"/>
      <c r="JG118" s="36">
        <f>$KN118*10</f>
        <v/>
      </c>
      <c r="JH118" s="284" t="n"/>
      <c r="JI118" s="38" t="n">
        <v>0</v>
      </c>
      <c r="JJ118" s="284" t="n"/>
      <c r="JK118" s="36">
        <f>$KN118*10</f>
        <v/>
      </c>
      <c r="JL118" s="284" t="n"/>
      <c r="JM118" s="38" t="n">
        <v>0</v>
      </c>
      <c r="JN118" s="284" t="n"/>
      <c r="JO118" s="36">
        <f>$KN118*10</f>
        <v/>
      </c>
      <c r="JP118" s="284" t="n"/>
      <c r="JQ118" s="38" t="n">
        <v>0</v>
      </c>
      <c r="JR118" s="284" t="n"/>
      <c r="JS118" s="36">
        <f>$KN118*10</f>
        <v/>
      </c>
      <c r="JT118" s="284" t="n"/>
      <c r="JU118" s="38" t="n">
        <v>0</v>
      </c>
      <c r="JV118" s="284" t="n"/>
      <c r="JW118" s="36">
        <f>$KN118*10</f>
        <v/>
      </c>
      <c r="JX118" s="284" t="n"/>
      <c r="JY118" s="38" t="n">
        <v>0</v>
      </c>
      <c r="JZ118" s="284" t="n"/>
      <c r="KA118" s="36">
        <f>$KN118*10</f>
        <v/>
      </c>
      <c r="KB118" s="284" t="n"/>
      <c r="KC118" s="38" t="n">
        <v>0</v>
      </c>
      <c r="KD118" s="284" t="n"/>
      <c r="KE118" s="338">
        <f t="array" ref="KE118">SUMPRODUCT(--(MOD(COLUMN($II118:$KD118),4)=MOD(COLUMN($II118),4)),$II118:$KD118)</f>
        <v/>
      </c>
      <c r="KF118" s="339">
        <f>KE118*$J118</f>
        <v/>
      </c>
      <c r="KG118" s="340">
        <f t="array" ref="KG118">SUMPRODUCT(--(MOD(COLUMN($II118:$KD118),4)=MOD(COLUMN($IJ118),4)),$II118:$KD118)</f>
        <v/>
      </c>
      <c r="KH118" s="341">
        <f>KG118*$J118</f>
        <v/>
      </c>
      <c r="KI118" s="342">
        <f t="array" ref="KI118">SUMPRODUCT(--(MOD(COLUMN($II118:$KD118),4)=MOD(COLUMN($IK118),4)),$II118:$KD118)</f>
        <v/>
      </c>
      <c r="KJ118" s="346">
        <f>KI118*$J118</f>
        <v/>
      </c>
      <c r="KK118" s="80" t="n"/>
      <c r="KL118" s="80" t="n"/>
      <c r="KM118" s="80" t="n"/>
      <c r="KN118" s="51" t="n">
        <v>1</v>
      </c>
      <c r="KO118" s="285" t="inlineStr">
        <is>
          <t>LACV</t>
        </is>
      </c>
    </row>
    <row r="119" outlineLevel="1" ht="43.2" customFormat="1" customHeight="1" s="68">
      <c r="A119" s="347" t="n"/>
      <c r="B119" s="347" t="n"/>
      <c r="C119" s="347" t="n"/>
      <c r="D119" s="347" t="n"/>
      <c r="E119" s="15" t="n">
        <v>11</v>
      </c>
      <c r="F119" s="15" t="n">
        <v>1</v>
      </c>
      <c r="G119" s="33" t="n">
        <v>4494430600</v>
      </c>
      <c r="H119" s="34" t="inlineStr">
        <is>
          <t>Кабель клапана управления подъемом оси, 6 м</t>
        </is>
      </c>
      <c r="I119" s="348">
        <f>164.2/1.2/0.98</f>
        <v/>
      </c>
      <c r="J119" s="337">
        <f>164.2/1.2*1.015</f>
        <v/>
      </c>
      <c r="K119" s="348" t="n"/>
      <c r="L119" s="348" t="n"/>
      <c r="M119" s="36" t="n">
        <v>0</v>
      </c>
      <c r="N119" s="284" t="n">
        <v>0</v>
      </c>
      <c r="O119" s="38" t="n">
        <v>0</v>
      </c>
      <c r="P119" s="284" t="n"/>
      <c r="Q119" s="36" t="n">
        <v>0</v>
      </c>
      <c r="R119" s="284" t="n">
        <v>0</v>
      </c>
      <c r="S119" s="38" t="n">
        <v>0</v>
      </c>
      <c r="T119" s="284" t="n"/>
      <c r="U119" s="36" t="n">
        <v>0</v>
      </c>
      <c r="V119" s="284" t="n">
        <v>0</v>
      </c>
      <c r="W119" s="38" t="n">
        <v>0</v>
      </c>
      <c r="X119" s="284" t="n"/>
      <c r="Y119" s="36" t="n">
        <v>5</v>
      </c>
      <c r="Z119" s="39" t="n">
        <v>0</v>
      </c>
      <c r="AA119" s="38" t="n">
        <v>0</v>
      </c>
      <c r="AB119" s="333" t="n"/>
      <c r="AC119" s="36" t="n">
        <v>20</v>
      </c>
      <c r="AD119" s="284" t="n">
        <v>0</v>
      </c>
      <c r="AE119" s="38" t="n">
        <v>0</v>
      </c>
      <c r="AF119" s="333" t="n"/>
      <c r="AG119" s="36" t="n">
        <v>20</v>
      </c>
      <c r="AH119" s="284" t="n">
        <v>0</v>
      </c>
      <c r="AI119" s="38" t="n">
        <v>0</v>
      </c>
      <c r="AJ119" s="333" t="n"/>
      <c r="AK119" s="36" t="n">
        <v>20</v>
      </c>
      <c r="AL119" s="284" t="n">
        <v>0</v>
      </c>
      <c r="AM119" s="38" t="n">
        <v>0</v>
      </c>
      <c r="AN119" s="333" t="n"/>
      <c r="AO119" s="36" t="n">
        <v>20</v>
      </c>
      <c r="AP119" s="284" t="n">
        <v>0</v>
      </c>
      <c r="AQ119" s="38" t="n">
        <v>0</v>
      </c>
      <c r="AR119" s="333" t="n"/>
      <c r="AS119" s="36" t="n">
        <v>20</v>
      </c>
      <c r="AT119" s="284" t="n">
        <v>0</v>
      </c>
      <c r="AU119" s="38" t="n">
        <v>0</v>
      </c>
      <c r="AV119" s="333" t="n"/>
      <c r="AW119" s="36" t="n">
        <v>20</v>
      </c>
      <c r="AX119" s="284" t="n">
        <v>0</v>
      </c>
      <c r="AY119" s="38" t="n">
        <v>0</v>
      </c>
      <c r="AZ119" s="333" t="n"/>
      <c r="BA119" s="36" t="n">
        <v>20</v>
      </c>
      <c r="BB119" s="284" t="n">
        <v>0</v>
      </c>
      <c r="BC119" s="38" t="n">
        <v>0</v>
      </c>
      <c r="BD119" s="333" t="n"/>
      <c r="BE119" s="36" t="n">
        <v>20</v>
      </c>
      <c r="BF119" s="284">
        <f>$KN119*(5*2)</f>
        <v/>
      </c>
      <c r="BG119" s="54" t="n">
        <v>0</v>
      </c>
      <c r="BH119" s="333" t="n"/>
      <c r="BI119" s="338">
        <f>SUMPRODUCT(--(MOD(COLUMN($M119:$BH119),4)=MOD(COLUMN($M119),4)),$M119:$BH119)</f>
        <v/>
      </c>
      <c r="BJ119" s="339">
        <f>BI119*$I119</f>
        <v/>
      </c>
      <c r="BK119" s="340">
        <f>SUMPRODUCT(--(MOD(COLUMN($M119:$BH119),4)=MOD(COLUMN($M119)+1,4)),$M119:$BH119)</f>
        <v/>
      </c>
      <c r="BL119" s="341">
        <f>BK119*$I119</f>
        <v/>
      </c>
      <c r="BM119" s="342">
        <f>SUMPRODUCT(--(MOD(COLUMN($M119:$BH119),4)=MOD(COLUMN($M119)+2,4)),$M119:$BH119)</f>
        <v/>
      </c>
      <c r="BN119" s="343">
        <f>BM119*$I119</f>
        <v/>
      </c>
      <c r="BO119" s="36">
        <f>$KN119*0</f>
        <v/>
      </c>
      <c r="BP119" s="47">
        <f>$KN119*0</f>
        <v/>
      </c>
      <c r="BQ119" s="284">
        <f>$KN119*(5*2)+10</f>
        <v/>
      </c>
      <c r="BR119" s="38" t="n">
        <v>0</v>
      </c>
      <c r="BS119" s="347" t="n"/>
      <c r="BT119" s="36">
        <f>$KN119*0</f>
        <v/>
      </c>
      <c r="BU119" s="47">
        <f>$KN119*0</f>
        <v/>
      </c>
      <c r="BV119" s="284">
        <f>$KN119*0</f>
        <v/>
      </c>
      <c r="BW119" s="38" t="n">
        <v>0</v>
      </c>
      <c r="BX119" s="347" t="n"/>
      <c r="BY119" s="36">
        <f>$KN119*5</f>
        <v/>
      </c>
      <c r="BZ119" s="47">
        <f>$KN119*3</f>
        <v/>
      </c>
      <c r="CA119" s="284">
        <f>$KN119*0</f>
        <v/>
      </c>
      <c r="CB119" s="38" t="n">
        <v>0</v>
      </c>
      <c r="CC119" s="284" t="n"/>
      <c r="CD119" s="36">
        <f>$KN119*0</f>
        <v/>
      </c>
      <c r="CE119" s="47">
        <f>$KN119*0</f>
        <v/>
      </c>
      <c r="CF119" s="284">
        <f>$KN119*0</f>
        <v/>
      </c>
      <c r="CG119" s="38" t="n">
        <v>0</v>
      </c>
      <c r="CH119" s="284" t="n"/>
      <c r="CI119" s="36">
        <f>$KN119*5</f>
        <v/>
      </c>
      <c r="CJ119" s="47">
        <f>$KN119*3</f>
        <v/>
      </c>
      <c r="CK119" s="284">
        <f>$KN119*0</f>
        <v/>
      </c>
      <c r="CL119" s="38" t="n">
        <v>0</v>
      </c>
      <c r="CM119" s="284" t="n"/>
      <c r="CN119" s="36">
        <f>$KN119*5</f>
        <v/>
      </c>
      <c r="CO119" s="47">
        <f>$KN119*3</f>
        <v/>
      </c>
      <c r="CP119" s="39">
        <f>$KN119*0</f>
        <v/>
      </c>
      <c r="CQ119" s="38" t="n">
        <v>0</v>
      </c>
      <c r="CR119" s="284" t="n"/>
      <c r="CS119" s="36">
        <f>$KN119*5</f>
        <v/>
      </c>
      <c r="CT119" s="47">
        <f>$KN119*3</f>
        <v/>
      </c>
      <c r="CU119" s="39">
        <f>$KN119*0</f>
        <v/>
      </c>
      <c r="CV119" s="38" t="n">
        <v>0</v>
      </c>
      <c r="CW119" s="284" t="n"/>
      <c r="CX119" s="36">
        <f>$KN119*5</f>
        <v/>
      </c>
      <c r="CY119" s="47">
        <f>$KN119*3</f>
        <v/>
      </c>
      <c r="CZ119" s="39">
        <f>$KN119*0</f>
        <v/>
      </c>
      <c r="DA119" s="38" t="n">
        <v>0</v>
      </c>
      <c r="DB119" s="284" t="n"/>
      <c r="DC119" s="36">
        <f>$KN119*5</f>
        <v/>
      </c>
      <c r="DD119" s="47">
        <f>$KN119*3</f>
        <v/>
      </c>
      <c r="DE119" s="284">
        <f>$KN119*0</f>
        <v/>
      </c>
      <c r="DF119" s="38" t="n">
        <v>0</v>
      </c>
      <c r="DG119" s="284" t="n"/>
      <c r="DH119" s="36">
        <f>$KN119*5</f>
        <v/>
      </c>
      <c r="DI119" s="47">
        <f>$KN119*3</f>
        <v/>
      </c>
      <c r="DJ119" s="284">
        <f>$KN119*0</f>
        <v/>
      </c>
      <c r="DK119" s="38" t="n">
        <v>0</v>
      </c>
      <c r="DL119" s="284" t="n"/>
      <c r="DM119" s="36">
        <f>$KN119*5</f>
        <v/>
      </c>
      <c r="DN119" s="47">
        <f>$KN119*3</f>
        <v/>
      </c>
      <c r="DO119" s="284">
        <f>$KN119*0</f>
        <v/>
      </c>
      <c r="DP119" s="38" t="n">
        <v>0</v>
      </c>
      <c r="DQ119" s="284" t="n"/>
      <c r="DR119" s="36">
        <f>$KN119*5</f>
        <v/>
      </c>
      <c r="DS119" s="47">
        <f>$KN119*3</f>
        <v/>
      </c>
      <c r="DT119" s="284">
        <f>$KN119*0</f>
        <v/>
      </c>
      <c r="DU119" s="38" t="n">
        <v>0</v>
      </c>
      <c r="DV119" s="284" t="n"/>
      <c r="DW119" s="338">
        <f t="array" ref="DW119">SUMPRODUCT(--(MOD(COLUMN($BO119:$DV119),5)=MOD(COLUMN($BO119),5)),$BO119:$DV119)</f>
        <v/>
      </c>
      <c r="DX119" s="339">
        <f>DW119*$J119</f>
        <v/>
      </c>
      <c r="DY119" s="344">
        <f t="array" ref="DY119">SUMPRODUCT(--(MOD(COLUMN($BO119:$DV119),5)=MOD(COLUMN($BP119),5)),$BO119:$DV119)</f>
        <v/>
      </c>
      <c r="DZ119" s="345">
        <f>DY119*$J119</f>
        <v/>
      </c>
      <c r="EA119" s="340">
        <f t="array" ref="EA119">SUMPRODUCT(--(MOD(COLUMN($BO119:$DV119),5)=MOD(COLUMN($BQ119),5)),$BO119:$DV119)</f>
        <v/>
      </c>
      <c r="EB119" s="341">
        <f>EA119*$J119</f>
        <v/>
      </c>
      <c r="EC119" s="342">
        <f t="array" ref="EC119">SUMPRODUCT(--(MOD(COLUMN($BO119:$DV119),5)=MOD(COLUMN($BR119),5)),$BO119:$DV119)</f>
        <v/>
      </c>
      <c r="ED119" s="343">
        <f>EC119*$J119</f>
        <v/>
      </c>
      <c r="EE119" s="36" t="n">
        <v>0</v>
      </c>
      <c r="EF119" s="284" t="n">
        <v>0</v>
      </c>
      <c r="EG119" s="38" t="n"/>
      <c r="EH119" s="284" t="n"/>
      <c r="EI119" s="36" t="n">
        <v>0</v>
      </c>
      <c r="EJ119" s="284" t="n">
        <v>0</v>
      </c>
      <c r="EK119" s="38" t="n"/>
      <c r="EL119" s="284" t="n"/>
      <c r="EM119" s="36" t="n">
        <v>0</v>
      </c>
      <c r="EN119" s="284" t="n">
        <v>0</v>
      </c>
      <c r="EO119" s="38" t="n"/>
      <c r="EP119" s="284" t="n"/>
      <c r="EQ119" s="36">
        <f>$KN119*2</f>
        <v/>
      </c>
      <c r="ER119" s="284" t="n">
        <v>0</v>
      </c>
      <c r="ES119" s="38" t="n">
        <v>0</v>
      </c>
      <c r="ET119" s="284" t="n"/>
      <c r="EU119" s="36">
        <f>$KN119*3</f>
        <v/>
      </c>
      <c r="EV119" s="284" t="n">
        <v>0</v>
      </c>
      <c r="EW119" s="38" t="n">
        <v>0</v>
      </c>
      <c r="EX119" s="284" t="n"/>
      <c r="EY119" s="36">
        <f>$KN119*4</f>
        <v/>
      </c>
      <c r="EZ119" s="284" t="n">
        <v>0</v>
      </c>
      <c r="FA119" s="38" t="n">
        <v>0</v>
      </c>
      <c r="FB119" s="284" t="n"/>
      <c r="FC119" s="36">
        <f>$KN119*5</f>
        <v/>
      </c>
      <c r="FD119" s="284" t="n">
        <v>0</v>
      </c>
      <c r="FE119" s="38" t="n">
        <v>0</v>
      </c>
      <c r="FF119" s="284" t="n"/>
      <c r="FG119" s="36">
        <f>$KN119*5</f>
        <v/>
      </c>
      <c r="FH119" s="284" t="n">
        <v>0</v>
      </c>
      <c r="FI119" s="38" t="n">
        <v>0</v>
      </c>
      <c r="FJ119" s="284" t="n"/>
      <c r="FK119" s="36">
        <f>$KN119*5</f>
        <v/>
      </c>
      <c r="FL119" s="284" t="n">
        <v>0</v>
      </c>
      <c r="FM119" s="38" t="n">
        <v>0</v>
      </c>
      <c r="FN119" s="284" t="n"/>
      <c r="FO119" s="36">
        <f>$KN119*6</f>
        <v/>
      </c>
      <c r="FP119" s="284" t="n">
        <v>6</v>
      </c>
      <c r="FQ119" s="38" t="n">
        <v>0</v>
      </c>
      <c r="FR119" s="284" t="n"/>
      <c r="FS119" s="36">
        <f>$KN119*6</f>
        <v/>
      </c>
      <c r="FT119" s="284" t="n">
        <v>6</v>
      </c>
      <c r="FU119" s="38" t="n">
        <v>0</v>
      </c>
      <c r="FV119" s="284" t="n"/>
      <c r="FW119" s="36">
        <f>$KN119*6</f>
        <v/>
      </c>
      <c r="FX119" s="284" t="n">
        <v>6</v>
      </c>
      <c r="FY119" s="38" t="n">
        <v>0</v>
      </c>
      <c r="FZ119" s="284" t="n"/>
      <c r="GA119" s="338">
        <f t="array" ref="GA119">SUMPRODUCT(--(MOD(COLUMN($EE119:$FZ119),4)=MOD(COLUMN($EE119),4)),$EE119:$FZ119)</f>
        <v/>
      </c>
      <c r="GB119" s="339">
        <f>GA119*$J119</f>
        <v/>
      </c>
      <c r="GC119" s="340">
        <f t="array" ref="GC119">SUMPRODUCT(--(MOD(COLUMN($EE119:$FZ119),4)=MOD(COLUMN($EF119),4)),$EE119:$FZ119)</f>
        <v/>
      </c>
      <c r="GD119" s="341">
        <f>GC119*$J119</f>
        <v/>
      </c>
      <c r="GE119" s="342">
        <f t="array" ref="GE119">SUMPRODUCT(--(MOD(COLUMN($EE119:$FZ119),4)=MOD(COLUMN($EG119),4)),$EE119:$FZ119)</f>
        <v/>
      </c>
      <c r="GF119" s="343">
        <f>GE119*$J119</f>
        <v/>
      </c>
      <c r="GG119" s="36">
        <f>$KN119*5</f>
        <v/>
      </c>
      <c r="GH119" s="284" t="n"/>
      <c r="GI119" s="38" t="n">
        <v>0</v>
      </c>
      <c r="GJ119" s="284" t="n"/>
      <c r="GK119" s="36">
        <f>$KN119*5</f>
        <v/>
      </c>
      <c r="GL119" s="284" t="n"/>
      <c r="GM119" s="38" t="n">
        <v>0</v>
      </c>
      <c r="GN119" s="284" t="n"/>
      <c r="GO119" s="36">
        <f>$KN119*7</f>
        <v/>
      </c>
      <c r="GP119" s="284" t="n"/>
      <c r="GQ119" s="38" t="n">
        <v>0</v>
      </c>
      <c r="GR119" s="284" t="n"/>
      <c r="GS119" s="36">
        <f>$KN119*10</f>
        <v/>
      </c>
      <c r="GT119" s="284" t="n"/>
      <c r="GU119" s="38" t="n">
        <v>0</v>
      </c>
      <c r="GV119" s="284" t="n"/>
      <c r="GW119" s="36">
        <f>$KN119*10</f>
        <v/>
      </c>
      <c r="GX119" s="284" t="n"/>
      <c r="GY119" s="38" t="n">
        <v>0</v>
      </c>
      <c r="GZ119" s="284" t="n"/>
      <c r="HA119" s="36">
        <f>$KN119*10</f>
        <v/>
      </c>
      <c r="HB119" s="284" t="n"/>
      <c r="HC119" s="38" t="n">
        <v>0</v>
      </c>
      <c r="HD119" s="284" t="n"/>
      <c r="HE119" s="36">
        <f>$KN119*10</f>
        <v/>
      </c>
      <c r="HF119" s="284" t="n"/>
      <c r="HG119" s="38" t="n">
        <v>0</v>
      </c>
      <c r="HH119" s="284" t="n"/>
      <c r="HI119" s="36">
        <f>$KN119*10</f>
        <v/>
      </c>
      <c r="HJ119" s="284" t="n"/>
      <c r="HK119" s="38" t="n">
        <v>0</v>
      </c>
      <c r="HL119" s="284" t="n"/>
      <c r="HM119" s="36">
        <f>$KN119*10</f>
        <v/>
      </c>
      <c r="HN119" s="284" t="n"/>
      <c r="HO119" s="38" t="n">
        <v>0</v>
      </c>
      <c r="HP119" s="284" t="n"/>
      <c r="HQ119" s="36">
        <f>$KN119*10</f>
        <v/>
      </c>
      <c r="HR119" s="284" t="n"/>
      <c r="HS119" s="38" t="n">
        <v>0</v>
      </c>
      <c r="HT119" s="284" t="n"/>
      <c r="HU119" s="36">
        <f>$KN119*10</f>
        <v/>
      </c>
      <c r="HV119" s="284" t="n"/>
      <c r="HW119" s="38" t="n">
        <v>0</v>
      </c>
      <c r="HX119" s="284" t="n"/>
      <c r="HY119" s="36">
        <f>$KN119*10</f>
        <v/>
      </c>
      <c r="HZ119" s="284" t="n"/>
      <c r="IA119" s="38" t="n">
        <v>0</v>
      </c>
      <c r="IB119" s="284" t="n"/>
      <c r="IC119" s="338">
        <f t="array" ref="IC119">SUMPRODUCT(--(MOD(COLUMN($GG119:$IB119),4)=MOD(COLUMN($GG119),4)),$GG119:$IB119)</f>
        <v/>
      </c>
      <c r="ID119" s="339">
        <f>IC119*$J119</f>
        <v/>
      </c>
      <c r="IE119" s="340">
        <f t="array" ref="IE119">SUMPRODUCT(--(MOD(COLUMN($GG119:$IB119),4)=MOD(COLUMN($GH119),4)),$GG119:$IB119)</f>
        <v/>
      </c>
      <c r="IF119" s="341">
        <f>IE119*$J119</f>
        <v/>
      </c>
      <c r="IG119" s="342">
        <f t="array" ref="IG119">SUMPRODUCT(--(MOD(COLUMN($GG119:$IB119),4)=MOD(COLUMN($GI119),4)),$GG119:$IB119)</f>
        <v/>
      </c>
      <c r="IH119" s="343">
        <f>IG119*$J119</f>
        <v/>
      </c>
      <c r="II119" s="36">
        <f>$KN119*5</f>
        <v/>
      </c>
      <c r="IJ119" s="284" t="n"/>
      <c r="IK119" s="38" t="n">
        <v>0</v>
      </c>
      <c r="IL119" s="284" t="n"/>
      <c r="IM119" s="36">
        <f>$KN119*5</f>
        <v/>
      </c>
      <c r="IN119" s="284" t="n"/>
      <c r="IO119" s="38" t="n">
        <v>0</v>
      </c>
      <c r="IP119" s="284" t="n"/>
      <c r="IQ119" s="36">
        <f>$KN119*7</f>
        <v/>
      </c>
      <c r="IR119" s="284" t="n"/>
      <c r="IS119" s="38" t="n">
        <v>0</v>
      </c>
      <c r="IT119" s="284" t="n"/>
      <c r="IU119" s="36">
        <f>$KN119*10</f>
        <v/>
      </c>
      <c r="IV119" s="284" t="n"/>
      <c r="IW119" s="38" t="n">
        <v>0</v>
      </c>
      <c r="IX119" s="284" t="n"/>
      <c r="IY119" s="36">
        <f>$KN119*10</f>
        <v/>
      </c>
      <c r="IZ119" s="284" t="n"/>
      <c r="JA119" s="38" t="n">
        <v>0</v>
      </c>
      <c r="JB119" s="284" t="n"/>
      <c r="JC119" s="36">
        <f>$KN119*10</f>
        <v/>
      </c>
      <c r="JD119" s="284" t="n"/>
      <c r="JE119" s="38" t="n">
        <v>0</v>
      </c>
      <c r="JF119" s="284" t="n"/>
      <c r="JG119" s="36">
        <f>$KN119*10</f>
        <v/>
      </c>
      <c r="JH119" s="284" t="n"/>
      <c r="JI119" s="38" t="n">
        <v>0</v>
      </c>
      <c r="JJ119" s="284" t="n"/>
      <c r="JK119" s="36">
        <f>$KN119*10</f>
        <v/>
      </c>
      <c r="JL119" s="284" t="n"/>
      <c r="JM119" s="38" t="n">
        <v>0</v>
      </c>
      <c r="JN119" s="284" t="n"/>
      <c r="JO119" s="36">
        <f>$KN119*10</f>
        <v/>
      </c>
      <c r="JP119" s="284" t="n"/>
      <c r="JQ119" s="38" t="n">
        <v>0</v>
      </c>
      <c r="JR119" s="284" t="n"/>
      <c r="JS119" s="36">
        <f>$KN119*10</f>
        <v/>
      </c>
      <c r="JT119" s="284" t="n"/>
      <c r="JU119" s="38" t="n">
        <v>0</v>
      </c>
      <c r="JV119" s="284" t="n"/>
      <c r="JW119" s="36">
        <f>$KN119*10</f>
        <v/>
      </c>
      <c r="JX119" s="284" t="n"/>
      <c r="JY119" s="38" t="n">
        <v>0</v>
      </c>
      <c r="JZ119" s="284" t="n"/>
      <c r="KA119" s="36">
        <f>$KN119*10</f>
        <v/>
      </c>
      <c r="KB119" s="284" t="n"/>
      <c r="KC119" s="38" t="n">
        <v>0</v>
      </c>
      <c r="KD119" s="284" t="n"/>
      <c r="KE119" s="338">
        <f t="array" ref="KE119">SUMPRODUCT(--(MOD(COLUMN($II119:$KD119),4)=MOD(COLUMN($II119),4)),$II119:$KD119)</f>
        <v/>
      </c>
      <c r="KF119" s="339">
        <f>KE119*$J119</f>
        <v/>
      </c>
      <c r="KG119" s="340">
        <f t="array" ref="KG119">SUMPRODUCT(--(MOD(COLUMN($II119:$KD119),4)=MOD(COLUMN($IJ119),4)),$II119:$KD119)</f>
        <v/>
      </c>
      <c r="KH119" s="341">
        <f>KG119*$J119</f>
        <v/>
      </c>
      <c r="KI119" s="342">
        <f t="array" ref="KI119">SUMPRODUCT(--(MOD(COLUMN($II119:$KD119),4)=MOD(COLUMN($IK119),4)),$II119:$KD119)</f>
        <v/>
      </c>
      <c r="KJ119" s="346">
        <f>KI119*$J119</f>
        <v/>
      </c>
      <c r="KK119" s="80" t="n"/>
      <c r="KL119" s="80" t="n"/>
      <c r="KM119" s="80" t="n"/>
      <c r="KN119" s="51" t="n">
        <v>1</v>
      </c>
      <c r="KO119" s="333" t="n"/>
    </row>
    <row r="120" outlineLevel="1" customFormat="1" s="68">
      <c r="A120" s="252" t="n"/>
      <c r="B120" s="69" t="n"/>
      <c r="C120" s="256" t="n"/>
      <c r="D120" s="256" t="n"/>
      <c r="E120" s="70" t="n"/>
      <c r="F120" s="70" t="n"/>
      <c r="G120" s="71" t="n"/>
      <c r="H120" s="72" t="inlineStr">
        <is>
          <t>Итого</t>
        </is>
      </c>
      <c r="I120" s="361" t="n"/>
      <c r="J120" s="360" t="n"/>
      <c r="K120" s="360" t="n"/>
      <c r="L120" s="360" t="n"/>
      <c r="M120" s="74" t="n"/>
      <c r="N120" s="75" t="n"/>
      <c r="O120" s="28" t="n"/>
      <c r="P120" s="75" t="n"/>
      <c r="Q120" s="74" t="n"/>
      <c r="R120" s="75" t="n"/>
      <c r="S120" s="28" t="n"/>
      <c r="T120" s="75" t="n"/>
      <c r="U120" s="74" t="n"/>
      <c r="V120" s="75" t="n"/>
      <c r="W120" s="28" t="n"/>
      <c r="X120" s="75" t="n"/>
      <c r="Y120" s="74" t="n"/>
      <c r="Z120" s="75" t="n"/>
      <c r="AA120" s="38" t="n"/>
      <c r="AB120" s="75" t="n"/>
      <c r="AC120" s="74" t="n"/>
      <c r="AD120" s="75" t="n"/>
      <c r="AE120" s="28" t="n"/>
      <c r="AF120" s="75" t="n"/>
      <c r="AG120" s="74" t="n"/>
      <c r="AH120" s="75" t="n"/>
      <c r="AI120" s="38" t="n"/>
      <c r="AJ120" s="75" t="n"/>
      <c r="AK120" s="74" t="n"/>
      <c r="AL120" s="75" t="n"/>
      <c r="AM120" s="38" t="n"/>
      <c r="AN120" s="75" t="n"/>
      <c r="AO120" s="74" t="n"/>
      <c r="AP120" s="75" t="n"/>
      <c r="AQ120" s="38" t="n"/>
      <c r="AR120" s="75" t="n"/>
      <c r="AS120" s="74" t="n"/>
      <c r="AT120" s="75" t="n"/>
      <c r="AU120" s="38" t="n"/>
      <c r="AV120" s="75" t="n"/>
      <c r="AW120" s="74" t="n"/>
      <c r="AX120" s="75" t="n"/>
      <c r="AY120" s="28" t="n"/>
      <c r="AZ120" s="75" t="n"/>
      <c r="BA120" s="74" t="n"/>
      <c r="BB120" s="97" t="n"/>
      <c r="BC120" s="77" t="n"/>
      <c r="BD120" s="75" t="n"/>
      <c r="BE120" s="74" t="n"/>
      <c r="BF120" s="76" t="n"/>
      <c r="BG120" s="78" t="n"/>
      <c r="BH120" s="75" t="n"/>
      <c r="BI120" s="338">
        <f>SUMPRODUCT(--(MOD(COLUMN($M120:$BH120),4)=MOD(COLUMN($M120),4)),$M120:$BH120)</f>
        <v/>
      </c>
      <c r="BJ120" s="339">
        <f>BI120*$I120</f>
        <v/>
      </c>
      <c r="BK120" s="340">
        <f>SUMPRODUCT(--(MOD(COLUMN($M120:$BH120),4)=MOD(COLUMN($M120)+1,4)),$M120:$BH120)</f>
        <v/>
      </c>
      <c r="BL120" s="341">
        <f>BK120*$I120</f>
        <v/>
      </c>
      <c r="BM120" s="342">
        <f>SUMPRODUCT(--(MOD(COLUMN($M120:$BH120),4)=MOD(COLUMN($M120)+2,4)),$M120:$BH120)</f>
        <v/>
      </c>
      <c r="BN120" s="343">
        <f>BM120*$I120</f>
        <v/>
      </c>
      <c r="BO120" s="74" t="n"/>
      <c r="BP120" s="79" t="n"/>
      <c r="BQ120" s="75" t="n"/>
      <c r="BR120" s="28" t="n"/>
      <c r="BS120" s="75" t="n"/>
      <c r="BT120" s="74" t="n"/>
      <c r="BU120" s="79" t="n"/>
      <c r="BV120" s="75" t="n"/>
      <c r="BW120" s="28" t="n"/>
      <c r="BX120" s="75" t="n"/>
      <c r="BY120" s="74" t="n"/>
      <c r="BZ120" s="79" t="n"/>
      <c r="CA120" s="75" t="n"/>
      <c r="CB120" s="28" t="n"/>
      <c r="CC120" s="75" t="n"/>
      <c r="CD120" s="74" t="n"/>
      <c r="CE120" s="79" t="n"/>
      <c r="CF120" s="75" t="n"/>
      <c r="CG120" s="28" t="n"/>
      <c r="CH120" s="75" t="n"/>
      <c r="CI120" s="74" t="n"/>
      <c r="CJ120" s="79" t="n"/>
      <c r="CK120" s="75" t="n"/>
      <c r="CL120" s="28" t="n"/>
      <c r="CM120" s="75" t="n"/>
      <c r="CN120" s="74" t="n"/>
      <c r="CO120" s="79" t="n"/>
      <c r="CP120" s="75" t="n"/>
      <c r="CQ120" s="28" t="n"/>
      <c r="CR120" s="75" t="n"/>
      <c r="CS120" s="74" t="n"/>
      <c r="CT120" s="79" t="n"/>
      <c r="CU120" s="75" t="n"/>
      <c r="CV120" s="28" t="n"/>
      <c r="CW120" s="75" t="n"/>
      <c r="CX120" s="74" t="n"/>
      <c r="CY120" s="79" t="n"/>
      <c r="CZ120" s="75" t="n"/>
      <c r="DA120" s="28" t="n"/>
      <c r="DB120" s="75" t="n"/>
      <c r="DC120" s="74" t="n"/>
      <c r="DD120" s="79" t="n"/>
      <c r="DE120" s="75" t="n"/>
      <c r="DF120" s="28" t="n"/>
      <c r="DG120" s="75" t="n"/>
      <c r="DH120" s="74" t="n"/>
      <c r="DI120" s="79" t="n"/>
      <c r="DJ120" s="75" t="n"/>
      <c r="DK120" s="28" t="n"/>
      <c r="DL120" s="75" t="n"/>
      <c r="DM120" s="74" t="n"/>
      <c r="DN120" s="79" t="n"/>
      <c r="DO120" s="75" t="n"/>
      <c r="DP120" s="28" t="n"/>
      <c r="DQ120" s="75" t="n"/>
      <c r="DR120" s="74" t="n"/>
      <c r="DS120" s="79" t="n"/>
      <c r="DT120" s="75" t="n"/>
      <c r="DU120" s="28" t="n"/>
      <c r="DV120" s="75" t="n"/>
      <c r="DW120" s="338" t="n"/>
      <c r="DX120" s="338" t="n"/>
      <c r="DY120" s="344" t="n"/>
      <c r="DZ120" s="344" t="n"/>
      <c r="EA120" s="340" t="n"/>
      <c r="EB120" s="341" t="n"/>
      <c r="EC120" s="342" t="n"/>
      <c r="ED120" s="343" t="n"/>
      <c r="EE120" s="74" t="n"/>
      <c r="EF120" s="75" t="n"/>
      <c r="EG120" s="28" t="n"/>
      <c r="EH120" s="75" t="n"/>
      <c r="EI120" s="74" t="n"/>
      <c r="EJ120" s="75" t="n"/>
      <c r="EK120" s="28" t="n"/>
      <c r="EL120" s="75" t="n"/>
      <c r="EM120" s="74" t="n"/>
      <c r="EN120" s="75" t="n"/>
      <c r="EO120" s="28" t="n"/>
      <c r="EP120" s="75" t="n"/>
      <c r="EQ120" s="74" t="n"/>
      <c r="ER120" s="75" t="n"/>
      <c r="ES120" s="28" t="n"/>
      <c r="ET120" s="75" t="n"/>
      <c r="EU120" s="74" t="n"/>
      <c r="EV120" s="75" t="n"/>
      <c r="EW120" s="28" t="n"/>
      <c r="EX120" s="75" t="n"/>
      <c r="EY120" s="74" t="n"/>
      <c r="EZ120" s="75" t="n"/>
      <c r="FA120" s="28" t="n"/>
      <c r="FB120" s="75" t="n"/>
      <c r="FC120" s="74" t="n"/>
      <c r="FD120" s="75" t="n"/>
      <c r="FE120" s="28" t="n"/>
      <c r="FF120" s="75" t="n"/>
      <c r="FG120" s="74" t="n"/>
      <c r="FH120" s="75" t="n"/>
      <c r="FI120" s="28" t="n"/>
      <c r="FJ120" s="75" t="n"/>
      <c r="FK120" s="74" t="n"/>
      <c r="FL120" s="75" t="n"/>
      <c r="FM120" s="28" t="n"/>
      <c r="FN120" s="75" t="n"/>
      <c r="FO120" s="74" t="n"/>
      <c r="FP120" s="75" t="n"/>
      <c r="FQ120" s="28" t="n"/>
      <c r="FR120" s="75" t="n"/>
      <c r="FS120" s="74" t="n"/>
      <c r="FT120" s="75" t="n"/>
      <c r="FU120" s="28" t="n"/>
      <c r="FV120" s="75" t="n"/>
      <c r="FW120" s="74" t="n"/>
      <c r="FX120" s="75" t="n"/>
      <c r="FY120" s="28" t="n"/>
      <c r="FZ120" s="75" t="n"/>
      <c r="GA120" s="338" t="n"/>
      <c r="GB120" s="339" t="n"/>
      <c r="GC120" s="340" t="n"/>
      <c r="GD120" s="341" t="n"/>
      <c r="GE120" s="342" t="n"/>
      <c r="GF120" s="343" t="n"/>
      <c r="GG120" s="74" t="n"/>
      <c r="GH120" s="75" t="n"/>
      <c r="GI120" s="28" t="n"/>
      <c r="GJ120" s="75" t="n"/>
      <c r="GK120" s="74" t="n"/>
      <c r="GL120" s="75" t="n"/>
      <c r="GM120" s="28" t="n"/>
      <c r="GN120" s="75" t="n"/>
      <c r="GO120" s="74" t="n"/>
      <c r="GP120" s="75" t="n"/>
      <c r="GQ120" s="28" t="n"/>
      <c r="GR120" s="75" t="n"/>
      <c r="GS120" s="74" t="n"/>
      <c r="GT120" s="75" t="n"/>
      <c r="GU120" s="28" t="n"/>
      <c r="GV120" s="75" t="n"/>
      <c r="GW120" s="74" t="n"/>
      <c r="GX120" s="75" t="n"/>
      <c r="GY120" s="28" t="n"/>
      <c r="GZ120" s="75" t="n"/>
      <c r="HA120" s="74" t="n"/>
      <c r="HB120" s="75" t="n"/>
      <c r="HC120" s="28" t="n"/>
      <c r="HD120" s="75" t="n"/>
      <c r="HE120" s="74" t="n"/>
      <c r="HF120" s="75" t="n"/>
      <c r="HG120" s="28" t="n"/>
      <c r="HH120" s="75" t="n"/>
      <c r="HI120" s="74" t="n"/>
      <c r="HJ120" s="75" t="n"/>
      <c r="HK120" s="28" t="n"/>
      <c r="HL120" s="75" t="n"/>
      <c r="HM120" s="74" t="n"/>
      <c r="HN120" s="75" t="n"/>
      <c r="HO120" s="28" t="n"/>
      <c r="HP120" s="75" t="n"/>
      <c r="HQ120" s="74" t="n"/>
      <c r="HR120" s="75" t="n"/>
      <c r="HS120" s="28" t="n"/>
      <c r="HT120" s="75" t="n"/>
      <c r="HU120" s="74" t="n"/>
      <c r="HV120" s="75" t="n"/>
      <c r="HW120" s="28" t="n"/>
      <c r="HX120" s="75" t="n"/>
      <c r="HY120" s="74" t="n"/>
      <c r="HZ120" s="75" t="n"/>
      <c r="IA120" s="28" t="n"/>
      <c r="IB120" s="75" t="n"/>
      <c r="IC120" s="338" t="n"/>
      <c r="ID120" s="339" t="n"/>
      <c r="IE120" s="340" t="n"/>
      <c r="IF120" s="341" t="n"/>
      <c r="IG120" s="342" t="n"/>
      <c r="IH120" s="343" t="n"/>
      <c r="II120" s="74" t="n"/>
      <c r="IJ120" s="75" t="n"/>
      <c r="IK120" s="28" t="n"/>
      <c r="IL120" s="75" t="n"/>
      <c r="IM120" s="74" t="n"/>
      <c r="IN120" s="75" t="n"/>
      <c r="IO120" s="28" t="n"/>
      <c r="IP120" s="75" t="n"/>
      <c r="IQ120" s="74" t="n"/>
      <c r="IR120" s="75" t="n"/>
      <c r="IS120" s="28" t="n"/>
      <c r="IT120" s="75" t="n"/>
      <c r="IU120" s="74" t="n"/>
      <c r="IV120" s="75" t="n"/>
      <c r="IW120" s="28" t="n"/>
      <c r="IX120" s="75" t="n"/>
      <c r="IY120" s="74" t="n"/>
      <c r="IZ120" s="75" t="n"/>
      <c r="JA120" s="28" t="n"/>
      <c r="JB120" s="75" t="n"/>
      <c r="JC120" s="74" t="n"/>
      <c r="JD120" s="75" t="n"/>
      <c r="JE120" s="28" t="n"/>
      <c r="JF120" s="75" t="n"/>
      <c r="JG120" s="74" t="n"/>
      <c r="JH120" s="75" t="n"/>
      <c r="JI120" s="28" t="n"/>
      <c r="JJ120" s="75" t="n"/>
      <c r="JK120" s="74" t="n"/>
      <c r="JL120" s="75" t="n"/>
      <c r="JM120" s="28" t="n"/>
      <c r="JN120" s="75" t="n"/>
      <c r="JO120" s="74" t="n"/>
      <c r="JP120" s="75" t="n"/>
      <c r="JQ120" s="28" t="n"/>
      <c r="JR120" s="75" t="n"/>
      <c r="JS120" s="74" t="n"/>
      <c r="JT120" s="75" t="n"/>
      <c r="JU120" s="28" t="n"/>
      <c r="JV120" s="75" t="n"/>
      <c r="JW120" s="74" t="n"/>
      <c r="JX120" s="75" t="n"/>
      <c r="JY120" s="28" t="n"/>
      <c r="JZ120" s="75" t="n"/>
      <c r="KA120" s="74" t="n"/>
      <c r="KB120" s="75" t="n"/>
      <c r="KC120" s="28" t="n"/>
      <c r="KD120" s="75" t="n"/>
      <c r="KE120" s="338" t="n"/>
      <c r="KF120" s="339" t="n"/>
      <c r="KG120" s="340" t="n"/>
      <c r="KH120" s="341" t="n"/>
      <c r="KI120" s="342" t="n"/>
      <c r="KJ120" s="346" t="n"/>
      <c r="KK120" s="80" t="n"/>
      <c r="KL120" s="80" t="n"/>
      <c r="KM120" s="80" t="n"/>
      <c r="KN120" s="253" t="n"/>
      <c r="KO120" s="253" t="n"/>
    </row>
    <row r="121" ht="28.8" customFormat="1" customHeight="1" s="68">
      <c r="A121" s="233" t="inlineStr">
        <is>
          <t>РИАТ
(не заведен в 1С)</t>
        </is>
      </c>
      <c r="B121" s="81" t="n"/>
      <c r="C121" s="82" t="n"/>
      <c r="D121" s="82" t="n"/>
      <c r="E121" s="83" t="n"/>
      <c r="F121" s="83" t="n"/>
      <c r="G121" s="84" t="n"/>
      <c r="H121" s="85" t="n"/>
      <c r="I121" s="362" t="n"/>
      <c r="J121" s="362" t="n"/>
      <c r="K121" s="362" t="n"/>
      <c r="L121" s="362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1" t="n"/>
      <c r="Y121" s="81" t="n"/>
      <c r="Z121" s="81" t="n"/>
      <c r="AA121" s="81" t="n"/>
      <c r="AB121" s="81" t="n"/>
      <c r="AC121" s="81" t="n"/>
      <c r="AD121" s="81" t="n"/>
      <c r="AE121" s="81" t="n"/>
      <c r="AF121" s="81" t="n"/>
      <c r="AG121" s="81" t="n"/>
      <c r="AH121" s="81" t="n"/>
      <c r="AI121" s="81" t="n"/>
      <c r="AJ121" s="81" t="n"/>
      <c r="AK121" s="81" t="n"/>
      <c r="AL121" s="81" t="n"/>
      <c r="AM121" s="81" t="n"/>
      <c r="AN121" s="81" t="n"/>
      <c r="AO121" s="81" t="n"/>
      <c r="AP121" s="81" t="n"/>
      <c r="AQ121" s="81" t="n"/>
      <c r="AR121" s="81" t="n"/>
      <c r="AS121" s="81" t="n"/>
      <c r="AT121" s="81" t="n"/>
      <c r="AU121" s="81" t="n"/>
      <c r="AV121" s="81" t="n"/>
      <c r="AW121" s="81" t="n"/>
      <c r="AX121" s="81" t="n"/>
      <c r="AY121" s="87" t="n"/>
      <c r="AZ121" s="81" t="n"/>
      <c r="BA121" s="87" t="n"/>
      <c r="BB121" s="87" t="n"/>
      <c r="BC121" s="88" t="n"/>
      <c r="BD121" s="81" t="n"/>
      <c r="BE121" s="87" t="n"/>
      <c r="BF121" s="87" t="n"/>
      <c r="BG121" s="87" t="n"/>
      <c r="BH121" s="81" t="n"/>
      <c r="BI121" s="363">
        <f>SUMPRODUCT(--(MOD(COLUMN($M121:$BH121),4)=MOD(COLUMN($M121),4)),$M121:$BH121)</f>
        <v/>
      </c>
      <c r="BJ121" s="364">
        <f>BI121*$I121</f>
        <v/>
      </c>
      <c r="BK121" s="363">
        <f>SUMPRODUCT(--(MOD(COLUMN($M121:$BH121),4)=MOD(COLUMN($M121)+1,4)),$M121:$BH121)</f>
        <v/>
      </c>
      <c r="BL121" s="364">
        <f>BK121*$I121</f>
        <v/>
      </c>
      <c r="BM121" s="363">
        <f>SUMPRODUCT(--(MOD(COLUMN($M121:$BH121),4)=MOD(COLUMN($M121)+2,4)),$M121:$BH121)</f>
        <v/>
      </c>
      <c r="BN121" s="364">
        <f>BM121*$I121</f>
        <v/>
      </c>
      <c r="BO121" s="81" t="n"/>
      <c r="BP121" s="81" t="n"/>
      <c r="BQ121" s="81" t="n"/>
      <c r="BR121" s="81" t="n"/>
      <c r="BS121" s="81" t="n"/>
      <c r="BT121" s="81" t="n"/>
      <c r="BU121" s="81" t="n"/>
      <c r="BV121" s="81" t="n"/>
      <c r="BW121" s="81" t="n"/>
      <c r="BX121" s="81" t="n"/>
      <c r="BY121" s="81" t="n"/>
      <c r="BZ121" s="81" t="n"/>
      <c r="CA121" s="81" t="n"/>
      <c r="CB121" s="81" t="n"/>
      <c r="CC121" s="81" t="n"/>
      <c r="CD121" s="81" t="n"/>
      <c r="CE121" s="81" t="n"/>
      <c r="CF121" s="81" t="n"/>
      <c r="CG121" s="81" t="n"/>
      <c r="CH121" s="81" t="n"/>
      <c r="CI121" s="81" t="n"/>
      <c r="CJ121" s="81" t="n"/>
      <c r="CK121" s="81" t="n"/>
      <c r="CL121" s="81" t="n"/>
      <c r="CM121" s="81" t="n"/>
      <c r="CN121" s="81" t="n"/>
      <c r="CO121" s="81" t="n"/>
      <c r="CP121" s="81" t="n"/>
      <c r="CQ121" s="81" t="n"/>
      <c r="CR121" s="81" t="n"/>
      <c r="CS121" s="81" t="n"/>
      <c r="CT121" s="81" t="n"/>
      <c r="CU121" s="81" t="n"/>
      <c r="CV121" s="81" t="n"/>
      <c r="CW121" s="81" t="n"/>
      <c r="CX121" s="81" t="n"/>
      <c r="CY121" s="81" t="n"/>
      <c r="CZ121" s="81" t="n"/>
      <c r="DA121" s="81" t="n"/>
      <c r="DB121" s="81" t="n"/>
      <c r="DC121" s="81" t="n"/>
      <c r="DD121" s="81" t="n"/>
      <c r="DE121" s="81" t="n"/>
      <c r="DF121" s="81" t="n"/>
      <c r="DG121" s="81" t="n"/>
      <c r="DH121" s="81" t="n"/>
      <c r="DI121" s="81" t="n"/>
      <c r="DJ121" s="81" t="n"/>
      <c r="DK121" s="81" t="n"/>
      <c r="DL121" s="81" t="n"/>
      <c r="DM121" s="81" t="n"/>
      <c r="DN121" s="81" t="n"/>
      <c r="DO121" s="81" t="n"/>
      <c r="DP121" s="81" t="n"/>
      <c r="DQ121" s="81" t="n"/>
      <c r="DR121" s="81" t="n"/>
      <c r="DS121" s="81" t="n"/>
      <c r="DT121" s="81" t="n"/>
      <c r="DU121" s="81" t="n"/>
      <c r="DV121" s="81" t="n"/>
      <c r="DW121" s="363">
        <f>SUMPRODUCT(--(MOD(COLUMN($BO121:$DV121),5)=MOD(COLUMN($BO121),5)),$BO121:$DV121)</f>
        <v/>
      </c>
      <c r="DX121" s="363">
        <f>DW121*$J121</f>
        <v/>
      </c>
      <c r="DY121" s="363">
        <f>SUMPRODUCT(--(MOD(COLUMN($BO121:$DV121),5)=MOD(COLUMN($BO121),5)+1),$BO121:$DV121)</f>
        <v/>
      </c>
      <c r="DZ121" s="363">
        <f>DY121*$J121</f>
        <v/>
      </c>
      <c r="EA121" s="363">
        <f>SUMPRODUCT(--(MOD(COLUMN($BO121:$DV121),5)=MOD(COLUMN($BO121),5)+2),$BO121:$DV121)</f>
        <v/>
      </c>
      <c r="EB121" s="364">
        <f>EA121*$J121</f>
        <v/>
      </c>
      <c r="EC121" s="363">
        <f>SUMPRODUCT(--(MOD(COLUMN($BO121:$DV121),5)=MOD(COLUMN($BO121),5)+3),$BO121:$DV121)</f>
        <v/>
      </c>
      <c r="ED121" s="364">
        <f>EC121*$J121</f>
        <v/>
      </c>
      <c r="EE121" s="81" t="n"/>
      <c r="EF121" s="81" t="n"/>
      <c r="EG121" s="81" t="n"/>
      <c r="EH121" s="81" t="n"/>
      <c r="EI121" s="81" t="n"/>
      <c r="EJ121" s="81" t="n"/>
      <c r="EK121" s="81" t="n"/>
      <c r="EL121" s="81" t="n"/>
      <c r="EM121" s="81" t="n"/>
      <c r="EN121" s="81" t="n"/>
      <c r="EO121" s="81" t="n"/>
      <c r="EP121" s="81" t="n"/>
      <c r="EQ121" s="81" t="n"/>
      <c r="ER121" s="81" t="n"/>
      <c r="ES121" s="81" t="n"/>
      <c r="ET121" s="81" t="n"/>
      <c r="EU121" s="81" t="n"/>
      <c r="EV121" s="81" t="n"/>
      <c r="EW121" s="81" t="n"/>
      <c r="EX121" s="81" t="n"/>
      <c r="EY121" s="81" t="n"/>
      <c r="EZ121" s="81" t="n"/>
      <c r="FA121" s="81" t="n"/>
      <c r="FB121" s="81" t="n"/>
      <c r="FC121" s="81" t="n"/>
      <c r="FD121" s="81" t="n"/>
      <c r="FE121" s="81" t="n"/>
      <c r="FF121" s="81" t="n"/>
      <c r="FG121" s="81" t="n"/>
      <c r="FH121" s="81" t="n"/>
      <c r="FI121" s="81" t="n"/>
      <c r="FJ121" s="81" t="n"/>
      <c r="FK121" s="81" t="n"/>
      <c r="FL121" s="81" t="n"/>
      <c r="FM121" s="81" t="n"/>
      <c r="FN121" s="81" t="n"/>
      <c r="FO121" s="81" t="n"/>
      <c r="FP121" s="81" t="n"/>
      <c r="FQ121" s="81" t="n"/>
      <c r="FR121" s="81" t="n"/>
      <c r="FS121" s="81" t="n"/>
      <c r="FT121" s="81" t="n"/>
      <c r="FU121" s="81" t="n"/>
      <c r="FV121" s="81" t="n"/>
      <c r="FW121" s="81" t="n"/>
      <c r="FX121" s="81" t="n"/>
      <c r="FY121" s="81" t="n"/>
      <c r="FZ121" s="81" t="n"/>
      <c r="GA121" s="363" t="n"/>
      <c r="GB121" s="364" t="n"/>
      <c r="GC121" s="365" t="n"/>
      <c r="GD121" s="366" t="n"/>
      <c r="GE121" s="363" t="n"/>
      <c r="GF121" s="364" t="n"/>
      <c r="GG121" s="81" t="n"/>
      <c r="GH121" s="81" t="n"/>
      <c r="GI121" s="81" t="n"/>
      <c r="GJ121" s="81" t="n"/>
      <c r="GK121" s="81" t="n"/>
      <c r="GL121" s="81" t="n"/>
      <c r="GM121" s="81" t="n"/>
      <c r="GN121" s="81" t="n"/>
      <c r="GO121" s="81" t="n"/>
      <c r="GP121" s="81" t="n"/>
      <c r="GQ121" s="81" t="n"/>
      <c r="GR121" s="81" t="n"/>
      <c r="GS121" s="81" t="n"/>
      <c r="GT121" s="81" t="n"/>
      <c r="GU121" s="81" t="n"/>
      <c r="GV121" s="81" t="n"/>
      <c r="GW121" s="81" t="n"/>
      <c r="GX121" s="81" t="n"/>
      <c r="GY121" s="81" t="n"/>
      <c r="GZ121" s="81" t="n"/>
      <c r="HA121" s="81" t="n"/>
      <c r="HB121" s="81" t="n"/>
      <c r="HC121" s="81" t="n"/>
      <c r="HD121" s="81" t="n"/>
      <c r="HE121" s="81" t="n"/>
      <c r="HF121" s="81" t="n"/>
      <c r="HG121" s="81" t="n"/>
      <c r="HH121" s="81" t="n"/>
      <c r="HI121" s="81" t="n"/>
      <c r="HJ121" s="81" t="n"/>
      <c r="HK121" s="81" t="n"/>
      <c r="HL121" s="81" t="n"/>
      <c r="HM121" s="81" t="n"/>
      <c r="HN121" s="81" t="n"/>
      <c r="HO121" s="81" t="n"/>
      <c r="HP121" s="81" t="n"/>
      <c r="HQ121" s="81" t="n"/>
      <c r="HR121" s="81" t="n"/>
      <c r="HS121" s="81" t="n"/>
      <c r="HT121" s="81" t="n"/>
      <c r="HU121" s="81" t="n"/>
      <c r="HV121" s="81" t="n"/>
      <c r="HW121" s="81" t="n"/>
      <c r="HX121" s="81" t="n"/>
      <c r="HY121" s="81" t="n"/>
      <c r="HZ121" s="81" t="n"/>
      <c r="IA121" s="81" t="n"/>
      <c r="IB121" s="81" t="n"/>
      <c r="IC121" s="363" t="n"/>
      <c r="ID121" s="364" t="n"/>
      <c r="IE121" s="365" t="n"/>
      <c r="IF121" s="366" t="n"/>
      <c r="IG121" s="363" t="n"/>
      <c r="IH121" s="364" t="n"/>
      <c r="II121" s="81" t="n"/>
      <c r="IJ121" s="81" t="n"/>
      <c r="IK121" s="81" t="n"/>
      <c r="IL121" s="81" t="n"/>
      <c r="IM121" s="81" t="n"/>
      <c r="IN121" s="81" t="n"/>
      <c r="IO121" s="81" t="n"/>
      <c r="IP121" s="81" t="n"/>
      <c r="IQ121" s="81" t="n"/>
      <c r="IR121" s="81" t="n"/>
      <c r="IS121" s="81" t="n"/>
      <c r="IT121" s="81" t="n"/>
      <c r="IU121" s="81" t="n"/>
      <c r="IV121" s="81" t="n"/>
      <c r="IW121" s="81" t="n"/>
      <c r="IX121" s="81" t="n"/>
      <c r="IY121" s="81" t="n"/>
      <c r="IZ121" s="81" t="n"/>
      <c r="JA121" s="81" t="n"/>
      <c r="JB121" s="81" t="n"/>
      <c r="JC121" s="81" t="n"/>
      <c r="JD121" s="81" t="n"/>
      <c r="JE121" s="81" t="n"/>
      <c r="JF121" s="81" t="n"/>
      <c r="JG121" s="81" t="n"/>
      <c r="JH121" s="81" t="n"/>
      <c r="JI121" s="81" t="n"/>
      <c r="JJ121" s="81" t="n"/>
      <c r="JK121" s="81" t="n"/>
      <c r="JL121" s="81" t="n"/>
      <c r="JM121" s="81" t="n"/>
      <c r="JN121" s="81" t="n"/>
      <c r="JO121" s="81" t="n"/>
      <c r="JP121" s="81" t="n"/>
      <c r="JQ121" s="81" t="n"/>
      <c r="JR121" s="81" t="n"/>
      <c r="JS121" s="81" t="n"/>
      <c r="JT121" s="81" t="n"/>
      <c r="JU121" s="81" t="n"/>
      <c r="JV121" s="81" t="n"/>
      <c r="JW121" s="81" t="n"/>
      <c r="JX121" s="81" t="n"/>
      <c r="JY121" s="81" t="n"/>
      <c r="JZ121" s="81" t="n"/>
      <c r="KA121" s="81" t="n"/>
      <c r="KB121" s="81" t="n"/>
      <c r="KC121" s="81" t="n"/>
      <c r="KD121" s="81" t="n"/>
      <c r="KE121" s="363" t="n"/>
      <c r="KF121" s="364" t="n"/>
      <c r="KG121" s="365" t="n"/>
      <c r="KH121" s="366" t="n"/>
      <c r="KI121" s="363" t="n"/>
      <c r="KJ121" s="367" t="n"/>
      <c r="KK121" s="80" t="n"/>
      <c r="KL121" s="80" t="n"/>
      <c r="KM121" s="80" t="n"/>
      <c r="KN121" s="253" t="n"/>
      <c r="KO121" s="253" t="n"/>
    </row>
    <row r="122" outlineLevel="1" ht="30" customFormat="1" customHeight="1" s="68">
      <c r="A122" s="274" t="inlineStr">
        <is>
          <t>АВТОМАСТЕР ООО</t>
        </is>
      </c>
      <c r="B122" s="277" t="inlineStr">
        <is>
          <t>Предоплата 100%</t>
        </is>
      </c>
      <c r="C122" s="297" t="inlineStr">
        <is>
          <t>ВБК РУС</t>
        </is>
      </c>
      <c r="D122" s="281" t="inlineStr">
        <is>
          <t>Мустафин Ринат</t>
        </is>
      </c>
      <c r="E122" s="15" t="n">
        <v>1</v>
      </c>
      <c r="F122" s="15" t="n">
        <v>1</v>
      </c>
      <c r="G122" s="33" t="n">
        <v>9522010010</v>
      </c>
      <c r="H122" s="34" t="inlineStr">
        <is>
          <t>Головка соединительная (управляющая)</t>
        </is>
      </c>
      <c r="I122" s="337">
        <f>89.6/1.2/0.98</f>
        <v/>
      </c>
      <c r="J122" s="337">
        <f>89.6/1.2*1.0863</f>
        <v/>
      </c>
      <c r="K122" s="348" t="n"/>
      <c r="L122" s="348" t="n"/>
      <c r="M122" s="36" t="n">
        <v>0</v>
      </c>
      <c r="N122" s="284" t="n">
        <v>0</v>
      </c>
      <c r="O122" s="38" t="n">
        <v>0</v>
      </c>
      <c r="P122" s="284" t="n"/>
      <c r="Q122" s="36" t="n">
        <v>0</v>
      </c>
      <c r="R122" s="284" t="n">
        <v>0</v>
      </c>
      <c r="S122" s="38" t="n">
        <v>0</v>
      </c>
      <c r="T122" s="284" t="n"/>
      <c r="U122" s="36" t="n">
        <v>0</v>
      </c>
      <c r="V122" s="284" t="n">
        <v>0</v>
      </c>
      <c r="W122" s="38" t="n">
        <v>0</v>
      </c>
      <c r="X122" s="284" t="n"/>
      <c r="Y122" s="36" t="n">
        <v>0</v>
      </c>
      <c r="Z122" s="284" t="n">
        <v>0</v>
      </c>
      <c r="AA122" s="38" t="n">
        <v>0</v>
      </c>
      <c r="AB122" s="284" t="n"/>
      <c r="AC122" s="36" t="n">
        <v>0</v>
      </c>
      <c r="AD122" s="284" t="n">
        <v>0</v>
      </c>
      <c r="AE122" s="38" t="n">
        <v>0</v>
      </c>
      <c r="AF122" s="284" t="n"/>
      <c r="AG122" s="36" t="n">
        <v>0</v>
      </c>
      <c r="AH122" s="284" t="n">
        <v>0</v>
      </c>
      <c r="AI122" s="38" t="n">
        <v>0</v>
      </c>
      <c r="AJ122" s="284" t="n"/>
      <c r="AK122" s="36" t="n">
        <v>0</v>
      </c>
      <c r="AL122" s="284" t="n">
        <v>0</v>
      </c>
      <c r="AM122" s="38" t="n">
        <v>0</v>
      </c>
      <c r="AN122" s="284" t="n"/>
      <c r="AO122" s="36" t="n">
        <v>0</v>
      </c>
      <c r="AP122" s="284" t="n">
        <v>0</v>
      </c>
      <c r="AQ122" s="38" t="n">
        <v>0</v>
      </c>
      <c r="AR122" s="284" t="n"/>
      <c r="AS122" s="36" t="n">
        <v>0</v>
      </c>
      <c r="AT122" s="284" t="n">
        <v>0</v>
      </c>
      <c r="AU122" s="38" t="n">
        <v>0</v>
      </c>
      <c r="AV122" s="284" t="n"/>
      <c r="AW122" s="36" t="n">
        <v>0</v>
      </c>
      <c r="AX122" s="284" t="n">
        <v>0</v>
      </c>
      <c r="AY122" s="38" t="n">
        <v>0</v>
      </c>
      <c r="AZ122" s="284" t="n"/>
      <c r="BA122" s="36" t="n">
        <v>0</v>
      </c>
      <c r="BB122" s="284" t="n">
        <v>0</v>
      </c>
      <c r="BC122" s="92" t="n">
        <v>0</v>
      </c>
      <c r="BD122" s="284" t="n"/>
      <c r="BE122" s="36" t="n">
        <v>0</v>
      </c>
      <c r="BF122" s="284">
        <f>$KN122*0</f>
        <v/>
      </c>
      <c r="BG122" s="54" t="n">
        <v>0</v>
      </c>
      <c r="BH122" s="284" t="n"/>
      <c r="BI122" s="338">
        <f>SUMPRODUCT(--(MOD(COLUMN($M122:$BH122),4)=MOD(COLUMN($M122),4)),$M122:$BH122)</f>
        <v/>
      </c>
      <c r="BJ122" s="339">
        <f>BI122*$I122</f>
        <v/>
      </c>
      <c r="BK122" s="340">
        <f>SUMPRODUCT(--(MOD(COLUMN($M122:$BH122),4)=MOD(COLUMN($M122)+1,4)),$M122:$BH122)</f>
        <v/>
      </c>
      <c r="BL122" s="341">
        <f>BK122*$I122</f>
        <v/>
      </c>
      <c r="BM122" s="342">
        <f>SUMPRODUCT(--(MOD(COLUMN($M122:$BH122),4)=MOD(COLUMN($M122)+2,4)),$M122:$BH122)</f>
        <v/>
      </c>
      <c r="BN122" s="343">
        <f>BM122*$I122</f>
        <v/>
      </c>
      <c r="BO122" s="36" t="n"/>
      <c r="BP122" s="47" t="n"/>
      <c r="BQ122" s="39" t="n"/>
      <c r="BR122" s="38" t="n">
        <v>2</v>
      </c>
      <c r="BS122" s="284" t="n"/>
      <c r="BT122" s="36" t="n"/>
      <c r="BU122" s="47" t="n"/>
      <c r="BV122" s="284">
        <f>$KN122*0</f>
        <v/>
      </c>
      <c r="BW122" s="38" t="n">
        <v>0</v>
      </c>
      <c r="BX122" s="245" t="inlineStr">
        <is>
          <t>Закуплено в январе</t>
        </is>
      </c>
      <c r="BY122" s="36">
        <f>$KN122*1</f>
        <v/>
      </c>
      <c r="BZ122" s="47">
        <f>$KN122*0</f>
        <v/>
      </c>
      <c r="CA122" s="284" t="n">
        <v>0</v>
      </c>
      <c r="CB122" s="38" t="n">
        <v>0</v>
      </c>
      <c r="CC122" s="284" t="n"/>
      <c r="CD122" s="36">
        <f>$KN122*0</f>
        <v/>
      </c>
      <c r="CE122" s="47">
        <f>$KN122*0</f>
        <v/>
      </c>
      <c r="CF122" s="284" t="n">
        <v>0</v>
      </c>
      <c r="CG122" s="38" t="n">
        <v>0</v>
      </c>
      <c r="CH122" s="284" t="n"/>
      <c r="CI122" s="36">
        <f>$KN122*5</f>
        <v/>
      </c>
      <c r="CJ122" s="47">
        <f>$KN122*3</f>
        <v/>
      </c>
      <c r="CK122" s="284">
        <f>$KN122*0</f>
        <v/>
      </c>
      <c r="CL122" s="38" t="n">
        <v>0</v>
      </c>
      <c r="CM122" s="284" t="inlineStr">
        <is>
          <t>По результатам испытаний опытных образцов, сроки март/апрель</t>
        </is>
      </c>
      <c r="CN122" s="36">
        <f>$KN122*5</f>
        <v/>
      </c>
      <c r="CO122" s="47">
        <f>$KN122*3</f>
        <v/>
      </c>
      <c r="CP122" s="284">
        <f>$KN122*0</f>
        <v/>
      </c>
      <c r="CQ122" s="38" t="n">
        <v>0</v>
      </c>
      <c r="CR122" s="284" t="inlineStr">
        <is>
          <t>Опытные образцы для испытаний еще не изготовили</t>
        </is>
      </c>
      <c r="CS122" s="36">
        <f>$KN122*5</f>
        <v/>
      </c>
      <c r="CT122" s="47">
        <f>$KN122*3</f>
        <v/>
      </c>
      <c r="CU122" s="284">
        <f>$KN122*0</f>
        <v/>
      </c>
      <c r="CV122" s="38" t="n">
        <v>0</v>
      </c>
      <c r="CW122" s="284" t="inlineStr">
        <is>
          <t>Опытные образцы для испытаний еще не изготовили</t>
        </is>
      </c>
      <c r="CX122" s="36">
        <f>$KN122*5</f>
        <v/>
      </c>
      <c r="CY122" s="47">
        <f>$KN122*3</f>
        <v/>
      </c>
      <c r="CZ122" s="284">
        <f>$KN122*0</f>
        <v/>
      </c>
      <c r="DA122" s="38" t="n">
        <v>0</v>
      </c>
      <c r="DB122" s="284" t="n"/>
      <c r="DC122" s="36">
        <f>$KN122*5</f>
        <v/>
      </c>
      <c r="DD122" s="47">
        <f>$KN122*3</f>
        <v/>
      </c>
      <c r="DE122" s="284">
        <f>$KN122*0</f>
        <v/>
      </c>
      <c r="DF122" s="38" t="n">
        <v>0</v>
      </c>
      <c r="DG122" s="284" t="n"/>
      <c r="DH122" s="36">
        <f>$KN122*5</f>
        <v/>
      </c>
      <c r="DI122" s="47">
        <f>$KN122*3</f>
        <v/>
      </c>
      <c r="DJ122" s="284">
        <f>$KN122*0</f>
        <v/>
      </c>
      <c r="DK122" s="38" t="n">
        <v>0</v>
      </c>
      <c r="DL122" s="284" t="n"/>
      <c r="DM122" s="36">
        <f>$KN122*5</f>
        <v/>
      </c>
      <c r="DN122" s="47">
        <f>$KN122*3</f>
        <v/>
      </c>
      <c r="DO122" s="284">
        <f>$KN122*0</f>
        <v/>
      </c>
      <c r="DP122" s="38" t="n">
        <v>0</v>
      </c>
      <c r="DQ122" s="284" t="n"/>
      <c r="DR122" s="36">
        <f>$KN122*5</f>
        <v/>
      </c>
      <c r="DS122" s="47">
        <f>$KN122*3</f>
        <v/>
      </c>
      <c r="DT122" s="284">
        <f>$KN122*0</f>
        <v/>
      </c>
      <c r="DU122" s="38" t="n">
        <v>0</v>
      </c>
      <c r="DV122" s="284" t="n"/>
      <c r="DW122" s="338">
        <f t="array" ref="DW122">SUMPRODUCT(--(MOD(COLUMN($BO122:$DV122),5)=MOD(COLUMN($BO122),5)),$BO122:$DV122)</f>
        <v/>
      </c>
      <c r="DX122" s="339">
        <f>DW122*$J122</f>
        <v/>
      </c>
      <c r="DY122" s="344">
        <f t="array" ref="DY122">SUMPRODUCT(--(MOD(COLUMN($BO122:$DV122),5)=MOD(COLUMN($BP122),5)),$BO122:$DV122)</f>
        <v/>
      </c>
      <c r="DZ122" s="345">
        <f>DY122*$J122</f>
        <v/>
      </c>
      <c r="EA122" s="340">
        <f t="array" ref="EA122">SUMPRODUCT(--(MOD(COLUMN($BO122:$DV122),5)=MOD(COLUMN($BQ122),5)),$BO122:$DV122)</f>
        <v/>
      </c>
      <c r="EB122" s="341">
        <f>EA122*$J122</f>
        <v/>
      </c>
      <c r="EC122" s="342">
        <f t="array" ref="EC122">SUMPRODUCT(--(MOD(COLUMN($BO122:$DV122),5)=MOD(COLUMN($BR122),5)),$BO122:$DV122)</f>
        <v/>
      </c>
      <c r="ED122" s="343">
        <f>EC122*$J122</f>
        <v/>
      </c>
      <c r="EE122" s="36">
        <f>$KN122*0</f>
        <v/>
      </c>
      <c r="EF122" s="284" t="n">
        <v>0</v>
      </c>
      <c r="EG122" s="38" t="n">
        <v>0</v>
      </c>
      <c r="EH122" s="284" t="n"/>
      <c r="EI122" s="36">
        <f>$KN122*0</f>
        <v/>
      </c>
      <c r="EJ122" s="284" t="n">
        <v>0</v>
      </c>
      <c r="EK122" s="38" t="n"/>
      <c r="EL122" s="284" t="n"/>
      <c r="EM122" s="36">
        <f>$KN122*1</f>
        <v/>
      </c>
      <c r="EN122" s="284" t="n">
        <v>0</v>
      </c>
      <c r="EO122" s="38" t="n">
        <v>0</v>
      </c>
      <c r="EP122" s="284" t="n"/>
      <c r="EQ122" s="36">
        <f>$KN122*2</f>
        <v/>
      </c>
      <c r="ER122" s="284" t="n">
        <v>0</v>
      </c>
      <c r="ES122" s="38" t="n">
        <v>0</v>
      </c>
      <c r="ET122" s="284" t="n"/>
      <c r="EU122" s="36">
        <f>$KN122*3</f>
        <v/>
      </c>
      <c r="EV122" s="39" t="n">
        <v>0</v>
      </c>
      <c r="EW122" s="38" t="n">
        <v>0</v>
      </c>
      <c r="EX122" s="284" t="n"/>
      <c r="EY122" s="36">
        <f>$KN122*3</f>
        <v/>
      </c>
      <c r="EZ122" s="284" t="n">
        <v>3</v>
      </c>
      <c r="FA122" s="38" t="n">
        <v>0</v>
      </c>
      <c r="FB122" s="284" t="n"/>
      <c r="FC122" s="36">
        <f>$KN122*5</f>
        <v/>
      </c>
      <c r="FD122" s="284" t="n">
        <v>5</v>
      </c>
      <c r="FE122" s="38" t="n">
        <v>0</v>
      </c>
      <c r="FF122" s="284" t="n"/>
      <c r="FG122" s="36">
        <f>$KN122*5</f>
        <v/>
      </c>
      <c r="FH122" s="284" t="n">
        <v>5</v>
      </c>
      <c r="FI122" s="38" t="n">
        <v>0</v>
      </c>
      <c r="FJ122" s="284" t="n"/>
      <c r="FK122" s="36">
        <f>$KN122*5</f>
        <v/>
      </c>
      <c r="FL122" s="284" t="n">
        <v>5</v>
      </c>
      <c r="FM122" s="38" t="n">
        <v>0</v>
      </c>
      <c r="FN122" s="284" t="n"/>
      <c r="FO122" s="36">
        <f>$KN122*6</f>
        <v/>
      </c>
      <c r="FP122" s="284" t="n">
        <v>6</v>
      </c>
      <c r="FQ122" s="38" t="n">
        <v>0</v>
      </c>
      <c r="FR122" s="284" t="n"/>
      <c r="FS122" s="36">
        <f>$KN122*6</f>
        <v/>
      </c>
      <c r="FT122" s="284" t="n">
        <v>6</v>
      </c>
      <c r="FU122" s="38" t="n">
        <v>0</v>
      </c>
      <c r="FV122" s="284" t="n"/>
      <c r="FW122" s="36">
        <f>$KN122*6</f>
        <v/>
      </c>
      <c r="FX122" s="284" t="n">
        <v>6</v>
      </c>
      <c r="FY122" s="38" t="n">
        <v>0</v>
      </c>
      <c r="FZ122" s="284" t="n"/>
      <c r="GA122" s="338">
        <f t="array" ref="GA122">SUMPRODUCT(--(MOD(COLUMN($EE122:$FZ122),4)=MOD(COLUMN($EE122),4)),$EE122:$FZ122)</f>
        <v/>
      </c>
      <c r="GB122" s="339">
        <f>GA122*$J122</f>
        <v/>
      </c>
      <c r="GC122" s="340">
        <f t="array" ref="GC122">SUMPRODUCT(--(MOD(COLUMN($EE122:$FZ122),4)=MOD(COLUMN($EF122),4)),$EE122:$FZ122)</f>
        <v/>
      </c>
      <c r="GD122" s="341">
        <f>GC122*$J122</f>
        <v/>
      </c>
      <c r="GE122" s="342">
        <f t="array" ref="GE122">SUMPRODUCT(--(MOD(COLUMN($EE122:$FZ122),4)=MOD(COLUMN($EG122),4)),$EE122:$FZ122)</f>
        <v/>
      </c>
      <c r="GF122" s="343">
        <f>GE122*$J122</f>
        <v/>
      </c>
      <c r="GG122" s="36">
        <f>$KN122*5</f>
        <v/>
      </c>
      <c r="GH122" s="284" t="n"/>
      <c r="GI122" s="38" t="n">
        <v>0</v>
      </c>
      <c r="GJ122" s="284" t="n"/>
      <c r="GK122" s="36">
        <f>$KN122*5</f>
        <v/>
      </c>
      <c r="GL122" s="284" t="n"/>
      <c r="GM122" s="38" t="n">
        <v>0</v>
      </c>
      <c r="GN122" s="284" t="n"/>
      <c r="GO122" s="36">
        <f>$KN122*7</f>
        <v/>
      </c>
      <c r="GP122" s="284" t="n"/>
      <c r="GQ122" s="38" t="n">
        <v>0</v>
      </c>
      <c r="GR122" s="284" t="n"/>
      <c r="GS122" s="36">
        <f>$KN122*10</f>
        <v/>
      </c>
      <c r="GT122" s="284" t="n"/>
      <c r="GU122" s="38" t="n">
        <v>0</v>
      </c>
      <c r="GV122" s="284" t="n"/>
      <c r="GW122" s="36">
        <f>$KN122*10</f>
        <v/>
      </c>
      <c r="GX122" s="284" t="n"/>
      <c r="GY122" s="38" t="n">
        <v>0</v>
      </c>
      <c r="GZ122" s="284" t="n"/>
      <c r="HA122" s="36">
        <f>$KN122*10</f>
        <v/>
      </c>
      <c r="HB122" s="284" t="n"/>
      <c r="HC122" s="38" t="n">
        <v>0</v>
      </c>
      <c r="HD122" s="284" t="n"/>
      <c r="HE122" s="36">
        <f>$KN122*10</f>
        <v/>
      </c>
      <c r="HF122" s="284" t="n"/>
      <c r="HG122" s="38" t="n">
        <v>0</v>
      </c>
      <c r="HH122" s="284" t="n"/>
      <c r="HI122" s="36">
        <f>$KN122*10</f>
        <v/>
      </c>
      <c r="HJ122" s="284" t="n"/>
      <c r="HK122" s="38" t="n">
        <v>0</v>
      </c>
      <c r="HL122" s="284" t="n"/>
      <c r="HM122" s="36">
        <f>$KN122*10</f>
        <v/>
      </c>
      <c r="HN122" s="284" t="n"/>
      <c r="HO122" s="38" t="n">
        <v>0</v>
      </c>
      <c r="HP122" s="284" t="n"/>
      <c r="HQ122" s="36">
        <f>$KN122*10</f>
        <v/>
      </c>
      <c r="HR122" s="284" t="n"/>
      <c r="HS122" s="38" t="n">
        <v>0</v>
      </c>
      <c r="HT122" s="284" t="n"/>
      <c r="HU122" s="36">
        <f>$KN122*10</f>
        <v/>
      </c>
      <c r="HV122" s="284" t="n"/>
      <c r="HW122" s="38" t="n">
        <v>0</v>
      </c>
      <c r="HX122" s="284" t="n"/>
      <c r="HY122" s="36">
        <f>$KN122*10</f>
        <v/>
      </c>
      <c r="HZ122" s="284" t="n"/>
      <c r="IA122" s="38" t="n">
        <v>0</v>
      </c>
      <c r="IB122" s="284" t="n"/>
      <c r="IC122" s="338">
        <f t="array" ref="IC122">SUMPRODUCT(--(MOD(COLUMN($GG122:$IB122),4)=MOD(COLUMN($GG122),4)),$GG122:$IB122)</f>
        <v/>
      </c>
      <c r="ID122" s="339">
        <f>IC122*$J122</f>
        <v/>
      </c>
      <c r="IE122" s="340">
        <f t="array" ref="IE122">SUMPRODUCT(--(MOD(COLUMN($GG122:$IB122),4)=MOD(COLUMN($GH122),4)),$GG122:$IB122)</f>
        <v/>
      </c>
      <c r="IF122" s="341">
        <f>IE122*$J122</f>
        <v/>
      </c>
      <c r="IG122" s="342">
        <f t="array" ref="IG122">SUMPRODUCT(--(MOD(COLUMN($GG122:$IB122),4)=MOD(COLUMN($GI122),4)),$GG122:$IB122)</f>
        <v/>
      </c>
      <c r="IH122" s="343">
        <f>IG122*$J122</f>
        <v/>
      </c>
      <c r="II122" s="36">
        <f>$KN122*5</f>
        <v/>
      </c>
      <c r="IJ122" s="284" t="n"/>
      <c r="IK122" s="38" t="n">
        <v>0</v>
      </c>
      <c r="IL122" s="284" t="n"/>
      <c r="IM122" s="36">
        <f>$KN122*5</f>
        <v/>
      </c>
      <c r="IN122" s="284" t="n"/>
      <c r="IO122" s="38" t="n">
        <v>0</v>
      </c>
      <c r="IP122" s="284" t="n"/>
      <c r="IQ122" s="36">
        <f>$KN122*7</f>
        <v/>
      </c>
      <c r="IR122" s="284" t="n"/>
      <c r="IS122" s="38" t="n">
        <v>0</v>
      </c>
      <c r="IT122" s="284" t="n"/>
      <c r="IU122" s="36">
        <f>$KN122*10</f>
        <v/>
      </c>
      <c r="IV122" s="284" t="n"/>
      <c r="IW122" s="38" t="n">
        <v>0</v>
      </c>
      <c r="IX122" s="284" t="n"/>
      <c r="IY122" s="36">
        <f>$KN122*10</f>
        <v/>
      </c>
      <c r="IZ122" s="284" t="n"/>
      <c r="JA122" s="38" t="n">
        <v>0</v>
      </c>
      <c r="JB122" s="284" t="n"/>
      <c r="JC122" s="36">
        <f>$KN122*10</f>
        <v/>
      </c>
      <c r="JD122" s="284" t="n"/>
      <c r="JE122" s="38" t="n">
        <v>0</v>
      </c>
      <c r="JF122" s="284" t="n"/>
      <c r="JG122" s="36">
        <f>$KN122*10</f>
        <v/>
      </c>
      <c r="JH122" s="284" t="n"/>
      <c r="JI122" s="38" t="n">
        <v>0</v>
      </c>
      <c r="JJ122" s="284" t="n"/>
      <c r="JK122" s="36">
        <f>$KN122*10</f>
        <v/>
      </c>
      <c r="JL122" s="284" t="n"/>
      <c r="JM122" s="38" t="n">
        <v>0</v>
      </c>
      <c r="JN122" s="284" t="n"/>
      <c r="JO122" s="36">
        <f>$KN122*10</f>
        <v/>
      </c>
      <c r="JP122" s="284" t="n"/>
      <c r="JQ122" s="38" t="n">
        <v>0</v>
      </c>
      <c r="JR122" s="284" t="n"/>
      <c r="JS122" s="36">
        <f>$KN122*10</f>
        <v/>
      </c>
      <c r="JT122" s="284" t="n"/>
      <c r="JU122" s="38" t="n">
        <v>0</v>
      </c>
      <c r="JV122" s="284" t="n"/>
      <c r="JW122" s="36">
        <f>$KN122*10</f>
        <v/>
      </c>
      <c r="JX122" s="284" t="n"/>
      <c r="JY122" s="38" t="n">
        <v>0</v>
      </c>
      <c r="JZ122" s="284" t="n"/>
      <c r="KA122" s="36">
        <f>$KN122*10</f>
        <v/>
      </c>
      <c r="KB122" s="284" t="n"/>
      <c r="KC122" s="38" t="n">
        <v>0</v>
      </c>
      <c r="KD122" s="284" t="n"/>
      <c r="KE122" s="338">
        <f t="array" ref="KE122">SUMPRODUCT(--(MOD(COLUMN($II122:$KD122),4)=MOD(COLUMN($II122),4)),$II122:$KD122)</f>
        <v/>
      </c>
      <c r="KF122" s="339">
        <f>KE122*$J122</f>
        <v/>
      </c>
      <c r="KG122" s="340">
        <f t="array" ref="KG122">SUMPRODUCT(--(MOD(COLUMN($II122:$KD122),4)=MOD(COLUMN($IJ122),4)),$II122:$KD122)</f>
        <v/>
      </c>
      <c r="KH122" s="341">
        <f>KG122*$J122</f>
        <v/>
      </c>
      <c r="KI122" s="342">
        <f t="array" ref="KI122">SUMPRODUCT(--(MOD(COLUMN($II122:$KD122),4)=MOD(COLUMN($IK122),4)),$II122:$KD122)</f>
        <v/>
      </c>
      <c r="KJ122" s="346">
        <f>KI122*$J122</f>
        <v/>
      </c>
      <c r="KK122" s="80" t="n"/>
      <c r="KL122" s="80" t="n"/>
      <c r="KM122" s="80" t="n"/>
      <c r="KN122" s="51" t="n">
        <v>1</v>
      </c>
      <c r="KO122" s="285" t="inlineStr">
        <is>
          <t>TEBS 2s/2m 
12м</t>
        </is>
      </c>
    </row>
    <row r="123" outlineLevel="1" ht="43.2" customFormat="1" customHeight="1" s="68">
      <c r="A123" s="347" t="n"/>
      <c r="B123" s="347" t="n"/>
      <c r="C123" s="347" t="n"/>
      <c r="D123" s="347" t="n"/>
      <c r="E123" s="15" t="n">
        <v>2</v>
      </c>
      <c r="F123" s="15" t="n">
        <v>1</v>
      </c>
      <c r="G123" s="33" t="n">
        <v>9522010020</v>
      </c>
      <c r="H123" s="34" t="inlineStr">
        <is>
          <t>Головка соединительная (питающая)</t>
        </is>
      </c>
      <c r="I123" s="337">
        <f>89.6/1.2/0.98</f>
        <v/>
      </c>
      <c r="J123" s="337">
        <f>89.6/1.2*1.0863</f>
        <v/>
      </c>
      <c r="K123" s="348" t="n"/>
      <c r="L123" s="348" t="n"/>
      <c r="M123" s="36" t="n">
        <v>0</v>
      </c>
      <c r="N123" s="284" t="n">
        <v>0</v>
      </c>
      <c r="O123" s="38" t="n">
        <v>0</v>
      </c>
      <c r="P123" s="284" t="n"/>
      <c r="Q123" s="36" t="n">
        <v>0</v>
      </c>
      <c r="R123" s="284" t="n">
        <v>0</v>
      </c>
      <c r="S123" s="38" t="n">
        <v>0</v>
      </c>
      <c r="T123" s="284" t="n"/>
      <c r="U123" s="36" t="n">
        <v>0</v>
      </c>
      <c r="V123" s="284" t="n">
        <v>0</v>
      </c>
      <c r="W123" s="38" t="n">
        <v>0</v>
      </c>
      <c r="X123" s="284" t="n"/>
      <c r="Y123" s="36" t="n">
        <v>0</v>
      </c>
      <c r="Z123" s="284" t="n">
        <v>0</v>
      </c>
      <c r="AA123" s="38" t="n">
        <v>0</v>
      </c>
      <c r="AB123" s="284" t="n"/>
      <c r="AC123" s="36" t="n">
        <v>0</v>
      </c>
      <c r="AD123" s="284" t="n">
        <v>0</v>
      </c>
      <c r="AE123" s="38" t="n">
        <v>0</v>
      </c>
      <c r="AF123" s="284" t="n"/>
      <c r="AG123" s="36" t="n">
        <v>0</v>
      </c>
      <c r="AH123" s="284" t="n">
        <v>0</v>
      </c>
      <c r="AI123" s="38" t="n">
        <v>0</v>
      </c>
      <c r="AJ123" s="284" t="n"/>
      <c r="AK123" s="36" t="n">
        <v>0</v>
      </c>
      <c r="AL123" s="284" t="n">
        <v>0</v>
      </c>
      <c r="AM123" s="38" t="n">
        <v>0</v>
      </c>
      <c r="AN123" s="284" t="n"/>
      <c r="AO123" s="36" t="n">
        <v>0</v>
      </c>
      <c r="AP123" s="284" t="n">
        <v>0</v>
      </c>
      <c r="AQ123" s="38" t="n">
        <v>0</v>
      </c>
      <c r="AR123" s="284" t="n"/>
      <c r="AS123" s="36" t="n">
        <v>0</v>
      </c>
      <c r="AT123" s="284" t="n">
        <v>0</v>
      </c>
      <c r="AU123" s="38" t="n">
        <v>0</v>
      </c>
      <c r="AV123" s="284" t="n"/>
      <c r="AW123" s="36" t="n">
        <v>0</v>
      </c>
      <c r="AX123" s="284" t="n">
        <v>0</v>
      </c>
      <c r="AY123" s="38" t="n">
        <v>0</v>
      </c>
      <c r="AZ123" s="284" t="n"/>
      <c r="BA123" s="36" t="n">
        <v>0</v>
      </c>
      <c r="BB123" s="284" t="n">
        <v>0</v>
      </c>
      <c r="BC123" s="92" t="n">
        <v>0</v>
      </c>
      <c r="BD123" s="284" t="n"/>
      <c r="BE123" s="36" t="n">
        <v>0</v>
      </c>
      <c r="BF123" s="284">
        <f>$KN123*0</f>
        <v/>
      </c>
      <c r="BG123" s="54" t="n">
        <v>0</v>
      </c>
      <c r="BH123" s="284" t="n"/>
      <c r="BI123" s="338">
        <f>SUMPRODUCT(--(MOD(COLUMN($M123:$BH123),4)=MOD(COLUMN($M123),4)),$M123:$BH123)</f>
        <v/>
      </c>
      <c r="BJ123" s="339">
        <f>BI123*$I123</f>
        <v/>
      </c>
      <c r="BK123" s="340">
        <f>SUMPRODUCT(--(MOD(COLUMN($M123:$BH123),4)=MOD(COLUMN($M123)+1,4)),$M123:$BH123)</f>
        <v/>
      </c>
      <c r="BL123" s="341">
        <f>BK123*$I123</f>
        <v/>
      </c>
      <c r="BM123" s="342">
        <f>SUMPRODUCT(--(MOD(COLUMN($M123:$BH123),4)=MOD(COLUMN($M123)+2,4)),$M123:$BH123)</f>
        <v/>
      </c>
      <c r="BN123" s="343">
        <f>BM123*$I123</f>
        <v/>
      </c>
      <c r="BO123" s="36" t="n"/>
      <c r="BP123" s="47" t="n"/>
      <c r="BQ123" s="39" t="n"/>
      <c r="BR123" s="38" t="n">
        <v>2</v>
      </c>
      <c r="BS123" s="284" t="n"/>
      <c r="BT123" s="36" t="n"/>
      <c r="BU123" s="47" t="n"/>
      <c r="BV123" s="284">
        <f>$KN123*0</f>
        <v/>
      </c>
      <c r="BW123" s="38" t="n">
        <v>0</v>
      </c>
      <c r="BX123" s="347" t="n"/>
      <c r="BY123" s="36">
        <f>$KN123*1</f>
        <v/>
      </c>
      <c r="BZ123" s="47">
        <f>$KN123*0</f>
        <v/>
      </c>
      <c r="CA123" s="284" t="n">
        <v>0</v>
      </c>
      <c r="CB123" s="38" t="n">
        <v>0</v>
      </c>
      <c r="CC123" s="284" t="n"/>
      <c r="CD123" s="36">
        <f>$KN123*0</f>
        <v/>
      </c>
      <c r="CE123" s="47">
        <f>$KN123*0</f>
        <v/>
      </c>
      <c r="CF123" s="284" t="n">
        <v>0</v>
      </c>
      <c r="CG123" s="38" t="n">
        <v>0</v>
      </c>
      <c r="CH123" s="284" t="n"/>
      <c r="CI123" s="36">
        <f>$KN123*5</f>
        <v/>
      </c>
      <c r="CJ123" s="47">
        <f>$KN123*3</f>
        <v/>
      </c>
      <c r="CK123" s="284">
        <f>$KN123*0</f>
        <v/>
      </c>
      <c r="CL123" s="38" t="n">
        <v>0</v>
      </c>
      <c r="CM123" s="347" t="n"/>
      <c r="CN123" s="36">
        <f>$KN123*5</f>
        <v/>
      </c>
      <c r="CO123" s="47">
        <f>$KN123*3</f>
        <v/>
      </c>
      <c r="CP123" s="284">
        <f>$KN123*0</f>
        <v/>
      </c>
      <c r="CQ123" s="38" t="n">
        <v>0</v>
      </c>
      <c r="CR123" s="347" t="n"/>
      <c r="CS123" s="36">
        <f>$KN123*5</f>
        <v/>
      </c>
      <c r="CT123" s="47">
        <f>$KN123*3</f>
        <v/>
      </c>
      <c r="CU123" s="284">
        <f>$KN123*0</f>
        <v/>
      </c>
      <c r="CV123" s="52" t="n">
        <v>0</v>
      </c>
      <c r="CW123" s="347" t="n"/>
      <c r="CX123" s="36">
        <f>$KN123*5</f>
        <v/>
      </c>
      <c r="CY123" s="47">
        <f>$KN123*3</f>
        <v/>
      </c>
      <c r="CZ123" s="284">
        <f>$KN123*0</f>
        <v/>
      </c>
      <c r="DA123" s="38" t="n">
        <v>0</v>
      </c>
      <c r="DB123" s="284" t="n"/>
      <c r="DC123" s="36">
        <f>$KN123*5</f>
        <v/>
      </c>
      <c r="DD123" s="47">
        <f>$KN123*3</f>
        <v/>
      </c>
      <c r="DE123" s="284">
        <f>$KN123*0</f>
        <v/>
      </c>
      <c r="DF123" s="38" t="n">
        <v>0</v>
      </c>
      <c r="DG123" s="284" t="n"/>
      <c r="DH123" s="36">
        <f>$KN123*5</f>
        <v/>
      </c>
      <c r="DI123" s="47">
        <f>$KN123*3</f>
        <v/>
      </c>
      <c r="DJ123" s="284">
        <f>$KN123*0</f>
        <v/>
      </c>
      <c r="DK123" s="52" t="n">
        <v>0</v>
      </c>
      <c r="DL123" s="284" t="n"/>
      <c r="DM123" s="36">
        <f>$KN123*5</f>
        <v/>
      </c>
      <c r="DN123" s="47">
        <f>$KN123*3</f>
        <v/>
      </c>
      <c r="DO123" s="284">
        <f>$KN123*0</f>
        <v/>
      </c>
      <c r="DP123" s="38" t="n">
        <v>0</v>
      </c>
      <c r="DQ123" s="284" t="n"/>
      <c r="DR123" s="36">
        <f>$KN123*5</f>
        <v/>
      </c>
      <c r="DS123" s="47">
        <f>$KN123*3</f>
        <v/>
      </c>
      <c r="DT123" s="284">
        <f>$KN123*0</f>
        <v/>
      </c>
      <c r="DU123" s="38" t="n">
        <v>0</v>
      </c>
      <c r="DV123" s="284" t="n"/>
      <c r="DW123" s="338">
        <f t="array" ref="DW123">SUMPRODUCT(--(MOD(COLUMN($BO123:$DV123),5)=MOD(COLUMN($BO123),5)),$BO123:$DV123)</f>
        <v/>
      </c>
      <c r="DX123" s="339">
        <f>DW123*$J123</f>
        <v/>
      </c>
      <c r="DY123" s="344">
        <f t="array" ref="DY123">SUMPRODUCT(--(MOD(COLUMN($BO123:$DV123),5)=MOD(COLUMN($BP123),5)),$BO123:$DV123)</f>
        <v/>
      </c>
      <c r="DZ123" s="345">
        <f>DY123*$J123</f>
        <v/>
      </c>
      <c r="EA123" s="340">
        <f t="array" ref="EA123">SUMPRODUCT(--(MOD(COLUMN($BO123:$DV123),5)=MOD(COLUMN($BQ123),5)),$BO123:$DV123)</f>
        <v/>
      </c>
      <c r="EB123" s="341">
        <f>EA123*$J123</f>
        <v/>
      </c>
      <c r="EC123" s="342">
        <f t="array" ref="EC123">SUMPRODUCT(--(MOD(COLUMN($BO123:$DV123),5)=MOD(COLUMN($BR123),5)),$BO123:$DV123)</f>
        <v/>
      </c>
      <c r="ED123" s="343">
        <f>EC123*$J123</f>
        <v/>
      </c>
      <c r="EE123" s="36">
        <f>$KN123*0</f>
        <v/>
      </c>
      <c r="EF123" s="284" t="n">
        <v>0</v>
      </c>
      <c r="EG123" s="38" t="n"/>
      <c r="EH123" s="284" t="n"/>
      <c r="EI123" s="36">
        <f>$KN123*0</f>
        <v/>
      </c>
      <c r="EJ123" s="284" t="n">
        <v>0</v>
      </c>
      <c r="EK123" s="38" t="n"/>
      <c r="EL123" s="284" t="n"/>
      <c r="EM123" s="36">
        <f>$KN123*1</f>
        <v/>
      </c>
      <c r="EN123" s="284" t="n">
        <v>0</v>
      </c>
      <c r="EO123" s="38" t="n">
        <v>0</v>
      </c>
      <c r="EP123" s="284" t="n"/>
      <c r="EQ123" s="36">
        <f>$KN123*2</f>
        <v/>
      </c>
      <c r="ER123" s="284" t="n">
        <v>0</v>
      </c>
      <c r="ES123" s="38" t="n">
        <v>0</v>
      </c>
      <c r="ET123" s="284" t="n"/>
      <c r="EU123" s="36">
        <f>$KN123*3</f>
        <v/>
      </c>
      <c r="EV123" s="39" t="n">
        <v>0</v>
      </c>
      <c r="EW123" s="38" t="n">
        <v>0</v>
      </c>
      <c r="EX123" s="284" t="n"/>
      <c r="EY123" s="36">
        <f>$KN123*3</f>
        <v/>
      </c>
      <c r="EZ123" s="284" t="n">
        <v>3</v>
      </c>
      <c r="FA123" s="38" t="n">
        <v>0</v>
      </c>
      <c r="FB123" s="284" t="n"/>
      <c r="FC123" s="36">
        <f>$KN123*5</f>
        <v/>
      </c>
      <c r="FD123" s="284" t="n">
        <v>5</v>
      </c>
      <c r="FE123" s="38" t="n">
        <v>0</v>
      </c>
      <c r="FF123" s="284" t="n"/>
      <c r="FG123" s="36">
        <f>$KN123*5</f>
        <v/>
      </c>
      <c r="FH123" s="284" t="n">
        <v>5</v>
      </c>
      <c r="FI123" s="38" t="n">
        <v>0</v>
      </c>
      <c r="FJ123" s="284" t="n"/>
      <c r="FK123" s="36">
        <f>$KN123*5</f>
        <v/>
      </c>
      <c r="FL123" s="284" t="n">
        <v>5</v>
      </c>
      <c r="FM123" s="38" t="n">
        <v>0</v>
      </c>
      <c r="FN123" s="284" t="n"/>
      <c r="FO123" s="36">
        <f>$KN123*6</f>
        <v/>
      </c>
      <c r="FP123" s="284" t="n">
        <v>6</v>
      </c>
      <c r="FQ123" s="38" t="n">
        <v>0</v>
      </c>
      <c r="FR123" s="284" t="n"/>
      <c r="FS123" s="36">
        <f>$KN123*6</f>
        <v/>
      </c>
      <c r="FT123" s="284" t="n">
        <v>6</v>
      </c>
      <c r="FU123" s="38" t="n">
        <v>0</v>
      </c>
      <c r="FV123" s="284" t="n"/>
      <c r="FW123" s="36">
        <f>$KN123*6</f>
        <v/>
      </c>
      <c r="FX123" s="284" t="n">
        <v>6</v>
      </c>
      <c r="FY123" s="38" t="n">
        <v>0</v>
      </c>
      <c r="FZ123" s="284" t="n"/>
      <c r="GA123" s="338">
        <f t="array" ref="GA123">SUMPRODUCT(--(MOD(COLUMN($EE123:$FZ123),4)=MOD(COLUMN($EE123),4)),$EE123:$FZ123)</f>
        <v/>
      </c>
      <c r="GB123" s="339">
        <f>GA123*$J123</f>
        <v/>
      </c>
      <c r="GC123" s="340">
        <f t="array" ref="GC123">SUMPRODUCT(--(MOD(COLUMN($EE123:$FZ123),4)=MOD(COLUMN($EF123),4)),$EE123:$FZ123)</f>
        <v/>
      </c>
      <c r="GD123" s="341">
        <f>GC123*$J123</f>
        <v/>
      </c>
      <c r="GE123" s="342">
        <f t="array" ref="GE123">SUMPRODUCT(--(MOD(COLUMN($EE123:$FZ123),4)=MOD(COLUMN($EG123),4)),$EE123:$FZ123)</f>
        <v/>
      </c>
      <c r="GF123" s="343">
        <f>GE123*$J123</f>
        <v/>
      </c>
      <c r="GG123" s="36">
        <f>$KN123*5</f>
        <v/>
      </c>
      <c r="GH123" s="284" t="n"/>
      <c r="GI123" s="38" t="n">
        <v>0</v>
      </c>
      <c r="GJ123" s="284" t="n"/>
      <c r="GK123" s="36">
        <f>$KN123*5</f>
        <v/>
      </c>
      <c r="GL123" s="284" t="n"/>
      <c r="GM123" s="38" t="n">
        <v>0</v>
      </c>
      <c r="GN123" s="284" t="n"/>
      <c r="GO123" s="36">
        <f>$KN123*7</f>
        <v/>
      </c>
      <c r="GP123" s="284" t="n"/>
      <c r="GQ123" s="38" t="n">
        <v>0</v>
      </c>
      <c r="GR123" s="284" t="n"/>
      <c r="GS123" s="36">
        <f>$KN123*10</f>
        <v/>
      </c>
      <c r="GT123" s="284" t="n"/>
      <c r="GU123" s="38" t="n">
        <v>0</v>
      </c>
      <c r="GV123" s="284" t="n"/>
      <c r="GW123" s="36">
        <f>$KN123*10</f>
        <v/>
      </c>
      <c r="GX123" s="284" t="n"/>
      <c r="GY123" s="38" t="n">
        <v>0</v>
      </c>
      <c r="GZ123" s="284" t="n"/>
      <c r="HA123" s="36">
        <f>$KN123*10</f>
        <v/>
      </c>
      <c r="HB123" s="284" t="n"/>
      <c r="HC123" s="38" t="n">
        <v>0</v>
      </c>
      <c r="HD123" s="284" t="n"/>
      <c r="HE123" s="36">
        <f>$KN123*10</f>
        <v/>
      </c>
      <c r="HF123" s="284" t="n"/>
      <c r="HG123" s="38" t="n">
        <v>0</v>
      </c>
      <c r="HH123" s="284" t="n"/>
      <c r="HI123" s="36">
        <f>$KN123*10</f>
        <v/>
      </c>
      <c r="HJ123" s="284" t="n"/>
      <c r="HK123" s="38" t="n">
        <v>0</v>
      </c>
      <c r="HL123" s="284" t="n"/>
      <c r="HM123" s="36">
        <f>$KN123*10</f>
        <v/>
      </c>
      <c r="HN123" s="284" t="n"/>
      <c r="HO123" s="38" t="n">
        <v>0</v>
      </c>
      <c r="HP123" s="284" t="n"/>
      <c r="HQ123" s="36">
        <f>$KN123*10</f>
        <v/>
      </c>
      <c r="HR123" s="284" t="n"/>
      <c r="HS123" s="38" t="n">
        <v>0</v>
      </c>
      <c r="HT123" s="284" t="n"/>
      <c r="HU123" s="36">
        <f>$KN123*10</f>
        <v/>
      </c>
      <c r="HV123" s="284" t="n"/>
      <c r="HW123" s="38" t="n">
        <v>0</v>
      </c>
      <c r="HX123" s="284" t="n"/>
      <c r="HY123" s="36">
        <f>$KN123*10</f>
        <v/>
      </c>
      <c r="HZ123" s="284" t="n"/>
      <c r="IA123" s="38" t="n">
        <v>0</v>
      </c>
      <c r="IB123" s="284" t="n"/>
      <c r="IC123" s="338">
        <f t="array" ref="IC123">SUMPRODUCT(--(MOD(COLUMN($GG123:$IB123),4)=MOD(COLUMN($GG123),4)),$GG123:$IB123)</f>
        <v/>
      </c>
      <c r="ID123" s="339">
        <f>IC123*$J123</f>
        <v/>
      </c>
      <c r="IE123" s="340">
        <f t="array" ref="IE123">SUMPRODUCT(--(MOD(COLUMN($GG123:$IB123),4)=MOD(COLUMN($GH123),4)),$GG123:$IB123)</f>
        <v/>
      </c>
      <c r="IF123" s="341">
        <f>IE123*$J123</f>
        <v/>
      </c>
      <c r="IG123" s="342">
        <f t="array" ref="IG123">SUMPRODUCT(--(MOD(COLUMN($GG123:$IB123),4)=MOD(COLUMN($GI123),4)),$GG123:$IB123)</f>
        <v/>
      </c>
      <c r="IH123" s="343">
        <f>IG123*$J123</f>
        <v/>
      </c>
      <c r="II123" s="36">
        <f>$KN123*5</f>
        <v/>
      </c>
      <c r="IJ123" s="284" t="n"/>
      <c r="IK123" s="38" t="n">
        <v>0</v>
      </c>
      <c r="IL123" s="284" t="n"/>
      <c r="IM123" s="36">
        <f>$KN123*5</f>
        <v/>
      </c>
      <c r="IN123" s="284" t="n"/>
      <c r="IO123" s="38" t="n">
        <v>0</v>
      </c>
      <c r="IP123" s="284" t="n"/>
      <c r="IQ123" s="36">
        <f>$KN123*7</f>
        <v/>
      </c>
      <c r="IR123" s="284" t="n"/>
      <c r="IS123" s="38" t="n">
        <v>0</v>
      </c>
      <c r="IT123" s="284" t="n"/>
      <c r="IU123" s="36">
        <f>$KN123*10</f>
        <v/>
      </c>
      <c r="IV123" s="284" t="n"/>
      <c r="IW123" s="38" t="n">
        <v>0</v>
      </c>
      <c r="IX123" s="284" t="n"/>
      <c r="IY123" s="36">
        <f>$KN123*10</f>
        <v/>
      </c>
      <c r="IZ123" s="284" t="n"/>
      <c r="JA123" s="38" t="n">
        <v>0</v>
      </c>
      <c r="JB123" s="284" t="n"/>
      <c r="JC123" s="36">
        <f>$KN123*10</f>
        <v/>
      </c>
      <c r="JD123" s="284" t="n"/>
      <c r="JE123" s="38" t="n">
        <v>0</v>
      </c>
      <c r="JF123" s="284" t="n"/>
      <c r="JG123" s="36">
        <f>$KN123*10</f>
        <v/>
      </c>
      <c r="JH123" s="284" t="n"/>
      <c r="JI123" s="38" t="n">
        <v>0</v>
      </c>
      <c r="JJ123" s="284" t="n"/>
      <c r="JK123" s="36">
        <f>$KN123*10</f>
        <v/>
      </c>
      <c r="JL123" s="284" t="n"/>
      <c r="JM123" s="38" t="n">
        <v>0</v>
      </c>
      <c r="JN123" s="284" t="n"/>
      <c r="JO123" s="36">
        <f>$KN123*10</f>
        <v/>
      </c>
      <c r="JP123" s="284" t="n"/>
      <c r="JQ123" s="38" t="n">
        <v>0</v>
      </c>
      <c r="JR123" s="284" t="n"/>
      <c r="JS123" s="36">
        <f>$KN123*10</f>
        <v/>
      </c>
      <c r="JT123" s="284" t="n"/>
      <c r="JU123" s="38" t="n">
        <v>0</v>
      </c>
      <c r="JV123" s="284" t="n"/>
      <c r="JW123" s="36">
        <f>$KN123*10</f>
        <v/>
      </c>
      <c r="JX123" s="284" t="n"/>
      <c r="JY123" s="38" t="n">
        <v>0</v>
      </c>
      <c r="JZ123" s="284" t="n"/>
      <c r="KA123" s="36">
        <f>$KN123*10</f>
        <v/>
      </c>
      <c r="KB123" s="284" t="n"/>
      <c r="KC123" s="38" t="n">
        <v>0</v>
      </c>
      <c r="KD123" s="284" t="n"/>
      <c r="KE123" s="338">
        <f t="array" ref="KE123">SUMPRODUCT(--(MOD(COLUMN($II123:$KD123),4)=MOD(COLUMN($II123),4)),$II123:$KD123)</f>
        <v/>
      </c>
      <c r="KF123" s="339">
        <f>KE123*$J123</f>
        <v/>
      </c>
      <c r="KG123" s="340">
        <f t="array" ref="KG123">SUMPRODUCT(--(MOD(COLUMN($II123:$KD123),4)=MOD(COLUMN($IJ123),4)),$II123:$KD123)</f>
        <v/>
      </c>
      <c r="KH123" s="341">
        <f>KG123*$J123</f>
        <v/>
      </c>
      <c r="KI123" s="342">
        <f t="array" ref="KI123">SUMPRODUCT(--(MOD(COLUMN($II123:$KD123),4)=MOD(COLUMN($IK123),4)),$II123:$KD123)</f>
        <v/>
      </c>
      <c r="KJ123" s="346">
        <f>KI123*$J123</f>
        <v/>
      </c>
      <c r="KK123" s="80" t="n"/>
      <c r="KL123" s="80" t="n"/>
      <c r="KM123" s="80" t="n"/>
      <c r="KN123" s="51" t="n">
        <v>1</v>
      </c>
      <c r="KO123" s="347" t="n"/>
    </row>
    <row r="124" outlineLevel="1" ht="43.2" customFormat="1" customHeight="1" s="68">
      <c r="A124" s="347" t="n"/>
      <c r="B124" s="347" t="n"/>
      <c r="C124" s="347" t="n"/>
      <c r="D124" s="347" t="n"/>
      <c r="E124" s="15" t="n">
        <v>3</v>
      </c>
      <c r="F124" s="15" t="n">
        <v>1</v>
      </c>
      <c r="G124" s="33" t="n">
        <v>9710029000</v>
      </c>
      <c r="H124" s="34" t="inlineStr">
        <is>
          <t>Воздухораспределитель с клапаном растормаживания</t>
        </is>
      </c>
      <c r="I124" s="337">
        <f>639/1.2/0.98</f>
        <v/>
      </c>
      <c r="J124" s="337">
        <f>639/1.2*1.0863</f>
        <v/>
      </c>
      <c r="K124" s="348" t="n"/>
      <c r="L124" s="348" t="n"/>
      <c r="M124" s="36" t="n">
        <v>0</v>
      </c>
      <c r="N124" s="284" t="n">
        <v>0</v>
      </c>
      <c r="O124" s="38" t="n">
        <v>0</v>
      </c>
      <c r="P124" s="284" t="n"/>
      <c r="Q124" s="36" t="n">
        <v>0</v>
      </c>
      <c r="R124" s="284" t="n">
        <v>0</v>
      </c>
      <c r="S124" s="38" t="n">
        <v>0</v>
      </c>
      <c r="T124" s="284" t="n"/>
      <c r="U124" s="36" t="n">
        <v>0</v>
      </c>
      <c r="V124" s="284" t="n">
        <v>0</v>
      </c>
      <c r="W124" s="38" t="n">
        <v>0</v>
      </c>
      <c r="X124" s="284" t="n"/>
      <c r="Y124" s="36" t="n">
        <v>0</v>
      </c>
      <c r="Z124" s="284" t="n">
        <v>0</v>
      </c>
      <c r="AA124" s="38" t="n">
        <v>0</v>
      </c>
      <c r="AB124" s="284" t="n"/>
      <c r="AC124" s="36" t="n">
        <v>0</v>
      </c>
      <c r="AD124" s="284" t="n">
        <v>0</v>
      </c>
      <c r="AE124" s="38" t="n">
        <v>0</v>
      </c>
      <c r="AF124" s="284" t="n"/>
      <c r="AG124" s="36" t="n">
        <v>0</v>
      </c>
      <c r="AH124" s="284" t="n">
        <v>0</v>
      </c>
      <c r="AI124" s="38" t="n">
        <v>0</v>
      </c>
      <c r="AJ124" s="284" t="n"/>
      <c r="AK124" s="36" t="n">
        <v>0</v>
      </c>
      <c r="AL124" s="284" t="n">
        <v>0</v>
      </c>
      <c r="AM124" s="38" t="n">
        <v>0</v>
      </c>
      <c r="AN124" s="284" t="n"/>
      <c r="AO124" s="36" t="n">
        <v>0</v>
      </c>
      <c r="AP124" s="284" t="n">
        <v>0</v>
      </c>
      <c r="AQ124" s="38" t="n">
        <v>0</v>
      </c>
      <c r="AR124" s="284" t="n"/>
      <c r="AS124" s="36" t="n">
        <v>0</v>
      </c>
      <c r="AT124" s="284" t="n">
        <v>0</v>
      </c>
      <c r="AU124" s="38" t="n">
        <v>0</v>
      </c>
      <c r="AV124" s="284" t="n"/>
      <c r="AW124" s="36" t="n">
        <v>0</v>
      </c>
      <c r="AX124" s="284" t="n">
        <v>0</v>
      </c>
      <c r="AY124" s="54" t="n">
        <v>0</v>
      </c>
      <c r="AZ124" s="284" t="n"/>
      <c r="BA124" s="36" t="n">
        <v>0</v>
      </c>
      <c r="BB124" s="284" t="n">
        <v>0</v>
      </c>
      <c r="BC124" s="92" t="n">
        <v>0</v>
      </c>
      <c r="BD124" s="284" t="n"/>
      <c r="BE124" s="36" t="n">
        <v>0</v>
      </c>
      <c r="BF124" s="284">
        <f>$KN124*0</f>
        <v/>
      </c>
      <c r="BG124" s="54" t="n">
        <v>0</v>
      </c>
      <c r="BH124" s="284" t="n"/>
      <c r="BI124" s="338">
        <f>SUMPRODUCT(--(MOD(COLUMN($M124:$BH124),4)=MOD(COLUMN($M124),4)),$M124:$BH124)</f>
        <v/>
      </c>
      <c r="BJ124" s="339">
        <f>BI124*$I124</f>
        <v/>
      </c>
      <c r="BK124" s="340">
        <f>SUMPRODUCT(--(MOD(COLUMN($M124:$BH124),4)=MOD(COLUMN($M124)+1,4)),$M124:$BH124)</f>
        <v/>
      </c>
      <c r="BL124" s="341">
        <f>BK124*$I124</f>
        <v/>
      </c>
      <c r="BM124" s="342">
        <f>SUMPRODUCT(--(MOD(COLUMN($M124:$BH124),4)=MOD(COLUMN($M124)+2,4)),$M124:$BH124)</f>
        <v/>
      </c>
      <c r="BN124" s="343">
        <f>BM124*$I124</f>
        <v/>
      </c>
      <c r="BO124" s="36" t="n"/>
      <c r="BP124" s="47" t="n"/>
      <c r="BQ124" s="39" t="n"/>
      <c r="BR124" s="38" t="n">
        <v>2</v>
      </c>
      <c r="BS124" s="284" t="n"/>
      <c r="BT124" s="36" t="n"/>
      <c r="BU124" s="47" t="n"/>
      <c r="BV124" s="284">
        <f>$KN124*0</f>
        <v/>
      </c>
      <c r="BW124" s="38" t="n">
        <v>0</v>
      </c>
      <c r="BX124" s="347" t="n"/>
      <c r="BY124" s="36">
        <f>$KN124*1</f>
        <v/>
      </c>
      <c r="BZ124" s="47">
        <f>$KN124*0</f>
        <v/>
      </c>
      <c r="CA124" s="284" t="n">
        <v>0</v>
      </c>
      <c r="CB124" s="38" t="n">
        <v>0</v>
      </c>
      <c r="CC124" s="284" t="n"/>
      <c r="CD124" s="36">
        <f>$KN124*0</f>
        <v/>
      </c>
      <c r="CE124" s="47">
        <f>$KN124*0</f>
        <v/>
      </c>
      <c r="CF124" s="284" t="n">
        <v>0</v>
      </c>
      <c r="CG124" s="38" t="n">
        <v>0</v>
      </c>
      <c r="CH124" s="284" t="n"/>
      <c r="CI124" s="36">
        <f>$KN124*5</f>
        <v/>
      </c>
      <c r="CJ124" s="47">
        <f>$KN124*3</f>
        <v/>
      </c>
      <c r="CK124" s="284">
        <f>$KN124*0</f>
        <v/>
      </c>
      <c r="CL124" s="38" t="n">
        <v>0</v>
      </c>
      <c r="CM124" s="347" t="n"/>
      <c r="CN124" s="36">
        <f>$KN124*5</f>
        <v/>
      </c>
      <c r="CO124" s="47">
        <f>$KN124*3</f>
        <v/>
      </c>
      <c r="CP124" s="284">
        <f>$KN124*0</f>
        <v/>
      </c>
      <c r="CQ124" s="38" t="n">
        <v>0</v>
      </c>
      <c r="CR124" s="347" t="n"/>
      <c r="CS124" s="36">
        <f>$KN124*5</f>
        <v/>
      </c>
      <c r="CT124" s="47">
        <f>$KN124*3</f>
        <v/>
      </c>
      <c r="CU124" s="284">
        <f>$KN124*0</f>
        <v/>
      </c>
      <c r="CV124" s="38" t="n">
        <v>0</v>
      </c>
      <c r="CW124" s="347" t="n"/>
      <c r="CX124" s="36">
        <f>$KN124*5</f>
        <v/>
      </c>
      <c r="CY124" s="47">
        <f>$KN124*3</f>
        <v/>
      </c>
      <c r="CZ124" s="284">
        <f>$KN124*0</f>
        <v/>
      </c>
      <c r="DA124" s="38" t="n">
        <v>0</v>
      </c>
      <c r="DB124" s="284" t="n"/>
      <c r="DC124" s="36">
        <f>$KN124*5</f>
        <v/>
      </c>
      <c r="DD124" s="47">
        <f>$KN124*3</f>
        <v/>
      </c>
      <c r="DE124" s="284">
        <f>$KN124*0</f>
        <v/>
      </c>
      <c r="DF124" s="38" t="n">
        <v>0</v>
      </c>
      <c r="DG124" s="284" t="n"/>
      <c r="DH124" s="36">
        <f>$KN124*5</f>
        <v/>
      </c>
      <c r="DI124" s="47">
        <f>$KN124*3</f>
        <v/>
      </c>
      <c r="DJ124" s="284">
        <f>$KN124*0</f>
        <v/>
      </c>
      <c r="DK124" s="38" t="n">
        <v>0</v>
      </c>
      <c r="DL124" s="284" t="n"/>
      <c r="DM124" s="36">
        <f>$KN124*5</f>
        <v/>
      </c>
      <c r="DN124" s="47">
        <f>$KN124*3</f>
        <v/>
      </c>
      <c r="DO124" s="284">
        <f>$KN124*0</f>
        <v/>
      </c>
      <c r="DP124" s="38" t="n">
        <v>0</v>
      </c>
      <c r="DQ124" s="284" t="n"/>
      <c r="DR124" s="36">
        <f>$KN124*5</f>
        <v/>
      </c>
      <c r="DS124" s="47">
        <f>$KN124*3</f>
        <v/>
      </c>
      <c r="DT124" s="284">
        <f>$KN124*0</f>
        <v/>
      </c>
      <c r="DU124" s="38" t="n">
        <v>0</v>
      </c>
      <c r="DV124" s="284" t="n"/>
      <c r="DW124" s="338">
        <f t="array" ref="DW124">SUMPRODUCT(--(MOD(COLUMN($BO124:$DV124),5)=MOD(COLUMN($BO124),5)),$BO124:$DV124)</f>
        <v/>
      </c>
      <c r="DX124" s="339">
        <f>DW124*$J124</f>
        <v/>
      </c>
      <c r="DY124" s="344">
        <f t="array" ref="DY124">SUMPRODUCT(--(MOD(COLUMN($BO124:$DV124),5)=MOD(COLUMN($BP124),5)),$BO124:$DV124)</f>
        <v/>
      </c>
      <c r="DZ124" s="345">
        <f>DY124*$J124</f>
        <v/>
      </c>
      <c r="EA124" s="340">
        <f t="array" ref="EA124">SUMPRODUCT(--(MOD(COLUMN($BO124:$DV124),5)=MOD(COLUMN($BQ124),5)),$BO124:$DV124)</f>
        <v/>
      </c>
      <c r="EB124" s="341">
        <f>EA124*$J124</f>
        <v/>
      </c>
      <c r="EC124" s="342">
        <f t="array" ref="EC124">SUMPRODUCT(--(MOD(COLUMN($BO124:$DV124),5)=MOD(COLUMN($BR124),5)),$BO124:$DV124)</f>
        <v/>
      </c>
      <c r="ED124" s="343">
        <f>EC124*$J124</f>
        <v/>
      </c>
      <c r="EE124" s="36">
        <f>$KN124*0</f>
        <v/>
      </c>
      <c r="EF124" s="284" t="n">
        <v>0</v>
      </c>
      <c r="EG124" s="38" t="n"/>
      <c r="EH124" s="284" t="n"/>
      <c r="EI124" s="36">
        <f>$KN124*0</f>
        <v/>
      </c>
      <c r="EJ124" s="284" t="n">
        <v>0</v>
      </c>
      <c r="EK124" s="38" t="n"/>
      <c r="EL124" s="284" t="n"/>
      <c r="EM124" s="36">
        <f>$KN124*1</f>
        <v/>
      </c>
      <c r="EN124" s="284" t="n">
        <v>0</v>
      </c>
      <c r="EO124" s="38" t="n">
        <v>0</v>
      </c>
      <c r="EP124" s="284" t="n"/>
      <c r="EQ124" s="36">
        <f>$KN124*2</f>
        <v/>
      </c>
      <c r="ER124" s="284" t="n">
        <v>0</v>
      </c>
      <c r="ES124" s="38" t="n">
        <v>0</v>
      </c>
      <c r="ET124" s="284" t="n"/>
      <c r="EU124" s="36">
        <f>$KN124*3</f>
        <v/>
      </c>
      <c r="EV124" s="39" t="n">
        <v>0</v>
      </c>
      <c r="EW124" s="38" t="n">
        <v>0</v>
      </c>
      <c r="EX124" s="284" t="n"/>
      <c r="EY124" s="36">
        <f>$KN124*3</f>
        <v/>
      </c>
      <c r="EZ124" s="284" t="n">
        <v>3</v>
      </c>
      <c r="FA124" s="38" t="n">
        <v>0</v>
      </c>
      <c r="FB124" s="284" t="n"/>
      <c r="FC124" s="36">
        <f>$KN124*5</f>
        <v/>
      </c>
      <c r="FD124" s="284" t="n">
        <v>5</v>
      </c>
      <c r="FE124" s="38" t="n">
        <v>0</v>
      </c>
      <c r="FF124" s="284" t="n"/>
      <c r="FG124" s="36">
        <f>$KN124*5</f>
        <v/>
      </c>
      <c r="FH124" s="284" t="n">
        <v>5</v>
      </c>
      <c r="FI124" s="38" t="n">
        <v>0</v>
      </c>
      <c r="FJ124" s="284" t="n"/>
      <c r="FK124" s="36">
        <f>$KN124*5</f>
        <v/>
      </c>
      <c r="FL124" s="284" t="n">
        <v>5</v>
      </c>
      <c r="FM124" s="38" t="n">
        <v>0</v>
      </c>
      <c r="FN124" s="284" t="n"/>
      <c r="FO124" s="36">
        <f>$KN124*6</f>
        <v/>
      </c>
      <c r="FP124" s="284" t="n">
        <v>6</v>
      </c>
      <c r="FQ124" s="38" t="n">
        <v>0</v>
      </c>
      <c r="FR124" s="284" t="n"/>
      <c r="FS124" s="36">
        <f>$KN124*6</f>
        <v/>
      </c>
      <c r="FT124" s="284" t="n">
        <v>6</v>
      </c>
      <c r="FU124" s="38" t="n">
        <v>0</v>
      </c>
      <c r="FV124" s="284" t="n"/>
      <c r="FW124" s="36">
        <f>$KN124*6</f>
        <v/>
      </c>
      <c r="FX124" s="284" t="n">
        <v>6</v>
      </c>
      <c r="FY124" s="38" t="n">
        <v>0</v>
      </c>
      <c r="FZ124" s="284" t="n"/>
      <c r="GA124" s="338">
        <f t="array" ref="GA124">SUMPRODUCT(--(MOD(COLUMN($EE124:$FZ124),4)=MOD(COLUMN($EE124),4)),$EE124:$FZ124)</f>
        <v/>
      </c>
      <c r="GB124" s="339">
        <f>GA124*$J124</f>
        <v/>
      </c>
      <c r="GC124" s="340">
        <f t="array" ref="GC124">SUMPRODUCT(--(MOD(COLUMN($EE124:$FZ124),4)=MOD(COLUMN($EF124),4)),$EE124:$FZ124)</f>
        <v/>
      </c>
      <c r="GD124" s="341">
        <f>GC124*$J124</f>
        <v/>
      </c>
      <c r="GE124" s="342">
        <f t="array" ref="GE124">SUMPRODUCT(--(MOD(COLUMN($EE124:$FZ124),4)=MOD(COLUMN($EG124),4)),$EE124:$FZ124)</f>
        <v/>
      </c>
      <c r="GF124" s="343">
        <f>GE124*$J124</f>
        <v/>
      </c>
      <c r="GG124" s="36">
        <f>$KN124*5</f>
        <v/>
      </c>
      <c r="GH124" s="284" t="n"/>
      <c r="GI124" s="38" t="n">
        <v>0</v>
      </c>
      <c r="GJ124" s="284" t="n"/>
      <c r="GK124" s="36">
        <f>$KN124*5</f>
        <v/>
      </c>
      <c r="GL124" s="284" t="n"/>
      <c r="GM124" s="38" t="n">
        <v>0</v>
      </c>
      <c r="GN124" s="284" t="n"/>
      <c r="GO124" s="36">
        <f>$KN124*7</f>
        <v/>
      </c>
      <c r="GP124" s="284" t="n"/>
      <c r="GQ124" s="38" t="n">
        <v>0</v>
      </c>
      <c r="GR124" s="284" t="n"/>
      <c r="GS124" s="36">
        <f>$KN124*10</f>
        <v/>
      </c>
      <c r="GT124" s="284" t="n"/>
      <c r="GU124" s="38" t="n">
        <v>0</v>
      </c>
      <c r="GV124" s="284" t="n"/>
      <c r="GW124" s="36">
        <f>$KN124*10</f>
        <v/>
      </c>
      <c r="GX124" s="284" t="n"/>
      <c r="GY124" s="38" t="n">
        <v>0</v>
      </c>
      <c r="GZ124" s="284" t="n"/>
      <c r="HA124" s="36">
        <f>$KN124*10</f>
        <v/>
      </c>
      <c r="HB124" s="284" t="n"/>
      <c r="HC124" s="38" t="n">
        <v>0</v>
      </c>
      <c r="HD124" s="284" t="n"/>
      <c r="HE124" s="36">
        <f>$KN124*10</f>
        <v/>
      </c>
      <c r="HF124" s="284" t="n"/>
      <c r="HG124" s="38" t="n">
        <v>0</v>
      </c>
      <c r="HH124" s="284" t="n"/>
      <c r="HI124" s="36">
        <f>$KN124*10</f>
        <v/>
      </c>
      <c r="HJ124" s="284" t="n"/>
      <c r="HK124" s="38" t="n">
        <v>0</v>
      </c>
      <c r="HL124" s="284" t="n"/>
      <c r="HM124" s="36">
        <f>$KN124*10</f>
        <v/>
      </c>
      <c r="HN124" s="284" t="n"/>
      <c r="HO124" s="38" t="n">
        <v>0</v>
      </c>
      <c r="HP124" s="284" t="n"/>
      <c r="HQ124" s="36">
        <f>$KN124*10</f>
        <v/>
      </c>
      <c r="HR124" s="284" t="n"/>
      <c r="HS124" s="38" t="n">
        <v>0</v>
      </c>
      <c r="HT124" s="284" t="n"/>
      <c r="HU124" s="36">
        <f>$KN124*10</f>
        <v/>
      </c>
      <c r="HV124" s="284" t="n"/>
      <c r="HW124" s="38" t="n">
        <v>0</v>
      </c>
      <c r="HX124" s="284" t="n"/>
      <c r="HY124" s="36">
        <f>$KN124*10</f>
        <v/>
      </c>
      <c r="HZ124" s="284" t="n"/>
      <c r="IA124" s="38" t="n">
        <v>0</v>
      </c>
      <c r="IB124" s="284" t="n"/>
      <c r="IC124" s="338">
        <f t="array" ref="IC124">SUMPRODUCT(--(MOD(COLUMN($GG124:$IB124),4)=MOD(COLUMN($GG124),4)),$GG124:$IB124)</f>
        <v/>
      </c>
      <c r="ID124" s="339">
        <f>IC124*$J124</f>
        <v/>
      </c>
      <c r="IE124" s="340">
        <f t="array" ref="IE124">SUMPRODUCT(--(MOD(COLUMN($GG124:$IB124),4)=MOD(COLUMN($GH124),4)),$GG124:$IB124)</f>
        <v/>
      </c>
      <c r="IF124" s="341">
        <f>IE124*$J124</f>
        <v/>
      </c>
      <c r="IG124" s="342">
        <f t="array" ref="IG124">SUMPRODUCT(--(MOD(COLUMN($GG124:$IB124),4)=MOD(COLUMN($GI124),4)),$GG124:$IB124)</f>
        <v/>
      </c>
      <c r="IH124" s="343">
        <f>IG124*$J124</f>
        <v/>
      </c>
      <c r="II124" s="36">
        <f>$KN124*5</f>
        <v/>
      </c>
      <c r="IJ124" s="284" t="n"/>
      <c r="IK124" s="38" t="n">
        <v>0</v>
      </c>
      <c r="IL124" s="284" t="n"/>
      <c r="IM124" s="36">
        <f>$KN124*5</f>
        <v/>
      </c>
      <c r="IN124" s="284" t="n"/>
      <c r="IO124" s="38" t="n">
        <v>0</v>
      </c>
      <c r="IP124" s="284" t="n"/>
      <c r="IQ124" s="36">
        <f>$KN124*7</f>
        <v/>
      </c>
      <c r="IR124" s="284" t="n"/>
      <c r="IS124" s="38" t="n">
        <v>0</v>
      </c>
      <c r="IT124" s="284" t="n"/>
      <c r="IU124" s="36">
        <f>$KN124*10</f>
        <v/>
      </c>
      <c r="IV124" s="284" t="n"/>
      <c r="IW124" s="38" t="n">
        <v>0</v>
      </c>
      <c r="IX124" s="284" t="n"/>
      <c r="IY124" s="36">
        <f>$KN124*10</f>
        <v/>
      </c>
      <c r="IZ124" s="284" t="n"/>
      <c r="JA124" s="38" t="n">
        <v>0</v>
      </c>
      <c r="JB124" s="284" t="n"/>
      <c r="JC124" s="36">
        <f>$KN124*10</f>
        <v/>
      </c>
      <c r="JD124" s="284" t="n"/>
      <c r="JE124" s="38" t="n">
        <v>0</v>
      </c>
      <c r="JF124" s="284" t="n"/>
      <c r="JG124" s="36">
        <f>$KN124*10</f>
        <v/>
      </c>
      <c r="JH124" s="284" t="n"/>
      <c r="JI124" s="38" t="n">
        <v>0</v>
      </c>
      <c r="JJ124" s="284" t="n"/>
      <c r="JK124" s="36">
        <f>$KN124*10</f>
        <v/>
      </c>
      <c r="JL124" s="284" t="n"/>
      <c r="JM124" s="38" t="n">
        <v>0</v>
      </c>
      <c r="JN124" s="284" t="n"/>
      <c r="JO124" s="36">
        <f>$KN124*10</f>
        <v/>
      </c>
      <c r="JP124" s="284" t="n"/>
      <c r="JQ124" s="38" t="n">
        <v>0</v>
      </c>
      <c r="JR124" s="284" t="n"/>
      <c r="JS124" s="36">
        <f>$KN124*10</f>
        <v/>
      </c>
      <c r="JT124" s="284" t="n"/>
      <c r="JU124" s="38" t="n">
        <v>0</v>
      </c>
      <c r="JV124" s="284" t="n"/>
      <c r="JW124" s="36">
        <f>$KN124*10</f>
        <v/>
      </c>
      <c r="JX124" s="284" t="n"/>
      <c r="JY124" s="38" t="n">
        <v>0</v>
      </c>
      <c r="JZ124" s="284" t="n"/>
      <c r="KA124" s="36">
        <f>$KN124*10</f>
        <v/>
      </c>
      <c r="KB124" s="284" t="n"/>
      <c r="KC124" s="38" t="n">
        <v>0</v>
      </c>
      <c r="KD124" s="284" t="n"/>
      <c r="KE124" s="338">
        <f t="array" ref="KE124">SUMPRODUCT(--(MOD(COLUMN($II124:$KD124),4)=MOD(COLUMN($II124),4)),$II124:$KD124)</f>
        <v/>
      </c>
      <c r="KF124" s="339">
        <f>KE124*$J124</f>
        <v/>
      </c>
      <c r="KG124" s="340">
        <f t="array" ref="KG124">SUMPRODUCT(--(MOD(COLUMN($II124:$KD124),4)=MOD(COLUMN($IJ124),4)),$II124:$KD124)</f>
        <v/>
      </c>
      <c r="KH124" s="341">
        <f>KG124*$J124</f>
        <v/>
      </c>
      <c r="KI124" s="342">
        <f t="array" ref="KI124">SUMPRODUCT(--(MOD(COLUMN($II124:$KD124),4)=MOD(COLUMN($IK124),4)),$II124:$KD124)</f>
        <v/>
      </c>
      <c r="KJ124" s="346">
        <f>KI124*$J124</f>
        <v/>
      </c>
      <c r="KK124" s="80" t="n"/>
      <c r="KL124" s="80" t="n"/>
      <c r="KM124" s="80" t="n"/>
      <c r="KN124" s="51" t="n">
        <v>1</v>
      </c>
      <c r="KO124" s="347" t="n"/>
    </row>
    <row r="125" outlineLevel="1" ht="28.8" customFormat="1" customHeight="1" s="68">
      <c r="A125" s="347" t="n"/>
      <c r="B125" s="347" t="n"/>
      <c r="C125" s="347" t="n"/>
      <c r="D125" s="347" t="n"/>
      <c r="E125" s="15" t="n">
        <v>4</v>
      </c>
      <c r="F125" s="15" t="n">
        <v>1</v>
      </c>
      <c r="G125" s="33" t="n">
        <v>4801020640</v>
      </c>
      <c r="H125" s="34" t="inlineStr">
        <is>
          <t>Модулятор EBS, с PEM, без фит.</t>
        </is>
      </c>
      <c r="I125" s="348">
        <f>4169.1/1.2*1.0863*1.048</f>
        <v/>
      </c>
      <c r="J125" s="337">
        <f>4169/1.2*1.0863*1.048*1.05</f>
        <v/>
      </c>
      <c r="K125" s="348" t="n"/>
      <c r="L125" s="348" t="n"/>
      <c r="M125" s="36" t="n">
        <v>0</v>
      </c>
      <c r="N125" s="284" t="n">
        <v>0</v>
      </c>
      <c r="O125" s="38" t="n">
        <v>0</v>
      </c>
      <c r="P125" s="284" t="n"/>
      <c r="Q125" s="36" t="n">
        <v>0</v>
      </c>
      <c r="R125" s="284" t="n">
        <v>0</v>
      </c>
      <c r="S125" s="38" t="n">
        <v>0</v>
      </c>
      <c r="T125" s="284" t="n"/>
      <c r="U125" s="36" t="n">
        <v>0</v>
      </c>
      <c r="V125" s="284" t="n">
        <v>0</v>
      </c>
      <c r="W125" s="38" t="n">
        <v>0</v>
      </c>
      <c r="X125" s="284" t="n"/>
      <c r="Y125" s="36" t="n">
        <v>0</v>
      </c>
      <c r="Z125" s="284" t="n">
        <v>0</v>
      </c>
      <c r="AA125" s="38" t="n">
        <v>0</v>
      </c>
      <c r="AB125" s="284" t="n"/>
      <c r="AC125" s="36" t="n">
        <v>0</v>
      </c>
      <c r="AD125" s="284" t="n">
        <v>0</v>
      </c>
      <c r="AE125" s="38" t="n">
        <v>0</v>
      </c>
      <c r="AF125" s="284" t="n"/>
      <c r="AG125" s="36" t="n">
        <v>0</v>
      </c>
      <c r="AH125" s="284" t="n">
        <v>0</v>
      </c>
      <c r="AI125" s="38" t="n">
        <v>0</v>
      </c>
      <c r="AJ125" s="284" t="n"/>
      <c r="AK125" s="36" t="n">
        <v>0</v>
      </c>
      <c r="AL125" s="284" t="n">
        <v>0</v>
      </c>
      <c r="AM125" s="38" t="n">
        <v>0</v>
      </c>
      <c r="AN125" s="284" t="n"/>
      <c r="AO125" s="36" t="n">
        <v>0</v>
      </c>
      <c r="AP125" s="284" t="n">
        <v>0</v>
      </c>
      <c r="AQ125" s="38" t="n">
        <v>0</v>
      </c>
      <c r="AR125" s="284" t="n"/>
      <c r="AS125" s="36" t="n">
        <v>0</v>
      </c>
      <c r="AT125" s="284" t="n">
        <v>0</v>
      </c>
      <c r="AU125" s="38" t="n">
        <v>0</v>
      </c>
      <c r="AV125" s="284" t="n"/>
      <c r="AW125" s="36" t="n">
        <v>0</v>
      </c>
      <c r="AX125" s="284" t="n">
        <v>0</v>
      </c>
      <c r="AY125" s="54" t="n">
        <v>0</v>
      </c>
      <c r="AZ125" s="284" t="n"/>
      <c r="BA125" s="36" t="n">
        <v>0</v>
      </c>
      <c r="BB125" s="284" t="n">
        <v>0</v>
      </c>
      <c r="BC125" s="92" t="n">
        <v>0</v>
      </c>
      <c r="BD125" s="284" t="n"/>
      <c r="BE125" s="36" t="n">
        <v>0</v>
      </c>
      <c r="BF125" s="284">
        <f>$KN125*0</f>
        <v/>
      </c>
      <c r="BG125" s="54" t="n">
        <v>0</v>
      </c>
      <c r="BH125" s="284" t="n"/>
      <c r="BI125" s="338">
        <f>SUMPRODUCT(--(MOD(COLUMN($M125:$BH125),4)=MOD(COLUMN($M125),4)),$M125:$BH125)</f>
        <v/>
      </c>
      <c r="BJ125" s="339">
        <f>BI125*$I125</f>
        <v/>
      </c>
      <c r="BK125" s="340">
        <f>SUMPRODUCT(--(MOD(COLUMN($M125:$BH125),4)=MOD(COLUMN($M125)+1,4)),$M125:$BH125)</f>
        <v/>
      </c>
      <c r="BL125" s="341">
        <f>BK125*$I125</f>
        <v/>
      </c>
      <c r="BM125" s="342">
        <f>SUMPRODUCT(--(MOD(COLUMN($M125:$BH125),4)=MOD(COLUMN($M125)+2,4)),$M125:$BH125)</f>
        <v/>
      </c>
      <c r="BN125" s="343">
        <f>BM125*$I125</f>
        <v/>
      </c>
      <c r="BO125" s="36" t="n"/>
      <c r="BP125" s="47" t="n"/>
      <c r="BQ125" s="39" t="n"/>
      <c r="BR125" s="38" t="n">
        <v>2</v>
      </c>
      <c r="BS125" s="284" t="n"/>
      <c r="BT125" s="36" t="n"/>
      <c r="BU125" s="47" t="n"/>
      <c r="BV125" s="284">
        <f>$KN125*0</f>
        <v/>
      </c>
      <c r="BW125" s="38" t="n">
        <v>0</v>
      </c>
      <c r="BX125" s="347" t="n"/>
      <c r="BY125" s="36">
        <f>$KN125*1</f>
        <v/>
      </c>
      <c r="BZ125" s="47">
        <f>$KN125*0</f>
        <v/>
      </c>
      <c r="CA125" s="284" t="n">
        <v>0</v>
      </c>
      <c r="CB125" s="38" t="n">
        <v>0</v>
      </c>
      <c r="CC125" s="284" t="n"/>
      <c r="CD125" s="36">
        <f>$KN125*0</f>
        <v/>
      </c>
      <c r="CE125" s="47">
        <f>$KN125*0</f>
        <v/>
      </c>
      <c r="CF125" s="284" t="n">
        <v>0</v>
      </c>
      <c r="CG125" s="38" t="n">
        <v>0</v>
      </c>
      <c r="CH125" s="284" t="n"/>
      <c r="CI125" s="36">
        <f>$KN125*5</f>
        <v/>
      </c>
      <c r="CJ125" s="47">
        <f>$KN125*3</f>
        <v/>
      </c>
      <c r="CK125" s="284">
        <f>$KN125*0</f>
        <v/>
      </c>
      <c r="CL125" s="38" t="n">
        <v>0</v>
      </c>
      <c r="CM125" s="347" t="n"/>
      <c r="CN125" s="36">
        <f>$KN125*5</f>
        <v/>
      </c>
      <c r="CO125" s="47">
        <f>$KN125*3</f>
        <v/>
      </c>
      <c r="CP125" s="284">
        <f>$KN125*0</f>
        <v/>
      </c>
      <c r="CQ125" s="38" t="n">
        <v>0</v>
      </c>
      <c r="CR125" s="347" t="n"/>
      <c r="CS125" s="36">
        <f>$KN125*5</f>
        <v/>
      </c>
      <c r="CT125" s="47">
        <f>$KN125*3</f>
        <v/>
      </c>
      <c r="CU125" s="284">
        <f>$KN125*0</f>
        <v/>
      </c>
      <c r="CV125" s="52" t="n">
        <v>0</v>
      </c>
      <c r="CW125" s="347" t="n"/>
      <c r="CX125" s="36">
        <f>$KN125*5</f>
        <v/>
      </c>
      <c r="CY125" s="47">
        <f>$KN125*3</f>
        <v/>
      </c>
      <c r="CZ125" s="284">
        <f>$KN125*0</f>
        <v/>
      </c>
      <c r="DA125" s="38" t="n">
        <v>0</v>
      </c>
      <c r="DB125" s="284" t="n"/>
      <c r="DC125" s="36">
        <f>$KN125*5</f>
        <v/>
      </c>
      <c r="DD125" s="47">
        <f>$KN125*3</f>
        <v/>
      </c>
      <c r="DE125" s="284">
        <f>$KN125*0</f>
        <v/>
      </c>
      <c r="DF125" s="38" t="n">
        <v>0</v>
      </c>
      <c r="DG125" s="284" t="n"/>
      <c r="DH125" s="36">
        <f>$KN125*5</f>
        <v/>
      </c>
      <c r="DI125" s="47">
        <f>$KN125*3</f>
        <v/>
      </c>
      <c r="DJ125" s="284">
        <f>$KN125*0</f>
        <v/>
      </c>
      <c r="DK125" s="52" t="n">
        <v>0</v>
      </c>
      <c r="DL125" s="284" t="n"/>
      <c r="DM125" s="36">
        <f>$KN125*5</f>
        <v/>
      </c>
      <c r="DN125" s="47">
        <f>$KN125*3</f>
        <v/>
      </c>
      <c r="DO125" s="284">
        <f>$KN125*0</f>
        <v/>
      </c>
      <c r="DP125" s="38" t="n">
        <v>0</v>
      </c>
      <c r="DQ125" s="284" t="n"/>
      <c r="DR125" s="36">
        <f>$KN125*5</f>
        <v/>
      </c>
      <c r="DS125" s="47">
        <f>$KN125*3</f>
        <v/>
      </c>
      <c r="DT125" s="284">
        <f>$KN125*0</f>
        <v/>
      </c>
      <c r="DU125" s="38" t="n">
        <v>0</v>
      </c>
      <c r="DV125" s="284" t="n"/>
      <c r="DW125" s="338">
        <f t="array" ref="DW125">SUMPRODUCT(--(MOD(COLUMN($BO125:$DV125),5)=MOD(COLUMN($BO125),5)),$BO125:$DV125)</f>
        <v/>
      </c>
      <c r="DX125" s="339">
        <f>DW125*$J125</f>
        <v/>
      </c>
      <c r="DY125" s="344">
        <f t="array" ref="DY125">SUMPRODUCT(--(MOD(COLUMN($BO125:$DV125),5)=MOD(COLUMN($BP125),5)),$BO125:$DV125)</f>
        <v/>
      </c>
      <c r="DZ125" s="345">
        <f>DY125*$J125</f>
        <v/>
      </c>
      <c r="EA125" s="340">
        <f t="array" ref="EA125">SUMPRODUCT(--(MOD(COLUMN($BO125:$DV125),5)=MOD(COLUMN($BQ125),5)),$BO125:$DV125)</f>
        <v/>
      </c>
      <c r="EB125" s="341">
        <f>EA125*$J125</f>
        <v/>
      </c>
      <c r="EC125" s="342">
        <f t="array" ref="EC125">SUMPRODUCT(--(MOD(COLUMN($BO125:$DV125),5)=MOD(COLUMN($BR125),5)),$BO125:$DV125)</f>
        <v/>
      </c>
      <c r="ED125" s="343">
        <f>EC125*$J125</f>
        <v/>
      </c>
      <c r="EE125" s="36">
        <f>$KN125*0</f>
        <v/>
      </c>
      <c r="EF125" s="284" t="n">
        <v>0</v>
      </c>
      <c r="EG125" s="38" t="n"/>
      <c r="EH125" s="284" t="n"/>
      <c r="EI125" s="36">
        <f>$KN125*0</f>
        <v/>
      </c>
      <c r="EJ125" s="284" t="n">
        <v>0</v>
      </c>
      <c r="EK125" s="38" t="n"/>
      <c r="EL125" s="284" t="n"/>
      <c r="EM125" s="36">
        <f>$KN125*1</f>
        <v/>
      </c>
      <c r="EN125" s="284" t="n">
        <v>0</v>
      </c>
      <c r="EO125" s="38" t="n">
        <v>0</v>
      </c>
      <c r="EP125" s="284" t="n"/>
      <c r="EQ125" s="36">
        <f>$KN125*2</f>
        <v/>
      </c>
      <c r="ER125" s="284" t="n">
        <v>0</v>
      </c>
      <c r="ES125" s="38" t="n">
        <v>0</v>
      </c>
      <c r="ET125" s="284" t="n"/>
      <c r="EU125" s="36">
        <f>$KN125*3</f>
        <v/>
      </c>
      <c r="EV125" s="39" t="n">
        <v>0</v>
      </c>
      <c r="EW125" s="38" t="n">
        <v>0</v>
      </c>
      <c r="EX125" s="284" t="n"/>
      <c r="EY125" s="36">
        <f>$KN125*3</f>
        <v/>
      </c>
      <c r="EZ125" s="284" t="n">
        <v>3</v>
      </c>
      <c r="FA125" s="38" t="n">
        <v>0</v>
      </c>
      <c r="FB125" s="284" t="n"/>
      <c r="FC125" s="36">
        <f>$KN125*5</f>
        <v/>
      </c>
      <c r="FD125" s="284" t="n">
        <v>5</v>
      </c>
      <c r="FE125" s="38" t="n">
        <v>0</v>
      </c>
      <c r="FF125" s="284" t="n"/>
      <c r="FG125" s="36">
        <f>$KN125*5</f>
        <v/>
      </c>
      <c r="FH125" s="284" t="n">
        <v>5</v>
      </c>
      <c r="FI125" s="38" t="n">
        <v>0</v>
      </c>
      <c r="FJ125" s="284" t="n"/>
      <c r="FK125" s="36">
        <f>$KN125*5</f>
        <v/>
      </c>
      <c r="FL125" s="284" t="n">
        <v>5</v>
      </c>
      <c r="FM125" s="38" t="n">
        <v>0</v>
      </c>
      <c r="FN125" s="284" t="n"/>
      <c r="FO125" s="36">
        <f>$KN125*6</f>
        <v/>
      </c>
      <c r="FP125" s="284" t="n">
        <v>6</v>
      </c>
      <c r="FQ125" s="38" t="n">
        <v>0</v>
      </c>
      <c r="FR125" s="284" t="n"/>
      <c r="FS125" s="36">
        <f>$KN125*6</f>
        <v/>
      </c>
      <c r="FT125" s="284" t="n">
        <v>6</v>
      </c>
      <c r="FU125" s="38" t="n">
        <v>0</v>
      </c>
      <c r="FV125" s="284" t="n"/>
      <c r="FW125" s="36">
        <f>$KN125*6</f>
        <v/>
      </c>
      <c r="FX125" s="284" t="n">
        <v>6</v>
      </c>
      <c r="FY125" s="38" t="n">
        <v>0</v>
      </c>
      <c r="FZ125" s="284" t="n"/>
      <c r="GA125" s="338">
        <f t="array" ref="GA125">SUMPRODUCT(--(MOD(COLUMN($EE125:$FZ125),4)=MOD(COLUMN($EE125),4)),$EE125:$FZ125)</f>
        <v/>
      </c>
      <c r="GB125" s="339">
        <f>GA125*$J125</f>
        <v/>
      </c>
      <c r="GC125" s="340">
        <f t="array" ref="GC125">SUMPRODUCT(--(MOD(COLUMN($EE125:$FZ125),4)=MOD(COLUMN($EF125),4)),$EE125:$FZ125)</f>
        <v/>
      </c>
      <c r="GD125" s="341">
        <f>GC125*$J125</f>
        <v/>
      </c>
      <c r="GE125" s="342">
        <f t="array" ref="GE125">SUMPRODUCT(--(MOD(COLUMN($EE125:$FZ125),4)=MOD(COLUMN($EG125),4)),$EE125:$FZ125)</f>
        <v/>
      </c>
      <c r="GF125" s="343">
        <f>GE125*$J125</f>
        <v/>
      </c>
      <c r="GG125" s="36">
        <f>$KN125*5</f>
        <v/>
      </c>
      <c r="GH125" s="284" t="n"/>
      <c r="GI125" s="38" t="n">
        <v>0</v>
      </c>
      <c r="GJ125" s="284" t="n"/>
      <c r="GK125" s="36">
        <f>$KN125*5</f>
        <v/>
      </c>
      <c r="GL125" s="284" t="n"/>
      <c r="GM125" s="38" t="n">
        <v>0</v>
      </c>
      <c r="GN125" s="284" t="n"/>
      <c r="GO125" s="36">
        <f>$KN125*7</f>
        <v/>
      </c>
      <c r="GP125" s="284" t="n"/>
      <c r="GQ125" s="38" t="n">
        <v>0</v>
      </c>
      <c r="GR125" s="284" t="n"/>
      <c r="GS125" s="36">
        <f>$KN125*10</f>
        <v/>
      </c>
      <c r="GT125" s="284" t="n"/>
      <c r="GU125" s="38" t="n">
        <v>0</v>
      </c>
      <c r="GV125" s="284" t="n"/>
      <c r="GW125" s="36">
        <f>$KN125*10</f>
        <v/>
      </c>
      <c r="GX125" s="284" t="n"/>
      <c r="GY125" s="38" t="n">
        <v>0</v>
      </c>
      <c r="GZ125" s="284" t="n"/>
      <c r="HA125" s="36">
        <f>$KN125*10</f>
        <v/>
      </c>
      <c r="HB125" s="284" t="n"/>
      <c r="HC125" s="38" t="n">
        <v>0</v>
      </c>
      <c r="HD125" s="284" t="n"/>
      <c r="HE125" s="36">
        <f>$KN125*10</f>
        <v/>
      </c>
      <c r="HF125" s="284" t="n"/>
      <c r="HG125" s="38" t="n">
        <v>0</v>
      </c>
      <c r="HH125" s="284" t="n"/>
      <c r="HI125" s="36">
        <f>$KN125*10</f>
        <v/>
      </c>
      <c r="HJ125" s="284" t="n"/>
      <c r="HK125" s="38" t="n">
        <v>0</v>
      </c>
      <c r="HL125" s="284" t="n"/>
      <c r="HM125" s="36">
        <f>$KN125*10</f>
        <v/>
      </c>
      <c r="HN125" s="284" t="n"/>
      <c r="HO125" s="38" t="n">
        <v>0</v>
      </c>
      <c r="HP125" s="284" t="n"/>
      <c r="HQ125" s="36">
        <f>$KN125*10</f>
        <v/>
      </c>
      <c r="HR125" s="284" t="n"/>
      <c r="HS125" s="38" t="n">
        <v>0</v>
      </c>
      <c r="HT125" s="284" t="n"/>
      <c r="HU125" s="36">
        <f>$KN125*10</f>
        <v/>
      </c>
      <c r="HV125" s="284" t="n"/>
      <c r="HW125" s="38" t="n">
        <v>0</v>
      </c>
      <c r="HX125" s="284" t="n"/>
      <c r="HY125" s="36">
        <f>$KN125*10</f>
        <v/>
      </c>
      <c r="HZ125" s="284" t="n"/>
      <c r="IA125" s="38" t="n">
        <v>0</v>
      </c>
      <c r="IB125" s="284" t="n"/>
      <c r="IC125" s="338">
        <f t="array" ref="IC125">SUMPRODUCT(--(MOD(COLUMN($GG125:$IB125),4)=MOD(COLUMN($GG125),4)),$GG125:$IB125)</f>
        <v/>
      </c>
      <c r="ID125" s="339">
        <f>IC125*$J125</f>
        <v/>
      </c>
      <c r="IE125" s="340">
        <f t="array" ref="IE125">SUMPRODUCT(--(MOD(COLUMN($GG125:$IB125),4)=MOD(COLUMN($GH125),4)),$GG125:$IB125)</f>
        <v/>
      </c>
      <c r="IF125" s="341">
        <f>IE125*$J125</f>
        <v/>
      </c>
      <c r="IG125" s="342">
        <f t="array" ref="IG125">SUMPRODUCT(--(MOD(COLUMN($GG125:$IB125),4)=MOD(COLUMN($GI125),4)),$GG125:$IB125)</f>
        <v/>
      </c>
      <c r="IH125" s="343">
        <f>IG125*$J125</f>
        <v/>
      </c>
      <c r="II125" s="36">
        <f>$KN125*5</f>
        <v/>
      </c>
      <c r="IJ125" s="284" t="n"/>
      <c r="IK125" s="38" t="n">
        <v>0</v>
      </c>
      <c r="IL125" s="284" t="n"/>
      <c r="IM125" s="36">
        <f>$KN125*5</f>
        <v/>
      </c>
      <c r="IN125" s="284" t="n"/>
      <c r="IO125" s="38" t="n">
        <v>0</v>
      </c>
      <c r="IP125" s="284" t="n"/>
      <c r="IQ125" s="36">
        <f>$KN125*7</f>
        <v/>
      </c>
      <c r="IR125" s="284" t="n"/>
      <c r="IS125" s="38" t="n">
        <v>0</v>
      </c>
      <c r="IT125" s="284" t="n"/>
      <c r="IU125" s="36">
        <f>$KN125*10</f>
        <v/>
      </c>
      <c r="IV125" s="284" t="n"/>
      <c r="IW125" s="38" t="n">
        <v>0</v>
      </c>
      <c r="IX125" s="284" t="n"/>
      <c r="IY125" s="36">
        <f>$KN125*10</f>
        <v/>
      </c>
      <c r="IZ125" s="284" t="n"/>
      <c r="JA125" s="38" t="n">
        <v>0</v>
      </c>
      <c r="JB125" s="284" t="n"/>
      <c r="JC125" s="36">
        <f>$KN125*10</f>
        <v/>
      </c>
      <c r="JD125" s="284" t="n"/>
      <c r="JE125" s="38" t="n">
        <v>0</v>
      </c>
      <c r="JF125" s="284" t="n"/>
      <c r="JG125" s="36">
        <f>$KN125*10</f>
        <v/>
      </c>
      <c r="JH125" s="284" t="n"/>
      <c r="JI125" s="38" t="n">
        <v>0</v>
      </c>
      <c r="JJ125" s="284" t="n"/>
      <c r="JK125" s="36">
        <f>$KN125*10</f>
        <v/>
      </c>
      <c r="JL125" s="284" t="n"/>
      <c r="JM125" s="38" t="n">
        <v>0</v>
      </c>
      <c r="JN125" s="284" t="n"/>
      <c r="JO125" s="36">
        <f>$KN125*10</f>
        <v/>
      </c>
      <c r="JP125" s="284" t="n"/>
      <c r="JQ125" s="38" t="n">
        <v>0</v>
      </c>
      <c r="JR125" s="284" t="n"/>
      <c r="JS125" s="36">
        <f>$KN125*10</f>
        <v/>
      </c>
      <c r="JT125" s="284" t="n"/>
      <c r="JU125" s="38" t="n">
        <v>0</v>
      </c>
      <c r="JV125" s="284" t="n"/>
      <c r="JW125" s="36">
        <f>$KN125*10</f>
        <v/>
      </c>
      <c r="JX125" s="284" t="n"/>
      <c r="JY125" s="38" t="n">
        <v>0</v>
      </c>
      <c r="JZ125" s="284" t="n"/>
      <c r="KA125" s="36">
        <f>$KN125*10</f>
        <v/>
      </c>
      <c r="KB125" s="284" t="n"/>
      <c r="KC125" s="38" t="n">
        <v>0</v>
      </c>
      <c r="KD125" s="284" t="n"/>
      <c r="KE125" s="338">
        <f t="array" ref="KE125">SUMPRODUCT(--(MOD(COLUMN($II125:$KD125),4)=MOD(COLUMN($II125),4)),$II125:$KD125)</f>
        <v/>
      </c>
      <c r="KF125" s="339">
        <f>KE125*$J125</f>
        <v/>
      </c>
      <c r="KG125" s="340">
        <f t="array" ref="KG125">SUMPRODUCT(--(MOD(COLUMN($II125:$KD125),4)=MOD(COLUMN($IJ125),4)),$II125:$KD125)</f>
        <v/>
      </c>
      <c r="KH125" s="341">
        <f>KG125*$J125</f>
        <v/>
      </c>
      <c r="KI125" s="342">
        <f t="array" ref="KI125">SUMPRODUCT(--(MOD(COLUMN($II125:$KD125),4)=MOD(COLUMN($IK125),4)),$II125:$KD125)</f>
        <v/>
      </c>
      <c r="KJ125" s="346">
        <f>KI125*$J125</f>
        <v/>
      </c>
      <c r="KK125" s="80" t="n"/>
      <c r="KL125" s="80" t="n"/>
      <c r="KM125" s="80" t="n"/>
      <c r="KN125" s="51" t="n">
        <v>1</v>
      </c>
      <c r="KO125" s="347" t="n"/>
    </row>
    <row r="126" outlineLevel="1" customFormat="1" s="68">
      <c r="A126" s="347" t="n"/>
      <c r="B126" s="347" t="n"/>
      <c r="C126" s="347" t="n"/>
      <c r="D126" s="347" t="n"/>
      <c r="E126" s="15" t="n">
        <v>5</v>
      </c>
      <c r="F126" s="15" t="n">
        <v>1</v>
      </c>
      <c r="G126" s="33" t="n">
        <v>4491731200</v>
      </c>
      <c r="H126" s="34" t="inlineStr">
        <is>
          <t>Кабель питания, 12 м</t>
        </is>
      </c>
      <c r="I126" s="337">
        <f>842.2/1.2/0.98</f>
        <v/>
      </c>
      <c r="J126" s="337">
        <f>842.2/1.2*1.0863</f>
        <v/>
      </c>
      <c r="K126" s="348" t="n"/>
      <c r="L126" s="348" t="n"/>
      <c r="M126" s="36" t="n">
        <v>0</v>
      </c>
      <c r="N126" s="284" t="n">
        <v>0</v>
      </c>
      <c r="O126" s="38" t="n">
        <v>0</v>
      </c>
      <c r="P126" s="284" t="n"/>
      <c r="Q126" s="36" t="n">
        <v>0</v>
      </c>
      <c r="R126" s="284" t="n">
        <v>0</v>
      </c>
      <c r="S126" s="38" t="n">
        <v>0</v>
      </c>
      <c r="T126" s="284" t="n"/>
      <c r="U126" s="36" t="n">
        <v>0</v>
      </c>
      <c r="V126" s="284" t="n">
        <v>0</v>
      </c>
      <c r="W126" s="38" t="n">
        <v>0</v>
      </c>
      <c r="X126" s="284" t="n"/>
      <c r="Y126" s="36" t="n">
        <v>0</v>
      </c>
      <c r="Z126" s="284" t="n">
        <v>0</v>
      </c>
      <c r="AA126" s="38" t="n">
        <v>0</v>
      </c>
      <c r="AB126" s="284" t="n"/>
      <c r="AC126" s="36" t="n">
        <v>0</v>
      </c>
      <c r="AD126" s="284" t="n">
        <v>0</v>
      </c>
      <c r="AE126" s="38" t="n">
        <v>0</v>
      </c>
      <c r="AF126" s="284" t="n"/>
      <c r="AG126" s="36" t="n">
        <v>0</v>
      </c>
      <c r="AH126" s="284" t="n">
        <v>0</v>
      </c>
      <c r="AI126" s="38" t="n">
        <v>0</v>
      </c>
      <c r="AJ126" s="284" t="n"/>
      <c r="AK126" s="36" t="n">
        <v>0</v>
      </c>
      <c r="AL126" s="284" t="n">
        <v>0</v>
      </c>
      <c r="AM126" s="38" t="n">
        <v>0</v>
      </c>
      <c r="AN126" s="284" t="n"/>
      <c r="AO126" s="36" t="n">
        <v>0</v>
      </c>
      <c r="AP126" s="284" t="n">
        <v>0</v>
      </c>
      <c r="AQ126" s="38" t="n">
        <v>0</v>
      </c>
      <c r="AR126" s="284" t="n"/>
      <c r="AS126" s="36" t="n">
        <v>0</v>
      </c>
      <c r="AT126" s="284" t="n">
        <v>0</v>
      </c>
      <c r="AU126" s="38" t="n">
        <v>0</v>
      </c>
      <c r="AV126" s="284" t="n"/>
      <c r="AW126" s="36" t="n">
        <v>0</v>
      </c>
      <c r="AX126" s="284" t="n">
        <v>0</v>
      </c>
      <c r="AY126" s="54" t="n">
        <v>0</v>
      </c>
      <c r="AZ126" s="284" t="n"/>
      <c r="BA126" s="36" t="n">
        <v>0</v>
      </c>
      <c r="BB126" s="284" t="n">
        <v>0</v>
      </c>
      <c r="BC126" s="92" t="n">
        <v>0</v>
      </c>
      <c r="BD126" s="284" t="n"/>
      <c r="BE126" s="36" t="n">
        <v>0</v>
      </c>
      <c r="BF126" s="284">
        <f>$KN126*0</f>
        <v/>
      </c>
      <c r="BG126" s="54" t="n">
        <v>0</v>
      </c>
      <c r="BH126" s="284" t="n"/>
      <c r="BI126" s="338">
        <f>SUMPRODUCT(--(MOD(COLUMN($M126:$BH126),4)=MOD(COLUMN($M126),4)),$M126:$BH126)</f>
        <v/>
      </c>
      <c r="BJ126" s="339">
        <f>BI126*$I126</f>
        <v/>
      </c>
      <c r="BK126" s="340">
        <f>SUMPRODUCT(--(MOD(COLUMN($M126:$BH126),4)=MOD(COLUMN($M126)+1,4)),$M126:$BH126)</f>
        <v/>
      </c>
      <c r="BL126" s="341">
        <f>BK126*$I126</f>
        <v/>
      </c>
      <c r="BM126" s="342">
        <f>SUMPRODUCT(--(MOD(COLUMN($M126:$BH126),4)=MOD(COLUMN($M126)+2,4)),$M126:$BH126)</f>
        <v/>
      </c>
      <c r="BN126" s="343">
        <f>BM126*$I126</f>
        <v/>
      </c>
      <c r="BO126" s="36" t="n"/>
      <c r="BP126" s="47" t="n"/>
      <c r="BQ126" s="39" t="n"/>
      <c r="BR126" s="38" t="n">
        <v>2</v>
      </c>
      <c r="BS126" s="284" t="n"/>
      <c r="BT126" s="36" t="n"/>
      <c r="BU126" s="47" t="n"/>
      <c r="BV126" s="284">
        <f>$KN126*0</f>
        <v/>
      </c>
      <c r="BW126" s="38" t="n">
        <v>0</v>
      </c>
      <c r="BX126" s="347" t="n"/>
      <c r="BY126" s="36">
        <f>$KN126*1</f>
        <v/>
      </c>
      <c r="BZ126" s="47">
        <f>$KN126*0</f>
        <v/>
      </c>
      <c r="CA126" s="284" t="n">
        <v>0</v>
      </c>
      <c r="CB126" s="38" t="n">
        <v>0</v>
      </c>
      <c r="CC126" s="284" t="n"/>
      <c r="CD126" s="36">
        <f>$KN126*0</f>
        <v/>
      </c>
      <c r="CE126" s="47">
        <f>$KN126*0</f>
        <v/>
      </c>
      <c r="CF126" s="284" t="n">
        <v>0</v>
      </c>
      <c r="CG126" s="38" t="n">
        <v>0</v>
      </c>
      <c r="CH126" s="284" t="n"/>
      <c r="CI126" s="36">
        <f>$KN126*5</f>
        <v/>
      </c>
      <c r="CJ126" s="47">
        <f>$KN126*3</f>
        <v/>
      </c>
      <c r="CK126" s="284">
        <f>$KN126*0</f>
        <v/>
      </c>
      <c r="CL126" s="38" t="n">
        <v>0</v>
      </c>
      <c r="CM126" s="347" t="n"/>
      <c r="CN126" s="36">
        <f>$KN126*5</f>
        <v/>
      </c>
      <c r="CO126" s="47">
        <f>$KN126*3</f>
        <v/>
      </c>
      <c r="CP126" s="284">
        <f>$KN126*0</f>
        <v/>
      </c>
      <c r="CQ126" s="38" t="n">
        <v>0</v>
      </c>
      <c r="CR126" s="347" t="n"/>
      <c r="CS126" s="36">
        <f>$KN126*5</f>
        <v/>
      </c>
      <c r="CT126" s="47">
        <f>$KN126*3</f>
        <v/>
      </c>
      <c r="CU126" s="284">
        <f>$KN126*0</f>
        <v/>
      </c>
      <c r="CV126" s="38" t="n">
        <v>0</v>
      </c>
      <c r="CW126" s="347" t="n"/>
      <c r="CX126" s="36">
        <f>$KN126*5</f>
        <v/>
      </c>
      <c r="CY126" s="47">
        <f>$KN126*3</f>
        <v/>
      </c>
      <c r="CZ126" s="284">
        <f>$KN126*0</f>
        <v/>
      </c>
      <c r="DA126" s="38" t="n">
        <v>0</v>
      </c>
      <c r="DB126" s="284" t="n"/>
      <c r="DC126" s="36">
        <f>$KN126*5</f>
        <v/>
      </c>
      <c r="DD126" s="47">
        <f>$KN126*3</f>
        <v/>
      </c>
      <c r="DE126" s="284">
        <f>$KN126*0</f>
        <v/>
      </c>
      <c r="DF126" s="38" t="n">
        <v>0</v>
      </c>
      <c r="DG126" s="284" t="n"/>
      <c r="DH126" s="36">
        <f>$KN126*5</f>
        <v/>
      </c>
      <c r="DI126" s="47">
        <f>$KN126*3</f>
        <v/>
      </c>
      <c r="DJ126" s="284">
        <f>$KN126*0</f>
        <v/>
      </c>
      <c r="DK126" s="38" t="n">
        <v>0</v>
      </c>
      <c r="DL126" s="284" t="n"/>
      <c r="DM126" s="36">
        <f>$KN126*5</f>
        <v/>
      </c>
      <c r="DN126" s="47">
        <f>$KN126*3</f>
        <v/>
      </c>
      <c r="DO126" s="284">
        <f>$KN126*0</f>
        <v/>
      </c>
      <c r="DP126" s="38" t="n">
        <v>0</v>
      </c>
      <c r="DQ126" s="284" t="n"/>
      <c r="DR126" s="36">
        <f>$KN126*5</f>
        <v/>
      </c>
      <c r="DS126" s="47">
        <f>$KN126*3</f>
        <v/>
      </c>
      <c r="DT126" s="284">
        <f>$KN126*0</f>
        <v/>
      </c>
      <c r="DU126" s="38" t="n">
        <v>0</v>
      </c>
      <c r="DV126" s="284" t="n"/>
      <c r="DW126" s="338">
        <f t="array" ref="DW126">SUMPRODUCT(--(MOD(COLUMN($BO126:$DV126),5)=MOD(COLUMN($BO126),5)),$BO126:$DV126)</f>
        <v/>
      </c>
      <c r="DX126" s="339">
        <f>DW126*$J126</f>
        <v/>
      </c>
      <c r="DY126" s="344">
        <f t="array" ref="DY126">SUMPRODUCT(--(MOD(COLUMN($BO126:$DV126),5)=MOD(COLUMN($BP126),5)),$BO126:$DV126)</f>
        <v/>
      </c>
      <c r="DZ126" s="345">
        <f>DY126*$J126</f>
        <v/>
      </c>
      <c r="EA126" s="340">
        <f t="array" ref="EA126">SUMPRODUCT(--(MOD(COLUMN($BO126:$DV126),5)=MOD(COLUMN($BQ126),5)),$BO126:$DV126)</f>
        <v/>
      </c>
      <c r="EB126" s="341">
        <f>EA126*$J126</f>
        <v/>
      </c>
      <c r="EC126" s="342">
        <f t="array" ref="EC126">SUMPRODUCT(--(MOD(COLUMN($BO126:$DV126),5)=MOD(COLUMN($BR126),5)),$BO126:$DV126)</f>
        <v/>
      </c>
      <c r="ED126" s="343">
        <f>EC126*$J126</f>
        <v/>
      </c>
      <c r="EE126" s="36">
        <f>$KN126*0</f>
        <v/>
      </c>
      <c r="EF126" s="284" t="n">
        <v>0</v>
      </c>
      <c r="EG126" s="38" t="n"/>
      <c r="EH126" s="284" t="n"/>
      <c r="EI126" s="36">
        <f>$KN126*0</f>
        <v/>
      </c>
      <c r="EJ126" s="284" t="n">
        <v>0</v>
      </c>
      <c r="EK126" s="38" t="n"/>
      <c r="EL126" s="284" t="n"/>
      <c r="EM126" s="36">
        <f>$KN126*1</f>
        <v/>
      </c>
      <c r="EN126" s="284" t="n">
        <v>0</v>
      </c>
      <c r="EO126" s="38" t="n">
        <v>0</v>
      </c>
      <c r="EP126" s="284" t="n"/>
      <c r="EQ126" s="36">
        <f>$KN126*2</f>
        <v/>
      </c>
      <c r="ER126" s="284" t="n">
        <v>0</v>
      </c>
      <c r="ES126" s="38" t="n">
        <v>0</v>
      </c>
      <c r="ET126" s="284" t="n"/>
      <c r="EU126" s="36">
        <f>$KN126*3</f>
        <v/>
      </c>
      <c r="EV126" s="39" t="n">
        <v>0</v>
      </c>
      <c r="EW126" s="38" t="n">
        <v>0</v>
      </c>
      <c r="EX126" s="284" t="n"/>
      <c r="EY126" s="36">
        <f>$KN126*3</f>
        <v/>
      </c>
      <c r="EZ126" s="284" t="n">
        <v>3</v>
      </c>
      <c r="FA126" s="38" t="n">
        <v>0</v>
      </c>
      <c r="FB126" s="284" t="n"/>
      <c r="FC126" s="36">
        <f>$KN126*5</f>
        <v/>
      </c>
      <c r="FD126" s="284" t="n">
        <v>5</v>
      </c>
      <c r="FE126" s="38" t="n">
        <v>0</v>
      </c>
      <c r="FF126" s="284" t="n"/>
      <c r="FG126" s="36">
        <f>$KN126*5</f>
        <v/>
      </c>
      <c r="FH126" s="284" t="n">
        <v>5</v>
      </c>
      <c r="FI126" s="38" t="n">
        <v>0</v>
      </c>
      <c r="FJ126" s="284" t="n"/>
      <c r="FK126" s="36">
        <f>$KN126*5</f>
        <v/>
      </c>
      <c r="FL126" s="284" t="n">
        <v>5</v>
      </c>
      <c r="FM126" s="38" t="n">
        <v>0</v>
      </c>
      <c r="FN126" s="284" t="n"/>
      <c r="FO126" s="36">
        <f>$KN126*6</f>
        <v/>
      </c>
      <c r="FP126" s="284" t="n">
        <v>6</v>
      </c>
      <c r="FQ126" s="38" t="n">
        <v>0</v>
      </c>
      <c r="FR126" s="284" t="n"/>
      <c r="FS126" s="36">
        <f>$KN126*6</f>
        <v/>
      </c>
      <c r="FT126" s="284" t="n">
        <v>6</v>
      </c>
      <c r="FU126" s="38" t="n">
        <v>0</v>
      </c>
      <c r="FV126" s="284" t="n"/>
      <c r="FW126" s="36">
        <f>$KN126*6</f>
        <v/>
      </c>
      <c r="FX126" s="284" t="n">
        <v>6</v>
      </c>
      <c r="FY126" s="38" t="n">
        <v>0</v>
      </c>
      <c r="FZ126" s="284" t="n"/>
      <c r="GA126" s="338">
        <f t="array" ref="GA126">SUMPRODUCT(--(MOD(COLUMN($EE126:$FZ126),4)=MOD(COLUMN($EE126),4)),$EE126:$FZ126)</f>
        <v/>
      </c>
      <c r="GB126" s="339">
        <f>GA126*$J126</f>
        <v/>
      </c>
      <c r="GC126" s="340">
        <f t="array" ref="GC126">SUMPRODUCT(--(MOD(COLUMN($EE126:$FZ126),4)=MOD(COLUMN($EF126),4)),$EE126:$FZ126)</f>
        <v/>
      </c>
      <c r="GD126" s="341">
        <f>GC126*$J126</f>
        <v/>
      </c>
      <c r="GE126" s="342">
        <f t="array" ref="GE126">SUMPRODUCT(--(MOD(COLUMN($EE126:$FZ126),4)=MOD(COLUMN($EG126),4)),$EE126:$FZ126)</f>
        <v/>
      </c>
      <c r="GF126" s="343">
        <f>GE126*$J126</f>
        <v/>
      </c>
      <c r="GG126" s="36">
        <f>$KN126*5</f>
        <v/>
      </c>
      <c r="GH126" s="284" t="n"/>
      <c r="GI126" s="38" t="n">
        <v>0</v>
      </c>
      <c r="GJ126" s="284" t="n"/>
      <c r="GK126" s="36">
        <f>$KN126*5</f>
        <v/>
      </c>
      <c r="GL126" s="284" t="n"/>
      <c r="GM126" s="38" t="n">
        <v>0</v>
      </c>
      <c r="GN126" s="284" t="n"/>
      <c r="GO126" s="36">
        <f>$KN126*7</f>
        <v/>
      </c>
      <c r="GP126" s="284" t="n"/>
      <c r="GQ126" s="38" t="n">
        <v>0</v>
      </c>
      <c r="GR126" s="284" t="n"/>
      <c r="GS126" s="36">
        <f>$KN126*10</f>
        <v/>
      </c>
      <c r="GT126" s="284" t="n"/>
      <c r="GU126" s="38" t="n">
        <v>0</v>
      </c>
      <c r="GV126" s="284" t="n"/>
      <c r="GW126" s="36">
        <f>$KN126*10</f>
        <v/>
      </c>
      <c r="GX126" s="284" t="n"/>
      <c r="GY126" s="38" t="n">
        <v>0</v>
      </c>
      <c r="GZ126" s="284" t="n"/>
      <c r="HA126" s="36">
        <f>$KN126*10</f>
        <v/>
      </c>
      <c r="HB126" s="284" t="n"/>
      <c r="HC126" s="38" t="n">
        <v>0</v>
      </c>
      <c r="HD126" s="284" t="n"/>
      <c r="HE126" s="36">
        <f>$KN126*10</f>
        <v/>
      </c>
      <c r="HF126" s="284" t="n"/>
      <c r="HG126" s="38" t="n">
        <v>0</v>
      </c>
      <c r="HH126" s="284" t="n"/>
      <c r="HI126" s="36">
        <f>$KN126*10</f>
        <v/>
      </c>
      <c r="HJ126" s="284" t="n"/>
      <c r="HK126" s="38" t="n">
        <v>0</v>
      </c>
      <c r="HL126" s="284" t="n"/>
      <c r="HM126" s="36">
        <f>$KN126*10</f>
        <v/>
      </c>
      <c r="HN126" s="284" t="n"/>
      <c r="HO126" s="38" t="n">
        <v>0</v>
      </c>
      <c r="HP126" s="284" t="n"/>
      <c r="HQ126" s="36">
        <f>$KN126*10</f>
        <v/>
      </c>
      <c r="HR126" s="284" t="n"/>
      <c r="HS126" s="38" t="n">
        <v>0</v>
      </c>
      <c r="HT126" s="284" t="n"/>
      <c r="HU126" s="36">
        <f>$KN126*10</f>
        <v/>
      </c>
      <c r="HV126" s="284" t="n"/>
      <c r="HW126" s="38" t="n">
        <v>0</v>
      </c>
      <c r="HX126" s="284" t="n"/>
      <c r="HY126" s="36">
        <f>$KN126*10</f>
        <v/>
      </c>
      <c r="HZ126" s="284" t="n"/>
      <c r="IA126" s="38" t="n">
        <v>0</v>
      </c>
      <c r="IB126" s="284" t="n"/>
      <c r="IC126" s="338">
        <f t="array" ref="IC126">SUMPRODUCT(--(MOD(COLUMN($GG126:$IB126),4)=MOD(COLUMN($GG126),4)),$GG126:$IB126)</f>
        <v/>
      </c>
      <c r="ID126" s="339">
        <f>IC126*$J126</f>
        <v/>
      </c>
      <c r="IE126" s="340">
        <f t="array" ref="IE126">SUMPRODUCT(--(MOD(COLUMN($GG126:$IB126),4)=MOD(COLUMN($GH126),4)),$GG126:$IB126)</f>
        <v/>
      </c>
      <c r="IF126" s="341">
        <f>IE126*$J126</f>
        <v/>
      </c>
      <c r="IG126" s="342">
        <f t="array" ref="IG126">SUMPRODUCT(--(MOD(COLUMN($GG126:$IB126),4)=MOD(COLUMN($GI126),4)),$GG126:$IB126)</f>
        <v/>
      </c>
      <c r="IH126" s="343">
        <f>IG126*$J126</f>
        <v/>
      </c>
      <c r="II126" s="36">
        <f>$KN126*5</f>
        <v/>
      </c>
      <c r="IJ126" s="284" t="n"/>
      <c r="IK126" s="38" t="n">
        <v>0</v>
      </c>
      <c r="IL126" s="284" t="n"/>
      <c r="IM126" s="36">
        <f>$KN126*5</f>
        <v/>
      </c>
      <c r="IN126" s="284" t="n"/>
      <c r="IO126" s="38" t="n">
        <v>0</v>
      </c>
      <c r="IP126" s="284" t="n"/>
      <c r="IQ126" s="36">
        <f>$KN126*7</f>
        <v/>
      </c>
      <c r="IR126" s="284" t="n"/>
      <c r="IS126" s="38" t="n">
        <v>0</v>
      </c>
      <c r="IT126" s="284" t="n"/>
      <c r="IU126" s="36">
        <f>$KN126*10</f>
        <v/>
      </c>
      <c r="IV126" s="284" t="n"/>
      <c r="IW126" s="38" t="n">
        <v>0</v>
      </c>
      <c r="IX126" s="284" t="n"/>
      <c r="IY126" s="36">
        <f>$KN126*10</f>
        <v/>
      </c>
      <c r="IZ126" s="284" t="n"/>
      <c r="JA126" s="38" t="n">
        <v>0</v>
      </c>
      <c r="JB126" s="284" t="n"/>
      <c r="JC126" s="36">
        <f>$KN126*10</f>
        <v/>
      </c>
      <c r="JD126" s="284" t="n"/>
      <c r="JE126" s="38" t="n">
        <v>0</v>
      </c>
      <c r="JF126" s="284" t="n"/>
      <c r="JG126" s="36">
        <f>$KN126*10</f>
        <v/>
      </c>
      <c r="JH126" s="284" t="n"/>
      <c r="JI126" s="38" t="n">
        <v>0</v>
      </c>
      <c r="JJ126" s="284" t="n"/>
      <c r="JK126" s="36">
        <f>$KN126*10</f>
        <v/>
      </c>
      <c r="JL126" s="284" t="n"/>
      <c r="JM126" s="38" t="n">
        <v>0</v>
      </c>
      <c r="JN126" s="284" t="n"/>
      <c r="JO126" s="36">
        <f>$KN126*10</f>
        <v/>
      </c>
      <c r="JP126" s="284" t="n"/>
      <c r="JQ126" s="38" t="n">
        <v>0</v>
      </c>
      <c r="JR126" s="284" t="n"/>
      <c r="JS126" s="36">
        <f>$KN126*10</f>
        <v/>
      </c>
      <c r="JT126" s="284" t="n"/>
      <c r="JU126" s="38" t="n">
        <v>0</v>
      </c>
      <c r="JV126" s="284" t="n"/>
      <c r="JW126" s="36">
        <f>$KN126*10</f>
        <v/>
      </c>
      <c r="JX126" s="284" t="n"/>
      <c r="JY126" s="38" t="n">
        <v>0</v>
      </c>
      <c r="JZ126" s="284" t="n"/>
      <c r="KA126" s="36">
        <f>$KN126*10</f>
        <v/>
      </c>
      <c r="KB126" s="284" t="n"/>
      <c r="KC126" s="38" t="n">
        <v>0</v>
      </c>
      <c r="KD126" s="284" t="n"/>
      <c r="KE126" s="338">
        <f t="array" ref="KE126">SUMPRODUCT(--(MOD(COLUMN($II126:$KD126),4)=MOD(COLUMN($II126),4)),$II126:$KD126)</f>
        <v/>
      </c>
      <c r="KF126" s="339">
        <f>KE126*$J126</f>
        <v/>
      </c>
      <c r="KG126" s="340">
        <f t="array" ref="KG126">SUMPRODUCT(--(MOD(COLUMN($II126:$KD126),4)=MOD(COLUMN($IJ126),4)),$II126:$KD126)</f>
        <v/>
      </c>
      <c r="KH126" s="341">
        <f>KG126*$J126</f>
        <v/>
      </c>
      <c r="KI126" s="342">
        <f t="array" ref="KI126">SUMPRODUCT(--(MOD(COLUMN($II126:$KD126),4)=MOD(COLUMN($IK126),4)),$II126:$KD126)</f>
        <v/>
      </c>
      <c r="KJ126" s="346">
        <f>KI126*$J126</f>
        <v/>
      </c>
      <c r="KK126" s="80" t="n"/>
      <c r="KL126" s="80" t="n"/>
      <c r="KM126" s="80" t="n"/>
      <c r="KN126" s="51" t="n">
        <v>1</v>
      </c>
      <c r="KO126" s="347" t="n"/>
    </row>
    <row r="127" outlineLevel="1" customFormat="1" s="68">
      <c r="A127" s="347" t="n"/>
      <c r="B127" s="347" t="n"/>
      <c r="C127" s="347" t="n"/>
      <c r="D127" s="347" t="n"/>
      <c r="E127" s="15" t="n">
        <v>6</v>
      </c>
      <c r="F127" s="15" t="n">
        <v>1</v>
      </c>
      <c r="G127" s="33" t="n">
        <v>4497230500</v>
      </c>
      <c r="H127" s="34" t="inlineStr">
        <is>
          <t>Кабель датчика, 5 м</t>
        </is>
      </c>
      <c r="I127" s="337">
        <f>71.7/1.2/0.98</f>
        <v/>
      </c>
      <c r="J127" s="337">
        <f>71.7/1.2*1.0863</f>
        <v/>
      </c>
      <c r="K127" s="348" t="n"/>
      <c r="L127" s="348" t="n"/>
      <c r="M127" s="36" t="n">
        <v>0</v>
      </c>
      <c r="N127" s="284" t="n">
        <v>0</v>
      </c>
      <c r="O127" s="38" t="n">
        <v>0</v>
      </c>
      <c r="P127" s="284" t="n"/>
      <c r="Q127" s="36" t="n">
        <v>0</v>
      </c>
      <c r="R127" s="284" t="n">
        <v>0</v>
      </c>
      <c r="S127" s="38" t="n">
        <v>0</v>
      </c>
      <c r="T127" s="284" t="n"/>
      <c r="U127" s="36" t="n">
        <v>0</v>
      </c>
      <c r="V127" s="284" t="n">
        <v>0</v>
      </c>
      <c r="W127" s="38" t="n">
        <v>0</v>
      </c>
      <c r="X127" s="284" t="n"/>
      <c r="Y127" s="36" t="n">
        <v>0</v>
      </c>
      <c r="Z127" s="284" t="n">
        <v>0</v>
      </c>
      <c r="AA127" s="38" t="n">
        <v>0</v>
      </c>
      <c r="AB127" s="284" t="n"/>
      <c r="AC127" s="36" t="n">
        <v>0</v>
      </c>
      <c r="AD127" s="284" t="n">
        <v>0</v>
      </c>
      <c r="AE127" s="38" t="n">
        <v>0</v>
      </c>
      <c r="AF127" s="284" t="n"/>
      <c r="AG127" s="36" t="n">
        <v>0</v>
      </c>
      <c r="AH127" s="284" t="n">
        <v>0</v>
      </c>
      <c r="AI127" s="38" t="n">
        <v>0</v>
      </c>
      <c r="AJ127" s="284" t="n"/>
      <c r="AK127" s="36" t="n">
        <v>0</v>
      </c>
      <c r="AL127" s="284" t="n">
        <v>0</v>
      </c>
      <c r="AM127" s="38" t="n">
        <v>0</v>
      </c>
      <c r="AN127" s="284" t="n"/>
      <c r="AO127" s="36" t="n">
        <v>0</v>
      </c>
      <c r="AP127" s="284" t="n">
        <v>0</v>
      </c>
      <c r="AQ127" s="38" t="n">
        <v>0</v>
      </c>
      <c r="AR127" s="284" t="n"/>
      <c r="AS127" s="36" t="n">
        <v>0</v>
      </c>
      <c r="AT127" s="284" t="n">
        <v>0</v>
      </c>
      <c r="AU127" s="38" t="n">
        <v>0</v>
      </c>
      <c r="AV127" s="284" t="n"/>
      <c r="AW127" s="36" t="n">
        <v>0</v>
      </c>
      <c r="AX127" s="284" t="n">
        <v>0</v>
      </c>
      <c r="AY127" s="54" t="n">
        <v>0</v>
      </c>
      <c r="AZ127" s="284" t="n"/>
      <c r="BA127" s="36" t="n">
        <v>0</v>
      </c>
      <c r="BB127" s="284" t="n">
        <v>0</v>
      </c>
      <c r="BC127" s="92" t="n">
        <v>0</v>
      </c>
      <c r="BD127" s="284" t="n"/>
      <c r="BE127" s="36" t="n">
        <v>0</v>
      </c>
      <c r="BF127" s="284">
        <f>$KN127*0</f>
        <v/>
      </c>
      <c r="BG127" s="54" t="n">
        <v>0</v>
      </c>
      <c r="BH127" s="284" t="n"/>
      <c r="BI127" s="338">
        <f>SUMPRODUCT(--(MOD(COLUMN($M127:$BH127),4)=MOD(COLUMN($M127),4)),$M127:$BH127)</f>
        <v/>
      </c>
      <c r="BJ127" s="339">
        <f>BI127*$I127</f>
        <v/>
      </c>
      <c r="BK127" s="340">
        <f>SUMPRODUCT(--(MOD(COLUMN($M127:$BH127),4)=MOD(COLUMN($M127)+1,4)),$M127:$BH127)</f>
        <v/>
      </c>
      <c r="BL127" s="341">
        <f>BK127*$I127</f>
        <v/>
      </c>
      <c r="BM127" s="342">
        <f>SUMPRODUCT(--(MOD(COLUMN($M127:$BH127),4)=MOD(COLUMN($M127)+2,4)),$M127:$BH127)</f>
        <v/>
      </c>
      <c r="BN127" s="343">
        <f>BM127*$I127</f>
        <v/>
      </c>
      <c r="BO127" s="36" t="n"/>
      <c r="BP127" s="47" t="n"/>
      <c r="BQ127" s="39" t="n"/>
      <c r="BR127" s="38" t="n">
        <v>6</v>
      </c>
      <c r="BS127" s="284" t="n"/>
      <c r="BT127" s="36" t="n"/>
      <c r="BU127" s="47" t="n"/>
      <c r="BV127" s="284">
        <f>$KN127*0</f>
        <v/>
      </c>
      <c r="BW127" s="38" t="n">
        <v>0</v>
      </c>
      <c r="BX127" s="347" t="n"/>
      <c r="BY127" s="36">
        <f>$KN127*1</f>
        <v/>
      </c>
      <c r="BZ127" s="47">
        <f>$KN127*0</f>
        <v/>
      </c>
      <c r="CA127" s="284" t="n">
        <v>0</v>
      </c>
      <c r="CB127" s="38" t="n">
        <v>0</v>
      </c>
      <c r="CC127" s="284" t="n"/>
      <c r="CD127" s="36">
        <f>$KN127*0</f>
        <v/>
      </c>
      <c r="CE127" s="47">
        <f>$KN127*0</f>
        <v/>
      </c>
      <c r="CF127" s="284" t="n">
        <v>0</v>
      </c>
      <c r="CG127" s="38" t="n">
        <v>0</v>
      </c>
      <c r="CH127" s="284" t="n"/>
      <c r="CI127" s="36">
        <f>$KN127*5</f>
        <v/>
      </c>
      <c r="CJ127" s="47">
        <f>$KN127*3</f>
        <v/>
      </c>
      <c r="CK127" s="284">
        <f>$KN127*0</f>
        <v/>
      </c>
      <c r="CL127" s="38" t="n">
        <v>0</v>
      </c>
      <c r="CM127" s="347" t="n"/>
      <c r="CN127" s="36">
        <f>$KN127*5</f>
        <v/>
      </c>
      <c r="CO127" s="47">
        <f>$KN127*3</f>
        <v/>
      </c>
      <c r="CP127" s="284">
        <f>$KN127*0</f>
        <v/>
      </c>
      <c r="CQ127" s="38" t="n">
        <v>0</v>
      </c>
      <c r="CR127" s="347" t="n"/>
      <c r="CS127" s="36">
        <f>$KN127*5</f>
        <v/>
      </c>
      <c r="CT127" s="47">
        <f>$KN127*3</f>
        <v/>
      </c>
      <c r="CU127" s="284">
        <f>$KN127*0</f>
        <v/>
      </c>
      <c r="CV127" s="52" t="n">
        <v>0</v>
      </c>
      <c r="CW127" s="347" t="n"/>
      <c r="CX127" s="36">
        <f>$KN127*5</f>
        <v/>
      </c>
      <c r="CY127" s="47">
        <f>$KN127*3</f>
        <v/>
      </c>
      <c r="CZ127" s="284">
        <f>$KN127*0</f>
        <v/>
      </c>
      <c r="DA127" s="38" t="n">
        <v>0</v>
      </c>
      <c r="DB127" s="284" t="n"/>
      <c r="DC127" s="36">
        <f>$KN127*5</f>
        <v/>
      </c>
      <c r="DD127" s="47">
        <f>$KN127*3</f>
        <v/>
      </c>
      <c r="DE127" s="284">
        <f>$KN127*0</f>
        <v/>
      </c>
      <c r="DF127" s="38" t="n">
        <v>0</v>
      </c>
      <c r="DG127" s="284" t="n"/>
      <c r="DH127" s="36">
        <f>$KN127*5</f>
        <v/>
      </c>
      <c r="DI127" s="47">
        <f>$KN127*3</f>
        <v/>
      </c>
      <c r="DJ127" s="284">
        <f>$KN127*0</f>
        <v/>
      </c>
      <c r="DK127" s="52" t="n">
        <v>0</v>
      </c>
      <c r="DL127" s="284" t="n"/>
      <c r="DM127" s="36">
        <f>$KN127*5</f>
        <v/>
      </c>
      <c r="DN127" s="47">
        <f>$KN127*3</f>
        <v/>
      </c>
      <c r="DO127" s="284">
        <f>$KN127*0</f>
        <v/>
      </c>
      <c r="DP127" s="38" t="n">
        <v>0</v>
      </c>
      <c r="DQ127" s="284" t="n"/>
      <c r="DR127" s="36">
        <f>$KN127*5</f>
        <v/>
      </c>
      <c r="DS127" s="47">
        <f>$KN127*3</f>
        <v/>
      </c>
      <c r="DT127" s="284">
        <f>$KN127*0</f>
        <v/>
      </c>
      <c r="DU127" s="38" t="n">
        <v>0</v>
      </c>
      <c r="DV127" s="284" t="n"/>
      <c r="DW127" s="338">
        <f t="array" ref="DW127">SUMPRODUCT(--(MOD(COLUMN($BO127:$DV127),5)=MOD(COLUMN($BO127),5)),$BO127:$DV127)</f>
        <v/>
      </c>
      <c r="DX127" s="339">
        <f>DW127*$J127</f>
        <v/>
      </c>
      <c r="DY127" s="344">
        <f t="array" ref="DY127">SUMPRODUCT(--(MOD(COLUMN($BO127:$DV127),5)=MOD(COLUMN($BP127),5)),$BO127:$DV127)</f>
        <v/>
      </c>
      <c r="DZ127" s="345">
        <f>DY127*$J127</f>
        <v/>
      </c>
      <c r="EA127" s="340">
        <f t="array" ref="EA127">SUMPRODUCT(--(MOD(COLUMN($BO127:$DV127),5)=MOD(COLUMN($BQ127),5)),$BO127:$DV127)</f>
        <v/>
      </c>
      <c r="EB127" s="341">
        <f>EA127*$J127</f>
        <v/>
      </c>
      <c r="EC127" s="342">
        <f t="array" ref="EC127">SUMPRODUCT(--(MOD(COLUMN($BO127:$DV127),5)=MOD(COLUMN($BR127),5)),$BO127:$DV127)</f>
        <v/>
      </c>
      <c r="ED127" s="343">
        <f>EC127*$J127</f>
        <v/>
      </c>
      <c r="EE127" s="36">
        <f>$KN127*0</f>
        <v/>
      </c>
      <c r="EF127" s="284" t="n">
        <v>0</v>
      </c>
      <c r="EG127" s="38" t="n"/>
      <c r="EH127" s="284" t="n"/>
      <c r="EI127" s="36">
        <f>$KN127*0</f>
        <v/>
      </c>
      <c r="EJ127" s="284" t="n">
        <v>0</v>
      </c>
      <c r="EK127" s="38" t="n"/>
      <c r="EL127" s="284" t="n"/>
      <c r="EM127" s="36">
        <f>$KN127*1</f>
        <v/>
      </c>
      <c r="EN127" s="284" t="n">
        <v>0</v>
      </c>
      <c r="EO127" s="38" t="n">
        <v>0</v>
      </c>
      <c r="EP127" s="284" t="n"/>
      <c r="EQ127" s="36">
        <f>$KN127*2</f>
        <v/>
      </c>
      <c r="ER127" s="284" t="n">
        <v>0</v>
      </c>
      <c r="ES127" s="38" t="n">
        <v>0</v>
      </c>
      <c r="ET127" s="284" t="n"/>
      <c r="EU127" s="36">
        <f>$KN127*3</f>
        <v/>
      </c>
      <c r="EV127" s="39" t="n">
        <v>0</v>
      </c>
      <c r="EW127" s="38" t="n">
        <v>0</v>
      </c>
      <c r="EX127" s="284" t="n"/>
      <c r="EY127" s="36">
        <f>$KN127*3</f>
        <v/>
      </c>
      <c r="EZ127" s="284" t="n">
        <v>6</v>
      </c>
      <c r="FA127" s="38" t="n">
        <v>0</v>
      </c>
      <c r="FB127" s="284" t="n"/>
      <c r="FC127" s="36">
        <f>$KN127*5</f>
        <v/>
      </c>
      <c r="FD127" s="284" t="n">
        <v>10</v>
      </c>
      <c r="FE127" s="38" t="n">
        <v>0</v>
      </c>
      <c r="FF127" s="284" t="n"/>
      <c r="FG127" s="36">
        <f>$KN127*5</f>
        <v/>
      </c>
      <c r="FH127" s="284" t="n">
        <v>10</v>
      </c>
      <c r="FI127" s="38" t="n">
        <v>0</v>
      </c>
      <c r="FJ127" s="284" t="n"/>
      <c r="FK127" s="36">
        <f>$KN127*5</f>
        <v/>
      </c>
      <c r="FL127" s="284" t="n">
        <v>10</v>
      </c>
      <c r="FM127" s="38" t="n">
        <v>0</v>
      </c>
      <c r="FN127" s="284" t="n"/>
      <c r="FO127" s="36">
        <f>$KN127*6</f>
        <v/>
      </c>
      <c r="FP127" s="284" t="n">
        <v>12</v>
      </c>
      <c r="FQ127" s="38" t="n">
        <v>0</v>
      </c>
      <c r="FR127" s="284" t="n"/>
      <c r="FS127" s="36">
        <f>$KN127*6</f>
        <v/>
      </c>
      <c r="FT127" s="284" t="n">
        <v>12</v>
      </c>
      <c r="FU127" s="38" t="n">
        <v>0</v>
      </c>
      <c r="FV127" s="284" t="n"/>
      <c r="FW127" s="36">
        <f>$KN127*6</f>
        <v/>
      </c>
      <c r="FX127" s="284" t="n">
        <v>12</v>
      </c>
      <c r="FY127" s="38" t="n">
        <v>0</v>
      </c>
      <c r="FZ127" s="284" t="n"/>
      <c r="GA127" s="338">
        <f t="array" ref="GA127">SUMPRODUCT(--(MOD(COLUMN($EE127:$FZ127),4)=MOD(COLUMN($EE127),4)),$EE127:$FZ127)</f>
        <v/>
      </c>
      <c r="GB127" s="339">
        <f>GA127*$J127</f>
        <v/>
      </c>
      <c r="GC127" s="340">
        <f t="array" ref="GC127">SUMPRODUCT(--(MOD(COLUMN($EE127:$FZ127),4)=MOD(COLUMN($EF127),4)),$EE127:$FZ127)</f>
        <v/>
      </c>
      <c r="GD127" s="341">
        <f>GC127*$J127</f>
        <v/>
      </c>
      <c r="GE127" s="342">
        <f t="array" ref="GE127">SUMPRODUCT(--(MOD(COLUMN($EE127:$FZ127),4)=MOD(COLUMN($EG127),4)),$EE127:$FZ127)</f>
        <v/>
      </c>
      <c r="GF127" s="343">
        <f>GE127*$J127</f>
        <v/>
      </c>
      <c r="GG127" s="36">
        <f>$KN127*5</f>
        <v/>
      </c>
      <c r="GH127" s="284" t="n"/>
      <c r="GI127" s="38" t="n">
        <v>0</v>
      </c>
      <c r="GJ127" s="284" t="n"/>
      <c r="GK127" s="36">
        <f>$KN127*5</f>
        <v/>
      </c>
      <c r="GL127" s="284" t="n"/>
      <c r="GM127" s="38" t="n">
        <v>0</v>
      </c>
      <c r="GN127" s="284" t="n"/>
      <c r="GO127" s="36">
        <f>$KN127*7</f>
        <v/>
      </c>
      <c r="GP127" s="284" t="n"/>
      <c r="GQ127" s="38" t="n">
        <v>0</v>
      </c>
      <c r="GR127" s="284" t="n"/>
      <c r="GS127" s="36">
        <f>$KN127*10</f>
        <v/>
      </c>
      <c r="GT127" s="284" t="n"/>
      <c r="GU127" s="38" t="n">
        <v>0</v>
      </c>
      <c r="GV127" s="284" t="n"/>
      <c r="GW127" s="36">
        <f>$KN127*10</f>
        <v/>
      </c>
      <c r="GX127" s="284" t="n"/>
      <c r="GY127" s="38" t="n">
        <v>0</v>
      </c>
      <c r="GZ127" s="284" t="n"/>
      <c r="HA127" s="36">
        <f>$KN127*10</f>
        <v/>
      </c>
      <c r="HB127" s="284" t="n"/>
      <c r="HC127" s="38" t="n">
        <v>0</v>
      </c>
      <c r="HD127" s="284" t="n"/>
      <c r="HE127" s="36">
        <f>$KN127*10</f>
        <v/>
      </c>
      <c r="HF127" s="284" t="n"/>
      <c r="HG127" s="38" t="n">
        <v>0</v>
      </c>
      <c r="HH127" s="284" t="n"/>
      <c r="HI127" s="36">
        <f>$KN127*10</f>
        <v/>
      </c>
      <c r="HJ127" s="284" t="n"/>
      <c r="HK127" s="38" t="n">
        <v>0</v>
      </c>
      <c r="HL127" s="284" t="n"/>
      <c r="HM127" s="36">
        <f>$KN127*10</f>
        <v/>
      </c>
      <c r="HN127" s="284" t="n"/>
      <c r="HO127" s="38" t="n">
        <v>0</v>
      </c>
      <c r="HP127" s="284" t="n"/>
      <c r="HQ127" s="36">
        <f>$KN127*10</f>
        <v/>
      </c>
      <c r="HR127" s="284" t="n"/>
      <c r="HS127" s="38" t="n">
        <v>0</v>
      </c>
      <c r="HT127" s="284" t="n"/>
      <c r="HU127" s="36">
        <f>$KN127*10</f>
        <v/>
      </c>
      <c r="HV127" s="284" t="n"/>
      <c r="HW127" s="38" t="n">
        <v>0</v>
      </c>
      <c r="HX127" s="284" t="n"/>
      <c r="HY127" s="36">
        <f>$KN127*10</f>
        <v/>
      </c>
      <c r="HZ127" s="284" t="n"/>
      <c r="IA127" s="38" t="n">
        <v>0</v>
      </c>
      <c r="IB127" s="284" t="n"/>
      <c r="IC127" s="338">
        <f t="array" ref="IC127">SUMPRODUCT(--(MOD(COLUMN($GG127:$IB127),4)=MOD(COLUMN($GG127),4)),$GG127:$IB127)</f>
        <v/>
      </c>
      <c r="ID127" s="339">
        <f>IC127*$J127</f>
        <v/>
      </c>
      <c r="IE127" s="340">
        <f t="array" ref="IE127">SUMPRODUCT(--(MOD(COLUMN($GG127:$IB127),4)=MOD(COLUMN($GH127),4)),$GG127:$IB127)</f>
        <v/>
      </c>
      <c r="IF127" s="341">
        <f>IE127*$J127</f>
        <v/>
      </c>
      <c r="IG127" s="342">
        <f t="array" ref="IG127">SUMPRODUCT(--(MOD(COLUMN($GG127:$IB127),4)=MOD(COLUMN($GI127),4)),$GG127:$IB127)</f>
        <v/>
      </c>
      <c r="IH127" s="343">
        <f>IG127*$J127</f>
        <v/>
      </c>
      <c r="II127" s="36">
        <f>$KN127*5</f>
        <v/>
      </c>
      <c r="IJ127" s="284" t="n"/>
      <c r="IK127" s="38" t="n">
        <v>0</v>
      </c>
      <c r="IL127" s="284" t="n"/>
      <c r="IM127" s="36">
        <f>$KN127*5</f>
        <v/>
      </c>
      <c r="IN127" s="284" t="n"/>
      <c r="IO127" s="38" t="n">
        <v>0</v>
      </c>
      <c r="IP127" s="284" t="n"/>
      <c r="IQ127" s="36">
        <f>$KN127*7</f>
        <v/>
      </c>
      <c r="IR127" s="284" t="n"/>
      <c r="IS127" s="38" t="n">
        <v>0</v>
      </c>
      <c r="IT127" s="284" t="n"/>
      <c r="IU127" s="36">
        <f>$KN127*10</f>
        <v/>
      </c>
      <c r="IV127" s="284" t="n"/>
      <c r="IW127" s="38" t="n">
        <v>0</v>
      </c>
      <c r="IX127" s="284" t="n"/>
      <c r="IY127" s="36">
        <f>$KN127*10</f>
        <v/>
      </c>
      <c r="IZ127" s="284" t="n"/>
      <c r="JA127" s="38" t="n">
        <v>0</v>
      </c>
      <c r="JB127" s="284" t="n"/>
      <c r="JC127" s="36">
        <f>$KN127*10</f>
        <v/>
      </c>
      <c r="JD127" s="284" t="n"/>
      <c r="JE127" s="38" t="n">
        <v>0</v>
      </c>
      <c r="JF127" s="284" t="n"/>
      <c r="JG127" s="36">
        <f>$KN127*10</f>
        <v/>
      </c>
      <c r="JH127" s="284" t="n"/>
      <c r="JI127" s="38" t="n">
        <v>0</v>
      </c>
      <c r="JJ127" s="284" t="n"/>
      <c r="JK127" s="36">
        <f>$KN127*10</f>
        <v/>
      </c>
      <c r="JL127" s="284" t="n"/>
      <c r="JM127" s="38" t="n">
        <v>0</v>
      </c>
      <c r="JN127" s="284" t="n"/>
      <c r="JO127" s="36">
        <f>$KN127*10</f>
        <v/>
      </c>
      <c r="JP127" s="284" t="n"/>
      <c r="JQ127" s="38" t="n">
        <v>0</v>
      </c>
      <c r="JR127" s="284" t="n"/>
      <c r="JS127" s="36">
        <f>$KN127*10</f>
        <v/>
      </c>
      <c r="JT127" s="284" t="n"/>
      <c r="JU127" s="38" t="n">
        <v>0</v>
      </c>
      <c r="JV127" s="284" t="n"/>
      <c r="JW127" s="36">
        <f>$KN127*10</f>
        <v/>
      </c>
      <c r="JX127" s="284" t="n"/>
      <c r="JY127" s="38" t="n">
        <v>0</v>
      </c>
      <c r="JZ127" s="284" t="n"/>
      <c r="KA127" s="36">
        <f>$KN127*10</f>
        <v/>
      </c>
      <c r="KB127" s="284" t="n"/>
      <c r="KC127" s="38" t="n">
        <v>0</v>
      </c>
      <c r="KD127" s="284" t="n"/>
      <c r="KE127" s="338">
        <f t="array" ref="KE127">SUMPRODUCT(--(MOD(COLUMN($II127:$KD127),4)=MOD(COLUMN($II127),4)),$II127:$KD127)</f>
        <v/>
      </c>
      <c r="KF127" s="339">
        <f>KE127*$J127</f>
        <v/>
      </c>
      <c r="KG127" s="340">
        <f t="array" ref="KG127">SUMPRODUCT(--(MOD(COLUMN($II127:$KD127),4)=MOD(COLUMN($IJ127),4)),$II127:$KD127)</f>
        <v/>
      </c>
      <c r="KH127" s="341">
        <f>KG127*$J127</f>
        <v/>
      </c>
      <c r="KI127" s="342">
        <f t="array" ref="KI127">SUMPRODUCT(--(MOD(COLUMN($II127:$KD127),4)=MOD(COLUMN($IK127),4)),$II127:$KD127)</f>
        <v/>
      </c>
      <c r="KJ127" s="346">
        <f>KI127*$J127</f>
        <v/>
      </c>
      <c r="KK127" s="80" t="n"/>
      <c r="KL127" s="80" t="n"/>
      <c r="KM127" s="80" t="n"/>
      <c r="KN127" s="51" t="n">
        <v>2</v>
      </c>
      <c r="KO127" s="347" t="n"/>
    </row>
    <row r="128" outlineLevel="1" ht="28.8" customFormat="1" customHeight="1" s="68">
      <c r="A128" s="347" t="n"/>
      <c r="B128" s="347" t="n"/>
      <c r="C128" s="347" t="n"/>
      <c r="D128" s="347" t="n"/>
      <c r="E128" s="15" t="n">
        <v>7</v>
      </c>
      <c r="F128" s="15" t="n">
        <v>1</v>
      </c>
      <c r="G128" s="33" t="n">
        <v>4640061000</v>
      </c>
      <c r="H128" s="34" t="inlineStr">
        <is>
          <t>Кран уровня пола, 5-ти портовый</t>
        </is>
      </c>
      <c r="I128" s="337">
        <f>584/1.2/0.98</f>
        <v/>
      </c>
      <c r="J128" s="337">
        <f>584/1.2*1.0863</f>
        <v/>
      </c>
      <c r="K128" s="348" t="n"/>
      <c r="L128" s="348" t="n"/>
      <c r="M128" s="36" t="n">
        <v>0</v>
      </c>
      <c r="N128" s="284" t="n">
        <v>0</v>
      </c>
      <c r="O128" s="38" t="n">
        <v>0</v>
      </c>
      <c r="P128" s="284" t="n"/>
      <c r="Q128" s="36" t="n">
        <v>0</v>
      </c>
      <c r="R128" s="284" t="n">
        <v>0</v>
      </c>
      <c r="S128" s="38" t="n">
        <v>0</v>
      </c>
      <c r="T128" s="284" t="n"/>
      <c r="U128" s="36" t="n">
        <v>0</v>
      </c>
      <c r="V128" s="284" t="n">
        <v>0</v>
      </c>
      <c r="W128" s="38" t="n">
        <v>0</v>
      </c>
      <c r="X128" s="284" t="n"/>
      <c r="Y128" s="36" t="n">
        <v>0</v>
      </c>
      <c r="Z128" s="284" t="n">
        <v>0</v>
      </c>
      <c r="AA128" s="38" t="n">
        <v>0</v>
      </c>
      <c r="AB128" s="284" t="n"/>
      <c r="AC128" s="36" t="n">
        <v>0</v>
      </c>
      <c r="AD128" s="284" t="n">
        <v>0</v>
      </c>
      <c r="AE128" s="38" t="n">
        <v>0</v>
      </c>
      <c r="AF128" s="284" t="n"/>
      <c r="AG128" s="36" t="n">
        <v>0</v>
      </c>
      <c r="AH128" s="284" t="n">
        <v>0</v>
      </c>
      <c r="AI128" s="38" t="n">
        <v>0</v>
      </c>
      <c r="AJ128" s="284" t="n"/>
      <c r="AK128" s="36" t="n">
        <v>0</v>
      </c>
      <c r="AL128" s="284" t="n">
        <v>0</v>
      </c>
      <c r="AM128" s="38" t="n">
        <v>0</v>
      </c>
      <c r="AN128" s="284" t="n"/>
      <c r="AO128" s="36" t="n">
        <v>0</v>
      </c>
      <c r="AP128" s="284" t="n">
        <v>0</v>
      </c>
      <c r="AQ128" s="38" t="n">
        <v>0</v>
      </c>
      <c r="AR128" s="284" t="n"/>
      <c r="AS128" s="36" t="n">
        <v>0</v>
      </c>
      <c r="AT128" s="284" t="n">
        <v>0</v>
      </c>
      <c r="AU128" s="38" t="n">
        <v>0</v>
      </c>
      <c r="AV128" s="284" t="n"/>
      <c r="AW128" s="36" t="n">
        <v>0</v>
      </c>
      <c r="AX128" s="284" t="n">
        <v>0</v>
      </c>
      <c r="AY128" s="54" t="n">
        <v>0</v>
      </c>
      <c r="AZ128" s="284" t="n"/>
      <c r="BA128" s="36" t="n">
        <v>0</v>
      </c>
      <c r="BB128" s="284" t="n">
        <v>0</v>
      </c>
      <c r="BC128" s="92" t="n">
        <v>0</v>
      </c>
      <c r="BD128" s="284" t="n"/>
      <c r="BE128" s="36" t="n">
        <v>0</v>
      </c>
      <c r="BF128" s="284">
        <f>$KN128*0</f>
        <v/>
      </c>
      <c r="BG128" s="54" t="n">
        <v>0</v>
      </c>
      <c r="BH128" s="284" t="n"/>
      <c r="BI128" s="338">
        <f>SUMPRODUCT(--(MOD(COLUMN($M128:$BH128),4)=MOD(COLUMN($M128),4)),$M128:$BH128)</f>
        <v/>
      </c>
      <c r="BJ128" s="339">
        <f>BI128*$I128</f>
        <v/>
      </c>
      <c r="BK128" s="340">
        <f>SUMPRODUCT(--(MOD(COLUMN($M128:$BH128),4)=MOD(COLUMN($M128)+1,4)),$M128:$BH128)</f>
        <v/>
      </c>
      <c r="BL128" s="341">
        <f>BK128*$I128</f>
        <v/>
      </c>
      <c r="BM128" s="342">
        <f>SUMPRODUCT(--(MOD(COLUMN($M128:$BH128),4)=MOD(COLUMN($M128)+2,4)),$M128:$BH128)</f>
        <v/>
      </c>
      <c r="BN128" s="343">
        <f>BM128*$I128</f>
        <v/>
      </c>
      <c r="BO128" s="36" t="n"/>
      <c r="BP128" s="47" t="n"/>
      <c r="BQ128" s="39" t="n"/>
      <c r="BR128" s="38" t="n">
        <v>2</v>
      </c>
      <c r="BS128" s="284" t="n"/>
      <c r="BT128" s="36" t="n"/>
      <c r="BU128" s="47" t="n"/>
      <c r="BV128" s="284">
        <f>$KN128*0</f>
        <v/>
      </c>
      <c r="BW128" s="38" t="n">
        <v>0</v>
      </c>
      <c r="BX128" s="347" t="n"/>
      <c r="BY128" s="36">
        <f>$KN128*1</f>
        <v/>
      </c>
      <c r="BZ128" s="47">
        <f>$KN128*0</f>
        <v/>
      </c>
      <c r="CA128" s="284" t="n">
        <v>0</v>
      </c>
      <c r="CB128" s="38" t="n">
        <v>0</v>
      </c>
      <c r="CC128" s="284" t="n"/>
      <c r="CD128" s="36">
        <f>$KN128*0</f>
        <v/>
      </c>
      <c r="CE128" s="47">
        <f>$KN128*0</f>
        <v/>
      </c>
      <c r="CF128" s="284" t="n">
        <v>0</v>
      </c>
      <c r="CG128" s="38" t="n">
        <v>0</v>
      </c>
      <c r="CH128" s="284" t="n"/>
      <c r="CI128" s="36">
        <f>$KN128*5</f>
        <v/>
      </c>
      <c r="CJ128" s="47">
        <f>$KN128*3</f>
        <v/>
      </c>
      <c r="CK128" s="284">
        <f>$KN128*0</f>
        <v/>
      </c>
      <c r="CL128" s="38" t="n">
        <v>0</v>
      </c>
      <c r="CM128" s="347" t="n"/>
      <c r="CN128" s="36">
        <f>$KN128*5</f>
        <v/>
      </c>
      <c r="CO128" s="47">
        <f>$KN128*3</f>
        <v/>
      </c>
      <c r="CP128" s="284">
        <f>$KN128*0</f>
        <v/>
      </c>
      <c r="CQ128" s="38" t="n">
        <v>0</v>
      </c>
      <c r="CR128" s="347" t="n"/>
      <c r="CS128" s="36">
        <f>$KN128*5</f>
        <v/>
      </c>
      <c r="CT128" s="47">
        <f>$KN128*3</f>
        <v/>
      </c>
      <c r="CU128" s="284">
        <f>$KN128*0</f>
        <v/>
      </c>
      <c r="CV128" s="38" t="n">
        <v>0</v>
      </c>
      <c r="CW128" s="347" t="n"/>
      <c r="CX128" s="36">
        <f>$KN128*5</f>
        <v/>
      </c>
      <c r="CY128" s="47">
        <f>$KN128*3</f>
        <v/>
      </c>
      <c r="CZ128" s="284">
        <f>$KN128*0</f>
        <v/>
      </c>
      <c r="DA128" s="38" t="n">
        <v>0</v>
      </c>
      <c r="DB128" s="284" t="n"/>
      <c r="DC128" s="36">
        <f>$KN128*5</f>
        <v/>
      </c>
      <c r="DD128" s="47">
        <f>$KN128*3</f>
        <v/>
      </c>
      <c r="DE128" s="284">
        <f>$KN128*0</f>
        <v/>
      </c>
      <c r="DF128" s="38" t="n">
        <v>0</v>
      </c>
      <c r="DG128" s="284" t="n"/>
      <c r="DH128" s="36">
        <f>$KN128*5</f>
        <v/>
      </c>
      <c r="DI128" s="47">
        <f>$KN128*3</f>
        <v/>
      </c>
      <c r="DJ128" s="284">
        <f>$KN128*0</f>
        <v/>
      </c>
      <c r="DK128" s="38" t="n">
        <v>0</v>
      </c>
      <c r="DL128" s="284" t="n"/>
      <c r="DM128" s="36">
        <f>$KN128*5</f>
        <v/>
      </c>
      <c r="DN128" s="47">
        <f>$KN128*3</f>
        <v/>
      </c>
      <c r="DO128" s="284">
        <f>$KN128*0</f>
        <v/>
      </c>
      <c r="DP128" s="38" t="n">
        <v>0</v>
      </c>
      <c r="DQ128" s="284" t="n"/>
      <c r="DR128" s="36">
        <f>$KN128*5</f>
        <v/>
      </c>
      <c r="DS128" s="47">
        <f>$KN128*3</f>
        <v/>
      </c>
      <c r="DT128" s="284">
        <f>$KN128*0</f>
        <v/>
      </c>
      <c r="DU128" s="38" t="n">
        <v>0</v>
      </c>
      <c r="DV128" s="284" t="n"/>
      <c r="DW128" s="338">
        <f t="array" ref="DW128">SUMPRODUCT(--(MOD(COLUMN($BO128:$DV128),5)=MOD(COLUMN($BO128),5)),$BO128:$DV128)</f>
        <v/>
      </c>
      <c r="DX128" s="339">
        <f>DW128*$J128</f>
        <v/>
      </c>
      <c r="DY128" s="344">
        <f t="array" ref="DY128">SUMPRODUCT(--(MOD(COLUMN($BO128:$DV128),5)=MOD(COLUMN($BP128),5)),$BO128:$DV128)</f>
        <v/>
      </c>
      <c r="DZ128" s="345">
        <f>DY128*$J128</f>
        <v/>
      </c>
      <c r="EA128" s="340">
        <f t="array" ref="EA128">SUMPRODUCT(--(MOD(COLUMN($BO128:$DV128),5)=MOD(COLUMN($BQ128),5)),$BO128:$DV128)</f>
        <v/>
      </c>
      <c r="EB128" s="341">
        <f>EA128*$J128</f>
        <v/>
      </c>
      <c r="EC128" s="342">
        <f t="array" ref="EC128">SUMPRODUCT(--(MOD(COLUMN($BO128:$DV128),5)=MOD(COLUMN($BR128),5)),$BO128:$DV128)</f>
        <v/>
      </c>
      <c r="ED128" s="343">
        <f>EC128*$J128</f>
        <v/>
      </c>
      <c r="EE128" s="36">
        <f>$KN128*0</f>
        <v/>
      </c>
      <c r="EF128" s="284" t="n">
        <v>0</v>
      </c>
      <c r="EG128" s="38" t="n"/>
      <c r="EH128" s="284" t="n"/>
      <c r="EI128" s="36">
        <f>$KN128*0</f>
        <v/>
      </c>
      <c r="EJ128" s="284" t="n">
        <v>0</v>
      </c>
      <c r="EK128" s="38" t="n"/>
      <c r="EL128" s="284" t="n"/>
      <c r="EM128" s="36">
        <f>$KN128*1</f>
        <v/>
      </c>
      <c r="EN128" s="284" t="n">
        <v>0</v>
      </c>
      <c r="EO128" s="38" t="n">
        <v>0</v>
      </c>
      <c r="EP128" s="284" t="n"/>
      <c r="EQ128" s="36">
        <f>$KN128*2</f>
        <v/>
      </c>
      <c r="ER128" s="284" t="n">
        <v>0</v>
      </c>
      <c r="ES128" s="38" t="n">
        <v>0</v>
      </c>
      <c r="ET128" s="284" t="n"/>
      <c r="EU128" s="36">
        <f>$KN128*3</f>
        <v/>
      </c>
      <c r="EV128" s="39" t="n">
        <v>0</v>
      </c>
      <c r="EW128" s="38" t="n">
        <v>0</v>
      </c>
      <c r="EX128" s="284" t="n"/>
      <c r="EY128" s="36">
        <f>$KN128*3</f>
        <v/>
      </c>
      <c r="EZ128" s="284" t="n">
        <v>3</v>
      </c>
      <c r="FA128" s="38" t="n">
        <v>0</v>
      </c>
      <c r="FB128" s="284" t="n"/>
      <c r="FC128" s="36">
        <f>$KN128*5</f>
        <v/>
      </c>
      <c r="FD128" s="284" t="n">
        <v>5</v>
      </c>
      <c r="FE128" s="38" t="n">
        <v>0</v>
      </c>
      <c r="FF128" s="284" t="n"/>
      <c r="FG128" s="36">
        <f>$KN128*5</f>
        <v/>
      </c>
      <c r="FH128" s="284" t="n">
        <v>5</v>
      </c>
      <c r="FI128" s="38" t="n">
        <v>0</v>
      </c>
      <c r="FJ128" s="284" t="n"/>
      <c r="FK128" s="36">
        <f>$KN128*5</f>
        <v/>
      </c>
      <c r="FL128" s="284" t="n">
        <v>5</v>
      </c>
      <c r="FM128" s="38" t="n">
        <v>0</v>
      </c>
      <c r="FN128" s="284" t="n"/>
      <c r="FO128" s="36">
        <f>$KN128*6</f>
        <v/>
      </c>
      <c r="FP128" s="284" t="n">
        <v>6</v>
      </c>
      <c r="FQ128" s="38" t="n">
        <v>0</v>
      </c>
      <c r="FR128" s="284" t="n"/>
      <c r="FS128" s="36">
        <f>$KN128*6</f>
        <v/>
      </c>
      <c r="FT128" s="284" t="n">
        <v>6</v>
      </c>
      <c r="FU128" s="38" t="n">
        <v>0</v>
      </c>
      <c r="FV128" s="284" t="n"/>
      <c r="FW128" s="36">
        <f>$KN128*6</f>
        <v/>
      </c>
      <c r="FX128" s="284" t="n">
        <v>6</v>
      </c>
      <c r="FY128" s="38" t="n">
        <v>0</v>
      </c>
      <c r="FZ128" s="284" t="n"/>
      <c r="GA128" s="338">
        <f t="array" ref="GA128">SUMPRODUCT(--(MOD(COLUMN($EE128:$FZ128),4)=MOD(COLUMN($EE128),4)),$EE128:$FZ128)</f>
        <v/>
      </c>
      <c r="GB128" s="339">
        <f>GA128*$J128</f>
        <v/>
      </c>
      <c r="GC128" s="340">
        <f t="array" ref="GC128">SUMPRODUCT(--(MOD(COLUMN($EE128:$FZ128),4)=MOD(COLUMN($EF128),4)),$EE128:$FZ128)</f>
        <v/>
      </c>
      <c r="GD128" s="341">
        <f>GC128*$J128</f>
        <v/>
      </c>
      <c r="GE128" s="342">
        <f t="array" ref="GE128">SUMPRODUCT(--(MOD(COLUMN($EE128:$FZ128),4)=MOD(COLUMN($EG128),4)),$EE128:$FZ128)</f>
        <v/>
      </c>
      <c r="GF128" s="343">
        <f>GE128*$J128</f>
        <v/>
      </c>
      <c r="GG128" s="36">
        <f>$KN128*5</f>
        <v/>
      </c>
      <c r="GH128" s="284" t="n"/>
      <c r="GI128" s="38" t="n">
        <v>0</v>
      </c>
      <c r="GJ128" s="284" t="n"/>
      <c r="GK128" s="36">
        <f>$KN128*5</f>
        <v/>
      </c>
      <c r="GL128" s="284" t="n"/>
      <c r="GM128" s="38" t="n">
        <v>0</v>
      </c>
      <c r="GN128" s="284" t="n"/>
      <c r="GO128" s="36">
        <f>$KN128*7</f>
        <v/>
      </c>
      <c r="GP128" s="284" t="n"/>
      <c r="GQ128" s="38" t="n">
        <v>0</v>
      </c>
      <c r="GR128" s="284" t="n"/>
      <c r="GS128" s="36">
        <f>$KN128*10</f>
        <v/>
      </c>
      <c r="GT128" s="284" t="n"/>
      <c r="GU128" s="38" t="n">
        <v>0</v>
      </c>
      <c r="GV128" s="284" t="n"/>
      <c r="GW128" s="36">
        <f>$KN128*10</f>
        <v/>
      </c>
      <c r="GX128" s="284" t="n"/>
      <c r="GY128" s="38" t="n">
        <v>0</v>
      </c>
      <c r="GZ128" s="284" t="n"/>
      <c r="HA128" s="36">
        <f>$KN128*10</f>
        <v/>
      </c>
      <c r="HB128" s="284" t="n"/>
      <c r="HC128" s="38" t="n">
        <v>0</v>
      </c>
      <c r="HD128" s="284" t="n"/>
      <c r="HE128" s="36">
        <f>$KN128*10</f>
        <v/>
      </c>
      <c r="HF128" s="284" t="n"/>
      <c r="HG128" s="38" t="n">
        <v>0</v>
      </c>
      <c r="HH128" s="284" t="n"/>
      <c r="HI128" s="36">
        <f>$KN128*10</f>
        <v/>
      </c>
      <c r="HJ128" s="284" t="n"/>
      <c r="HK128" s="38" t="n">
        <v>0</v>
      </c>
      <c r="HL128" s="284" t="n"/>
      <c r="HM128" s="36">
        <f>$KN128*10</f>
        <v/>
      </c>
      <c r="HN128" s="284" t="n"/>
      <c r="HO128" s="38" t="n">
        <v>0</v>
      </c>
      <c r="HP128" s="284" t="n"/>
      <c r="HQ128" s="36">
        <f>$KN128*10</f>
        <v/>
      </c>
      <c r="HR128" s="284" t="n"/>
      <c r="HS128" s="38" t="n">
        <v>0</v>
      </c>
      <c r="HT128" s="284" t="n"/>
      <c r="HU128" s="36">
        <f>$KN128*10</f>
        <v/>
      </c>
      <c r="HV128" s="284" t="n"/>
      <c r="HW128" s="38" t="n">
        <v>0</v>
      </c>
      <c r="HX128" s="284" t="n"/>
      <c r="HY128" s="36">
        <f>$KN128*10</f>
        <v/>
      </c>
      <c r="HZ128" s="284" t="n"/>
      <c r="IA128" s="38" t="n">
        <v>0</v>
      </c>
      <c r="IB128" s="284" t="n"/>
      <c r="IC128" s="338">
        <f t="array" ref="IC128">SUMPRODUCT(--(MOD(COLUMN($GG128:$IB128),4)=MOD(COLUMN($GG128),4)),$GG128:$IB128)</f>
        <v/>
      </c>
      <c r="ID128" s="339">
        <f>IC128*$J128</f>
        <v/>
      </c>
      <c r="IE128" s="340">
        <f t="array" ref="IE128">SUMPRODUCT(--(MOD(COLUMN($GG128:$IB128),4)=MOD(COLUMN($GH128),4)),$GG128:$IB128)</f>
        <v/>
      </c>
      <c r="IF128" s="341">
        <f>IE128*$J128</f>
        <v/>
      </c>
      <c r="IG128" s="342">
        <f t="array" ref="IG128">SUMPRODUCT(--(MOD(COLUMN($GG128:$IB128),4)=MOD(COLUMN($GI128),4)),$GG128:$IB128)</f>
        <v/>
      </c>
      <c r="IH128" s="343">
        <f>IG128*$J128</f>
        <v/>
      </c>
      <c r="II128" s="36">
        <f>$KN128*5</f>
        <v/>
      </c>
      <c r="IJ128" s="284" t="n"/>
      <c r="IK128" s="38" t="n">
        <v>0</v>
      </c>
      <c r="IL128" s="284" t="n"/>
      <c r="IM128" s="36">
        <f>$KN128*5</f>
        <v/>
      </c>
      <c r="IN128" s="284" t="n"/>
      <c r="IO128" s="38" t="n">
        <v>0</v>
      </c>
      <c r="IP128" s="284" t="n"/>
      <c r="IQ128" s="36">
        <f>$KN128*7</f>
        <v/>
      </c>
      <c r="IR128" s="284" t="n"/>
      <c r="IS128" s="38" t="n">
        <v>0</v>
      </c>
      <c r="IT128" s="284" t="n"/>
      <c r="IU128" s="36">
        <f>$KN128*10</f>
        <v/>
      </c>
      <c r="IV128" s="284" t="n"/>
      <c r="IW128" s="38" t="n">
        <v>0</v>
      </c>
      <c r="IX128" s="284" t="n"/>
      <c r="IY128" s="36">
        <f>$KN128*10</f>
        <v/>
      </c>
      <c r="IZ128" s="284" t="n"/>
      <c r="JA128" s="38" t="n">
        <v>0</v>
      </c>
      <c r="JB128" s="284" t="n"/>
      <c r="JC128" s="36">
        <f>$KN128*10</f>
        <v/>
      </c>
      <c r="JD128" s="284" t="n"/>
      <c r="JE128" s="38" t="n">
        <v>0</v>
      </c>
      <c r="JF128" s="284" t="n"/>
      <c r="JG128" s="36">
        <f>$KN128*10</f>
        <v/>
      </c>
      <c r="JH128" s="284" t="n"/>
      <c r="JI128" s="38" t="n">
        <v>0</v>
      </c>
      <c r="JJ128" s="284" t="n"/>
      <c r="JK128" s="36">
        <f>$KN128*10</f>
        <v/>
      </c>
      <c r="JL128" s="284" t="n"/>
      <c r="JM128" s="38" t="n">
        <v>0</v>
      </c>
      <c r="JN128" s="284" t="n"/>
      <c r="JO128" s="36">
        <f>$KN128*10</f>
        <v/>
      </c>
      <c r="JP128" s="284" t="n"/>
      <c r="JQ128" s="38" t="n">
        <v>0</v>
      </c>
      <c r="JR128" s="284" t="n"/>
      <c r="JS128" s="36">
        <f>$KN128*10</f>
        <v/>
      </c>
      <c r="JT128" s="284" t="n"/>
      <c r="JU128" s="38" t="n">
        <v>0</v>
      </c>
      <c r="JV128" s="284" t="n"/>
      <c r="JW128" s="36">
        <f>$KN128*10</f>
        <v/>
      </c>
      <c r="JX128" s="284" t="n"/>
      <c r="JY128" s="38" t="n">
        <v>0</v>
      </c>
      <c r="JZ128" s="284" t="n"/>
      <c r="KA128" s="36">
        <f>$KN128*10</f>
        <v/>
      </c>
      <c r="KB128" s="284" t="n"/>
      <c r="KC128" s="38" t="n">
        <v>0</v>
      </c>
      <c r="KD128" s="284" t="n"/>
      <c r="KE128" s="338">
        <f t="array" ref="KE128">SUMPRODUCT(--(MOD(COLUMN($II128:$KD128),4)=MOD(COLUMN($II128),4)),$II128:$KD128)</f>
        <v/>
      </c>
      <c r="KF128" s="339">
        <f>KE128*$J128</f>
        <v/>
      </c>
      <c r="KG128" s="340">
        <f t="array" ref="KG128">SUMPRODUCT(--(MOD(COLUMN($II128:$KD128),4)=MOD(COLUMN($IJ128),4)),$II128:$KD128)</f>
        <v/>
      </c>
      <c r="KH128" s="341">
        <f>KG128*$J128</f>
        <v/>
      </c>
      <c r="KI128" s="342">
        <f t="array" ref="KI128">SUMPRODUCT(--(MOD(COLUMN($II128:$KD128),4)=MOD(COLUMN($IK128),4)),$II128:$KD128)</f>
        <v/>
      </c>
      <c r="KJ128" s="346">
        <f>KI128*$J128</f>
        <v/>
      </c>
      <c r="KK128" s="80" t="n"/>
      <c r="KL128" s="80" t="n"/>
      <c r="KM128" s="80" t="n"/>
      <c r="KN128" s="51" t="n">
        <v>1</v>
      </c>
      <c r="KO128" s="347" t="n"/>
    </row>
    <row r="129" outlineLevel="1" ht="28.8" customFormat="1" customHeight="1" s="68">
      <c r="A129" s="347" t="n"/>
      <c r="B129" s="347" t="n"/>
      <c r="C129" s="347" t="n"/>
      <c r="D129" s="347" t="n"/>
      <c r="E129" s="15" t="n">
        <v>8</v>
      </c>
      <c r="F129" s="15" t="n">
        <v>1</v>
      </c>
      <c r="G129" s="33" t="n">
        <v>4630320200</v>
      </c>
      <c r="H129" s="34" t="inlineStr">
        <is>
          <t>Кран ручного управления</t>
        </is>
      </c>
      <c r="I129" s="337">
        <f>537.4/1.2/0.98</f>
        <v/>
      </c>
      <c r="J129" s="337">
        <f>537.4/1.2*1.0863</f>
        <v/>
      </c>
      <c r="K129" s="348" t="n"/>
      <c r="L129" s="348" t="n"/>
      <c r="M129" s="36" t="n">
        <v>0</v>
      </c>
      <c r="N129" s="284" t="n">
        <v>0</v>
      </c>
      <c r="O129" s="38" t="n">
        <v>0</v>
      </c>
      <c r="P129" s="284" t="n"/>
      <c r="Q129" s="36" t="n">
        <v>0</v>
      </c>
      <c r="R129" s="284" t="n">
        <v>0</v>
      </c>
      <c r="S129" s="38" t="n">
        <v>0</v>
      </c>
      <c r="T129" s="284" t="n"/>
      <c r="U129" s="36" t="n">
        <v>0</v>
      </c>
      <c r="V129" s="284" t="n">
        <v>0</v>
      </c>
      <c r="W129" s="38" t="n">
        <v>0</v>
      </c>
      <c r="X129" s="284" t="n"/>
      <c r="Y129" s="36" t="n">
        <v>0</v>
      </c>
      <c r="Z129" s="284" t="n">
        <v>0</v>
      </c>
      <c r="AA129" s="38" t="n">
        <v>0</v>
      </c>
      <c r="AB129" s="284" t="n"/>
      <c r="AC129" s="36" t="n">
        <v>0</v>
      </c>
      <c r="AD129" s="284" t="n">
        <v>0</v>
      </c>
      <c r="AE129" s="38" t="n">
        <v>0</v>
      </c>
      <c r="AF129" s="284" t="n"/>
      <c r="AG129" s="36" t="n">
        <v>0</v>
      </c>
      <c r="AH129" s="284" t="n">
        <v>0</v>
      </c>
      <c r="AI129" s="38" t="n">
        <v>0</v>
      </c>
      <c r="AJ129" s="284" t="n"/>
      <c r="AK129" s="36" t="n">
        <v>0</v>
      </c>
      <c r="AL129" s="284" t="n">
        <v>0</v>
      </c>
      <c r="AM129" s="38" t="n">
        <v>0</v>
      </c>
      <c r="AN129" s="284" t="n"/>
      <c r="AO129" s="36" t="n">
        <v>0</v>
      </c>
      <c r="AP129" s="284" t="n">
        <v>0</v>
      </c>
      <c r="AQ129" s="38" t="n">
        <v>0</v>
      </c>
      <c r="AR129" s="284" t="n"/>
      <c r="AS129" s="36" t="n">
        <v>0</v>
      </c>
      <c r="AT129" s="284" t="n">
        <v>0</v>
      </c>
      <c r="AU129" s="38" t="n">
        <v>0</v>
      </c>
      <c r="AV129" s="284" t="n"/>
      <c r="AW129" s="36" t="n">
        <v>0</v>
      </c>
      <c r="AX129" s="284" t="n">
        <v>0</v>
      </c>
      <c r="AY129" s="54" t="n">
        <v>0</v>
      </c>
      <c r="AZ129" s="284" t="n"/>
      <c r="BA129" s="36" t="n">
        <v>0</v>
      </c>
      <c r="BB129" s="284" t="n">
        <v>0</v>
      </c>
      <c r="BC129" s="92" t="n">
        <v>0</v>
      </c>
      <c r="BD129" s="284" t="n"/>
      <c r="BE129" s="36" t="n">
        <v>0</v>
      </c>
      <c r="BF129" s="284">
        <f>$KN129*0</f>
        <v/>
      </c>
      <c r="BG129" s="54" t="n">
        <v>0</v>
      </c>
      <c r="BH129" s="284" t="n"/>
      <c r="BI129" s="338">
        <f>SUMPRODUCT(--(MOD(COLUMN($M129:$BH129),4)=MOD(COLUMN($M129),4)),$M129:$BH129)</f>
        <v/>
      </c>
      <c r="BJ129" s="339">
        <f>BI129*$I129</f>
        <v/>
      </c>
      <c r="BK129" s="340">
        <f>SUMPRODUCT(--(MOD(COLUMN($M129:$BH129),4)=MOD(COLUMN($M129)+1,4)),$M129:$BH129)</f>
        <v/>
      </c>
      <c r="BL129" s="341">
        <f>BK129*$I129</f>
        <v/>
      </c>
      <c r="BM129" s="342">
        <f>SUMPRODUCT(--(MOD(COLUMN($M129:$BH129),4)=MOD(COLUMN($M129)+2,4)),$M129:$BH129)</f>
        <v/>
      </c>
      <c r="BN129" s="343">
        <f>BM129*$I129</f>
        <v/>
      </c>
      <c r="BO129" s="36" t="n"/>
      <c r="BP129" s="47" t="n"/>
      <c r="BQ129" s="39" t="n"/>
      <c r="BR129" s="38" t="n">
        <v>2</v>
      </c>
      <c r="BS129" s="284" t="n"/>
      <c r="BT129" s="36" t="n"/>
      <c r="BU129" s="47" t="n"/>
      <c r="BV129" s="284">
        <f>$KN129*0</f>
        <v/>
      </c>
      <c r="BW129" s="38" t="n">
        <v>0</v>
      </c>
      <c r="BX129" s="347" t="n"/>
      <c r="BY129" s="36">
        <f>$KN129*1</f>
        <v/>
      </c>
      <c r="BZ129" s="47">
        <f>$KN129*0</f>
        <v/>
      </c>
      <c r="CA129" s="284" t="n">
        <v>0</v>
      </c>
      <c r="CB129" s="38" t="n">
        <v>0</v>
      </c>
      <c r="CC129" s="284" t="n"/>
      <c r="CD129" s="36">
        <f>$KN129*0</f>
        <v/>
      </c>
      <c r="CE129" s="47">
        <f>$KN129*0</f>
        <v/>
      </c>
      <c r="CF129" s="284" t="n">
        <v>0</v>
      </c>
      <c r="CG129" s="38" t="n">
        <v>0</v>
      </c>
      <c r="CH129" s="284" t="n"/>
      <c r="CI129" s="36">
        <f>$KN129*5</f>
        <v/>
      </c>
      <c r="CJ129" s="47">
        <f>$KN129*3</f>
        <v/>
      </c>
      <c r="CK129" s="284">
        <f>$KN129*0</f>
        <v/>
      </c>
      <c r="CL129" s="38" t="n">
        <v>0</v>
      </c>
      <c r="CM129" s="347" t="n"/>
      <c r="CN129" s="36">
        <f>$KN129*5</f>
        <v/>
      </c>
      <c r="CO129" s="47">
        <f>$KN129*3</f>
        <v/>
      </c>
      <c r="CP129" s="284">
        <f>$KN129*0</f>
        <v/>
      </c>
      <c r="CQ129" s="38" t="n">
        <v>0</v>
      </c>
      <c r="CR129" s="347" t="n"/>
      <c r="CS129" s="36">
        <f>$KN129*5</f>
        <v/>
      </c>
      <c r="CT129" s="47">
        <f>$KN129*3</f>
        <v/>
      </c>
      <c r="CU129" s="284">
        <f>$KN129*0</f>
        <v/>
      </c>
      <c r="CV129" s="52" t="n">
        <v>0</v>
      </c>
      <c r="CW129" s="347" t="n"/>
      <c r="CX129" s="36">
        <f>$KN129*5</f>
        <v/>
      </c>
      <c r="CY129" s="47">
        <f>$KN129*3</f>
        <v/>
      </c>
      <c r="CZ129" s="284">
        <f>$KN129*0</f>
        <v/>
      </c>
      <c r="DA129" s="38" t="n">
        <v>0</v>
      </c>
      <c r="DB129" s="284" t="n"/>
      <c r="DC129" s="36">
        <f>$KN129*5</f>
        <v/>
      </c>
      <c r="DD129" s="47">
        <f>$KN129*3</f>
        <v/>
      </c>
      <c r="DE129" s="284">
        <f>$KN129*0</f>
        <v/>
      </c>
      <c r="DF129" s="38" t="n">
        <v>0</v>
      </c>
      <c r="DG129" s="284" t="n"/>
      <c r="DH129" s="36">
        <f>$KN129*5</f>
        <v/>
      </c>
      <c r="DI129" s="47">
        <f>$KN129*3</f>
        <v/>
      </c>
      <c r="DJ129" s="284">
        <f>$KN129*0</f>
        <v/>
      </c>
      <c r="DK129" s="52" t="n">
        <v>0</v>
      </c>
      <c r="DL129" s="284" t="n"/>
      <c r="DM129" s="36">
        <f>$KN129*5</f>
        <v/>
      </c>
      <c r="DN129" s="47">
        <f>$KN129*3</f>
        <v/>
      </c>
      <c r="DO129" s="284">
        <f>$KN129*0</f>
        <v/>
      </c>
      <c r="DP129" s="38" t="n">
        <v>0</v>
      </c>
      <c r="DQ129" s="284" t="n"/>
      <c r="DR129" s="36">
        <f>$KN129*5</f>
        <v/>
      </c>
      <c r="DS129" s="47">
        <f>$KN129*3</f>
        <v/>
      </c>
      <c r="DT129" s="284">
        <f>$KN129*0</f>
        <v/>
      </c>
      <c r="DU129" s="38" t="n">
        <v>0</v>
      </c>
      <c r="DV129" s="284" t="n"/>
      <c r="DW129" s="338">
        <f t="array" ref="DW129">SUMPRODUCT(--(MOD(COLUMN($BO129:$DV129),5)=MOD(COLUMN($BO129),5)),$BO129:$DV129)</f>
        <v/>
      </c>
      <c r="DX129" s="339">
        <f>DW129*$J129</f>
        <v/>
      </c>
      <c r="DY129" s="344">
        <f t="array" ref="DY129">SUMPRODUCT(--(MOD(COLUMN($BO129:$DV129),5)=MOD(COLUMN($BP129),5)),$BO129:$DV129)</f>
        <v/>
      </c>
      <c r="DZ129" s="345">
        <f>DY129*$J129</f>
        <v/>
      </c>
      <c r="EA129" s="340">
        <f t="array" ref="EA129">SUMPRODUCT(--(MOD(COLUMN($BO129:$DV129),5)=MOD(COLUMN($BQ129),5)),$BO129:$DV129)</f>
        <v/>
      </c>
      <c r="EB129" s="341">
        <f>EA129*$J129</f>
        <v/>
      </c>
      <c r="EC129" s="342">
        <f t="array" ref="EC129">SUMPRODUCT(--(MOD(COLUMN($BO129:$DV129),5)=MOD(COLUMN($BR129),5)),$BO129:$DV129)</f>
        <v/>
      </c>
      <c r="ED129" s="343">
        <f>EC129*$J129</f>
        <v/>
      </c>
      <c r="EE129" s="36">
        <f>$KN129*0</f>
        <v/>
      </c>
      <c r="EF129" s="284" t="n">
        <v>0</v>
      </c>
      <c r="EG129" s="38" t="n"/>
      <c r="EH129" s="284" t="n"/>
      <c r="EI129" s="36">
        <f>$KN129*0</f>
        <v/>
      </c>
      <c r="EJ129" s="284" t="n">
        <v>0</v>
      </c>
      <c r="EK129" s="38" t="n"/>
      <c r="EL129" s="284" t="n"/>
      <c r="EM129" s="36">
        <f>$KN129*1</f>
        <v/>
      </c>
      <c r="EN129" s="284" t="n">
        <v>0</v>
      </c>
      <c r="EO129" s="38" t="n">
        <v>0</v>
      </c>
      <c r="EP129" s="284" t="n"/>
      <c r="EQ129" s="36">
        <f>$KN129*2</f>
        <v/>
      </c>
      <c r="ER129" s="284" t="n">
        <v>0</v>
      </c>
      <c r="ES129" s="38" t="n">
        <v>0</v>
      </c>
      <c r="ET129" s="284" t="n"/>
      <c r="EU129" s="36">
        <f>$KN129*3</f>
        <v/>
      </c>
      <c r="EV129" s="39" t="n">
        <v>0</v>
      </c>
      <c r="EW129" s="38" t="n">
        <v>0</v>
      </c>
      <c r="EX129" s="284" t="n"/>
      <c r="EY129" s="36">
        <f>$KN129*3</f>
        <v/>
      </c>
      <c r="EZ129" s="284" t="n">
        <v>3</v>
      </c>
      <c r="FA129" s="38" t="n">
        <v>0</v>
      </c>
      <c r="FB129" s="284" t="n"/>
      <c r="FC129" s="36">
        <f>$KN129*5</f>
        <v/>
      </c>
      <c r="FD129" s="284" t="n">
        <v>5</v>
      </c>
      <c r="FE129" s="38" t="n">
        <v>0</v>
      </c>
      <c r="FF129" s="284" t="n"/>
      <c r="FG129" s="36">
        <f>$KN129*5</f>
        <v/>
      </c>
      <c r="FH129" s="284" t="n">
        <v>5</v>
      </c>
      <c r="FI129" s="38" t="n">
        <v>0</v>
      </c>
      <c r="FJ129" s="284" t="n"/>
      <c r="FK129" s="36">
        <f>$KN129*5</f>
        <v/>
      </c>
      <c r="FL129" s="284" t="n">
        <v>5</v>
      </c>
      <c r="FM129" s="38" t="n">
        <v>0</v>
      </c>
      <c r="FN129" s="284" t="n"/>
      <c r="FO129" s="36">
        <f>$KN129*6</f>
        <v/>
      </c>
      <c r="FP129" s="284" t="n">
        <v>6</v>
      </c>
      <c r="FQ129" s="38" t="n">
        <v>0</v>
      </c>
      <c r="FR129" s="284" t="n"/>
      <c r="FS129" s="36">
        <f>$KN129*6</f>
        <v/>
      </c>
      <c r="FT129" s="284" t="n">
        <v>6</v>
      </c>
      <c r="FU129" s="38" t="n">
        <v>0</v>
      </c>
      <c r="FV129" s="284" t="n"/>
      <c r="FW129" s="36">
        <f>$KN129*6</f>
        <v/>
      </c>
      <c r="FX129" s="284" t="n">
        <v>6</v>
      </c>
      <c r="FY129" s="38" t="n">
        <v>0</v>
      </c>
      <c r="FZ129" s="284" t="n"/>
      <c r="GA129" s="338">
        <f t="array" ref="GA129">SUMPRODUCT(--(MOD(COLUMN($EE129:$FZ129),4)=MOD(COLUMN($EE129),4)),$EE129:$FZ129)</f>
        <v/>
      </c>
      <c r="GB129" s="339">
        <f>GA129*$J129</f>
        <v/>
      </c>
      <c r="GC129" s="340">
        <f t="array" ref="GC129">SUMPRODUCT(--(MOD(COLUMN($EE129:$FZ129),4)=MOD(COLUMN($EF129),4)),$EE129:$FZ129)</f>
        <v/>
      </c>
      <c r="GD129" s="341">
        <f>GC129*$J129</f>
        <v/>
      </c>
      <c r="GE129" s="342">
        <f t="array" ref="GE129">SUMPRODUCT(--(MOD(COLUMN($EE129:$FZ129),4)=MOD(COLUMN($EG129),4)),$EE129:$FZ129)</f>
        <v/>
      </c>
      <c r="GF129" s="343">
        <f>GE129*$J129</f>
        <v/>
      </c>
      <c r="GG129" s="36">
        <f>$KN129*5</f>
        <v/>
      </c>
      <c r="GH129" s="284" t="n"/>
      <c r="GI129" s="38" t="n">
        <v>0</v>
      </c>
      <c r="GJ129" s="284" t="n"/>
      <c r="GK129" s="36">
        <f>$KN129*5</f>
        <v/>
      </c>
      <c r="GL129" s="284" t="n"/>
      <c r="GM129" s="38" t="n">
        <v>0</v>
      </c>
      <c r="GN129" s="284" t="n"/>
      <c r="GO129" s="36">
        <f>$KN129*7</f>
        <v/>
      </c>
      <c r="GP129" s="284" t="n"/>
      <c r="GQ129" s="38" t="n">
        <v>0</v>
      </c>
      <c r="GR129" s="284" t="n"/>
      <c r="GS129" s="36">
        <f>$KN129*10</f>
        <v/>
      </c>
      <c r="GT129" s="284" t="n"/>
      <c r="GU129" s="38" t="n">
        <v>0</v>
      </c>
      <c r="GV129" s="284" t="n"/>
      <c r="GW129" s="36">
        <f>$KN129*10</f>
        <v/>
      </c>
      <c r="GX129" s="284" t="n"/>
      <c r="GY129" s="38" t="n">
        <v>0</v>
      </c>
      <c r="GZ129" s="284" t="n"/>
      <c r="HA129" s="36">
        <f>$KN129*10</f>
        <v/>
      </c>
      <c r="HB129" s="284" t="n"/>
      <c r="HC129" s="38" t="n">
        <v>0</v>
      </c>
      <c r="HD129" s="284" t="n"/>
      <c r="HE129" s="36">
        <f>$KN129*10</f>
        <v/>
      </c>
      <c r="HF129" s="284" t="n"/>
      <c r="HG129" s="38" t="n">
        <v>0</v>
      </c>
      <c r="HH129" s="284" t="n"/>
      <c r="HI129" s="36">
        <f>$KN129*10</f>
        <v/>
      </c>
      <c r="HJ129" s="284" t="n"/>
      <c r="HK129" s="38" t="n">
        <v>0</v>
      </c>
      <c r="HL129" s="284" t="n"/>
      <c r="HM129" s="36">
        <f>$KN129*10</f>
        <v/>
      </c>
      <c r="HN129" s="284" t="n"/>
      <c r="HO129" s="38" t="n">
        <v>0</v>
      </c>
      <c r="HP129" s="284" t="n"/>
      <c r="HQ129" s="36">
        <f>$KN129*10</f>
        <v/>
      </c>
      <c r="HR129" s="284" t="n"/>
      <c r="HS129" s="38" t="n">
        <v>0</v>
      </c>
      <c r="HT129" s="284" t="n"/>
      <c r="HU129" s="36">
        <f>$KN129*10</f>
        <v/>
      </c>
      <c r="HV129" s="284" t="n"/>
      <c r="HW129" s="38" t="n">
        <v>0</v>
      </c>
      <c r="HX129" s="284" t="n"/>
      <c r="HY129" s="36">
        <f>$KN129*10</f>
        <v/>
      </c>
      <c r="HZ129" s="284" t="n"/>
      <c r="IA129" s="38" t="n">
        <v>0</v>
      </c>
      <c r="IB129" s="284" t="n"/>
      <c r="IC129" s="338">
        <f t="array" ref="IC129">SUMPRODUCT(--(MOD(COLUMN($GG129:$IB129),4)=MOD(COLUMN($GG129),4)),$GG129:$IB129)</f>
        <v/>
      </c>
      <c r="ID129" s="339">
        <f>IC129*$J129</f>
        <v/>
      </c>
      <c r="IE129" s="340">
        <f t="array" ref="IE129">SUMPRODUCT(--(MOD(COLUMN($GG129:$IB129),4)=MOD(COLUMN($GH129),4)),$GG129:$IB129)</f>
        <v/>
      </c>
      <c r="IF129" s="341">
        <f>IE129*$J129</f>
        <v/>
      </c>
      <c r="IG129" s="342">
        <f t="array" ref="IG129">SUMPRODUCT(--(MOD(COLUMN($GG129:$IB129),4)=MOD(COLUMN($GI129),4)),$GG129:$IB129)</f>
        <v/>
      </c>
      <c r="IH129" s="343">
        <f>IG129*$J129</f>
        <v/>
      </c>
      <c r="II129" s="36">
        <f>$KN129*5</f>
        <v/>
      </c>
      <c r="IJ129" s="284" t="n"/>
      <c r="IK129" s="38" t="n">
        <v>0</v>
      </c>
      <c r="IL129" s="284" t="n"/>
      <c r="IM129" s="36">
        <f>$KN129*5</f>
        <v/>
      </c>
      <c r="IN129" s="284" t="n"/>
      <c r="IO129" s="38" t="n">
        <v>0</v>
      </c>
      <c r="IP129" s="284" t="n"/>
      <c r="IQ129" s="36">
        <f>$KN129*7</f>
        <v/>
      </c>
      <c r="IR129" s="284" t="n"/>
      <c r="IS129" s="38" t="n">
        <v>0</v>
      </c>
      <c r="IT129" s="284" t="n"/>
      <c r="IU129" s="36">
        <f>$KN129*10</f>
        <v/>
      </c>
      <c r="IV129" s="284" t="n"/>
      <c r="IW129" s="38" t="n">
        <v>0</v>
      </c>
      <c r="IX129" s="284" t="n"/>
      <c r="IY129" s="36">
        <f>$KN129*10</f>
        <v/>
      </c>
      <c r="IZ129" s="284" t="n"/>
      <c r="JA129" s="38" t="n">
        <v>0</v>
      </c>
      <c r="JB129" s="284" t="n"/>
      <c r="JC129" s="36">
        <f>$KN129*10</f>
        <v/>
      </c>
      <c r="JD129" s="284" t="n"/>
      <c r="JE129" s="38" t="n">
        <v>0</v>
      </c>
      <c r="JF129" s="284" t="n"/>
      <c r="JG129" s="36">
        <f>$KN129*10</f>
        <v/>
      </c>
      <c r="JH129" s="284" t="n"/>
      <c r="JI129" s="38" t="n">
        <v>0</v>
      </c>
      <c r="JJ129" s="284" t="n"/>
      <c r="JK129" s="36">
        <f>$KN129*10</f>
        <v/>
      </c>
      <c r="JL129" s="284" t="n"/>
      <c r="JM129" s="38" t="n">
        <v>0</v>
      </c>
      <c r="JN129" s="284" t="n"/>
      <c r="JO129" s="36">
        <f>$KN129*10</f>
        <v/>
      </c>
      <c r="JP129" s="284" t="n"/>
      <c r="JQ129" s="38" t="n">
        <v>0</v>
      </c>
      <c r="JR129" s="284" t="n"/>
      <c r="JS129" s="36">
        <f>$KN129*10</f>
        <v/>
      </c>
      <c r="JT129" s="284" t="n"/>
      <c r="JU129" s="38" t="n">
        <v>0</v>
      </c>
      <c r="JV129" s="284" t="n"/>
      <c r="JW129" s="36">
        <f>$KN129*10</f>
        <v/>
      </c>
      <c r="JX129" s="284" t="n"/>
      <c r="JY129" s="38" t="n">
        <v>0</v>
      </c>
      <c r="JZ129" s="284" t="n"/>
      <c r="KA129" s="36">
        <f>$KN129*10</f>
        <v/>
      </c>
      <c r="KB129" s="284" t="n"/>
      <c r="KC129" s="38" t="n">
        <v>0</v>
      </c>
      <c r="KD129" s="284" t="n"/>
      <c r="KE129" s="338">
        <f t="array" ref="KE129">SUMPRODUCT(--(MOD(COLUMN($II129:$KD129),4)=MOD(COLUMN($II129),4)),$II129:$KD129)</f>
        <v/>
      </c>
      <c r="KF129" s="339">
        <f>KE129*$J129</f>
        <v/>
      </c>
      <c r="KG129" s="340">
        <f t="array" ref="KG129">SUMPRODUCT(--(MOD(COLUMN($II129:$KD129),4)=MOD(COLUMN($IJ129),4)),$II129:$KD129)</f>
        <v/>
      </c>
      <c r="KH129" s="341">
        <f>KG129*$J129</f>
        <v/>
      </c>
      <c r="KI129" s="342">
        <f t="array" ref="KI129">SUMPRODUCT(--(MOD(COLUMN($II129:$KD129),4)=MOD(COLUMN($IK129),4)),$II129:$KD129)</f>
        <v/>
      </c>
      <c r="KJ129" s="346">
        <f>KI129*$J129</f>
        <v/>
      </c>
      <c r="KK129" s="80" t="n"/>
      <c r="KL129" s="80" t="n"/>
      <c r="KM129" s="80" t="n"/>
      <c r="KN129" s="51" t="n">
        <v>1</v>
      </c>
      <c r="KO129" s="347" t="n"/>
    </row>
    <row r="130" outlineLevel="1" customFormat="1" s="68">
      <c r="A130" s="347" t="n"/>
      <c r="B130" s="347" t="n"/>
      <c r="C130" s="347" t="n"/>
      <c r="D130" s="347" t="n"/>
      <c r="E130" s="15" t="n">
        <v>9</v>
      </c>
      <c r="F130" s="15" t="n">
        <v>1</v>
      </c>
      <c r="G130" s="33" t="n">
        <v>4334010030</v>
      </c>
      <c r="H130" s="34" t="inlineStr">
        <is>
          <t>Упругий элемент</t>
        </is>
      </c>
      <c r="I130" s="337">
        <f>41.9/1.2/0.98</f>
        <v/>
      </c>
      <c r="J130" s="337">
        <f>41.9/1.2*1.0863</f>
        <v/>
      </c>
      <c r="K130" s="348" t="n"/>
      <c r="L130" s="348" t="n"/>
      <c r="M130" s="36" t="n">
        <v>0</v>
      </c>
      <c r="N130" s="284" t="n">
        <v>0</v>
      </c>
      <c r="O130" s="38" t="n">
        <v>0</v>
      </c>
      <c r="P130" s="284" t="n"/>
      <c r="Q130" s="36" t="n">
        <v>0</v>
      </c>
      <c r="R130" s="284" t="n">
        <v>0</v>
      </c>
      <c r="S130" s="38" t="n">
        <v>0</v>
      </c>
      <c r="T130" s="284" t="n"/>
      <c r="U130" s="36" t="n">
        <v>0</v>
      </c>
      <c r="V130" s="284" t="n">
        <v>0</v>
      </c>
      <c r="W130" s="38" t="n">
        <v>0</v>
      </c>
      <c r="X130" s="284" t="n"/>
      <c r="Y130" s="36" t="n">
        <v>0</v>
      </c>
      <c r="Z130" s="284" t="n">
        <v>0</v>
      </c>
      <c r="AA130" s="38" t="n">
        <v>0</v>
      </c>
      <c r="AB130" s="284" t="n"/>
      <c r="AC130" s="36" t="n">
        <v>0</v>
      </c>
      <c r="AD130" s="284" t="n">
        <v>0</v>
      </c>
      <c r="AE130" s="38" t="n">
        <v>0</v>
      </c>
      <c r="AF130" s="284" t="n"/>
      <c r="AG130" s="36" t="n">
        <v>0</v>
      </c>
      <c r="AH130" s="284" t="n">
        <v>0</v>
      </c>
      <c r="AI130" s="38" t="n">
        <v>0</v>
      </c>
      <c r="AJ130" s="284" t="n"/>
      <c r="AK130" s="36" t="n">
        <v>0</v>
      </c>
      <c r="AL130" s="284" t="n">
        <v>0</v>
      </c>
      <c r="AM130" s="38" t="n">
        <v>0</v>
      </c>
      <c r="AN130" s="284" t="n"/>
      <c r="AO130" s="36" t="n">
        <v>0</v>
      </c>
      <c r="AP130" s="284" t="n">
        <v>0</v>
      </c>
      <c r="AQ130" s="38" t="n">
        <v>0</v>
      </c>
      <c r="AR130" s="284" t="n"/>
      <c r="AS130" s="36" t="n">
        <v>0</v>
      </c>
      <c r="AT130" s="284" t="n">
        <v>0</v>
      </c>
      <c r="AU130" s="38" t="n">
        <v>0</v>
      </c>
      <c r="AV130" s="284" t="n"/>
      <c r="AW130" s="36" t="n">
        <v>0</v>
      </c>
      <c r="AX130" s="284" t="n">
        <v>0</v>
      </c>
      <c r="AY130" s="54" t="n">
        <v>0</v>
      </c>
      <c r="AZ130" s="284" t="n"/>
      <c r="BA130" s="36" t="n">
        <v>0</v>
      </c>
      <c r="BB130" s="284" t="n">
        <v>0</v>
      </c>
      <c r="BC130" s="92" t="n">
        <v>0</v>
      </c>
      <c r="BD130" s="284" t="n"/>
      <c r="BE130" s="36" t="n">
        <v>0</v>
      </c>
      <c r="BF130" s="284">
        <f>$KN130*0</f>
        <v/>
      </c>
      <c r="BG130" s="54" t="n">
        <v>0</v>
      </c>
      <c r="BH130" s="284" t="n"/>
      <c r="BI130" s="338">
        <f>SUMPRODUCT(--(MOD(COLUMN($M130:$BH130),4)=MOD(COLUMN($M130),4)),$M130:$BH130)</f>
        <v/>
      </c>
      <c r="BJ130" s="339">
        <f>BI130*$I130</f>
        <v/>
      </c>
      <c r="BK130" s="340">
        <f>SUMPRODUCT(--(MOD(COLUMN($M130:$BH130),4)=MOD(COLUMN($M130)+1,4)),$M130:$BH130)</f>
        <v/>
      </c>
      <c r="BL130" s="341">
        <f>BK130*$I130</f>
        <v/>
      </c>
      <c r="BM130" s="342">
        <f>SUMPRODUCT(--(MOD(COLUMN($M130:$BH130),4)=MOD(COLUMN($M130)+2,4)),$M130:$BH130)</f>
        <v/>
      </c>
      <c r="BN130" s="343">
        <f>BM130*$I130</f>
        <v/>
      </c>
      <c r="BO130" s="36" t="n"/>
      <c r="BP130" s="47" t="n"/>
      <c r="BQ130" s="39" t="n"/>
      <c r="BR130" s="38" t="n">
        <v>2</v>
      </c>
      <c r="BS130" s="284" t="n"/>
      <c r="BT130" s="36" t="n"/>
      <c r="BU130" s="47" t="n"/>
      <c r="BV130" s="284">
        <f>$KN130*0</f>
        <v/>
      </c>
      <c r="BW130" s="38" t="n">
        <v>0</v>
      </c>
      <c r="BX130" s="347" t="n"/>
      <c r="BY130" s="36">
        <f>$KN130*1</f>
        <v/>
      </c>
      <c r="BZ130" s="47">
        <f>$KN130*0</f>
        <v/>
      </c>
      <c r="CA130" s="284" t="n">
        <v>0</v>
      </c>
      <c r="CB130" s="38" t="n">
        <v>0</v>
      </c>
      <c r="CC130" s="284" t="n"/>
      <c r="CD130" s="36">
        <f>$KN130*0</f>
        <v/>
      </c>
      <c r="CE130" s="47">
        <f>$KN130*0</f>
        <v/>
      </c>
      <c r="CF130" s="284" t="n">
        <v>0</v>
      </c>
      <c r="CG130" s="38" t="n">
        <v>0</v>
      </c>
      <c r="CH130" s="284" t="n"/>
      <c r="CI130" s="36">
        <f>$KN130*5</f>
        <v/>
      </c>
      <c r="CJ130" s="47">
        <f>$KN130*3</f>
        <v/>
      </c>
      <c r="CK130" s="284">
        <f>$KN130*0</f>
        <v/>
      </c>
      <c r="CL130" s="38" t="n">
        <v>0</v>
      </c>
      <c r="CM130" s="347" t="n"/>
      <c r="CN130" s="36">
        <f>$KN130*5</f>
        <v/>
      </c>
      <c r="CO130" s="47">
        <f>$KN130*3</f>
        <v/>
      </c>
      <c r="CP130" s="284">
        <f>$KN130*0</f>
        <v/>
      </c>
      <c r="CQ130" s="38" t="n">
        <v>0</v>
      </c>
      <c r="CR130" s="347" t="n"/>
      <c r="CS130" s="36">
        <f>$KN130*5</f>
        <v/>
      </c>
      <c r="CT130" s="47">
        <f>$KN130*3</f>
        <v/>
      </c>
      <c r="CU130" s="284">
        <f>$KN130*0</f>
        <v/>
      </c>
      <c r="CV130" s="38" t="n">
        <v>0</v>
      </c>
      <c r="CW130" s="347" t="n"/>
      <c r="CX130" s="36">
        <f>$KN130*5</f>
        <v/>
      </c>
      <c r="CY130" s="47">
        <f>$KN130*3</f>
        <v/>
      </c>
      <c r="CZ130" s="284">
        <f>$KN130*0</f>
        <v/>
      </c>
      <c r="DA130" s="38" t="n">
        <v>0</v>
      </c>
      <c r="DB130" s="284" t="n"/>
      <c r="DC130" s="36">
        <f>$KN130*5</f>
        <v/>
      </c>
      <c r="DD130" s="47">
        <f>$KN130*3</f>
        <v/>
      </c>
      <c r="DE130" s="284">
        <f>$KN130*0</f>
        <v/>
      </c>
      <c r="DF130" s="38" t="n">
        <v>0</v>
      </c>
      <c r="DG130" s="284" t="n"/>
      <c r="DH130" s="36">
        <f>$KN130*5</f>
        <v/>
      </c>
      <c r="DI130" s="47">
        <f>$KN130*3</f>
        <v/>
      </c>
      <c r="DJ130" s="284">
        <f>$KN130*0</f>
        <v/>
      </c>
      <c r="DK130" s="38" t="n">
        <v>0</v>
      </c>
      <c r="DL130" s="284" t="n"/>
      <c r="DM130" s="36">
        <f>$KN130*5</f>
        <v/>
      </c>
      <c r="DN130" s="47">
        <f>$KN130*3</f>
        <v/>
      </c>
      <c r="DO130" s="284">
        <f>$KN130*0</f>
        <v/>
      </c>
      <c r="DP130" s="38" t="n">
        <v>0</v>
      </c>
      <c r="DQ130" s="284" t="n"/>
      <c r="DR130" s="36">
        <f>$KN130*5</f>
        <v/>
      </c>
      <c r="DS130" s="47">
        <f>$KN130*3</f>
        <v/>
      </c>
      <c r="DT130" s="284">
        <f>$KN130*0</f>
        <v/>
      </c>
      <c r="DU130" s="38" t="n">
        <v>0</v>
      </c>
      <c r="DV130" s="284" t="n"/>
      <c r="DW130" s="338">
        <f t="array" ref="DW130">SUMPRODUCT(--(MOD(COLUMN($BO130:$DV130),5)=MOD(COLUMN($BO130),5)),$BO130:$DV130)</f>
        <v/>
      </c>
      <c r="DX130" s="339">
        <f>DW130*$J130</f>
        <v/>
      </c>
      <c r="DY130" s="344">
        <f t="array" ref="DY130">SUMPRODUCT(--(MOD(COLUMN($BO130:$DV130),5)=MOD(COLUMN($BP130),5)),$BO130:$DV130)</f>
        <v/>
      </c>
      <c r="DZ130" s="345">
        <f>DY130*$J130</f>
        <v/>
      </c>
      <c r="EA130" s="340">
        <f t="array" ref="EA130">SUMPRODUCT(--(MOD(COLUMN($BO130:$DV130),5)=MOD(COLUMN($BQ130),5)),$BO130:$DV130)</f>
        <v/>
      </c>
      <c r="EB130" s="341">
        <f>EA130*$J130</f>
        <v/>
      </c>
      <c r="EC130" s="342">
        <f t="array" ref="EC130">SUMPRODUCT(--(MOD(COLUMN($BO130:$DV130),5)=MOD(COLUMN($BR130),5)),$BO130:$DV130)</f>
        <v/>
      </c>
      <c r="ED130" s="343">
        <f>EC130*$J130</f>
        <v/>
      </c>
      <c r="EE130" s="36">
        <f>$KN130*0</f>
        <v/>
      </c>
      <c r="EF130" s="284" t="n">
        <v>0</v>
      </c>
      <c r="EG130" s="38" t="n"/>
      <c r="EH130" s="284" t="n"/>
      <c r="EI130" s="36">
        <f>$KN130*0</f>
        <v/>
      </c>
      <c r="EJ130" s="284" t="n">
        <v>0</v>
      </c>
      <c r="EK130" s="38" t="n"/>
      <c r="EL130" s="284" t="n"/>
      <c r="EM130" s="36">
        <f>$KN130*1</f>
        <v/>
      </c>
      <c r="EN130" s="284" t="n">
        <v>0</v>
      </c>
      <c r="EO130" s="38" t="n">
        <v>0</v>
      </c>
      <c r="EP130" s="284" t="n"/>
      <c r="EQ130" s="36">
        <f>$KN130*2</f>
        <v/>
      </c>
      <c r="ER130" s="284" t="n">
        <v>0</v>
      </c>
      <c r="ES130" s="38" t="n">
        <v>0</v>
      </c>
      <c r="ET130" s="284" t="n"/>
      <c r="EU130" s="36">
        <f>$KN130*3</f>
        <v/>
      </c>
      <c r="EV130" s="39" t="n">
        <v>0</v>
      </c>
      <c r="EW130" s="38" t="n">
        <v>0</v>
      </c>
      <c r="EX130" s="284" t="n"/>
      <c r="EY130" s="36">
        <f>$KN130*3</f>
        <v/>
      </c>
      <c r="EZ130" s="284" t="n">
        <v>3</v>
      </c>
      <c r="FA130" s="38" t="n">
        <v>0</v>
      </c>
      <c r="FB130" s="284" t="n"/>
      <c r="FC130" s="36">
        <f>$KN130*5</f>
        <v/>
      </c>
      <c r="FD130" s="284" t="n">
        <v>5</v>
      </c>
      <c r="FE130" s="38" t="n">
        <v>0</v>
      </c>
      <c r="FF130" s="284" t="n"/>
      <c r="FG130" s="36">
        <f>$KN130*5</f>
        <v/>
      </c>
      <c r="FH130" s="284" t="n">
        <v>5</v>
      </c>
      <c r="FI130" s="38" t="n">
        <v>0</v>
      </c>
      <c r="FJ130" s="284" t="n"/>
      <c r="FK130" s="36">
        <f>$KN130*5</f>
        <v/>
      </c>
      <c r="FL130" s="284" t="n">
        <v>5</v>
      </c>
      <c r="FM130" s="38" t="n">
        <v>0</v>
      </c>
      <c r="FN130" s="284" t="n"/>
      <c r="FO130" s="36">
        <f>$KN130*6</f>
        <v/>
      </c>
      <c r="FP130" s="284" t="n">
        <v>6</v>
      </c>
      <c r="FQ130" s="38" t="n">
        <v>0</v>
      </c>
      <c r="FR130" s="284" t="n"/>
      <c r="FS130" s="36">
        <f>$KN130*6</f>
        <v/>
      </c>
      <c r="FT130" s="284" t="n">
        <v>6</v>
      </c>
      <c r="FU130" s="38" t="n">
        <v>0</v>
      </c>
      <c r="FV130" s="284" t="n"/>
      <c r="FW130" s="36">
        <f>$KN130*6</f>
        <v/>
      </c>
      <c r="FX130" s="284" t="n">
        <v>6</v>
      </c>
      <c r="FY130" s="38" t="n">
        <v>0</v>
      </c>
      <c r="FZ130" s="284" t="n"/>
      <c r="GA130" s="338">
        <f t="array" ref="GA130">SUMPRODUCT(--(MOD(COLUMN($EE130:$FZ130),4)=MOD(COLUMN($EE130),4)),$EE130:$FZ130)</f>
        <v/>
      </c>
      <c r="GB130" s="339">
        <f>GA130*$J130</f>
        <v/>
      </c>
      <c r="GC130" s="340">
        <f t="array" ref="GC130">SUMPRODUCT(--(MOD(COLUMN($EE130:$FZ130),4)=MOD(COLUMN($EF130),4)),$EE130:$FZ130)</f>
        <v/>
      </c>
      <c r="GD130" s="341">
        <f>GC130*$J130</f>
        <v/>
      </c>
      <c r="GE130" s="342">
        <f t="array" ref="GE130">SUMPRODUCT(--(MOD(COLUMN($EE130:$FZ130),4)=MOD(COLUMN($EG130),4)),$EE130:$FZ130)</f>
        <v/>
      </c>
      <c r="GF130" s="343">
        <f>GE130*$J130</f>
        <v/>
      </c>
      <c r="GG130" s="36">
        <f>$KN130*5</f>
        <v/>
      </c>
      <c r="GH130" s="284" t="n"/>
      <c r="GI130" s="38" t="n">
        <v>0</v>
      </c>
      <c r="GJ130" s="284" t="n"/>
      <c r="GK130" s="36">
        <f>$KN130*5</f>
        <v/>
      </c>
      <c r="GL130" s="284" t="n"/>
      <c r="GM130" s="38" t="n">
        <v>0</v>
      </c>
      <c r="GN130" s="284" t="n"/>
      <c r="GO130" s="36">
        <f>$KN130*7</f>
        <v/>
      </c>
      <c r="GP130" s="284" t="n"/>
      <c r="GQ130" s="38" t="n">
        <v>0</v>
      </c>
      <c r="GR130" s="284" t="n"/>
      <c r="GS130" s="36">
        <f>$KN130*10</f>
        <v/>
      </c>
      <c r="GT130" s="284" t="n"/>
      <c r="GU130" s="38" t="n">
        <v>0</v>
      </c>
      <c r="GV130" s="284" t="n"/>
      <c r="GW130" s="36">
        <f>$KN130*10</f>
        <v/>
      </c>
      <c r="GX130" s="284" t="n"/>
      <c r="GY130" s="38" t="n">
        <v>0</v>
      </c>
      <c r="GZ130" s="284" t="n"/>
      <c r="HA130" s="36">
        <f>$KN130*10</f>
        <v/>
      </c>
      <c r="HB130" s="284" t="n"/>
      <c r="HC130" s="38" t="n">
        <v>0</v>
      </c>
      <c r="HD130" s="284" t="n"/>
      <c r="HE130" s="36">
        <f>$KN130*10</f>
        <v/>
      </c>
      <c r="HF130" s="284" t="n"/>
      <c r="HG130" s="38" t="n">
        <v>0</v>
      </c>
      <c r="HH130" s="284" t="n"/>
      <c r="HI130" s="36">
        <f>$KN130*10</f>
        <v/>
      </c>
      <c r="HJ130" s="284" t="n"/>
      <c r="HK130" s="38" t="n">
        <v>0</v>
      </c>
      <c r="HL130" s="284" t="n"/>
      <c r="HM130" s="36">
        <f>$KN130*10</f>
        <v/>
      </c>
      <c r="HN130" s="284" t="n"/>
      <c r="HO130" s="38" t="n">
        <v>0</v>
      </c>
      <c r="HP130" s="284" t="n"/>
      <c r="HQ130" s="36">
        <f>$KN130*10</f>
        <v/>
      </c>
      <c r="HR130" s="284" t="n"/>
      <c r="HS130" s="38" t="n">
        <v>0</v>
      </c>
      <c r="HT130" s="284" t="n"/>
      <c r="HU130" s="36">
        <f>$KN130*10</f>
        <v/>
      </c>
      <c r="HV130" s="284" t="n"/>
      <c r="HW130" s="38" t="n">
        <v>0</v>
      </c>
      <c r="HX130" s="284" t="n"/>
      <c r="HY130" s="36">
        <f>$KN130*10</f>
        <v/>
      </c>
      <c r="HZ130" s="284" t="n"/>
      <c r="IA130" s="38" t="n">
        <v>0</v>
      </c>
      <c r="IB130" s="284" t="n"/>
      <c r="IC130" s="338">
        <f t="array" ref="IC130">SUMPRODUCT(--(MOD(COLUMN($GG130:$IB130),4)=MOD(COLUMN($GG130),4)),$GG130:$IB130)</f>
        <v/>
      </c>
      <c r="ID130" s="339">
        <f>IC130*$J130</f>
        <v/>
      </c>
      <c r="IE130" s="340">
        <f t="array" ref="IE130">SUMPRODUCT(--(MOD(COLUMN($GG130:$IB130),4)=MOD(COLUMN($GH130),4)),$GG130:$IB130)</f>
        <v/>
      </c>
      <c r="IF130" s="341">
        <f>IE130*$J130</f>
        <v/>
      </c>
      <c r="IG130" s="342">
        <f t="array" ref="IG130">SUMPRODUCT(--(MOD(COLUMN($GG130:$IB130),4)=MOD(COLUMN($GI130),4)),$GG130:$IB130)</f>
        <v/>
      </c>
      <c r="IH130" s="343">
        <f>IG130*$J130</f>
        <v/>
      </c>
      <c r="II130" s="36">
        <f>$KN130*5</f>
        <v/>
      </c>
      <c r="IJ130" s="284" t="n"/>
      <c r="IK130" s="38" t="n">
        <v>0</v>
      </c>
      <c r="IL130" s="284" t="n"/>
      <c r="IM130" s="36">
        <f>$KN130*5</f>
        <v/>
      </c>
      <c r="IN130" s="284" t="n"/>
      <c r="IO130" s="38" t="n">
        <v>0</v>
      </c>
      <c r="IP130" s="284" t="n"/>
      <c r="IQ130" s="36">
        <f>$KN130*7</f>
        <v/>
      </c>
      <c r="IR130" s="284" t="n"/>
      <c r="IS130" s="38" t="n">
        <v>0</v>
      </c>
      <c r="IT130" s="284" t="n"/>
      <c r="IU130" s="36">
        <f>$KN130*10</f>
        <v/>
      </c>
      <c r="IV130" s="284" t="n"/>
      <c r="IW130" s="38" t="n">
        <v>0</v>
      </c>
      <c r="IX130" s="284" t="n"/>
      <c r="IY130" s="36">
        <f>$KN130*10</f>
        <v/>
      </c>
      <c r="IZ130" s="284" t="n"/>
      <c r="JA130" s="38" t="n">
        <v>0</v>
      </c>
      <c r="JB130" s="284" t="n"/>
      <c r="JC130" s="36">
        <f>$KN130*10</f>
        <v/>
      </c>
      <c r="JD130" s="284" t="n"/>
      <c r="JE130" s="38" t="n">
        <v>0</v>
      </c>
      <c r="JF130" s="284" t="n"/>
      <c r="JG130" s="36">
        <f>$KN130*10</f>
        <v/>
      </c>
      <c r="JH130" s="284" t="n"/>
      <c r="JI130" s="38" t="n">
        <v>0</v>
      </c>
      <c r="JJ130" s="284" t="n"/>
      <c r="JK130" s="36">
        <f>$KN130*10</f>
        <v/>
      </c>
      <c r="JL130" s="284" t="n"/>
      <c r="JM130" s="38" t="n">
        <v>0</v>
      </c>
      <c r="JN130" s="284" t="n"/>
      <c r="JO130" s="36">
        <f>$KN130*10</f>
        <v/>
      </c>
      <c r="JP130" s="284" t="n"/>
      <c r="JQ130" s="38" t="n">
        <v>0</v>
      </c>
      <c r="JR130" s="284" t="n"/>
      <c r="JS130" s="36">
        <f>$KN130*10</f>
        <v/>
      </c>
      <c r="JT130" s="284" t="n"/>
      <c r="JU130" s="38" t="n">
        <v>0</v>
      </c>
      <c r="JV130" s="284" t="n"/>
      <c r="JW130" s="36">
        <f>$KN130*10</f>
        <v/>
      </c>
      <c r="JX130" s="284" t="n"/>
      <c r="JY130" s="38" t="n">
        <v>0</v>
      </c>
      <c r="JZ130" s="284" t="n"/>
      <c r="KA130" s="36">
        <f>$KN130*10</f>
        <v/>
      </c>
      <c r="KB130" s="284" t="n"/>
      <c r="KC130" s="38" t="n">
        <v>0</v>
      </c>
      <c r="KD130" s="284" t="n"/>
      <c r="KE130" s="338">
        <f t="array" ref="KE130">SUMPRODUCT(--(MOD(COLUMN($II130:$KD130),4)=MOD(COLUMN($II130),4)),$II130:$KD130)</f>
        <v/>
      </c>
      <c r="KF130" s="339">
        <f>KE130*$J130</f>
        <v/>
      </c>
      <c r="KG130" s="340">
        <f t="array" ref="KG130">SUMPRODUCT(--(MOD(COLUMN($II130:$KD130),4)=MOD(COLUMN($IJ130),4)),$II130:$KD130)</f>
        <v/>
      </c>
      <c r="KH130" s="341">
        <f>KG130*$J130</f>
        <v/>
      </c>
      <c r="KI130" s="342">
        <f t="array" ref="KI130">SUMPRODUCT(--(MOD(COLUMN($II130:$KD130),4)=MOD(COLUMN($IK130),4)),$II130:$KD130)</f>
        <v/>
      </c>
      <c r="KJ130" s="346">
        <f>KI130*$J130</f>
        <v/>
      </c>
      <c r="KK130" s="80" t="n"/>
      <c r="KL130" s="80" t="n"/>
      <c r="KM130" s="80" t="n"/>
      <c r="KN130" s="51" t="n">
        <v>1</v>
      </c>
      <c r="KO130" s="333" t="n"/>
    </row>
    <row r="131" outlineLevel="1" ht="43.2" customFormat="1" customHeight="1" s="68">
      <c r="A131" s="347" t="n"/>
      <c r="B131" s="347" t="n"/>
      <c r="C131" s="347" t="n"/>
      <c r="D131" s="347" t="n"/>
      <c r="E131" s="15" t="n">
        <v>10</v>
      </c>
      <c r="F131" s="15" t="n">
        <v>1</v>
      </c>
      <c r="G131" s="33" t="n">
        <v>4630840310</v>
      </c>
      <c r="H131" s="34" t="inlineStr">
        <is>
          <t>Клапан управления подъемом оси (LACV)</t>
        </is>
      </c>
      <c r="I131" s="337">
        <f>657.1/1.2/0.98</f>
        <v/>
      </c>
      <c r="J131" s="337">
        <f>657.1/1.2*1.015</f>
        <v/>
      </c>
      <c r="K131" s="348" t="n"/>
      <c r="L131" s="348" t="n"/>
      <c r="M131" s="36" t="n">
        <v>0</v>
      </c>
      <c r="N131" s="284" t="n">
        <v>0</v>
      </c>
      <c r="O131" s="38" t="n">
        <v>0</v>
      </c>
      <c r="P131" s="284" t="n"/>
      <c r="Q131" s="36" t="n">
        <v>0</v>
      </c>
      <c r="R131" s="284" t="n">
        <v>0</v>
      </c>
      <c r="S131" s="38" t="n">
        <v>0</v>
      </c>
      <c r="T131" s="284" t="n"/>
      <c r="U131" s="36" t="n">
        <v>0</v>
      </c>
      <c r="V131" s="284" t="n">
        <v>0</v>
      </c>
      <c r="W131" s="38" t="n">
        <v>0</v>
      </c>
      <c r="X131" s="284" t="n"/>
      <c r="Y131" s="36" t="n">
        <v>0</v>
      </c>
      <c r="Z131" s="284" t="n">
        <v>0</v>
      </c>
      <c r="AA131" s="38" t="n">
        <v>0</v>
      </c>
      <c r="AB131" s="284" t="n"/>
      <c r="AC131" s="36" t="n">
        <v>0</v>
      </c>
      <c r="AD131" s="284" t="n">
        <v>0</v>
      </c>
      <c r="AE131" s="38" t="n">
        <v>0</v>
      </c>
      <c r="AF131" s="284" t="n"/>
      <c r="AG131" s="36" t="n">
        <v>0</v>
      </c>
      <c r="AH131" s="284" t="n">
        <v>0</v>
      </c>
      <c r="AI131" s="38" t="n">
        <v>0</v>
      </c>
      <c r="AJ131" s="284" t="n"/>
      <c r="AK131" s="36" t="n">
        <v>0</v>
      </c>
      <c r="AL131" s="284" t="n">
        <v>0</v>
      </c>
      <c r="AM131" s="38" t="n">
        <v>0</v>
      </c>
      <c r="AN131" s="284" t="n"/>
      <c r="AO131" s="36" t="n">
        <v>0</v>
      </c>
      <c r="AP131" s="284" t="n">
        <v>0</v>
      </c>
      <c r="AQ131" s="38" t="n">
        <v>0</v>
      </c>
      <c r="AR131" s="284" t="n"/>
      <c r="AS131" s="36" t="n">
        <v>0</v>
      </c>
      <c r="AT131" s="284" t="n">
        <v>0</v>
      </c>
      <c r="AU131" s="38" t="n">
        <v>0</v>
      </c>
      <c r="AV131" s="284" t="n"/>
      <c r="AW131" s="36" t="n">
        <v>0</v>
      </c>
      <c r="AX131" s="284" t="n">
        <v>0</v>
      </c>
      <c r="AY131" s="38" t="n">
        <v>0</v>
      </c>
      <c r="AZ131" s="284" t="n"/>
      <c r="BA131" s="36" t="n">
        <v>0</v>
      </c>
      <c r="BB131" s="284" t="n">
        <v>0</v>
      </c>
      <c r="BC131" s="92" t="n">
        <v>0</v>
      </c>
      <c r="BD131" s="284" t="n"/>
      <c r="BE131" s="36" t="n">
        <v>0</v>
      </c>
      <c r="BF131" s="284">
        <f>$KN131*0</f>
        <v/>
      </c>
      <c r="BG131" s="54" t="n">
        <v>0</v>
      </c>
      <c r="BH131" s="284" t="n"/>
      <c r="BI131" s="338">
        <f>SUMPRODUCT(--(MOD(COLUMN($M131:$BH131),4)=MOD(COLUMN($M131),4)),$M131:$BH131)</f>
        <v/>
      </c>
      <c r="BJ131" s="339">
        <f>BI131*$I131</f>
        <v/>
      </c>
      <c r="BK131" s="340">
        <f>SUMPRODUCT(--(MOD(COLUMN($M131:$BH131),4)=MOD(COLUMN($M131)+1,4)),$M131:$BH131)</f>
        <v/>
      </c>
      <c r="BL131" s="341">
        <f>BK131*$I131</f>
        <v/>
      </c>
      <c r="BM131" s="342">
        <f>SUMPRODUCT(--(MOD(COLUMN($M131:$BH131),4)=MOD(COLUMN($M131)+2,4)),$M131:$BH131)</f>
        <v/>
      </c>
      <c r="BN131" s="343">
        <f>BM131*$I131</f>
        <v/>
      </c>
      <c r="BO131" s="36" t="n"/>
      <c r="BP131" s="47" t="n"/>
      <c r="BQ131" s="39" t="n"/>
      <c r="BR131" s="38" t="n">
        <v>3</v>
      </c>
      <c r="BS131" s="284" t="n"/>
      <c r="BT131" s="36" t="n"/>
      <c r="BU131" s="47" t="n"/>
      <c r="BV131" s="284">
        <f>$KN131*0</f>
        <v/>
      </c>
      <c r="BW131" s="38" t="n">
        <v>0</v>
      </c>
      <c r="BX131" s="347" t="n"/>
      <c r="BY131" s="36">
        <f>$KN131*1</f>
        <v/>
      </c>
      <c r="BZ131" s="47">
        <f>$KN131*0</f>
        <v/>
      </c>
      <c r="CA131" s="284" t="n">
        <v>0</v>
      </c>
      <c r="CB131" s="38" t="n">
        <v>0</v>
      </c>
      <c r="CC131" s="284" t="n"/>
      <c r="CD131" s="36">
        <f>$KN131*0</f>
        <v/>
      </c>
      <c r="CE131" s="47">
        <f>$KN131*0</f>
        <v/>
      </c>
      <c r="CF131" s="284" t="n">
        <v>0</v>
      </c>
      <c r="CG131" s="38" t="n">
        <v>0</v>
      </c>
      <c r="CH131" s="284" t="n"/>
      <c r="CI131" s="36">
        <f>$KN131*5</f>
        <v/>
      </c>
      <c r="CJ131" s="47">
        <f>$KN131*3</f>
        <v/>
      </c>
      <c r="CK131" s="284">
        <f>$KN131*0</f>
        <v/>
      </c>
      <c r="CL131" s="38" t="n">
        <v>0</v>
      </c>
      <c r="CM131" s="347" t="n"/>
      <c r="CN131" s="36">
        <f>$KN131*5</f>
        <v/>
      </c>
      <c r="CO131" s="47">
        <f>$KN131*3</f>
        <v/>
      </c>
      <c r="CP131" s="284">
        <f>$KN131*0</f>
        <v/>
      </c>
      <c r="CQ131" s="38" t="n">
        <v>0</v>
      </c>
      <c r="CR131" s="347" t="n"/>
      <c r="CS131" s="36">
        <f>$KN131*5</f>
        <v/>
      </c>
      <c r="CT131" s="47">
        <f>$KN131*3</f>
        <v/>
      </c>
      <c r="CU131" s="284">
        <f>$KN131*0</f>
        <v/>
      </c>
      <c r="CV131" s="38" t="n">
        <v>0</v>
      </c>
      <c r="CW131" s="347" t="n"/>
      <c r="CX131" s="36">
        <f>$KN131*5</f>
        <v/>
      </c>
      <c r="CY131" s="47">
        <f>$KN131*3</f>
        <v/>
      </c>
      <c r="CZ131" s="284">
        <f>$KN131*0</f>
        <v/>
      </c>
      <c r="DA131" s="38" t="n">
        <v>0</v>
      </c>
      <c r="DB131" s="284" t="n"/>
      <c r="DC131" s="36">
        <f>$KN131*5</f>
        <v/>
      </c>
      <c r="DD131" s="47">
        <f>$KN131*3</f>
        <v/>
      </c>
      <c r="DE131" s="284">
        <f>$KN131*0</f>
        <v/>
      </c>
      <c r="DF131" s="38" t="n">
        <v>0</v>
      </c>
      <c r="DG131" s="284" t="n"/>
      <c r="DH131" s="36">
        <f>$KN131*5</f>
        <v/>
      </c>
      <c r="DI131" s="47">
        <f>$KN131*3</f>
        <v/>
      </c>
      <c r="DJ131" s="284">
        <f>$KN131*0</f>
        <v/>
      </c>
      <c r="DK131" s="52" t="n">
        <v>0</v>
      </c>
      <c r="DL131" s="284" t="n"/>
      <c r="DM131" s="36">
        <f>$KN131*5</f>
        <v/>
      </c>
      <c r="DN131" s="47">
        <f>$KN131*3</f>
        <v/>
      </c>
      <c r="DO131" s="284">
        <f>$KN131*0</f>
        <v/>
      </c>
      <c r="DP131" s="38" t="n">
        <v>0</v>
      </c>
      <c r="DQ131" s="284" t="n"/>
      <c r="DR131" s="36">
        <f>$KN131*5</f>
        <v/>
      </c>
      <c r="DS131" s="47">
        <f>$KN131*3</f>
        <v/>
      </c>
      <c r="DT131" s="284">
        <f>$KN131*0</f>
        <v/>
      </c>
      <c r="DU131" s="38" t="n">
        <v>0</v>
      </c>
      <c r="DV131" s="284" t="n"/>
      <c r="DW131" s="338">
        <f t="array" ref="DW131">SUMPRODUCT(--(MOD(COLUMN($BO131:$DV131),5)=MOD(COLUMN($BO131),5)),$BO131:$DV131)</f>
        <v/>
      </c>
      <c r="DX131" s="339">
        <f>DW131*$J131</f>
        <v/>
      </c>
      <c r="DY131" s="344">
        <f t="array" ref="DY131">SUMPRODUCT(--(MOD(COLUMN($BO131:$DV131),5)=MOD(COLUMN($BP131),5)),$BO131:$DV131)</f>
        <v/>
      </c>
      <c r="DZ131" s="345">
        <f>DY131*$J131</f>
        <v/>
      </c>
      <c r="EA131" s="340">
        <f t="array" ref="EA131">SUMPRODUCT(--(MOD(COLUMN($BO131:$DV131),5)=MOD(COLUMN($BQ131),5)),$BO131:$DV131)</f>
        <v/>
      </c>
      <c r="EB131" s="341">
        <f>EA131*$J131</f>
        <v/>
      </c>
      <c r="EC131" s="342">
        <f t="array" ref="EC131">SUMPRODUCT(--(MOD(COLUMN($BO131:$DV131),5)=MOD(COLUMN($BR131),5)),$BO131:$DV131)</f>
        <v/>
      </c>
      <c r="ED131" s="343">
        <f>EC131*$J131</f>
        <v/>
      </c>
      <c r="EE131" s="36">
        <f>$KN131*0</f>
        <v/>
      </c>
      <c r="EF131" s="284" t="n">
        <v>0</v>
      </c>
      <c r="EG131" s="38" t="n"/>
      <c r="EH131" s="284" t="n"/>
      <c r="EI131" s="36">
        <f>$KN131*0</f>
        <v/>
      </c>
      <c r="EJ131" s="284" t="n">
        <v>0</v>
      </c>
      <c r="EK131" s="38" t="n"/>
      <c r="EL131" s="284" t="n"/>
      <c r="EM131" s="36">
        <f>$KN131*1</f>
        <v/>
      </c>
      <c r="EN131" s="284" t="n">
        <v>0</v>
      </c>
      <c r="EO131" s="38" t="n">
        <v>0</v>
      </c>
      <c r="EP131" s="284" t="n"/>
      <c r="EQ131" s="36">
        <f>$KN131*2</f>
        <v/>
      </c>
      <c r="ER131" s="284" t="n">
        <v>0</v>
      </c>
      <c r="ES131" s="38" t="n">
        <v>0</v>
      </c>
      <c r="ET131" s="284" t="n"/>
      <c r="EU131" s="36">
        <f>$KN131*3</f>
        <v/>
      </c>
      <c r="EV131" s="39" t="n">
        <v>0</v>
      </c>
      <c r="EW131" s="38" t="n">
        <v>0</v>
      </c>
      <c r="EX131" s="284" t="n"/>
      <c r="EY131" s="36">
        <f>$KN131*3</f>
        <v/>
      </c>
      <c r="EZ131" s="284" t="n">
        <v>3</v>
      </c>
      <c r="FA131" s="38" t="n">
        <v>0</v>
      </c>
      <c r="FB131" s="284" t="n"/>
      <c r="FC131" s="36">
        <f>$KN131*5</f>
        <v/>
      </c>
      <c r="FD131" s="284" t="n">
        <v>5</v>
      </c>
      <c r="FE131" s="38" t="n">
        <v>0</v>
      </c>
      <c r="FF131" s="284" t="n"/>
      <c r="FG131" s="36">
        <f>$KN131*5</f>
        <v/>
      </c>
      <c r="FH131" s="284" t="n">
        <v>5</v>
      </c>
      <c r="FI131" s="38" t="n">
        <v>0</v>
      </c>
      <c r="FJ131" s="284" t="n"/>
      <c r="FK131" s="36">
        <f>$KN131*5</f>
        <v/>
      </c>
      <c r="FL131" s="284" t="n">
        <v>5</v>
      </c>
      <c r="FM131" s="38" t="n">
        <v>0</v>
      </c>
      <c r="FN131" s="284" t="n"/>
      <c r="FO131" s="36">
        <f>$KN131*6</f>
        <v/>
      </c>
      <c r="FP131" s="284" t="n">
        <v>6</v>
      </c>
      <c r="FQ131" s="38" t="n">
        <v>0</v>
      </c>
      <c r="FR131" s="284" t="n"/>
      <c r="FS131" s="36">
        <f>$KN131*6</f>
        <v/>
      </c>
      <c r="FT131" s="284" t="n">
        <v>6</v>
      </c>
      <c r="FU131" s="38" t="n">
        <v>0</v>
      </c>
      <c r="FV131" s="284" t="n"/>
      <c r="FW131" s="36">
        <f>$KN131*6</f>
        <v/>
      </c>
      <c r="FX131" s="284" t="n">
        <v>6</v>
      </c>
      <c r="FY131" s="38" t="n">
        <v>0</v>
      </c>
      <c r="FZ131" s="284" t="n"/>
      <c r="GA131" s="338">
        <f t="array" ref="GA131">SUMPRODUCT(--(MOD(COLUMN($EE131:$FZ131),4)=MOD(COLUMN($EE131),4)),$EE131:$FZ131)</f>
        <v/>
      </c>
      <c r="GB131" s="339">
        <f>GA131*$J131</f>
        <v/>
      </c>
      <c r="GC131" s="340">
        <f t="array" ref="GC131">SUMPRODUCT(--(MOD(COLUMN($EE131:$FZ131),4)=MOD(COLUMN($EF131),4)),$EE131:$FZ131)</f>
        <v/>
      </c>
      <c r="GD131" s="341">
        <f>GC131*$J131</f>
        <v/>
      </c>
      <c r="GE131" s="342">
        <f t="array" ref="GE131">SUMPRODUCT(--(MOD(COLUMN($EE131:$FZ131),4)=MOD(COLUMN($EG131),4)),$EE131:$FZ131)</f>
        <v/>
      </c>
      <c r="GF131" s="343">
        <f>GE131*$J131</f>
        <v/>
      </c>
      <c r="GG131" s="36">
        <f>$KN131*5</f>
        <v/>
      </c>
      <c r="GH131" s="284" t="n"/>
      <c r="GI131" s="38" t="n">
        <v>0</v>
      </c>
      <c r="GJ131" s="284" t="n"/>
      <c r="GK131" s="36">
        <f>$KN131*5</f>
        <v/>
      </c>
      <c r="GL131" s="284" t="n"/>
      <c r="GM131" s="38" t="n">
        <v>0</v>
      </c>
      <c r="GN131" s="284" t="n"/>
      <c r="GO131" s="36">
        <f>$KN131*7</f>
        <v/>
      </c>
      <c r="GP131" s="284" t="n"/>
      <c r="GQ131" s="38" t="n">
        <v>0</v>
      </c>
      <c r="GR131" s="284" t="n"/>
      <c r="GS131" s="36">
        <f>$KN131*10</f>
        <v/>
      </c>
      <c r="GT131" s="284" t="n"/>
      <c r="GU131" s="38" t="n">
        <v>0</v>
      </c>
      <c r="GV131" s="284" t="n"/>
      <c r="GW131" s="36">
        <f>$KN131*10</f>
        <v/>
      </c>
      <c r="GX131" s="284" t="n"/>
      <c r="GY131" s="38" t="n">
        <v>0</v>
      </c>
      <c r="GZ131" s="284" t="n"/>
      <c r="HA131" s="36">
        <f>$KN131*10</f>
        <v/>
      </c>
      <c r="HB131" s="284" t="n"/>
      <c r="HC131" s="38" t="n">
        <v>0</v>
      </c>
      <c r="HD131" s="284" t="n"/>
      <c r="HE131" s="36">
        <f>$KN131*10</f>
        <v/>
      </c>
      <c r="HF131" s="284" t="n"/>
      <c r="HG131" s="38" t="n">
        <v>0</v>
      </c>
      <c r="HH131" s="284" t="n"/>
      <c r="HI131" s="36">
        <f>$KN131*10</f>
        <v/>
      </c>
      <c r="HJ131" s="284" t="n"/>
      <c r="HK131" s="38" t="n">
        <v>0</v>
      </c>
      <c r="HL131" s="284" t="n"/>
      <c r="HM131" s="36">
        <f>$KN131*10</f>
        <v/>
      </c>
      <c r="HN131" s="284" t="n"/>
      <c r="HO131" s="38" t="n">
        <v>0</v>
      </c>
      <c r="HP131" s="284" t="n"/>
      <c r="HQ131" s="36">
        <f>$KN131*10</f>
        <v/>
      </c>
      <c r="HR131" s="284" t="n"/>
      <c r="HS131" s="38" t="n">
        <v>0</v>
      </c>
      <c r="HT131" s="284" t="n"/>
      <c r="HU131" s="36">
        <f>$KN131*10</f>
        <v/>
      </c>
      <c r="HV131" s="284" t="n"/>
      <c r="HW131" s="38" t="n">
        <v>0</v>
      </c>
      <c r="HX131" s="284" t="n"/>
      <c r="HY131" s="36">
        <f>$KN131*10</f>
        <v/>
      </c>
      <c r="HZ131" s="284" t="n"/>
      <c r="IA131" s="38" t="n">
        <v>0</v>
      </c>
      <c r="IB131" s="284" t="n"/>
      <c r="IC131" s="338">
        <f t="array" ref="IC131">SUMPRODUCT(--(MOD(COLUMN($GG131:$IB131),4)=MOD(COLUMN($GG131),4)),$GG131:$IB131)</f>
        <v/>
      </c>
      <c r="ID131" s="339">
        <f>IC131*$J131</f>
        <v/>
      </c>
      <c r="IE131" s="340">
        <f t="array" ref="IE131">SUMPRODUCT(--(MOD(COLUMN($GG131:$IB131),4)=MOD(COLUMN($GH131),4)),$GG131:$IB131)</f>
        <v/>
      </c>
      <c r="IF131" s="341">
        <f>IE131*$J131</f>
        <v/>
      </c>
      <c r="IG131" s="342">
        <f t="array" ref="IG131">SUMPRODUCT(--(MOD(COLUMN($GG131:$IB131),4)=MOD(COLUMN($GI131),4)),$GG131:$IB131)</f>
        <v/>
      </c>
      <c r="IH131" s="343">
        <f>IG131*$J131</f>
        <v/>
      </c>
      <c r="II131" s="36">
        <f>$KN131*5</f>
        <v/>
      </c>
      <c r="IJ131" s="284" t="n"/>
      <c r="IK131" s="38" t="n">
        <v>0</v>
      </c>
      <c r="IL131" s="284" t="n"/>
      <c r="IM131" s="36">
        <f>$KN131*5</f>
        <v/>
      </c>
      <c r="IN131" s="284" t="n"/>
      <c r="IO131" s="38" t="n">
        <v>0</v>
      </c>
      <c r="IP131" s="284" t="n"/>
      <c r="IQ131" s="36">
        <f>$KN131*7</f>
        <v/>
      </c>
      <c r="IR131" s="284" t="n"/>
      <c r="IS131" s="38" t="n">
        <v>0</v>
      </c>
      <c r="IT131" s="284" t="n"/>
      <c r="IU131" s="36">
        <f>$KN131*10</f>
        <v/>
      </c>
      <c r="IV131" s="284" t="n"/>
      <c r="IW131" s="38" t="n">
        <v>0</v>
      </c>
      <c r="IX131" s="284" t="n"/>
      <c r="IY131" s="36">
        <f>$KN131*10</f>
        <v/>
      </c>
      <c r="IZ131" s="284" t="n"/>
      <c r="JA131" s="38" t="n">
        <v>0</v>
      </c>
      <c r="JB131" s="284" t="n"/>
      <c r="JC131" s="36">
        <f>$KN131*10</f>
        <v/>
      </c>
      <c r="JD131" s="284" t="n"/>
      <c r="JE131" s="38" t="n">
        <v>0</v>
      </c>
      <c r="JF131" s="284" t="n"/>
      <c r="JG131" s="36">
        <f>$KN131*10</f>
        <v/>
      </c>
      <c r="JH131" s="284" t="n"/>
      <c r="JI131" s="38" t="n">
        <v>0</v>
      </c>
      <c r="JJ131" s="284" t="n"/>
      <c r="JK131" s="36">
        <f>$KN131*10</f>
        <v/>
      </c>
      <c r="JL131" s="284" t="n"/>
      <c r="JM131" s="38" t="n">
        <v>0</v>
      </c>
      <c r="JN131" s="284" t="n"/>
      <c r="JO131" s="36">
        <f>$KN131*10</f>
        <v/>
      </c>
      <c r="JP131" s="284" t="n"/>
      <c r="JQ131" s="38" t="n">
        <v>0</v>
      </c>
      <c r="JR131" s="284" t="n"/>
      <c r="JS131" s="36">
        <f>$KN131*10</f>
        <v/>
      </c>
      <c r="JT131" s="284" t="n"/>
      <c r="JU131" s="38" t="n">
        <v>0</v>
      </c>
      <c r="JV131" s="284" t="n"/>
      <c r="JW131" s="36">
        <f>$KN131*10</f>
        <v/>
      </c>
      <c r="JX131" s="284" t="n"/>
      <c r="JY131" s="38" t="n">
        <v>0</v>
      </c>
      <c r="JZ131" s="284" t="n"/>
      <c r="KA131" s="36">
        <f>$KN131*10</f>
        <v/>
      </c>
      <c r="KB131" s="284" t="n"/>
      <c r="KC131" s="38" t="n">
        <v>0</v>
      </c>
      <c r="KD131" s="284" t="n"/>
      <c r="KE131" s="338">
        <f t="array" ref="KE131">SUMPRODUCT(--(MOD(COLUMN($II131:$KD131),4)=MOD(COLUMN($II131),4)),$II131:$KD131)</f>
        <v/>
      </c>
      <c r="KF131" s="339">
        <f>KE131*$J131</f>
        <v/>
      </c>
      <c r="KG131" s="340">
        <f t="array" ref="KG131">SUMPRODUCT(--(MOD(COLUMN($II131:$KD131),4)=MOD(COLUMN($IJ131),4)),$II131:$KD131)</f>
        <v/>
      </c>
      <c r="KH131" s="341">
        <f>KG131*$J131</f>
        <v/>
      </c>
      <c r="KI131" s="342">
        <f t="array" ref="KI131">SUMPRODUCT(--(MOD(COLUMN($II131:$KD131),4)=MOD(COLUMN($IK131),4)),$II131:$KD131)</f>
        <v/>
      </c>
      <c r="KJ131" s="346">
        <f>KI131*$J131</f>
        <v/>
      </c>
      <c r="KK131" s="80" t="n"/>
      <c r="KL131" s="80" t="n"/>
      <c r="KM131" s="80" t="n"/>
      <c r="KN131" s="51" t="n">
        <v>1</v>
      </c>
      <c r="KO131" s="285" t="inlineStr">
        <is>
          <t>LACV</t>
        </is>
      </c>
    </row>
    <row r="132" outlineLevel="1" ht="43.2" customFormat="1" customHeight="1" s="68">
      <c r="A132" s="347" t="n"/>
      <c r="B132" s="347" t="n"/>
      <c r="C132" s="347" t="n"/>
      <c r="D132" s="347" t="n"/>
      <c r="E132" s="15" t="n">
        <v>11</v>
      </c>
      <c r="F132" s="15" t="n">
        <v>1</v>
      </c>
      <c r="G132" s="33" t="n">
        <v>4494430600</v>
      </c>
      <c r="H132" s="34" t="inlineStr">
        <is>
          <t>Кабель клапана управления подъемом оси, 6 м</t>
        </is>
      </c>
      <c r="I132" s="337">
        <f>164.2/1.2/0.98</f>
        <v/>
      </c>
      <c r="J132" s="337">
        <f>164.2/1.2*1.015</f>
        <v/>
      </c>
      <c r="K132" s="348" t="n"/>
      <c r="L132" s="348" t="n"/>
      <c r="M132" s="36" t="n">
        <v>0</v>
      </c>
      <c r="N132" s="284" t="n">
        <v>0</v>
      </c>
      <c r="O132" s="38" t="n">
        <v>0</v>
      </c>
      <c r="P132" s="284" t="n"/>
      <c r="Q132" s="36" t="n">
        <v>0</v>
      </c>
      <c r="R132" s="284" t="n">
        <v>0</v>
      </c>
      <c r="S132" s="38" t="n">
        <v>0</v>
      </c>
      <c r="T132" s="284" t="n"/>
      <c r="U132" s="36" t="n">
        <v>0</v>
      </c>
      <c r="V132" s="284" t="n">
        <v>0</v>
      </c>
      <c r="W132" s="38" t="n">
        <v>0</v>
      </c>
      <c r="X132" s="284" t="n"/>
      <c r="Y132" s="36" t="n">
        <v>0</v>
      </c>
      <c r="Z132" s="284" t="n">
        <v>0</v>
      </c>
      <c r="AA132" s="38" t="n">
        <v>0</v>
      </c>
      <c r="AB132" s="284" t="n"/>
      <c r="AC132" s="36" t="n">
        <v>0</v>
      </c>
      <c r="AD132" s="284" t="n">
        <v>0</v>
      </c>
      <c r="AE132" s="38" t="n">
        <v>0</v>
      </c>
      <c r="AF132" s="284" t="n"/>
      <c r="AG132" s="36" t="n">
        <v>0</v>
      </c>
      <c r="AH132" s="284" t="n">
        <v>0</v>
      </c>
      <c r="AI132" s="38" t="n">
        <v>0</v>
      </c>
      <c r="AJ132" s="284" t="n"/>
      <c r="AK132" s="36" t="n">
        <v>0</v>
      </c>
      <c r="AL132" s="284" t="n">
        <v>0</v>
      </c>
      <c r="AM132" s="38" t="n">
        <v>0</v>
      </c>
      <c r="AN132" s="284" t="n"/>
      <c r="AO132" s="36" t="n">
        <v>0</v>
      </c>
      <c r="AP132" s="284" t="n">
        <v>0</v>
      </c>
      <c r="AQ132" s="38" t="n">
        <v>0</v>
      </c>
      <c r="AR132" s="284" t="n"/>
      <c r="AS132" s="36" t="n">
        <v>0</v>
      </c>
      <c r="AT132" s="284" t="n">
        <v>0</v>
      </c>
      <c r="AU132" s="38" t="n">
        <v>0</v>
      </c>
      <c r="AV132" s="284" t="n"/>
      <c r="AW132" s="36" t="n">
        <v>0</v>
      </c>
      <c r="AX132" s="284" t="n">
        <v>0</v>
      </c>
      <c r="AY132" s="38" t="n">
        <v>0</v>
      </c>
      <c r="AZ132" s="284" t="n"/>
      <c r="BA132" s="36" t="n">
        <v>0</v>
      </c>
      <c r="BB132" s="284" t="n">
        <v>0</v>
      </c>
      <c r="BC132" s="92" t="n">
        <v>0</v>
      </c>
      <c r="BD132" s="284" t="n"/>
      <c r="BE132" s="36" t="n">
        <v>0</v>
      </c>
      <c r="BF132" s="284">
        <f>$KN132*0</f>
        <v/>
      </c>
      <c r="BG132" s="54" t="n">
        <v>0</v>
      </c>
      <c r="BH132" s="284" t="n"/>
      <c r="BI132" s="338">
        <f>SUMPRODUCT(--(MOD(COLUMN($M132:$BH132),4)=MOD(COLUMN($M132),4)),$M132:$BH132)</f>
        <v/>
      </c>
      <c r="BJ132" s="339">
        <f>BI132*$I132</f>
        <v/>
      </c>
      <c r="BK132" s="340">
        <f>SUMPRODUCT(--(MOD(COLUMN($M132:$BH132),4)=MOD(COLUMN($M132)+1,4)),$M132:$BH132)</f>
        <v/>
      </c>
      <c r="BL132" s="341">
        <f>BK132*$I132</f>
        <v/>
      </c>
      <c r="BM132" s="342">
        <f>SUMPRODUCT(--(MOD(COLUMN($M132:$BH132),4)=MOD(COLUMN($M132)+2,4)),$M132:$BH132)</f>
        <v/>
      </c>
      <c r="BN132" s="343">
        <f>BM132*$I132</f>
        <v/>
      </c>
      <c r="BO132" s="36" t="n"/>
      <c r="BP132" s="47" t="n"/>
      <c r="BQ132" s="39" t="n"/>
      <c r="BR132" s="38" t="n">
        <v>3</v>
      </c>
      <c r="BS132" s="284" t="n"/>
      <c r="BT132" s="36" t="n"/>
      <c r="BU132" s="47" t="n"/>
      <c r="BV132" s="284">
        <f>$KN132*0</f>
        <v/>
      </c>
      <c r="BW132" s="38" t="n">
        <v>0</v>
      </c>
      <c r="BX132" s="347" t="n"/>
      <c r="BY132" s="36">
        <f>$KN132*1</f>
        <v/>
      </c>
      <c r="BZ132" s="47">
        <f>$KN132*0</f>
        <v/>
      </c>
      <c r="CA132" s="284" t="n">
        <v>0</v>
      </c>
      <c r="CB132" s="38" t="n">
        <v>0</v>
      </c>
      <c r="CC132" s="284" t="n"/>
      <c r="CD132" s="36">
        <f>$KN132*0</f>
        <v/>
      </c>
      <c r="CE132" s="47">
        <f>$KN132*0</f>
        <v/>
      </c>
      <c r="CF132" s="284" t="n">
        <v>0</v>
      </c>
      <c r="CG132" s="38" t="n">
        <v>0</v>
      </c>
      <c r="CH132" s="284" t="n"/>
      <c r="CI132" s="36">
        <f>$KN132*5</f>
        <v/>
      </c>
      <c r="CJ132" s="47">
        <f>$KN132*3</f>
        <v/>
      </c>
      <c r="CK132" s="284">
        <f>$KN132*0</f>
        <v/>
      </c>
      <c r="CL132" s="38" t="n">
        <v>0</v>
      </c>
      <c r="CM132" s="333" t="n"/>
      <c r="CN132" s="36">
        <f>$KN132*5</f>
        <v/>
      </c>
      <c r="CO132" s="47">
        <f>$KN132*3</f>
        <v/>
      </c>
      <c r="CP132" s="284">
        <f>$KN132*0</f>
        <v/>
      </c>
      <c r="CQ132" s="38" t="n">
        <v>0</v>
      </c>
      <c r="CR132" s="333" t="n"/>
      <c r="CS132" s="36">
        <f>$KN132*5</f>
        <v/>
      </c>
      <c r="CT132" s="47">
        <f>$KN132*3</f>
        <v/>
      </c>
      <c r="CU132" s="284">
        <f>$KN132*0</f>
        <v/>
      </c>
      <c r="CV132" s="52" t="n">
        <v>0</v>
      </c>
      <c r="CW132" s="333" t="n"/>
      <c r="CX132" s="36">
        <f>$KN132*5</f>
        <v/>
      </c>
      <c r="CY132" s="47">
        <f>$KN132*3</f>
        <v/>
      </c>
      <c r="CZ132" s="284">
        <f>$KN132*0</f>
        <v/>
      </c>
      <c r="DA132" s="38" t="n">
        <v>0</v>
      </c>
      <c r="DB132" s="284" t="n"/>
      <c r="DC132" s="36">
        <f>$KN132*5</f>
        <v/>
      </c>
      <c r="DD132" s="47">
        <f>$KN132*3</f>
        <v/>
      </c>
      <c r="DE132" s="284">
        <f>$KN132*0</f>
        <v/>
      </c>
      <c r="DF132" s="38" t="n">
        <v>0</v>
      </c>
      <c r="DG132" s="284" t="n"/>
      <c r="DH132" s="36">
        <f>$KN132*5</f>
        <v/>
      </c>
      <c r="DI132" s="47">
        <f>$KN132*3</f>
        <v/>
      </c>
      <c r="DJ132" s="284">
        <f>$KN132*0</f>
        <v/>
      </c>
      <c r="DK132" s="38" t="n">
        <v>0</v>
      </c>
      <c r="DL132" s="284" t="n"/>
      <c r="DM132" s="36">
        <f>$KN132*5</f>
        <v/>
      </c>
      <c r="DN132" s="47">
        <f>$KN132*3</f>
        <v/>
      </c>
      <c r="DO132" s="284">
        <f>$KN132*0</f>
        <v/>
      </c>
      <c r="DP132" s="38" t="n">
        <v>0</v>
      </c>
      <c r="DQ132" s="284" t="n"/>
      <c r="DR132" s="36">
        <f>$KN132*5</f>
        <v/>
      </c>
      <c r="DS132" s="47">
        <f>$KN132*3</f>
        <v/>
      </c>
      <c r="DT132" s="284">
        <f>$KN132*0</f>
        <v/>
      </c>
      <c r="DU132" s="38" t="n">
        <v>0</v>
      </c>
      <c r="DV132" s="284" t="n"/>
      <c r="DW132" s="338">
        <f t="array" ref="DW132">SUMPRODUCT(--(MOD(COLUMN($BO132:$DV132),5)=MOD(COLUMN($BO132),5)),$BO132:$DV132)</f>
        <v/>
      </c>
      <c r="DX132" s="339">
        <f>DW132*$J132</f>
        <v/>
      </c>
      <c r="DY132" s="344">
        <f t="array" ref="DY132">SUMPRODUCT(--(MOD(COLUMN($BO132:$DV132),5)=MOD(COLUMN($BP132),5)),$BO132:$DV132)</f>
        <v/>
      </c>
      <c r="DZ132" s="345">
        <f>DY132*$J132</f>
        <v/>
      </c>
      <c r="EA132" s="340">
        <f t="array" ref="EA132">SUMPRODUCT(--(MOD(COLUMN($BO132:$DV132),5)=MOD(COLUMN($BQ132),5)),$BO132:$DV132)</f>
        <v/>
      </c>
      <c r="EB132" s="341">
        <f>EA132*$J132</f>
        <v/>
      </c>
      <c r="EC132" s="342">
        <f t="array" ref="EC132">SUMPRODUCT(--(MOD(COLUMN($BO132:$DV132),5)=MOD(COLUMN($BR132),5)),$BO132:$DV132)</f>
        <v/>
      </c>
      <c r="ED132" s="343">
        <f>EC132*$J132</f>
        <v/>
      </c>
      <c r="EE132" s="36">
        <f>$KN132*0</f>
        <v/>
      </c>
      <c r="EF132" s="284" t="n">
        <v>0</v>
      </c>
      <c r="EG132" s="38" t="n"/>
      <c r="EH132" s="284" t="n"/>
      <c r="EI132" s="36">
        <f>$KN132*0</f>
        <v/>
      </c>
      <c r="EJ132" s="284" t="n">
        <v>0</v>
      </c>
      <c r="EK132" s="38" t="n"/>
      <c r="EL132" s="284" t="n"/>
      <c r="EM132" s="36">
        <f>$KN132*1</f>
        <v/>
      </c>
      <c r="EN132" s="284" t="n">
        <v>0</v>
      </c>
      <c r="EO132" s="38" t="n">
        <v>0</v>
      </c>
      <c r="EP132" s="284" t="n"/>
      <c r="EQ132" s="36">
        <f>$KN132*2</f>
        <v/>
      </c>
      <c r="ER132" s="284" t="n">
        <v>0</v>
      </c>
      <c r="ES132" s="38" t="n">
        <v>0</v>
      </c>
      <c r="ET132" s="284" t="n"/>
      <c r="EU132" s="36">
        <f>$KN132*3</f>
        <v/>
      </c>
      <c r="EV132" s="39" t="n">
        <v>0</v>
      </c>
      <c r="EW132" s="38" t="n">
        <v>0</v>
      </c>
      <c r="EX132" s="284" t="n"/>
      <c r="EY132" s="36">
        <f>$KN132*3</f>
        <v/>
      </c>
      <c r="EZ132" s="284" t="n">
        <v>3</v>
      </c>
      <c r="FA132" s="38" t="n">
        <v>0</v>
      </c>
      <c r="FB132" s="284" t="n"/>
      <c r="FC132" s="36">
        <f>$KN132*5</f>
        <v/>
      </c>
      <c r="FD132" s="284" t="n">
        <v>5</v>
      </c>
      <c r="FE132" s="38" t="n">
        <v>0</v>
      </c>
      <c r="FF132" s="284" t="n"/>
      <c r="FG132" s="36">
        <f>$KN132*5</f>
        <v/>
      </c>
      <c r="FH132" s="284" t="n">
        <v>5</v>
      </c>
      <c r="FI132" s="38" t="n">
        <v>0</v>
      </c>
      <c r="FJ132" s="284" t="n"/>
      <c r="FK132" s="36">
        <f>$KN132*5</f>
        <v/>
      </c>
      <c r="FL132" s="284" t="n">
        <v>5</v>
      </c>
      <c r="FM132" s="38" t="n">
        <v>0</v>
      </c>
      <c r="FN132" s="284" t="n"/>
      <c r="FO132" s="36">
        <f>$KN132*6</f>
        <v/>
      </c>
      <c r="FP132" s="284" t="n">
        <v>6</v>
      </c>
      <c r="FQ132" s="38" t="n">
        <v>0</v>
      </c>
      <c r="FR132" s="284" t="n"/>
      <c r="FS132" s="36">
        <f>$KN132*6</f>
        <v/>
      </c>
      <c r="FT132" s="284" t="n">
        <v>6</v>
      </c>
      <c r="FU132" s="38" t="n">
        <v>0</v>
      </c>
      <c r="FV132" s="284" t="n"/>
      <c r="FW132" s="36">
        <f>$KN132*6</f>
        <v/>
      </c>
      <c r="FX132" s="284" t="n">
        <v>6</v>
      </c>
      <c r="FY132" s="38" t="n">
        <v>0</v>
      </c>
      <c r="FZ132" s="284" t="n"/>
      <c r="GA132" s="338">
        <f t="array" ref="GA132">SUMPRODUCT(--(MOD(COLUMN($EE132:$FZ132),4)=MOD(COLUMN($EE132),4)),$EE132:$FZ132)</f>
        <v/>
      </c>
      <c r="GB132" s="339">
        <f>GA132*$J132</f>
        <v/>
      </c>
      <c r="GC132" s="340">
        <f t="array" ref="GC132">SUMPRODUCT(--(MOD(COLUMN($EE132:$FZ132),4)=MOD(COLUMN($EF132),4)),$EE132:$FZ132)</f>
        <v/>
      </c>
      <c r="GD132" s="341">
        <f>GC132*$J132</f>
        <v/>
      </c>
      <c r="GE132" s="342">
        <f t="array" ref="GE132">SUMPRODUCT(--(MOD(COLUMN($EE132:$FZ132),4)=MOD(COLUMN($EG132),4)),$EE132:$FZ132)</f>
        <v/>
      </c>
      <c r="GF132" s="343">
        <f>GE132*$J132</f>
        <v/>
      </c>
      <c r="GG132" s="36">
        <f>$KN132*5</f>
        <v/>
      </c>
      <c r="GH132" s="284" t="n"/>
      <c r="GI132" s="38" t="n">
        <v>0</v>
      </c>
      <c r="GJ132" s="284" t="n"/>
      <c r="GK132" s="36">
        <f>$KN132*5</f>
        <v/>
      </c>
      <c r="GL132" s="284" t="n"/>
      <c r="GM132" s="38" t="n">
        <v>0</v>
      </c>
      <c r="GN132" s="284" t="n"/>
      <c r="GO132" s="36">
        <f>$KN132*7</f>
        <v/>
      </c>
      <c r="GP132" s="284" t="n"/>
      <c r="GQ132" s="38" t="n">
        <v>0</v>
      </c>
      <c r="GR132" s="284" t="n"/>
      <c r="GS132" s="36">
        <f>$KN132*10</f>
        <v/>
      </c>
      <c r="GT132" s="284" t="n"/>
      <c r="GU132" s="38" t="n">
        <v>0</v>
      </c>
      <c r="GV132" s="284" t="n"/>
      <c r="GW132" s="36">
        <f>$KN132*10</f>
        <v/>
      </c>
      <c r="GX132" s="284" t="n"/>
      <c r="GY132" s="38" t="n">
        <v>0</v>
      </c>
      <c r="GZ132" s="284" t="n"/>
      <c r="HA132" s="36">
        <f>$KN132*10</f>
        <v/>
      </c>
      <c r="HB132" s="284" t="n"/>
      <c r="HC132" s="38" t="n">
        <v>0</v>
      </c>
      <c r="HD132" s="284" t="n"/>
      <c r="HE132" s="36">
        <f>$KN132*10</f>
        <v/>
      </c>
      <c r="HF132" s="284" t="n"/>
      <c r="HG132" s="38" t="n">
        <v>0</v>
      </c>
      <c r="HH132" s="284" t="n"/>
      <c r="HI132" s="36">
        <f>$KN132*10</f>
        <v/>
      </c>
      <c r="HJ132" s="284" t="n"/>
      <c r="HK132" s="38" t="n">
        <v>0</v>
      </c>
      <c r="HL132" s="284" t="n"/>
      <c r="HM132" s="36">
        <f>$KN132*10</f>
        <v/>
      </c>
      <c r="HN132" s="284" t="n"/>
      <c r="HO132" s="38" t="n">
        <v>0</v>
      </c>
      <c r="HP132" s="284" t="n"/>
      <c r="HQ132" s="36">
        <f>$KN132*10</f>
        <v/>
      </c>
      <c r="HR132" s="284" t="n"/>
      <c r="HS132" s="38" t="n">
        <v>0</v>
      </c>
      <c r="HT132" s="284" t="n"/>
      <c r="HU132" s="36">
        <f>$KN132*10</f>
        <v/>
      </c>
      <c r="HV132" s="284" t="n"/>
      <c r="HW132" s="38" t="n">
        <v>0</v>
      </c>
      <c r="HX132" s="284" t="n"/>
      <c r="HY132" s="36">
        <f>$KN132*10</f>
        <v/>
      </c>
      <c r="HZ132" s="284" t="n"/>
      <c r="IA132" s="38" t="n">
        <v>0</v>
      </c>
      <c r="IB132" s="284" t="n"/>
      <c r="IC132" s="338">
        <f t="array" ref="IC132">SUMPRODUCT(--(MOD(COLUMN($GG132:$IB132),4)=MOD(COLUMN($GG132),4)),$GG132:$IB132)</f>
        <v/>
      </c>
      <c r="ID132" s="339">
        <f>IC132*$J132</f>
        <v/>
      </c>
      <c r="IE132" s="340">
        <f t="array" ref="IE132">SUMPRODUCT(--(MOD(COLUMN($GG132:$IB132),4)=MOD(COLUMN($GH132),4)),$GG132:$IB132)</f>
        <v/>
      </c>
      <c r="IF132" s="341">
        <f>IE132*$J132</f>
        <v/>
      </c>
      <c r="IG132" s="342">
        <f t="array" ref="IG132">SUMPRODUCT(--(MOD(COLUMN($GG132:$IB132),4)=MOD(COLUMN($GI132),4)),$GG132:$IB132)</f>
        <v/>
      </c>
      <c r="IH132" s="343">
        <f>IG132*$J132</f>
        <v/>
      </c>
      <c r="II132" s="36">
        <f>$KN132*5</f>
        <v/>
      </c>
      <c r="IJ132" s="284" t="n"/>
      <c r="IK132" s="38" t="n">
        <v>0</v>
      </c>
      <c r="IL132" s="284" t="n"/>
      <c r="IM132" s="36">
        <f>$KN132*5</f>
        <v/>
      </c>
      <c r="IN132" s="284" t="n"/>
      <c r="IO132" s="38" t="n">
        <v>0</v>
      </c>
      <c r="IP132" s="284" t="n"/>
      <c r="IQ132" s="36">
        <f>$KN132*7</f>
        <v/>
      </c>
      <c r="IR132" s="284" t="n"/>
      <c r="IS132" s="38" t="n">
        <v>0</v>
      </c>
      <c r="IT132" s="284" t="n"/>
      <c r="IU132" s="36">
        <f>$KN132*10</f>
        <v/>
      </c>
      <c r="IV132" s="284" t="n"/>
      <c r="IW132" s="38" t="n">
        <v>0</v>
      </c>
      <c r="IX132" s="284" t="n"/>
      <c r="IY132" s="36">
        <f>$KN132*10</f>
        <v/>
      </c>
      <c r="IZ132" s="284" t="n"/>
      <c r="JA132" s="38" t="n">
        <v>0</v>
      </c>
      <c r="JB132" s="284" t="n"/>
      <c r="JC132" s="36">
        <f>$KN132*10</f>
        <v/>
      </c>
      <c r="JD132" s="284" t="n"/>
      <c r="JE132" s="38" t="n">
        <v>0</v>
      </c>
      <c r="JF132" s="284" t="n"/>
      <c r="JG132" s="36">
        <f>$KN132*10</f>
        <v/>
      </c>
      <c r="JH132" s="284" t="n"/>
      <c r="JI132" s="38" t="n">
        <v>0</v>
      </c>
      <c r="JJ132" s="284" t="n"/>
      <c r="JK132" s="36">
        <f>$KN132*10</f>
        <v/>
      </c>
      <c r="JL132" s="284" t="n"/>
      <c r="JM132" s="38" t="n">
        <v>0</v>
      </c>
      <c r="JN132" s="284" t="n"/>
      <c r="JO132" s="36">
        <f>$KN132*10</f>
        <v/>
      </c>
      <c r="JP132" s="284" t="n"/>
      <c r="JQ132" s="38" t="n">
        <v>0</v>
      </c>
      <c r="JR132" s="284" t="n"/>
      <c r="JS132" s="36">
        <f>$KN132*10</f>
        <v/>
      </c>
      <c r="JT132" s="284" t="n"/>
      <c r="JU132" s="38" t="n">
        <v>0</v>
      </c>
      <c r="JV132" s="284" t="n"/>
      <c r="JW132" s="36">
        <f>$KN132*10</f>
        <v/>
      </c>
      <c r="JX132" s="284" t="n"/>
      <c r="JY132" s="38" t="n">
        <v>0</v>
      </c>
      <c r="JZ132" s="284" t="n"/>
      <c r="KA132" s="36">
        <f>$KN132*10</f>
        <v/>
      </c>
      <c r="KB132" s="284" t="n"/>
      <c r="KC132" s="38" t="n">
        <v>0</v>
      </c>
      <c r="KD132" s="284" t="n"/>
      <c r="KE132" s="338">
        <f t="array" ref="KE132">SUMPRODUCT(--(MOD(COLUMN($II132:$KD132),4)=MOD(COLUMN($II132),4)),$II132:$KD132)</f>
        <v/>
      </c>
      <c r="KF132" s="339">
        <f>KE132*$J132</f>
        <v/>
      </c>
      <c r="KG132" s="340">
        <f t="array" ref="KG132">SUMPRODUCT(--(MOD(COLUMN($II132:$KD132),4)=MOD(COLUMN($IJ132),4)),$II132:$KD132)</f>
        <v/>
      </c>
      <c r="KH132" s="341">
        <f>KG132*$J132</f>
        <v/>
      </c>
      <c r="KI132" s="342">
        <f t="array" ref="KI132">SUMPRODUCT(--(MOD(COLUMN($II132:$KD132),4)=MOD(COLUMN($IK132),4)),$II132:$KD132)</f>
        <v/>
      </c>
      <c r="KJ132" s="346">
        <f>KI132*$J132</f>
        <v/>
      </c>
      <c r="KK132" s="80" t="n"/>
      <c r="KL132" s="80" t="n"/>
      <c r="KM132" s="80" t="n"/>
      <c r="KN132" s="51" t="n">
        <v>1</v>
      </c>
      <c r="KO132" s="333" t="n"/>
    </row>
    <row r="133" outlineLevel="1" customFormat="1" s="68">
      <c r="A133" s="252" t="n"/>
      <c r="B133" s="69" t="n"/>
      <c r="C133" s="256" t="n"/>
      <c r="D133" s="256" t="n"/>
      <c r="E133" s="70" t="n"/>
      <c r="F133" s="70" t="n"/>
      <c r="G133" s="71" t="n"/>
      <c r="H133" s="72" t="inlineStr">
        <is>
          <t>Итого</t>
        </is>
      </c>
      <c r="I133" s="361" t="n"/>
      <c r="J133" s="360" t="n"/>
      <c r="K133" s="360" t="n"/>
      <c r="L133" s="360" t="n"/>
      <c r="M133" s="74" t="n"/>
      <c r="N133" s="75" t="n"/>
      <c r="O133" s="28" t="n"/>
      <c r="P133" s="75" t="n"/>
      <c r="Q133" s="74" t="n"/>
      <c r="R133" s="75" t="n"/>
      <c r="S133" s="28" t="n"/>
      <c r="T133" s="75" t="n"/>
      <c r="U133" s="74" t="n"/>
      <c r="V133" s="75" t="n"/>
      <c r="W133" s="28" t="n"/>
      <c r="X133" s="75" t="n"/>
      <c r="Y133" s="74" t="n"/>
      <c r="Z133" s="75" t="n"/>
      <c r="AA133" s="38" t="n"/>
      <c r="AB133" s="75" t="n"/>
      <c r="AC133" s="74" t="n"/>
      <c r="AD133" s="75" t="n"/>
      <c r="AE133" s="28" t="n"/>
      <c r="AF133" s="75" t="n"/>
      <c r="AG133" s="74" t="n"/>
      <c r="AH133" s="75" t="n"/>
      <c r="AI133" s="38" t="n"/>
      <c r="AJ133" s="75" t="n"/>
      <c r="AK133" s="74" t="n"/>
      <c r="AL133" s="75" t="n"/>
      <c r="AM133" s="38" t="n"/>
      <c r="AN133" s="75" t="n"/>
      <c r="AO133" s="74" t="n"/>
      <c r="AP133" s="75" t="n"/>
      <c r="AQ133" s="38" t="n"/>
      <c r="AR133" s="75" t="n"/>
      <c r="AS133" s="74" t="n"/>
      <c r="AT133" s="75" t="n"/>
      <c r="AU133" s="38" t="n"/>
      <c r="AV133" s="75" t="n"/>
      <c r="AW133" s="74" t="n"/>
      <c r="AX133" s="75" t="n"/>
      <c r="AY133" s="28" t="n"/>
      <c r="AZ133" s="75" t="n"/>
      <c r="BA133" s="74" t="n"/>
      <c r="BB133" s="97" t="n"/>
      <c r="BC133" s="77" t="n"/>
      <c r="BD133" s="75" t="n"/>
      <c r="BE133" s="74" t="n"/>
      <c r="BF133" s="76" t="n"/>
      <c r="BG133" s="78" t="n"/>
      <c r="BH133" s="75" t="n"/>
      <c r="BI133" s="338">
        <f>SUMPRODUCT(--(MOD(COLUMN($M133:$BH133),4)=MOD(COLUMN($M133),4)),$M133:$BH133)</f>
        <v/>
      </c>
      <c r="BJ133" s="339">
        <f>BI133*$I133</f>
        <v/>
      </c>
      <c r="BK133" s="340">
        <f>SUMPRODUCT(--(MOD(COLUMN($M133:$BH133),4)=MOD(COLUMN($M133)+1,4)),$M133:$BH133)</f>
        <v/>
      </c>
      <c r="BL133" s="341">
        <f>BK133*$I133</f>
        <v/>
      </c>
      <c r="BM133" s="342">
        <f>SUMPRODUCT(--(MOD(COLUMN($M133:$BH133),4)=MOD(COLUMN($M133)+2,4)),$M133:$BH133)</f>
        <v/>
      </c>
      <c r="BN133" s="343">
        <f>BM133*$I133</f>
        <v/>
      </c>
      <c r="BO133" s="74" t="n"/>
      <c r="BP133" s="79" t="n"/>
      <c r="BQ133" s="75" t="n"/>
      <c r="BR133" s="28" t="n"/>
      <c r="BS133" s="75" t="n"/>
      <c r="BT133" s="74" t="n"/>
      <c r="BU133" s="79" t="n"/>
      <c r="BV133" s="75" t="n"/>
      <c r="BW133" s="28" t="n"/>
      <c r="BX133" s="75" t="n"/>
      <c r="BY133" s="74" t="n"/>
      <c r="BZ133" s="79" t="n"/>
      <c r="CA133" s="75" t="n"/>
      <c r="CB133" s="28" t="n"/>
      <c r="CC133" s="75" t="n"/>
      <c r="CD133" s="74" t="n"/>
      <c r="CE133" s="79" t="n"/>
      <c r="CF133" s="75" t="n"/>
      <c r="CG133" s="28" t="n"/>
      <c r="CH133" s="75" t="n"/>
      <c r="CI133" s="74" t="n"/>
      <c r="CJ133" s="79" t="n"/>
      <c r="CK133" s="75" t="n"/>
      <c r="CL133" s="28" t="n"/>
      <c r="CM133" s="75" t="n"/>
      <c r="CN133" s="74" t="n"/>
      <c r="CO133" s="79" t="n"/>
      <c r="CP133" s="75" t="n"/>
      <c r="CQ133" s="28" t="n"/>
      <c r="CR133" s="75" t="n"/>
      <c r="CS133" s="74" t="n"/>
      <c r="CT133" s="79" t="n"/>
      <c r="CU133" s="75" t="n"/>
      <c r="CV133" s="28" t="n"/>
      <c r="CW133" s="75" t="n"/>
      <c r="CX133" s="74" t="n"/>
      <c r="CY133" s="79" t="n"/>
      <c r="CZ133" s="75" t="n"/>
      <c r="DA133" s="28" t="n"/>
      <c r="DB133" s="75" t="n"/>
      <c r="DC133" s="74" t="n"/>
      <c r="DD133" s="79" t="n"/>
      <c r="DE133" s="75" t="n"/>
      <c r="DF133" s="28" t="n"/>
      <c r="DG133" s="75" t="n"/>
      <c r="DH133" s="74" t="n"/>
      <c r="DI133" s="79" t="n"/>
      <c r="DJ133" s="75" t="n"/>
      <c r="DK133" s="28" t="n"/>
      <c r="DL133" s="75" t="n"/>
      <c r="DM133" s="74" t="n"/>
      <c r="DN133" s="79" t="n"/>
      <c r="DO133" s="75" t="n"/>
      <c r="DP133" s="28" t="n"/>
      <c r="DQ133" s="75" t="n"/>
      <c r="DR133" s="74" t="n"/>
      <c r="DS133" s="47" t="n"/>
      <c r="DT133" s="75" t="n"/>
      <c r="DU133" s="28" t="n"/>
      <c r="DV133" s="75" t="n"/>
      <c r="DW133" s="338" t="n"/>
      <c r="DX133" s="338" t="n"/>
      <c r="DY133" s="344" t="n"/>
      <c r="DZ133" s="344" t="n"/>
      <c r="EA133" s="340" t="n"/>
      <c r="EB133" s="341" t="n"/>
      <c r="EC133" s="342" t="n"/>
      <c r="ED133" s="343" t="n"/>
      <c r="EE133" s="74" t="n"/>
      <c r="EF133" s="75" t="n"/>
      <c r="EG133" s="28" t="n"/>
      <c r="EH133" s="75" t="n"/>
      <c r="EI133" s="74" t="n"/>
      <c r="EJ133" s="75" t="n"/>
      <c r="EK133" s="28" t="n"/>
      <c r="EL133" s="75" t="n"/>
      <c r="EM133" s="74" t="n"/>
      <c r="EN133" s="75" t="n"/>
      <c r="EO133" s="28" t="n"/>
      <c r="EP133" s="75" t="n"/>
      <c r="EQ133" s="74" t="n"/>
      <c r="ER133" s="75" t="n"/>
      <c r="ES133" s="28" t="n"/>
      <c r="ET133" s="75" t="n"/>
      <c r="EU133" s="74" t="n"/>
      <c r="EV133" s="75" t="n"/>
      <c r="EW133" s="28" t="n"/>
      <c r="EX133" s="75" t="n"/>
      <c r="EY133" s="74" t="n"/>
      <c r="EZ133" s="75" t="n"/>
      <c r="FA133" s="28" t="n"/>
      <c r="FB133" s="75" t="n"/>
      <c r="FC133" s="74" t="n"/>
      <c r="FD133" s="75" t="n"/>
      <c r="FE133" s="28" t="n"/>
      <c r="FF133" s="75" t="n"/>
      <c r="FG133" s="74" t="n"/>
      <c r="FH133" s="75" t="n"/>
      <c r="FI133" s="28" t="n"/>
      <c r="FJ133" s="75" t="n"/>
      <c r="FK133" s="74" t="n"/>
      <c r="FL133" s="75" t="n"/>
      <c r="FM133" s="28" t="n"/>
      <c r="FN133" s="75" t="n"/>
      <c r="FO133" s="74" t="n"/>
      <c r="FP133" s="75" t="n"/>
      <c r="FQ133" s="28" t="n"/>
      <c r="FR133" s="75" t="n"/>
      <c r="FS133" s="74" t="n"/>
      <c r="FT133" s="75" t="n"/>
      <c r="FU133" s="28" t="n"/>
      <c r="FV133" s="75" t="n"/>
      <c r="FW133" s="74" t="n"/>
      <c r="FX133" s="75" t="n"/>
      <c r="FY133" s="28" t="n"/>
      <c r="FZ133" s="75" t="n"/>
      <c r="GA133" s="338" t="n"/>
      <c r="GB133" s="339" t="n"/>
      <c r="GC133" s="340" t="n"/>
      <c r="GD133" s="341" t="n"/>
      <c r="GE133" s="342" t="n"/>
      <c r="GF133" s="343" t="n"/>
      <c r="GG133" s="74" t="n"/>
      <c r="GH133" s="75" t="n"/>
      <c r="GI133" s="28" t="n"/>
      <c r="GJ133" s="75" t="n"/>
      <c r="GK133" s="74" t="n"/>
      <c r="GL133" s="75" t="n"/>
      <c r="GM133" s="28" t="n"/>
      <c r="GN133" s="75" t="n"/>
      <c r="GO133" s="74" t="n"/>
      <c r="GP133" s="75" t="n"/>
      <c r="GQ133" s="28" t="n"/>
      <c r="GR133" s="75" t="n"/>
      <c r="GS133" s="74" t="n"/>
      <c r="GT133" s="75" t="n"/>
      <c r="GU133" s="28" t="n"/>
      <c r="GV133" s="75" t="n"/>
      <c r="GW133" s="74" t="n"/>
      <c r="GX133" s="75" t="n"/>
      <c r="GY133" s="28" t="n"/>
      <c r="GZ133" s="75" t="n"/>
      <c r="HA133" s="74" t="n"/>
      <c r="HB133" s="75" t="n"/>
      <c r="HC133" s="28" t="n"/>
      <c r="HD133" s="75" t="n"/>
      <c r="HE133" s="74" t="n"/>
      <c r="HF133" s="75" t="n"/>
      <c r="HG133" s="28" t="n"/>
      <c r="HH133" s="75" t="n"/>
      <c r="HI133" s="74" t="n"/>
      <c r="HJ133" s="75" t="n"/>
      <c r="HK133" s="28" t="n"/>
      <c r="HL133" s="75" t="n"/>
      <c r="HM133" s="74" t="n"/>
      <c r="HN133" s="75" t="n"/>
      <c r="HO133" s="28" t="n"/>
      <c r="HP133" s="75" t="n"/>
      <c r="HQ133" s="74" t="n"/>
      <c r="HR133" s="75" t="n"/>
      <c r="HS133" s="28" t="n"/>
      <c r="HT133" s="75" t="n"/>
      <c r="HU133" s="74" t="n"/>
      <c r="HV133" s="75" t="n"/>
      <c r="HW133" s="28" t="n"/>
      <c r="HX133" s="75" t="n"/>
      <c r="HY133" s="74" t="n"/>
      <c r="HZ133" s="75" t="n"/>
      <c r="IA133" s="28" t="n"/>
      <c r="IB133" s="75" t="n"/>
      <c r="IC133" s="338" t="n"/>
      <c r="ID133" s="339" t="n"/>
      <c r="IE133" s="340" t="n"/>
      <c r="IF133" s="341" t="n"/>
      <c r="IG133" s="342" t="n"/>
      <c r="IH133" s="343" t="n"/>
      <c r="II133" s="74" t="n"/>
      <c r="IJ133" s="75" t="n"/>
      <c r="IK133" s="28" t="n"/>
      <c r="IL133" s="75" t="n"/>
      <c r="IM133" s="74" t="n"/>
      <c r="IN133" s="75" t="n"/>
      <c r="IO133" s="28" t="n"/>
      <c r="IP133" s="75" t="n"/>
      <c r="IQ133" s="74" t="n"/>
      <c r="IR133" s="75" t="n"/>
      <c r="IS133" s="28" t="n"/>
      <c r="IT133" s="75" t="n"/>
      <c r="IU133" s="74" t="n"/>
      <c r="IV133" s="75" t="n"/>
      <c r="IW133" s="28" t="n"/>
      <c r="IX133" s="75" t="n"/>
      <c r="IY133" s="74" t="n"/>
      <c r="IZ133" s="75" t="n"/>
      <c r="JA133" s="28" t="n"/>
      <c r="JB133" s="75" t="n"/>
      <c r="JC133" s="74" t="n"/>
      <c r="JD133" s="75" t="n"/>
      <c r="JE133" s="28" t="n"/>
      <c r="JF133" s="75" t="n"/>
      <c r="JG133" s="74" t="n"/>
      <c r="JH133" s="75" t="n"/>
      <c r="JI133" s="28" t="n"/>
      <c r="JJ133" s="75" t="n"/>
      <c r="JK133" s="74" t="n"/>
      <c r="JL133" s="75" t="n"/>
      <c r="JM133" s="28" t="n"/>
      <c r="JN133" s="75" t="n"/>
      <c r="JO133" s="74" t="n"/>
      <c r="JP133" s="75" t="n"/>
      <c r="JQ133" s="28" t="n"/>
      <c r="JR133" s="75" t="n"/>
      <c r="JS133" s="74" t="n"/>
      <c r="JT133" s="75" t="n"/>
      <c r="JU133" s="28" t="n"/>
      <c r="JV133" s="75" t="n"/>
      <c r="JW133" s="74" t="n"/>
      <c r="JX133" s="75" t="n"/>
      <c r="JY133" s="28" t="n"/>
      <c r="JZ133" s="75" t="n"/>
      <c r="KA133" s="74" t="n"/>
      <c r="KB133" s="75" t="n"/>
      <c r="KC133" s="28" t="n"/>
      <c r="KD133" s="75" t="n"/>
      <c r="KE133" s="338" t="n"/>
      <c r="KF133" s="339" t="n"/>
      <c r="KG133" s="340" t="n"/>
      <c r="KH133" s="341" t="n"/>
      <c r="KI133" s="342" t="n"/>
      <c r="KJ133" s="346" t="n"/>
      <c r="KK133" s="80" t="n"/>
      <c r="KL133" s="80" t="n"/>
      <c r="KM133" s="80" t="n"/>
      <c r="KN133" s="253" t="n"/>
      <c r="KO133" s="253" t="n"/>
    </row>
    <row r="134" ht="28.8" customFormat="1" customHeight="1" s="68">
      <c r="A134" s="82" t="inlineStr">
        <is>
          <t>АВТОМАСТЕР ООО</t>
        </is>
      </c>
      <c r="B134" s="81" t="n"/>
      <c r="C134" s="82" t="n"/>
      <c r="D134" s="82" t="n"/>
      <c r="E134" s="83" t="n"/>
      <c r="F134" s="83" t="n"/>
      <c r="G134" s="84" t="n"/>
      <c r="H134" s="85" t="n"/>
      <c r="I134" s="362" t="n"/>
      <c r="J134" s="362" t="n"/>
      <c r="K134" s="362" t="n"/>
      <c r="L134" s="362" t="n"/>
      <c r="M134" s="81" t="n"/>
      <c r="N134" s="81" t="n"/>
      <c r="O134" s="81" t="n"/>
      <c r="P134" s="81" t="n"/>
      <c r="Q134" s="81" t="n"/>
      <c r="R134" s="81" t="n"/>
      <c r="S134" s="81" t="n"/>
      <c r="T134" s="81" t="n"/>
      <c r="U134" s="81" t="n"/>
      <c r="V134" s="81" t="n"/>
      <c r="W134" s="81" t="n"/>
      <c r="X134" s="81" t="n"/>
      <c r="Y134" s="81" t="n"/>
      <c r="Z134" s="81" t="n"/>
      <c r="AA134" s="81" t="n"/>
      <c r="AB134" s="81" t="n"/>
      <c r="AC134" s="81" t="n"/>
      <c r="AD134" s="81" t="n"/>
      <c r="AE134" s="81" t="n"/>
      <c r="AF134" s="81" t="n"/>
      <c r="AG134" s="81" t="n"/>
      <c r="AH134" s="81" t="n"/>
      <c r="AI134" s="81" t="n"/>
      <c r="AJ134" s="81" t="n"/>
      <c r="AK134" s="81" t="n"/>
      <c r="AL134" s="81" t="n"/>
      <c r="AM134" s="81" t="n"/>
      <c r="AN134" s="81" t="n"/>
      <c r="AO134" s="81" t="n"/>
      <c r="AP134" s="81" t="n"/>
      <c r="AQ134" s="81" t="n"/>
      <c r="AR134" s="81" t="n"/>
      <c r="AS134" s="81" t="n"/>
      <c r="AT134" s="81" t="n"/>
      <c r="AU134" s="81" t="n"/>
      <c r="AV134" s="81" t="n"/>
      <c r="AW134" s="81" t="n"/>
      <c r="AX134" s="81" t="n"/>
      <c r="AY134" s="87" t="n"/>
      <c r="AZ134" s="81" t="n"/>
      <c r="BA134" s="87" t="n"/>
      <c r="BB134" s="87" t="n"/>
      <c r="BC134" s="88" t="n"/>
      <c r="BD134" s="81" t="n"/>
      <c r="BE134" s="87" t="n"/>
      <c r="BF134" s="87" t="n"/>
      <c r="BG134" s="87" t="n"/>
      <c r="BH134" s="81" t="n"/>
      <c r="BI134" s="363">
        <f>SUMPRODUCT(--(MOD(COLUMN($M134:$BH134),4)=MOD(COLUMN($M134),4)),$M134:$BH134)</f>
        <v/>
      </c>
      <c r="BJ134" s="364">
        <f>BI134*$I134</f>
        <v/>
      </c>
      <c r="BK134" s="363">
        <f>SUMPRODUCT(--(MOD(COLUMN($M134:$BH134),4)=MOD(COLUMN($M134)+1,4)),$M134:$BH134)</f>
        <v/>
      </c>
      <c r="BL134" s="364">
        <f>BK134*$I134</f>
        <v/>
      </c>
      <c r="BM134" s="363">
        <f>SUMPRODUCT(--(MOD(COLUMN($M134:$BH134),4)=MOD(COLUMN($M134)+2,4)),$M134:$BH134)</f>
        <v/>
      </c>
      <c r="BN134" s="364">
        <f>BM134*$I134</f>
        <v/>
      </c>
      <c r="BO134" s="81" t="n"/>
      <c r="BP134" s="81" t="n"/>
      <c r="BQ134" s="81" t="n"/>
      <c r="BR134" s="81" t="n"/>
      <c r="BS134" s="81" t="n"/>
      <c r="BT134" s="81" t="n"/>
      <c r="BU134" s="81" t="n"/>
      <c r="BV134" s="81" t="n"/>
      <c r="BW134" s="81" t="n"/>
      <c r="BX134" s="81" t="n"/>
      <c r="BY134" s="81" t="n"/>
      <c r="BZ134" s="81" t="n"/>
      <c r="CA134" s="81" t="n"/>
      <c r="CB134" s="81" t="n"/>
      <c r="CC134" s="81" t="n"/>
      <c r="CD134" s="81" t="n"/>
      <c r="CE134" s="81" t="n"/>
      <c r="CF134" s="81" t="n"/>
      <c r="CG134" s="81" t="n"/>
      <c r="CH134" s="81" t="n"/>
      <c r="CI134" s="81" t="n"/>
      <c r="CJ134" s="81" t="n"/>
      <c r="CK134" s="81" t="n"/>
      <c r="CL134" s="81" t="n"/>
      <c r="CM134" s="81" t="n"/>
      <c r="CN134" s="81" t="n"/>
      <c r="CO134" s="81" t="n"/>
      <c r="CP134" s="81" t="n"/>
      <c r="CQ134" s="81" t="n"/>
      <c r="CR134" s="81" t="n"/>
      <c r="CS134" s="81" t="n"/>
      <c r="CT134" s="81" t="n"/>
      <c r="CU134" s="81" t="n"/>
      <c r="CV134" s="81" t="n"/>
      <c r="CW134" s="81" t="n"/>
      <c r="CX134" s="81" t="n"/>
      <c r="CY134" s="81" t="n"/>
      <c r="CZ134" s="81" t="n"/>
      <c r="DA134" s="81" t="n"/>
      <c r="DB134" s="81" t="n"/>
      <c r="DC134" s="81" t="n"/>
      <c r="DD134" s="81" t="n"/>
      <c r="DE134" s="81" t="n"/>
      <c r="DF134" s="81" t="n"/>
      <c r="DG134" s="81" t="n"/>
      <c r="DH134" s="81" t="n"/>
      <c r="DI134" s="81" t="n"/>
      <c r="DJ134" s="81" t="n"/>
      <c r="DK134" s="81" t="n"/>
      <c r="DL134" s="81" t="n"/>
      <c r="DM134" s="81" t="n"/>
      <c r="DN134" s="81" t="n"/>
      <c r="DO134" s="81" t="n"/>
      <c r="DP134" s="81" t="n"/>
      <c r="DQ134" s="81" t="n"/>
      <c r="DR134" s="81" t="n"/>
      <c r="DS134" s="81" t="n"/>
      <c r="DT134" s="81" t="n"/>
      <c r="DU134" s="81" t="n"/>
      <c r="DV134" s="81" t="n"/>
      <c r="DW134" s="363">
        <f>SUMPRODUCT(--(MOD(COLUMN($BO134:$DV134),5)=MOD(COLUMN($BO134),5)),$BO134:$DV134)</f>
        <v/>
      </c>
      <c r="DX134" s="363">
        <f>DW134*$J134</f>
        <v/>
      </c>
      <c r="DY134" s="363">
        <f>SUMPRODUCT(--(MOD(COLUMN($BO134:$DV134),5)=MOD(COLUMN($BO134),5)+1),$BO134:$DV134)</f>
        <v/>
      </c>
      <c r="DZ134" s="363">
        <f>DY134*$J134</f>
        <v/>
      </c>
      <c r="EA134" s="363">
        <f>SUMPRODUCT(--(MOD(COLUMN($BO134:$DV134),5)=MOD(COLUMN($BO134),5)+2),$BO134:$DV134)</f>
        <v/>
      </c>
      <c r="EB134" s="364">
        <f>EA134*$J134</f>
        <v/>
      </c>
      <c r="EC134" s="363">
        <f>SUMPRODUCT(--(MOD(COLUMN($BO134:$DV134),5)=MOD(COLUMN($BO134),5)+3),$BO134:$DV134)</f>
        <v/>
      </c>
      <c r="ED134" s="364">
        <f>EC134*$J134</f>
        <v/>
      </c>
      <c r="EE134" s="81" t="n"/>
      <c r="EF134" s="81" t="n"/>
      <c r="EG134" s="81" t="n"/>
      <c r="EH134" s="81" t="n"/>
      <c r="EI134" s="81" t="n"/>
      <c r="EJ134" s="81" t="n"/>
      <c r="EK134" s="81" t="n"/>
      <c r="EL134" s="81" t="n"/>
      <c r="EM134" s="81" t="n"/>
      <c r="EN134" s="81" t="n"/>
      <c r="EO134" s="81" t="n"/>
      <c r="EP134" s="81" t="n"/>
      <c r="EQ134" s="81" t="n"/>
      <c r="ER134" s="81" t="n"/>
      <c r="ES134" s="81" t="n"/>
      <c r="ET134" s="81" t="n"/>
      <c r="EU134" s="81" t="n"/>
      <c r="EV134" s="81" t="n"/>
      <c r="EW134" s="81" t="n"/>
      <c r="EX134" s="81" t="n"/>
      <c r="EY134" s="81" t="n"/>
      <c r="EZ134" s="81" t="n"/>
      <c r="FA134" s="81" t="n"/>
      <c r="FB134" s="81" t="n"/>
      <c r="FC134" s="81" t="n"/>
      <c r="FD134" s="81" t="n"/>
      <c r="FE134" s="81" t="n"/>
      <c r="FF134" s="81" t="n"/>
      <c r="FG134" s="81" t="n"/>
      <c r="FH134" s="81" t="n"/>
      <c r="FI134" s="81" t="n"/>
      <c r="FJ134" s="81" t="n"/>
      <c r="FK134" s="81" t="n"/>
      <c r="FL134" s="81" t="n"/>
      <c r="FM134" s="81" t="n"/>
      <c r="FN134" s="81" t="n"/>
      <c r="FO134" s="81" t="n"/>
      <c r="FP134" s="81" t="n"/>
      <c r="FQ134" s="81" t="n"/>
      <c r="FR134" s="81" t="n"/>
      <c r="FS134" s="81" t="n"/>
      <c r="FT134" s="81" t="n"/>
      <c r="FU134" s="81" t="n"/>
      <c r="FV134" s="81" t="n"/>
      <c r="FW134" s="81" t="n"/>
      <c r="FX134" s="81" t="n"/>
      <c r="FY134" s="81" t="n"/>
      <c r="FZ134" s="81" t="n"/>
      <c r="GA134" s="363" t="n"/>
      <c r="GB134" s="364" t="n"/>
      <c r="GC134" s="365" t="n"/>
      <c r="GD134" s="366" t="n"/>
      <c r="GE134" s="363" t="n"/>
      <c r="GF134" s="364" t="n"/>
      <c r="GG134" s="81" t="n"/>
      <c r="GH134" s="81" t="n"/>
      <c r="GI134" s="81" t="n"/>
      <c r="GJ134" s="81" t="n"/>
      <c r="GK134" s="81" t="n"/>
      <c r="GL134" s="81" t="n"/>
      <c r="GM134" s="81" t="n"/>
      <c r="GN134" s="81" t="n"/>
      <c r="GO134" s="81" t="n"/>
      <c r="GP134" s="81" t="n"/>
      <c r="GQ134" s="81" t="n"/>
      <c r="GR134" s="81" t="n"/>
      <c r="GS134" s="81" t="n"/>
      <c r="GT134" s="81" t="n"/>
      <c r="GU134" s="81" t="n"/>
      <c r="GV134" s="81" t="n"/>
      <c r="GW134" s="81" t="n"/>
      <c r="GX134" s="81" t="n"/>
      <c r="GY134" s="81" t="n"/>
      <c r="GZ134" s="81" t="n"/>
      <c r="HA134" s="81" t="n"/>
      <c r="HB134" s="81" t="n"/>
      <c r="HC134" s="81" t="n"/>
      <c r="HD134" s="81" t="n"/>
      <c r="HE134" s="81" t="n"/>
      <c r="HF134" s="81" t="n"/>
      <c r="HG134" s="81" t="n"/>
      <c r="HH134" s="81" t="n"/>
      <c r="HI134" s="81" t="n"/>
      <c r="HJ134" s="81" t="n"/>
      <c r="HK134" s="81" t="n"/>
      <c r="HL134" s="81" t="n"/>
      <c r="HM134" s="81" t="n"/>
      <c r="HN134" s="81" t="n"/>
      <c r="HO134" s="81" t="n"/>
      <c r="HP134" s="81" t="n"/>
      <c r="HQ134" s="81" t="n"/>
      <c r="HR134" s="81" t="n"/>
      <c r="HS134" s="81" t="n"/>
      <c r="HT134" s="81" t="n"/>
      <c r="HU134" s="81" t="n"/>
      <c r="HV134" s="81" t="n"/>
      <c r="HW134" s="81" t="n"/>
      <c r="HX134" s="81" t="n"/>
      <c r="HY134" s="81" t="n"/>
      <c r="HZ134" s="81" t="n"/>
      <c r="IA134" s="81" t="n"/>
      <c r="IB134" s="81" t="n"/>
      <c r="IC134" s="363" t="n"/>
      <c r="ID134" s="364" t="n"/>
      <c r="IE134" s="365" t="n"/>
      <c r="IF134" s="366" t="n"/>
      <c r="IG134" s="363" t="n"/>
      <c r="IH134" s="364" t="n"/>
      <c r="II134" s="81" t="n"/>
      <c r="IJ134" s="81" t="n"/>
      <c r="IK134" s="81" t="n"/>
      <c r="IL134" s="81" t="n"/>
      <c r="IM134" s="81" t="n"/>
      <c r="IN134" s="81" t="n"/>
      <c r="IO134" s="81" t="n"/>
      <c r="IP134" s="81" t="n"/>
      <c r="IQ134" s="81" t="n"/>
      <c r="IR134" s="81" t="n"/>
      <c r="IS134" s="81" t="n"/>
      <c r="IT134" s="81" t="n"/>
      <c r="IU134" s="81" t="n"/>
      <c r="IV134" s="81" t="n"/>
      <c r="IW134" s="81" t="n"/>
      <c r="IX134" s="81" t="n"/>
      <c r="IY134" s="81" t="n"/>
      <c r="IZ134" s="81" t="n"/>
      <c r="JA134" s="81" t="n"/>
      <c r="JB134" s="81" t="n"/>
      <c r="JC134" s="81" t="n"/>
      <c r="JD134" s="81" t="n"/>
      <c r="JE134" s="81" t="n"/>
      <c r="JF134" s="81" t="n"/>
      <c r="JG134" s="81" t="n"/>
      <c r="JH134" s="81" t="n"/>
      <c r="JI134" s="81" t="n"/>
      <c r="JJ134" s="81" t="n"/>
      <c r="JK134" s="81" t="n"/>
      <c r="JL134" s="81" t="n"/>
      <c r="JM134" s="81" t="n"/>
      <c r="JN134" s="81" t="n"/>
      <c r="JO134" s="81" t="n"/>
      <c r="JP134" s="81" t="n"/>
      <c r="JQ134" s="81" t="n"/>
      <c r="JR134" s="81" t="n"/>
      <c r="JS134" s="81" t="n"/>
      <c r="JT134" s="81" t="n"/>
      <c r="JU134" s="81" t="n"/>
      <c r="JV134" s="81" t="n"/>
      <c r="JW134" s="81" t="n"/>
      <c r="JX134" s="81" t="n"/>
      <c r="JY134" s="81" t="n"/>
      <c r="JZ134" s="81" t="n"/>
      <c r="KA134" s="81" t="n"/>
      <c r="KB134" s="81" t="n"/>
      <c r="KC134" s="81" t="n"/>
      <c r="KD134" s="81" t="n"/>
      <c r="KE134" s="363" t="n"/>
      <c r="KF134" s="364" t="n"/>
      <c r="KG134" s="365" t="n"/>
      <c r="KH134" s="366" t="n"/>
      <c r="KI134" s="363" t="n"/>
      <c r="KJ134" s="367" t="n"/>
      <c r="KK134" s="80" t="n"/>
      <c r="KL134" s="80" t="n"/>
      <c r="KM134" s="80" t="n"/>
      <c r="KN134" s="253" t="n"/>
      <c r="KO134" s="253" t="n"/>
    </row>
    <row r="135" outlineLevel="1" ht="43.2" customFormat="1" customHeight="1" s="68">
      <c r="A135" s="295" t="inlineStr">
        <is>
          <t>Автодвор
(не заведен в 1С)</t>
        </is>
      </c>
      <c r="B135" s="277" t="inlineStr">
        <is>
          <t>Договор не подписан. Оплата по счету</t>
        </is>
      </c>
      <c r="C135" s="256" t="inlineStr">
        <is>
          <t>ВБК РУС</t>
        </is>
      </c>
      <c r="D135" s="281" t="inlineStr">
        <is>
          <t>Мустафин Ринат</t>
        </is>
      </c>
      <c r="E135" s="60" t="n">
        <v>1</v>
      </c>
      <c r="F135" s="60" t="n">
        <v>1</v>
      </c>
      <c r="G135" s="56" t="n">
        <v>9522010010</v>
      </c>
      <c r="H135" s="57" t="inlineStr">
        <is>
          <t>Головка соединительная (управляющая)</t>
        </is>
      </c>
      <c r="I135" s="348" t="n">
        <v>76.19047619047619</v>
      </c>
      <c r="J135" s="337">
        <f>89.6/1.2*1.0863</f>
        <v/>
      </c>
      <c r="K135" s="348" t="n"/>
      <c r="L135" s="348" t="n"/>
      <c r="M135" s="36" t="n"/>
      <c r="N135" s="284" t="n"/>
      <c r="O135" s="38" t="n"/>
      <c r="P135" s="284" t="n"/>
      <c r="Q135" s="36" t="n"/>
      <c r="R135" s="284" t="n"/>
      <c r="S135" s="38" t="n"/>
      <c r="T135" s="284" t="n"/>
      <c r="U135" s="36" t="n"/>
      <c r="V135" s="284" t="n"/>
      <c r="W135" s="38" t="n"/>
      <c r="X135" s="284" t="n"/>
      <c r="Y135" s="36" t="n"/>
      <c r="Z135" s="284" t="n"/>
      <c r="AA135" s="38" t="n"/>
      <c r="AB135" s="284" t="n"/>
      <c r="AC135" s="36" t="n"/>
      <c r="AD135" s="284" t="n"/>
      <c r="AE135" s="38" t="n"/>
      <c r="AF135" s="284" t="n"/>
      <c r="AG135" s="36" t="n"/>
      <c r="AH135" s="284" t="n"/>
      <c r="AI135" s="38" t="n"/>
      <c r="AJ135" s="284" t="n"/>
      <c r="AK135" s="36" t="n"/>
      <c r="AL135" s="284" t="n"/>
      <c r="AM135" s="38" t="n"/>
      <c r="AN135" s="284" t="n"/>
      <c r="AO135" s="36" t="n"/>
      <c r="AP135" s="284" t="n"/>
      <c r="AQ135" s="38" t="n"/>
      <c r="AR135" s="284" t="n"/>
      <c r="AS135" s="36" t="n"/>
      <c r="AT135" s="284" t="n"/>
      <c r="AU135" s="38" t="n">
        <v>0</v>
      </c>
      <c r="AV135" s="284" t="n"/>
      <c r="AW135" s="36" t="n"/>
      <c r="AX135" s="284" t="n"/>
      <c r="AY135" s="38" t="n">
        <v>0</v>
      </c>
      <c r="AZ135" s="284" t="n"/>
      <c r="BA135" s="36" t="n"/>
      <c r="BB135" s="284" t="n"/>
      <c r="BC135" s="99" t="n">
        <v>0</v>
      </c>
      <c r="BD135" s="284" t="n"/>
      <c r="BE135" s="36" t="n"/>
      <c r="BF135" s="284" t="n"/>
      <c r="BG135" s="54" t="n">
        <v>0</v>
      </c>
      <c r="BH135" s="284" t="n"/>
      <c r="BI135" s="338">
        <f>SUMPRODUCT(--(MOD(COLUMN($M135:$BH135),4)=MOD(COLUMN($M135),4)),$M135:$BH135)</f>
        <v/>
      </c>
      <c r="BJ135" s="339">
        <f>BI135*$I135</f>
        <v/>
      </c>
      <c r="BK135" s="340">
        <f>SUMPRODUCT(--(MOD(COLUMN($M135:$BH135),4)=MOD(COLUMN($M135)+1,4)),$M135:$BH135)</f>
        <v/>
      </c>
      <c r="BL135" s="341">
        <f>BK135*$I135</f>
        <v/>
      </c>
      <c r="BM135" s="342">
        <f>SUMPRODUCT(--(MOD(COLUMN($M135:$BH135),4)=MOD(COLUMN($M135)+2,4)),$M135:$BH135)</f>
        <v/>
      </c>
      <c r="BN135" s="343">
        <f>BM135*$I135</f>
        <v/>
      </c>
      <c r="BO135" s="36" t="n"/>
      <c r="BP135" s="47" t="n"/>
      <c r="BQ135" s="284" t="n"/>
      <c r="BR135" s="38" t="n">
        <v>0</v>
      </c>
      <c r="BS135" s="284" t="inlineStr">
        <is>
          <t>Новый клиент</t>
        </is>
      </c>
      <c r="BT135" s="36" t="n"/>
      <c r="BU135" s="47" t="n"/>
      <c r="BV135" s="284" t="n"/>
      <c r="BW135" s="38" t="n">
        <v>0</v>
      </c>
      <c r="BX135" s="284" t="n"/>
      <c r="BY135" s="36">
        <f>$KN135*1</f>
        <v/>
      </c>
      <c r="BZ135" s="47">
        <f>$KN135*1</f>
        <v/>
      </c>
      <c r="CA135" s="284" t="n">
        <v>0</v>
      </c>
      <c r="CB135" s="38" t="n">
        <v>0</v>
      </c>
      <c r="CC135" s="284" t="n"/>
      <c r="CD135" s="36">
        <f>$KN135*0</f>
        <v/>
      </c>
      <c r="CE135" s="47">
        <f>$KN135*0</f>
        <v/>
      </c>
      <c r="CF135" s="284" t="n">
        <v>0</v>
      </c>
      <c r="CG135" s="38" t="n">
        <v>0</v>
      </c>
      <c r="CH135" s="284" t="n"/>
      <c r="CI135" s="36">
        <f>$KN135*5</f>
        <v/>
      </c>
      <c r="CJ135" s="47">
        <f>$KN135*3</f>
        <v/>
      </c>
      <c r="CK135" s="284" t="n">
        <v>0</v>
      </c>
      <c r="CL135" s="38" t="n">
        <v>0</v>
      </c>
      <c r="CM135" s="284" t="n"/>
      <c r="CN135" s="36">
        <f>$KN135*5</f>
        <v/>
      </c>
      <c r="CO135" s="47">
        <f>$KN135*3</f>
        <v/>
      </c>
      <c r="CP135" s="284">
        <f>$KN135*0</f>
        <v/>
      </c>
      <c r="CQ135" s="38" t="n">
        <v>0</v>
      </c>
      <c r="CR135" s="284" t="n"/>
      <c r="CS135" s="36">
        <f>$KN135*5</f>
        <v/>
      </c>
      <c r="CT135" s="47">
        <f>$KN135*3</f>
        <v/>
      </c>
      <c r="CU135" s="39">
        <f>$KN135*0</f>
        <v/>
      </c>
      <c r="CV135" s="38" t="n">
        <v>0</v>
      </c>
      <c r="CW135" s="284" t="n"/>
      <c r="CX135" s="36">
        <f>$KN135*5</f>
        <v/>
      </c>
      <c r="CY135" s="47">
        <f>$KN135*3</f>
        <v/>
      </c>
      <c r="CZ135" s="284">
        <f>$KN135*0</f>
        <v/>
      </c>
      <c r="DA135" s="38" t="n">
        <v>0</v>
      </c>
      <c r="DB135" s="284" t="n"/>
      <c r="DC135" s="36">
        <f>$KN135*5</f>
        <v/>
      </c>
      <c r="DD135" s="47">
        <f>$KN135*3</f>
        <v/>
      </c>
      <c r="DE135" s="284">
        <f>$KN135*0</f>
        <v/>
      </c>
      <c r="DF135" s="38" t="n">
        <v>0</v>
      </c>
      <c r="DG135" s="284" t="n"/>
      <c r="DH135" s="36">
        <f>$KN135*5</f>
        <v/>
      </c>
      <c r="DI135" s="47">
        <f>$KN135*3</f>
        <v/>
      </c>
      <c r="DJ135" s="284">
        <f>$KN135*0</f>
        <v/>
      </c>
      <c r="DK135" s="38" t="n">
        <v>0</v>
      </c>
      <c r="DL135" s="284" t="n"/>
      <c r="DM135" s="36">
        <f>$KN135*5</f>
        <v/>
      </c>
      <c r="DN135" s="47">
        <f>$KN135*3</f>
        <v/>
      </c>
      <c r="DO135" s="284">
        <f>$KN135*0</f>
        <v/>
      </c>
      <c r="DP135" s="38" t="n">
        <v>0</v>
      </c>
      <c r="DQ135" s="284" t="n"/>
      <c r="DR135" s="36">
        <f>$KN135*5</f>
        <v/>
      </c>
      <c r="DS135" s="47">
        <f>$KN135*3</f>
        <v/>
      </c>
      <c r="DT135" s="284">
        <f>$KN135*0</f>
        <v/>
      </c>
      <c r="DU135" s="38" t="n">
        <v>0</v>
      </c>
      <c r="DV135" s="284" t="n"/>
      <c r="DW135" s="338">
        <f t="array" ref="DW135">SUMPRODUCT(--(MOD(COLUMN($BO135:$DV135),5)=MOD(COLUMN($BO135),5)),$BO135:$DV135)</f>
        <v/>
      </c>
      <c r="DX135" s="339">
        <f>DW135*$J135</f>
        <v/>
      </c>
      <c r="DY135" s="344">
        <f t="array" ref="DY135">SUMPRODUCT(--(MOD(COLUMN($BO135:$DV135),5)=MOD(COLUMN($BP135),5)),$BO135:$DV135)</f>
        <v/>
      </c>
      <c r="DZ135" s="345">
        <f>DY135*$J135</f>
        <v/>
      </c>
      <c r="EA135" s="340">
        <f t="array" ref="EA135">SUMPRODUCT(--(MOD(COLUMN($BO135:$DV135),5)=MOD(COLUMN($BQ135),5)),$BO135:$DV135)</f>
        <v/>
      </c>
      <c r="EB135" s="341">
        <f>EA135*$J135</f>
        <v/>
      </c>
      <c r="EC135" s="342">
        <f t="array" ref="EC135">SUMPRODUCT(--(MOD(COLUMN($BO135:$DV135),5)=MOD(COLUMN($BR135),5)),$BO135:$DV135)</f>
        <v/>
      </c>
      <c r="ED135" s="343">
        <f>EC135*$J135</f>
        <v/>
      </c>
      <c r="EE135" s="36" t="n">
        <v>0</v>
      </c>
      <c r="EF135" s="284" t="n">
        <v>0</v>
      </c>
      <c r="EG135" s="38" t="n">
        <v>0</v>
      </c>
      <c r="EH135" s="284" t="n"/>
      <c r="EI135" s="36" t="n">
        <v>0</v>
      </c>
      <c r="EJ135" s="284" t="n">
        <v>0</v>
      </c>
      <c r="EK135" s="38" t="n"/>
      <c r="EL135" s="284" t="n"/>
      <c r="EM135" s="36" t="n">
        <v>0</v>
      </c>
      <c r="EN135" s="284" t="n">
        <v>0</v>
      </c>
      <c r="EO135" s="38" t="n"/>
      <c r="EP135" s="284" t="n"/>
      <c r="EQ135" s="36">
        <f>$KN135*1</f>
        <v/>
      </c>
      <c r="ER135" s="284" t="n">
        <v>0</v>
      </c>
      <c r="ES135" s="38" t="n">
        <v>0</v>
      </c>
      <c r="ET135" s="284" t="n"/>
      <c r="EU135" s="36">
        <f>$KN135*1</f>
        <v/>
      </c>
      <c r="EV135" s="39" t="n">
        <v>0</v>
      </c>
      <c r="EW135" s="38" t="n">
        <v>0</v>
      </c>
      <c r="EX135" s="284" t="n"/>
      <c r="EY135" s="36">
        <f>$KN135*1</f>
        <v/>
      </c>
      <c r="EZ135" s="155" t="n">
        <v>0</v>
      </c>
      <c r="FA135" s="38" t="n">
        <v>0</v>
      </c>
      <c r="FB135" s="284" t="n"/>
      <c r="FC135" s="36">
        <f>$KN135*2</f>
        <v/>
      </c>
      <c r="FD135" s="155" t="n">
        <v>0</v>
      </c>
      <c r="FE135" s="38" t="n">
        <v>0</v>
      </c>
      <c r="FF135" s="284" t="n"/>
      <c r="FG135" s="36">
        <f>$KN135*2</f>
        <v/>
      </c>
      <c r="FH135" s="155" t="n">
        <v>0</v>
      </c>
      <c r="FI135" s="38" t="n">
        <v>0</v>
      </c>
      <c r="FJ135" s="284" t="n"/>
      <c r="FK135" s="36">
        <f>$KN135*2</f>
        <v/>
      </c>
      <c r="FL135" s="155" t="n">
        <v>0</v>
      </c>
      <c r="FM135" s="38" t="n">
        <v>0</v>
      </c>
      <c r="FN135" s="284" t="n"/>
      <c r="FO135" s="36">
        <f>$KN135*3</f>
        <v/>
      </c>
      <c r="FP135" s="284" t="n">
        <v>3</v>
      </c>
      <c r="FQ135" s="38" t="n">
        <v>0</v>
      </c>
      <c r="FR135" s="284" t="n"/>
      <c r="FS135" s="36">
        <f>$KN135*3</f>
        <v/>
      </c>
      <c r="FT135" s="284" t="n">
        <v>3</v>
      </c>
      <c r="FU135" s="38" t="n">
        <v>0</v>
      </c>
      <c r="FV135" s="284" t="n"/>
      <c r="FW135" s="36">
        <f>$KN135*3</f>
        <v/>
      </c>
      <c r="FX135" s="284" t="n">
        <v>3</v>
      </c>
      <c r="FY135" s="38" t="n">
        <v>0</v>
      </c>
      <c r="FZ135" s="284" t="n"/>
      <c r="GA135" s="338">
        <f>SUMPRODUCT(--(MOD(COLUMN($EE135:$FZ135),4)=MOD(COLUMN($EE135),4)),$EE135:$FZ135)</f>
        <v/>
      </c>
      <c r="GB135" s="339">
        <f>GA135*$J135</f>
        <v/>
      </c>
      <c r="GC135" s="340">
        <f>SUMPRODUCT(--(MOD(COLUMN($EE135:$FZ135),4)=MOD(COLUMN($EF135),4)),$EE135:$FZ135)</f>
        <v/>
      </c>
      <c r="GD135" s="341">
        <f>GC135*$J135</f>
        <v/>
      </c>
      <c r="GE135" s="342">
        <f>SUMPRODUCT(--(MOD(COLUMN($EE135:$FZ135),4)=MOD(COLUMN($EG135),4)),$EE135:$FZ135)</f>
        <v/>
      </c>
      <c r="GF135" s="343">
        <f>GE135*$J135</f>
        <v/>
      </c>
      <c r="GG135" s="36">
        <f>$KN135*3</f>
        <v/>
      </c>
      <c r="GH135" s="284" t="n"/>
      <c r="GI135" s="38" t="n">
        <v>0</v>
      </c>
      <c r="GJ135" s="284" t="n"/>
      <c r="GK135" s="36">
        <f>$KN135*3</f>
        <v/>
      </c>
      <c r="GL135" s="284" t="n"/>
      <c r="GM135" s="38" t="n">
        <v>0</v>
      </c>
      <c r="GN135" s="284" t="n"/>
      <c r="GO135" s="36">
        <f>$KN135*3</f>
        <v/>
      </c>
      <c r="GP135" s="284" t="n"/>
      <c r="GQ135" s="38" t="n">
        <v>0</v>
      </c>
      <c r="GR135" s="284" t="n"/>
      <c r="GS135" s="36">
        <f>$KN135*5</f>
        <v/>
      </c>
      <c r="GT135" s="284" t="n"/>
      <c r="GU135" s="38" t="n">
        <v>0</v>
      </c>
      <c r="GV135" s="284" t="n"/>
      <c r="GW135" s="36">
        <f>$KN135*5</f>
        <v/>
      </c>
      <c r="GX135" s="284" t="n"/>
      <c r="GY135" s="38" t="n">
        <v>0</v>
      </c>
      <c r="GZ135" s="284" t="n"/>
      <c r="HA135" s="36">
        <f>$KN135*5</f>
        <v/>
      </c>
      <c r="HB135" s="284" t="n"/>
      <c r="HC135" s="38" t="n">
        <v>0</v>
      </c>
      <c r="HD135" s="284" t="n"/>
      <c r="HE135" s="36">
        <f>$KN135*5</f>
        <v/>
      </c>
      <c r="HF135" s="284" t="n"/>
      <c r="HG135" s="38" t="n">
        <v>0</v>
      </c>
      <c r="HH135" s="284" t="n"/>
      <c r="HI135" s="36">
        <f>$KN135*5</f>
        <v/>
      </c>
      <c r="HJ135" s="284" t="n"/>
      <c r="HK135" s="38" t="n">
        <v>0</v>
      </c>
      <c r="HL135" s="284" t="n"/>
      <c r="HM135" s="36">
        <f>$KN135*5</f>
        <v/>
      </c>
      <c r="HN135" s="284" t="n"/>
      <c r="HO135" s="38" t="n">
        <v>0</v>
      </c>
      <c r="HP135" s="284" t="n"/>
      <c r="HQ135" s="36">
        <f>$KN135*5</f>
        <v/>
      </c>
      <c r="HR135" s="284" t="n"/>
      <c r="HS135" s="38" t="n">
        <v>0</v>
      </c>
      <c r="HT135" s="284" t="n"/>
      <c r="HU135" s="36">
        <f>$KN135*5</f>
        <v/>
      </c>
      <c r="HV135" s="284" t="n"/>
      <c r="HW135" s="38" t="n">
        <v>0</v>
      </c>
      <c r="HX135" s="284" t="n"/>
      <c r="HY135" s="36">
        <f>$KN135*5</f>
        <v/>
      </c>
      <c r="HZ135" s="284" t="n"/>
      <c r="IA135" s="38" t="n">
        <v>0</v>
      </c>
      <c r="IB135" s="284" t="n"/>
      <c r="IC135" s="338">
        <f t="array" ref="IC135">SUMPRODUCT(--(MOD(COLUMN($GG135:$IB135),4)=MOD(COLUMN($GG135),4)),$GG135:$IB135)</f>
        <v/>
      </c>
      <c r="ID135" s="339">
        <f>IC135*$J135</f>
        <v/>
      </c>
      <c r="IE135" s="340">
        <f t="array" ref="IE135">SUMPRODUCT(--(MOD(COLUMN($GG135:$IB135),4)=MOD(COLUMN($GH135),4)),$GG135:$IB135)</f>
        <v/>
      </c>
      <c r="IF135" s="341">
        <f>IE135*$J135</f>
        <v/>
      </c>
      <c r="IG135" s="342">
        <f t="array" ref="IG135">SUMPRODUCT(--(MOD(COLUMN($GG135:$IB135),4)=MOD(COLUMN($GI135),4)),$GG135:$IB135)</f>
        <v/>
      </c>
      <c r="IH135" s="343">
        <f>IG135*$J135</f>
        <v/>
      </c>
      <c r="II135" s="36">
        <f>$KN135*3</f>
        <v/>
      </c>
      <c r="IJ135" s="284" t="n"/>
      <c r="IK135" s="38" t="n">
        <v>0</v>
      </c>
      <c r="IL135" s="284" t="n"/>
      <c r="IM135" s="36">
        <f>$KN135*3</f>
        <v/>
      </c>
      <c r="IN135" s="284" t="n"/>
      <c r="IO135" s="38" t="n">
        <v>0</v>
      </c>
      <c r="IP135" s="284" t="n"/>
      <c r="IQ135" s="36">
        <f>$KN135*3</f>
        <v/>
      </c>
      <c r="IR135" s="284" t="n"/>
      <c r="IS135" s="38" t="n">
        <v>0</v>
      </c>
      <c r="IT135" s="284" t="n"/>
      <c r="IU135" s="36">
        <f>$KN135*5</f>
        <v/>
      </c>
      <c r="IV135" s="284" t="n"/>
      <c r="IW135" s="38" t="n">
        <v>0</v>
      </c>
      <c r="IX135" s="284" t="n"/>
      <c r="IY135" s="36">
        <f>$KN135*5</f>
        <v/>
      </c>
      <c r="IZ135" s="284" t="n"/>
      <c r="JA135" s="38" t="n">
        <v>0</v>
      </c>
      <c r="JB135" s="284" t="n"/>
      <c r="JC135" s="36">
        <f>$KN135*5</f>
        <v/>
      </c>
      <c r="JD135" s="284" t="n"/>
      <c r="JE135" s="38" t="n">
        <v>0</v>
      </c>
      <c r="JF135" s="284" t="n"/>
      <c r="JG135" s="36">
        <f>$KN135*5</f>
        <v/>
      </c>
      <c r="JH135" s="284" t="n"/>
      <c r="JI135" s="38" t="n">
        <v>0</v>
      </c>
      <c r="JJ135" s="284" t="n"/>
      <c r="JK135" s="36">
        <f>$KN135*5</f>
        <v/>
      </c>
      <c r="JL135" s="284" t="n"/>
      <c r="JM135" s="38" t="n">
        <v>0</v>
      </c>
      <c r="JN135" s="284" t="n"/>
      <c r="JO135" s="36">
        <f>$KN135*5</f>
        <v/>
      </c>
      <c r="JP135" s="284" t="n"/>
      <c r="JQ135" s="38" t="n">
        <v>0</v>
      </c>
      <c r="JR135" s="284" t="n"/>
      <c r="JS135" s="36">
        <f>$KN135*5</f>
        <v/>
      </c>
      <c r="JT135" s="284" t="n"/>
      <c r="JU135" s="38" t="n">
        <v>0</v>
      </c>
      <c r="JV135" s="284" t="n"/>
      <c r="JW135" s="36">
        <f>$KN135*5</f>
        <v/>
      </c>
      <c r="JX135" s="284" t="n"/>
      <c r="JY135" s="38" t="n">
        <v>0</v>
      </c>
      <c r="JZ135" s="284" t="n"/>
      <c r="KA135" s="36">
        <f>$KN135*5</f>
        <v/>
      </c>
      <c r="KB135" s="284" t="n"/>
      <c r="KC135" s="38" t="n">
        <v>0</v>
      </c>
      <c r="KD135" s="284" t="n"/>
      <c r="KE135" s="338">
        <f t="array" ref="KE135">SUMPRODUCT(--(MOD(COLUMN($II135:$KD135),4)=MOD(COLUMN($II135),4)),$II135:$KD135)</f>
        <v/>
      </c>
      <c r="KF135" s="339">
        <f>KE135*$J135</f>
        <v/>
      </c>
      <c r="KG135" s="340">
        <f t="array" ref="KG135">SUMPRODUCT(--(MOD(COLUMN($II135:$KD135),4)=MOD(COLUMN($IJ135),4)),$II135:$KD135)</f>
        <v/>
      </c>
      <c r="KH135" s="341">
        <f>KG135*$J135</f>
        <v/>
      </c>
      <c r="KI135" s="342">
        <f t="array" ref="KI135">SUMPRODUCT(--(MOD(COLUMN($II135:$KD135),4)=MOD(COLUMN($IK135),4)),$II135:$KD135)</f>
        <v/>
      </c>
      <c r="KJ135" s="346">
        <f>KI135*$J135</f>
        <v/>
      </c>
      <c r="KK135" s="80" t="n"/>
      <c r="KL135" s="80" t="n"/>
      <c r="KM135" s="80" t="n"/>
      <c r="KN135" s="51" t="n">
        <v>1</v>
      </c>
      <c r="KO135" s="285" t="inlineStr">
        <is>
          <t>TEBS 2s/2m 
12м</t>
        </is>
      </c>
    </row>
    <row r="136" outlineLevel="1" ht="43.2" customFormat="1" customHeight="1" s="68">
      <c r="A136" s="347" t="n"/>
      <c r="B136" s="347" t="n"/>
      <c r="C136" s="347" t="n"/>
      <c r="D136" s="347" t="n"/>
      <c r="E136" s="60" t="n">
        <v>2</v>
      </c>
      <c r="F136" s="60" t="n">
        <v>1</v>
      </c>
      <c r="G136" s="56" t="n">
        <v>9522010020</v>
      </c>
      <c r="H136" s="57" t="inlineStr">
        <is>
          <t>Головка соединительная (питающая)</t>
        </is>
      </c>
      <c r="I136" s="348" t="n">
        <v>76.19047619047619</v>
      </c>
      <c r="J136" s="337">
        <f>89.6/1.2*1.0863</f>
        <v/>
      </c>
      <c r="K136" s="348" t="n"/>
      <c r="L136" s="348" t="n"/>
      <c r="M136" s="36" t="n"/>
      <c r="N136" s="284" t="n"/>
      <c r="O136" s="38" t="n"/>
      <c r="P136" s="284" t="n"/>
      <c r="Q136" s="36" t="n"/>
      <c r="R136" s="284" t="n"/>
      <c r="S136" s="38" t="n"/>
      <c r="T136" s="284" t="n"/>
      <c r="U136" s="36" t="n"/>
      <c r="V136" s="284" t="n"/>
      <c r="W136" s="38" t="n"/>
      <c r="X136" s="284" t="n"/>
      <c r="Y136" s="36" t="n"/>
      <c r="Z136" s="284" t="n"/>
      <c r="AA136" s="38" t="n"/>
      <c r="AB136" s="284" t="n"/>
      <c r="AC136" s="36" t="n"/>
      <c r="AD136" s="284" t="n"/>
      <c r="AE136" s="38" t="n"/>
      <c r="AF136" s="284" t="n"/>
      <c r="AG136" s="36" t="n"/>
      <c r="AH136" s="284" t="n"/>
      <c r="AI136" s="38" t="n"/>
      <c r="AJ136" s="284" t="n"/>
      <c r="AK136" s="36" t="n"/>
      <c r="AL136" s="284" t="n"/>
      <c r="AM136" s="38" t="n"/>
      <c r="AN136" s="284" t="n"/>
      <c r="AO136" s="36" t="n"/>
      <c r="AP136" s="284" t="n"/>
      <c r="AQ136" s="38" t="n"/>
      <c r="AR136" s="284" t="n"/>
      <c r="AS136" s="36" t="n"/>
      <c r="AT136" s="284" t="n"/>
      <c r="AU136" s="38" t="n">
        <v>0</v>
      </c>
      <c r="AV136" s="284" t="n"/>
      <c r="AW136" s="36" t="n"/>
      <c r="AX136" s="284" t="n"/>
      <c r="AY136" s="38" t="n">
        <v>0</v>
      </c>
      <c r="AZ136" s="284" t="n"/>
      <c r="BA136" s="36" t="n"/>
      <c r="BB136" s="284" t="n"/>
      <c r="BC136" s="99" t="n">
        <v>0</v>
      </c>
      <c r="BD136" s="284" t="n"/>
      <c r="BE136" s="36" t="n"/>
      <c r="BF136" s="284" t="n"/>
      <c r="BG136" s="54" t="n">
        <v>0</v>
      </c>
      <c r="BH136" s="284" t="n"/>
      <c r="BI136" s="338">
        <f>SUMPRODUCT(--(MOD(COLUMN($M136:$BH136),4)=MOD(COLUMN($M136),4)),$M136:$BH136)</f>
        <v/>
      </c>
      <c r="BJ136" s="339">
        <f>BI136*$I136</f>
        <v/>
      </c>
      <c r="BK136" s="340">
        <f>SUMPRODUCT(--(MOD(COLUMN($M136:$BH136),4)=MOD(COLUMN($M136)+1,4)),$M136:$BH136)</f>
        <v/>
      </c>
      <c r="BL136" s="341">
        <f>BK136*$I136</f>
        <v/>
      </c>
      <c r="BM136" s="342">
        <f>SUMPRODUCT(--(MOD(COLUMN($M136:$BH136),4)=MOD(COLUMN($M136)+2,4)),$M136:$BH136)</f>
        <v/>
      </c>
      <c r="BN136" s="343">
        <f>BM136*$I136</f>
        <v/>
      </c>
      <c r="BO136" s="36" t="n"/>
      <c r="BP136" s="47" t="n"/>
      <c r="BQ136" s="284" t="n"/>
      <c r="BR136" s="38" t="n">
        <v>0</v>
      </c>
      <c r="BS136" s="347" t="n"/>
      <c r="BT136" s="36" t="n"/>
      <c r="BU136" s="47" t="n"/>
      <c r="BV136" s="284" t="n"/>
      <c r="BW136" s="38" t="n">
        <v>0</v>
      </c>
      <c r="BX136" s="284" t="n"/>
      <c r="BY136" s="36">
        <f>$KN136*1</f>
        <v/>
      </c>
      <c r="BZ136" s="47">
        <f>$KN136*1</f>
        <v/>
      </c>
      <c r="CA136" s="284" t="n">
        <v>0</v>
      </c>
      <c r="CB136" s="38" t="n">
        <v>0</v>
      </c>
      <c r="CC136" s="284" t="n"/>
      <c r="CD136" s="36">
        <f>$KN136*0</f>
        <v/>
      </c>
      <c r="CE136" s="47">
        <f>$KN136*0</f>
        <v/>
      </c>
      <c r="CF136" s="284" t="n">
        <v>0</v>
      </c>
      <c r="CG136" s="38" t="n">
        <v>0</v>
      </c>
      <c r="CH136" s="284" t="n"/>
      <c r="CI136" s="36">
        <f>$KN136*5</f>
        <v/>
      </c>
      <c r="CJ136" s="47">
        <f>$KN136*3</f>
        <v/>
      </c>
      <c r="CK136" s="284" t="n">
        <v>0</v>
      </c>
      <c r="CL136" s="38" t="n">
        <v>0</v>
      </c>
      <c r="CM136" s="284" t="n"/>
      <c r="CN136" s="36">
        <f>$KN136*5</f>
        <v/>
      </c>
      <c r="CO136" s="47">
        <f>$KN136*3</f>
        <v/>
      </c>
      <c r="CP136" s="284">
        <f>$KN136*0</f>
        <v/>
      </c>
      <c r="CQ136" s="38" t="n">
        <v>0</v>
      </c>
      <c r="CR136" s="284" t="n"/>
      <c r="CS136" s="36">
        <f>$KN136*5</f>
        <v/>
      </c>
      <c r="CT136" s="47">
        <f>$KN136*3</f>
        <v/>
      </c>
      <c r="CU136" s="39">
        <f>$KN136*0</f>
        <v/>
      </c>
      <c r="CV136" s="38" t="n">
        <v>0</v>
      </c>
      <c r="CW136" s="284" t="n"/>
      <c r="CX136" s="36">
        <f>$KN136*5</f>
        <v/>
      </c>
      <c r="CY136" s="47">
        <f>$KN136*3</f>
        <v/>
      </c>
      <c r="CZ136" s="284">
        <f>$KN136*0</f>
        <v/>
      </c>
      <c r="DA136" s="38" t="n">
        <v>0</v>
      </c>
      <c r="DB136" s="284" t="n"/>
      <c r="DC136" s="36">
        <f>$KN136*5</f>
        <v/>
      </c>
      <c r="DD136" s="47">
        <f>$KN136*3</f>
        <v/>
      </c>
      <c r="DE136" s="284">
        <f>$KN136*0</f>
        <v/>
      </c>
      <c r="DF136" s="38" t="n">
        <v>0</v>
      </c>
      <c r="DG136" s="284" t="n"/>
      <c r="DH136" s="36">
        <f>$KN136*5</f>
        <v/>
      </c>
      <c r="DI136" s="47">
        <f>$KN136*3</f>
        <v/>
      </c>
      <c r="DJ136" s="284">
        <f>$KN136*0</f>
        <v/>
      </c>
      <c r="DK136" s="52" t="n">
        <v>0</v>
      </c>
      <c r="DL136" s="284" t="n"/>
      <c r="DM136" s="36">
        <f>$KN136*5</f>
        <v/>
      </c>
      <c r="DN136" s="47">
        <f>$KN136*3</f>
        <v/>
      </c>
      <c r="DO136" s="284">
        <f>$KN136*0</f>
        <v/>
      </c>
      <c r="DP136" s="38" t="n">
        <v>0</v>
      </c>
      <c r="DQ136" s="284" t="n"/>
      <c r="DR136" s="36">
        <f>$KN136*5</f>
        <v/>
      </c>
      <c r="DS136" s="47">
        <f>$KN136*3</f>
        <v/>
      </c>
      <c r="DT136" s="284">
        <f>$KN136*0</f>
        <v/>
      </c>
      <c r="DU136" s="38" t="n">
        <v>0</v>
      </c>
      <c r="DV136" s="284" t="n"/>
      <c r="DW136" s="338">
        <f t="array" ref="DW136">SUMPRODUCT(--(MOD(COLUMN($BO136:$DV136),5)=MOD(COLUMN($BO136),5)),$BO136:$DV136)</f>
        <v/>
      </c>
      <c r="DX136" s="339">
        <f>DW136*$J136</f>
        <v/>
      </c>
      <c r="DY136" s="344">
        <f t="array" ref="DY136">SUMPRODUCT(--(MOD(COLUMN($BO136:$DV136),5)=MOD(COLUMN($BP136),5)),$BO136:$DV136)</f>
        <v/>
      </c>
      <c r="DZ136" s="345">
        <f>DY136*$J136</f>
        <v/>
      </c>
      <c r="EA136" s="340">
        <f t="array" ref="EA136">SUMPRODUCT(--(MOD(COLUMN($BO136:$DV136),5)=MOD(COLUMN($BQ136),5)),$BO136:$DV136)</f>
        <v/>
      </c>
      <c r="EB136" s="341">
        <f>EA136*$J136</f>
        <v/>
      </c>
      <c r="EC136" s="342">
        <f t="array" ref="EC136">SUMPRODUCT(--(MOD(COLUMN($BO136:$DV136),5)=MOD(COLUMN($BR136),5)),$BO136:$DV136)</f>
        <v/>
      </c>
      <c r="ED136" s="343">
        <f>EC136*$J136</f>
        <v/>
      </c>
      <c r="EE136" s="36" t="n">
        <v>0</v>
      </c>
      <c r="EF136" s="284" t="n">
        <v>0</v>
      </c>
      <c r="EG136" s="38" t="n"/>
      <c r="EH136" s="284" t="n"/>
      <c r="EI136" s="36" t="n">
        <v>0</v>
      </c>
      <c r="EJ136" s="284" t="n">
        <v>0</v>
      </c>
      <c r="EK136" s="38" t="n"/>
      <c r="EL136" s="284" t="n"/>
      <c r="EM136" s="36" t="n">
        <v>0</v>
      </c>
      <c r="EN136" s="284" t="n">
        <v>0</v>
      </c>
      <c r="EO136" s="38" t="n"/>
      <c r="EP136" s="284" t="n"/>
      <c r="EQ136" s="36">
        <f>$KN136*1</f>
        <v/>
      </c>
      <c r="ER136" s="284" t="n">
        <v>0</v>
      </c>
      <c r="ES136" s="38" t="n">
        <v>0</v>
      </c>
      <c r="ET136" s="284" t="n"/>
      <c r="EU136" s="36">
        <f>$KN136*1</f>
        <v/>
      </c>
      <c r="EV136" s="39" t="n">
        <v>0</v>
      </c>
      <c r="EW136" s="38" t="n">
        <v>0</v>
      </c>
      <c r="EX136" s="284" t="n"/>
      <c r="EY136" s="36">
        <f>$KN136*1</f>
        <v/>
      </c>
      <c r="EZ136" s="155" t="n">
        <v>0</v>
      </c>
      <c r="FA136" s="38" t="n">
        <v>0</v>
      </c>
      <c r="FB136" s="284" t="n"/>
      <c r="FC136" s="36">
        <f>$KN136*2</f>
        <v/>
      </c>
      <c r="FD136" s="155" t="n">
        <v>0</v>
      </c>
      <c r="FE136" s="38" t="n">
        <v>0</v>
      </c>
      <c r="FF136" s="284" t="n"/>
      <c r="FG136" s="36">
        <f>$KN136*2</f>
        <v/>
      </c>
      <c r="FH136" s="155" t="n">
        <v>0</v>
      </c>
      <c r="FI136" s="38" t="n">
        <v>0</v>
      </c>
      <c r="FJ136" s="284" t="n"/>
      <c r="FK136" s="36">
        <f>$KN136*2</f>
        <v/>
      </c>
      <c r="FL136" s="155" t="n">
        <v>0</v>
      </c>
      <c r="FM136" s="38" t="n">
        <v>0</v>
      </c>
      <c r="FN136" s="284" t="n"/>
      <c r="FO136" s="36">
        <f>$KN136*3</f>
        <v/>
      </c>
      <c r="FP136" s="284" t="n">
        <v>3</v>
      </c>
      <c r="FQ136" s="38" t="n">
        <v>0</v>
      </c>
      <c r="FR136" s="284" t="n"/>
      <c r="FS136" s="36">
        <f>$KN136*3</f>
        <v/>
      </c>
      <c r="FT136" s="284" t="n">
        <v>3</v>
      </c>
      <c r="FU136" s="38" t="n">
        <v>0</v>
      </c>
      <c r="FV136" s="284" t="n"/>
      <c r="FW136" s="36">
        <f>$KN136*3</f>
        <v/>
      </c>
      <c r="FX136" s="284" t="n">
        <v>3</v>
      </c>
      <c r="FY136" s="38" t="n">
        <v>0</v>
      </c>
      <c r="FZ136" s="284" t="n"/>
      <c r="GA136" s="338">
        <f t="array" ref="GA136">SUMPRODUCT(--(MOD(COLUMN($EE136:$FZ136),4)=MOD(COLUMN($EE136),4)),$EE136:$FZ136)</f>
        <v/>
      </c>
      <c r="GB136" s="339">
        <f>GA136*$J136</f>
        <v/>
      </c>
      <c r="GC136" s="340">
        <f t="array" ref="GC136">SUMPRODUCT(--(MOD(COLUMN($EE136:$FZ136),4)=MOD(COLUMN($EF136),4)),$EE136:$FZ136)</f>
        <v/>
      </c>
      <c r="GD136" s="341">
        <f>GC136*$J136</f>
        <v/>
      </c>
      <c r="GE136" s="342">
        <f t="array" ref="GE136">SUMPRODUCT(--(MOD(COLUMN($EE136:$FZ136),4)=MOD(COLUMN($EG136),4)),$EE136:$FZ136)</f>
        <v/>
      </c>
      <c r="GF136" s="343">
        <f>GE136*$J136</f>
        <v/>
      </c>
      <c r="GG136" s="36">
        <f>$KN136*3</f>
        <v/>
      </c>
      <c r="GH136" s="284" t="n"/>
      <c r="GI136" s="38" t="n">
        <v>0</v>
      </c>
      <c r="GJ136" s="284" t="n"/>
      <c r="GK136" s="36">
        <f>$KN136*3</f>
        <v/>
      </c>
      <c r="GL136" s="284" t="n"/>
      <c r="GM136" s="38" t="n">
        <v>0</v>
      </c>
      <c r="GN136" s="284" t="n"/>
      <c r="GO136" s="36">
        <f>$KN136*3</f>
        <v/>
      </c>
      <c r="GP136" s="284" t="n"/>
      <c r="GQ136" s="38" t="n">
        <v>0</v>
      </c>
      <c r="GR136" s="284" t="n"/>
      <c r="GS136" s="36">
        <f>$KN136*5</f>
        <v/>
      </c>
      <c r="GT136" s="284" t="n"/>
      <c r="GU136" s="38" t="n">
        <v>0</v>
      </c>
      <c r="GV136" s="284" t="n"/>
      <c r="GW136" s="36">
        <f>$KN136*5</f>
        <v/>
      </c>
      <c r="GX136" s="284" t="n"/>
      <c r="GY136" s="38" t="n">
        <v>0</v>
      </c>
      <c r="GZ136" s="284" t="n"/>
      <c r="HA136" s="36">
        <f>$KN136*5</f>
        <v/>
      </c>
      <c r="HB136" s="284" t="n"/>
      <c r="HC136" s="38" t="n">
        <v>0</v>
      </c>
      <c r="HD136" s="284" t="n"/>
      <c r="HE136" s="36">
        <f>$KN136*5</f>
        <v/>
      </c>
      <c r="HF136" s="284" t="n"/>
      <c r="HG136" s="38" t="n">
        <v>0</v>
      </c>
      <c r="HH136" s="284" t="n"/>
      <c r="HI136" s="36">
        <f>$KN136*5</f>
        <v/>
      </c>
      <c r="HJ136" s="284" t="n"/>
      <c r="HK136" s="38" t="n">
        <v>0</v>
      </c>
      <c r="HL136" s="284" t="n"/>
      <c r="HM136" s="36">
        <f>$KN136*5</f>
        <v/>
      </c>
      <c r="HN136" s="284" t="n"/>
      <c r="HO136" s="38" t="n">
        <v>0</v>
      </c>
      <c r="HP136" s="284" t="n"/>
      <c r="HQ136" s="36">
        <f>$KN136*5</f>
        <v/>
      </c>
      <c r="HR136" s="284" t="n"/>
      <c r="HS136" s="38" t="n">
        <v>0</v>
      </c>
      <c r="HT136" s="284" t="n"/>
      <c r="HU136" s="36">
        <f>$KN136*5</f>
        <v/>
      </c>
      <c r="HV136" s="284" t="n"/>
      <c r="HW136" s="38" t="n">
        <v>0</v>
      </c>
      <c r="HX136" s="284" t="n"/>
      <c r="HY136" s="36">
        <f>$KN136*5</f>
        <v/>
      </c>
      <c r="HZ136" s="284" t="n"/>
      <c r="IA136" s="38" t="n">
        <v>0</v>
      </c>
      <c r="IB136" s="284" t="n"/>
      <c r="IC136" s="338">
        <f t="array" ref="IC136">SUMPRODUCT(--(MOD(COLUMN($GG136:$IB136),4)=MOD(COLUMN($GG136),4)),$GG136:$IB136)</f>
        <v/>
      </c>
      <c r="ID136" s="339">
        <f>IC136*$J136</f>
        <v/>
      </c>
      <c r="IE136" s="340">
        <f t="array" ref="IE136">SUMPRODUCT(--(MOD(COLUMN($GG136:$IB136),4)=MOD(COLUMN($GH136),4)),$GG136:$IB136)</f>
        <v/>
      </c>
      <c r="IF136" s="341">
        <f>IE136*$J136</f>
        <v/>
      </c>
      <c r="IG136" s="342">
        <f t="array" ref="IG136">SUMPRODUCT(--(MOD(COLUMN($GG136:$IB136),4)=MOD(COLUMN($GI136),4)),$GG136:$IB136)</f>
        <v/>
      </c>
      <c r="IH136" s="343">
        <f>IG136*$J136</f>
        <v/>
      </c>
      <c r="II136" s="36">
        <f>$KN136*3</f>
        <v/>
      </c>
      <c r="IJ136" s="284" t="n"/>
      <c r="IK136" s="38" t="n">
        <v>0</v>
      </c>
      <c r="IL136" s="284" t="n"/>
      <c r="IM136" s="36">
        <f>$KN136*3</f>
        <v/>
      </c>
      <c r="IN136" s="284" t="n"/>
      <c r="IO136" s="38" t="n">
        <v>0</v>
      </c>
      <c r="IP136" s="284" t="n"/>
      <c r="IQ136" s="36">
        <f>$KN136*3</f>
        <v/>
      </c>
      <c r="IR136" s="284" t="n"/>
      <c r="IS136" s="38" t="n">
        <v>0</v>
      </c>
      <c r="IT136" s="284" t="n"/>
      <c r="IU136" s="36">
        <f>$KN136*5</f>
        <v/>
      </c>
      <c r="IV136" s="284" t="n"/>
      <c r="IW136" s="38" t="n">
        <v>0</v>
      </c>
      <c r="IX136" s="284" t="n"/>
      <c r="IY136" s="36">
        <f>$KN136*5</f>
        <v/>
      </c>
      <c r="IZ136" s="284" t="n"/>
      <c r="JA136" s="38" t="n">
        <v>0</v>
      </c>
      <c r="JB136" s="284" t="n"/>
      <c r="JC136" s="36">
        <f>$KN136*5</f>
        <v/>
      </c>
      <c r="JD136" s="284" t="n"/>
      <c r="JE136" s="38" t="n">
        <v>0</v>
      </c>
      <c r="JF136" s="284" t="n"/>
      <c r="JG136" s="36">
        <f>$KN136*5</f>
        <v/>
      </c>
      <c r="JH136" s="284" t="n"/>
      <c r="JI136" s="38" t="n">
        <v>0</v>
      </c>
      <c r="JJ136" s="284" t="n"/>
      <c r="JK136" s="36">
        <f>$KN136*5</f>
        <v/>
      </c>
      <c r="JL136" s="284" t="n"/>
      <c r="JM136" s="38" t="n">
        <v>0</v>
      </c>
      <c r="JN136" s="284" t="n"/>
      <c r="JO136" s="36">
        <f>$KN136*5</f>
        <v/>
      </c>
      <c r="JP136" s="284" t="n"/>
      <c r="JQ136" s="38" t="n">
        <v>0</v>
      </c>
      <c r="JR136" s="284" t="n"/>
      <c r="JS136" s="36">
        <f>$KN136*5</f>
        <v/>
      </c>
      <c r="JT136" s="284" t="n"/>
      <c r="JU136" s="38" t="n">
        <v>0</v>
      </c>
      <c r="JV136" s="284" t="n"/>
      <c r="JW136" s="36">
        <f>$KN136*5</f>
        <v/>
      </c>
      <c r="JX136" s="284" t="n"/>
      <c r="JY136" s="38" t="n">
        <v>0</v>
      </c>
      <c r="JZ136" s="284" t="n"/>
      <c r="KA136" s="36">
        <f>$KN136*5</f>
        <v/>
      </c>
      <c r="KB136" s="284" t="n"/>
      <c r="KC136" s="38" t="n">
        <v>0</v>
      </c>
      <c r="KD136" s="284" t="n"/>
      <c r="KE136" s="338">
        <f t="array" ref="KE136">SUMPRODUCT(--(MOD(COLUMN($II136:$KD136),4)=MOD(COLUMN($II136),4)),$II136:$KD136)</f>
        <v/>
      </c>
      <c r="KF136" s="339">
        <f>KE136*$J136</f>
        <v/>
      </c>
      <c r="KG136" s="340">
        <f t="array" ref="KG136">SUMPRODUCT(--(MOD(COLUMN($II136:$KD136),4)=MOD(COLUMN($IJ136),4)),$II136:$KD136)</f>
        <v/>
      </c>
      <c r="KH136" s="341">
        <f>KG136*$J136</f>
        <v/>
      </c>
      <c r="KI136" s="342">
        <f t="array" ref="KI136">SUMPRODUCT(--(MOD(COLUMN($II136:$KD136),4)=MOD(COLUMN($IK136),4)),$II136:$KD136)</f>
        <v/>
      </c>
      <c r="KJ136" s="346">
        <f>KI136*$J136</f>
        <v/>
      </c>
      <c r="KK136" s="80" t="n"/>
      <c r="KL136" s="80" t="n"/>
      <c r="KM136" s="80" t="n"/>
      <c r="KN136" s="51" t="n">
        <v>1</v>
      </c>
      <c r="KO136" s="347" t="n"/>
    </row>
    <row r="137" outlineLevel="1" ht="43.2" customFormat="1" customHeight="1" s="68">
      <c r="A137" s="347" t="n"/>
      <c r="B137" s="347" t="n"/>
      <c r="C137" s="347" t="n"/>
      <c r="D137" s="347" t="n"/>
      <c r="E137" s="60" t="n">
        <v>3</v>
      </c>
      <c r="F137" s="60" t="n">
        <v>1</v>
      </c>
      <c r="G137" s="56" t="n">
        <v>9710029000</v>
      </c>
      <c r="H137" s="57" t="inlineStr">
        <is>
          <t>Воздухораспределитель с клапаном растормаживания</t>
        </is>
      </c>
      <c r="I137" s="348" t="n">
        <v>543.3673469387755</v>
      </c>
      <c r="J137" s="337">
        <f>639/1.2*1.0863</f>
        <v/>
      </c>
      <c r="K137" s="348" t="n"/>
      <c r="L137" s="348" t="n"/>
      <c r="M137" s="36" t="n"/>
      <c r="N137" s="284" t="n"/>
      <c r="O137" s="38" t="n"/>
      <c r="P137" s="284" t="n"/>
      <c r="Q137" s="36" t="n"/>
      <c r="R137" s="284" t="n"/>
      <c r="S137" s="38" t="n"/>
      <c r="T137" s="284" t="n"/>
      <c r="U137" s="36" t="n"/>
      <c r="V137" s="284" t="n"/>
      <c r="W137" s="38" t="n"/>
      <c r="X137" s="284" t="n"/>
      <c r="Y137" s="36" t="n"/>
      <c r="Z137" s="284" t="n"/>
      <c r="AA137" s="38" t="n"/>
      <c r="AB137" s="284" t="n"/>
      <c r="AC137" s="36" t="n"/>
      <c r="AD137" s="284" t="n"/>
      <c r="AE137" s="38" t="n"/>
      <c r="AF137" s="284" t="n"/>
      <c r="AG137" s="36" t="n"/>
      <c r="AH137" s="284" t="n"/>
      <c r="AI137" s="38" t="n"/>
      <c r="AJ137" s="284" t="n"/>
      <c r="AK137" s="36" t="n"/>
      <c r="AL137" s="284" t="n"/>
      <c r="AM137" s="38" t="n"/>
      <c r="AN137" s="284" t="n"/>
      <c r="AO137" s="36" t="n"/>
      <c r="AP137" s="284" t="n"/>
      <c r="AQ137" s="38" t="n"/>
      <c r="AR137" s="284" t="n"/>
      <c r="AS137" s="36" t="n"/>
      <c r="AT137" s="284" t="n"/>
      <c r="AU137" s="38" t="n">
        <v>0</v>
      </c>
      <c r="AV137" s="284" t="n"/>
      <c r="AW137" s="36" t="n"/>
      <c r="AX137" s="284" t="n"/>
      <c r="AY137" s="38" t="n">
        <v>0</v>
      </c>
      <c r="AZ137" s="284" t="n"/>
      <c r="BA137" s="36" t="n"/>
      <c r="BB137" s="284" t="n"/>
      <c r="BC137" s="99" t="n">
        <v>0</v>
      </c>
      <c r="BD137" s="284" t="n"/>
      <c r="BE137" s="36" t="n"/>
      <c r="BF137" s="284" t="n"/>
      <c r="BG137" s="54" t="n">
        <v>0</v>
      </c>
      <c r="BH137" s="284" t="n"/>
      <c r="BI137" s="338">
        <f>SUMPRODUCT(--(MOD(COLUMN($M137:$BH137),4)=MOD(COLUMN($M137),4)),$M137:$BH137)</f>
        <v/>
      </c>
      <c r="BJ137" s="339">
        <f>BI137*$I137</f>
        <v/>
      </c>
      <c r="BK137" s="340">
        <f>SUMPRODUCT(--(MOD(COLUMN($M137:$BH137),4)=MOD(COLUMN($M137)+1,4)),$M137:$BH137)</f>
        <v/>
      </c>
      <c r="BL137" s="341">
        <f>BK137*$I137</f>
        <v/>
      </c>
      <c r="BM137" s="342">
        <f>SUMPRODUCT(--(MOD(COLUMN($M137:$BH137),4)=MOD(COLUMN($M137)+2,4)),$M137:$BH137)</f>
        <v/>
      </c>
      <c r="BN137" s="343">
        <f>BM137*$I137</f>
        <v/>
      </c>
      <c r="BO137" s="36" t="n"/>
      <c r="BP137" s="47" t="n"/>
      <c r="BQ137" s="284" t="n"/>
      <c r="BR137" s="38" t="n">
        <v>0</v>
      </c>
      <c r="BS137" s="347" t="n"/>
      <c r="BT137" s="36" t="n"/>
      <c r="BU137" s="47" t="n"/>
      <c r="BV137" s="284" t="n"/>
      <c r="BW137" s="38" t="n">
        <v>0</v>
      </c>
      <c r="BX137" s="284" t="n"/>
      <c r="BY137" s="36">
        <f>$KN137*1</f>
        <v/>
      </c>
      <c r="BZ137" s="47">
        <f>$KN137*1</f>
        <v/>
      </c>
      <c r="CA137" s="284" t="n">
        <v>0</v>
      </c>
      <c r="CB137" s="38" t="n">
        <v>0</v>
      </c>
      <c r="CC137" s="284" t="n"/>
      <c r="CD137" s="36">
        <f>$KN137*0</f>
        <v/>
      </c>
      <c r="CE137" s="47">
        <f>$KN137*0</f>
        <v/>
      </c>
      <c r="CF137" s="284" t="n">
        <v>0</v>
      </c>
      <c r="CG137" s="38" t="n">
        <v>0</v>
      </c>
      <c r="CH137" s="284" t="n"/>
      <c r="CI137" s="36">
        <f>$KN137*5</f>
        <v/>
      </c>
      <c r="CJ137" s="47">
        <f>$KN137*3</f>
        <v/>
      </c>
      <c r="CK137" s="284" t="n">
        <v>0</v>
      </c>
      <c r="CL137" s="38" t="n">
        <v>0</v>
      </c>
      <c r="CM137" s="284" t="n"/>
      <c r="CN137" s="36">
        <f>$KN137*5</f>
        <v/>
      </c>
      <c r="CO137" s="47">
        <f>$KN137*3</f>
        <v/>
      </c>
      <c r="CP137" s="284">
        <f>$KN137*0</f>
        <v/>
      </c>
      <c r="CQ137" s="38" t="n">
        <v>0</v>
      </c>
      <c r="CR137" s="284" t="n"/>
      <c r="CS137" s="36">
        <f>$KN137*5</f>
        <v/>
      </c>
      <c r="CT137" s="47">
        <f>$KN137*3</f>
        <v/>
      </c>
      <c r="CU137" s="39">
        <f>$KN137*0</f>
        <v/>
      </c>
      <c r="CV137" s="38" t="n">
        <v>0</v>
      </c>
      <c r="CW137" s="284" t="n"/>
      <c r="CX137" s="36">
        <f>$KN137*5</f>
        <v/>
      </c>
      <c r="CY137" s="47">
        <f>$KN137*3</f>
        <v/>
      </c>
      <c r="CZ137" s="284">
        <f>$KN137*0</f>
        <v/>
      </c>
      <c r="DA137" s="38" t="n">
        <v>0</v>
      </c>
      <c r="DB137" s="284" t="n"/>
      <c r="DC137" s="36">
        <f>$KN137*5</f>
        <v/>
      </c>
      <c r="DD137" s="47">
        <f>$KN137*3</f>
        <v/>
      </c>
      <c r="DE137" s="284">
        <f>$KN137*0</f>
        <v/>
      </c>
      <c r="DF137" s="38" t="n">
        <v>0</v>
      </c>
      <c r="DG137" s="284" t="n"/>
      <c r="DH137" s="36">
        <f>$KN137*5</f>
        <v/>
      </c>
      <c r="DI137" s="47">
        <f>$KN137*3</f>
        <v/>
      </c>
      <c r="DJ137" s="284">
        <f>$KN137*0</f>
        <v/>
      </c>
      <c r="DK137" s="38" t="n">
        <v>0</v>
      </c>
      <c r="DL137" s="284" t="n"/>
      <c r="DM137" s="36">
        <f>$KN137*5</f>
        <v/>
      </c>
      <c r="DN137" s="47">
        <f>$KN137*3</f>
        <v/>
      </c>
      <c r="DO137" s="284">
        <f>$KN137*0</f>
        <v/>
      </c>
      <c r="DP137" s="38" t="n">
        <v>0</v>
      </c>
      <c r="DQ137" s="284" t="n"/>
      <c r="DR137" s="36">
        <f>$KN137*5</f>
        <v/>
      </c>
      <c r="DS137" s="47">
        <f>$KN137*3</f>
        <v/>
      </c>
      <c r="DT137" s="284">
        <f>$KN137*0</f>
        <v/>
      </c>
      <c r="DU137" s="38" t="n">
        <v>0</v>
      </c>
      <c r="DV137" s="284" t="n"/>
      <c r="DW137" s="338">
        <f t="array" ref="DW137">SUMPRODUCT(--(MOD(COLUMN($BO137:$DV137),5)=MOD(COLUMN($BO137),5)),$BO137:$DV137)</f>
        <v/>
      </c>
      <c r="DX137" s="339">
        <f>DW137*$J137</f>
        <v/>
      </c>
      <c r="DY137" s="344">
        <f t="array" ref="DY137">SUMPRODUCT(--(MOD(COLUMN($BO137:$DV137),5)=MOD(COLUMN($BP137),5)),$BO137:$DV137)</f>
        <v/>
      </c>
      <c r="DZ137" s="345">
        <f>DY137*$J137</f>
        <v/>
      </c>
      <c r="EA137" s="340">
        <f t="array" ref="EA137">SUMPRODUCT(--(MOD(COLUMN($BO137:$DV137),5)=MOD(COLUMN($BQ137),5)),$BO137:$DV137)</f>
        <v/>
      </c>
      <c r="EB137" s="341">
        <f>EA137*$J137</f>
        <v/>
      </c>
      <c r="EC137" s="342">
        <f t="array" ref="EC137">SUMPRODUCT(--(MOD(COLUMN($BO137:$DV137),5)=MOD(COLUMN($BR137),5)),$BO137:$DV137)</f>
        <v/>
      </c>
      <c r="ED137" s="343">
        <f>EC137*$J137</f>
        <v/>
      </c>
      <c r="EE137" s="36" t="n">
        <v>0</v>
      </c>
      <c r="EF137" s="284" t="n">
        <v>0</v>
      </c>
      <c r="EG137" s="38" t="n"/>
      <c r="EH137" s="284" t="n"/>
      <c r="EI137" s="36" t="n">
        <v>0</v>
      </c>
      <c r="EJ137" s="284" t="n">
        <v>0</v>
      </c>
      <c r="EK137" s="38" t="n"/>
      <c r="EL137" s="284" t="n"/>
      <c r="EM137" s="36" t="n">
        <v>0</v>
      </c>
      <c r="EN137" s="284" t="n">
        <v>0</v>
      </c>
      <c r="EO137" s="38" t="n"/>
      <c r="EP137" s="284" t="n"/>
      <c r="EQ137" s="36">
        <f>$KN137*1</f>
        <v/>
      </c>
      <c r="ER137" s="284" t="n">
        <v>0</v>
      </c>
      <c r="ES137" s="38" t="n">
        <v>0</v>
      </c>
      <c r="ET137" s="284" t="n"/>
      <c r="EU137" s="36">
        <f>$KN137*1</f>
        <v/>
      </c>
      <c r="EV137" s="39" t="n">
        <v>0</v>
      </c>
      <c r="EW137" s="38" t="n">
        <v>0</v>
      </c>
      <c r="EX137" s="284" t="n"/>
      <c r="EY137" s="36">
        <f>$KN137*1</f>
        <v/>
      </c>
      <c r="EZ137" s="155" t="n">
        <v>0</v>
      </c>
      <c r="FA137" s="38" t="n">
        <v>0</v>
      </c>
      <c r="FB137" s="284" t="n"/>
      <c r="FC137" s="36">
        <f>$KN137*2</f>
        <v/>
      </c>
      <c r="FD137" s="155" t="n">
        <v>0</v>
      </c>
      <c r="FE137" s="38" t="n">
        <v>0</v>
      </c>
      <c r="FF137" s="284" t="n"/>
      <c r="FG137" s="36">
        <f>$KN137*2</f>
        <v/>
      </c>
      <c r="FH137" s="155" t="n">
        <v>0</v>
      </c>
      <c r="FI137" s="38" t="n">
        <v>0</v>
      </c>
      <c r="FJ137" s="284" t="n"/>
      <c r="FK137" s="36">
        <f>$KN137*2</f>
        <v/>
      </c>
      <c r="FL137" s="155" t="n">
        <v>0</v>
      </c>
      <c r="FM137" s="38" t="n">
        <v>0</v>
      </c>
      <c r="FN137" s="284" t="n"/>
      <c r="FO137" s="36">
        <f>$KN137*3</f>
        <v/>
      </c>
      <c r="FP137" s="284" t="n">
        <v>3</v>
      </c>
      <c r="FQ137" s="38" t="n">
        <v>0</v>
      </c>
      <c r="FR137" s="284" t="n"/>
      <c r="FS137" s="36">
        <f>$KN137*3</f>
        <v/>
      </c>
      <c r="FT137" s="284" t="n">
        <v>3</v>
      </c>
      <c r="FU137" s="38" t="n">
        <v>0</v>
      </c>
      <c r="FV137" s="284" t="n"/>
      <c r="FW137" s="36">
        <f>$KN137*3</f>
        <v/>
      </c>
      <c r="FX137" s="284" t="n">
        <v>3</v>
      </c>
      <c r="FY137" s="38" t="n">
        <v>0</v>
      </c>
      <c r="FZ137" s="284" t="n"/>
      <c r="GA137" s="338">
        <f t="array" ref="GA137">SUMPRODUCT(--(MOD(COLUMN($EE137:$FZ137),4)=MOD(COLUMN($EE137),4)),$EE137:$FZ137)</f>
        <v/>
      </c>
      <c r="GB137" s="339">
        <f>GA137*$J137</f>
        <v/>
      </c>
      <c r="GC137" s="340">
        <f t="array" ref="GC137">SUMPRODUCT(--(MOD(COLUMN($EE137:$FZ137),4)=MOD(COLUMN($EF137),4)),$EE137:$FZ137)</f>
        <v/>
      </c>
      <c r="GD137" s="341">
        <f>GC137*$J137</f>
        <v/>
      </c>
      <c r="GE137" s="342">
        <f t="array" ref="GE137">SUMPRODUCT(--(MOD(COLUMN($EE137:$FZ137),4)=MOD(COLUMN($EG137),4)),$EE137:$FZ137)</f>
        <v/>
      </c>
      <c r="GF137" s="343">
        <f>GE137*$J137</f>
        <v/>
      </c>
      <c r="GG137" s="36">
        <f>$KN137*3</f>
        <v/>
      </c>
      <c r="GH137" s="284" t="n"/>
      <c r="GI137" s="38" t="n">
        <v>0</v>
      </c>
      <c r="GJ137" s="284" t="n"/>
      <c r="GK137" s="36">
        <f>$KN137*3</f>
        <v/>
      </c>
      <c r="GL137" s="284" t="n"/>
      <c r="GM137" s="38" t="n">
        <v>0</v>
      </c>
      <c r="GN137" s="284" t="n"/>
      <c r="GO137" s="36">
        <f>$KN137*3</f>
        <v/>
      </c>
      <c r="GP137" s="284" t="n"/>
      <c r="GQ137" s="38" t="n">
        <v>0</v>
      </c>
      <c r="GR137" s="284" t="n"/>
      <c r="GS137" s="36">
        <f>$KN137*5</f>
        <v/>
      </c>
      <c r="GT137" s="284" t="n"/>
      <c r="GU137" s="38" t="n">
        <v>0</v>
      </c>
      <c r="GV137" s="284" t="n"/>
      <c r="GW137" s="36">
        <f>$KN137*5</f>
        <v/>
      </c>
      <c r="GX137" s="284" t="n"/>
      <c r="GY137" s="38" t="n">
        <v>0</v>
      </c>
      <c r="GZ137" s="284" t="n"/>
      <c r="HA137" s="36">
        <f>$KN137*5</f>
        <v/>
      </c>
      <c r="HB137" s="284" t="n"/>
      <c r="HC137" s="38" t="n">
        <v>0</v>
      </c>
      <c r="HD137" s="284" t="n"/>
      <c r="HE137" s="36">
        <f>$KN137*5</f>
        <v/>
      </c>
      <c r="HF137" s="284" t="n"/>
      <c r="HG137" s="38" t="n">
        <v>0</v>
      </c>
      <c r="HH137" s="284" t="n"/>
      <c r="HI137" s="36">
        <f>$KN137*5</f>
        <v/>
      </c>
      <c r="HJ137" s="284" t="n"/>
      <c r="HK137" s="38" t="n">
        <v>0</v>
      </c>
      <c r="HL137" s="284" t="n"/>
      <c r="HM137" s="36">
        <f>$KN137*5</f>
        <v/>
      </c>
      <c r="HN137" s="284" t="n"/>
      <c r="HO137" s="38" t="n">
        <v>0</v>
      </c>
      <c r="HP137" s="284" t="n"/>
      <c r="HQ137" s="36">
        <f>$KN137*5</f>
        <v/>
      </c>
      <c r="HR137" s="284" t="n"/>
      <c r="HS137" s="38" t="n">
        <v>0</v>
      </c>
      <c r="HT137" s="284" t="n"/>
      <c r="HU137" s="36">
        <f>$KN137*5</f>
        <v/>
      </c>
      <c r="HV137" s="284" t="n"/>
      <c r="HW137" s="38" t="n">
        <v>0</v>
      </c>
      <c r="HX137" s="284" t="n"/>
      <c r="HY137" s="36">
        <f>$KN137*5</f>
        <v/>
      </c>
      <c r="HZ137" s="284" t="n"/>
      <c r="IA137" s="38" t="n">
        <v>0</v>
      </c>
      <c r="IB137" s="284" t="n"/>
      <c r="IC137" s="338">
        <f t="array" ref="IC137">SUMPRODUCT(--(MOD(COLUMN($GG137:$IB137),4)=MOD(COLUMN($GG137),4)),$GG137:$IB137)</f>
        <v/>
      </c>
      <c r="ID137" s="339">
        <f>IC137*$J137</f>
        <v/>
      </c>
      <c r="IE137" s="340">
        <f t="array" ref="IE137">SUMPRODUCT(--(MOD(COLUMN($GG137:$IB137),4)=MOD(COLUMN($GH137),4)),$GG137:$IB137)</f>
        <v/>
      </c>
      <c r="IF137" s="341">
        <f>IE137*$J137</f>
        <v/>
      </c>
      <c r="IG137" s="342">
        <f t="array" ref="IG137">SUMPRODUCT(--(MOD(COLUMN($GG137:$IB137),4)=MOD(COLUMN($GI137),4)),$GG137:$IB137)</f>
        <v/>
      </c>
      <c r="IH137" s="343">
        <f>IG137*$J137</f>
        <v/>
      </c>
      <c r="II137" s="36">
        <f>$KN137*3</f>
        <v/>
      </c>
      <c r="IJ137" s="284" t="n"/>
      <c r="IK137" s="38" t="n">
        <v>0</v>
      </c>
      <c r="IL137" s="284" t="n"/>
      <c r="IM137" s="36">
        <f>$KN137*3</f>
        <v/>
      </c>
      <c r="IN137" s="284" t="n"/>
      <c r="IO137" s="38" t="n">
        <v>0</v>
      </c>
      <c r="IP137" s="284" t="n"/>
      <c r="IQ137" s="36">
        <f>$KN137*3</f>
        <v/>
      </c>
      <c r="IR137" s="284" t="n"/>
      <c r="IS137" s="38" t="n">
        <v>0</v>
      </c>
      <c r="IT137" s="284" t="n"/>
      <c r="IU137" s="36">
        <f>$KN137*5</f>
        <v/>
      </c>
      <c r="IV137" s="284" t="n"/>
      <c r="IW137" s="38" t="n">
        <v>0</v>
      </c>
      <c r="IX137" s="284" t="n"/>
      <c r="IY137" s="36">
        <f>$KN137*5</f>
        <v/>
      </c>
      <c r="IZ137" s="284" t="n"/>
      <c r="JA137" s="38" t="n">
        <v>0</v>
      </c>
      <c r="JB137" s="284" t="n"/>
      <c r="JC137" s="36">
        <f>$KN137*5</f>
        <v/>
      </c>
      <c r="JD137" s="284" t="n"/>
      <c r="JE137" s="38" t="n">
        <v>0</v>
      </c>
      <c r="JF137" s="284" t="n"/>
      <c r="JG137" s="36">
        <f>$KN137*5</f>
        <v/>
      </c>
      <c r="JH137" s="284" t="n"/>
      <c r="JI137" s="38" t="n">
        <v>0</v>
      </c>
      <c r="JJ137" s="284" t="n"/>
      <c r="JK137" s="36">
        <f>$KN137*5</f>
        <v/>
      </c>
      <c r="JL137" s="284" t="n"/>
      <c r="JM137" s="38" t="n">
        <v>0</v>
      </c>
      <c r="JN137" s="284" t="n"/>
      <c r="JO137" s="36">
        <f>$KN137*5</f>
        <v/>
      </c>
      <c r="JP137" s="284" t="n"/>
      <c r="JQ137" s="38" t="n">
        <v>0</v>
      </c>
      <c r="JR137" s="284" t="n"/>
      <c r="JS137" s="36">
        <f>$KN137*5</f>
        <v/>
      </c>
      <c r="JT137" s="284" t="n"/>
      <c r="JU137" s="38" t="n">
        <v>0</v>
      </c>
      <c r="JV137" s="284" t="n"/>
      <c r="JW137" s="36">
        <f>$KN137*5</f>
        <v/>
      </c>
      <c r="JX137" s="284" t="n"/>
      <c r="JY137" s="38" t="n">
        <v>0</v>
      </c>
      <c r="JZ137" s="284" t="n"/>
      <c r="KA137" s="36">
        <f>$KN137*5</f>
        <v/>
      </c>
      <c r="KB137" s="284" t="n"/>
      <c r="KC137" s="38" t="n">
        <v>0</v>
      </c>
      <c r="KD137" s="284" t="n"/>
      <c r="KE137" s="338">
        <f t="array" ref="KE137">SUMPRODUCT(--(MOD(COLUMN($II137:$KD137),4)=MOD(COLUMN($II137),4)),$II137:$KD137)</f>
        <v/>
      </c>
      <c r="KF137" s="339">
        <f>KE137*$J137</f>
        <v/>
      </c>
      <c r="KG137" s="340">
        <f t="array" ref="KG137">SUMPRODUCT(--(MOD(COLUMN($II137:$KD137),4)=MOD(COLUMN($IJ137),4)),$II137:$KD137)</f>
        <v/>
      </c>
      <c r="KH137" s="341">
        <f>KG137*$J137</f>
        <v/>
      </c>
      <c r="KI137" s="342">
        <f t="array" ref="KI137">SUMPRODUCT(--(MOD(COLUMN($II137:$KD137),4)=MOD(COLUMN($IK137),4)),$II137:$KD137)</f>
        <v/>
      </c>
      <c r="KJ137" s="346">
        <f>KI137*$J137</f>
        <v/>
      </c>
      <c r="KK137" s="80" t="n"/>
      <c r="KL137" s="80" t="n"/>
      <c r="KM137" s="80" t="n"/>
      <c r="KN137" s="51" t="n">
        <v>1</v>
      </c>
      <c r="KO137" s="347" t="n"/>
    </row>
    <row r="138" outlineLevel="1" ht="28.8" customFormat="1" customHeight="1" s="68">
      <c r="A138" s="347" t="n"/>
      <c r="B138" s="347" t="n"/>
      <c r="C138" s="347" t="n"/>
      <c r="D138" s="347" t="n"/>
      <c r="E138" s="60" t="n">
        <v>4</v>
      </c>
      <c r="F138" s="60" t="n">
        <v>1</v>
      </c>
      <c r="G138" s="56" t="n">
        <v>4801020640</v>
      </c>
      <c r="H138" s="57" t="inlineStr">
        <is>
          <t>Модулятор EBS, с PEM, без фит.</t>
        </is>
      </c>
      <c r="I138" s="348">
        <f>4169.1/1.2*1.0863*1.048</f>
        <v/>
      </c>
      <c r="J138" s="337">
        <f>4169/1.2*1.0863*1.048*1.05</f>
        <v/>
      </c>
      <c r="K138" s="348" t="n"/>
      <c r="L138" s="348" t="n"/>
      <c r="M138" s="36" t="n"/>
      <c r="N138" s="284" t="n"/>
      <c r="O138" s="38" t="n"/>
      <c r="P138" s="284" t="n"/>
      <c r="Q138" s="36" t="n"/>
      <c r="R138" s="284" t="n"/>
      <c r="S138" s="38" t="n"/>
      <c r="T138" s="284" t="n"/>
      <c r="U138" s="36" t="n"/>
      <c r="V138" s="284" t="n"/>
      <c r="W138" s="38" t="n"/>
      <c r="X138" s="284" t="n"/>
      <c r="Y138" s="36" t="n"/>
      <c r="Z138" s="284" t="n"/>
      <c r="AA138" s="38" t="n"/>
      <c r="AB138" s="284" t="n"/>
      <c r="AC138" s="36" t="n"/>
      <c r="AD138" s="284" t="n"/>
      <c r="AE138" s="38" t="n"/>
      <c r="AF138" s="284" t="n"/>
      <c r="AG138" s="36" t="n"/>
      <c r="AH138" s="284" t="n"/>
      <c r="AI138" s="38" t="n"/>
      <c r="AJ138" s="284" t="n"/>
      <c r="AK138" s="36" t="n"/>
      <c r="AL138" s="284" t="n"/>
      <c r="AM138" s="38" t="n"/>
      <c r="AN138" s="284" t="n"/>
      <c r="AO138" s="36" t="n"/>
      <c r="AP138" s="284" t="n"/>
      <c r="AQ138" s="38" t="n"/>
      <c r="AR138" s="284" t="n"/>
      <c r="AS138" s="36" t="n"/>
      <c r="AT138" s="284" t="n"/>
      <c r="AU138" s="38" t="n">
        <v>0</v>
      </c>
      <c r="AV138" s="284" t="n"/>
      <c r="AW138" s="36" t="n"/>
      <c r="AX138" s="284" t="n"/>
      <c r="AY138" s="38" t="n">
        <v>0</v>
      </c>
      <c r="AZ138" s="284" t="n"/>
      <c r="BA138" s="36" t="n"/>
      <c r="BB138" s="284" t="n"/>
      <c r="BC138" s="99" t="n">
        <v>0</v>
      </c>
      <c r="BD138" s="284" t="n"/>
      <c r="BE138" s="36" t="n"/>
      <c r="BF138" s="284" t="n"/>
      <c r="BG138" s="54" t="n">
        <v>0</v>
      </c>
      <c r="BH138" s="284" t="n"/>
      <c r="BI138" s="338">
        <f>SUMPRODUCT(--(MOD(COLUMN($M138:$BH138),4)=MOD(COLUMN($M138),4)),$M138:$BH138)</f>
        <v/>
      </c>
      <c r="BJ138" s="339">
        <f>BI138*$I138</f>
        <v/>
      </c>
      <c r="BK138" s="340">
        <f>SUMPRODUCT(--(MOD(COLUMN($M138:$BH138),4)=MOD(COLUMN($M138)+1,4)),$M138:$BH138)</f>
        <v/>
      </c>
      <c r="BL138" s="341">
        <f>BK138*$I138</f>
        <v/>
      </c>
      <c r="BM138" s="342">
        <f>SUMPRODUCT(--(MOD(COLUMN($M138:$BH138),4)=MOD(COLUMN($M138)+2,4)),$M138:$BH138)</f>
        <v/>
      </c>
      <c r="BN138" s="343">
        <f>BM138*$I138</f>
        <v/>
      </c>
      <c r="BO138" s="36" t="n"/>
      <c r="BP138" s="47" t="n"/>
      <c r="BQ138" s="284" t="n"/>
      <c r="BR138" s="38" t="n">
        <v>0</v>
      </c>
      <c r="BS138" s="347" t="n"/>
      <c r="BT138" s="36" t="n"/>
      <c r="BU138" s="47" t="n"/>
      <c r="BV138" s="284" t="n"/>
      <c r="BW138" s="38" t="n">
        <v>0</v>
      </c>
      <c r="BX138" s="284" t="n"/>
      <c r="BY138" s="36">
        <f>$KN138*1</f>
        <v/>
      </c>
      <c r="BZ138" s="47">
        <f>$KN138*1</f>
        <v/>
      </c>
      <c r="CA138" s="284" t="n">
        <v>0</v>
      </c>
      <c r="CB138" s="38" t="n">
        <v>0</v>
      </c>
      <c r="CC138" s="284" t="n"/>
      <c r="CD138" s="36">
        <f>$KN138*0</f>
        <v/>
      </c>
      <c r="CE138" s="47">
        <f>$KN138*0</f>
        <v/>
      </c>
      <c r="CF138" s="284" t="n">
        <v>0</v>
      </c>
      <c r="CG138" s="38" t="n">
        <v>0</v>
      </c>
      <c r="CH138" s="284" t="n"/>
      <c r="CI138" s="36">
        <f>$KN138*5</f>
        <v/>
      </c>
      <c r="CJ138" s="47">
        <f>$KN138*3</f>
        <v/>
      </c>
      <c r="CK138" s="284" t="n">
        <v>0</v>
      </c>
      <c r="CL138" s="38" t="n">
        <v>0</v>
      </c>
      <c r="CM138" s="284" t="n"/>
      <c r="CN138" s="36">
        <f>$KN138*5</f>
        <v/>
      </c>
      <c r="CO138" s="47">
        <f>$KN138*3</f>
        <v/>
      </c>
      <c r="CP138" s="284">
        <f>$KN138*0</f>
        <v/>
      </c>
      <c r="CQ138" s="38" t="n">
        <v>0</v>
      </c>
      <c r="CR138" s="284" t="n"/>
      <c r="CS138" s="36">
        <f>$KN138*5</f>
        <v/>
      </c>
      <c r="CT138" s="47">
        <f>$KN138*3</f>
        <v/>
      </c>
      <c r="CU138" s="39">
        <f>$KN138*0</f>
        <v/>
      </c>
      <c r="CV138" s="38" t="n">
        <v>0</v>
      </c>
      <c r="CW138" s="284" t="n"/>
      <c r="CX138" s="36">
        <f>$KN138*5</f>
        <v/>
      </c>
      <c r="CY138" s="47">
        <f>$KN138*3</f>
        <v/>
      </c>
      <c r="CZ138" s="284">
        <f>$KN138*0</f>
        <v/>
      </c>
      <c r="DA138" s="38" t="n">
        <v>0</v>
      </c>
      <c r="DB138" s="284" t="n"/>
      <c r="DC138" s="36">
        <f>$KN138*5</f>
        <v/>
      </c>
      <c r="DD138" s="47">
        <f>$KN138*3</f>
        <v/>
      </c>
      <c r="DE138" s="284">
        <f>$KN138*0</f>
        <v/>
      </c>
      <c r="DF138" s="38" t="n">
        <v>0</v>
      </c>
      <c r="DG138" s="284" t="n"/>
      <c r="DH138" s="36">
        <f>$KN138*5</f>
        <v/>
      </c>
      <c r="DI138" s="47">
        <f>$KN138*3</f>
        <v/>
      </c>
      <c r="DJ138" s="284">
        <f>$KN138*0</f>
        <v/>
      </c>
      <c r="DK138" s="52" t="n">
        <v>0</v>
      </c>
      <c r="DL138" s="284" t="n"/>
      <c r="DM138" s="36">
        <f>$KN138*5</f>
        <v/>
      </c>
      <c r="DN138" s="47">
        <f>$KN138*3</f>
        <v/>
      </c>
      <c r="DO138" s="284">
        <f>$KN138*0</f>
        <v/>
      </c>
      <c r="DP138" s="38" t="n">
        <v>0</v>
      </c>
      <c r="DQ138" s="284" t="n"/>
      <c r="DR138" s="36">
        <f>$KN138*5</f>
        <v/>
      </c>
      <c r="DS138" s="47">
        <f>$KN138*3</f>
        <v/>
      </c>
      <c r="DT138" s="284">
        <f>$KN138*0</f>
        <v/>
      </c>
      <c r="DU138" s="38" t="n">
        <v>0</v>
      </c>
      <c r="DV138" s="284" t="n"/>
      <c r="DW138" s="338">
        <f t="array" ref="DW138">SUMPRODUCT(--(MOD(COLUMN($BO138:$DV138),5)=MOD(COLUMN($BO138),5)),$BO138:$DV138)</f>
        <v/>
      </c>
      <c r="DX138" s="339">
        <f>DW138*$J138</f>
        <v/>
      </c>
      <c r="DY138" s="344">
        <f t="array" ref="DY138">SUMPRODUCT(--(MOD(COLUMN($BO138:$DV138),5)=MOD(COLUMN($BP138),5)),$BO138:$DV138)</f>
        <v/>
      </c>
      <c r="DZ138" s="345">
        <f>DY138*$J138</f>
        <v/>
      </c>
      <c r="EA138" s="340">
        <f t="array" ref="EA138">SUMPRODUCT(--(MOD(COLUMN($BO138:$DV138),5)=MOD(COLUMN($BQ138),5)),$BO138:$DV138)</f>
        <v/>
      </c>
      <c r="EB138" s="341">
        <f>EA138*$J138</f>
        <v/>
      </c>
      <c r="EC138" s="342">
        <f t="array" ref="EC138">SUMPRODUCT(--(MOD(COLUMN($BO138:$DV138),5)=MOD(COLUMN($BR138),5)),$BO138:$DV138)</f>
        <v/>
      </c>
      <c r="ED138" s="343">
        <f>EC138*$J138</f>
        <v/>
      </c>
      <c r="EE138" s="36" t="n">
        <v>0</v>
      </c>
      <c r="EF138" s="284" t="n">
        <v>0</v>
      </c>
      <c r="EG138" s="38" t="n"/>
      <c r="EH138" s="284" t="n"/>
      <c r="EI138" s="36" t="n">
        <v>0</v>
      </c>
      <c r="EJ138" s="284" t="n">
        <v>0</v>
      </c>
      <c r="EK138" s="38" t="n"/>
      <c r="EL138" s="284" t="n"/>
      <c r="EM138" s="36" t="n">
        <v>0</v>
      </c>
      <c r="EN138" s="284" t="n">
        <v>0</v>
      </c>
      <c r="EO138" s="38" t="n"/>
      <c r="EP138" s="284" t="n"/>
      <c r="EQ138" s="36">
        <f>$KN138*1</f>
        <v/>
      </c>
      <c r="ER138" s="284" t="n">
        <v>0</v>
      </c>
      <c r="ES138" s="38" t="n">
        <v>0</v>
      </c>
      <c r="ET138" s="284" t="n"/>
      <c r="EU138" s="36">
        <f>$KN138*1</f>
        <v/>
      </c>
      <c r="EV138" s="39" t="n">
        <v>0</v>
      </c>
      <c r="EW138" s="38" t="n">
        <v>0</v>
      </c>
      <c r="EX138" s="284" t="n"/>
      <c r="EY138" s="36">
        <f>$KN138*1</f>
        <v/>
      </c>
      <c r="EZ138" s="155" t="n">
        <v>0</v>
      </c>
      <c r="FA138" s="38" t="n">
        <v>0</v>
      </c>
      <c r="FB138" s="284" t="n"/>
      <c r="FC138" s="36">
        <f>$KN138*2</f>
        <v/>
      </c>
      <c r="FD138" s="155" t="n">
        <v>0</v>
      </c>
      <c r="FE138" s="38" t="n">
        <v>0</v>
      </c>
      <c r="FF138" s="284" t="n"/>
      <c r="FG138" s="36">
        <f>$KN138*2</f>
        <v/>
      </c>
      <c r="FH138" s="155" t="n">
        <v>0</v>
      </c>
      <c r="FI138" s="38" t="n">
        <v>0</v>
      </c>
      <c r="FJ138" s="284" t="n"/>
      <c r="FK138" s="36">
        <f>$KN138*2</f>
        <v/>
      </c>
      <c r="FL138" s="155" t="n">
        <v>0</v>
      </c>
      <c r="FM138" s="38" t="n">
        <v>0</v>
      </c>
      <c r="FN138" s="284" t="n"/>
      <c r="FO138" s="36">
        <f>$KN138*3</f>
        <v/>
      </c>
      <c r="FP138" s="284" t="n">
        <v>3</v>
      </c>
      <c r="FQ138" s="38" t="n">
        <v>0</v>
      </c>
      <c r="FR138" s="284" t="n"/>
      <c r="FS138" s="36">
        <f>$KN138*3</f>
        <v/>
      </c>
      <c r="FT138" s="284" t="n">
        <v>3</v>
      </c>
      <c r="FU138" s="38" t="n">
        <v>0</v>
      </c>
      <c r="FV138" s="284" t="n"/>
      <c r="FW138" s="36">
        <f>$KN138*3</f>
        <v/>
      </c>
      <c r="FX138" s="284" t="n">
        <v>3</v>
      </c>
      <c r="FY138" s="38" t="n">
        <v>0</v>
      </c>
      <c r="FZ138" s="284" t="n"/>
      <c r="GA138" s="338">
        <f t="array" ref="GA138">SUMPRODUCT(--(MOD(COLUMN($EE138:$FZ138),4)=MOD(COLUMN($EE138),4)),$EE138:$FZ138)</f>
        <v/>
      </c>
      <c r="GB138" s="339">
        <f>GA138*$J138</f>
        <v/>
      </c>
      <c r="GC138" s="340">
        <f t="array" ref="GC138">SUMPRODUCT(--(MOD(COLUMN($EE138:$FZ138),4)=MOD(COLUMN($EF138),4)),$EE138:$FZ138)</f>
        <v/>
      </c>
      <c r="GD138" s="341">
        <f>GC138*$J138</f>
        <v/>
      </c>
      <c r="GE138" s="342">
        <f t="array" ref="GE138">SUMPRODUCT(--(MOD(COLUMN($EE138:$FZ138),4)=MOD(COLUMN($EG138),4)),$EE138:$FZ138)</f>
        <v/>
      </c>
      <c r="GF138" s="343">
        <f>GE138*$J138</f>
        <v/>
      </c>
      <c r="GG138" s="36">
        <f>$KN138*3</f>
        <v/>
      </c>
      <c r="GH138" s="284" t="n"/>
      <c r="GI138" s="38" t="n">
        <v>0</v>
      </c>
      <c r="GJ138" s="284" t="n"/>
      <c r="GK138" s="36">
        <f>$KN138*3</f>
        <v/>
      </c>
      <c r="GL138" s="284" t="n"/>
      <c r="GM138" s="38" t="n">
        <v>0</v>
      </c>
      <c r="GN138" s="284" t="n"/>
      <c r="GO138" s="36">
        <f>$KN138*3</f>
        <v/>
      </c>
      <c r="GP138" s="284" t="n"/>
      <c r="GQ138" s="38" t="n">
        <v>0</v>
      </c>
      <c r="GR138" s="284" t="n"/>
      <c r="GS138" s="36">
        <f>$KN138*5</f>
        <v/>
      </c>
      <c r="GT138" s="284" t="n"/>
      <c r="GU138" s="38" t="n">
        <v>0</v>
      </c>
      <c r="GV138" s="284" t="n"/>
      <c r="GW138" s="36">
        <f>$KN138*5</f>
        <v/>
      </c>
      <c r="GX138" s="284" t="n"/>
      <c r="GY138" s="38" t="n">
        <v>0</v>
      </c>
      <c r="GZ138" s="284" t="n"/>
      <c r="HA138" s="36">
        <f>$KN138*5</f>
        <v/>
      </c>
      <c r="HB138" s="284" t="n"/>
      <c r="HC138" s="38" t="n">
        <v>0</v>
      </c>
      <c r="HD138" s="284" t="n"/>
      <c r="HE138" s="36">
        <f>$KN138*5</f>
        <v/>
      </c>
      <c r="HF138" s="284" t="n"/>
      <c r="HG138" s="38" t="n">
        <v>0</v>
      </c>
      <c r="HH138" s="284" t="n"/>
      <c r="HI138" s="36">
        <f>$KN138*5</f>
        <v/>
      </c>
      <c r="HJ138" s="284" t="n"/>
      <c r="HK138" s="38" t="n">
        <v>0</v>
      </c>
      <c r="HL138" s="284" t="n"/>
      <c r="HM138" s="36">
        <f>$KN138*5</f>
        <v/>
      </c>
      <c r="HN138" s="284" t="n"/>
      <c r="HO138" s="38" t="n">
        <v>0</v>
      </c>
      <c r="HP138" s="284" t="n"/>
      <c r="HQ138" s="36">
        <f>$KN138*5</f>
        <v/>
      </c>
      <c r="HR138" s="284" t="n"/>
      <c r="HS138" s="38" t="n">
        <v>0</v>
      </c>
      <c r="HT138" s="284" t="n"/>
      <c r="HU138" s="36">
        <f>$KN138*5</f>
        <v/>
      </c>
      <c r="HV138" s="284" t="n"/>
      <c r="HW138" s="38" t="n">
        <v>0</v>
      </c>
      <c r="HX138" s="284" t="n"/>
      <c r="HY138" s="36">
        <f>$KN138*5</f>
        <v/>
      </c>
      <c r="HZ138" s="284" t="n"/>
      <c r="IA138" s="38" t="n">
        <v>0</v>
      </c>
      <c r="IB138" s="284" t="n"/>
      <c r="IC138" s="338">
        <f t="array" ref="IC138">SUMPRODUCT(--(MOD(COLUMN($GG138:$IB138),4)=MOD(COLUMN($GG138),4)),$GG138:$IB138)</f>
        <v/>
      </c>
      <c r="ID138" s="339">
        <f>IC138*$J138</f>
        <v/>
      </c>
      <c r="IE138" s="340">
        <f t="array" ref="IE138">SUMPRODUCT(--(MOD(COLUMN($GG138:$IB138),4)=MOD(COLUMN($GH138),4)),$GG138:$IB138)</f>
        <v/>
      </c>
      <c r="IF138" s="341">
        <f>IE138*$J138</f>
        <v/>
      </c>
      <c r="IG138" s="342">
        <f t="array" ref="IG138">SUMPRODUCT(--(MOD(COLUMN($GG138:$IB138),4)=MOD(COLUMN($GI138),4)),$GG138:$IB138)</f>
        <v/>
      </c>
      <c r="IH138" s="343">
        <f>IG138*$J138</f>
        <v/>
      </c>
      <c r="II138" s="36">
        <f>$KN138*3</f>
        <v/>
      </c>
      <c r="IJ138" s="284" t="n"/>
      <c r="IK138" s="38" t="n">
        <v>0</v>
      </c>
      <c r="IL138" s="284" t="n"/>
      <c r="IM138" s="36">
        <f>$KN138*3</f>
        <v/>
      </c>
      <c r="IN138" s="284" t="n"/>
      <c r="IO138" s="38" t="n">
        <v>0</v>
      </c>
      <c r="IP138" s="284" t="n"/>
      <c r="IQ138" s="36">
        <f>$KN138*3</f>
        <v/>
      </c>
      <c r="IR138" s="284" t="n"/>
      <c r="IS138" s="38" t="n">
        <v>0</v>
      </c>
      <c r="IT138" s="284" t="n"/>
      <c r="IU138" s="36">
        <f>$KN138*5</f>
        <v/>
      </c>
      <c r="IV138" s="284" t="n"/>
      <c r="IW138" s="38" t="n">
        <v>0</v>
      </c>
      <c r="IX138" s="284" t="n"/>
      <c r="IY138" s="36">
        <f>$KN138*5</f>
        <v/>
      </c>
      <c r="IZ138" s="284" t="n"/>
      <c r="JA138" s="38" t="n">
        <v>0</v>
      </c>
      <c r="JB138" s="284" t="n"/>
      <c r="JC138" s="36">
        <f>$KN138*5</f>
        <v/>
      </c>
      <c r="JD138" s="284" t="n"/>
      <c r="JE138" s="38" t="n">
        <v>0</v>
      </c>
      <c r="JF138" s="284" t="n"/>
      <c r="JG138" s="36">
        <f>$KN138*5</f>
        <v/>
      </c>
      <c r="JH138" s="284" t="n"/>
      <c r="JI138" s="38" t="n">
        <v>0</v>
      </c>
      <c r="JJ138" s="284" t="n"/>
      <c r="JK138" s="36">
        <f>$KN138*5</f>
        <v/>
      </c>
      <c r="JL138" s="284" t="n"/>
      <c r="JM138" s="38" t="n">
        <v>0</v>
      </c>
      <c r="JN138" s="284" t="n"/>
      <c r="JO138" s="36">
        <f>$KN138*5</f>
        <v/>
      </c>
      <c r="JP138" s="284" t="n"/>
      <c r="JQ138" s="38" t="n">
        <v>0</v>
      </c>
      <c r="JR138" s="284" t="n"/>
      <c r="JS138" s="36">
        <f>$KN138*5</f>
        <v/>
      </c>
      <c r="JT138" s="284" t="n"/>
      <c r="JU138" s="38" t="n">
        <v>0</v>
      </c>
      <c r="JV138" s="284" t="n"/>
      <c r="JW138" s="36">
        <f>$KN138*5</f>
        <v/>
      </c>
      <c r="JX138" s="284" t="n"/>
      <c r="JY138" s="38" t="n">
        <v>0</v>
      </c>
      <c r="JZ138" s="284" t="n"/>
      <c r="KA138" s="36">
        <f>$KN138*5</f>
        <v/>
      </c>
      <c r="KB138" s="284" t="n"/>
      <c r="KC138" s="38" t="n">
        <v>0</v>
      </c>
      <c r="KD138" s="284" t="n"/>
      <c r="KE138" s="338">
        <f t="array" ref="KE138">SUMPRODUCT(--(MOD(COLUMN($II138:$KD138),4)=MOD(COLUMN($II138),4)),$II138:$KD138)</f>
        <v/>
      </c>
      <c r="KF138" s="339">
        <f>KE138*$J138</f>
        <v/>
      </c>
      <c r="KG138" s="340">
        <f t="array" ref="KG138">SUMPRODUCT(--(MOD(COLUMN($II138:$KD138),4)=MOD(COLUMN($IJ138),4)),$II138:$KD138)</f>
        <v/>
      </c>
      <c r="KH138" s="341">
        <f>KG138*$J138</f>
        <v/>
      </c>
      <c r="KI138" s="342">
        <f t="array" ref="KI138">SUMPRODUCT(--(MOD(COLUMN($II138:$KD138),4)=MOD(COLUMN($IK138),4)),$II138:$KD138)</f>
        <v/>
      </c>
      <c r="KJ138" s="346">
        <f>KI138*$J138</f>
        <v/>
      </c>
      <c r="KK138" s="80" t="n"/>
      <c r="KL138" s="80" t="n"/>
      <c r="KM138" s="80" t="n"/>
      <c r="KN138" s="51" t="n">
        <v>1</v>
      </c>
      <c r="KO138" s="347" t="n"/>
    </row>
    <row r="139" outlineLevel="1" customFormat="1" s="68">
      <c r="A139" s="347" t="n"/>
      <c r="B139" s="347" t="n"/>
      <c r="C139" s="347" t="n"/>
      <c r="D139" s="347" t="n"/>
      <c r="E139" s="60" t="n">
        <v>5</v>
      </c>
      <c r="F139" s="60" t="n">
        <v>1</v>
      </c>
      <c r="G139" s="56" t="n">
        <v>4491731200</v>
      </c>
      <c r="H139" s="57" t="inlineStr">
        <is>
          <t>Кабель питания, 12 м</t>
        </is>
      </c>
      <c r="I139" s="348" t="n">
        <v>716.1564625850341</v>
      </c>
      <c r="J139" s="337">
        <f>842.2/1.2*1.0863</f>
        <v/>
      </c>
      <c r="K139" s="348" t="n"/>
      <c r="L139" s="348" t="n"/>
      <c r="M139" s="36" t="n"/>
      <c r="N139" s="284" t="n"/>
      <c r="O139" s="38" t="n"/>
      <c r="P139" s="284" t="n"/>
      <c r="Q139" s="36" t="n"/>
      <c r="R139" s="284" t="n"/>
      <c r="S139" s="38" t="n"/>
      <c r="T139" s="284" t="n"/>
      <c r="U139" s="36" t="n"/>
      <c r="V139" s="284" t="n"/>
      <c r="W139" s="38" t="n"/>
      <c r="X139" s="284" t="n"/>
      <c r="Y139" s="36" t="n"/>
      <c r="Z139" s="284" t="n"/>
      <c r="AA139" s="38" t="n"/>
      <c r="AB139" s="284" t="n"/>
      <c r="AC139" s="36" t="n"/>
      <c r="AD139" s="284" t="n"/>
      <c r="AE139" s="38" t="n"/>
      <c r="AF139" s="284" t="n"/>
      <c r="AG139" s="36" t="n"/>
      <c r="AH139" s="284" t="n"/>
      <c r="AI139" s="38" t="n"/>
      <c r="AJ139" s="284" t="n"/>
      <c r="AK139" s="36" t="n"/>
      <c r="AL139" s="284" t="n"/>
      <c r="AM139" s="38" t="n"/>
      <c r="AN139" s="284" t="n"/>
      <c r="AO139" s="36" t="n"/>
      <c r="AP139" s="284" t="n"/>
      <c r="AQ139" s="38" t="n"/>
      <c r="AR139" s="284" t="n"/>
      <c r="AS139" s="36" t="n"/>
      <c r="AT139" s="284" t="n"/>
      <c r="AU139" s="38" t="n">
        <v>0</v>
      </c>
      <c r="AV139" s="284" t="n"/>
      <c r="AW139" s="36" t="n"/>
      <c r="AX139" s="284" t="n"/>
      <c r="AY139" s="38" t="n">
        <v>0</v>
      </c>
      <c r="AZ139" s="284" t="n"/>
      <c r="BA139" s="36" t="n"/>
      <c r="BB139" s="284" t="n"/>
      <c r="BC139" s="99" t="n">
        <v>0</v>
      </c>
      <c r="BD139" s="284" t="n"/>
      <c r="BE139" s="36" t="n"/>
      <c r="BF139" s="284" t="n"/>
      <c r="BG139" s="54" t="n">
        <v>0</v>
      </c>
      <c r="BH139" s="284" t="n"/>
      <c r="BI139" s="338">
        <f>SUMPRODUCT(--(MOD(COLUMN($M139:$BH139),4)=MOD(COLUMN($M139),4)),$M139:$BH139)</f>
        <v/>
      </c>
      <c r="BJ139" s="339">
        <f>BI139*$I139</f>
        <v/>
      </c>
      <c r="BK139" s="340">
        <f>SUMPRODUCT(--(MOD(COLUMN($M139:$BH139),4)=MOD(COLUMN($M139)+1,4)),$M139:$BH139)</f>
        <v/>
      </c>
      <c r="BL139" s="341">
        <f>BK139*$I139</f>
        <v/>
      </c>
      <c r="BM139" s="342">
        <f>SUMPRODUCT(--(MOD(COLUMN($M139:$BH139),4)=MOD(COLUMN($M139)+2,4)),$M139:$BH139)</f>
        <v/>
      </c>
      <c r="BN139" s="343">
        <f>BM139*$I139</f>
        <v/>
      </c>
      <c r="BO139" s="36" t="n"/>
      <c r="BP139" s="47" t="n"/>
      <c r="BQ139" s="284" t="n"/>
      <c r="BR139" s="38" t="n">
        <v>0</v>
      </c>
      <c r="BS139" s="347" t="n"/>
      <c r="BT139" s="36" t="n"/>
      <c r="BU139" s="47" t="n"/>
      <c r="BV139" s="284" t="n"/>
      <c r="BW139" s="38" t="n">
        <v>0</v>
      </c>
      <c r="BX139" s="284" t="n"/>
      <c r="BY139" s="36">
        <f>$KN139*1</f>
        <v/>
      </c>
      <c r="BZ139" s="47">
        <f>$KN139*1</f>
        <v/>
      </c>
      <c r="CA139" s="284" t="n">
        <v>0</v>
      </c>
      <c r="CB139" s="38" t="n">
        <v>0</v>
      </c>
      <c r="CC139" s="284" t="n"/>
      <c r="CD139" s="36">
        <f>$KN139*0</f>
        <v/>
      </c>
      <c r="CE139" s="47">
        <f>$KN139*0</f>
        <v/>
      </c>
      <c r="CF139" s="284" t="n">
        <v>0</v>
      </c>
      <c r="CG139" s="38" t="n">
        <v>0</v>
      </c>
      <c r="CH139" s="284" t="n"/>
      <c r="CI139" s="36">
        <f>$KN139*5</f>
        <v/>
      </c>
      <c r="CJ139" s="47">
        <f>$KN139*3</f>
        <v/>
      </c>
      <c r="CK139" s="284" t="n">
        <v>0</v>
      </c>
      <c r="CL139" s="38" t="n">
        <v>0</v>
      </c>
      <c r="CM139" s="284" t="n"/>
      <c r="CN139" s="36">
        <f>$KN139*5</f>
        <v/>
      </c>
      <c r="CO139" s="47">
        <f>$KN139*3</f>
        <v/>
      </c>
      <c r="CP139" s="284">
        <f>$KN139*0</f>
        <v/>
      </c>
      <c r="CQ139" s="38" t="n">
        <v>0</v>
      </c>
      <c r="CR139" s="284" t="n"/>
      <c r="CS139" s="36">
        <f>$KN139*5</f>
        <v/>
      </c>
      <c r="CT139" s="47">
        <f>$KN139*3</f>
        <v/>
      </c>
      <c r="CU139" s="39">
        <f>$KN139*0</f>
        <v/>
      </c>
      <c r="CV139" s="38" t="n">
        <v>0</v>
      </c>
      <c r="CW139" s="284" t="n"/>
      <c r="CX139" s="36">
        <f>$KN139*5</f>
        <v/>
      </c>
      <c r="CY139" s="47">
        <f>$KN139*3</f>
        <v/>
      </c>
      <c r="CZ139" s="284">
        <f>$KN139*0</f>
        <v/>
      </c>
      <c r="DA139" s="38" t="n">
        <v>0</v>
      </c>
      <c r="DB139" s="284" t="n"/>
      <c r="DC139" s="36">
        <f>$KN139*5</f>
        <v/>
      </c>
      <c r="DD139" s="47">
        <f>$KN139*3</f>
        <v/>
      </c>
      <c r="DE139" s="284">
        <f>$KN139*0</f>
        <v/>
      </c>
      <c r="DF139" s="38" t="n">
        <v>0</v>
      </c>
      <c r="DG139" s="284" t="n"/>
      <c r="DH139" s="36">
        <f>$KN139*5</f>
        <v/>
      </c>
      <c r="DI139" s="47">
        <f>$KN139*3</f>
        <v/>
      </c>
      <c r="DJ139" s="284">
        <f>$KN139*0</f>
        <v/>
      </c>
      <c r="DK139" s="38" t="n">
        <v>0</v>
      </c>
      <c r="DL139" s="284" t="n"/>
      <c r="DM139" s="36">
        <f>$KN139*5</f>
        <v/>
      </c>
      <c r="DN139" s="47">
        <f>$KN139*3</f>
        <v/>
      </c>
      <c r="DO139" s="284">
        <f>$KN139*0</f>
        <v/>
      </c>
      <c r="DP139" s="38" t="n">
        <v>0</v>
      </c>
      <c r="DQ139" s="284" t="n"/>
      <c r="DR139" s="36">
        <f>$KN139*5</f>
        <v/>
      </c>
      <c r="DS139" s="47">
        <f>$KN139*3</f>
        <v/>
      </c>
      <c r="DT139" s="284">
        <f>$KN139*0</f>
        <v/>
      </c>
      <c r="DU139" s="38" t="n">
        <v>0</v>
      </c>
      <c r="DV139" s="284" t="n"/>
      <c r="DW139" s="338">
        <f t="array" ref="DW139">SUMPRODUCT(--(MOD(COLUMN($BO139:$DV139),5)=MOD(COLUMN($BO139),5)),$BO139:$DV139)</f>
        <v/>
      </c>
      <c r="DX139" s="339">
        <f>DW139*$J139</f>
        <v/>
      </c>
      <c r="DY139" s="344">
        <f t="array" ref="DY139">SUMPRODUCT(--(MOD(COLUMN($BO139:$DV139),5)=MOD(COLUMN($BP139),5)),$BO139:$DV139)</f>
        <v/>
      </c>
      <c r="DZ139" s="345">
        <f>DY139*$J139</f>
        <v/>
      </c>
      <c r="EA139" s="340">
        <f t="array" ref="EA139">SUMPRODUCT(--(MOD(COLUMN($BO139:$DV139),5)=MOD(COLUMN($BQ139),5)),$BO139:$DV139)</f>
        <v/>
      </c>
      <c r="EB139" s="341">
        <f>EA139*$J139</f>
        <v/>
      </c>
      <c r="EC139" s="342">
        <f t="array" ref="EC139">SUMPRODUCT(--(MOD(COLUMN($BO139:$DV139),5)=MOD(COLUMN($BR139),5)),$BO139:$DV139)</f>
        <v/>
      </c>
      <c r="ED139" s="343">
        <f>EC139*$J139</f>
        <v/>
      </c>
      <c r="EE139" s="36" t="n">
        <v>0</v>
      </c>
      <c r="EF139" s="284" t="n">
        <v>0</v>
      </c>
      <c r="EG139" s="38" t="n"/>
      <c r="EH139" s="284" t="n"/>
      <c r="EI139" s="36" t="n">
        <v>0</v>
      </c>
      <c r="EJ139" s="284" t="n">
        <v>0</v>
      </c>
      <c r="EK139" s="38" t="n"/>
      <c r="EL139" s="284" t="n"/>
      <c r="EM139" s="36" t="n">
        <v>0</v>
      </c>
      <c r="EN139" s="284" t="n">
        <v>0</v>
      </c>
      <c r="EO139" s="38" t="n"/>
      <c r="EP139" s="284" t="n"/>
      <c r="EQ139" s="36">
        <f>$KN139*1</f>
        <v/>
      </c>
      <c r="ER139" s="284" t="n">
        <v>0</v>
      </c>
      <c r="ES139" s="38" t="n">
        <v>0</v>
      </c>
      <c r="ET139" s="284" t="n"/>
      <c r="EU139" s="36">
        <f>$KN139*1</f>
        <v/>
      </c>
      <c r="EV139" s="39" t="n">
        <v>0</v>
      </c>
      <c r="EW139" s="38" t="n">
        <v>0</v>
      </c>
      <c r="EX139" s="284" t="n"/>
      <c r="EY139" s="36">
        <f>$KN139*1</f>
        <v/>
      </c>
      <c r="EZ139" s="155" t="n">
        <v>0</v>
      </c>
      <c r="FA139" s="38" t="n">
        <v>0</v>
      </c>
      <c r="FB139" s="284" t="n"/>
      <c r="FC139" s="36">
        <f>$KN139*2</f>
        <v/>
      </c>
      <c r="FD139" s="155" t="n">
        <v>0</v>
      </c>
      <c r="FE139" s="38" t="n">
        <v>0</v>
      </c>
      <c r="FF139" s="284" t="n"/>
      <c r="FG139" s="36">
        <f>$KN139*2</f>
        <v/>
      </c>
      <c r="FH139" s="155" t="n">
        <v>0</v>
      </c>
      <c r="FI139" s="38" t="n">
        <v>0</v>
      </c>
      <c r="FJ139" s="284" t="n"/>
      <c r="FK139" s="36">
        <f>$KN139*2</f>
        <v/>
      </c>
      <c r="FL139" s="155" t="n">
        <v>0</v>
      </c>
      <c r="FM139" s="38" t="n">
        <v>0</v>
      </c>
      <c r="FN139" s="284" t="n"/>
      <c r="FO139" s="36">
        <f>$KN139*3</f>
        <v/>
      </c>
      <c r="FP139" s="284" t="n">
        <v>3</v>
      </c>
      <c r="FQ139" s="38" t="n">
        <v>0</v>
      </c>
      <c r="FR139" s="284" t="n"/>
      <c r="FS139" s="36">
        <f>$KN139*3</f>
        <v/>
      </c>
      <c r="FT139" s="284" t="n">
        <v>3</v>
      </c>
      <c r="FU139" s="38" t="n">
        <v>0</v>
      </c>
      <c r="FV139" s="284" t="n"/>
      <c r="FW139" s="36">
        <f>$KN139*3</f>
        <v/>
      </c>
      <c r="FX139" s="284" t="n">
        <v>3</v>
      </c>
      <c r="FY139" s="38" t="n">
        <v>0</v>
      </c>
      <c r="FZ139" s="284" t="n"/>
      <c r="GA139" s="338">
        <f t="array" ref="GA139">SUMPRODUCT(--(MOD(COLUMN($EE139:$FZ139),4)=MOD(COLUMN($EE139),4)),$EE139:$FZ139)</f>
        <v/>
      </c>
      <c r="GB139" s="339">
        <f>GA139*$J139</f>
        <v/>
      </c>
      <c r="GC139" s="340">
        <f t="array" ref="GC139">SUMPRODUCT(--(MOD(COLUMN($EE139:$FZ139),4)=MOD(COLUMN($EF139),4)),$EE139:$FZ139)</f>
        <v/>
      </c>
      <c r="GD139" s="341">
        <f>GC139*$J139</f>
        <v/>
      </c>
      <c r="GE139" s="342">
        <f t="array" ref="GE139">SUMPRODUCT(--(MOD(COLUMN($EE139:$FZ139),4)=MOD(COLUMN($EG139),4)),$EE139:$FZ139)</f>
        <v/>
      </c>
      <c r="GF139" s="343">
        <f>GE139*$J139</f>
        <v/>
      </c>
      <c r="GG139" s="36">
        <f>$KN139*3</f>
        <v/>
      </c>
      <c r="GH139" s="284" t="n"/>
      <c r="GI139" s="38" t="n">
        <v>0</v>
      </c>
      <c r="GJ139" s="284" t="n"/>
      <c r="GK139" s="36">
        <f>$KN139*3</f>
        <v/>
      </c>
      <c r="GL139" s="284" t="n"/>
      <c r="GM139" s="38" t="n">
        <v>0</v>
      </c>
      <c r="GN139" s="284" t="n"/>
      <c r="GO139" s="36">
        <f>$KN139*3</f>
        <v/>
      </c>
      <c r="GP139" s="284" t="n"/>
      <c r="GQ139" s="38" t="n">
        <v>0</v>
      </c>
      <c r="GR139" s="284" t="n"/>
      <c r="GS139" s="36">
        <f>$KN139*5</f>
        <v/>
      </c>
      <c r="GT139" s="284" t="n"/>
      <c r="GU139" s="38" t="n">
        <v>0</v>
      </c>
      <c r="GV139" s="284" t="n"/>
      <c r="GW139" s="36">
        <f>$KN139*5</f>
        <v/>
      </c>
      <c r="GX139" s="284" t="n"/>
      <c r="GY139" s="38" t="n">
        <v>0</v>
      </c>
      <c r="GZ139" s="284" t="n"/>
      <c r="HA139" s="36">
        <f>$KN139*5</f>
        <v/>
      </c>
      <c r="HB139" s="284" t="n"/>
      <c r="HC139" s="38" t="n">
        <v>0</v>
      </c>
      <c r="HD139" s="284" t="n"/>
      <c r="HE139" s="36">
        <f>$KN139*5</f>
        <v/>
      </c>
      <c r="HF139" s="284" t="n"/>
      <c r="HG139" s="38" t="n">
        <v>0</v>
      </c>
      <c r="HH139" s="284" t="n"/>
      <c r="HI139" s="36">
        <f>$KN139*5</f>
        <v/>
      </c>
      <c r="HJ139" s="284" t="n"/>
      <c r="HK139" s="38" t="n">
        <v>0</v>
      </c>
      <c r="HL139" s="284" t="n"/>
      <c r="HM139" s="36">
        <f>$KN139*5</f>
        <v/>
      </c>
      <c r="HN139" s="284" t="n"/>
      <c r="HO139" s="38" t="n">
        <v>0</v>
      </c>
      <c r="HP139" s="284" t="n"/>
      <c r="HQ139" s="36">
        <f>$KN139*5</f>
        <v/>
      </c>
      <c r="HR139" s="284" t="n"/>
      <c r="HS139" s="38" t="n">
        <v>0</v>
      </c>
      <c r="HT139" s="284" t="n"/>
      <c r="HU139" s="36">
        <f>$KN139*5</f>
        <v/>
      </c>
      <c r="HV139" s="284" t="n"/>
      <c r="HW139" s="38" t="n">
        <v>0</v>
      </c>
      <c r="HX139" s="284" t="n"/>
      <c r="HY139" s="36">
        <f>$KN139*5</f>
        <v/>
      </c>
      <c r="HZ139" s="284" t="n"/>
      <c r="IA139" s="38" t="n">
        <v>0</v>
      </c>
      <c r="IB139" s="284" t="n"/>
      <c r="IC139" s="338">
        <f t="array" ref="IC139">SUMPRODUCT(--(MOD(COLUMN($GG139:$IB139),4)=MOD(COLUMN($GG139),4)),$GG139:$IB139)</f>
        <v/>
      </c>
      <c r="ID139" s="339">
        <f>IC139*$J139</f>
        <v/>
      </c>
      <c r="IE139" s="340">
        <f t="array" ref="IE139">SUMPRODUCT(--(MOD(COLUMN($GG139:$IB139),4)=MOD(COLUMN($GH139),4)),$GG139:$IB139)</f>
        <v/>
      </c>
      <c r="IF139" s="341">
        <f>IE139*$J139</f>
        <v/>
      </c>
      <c r="IG139" s="342">
        <f t="array" ref="IG139">SUMPRODUCT(--(MOD(COLUMN($GG139:$IB139),4)=MOD(COLUMN($GI139),4)),$GG139:$IB139)</f>
        <v/>
      </c>
      <c r="IH139" s="343">
        <f>IG139*$J139</f>
        <v/>
      </c>
      <c r="II139" s="36">
        <f>$KN139*3</f>
        <v/>
      </c>
      <c r="IJ139" s="284" t="n"/>
      <c r="IK139" s="38" t="n">
        <v>0</v>
      </c>
      <c r="IL139" s="284" t="n"/>
      <c r="IM139" s="36">
        <f>$KN139*3</f>
        <v/>
      </c>
      <c r="IN139" s="284" t="n"/>
      <c r="IO139" s="38" t="n">
        <v>0</v>
      </c>
      <c r="IP139" s="284" t="n"/>
      <c r="IQ139" s="36">
        <f>$KN139*3</f>
        <v/>
      </c>
      <c r="IR139" s="284" t="n"/>
      <c r="IS139" s="38" t="n">
        <v>0</v>
      </c>
      <c r="IT139" s="284" t="n"/>
      <c r="IU139" s="36">
        <f>$KN139*5</f>
        <v/>
      </c>
      <c r="IV139" s="284" t="n"/>
      <c r="IW139" s="38" t="n">
        <v>0</v>
      </c>
      <c r="IX139" s="284" t="n"/>
      <c r="IY139" s="36">
        <f>$KN139*5</f>
        <v/>
      </c>
      <c r="IZ139" s="284" t="n"/>
      <c r="JA139" s="38" t="n">
        <v>0</v>
      </c>
      <c r="JB139" s="284" t="n"/>
      <c r="JC139" s="36">
        <f>$KN139*5</f>
        <v/>
      </c>
      <c r="JD139" s="284" t="n"/>
      <c r="JE139" s="38" t="n">
        <v>0</v>
      </c>
      <c r="JF139" s="284" t="n"/>
      <c r="JG139" s="36">
        <f>$KN139*5</f>
        <v/>
      </c>
      <c r="JH139" s="284" t="n"/>
      <c r="JI139" s="38" t="n">
        <v>0</v>
      </c>
      <c r="JJ139" s="284" t="n"/>
      <c r="JK139" s="36">
        <f>$KN139*5</f>
        <v/>
      </c>
      <c r="JL139" s="284" t="n"/>
      <c r="JM139" s="38" t="n">
        <v>0</v>
      </c>
      <c r="JN139" s="284" t="n"/>
      <c r="JO139" s="36">
        <f>$KN139*5</f>
        <v/>
      </c>
      <c r="JP139" s="284" t="n"/>
      <c r="JQ139" s="38" t="n">
        <v>0</v>
      </c>
      <c r="JR139" s="284" t="n"/>
      <c r="JS139" s="36">
        <f>$KN139*5</f>
        <v/>
      </c>
      <c r="JT139" s="284" t="n"/>
      <c r="JU139" s="38" t="n">
        <v>0</v>
      </c>
      <c r="JV139" s="284" t="n"/>
      <c r="JW139" s="36">
        <f>$KN139*5</f>
        <v/>
      </c>
      <c r="JX139" s="284" t="n"/>
      <c r="JY139" s="38" t="n">
        <v>0</v>
      </c>
      <c r="JZ139" s="284" t="n"/>
      <c r="KA139" s="36">
        <f>$KN139*5</f>
        <v/>
      </c>
      <c r="KB139" s="284" t="n"/>
      <c r="KC139" s="38" t="n">
        <v>0</v>
      </c>
      <c r="KD139" s="284" t="n"/>
      <c r="KE139" s="338">
        <f t="array" ref="KE139">SUMPRODUCT(--(MOD(COLUMN($II139:$KD139),4)=MOD(COLUMN($II139),4)),$II139:$KD139)</f>
        <v/>
      </c>
      <c r="KF139" s="339">
        <f>KE139*$J139</f>
        <v/>
      </c>
      <c r="KG139" s="340">
        <f t="array" ref="KG139">SUMPRODUCT(--(MOD(COLUMN($II139:$KD139),4)=MOD(COLUMN($IJ139),4)),$II139:$KD139)</f>
        <v/>
      </c>
      <c r="KH139" s="341">
        <f>KG139*$J139</f>
        <v/>
      </c>
      <c r="KI139" s="342">
        <f t="array" ref="KI139">SUMPRODUCT(--(MOD(COLUMN($II139:$KD139),4)=MOD(COLUMN($IK139),4)),$II139:$KD139)</f>
        <v/>
      </c>
      <c r="KJ139" s="346">
        <f>KI139*$J139</f>
        <v/>
      </c>
      <c r="KK139" s="80" t="n"/>
      <c r="KL139" s="80" t="n"/>
      <c r="KM139" s="80" t="n"/>
      <c r="KN139" s="51" t="n">
        <v>1</v>
      </c>
      <c r="KO139" s="347" t="n"/>
    </row>
    <row r="140" outlineLevel="1" customFormat="1" s="68">
      <c r="A140" s="347" t="n"/>
      <c r="B140" s="347" t="n"/>
      <c r="C140" s="347" t="n"/>
      <c r="D140" s="347" t="n"/>
      <c r="E140" s="60" t="n">
        <v>6</v>
      </c>
      <c r="F140" s="60" t="n">
        <v>1</v>
      </c>
      <c r="G140" s="56" t="n">
        <v>4497230500</v>
      </c>
      <c r="H140" s="57" t="inlineStr">
        <is>
          <t>Кабель датчика, 5 м</t>
        </is>
      </c>
      <c r="I140" s="348" t="n">
        <v>60.96938775510205</v>
      </c>
      <c r="J140" s="337">
        <f>71.7/1.2*1.0863</f>
        <v/>
      </c>
      <c r="K140" s="348" t="n"/>
      <c r="L140" s="348" t="n"/>
      <c r="M140" s="36" t="n"/>
      <c r="N140" s="284" t="n"/>
      <c r="O140" s="38" t="n"/>
      <c r="P140" s="284" t="n"/>
      <c r="Q140" s="36" t="n"/>
      <c r="R140" s="284" t="n"/>
      <c r="S140" s="38" t="n"/>
      <c r="T140" s="284" t="n"/>
      <c r="U140" s="36" t="n"/>
      <c r="V140" s="284" t="n"/>
      <c r="W140" s="38" t="n"/>
      <c r="X140" s="284" t="n"/>
      <c r="Y140" s="36" t="n"/>
      <c r="Z140" s="284" t="n"/>
      <c r="AA140" s="38" t="n"/>
      <c r="AB140" s="284" t="n"/>
      <c r="AC140" s="36" t="n"/>
      <c r="AD140" s="284" t="n"/>
      <c r="AE140" s="38" t="n"/>
      <c r="AF140" s="284" t="n"/>
      <c r="AG140" s="36" t="n"/>
      <c r="AH140" s="284" t="n"/>
      <c r="AI140" s="38" t="n"/>
      <c r="AJ140" s="284" t="n"/>
      <c r="AK140" s="36" t="n"/>
      <c r="AL140" s="284" t="n"/>
      <c r="AM140" s="38" t="n"/>
      <c r="AN140" s="284" t="n"/>
      <c r="AO140" s="36" t="n"/>
      <c r="AP140" s="284" t="n"/>
      <c r="AQ140" s="38" t="n"/>
      <c r="AR140" s="284" t="n"/>
      <c r="AS140" s="36" t="n"/>
      <c r="AT140" s="284" t="n"/>
      <c r="AU140" s="38" t="n">
        <v>0</v>
      </c>
      <c r="AV140" s="284" t="n"/>
      <c r="AW140" s="36" t="n"/>
      <c r="AX140" s="284" t="n"/>
      <c r="AY140" s="38" t="n">
        <v>0</v>
      </c>
      <c r="AZ140" s="284" t="n"/>
      <c r="BA140" s="36" t="n"/>
      <c r="BB140" s="284" t="n"/>
      <c r="BC140" s="99" t="n">
        <v>0</v>
      </c>
      <c r="BD140" s="284" t="n"/>
      <c r="BE140" s="36" t="n"/>
      <c r="BF140" s="284" t="n"/>
      <c r="BG140" s="54" t="n">
        <v>0</v>
      </c>
      <c r="BH140" s="284" t="n"/>
      <c r="BI140" s="338">
        <f>SUMPRODUCT(--(MOD(COLUMN($M140:$BH140),4)=MOD(COLUMN($M140),4)),$M140:$BH140)</f>
        <v/>
      </c>
      <c r="BJ140" s="339">
        <f>BI140*$I140</f>
        <v/>
      </c>
      <c r="BK140" s="340">
        <f>SUMPRODUCT(--(MOD(COLUMN($M140:$BH140),4)=MOD(COLUMN($M140)+1,4)),$M140:$BH140)</f>
        <v/>
      </c>
      <c r="BL140" s="341">
        <f>BK140*$I140</f>
        <v/>
      </c>
      <c r="BM140" s="342">
        <f>SUMPRODUCT(--(MOD(COLUMN($M140:$BH140),4)=MOD(COLUMN($M140)+2,4)),$M140:$BH140)</f>
        <v/>
      </c>
      <c r="BN140" s="343">
        <f>BM140*$I140</f>
        <v/>
      </c>
      <c r="BO140" s="36" t="n"/>
      <c r="BP140" s="47" t="n"/>
      <c r="BQ140" s="284" t="n"/>
      <c r="BR140" s="38" t="n">
        <v>0</v>
      </c>
      <c r="BS140" s="347" t="n"/>
      <c r="BT140" s="36" t="n"/>
      <c r="BU140" s="47" t="n"/>
      <c r="BV140" s="284" t="n"/>
      <c r="BW140" s="38" t="n">
        <v>0</v>
      </c>
      <c r="BX140" s="284" t="n"/>
      <c r="BY140" s="36">
        <f>$KN140*1</f>
        <v/>
      </c>
      <c r="BZ140" s="47">
        <f>$KN140*1</f>
        <v/>
      </c>
      <c r="CA140" s="284" t="n">
        <v>0</v>
      </c>
      <c r="CB140" s="38" t="n">
        <v>0</v>
      </c>
      <c r="CC140" s="284" t="n"/>
      <c r="CD140" s="36">
        <f>$KN140*0</f>
        <v/>
      </c>
      <c r="CE140" s="47">
        <f>$KN140*0</f>
        <v/>
      </c>
      <c r="CF140" s="284" t="n">
        <v>0</v>
      </c>
      <c r="CG140" s="38" t="n">
        <v>0</v>
      </c>
      <c r="CH140" s="284" t="n"/>
      <c r="CI140" s="36">
        <f>$KN140*5</f>
        <v/>
      </c>
      <c r="CJ140" s="47">
        <f>$KN140*3</f>
        <v/>
      </c>
      <c r="CK140" s="284" t="n">
        <v>0</v>
      </c>
      <c r="CL140" s="38" t="n">
        <v>0</v>
      </c>
      <c r="CM140" s="284" t="n"/>
      <c r="CN140" s="36">
        <f>$KN140*5</f>
        <v/>
      </c>
      <c r="CO140" s="47">
        <f>$KN140*3</f>
        <v/>
      </c>
      <c r="CP140" s="284">
        <f>$KN140*0</f>
        <v/>
      </c>
      <c r="CQ140" s="38" t="n">
        <v>0</v>
      </c>
      <c r="CR140" s="284" t="n"/>
      <c r="CS140" s="36">
        <f>$KN140*5</f>
        <v/>
      </c>
      <c r="CT140" s="47">
        <f>$KN140*3</f>
        <v/>
      </c>
      <c r="CU140" s="39">
        <f>$KN140*0</f>
        <v/>
      </c>
      <c r="CV140" s="38" t="n">
        <v>0</v>
      </c>
      <c r="CW140" s="284" t="n"/>
      <c r="CX140" s="36">
        <f>$KN140*5</f>
        <v/>
      </c>
      <c r="CY140" s="47">
        <f>$KN140*3</f>
        <v/>
      </c>
      <c r="CZ140" s="284">
        <f>$KN140*0</f>
        <v/>
      </c>
      <c r="DA140" s="38" t="n">
        <v>0</v>
      </c>
      <c r="DB140" s="284" t="n"/>
      <c r="DC140" s="36">
        <f>$KN140*5</f>
        <v/>
      </c>
      <c r="DD140" s="47">
        <f>$KN140*3</f>
        <v/>
      </c>
      <c r="DE140" s="284">
        <f>$KN140*0</f>
        <v/>
      </c>
      <c r="DF140" s="38" t="n">
        <v>0</v>
      </c>
      <c r="DG140" s="284" t="n"/>
      <c r="DH140" s="36">
        <f>$KN140*5</f>
        <v/>
      </c>
      <c r="DI140" s="47">
        <f>$KN140*3</f>
        <v/>
      </c>
      <c r="DJ140" s="284">
        <f>$KN140*0</f>
        <v/>
      </c>
      <c r="DK140" s="52" t="n">
        <v>0</v>
      </c>
      <c r="DL140" s="284" t="n"/>
      <c r="DM140" s="36">
        <f>$KN140*5</f>
        <v/>
      </c>
      <c r="DN140" s="47">
        <f>$KN140*3</f>
        <v/>
      </c>
      <c r="DO140" s="284">
        <f>$KN140*0</f>
        <v/>
      </c>
      <c r="DP140" s="38" t="n">
        <v>0</v>
      </c>
      <c r="DQ140" s="284" t="n"/>
      <c r="DR140" s="36">
        <f>$KN140*5</f>
        <v/>
      </c>
      <c r="DS140" s="47">
        <f>$KN140*3</f>
        <v/>
      </c>
      <c r="DT140" s="284">
        <f>$KN140*0</f>
        <v/>
      </c>
      <c r="DU140" s="38" t="n">
        <v>0</v>
      </c>
      <c r="DV140" s="284" t="n"/>
      <c r="DW140" s="338">
        <f t="array" ref="DW140">SUMPRODUCT(--(MOD(COLUMN($BO140:$DV140),5)=MOD(COLUMN($BO140),5)),$BO140:$DV140)</f>
        <v/>
      </c>
      <c r="DX140" s="339">
        <f>DW140*$J140</f>
        <v/>
      </c>
      <c r="DY140" s="344">
        <f t="array" ref="DY140">SUMPRODUCT(--(MOD(COLUMN($BO140:$DV140),5)=MOD(COLUMN($BP140),5)),$BO140:$DV140)</f>
        <v/>
      </c>
      <c r="DZ140" s="345">
        <f>DY140*$J140</f>
        <v/>
      </c>
      <c r="EA140" s="340">
        <f t="array" ref="EA140">SUMPRODUCT(--(MOD(COLUMN($BO140:$DV140),5)=MOD(COLUMN($BQ140),5)),$BO140:$DV140)</f>
        <v/>
      </c>
      <c r="EB140" s="341">
        <f>EA140*$J140</f>
        <v/>
      </c>
      <c r="EC140" s="342">
        <f t="array" ref="EC140">SUMPRODUCT(--(MOD(COLUMN($BO140:$DV140),5)=MOD(COLUMN($BR140),5)),$BO140:$DV140)</f>
        <v/>
      </c>
      <c r="ED140" s="343">
        <f>EC140*$J140</f>
        <v/>
      </c>
      <c r="EE140" s="36" t="n">
        <v>0</v>
      </c>
      <c r="EF140" s="284" t="n">
        <v>0</v>
      </c>
      <c r="EG140" s="38" t="n"/>
      <c r="EH140" s="284" t="n"/>
      <c r="EI140" s="36" t="n">
        <v>0</v>
      </c>
      <c r="EJ140" s="284" t="n">
        <v>0</v>
      </c>
      <c r="EK140" s="38" t="n"/>
      <c r="EL140" s="284" t="n"/>
      <c r="EM140" s="36" t="n">
        <v>0</v>
      </c>
      <c r="EN140" s="284" t="n">
        <v>0</v>
      </c>
      <c r="EO140" s="38" t="n"/>
      <c r="EP140" s="284" t="n"/>
      <c r="EQ140" s="36">
        <f>$KN140*1</f>
        <v/>
      </c>
      <c r="ER140" s="284" t="n">
        <v>0</v>
      </c>
      <c r="ES140" s="38" t="n">
        <v>0</v>
      </c>
      <c r="ET140" s="284" t="n"/>
      <c r="EU140" s="36">
        <f>$KN140*1</f>
        <v/>
      </c>
      <c r="EV140" s="39" t="n">
        <v>0</v>
      </c>
      <c r="EW140" s="38" t="n">
        <v>0</v>
      </c>
      <c r="EX140" s="284" t="n"/>
      <c r="EY140" s="36">
        <f>$KN140*1</f>
        <v/>
      </c>
      <c r="EZ140" s="155" t="n">
        <v>0</v>
      </c>
      <c r="FA140" s="38" t="n">
        <v>0</v>
      </c>
      <c r="FB140" s="284" t="n"/>
      <c r="FC140" s="36">
        <f>$KN140*2</f>
        <v/>
      </c>
      <c r="FD140" s="155" t="n">
        <v>0</v>
      </c>
      <c r="FE140" s="38" t="n">
        <v>0</v>
      </c>
      <c r="FF140" s="284" t="n"/>
      <c r="FG140" s="36">
        <f>$KN140*2</f>
        <v/>
      </c>
      <c r="FH140" s="155" t="n">
        <v>0</v>
      </c>
      <c r="FI140" s="38" t="n">
        <v>0</v>
      </c>
      <c r="FJ140" s="284" t="n"/>
      <c r="FK140" s="36">
        <f>$KN140*2</f>
        <v/>
      </c>
      <c r="FL140" s="155" t="n">
        <v>0</v>
      </c>
      <c r="FM140" s="38" t="n">
        <v>0</v>
      </c>
      <c r="FN140" s="284" t="n"/>
      <c r="FO140" s="36">
        <f>$KN140*3</f>
        <v/>
      </c>
      <c r="FP140" s="284" t="n">
        <v>6</v>
      </c>
      <c r="FQ140" s="38" t="n">
        <v>0</v>
      </c>
      <c r="FR140" s="284" t="n"/>
      <c r="FS140" s="36">
        <f>$KN140*3</f>
        <v/>
      </c>
      <c r="FT140" s="284" t="n">
        <v>6</v>
      </c>
      <c r="FU140" s="38" t="n">
        <v>0</v>
      </c>
      <c r="FV140" s="284" t="n"/>
      <c r="FW140" s="36">
        <f>$KN140*3</f>
        <v/>
      </c>
      <c r="FX140" s="284" t="n">
        <v>6</v>
      </c>
      <c r="FY140" s="38" t="n">
        <v>0</v>
      </c>
      <c r="FZ140" s="284" t="n"/>
      <c r="GA140" s="338">
        <f t="array" ref="GA140">SUMPRODUCT(--(MOD(COLUMN($EE140:$FZ140),4)=MOD(COLUMN($EE140),4)),$EE140:$FZ140)</f>
        <v/>
      </c>
      <c r="GB140" s="339">
        <f>GA140*$J140</f>
        <v/>
      </c>
      <c r="GC140" s="340">
        <f t="array" ref="GC140">SUMPRODUCT(--(MOD(COLUMN($EE140:$FZ140),4)=MOD(COLUMN($EF140),4)),$EE140:$FZ140)</f>
        <v/>
      </c>
      <c r="GD140" s="341">
        <f>GC140*$J140</f>
        <v/>
      </c>
      <c r="GE140" s="342">
        <f t="array" ref="GE140">SUMPRODUCT(--(MOD(COLUMN($EE140:$FZ140),4)=MOD(COLUMN($EG140),4)),$EE140:$FZ140)</f>
        <v/>
      </c>
      <c r="GF140" s="343">
        <f>GE140*$J140</f>
        <v/>
      </c>
      <c r="GG140" s="36">
        <f>$KN140*3</f>
        <v/>
      </c>
      <c r="GH140" s="284" t="n"/>
      <c r="GI140" s="38" t="n">
        <v>0</v>
      </c>
      <c r="GJ140" s="284" t="n"/>
      <c r="GK140" s="36">
        <f>$KN140*3</f>
        <v/>
      </c>
      <c r="GL140" s="284" t="n"/>
      <c r="GM140" s="38" t="n">
        <v>0</v>
      </c>
      <c r="GN140" s="284" t="n"/>
      <c r="GO140" s="36">
        <f>$KN140*3</f>
        <v/>
      </c>
      <c r="GP140" s="284" t="n"/>
      <c r="GQ140" s="38" t="n">
        <v>0</v>
      </c>
      <c r="GR140" s="284" t="n"/>
      <c r="GS140" s="36">
        <f>$KN140*5</f>
        <v/>
      </c>
      <c r="GT140" s="284" t="n"/>
      <c r="GU140" s="38" t="n">
        <v>0</v>
      </c>
      <c r="GV140" s="284" t="n"/>
      <c r="GW140" s="36">
        <f>$KN140*5</f>
        <v/>
      </c>
      <c r="GX140" s="284" t="n"/>
      <c r="GY140" s="38" t="n">
        <v>0</v>
      </c>
      <c r="GZ140" s="284" t="n"/>
      <c r="HA140" s="36">
        <f>$KN140*5</f>
        <v/>
      </c>
      <c r="HB140" s="284" t="n"/>
      <c r="HC140" s="38" t="n">
        <v>0</v>
      </c>
      <c r="HD140" s="284" t="n"/>
      <c r="HE140" s="36">
        <f>$KN140*5</f>
        <v/>
      </c>
      <c r="HF140" s="284" t="n"/>
      <c r="HG140" s="38" t="n">
        <v>0</v>
      </c>
      <c r="HH140" s="284" t="n"/>
      <c r="HI140" s="36">
        <f>$KN140*5</f>
        <v/>
      </c>
      <c r="HJ140" s="284" t="n"/>
      <c r="HK140" s="38" t="n">
        <v>0</v>
      </c>
      <c r="HL140" s="284" t="n"/>
      <c r="HM140" s="36">
        <f>$KN140*5</f>
        <v/>
      </c>
      <c r="HN140" s="284" t="n"/>
      <c r="HO140" s="38" t="n">
        <v>0</v>
      </c>
      <c r="HP140" s="284" t="n"/>
      <c r="HQ140" s="36">
        <f>$KN140*5</f>
        <v/>
      </c>
      <c r="HR140" s="284" t="n"/>
      <c r="HS140" s="38" t="n">
        <v>0</v>
      </c>
      <c r="HT140" s="284" t="n"/>
      <c r="HU140" s="36">
        <f>$KN140*5</f>
        <v/>
      </c>
      <c r="HV140" s="284" t="n"/>
      <c r="HW140" s="38" t="n">
        <v>0</v>
      </c>
      <c r="HX140" s="284" t="n"/>
      <c r="HY140" s="36">
        <f>$KN140*5</f>
        <v/>
      </c>
      <c r="HZ140" s="284" t="n"/>
      <c r="IA140" s="38" t="n">
        <v>0</v>
      </c>
      <c r="IB140" s="284" t="n"/>
      <c r="IC140" s="338">
        <f t="array" ref="IC140">SUMPRODUCT(--(MOD(COLUMN($GG140:$IB140),4)=MOD(COLUMN($GG140),4)),$GG140:$IB140)</f>
        <v/>
      </c>
      <c r="ID140" s="339">
        <f>IC140*$J140</f>
        <v/>
      </c>
      <c r="IE140" s="340">
        <f t="array" ref="IE140">SUMPRODUCT(--(MOD(COLUMN($GG140:$IB140),4)=MOD(COLUMN($GH140),4)),$GG140:$IB140)</f>
        <v/>
      </c>
      <c r="IF140" s="341">
        <f>IE140*$J140</f>
        <v/>
      </c>
      <c r="IG140" s="342">
        <f t="array" ref="IG140">SUMPRODUCT(--(MOD(COLUMN($GG140:$IB140),4)=MOD(COLUMN($GI140),4)),$GG140:$IB140)</f>
        <v/>
      </c>
      <c r="IH140" s="343">
        <f>IG140*$J140</f>
        <v/>
      </c>
      <c r="II140" s="36">
        <f>$KN140*3</f>
        <v/>
      </c>
      <c r="IJ140" s="284" t="n"/>
      <c r="IK140" s="38" t="n">
        <v>0</v>
      </c>
      <c r="IL140" s="284" t="n"/>
      <c r="IM140" s="36">
        <f>$KN140*3</f>
        <v/>
      </c>
      <c r="IN140" s="284" t="n"/>
      <c r="IO140" s="38" t="n">
        <v>0</v>
      </c>
      <c r="IP140" s="284" t="n"/>
      <c r="IQ140" s="36">
        <f>$KN140*3</f>
        <v/>
      </c>
      <c r="IR140" s="284" t="n"/>
      <c r="IS140" s="38" t="n">
        <v>0</v>
      </c>
      <c r="IT140" s="284" t="n"/>
      <c r="IU140" s="36">
        <f>$KN140*5</f>
        <v/>
      </c>
      <c r="IV140" s="284" t="n"/>
      <c r="IW140" s="38" t="n">
        <v>0</v>
      </c>
      <c r="IX140" s="284" t="n"/>
      <c r="IY140" s="36">
        <f>$KN140*5</f>
        <v/>
      </c>
      <c r="IZ140" s="284" t="n"/>
      <c r="JA140" s="38" t="n">
        <v>0</v>
      </c>
      <c r="JB140" s="284" t="n"/>
      <c r="JC140" s="36">
        <f>$KN140*5</f>
        <v/>
      </c>
      <c r="JD140" s="284" t="n"/>
      <c r="JE140" s="38" t="n">
        <v>0</v>
      </c>
      <c r="JF140" s="284" t="n"/>
      <c r="JG140" s="36">
        <f>$KN140*5</f>
        <v/>
      </c>
      <c r="JH140" s="284" t="n"/>
      <c r="JI140" s="38" t="n">
        <v>0</v>
      </c>
      <c r="JJ140" s="284" t="n"/>
      <c r="JK140" s="36">
        <f>$KN140*5</f>
        <v/>
      </c>
      <c r="JL140" s="284" t="n"/>
      <c r="JM140" s="38" t="n">
        <v>0</v>
      </c>
      <c r="JN140" s="284" t="n"/>
      <c r="JO140" s="36">
        <f>$KN140*5</f>
        <v/>
      </c>
      <c r="JP140" s="284" t="n"/>
      <c r="JQ140" s="38" t="n">
        <v>0</v>
      </c>
      <c r="JR140" s="284" t="n"/>
      <c r="JS140" s="36">
        <f>$KN140*5</f>
        <v/>
      </c>
      <c r="JT140" s="284" t="n"/>
      <c r="JU140" s="38" t="n">
        <v>0</v>
      </c>
      <c r="JV140" s="284" t="n"/>
      <c r="JW140" s="36">
        <f>$KN140*5</f>
        <v/>
      </c>
      <c r="JX140" s="284" t="n"/>
      <c r="JY140" s="38" t="n">
        <v>0</v>
      </c>
      <c r="JZ140" s="284" t="n"/>
      <c r="KA140" s="36">
        <f>$KN140*5</f>
        <v/>
      </c>
      <c r="KB140" s="284" t="n"/>
      <c r="KC140" s="38" t="n">
        <v>0</v>
      </c>
      <c r="KD140" s="284" t="n"/>
      <c r="KE140" s="338">
        <f t="array" ref="KE140">SUMPRODUCT(--(MOD(COLUMN($II140:$KD140),4)=MOD(COLUMN($II140),4)),$II140:$KD140)</f>
        <v/>
      </c>
      <c r="KF140" s="339">
        <f>KE140*$J140</f>
        <v/>
      </c>
      <c r="KG140" s="340">
        <f t="array" ref="KG140">SUMPRODUCT(--(MOD(COLUMN($II140:$KD140),4)=MOD(COLUMN($IJ140),4)),$II140:$KD140)</f>
        <v/>
      </c>
      <c r="KH140" s="341">
        <f>KG140*$J140</f>
        <v/>
      </c>
      <c r="KI140" s="342">
        <f t="array" ref="KI140">SUMPRODUCT(--(MOD(COLUMN($II140:$KD140),4)=MOD(COLUMN($IK140),4)),$II140:$KD140)</f>
        <v/>
      </c>
      <c r="KJ140" s="346">
        <f>KI140*$J140</f>
        <v/>
      </c>
      <c r="KK140" s="80" t="n"/>
      <c r="KL140" s="80" t="n"/>
      <c r="KM140" s="80" t="n"/>
      <c r="KN140" s="51" t="n">
        <v>2</v>
      </c>
      <c r="KO140" s="347" t="n"/>
    </row>
    <row r="141" outlineLevel="1" ht="28.8" customFormat="1" customHeight="1" s="68">
      <c r="A141" s="347" t="n"/>
      <c r="B141" s="347" t="n"/>
      <c r="C141" s="347" t="n"/>
      <c r="D141" s="347" t="n"/>
      <c r="E141" s="60" t="n">
        <v>7</v>
      </c>
      <c r="F141" s="60" t="n">
        <v>1</v>
      </c>
      <c r="G141" s="56" t="n">
        <v>4640061000</v>
      </c>
      <c r="H141" s="57" t="inlineStr">
        <is>
          <t>Кран уровня пола, 5-ти портовый</t>
        </is>
      </c>
      <c r="I141" s="348" t="n">
        <v>496.5986394557823</v>
      </c>
      <c r="J141" s="337">
        <f>584/1.2*1.0863</f>
        <v/>
      </c>
      <c r="K141" s="348" t="n"/>
      <c r="L141" s="348" t="n"/>
      <c r="M141" s="36" t="n"/>
      <c r="N141" s="284" t="n"/>
      <c r="O141" s="38" t="n"/>
      <c r="P141" s="284" t="n"/>
      <c r="Q141" s="36" t="n"/>
      <c r="R141" s="284" t="n"/>
      <c r="S141" s="38" t="n"/>
      <c r="T141" s="284" t="n"/>
      <c r="U141" s="36" t="n"/>
      <c r="V141" s="284" t="n"/>
      <c r="W141" s="38" t="n"/>
      <c r="X141" s="284" t="n"/>
      <c r="Y141" s="36" t="n"/>
      <c r="Z141" s="284" t="n"/>
      <c r="AA141" s="38" t="n"/>
      <c r="AB141" s="284" t="n"/>
      <c r="AC141" s="36" t="n"/>
      <c r="AD141" s="284" t="n"/>
      <c r="AE141" s="38" t="n"/>
      <c r="AF141" s="284" t="n"/>
      <c r="AG141" s="36" t="n"/>
      <c r="AH141" s="284" t="n"/>
      <c r="AI141" s="38" t="n"/>
      <c r="AJ141" s="284" t="n"/>
      <c r="AK141" s="36" t="n"/>
      <c r="AL141" s="284" t="n"/>
      <c r="AM141" s="38" t="n"/>
      <c r="AN141" s="284" t="n"/>
      <c r="AO141" s="36" t="n"/>
      <c r="AP141" s="284" t="n"/>
      <c r="AQ141" s="38" t="n"/>
      <c r="AR141" s="284" t="n"/>
      <c r="AS141" s="36" t="n"/>
      <c r="AT141" s="284" t="n"/>
      <c r="AU141" s="38" t="n">
        <v>0</v>
      </c>
      <c r="AV141" s="284" t="n"/>
      <c r="AW141" s="36" t="n"/>
      <c r="AX141" s="284" t="n"/>
      <c r="AY141" s="38" t="n">
        <v>0</v>
      </c>
      <c r="AZ141" s="284" t="n"/>
      <c r="BA141" s="36" t="n"/>
      <c r="BB141" s="284" t="n"/>
      <c r="BC141" s="99" t="n">
        <v>0</v>
      </c>
      <c r="BD141" s="284" t="n"/>
      <c r="BE141" s="36" t="n"/>
      <c r="BF141" s="284" t="n"/>
      <c r="BG141" s="54" t="n">
        <v>0</v>
      </c>
      <c r="BH141" s="284" t="n"/>
      <c r="BI141" s="338">
        <f>SUMPRODUCT(--(MOD(COLUMN($M141:$BH141),4)=MOD(COLUMN($M141),4)),$M141:$BH141)</f>
        <v/>
      </c>
      <c r="BJ141" s="339">
        <f>BI141*$I141</f>
        <v/>
      </c>
      <c r="BK141" s="340">
        <f>SUMPRODUCT(--(MOD(COLUMN($M141:$BH141),4)=MOD(COLUMN($M141)+1,4)),$M141:$BH141)</f>
        <v/>
      </c>
      <c r="BL141" s="341">
        <f>BK141*$I141</f>
        <v/>
      </c>
      <c r="BM141" s="342">
        <f>SUMPRODUCT(--(MOD(COLUMN($M141:$BH141),4)=MOD(COLUMN($M141)+2,4)),$M141:$BH141)</f>
        <v/>
      </c>
      <c r="BN141" s="343">
        <f>BM141*$I141</f>
        <v/>
      </c>
      <c r="BO141" s="36" t="n"/>
      <c r="BP141" s="47" t="n"/>
      <c r="BQ141" s="284" t="n"/>
      <c r="BR141" s="38" t="n">
        <v>0</v>
      </c>
      <c r="BS141" s="347" t="n"/>
      <c r="BT141" s="36" t="n"/>
      <c r="BU141" s="47" t="n"/>
      <c r="BV141" s="284" t="n"/>
      <c r="BW141" s="38" t="n">
        <v>0</v>
      </c>
      <c r="BX141" s="284" t="n"/>
      <c r="BY141" s="36">
        <f>$KN141*1</f>
        <v/>
      </c>
      <c r="BZ141" s="47">
        <f>$KN141*1</f>
        <v/>
      </c>
      <c r="CA141" s="284" t="n">
        <v>0</v>
      </c>
      <c r="CB141" s="38" t="n">
        <v>0</v>
      </c>
      <c r="CC141" s="284" t="n"/>
      <c r="CD141" s="36">
        <f>$KN141*0</f>
        <v/>
      </c>
      <c r="CE141" s="47">
        <f>$KN141*0</f>
        <v/>
      </c>
      <c r="CF141" s="284" t="n">
        <v>0</v>
      </c>
      <c r="CG141" s="38" t="n">
        <v>0</v>
      </c>
      <c r="CH141" s="284" t="n"/>
      <c r="CI141" s="36">
        <f>$KN141*5</f>
        <v/>
      </c>
      <c r="CJ141" s="47">
        <f>$KN141*3</f>
        <v/>
      </c>
      <c r="CK141" s="284" t="n">
        <v>0</v>
      </c>
      <c r="CL141" s="38" t="n">
        <v>0</v>
      </c>
      <c r="CM141" s="284" t="n"/>
      <c r="CN141" s="36">
        <f>$KN141*5</f>
        <v/>
      </c>
      <c r="CO141" s="47">
        <f>$KN141*3</f>
        <v/>
      </c>
      <c r="CP141" s="284">
        <f>$KN141*0</f>
        <v/>
      </c>
      <c r="CQ141" s="38" t="n">
        <v>0</v>
      </c>
      <c r="CR141" s="284" t="n"/>
      <c r="CS141" s="36">
        <f>$KN141*5</f>
        <v/>
      </c>
      <c r="CT141" s="47">
        <f>$KN141*3</f>
        <v/>
      </c>
      <c r="CU141" s="39">
        <f>$KN141*0</f>
        <v/>
      </c>
      <c r="CV141" s="38" t="n">
        <v>0</v>
      </c>
      <c r="CW141" s="284" t="n"/>
      <c r="CX141" s="36">
        <f>$KN141*5</f>
        <v/>
      </c>
      <c r="CY141" s="47">
        <f>$KN141*3</f>
        <v/>
      </c>
      <c r="CZ141" s="284">
        <f>$KN141*0</f>
        <v/>
      </c>
      <c r="DA141" s="38" t="n">
        <v>0</v>
      </c>
      <c r="DB141" s="284" t="n"/>
      <c r="DC141" s="36">
        <f>$KN141*5</f>
        <v/>
      </c>
      <c r="DD141" s="47">
        <f>$KN141*3</f>
        <v/>
      </c>
      <c r="DE141" s="284">
        <f>$KN141*0</f>
        <v/>
      </c>
      <c r="DF141" s="38" t="n">
        <v>0</v>
      </c>
      <c r="DG141" s="284" t="n"/>
      <c r="DH141" s="36">
        <f>$KN141*5</f>
        <v/>
      </c>
      <c r="DI141" s="47">
        <f>$KN141*3</f>
        <v/>
      </c>
      <c r="DJ141" s="284">
        <f>$KN141*0</f>
        <v/>
      </c>
      <c r="DK141" s="38" t="n">
        <v>0</v>
      </c>
      <c r="DL141" s="284" t="n"/>
      <c r="DM141" s="36">
        <f>$KN141*5</f>
        <v/>
      </c>
      <c r="DN141" s="47">
        <f>$KN141*3</f>
        <v/>
      </c>
      <c r="DO141" s="284">
        <f>$KN141*0</f>
        <v/>
      </c>
      <c r="DP141" s="38" t="n">
        <v>0</v>
      </c>
      <c r="DQ141" s="284" t="n"/>
      <c r="DR141" s="36">
        <f>$KN141*5</f>
        <v/>
      </c>
      <c r="DS141" s="47">
        <f>$KN141*3</f>
        <v/>
      </c>
      <c r="DT141" s="284">
        <f>$KN141*0</f>
        <v/>
      </c>
      <c r="DU141" s="38" t="n">
        <v>0</v>
      </c>
      <c r="DV141" s="284" t="n"/>
      <c r="DW141" s="338">
        <f t="array" ref="DW141">SUMPRODUCT(--(MOD(COLUMN($BO141:$DV141),5)=MOD(COLUMN($BO141),5)),$BO141:$DV141)</f>
        <v/>
      </c>
      <c r="DX141" s="339">
        <f>DW141*$J141</f>
        <v/>
      </c>
      <c r="DY141" s="344">
        <f t="array" ref="DY141">SUMPRODUCT(--(MOD(COLUMN($BO141:$DV141),5)=MOD(COLUMN($BP141),5)),$BO141:$DV141)</f>
        <v/>
      </c>
      <c r="DZ141" s="345">
        <f>DY141*$J141</f>
        <v/>
      </c>
      <c r="EA141" s="340">
        <f t="array" ref="EA141">SUMPRODUCT(--(MOD(COLUMN($BO141:$DV141),5)=MOD(COLUMN($BQ141),5)),$BO141:$DV141)</f>
        <v/>
      </c>
      <c r="EB141" s="341">
        <f>EA141*$J141</f>
        <v/>
      </c>
      <c r="EC141" s="342">
        <f t="array" ref="EC141">SUMPRODUCT(--(MOD(COLUMN($BO141:$DV141),5)=MOD(COLUMN($BR141),5)),$BO141:$DV141)</f>
        <v/>
      </c>
      <c r="ED141" s="343">
        <f>EC141*$J141</f>
        <v/>
      </c>
      <c r="EE141" s="36" t="n">
        <v>0</v>
      </c>
      <c r="EF141" s="284" t="n">
        <v>0</v>
      </c>
      <c r="EG141" s="38" t="n"/>
      <c r="EH141" s="284" t="n"/>
      <c r="EI141" s="36" t="n">
        <v>0</v>
      </c>
      <c r="EJ141" s="284" t="n">
        <v>0</v>
      </c>
      <c r="EK141" s="38" t="n"/>
      <c r="EL141" s="284" t="n"/>
      <c r="EM141" s="36" t="n">
        <v>0</v>
      </c>
      <c r="EN141" s="284" t="n">
        <v>0</v>
      </c>
      <c r="EO141" s="38" t="n"/>
      <c r="EP141" s="284" t="n"/>
      <c r="EQ141" s="36">
        <f>$KN141*1</f>
        <v/>
      </c>
      <c r="ER141" s="284" t="n">
        <v>0</v>
      </c>
      <c r="ES141" s="38" t="n">
        <v>0</v>
      </c>
      <c r="ET141" s="284" t="n"/>
      <c r="EU141" s="36">
        <f>$KN141*1</f>
        <v/>
      </c>
      <c r="EV141" s="39" t="n">
        <v>0</v>
      </c>
      <c r="EW141" s="38" t="n">
        <v>0</v>
      </c>
      <c r="EX141" s="284" t="n"/>
      <c r="EY141" s="36">
        <f>$KN141*1</f>
        <v/>
      </c>
      <c r="EZ141" s="155" t="n">
        <v>0</v>
      </c>
      <c r="FA141" s="38" t="n">
        <v>0</v>
      </c>
      <c r="FB141" s="284" t="n"/>
      <c r="FC141" s="36">
        <f>$KN141*2</f>
        <v/>
      </c>
      <c r="FD141" s="155" t="n">
        <v>0</v>
      </c>
      <c r="FE141" s="38" t="n">
        <v>0</v>
      </c>
      <c r="FF141" s="284" t="n"/>
      <c r="FG141" s="36">
        <f>$KN141*2</f>
        <v/>
      </c>
      <c r="FH141" s="155" t="n">
        <v>0</v>
      </c>
      <c r="FI141" s="38" t="n">
        <v>0</v>
      </c>
      <c r="FJ141" s="284" t="n"/>
      <c r="FK141" s="36">
        <f>$KN141*2</f>
        <v/>
      </c>
      <c r="FL141" s="155" t="n">
        <v>0</v>
      </c>
      <c r="FM141" s="38" t="n">
        <v>0</v>
      </c>
      <c r="FN141" s="284" t="n"/>
      <c r="FO141" s="36">
        <f>$KN141*3</f>
        <v/>
      </c>
      <c r="FP141" s="284" t="n">
        <v>3</v>
      </c>
      <c r="FQ141" s="38" t="n">
        <v>0</v>
      </c>
      <c r="FR141" s="284" t="n"/>
      <c r="FS141" s="36">
        <f>$KN141*3</f>
        <v/>
      </c>
      <c r="FT141" s="284" t="n">
        <v>3</v>
      </c>
      <c r="FU141" s="38" t="n">
        <v>0</v>
      </c>
      <c r="FV141" s="284" t="n"/>
      <c r="FW141" s="36">
        <f>$KN141*3</f>
        <v/>
      </c>
      <c r="FX141" s="284" t="n">
        <v>3</v>
      </c>
      <c r="FY141" s="38" t="n">
        <v>0</v>
      </c>
      <c r="FZ141" s="284" t="n"/>
      <c r="GA141" s="338">
        <f t="array" ref="GA141">SUMPRODUCT(--(MOD(COLUMN($EE141:$FZ141),4)=MOD(COLUMN($EE141),4)),$EE141:$FZ141)</f>
        <v/>
      </c>
      <c r="GB141" s="339">
        <f>GA141*$J141</f>
        <v/>
      </c>
      <c r="GC141" s="340">
        <f t="array" ref="GC141">SUMPRODUCT(--(MOD(COLUMN($EE141:$FZ141),4)=MOD(COLUMN($EF141),4)),$EE141:$FZ141)</f>
        <v/>
      </c>
      <c r="GD141" s="341">
        <f>GC141*$J141</f>
        <v/>
      </c>
      <c r="GE141" s="342">
        <f t="array" ref="GE141">SUMPRODUCT(--(MOD(COLUMN($EE141:$FZ141),4)=MOD(COLUMN($EG141),4)),$EE141:$FZ141)</f>
        <v/>
      </c>
      <c r="GF141" s="343">
        <f>GE141*$J141</f>
        <v/>
      </c>
      <c r="GG141" s="36">
        <f>$KN141*3</f>
        <v/>
      </c>
      <c r="GH141" s="284" t="n"/>
      <c r="GI141" s="38" t="n">
        <v>0</v>
      </c>
      <c r="GJ141" s="284" t="n"/>
      <c r="GK141" s="36">
        <f>$KN141*3</f>
        <v/>
      </c>
      <c r="GL141" s="284" t="n"/>
      <c r="GM141" s="38" t="n">
        <v>0</v>
      </c>
      <c r="GN141" s="284" t="n"/>
      <c r="GO141" s="36">
        <f>$KN141*3</f>
        <v/>
      </c>
      <c r="GP141" s="284" t="n"/>
      <c r="GQ141" s="38" t="n">
        <v>0</v>
      </c>
      <c r="GR141" s="284" t="n"/>
      <c r="GS141" s="36">
        <f>$KN141*5</f>
        <v/>
      </c>
      <c r="GT141" s="284" t="n"/>
      <c r="GU141" s="38" t="n">
        <v>0</v>
      </c>
      <c r="GV141" s="284" t="n"/>
      <c r="GW141" s="36">
        <f>$KN141*5</f>
        <v/>
      </c>
      <c r="GX141" s="284" t="n"/>
      <c r="GY141" s="38" t="n">
        <v>0</v>
      </c>
      <c r="GZ141" s="284" t="n"/>
      <c r="HA141" s="36">
        <f>$KN141*5</f>
        <v/>
      </c>
      <c r="HB141" s="284" t="n"/>
      <c r="HC141" s="38" t="n">
        <v>0</v>
      </c>
      <c r="HD141" s="284" t="n"/>
      <c r="HE141" s="36">
        <f>$KN141*5</f>
        <v/>
      </c>
      <c r="HF141" s="284" t="n"/>
      <c r="HG141" s="38" t="n">
        <v>0</v>
      </c>
      <c r="HH141" s="284" t="n"/>
      <c r="HI141" s="36">
        <f>$KN141*5</f>
        <v/>
      </c>
      <c r="HJ141" s="284" t="n"/>
      <c r="HK141" s="38" t="n">
        <v>0</v>
      </c>
      <c r="HL141" s="284" t="n"/>
      <c r="HM141" s="36">
        <f>$KN141*5</f>
        <v/>
      </c>
      <c r="HN141" s="284" t="n"/>
      <c r="HO141" s="38" t="n">
        <v>0</v>
      </c>
      <c r="HP141" s="284" t="n"/>
      <c r="HQ141" s="36">
        <f>$KN141*5</f>
        <v/>
      </c>
      <c r="HR141" s="284" t="n"/>
      <c r="HS141" s="38" t="n">
        <v>0</v>
      </c>
      <c r="HT141" s="284" t="n"/>
      <c r="HU141" s="36">
        <f>$KN141*5</f>
        <v/>
      </c>
      <c r="HV141" s="284" t="n"/>
      <c r="HW141" s="38" t="n">
        <v>0</v>
      </c>
      <c r="HX141" s="284" t="n"/>
      <c r="HY141" s="36">
        <f>$KN141*5</f>
        <v/>
      </c>
      <c r="HZ141" s="284" t="n"/>
      <c r="IA141" s="38" t="n">
        <v>0</v>
      </c>
      <c r="IB141" s="284" t="n"/>
      <c r="IC141" s="338">
        <f t="array" ref="IC141">SUMPRODUCT(--(MOD(COLUMN($GG141:$IB141),4)=MOD(COLUMN($GG141),4)),$GG141:$IB141)</f>
        <v/>
      </c>
      <c r="ID141" s="339">
        <f>IC141*$J141</f>
        <v/>
      </c>
      <c r="IE141" s="340">
        <f t="array" ref="IE141">SUMPRODUCT(--(MOD(COLUMN($GG141:$IB141),4)=MOD(COLUMN($GH141),4)),$GG141:$IB141)</f>
        <v/>
      </c>
      <c r="IF141" s="341">
        <f>IE141*$J141</f>
        <v/>
      </c>
      <c r="IG141" s="342">
        <f t="array" ref="IG141">SUMPRODUCT(--(MOD(COLUMN($GG141:$IB141),4)=MOD(COLUMN($GI141),4)),$GG141:$IB141)</f>
        <v/>
      </c>
      <c r="IH141" s="343">
        <f>IG141*$J141</f>
        <v/>
      </c>
      <c r="II141" s="36">
        <f>$KN141*3</f>
        <v/>
      </c>
      <c r="IJ141" s="284" t="n"/>
      <c r="IK141" s="38" t="n">
        <v>0</v>
      </c>
      <c r="IL141" s="284" t="n"/>
      <c r="IM141" s="36">
        <f>$KN141*3</f>
        <v/>
      </c>
      <c r="IN141" s="284" t="n"/>
      <c r="IO141" s="38" t="n">
        <v>0</v>
      </c>
      <c r="IP141" s="284" t="n"/>
      <c r="IQ141" s="36">
        <f>$KN141*3</f>
        <v/>
      </c>
      <c r="IR141" s="284" t="n"/>
      <c r="IS141" s="38" t="n">
        <v>0</v>
      </c>
      <c r="IT141" s="284" t="n"/>
      <c r="IU141" s="36">
        <f>$KN141*5</f>
        <v/>
      </c>
      <c r="IV141" s="284" t="n"/>
      <c r="IW141" s="38" t="n">
        <v>0</v>
      </c>
      <c r="IX141" s="284" t="n"/>
      <c r="IY141" s="36">
        <f>$KN141*5</f>
        <v/>
      </c>
      <c r="IZ141" s="284" t="n"/>
      <c r="JA141" s="38" t="n">
        <v>0</v>
      </c>
      <c r="JB141" s="284" t="n"/>
      <c r="JC141" s="36">
        <f>$KN141*5</f>
        <v/>
      </c>
      <c r="JD141" s="284" t="n"/>
      <c r="JE141" s="38" t="n">
        <v>0</v>
      </c>
      <c r="JF141" s="284" t="n"/>
      <c r="JG141" s="36">
        <f>$KN141*5</f>
        <v/>
      </c>
      <c r="JH141" s="284" t="n"/>
      <c r="JI141" s="38" t="n">
        <v>0</v>
      </c>
      <c r="JJ141" s="284" t="n"/>
      <c r="JK141" s="36">
        <f>$KN141*5</f>
        <v/>
      </c>
      <c r="JL141" s="284" t="n"/>
      <c r="JM141" s="38" t="n">
        <v>0</v>
      </c>
      <c r="JN141" s="284" t="n"/>
      <c r="JO141" s="36">
        <f>$KN141*5</f>
        <v/>
      </c>
      <c r="JP141" s="284" t="n"/>
      <c r="JQ141" s="38" t="n">
        <v>0</v>
      </c>
      <c r="JR141" s="284" t="n"/>
      <c r="JS141" s="36">
        <f>$KN141*5</f>
        <v/>
      </c>
      <c r="JT141" s="284" t="n"/>
      <c r="JU141" s="38" t="n">
        <v>0</v>
      </c>
      <c r="JV141" s="284" t="n"/>
      <c r="JW141" s="36">
        <f>$KN141*5</f>
        <v/>
      </c>
      <c r="JX141" s="284" t="n"/>
      <c r="JY141" s="38" t="n">
        <v>0</v>
      </c>
      <c r="JZ141" s="284" t="n"/>
      <c r="KA141" s="36">
        <f>$KN141*5</f>
        <v/>
      </c>
      <c r="KB141" s="284" t="n"/>
      <c r="KC141" s="38" t="n">
        <v>0</v>
      </c>
      <c r="KD141" s="284" t="n"/>
      <c r="KE141" s="338">
        <f t="array" ref="KE141">SUMPRODUCT(--(MOD(COLUMN($II141:$KD141),4)=MOD(COLUMN($II141),4)),$II141:$KD141)</f>
        <v/>
      </c>
      <c r="KF141" s="339">
        <f>KE141*$J141</f>
        <v/>
      </c>
      <c r="KG141" s="340">
        <f t="array" ref="KG141">SUMPRODUCT(--(MOD(COLUMN($II141:$KD141),4)=MOD(COLUMN($IJ141),4)),$II141:$KD141)</f>
        <v/>
      </c>
      <c r="KH141" s="341">
        <f>KG141*$J141</f>
        <v/>
      </c>
      <c r="KI141" s="342">
        <f t="array" ref="KI141">SUMPRODUCT(--(MOD(COLUMN($II141:$KD141),4)=MOD(COLUMN($IK141),4)),$II141:$KD141)</f>
        <v/>
      </c>
      <c r="KJ141" s="346">
        <f>KI141*$J141</f>
        <v/>
      </c>
      <c r="KK141" s="80" t="n"/>
      <c r="KL141" s="80" t="n"/>
      <c r="KM141" s="80" t="n"/>
      <c r="KN141" s="51" t="n">
        <v>1</v>
      </c>
      <c r="KO141" s="347" t="n"/>
    </row>
    <row r="142" outlineLevel="1" ht="28.8" customFormat="1" customHeight="1" s="68">
      <c r="A142" s="347" t="n"/>
      <c r="B142" s="347" t="n"/>
      <c r="C142" s="347" t="n"/>
      <c r="D142" s="347" t="n"/>
      <c r="E142" s="60" t="n">
        <v>8</v>
      </c>
      <c r="F142" s="60" t="n">
        <v>1</v>
      </c>
      <c r="G142" s="56" t="n">
        <v>4630320200</v>
      </c>
      <c r="H142" s="57" t="inlineStr">
        <is>
          <t>Кран ручного управления</t>
        </is>
      </c>
      <c r="I142" s="348" t="n">
        <v>456.9727891156463</v>
      </c>
      <c r="J142" s="337">
        <f>537.4/1.2*1.0863</f>
        <v/>
      </c>
      <c r="K142" s="348" t="n"/>
      <c r="L142" s="348" t="n"/>
      <c r="M142" s="36" t="n"/>
      <c r="N142" s="284" t="n"/>
      <c r="O142" s="38" t="n"/>
      <c r="P142" s="284" t="n"/>
      <c r="Q142" s="36" t="n"/>
      <c r="R142" s="284" t="n"/>
      <c r="S142" s="38" t="n"/>
      <c r="T142" s="284" t="n"/>
      <c r="U142" s="36" t="n"/>
      <c r="V142" s="284" t="n"/>
      <c r="W142" s="38" t="n"/>
      <c r="X142" s="284" t="n"/>
      <c r="Y142" s="36" t="n"/>
      <c r="Z142" s="284" t="n"/>
      <c r="AA142" s="38" t="n"/>
      <c r="AB142" s="284" t="n"/>
      <c r="AC142" s="36" t="n"/>
      <c r="AD142" s="284" t="n"/>
      <c r="AE142" s="38" t="n"/>
      <c r="AF142" s="284" t="n"/>
      <c r="AG142" s="36" t="n"/>
      <c r="AH142" s="284" t="n"/>
      <c r="AI142" s="38" t="n"/>
      <c r="AJ142" s="284" t="n"/>
      <c r="AK142" s="36" t="n"/>
      <c r="AL142" s="284" t="n"/>
      <c r="AM142" s="38" t="n"/>
      <c r="AN142" s="284" t="n"/>
      <c r="AO142" s="36" t="n"/>
      <c r="AP142" s="284" t="n"/>
      <c r="AQ142" s="38" t="n"/>
      <c r="AR142" s="284" t="n"/>
      <c r="AS142" s="36" t="n"/>
      <c r="AT142" s="284" t="n"/>
      <c r="AU142" s="38" t="n">
        <v>0</v>
      </c>
      <c r="AV142" s="284" t="n"/>
      <c r="AW142" s="36" t="n"/>
      <c r="AX142" s="284" t="n"/>
      <c r="AY142" s="38" t="n">
        <v>0</v>
      </c>
      <c r="AZ142" s="284" t="n"/>
      <c r="BA142" s="36" t="n"/>
      <c r="BB142" s="284" t="n"/>
      <c r="BC142" s="99" t="n">
        <v>0</v>
      </c>
      <c r="BD142" s="284" t="n"/>
      <c r="BE142" s="36" t="n"/>
      <c r="BF142" s="284" t="n"/>
      <c r="BG142" s="54" t="n">
        <v>0</v>
      </c>
      <c r="BH142" s="284" t="n"/>
      <c r="BI142" s="338">
        <f>SUMPRODUCT(--(MOD(COLUMN($M142:$BH142),4)=MOD(COLUMN($M142),4)),$M142:$BH142)</f>
        <v/>
      </c>
      <c r="BJ142" s="339">
        <f>BI142*$I142</f>
        <v/>
      </c>
      <c r="BK142" s="340">
        <f>SUMPRODUCT(--(MOD(COLUMN($M142:$BH142),4)=MOD(COLUMN($M142)+1,4)),$M142:$BH142)</f>
        <v/>
      </c>
      <c r="BL142" s="341">
        <f>BK142*$I142</f>
        <v/>
      </c>
      <c r="BM142" s="342">
        <f>SUMPRODUCT(--(MOD(COLUMN($M142:$BH142),4)=MOD(COLUMN($M142)+2,4)),$M142:$BH142)</f>
        <v/>
      </c>
      <c r="BN142" s="343">
        <f>BM142*$I142</f>
        <v/>
      </c>
      <c r="BO142" s="36" t="n"/>
      <c r="BP142" s="47" t="n"/>
      <c r="BQ142" s="284" t="n"/>
      <c r="BR142" s="38" t="n">
        <v>0</v>
      </c>
      <c r="BS142" s="347" t="n"/>
      <c r="BT142" s="36" t="n"/>
      <c r="BU142" s="47" t="n"/>
      <c r="BV142" s="284" t="n"/>
      <c r="BW142" s="38" t="n">
        <v>0</v>
      </c>
      <c r="BX142" s="284" t="n"/>
      <c r="BY142" s="36">
        <f>$KN142*1</f>
        <v/>
      </c>
      <c r="BZ142" s="47">
        <f>$KN142*1</f>
        <v/>
      </c>
      <c r="CA142" s="284" t="n">
        <v>0</v>
      </c>
      <c r="CB142" s="38" t="n">
        <v>0</v>
      </c>
      <c r="CC142" s="284" t="n"/>
      <c r="CD142" s="36">
        <f>$KN142*0</f>
        <v/>
      </c>
      <c r="CE142" s="47">
        <f>$KN142*0</f>
        <v/>
      </c>
      <c r="CF142" s="284" t="n">
        <v>0</v>
      </c>
      <c r="CG142" s="38" t="n">
        <v>0</v>
      </c>
      <c r="CH142" s="284" t="n"/>
      <c r="CI142" s="36">
        <f>$KN142*5</f>
        <v/>
      </c>
      <c r="CJ142" s="47">
        <f>$KN142*3</f>
        <v/>
      </c>
      <c r="CK142" s="284" t="n">
        <v>0</v>
      </c>
      <c r="CL142" s="38" t="n">
        <v>0</v>
      </c>
      <c r="CM142" s="284" t="n"/>
      <c r="CN142" s="36">
        <f>$KN142*5</f>
        <v/>
      </c>
      <c r="CO142" s="47">
        <f>$KN142*3</f>
        <v/>
      </c>
      <c r="CP142" s="284">
        <f>$KN142*0</f>
        <v/>
      </c>
      <c r="CQ142" s="38" t="n">
        <v>0</v>
      </c>
      <c r="CR142" s="284" t="n"/>
      <c r="CS142" s="36">
        <f>$KN142*5</f>
        <v/>
      </c>
      <c r="CT142" s="47">
        <f>$KN142*3</f>
        <v/>
      </c>
      <c r="CU142" s="39">
        <f>$KN142*0</f>
        <v/>
      </c>
      <c r="CV142" s="38" t="n">
        <v>0</v>
      </c>
      <c r="CW142" s="284" t="n"/>
      <c r="CX142" s="36">
        <f>$KN142*5</f>
        <v/>
      </c>
      <c r="CY142" s="47">
        <f>$KN142*3</f>
        <v/>
      </c>
      <c r="CZ142" s="284">
        <f>$KN142*0</f>
        <v/>
      </c>
      <c r="DA142" s="38" t="n">
        <v>0</v>
      </c>
      <c r="DB142" s="284" t="n"/>
      <c r="DC142" s="36">
        <f>$KN142*5</f>
        <v/>
      </c>
      <c r="DD142" s="47">
        <f>$KN142*3</f>
        <v/>
      </c>
      <c r="DE142" s="284">
        <f>$KN142*0</f>
        <v/>
      </c>
      <c r="DF142" s="38" t="n">
        <v>0</v>
      </c>
      <c r="DG142" s="284" t="n"/>
      <c r="DH142" s="36">
        <f>$KN142*5</f>
        <v/>
      </c>
      <c r="DI142" s="47">
        <f>$KN142*3</f>
        <v/>
      </c>
      <c r="DJ142" s="284">
        <f>$KN142*0</f>
        <v/>
      </c>
      <c r="DK142" s="52" t="n">
        <v>0</v>
      </c>
      <c r="DL142" s="284" t="n"/>
      <c r="DM142" s="36">
        <f>$KN142*5</f>
        <v/>
      </c>
      <c r="DN142" s="47">
        <f>$KN142*3</f>
        <v/>
      </c>
      <c r="DO142" s="284">
        <f>$KN142*0</f>
        <v/>
      </c>
      <c r="DP142" s="38" t="n">
        <v>0</v>
      </c>
      <c r="DQ142" s="284" t="n"/>
      <c r="DR142" s="36">
        <f>$KN142*5</f>
        <v/>
      </c>
      <c r="DS142" s="47">
        <f>$KN142*3</f>
        <v/>
      </c>
      <c r="DT142" s="284">
        <f>$KN142*0</f>
        <v/>
      </c>
      <c r="DU142" s="38" t="n">
        <v>0</v>
      </c>
      <c r="DV142" s="284" t="n"/>
      <c r="DW142" s="338">
        <f t="array" ref="DW142">SUMPRODUCT(--(MOD(COLUMN($BO142:$DV142),5)=MOD(COLUMN($BO142),5)),$BO142:$DV142)</f>
        <v/>
      </c>
      <c r="DX142" s="339">
        <f>DW142*$J142</f>
        <v/>
      </c>
      <c r="DY142" s="344">
        <f t="array" ref="DY142">SUMPRODUCT(--(MOD(COLUMN($BO142:$DV142),5)=MOD(COLUMN($BP142),5)),$BO142:$DV142)</f>
        <v/>
      </c>
      <c r="DZ142" s="345">
        <f>DY142*$J142</f>
        <v/>
      </c>
      <c r="EA142" s="340">
        <f t="array" ref="EA142">SUMPRODUCT(--(MOD(COLUMN($BO142:$DV142),5)=MOD(COLUMN($BQ142),5)),$BO142:$DV142)</f>
        <v/>
      </c>
      <c r="EB142" s="341">
        <f>EA142*$J142</f>
        <v/>
      </c>
      <c r="EC142" s="342">
        <f t="array" ref="EC142">SUMPRODUCT(--(MOD(COLUMN($BO142:$DV142),5)=MOD(COLUMN($BR142),5)),$BO142:$DV142)</f>
        <v/>
      </c>
      <c r="ED142" s="343">
        <f>EC142*$J142</f>
        <v/>
      </c>
      <c r="EE142" s="36" t="n">
        <v>0</v>
      </c>
      <c r="EF142" s="284" t="n">
        <v>0</v>
      </c>
      <c r="EG142" s="38" t="n"/>
      <c r="EH142" s="284" t="n"/>
      <c r="EI142" s="36" t="n">
        <v>0</v>
      </c>
      <c r="EJ142" s="284" t="n">
        <v>0</v>
      </c>
      <c r="EK142" s="38" t="n"/>
      <c r="EL142" s="284" t="n"/>
      <c r="EM142" s="36" t="n">
        <v>0</v>
      </c>
      <c r="EN142" s="284" t="n">
        <v>0</v>
      </c>
      <c r="EO142" s="38" t="n"/>
      <c r="EP142" s="284" t="n"/>
      <c r="EQ142" s="36">
        <f>$KN142*1</f>
        <v/>
      </c>
      <c r="ER142" s="284" t="n">
        <v>0</v>
      </c>
      <c r="ES142" s="38" t="n">
        <v>0</v>
      </c>
      <c r="ET142" s="284" t="n"/>
      <c r="EU142" s="36">
        <f>$KN142*1</f>
        <v/>
      </c>
      <c r="EV142" s="39" t="n">
        <v>0</v>
      </c>
      <c r="EW142" s="38" t="n">
        <v>0</v>
      </c>
      <c r="EX142" s="284" t="n"/>
      <c r="EY142" s="36">
        <f>$KN142*1</f>
        <v/>
      </c>
      <c r="EZ142" s="155" t="n">
        <v>0</v>
      </c>
      <c r="FA142" s="38" t="n">
        <v>0</v>
      </c>
      <c r="FB142" s="284" t="n"/>
      <c r="FC142" s="36">
        <f>$KN142*2</f>
        <v/>
      </c>
      <c r="FD142" s="155" t="n">
        <v>0</v>
      </c>
      <c r="FE142" s="38" t="n">
        <v>0</v>
      </c>
      <c r="FF142" s="284" t="n"/>
      <c r="FG142" s="36">
        <f>$KN142*2</f>
        <v/>
      </c>
      <c r="FH142" s="155" t="n">
        <v>0</v>
      </c>
      <c r="FI142" s="38" t="n">
        <v>0</v>
      </c>
      <c r="FJ142" s="284" t="n"/>
      <c r="FK142" s="36">
        <f>$KN142*2</f>
        <v/>
      </c>
      <c r="FL142" s="155" t="n">
        <v>0</v>
      </c>
      <c r="FM142" s="38" t="n">
        <v>0</v>
      </c>
      <c r="FN142" s="284" t="n"/>
      <c r="FO142" s="36">
        <f>$KN142*3</f>
        <v/>
      </c>
      <c r="FP142" s="284" t="n">
        <v>3</v>
      </c>
      <c r="FQ142" s="38" t="n">
        <v>0</v>
      </c>
      <c r="FR142" s="284" t="n"/>
      <c r="FS142" s="36">
        <f>$KN142*3</f>
        <v/>
      </c>
      <c r="FT142" s="284" t="n">
        <v>3</v>
      </c>
      <c r="FU142" s="38" t="n">
        <v>0</v>
      </c>
      <c r="FV142" s="284" t="n"/>
      <c r="FW142" s="36">
        <f>$KN142*3</f>
        <v/>
      </c>
      <c r="FX142" s="284" t="n">
        <v>3</v>
      </c>
      <c r="FY142" s="38" t="n">
        <v>0</v>
      </c>
      <c r="FZ142" s="284" t="n"/>
      <c r="GA142" s="338">
        <f t="array" ref="GA142">SUMPRODUCT(--(MOD(COLUMN($EE142:$FZ142),4)=MOD(COLUMN($EE142),4)),$EE142:$FZ142)</f>
        <v/>
      </c>
      <c r="GB142" s="339">
        <f>GA142*$J142</f>
        <v/>
      </c>
      <c r="GC142" s="340">
        <f t="array" ref="GC142">SUMPRODUCT(--(MOD(COLUMN($EE142:$FZ142),4)=MOD(COLUMN($EF142),4)),$EE142:$FZ142)</f>
        <v/>
      </c>
      <c r="GD142" s="341">
        <f>GC142*$J142</f>
        <v/>
      </c>
      <c r="GE142" s="342">
        <f t="array" ref="GE142">SUMPRODUCT(--(MOD(COLUMN($EE142:$FZ142),4)=MOD(COLUMN($EG142),4)),$EE142:$FZ142)</f>
        <v/>
      </c>
      <c r="GF142" s="343">
        <f>GE142*$J142</f>
        <v/>
      </c>
      <c r="GG142" s="36">
        <f>$KN142*3</f>
        <v/>
      </c>
      <c r="GH142" s="284" t="n"/>
      <c r="GI142" s="38" t="n">
        <v>0</v>
      </c>
      <c r="GJ142" s="284" t="n"/>
      <c r="GK142" s="36">
        <f>$KN142*3</f>
        <v/>
      </c>
      <c r="GL142" s="284" t="n"/>
      <c r="GM142" s="38" t="n">
        <v>0</v>
      </c>
      <c r="GN142" s="284" t="n"/>
      <c r="GO142" s="36">
        <f>$KN142*3</f>
        <v/>
      </c>
      <c r="GP142" s="284" t="n"/>
      <c r="GQ142" s="38" t="n">
        <v>0</v>
      </c>
      <c r="GR142" s="284" t="n"/>
      <c r="GS142" s="36">
        <f>$KN142*5</f>
        <v/>
      </c>
      <c r="GT142" s="284" t="n"/>
      <c r="GU142" s="38" t="n">
        <v>0</v>
      </c>
      <c r="GV142" s="284" t="n"/>
      <c r="GW142" s="36">
        <f>$KN142*5</f>
        <v/>
      </c>
      <c r="GX142" s="284" t="n"/>
      <c r="GY142" s="38" t="n">
        <v>0</v>
      </c>
      <c r="GZ142" s="284" t="n"/>
      <c r="HA142" s="36">
        <f>$KN142*5</f>
        <v/>
      </c>
      <c r="HB142" s="284" t="n"/>
      <c r="HC142" s="38" t="n">
        <v>0</v>
      </c>
      <c r="HD142" s="284" t="n"/>
      <c r="HE142" s="36">
        <f>$KN142*5</f>
        <v/>
      </c>
      <c r="HF142" s="284" t="n"/>
      <c r="HG142" s="38" t="n">
        <v>0</v>
      </c>
      <c r="HH142" s="284" t="n"/>
      <c r="HI142" s="36">
        <f>$KN142*5</f>
        <v/>
      </c>
      <c r="HJ142" s="284" t="n"/>
      <c r="HK142" s="38" t="n">
        <v>0</v>
      </c>
      <c r="HL142" s="284" t="n"/>
      <c r="HM142" s="36">
        <f>$KN142*5</f>
        <v/>
      </c>
      <c r="HN142" s="284" t="n"/>
      <c r="HO142" s="38" t="n">
        <v>0</v>
      </c>
      <c r="HP142" s="284" t="n"/>
      <c r="HQ142" s="36">
        <f>$KN142*5</f>
        <v/>
      </c>
      <c r="HR142" s="284" t="n"/>
      <c r="HS142" s="38" t="n">
        <v>0</v>
      </c>
      <c r="HT142" s="284" t="n"/>
      <c r="HU142" s="36">
        <f>$KN142*5</f>
        <v/>
      </c>
      <c r="HV142" s="284" t="n"/>
      <c r="HW142" s="38" t="n">
        <v>0</v>
      </c>
      <c r="HX142" s="284" t="n"/>
      <c r="HY142" s="36">
        <f>$KN142*5</f>
        <v/>
      </c>
      <c r="HZ142" s="284" t="n"/>
      <c r="IA142" s="38" t="n">
        <v>0</v>
      </c>
      <c r="IB142" s="284" t="n"/>
      <c r="IC142" s="338">
        <f t="array" ref="IC142">SUMPRODUCT(--(MOD(COLUMN($GG142:$IB142),4)=MOD(COLUMN($GG142),4)),$GG142:$IB142)</f>
        <v/>
      </c>
      <c r="ID142" s="339">
        <f>IC142*$J142</f>
        <v/>
      </c>
      <c r="IE142" s="340">
        <f t="array" ref="IE142">SUMPRODUCT(--(MOD(COLUMN($GG142:$IB142),4)=MOD(COLUMN($GH142),4)),$GG142:$IB142)</f>
        <v/>
      </c>
      <c r="IF142" s="341">
        <f>IE142*$J142</f>
        <v/>
      </c>
      <c r="IG142" s="342">
        <f t="array" ref="IG142">SUMPRODUCT(--(MOD(COLUMN($GG142:$IB142),4)=MOD(COLUMN($GI142),4)),$GG142:$IB142)</f>
        <v/>
      </c>
      <c r="IH142" s="343">
        <f>IG142*$J142</f>
        <v/>
      </c>
      <c r="II142" s="36">
        <f>$KN142*3</f>
        <v/>
      </c>
      <c r="IJ142" s="284" t="n"/>
      <c r="IK142" s="38" t="n">
        <v>0</v>
      </c>
      <c r="IL142" s="284" t="n"/>
      <c r="IM142" s="36">
        <f>$KN142*3</f>
        <v/>
      </c>
      <c r="IN142" s="284" t="n"/>
      <c r="IO142" s="38" t="n">
        <v>0</v>
      </c>
      <c r="IP142" s="284" t="n"/>
      <c r="IQ142" s="36">
        <f>$KN142*3</f>
        <v/>
      </c>
      <c r="IR142" s="284" t="n"/>
      <c r="IS142" s="38" t="n">
        <v>0</v>
      </c>
      <c r="IT142" s="284" t="n"/>
      <c r="IU142" s="36">
        <f>$KN142*5</f>
        <v/>
      </c>
      <c r="IV142" s="284" t="n"/>
      <c r="IW142" s="38" t="n">
        <v>0</v>
      </c>
      <c r="IX142" s="284" t="n"/>
      <c r="IY142" s="36">
        <f>$KN142*5</f>
        <v/>
      </c>
      <c r="IZ142" s="284" t="n"/>
      <c r="JA142" s="38" t="n">
        <v>0</v>
      </c>
      <c r="JB142" s="284" t="n"/>
      <c r="JC142" s="36">
        <f>$KN142*5</f>
        <v/>
      </c>
      <c r="JD142" s="284" t="n"/>
      <c r="JE142" s="38" t="n">
        <v>0</v>
      </c>
      <c r="JF142" s="284" t="n"/>
      <c r="JG142" s="36">
        <f>$KN142*5</f>
        <v/>
      </c>
      <c r="JH142" s="284" t="n"/>
      <c r="JI142" s="38" t="n">
        <v>0</v>
      </c>
      <c r="JJ142" s="284" t="n"/>
      <c r="JK142" s="36">
        <f>$KN142*5</f>
        <v/>
      </c>
      <c r="JL142" s="284" t="n"/>
      <c r="JM142" s="38" t="n">
        <v>0</v>
      </c>
      <c r="JN142" s="284" t="n"/>
      <c r="JO142" s="36">
        <f>$KN142*5</f>
        <v/>
      </c>
      <c r="JP142" s="284" t="n"/>
      <c r="JQ142" s="38" t="n">
        <v>0</v>
      </c>
      <c r="JR142" s="284" t="n"/>
      <c r="JS142" s="36">
        <f>$KN142*5</f>
        <v/>
      </c>
      <c r="JT142" s="284" t="n"/>
      <c r="JU142" s="38" t="n">
        <v>0</v>
      </c>
      <c r="JV142" s="284" t="n"/>
      <c r="JW142" s="36">
        <f>$KN142*5</f>
        <v/>
      </c>
      <c r="JX142" s="284" t="n"/>
      <c r="JY142" s="38" t="n">
        <v>0</v>
      </c>
      <c r="JZ142" s="284" t="n"/>
      <c r="KA142" s="36">
        <f>$KN142*5</f>
        <v/>
      </c>
      <c r="KB142" s="284" t="n"/>
      <c r="KC142" s="38" t="n">
        <v>0</v>
      </c>
      <c r="KD142" s="284" t="n"/>
      <c r="KE142" s="338">
        <f t="array" ref="KE142">SUMPRODUCT(--(MOD(COLUMN($II142:$KD142),4)=MOD(COLUMN($II142),4)),$II142:$KD142)</f>
        <v/>
      </c>
      <c r="KF142" s="339">
        <f>KE142*$J142</f>
        <v/>
      </c>
      <c r="KG142" s="340">
        <f t="array" ref="KG142">SUMPRODUCT(--(MOD(COLUMN($II142:$KD142),4)=MOD(COLUMN($IJ142),4)),$II142:$KD142)</f>
        <v/>
      </c>
      <c r="KH142" s="341">
        <f>KG142*$J142</f>
        <v/>
      </c>
      <c r="KI142" s="342">
        <f t="array" ref="KI142">SUMPRODUCT(--(MOD(COLUMN($II142:$KD142),4)=MOD(COLUMN($IK142),4)),$II142:$KD142)</f>
        <v/>
      </c>
      <c r="KJ142" s="346">
        <f>KI142*$J142</f>
        <v/>
      </c>
      <c r="KK142" s="80" t="n"/>
      <c r="KL142" s="80" t="n"/>
      <c r="KM142" s="80" t="n"/>
      <c r="KN142" s="51" t="n">
        <v>1</v>
      </c>
      <c r="KO142" s="347" t="n"/>
    </row>
    <row r="143" outlineLevel="1" customFormat="1" s="68">
      <c r="A143" s="347" t="n"/>
      <c r="B143" s="347" t="n"/>
      <c r="C143" s="347" t="n"/>
      <c r="D143" s="347" t="n"/>
      <c r="E143" s="60" t="n">
        <v>9</v>
      </c>
      <c r="F143" s="60" t="n">
        <v>1</v>
      </c>
      <c r="G143" s="56" t="n">
        <v>4334010030</v>
      </c>
      <c r="H143" s="57" t="inlineStr">
        <is>
          <t>Упругий элемент</t>
        </is>
      </c>
      <c r="I143" s="348" t="n">
        <v>35.62925170068027</v>
      </c>
      <c r="J143" s="337">
        <f>41.9/1.2*1.0863</f>
        <v/>
      </c>
      <c r="K143" s="348" t="n"/>
      <c r="L143" s="348" t="n"/>
      <c r="M143" s="36" t="n"/>
      <c r="N143" s="284" t="n"/>
      <c r="O143" s="38" t="n"/>
      <c r="P143" s="284" t="n"/>
      <c r="Q143" s="36" t="n"/>
      <c r="R143" s="284" t="n"/>
      <c r="S143" s="38" t="n"/>
      <c r="T143" s="284" t="n"/>
      <c r="U143" s="36" t="n"/>
      <c r="V143" s="284" t="n"/>
      <c r="W143" s="38" t="n"/>
      <c r="X143" s="284" t="n"/>
      <c r="Y143" s="36" t="n"/>
      <c r="Z143" s="284" t="n"/>
      <c r="AA143" s="38" t="n"/>
      <c r="AB143" s="284" t="n"/>
      <c r="AC143" s="36" t="n"/>
      <c r="AD143" s="284" t="n"/>
      <c r="AE143" s="38" t="n"/>
      <c r="AF143" s="284" t="n"/>
      <c r="AG143" s="36" t="n"/>
      <c r="AH143" s="284" t="n"/>
      <c r="AI143" s="38" t="n"/>
      <c r="AJ143" s="284" t="n"/>
      <c r="AK143" s="36" t="n"/>
      <c r="AL143" s="284" t="n"/>
      <c r="AM143" s="38" t="n"/>
      <c r="AN143" s="284" t="n"/>
      <c r="AO143" s="36" t="n"/>
      <c r="AP143" s="284" t="n"/>
      <c r="AQ143" s="38" t="n"/>
      <c r="AR143" s="284" t="n"/>
      <c r="AS143" s="36" t="n"/>
      <c r="AT143" s="284" t="n"/>
      <c r="AU143" s="38" t="n">
        <v>0</v>
      </c>
      <c r="AV143" s="284" t="n"/>
      <c r="AW143" s="36" t="n"/>
      <c r="AX143" s="284" t="n"/>
      <c r="AY143" s="38" t="n">
        <v>0</v>
      </c>
      <c r="AZ143" s="284" t="n"/>
      <c r="BA143" s="36" t="n"/>
      <c r="BB143" s="284" t="n"/>
      <c r="BC143" s="99" t="n">
        <v>0</v>
      </c>
      <c r="BD143" s="284" t="n"/>
      <c r="BE143" s="36" t="n"/>
      <c r="BF143" s="284" t="n"/>
      <c r="BG143" s="54" t="n">
        <v>0</v>
      </c>
      <c r="BH143" s="284" t="n"/>
      <c r="BI143" s="338">
        <f>SUMPRODUCT(--(MOD(COLUMN($M143:$BH143),4)=MOD(COLUMN($M143),4)),$M143:$BH143)</f>
        <v/>
      </c>
      <c r="BJ143" s="339">
        <f>BI143*$I143</f>
        <v/>
      </c>
      <c r="BK143" s="340">
        <f>SUMPRODUCT(--(MOD(COLUMN($M143:$BH143),4)=MOD(COLUMN($M143)+1,4)),$M143:$BH143)</f>
        <v/>
      </c>
      <c r="BL143" s="341">
        <f>BK143*$I143</f>
        <v/>
      </c>
      <c r="BM143" s="342">
        <f>SUMPRODUCT(--(MOD(COLUMN($M143:$BH143),4)=MOD(COLUMN($M143)+2,4)),$M143:$BH143)</f>
        <v/>
      </c>
      <c r="BN143" s="343">
        <f>BM143*$I143</f>
        <v/>
      </c>
      <c r="BO143" s="36" t="n"/>
      <c r="BP143" s="47" t="n"/>
      <c r="BQ143" s="284" t="n"/>
      <c r="BR143" s="38" t="n">
        <v>0</v>
      </c>
      <c r="BS143" s="347" t="n"/>
      <c r="BT143" s="36" t="n"/>
      <c r="BU143" s="47" t="n"/>
      <c r="BV143" s="284" t="n"/>
      <c r="BW143" s="38" t="n">
        <v>0</v>
      </c>
      <c r="BX143" s="284" t="n"/>
      <c r="BY143" s="36">
        <f>$KN143*1</f>
        <v/>
      </c>
      <c r="BZ143" s="47">
        <f>$KN143*1</f>
        <v/>
      </c>
      <c r="CA143" s="284" t="n">
        <v>0</v>
      </c>
      <c r="CB143" s="38" t="n">
        <v>0</v>
      </c>
      <c r="CC143" s="284" t="n"/>
      <c r="CD143" s="36">
        <f>$KN143*0</f>
        <v/>
      </c>
      <c r="CE143" s="47">
        <f>$KN143*0</f>
        <v/>
      </c>
      <c r="CF143" s="284" t="n">
        <v>0</v>
      </c>
      <c r="CG143" s="38" t="n">
        <v>0</v>
      </c>
      <c r="CH143" s="284" t="n"/>
      <c r="CI143" s="36">
        <f>$KN143*5</f>
        <v/>
      </c>
      <c r="CJ143" s="47">
        <f>$KN143*3</f>
        <v/>
      </c>
      <c r="CK143" s="284" t="n">
        <v>0</v>
      </c>
      <c r="CL143" s="38" t="n">
        <v>0</v>
      </c>
      <c r="CM143" s="284" t="n"/>
      <c r="CN143" s="36">
        <f>$KN143*5</f>
        <v/>
      </c>
      <c r="CO143" s="47">
        <f>$KN143*3</f>
        <v/>
      </c>
      <c r="CP143" s="284">
        <f>$KN143*0</f>
        <v/>
      </c>
      <c r="CQ143" s="38" t="n">
        <v>0</v>
      </c>
      <c r="CR143" s="284" t="n"/>
      <c r="CS143" s="36">
        <f>$KN143*5</f>
        <v/>
      </c>
      <c r="CT143" s="47">
        <f>$KN143*3</f>
        <v/>
      </c>
      <c r="CU143" s="39">
        <f>$KN143*0</f>
        <v/>
      </c>
      <c r="CV143" s="38" t="n">
        <v>0</v>
      </c>
      <c r="CW143" s="284" t="n"/>
      <c r="CX143" s="36">
        <f>$KN143*5</f>
        <v/>
      </c>
      <c r="CY143" s="47">
        <f>$KN143*3</f>
        <v/>
      </c>
      <c r="CZ143" s="284">
        <f>$KN143*0</f>
        <v/>
      </c>
      <c r="DA143" s="38" t="n">
        <v>0</v>
      </c>
      <c r="DB143" s="284" t="n"/>
      <c r="DC143" s="36">
        <f>$KN143*5</f>
        <v/>
      </c>
      <c r="DD143" s="47">
        <f>$KN143*3</f>
        <v/>
      </c>
      <c r="DE143" s="284">
        <f>$KN143*0</f>
        <v/>
      </c>
      <c r="DF143" s="38" t="n">
        <v>0</v>
      </c>
      <c r="DG143" s="284" t="n"/>
      <c r="DH143" s="36">
        <f>$KN143*5</f>
        <v/>
      </c>
      <c r="DI143" s="47">
        <f>$KN143*3</f>
        <v/>
      </c>
      <c r="DJ143" s="284">
        <f>$KN143*0</f>
        <v/>
      </c>
      <c r="DK143" s="38" t="n">
        <v>0</v>
      </c>
      <c r="DL143" s="284" t="n"/>
      <c r="DM143" s="36">
        <f>$KN143*5</f>
        <v/>
      </c>
      <c r="DN143" s="47">
        <f>$KN143*3</f>
        <v/>
      </c>
      <c r="DO143" s="284">
        <f>$KN143*0</f>
        <v/>
      </c>
      <c r="DP143" s="38" t="n">
        <v>0</v>
      </c>
      <c r="DQ143" s="284" t="n"/>
      <c r="DR143" s="36">
        <f>$KN143*5</f>
        <v/>
      </c>
      <c r="DS143" s="47">
        <f>$KN143*3</f>
        <v/>
      </c>
      <c r="DT143" s="284">
        <f>$KN143*0</f>
        <v/>
      </c>
      <c r="DU143" s="38" t="n">
        <v>0</v>
      </c>
      <c r="DV143" s="284" t="n"/>
      <c r="DW143" s="338">
        <f t="array" ref="DW143">SUMPRODUCT(--(MOD(COLUMN($BO143:$DV143),5)=MOD(COLUMN($BO143),5)),$BO143:$DV143)</f>
        <v/>
      </c>
      <c r="DX143" s="339">
        <f>DW143*$J143</f>
        <v/>
      </c>
      <c r="DY143" s="344">
        <f t="array" ref="DY143">SUMPRODUCT(--(MOD(COLUMN($BO143:$DV143),5)=MOD(COLUMN($BP143),5)),$BO143:$DV143)</f>
        <v/>
      </c>
      <c r="DZ143" s="345">
        <f>DY143*$J143</f>
        <v/>
      </c>
      <c r="EA143" s="340">
        <f t="array" ref="EA143">SUMPRODUCT(--(MOD(COLUMN($BO143:$DV143),5)=MOD(COLUMN($BQ143),5)),$BO143:$DV143)</f>
        <v/>
      </c>
      <c r="EB143" s="341">
        <f>EA143*$J143</f>
        <v/>
      </c>
      <c r="EC143" s="342">
        <f t="array" ref="EC143">SUMPRODUCT(--(MOD(COLUMN($BO143:$DV143),5)=MOD(COLUMN($BR143),5)),$BO143:$DV143)</f>
        <v/>
      </c>
      <c r="ED143" s="343">
        <f>EC143*$J143</f>
        <v/>
      </c>
      <c r="EE143" s="36" t="n">
        <v>0</v>
      </c>
      <c r="EF143" s="284" t="n">
        <v>0</v>
      </c>
      <c r="EG143" s="38" t="n"/>
      <c r="EH143" s="284" t="n"/>
      <c r="EI143" s="36" t="n">
        <v>0</v>
      </c>
      <c r="EJ143" s="284" t="n">
        <v>0</v>
      </c>
      <c r="EK143" s="38" t="n"/>
      <c r="EL143" s="284" t="n"/>
      <c r="EM143" s="36" t="n">
        <v>0</v>
      </c>
      <c r="EN143" s="284" t="n">
        <v>0</v>
      </c>
      <c r="EO143" s="38" t="n"/>
      <c r="EP143" s="284" t="n"/>
      <c r="EQ143" s="36">
        <f>$KN143*1</f>
        <v/>
      </c>
      <c r="ER143" s="284" t="n">
        <v>0</v>
      </c>
      <c r="ES143" s="38" t="n">
        <v>0</v>
      </c>
      <c r="ET143" s="284" t="n"/>
      <c r="EU143" s="36">
        <f>$KN143*1</f>
        <v/>
      </c>
      <c r="EV143" s="39" t="n">
        <v>0</v>
      </c>
      <c r="EW143" s="38" t="n">
        <v>0</v>
      </c>
      <c r="EX143" s="284" t="n"/>
      <c r="EY143" s="36">
        <f>$KN143*1</f>
        <v/>
      </c>
      <c r="EZ143" s="155" t="n">
        <v>0</v>
      </c>
      <c r="FA143" s="38" t="n">
        <v>0</v>
      </c>
      <c r="FB143" s="284" t="n"/>
      <c r="FC143" s="36">
        <f>$KN143*2</f>
        <v/>
      </c>
      <c r="FD143" s="155" t="n">
        <v>0</v>
      </c>
      <c r="FE143" s="38" t="n">
        <v>0</v>
      </c>
      <c r="FF143" s="284" t="n"/>
      <c r="FG143" s="36">
        <f>$KN143*2</f>
        <v/>
      </c>
      <c r="FH143" s="155" t="n">
        <v>0</v>
      </c>
      <c r="FI143" s="38" t="n">
        <v>0</v>
      </c>
      <c r="FJ143" s="284" t="n"/>
      <c r="FK143" s="36">
        <f>$KN143*2</f>
        <v/>
      </c>
      <c r="FL143" s="155" t="n">
        <v>0</v>
      </c>
      <c r="FM143" s="38" t="n">
        <v>0</v>
      </c>
      <c r="FN143" s="284" t="n"/>
      <c r="FO143" s="36">
        <f>$KN143*3</f>
        <v/>
      </c>
      <c r="FP143" s="284" t="n">
        <v>3</v>
      </c>
      <c r="FQ143" s="38" t="n">
        <v>0</v>
      </c>
      <c r="FR143" s="284" t="n"/>
      <c r="FS143" s="36">
        <f>$KN143*3</f>
        <v/>
      </c>
      <c r="FT143" s="284" t="n">
        <v>3</v>
      </c>
      <c r="FU143" s="38" t="n">
        <v>0</v>
      </c>
      <c r="FV143" s="284" t="n"/>
      <c r="FW143" s="36">
        <f>$KN143*3</f>
        <v/>
      </c>
      <c r="FX143" s="284" t="n">
        <v>3</v>
      </c>
      <c r="FY143" s="38" t="n">
        <v>0</v>
      </c>
      <c r="FZ143" s="284" t="n"/>
      <c r="GA143" s="338">
        <f t="array" ref="GA143">SUMPRODUCT(--(MOD(COLUMN($EE143:$FZ143),4)=MOD(COLUMN($EE143),4)),$EE143:$FZ143)</f>
        <v/>
      </c>
      <c r="GB143" s="339">
        <f>GA143*$J143</f>
        <v/>
      </c>
      <c r="GC143" s="340">
        <f t="array" ref="GC143">SUMPRODUCT(--(MOD(COLUMN($EE143:$FZ143),4)=MOD(COLUMN($EF143),4)),$EE143:$FZ143)</f>
        <v/>
      </c>
      <c r="GD143" s="341">
        <f>GC143*$J143</f>
        <v/>
      </c>
      <c r="GE143" s="342">
        <f t="array" ref="GE143">SUMPRODUCT(--(MOD(COLUMN($EE143:$FZ143),4)=MOD(COLUMN($EG143),4)),$EE143:$FZ143)</f>
        <v/>
      </c>
      <c r="GF143" s="343">
        <f>GE143*$J143</f>
        <v/>
      </c>
      <c r="GG143" s="36">
        <f>$KN143*3</f>
        <v/>
      </c>
      <c r="GH143" s="284" t="n"/>
      <c r="GI143" s="38" t="n">
        <v>0</v>
      </c>
      <c r="GJ143" s="284" t="n"/>
      <c r="GK143" s="36">
        <f>$KN143*3</f>
        <v/>
      </c>
      <c r="GL143" s="284" t="n"/>
      <c r="GM143" s="38" t="n">
        <v>0</v>
      </c>
      <c r="GN143" s="284" t="n"/>
      <c r="GO143" s="36">
        <f>$KN143*3</f>
        <v/>
      </c>
      <c r="GP143" s="284" t="n"/>
      <c r="GQ143" s="38" t="n">
        <v>0</v>
      </c>
      <c r="GR143" s="284" t="n"/>
      <c r="GS143" s="36">
        <f>$KN143*5</f>
        <v/>
      </c>
      <c r="GT143" s="284" t="n"/>
      <c r="GU143" s="38" t="n">
        <v>0</v>
      </c>
      <c r="GV143" s="284" t="n"/>
      <c r="GW143" s="36">
        <f>$KN143*5</f>
        <v/>
      </c>
      <c r="GX143" s="284" t="n"/>
      <c r="GY143" s="38" t="n">
        <v>0</v>
      </c>
      <c r="GZ143" s="284" t="n"/>
      <c r="HA143" s="36">
        <f>$KN143*5</f>
        <v/>
      </c>
      <c r="HB143" s="284" t="n"/>
      <c r="HC143" s="38" t="n">
        <v>0</v>
      </c>
      <c r="HD143" s="284" t="n"/>
      <c r="HE143" s="36">
        <f>$KN143*5</f>
        <v/>
      </c>
      <c r="HF143" s="284" t="n"/>
      <c r="HG143" s="38" t="n">
        <v>0</v>
      </c>
      <c r="HH143" s="284" t="n"/>
      <c r="HI143" s="36">
        <f>$KN143*5</f>
        <v/>
      </c>
      <c r="HJ143" s="284" t="n"/>
      <c r="HK143" s="38" t="n">
        <v>0</v>
      </c>
      <c r="HL143" s="284" t="n"/>
      <c r="HM143" s="36">
        <f>$KN143*5</f>
        <v/>
      </c>
      <c r="HN143" s="284" t="n"/>
      <c r="HO143" s="38" t="n">
        <v>0</v>
      </c>
      <c r="HP143" s="284" t="n"/>
      <c r="HQ143" s="36">
        <f>$KN143*5</f>
        <v/>
      </c>
      <c r="HR143" s="284" t="n"/>
      <c r="HS143" s="38" t="n">
        <v>0</v>
      </c>
      <c r="HT143" s="284" t="n"/>
      <c r="HU143" s="36">
        <f>$KN143*5</f>
        <v/>
      </c>
      <c r="HV143" s="284" t="n"/>
      <c r="HW143" s="38" t="n">
        <v>0</v>
      </c>
      <c r="HX143" s="284" t="n"/>
      <c r="HY143" s="36">
        <f>$KN143*5</f>
        <v/>
      </c>
      <c r="HZ143" s="284" t="n"/>
      <c r="IA143" s="38" t="n">
        <v>0</v>
      </c>
      <c r="IB143" s="284" t="n"/>
      <c r="IC143" s="338">
        <f t="array" ref="IC143">SUMPRODUCT(--(MOD(COLUMN($GG143:$IB143),4)=MOD(COLUMN($GG143),4)),$GG143:$IB143)</f>
        <v/>
      </c>
      <c r="ID143" s="339">
        <f>IC143*$J143</f>
        <v/>
      </c>
      <c r="IE143" s="340">
        <f t="array" ref="IE143">SUMPRODUCT(--(MOD(COLUMN($GG143:$IB143),4)=MOD(COLUMN($GH143),4)),$GG143:$IB143)</f>
        <v/>
      </c>
      <c r="IF143" s="341">
        <f>IE143*$J143</f>
        <v/>
      </c>
      <c r="IG143" s="342">
        <f t="array" ref="IG143">SUMPRODUCT(--(MOD(COLUMN($GG143:$IB143),4)=MOD(COLUMN($GI143),4)),$GG143:$IB143)</f>
        <v/>
      </c>
      <c r="IH143" s="343">
        <f>IG143*$J143</f>
        <v/>
      </c>
      <c r="II143" s="36">
        <f>$KN143*3</f>
        <v/>
      </c>
      <c r="IJ143" s="284" t="n"/>
      <c r="IK143" s="38" t="n">
        <v>0</v>
      </c>
      <c r="IL143" s="284" t="n"/>
      <c r="IM143" s="36">
        <f>$KN143*3</f>
        <v/>
      </c>
      <c r="IN143" s="284" t="n"/>
      <c r="IO143" s="38" t="n">
        <v>0</v>
      </c>
      <c r="IP143" s="284" t="n"/>
      <c r="IQ143" s="36">
        <f>$KN143*3</f>
        <v/>
      </c>
      <c r="IR143" s="284" t="n"/>
      <c r="IS143" s="38" t="n">
        <v>0</v>
      </c>
      <c r="IT143" s="284" t="n"/>
      <c r="IU143" s="36">
        <f>$KN143*5</f>
        <v/>
      </c>
      <c r="IV143" s="284" t="n"/>
      <c r="IW143" s="38" t="n">
        <v>0</v>
      </c>
      <c r="IX143" s="284" t="n"/>
      <c r="IY143" s="36">
        <f>$KN143*5</f>
        <v/>
      </c>
      <c r="IZ143" s="284" t="n"/>
      <c r="JA143" s="38" t="n">
        <v>0</v>
      </c>
      <c r="JB143" s="284" t="n"/>
      <c r="JC143" s="36">
        <f>$KN143*5</f>
        <v/>
      </c>
      <c r="JD143" s="284" t="n"/>
      <c r="JE143" s="38" t="n">
        <v>0</v>
      </c>
      <c r="JF143" s="284" t="n"/>
      <c r="JG143" s="36">
        <f>$KN143*5</f>
        <v/>
      </c>
      <c r="JH143" s="284" t="n"/>
      <c r="JI143" s="38" t="n">
        <v>0</v>
      </c>
      <c r="JJ143" s="284" t="n"/>
      <c r="JK143" s="36">
        <f>$KN143*5</f>
        <v/>
      </c>
      <c r="JL143" s="284" t="n"/>
      <c r="JM143" s="38" t="n">
        <v>0</v>
      </c>
      <c r="JN143" s="284" t="n"/>
      <c r="JO143" s="36">
        <f>$KN143*5</f>
        <v/>
      </c>
      <c r="JP143" s="284" t="n"/>
      <c r="JQ143" s="38" t="n">
        <v>0</v>
      </c>
      <c r="JR143" s="284" t="n"/>
      <c r="JS143" s="36">
        <f>$KN143*5</f>
        <v/>
      </c>
      <c r="JT143" s="284" t="n"/>
      <c r="JU143" s="38" t="n">
        <v>0</v>
      </c>
      <c r="JV143" s="284" t="n"/>
      <c r="JW143" s="36">
        <f>$KN143*5</f>
        <v/>
      </c>
      <c r="JX143" s="284" t="n"/>
      <c r="JY143" s="38" t="n">
        <v>0</v>
      </c>
      <c r="JZ143" s="284" t="n"/>
      <c r="KA143" s="36">
        <f>$KN143*5</f>
        <v/>
      </c>
      <c r="KB143" s="284" t="n"/>
      <c r="KC143" s="38" t="n">
        <v>0</v>
      </c>
      <c r="KD143" s="284" t="n"/>
      <c r="KE143" s="338">
        <f t="array" ref="KE143">SUMPRODUCT(--(MOD(COLUMN($II143:$KD143),4)=MOD(COLUMN($II143),4)),$II143:$KD143)</f>
        <v/>
      </c>
      <c r="KF143" s="339">
        <f>KE143*$J143</f>
        <v/>
      </c>
      <c r="KG143" s="340">
        <f t="array" ref="KG143">SUMPRODUCT(--(MOD(COLUMN($II143:$KD143),4)=MOD(COLUMN($IJ143),4)),$II143:$KD143)</f>
        <v/>
      </c>
      <c r="KH143" s="341">
        <f>KG143*$J143</f>
        <v/>
      </c>
      <c r="KI143" s="342">
        <f t="array" ref="KI143">SUMPRODUCT(--(MOD(COLUMN($II143:$KD143),4)=MOD(COLUMN($IK143),4)),$II143:$KD143)</f>
        <v/>
      </c>
      <c r="KJ143" s="346">
        <f>KI143*$J143</f>
        <v/>
      </c>
      <c r="KK143" s="80" t="n"/>
      <c r="KL143" s="80" t="n"/>
      <c r="KM143" s="80" t="n"/>
      <c r="KN143" s="51" t="n">
        <v>1</v>
      </c>
      <c r="KO143" s="333" t="n"/>
    </row>
    <row r="144" outlineLevel="1" ht="43.2" customFormat="1" customHeight="1" s="68">
      <c r="A144" s="347" t="n"/>
      <c r="B144" s="347" t="n"/>
      <c r="C144" s="347" t="n"/>
      <c r="D144" s="347" t="n"/>
      <c r="E144" s="60" t="n">
        <v>10</v>
      </c>
      <c r="F144" s="60" t="n">
        <v>1</v>
      </c>
      <c r="G144" s="56" t="n">
        <v>4630840310</v>
      </c>
      <c r="H144" s="57" t="inlineStr">
        <is>
          <t>Клапан управления подъемом оси (LACV)</t>
        </is>
      </c>
      <c r="I144" s="348" t="n">
        <v>558.7585034013606</v>
      </c>
      <c r="J144" s="337">
        <f>657.1/1.2*1.015</f>
        <v/>
      </c>
      <c r="K144" s="348" t="n"/>
      <c r="L144" s="348" t="n"/>
      <c r="M144" s="36" t="n"/>
      <c r="N144" s="284" t="n"/>
      <c r="O144" s="38" t="n"/>
      <c r="P144" s="284" t="n"/>
      <c r="Q144" s="36" t="n"/>
      <c r="R144" s="284" t="n"/>
      <c r="S144" s="38" t="n"/>
      <c r="T144" s="284" t="n"/>
      <c r="U144" s="36" t="n"/>
      <c r="V144" s="284" t="n"/>
      <c r="W144" s="38" t="n"/>
      <c r="X144" s="284" t="n"/>
      <c r="Y144" s="36" t="n"/>
      <c r="Z144" s="284" t="n"/>
      <c r="AA144" s="38" t="n"/>
      <c r="AB144" s="284" t="n"/>
      <c r="AC144" s="36" t="n"/>
      <c r="AD144" s="284" t="n"/>
      <c r="AE144" s="38" t="n"/>
      <c r="AF144" s="284" t="n"/>
      <c r="AG144" s="36" t="n"/>
      <c r="AH144" s="284" t="n"/>
      <c r="AI144" s="38" t="n"/>
      <c r="AJ144" s="284" t="n"/>
      <c r="AK144" s="36" t="n"/>
      <c r="AL144" s="284" t="n"/>
      <c r="AM144" s="38" t="n"/>
      <c r="AN144" s="284" t="n"/>
      <c r="AO144" s="36" t="n"/>
      <c r="AP144" s="284" t="n"/>
      <c r="AQ144" s="38" t="n"/>
      <c r="AR144" s="284" t="n"/>
      <c r="AS144" s="36" t="n"/>
      <c r="AT144" s="284" t="n"/>
      <c r="AU144" s="38" t="n">
        <v>0</v>
      </c>
      <c r="AV144" s="284" t="n"/>
      <c r="AW144" s="36" t="n"/>
      <c r="AX144" s="284" t="n"/>
      <c r="AY144" s="38" t="n">
        <v>0</v>
      </c>
      <c r="AZ144" s="284" t="n"/>
      <c r="BA144" s="36" t="n"/>
      <c r="BB144" s="284" t="n"/>
      <c r="BC144" s="99" t="n">
        <v>0</v>
      </c>
      <c r="BD144" s="284" t="n"/>
      <c r="BE144" s="36" t="n"/>
      <c r="BF144" s="284" t="n"/>
      <c r="BG144" s="54" t="n">
        <v>0</v>
      </c>
      <c r="BH144" s="284" t="n"/>
      <c r="BI144" s="338">
        <f>SUMPRODUCT(--(MOD(COLUMN($M144:$BH144),4)=MOD(COLUMN($M144),4)),$M144:$BH144)</f>
        <v/>
      </c>
      <c r="BJ144" s="339">
        <f>BI144*$I144</f>
        <v/>
      </c>
      <c r="BK144" s="340">
        <f>SUMPRODUCT(--(MOD(COLUMN($M144:$BH144),4)=MOD(COLUMN($M144)+1,4)),$M144:$BH144)</f>
        <v/>
      </c>
      <c r="BL144" s="341">
        <f>BK144*$I144</f>
        <v/>
      </c>
      <c r="BM144" s="342">
        <f>SUMPRODUCT(--(MOD(COLUMN($M144:$BH144),4)=MOD(COLUMN($M144)+2,4)),$M144:$BH144)</f>
        <v/>
      </c>
      <c r="BN144" s="343">
        <f>BM144*$I144</f>
        <v/>
      </c>
      <c r="BO144" s="36" t="n"/>
      <c r="BP144" s="47" t="n"/>
      <c r="BQ144" s="284" t="n"/>
      <c r="BR144" s="38" t="n">
        <v>0</v>
      </c>
      <c r="BS144" s="347" t="n"/>
      <c r="BT144" s="36" t="n"/>
      <c r="BU144" s="47" t="n"/>
      <c r="BV144" s="284" t="n"/>
      <c r="BW144" s="38" t="n">
        <v>0</v>
      </c>
      <c r="BX144" s="284" t="n"/>
      <c r="BY144" s="36">
        <f>$KN144*1</f>
        <v/>
      </c>
      <c r="BZ144" s="47">
        <f>$KN144*1</f>
        <v/>
      </c>
      <c r="CA144" s="284" t="n">
        <v>0</v>
      </c>
      <c r="CB144" s="38" t="n">
        <v>0</v>
      </c>
      <c r="CC144" s="284" t="n"/>
      <c r="CD144" s="36">
        <f>$KN144*0</f>
        <v/>
      </c>
      <c r="CE144" s="47">
        <f>$KN144*0</f>
        <v/>
      </c>
      <c r="CF144" s="284" t="n">
        <v>0</v>
      </c>
      <c r="CG144" s="38" t="n">
        <v>0</v>
      </c>
      <c r="CH144" s="284" t="n"/>
      <c r="CI144" s="36">
        <f>$KN144*5</f>
        <v/>
      </c>
      <c r="CJ144" s="47">
        <f>$KN144*3</f>
        <v/>
      </c>
      <c r="CK144" s="284" t="n">
        <v>0</v>
      </c>
      <c r="CL144" s="38" t="n">
        <v>0</v>
      </c>
      <c r="CM144" s="284" t="n"/>
      <c r="CN144" s="36">
        <f>$KN144*5</f>
        <v/>
      </c>
      <c r="CO144" s="47">
        <f>$KN144*3</f>
        <v/>
      </c>
      <c r="CP144" s="284">
        <f>$KN144*0</f>
        <v/>
      </c>
      <c r="CQ144" s="38" t="n">
        <v>0</v>
      </c>
      <c r="CR144" s="284" t="n"/>
      <c r="CS144" s="36">
        <f>$KN144*5</f>
        <v/>
      </c>
      <c r="CT144" s="47">
        <f>$KN144*3</f>
        <v/>
      </c>
      <c r="CU144" s="39">
        <f>$KN144*0</f>
        <v/>
      </c>
      <c r="CV144" s="38" t="n">
        <v>0</v>
      </c>
      <c r="CW144" s="284" t="n"/>
      <c r="CX144" s="36">
        <f>$KN144*5</f>
        <v/>
      </c>
      <c r="CY144" s="47">
        <f>$KN144*3</f>
        <v/>
      </c>
      <c r="CZ144" s="284">
        <f>$KN144*0</f>
        <v/>
      </c>
      <c r="DA144" s="38" t="n">
        <v>0</v>
      </c>
      <c r="DB144" s="284" t="n"/>
      <c r="DC144" s="36">
        <f>$KN144*5</f>
        <v/>
      </c>
      <c r="DD144" s="47">
        <f>$KN144*3</f>
        <v/>
      </c>
      <c r="DE144" s="284">
        <f>$KN144*0</f>
        <v/>
      </c>
      <c r="DF144" s="38" t="n">
        <v>0</v>
      </c>
      <c r="DG144" s="284" t="n"/>
      <c r="DH144" s="36">
        <f>$KN144*5</f>
        <v/>
      </c>
      <c r="DI144" s="47">
        <f>$KN144*3</f>
        <v/>
      </c>
      <c r="DJ144" s="284">
        <f>$KN144*0</f>
        <v/>
      </c>
      <c r="DK144" s="52" t="n">
        <v>0</v>
      </c>
      <c r="DL144" s="284" t="n"/>
      <c r="DM144" s="36">
        <f>$KN144*5</f>
        <v/>
      </c>
      <c r="DN144" s="47">
        <f>$KN144*3</f>
        <v/>
      </c>
      <c r="DO144" s="284">
        <f>$KN144*0</f>
        <v/>
      </c>
      <c r="DP144" s="38" t="n">
        <v>0</v>
      </c>
      <c r="DQ144" s="284" t="n"/>
      <c r="DR144" s="36">
        <f>$KN144*5</f>
        <v/>
      </c>
      <c r="DS144" s="47">
        <f>$KN144*3</f>
        <v/>
      </c>
      <c r="DT144" s="284">
        <f>$KN144*0</f>
        <v/>
      </c>
      <c r="DU144" s="38" t="n">
        <v>0</v>
      </c>
      <c r="DV144" s="284" t="n"/>
      <c r="DW144" s="338">
        <f t="array" ref="DW144">SUMPRODUCT(--(MOD(COLUMN($BO144:$DV144),5)=MOD(COLUMN($BO144),5)),$BO144:$DV144)</f>
        <v/>
      </c>
      <c r="DX144" s="339">
        <f>DW144*$J144</f>
        <v/>
      </c>
      <c r="DY144" s="344">
        <f t="array" ref="DY144">SUMPRODUCT(--(MOD(COLUMN($BO144:$DV144),5)=MOD(COLUMN($BP144),5)),$BO144:$DV144)</f>
        <v/>
      </c>
      <c r="DZ144" s="345">
        <f>DY144*$J144</f>
        <v/>
      </c>
      <c r="EA144" s="340">
        <f t="array" ref="EA144">SUMPRODUCT(--(MOD(COLUMN($BO144:$DV144),5)=MOD(COLUMN($BQ144),5)),$BO144:$DV144)</f>
        <v/>
      </c>
      <c r="EB144" s="341">
        <f>EA144*$J144</f>
        <v/>
      </c>
      <c r="EC144" s="342">
        <f t="array" ref="EC144">SUMPRODUCT(--(MOD(COLUMN($BO144:$DV144),5)=MOD(COLUMN($BR144),5)),$BO144:$DV144)</f>
        <v/>
      </c>
      <c r="ED144" s="343">
        <f>EC144*$J144</f>
        <v/>
      </c>
      <c r="EE144" s="36" t="n">
        <v>0</v>
      </c>
      <c r="EF144" s="284" t="n">
        <v>0</v>
      </c>
      <c r="EG144" s="38" t="n"/>
      <c r="EH144" s="284" t="n"/>
      <c r="EI144" s="36" t="n">
        <v>0</v>
      </c>
      <c r="EJ144" s="284" t="n">
        <v>0</v>
      </c>
      <c r="EK144" s="38" t="n"/>
      <c r="EL144" s="284" t="n"/>
      <c r="EM144" s="36" t="n">
        <v>0</v>
      </c>
      <c r="EN144" s="284" t="n">
        <v>0</v>
      </c>
      <c r="EO144" s="38" t="n"/>
      <c r="EP144" s="284" t="n"/>
      <c r="EQ144" s="36">
        <f>$KN144*1</f>
        <v/>
      </c>
      <c r="ER144" s="284" t="n">
        <v>0</v>
      </c>
      <c r="ES144" s="38" t="n">
        <v>0</v>
      </c>
      <c r="ET144" s="284" t="n"/>
      <c r="EU144" s="36">
        <f>$KN144*1</f>
        <v/>
      </c>
      <c r="EV144" s="39" t="n">
        <v>0</v>
      </c>
      <c r="EW144" s="38" t="n">
        <v>0</v>
      </c>
      <c r="EX144" s="284" t="n"/>
      <c r="EY144" s="36">
        <f>$KN144*1</f>
        <v/>
      </c>
      <c r="EZ144" s="155" t="n">
        <v>0</v>
      </c>
      <c r="FA144" s="38" t="n">
        <v>0</v>
      </c>
      <c r="FB144" s="284" t="n"/>
      <c r="FC144" s="36">
        <f>$KN144*2</f>
        <v/>
      </c>
      <c r="FD144" s="155" t="n">
        <v>0</v>
      </c>
      <c r="FE144" s="38" t="n">
        <v>0</v>
      </c>
      <c r="FF144" s="284" t="n"/>
      <c r="FG144" s="36">
        <f>$KN144*2</f>
        <v/>
      </c>
      <c r="FH144" s="155" t="n">
        <v>0</v>
      </c>
      <c r="FI144" s="38" t="n">
        <v>0</v>
      </c>
      <c r="FJ144" s="284" t="n"/>
      <c r="FK144" s="36">
        <f>$KN144*2</f>
        <v/>
      </c>
      <c r="FL144" s="155" t="n">
        <v>0</v>
      </c>
      <c r="FM144" s="38" t="n">
        <v>0</v>
      </c>
      <c r="FN144" s="284" t="n"/>
      <c r="FO144" s="36">
        <f>$KN144*3</f>
        <v/>
      </c>
      <c r="FP144" s="284" t="n">
        <v>3</v>
      </c>
      <c r="FQ144" s="38" t="n">
        <v>0</v>
      </c>
      <c r="FR144" s="284" t="n"/>
      <c r="FS144" s="36">
        <f>$KN144*3</f>
        <v/>
      </c>
      <c r="FT144" s="284" t="n">
        <v>3</v>
      </c>
      <c r="FU144" s="38" t="n">
        <v>0</v>
      </c>
      <c r="FV144" s="284" t="n"/>
      <c r="FW144" s="36">
        <f>$KN144*3</f>
        <v/>
      </c>
      <c r="FX144" s="284" t="n">
        <v>3</v>
      </c>
      <c r="FY144" s="38" t="n">
        <v>0</v>
      </c>
      <c r="FZ144" s="284" t="n"/>
      <c r="GA144" s="338">
        <f t="array" ref="GA144">SUMPRODUCT(--(MOD(COLUMN($EE144:$FZ144),4)=MOD(COLUMN($EE144),4)),$EE144:$FZ144)</f>
        <v/>
      </c>
      <c r="GB144" s="339">
        <f>GA144*$J144</f>
        <v/>
      </c>
      <c r="GC144" s="340">
        <f t="array" ref="GC144">SUMPRODUCT(--(MOD(COLUMN($EE144:$FZ144),4)=MOD(COLUMN($EF144),4)),$EE144:$FZ144)</f>
        <v/>
      </c>
      <c r="GD144" s="341">
        <f>GC144*$J144</f>
        <v/>
      </c>
      <c r="GE144" s="342">
        <f t="array" ref="GE144">SUMPRODUCT(--(MOD(COLUMN($EE144:$FZ144),4)=MOD(COLUMN($EG144),4)),$EE144:$FZ144)</f>
        <v/>
      </c>
      <c r="GF144" s="343">
        <f>GE144*$J144</f>
        <v/>
      </c>
      <c r="GG144" s="36">
        <f>$KN144*3</f>
        <v/>
      </c>
      <c r="GH144" s="284" t="n"/>
      <c r="GI144" s="38" t="n">
        <v>0</v>
      </c>
      <c r="GJ144" s="284" t="n"/>
      <c r="GK144" s="36">
        <f>$KN144*3</f>
        <v/>
      </c>
      <c r="GL144" s="284" t="n"/>
      <c r="GM144" s="38" t="n">
        <v>0</v>
      </c>
      <c r="GN144" s="284" t="n"/>
      <c r="GO144" s="36">
        <f>$KN144*3</f>
        <v/>
      </c>
      <c r="GP144" s="284" t="n"/>
      <c r="GQ144" s="38" t="n">
        <v>0</v>
      </c>
      <c r="GR144" s="284" t="n"/>
      <c r="GS144" s="36">
        <f>$KN144*5</f>
        <v/>
      </c>
      <c r="GT144" s="284" t="n"/>
      <c r="GU144" s="38" t="n">
        <v>0</v>
      </c>
      <c r="GV144" s="284" t="n"/>
      <c r="GW144" s="36">
        <f>$KN144*5</f>
        <v/>
      </c>
      <c r="GX144" s="284" t="n"/>
      <c r="GY144" s="38" t="n">
        <v>0</v>
      </c>
      <c r="GZ144" s="284" t="n"/>
      <c r="HA144" s="36">
        <f>$KN144*5</f>
        <v/>
      </c>
      <c r="HB144" s="284" t="n"/>
      <c r="HC144" s="38" t="n">
        <v>0</v>
      </c>
      <c r="HD144" s="284" t="n"/>
      <c r="HE144" s="36">
        <f>$KN144*5</f>
        <v/>
      </c>
      <c r="HF144" s="284" t="n"/>
      <c r="HG144" s="38" t="n">
        <v>0</v>
      </c>
      <c r="HH144" s="284" t="n"/>
      <c r="HI144" s="36">
        <f>$KN144*5</f>
        <v/>
      </c>
      <c r="HJ144" s="284" t="n"/>
      <c r="HK144" s="38" t="n">
        <v>0</v>
      </c>
      <c r="HL144" s="284" t="n"/>
      <c r="HM144" s="36">
        <f>$KN144*5</f>
        <v/>
      </c>
      <c r="HN144" s="284" t="n"/>
      <c r="HO144" s="38" t="n">
        <v>0</v>
      </c>
      <c r="HP144" s="284" t="n"/>
      <c r="HQ144" s="36">
        <f>$KN144*5</f>
        <v/>
      </c>
      <c r="HR144" s="284" t="n"/>
      <c r="HS144" s="38" t="n">
        <v>0</v>
      </c>
      <c r="HT144" s="284" t="n"/>
      <c r="HU144" s="36">
        <f>$KN144*5</f>
        <v/>
      </c>
      <c r="HV144" s="284" t="n"/>
      <c r="HW144" s="38" t="n">
        <v>0</v>
      </c>
      <c r="HX144" s="284" t="n"/>
      <c r="HY144" s="36">
        <f>$KN144*5</f>
        <v/>
      </c>
      <c r="HZ144" s="284" t="n"/>
      <c r="IA144" s="38" t="n">
        <v>0</v>
      </c>
      <c r="IB144" s="284" t="n"/>
      <c r="IC144" s="338">
        <f t="array" ref="IC144">SUMPRODUCT(--(MOD(COLUMN($GG144:$IB144),4)=MOD(COLUMN($GG144),4)),$GG144:$IB144)</f>
        <v/>
      </c>
      <c r="ID144" s="339">
        <f>IC144*$J144</f>
        <v/>
      </c>
      <c r="IE144" s="340">
        <f t="array" ref="IE144">SUMPRODUCT(--(MOD(COLUMN($GG144:$IB144),4)=MOD(COLUMN($GH144),4)),$GG144:$IB144)</f>
        <v/>
      </c>
      <c r="IF144" s="341">
        <f>IE144*$J144</f>
        <v/>
      </c>
      <c r="IG144" s="342">
        <f t="array" ref="IG144">SUMPRODUCT(--(MOD(COLUMN($GG144:$IB144),4)=MOD(COLUMN($GI144),4)),$GG144:$IB144)</f>
        <v/>
      </c>
      <c r="IH144" s="343">
        <f>IG144*$J144</f>
        <v/>
      </c>
      <c r="II144" s="36">
        <f>$KN144*3</f>
        <v/>
      </c>
      <c r="IJ144" s="284" t="n"/>
      <c r="IK144" s="38" t="n">
        <v>0</v>
      </c>
      <c r="IL144" s="284" t="n"/>
      <c r="IM144" s="36">
        <f>$KN144*3</f>
        <v/>
      </c>
      <c r="IN144" s="284" t="n"/>
      <c r="IO144" s="38" t="n">
        <v>0</v>
      </c>
      <c r="IP144" s="284" t="n"/>
      <c r="IQ144" s="36">
        <f>$KN144*3</f>
        <v/>
      </c>
      <c r="IR144" s="284" t="n"/>
      <c r="IS144" s="38" t="n">
        <v>0</v>
      </c>
      <c r="IT144" s="284" t="n"/>
      <c r="IU144" s="36">
        <f>$KN144*5</f>
        <v/>
      </c>
      <c r="IV144" s="284" t="n"/>
      <c r="IW144" s="38" t="n">
        <v>0</v>
      </c>
      <c r="IX144" s="284" t="n"/>
      <c r="IY144" s="36">
        <f>$KN144*5</f>
        <v/>
      </c>
      <c r="IZ144" s="284" t="n"/>
      <c r="JA144" s="38" t="n">
        <v>0</v>
      </c>
      <c r="JB144" s="284" t="n"/>
      <c r="JC144" s="36">
        <f>$KN144*5</f>
        <v/>
      </c>
      <c r="JD144" s="284" t="n"/>
      <c r="JE144" s="38" t="n">
        <v>0</v>
      </c>
      <c r="JF144" s="284" t="n"/>
      <c r="JG144" s="36">
        <f>$KN144*5</f>
        <v/>
      </c>
      <c r="JH144" s="284" t="n"/>
      <c r="JI144" s="38" t="n">
        <v>0</v>
      </c>
      <c r="JJ144" s="284" t="n"/>
      <c r="JK144" s="36">
        <f>$KN144*5</f>
        <v/>
      </c>
      <c r="JL144" s="284" t="n"/>
      <c r="JM144" s="38" t="n">
        <v>0</v>
      </c>
      <c r="JN144" s="284" t="n"/>
      <c r="JO144" s="36">
        <f>$KN144*5</f>
        <v/>
      </c>
      <c r="JP144" s="284" t="n"/>
      <c r="JQ144" s="38" t="n">
        <v>0</v>
      </c>
      <c r="JR144" s="284" t="n"/>
      <c r="JS144" s="36">
        <f>$KN144*5</f>
        <v/>
      </c>
      <c r="JT144" s="284" t="n"/>
      <c r="JU144" s="38" t="n">
        <v>0</v>
      </c>
      <c r="JV144" s="284" t="n"/>
      <c r="JW144" s="36">
        <f>$KN144*5</f>
        <v/>
      </c>
      <c r="JX144" s="284" t="n"/>
      <c r="JY144" s="38" t="n">
        <v>0</v>
      </c>
      <c r="JZ144" s="284" t="n"/>
      <c r="KA144" s="36">
        <f>$KN144*5</f>
        <v/>
      </c>
      <c r="KB144" s="284" t="n"/>
      <c r="KC144" s="38" t="n">
        <v>0</v>
      </c>
      <c r="KD144" s="284" t="n"/>
      <c r="KE144" s="338">
        <f t="array" ref="KE144">SUMPRODUCT(--(MOD(COLUMN($II144:$KD144),4)=MOD(COLUMN($II144),4)),$II144:$KD144)</f>
        <v/>
      </c>
      <c r="KF144" s="339">
        <f>KE144*$J144</f>
        <v/>
      </c>
      <c r="KG144" s="340">
        <f t="array" ref="KG144">SUMPRODUCT(--(MOD(COLUMN($II144:$KD144),4)=MOD(COLUMN($IJ144),4)),$II144:$KD144)</f>
        <v/>
      </c>
      <c r="KH144" s="341">
        <f>KG144*$J144</f>
        <v/>
      </c>
      <c r="KI144" s="342">
        <f t="array" ref="KI144">SUMPRODUCT(--(MOD(COLUMN($II144:$KD144),4)=MOD(COLUMN($IK144),4)),$II144:$KD144)</f>
        <v/>
      </c>
      <c r="KJ144" s="346">
        <f>KI144*$J144</f>
        <v/>
      </c>
      <c r="KK144" s="80" t="n"/>
      <c r="KL144" s="80" t="n"/>
      <c r="KM144" s="80" t="n"/>
      <c r="KN144" s="51" t="n">
        <v>1</v>
      </c>
      <c r="KO144" s="285" t="inlineStr">
        <is>
          <t>LACV</t>
        </is>
      </c>
    </row>
    <row r="145" outlineLevel="1" ht="43.2" customFormat="1" customHeight="1" s="68">
      <c r="A145" s="347" t="n"/>
      <c r="B145" s="347" t="n"/>
      <c r="C145" s="333" t="n"/>
      <c r="D145" s="347" t="n"/>
      <c r="E145" s="60" t="n">
        <v>11</v>
      </c>
      <c r="F145" s="60" t="n">
        <v>1</v>
      </c>
      <c r="G145" s="56" t="n">
        <v>4494430600</v>
      </c>
      <c r="H145" s="57" t="inlineStr">
        <is>
          <t>Кабель клапана управления подъемом оси, 6 м</t>
        </is>
      </c>
      <c r="I145" s="348" t="n">
        <v>139.6258503401361</v>
      </c>
      <c r="J145" s="337">
        <f>164.2/1.2*1.015</f>
        <v/>
      </c>
      <c r="K145" s="348" t="n"/>
      <c r="L145" s="348" t="n"/>
      <c r="M145" s="36" t="n"/>
      <c r="N145" s="284" t="n"/>
      <c r="O145" s="38" t="n"/>
      <c r="P145" s="284" t="n"/>
      <c r="Q145" s="36" t="n"/>
      <c r="R145" s="284" t="n"/>
      <c r="S145" s="38" t="n"/>
      <c r="T145" s="284" t="n"/>
      <c r="U145" s="36" t="n"/>
      <c r="V145" s="284" t="n"/>
      <c r="W145" s="38" t="n"/>
      <c r="X145" s="284" t="n"/>
      <c r="Y145" s="36" t="n"/>
      <c r="Z145" s="284" t="n"/>
      <c r="AA145" s="38" t="n"/>
      <c r="AB145" s="284" t="n"/>
      <c r="AC145" s="36" t="n"/>
      <c r="AD145" s="284" t="n"/>
      <c r="AE145" s="38" t="n"/>
      <c r="AF145" s="284" t="n"/>
      <c r="AG145" s="36" t="n"/>
      <c r="AH145" s="284" t="n"/>
      <c r="AI145" s="38" t="n"/>
      <c r="AJ145" s="284" t="n"/>
      <c r="AK145" s="36" t="n"/>
      <c r="AL145" s="284" t="n"/>
      <c r="AM145" s="38" t="n"/>
      <c r="AN145" s="284" t="n"/>
      <c r="AO145" s="36" t="n"/>
      <c r="AP145" s="284" t="n"/>
      <c r="AQ145" s="38" t="n"/>
      <c r="AR145" s="284" t="n"/>
      <c r="AS145" s="36" t="n"/>
      <c r="AT145" s="284" t="n"/>
      <c r="AU145" s="38" t="n">
        <v>0</v>
      </c>
      <c r="AV145" s="284" t="n"/>
      <c r="AW145" s="36" t="n"/>
      <c r="AX145" s="284" t="n"/>
      <c r="AY145" s="38" t="n">
        <v>0</v>
      </c>
      <c r="AZ145" s="284" t="n"/>
      <c r="BA145" s="36" t="n"/>
      <c r="BB145" s="284" t="n"/>
      <c r="BC145" s="99" t="n">
        <v>0</v>
      </c>
      <c r="BD145" s="284" t="n"/>
      <c r="BE145" s="36" t="n"/>
      <c r="BF145" s="284" t="n"/>
      <c r="BG145" s="54" t="n">
        <v>0</v>
      </c>
      <c r="BH145" s="284" t="n"/>
      <c r="BI145" s="338">
        <f>SUMPRODUCT(--(MOD(COLUMN($M145:$BH145),4)=MOD(COLUMN($M145),4)),$M145:$BH145)</f>
        <v/>
      </c>
      <c r="BJ145" s="339">
        <f>BI145*$I145</f>
        <v/>
      </c>
      <c r="BK145" s="340">
        <f>SUMPRODUCT(--(MOD(COLUMN($M145:$BH145),4)=MOD(COLUMN($M145)+1,4)),$M145:$BH145)</f>
        <v/>
      </c>
      <c r="BL145" s="341">
        <f>BK145*$I145</f>
        <v/>
      </c>
      <c r="BM145" s="342">
        <f>SUMPRODUCT(--(MOD(COLUMN($M145:$BH145),4)=MOD(COLUMN($M145)+2,4)),$M145:$BH145)</f>
        <v/>
      </c>
      <c r="BN145" s="343">
        <f>BM145*$I145</f>
        <v/>
      </c>
      <c r="BO145" s="36" t="n"/>
      <c r="BP145" s="47" t="n"/>
      <c r="BQ145" s="284" t="n"/>
      <c r="BR145" s="38" t="n">
        <v>0</v>
      </c>
      <c r="BS145" s="333" t="n"/>
      <c r="BT145" s="36" t="n"/>
      <c r="BU145" s="47" t="n"/>
      <c r="BV145" s="284" t="n"/>
      <c r="BW145" s="38" t="n">
        <v>0</v>
      </c>
      <c r="BX145" s="284" t="n"/>
      <c r="BY145" s="36">
        <f>$KN145*1</f>
        <v/>
      </c>
      <c r="BZ145" s="47">
        <f>$KN145*1</f>
        <v/>
      </c>
      <c r="CA145" s="284" t="n">
        <v>0</v>
      </c>
      <c r="CB145" s="38" t="n">
        <v>0</v>
      </c>
      <c r="CC145" s="284" t="n"/>
      <c r="CD145" s="36">
        <f>$KN145*0</f>
        <v/>
      </c>
      <c r="CE145" s="47">
        <f>$KN145*0</f>
        <v/>
      </c>
      <c r="CF145" s="284" t="n">
        <v>0</v>
      </c>
      <c r="CG145" s="38" t="n">
        <v>0</v>
      </c>
      <c r="CH145" s="284" t="n"/>
      <c r="CI145" s="36">
        <f>$KN145*5</f>
        <v/>
      </c>
      <c r="CJ145" s="47">
        <f>$KN145*3</f>
        <v/>
      </c>
      <c r="CK145" s="284" t="n">
        <v>0</v>
      </c>
      <c r="CL145" s="38" t="n">
        <v>0</v>
      </c>
      <c r="CM145" s="284" t="n"/>
      <c r="CN145" s="36">
        <f>$KN145*5</f>
        <v/>
      </c>
      <c r="CO145" s="47">
        <f>$KN145*3</f>
        <v/>
      </c>
      <c r="CP145" s="284">
        <f>$KN145*0</f>
        <v/>
      </c>
      <c r="CQ145" s="38" t="n">
        <v>0</v>
      </c>
      <c r="CR145" s="284" t="n"/>
      <c r="CS145" s="36">
        <f>$KN145*5</f>
        <v/>
      </c>
      <c r="CT145" s="47">
        <f>$KN145*3</f>
        <v/>
      </c>
      <c r="CU145" s="39">
        <f>$KN145*0</f>
        <v/>
      </c>
      <c r="CV145" s="38" t="n">
        <v>0</v>
      </c>
      <c r="CW145" s="284" t="n"/>
      <c r="CX145" s="36">
        <f>$KN145*5</f>
        <v/>
      </c>
      <c r="CY145" s="47">
        <f>$KN145*3</f>
        <v/>
      </c>
      <c r="CZ145" s="284">
        <f>$KN145*0</f>
        <v/>
      </c>
      <c r="DA145" s="38" t="n">
        <v>0</v>
      </c>
      <c r="DB145" s="284" t="n"/>
      <c r="DC145" s="36">
        <f>$KN145*5</f>
        <v/>
      </c>
      <c r="DD145" s="47">
        <f>$KN145*3</f>
        <v/>
      </c>
      <c r="DE145" s="284">
        <f>$KN145*0</f>
        <v/>
      </c>
      <c r="DF145" s="38" t="n">
        <v>0</v>
      </c>
      <c r="DG145" s="284" t="n"/>
      <c r="DH145" s="36">
        <f>$KN145*5</f>
        <v/>
      </c>
      <c r="DI145" s="47">
        <f>$KN145*3</f>
        <v/>
      </c>
      <c r="DJ145" s="284">
        <f>$KN145*0</f>
        <v/>
      </c>
      <c r="DK145" s="38" t="n">
        <v>0</v>
      </c>
      <c r="DL145" s="284" t="n"/>
      <c r="DM145" s="36">
        <f>$KN145*5</f>
        <v/>
      </c>
      <c r="DN145" s="47">
        <f>$KN145*3</f>
        <v/>
      </c>
      <c r="DO145" s="284">
        <f>$KN145*0</f>
        <v/>
      </c>
      <c r="DP145" s="38" t="n">
        <v>0</v>
      </c>
      <c r="DQ145" s="284" t="n"/>
      <c r="DR145" s="36">
        <f>$KN145*5</f>
        <v/>
      </c>
      <c r="DS145" s="47">
        <f>$KN145*3</f>
        <v/>
      </c>
      <c r="DT145" s="284">
        <f>$KN145*0</f>
        <v/>
      </c>
      <c r="DU145" s="38" t="n">
        <v>0</v>
      </c>
      <c r="DV145" s="284" t="n"/>
      <c r="DW145" s="338">
        <f t="array" ref="DW145">SUMPRODUCT(--(MOD(COLUMN($BO145:$DV145),5)=MOD(COLUMN($BO145),5)),$BO145:$DV145)</f>
        <v/>
      </c>
      <c r="DX145" s="339">
        <f>DW145*$J145</f>
        <v/>
      </c>
      <c r="DY145" s="344">
        <f t="array" ref="DY145">SUMPRODUCT(--(MOD(COLUMN($BO145:$DV145),5)=MOD(COLUMN($BP145),5)),$BO145:$DV145)</f>
        <v/>
      </c>
      <c r="DZ145" s="345">
        <f>DY145*$J145</f>
        <v/>
      </c>
      <c r="EA145" s="340">
        <f t="array" ref="EA145">SUMPRODUCT(--(MOD(COLUMN($BO145:$DV145),5)=MOD(COLUMN($BQ145),5)),$BO145:$DV145)</f>
        <v/>
      </c>
      <c r="EB145" s="341">
        <f>EA145*$J145</f>
        <v/>
      </c>
      <c r="EC145" s="342">
        <f t="array" ref="EC145">SUMPRODUCT(--(MOD(COLUMN($BO145:$DV145),5)=MOD(COLUMN($BR145),5)),$BO145:$DV145)</f>
        <v/>
      </c>
      <c r="ED145" s="343">
        <f>EC145*$J145</f>
        <v/>
      </c>
      <c r="EE145" s="36" t="n">
        <v>0</v>
      </c>
      <c r="EF145" s="284" t="n">
        <v>0</v>
      </c>
      <c r="EG145" s="38" t="n"/>
      <c r="EH145" s="284" t="n"/>
      <c r="EI145" s="36" t="n">
        <v>0</v>
      </c>
      <c r="EJ145" s="284" t="n">
        <v>0</v>
      </c>
      <c r="EK145" s="38" t="n"/>
      <c r="EL145" s="284" t="n"/>
      <c r="EM145" s="36" t="n">
        <v>0</v>
      </c>
      <c r="EN145" s="284" t="n">
        <v>0</v>
      </c>
      <c r="EO145" s="38" t="n"/>
      <c r="EP145" s="284" t="n"/>
      <c r="EQ145" s="36">
        <f>$KN145*1</f>
        <v/>
      </c>
      <c r="ER145" s="284" t="n">
        <v>0</v>
      </c>
      <c r="ES145" s="38" t="n">
        <v>0</v>
      </c>
      <c r="ET145" s="284" t="n"/>
      <c r="EU145" s="36">
        <f>$KN145*1</f>
        <v/>
      </c>
      <c r="EV145" s="39" t="n">
        <v>0</v>
      </c>
      <c r="EW145" s="38" t="n">
        <v>0</v>
      </c>
      <c r="EX145" s="284" t="n"/>
      <c r="EY145" s="36">
        <f>$KN145*1</f>
        <v/>
      </c>
      <c r="EZ145" s="155" t="n">
        <v>0</v>
      </c>
      <c r="FA145" s="38" t="n">
        <v>0</v>
      </c>
      <c r="FB145" s="284" t="n"/>
      <c r="FC145" s="36">
        <f>$KN145*2</f>
        <v/>
      </c>
      <c r="FD145" s="155" t="n">
        <v>0</v>
      </c>
      <c r="FE145" s="38" t="n">
        <v>0</v>
      </c>
      <c r="FF145" s="284" t="n"/>
      <c r="FG145" s="36">
        <f>$KN145*2</f>
        <v/>
      </c>
      <c r="FH145" s="155" t="n">
        <v>0</v>
      </c>
      <c r="FI145" s="38" t="n">
        <v>0</v>
      </c>
      <c r="FJ145" s="284" t="n"/>
      <c r="FK145" s="36">
        <f>$KN145*2</f>
        <v/>
      </c>
      <c r="FL145" s="155" t="n">
        <v>0</v>
      </c>
      <c r="FM145" s="38" t="n">
        <v>0</v>
      </c>
      <c r="FN145" s="284" t="n"/>
      <c r="FO145" s="36">
        <f>$KN145*3</f>
        <v/>
      </c>
      <c r="FP145" s="284" t="n">
        <v>3</v>
      </c>
      <c r="FQ145" s="38" t="n">
        <v>0</v>
      </c>
      <c r="FR145" s="284" t="n"/>
      <c r="FS145" s="36">
        <f>$KN145*3</f>
        <v/>
      </c>
      <c r="FT145" s="284" t="n">
        <v>3</v>
      </c>
      <c r="FU145" s="38" t="n">
        <v>0</v>
      </c>
      <c r="FV145" s="284" t="n"/>
      <c r="FW145" s="36">
        <f>$KN145*3</f>
        <v/>
      </c>
      <c r="FX145" s="284" t="n">
        <v>3</v>
      </c>
      <c r="FY145" s="38" t="n">
        <v>0</v>
      </c>
      <c r="FZ145" s="284" t="n"/>
      <c r="GA145" s="338">
        <f t="array" ref="GA145">SUMPRODUCT(--(MOD(COLUMN($EE145:$FZ145),4)=MOD(COLUMN($EE145),4)),$EE145:$FZ145)</f>
        <v/>
      </c>
      <c r="GB145" s="339">
        <f>GA145*$J145</f>
        <v/>
      </c>
      <c r="GC145" s="340">
        <f t="array" ref="GC145">SUMPRODUCT(--(MOD(COLUMN($EE145:$FZ145),4)=MOD(COLUMN($EF145),4)),$EE145:$FZ145)</f>
        <v/>
      </c>
      <c r="GD145" s="341">
        <f>GC145*$J145</f>
        <v/>
      </c>
      <c r="GE145" s="342">
        <f t="array" ref="GE145">SUMPRODUCT(--(MOD(COLUMN($EE145:$FZ145),4)=MOD(COLUMN($EG145),4)),$EE145:$FZ145)</f>
        <v/>
      </c>
      <c r="GF145" s="343">
        <f>GE145*$J145</f>
        <v/>
      </c>
      <c r="GG145" s="36">
        <f>$KN145*3</f>
        <v/>
      </c>
      <c r="GH145" s="284" t="n"/>
      <c r="GI145" s="38" t="n">
        <v>0</v>
      </c>
      <c r="GJ145" s="284" t="n"/>
      <c r="GK145" s="36">
        <f>$KN145*3</f>
        <v/>
      </c>
      <c r="GL145" s="284" t="n"/>
      <c r="GM145" s="38" t="n">
        <v>0</v>
      </c>
      <c r="GN145" s="284" t="n"/>
      <c r="GO145" s="36">
        <f>$KN145*3</f>
        <v/>
      </c>
      <c r="GP145" s="284" t="n"/>
      <c r="GQ145" s="38" t="n">
        <v>0</v>
      </c>
      <c r="GR145" s="284" t="n"/>
      <c r="GS145" s="36">
        <f>$KN145*5</f>
        <v/>
      </c>
      <c r="GT145" s="284" t="n"/>
      <c r="GU145" s="38" t="n">
        <v>0</v>
      </c>
      <c r="GV145" s="284" t="n"/>
      <c r="GW145" s="36">
        <f>$KN145*5</f>
        <v/>
      </c>
      <c r="GX145" s="284" t="n"/>
      <c r="GY145" s="38" t="n">
        <v>0</v>
      </c>
      <c r="GZ145" s="284" t="n"/>
      <c r="HA145" s="36">
        <f>$KN145*5</f>
        <v/>
      </c>
      <c r="HB145" s="284" t="n"/>
      <c r="HC145" s="38" t="n">
        <v>0</v>
      </c>
      <c r="HD145" s="284" t="n"/>
      <c r="HE145" s="36">
        <f>$KN145*5</f>
        <v/>
      </c>
      <c r="HF145" s="284" t="n"/>
      <c r="HG145" s="38" t="n">
        <v>0</v>
      </c>
      <c r="HH145" s="284" t="n"/>
      <c r="HI145" s="36">
        <f>$KN145*5</f>
        <v/>
      </c>
      <c r="HJ145" s="284" t="n"/>
      <c r="HK145" s="38" t="n">
        <v>0</v>
      </c>
      <c r="HL145" s="284" t="n"/>
      <c r="HM145" s="36">
        <f>$KN145*5</f>
        <v/>
      </c>
      <c r="HN145" s="284" t="n"/>
      <c r="HO145" s="38" t="n">
        <v>0</v>
      </c>
      <c r="HP145" s="284" t="n"/>
      <c r="HQ145" s="36">
        <f>$KN145*5</f>
        <v/>
      </c>
      <c r="HR145" s="284" t="n"/>
      <c r="HS145" s="38" t="n">
        <v>0</v>
      </c>
      <c r="HT145" s="284" t="n"/>
      <c r="HU145" s="36">
        <f>$KN145*5</f>
        <v/>
      </c>
      <c r="HV145" s="284" t="n"/>
      <c r="HW145" s="38" t="n">
        <v>0</v>
      </c>
      <c r="HX145" s="284" t="n"/>
      <c r="HY145" s="36">
        <f>$KN145*5</f>
        <v/>
      </c>
      <c r="HZ145" s="284" t="n"/>
      <c r="IA145" s="38" t="n">
        <v>0</v>
      </c>
      <c r="IB145" s="284" t="n"/>
      <c r="IC145" s="338">
        <f t="array" ref="IC145">SUMPRODUCT(--(MOD(COLUMN($GG145:$IB145),4)=MOD(COLUMN($GG145),4)),$GG145:$IB145)</f>
        <v/>
      </c>
      <c r="ID145" s="339">
        <f>IC145*$J145</f>
        <v/>
      </c>
      <c r="IE145" s="340">
        <f t="array" ref="IE145">SUMPRODUCT(--(MOD(COLUMN($GG145:$IB145),4)=MOD(COLUMN($GH145),4)),$GG145:$IB145)</f>
        <v/>
      </c>
      <c r="IF145" s="341">
        <f>IE145*$J145</f>
        <v/>
      </c>
      <c r="IG145" s="342">
        <f t="array" ref="IG145">SUMPRODUCT(--(MOD(COLUMN($GG145:$IB145),4)=MOD(COLUMN($GI145),4)),$GG145:$IB145)</f>
        <v/>
      </c>
      <c r="IH145" s="343">
        <f>IG145*$J145</f>
        <v/>
      </c>
      <c r="II145" s="36">
        <f>$KN145*3</f>
        <v/>
      </c>
      <c r="IJ145" s="284" t="n"/>
      <c r="IK145" s="38" t="n">
        <v>0</v>
      </c>
      <c r="IL145" s="284" t="n"/>
      <c r="IM145" s="36">
        <f>$KN145*3</f>
        <v/>
      </c>
      <c r="IN145" s="284" t="n"/>
      <c r="IO145" s="38" t="n">
        <v>0</v>
      </c>
      <c r="IP145" s="284" t="n"/>
      <c r="IQ145" s="36">
        <f>$KN145*3</f>
        <v/>
      </c>
      <c r="IR145" s="284" t="n"/>
      <c r="IS145" s="38" t="n">
        <v>0</v>
      </c>
      <c r="IT145" s="284" t="n"/>
      <c r="IU145" s="36">
        <f>$KN145*5</f>
        <v/>
      </c>
      <c r="IV145" s="284" t="n"/>
      <c r="IW145" s="38" t="n">
        <v>0</v>
      </c>
      <c r="IX145" s="284" t="n"/>
      <c r="IY145" s="36">
        <f>$KN145*5</f>
        <v/>
      </c>
      <c r="IZ145" s="284" t="n"/>
      <c r="JA145" s="38" t="n">
        <v>0</v>
      </c>
      <c r="JB145" s="284" t="n"/>
      <c r="JC145" s="36">
        <f>$KN145*5</f>
        <v/>
      </c>
      <c r="JD145" s="284" t="n"/>
      <c r="JE145" s="38" t="n">
        <v>0</v>
      </c>
      <c r="JF145" s="284" t="n"/>
      <c r="JG145" s="36">
        <f>$KN145*5</f>
        <v/>
      </c>
      <c r="JH145" s="284" t="n"/>
      <c r="JI145" s="38" t="n">
        <v>0</v>
      </c>
      <c r="JJ145" s="284" t="n"/>
      <c r="JK145" s="36">
        <f>$KN145*5</f>
        <v/>
      </c>
      <c r="JL145" s="284" t="n"/>
      <c r="JM145" s="38" t="n">
        <v>0</v>
      </c>
      <c r="JN145" s="284" t="n"/>
      <c r="JO145" s="36">
        <f>$KN145*5</f>
        <v/>
      </c>
      <c r="JP145" s="284" t="n"/>
      <c r="JQ145" s="38" t="n">
        <v>0</v>
      </c>
      <c r="JR145" s="284" t="n"/>
      <c r="JS145" s="36">
        <f>$KN145*5</f>
        <v/>
      </c>
      <c r="JT145" s="284" t="n"/>
      <c r="JU145" s="38" t="n">
        <v>0</v>
      </c>
      <c r="JV145" s="284" t="n"/>
      <c r="JW145" s="36">
        <f>$KN145*5</f>
        <v/>
      </c>
      <c r="JX145" s="284" t="n"/>
      <c r="JY145" s="38" t="n">
        <v>0</v>
      </c>
      <c r="JZ145" s="284" t="n"/>
      <c r="KA145" s="36">
        <f>$KN145*5</f>
        <v/>
      </c>
      <c r="KB145" s="284" t="n"/>
      <c r="KC145" s="38" t="n">
        <v>0</v>
      </c>
      <c r="KD145" s="284" t="n"/>
      <c r="KE145" s="338">
        <f t="array" ref="KE145">SUMPRODUCT(--(MOD(COLUMN($II145:$KD145),4)=MOD(COLUMN($II145),4)),$II145:$KD145)</f>
        <v/>
      </c>
      <c r="KF145" s="339">
        <f>KE145*$J145</f>
        <v/>
      </c>
      <c r="KG145" s="340">
        <f t="array" ref="KG145">SUMPRODUCT(--(MOD(COLUMN($II145:$KD145),4)=MOD(COLUMN($IJ145),4)),$II145:$KD145)</f>
        <v/>
      </c>
      <c r="KH145" s="341">
        <f>KG145*$J145</f>
        <v/>
      </c>
      <c r="KI145" s="342">
        <f t="array" ref="KI145">SUMPRODUCT(--(MOD(COLUMN($II145:$KD145),4)=MOD(COLUMN($IK145),4)),$II145:$KD145)</f>
        <v/>
      </c>
      <c r="KJ145" s="346">
        <f>KI145*$J145</f>
        <v/>
      </c>
      <c r="KK145" s="80" t="n"/>
      <c r="KL145" s="80" t="n"/>
      <c r="KM145" s="80" t="n"/>
      <c r="KN145" s="51" t="n">
        <v>1</v>
      </c>
      <c r="KO145" s="333" t="n"/>
    </row>
    <row r="146" outlineLevel="1" customFormat="1" s="68">
      <c r="A146" s="252" t="n"/>
      <c r="B146" s="69" t="n"/>
      <c r="C146" s="256" t="n"/>
      <c r="D146" s="256" t="n"/>
      <c r="E146" s="70" t="n"/>
      <c r="F146" s="70" t="n"/>
      <c r="G146" s="71" t="n"/>
      <c r="H146" s="72" t="inlineStr">
        <is>
          <t>Итого</t>
        </is>
      </c>
      <c r="I146" s="361" t="n"/>
      <c r="J146" s="360" t="n"/>
      <c r="K146" s="360" t="n"/>
      <c r="L146" s="360" t="n"/>
      <c r="M146" s="74" t="n"/>
      <c r="N146" s="75" t="n"/>
      <c r="O146" s="28" t="n"/>
      <c r="P146" s="75" t="n"/>
      <c r="Q146" s="74" t="n"/>
      <c r="R146" s="75" t="n"/>
      <c r="S146" s="28" t="n"/>
      <c r="T146" s="75" t="n"/>
      <c r="U146" s="74" t="n"/>
      <c r="V146" s="75" t="n"/>
      <c r="W146" s="28" t="n"/>
      <c r="X146" s="75" t="n"/>
      <c r="Y146" s="74" t="n"/>
      <c r="Z146" s="75" t="n"/>
      <c r="AA146" s="38" t="n"/>
      <c r="AB146" s="75" t="n"/>
      <c r="AC146" s="74" t="n"/>
      <c r="AD146" s="75" t="n"/>
      <c r="AE146" s="28" t="n"/>
      <c r="AF146" s="75" t="n"/>
      <c r="AG146" s="74" t="n"/>
      <c r="AH146" s="75" t="n"/>
      <c r="AI146" s="38" t="n"/>
      <c r="AJ146" s="75" t="n"/>
      <c r="AK146" s="74" t="n"/>
      <c r="AL146" s="75" t="n"/>
      <c r="AM146" s="38" t="n"/>
      <c r="AN146" s="75" t="n"/>
      <c r="AO146" s="74" t="n"/>
      <c r="AP146" s="75" t="n"/>
      <c r="AQ146" s="38" t="n"/>
      <c r="AR146" s="75" t="n"/>
      <c r="AS146" s="74" t="n"/>
      <c r="AT146" s="75" t="n"/>
      <c r="AU146" s="38" t="n"/>
      <c r="AV146" s="75" t="n"/>
      <c r="AW146" s="74" t="n"/>
      <c r="AX146" s="75" t="n"/>
      <c r="AY146" s="28" t="n"/>
      <c r="AZ146" s="75" t="n"/>
      <c r="BA146" s="74" t="n"/>
      <c r="BB146" s="97" t="n"/>
      <c r="BC146" s="77" t="n"/>
      <c r="BD146" s="75" t="n"/>
      <c r="BE146" s="74" t="n"/>
      <c r="BF146" s="76" t="n"/>
      <c r="BG146" s="78" t="n"/>
      <c r="BH146" s="75" t="n"/>
      <c r="BI146" s="338">
        <f>SUMPRODUCT(--(MOD(COLUMN($M146:$BH146),4)=MOD(COLUMN($M146),4)),$M146:$BH146)</f>
        <v/>
      </c>
      <c r="BJ146" s="339">
        <f>BI146*$I146</f>
        <v/>
      </c>
      <c r="BK146" s="340">
        <f>SUMPRODUCT(--(MOD(COLUMN($M146:$BH146),4)=MOD(COLUMN($M146)+1,4)),$M146:$BH146)</f>
        <v/>
      </c>
      <c r="BL146" s="341">
        <f>BK146*$I146</f>
        <v/>
      </c>
      <c r="BM146" s="342">
        <f>SUMPRODUCT(--(MOD(COLUMN($M146:$BH146),4)=MOD(COLUMN($M146)+2,4)),$M146:$BH146)</f>
        <v/>
      </c>
      <c r="BN146" s="343">
        <f>BM146*$I146</f>
        <v/>
      </c>
      <c r="BO146" s="74" t="n"/>
      <c r="BP146" s="79" t="n"/>
      <c r="BQ146" s="75" t="n"/>
      <c r="BR146" s="28" t="n"/>
      <c r="BS146" s="75" t="n"/>
      <c r="BT146" s="74" t="n"/>
      <c r="BU146" s="79" t="n"/>
      <c r="BV146" s="75" t="n"/>
      <c r="BW146" s="28" t="n"/>
      <c r="BX146" s="75" t="n"/>
      <c r="BY146" s="74" t="n"/>
      <c r="BZ146" s="79" t="n"/>
      <c r="CA146" s="75" t="n"/>
      <c r="CB146" s="28" t="n"/>
      <c r="CC146" s="75" t="n"/>
      <c r="CD146" s="74" t="n"/>
      <c r="CE146" s="79" t="n"/>
      <c r="CF146" s="75" t="n"/>
      <c r="CG146" s="28" t="n"/>
      <c r="CH146" s="75" t="n"/>
      <c r="CI146" s="74" t="n"/>
      <c r="CJ146" s="79" t="n"/>
      <c r="CK146" s="75" t="n"/>
      <c r="CL146" s="28" t="n"/>
      <c r="CM146" s="75" t="n"/>
      <c r="CN146" s="74" t="n"/>
      <c r="CO146" s="79" t="n"/>
      <c r="CP146" s="75" t="n"/>
      <c r="CQ146" s="28" t="n"/>
      <c r="CR146" s="75" t="n"/>
      <c r="CS146" s="74" t="n"/>
      <c r="CT146" s="79" t="n"/>
      <c r="CU146" s="75" t="n"/>
      <c r="CV146" s="28" t="n"/>
      <c r="CW146" s="75" t="n"/>
      <c r="CX146" s="74" t="n"/>
      <c r="CY146" s="79" t="n"/>
      <c r="CZ146" s="75" t="n"/>
      <c r="DA146" s="28" t="n"/>
      <c r="DB146" s="75" t="n"/>
      <c r="DC146" s="74" t="n"/>
      <c r="DD146" s="79" t="n"/>
      <c r="DE146" s="75" t="n"/>
      <c r="DF146" s="28" t="n"/>
      <c r="DG146" s="75" t="n"/>
      <c r="DH146" s="74" t="n"/>
      <c r="DI146" s="79" t="n"/>
      <c r="DJ146" s="75" t="n"/>
      <c r="DK146" s="28" t="n"/>
      <c r="DL146" s="75" t="n"/>
      <c r="DM146" s="74" t="n"/>
      <c r="DN146" s="79" t="n"/>
      <c r="DO146" s="75" t="n"/>
      <c r="DP146" s="28" t="n"/>
      <c r="DQ146" s="75" t="n"/>
      <c r="DR146" s="74" t="n"/>
      <c r="DS146" s="79" t="n"/>
      <c r="DT146" s="75" t="n"/>
      <c r="DU146" s="28" t="n"/>
      <c r="DV146" s="75" t="n"/>
      <c r="DW146" s="338" t="n"/>
      <c r="DX146" s="338" t="n"/>
      <c r="DY146" s="344" t="n"/>
      <c r="DZ146" s="344" t="n"/>
      <c r="EA146" s="340" t="n"/>
      <c r="EB146" s="341" t="n"/>
      <c r="EC146" s="342" t="n"/>
      <c r="ED146" s="343" t="n"/>
      <c r="EE146" s="74" t="n"/>
      <c r="EF146" s="75" t="n"/>
      <c r="EG146" s="28" t="n"/>
      <c r="EH146" s="75" t="n"/>
      <c r="EI146" s="74" t="n"/>
      <c r="EJ146" s="75" t="n"/>
      <c r="EK146" s="28" t="n"/>
      <c r="EL146" s="75" t="n"/>
      <c r="EM146" s="74" t="n"/>
      <c r="EN146" s="75" t="n"/>
      <c r="EO146" s="28" t="n"/>
      <c r="EP146" s="75" t="n"/>
      <c r="EQ146" s="74" t="n"/>
      <c r="ER146" s="75" t="n"/>
      <c r="ES146" s="28" t="n"/>
      <c r="ET146" s="75" t="n"/>
      <c r="EU146" s="74" t="n"/>
      <c r="EV146" s="75" t="n"/>
      <c r="EW146" s="28" t="n"/>
      <c r="EX146" s="75" t="n"/>
      <c r="EY146" s="74" t="n"/>
      <c r="EZ146" s="75" t="n"/>
      <c r="FA146" s="28" t="n"/>
      <c r="FB146" s="75" t="n"/>
      <c r="FC146" s="74" t="n"/>
      <c r="FD146" s="75" t="n"/>
      <c r="FE146" s="28" t="n"/>
      <c r="FF146" s="75" t="n"/>
      <c r="FG146" s="74" t="n"/>
      <c r="FH146" s="75" t="n"/>
      <c r="FI146" s="28" t="n"/>
      <c r="FJ146" s="75" t="n"/>
      <c r="FK146" s="74" t="n"/>
      <c r="FL146" s="75" t="n"/>
      <c r="FM146" s="28" t="n"/>
      <c r="FN146" s="75" t="n"/>
      <c r="FO146" s="74" t="n"/>
      <c r="FP146" s="75" t="n"/>
      <c r="FQ146" s="28" t="n"/>
      <c r="FR146" s="75" t="n"/>
      <c r="FS146" s="74" t="n"/>
      <c r="FT146" s="75" t="n"/>
      <c r="FU146" s="28" t="n"/>
      <c r="FV146" s="75" t="n"/>
      <c r="FW146" s="74" t="n"/>
      <c r="FX146" s="75" t="n"/>
      <c r="FY146" s="28" t="n"/>
      <c r="FZ146" s="75" t="n"/>
      <c r="GA146" s="338" t="n"/>
      <c r="GB146" s="339" t="n"/>
      <c r="GC146" s="340" t="n"/>
      <c r="GD146" s="341" t="n"/>
      <c r="GE146" s="342" t="n"/>
      <c r="GF146" s="343" t="n"/>
      <c r="GG146" s="74" t="n"/>
      <c r="GH146" s="75" t="n"/>
      <c r="GI146" s="28" t="n"/>
      <c r="GJ146" s="75" t="n"/>
      <c r="GK146" s="74" t="n"/>
      <c r="GL146" s="75" t="n"/>
      <c r="GM146" s="28" t="n"/>
      <c r="GN146" s="75" t="n"/>
      <c r="GO146" s="74" t="n"/>
      <c r="GP146" s="75" t="n"/>
      <c r="GQ146" s="28" t="n"/>
      <c r="GR146" s="75" t="n"/>
      <c r="GS146" s="74" t="n"/>
      <c r="GT146" s="75" t="n"/>
      <c r="GU146" s="28" t="n"/>
      <c r="GV146" s="75" t="n"/>
      <c r="GW146" s="74" t="n"/>
      <c r="GX146" s="75" t="n"/>
      <c r="GY146" s="28" t="n"/>
      <c r="GZ146" s="75" t="n"/>
      <c r="HA146" s="74" t="n"/>
      <c r="HB146" s="75" t="n"/>
      <c r="HC146" s="28" t="n"/>
      <c r="HD146" s="75" t="n"/>
      <c r="HE146" s="74" t="n"/>
      <c r="HF146" s="75" t="n"/>
      <c r="HG146" s="28" t="n"/>
      <c r="HH146" s="75" t="n"/>
      <c r="HI146" s="74" t="n"/>
      <c r="HJ146" s="75" t="n"/>
      <c r="HK146" s="28" t="n"/>
      <c r="HL146" s="75" t="n"/>
      <c r="HM146" s="74" t="n"/>
      <c r="HN146" s="75" t="n"/>
      <c r="HO146" s="28" t="n"/>
      <c r="HP146" s="75" t="n"/>
      <c r="HQ146" s="74" t="n"/>
      <c r="HR146" s="75" t="n"/>
      <c r="HS146" s="28" t="n"/>
      <c r="HT146" s="75" t="n"/>
      <c r="HU146" s="74" t="n"/>
      <c r="HV146" s="75" t="n"/>
      <c r="HW146" s="28" t="n"/>
      <c r="HX146" s="75" t="n"/>
      <c r="HY146" s="74" t="n"/>
      <c r="HZ146" s="75" t="n"/>
      <c r="IA146" s="28" t="n"/>
      <c r="IB146" s="75" t="n"/>
      <c r="IC146" s="338" t="n"/>
      <c r="ID146" s="339" t="n"/>
      <c r="IE146" s="340" t="n"/>
      <c r="IF146" s="341" t="n"/>
      <c r="IG146" s="342" t="n"/>
      <c r="IH146" s="343" t="n"/>
      <c r="II146" s="74" t="n"/>
      <c r="IJ146" s="75" t="n"/>
      <c r="IK146" s="28" t="n"/>
      <c r="IL146" s="75" t="n"/>
      <c r="IM146" s="74" t="n"/>
      <c r="IN146" s="75" t="n"/>
      <c r="IO146" s="28" t="n"/>
      <c r="IP146" s="75" t="n"/>
      <c r="IQ146" s="74" t="n"/>
      <c r="IR146" s="75" t="n"/>
      <c r="IS146" s="28" t="n"/>
      <c r="IT146" s="75" t="n"/>
      <c r="IU146" s="74" t="n"/>
      <c r="IV146" s="75" t="n"/>
      <c r="IW146" s="28" t="n"/>
      <c r="IX146" s="75" t="n"/>
      <c r="IY146" s="74" t="n"/>
      <c r="IZ146" s="75" t="n"/>
      <c r="JA146" s="28" t="n"/>
      <c r="JB146" s="75" t="n"/>
      <c r="JC146" s="74" t="n"/>
      <c r="JD146" s="75" t="n"/>
      <c r="JE146" s="28" t="n"/>
      <c r="JF146" s="75" t="n"/>
      <c r="JG146" s="74" t="n"/>
      <c r="JH146" s="75" t="n"/>
      <c r="JI146" s="28" t="n"/>
      <c r="JJ146" s="75" t="n"/>
      <c r="JK146" s="74" t="n"/>
      <c r="JL146" s="75" t="n"/>
      <c r="JM146" s="28" t="n"/>
      <c r="JN146" s="75" t="n"/>
      <c r="JO146" s="74" t="n"/>
      <c r="JP146" s="75" t="n"/>
      <c r="JQ146" s="28" t="n"/>
      <c r="JR146" s="75" t="n"/>
      <c r="JS146" s="74" t="n"/>
      <c r="JT146" s="75" t="n"/>
      <c r="JU146" s="28" t="n"/>
      <c r="JV146" s="75" t="n"/>
      <c r="JW146" s="74" t="n"/>
      <c r="JX146" s="75" t="n"/>
      <c r="JY146" s="28" t="n"/>
      <c r="JZ146" s="75" t="n"/>
      <c r="KA146" s="74" t="n"/>
      <c r="KB146" s="75" t="n"/>
      <c r="KC146" s="28" t="n"/>
      <c r="KD146" s="75" t="n"/>
      <c r="KE146" s="338" t="n"/>
      <c r="KF146" s="339" t="n"/>
      <c r="KG146" s="340" t="n"/>
      <c r="KH146" s="341" t="n"/>
      <c r="KI146" s="342" t="n"/>
      <c r="KJ146" s="346" t="n"/>
      <c r="KK146" s="80" t="n"/>
      <c r="KL146" s="80" t="n"/>
      <c r="KM146" s="80" t="n"/>
      <c r="KN146" s="253" t="n"/>
      <c r="KO146" s="253" t="n"/>
    </row>
    <row r="147" ht="28.8" customFormat="1" customHeight="1" s="68">
      <c r="A147" s="233" t="inlineStr">
        <is>
          <t>Автодвор
(не заведен в 1С)</t>
        </is>
      </c>
      <c r="B147" s="81" t="n"/>
      <c r="C147" s="82" t="n"/>
      <c r="D147" s="82" t="n"/>
      <c r="E147" s="83" t="n"/>
      <c r="F147" s="83" t="n"/>
      <c r="G147" s="84" t="n"/>
      <c r="H147" s="85" t="n"/>
      <c r="I147" s="362" t="n"/>
      <c r="J147" s="362" t="n"/>
      <c r="K147" s="362" t="n"/>
      <c r="L147" s="362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1" t="n"/>
      <c r="Y147" s="81" t="n"/>
      <c r="Z147" s="81" t="n"/>
      <c r="AA147" s="81" t="n"/>
      <c r="AB147" s="81" t="n"/>
      <c r="AC147" s="81" t="n"/>
      <c r="AD147" s="81" t="n"/>
      <c r="AE147" s="81" t="n"/>
      <c r="AF147" s="81" t="n"/>
      <c r="AG147" s="81" t="n"/>
      <c r="AH147" s="81" t="n"/>
      <c r="AI147" s="81" t="n"/>
      <c r="AJ147" s="81" t="n"/>
      <c r="AK147" s="81" t="n"/>
      <c r="AL147" s="81" t="n"/>
      <c r="AM147" s="81" t="n"/>
      <c r="AN147" s="81" t="n"/>
      <c r="AO147" s="81" t="n"/>
      <c r="AP147" s="81" t="n"/>
      <c r="AQ147" s="81" t="n"/>
      <c r="AR147" s="81" t="n"/>
      <c r="AS147" s="81" t="n"/>
      <c r="AT147" s="81" t="n"/>
      <c r="AU147" s="81" t="n"/>
      <c r="AV147" s="81" t="n"/>
      <c r="AW147" s="81" t="n"/>
      <c r="AX147" s="81" t="n"/>
      <c r="AY147" s="87" t="n"/>
      <c r="AZ147" s="81" t="n"/>
      <c r="BA147" s="87" t="n"/>
      <c r="BB147" s="87" t="n"/>
      <c r="BC147" s="88" t="n"/>
      <c r="BD147" s="81" t="n"/>
      <c r="BE147" s="87" t="n"/>
      <c r="BF147" s="87" t="n"/>
      <c r="BG147" s="87" t="n"/>
      <c r="BH147" s="81" t="n"/>
      <c r="BI147" s="363">
        <f>SUMPRODUCT(--(MOD(COLUMN($M147:$BH147),4)=MOD(COLUMN($M147),4)),$M147:$BH147)</f>
        <v/>
      </c>
      <c r="BJ147" s="364">
        <f>BI147*$I147</f>
        <v/>
      </c>
      <c r="BK147" s="363">
        <f>SUMPRODUCT(--(MOD(COLUMN($M147:$BH147),4)=MOD(COLUMN($M147)+1,4)),$M147:$BH147)</f>
        <v/>
      </c>
      <c r="BL147" s="364">
        <f>BK147*$I147</f>
        <v/>
      </c>
      <c r="BM147" s="363">
        <f>SUMPRODUCT(--(MOD(COLUMN($M147:$BH147),4)=MOD(COLUMN($M147)+2,4)),$M147:$BH147)</f>
        <v/>
      </c>
      <c r="BN147" s="364">
        <f>BM147*$I147</f>
        <v/>
      </c>
      <c r="BO147" s="81" t="n"/>
      <c r="BP147" s="81" t="n"/>
      <c r="BQ147" s="81" t="n"/>
      <c r="BR147" s="81" t="n"/>
      <c r="BS147" s="81" t="n"/>
      <c r="BT147" s="81" t="n"/>
      <c r="BU147" s="81" t="n"/>
      <c r="BV147" s="81" t="n"/>
      <c r="BW147" s="81" t="n"/>
      <c r="BX147" s="81" t="n"/>
      <c r="BY147" s="81" t="n"/>
      <c r="BZ147" s="81" t="n"/>
      <c r="CA147" s="81" t="n"/>
      <c r="CB147" s="81" t="n"/>
      <c r="CC147" s="81" t="n"/>
      <c r="CD147" s="81" t="n"/>
      <c r="CE147" s="81" t="n"/>
      <c r="CF147" s="81" t="n"/>
      <c r="CG147" s="81" t="n"/>
      <c r="CH147" s="81" t="n"/>
      <c r="CI147" s="81" t="n"/>
      <c r="CJ147" s="81" t="n"/>
      <c r="CK147" s="81" t="n"/>
      <c r="CL147" s="81" t="n"/>
      <c r="CM147" s="81" t="n"/>
      <c r="CN147" s="81" t="n"/>
      <c r="CO147" s="81" t="n"/>
      <c r="CP147" s="81" t="n"/>
      <c r="CQ147" s="81" t="n"/>
      <c r="CR147" s="81" t="n"/>
      <c r="CS147" s="81" t="n"/>
      <c r="CT147" s="81" t="n"/>
      <c r="CU147" s="81" t="n"/>
      <c r="CV147" s="81" t="n"/>
      <c r="CW147" s="81" t="n"/>
      <c r="CX147" s="81" t="n"/>
      <c r="CY147" s="81" t="n"/>
      <c r="CZ147" s="81" t="n"/>
      <c r="DA147" s="81" t="n"/>
      <c r="DB147" s="81" t="n"/>
      <c r="DC147" s="81" t="n"/>
      <c r="DD147" s="81" t="n"/>
      <c r="DE147" s="81" t="n"/>
      <c r="DF147" s="81" t="n"/>
      <c r="DG147" s="81" t="n"/>
      <c r="DH147" s="81" t="n"/>
      <c r="DI147" s="81" t="n"/>
      <c r="DJ147" s="81" t="n"/>
      <c r="DK147" s="81" t="n"/>
      <c r="DL147" s="81" t="n"/>
      <c r="DM147" s="81" t="n"/>
      <c r="DN147" s="81" t="n"/>
      <c r="DO147" s="81" t="n"/>
      <c r="DP147" s="81" t="n"/>
      <c r="DQ147" s="81" t="n"/>
      <c r="DR147" s="81" t="n"/>
      <c r="DS147" s="81" t="n"/>
      <c r="DT147" s="81" t="n"/>
      <c r="DU147" s="81" t="n"/>
      <c r="DV147" s="81" t="n"/>
      <c r="DW147" s="363">
        <f>SUMPRODUCT(--(MOD(COLUMN($BO147:$DV147),5)=MOD(COLUMN($BO147),5)),$BO147:$DV147)</f>
        <v/>
      </c>
      <c r="DX147" s="363">
        <f>DW147*$J147</f>
        <v/>
      </c>
      <c r="DY147" s="363">
        <f>SUMPRODUCT(--(MOD(COLUMN($BO147:$DV147),5)=MOD(COLUMN($BO147),5)+1),$BO147:$DV147)</f>
        <v/>
      </c>
      <c r="DZ147" s="363">
        <f>DY147*$J147</f>
        <v/>
      </c>
      <c r="EA147" s="363">
        <f>SUMPRODUCT(--(MOD(COLUMN($BO147:$DV147),5)=MOD(COLUMN($BO147),5)+2),$BO147:$DV147)</f>
        <v/>
      </c>
      <c r="EB147" s="364">
        <f>EA147*$J147</f>
        <v/>
      </c>
      <c r="EC147" s="363">
        <f>SUMPRODUCT(--(MOD(COLUMN($BO147:$DV147),5)=MOD(COLUMN($BO147),5)+3),$BO147:$DV147)</f>
        <v/>
      </c>
      <c r="ED147" s="364">
        <f>EC147*$J147</f>
        <v/>
      </c>
      <c r="EE147" s="81" t="n"/>
      <c r="EF147" s="81" t="n"/>
      <c r="EG147" s="81" t="n"/>
      <c r="EH147" s="81" t="n"/>
      <c r="EI147" s="81" t="n"/>
      <c r="EJ147" s="81" t="n"/>
      <c r="EK147" s="81" t="n"/>
      <c r="EL147" s="81" t="n"/>
      <c r="EM147" s="81" t="n"/>
      <c r="EN147" s="81" t="n"/>
      <c r="EO147" s="81" t="n"/>
      <c r="EP147" s="81" t="n"/>
      <c r="EQ147" s="81" t="n"/>
      <c r="ER147" s="81" t="n"/>
      <c r="ES147" s="81" t="n"/>
      <c r="ET147" s="81" t="n"/>
      <c r="EU147" s="81" t="n"/>
      <c r="EV147" s="81" t="n"/>
      <c r="EW147" s="81" t="n"/>
      <c r="EX147" s="81" t="n"/>
      <c r="EY147" s="81" t="n"/>
      <c r="EZ147" s="81" t="n"/>
      <c r="FA147" s="81" t="n"/>
      <c r="FB147" s="81" t="n"/>
      <c r="FC147" s="81" t="n"/>
      <c r="FD147" s="81" t="n"/>
      <c r="FE147" s="81" t="n"/>
      <c r="FF147" s="81" t="n"/>
      <c r="FG147" s="81" t="n"/>
      <c r="FH147" s="81" t="n"/>
      <c r="FI147" s="81" t="n"/>
      <c r="FJ147" s="81" t="n"/>
      <c r="FK147" s="81" t="n"/>
      <c r="FL147" s="81" t="n"/>
      <c r="FM147" s="81" t="n"/>
      <c r="FN147" s="81" t="n"/>
      <c r="FO147" s="81" t="n"/>
      <c r="FP147" s="81" t="n"/>
      <c r="FQ147" s="81" t="n"/>
      <c r="FR147" s="81" t="n"/>
      <c r="FS147" s="81" t="n"/>
      <c r="FT147" s="81" t="n"/>
      <c r="FU147" s="81" t="n"/>
      <c r="FV147" s="81" t="n"/>
      <c r="FW147" s="81" t="n"/>
      <c r="FX147" s="81" t="n"/>
      <c r="FY147" s="81" t="n"/>
      <c r="FZ147" s="81" t="n"/>
      <c r="GA147" s="363" t="n"/>
      <c r="GB147" s="364" t="n"/>
      <c r="GC147" s="365" t="n"/>
      <c r="GD147" s="366" t="n"/>
      <c r="GE147" s="363" t="n"/>
      <c r="GF147" s="364" t="n"/>
      <c r="GG147" s="81" t="n"/>
      <c r="GH147" s="81" t="n"/>
      <c r="GI147" s="81" t="n"/>
      <c r="GJ147" s="81" t="n"/>
      <c r="GK147" s="81" t="n"/>
      <c r="GL147" s="81" t="n"/>
      <c r="GM147" s="81" t="n"/>
      <c r="GN147" s="81" t="n"/>
      <c r="GO147" s="81" t="n"/>
      <c r="GP147" s="81" t="n"/>
      <c r="GQ147" s="81" t="n"/>
      <c r="GR147" s="81" t="n"/>
      <c r="GS147" s="81" t="n"/>
      <c r="GT147" s="81" t="n"/>
      <c r="GU147" s="81" t="n"/>
      <c r="GV147" s="81" t="n"/>
      <c r="GW147" s="81" t="n"/>
      <c r="GX147" s="81" t="n"/>
      <c r="GY147" s="81" t="n"/>
      <c r="GZ147" s="81" t="n"/>
      <c r="HA147" s="81" t="n"/>
      <c r="HB147" s="81" t="n"/>
      <c r="HC147" s="81" t="n"/>
      <c r="HD147" s="81" t="n"/>
      <c r="HE147" s="81" t="n"/>
      <c r="HF147" s="81" t="n"/>
      <c r="HG147" s="81" t="n"/>
      <c r="HH147" s="81" t="n"/>
      <c r="HI147" s="81" t="n"/>
      <c r="HJ147" s="81" t="n"/>
      <c r="HK147" s="81" t="n"/>
      <c r="HL147" s="81" t="n"/>
      <c r="HM147" s="81" t="n"/>
      <c r="HN147" s="81" t="n"/>
      <c r="HO147" s="81" t="n"/>
      <c r="HP147" s="81" t="n"/>
      <c r="HQ147" s="81" t="n"/>
      <c r="HR147" s="81" t="n"/>
      <c r="HS147" s="81" t="n"/>
      <c r="HT147" s="81" t="n"/>
      <c r="HU147" s="81" t="n"/>
      <c r="HV147" s="81" t="n"/>
      <c r="HW147" s="81" t="n"/>
      <c r="HX147" s="81" t="n"/>
      <c r="HY147" s="81" t="n"/>
      <c r="HZ147" s="81" t="n"/>
      <c r="IA147" s="81" t="n"/>
      <c r="IB147" s="81" t="n"/>
      <c r="IC147" s="363" t="n"/>
      <c r="ID147" s="364" t="n"/>
      <c r="IE147" s="365" t="n"/>
      <c r="IF147" s="366" t="n"/>
      <c r="IG147" s="363" t="n"/>
      <c r="IH147" s="364" t="n"/>
      <c r="II147" s="81" t="n"/>
      <c r="IJ147" s="81" t="n"/>
      <c r="IK147" s="81" t="n"/>
      <c r="IL147" s="81" t="n"/>
      <c r="IM147" s="81" t="n"/>
      <c r="IN147" s="81" t="n"/>
      <c r="IO147" s="81" t="n"/>
      <c r="IP147" s="81" t="n"/>
      <c r="IQ147" s="81" t="n"/>
      <c r="IR147" s="81" t="n"/>
      <c r="IS147" s="81" t="n"/>
      <c r="IT147" s="81" t="n"/>
      <c r="IU147" s="81" t="n"/>
      <c r="IV147" s="81" t="n"/>
      <c r="IW147" s="81" t="n"/>
      <c r="IX147" s="81" t="n"/>
      <c r="IY147" s="81" t="n"/>
      <c r="IZ147" s="81" t="n"/>
      <c r="JA147" s="81" t="n"/>
      <c r="JB147" s="81" t="n"/>
      <c r="JC147" s="81" t="n"/>
      <c r="JD147" s="81" t="n"/>
      <c r="JE147" s="81" t="n"/>
      <c r="JF147" s="81" t="n"/>
      <c r="JG147" s="81" t="n"/>
      <c r="JH147" s="81" t="n"/>
      <c r="JI147" s="81" t="n"/>
      <c r="JJ147" s="81" t="n"/>
      <c r="JK147" s="81" t="n"/>
      <c r="JL147" s="81" t="n"/>
      <c r="JM147" s="81" t="n"/>
      <c r="JN147" s="81" t="n"/>
      <c r="JO147" s="81" t="n"/>
      <c r="JP147" s="81" t="n"/>
      <c r="JQ147" s="81" t="n"/>
      <c r="JR147" s="81" t="n"/>
      <c r="JS147" s="81" t="n"/>
      <c r="JT147" s="81" t="n"/>
      <c r="JU147" s="81" t="n"/>
      <c r="JV147" s="81" t="n"/>
      <c r="JW147" s="81" t="n"/>
      <c r="JX147" s="81" t="n"/>
      <c r="JY147" s="81" t="n"/>
      <c r="JZ147" s="81" t="n"/>
      <c r="KA147" s="81" t="n"/>
      <c r="KB147" s="81" t="n"/>
      <c r="KC147" s="81" t="n"/>
      <c r="KD147" s="81" t="n"/>
      <c r="KE147" s="363" t="n"/>
      <c r="KF147" s="364" t="n"/>
      <c r="KG147" s="365" t="n"/>
      <c r="KH147" s="366" t="n"/>
      <c r="KI147" s="363" t="n"/>
      <c r="KJ147" s="367" t="n"/>
      <c r="KK147" s="80" t="n"/>
      <c r="KL147" s="80" t="n"/>
      <c r="KM147" s="80" t="n"/>
      <c r="KN147" s="253" t="n"/>
      <c r="KO147" s="253" t="n"/>
    </row>
    <row r="148" outlineLevel="1" ht="30" customFormat="1" customHeight="1" s="68">
      <c r="A148" s="373" t="inlineStr">
        <is>
          <t>Атлас Трейлер
(не заведен в 1С)</t>
        </is>
      </c>
      <c r="B148" s="335" t="inlineStr">
        <is>
          <t>Договор не подписан. Оплата по счету</t>
        </is>
      </c>
      <c r="C148" s="256" t="inlineStr">
        <is>
          <t>ВБК РУС</t>
        </is>
      </c>
      <c r="D148" s="336" t="inlineStr">
        <is>
          <t>Мустафин Ринат</t>
        </is>
      </c>
      <c r="E148" s="60" t="n">
        <v>1</v>
      </c>
      <c r="F148" s="60" t="n">
        <v>1</v>
      </c>
      <c r="G148" s="56" t="n">
        <v>9522010010</v>
      </c>
      <c r="H148" s="57" t="inlineStr">
        <is>
          <t>Головка соединительная (управляющая)</t>
        </is>
      </c>
      <c r="I148" s="348" t="n">
        <v>76.19047619047619</v>
      </c>
      <c r="J148" s="337">
        <f>89.6/1.2*1.0863</f>
        <v/>
      </c>
      <c r="K148" s="348" t="n"/>
      <c r="L148" s="348" t="n"/>
      <c r="M148" s="36" t="n"/>
      <c r="N148" s="284" t="n"/>
      <c r="O148" s="38" t="n"/>
      <c r="P148" s="284" t="n"/>
      <c r="Q148" s="36" t="n"/>
      <c r="R148" s="284" t="n"/>
      <c r="S148" s="38" t="n"/>
      <c r="T148" s="284" t="n"/>
      <c r="U148" s="36" t="n"/>
      <c r="V148" s="284" t="n"/>
      <c r="W148" s="38" t="n"/>
      <c r="X148" s="284" t="n"/>
      <c r="Y148" s="36" t="n"/>
      <c r="Z148" s="284" t="n"/>
      <c r="AA148" s="38" t="n"/>
      <c r="AB148" s="284" t="n"/>
      <c r="AC148" s="36" t="n"/>
      <c r="AD148" s="284" t="n"/>
      <c r="AE148" s="38" t="n"/>
      <c r="AF148" s="284" t="n"/>
      <c r="AG148" s="36" t="n"/>
      <c r="AH148" s="284" t="n"/>
      <c r="AI148" s="38" t="n"/>
      <c r="AJ148" s="284" t="n"/>
      <c r="AK148" s="36" t="n"/>
      <c r="AL148" s="284" t="n"/>
      <c r="AM148" s="38" t="n"/>
      <c r="AN148" s="284" t="n"/>
      <c r="AO148" s="36" t="n"/>
      <c r="AP148" s="284" t="n"/>
      <c r="AQ148" s="38" t="n"/>
      <c r="AR148" s="284" t="n"/>
      <c r="AS148" s="36" t="n"/>
      <c r="AT148" s="284" t="n"/>
      <c r="AU148" s="38" t="n">
        <v>0</v>
      </c>
      <c r="AV148" s="284" t="n"/>
      <c r="AW148" s="36" t="n"/>
      <c r="AX148" s="284" t="n"/>
      <c r="AY148" s="38" t="n">
        <v>0</v>
      </c>
      <c r="AZ148" s="284" t="n"/>
      <c r="BA148" s="36" t="n"/>
      <c r="BB148" s="284" t="n"/>
      <c r="BC148" s="99" t="n">
        <v>0</v>
      </c>
      <c r="BD148" s="284" t="n"/>
      <c r="BE148" s="36" t="n"/>
      <c r="BF148" s="284" t="n"/>
      <c r="BG148" s="54" t="n">
        <v>0</v>
      </c>
      <c r="BH148" s="284" t="n"/>
      <c r="BI148" s="338">
        <f>SUMPRODUCT(--(MOD(COLUMN($M148:$BH148),4)=MOD(COLUMN($M148),4)),$M148:$BH148)</f>
        <v/>
      </c>
      <c r="BJ148" s="339">
        <f>BI148*$I148</f>
        <v/>
      </c>
      <c r="BK148" s="340">
        <f>SUMPRODUCT(--(MOD(COLUMN($M148:$BH148),4)=MOD(COLUMN($M148)+1,4)),$M148:$BH148)</f>
        <v/>
      </c>
      <c r="BL148" s="341">
        <f>BK148*$I148</f>
        <v/>
      </c>
      <c r="BM148" s="342">
        <f>SUMPRODUCT(--(MOD(COLUMN($M148:$BH148),4)=MOD(COLUMN($M148)+2,4)),$M148:$BH148)</f>
        <v/>
      </c>
      <c r="BN148" s="343">
        <f>BM148*$I148</f>
        <v/>
      </c>
      <c r="BO148" s="36" t="n"/>
      <c r="BP148" s="47" t="n"/>
      <c r="BQ148" s="39" t="n"/>
      <c r="BR148" s="38" t="n">
        <v>0</v>
      </c>
      <c r="BS148" s="284" t="inlineStr">
        <is>
          <t>Новый клиент</t>
        </is>
      </c>
      <c r="BT148" s="36">
        <f>$KN148*5</f>
        <v/>
      </c>
      <c r="BU148" s="47">
        <f>$KN148*0</f>
        <v/>
      </c>
      <c r="BV148" s="69">
        <f>$KN148*0</f>
        <v/>
      </c>
      <c r="BW148" s="38" t="n">
        <v>0</v>
      </c>
      <c r="BX148" s="284" t="inlineStr">
        <is>
          <t>Производство на стадии комплектования станками. Пока не реализована сборка из собственных комплектующих. Старт ожидается в апреле</t>
        </is>
      </c>
      <c r="BY148" s="36">
        <f>$KN148*5</f>
        <v/>
      </c>
      <c r="BZ148" s="47">
        <f>$KN148*0</f>
        <v/>
      </c>
      <c r="CA148" s="284" t="n">
        <v>0</v>
      </c>
      <c r="CB148" s="38" t="n">
        <v>0</v>
      </c>
      <c r="CC148" s="284" t="n"/>
      <c r="CD148" s="36">
        <f>$KN148*0</f>
        <v/>
      </c>
      <c r="CE148" s="47">
        <f>$KN148*0</f>
        <v/>
      </c>
      <c r="CF148" s="284">
        <f>$KN148*0</f>
        <v/>
      </c>
      <c r="CG148" s="38" t="n">
        <v>0</v>
      </c>
      <c r="CH148" s="284" t="n"/>
      <c r="CI148" s="36">
        <f>$KN148*5</f>
        <v/>
      </c>
      <c r="CJ148" s="47">
        <f>$KN148*0</f>
        <v/>
      </c>
      <c r="CK148" s="284" t="n">
        <v>0</v>
      </c>
      <c r="CL148" s="38" t="n">
        <v>0</v>
      </c>
      <c r="CM148" s="284" t="n"/>
      <c r="CN148" s="36">
        <f>$KN148*10</f>
        <v/>
      </c>
      <c r="CO148" s="47">
        <f>$KN148*0</f>
        <v/>
      </c>
      <c r="CP148" s="284">
        <f>$KN148*0</f>
        <v/>
      </c>
      <c r="CQ148" s="38" t="n">
        <v>0</v>
      </c>
      <c r="CR148" s="284" t="n"/>
      <c r="CS148" s="36">
        <f>$KN148*10</f>
        <v/>
      </c>
      <c r="CT148" s="47">
        <f>$KN148*0</f>
        <v/>
      </c>
      <c r="CU148" s="284">
        <f>$KN148*0</f>
        <v/>
      </c>
      <c r="CV148" s="38" t="n">
        <v>0</v>
      </c>
      <c r="CW148" s="284" t="n"/>
      <c r="CX148" s="36">
        <f>$KN148*10</f>
        <v/>
      </c>
      <c r="CY148" s="47">
        <f>$KN148*0</f>
        <v/>
      </c>
      <c r="CZ148" s="284">
        <f>$KN148*0</f>
        <v/>
      </c>
      <c r="DA148" s="38" t="n">
        <v>0</v>
      </c>
      <c r="DB148" s="284" t="n"/>
      <c r="DC148" s="36">
        <f>$KN148*10</f>
        <v/>
      </c>
      <c r="DD148" s="47">
        <f>$KN148*0</f>
        <v/>
      </c>
      <c r="DE148" s="284">
        <f>$KN148*0</f>
        <v/>
      </c>
      <c r="DF148" s="38" t="n"/>
      <c r="DG148" s="284" t="n"/>
      <c r="DH148" s="36">
        <f>$KN148*10</f>
        <v/>
      </c>
      <c r="DI148" s="47">
        <f>$KN148*0</f>
        <v/>
      </c>
      <c r="DJ148" s="284">
        <f>$KN148*0</f>
        <v/>
      </c>
      <c r="DK148" s="38" t="n">
        <v>0</v>
      </c>
      <c r="DL148" s="284" t="n"/>
      <c r="DM148" s="36">
        <f>$KN148*10</f>
        <v/>
      </c>
      <c r="DN148" s="47">
        <f>$KN148*0</f>
        <v/>
      </c>
      <c r="DO148" s="284">
        <f>$KN148*0</f>
        <v/>
      </c>
      <c r="DP148" s="38" t="n">
        <v>0</v>
      </c>
      <c r="DQ148" s="284" t="n"/>
      <c r="DR148" s="36">
        <f>$KN148*10</f>
        <v/>
      </c>
      <c r="DS148" s="47">
        <f>$KN148*0</f>
        <v/>
      </c>
      <c r="DT148" s="284">
        <f>$KN148*0</f>
        <v/>
      </c>
      <c r="DU148" s="38" t="n">
        <v>0</v>
      </c>
      <c r="DV148" s="284" t="n"/>
      <c r="DW148" s="338">
        <f t="array" ref="DW148">SUMPRODUCT(--(MOD(COLUMN($BO148:$DV148),5)=MOD(COLUMN($BO148),5)),$BO148:$DV148)</f>
        <v/>
      </c>
      <c r="DX148" s="339">
        <f>DW148*$J148</f>
        <v/>
      </c>
      <c r="DY148" s="344">
        <f t="array" ref="DY148">SUMPRODUCT(--(MOD(COLUMN($BO148:$DV148),5)=MOD(COLUMN($BP148),5)),$BO148:$DV148)</f>
        <v/>
      </c>
      <c r="DZ148" s="345">
        <f>DY148*$J148</f>
        <v/>
      </c>
      <c r="EA148" s="340">
        <f t="array" ref="EA148">SUMPRODUCT(--(MOD(COLUMN($BO148:$DV148),5)=MOD(COLUMN($BQ148),5)),$BO148:$DV148)</f>
        <v/>
      </c>
      <c r="EB148" s="341">
        <f>EA148*$J148</f>
        <v/>
      </c>
      <c r="EC148" s="342">
        <f t="array" ref="EC148">SUMPRODUCT(--(MOD(COLUMN($BO148:$DV148),5)=MOD(COLUMN($BR148),5)),$BO148:$DV148)</f>
        <v/>
      </c>
      <c r="ED148" s="343">
        <f>EC148*$J148</f>
        <v/>
      </c>
      <c r="EE148" s="36">
        <f>$KN148*0</f>
        <v/>
      </c>
      <c r="EF148" s="284" t="n">
        <v>0</v>
      </c>
      <c r="EG148" s="38" t="n">
        <v>0</v>
      </c>
      <c r="EH148" s="284" t="n"/>
      <c r="EI148" s="36">
        <f>$KN148*3</f>
        <v/>
      </c>
      <c r="EJ148" s="284" t="n">
        <v>0</v>
      </c>
      <c r="EK148" s="38" t="n">
        <v>0</v>
      </c>
      <c r="EL148" s="284" t="n"/>
      <c r="EM148" s="36">
        <f>$KN148*0</f>
        <v/>
      </c>
      <c r="EN148" s="284" t="n">
        <v>0</v>
      </c>
      <c r="EO148" s="38" t="n"/>
      <c r="EP148" s="284" t="n"/>
      <c r="EQ148" s="36">
        <f>$KN148*5</f>
        <v/>
      </c>
      <c r="ER148" s="284" t="n">
        <v>0</v>
      </c>
      <c r="ES148" s="38" t="n">
        <v>0</v>
      </c>
      <c r="ET148" s="284" t="inlineStr">
        <is>
          <t>Заказ марта перенесен на апрель</t>
        </is>
      </c>
      <c r="EU148" s="36">
        <f>$KN148*5</f>
        <v/>
      </c>
      <c r="EV148" s="284" t="n">
        <v>0</v>
      </c>
      <c r="EW148" s="38" t="n">
        <v>0</v>
      </c>
      <c r="EX148" s="284" t="inlineStr">
        <is>
          <t>Заказ апреля перенесен на май</t>
        </is>
      </c>
      <c r="EY148" s="36">
        <f>$KN148*5</f>
        <v/>
      </c>
      <c r="EZ148" s="284" t="n">
        <v>6</v>
      </c>
      <c r="FA148" s="38" t="n">
        <v>0</v>
      </c>
      <c r="FB148" s="284" t="inlineStr">
        <is>
          <t>Заказ мая перенесен на июнь. Договор на стадии заключения</t>
        </is>
      </c>
      <c r="FC148" s="36">
        <f>$KN148*15</f>
        <v/>
      </c>
      <c r="FD148" s="284" t="n">
        <v>5</v>
      </c>
      <c r="FE148" s="38" t="n">
        <v>0</v>
      </c>
      <c r="FF148" s="284" t="n"/>
      <c r="FG148" s="36">
        <f>$KN148*15</f>
        <v/>
      </c>
      <c r="FH148" s="284" t="n">
        <v>5</v>
      </c>
      <c r="FI148" s="38" t="n">
        <v>0</v>
      </c>
      <c r="FJ148" s="284" t="n"/>
      <c r="FK148" s="36">
        <f>$KN148*15</f>
        <v/>
      </c>
      <c r="FL148" s="284" t="n">
        <v>15</v>
      </c>
      <c r="FM148" s="38" t="n">
        <v>0</v>
      </c>
      <c r="FN148" s="284" t="n"/>
      <c r="FO148" s="36">
        <f>$KN148*20</f>
        <v/>
      </c>
      <c r="FP148" s="284" t="n">
        <v>20</v>
      </c>
      <c r="FQ148" s="38" t="n">
        <v>0</v>
      </c>
      <c r="FR148" s="284" t="n"/>
      <c r="FS148" s="36">
        <f>$KN148*20</f>
        <v/>
      </c>
      <c r="FT148" s="284" t="n">
        <v>20</v>
      </c>
      <c r="FU148" s="38" t="n">
        <v>0</v>
      </c>
      <c r="FV148" s="284" t="n"/>
      <c r="FW148" s="36">
        <f>$KN148*20</f>
        <v/>
      </c>
      <c r="FX148" s="284" t="n">
        <v>20</v>
      </c>
      <c r="FY148" s="38" t="n">
        <v>0</v>
      </c>
      <c r="FZ148" s="284" t="n"/>
      <c r="GA148" s="338">
        <f>SUMPRODUCT(--(MOD(COLUMN($EE148:$FZ148),4)=MOD(COLUMN($EE148),4)),$EE148:$FZ148)</f>
        <v/>
      </c>
      <c r="GB148" s="339">
        <f>GA148*$J148</f>
        <v/>
      </c>
      <c r="GC148" s="340">
        <f>SUMPRODUCT(--(MOD(COLUMN($EE148:$FZ148),4)=MOD(COLUMN($EF148),4)),$EE148:$FZ148)</f>
        <v/>
      </c>
      <c r="GD148" s="341">
        <f>GC148*$J148</f>
        <v/>
      </c>
      <c r="GE148" s="342">
        <f>SUMPRODUCT(--(MOD(COLUMN($EE148:$FZ148),4)=MOD(COLUMN($EG148),4)),$EE148:$FZ148)</f>
        <v/>
      </c>
      <c r="GF148" s="343">
        <f>GE148*$J148</f>
        <v/>
      </c>
      <c r="GG148" s="36">
        <f>$KN148*15</f>
        <v/>
      </c>
      <c r="GH148" s="284" t="n"/>
      <c r="GI148" s="38" t="n">
        <v>0</v>
      </c>
      <c r="GJ148" s="284" t="n"/>
      <c r="GK148" s="36">
        <f>$KN148*15</f>
        <v/>
      </c>
      <c r="GL148" s="284" t="n"/>
      <c r="GM148" s="38" t="n">
        <v>0</v>
      </c>
      <c r="GN148" s="284" t="n"/>
      <c r="GO148" s="36">
        <f>$KN148*15</f>
        <v/>
      </c>
      <c r="GP148" s="284" t="n"/>
      <c r="GQ148" s="38" t="n">
        <v>0</v>
      </c>
      <c r="GR148" s="284" t="n"/>
      <c r="GS148" s="36">
        <f>$KN148*20</f>
        <v/>
      </c>
      <c r="GT148" s="284" t="n"/>
      <c r="GU148" s="38" t="n">
        <v>0</v>
      </c>
      <c r="GV148" s="284" t="n"/>
      <c r="GW148" s="36">
        <f>$KN148*20</f>
        <v/>
      </c>
      <c r="GX148" s="284" t="n"/>
      <c r="GY148" s="38" t="n">
        <v>0</v>
      </c>
      <c r="GZ148" s="284" t="n"/>
      <c r="HA148" s="36">
        <f>$KN148*20</f>
        <v/>
      </c>
      <c r="HB148" s="284" t="n"/>
      <c r="HC148" s="38" t="n">
        <v>0</v>
      </c>
      <c r="HD148" s="284" t="n"/>
      <c r="HE148" s="36">
        <f>$KN148*20</f>
        <v/>
      </c>
      <c r="HF148" s="284" t="n"/>
      <c r="HG148" s="38" t="n">
        <v>0</v>
      </c>
      <c r="HH148" s="284" t="n"/>
      <c r="HI148" s="36">
        <f>$KN148*20</f>
        <v/>
      </c>
      <c r="HJ148" s="284" t="n"/>
      <c r="HK148" s="38" t="n">
        <v>0</v>
      </c>
      <c r="HL148" s="284" t="n"/>
      <c r="HM148" s="36">
        <f>$KN148*20</f>
        <v/>
      </c>
      <c r="HN148" s="284" t="n"/>
      <c r="HO148" s="38" t="n">
        <v>0</v>
      </c>
      <c r="HP148" s="284" t="n"/>
      <c r="HQ148" s="36">
        <f>$KN148*20</f>
        <v/>
      </c>
      <c r="HR148" s="284" t="n"/>
      <c r="HS148" s="38" t="n">
        <v>0</v>
      </c>
      <c r="HT148" s="284" t="n"/>
      <c r="HU148" s="36">
        <f>$KN148*20</f>
        <v/>
      </c>
      <c r="HV148" s="284" t="n"/>
      <c r="HW148" s="38" t="n">
        <v>0</v>
      </c>
      <c r="HX148" s="284" t="n"/>
      <c r="HY148" s="36">
        <f>$KN148*20</f>
        <v/>
      </c>
      <c r="HZ148" s="284" t="n"/>
      <c r="IA148" s="38" t="n">
        <v>0</v>
      </c>
      <c r="IB148" s="284" t="n"/>
      <c r="IC148" s="338">
        <f t="array" ref="IC148">SUMPRODUCT(--(MOD(COLUMN($GG148:$IB148),4)=MOD(COLUMN($GG148),4)),$GG148:$IB148)</f>
        <v/>
      </c>
      <c r="ID148" s="339">
        <f>IC148*$J148</f>
        <v/>
      </c>
      <c r="IE148" s="340">
        <f t="array" ref="IE148">SUMPRODUCT(--(MOD(COLUMN($GG148:$IB148),4)=MOD(COLUMN($GH148),4)),$GG148:$IB148)</f>
        <v/>
      </c>
      <c r="IF148" s="341">
        <f>IE148*$J148</f>
        <v/>
      </c>
      <c r="IG148" s="342">
        <f t="array" ref="IG148">SUMPRODUCT(--(MOD(COLUMN($GG148:$IB148),4)=MOD(COLUMN($GI148),4)),$GG148:$IB148)</f>
        <v/>
      </c>
      <c r="IH148" s="343">
        <f>IG148*$J148</f>
        <v/>
      </c>
      <c r="II148" s="36">
        <f>$KN148*20</f>
        <v/>
      </c>
      <c r="IJ148" s="284" t="n"/>
      <c r="IK148" s="38" t="n">
        <v>0</v>
      </c>
      <c r="IL148" s="284" t="n"/>
      <c r="IM148" s="36">
        <f>$KN148*20</f>
        <v/>
      </c>
      <c r="IN148" s="284" t="n"/>
      <c r="IO148" s="38" t="n">
        <v>0</v>
      </c>
      <c r="IP148" s="284" t="n"/>
      <c r="IQ148" s="36">
        <f>$KN148*20</f>
        <v/>
      </c>
      <c r="IR148" s="284" t="n"/>
      <c r="IS148" s="38" t="n">
        <v>0</v>
      </c>
      <c r="IT148" s="284" t="n"/>
      <c r="IU148" s="36">
        <f>$KN148*25</f>
        <v/>
      </c>
      <c r="IV148" s="284" t="n"/>
      <c r="IW148" s="38" t="n">
        <v>0</v>
      </c>
      <c r="IX148" s="284" t="n"/>
      <c r="IY148" s="36">
        <f>$KN148*25</f>
        <v/>
      </c>
      <c r="IZ148" s="284" t="n"/>
      <c r="JA148" s="38" t="n">
        <v>0</v>
      </c>
      <c r="JB148" s="284" t="n"/>
      <c r="JC148" s="36">
        <f>$KN148*25</f>
        <v/>
      </c>
      <c r="JD148" s="284" t="n"/>
      <c r="JE148" s="38" t="n">
        <v>0</v>
      </c>
      <c r="JF148" s="284" t="n"/>
      <c r="JG148" s="36">
        <f>$KN148*30</f>
        <v/>
      </c>
      <c r="JH148" s="284" t="n"/>
      <c r="JI148" s="38" t="n">
        <v>0</v>
      </c>
      <c r="JJ148" s="284" t="n"/>
      <c r="JK148" s="36">
        <f>$KN148*30</f>
        <v/>
      </c>
      <c r="JL148" s="284" t="n"/>
      <c r="JM148" s="38" t="n">
        <v>0</v>
      </c>
      <c r="JN148" s="284" t="n"/>
      <c r="JO148" s="36">
        <f>$KN148*30</f>
        <v/>
      </c>
      <c r="JP148" s="284" t="n"/>
      <c r="JQ148" s="38" t="n">
        <v>0</v>
      </c>
      <c r="JR148" s="284" t="n"/>
      <c r="JS148" s="36">
        <f>$KN148*30</f>
        <v/>
      </c>
      <c r="JT148" s="284" t="n"/>
      <c r="JU148" s="38" t="n">
        <v>0</v>
      </c>
      <c r="JV148" s="284" t="n"/>
      <c r="JW148" s="36">
        <f>$KN148*30</f>
        <v/>
      </c>
      <c r="JX148" s="284" t="n"/>
      <c r="JY148" s="38" t="n">
        <v>0</v>
      </c>
      <c r="JZ148" s="284" t="n"/>
      <c r="KA148" s="36">
        <f>$KN148*30</f>
        <v/>
      </c>
      <c r="KB148" s="284" t="n"/>
      <c r="KC148" s="38" t="n">
        <v>0</v>
      </c>
      <c r="KD148" s="284" t="n"/>
      <c r="KE148" s="338">
        <f t="array" ref="KE148">SUMPRODUCT(--(MOD(COLUMN($II148:$KD148),4)=MOD(COLUMN($II148),4)),$II148:$KD148)</f>
        <v/>
      </c>
      <c r="KF148" s="339">
        <f>KE148*$J148</f>
        <v/>
      </c>
      <c r="KG148" s="340">
        <f t="array" ref="KG148">SUMPRODUCT(--(MOD(COLUMN($II148:$KD148),4)=MOD(COLUMN($IJ148),4)),$II148:$KD148)</f>
        <v/>
      </c>
      <c r="KH148" s="341">
        <f>KG148*$J148</f>
        <v/>
      </c>
      <c r="KI148" s="342">
        <f t="array" ref="KI148">SUMPRODUCT(--(MOD(COLUMN($II148:$KD148),4)=MOD(COLUMN($IK148),4)),$II148:$KD148)</f>
        <v/>
      </c>
      <c r="KJ148" s="346">
        <f>KI148*$J148</f>
        <v/>
      </c>
      <c r="KK148" s="80" t="n"/>
      <c r="KL148" s="80" t="n"/>
      <c r="KM148" s="80" t="n"/>
      <c r="KN148" s="51" t="n">
        <v>1</v>
      </c>
      <c r="KO148" s="285" t="inlineStr">
        <is>
          <t>TEBS 2s/2m 
12м</t>
        </is>
      </c>
    </row>
    <row r="149" outlineLevel="1" ht="43.2" customFormat="1" customHeight="1" s="68">
      <c r="A149" s="347" t="n"/>
      <c r="B149" s="347" t="n"/>
      <c r="C149" s="347" t="n"/>
      <c r="D149" s="347" t="n"/>
      <c r="E149" s="60" t="n">
        <v>2</v>
      </c>
      <c r="F149" s="60" t="n">
        <v>1</v>
      </c>
      <c r="G149" s="56" t="n">
        <v>9522010020</v>
      </c>
      <c r="H149" s="57" t="inlineStr">
        <is>
          <t>Головка соединительная (питающая)</t>
        </is>
      </c>
      <c r="I149" s="348" t="n">
        <v>76.19047619047619</v>
      </c>
      <c r="J149" s="337">
        <f>89.6/1.2*1.0863</f>
        <v/>
      </c>
      <c r="K149" s="348" t="n"/>
      <c r="L149" s="348" t="n"/>
      <c r="M149" s="36" t="n"/>
      <c r="N149" s="284" t="n"/>
      <c r="O149" s="38" t="n"/>
      <c r="P149" s="284" t="n"/>
      <c r="Q149" s="36" t="n"/>
      <c r="R149" s="284" t="n"/>
      <c r="S149" s="38" t="n"/>
      <c r="T149" s="284" t="n"/>
      <c r="U149" s="36" t="n"/>
      <c r="V149" s="284" t="n"/>
      <c r="W149" s="38" t="n"/>
      <c r="X149" s="284" t="n"/>
      <c r="Y149" s="36" t="n"/>
      <c r="Z149" s="284" t="n"/>
      <c r="AA149" s="38" t="n"/>
      <c r="AB149" s="284" t="n"/>
      <c r="AC149" s="36" t="n"/>
      <c r="AD149" s="284" t="n"/>
      <c r="AE149" s="38" t="n"/>
      <c r="AF149" s="284" t="n"/>
      <c r="AG149" s="36" t="n"/>
      <c r="AH149" s="284" t="n"/>
      <c r="AI149" s="38" t="n"/>
      <c r="AJ149" s="284" t="n"/>
      <c r="AK149" s="36" t="n"/>
      <c r="AL149" s="284" t="n"/>
      <c r="AM149" s="38" t="n"/>
      <c r="AN149" s="284" t="n"/>
      <c r="AO149" s="36" t="n"/>
      <c r="AP149" s="284" t="n"/>
      <c r="AQ149" s="38" t="n"/>
      <c r="AR149" s="284" t="n"/>
      <c r="AS149" s="36" t="n"/>
      <c r="AT149" s="284" t="n"/>
      <c r="AU149" s="38" t="n">
        <v>0</v>
      </c>
      <c r="AV149" s="284" t="n"/>
      <c r="AW149" s="36" t="n"/>
      <c r="AX149" s="284" t="n"/>
      <c r="AY149" s="38" t="n">
        <v>0</v>
      </c>
      <c r="AZ149" s="284" t="n"/>
      <c r="BA149" s="36" t="n"/>
      <c r="BB149" s="284" t="n"/>
      <c r="BC149" s="99" t="n">
        <v>0</v>
      </c>
      <c r="BD149" s="284" t="n"/>
      <c r="BE149" s="36" t="n"/>
      <c r="BF149" s="284" t="n"/>
      <c r="BG149" s="54" t="n">
        <v>0</v>
      </c>
      <c r="BH149" s="284" t="n"/>
      <c r="BI149" s="338">
        <f>SUMPRODUCT(--(MOD(COLUMN($M149:$BH149),4)=MOD(COLUMN($M149),4)),$M149:$BH149)</f>
        <v/>
      </c>
      <c r="BJ149" s="339">
        <f>BI149*$I149</f>
        <v/>
      </c>
      <c r="BK149" s="340">
        <f>SUMPRODUCT(--(MOD(COLUMN($M149:$BH149),4)=MOD(COLUMN($M149)+1,4)),$M149:$BH149)</f>
        <v/>
      </c>
      <c r="BL149" s="341">
        <f>BK149*$I149</f>
        <v/>
      </c>
      <c r="BM149" s="342">
        <f>SUMPRODUCT(--(MOD(COLUMN($M149:$BH149),4)=MOD(COLUMN($M149)+2,4)),$M149:$BH149)</f>
        <v/>
      </c>
      <c r="BN149" s="343">
        <f>BM149*$I149</f>
        <v/>
      </c>
      <c r="BO149" s="36" t="n"/>
      <c r="BP149" s="47" t="n"/>
      <c r="BQ149" s="39" t="n"/>
      <c r="BR149" s="38" t="n">
        <v>0</v>
      </c>
      <c r="BS149" s="347" t="n"/>
      <c r="BT149" s="36">
        <f>$KN149*5</f>
        <v/>
      </c>
      <c r="BU149" s="47">
        <f>$KN149*0</f>
        <v/>
      </c>
      <c r="BV149" s="69">
        <f>$KN149*0</f>
        <v/>
      </c>
      <c r="BW149" s="38" t="n">
        <v>0</v>
      </c>
      <c r="BX149" s="347" t="n"/>
      <c r="BY149" s="36">
        <f>$KN149*5</f>
        <v/>
      </c>
      <c r="BZ149" s="47">
        <f>$KN149*0</f>
        <v/>
      </c>
      <c r="CA149" s="284" t="n">
        <v>0</v>
      </c>
      <c r="CB149" s="38" t="n">
        <v>0</v>
      </c>
      <c r="CC149" s="284" t="n"/>
      <c r="CD149" s="36">
        <f>$KN149*0</f>
        <v/>
      </c>
      <c r="CE149" s="47">
        <f>$KN149*0</f>
        <v/>
      </c>
      <c r="CF149" s="284">
        <f>$KN149*0</f>
        <v/>
      </c>
      <c r="CG149" s="38" t="n">
        <v>0</v>
      </c>
      <c r="CH149" s="284" t="n"/>
      <c r="CI149" s="36">
        <f>$KN149*5</f>
        <v/>
      </c>
      <c r="CJ149" s="47">
        <f>$KN149*0</f>
        <v/>
      </c>
      <c r="CK149" s="284" t="n">
        <v>0</v>
      </c>
      <c r="CL149" s="38" t="n">
        <v>0</v>
      </c>
      <c r="CM149" s="284" t="n"/>
      <c r="CN149" s="36">
        <f>$KN149*10</f>
        <v/>
      </c>
      <c r="CO149" s="47">
        <f>$KN149*0</f>
        <v/>
      </c>
      <c r="CP149" s="284">
        <f>$KN149*0</f>
        <v/>
      </c>
      <c r="CQ149" s="38" t="n">
        <v>0</v>
      </c>
      <c r="CR149" s="284" t="n"/>
      <c r="CS149" s="36">
        <f>$KN149*10</f>
        <v/>
      </c>
      <c r="CT149" s="47">
        <f>$KN149*0</f>
        <v/>
      </c>
      <c r="CU149" s="284">
        <f>$KN149*0</f>
        <v/>
      </c>
      <c r="CV149" s="38" t="n">
        <v>0</v>
      </c>
      <c r="CW149" s="284" t="n"/>
      <c r="CX149" s="36">
        <f>$KN149*10</f>
        <v/>
      </c>
      <c r="CY149" s="47">
        <f>$KN149*0</f>
        <v/>
      </c>
      <c r="CZ149" s="284">
        <f>$KN149*0</f>
        <v/>
      </c>
      <c r="DA149" s="38" t="n">
        <v>0</v>
      </c>
      <c r="DB149" s="284" t="n"/>
      <c r="DC149" s="36">
        <f>$KN149*10</f>
        <v/>
      </c>
      <c r="DD149" s="47">
        <f>$KN149*0</f>
        <v/>
      </c>
      <c r="DE149" s="284">
        <f>$KN149*0</f>
        <v/>
      </c>
      <c r="DF149" s="38" t="n"/>
      <c r="DG149" s="284" t="n"/>
      <c r="DH149" s="36">
        <f>$KN149*10</f>
        <v/>
      </c>
      <c r="DI149" s="47">
        <f>$KN149*0</f>
        <v/>
      </c>
      <c r="DJ149" s="284">
        <f>$KN149*0</f>
        <v/>
      </c>
      <c r="DK149" s="38" t="n">
        <v>0</v>
      </c>
      <c r="DL149" s="284" t="n"/>
      <c r="DM149" s="36">
        <f>$KN149*10</f>
        <v/>
      </c>
      <c r="DN149" s="47">
        <f>$KN149*0</f>
        <v/>
      </c>
      <c r="DO149" s="284">
        <f>$KN149*0</f>
        <v/>
      </c>
      <c r="DP149" s="38" t="n">
        <v>0</v>
      </c>
      <c r="DQ149" s="284" t="n"/>
      <c r="DR149" s="36">
        <f>$KN149*10</f>
        <v/>
      </c>
      <c r="DS149" s="47">
        <f>$KN149*0</f>
        <v/>
      </c>
      <c r="DT149" s="284">
        <f>$KN149*0</f>
        <v/>
      </c>
      <c r="DU149" s="38" t="n"/>
      <c r="DV149" s="284" t="n"/>
      <c r="DW149" s="338">
        <f t="array" ref="DW149">SUMPRODUCT(--(MOD(COLUMN($BO149:$DV149),5)=MOD(COLUMN($BO149),5)),$BO149:$DV149)</f>
        <v/>
      </c>
      <c r="DX149" s="339">
        <f>DW149*$J149</f>
        <v/>
      </c>
      <c r="DY149" s="344">
        <f t="array" ref="DY149">SUMPRODUCT(--(MOD(COLUMN($BO149:$DV149),5)=MOD(COLUMN($BP149),5)),$BO149:$DV149)</f>
        <v/>
      </c>
      <c r="DZ149" s="345">
        <f>DY149*$J149</f>
        <v/>
      </c>
      <c r="EA149" s="340">
        <f t="array" ref="EA149">SUMPRODUCT(--(MOD(COLUMN($BO149:$DV149),5)=MOD(COLUMN($BQ149),5)),$BO149:$DV149)</f>
        <v/>
      </c>
      <c r="EB149" s="341">
        <f>EA149*$J149</f>
        <v/>
      </c>
      <c r="EC149" s="342">
        <f t="array" ref="EC149">SUMPRODUCT(--(MOD(COLUMN($BO149:$DV149),5)=MOD(COLUMN($BR149),5)),$BO149:$DV149)</f>
        <v/>
      </c>
      <c r="ED149" s="343">
        <f>EC149*$J149</f>
        <v/>
      </c>
      <c r="EE149" s="36">
        <f>$KN149*0</f>
        <v/>
      </c>
      <c r="EF149" s="284" t="n">
        <v>0</v>
      </c>
      <c r="EG149" s="38" t="n"/>
      <c r="EH149" s="284" t="n"/>
      <c r="EI149" s="36">
        <f>$KN149*3</f>
        <v/>
      </c>
      <c r="EJ149" s="284" t="n">
        <v>0</v>
      </c>
      <c r="EK149" s="38" t="n">
        <v>0</v>
      </c>
      <c r="EL149" s="284" t="n"/>
      <c r="EM149" s="36">
        <f>$KN149*0</f>
        <v/>
      </c>
      <c r="EN149" s="284" t="n">
        <v>0</v>
      </c>
      <c r="EO149" s="38" t="n"/>
      <c r="EP149" s="284" t="n"/>
      <c r="EQ149" s="36">
        <f>$KN149*5</f>
        <v/>
      </c>
      <c r="ER149" s="284" t="n">
        <v>0</v>
      </c>
      <c r="ES149" s="38" t="n">
        <v>0</v>
      </c>
      <c r="ET149" s="347" t="n"/>
      <c r="EU149" s="36">
        <f>$KN149*5</f>
        <v/>
      </c>
      <c r="EV149" s="284" t="n">
        <v>0</v>
      </c>
      <c r="EW149" s="38" t="n">
        <v>0</v>
      </c>
      <c r="EX149" s="347" t="n"/>
      <c r="EY149" s="36">
        <f>$KN149*5</f>
        <v/>
      </c>
      <c r="EZ149" s="284" t="n">
        <v>6</v>
      </c>
      <c r="FA149" s="38" t="n">
        <v>0</v>
      </c>
      <c r="FB149" s="347" t="n"/>
      <c r="FC149" s="36">
        <f>$KN149*15</f>
        <v/>
      </c>
      <c r="FD149" s="284" t="n">
        <v>5</v>
      </c>
      <c r="FE149" s="38" t="n">
        <v>0</v>
      </c>
      <c r="FF149" s="284" t="n"/>
      <c r="FG149" s="36">
        <f>$KN149*15</f>
        <v/>
      </c>
      <c r="FH149" s="284" t="n">
        <v>5</v>
      </c>
      <c r="FI149" s="38" t="n">
        <v>0</v>
      </c>
      <c r="FJ149" s="284" t="n"/>
      <c r="FK149" s="36">
        <f>$KN149*15</f>
        <v/>
      </c>
      <c r="FL149" s="284" t="n">
        <v>15</v>
      </c>
      <c r="FM149" s="38" t="n">
        <v>0</v>
      </c>
      <c r="FN149" s="284" t="n"/>
      <c r="FO149" s="36">
        <f>$KN149*20</f>
        <v/>
      </c>
      <c r="FP149" s="284" t="n">
        <v>20</v>
      </c>
      <c r="FQ149" s="38" t="n">
        <v>0</v>
      </c>
      <c r="FR149" s="284" t="n"/>
      <c r="FS149" s="36">
        <f>$KN149*20</f>
        <v/>
      </c>
      <c r="FT149" s="284" t="n">
        <v>20</v>
      </c>
      <c r="FU149" s="38" t="n">
        <v>0</v>
      </c>
      <c r="FV149" s="284" t="n"/>
      <c r="FW149" s="36">
        <f>$KN149*20</f>
        <v/>
      </c>
      <c r="FX149" s="284" t="n">
        <v>20</v>
      </c>
      <c r="FY149" s="38" t="n">
        <v>0</v>
      </c>
      <c r="FZ149" s="284" t="n"/>
      <c r="GA149" s="338">
        <f t="array" ref="GA149">SUMPRODUCT(--(MOD(COLUMN($EE149:$FZ149),4)=MOD(COLUMN($EE149),4)),$EE149:$FZ149)</f>
        <v/>
      </c>
      <c r="GB149" s="339">
        <f>GA149*$J149</f>
        <v/>
      </c>
      <c r="GC149" s="340">
        <f t="array" ref="GC149">SUMPRODUCT(--(MOD(COLUMN($EE149:$FZ149),4)=MOD(COLUMN($EF149),4)),$EE149:$FZ149)</f>
        <v/>
      </c>
      <c r="GD149" s="341">
        <f>GC149*$J149</f>
        <v/>
      </c>
      <c r="GE149" s="342">
        <f t="array" ref="GE149">SUMPRODUCT(--(MOD(COLUMN($EE149:$FZ149),4)=MOD(COLUMN($EG149),4)),$EE149:$FZ149)</f>
        <v/>
      </c>
      <c r="GF149" s="343">
        <f>GE149*$J149</f>
        <v/>
      </c>
      <c r="GG149" s="36">
        <f>$KN149*15</f>
        <v/>
      </c>
      <c r="GH149" s="284" t="n"/>
      <c r="GI149" s="38" t="n">
        <v>0</v>
      </c>
      <c r="GJ149" s="284" t="n"/>
      <c r="GK149" s="36">
        <f>$KN149*15</f>
        <v/>
      </c>
      <c r="GL149" s="284" t="n"/>
      <c r="GM149" s="38" t="n">
        <v>0</v>
      </c>
      <c r="GN149" s="284" t="n"/>
      <c r="GO149" s="36">
        <f>$KN149*15</f>
        <v/>
      </c>
      <c r="GP149" s="284" t="n"/>
      <c r="GQ149" s="38" t="n">
        <v>0</v>
      </c>
      <c r="GR149" s="284" t="n"/>
      <c r="GS149" s="36">
        <f>$KN149*20</f>
        <v/>
      </c>
      <c r="GT149" s="284" t="n"/>
      <c r="GU149" s="38" t="n">
        <v>0</v>
      </c>
      <c r="GV149" s="284" t="n"/>
      <c r="GW149" s="36">
        <f>$KN149*20</f>
        <v/>
      </c>
      <c r="GX149" s="284" t="n"/>
      <c r="GY149" s="38" t="n">
        <v>0</v>
      </c>
      <c r="GZ149" s="284" t="n"/>
      <c r="HA149" s="36">
        <f>$KN149*20</f>
        <v/>
      </c>
      <c r="HB149" s="284" t="n"/>
      <c r="HC149" s="38" t="n">
        <v>0</v>
      </c>
      <c r="HD149" s="284" t="n"/>
      <c r="HE149" s="36">
        <f>$KN149*20</f>
        <v/>
      </c>
      <c r="HF149" s="284" t="n"/>
      <c r="HG149" s="38" t="n">
        <v>0</v>
      </c>
      <c r="HH149" s="284" t="n"/>
      <c r="HI149" s="36">
        <f>$KN149*20</f>
        <v/>
      </c>
      <c r="HJ149" s="284" t="n"/>
      <c r="HK149" s="38" t="n">
        <v>0</v>
      </c>
      <c r="HL149" s="284" t="n"/>
      <c r="HM149" s="36">
        <f>$KN149*20</f>
        <v/>
      </c>
      <c r="HN149" s="284" t="n"/>
      <c r="HO149" s="38" t="n">
        <v>0</v>
      </c>
      <c r="HP149" s="284" t="n"/>
      <c r="HQ149" s="36">
        <f>$KN149*20</f>
        <v/>
      </c>
      <c r="HR149" s="284" t="n"/>
      <c r="HS149" s="38" t="n">
        <v>0</v>
      </c>
      <c r="HT149" s="284" t="n"/>
      <c r="HU149" s="36">
        <f>$KN149*20</f>
        <v/>
      </c>
      <c r="HV149" s="284" t="n"/>
      <c r="HW149" s="38" t="n">
        <v>0</v>
      </c>
      <c r="HX149" s="284" t="n"/>
      <c r="HY149" s="36">
        <f>$KN149*20</f>
        <v/>
      </c>
      <c r="HZ149" s="284" t="n"/>
      <c r="IA149" s="38" t="n">
        <v>0</v>
      </c>
      <c r="IB149" s="284" t="n"/>
      <c r="IC149" s="338">
        <f t="array" ref="IC149">SUMPRODUCT(--(MOD(COLUMN($GG149:$IB149),4)=MOD(COLUMN($GG149),4)),$GG149:$IB149)</f>
        <v/>
      </c>
      <c r="ID149" s="339">
        <f>IC149*$J149</f>
        <v/>
      </c>
      <c r="IE149" s="340">
        <f t="array" ref="IE149">SUMPRODUCT(--(MOD(COLUMN($GG149:$IB149),4)=MOD(COLUMN($GH149),4)),$GG149:$IB149)</f>
        <v/>
      </c>
      <c r="IF149" s="341">
        <f>IE149*$J149</f>
        <v/>
      </c>
      <c r="IG149" s="342">
        <f t="array" ref="IG149">SUMPRODUCT(--(MOD(COLUMN($GG149:$IB149),4)=MOD(COLUMN($GI149),4)),$GG149:$IB149)</f>
        <v/>
      </c>
      <c r="IH149" s="343">
        <f>IG149*$J149</f>
        <v/>
      </c>
      <c r="II149" s="36">
        <f>$KN149*20</f>
        <v/>
      </c>
      <c r="IJ149" s="284" t="n"/>
      <c r="IK149" s="38" t="n">
        <v>0</v>
      </c>
      <c r="IL149" s="284" t="n"/>
      <c r="IM149" s="36">
        <f>$KN149*20</f>
        <v/>
      </c>
      <c r="IN149" s="284" t="n"/>
      <c r="IO149" s="38" t="n">
        <v>0</v>
      </c>
      <c r="IP149" s="284" t="n"/>
      <c r="IQ149" s="36">
        <f>$KN149*20</f>
        <v/>
      </c>
      <c r="IR149" s="284" t="n"/>
      <c r="IS149" s="38" t="n">
        <v>0</v>
      </c>
      <c r="IT149" s="284" t="n"/>
      <c r="IU149" s="36">
        <f>$KN149*25</f>
        <v/>
      </c>
      <c r="IV149" s="284" t="n"/>
      <c r="IW149" s="38" t="n">
        <v>0</v>
      </c>
      <c r="IX149" s="284" t="n"/>
      <c r="IY149" s="36">
        <f>$KN149*25</f>
        <v/>
      </c>
      <c r="IZ149" s="284" t="n"/>
      <c r="JA149" s="38" t="n">
        <v>0</v>
      </c>
      <c r="JB149" s="284" t="n"/>
      <c r="JC149" s="36">
        <f>$KN149*25</f>
        <v/>
      </c>
      <c r="JD149" s="284" t="n"/>
      <c r="JE149" s="38" t="n">
        <v>0</v>
      </c>
      <c r="JF149" s="284" t="n"/>
      <c r="JG149" s="36">
        <f>$KN149*30</f>
        <v/>
      </c>
      <c r="JH149" s="284" t="n"/>
      <c r="JI149" s="38" t="n">
        <v>0</v>
      </c>
      <c r="JJ149" s="284" t="n"/>
      <c r="JK149" s="36">
        <f>$KN149*30</f>
        <v/>
      </c>
      <c r="JL149" s="284" t="n"/>
      <c r="JM149" s="38" t="n">
        <v>0</v>
      </c>
      <c r="JN149" s="284" t="n"/>
      <c r="JO149" s="36">
        <f>$KN149*30</f>
        <v/>
      </c>
      <c r="JP149" s="284" t="n"/>
      <c r="JQ149" s="38" t="n">
        <v>0</v>
      </c>
      <c r="JR149" s="284" t="n"/>
      <c r="JS149" s="36">
        <f>$KN149*30</f>
        <v/>
      </c>
      <c r="JT149" s="284" t="n"/>
      <c r="JU149" s="38" t="n">
        <v>0</v>
      </c>
      <c r="JV149" s="284" t="n"/>
      <c r="JW149" s="36">
        <f>$KN149*30</f>
        <v/>
      </c>
      <c r="JX149" s="284" t="n"/>
      <c r="JY149" s="38" t="n">
        <v>0</v>
      </c>
      <c r="JZ149" s="284" t="n"/>
      <c r="KA149" s="36">
        <f>$KN149*30</f>
        <v/>
      </c>
      <c r="KB149" s="284" t="n"/>
      <c r="KC149" s="38" t="n">
        <v>0</v>
      </c>
      <c r="KD149" s="284" t="n"/>
      <c r="KE149" s="338">
        <f t="array" ref="KE149">SUMPRODUCT(--(MOD(COLUMN($II149:$KD149),4)=MOD(COLUMN($II149),4)),$II149:$KD149)</f>
        <v/>
      </c>
      <c r="KF149" s="339">
        <f>KE149*$J149</f>
        <v/>
      </c>
      <c r="KG149" s="340">
        <f t="array" ref="KG149">SUMPRODUCT(--(MOD(COLUMN($II149:$KD149),4)=MOD(COLUMN($IJ149),4)),$II149:$KD149)</f>
        <v/>
      </c>
      <c r="KH149" s="341">
        <f>KG149*$J149</f>
        <v/>
      </c>
      <c r="KI149" s="342">
        <f t="array" ref="KI149">SUMPRODUCT(--(MOD(COLUMN($II149:$KD149),4)=MOD(COLUMN($IK149),4)),$II149:$KD149)</f>
        <v/>
      </c>
      <c r="KJ149" s="346">
        <f>KI149*$J149</f>
        <v/>
      </c>
      <c r="KK149" s="80" t="n"/>
      <c r="KL149" s="80" t="n"/>
      <c r="KM149" s="80" t="n"/>
      <c r="KN149" s="51" t="n">
        <v>1</v>
      </c>
      <c r="KO149" s="347" t="n"/>
    </row>
    <row r="150" outlineLevel="1" ht="43.2" customFormat="1" customHeight="1" s="68">
      <c r="A150" s="347" t="n"/>
      <c r="B150" s="347" t="n"/>
      <c r="C150" s="347" t="n"/>
      <c r="D150" s="347" t="n"/>
      <c r="E150" s="60" t="n">
        <v>3</v>
      </c>
      <c r="F150" s="60" t="n">
        <v>1</v>
      </c>
      <c r="G150" s="56" t="n">
        <v>9710029000</v>
      </c>
      <c r="H150" s="57" t="inlineStr">
        <is>
          <t>Воздухораспределитель с клапаном растормаживания</t>
        </is>
      </c>
      <c r="I150" s="348" t="n">
        <v>543.3673469387755</v>
      </c>
      <c r="J150" s="337">
        <f>639/1.2*1.0863</f>
        <v/>
      </c>
      <c r="K150" s="348" t="n"/>
      <c r="L150" s="348" t="n"/>
      <c r="M150" s="36" t="n"/>
      <c r="N150" s="284" t="n"/>
      <c r="O150" s="38" t="n"/>
      <c r="P150" s="284" t="n"/>
      <c r="Q150" s="36" t="n"/>
      <c r="R150" s="284" t="n"/>
      <c r="S150" s="38" t="n"/>
      <c r="T150" s="284" t="n"/>
      <c r="U150" s="36" t="n"/>
      <c r="V150" s="284" t="n"/>
      <c r="W150" s="38" t="n"/>
      <c r="X150" s="284" t="n"/>
      <c r="Y150" s="36" t="n"/>
      <c r="Z150" s="284" t="n"/>
      <c r="AA150" s="38" t="n"/>
      <c r="AB150" s="284" t="n"/>
      <c r="AC150" s="36" t="n"/>
      <c r="AD150" s="284" t="n"/>
      <c r="AE150" s="38" t="n"/>
      <c r="AF150" s="284" t="n"/>
      <c r="AG150" s="36" t="n"/>
      <c r="AH150" s="284" t="n"/>
      <c r="AI150" s="38" t="n"/>
      <c r="AJ150" s="284" t="n"/>
      <c r="AK150" s="36" t="n"/>
      <c r="AL150" s="284" t="n"/>
      <c r="AM150" s="38" t="n"/>
      <c r="AN150" s="284" t="n"/>
      <c r="AO150" s="36" t="n"/>
      <c r="AP150" s="284" t="n"/>
      <c r="AQ150" s="38" t="n"/>
      <c r="AR150" s="284" t="n"/>
      <c r="AS150" s="36" t="n"/>
      <c r="AT150" s="284" t="n"/>
      <c r="AU150" s="38" t="n">
        <v>0</v>
      </c>
      <c r="AV150" s="284" t="n"/>
      <c r="AW150" s="36" t="n"/>
      <c r="AX150" s="284" t="n"/>
      <c r="AY150" s="38" t="n">
        <v>0</v>
      </c>
      <c r="AZ150" s="284" t="n"/>
      <c r="BA150" s="36" t="n"/>
      <c r="BB150" s="284" t="n"/>
      <c r="BC150" s="99" t="n">
        <v>0</v>
      </c>
      <c r="BD150" s="284" t="n"/>
      <c r="BE150" s="36" t="n"/>
      <c r="BF150" s="284" t="n"/>
      <c r="BG150" s="54" t="n">
        <v>0</v>
      </c>
      <c r="BH150" s="284" t="n"/>
      <c r="BI150" s="338">
        <f>SUMPRODUCT(--(MOD(COLUMN($M150:$BH150),4)=MOD(COLUMN($M150),4)),$M150:$BH150)</f>
        <v/>
      </c>
      <c r="BJ150" s="339">
        <f>BI150*$I150</f>
        <v/>
      </c>
      <c r="BK150" s="340">
        <f>SUMPRODUCT(--(MOD(COLUMN($M150:$BH150),4)=MOD(COLUMN($M150)+1,4)),$M150:$BH150)</f>
        <v/>
      </c>
      <c r="BL150" s="341">
        <f>BK150*$I150</f>
        <v/>
      </c>
      <c r="BM150" s="342">
        <f>SUMPRODUCT(--(MOD(COLUMN($M150:$BH150),4)=MOD(COLUMN($M150)+2,4)),$M150:$BH150)</f>
        <v/>
      </c>
      <c r="BN150" s="343">
        <f>BM150*$I150</f>
        <v/>
      </c>
      <c r="BO150" s="36" t="n"/>
      <c r="BP150" s="47" t="n"/>
      <c r="BQ150" s="39" t="n"/>
      <c r="BR150" s="38" t="n">
        <v>0</v>
      </c>
      <c r="BS150" s="347" t="n"/>
      <c r="BT150" s="36">
        <f>$KN150*5</f>
        <v/>
      </c>
      <c r="BU150" s="47">
        <f>$KN150*0</f>
        <v/>
      </c>
      <c r="BV150" s="69">
        <f>$KN150*0</f>
        <v/>
      </c>
      <c r="BW150" s="38" t="n">
        <v>0</v>
      </c>
      <c r="BX150" s="347" t="n"/>
      <c r="BY150" s="36">
        <f>$KN150*5</f>
        <v/>
      </c>
      <c r="BZ150" s="47">
        <f>$KN150*0</f>
        <v/>
      </c>
      <c r="CA150" s="284" t="n">
        <v>0</v>
      </c>
      <c r="CB150" s="38" t="n">
        <v>0</v>
      </c>
      <c r="CC150" s="284" t="n"/>
      <c r="CD150" s="36">
        <f>$KN150*0</f>
        <v/>
      </c>
      <c r="CE150" s="47">
        <f>$KN150*0</f>
        <v/>
      </c>
      <c r="CF150" s="284">
        <f>$KN150*0</f>
        <v/>
      </c>
      <c r="CG150" s="38" t="n">
        <v>0</v>
      </c>
      <c r="CH150" s="284" t="n"/>
      <c r="CI150" s="36">
        <f>$KN150*5</f>
        <v/>
      </c>
      <c r="CJ150" s="47">
        <f>$KN150*0</f>
        <v/>
      </c>
      <c r="CK150" s="284" t="n">
        <v>0</v>
      </c>
      <c r="CL150" s="38" t="n">
        <v>0</v>
      </c>
      <c r="CM150" s="284" t="n"/>
      <c r="CN150" s="36">
        <f>$KN150*10</f>
        <v/>
      </c>
      <c r="CO150" s="47">
        <f>$KN150*0</f>
        <v/>
      </c>
      <c r="CP150" s="284">
        <f>$KN150*0</f>
        <v/>
      </c>
      <c r="CQ150" s="38" t="n">
        <v>0</v>
      </c>
      <c r="CR150" s="284" t="n"/>
      <c r="CS150" s="36">
        <f>$KN150*10</f>
        <v/>
      </c>
      <c r="CT150" s="47">
        <f>$KN150*0</f>
        <v/>
      </c>
      <c r="CU150" s="284">
        <f>$KN150*0</f>
        <v/>
      </c>
      <c r="CV150" s="38" t="n">
        <v>0</v>
      </c>
      <c r="CW150" s="284" t="n"/>
      <c r="CX150" s="36">
        <f>$KN150*10</f>
        <v/>
      </c>
      <c r="CY150" s="47">
        <f>$KN150*0</f>
        <v/>
      </c>
      <c r="CZ150" s="284">
        <f>$KN150*0</f>
        <v/>
      </c>
      <c r="DA150" s="38" t="n">
        <v>0</v>
      </c>
      <c r="DB150" s="284" t="n"/>
      <c r="DC150" s="36">
        <f>$KN150*10</f>
        <v/>
      </c>
      <c r="DD150" s="47">
        <f>$KN150*0</f>
        <v/>
      </c>
      <c r="DE150" s="284">
        <f>$KN150*0</f>
        <v/>
      </c>
      <c r="DF150" s="38" t="n"/>
      <c r="DG150" s="284" t="n"/>
      <c r="DH150" s="36">
        <f>$KN150*10</f>
        <v/>
      </c>
      <c r="DI150" s="47">
        <f>$KN150*0</f>
        <v/>
      </c>
      <c r="DJ150" s="284">
        <f>$KN150*0</f>
        <v/>
      </c>
      <c r="DK150" s="38" t="n">
        <v>0</v>
      </c>
      <c r="DL150" s="284" t="n"/>
      <c r="DM150" s="36">
        <f>$KN150*10</f>
        <v/>
      </c>
      <c r="DN150" s="47">
        <f>$KN150*0</f>
        <v/>
      </c>
      <c r="DO150" s="284">
        <f>$KN150*0</f>
        <v/>
      </c>
      <c r="DP150" s="38" t="n">
        <v>0</v>
      </c>
      <c r="DQ150" s="284" t="n"/>
      <c r="DR150" s="36">
        <f>$KN150*10</f>
        <v/>
      </c>
      <c r="DS150" s="47">
        <f>$KN150*0</f>
        <v/>
      </c>
      <c r="DT150" s="284">
        <f>$KN150*0</f>
        <v/>
      </c>
      <c r="DU150" s="38" t="n"/>
      <c r="DV150" s="284" t="n"/>
      <c r="DW150" s="338">
        <f t="array" ref="DW150">SUMPRODUCT(--(MOD(COLUMN($BO150:$DV150),5)=MOD(COLUMN($BO150),5)),$BO150:$DV150)</f>
        <v/>
      </c>
      <c r="DX150" s="339">
        <f>DW150*$J150</f>
        <v/>
      </c>
      <c r="DY150" s="344">
        <f t="array" ref="DY150">SUMPRODUCT(--(MOD(COLUMN($BO150:$DV150),5)=MOD(COLUMN($BP150),5)),$BO150:$DV150)</f>
        <v/>
      </c>
      <c r="DZ150" s="345">
        <f>DY150*$J150</f>
        <v/>
      </c>
      <c r="EA150" s="340">
        <f t="array" ref="EA150">SUMPRODUCT(--(MOD(COLUMN($BO150:$DV150),5)=MOD(COLUMN($BQ150),5)),$BO150:$DV150)</f>
        <v/>
      </c>
      <c r="EB150" s="341">
        <f>EA150*$J150</f>
        <v/>
      </c>
      <c r="EC150" s="342">
        <f t="array" ref="EC150">SUMPRODUCT(--(MOD(COLUMN($BO150:$DV150),5)=MOD(COLUMN($BR150),5)),$BO150:$DV150)</f>
        <v/>
      </c>
      <c r="ED150" s="343">
        <f>EC150*$J150</f>
        <v/>
      </c>
      <c r="EE150" s="36">
        <f>$KN150*0</f>
        <v/>
      </c>
      <c r="EF150" s="284" t="n">
        <v>0</v>
      </c>
      <c r="EG150" s="38" t="n"/>
      <c r="EH150" s="284" t="n"/>
      <c r="EI150" s="36">
        <f>$KN150*3</f>
        <v/>
      </c>
      <c r="EJ150" s="284" t="n">
        <v>0</v>
      </c>
      <c r="EK150" s="38" t="n">
        <v>0</v>
      </c>
      <c r="EL150" s="284" t="n"/>
      <c r="EM150" s="36">
        <f>$KN150*0</f>
        <v/>
      </c>
      <c r="EN150" s="284" t="n">
        <v>0</v>
      </c>
      <c r="EO150" s="38" t="n"/>
      <c r="EP150" s="284" t="n"/>
      <c r="EQ150" s="36">
        <f>$KN150*5</f>
        <v/>
      </c>
      <c r="ER150" s="284" t="n">
        <v>0</v>
      </c>
      <c r="ES150" s="38" t="n">
        <v>0</v>
      </c>
      <c r="ET150" s="347" t="n"/>
      <c r="EU150" s="36">
        <f>$KN150*5</f>
        <v/>
      </c>
      <c r="EV150" s="284" t="n">
        <v>0</v>
      </c>
      <c r="EW150" s="38" t="n">
        <v>0</v>
      </c>
      <c r="EX150" s="347" t="n"/>
      <c r="EY150" s="36">
        <f>$KN150*5</f>
        <v/>
      </c>
      <c r="EZ150" s="284" t="n">
        <v>6</v>
      </c>
      <c r="FA150" s="38" t="n">
        <v>0</v>
      </c>
      <c r="FB150" s="347" t="n"/>
      <c r="FC150" s="36">
        <f>$KN150*5</f>
        <v/>
      </c>
      <c r="FD150" s="284" t="n">
        <v>5</v>
      </c>
      <c r="FE150" s="38" t="n">
        <v>0</v>
      </c>
      <c r="FF150" s="284" t="n"/>
      <c r="FG150" s="36">
        <f>$KN150*5</f>
        <v/>
      </c>
      <c r="FH150" s="284" t="n">
        <v>5</v>
      </c>
      <c r="FI150" s="38" t="n">
        <v>0</v>
      </c>
      <c r="FJ150" s="284" t="n"/>
      <c r="FK150" s="36">
        <f>$KN150*5</f>
        <v/>
      </c>
      <c r="FL150" s="284" t="n">
        <v>5</v>
      </c>
      <c r="FM150" s="38" t="n">
        <v>0</v>
      </c>
      <c r="FN150" s="284" t="n"/>
      <c r="FO150" s="36">
        <f>$KN150*5</f>
        <v/>
      </c>
      <c r="FP150" s="284" t="n">
        <v>5</v>
      </c>
      <c r="FQ150" s="38" t="n">
        <v>0</v>
      </c>
      <c r="FR150" s="284" t="n"/>
      <c r="FS150" s="36">
        <f>$KN150*5</f>
        <v/>
      </c>
      <c r="FT150" s="284" t="n">
        <v>5</v>
      </c>
      <c r="FU150" s="38" t="n">
        <v>0</v>
      </c>
      <c r="FV150" s="284" t="n"/>
      <c r="FW150" s="36">
        <f>$KN150*5</f>
        <v/>
      </c>
      <c r="FX150" s="284" t="n">
        <v>5</v>
      </c>
      <c r="FY150" s="38" t="n">
        <v>0</v>
      </c>
      <c r="FZ150" s="284" t="n"/>
      <c r="GA150" s="338">
        <f t="array" ref="GA150">SUMPRODUCT(--(MOD(COLUMN($EE150:$FZ150),4)=MOD(COLUMN($EE150),4)),$EE150:$FZ150)</f>
        <v/>
      </c>
      <c r="GB150" s="339">
        <f>GA150*$J150</f>
        <v/>
      </c>
      <c r="GC150" s="340">
        <f t="array" ref="GC150">SUMPRODUCT(--(MOD(COLUMN($EE150:$FZ150),4)=MOD(COLUMN($EF150),4)),$EE150:$FZ150)</f>
        <v/>
      </c>
      <c r="GD150" s="341">
        <f>GC150*$J150</f>
        <v/>
      </c>
      <c r="GE150" s="342">
        <f t="array" ref="GE150">SUMPRODUCT(--(MOD(COLUMN($EE150:$FZ150),4)=MOD(COLUMN($EG150),4)),$EE150:$FZ150)</f>
        <v/>
      </c>
      <c r="GF150" s="343">
        <f>GE150*$J150</f>
        <v/>
      </c>
      <c r="GG150" s="36">
        <f>$KN150*15</f>
        <v/>
      </c>
      <c r="GH150" s="284" t="n"/>
      <c r="GI150" s="38" t="n">
        <v>0</v>
      </c>
      <c r="GJ150" s="284" t="n"/>
      <c r="GK150" s="36">
        <f>$KN150*15</f>
        <v/>
      </c>
      <c r="GL150" s="284" t="n"/>
      <c r="GM150" s="38" t="n">
        <v>0</v>
      </c>
      <c r="GN150" s="284" t="n"/>
      <c r="GO150" s="36">
        <f>$KN150*15</f>
        <v/>
      </c>
      <c r="GP150" s="284" t="n"/>
      <c r="GQ150" s="38" t="n">
        <v>0</v>
      </c>
      <c r="GR150" s="284" t="n"/>
      <c r="GS150" s="36">
        <f>$KN150*20</f>
        <v/>
      </c>
      <c r="GT150" s="284" t="n"/>
      <c r="GU150" s="38" t="n">
        <v>0</v>
      </c>
      <c r="GV150" s="284" t="n"/>
      <c r="GW150" s="36">
        <f>$KN150*20</f>
        <v/>
      </c>
      <c r="GX150" s="284" t="n"/>
      <c r="GY150" s="38" t="n">
        <v>0</v>
      </c>
      <c r="GZ150" s="284" t="n"/>
      <c r="HA150" s="36">
        <f>$KN150*20</f>
        <v/>
      </c>
      <c r="HB150" s="284" t="n"/>
      <c r="HC150" s="38" t="n">
        <v>0</v>
      </c>
      <c r="HD150" s="284" t="n"/>
      <c r="HE150" s="36">
        <f>$KN150*20</f>
        <v/>
      </c>
      <c r="HF150" s="284" t="n"/>
      <c r="HG150" s="38" t="n">
        <v>0</v>
      </c>
      <c r="HH150" s="284" t="n"/>
      <c r="HI150" s="36">
        <f>$KN150*20</f>
        <v/>
      </c>
      <c r="HJ150" s="284" t="n"/>
      <c r="HK150" s="38" t="n">
        <v>0</v>
      </c>
      <c r="HL150" s="284" t="n"/>
      <c r="HM150" s="36">
        <f>$KN150*20</f>
        <v/>
      </c>
      <c r="HN150" s="284" t="n"/>
      <c r="HO150" s="38" t="n">
        <v>0</v>
      </c>
      <c r="HP150" s="284" t="n"/>
      <c r="HQ150" s="36">
        <f>$KN150*20</f>
        <v/>
      </c>
      <c r="HR150" s="284" t="n"/>
      <c r="HS150" s="38" t="n">
        <v>0</v>
      </c>
      <c r="HT150" s="284" t="n"/>
      <c r="HU150" s="36">
        <f>$KN150*20</f>
        <v/>
      </c>
      <c r="HV150" s="284" t="n"/>
      <c r="HW150" s="38" t="n">
        <v>0</v>
      </c>
      <c r="HX150" s="284" t="n"/>
      <c r="HY150" s="36">
        <f>$KN150*20</f>
        <v/>
      </c>
      <c r="HZ150" s="284" t="n"/>
      <c r="IA150" s="38" t="n">
        <v>0</v>
      </c>
      <c r="IB150" s="284" t="n"/>
      <c r="IC150" s="338">
        <f t="array" ref="IC150">SUMPRODUCT(--(MOD(COLUMN($GG150:$IB150),4)=MOD(COLUMN($GG150),4)),$GG150:$IB150)</f>
        <v/>
      </c>
      <c r="ID150" s="339">
        <f>IC150*$J150</f>
        <v/>
      </c>
      <c r="IE150" s="340">
        <f t="array" ref="IE150">SUMPRODUCT(--(MOD(COLUMN($GG150:$IB150),4)=MOD(COLUMN($GH150),4)),$GG150:$IB150)</f>
        <v/>
      </c>
      <c r="IF150" s="341">
        <f>IE150*$J150</f>
        <v/>
      </c>
      <c r="IG150" s="342">
        <f t="array" ref="IG150">SUMPRODUCT(--(MOD(COLUMN($GG150:$IB150),4)=MOD(COLUMN($GI150),4)),$GG150:$IB150)</f>
        <v/>
      </c>
      <c r="IH150" s="343">
        <f>IG150*$J150</f>
        <v/>
      </c>
      <c r="II150" s="36">
        <f>$KN150*20</f>
        <v/>
      </c>
      <c r="IJ150" s="284" t="n"/>
      <c r="IK150" s="38" t="n">
        <v>0</v>
      </c>
      <c r="IL150" s="284" t="n"/>
      <c r="IM150" s="36">
        <f>$KN150*20</f>
        <v/>
      </c>
      <c r="IN150" s="284" t="n"/>
      <c r="IO150" s="38" t="n">
        <v>0</v>
      </c>
      <c r="IP150" s="284" t="n"/>
      <c r="IQ150" s="36">
        <f>$KN150*20</f>
        <v/>
      </c>
      <c r="IR150" s="284" t="n"/>
      <c r="IS150" s="38" t="n">
        <v>0</v>
      </c>
      <c r="IT150" s="284" t="n"/>
      <c r="IU150" s="36">
        <f>$KN150*25</f>
        <v/>
      </c>
      <c r="IV150" s="284" t="n"/>
      <c r="IW150" s="38" t="n">
        <v>0</v>
      </c>
      <c r="IX150" s="284" t="n"/>
      <c r="IY150" s="36">
        <f>$KN150*25</f>
        <v/>
      </c>
      <c r="IZ150" s="284" t="n"/>
      <c r="JA150" s="38" t="n">
        <v>0</v>
      </c>
      <c r="JB150" s="284" t="n"/>
      <c r="JC150" s="36">
        <f>$KN150*25</f>
        <v/>
      </c>
      <c r="JD150" s="284" t="n"/>
      <c r="JE150" s="38" t="n">
        <v>0</v>
      </c>
      <c r="JF150" s="284" t="n"/>
      <c r="JG150" s="36">
        <f>$KN150*30</f>
        <v/>
      </c>
      <c r="JH150" s="284" t="n"/>
      <c r="JI150" s="38" t="n">
        <v>0</v>
      </c>
      <c r="JJ150" s="284" t="n"/>
      <c r="JK150" s="36">
        <f>$KN150*30</f>
        <v/>
      </c>
      <c r="JL150" s="284" t="n"/>
      <c r="JM150" s="38" t="n">
        <v>0</v>
      </c>
      <c r="JN150" s="284" t="n"/>
      <c r="JO150" s="36">
        <f>$KN150*30</f>
        <v/>
      </c>
      <c r="JP150" s="284" t="n"/>
      <c r="JQ150" s="38" t="n">
        <v>0</v>
      </c>
      <c r="JR150" s="284" t="n"/>
      <c r="JS150" s="36">
        <f>$KN150*30</f>
        <v/>
      </c>
      <c r="JT150" s="284" t="n"/>
      <c r="JU150" s="38" t="n">
        <v>0</v>
      </c>
      <c r="JV150" s="284" t="n"/>
      <c r="JW150" s="36">
        <f>$KN150*30</f>
        <v/>
      </c>
      <c r="JX150" s="284" t="n"/>
      <c r="JY150" s="38" t="n">
        <v>0</v>
      </c>
      <c r="JZ150" s="284" t="n"/>
      <c r="KA150" s="36">
        <f>$KN150*30</f>
        <v/>
      </c>
      <c r="KB150" s="284" t="n"/>
      <c r="KC150" s="38" t="n">
        <v>0</v>
      </c>
      <c r="KD150" s="284" t="n"/>
      <c r="KE150" s="338">
        <f t="array" ref="KE150">SUMPRODUCT(--(MOD(COLUMN($II150:$KD150),4)=MOD(COLUMN($II150),4)),$II150:$KD150)</f>
        <v/>
      </c>
      <c r="KF150" s="339">
        <f>KE150*$J150</f>
        <v/>
      </c>
      <c r="KG150" s="340">
        <f t="array" ref="KG150">SUMPRODUCT(--(MOD(COLUMN($II150:$KD150),4)=MOD(COLUMN($IJ150),4)),$II150:$KD150)</f>
        <v/>
      </c>
      <c r="KH150" s="341">
        <f>KG150*$J150</f>
        <v/>
      </c>
      <c r="KI150" s="342">
        <f t="array" ref="KI150">SUMPRODUCT(--(MOD(COLUMN($II150:$KD150),4)=MOD(COLUMN($IK150),4)),$II150:$KD150)</f>
        <v/>
      </c>
      <c r="KJ150" s="346">
        <f>KI150*$J150</f>
        <v/>
      </c>
      <c r="KK150" s="80" t="n"/>
      <c r="KL150" s="80" t="n"/>
      <c r="KM150" s="80" t="n"/>
      <c r="KN150" s="51" t="n">
        <v>1</v>
      </c>
      <c r="KO150" s="347" t="n"/>
    </row>
    <row r="151" outlineLevel="1" ht="28.8" customFormat="1" customHeight="1" s="68">
      <c r="A151" s="347" t="n"/>
      <c r="B151" s="347" t="n"/>
      <c r="C151" s="347" t="n"/>
      <c r="D151" s="347" t="n"/>
      <c r="E151" s="60" t="n">
        <v>4</v>
      </c>
      <c r="F151" s="60" t="n">
        <v>1</v>
      </c>
      <c r="G151" s="56" t="n">
        <v>4801020640</v>
      </c>
      <c r="H151" s="57" t="inlineStr">
        <is>
          <t>Модулятор EBS, с PEM, без фит.</t>
        </is>
      </c>
      <c r="I151" s="348">
        <f>4169.1/1.2*1.0863*1.048</f>
        <v/>
      </c>
      <c r="J151" s="337">
        <f>4169/1.2*1.0863*1.048*1.05</f>
        <v/>
      </c>
      <c r="K151" s="348" t="n"/>
      <c r="L151" s="348" t="n"/>
      <c r="M151" s="36" t="n"/>
      <c r="N151" s="284" t="n"/>
      <c r="O151" s="38" t="n"/>
      <c r="P151" s="284" t="n"/>
      <c r="Q151" s="36" t="n"/>
      <c r="R151" s="284" t="n"/>
      <c r="S151" s="38" t="n"/>
      <c r="T151" s="284" t="n"/>
      <c r="U151" s="36" t="n"/>
      <c r="V151" s="284" t="n"/>
      <c r="W151" s="38" t="n"/>
      <c r="X151" s="284" t="n"/>
      <c r="Y151" s="36" t="n"/>
      <c r="Z151" s="284" t="n"/>
      <c r="AA151" s="38" t="n"/>
      <c r="AB151" s="284" t="n"/>
      <c r="AC151" s="36" t="n"/>
      <c r="AD151" s="284" t="n"/>
      <c r="AE151" s="38" t="n"/>
      <c r="AF151" s="284" t="n"/>
      <c r="AG151" s="36" t="n"/>
      <c r="AH151" s="284" t="n"/>
      <c r="AI151" s="38" t="n"/>
      <c r="AJ151" s="284" t="n"/>
      <c r="AK151" s="36" t="n"/>
      <c r="AL151" s="284" t="n"/>
      <c r="AM151" s="38" t="n"/>
      <c r="AN151" s="284" t="n"/>
      <c r="AO151" s="36" t="n"/>
      <c r="AP151" s="284" t="n"/>
      <c r="AQ151" s="38" t="n"/>
      <c r="AR151" s="284" t="n"/>
      <c r="AS151" s="36" t="n"/>
      <c r="AT151" s="284" t="n"/>
      <c r="AU151" s="38" t="n">
        <v>0</v>
      </c>
      <c r="AV151" s="284" t="n"/>
      <c r="AW151" s="36" t="n"/>
      <c r="AX151" s="284" t="n"/>
      <c r="AY151" s="38" t="n">
        <v>0</v>
      </c>
      <c r="AZ151" s="284" t="n"/>
      <c r="BA151" s="36" t="n"/>
      <c r="BB151" s="284" t="n"/>
      <c r="BC151" s="99" t="n">
        <v>0</v>
      </c>
      <c r="BD151" s="284" t="n"/>
      <c r="BE151" s="36" t="n"/>
      <c r="BF151" s="284" t="n"/>
      <c r="BG151" s="54" t="n">
        <v>0</v>
      </c>
      <c r="BH151" s="284" t="n"/>
      <c r="BI151" s="338">
        <f>SUMPRODUCT(--(MOD(COLUMN($M151:$BH151),4)=MOD(COLUMN($M151),4)),$M151:$BH151)</f>
        <v/>
      </c>
      <c r="BJ151" s="339">
        <f>BI151*$I151</f>
        <v/>
      </c>
      <c r="BK151" s="340">
        <f>SUMPRODUCT(--(MOD(COLUMN($M151:$BH151),4)=MOD(COLUMN($M151)+1,4)),$M151:$BH151)</f>
        <v/>
      </c>
      <c r="BL151" s="341">
        <f>BK151*$I151</f>
        <v/>
      </c>
      <c r="BM151" s="342">
        <f>SUMPRODUCT(--(MOD(COLUMN($M151:$BH151),4)=MOD(COLUMN($M151)+2,4)),$M151:$BH151)</f>
        <v/>
      </c>
      <c r="BN151" s="343">
        <f>BM151*$I151</f>
        <v/>
      </c>
      <c r="BO151" s="36" t="n"/>
      <c r="BP151" s="47" t="n"/>
      <c r="BQ151" s="39" t="n"/>
      <c r="BR151" s="38" t="n">
        <v>0</v>
      </c>
      <c r="BS151" s="347" t="n"/>
      <c r="BT151" s="36">
        <f>$KN151*5</f>
        <v/>
      </c>
      <c r="BU151" s="47">
        <f>$KN151*0</f>
        <v/>
      </c>
      <c r="BV151" s="69">
        <f>$KN151*0</f>
        <v/>
      </c>
      <c r="BW151" s="38" t="n">
        <v>0</v>
      </c>
      <c r="BX151" s="347" t="n"/>
      <c r="BY151" s="36">
        <f>$KN151*5</f>
        <v/>
      </c>
      <c r="BZ151" s="47">
        <f>$KN151*0</f>
        <v/>
      </c>
      <c r="CA151" s="284" t="n">
        <v>0</v>
      </c>
      <c r="CB151" s="38" t="n">
        <v>0</v>
      </c>
      <c r="CC151" s="284" t="n"/>
      <c r="CD151" s="36">
        <f>$KN151*0</f>
        <v/>
      </c>
      <c r="CE151" s="47">
        <f>$KN151*0</f>
        <v/>
      </c>
      <c r="CF151" s="284">
        <f>$KN151*0</f>
        <v/>
      </c>
      <c r="CG151" s="38" t="n">
        <v>0</v>
      </c>
      <c r="CH151" s="284" t="n"/>
      <c r="CI151" s="36">
        <f>$KN151*5</f>
        <v/>
      </c>
      <c r="CJ151" s="47">
        <f>$KN151*0</f>
        <v/>
      </c>
      <c r="CK151" s="284" t="n">
        <v>0</v>
      </c>
      <c r="CL151" s="38" t="n">
        <v>0</v>
      </c>
      <c r="CM151" s="284" t="n"/>
      <c r="CN151" s="36">
        <f>$KN151*10</f>
        <v/>
      </c>
      <c r="CO151" s="47">
        <f>$KN151*0</f>
        <v/>
      </c>
      <c r="CP151" s="284">
        <f>$KN151*0</f>
        <v/>
      </c>
      <c r="CQ151" s="38" t="n">
        <v>0</v>
      </c>
      <c r="CR151" s="284" t="n"/>
      <c r="CS151" s="36">
        <f>$KN151*10</f>
        <v/>
      </c>
      <c r="CT151" s="47">
        <f>$KN151*0</f>
        <v/>
      </c>
      <c r="CU151" s="284">
        <f>$KN151*0</f>
        <v/>
      </c>
      <c r="CV151" s="38" t="n">
        <v>0</v>
      </c>
      <c r="CW151" s="284" t="n"/>
      <c r="CX151" s="36">
        <f>$KN151*10</f>
        <v/>
      </c>
      <c r="CY151" s="47">
        <f>$KN151*0</f>
        <v/>
      </c>
      <c r="CZ151" s="284">
        <f>$KN151*0</f>
        <v/>
      </c>
      <c r="DA151" s="38" t="n">
        <v>0</v>
      </c>
      <c r="DB151" s="284" t="n"/>
      <c r="DC151" s="36">
        <f>$KN151*10</f>
        <v/>
      </c>
      <c r="DD151" s="47">
        <f>$KN151*0</f>
        <v/>
      </c>
      <c r="DE151" s="284">
        <f>$KN151*0</f>
        <v/>
      </c>
      <c r="DF151" s="38" t="n"/>
      <c r="DG151" s="284" t="n"/>
      <c r="DH151" s="36">
        <f>$KN151*10</f>
        <v/>
      </c>
      <c r="DI151" s="47">
        <f>$KN151*0</f>
        <v/>
      </c>
      <c r="DJ151" s="284">
        <f>$KN151*0</f>
        <v/>
      </c>
      <c r="DK151" s="38" t="n">
        <v>0</v>
      </c>
      <c r="DL151" s="284" t="n"/>
      <c r="DM151" s="36">
        <f>$KN151*10</f>
        <v/>
      </c>
      <c r="DN151" s="47">
        <f>$KN151*0</f>
        <v/>
      </c>
      <c r="DO151" s="284">
        <f>$KN151*0</f>
        <v/>
      </c>
      <c r="DP151" s="38" t="n">
        <v>0</v>
      </c>
      <c r="DQ151" s="284" t="n"/>
      <c r="DR151" s="36">
        <f>$KN151*10</f>
        <v/>
      </c>
      <c r="DS151" s="47">
        <f>$KN151*0</f>
        <v/>
      </c>
      <c r="DT151" s="284">
        <f>$KN151*0</f>
        <v/>
      </c>
      <c r="DU151" s="38" t="n"/>
      <c r="DV151" s="284" t="n"/>
      <c r="DW151" s="338">
        <f t="array" ref="DW151">SUMPRODUCT(--(MOD(COLUMN($BO151:$DV151),5)=MOD(COLUMN($BO151),5)),$BO151:$DV151)</f>
        <v/>
      </c>
      <c r="DX151" s="339">
        <f>DW151*$J151</f>
        <v/>
      </c>
      <c r="DY151" s="344">
        <f t="array" ref="DY151">SUMPRODUCT(--(MOD(COLUMN($BO151:$DV151),5)=MOD(COLUMN($BP151),5)),$BO151:$DV151)</f>
        <v/>
      </c>
      <c r="DZ151" s="345">
        <f>DY151*$J151</f>
        <v/>
      </c>
      <c r="EA151" s="340">
        <f t="array" ref="EA151">SUMPRODUCT(--(MOD(COLUMN($BO151:$DV151),5)=MOD(COLUMN($BQ151),5)),$BO151:$DV151)</f>
        <v/>
      </c>
      <c r="EB151" s="341">
        <f>EA151*$J151</f>
        <v/>
      </c>
      <c r="EC151" s="342">
        <f t="array" ref="EC151">SUMPRODUCT(--(MOD(COLUMN($BO151:$DV151),5)=MOD(COLUMN($BR151),5)),$BO151:$DV151)</f>
        <v/>
      </c>
      <c r="ED151" s="343">
        <f>EC151*$J151</f>
        <v/>
      </c>
      <c r="EE151" s="36">
        <f>$KN151*0</f>
        <v/>
      </c>
      <c r="EF151" s="284" t="n">
        <v>0</v>
      </c>
      <c r="EG151" s="38" t="n"/>
      <c r="EH151" s="284" t="n"/>
      <c r="EI151" s="36">
        <f>$KN151*3</f>
        <v/>
      </c>
      <c r="EJ151" s="284" t="n">
        <v>0</v>
      </c>
      <c r="EK151" s="38" t="n">
        <v>0</v>
      </c>
      <c r="EL151" s="284" t="n"/>
      <c r="EM151" s="36">
        <f>$KN151*0</f>
        <v/>
      </c>
      <c r="EN151" s="284" t="n">
        <v>0</v>
      </c>
      <c r="EO151" s="38" t="n"/>
      <c r="EP151" s="284" t="n"/>
      <c r="EQ151" s="36">
        <f>$KN151*5</f>
        <v/>
      </c>
      <c r="ER151" s="284" t="n">
        <v>0</v>
      </c>
      <c r="ES151" s="38" t="n">
        <v>0</v>
      </c>
      <c r="ET151" s="347" t="n"/>
      <c r="EU151" s="36">
        <f>$KN151*5</f>
        <v/>
      </c>
      <c r="EV151" s="284" t="n">
        <v>0</v>
      </c>
      <c r="EW151" s="38" t="n">
        <v>0</v>
      </c>
      <c r="EX151" s="347" t="n"/>
      <c r="EY151" s="36">
        <f>$KN151*5</f>
        <v/>
      </c>
      <c r="EZ151" s="284" t="n">
        <v>6</v>
      </c>
      <c r="FA151" s="38" t="n">
        <v>0</v>
      </c>
      <c r="FB151" s="347" t="n"/>
      <c r="FC151" s="36">
        <f>$KN151*5</f>
        <v/>
      </c>
      <c r="FD151" s="284" t="n">
        <v>5</v>
      </c>
      <c r="FE151" s="38" t="n">
        <v>0</v>
      </c>
      <c r="FF151" s="284" t="n"/>
      <c r="FG151" s="36">
        <f>$KN151*5</f>
        <v/>
      </c>
      <c r="FH151" s="284" t="n">
        <v>5</v>
      </c>
      <c r="FI151" s="38" t="n">
        <v>0</v>
      </c>
      <c r="FJ151" s="284" t="n"/>
      <c r="FK151" s="36">
        <f>$KN151*5</f>
        <v/>
      </c>
      <c r="FL151" s="284" t="n">
        <v>5</v>
      </c>
      <c r="FM151" s="38" t="n">
        <v>0</v>
      </c>
      <c r="FN151" s="284" t="n"/>
      <c r="FO151" s="36">
        <f>$KN151*5</f>
        <v/>
      </c>
      <c r="FP151" s="284" t="n">
        <v>5</v>
      </c>
      <c r="FQ151" s="38" t="n">
        <v>0</v>
      </c>
      <c r="FR151" s="284" t="n"/>
      <c r="FS151" s="36">
        <f>$KN151*5</f>
        <v/>
      </c>
      <c r="FT151" s="284" t="n">
        <v>5</v>
      </c>
      <c r="FU151" s="38" t="n">
        <v>0</v>
      </c>
      <c r="FV151" s="284" t="n"/>
      <c r="FW151" s="36">
        <f>$KN151*5</f>
        <v/>
      </c>
      <c r="FX151" s="284" t="n">
        <v>5</v>
      </c>
      <c r="FY151" s="38" t="n">
        <v>0</v>
      </c>
      <c r="FZ151" s="284" t="n"/>
      <c r="GA151" s="338">
        <f t="array" ref="GA151">SUMPRODUCT(--(MOD(COLUMN($EE151:$FZ151),4)=MOD(COLUMN($EE151),4)),$EE151:$FZ151)</f>
        <v/>
      </c>
      <c r="GB151" s="339">
        <f>GA151*$J151</f>
        <v/>
      </c>
      <c r="GC151" s="340">
        <f t="array" ref="GC151">SUMPRODUCT(--(MOD(COLUMN($EE151:$FZ151),4)=MOD(COLUMN($EF151),4)),$EE151:$FZ151)</f>
        <v/>
      </c>
      <c r="GD151" s="341">
        <f>GC151*$J151</f>
        <v/>
      </c>
      <c r="GE151" s="342">
        <f t="array" ref="GE151">SUMPRODUCT(--(MOD(COLUMN($EE151:$FZ151),4)=MOD(COLUMN($EG151),4)),$EE151:$FZ151)</f>
        <v/>
      </c>
      <c r="GF151" s="343">
        <f>GE151*$J151</f>
        <v/>
      </c>
      <c r="GG151" s="36">
        <f>$KN151*15</f>
        <v/>
      </c>
      <c r="GH151" s="284" t="n"/>
      <c r="GI151" s="38" t="n">
        <v>0</v>
      </c>
      <c r="GJ151" s="284" t="n"/>
      <c r="GK151" s="36">
        <f>$KN151*15</f>
        <v/>
      </c>
      <c r="GL151" s="284" t="n"/>
      <c r="GM151" s="38" t="n">
        <v>0</v>
      </c>
      <c r="GN151" s="284" t="n"/>
      <c r="GO151" s="36">
        <f>$KN151*15</f>
        <v/>
      </c>
      <c r="GP151" s="284" t="n"/>
      <c r="GQ151" s="38" t="n">
        <v>0</v>
      </c>
      <c r="GR151" s="284" t="n"/>
      <c r="GS151" s="36">
        <f>$KN151*20</f>
        <v/>
      </c>
      <c r="GT151" s="284" t="n"/>
      <c r="GU151" s="38" t="n">
        <v>0</v>
      </c>
      <c r="GV151" s="284" t="n"/>
      <c r="GW151" s="36">
        <f>$KN151*20</f>
        <v/>
      </c>
      <c r="GX151" s="284" t="n"/>
      <c r="GY151" s="38" t="n">
        <v>0</v>
      </c>
      <c r="GZ151" s="284" t="n"/>
      <c r="HA151" s="36">
        <f>$KN151*20</f>
        <v/>
      </c>
      <c r="HB151" s="284" t="n"/>
      <c r="HC151" s="38" t="n">
        <v>0</v>
      </c>
      <c r="HD151" s="284" t="n"/>
      <c r="HE151" s="36">
        <f>$KN151*20</f>
        <v/>
      </c>
      <c r="HF151" s="284" t="n"/>
      <c r="HG151" s="38" t="n">
        <v>0</v>
      </c>
      <c r="HH151" s="284" t="n"/>
      <c r="HI151" s="36">
        <f>$KN151*20</f>
        <v/>
      </c>
      <c r="HJ151" s="284" t="n"/>
      <c r="HK151" s="38" t="n">
        <v>0</v>
      </c>
      <c r="HL151" s="284" t="n"/>
      <c r="HM151" s="36">
        <f>$KN151*20</f>
        <v/>
      </c>
      <c r="HN151" s="284" t="n"/>
      <c r="HO151" s="38" t="n">
        <v>0</v>
      </c>
      <c r="HP151" s="284" t="n"/>
      <c r="HQ151" s="36">
        <f>$KN151*20</f>
        <v/>
      </c>
      <c r="HR151" s="284" t="n"/>
      <c r="HS151" s="38" t="n">
        <v>0</v>
      </c>
      <c r="HT151" s="284" t="n"/>
      <c r="HU151" s="36">
        <f>$KN151*20</f>
        <v/>
      </c>
      <c r="HV151" s="284" t="n"/>
      <c r="HW151" s="38" t="n">
        <v>0</v>
      </c>
      <c r="HX151" s="284" t="n"/>
      <c r="HY151" s="36">
        <f>$KN151*20</f>
        <v/>
      </c>
      <c r="HZ151" s="284" t="n"/>
      <c r="IA151" s="38" t="n">
        <v>0</v>
      </c>
      <c r="IB151" s="284" t="n"/>
      <c r="IC151" s="338">
        <f t="array" ref="IC151">SUMPRODUCT(--(MOD(COLUMN($GG151:$IB151),4)=MOD(COLUMN($GG151),4)),$GG151:$IB151)</f>
        <v/>
      </c>
      <c r="ID151" s="339">
        <f>IC151*$J151</f>
        <v/>
      </c>
      <c r="IE151" s="340">
        <f t="array" ref="IE151">SUMPRODUCT(--(MOD(COLUMN($GG151:$IB151),4)=MOD(COLUMN($GH151),4)),$GG151:$IB151)</f>
        <v/>
      </c>
      <c r="IF151" s="341">
        <f>IE151*$J151</f>
        <v/>
      </c>
      <c r="IG151" s="342">
        <f t="array" ref="IG151">SUMPRODUCT(--(MOD(COLUMN($GG151:$IB151),4)=MOD(COLUMN($GI151),4)),$GG151:$IB151)</f>
        <v/>
      </c>
      <c r="IH151" s="343">
        <f>IG151*$J151</f>
        <v/>
      </c>
      <c r="II151" s="36">
        <f>$KN151*20</f>
        <v/>
      </c>
      <c r="IJ151" s="284" t="n"/>
      <c r="IK151" s="38" t="n">
        <v>0</v>
      </c>
      <c r="IL151" s="284" t="n"/>
      <c r="IM151" s="36">
        <f>$KN151*20</f>
        <v/>
      </c>
      <c r="IN151" s="284" t="n"/>
      <c r="IO151" s="38" t="n">
        <v>0</v>
      </c>
      <c r="IP151" s="284" t="n"/>
      <c r="IQ151" s="36">
        <f>$KN151*20</f>
        <v/>
      </c>
      <c r="IR151" s="284" t="n"/>
      <c r="IS151" s="38" t="n">
        <v>0</v>
      </c>
      <c r="IT151" s="284" t="n"/>
      <c r="IU151" s="36">
        <f>$KN151*25</f>
        <v/>
      </c>
      <c r="IV151" s="284" t="n"/>
      <c r="IW151" s="38" t="n">
        <v>0</v>
      </c>
      <c r="IX151" s="284" t="n"/>
      <c r="IY151" s="36">
        <f>$KN151*25</f>
        <v/>
      </c>
      <c r="IZ151" s="284" t="n"/>
      <c r="JA151" s="38" t="n">
        <v>0</v>
      </c>
      <c r="JB151" s="284" t="n"/>
      <c r="JC151" s="36">
        <f>$KN151*25</f>
        <v/>
      </c>
      <c r="JD151" s="284" t="n"/>
      <c r="JE151" s="38" t="n">
        <v>0</v>
      </c>
      <c r="JF151" s="284" t="n"/>
      <c r="JG151" s="36">
        <f>$KN151*30</f>
        <v/>
      </c>
      <c r="JH151" s="284" t="n"/>
      <c r="JI151" s="38" t="n">
        <v>0</v>
      </c>
      <c r="JJ151" s="284" t="n"/>
      <c r="JK151" s="36">
        <f>$KN151*30</f>
        <v/>
      </c>
      <c r="JL151" s="284" t="n"/>
      <c r="JM151" s="38" t="n">
        <v>0</v>
      </c>
      <c r="JN151" s="284" t="n"/>
      <c r="JO151" s="36">
        <f>$KN151*30</f>
        <v/>
      </c>
      <c r="JP151" s="284" t="n"/>
      <c r="JQ151" s="38" t="n">
        <v>0</v>
      </c>
      <c r="JR151" s="284" t="n"/>
      <c r="JS151" s="36">
        <f>$KN151*30</f>
        <v/>
      </c>
      <c r="JT151" s="284" t="n"/>
      <c r="JU151" s="38" t="n">
        <v>0</v>
      </c>
      <c r="JV151" s="284" t="n"/>
      <c r="JW151" s="36">
        <f>$KN151*30</f>
        <v/>
      </c>
      <c r="JX151" s="284" t="n"/>
      <c r="JY151" s="38" t="n">
        <v>0</v>
      </c>
      <c r="JZ151" s="284" t="n"/>
      <c r="KA151" s="36">
        <f>$KN151*30</f>
        <v/>
      </c>
      <c r="KB151" s="284" t="n"/>
      <c r="KC151" s="38" t="n">
        <v>0</v>
      </c>
      <c r="KD151" s="284" t="n"/>
      <c r="KE151" s="338">
        <f t="array" ref="KE151">SUMPRODUCT(--(MOD(COLUMN($II151:$KD151),4)=MOD(COLUMN($II151),4)),$II151:$KD151)</f>
        <v/>
      </c>
      <c r="KF151" s="339">
        <f>KE151*$J151</f>
        <v/>
      </c>
      <c r="KG151" s="340">
        <f t="array" ref="KG151">SUMPRODUCT(--(MOD(COLUMN($II151:$KD151),4)=MOD(COLUMN($IJ151),4)),$II151:$KD151)</f>
        <v/>
      </c>
      <c r="KH151" s="341">
        <f>KG151*$J151</f>
        <v/>
      </c>
      <c r="KI151" s="342">
        <f t="array" ref="KI151">SUMPRODUCT(--(MOD(COLUMN($II151:$KD151),4)=MOD(COLUMN($IK151),4)),$II151:$KD151)</f>
        <v/>
      </c>
      <c r="KJ151" s="346">
        <f>KI151*$J151</f>
        <v/>
      </c>
      <c r="KK151" s="80" t="n"/>
      <c r="KL151" s="80" t="n"/>
      <c r="KM151" s="80" t="n"/>
      <c r="KN151" s="51" t="n">
        <v>1</v>
      </c>
      <c r="KO151" s="347" t="n"/>
    </row>
    <row r="152" outlineLevel="1" customFormat="1" s="68">
      <c r="A152" s="347" t="n"/>
      <c r="B152" s="347" t="n"/>
      <c r="C152" s="347" t="n"/>
      <c r="D152" s="347" t="n"/>
      <c r="E152" s="60" t="n">
        <v>5</v>
      </c>
      <c r="F152" s="60" t="n">
        <v>1</v>
      </c>
      <c r="G152" s="56" t="n">
        <v>4491731200</v>
      </c>
      <c r="H152" s="57" t="inlineStr">
        <is>
          <t>Кабель питания, 12 м</t>
        </is>
      </c>
      <c r="I152" s="348" t="n">
        <v>716.1564625850341</v>
      </c>
      <c r="J152" s="337">
        <f>842.2/1.2*1.0863</f>
        <v/>
      </c>
      <c r="K152" s="348" t="n"/>
      <c r="L152" s="348" t="n"/>
      <c r="M152" s="36" t="n"/>
      <c r="N152" s="284" t="n"/>
      <c r="O152" s="38" t="n"/>
      <c r="P152" s="284" t="n"/>
      <c r="Q152" s="36" t="n"/>
      <c r="R152" s="284" t="n"/>
      <c r="S152" s="38" t="n"/>
      <c r="T152" s="284" t="n"/>
      <c r="U152" s="36" t="n"/>
      <c r="V152" s="284" t="n"/>
      <c r="W152" s="38" t="n"/>
      <c r="X152" s="284" t="n"/>
      <c r="Y152" s="36" t="n"/>
      <c r="Z152" s="284" t="n"/>
      <c r="AA152" s="38" t="n"/>
      <c r="AB152" s="284" t="n"/>
      <c r="AC152" s="36" t="n"/>
      <c r="AD152" s="284" t="n"/>
      <c r="AE152" s="38" t="n"/>
      <c r="AF152" s="284" t="n"/>
      <c r="AG152" s="36" t="n"/>
      <c r="AH152" s="284" t="n"/>
      <c r="AI152" s="38" t="n"/>
      <c r="AJ152" s="284" t="n"/>
      <c r="AK152" s="36" t="n"/>
      <c r="AL152" s="284" t="n"/>
      <c r="AM152" s="38" t="n"/>
      <c r="AN152" s="284" t="n"/>
      <c r="AO152" s="36" t="n"/>
      <c r="AP152" s="284" t="n"/>
      <c r="AQ152" s="38" t="n"/>
      <c r="AR152" s="284" t="n"/>
      <c r="AS152" s="36" t="n"/>
      <c r="AT152" s="284" t="n"/>
      <c r="AU152" s="38" t="n">
        <v>0</v>
      </c>
      <c r="AV152" s="284" t="n"/>
      <c r="AW152" s="36" t="n"/>
      <c r="AX152" s="284" t="n"/>
      <c r="AY152" s="38" t="n">
        <v>0</v>
      </c>
      <c r="AZ152" s="284" t="n"/>
      <c r="BA152" s="36" t="n"/>
      <c r="BB152" s="284" t="n"/>
      <c r="BC152" s="99" t="n">
        <v>0</v>
      </c>
      <c r="BD152" s="284" t="n"/>
      <c r="BE152" s="36" t="n"/>
      <c r="BF152" s="284" t="n"/>
      <c r="BG152" s="54" t="n">
        <v>0</v>
      </c>
      <c r="BH152" s="284" t="n"/>
      <c r="BI152" s="338">
        <f>SUMPRODUCT(--(MOD(COLUMN($M152:$BH152),4)=MOD(COLUMN($M152),4)),$M152:$BH152)</f>
        <v/>
      </c>
      <c r="BJ152" s="339">
        <f>BI152*$I152</f>
        <v/>
      </c>
      <c r="BK152" s="340">
        <f>SUMPRODUCT(--(MOD(COLUMN($M152:$BH152),4)=MOD(COLUMN($M152)+1,4)),$M152:$BH152)</f>
        <v/>
      </c>
      <c r="BL152" s="341">
        <f>BK152*$I152</f>
        <v/>
      </c>
      <c r="BM152" s="342">
        <f>SUMPRODUCT(--(MOD(COLUMN($M152:$BH152),4)=MOD(COLUMN($M152)+2,4)),$M152:$BH152)</f>
        <v/>
      </c>
      <c r="BN152" s="343">
        <f>BM152*$I152</f>
        <v/>
      </c>
      <c r="BO152" s="36" t="n"/>
      <c r="BP152" s="47" t="n"/>
      <c r="BQ152" s="39" t="n"/>
      <c r="BR152" s="38" t="n">
        <v>0</v>
      </c>
      <c r="BS152" s="347" t="n"/>
      <c r="BT152" s="36">
        <f>$KN152*5</f>
        <v/>
      </c>
      <c r="BU152" s="47">
        <f>$KN152*0</f>
        <v/>
      </c>
      <c r="BV152" s="69">
        <f>$KN152*0</f>
        <v/>
      </c>
      <c r="BW152" s="38" t="n">
        <v>0</v>
      </c>
      <c r="BX152" s="347" t="n"/>
      <c r="BY152" s="36">
        <f>$KN152*5</f>
        <v/>
      </c>
      <c r="BZ152" s="47">
        <f>$KN152*0</f>
        <v/>
      </c>
      <c r="CA152" s="284" t="n">
        <v>0</v>
      </c>
      <c r="CB152" s="38" t="n">
        <v>0</v>
      </c>
      <c r="CC152" s="284" t="n"/>
      <c r="CD152" s="36">
        <f>$KN152*0</f>
        <v/>
      </c>
      <c r="CE152" s="47">
        <f>$KN152*0</f>
        <v/>
      </c>
      <c r="CF152" s="284">
        <f>$KN152*0</f>
        <v/>
      </c>
      <c r="CG152" s="38" t="n">
        <v>0</v>
      </c>
      <c r="CH152" s="284" t="n"/>
      <c r="CI152" s="36">
        <f>$KN152*5</f>
        <v/>
      </c>
      <c r="CJ152" s="47">
        <f>$KN152*0</f>
        <v/>
      </c>
      <c r="CK152" s="284" t="n">
        <v>0</v>
      </c>
      <c r="CL152" s="38" t="n">
        <v>0</v>
      </c>
      <c r="CM152" s="284" t="n"/>
      <c r="CN152" s="36">
        <f>$KN152*10</f>
        <v/>
      </c>
      <c r="CO152" s="47">
        <f>$KN152*0</f>
        <v/>
      </c>
      <c r="CP152" s="284">
        <f>$KN152*0</f>
        <v/>
      </c>
      <c r="CQ152" s="38" t="n">
        <v>0</v>
      </c>
      <c r="CR152" s="284" t="n"/>
      <c r="CS152" s="36">
        <f>$KN152*10</f>
        <v/>
      </c>
      <c r="CT152" s="47">
        <f>$KN152*0</f>
        <v/>
      </c>
      <c r="CU152" s="284">
        <f>$KN152*0</f>
        <v/>
      </c>
      <c r="CV152" s="38" t="n">
        <v>0</v>
      </c>
      <c r="CW152" s="284" t="n"/>
      <c r="CX152" s="36">
        <f>$KN152*10</f>
        <v/>
      </c>
      <c r="CY152" s="47">
        <f>$KN152*0</f>
        <v/>
      </c>
      <c r="CZ152" s="284">
        <f>$KN152*0</f>
        <v/>
      </c>
      <c r="DA152" s="38" t="n">
        <v>0</v>
      </c>
      <c r="DB152" s="284" t="n"/>
      <c r="DC152" s="36">
        <f>$KN152*10</f>
        <v/>
      </c>
      <c r="DD152" s="47">
        <f>$KN152*0</f>
        <v/>
      </c>
      <c r="DE152" s="284">
        <f>$KN152*0</f>
        <v/>
      </c>
      <c r="DF152" s="38" t="n"/>
      <c r="DG152" s="284" t="n"/>
      <c r="DH152" s="36">
        <f>$KN152*10</f>
        <v/>
      </c>
      <c r="DI152" s="47">
        <f>$KN152*0</f>
        <v/>
      </c>
      <c r="DJ152" s="284">
        <f>$KN152*0</f>
        <v/>
      </c>
      <c r="DK152" s="38" t="n">
        <v>0</v>
      </c>
      <c r="DL152" s="284" t="n"/>
      <c r="DM152" s="36">
        <f>$KN152*10</f>
        <v/>
      </c>
      <c r="DN152" s="47">
        <f>$KN152*0</f>
        <v/>
      </c>
      <c r="DO152" s="284">
        <f>$KN152*0</f>
        <v/>
      </c>
      <c r="DP152" s="38" t="n">
        <v>0</v>
      </c>
      <c r="DQ152" s="284" t="n"/>
      <c r="DR152" s="36">
        <f>$KN152*10</f>
        <v/>
      </c>
      <c r="DS152" s="47">
        <f>$KN152*0</f>
        <v/>
      </c>
      <c r="DT152" s="284">
        <f>$KN152*0</f>
        <v/>
      </c>
      <c r="DU152" s="38" t="n"/>
      <c r="DV152" s="284" t="n"/>
      <c r="DW152" s="338">
        <f t="array" ref="DW152">SUMPRODUCT(--(MOD(COLUMN($BO152:$DV152),5)=MOD(COLUMN($BO152),5)),$BO152:$DV152)</f>
        <v/>
      </c>
      <c r="DX152" s="339">
        <f>DW152*$J152</f>
        <v/>
      </c>
      <c r="DY152" s="344">
        <f t="array" ref="DY152">SUMPRODUCT(--(MOD(COLUMN($BO152:$DV152),5)=MOD(COLUMN($BP152),5)),$BO152:$DV152)</f>
        <v/>
      </c>
      <c r="DZ152" s="345">
        <f>DY152*$J152</f>
        <v/>
      </c>
      <c r="EA152" s="340">
        <f t="array" ref="EA152">SUMPRODUCT(--(MOD(COLUMN($BO152:$DV152),5)=MOD(COLUMN($BQ152),5)),$BO152:$DV152)</f>
        <v/>
      </c>
      <c r="EB152" s="341">
        <f>EA152*$J152</f>
        <v/>
      </c>
      <c r="EC152" s="342">
        <f t="array" ref="EC152">SUMPRODUCT(--(MOD(COLUMN($BO152:$DV152),5)=MOD(COLUMN($BR152),5)),$BO152:$DV152)</f>
        <v/>
      </c>
      <c r="ED152" s="343">
        <f>EC152*$J152</f>
        <v/>
      </c>
      <c r="EE152" s="36">
        <f>$KN152*0</f>
        <v/>
      </c>
      <c r="EF152" s="284" t="n">
        <v>0</v>
      </c>
      <c r="EG152" s="38" t="n"/>
      <c r="EH152" s="284" t="n"/>
      <c r="EI152" s="36">
        <f>$KN152*3</f>
        <v/>
      </c>
      <c r="EJ152" s="284" t="n">
        <v>0</v>
      </c>
      <c r="EK152" s="38" t="n">
        <v>0</v>
      </c>
      <c r="EL152" s="284" t="n"/>
      <c r="EM152" s="36">
        <f>$KN152*0</f>
        <v/>
      </c>
      <c r="EN152" s="284" t="n">
        <v>0</v>
      </c>
      <c r="EO152" s="38" t="n"/>
      <c r="EP152" s="284" t="n"/>
      <c r="EQ152" s="36">
        <f>$KN152*5</f>
        <v/>
      </c>
      <c r="ER152" s="284" t="n">
        <v>0</v>
      </c>
      <c r="ES152" s="38" t="n">
        <v>0</v>
      </c>
      <c r="ET152" s="347" t="n"/>
      <c r="EU152" s="36">
        <f>$KN152*5</f>
        <v/>
      </c>
      <c r="EV152" s="284" t="n">
        <v>0</v>
      </c>
      <c r="EW152" s="38" t="n">
        <v>0</v>
      </c>
      <c r="EX152" s="347" t="n"/>
      <c r="EY152" s="36">
        <f>$KN152*5</f>
        <v/>
      </c>
      <c r="EZ152" s="284" t="n">
        <v>6</v>
      </c>
      <c r="FA152" s="38" t="n">
        <v>0</v>
      </c>
      <c r="FB152" s="347" t="n"/>
      <c r="FC152" s="36">
        <f>$KN152*5</f>
        <v/>
      </c>
      <c r="FD152" s="284" t="n">
        <v>5</v>
      </c>
      <c r="FE152" s="38" t="n">
        <v>0</v>
      </c>
      <c r="FF152" s="284" t="n"/>
      <c r="FG152" s="36">
        <f>$KN152*5</f>
        <v/>
      </c>
      <c r="FH152" s="284" t="n">
        <v>5</v>
      </c>
      <c r="FI152" s="38" t="n">
        <v>0</v>
      </c>
      <c r="FJ152" s="284" t="n"/>
      <c r="FK152" s="36">
        <f>$KN152*5</f>
        <v/>
      </c>
      <c r="FL152" s="284" t="n">
        <v>5</v>
      </c>
      <c r="FM152" s="38" t="n">
        <v>0</v>
      </c>
      <c r="FN152" s="284" t="n"/>
      <c r="FO152" s="36">
        <f>$KN152*5</f>
        <v/>
      </c>
      <c r="FP152" s="284" t="n">
        <v>5</v>
      </c>
      <c r="FQ152" s="38" t="n">
        <v>0</v>
      </c>
      <c r="FR152" s="284" t="n"/>
      <c r="FS152" s="36">
        <f>$KN152*5</f>
        <v/>
      </c>
      <c r="FT152" s="284" t="n">
        <v>5</v>
      </c>
      <c r="FU152" s="38" t="n">
        <v>0</v>
      </c>
      <c r="FV152" s="284" t="n"/>
      <c r="FW152" s="36">
        <f>$KN152*5</f>
        <v/>
      </c>
      <c r="FX152" s="284" t="n">
        <v>5</v>
      </c>
      <c r="FY152" s="38" t="n">
        <v>0</v>
      </c>
      <c r="FZ152" s="284" t="n"/>
      <c r="GA152" s="338">
        <f t="array" ref="GA152">SUMPRODUCT(--(MOD(COLUMN($EE152:$FZ152),4)=MOD(COLUMN($EE152),4)),$EE152:$FZ152)</f>
        <v/>
      </c>
      <c r="GB152" s="339">
        <f>GA152*$J152</f>
        <v/>
      </c>
      <c r="GC152" s="340">
        <f t="array" ref="GC152">SUMPRODUCT(--(MOD(COLUMN($EE152:$FZ152),4)=MOD(COLUMN($EF152),4)),$EE152:$FZ152)</f>
        <v/>
      </c>
      <c r="GD152" s="341">
        <f>GC152*$J152</f>
        <v/>
      </c>
      <c r="GE152" s="342">
        <f t="array" ref="GE152">SUMPRODUCT(--(MOD(COLUMN($EE152:$FZ152),4)=MOD(COLUMN($EG152),4)),$EE152:$FZ152)</f>
        <v/>
      </c>
      <c r="GF152" s="343">
        <f>GE152*$J152</f>
        <v/>
      </c>
      <c r="GG152" s="36">
        <f>$KN152*15</f>
        <v/>
      </c>
      <c r="GH152" s="284" t="n"/>
      <c r="GI152" s="38" t="n">
        <v>0</v>
      </c>
      <c r="GJ152" s="284" t="n"/>
      <c r="GK152" s="36">
        <f>$KN152*15</f>
        <v/>
      </c>
      <c r="GL152" s="284" t="n"/>
      <c r="GM152" s="38" t="n">
        <v>0</v>
      </c>
      <c r="GN152" s="284" t="n"/>
      <c r="GO152" s="36">
        <f>$KN152*15</f>
        <v/>
      </c>
      <c r="GP152" s="284" t="n"/>
      <c r="GQ152" s="38" t="n">
        <v>0</v>
      </c>
      <c r="GR152" s="284" t="n"/>
      <c r="GS152" s="36">
        <f>$KN152*20</f>
        <v/>
      </c>
      <c r="GT152" s="284" t="n"/>
      <c r="GU152" s="38" t="n">
        <v>0</v>
      </c>
      <c r="GV152" s="284" t="n"/>
      <c r="GW152" s="36">
        <f>$KN152*20</f>
        <v/>
      </c>
      <c r="GX152" s="284" t="n"/>
      <c r="GY152" s="38" t="n">
        <v>0</v>
      </c>
      <c r="GZ152" s="284" t="n"/>
      <c r="HA152" s="36">
        <f>$KN152*20</f>
        <v/>
      </c>
      <c r="HB152" s="284" t="n"/>
      <c r="HC152" s="38" t="n">
        <v>0</v>
      </c>
      <c r="HD152" s="284" t="n"/>
      <c r="HE152" s="36">
        <f>$KN152*20</f>
        <v/>
      </c>
      <c r="HF152" s="284" t="n"/>
      <c r="HG152" s="38" t="n">
        <v>0</v>
      </c>
      <c r="HH152" s="284" t="n"/>
      <c r="HI152" s="36">
        <f>$KN152*20</f>
        <v/>
      </c>
      <c r="HJ152" s="284" t="n"/>
      <c r="HK152" s="38" t="n">
        <v>0</v>
      </c>
      <c r="HL152" s="284" t="n"/>
      <c r="HM152" s="36">
        <f>$KN152*20</f>
        <v/>
      </c>
      <c r="HN152" s="284" t="n"/>
      <c r="HO152" s="38" t="n">
        <v>0</v>
      </c>
      <c r="HP152" s="284" t="n"/>
      <c r="HQ152" s="36">
        <f>$KN152*20</f>
        <v/>
      </c>
      <c r="HR152" s="284" t="n"/>
      <c r="HS152" s="38" t="n">
        <v>0</v>
      </c>
      <c r="HT152" s="284" t="n"/>
      <c r="HU152" s="36">
        <f>$KN152*20</f>
        <v/>
      </c>
      <c r="HV152" s="284" t="n"/>
      <c r="HW152" s="38" t="n">
        <v>0</v>
      </c>
      <c r="HX152" s="284" t="n"/>
      <c r="HY152" s="36">
        <f>$KN152*20</f>
        <v/>
      </c>
      <c r="HZ152" s="284" t="n"/>
      <c r="IA152" s="38" t="n">
        <v>0</v>
      </c>
      <c r="IB152" s="284" t="n"/>
      <c r="IC152" s="338">
        <f t="array" ref="IC152">SUMPRODUCT(--(MOD(COLUMN($GG152:$IB152),4)=MOD(COLUMN($GG152),4)),$GG152:$IB152)</f>
        <v/>
      </c>
      <c r="ID152" s="339">
        <f>IC152*$J152</f>
        <v/>
      </c>
      <c r="IE152" s="340">
        <f t="array" ref="IE152">SUMPRODUCT(--(MOD(COLUMN($GG152:$IB152),4)=MOD(COLUMN($GH152),4)),$GG152:$IB152)</f>
        <v/>
      </c>
      <c r="IF152" s="341">
        <f>IE152*$J152</f>
        <v/>
      </c>
      <c r="IG152" s="342">
        <f t="array" ref="IG152">SUMPRODUCT(--(MOD(COLUMN($GG152:$IB152),4)=MOD(COLUMN($GI152),4)),$GG152:$IB152)</f>
        <v/>
      </c>
      <c r="IH152" s="343">
        <f>IG152*$J152</f>
        <v/>
      </c>
      <c r="II152" s="36">
        <f>$KN152*20</f>
        <v/>
      </c>
      <c r="IJ152" s="284" t="n"/>
      <c r="IK152" s="38" t="n">
        <v>0</v>
      </c>
      <c r="IL152" s="284" t="n"/>
      <c r="IM152" s="36">
        <f>$KN152*20</f>
        <v/>
      </c>
      <c r="IN152" s="284" t="n"/>
      <c r="IO152" s="38" t="n">
        <v>0</v>
      </c>
      <c r="IP152" s="284" t="n"/>
      <c r="IQ152" s="36">
        <f>$KN152*20</f>
        <v/>
      </c>
      <c r="IR152" s="284" t="n"/>
      <c r="IS152" s="38" t="n">
        <v>0</v>
      </c>
      <c r="IT152" s="284" t="n"/>
      <c r="IU152" s="36">
        <f>$KN152*25</f>
        <v/>
      </c>
      <c r="IV152" s="284" t="n"/>
      <c r="IW152" s="38" t="n">
        <v>0</v>
      </c>
      <c r="IX152" s="284" t="n"/>
      <c r="IY152" s="36">
        <f>$KN152*25</f>
        <v/>
      </c>
      <c r="IZ152" s="284" t="n"/>
      <c r="JA152" s="38" t="n">
        <v>0</v>
      </c>
      <c r="JB152" s="284" t="n"/>
      <c r="JC152" s="36">
        <f>$KN152*25</f>
        <v/>
      </c>
      <c r="JD152" s="284" t="n"/>
      <c r="JE152" s="38" t="n">
        <v>0</v>
      </c>
      <c r="JF152" s="284" t="n"/>
      <c r="JG152" s="36">
        <f>$KN152*30</f>
        <v/>
      </c>
      <c r="JH152" s="284" t="n"/>
      <c r="JI152" s="38" t="n">
        <v>0</v>
      </c>
      <c r="JJ152" s="284" t="n"/>
      <c r="JK152" s="36">
        <f>$KN152*30</f>
        <v/>
      </c>
      <c r="JL152" s="284" t="n"/>
      <c r="JM152" s="38" t="n">
        <v>0</v>
      </c>
      <c r="JN152" s="284" t="n"/>
      <c r="JO152" s="36">
        <f>$KN152*30</f>
        <v/>
      </c>
      <c r="JP152" s="284" t="n"/>
      <c r="JQ152" s="38" t="n">
        <v>0</v>
      </c>
      <c r="JR152" s="284" t="n"/>
      <c r="JS152" s="36">
        <f>$KN152*30</f>
        <v/>
      </c>
      <c r="JT152" s="284" t="n"/>
      <c r="JU152" s="38" t="n">
        <v>0</v>
      </c>
      <c r="JV152" s="284" t="n"/>
      <c r="JW152" s="36">
        <f>$KN152*30</f>
        <v/>
      </c>
      <c r="JX152" s="284" t="n"/>
      <c r="JY152" s="38" t="n">
        <v>0</v>
      </c>
      <c r="JZ152" s="284" t="n"/>
      <c r="KA152" s="36">
        <f>$KN152*30</f>
        <v/>
      </c>
      <c r="KB152" s="284" t="n"/>
      <c r="KC152" s="38" t="n">
        <v>0</v>
      </c>
      <c r="KD152" s="284" t="n"/>
      <c r="KE152" s="338">
        <f t="array" ref="KE152">SUMPRODUCT(--(MOD(COLUMN($II152:$KD152),4)=MOD(COLUMN($II152),4)),$II152:$KD152)</f>
        <v/>
      </c>
      <c r="KF152" s="339">
        <f>KE152*$J152</f>
        <v/>
      </c>
      <c r="KG152" s="340">
        <f t="array" ref="KG152">SUMPRODUCT(--(MOD(COLUMN($II152:$KD152),4)=MOD(COLUMN($IJ152),4)),$II152:$KD152)</f>
        <v/>
      </c>
      <c r="KH152" s="341">
        <f>KG152*$J152</f>
        <v/>
      </c>
      <c r="KI152" s="342">
        <f t="array" ref="KI152">SUMPRODUCT(--(MOD(COLUMN($II152:$KD152),4)=MOD(COLUMN($IK152),4)),$II152:$KD152)</f>
        <v/>
      </c>
      <c r="KJ152" s="346">
        <f>KI152*$J152</f>
        <v/>
      </c>
      <c r="KK152" s="80" t="n"/>
      <c r="KL152" s="80" t="n"/>
      <c r="KM152" s="80" t="n"/>
      <c r="KN152" s="51" t="n">
        <v>1</v>
      </c>
      <c r="KO152" s="347" t="n"/>
    </row>
    <row r="153" outlineLevel="1" customFormat="1" s="68">
      <c r="A153" s="347" t="n"/>
      <c r="B153" s="347" t="n"/>
      <c r="C153" s="347" t="n"/>
      <c r="D153" s="347" t="n"/>
      <c r="E153" s="60" t="n">
        <v>6</v>
      </c>
      <c r="F153" s="60" t="n">
        <v>1</v>
      </c>
      <c r="G153" s="56" t="n">
        <v>4497230500</v>
      </c>
      <c r="H153" s="57" t="inlineStr">
        <is>
          <t>Кабель датчика, 5 м</t>
        </is>
      </c>
      <c r="I153" s="348" t="n">
        <v>60.96938775510205</v>
      </c>
      <c r="J153" s="337">
        <f>71.7/1.2*1.0863</f>
        <v/>
      </c>
      <c r="K153" s="348" t="n"/>
      <c r="L153" s="348" t="n"/>
      <c r="M153" s="36" t="n"/>
      <c r="N153" s="284" t="n"/>
      <c r="O153" s="38" t="n"/>
      <c r="P153" s="284" t="n"/>
      <c r="Q153" s="36" t="n"/>
      <c r="R153" s="284" t="n"/>
      <c r="S153" s="38" t="n"/>
      <c r="T153" s="284" t="n"/>
      <c r="U153" s="36" t="n"/>
      <c r="V153" s="284" t="n"/>
      <c r="W153" s="38" t="n"/>
      <c r="X153" s="284" t="n"/>
      <c r="Y153" s="36" t="n"/>
      <c r="Z153" s="284" t="n"/>
      <c r="AA153" s="38" t="n"/>
      <c r="AB153" s="284" t="n"/>
      <c r="AC153" s="36" t="n"/>
      <c r="AD153" s="284" t="n"/>
      <c r="AE153" s="38" t="n"/>
      <c r="AF153" s="284" t="n"/>
      <c r="AG153" s="36" t="n"/>
      <c r="AH153" s="284" t="n"/>
      <c r="AI153" s="38" t="n"/>
      <c r="AJ153" s="284" t="n"/>
      <c r="AK153" s="36" t="n"/>
      <c r="AL153" s="284" t="n"/>
      <c r="AM153" s="38" t="n"/>
      <c r="AN153" s="284" t="n"/>
      <c r="AO153" s="36" t="n"/>
      <c r="AP153" s="284" t="n"/>
      <c r="AQ153" s="38" t="n"/>
      <c r="AR153" s="284" t="n"/>
      <c r="AS153" s="36" t="n"/>
      <c r="AT153" s="284" t="n"/>
      <c r="AU153" s="38" t="n">
        <v>0</v>
      </c>
      <c r="AV153" s="284" t="n"/>
      <c r="AW153" s="36" t="n"/>
      <c r="AX153" s="284" t="n"/>
      <c r="AY153" s="38" t="n">
        <v>0</v>
      </c>
      <c r="AZ153" s="284" t="n"/>
      <c r="BA153" s="36" t="n"/>
      <c r="BB153" s="284" t="n"/>
      <c r="BC153" s="99" t="n">
        <v>0</v>
      </c>
      <c r="BD153" s="284" t="n"/>
      <c r="BE153" s="36" t="n"/>
      <c r="BF153" s="284" t="n"/>
      <c r="BG153" s="54" t="n">
        <v>0</v>
      </c>
      <c r="BH153" s="284" t="n"/>
      <c r="BI153" s="338">
        <f>SUMPRODUCT(--(MOD(COLUMN($M153:$BH153),4)=MOD(COLUMN($M153),4)),$M153:$BH153)</f>
        <v/>
      </c>
      <c r="BJ153" s="339">
        <f>BI153*$I153</f>
        <v/>
      </c>
      <c r="BK153" s="340">
        <f>SUMPRODUCT(--(MOD(COLUMN($M153:$BH153),4)=MOD(COLUMN($M153)+1,4)),$M153:$BH153)</f>
        <v/>
      </c>
      <c r="BL153" s="341">
        <f>BK153*$I153</f>
        <v/>
      </c>
      <c r="BM153" s="342">
        <f>SUMPRODUCT(--(MOD(COLUMN($M153:$BH153),4)=MOD(COLUMN($M153)+2,4)),$M153:$BH153)</f>
        <v/>
      </c>
      <c r="BN153" s="343">
        <f>BM153*$I153</f>
        <v/>
      </c>
      <c r="BO153" s="36" t="n"/>
      <c r="BP153" s="47" t="n"/>
      <c r="BQ153" s="39" t="n"/>
      <c r="BR153" s="38" t="n">
        <v>0</v>
      </c>
      <c r="BS153" s="347" t="n"/>
      <c r="BT153" s="36">
        <f>$KN153*5</f>
        <v/>
      </c>
      <c r="BU153" s="47">
        <f>$KN153*0</f>
        <v/>
      </c>
      <c r="BV153" s="69">
        <f>$KN153*0</f>
        <v/>
      </c>
      <c r="BW153" s="38" t="n">
        <v>0</v>
      </c>
      <c r="BX153" s="347" t="n"/>
      <c r="BY153" s="36">
        <f>$KN153*5</f>
        <v/>
      </c>
      <c r="BZ153" s="47">
        <f>$KN153*0</f>
        <v/>
      </c>
      <c r="CA153" s="284" t="n">
        <v>0</v>
      </c>
      <c r="CB153" s="38" t="n">
        <v>0</v>
      </c>
      <c r="CC153" s="284" t="n"/>
      <c r="CD153" s="36">
        <f>$KN153*0</f>
        <v/>
      </c>
      <c r="CE153" s="47">
        <f>$KN153*0</f>
        <v/>
      </c>
      <c r="CF153" s="284">
        <f>$KN153*0</f>
        <v/>
      </c>
      <c r="CG153" s="38" t="n">
        <v>0</v>
      </c>
      <c r="CH153" s="284" t="n"/>
      <c r="CI153" s="36">
        <f>$KN153*5</f>
        <v/>
      </c>
      <c r="CJ153" s="47">
        <f>$KN153*0</f>
        <v/>
      </c>
      <c r="CK153" s="284" t="n">
        <v>0</v>
      </c>
      <c r="CL153" s="38" t="n">
        <v>0</v>
      </c>
      <c r="CM153" s="284" t="n"/>
      <c r="CN153" s="36">
        <f>$KN153*10</f>
        <v/>
      </c>
      <c r="CO153" s="47">
        <f>$KN153*0</f>
        <v/>
      </c>
      <c r="CP153" s="284">
        <f>$KN153*0</f>
        <v/>
      </c>
      <c r="CQ153" s="38" t="n">
        <v>0</v>
      </c>
      <c r="CR153" s="284" t="n"/>
      <c r="CS153" s="36">
        <f>$KN153*10</f>
        <v/>
      </c>
      <c r="CT153" s="47">
        <f>$KN153*0</f>
        <v/>
      </c>
      <c r="CU153" s="284">
        <f>$KN153*0</f>
        <v/>
      </c>
      <c r="CV153" s="38" t="n">
        <v>0</v>
      </c>
      <c r="CW153" s="284" t="n"/>
      <c r="CX153" s="36">
        <f>$KN153*10</f>
        <v/>
      </c>
      <c r="CY153" s="47">
        <f>$KN153*0</f>
        <v/>
      </c>
      <c r="CZ153" s="284">
        <f>$KN153*0</f>
        <v/>
      </c>
      <c r="DA153" s="38" t="n">
        <v>0</v>
      </c>
      <c r="DB153" s="284" t="n"/>
      <c r="DC153" s="36">
        <f>$KN153*10</f>
        <v/>
      </c>
      <c r="DD153" s="47">
        <f>$KN153*0</f>
        <v/>
      </c>
      <c r="DE153" s="284">
        <f>$KN153*0</f>
        <v/>
      </c>
      <c r="DF153" s="38" t="n"/>
      <c r="DG153" s="284" t="n"/>
      <c r="DH153" s="36">
        <f>$KN153*10</f>
        <v/>
      </c>
      <c r="DI153" s="47">
        <f>$KN153*0</f>
        <v/>
      </c>
      <c r="DJ153" s="284">
        <f>$KN153*0</f>
        <v/>
      </c>
      <c r="DK153" s="38" t="n">
        <v>0</v>
      </c>
      <c r="DL153" s="284" t="n"/>
      <c r="DM153" s="36">
        <f>$KN153*10</f>
        <v/>
      </c>
      <c r="DN153" s="47">
        <f>$KN153*0</f>
        <v/>
      </c>
      <c r="DO153" s="284">
        <f>$KN153*0</f>
        <v/>
      </c>
      <c r="DP153" s="38" t="n">
        <v>0</v>
      </c>
      <c r="DQ153" s="284" t="n"/>
      <c r="DR153" s="36">
        <f>$KN153*10</f>
        <v/>
      </c>
      <c r="DS153" s="47">
        <f>$KN153*0</f>
        <v/>
      </c>
      <c r="DT153" s="284">
        <f>$KN153*0</f>
        <v/>
      </c>
      <c r="DU153" s="38" t="n"/>
      <c r="DV153" s="284" t="n"/>
      <c r="DW153" s="338">
        <f t="array" ref="DW153">SUMPRODUCT(--(MOD(COLUMN($BO153:$DV153),5)=MOD(COLUMN($BO153),5)),$BO153:$DV153)</f>
        <v/>
      </c>
      <c r="DX153" s="339">
        <f>DW153*$J153</f>
        <v/>
      </c>
      <c r="DY153" s="344">
        <f t="array" ref="DY153">SUMPRODUCT(--(MOD(COLUMN($BO153:$DV153),5)=MOD(COLUMN($BP153),5)),$BO153:$DV153)</f>
        <v/>
      </c>
      <c r="DZ153" s="345">
        <f>DY153*$J153</f>
        <v/>
      </c>
      <c r="EA153" s="340">
        <f t="array" ref="EA153">SUMPRODUCT(--(MOD(COLUMN($BO153:$DV153),5)=MOD(COLUMN($BQ153),5)),$BO153:$DV153)</f>
        <v/>
      </c>
      <c r="EB153" s="341">
        <f>EA153*$J153</f>
        <v/>
      </c>
      <c r="EC153" s="342">
        <f t="array" ref="EC153">SUMPRODUCT(--(MOD(COLUMN($BO153:$DV153),5)=MOD(COLUMN($BR153),5)),$BO153:$DV153)</f>
        <v/>
      </c>
      <c r="ED153" s="343">
        <f>EC153*$J153</f>
        <v/>
      </c>
      <c r="EE153" s="36">
        <f>$KN153*0</f>
        <v/>
      </c>
      <c r="EF153" s="284" t="n">
        <v>0</v>
      </c>
      <c r="EG153" s="38" t="n"/>
      <c r="EH153" s="284" t="n"/>
      <c r="EI153" s="36">
        <f>$KN153*4</f>
        <v/>
      </c>
      <c r="EJ153" s="284" t="n">
        <v>0</v>
      </c>
      <c r="EK153" s="38" t="n">
        <v>0</v>
      </c>
      <c r="EL153" s="284" t="n"/>
      <c r="EM153" s="36">
        <f>$KN153*0</f>
        <v/>
      </c>
      <c r="EN153" s="284" t="n">
        <v>0</v>
      </c>
      <c r="EO153" s="38" t="n"/>
      <c r="EP153" s="284" t="n"/>
      <c r="EQ153" s="36">
        <f>$KN153*5</f>
        <v/>
      </c>
      <c r="ER153" s="284" t="n">
        <v>0</v>
      </c>
      <c r="ES153" s="38" t="n">
        <v>0</v>
      </c>
      <c r="ET153" s="347" t="n"/>
      <c r="EU153" s="36">
        <f>$KN153*5</f>
        <v/>
      </c>
      <c r="EV153" s="284" t="n">
        <v>0</v>
      </c>
      <c r="EW153" s="38" t="n">
        <v>0</v>
      </c>
      <c r="EX153" s="347" t="n"/>
      <c r="EY153" s="36">
        <f>$KN153*5</f>
        <v/>
      </c>
      <c r="EZ153" s="284" t="n">
        <v>20</v>
      </c>
      <c r="FA153" s="38" t="n">
        <v>0</v>
      </c>
      <c r="FB153" s="347" t="n"/>
      <c r="FC153" s="36">
        <f>$KN153*5</f>
        <v/>
      </c>
      <c r="FD153" s="284" t="n">
        <v>10</v>
      </c>
      <c r="FE153" s="38" t="n">
        <v>0</v>
      </c>
      <c r="FF153" s="284" t="n"/>
      <c r="FG153" s="36">
        <f>$KN153*5</f>
        <v/>
      </c>
      <c r="FH153" s="284" t="n">
        <v>10</v>
      </c>
      <c r="FI153" s="38" t="n">
        <v>0</v>
      </c>
      <c r="FJ153" s="284" t="n"/>
      <c r="FK153" s="36">
        <f>$KN153*5</f>
        <v/>
      </c>
      <c r="FL153" s="284" t="n">
        <v>10</v>
      </c>
      <c r="FM153" s="38" t="n">
        <v>0</v>
      </c>
      <c r="FN153" s="284" t="n"/>
      <c r="FO153" s="36">
        <f>$KN153*5</f>
        <v/>
      </c>
      <c r="FP153" s="284" t="n">
        <v>10</v>
      </c>
      <c r="FQ153" s="38" t="n">
        <v>0</v>
      </c>
      <c r="FR153" s="284" t="n"/>
      <c r="FS153" s="36">
        <f>$KN153*5</f>
        <v/>
      </c>
      <c r="FT153" s="284" t="n">
        <v>10</v>
      </c>
      <c r="FU153" s="38" t="n">
        <v>0</v>
      </c>
      <c r="FV153" s="284" t="n"/>
      <c r="FW153" s="36">
        <f>$KN153*5</f>
        <v/>
      </c>
      <c r="FX153" s="284" t="n">
        <v>10</v>
      </c>
      <c r="FY153" s="38" t="n">
        <v>0</v>
      </c>
      <c r="FZ153" s="284" t="n"/>
      <c r="GA153" s="338">
        <f t="array" ref="GA153">SUMPRODUCT(--(MOD(COLUMN($EE153:$FZ153),4)=MOD(COLUMN($EE153),4)),$EE153:$FZ153)</f>
        <v/>
      </c>
      <c r="GB153" s="339">
        <f>GA153*$J153</f>
        <v/>
      </c>
      <c r="GC153" s="340">
        <f t="array" ref="GC153">SUMPRODUCT(--(MOD(COLUMN($EE153:$FZ153),4)=MOD(COLUMN($EF153),4)),$EE153:$FZ153)</f>
        <v/>
      </c>
      <c r="GD153" s="341">
        <f>GC153*$J153</f>
        <v/>
      </c>
      <c r="GE153" s="342">
        <f t="array" ref="GE153">SUMPRODUCT(--(MOD(COLUMN($EE153:$FZ153),4)=MOD(COLUMN($EG153),4)),$EE153:$FZ153)</f>
        <v/>
      </c>
      <c r="GF153" s="343">
        <f>GE153*$J153</f>
        <v/>
      </c>
      <c r="GG153" s="36">
        <f>$KN153*15</f>
        <v/>
      </c>
      <c r="GH153" s="284" t="n"/>
      <c r="GI153" s="38" t="n">
        <v>0</v>
      </c>
      <c r="GJ153" s="284" t="n"/>
      <c r="GK153" s="36">
        <f>$KN153*15</f>
        <v/>
      </c>
      <c r="GL153" s="284" t="n"/>
      <c r="GM153" s="38" t="n">
        <v>0</v>
      </c>
      <c r="GN153" s="284" t="n"/>
      <c r="GO153" s="36">
        <f>$KN153*15</f>
        <v/>
      </c>
      <c r="GP153" s="284" t="n"/>
      <c r="GQ153" s="38" t="n">
        <v>0</v>
      </c>
      <c r="GR153" s="284" t="n"/>
      <c r="GS153" s="36">
        <f>$KN153*20</f>
        <v/>
      </c>
      <c r="GT153" s="284" t="n"/>
      <c r="GU153" s="38" t="n">
        <v>0</v>
      </c>
      <c r="GV153" s="284" t="n"/>
      <c r="GW153" s="36">
        <f>$KN153*20</f>
        <v/>
      </c>
      <c r="GX153" s="284" t="n"/>
      <c r="GY153" s="38" t="n">
        <v>0</v>
      </c>
      <c r="GZ153" s="284" t="n"/>
      <c r="HA153" s="36">
        <f>$KN153*20</f>
        <v/>
      </c>
      <c r="HB153" s="284" t="n"/>
      <c r="HC153" s="38" t="n">
        <v>0</v>
      </c>
      <c r="HD153" s="284" t="n"/>
      <c r="HE153" s="36">
        <f>$KN153*20</f>
        <v/>
      </c>
      <c r="HF153" s="284" t="n"/>
      <c r="HG153" s="38" t="n">
        <v>0</v>
      </c>
      <c r="HH153" s="284" t="n"/>
      <c r="HI153" s="36">
        <f>$KN153*20</f>
        <v/>
      </c>
      <c r="HJ153" s="284" t="n"/>
      <c r="HK153" s="38" t="n">
        <v>0</v>
      </c>
      <c r="HL153" s="284" t="n"/>
      <c r="HM153" s="36">
        <f>$KN153*20</f>
        <v/>
      </c>
      <c r="HN153" s="284" t="n"/>
      <c r="HO153" s="38" t="n">
        <v>0</v>
      </c>
      <c r="HP153" s="284" t="n"/>
      <c r="HQ153" s="36">
        <f>$KN153*20</f>
        <v/>
      </c>
      <c r="HR153" s="284" t="n"/>
      <c r="HS153" s="38" t="n">
        <v>0</v>
      </c>
      <c r="HT153" s="284" t="n"/>
      <c r="HU153" s="36">
        <f>$KN153*20</f>
        <v/>
      </c>
      <c r="HV153" s="284" t="n"/>
      <c r="HW153" s="38" t="n">
        <v>0</v>
      </c>
      <c r="HX153" s="284" t="n"/>
      <c r="HY153" s="36">
        <f>$KN153*20</f>
        <v/>
      </c>
      <c r="HZ153" s="284" t="n"/>
      <c r="IA153" s="38" t="n">
        <v>0</v>
      </c>
      <c r="IB153" s="284" t="n"/>
      <c r="IC153" s="338">
        <f t="array" ref="IC153">SUMPRODUCT(--(MOD(COLUMN($GG153:$IB153),4)=MOD(COLUMN($GG153),4)),$GG153:$IB153)</f>
        <v/>
      </c>
      <c r="ID153" s="339">
        <f>IC153*$J153</f>
        <v/>
      </c>
      <c r="IE153" s="340">
        <f t="array" ref="IE153">SUMPRODUCT(--(MOD(COLUMN($GG153:$IB153),4)=MOD(COLUMN($GH153),4)),$GG153:$IB153)</f>
        <v/>
      </c>
      <c r="IF153" s="341">
        <f>IE153*$J153</f>
        <v/>
      </c>
      <c r="IG153" s="342">
        <f t="array" ref="IG153">SUMPRODUCT(--(MOD(COLUMN($GG153:$IB153),4)=MOD(COLUMN($GI153),4)),$GG153:$IB153)</f>
        <v/>
      </c>
      <c r="IH153" s="343">
        <f>IG153*$J153</f>
        <v/>
      </c>
      <c r="II153" s="36">
        <f>$KN153*20</f>
        <v/>
      </c>
      <c r="IJ153" s="284" t="n"/>
      <c r="IK153" s="38" t="n">
        <v>0</v>
      </c>
      <c r="IL153" s="284" t="n"/>
      <c r="IM153" s="36">
        <f>$KN153*20</f>
        <v/>
      </c>
      <c r="IN153" s="284" t="n"/>
      <c r="IO153" s="38" t="n">
        <v>0</v>
      </c>
      <c r="IP153" s="284" t="n"/>
      <c r="IQ153" s="36">
        <f>$KN153*20</f>
        <v/>
      </c>
      <c r="IR153" s="284" t="n"/>
      <c r="IS153" s="38" t="n">
        <v>0</v>
      </c>
      <c r="IT153" s="284" t="n"/>
      <c r="IU153" s="36">
        <f>$KN153*25</f>
        <v/>
      </c>
      <c r="IV153" s="284" t="n"/>
      <c r="IW153" s="38" t="n">
        <v>0</v>
      </c>
      <c r="IX153" s="284" t="n"/>
      <c r="IY153" s="36">
        <f>$KN153*25</f>
        <v/>
      </c>
      <c r="IZ153" s="284" t="n"/>
      <c r="JA153" s="38" t="n">
        <v>0</v>
      </c>
      <c r="JB153" s="284" t="n"/>
      <c r="JC153" s="36">
        <f>$KN153*25</f>
        <v/>
      </c>
      <c r="JD153" s="284" t="n"/>
      <c r="JE153" s="38" t="n">
        <v>0</v>
      </c>
      <c r="JF153" s="284" t="n"/>
      <c r="JG153" s="36">
        <f>$KN153*30</f>
        <v/>
      </c>
      <c r="JH153" s="284" t="n"/>
      <c r="JI153" s="38" t="n">
        <v>0</v>
      </c>
      <c r="JJ153" s="284" t="n"/>
      <c r="JK153" s="36">
        <f>$KN153*30</f>
        <v/>
      </c>
      <c r="JL153" s="284" t="n"/>
      <c r="JM153" s="38" t="n">
        <v>0</v>
      </c>
      <c r="JN153" s="284" t="n"/>
      <c r="JO153" s="36">
        <f>$KN153*30</f>
        <v/>
      </c>
      <c r="JP153" s="284" t="n"/>
      <c r="JQ153" s="38" t="n">
        <v>0</v>
      </c>
      <c r="JR153" s="284" t="n"/>
      <c r="JS153" s="36">
        <f>$KN153*30</f>
        <v/>
      </c>
      <c r="JT153" s="284" t="n"/>
      <c r="JU153" s="38" t="n">
        <v>0</v>
      </c>
      <c r="JV153" s="284" t="n"/>
      <c r="JW153" s="36">
        <f>$KN153*30</f>
        <v/>
      </c>
      <c r="JX153" s="284" t="n"/>
      <c r="JY153" s="38" t="n">
        <v>0</v>
      </c>
      <c r="JZ153" s="284" t="n"/>
      <c r="KA153" s="36">
        <f>$KN153*30</f>
        <v/>
      </c>
      <c r="KB153" s="284" t="n"/>
      <c r="KC153" s="38" t="n">
        <v>0</v>
      </c>
      <c r="KD153" s="284" t="n"/>
      <c r="KE153" s="338">
        <f t="array" ref="KE153">SUMPRODUCT(--(MOD(COLUMN($II153:$KD153),4)=MOD(COLUMN($II153),4)),$II153:$KD153)</f>
        <v/>
      </c>
      <c r="KF153" s="339">
        <f>KE153*$J153</f>
        <v/>
      </c>
      <c r="KG153" s="340">
        <f t="array" ref="KG153">SUMPRODUCT(--(MOD(COLUMN($II153:$KD153),4)=MOD(COLUMN($IJ153),4)),$II153:$KD153)</f>
        <v/>
      </c>
      <c r="KH153" s="341">
        <f>KG153*$J153</f>
        <v/>
      </c>
      <c r="KI153" s="342">
        <f t="array" ref="KI153">SUMPRODUCT(--(MOD(COLUMN($II153:$KD153),4)=MOD(COLUMN($IK153),4)),$II153:$KD153)</f>
        <v/>
      </c>
      <c r="KJ153" s="346">
        <f>KI153*$J153</f>
        <v/>
      </c>
      <c r="KK153" s="80" t="n"/>
      <c r="KL153" s="80" t="n"/>
      <c r="KM153" s="80" t="n"/>
      <c r="KN153" s="51" t="n">
        <v>2</v>
      </c>
      <c r="KO153" s="347" t="n"/>
    </row>
    <row r="154" outlineLevel="1" ht="28.8" customFormat="1" customHeight="1" s="68">
      <c r="A154" s="347" t="n"/>
      <c r="B154" s="347" t="n"/>
      <c r="C154" s="347" t="n"/>
      <c r="D154" s="347" t="n"/>
      <c r="E154" s="60" t="n">
        <v>7</v>
      </c>
      <c r="F154" s="60" t="n">
        <v>1</v>
      </c>
      <c r="G154" s="56" t="n">
        <v>4640061000</v>
      </c>
      <c r="H154" s="57" t="inlineStr">
        <is>
          <t>Кран уровня пола, 5-ти портовый</t>
        </is>
      </c>
      <c r="I154" s="348" t="n">
        <v>496.5986394557823</v>
      </c>
      <c r="J154" s="337">
        <f>584/1.2*1.0863</f>
        <v/>
      </c>
      <c r="K154" s="348" t="n"/>
      <c r="L154" s="348" t="n"/>
      <c r="M154" s="36" t="n"/>
      <c r="N154" s="284" t="n"/>
      <c r="O154" s="38" t="n"/>
      <c r="P154" s="284" t="n"/>
      <c r="Q154" s="36" t="n"/>
      <c r="R154" s="284" t="n"/>
      <c r="S154" s="38" t="n"/>
      <c r="T154" s="284" t="n"/>
      <c r="U154" s="36" t="n"/>
      <c r="V154" s="284" t="n"/>
      <c r="W154" s="38" t="n"/>
      <c r="X154" s="284" t="n"/>
      <c r="Y154" s="36" t="n"/>
      <c r="Z154" s="284" t="n"/>
      <c r="AA154" s="38" t="n"/>
      <c r="AB154" s="284" t="n"/>
      <c r="AC154" s="36" t="n"/>
      <c r="AD154" s="284" t="n"/>
      <c r="AE154" s="38" t="n"/>
      <c r="AF154" s="284" t="n"/>
      <c r="AG154" s="36" t="n"/>
      <c r="AH154" s="284" t="n"/>
      <c r="AI154" s="38" t="n"/>
      <c r="AJ154" s="284" t="n"/>
      <c r="AK154" s="36" t="n"/>
      <c r="AL154" s="284" t="n"/>
      <c r="AM154" s="38" t="n"/>
      <c r="AN154" s="284" t="n"/>
      <c r="AO154" s="36" t="n"/>
      <c r="AP154" s="284" t="n"/>
      <c r="AQ154" s="38" t="n"/>
      <c r="AR154" s="284" t="n"/>
      <c r="AS154" s="36" t="n"/>
      <c r="AT154" s="284" t="n"/>
      <c r="AU154" s="38" t="n">
        <v>0</v>
      </c>
      <c r="AV154" s="284" t="n"/>
      <c r="AW154" s="36" t="n"/>
      <c r="AX154" s="284" t="n"/>
      <c r="AY154" s="38" t="n">
        <v>0</v>
      </c>
      <c r="AZ154" s="284" t="n"/>
      <c r="BA154" s="36" t="n"/>
      <c r="BB154" s="284" t="n"/>
      <c r="BC154" s="99" t="n">
        <v>0</v>
      </c>
      <c r="BD154" s="284" t="n"/>
      <c r="BE154" s="36" t="n"/>
      <c r="BF154" s="284" t="n"/>
      <c r="BG154" s="54" t="n">
        <v>0</v>
      </c>
      <c r="BH154" s="284" t="n"/>
      <c r="BI154" s="338">
        <f>SUMPRODUCT(--(MOD(COLUMN($M154:$BH154),4)=MOD(COLUMN($M154),4)),$M154:$BH154)</f>
        <v/>
      </c>
      <c r="BJ154" s="339">
        <f>BI154*$I154</f>
        <v/>
      </c>
      <c r="BK154" s="340">
        <f>SUMPRODUCT(--(MOD(COLUMN($M154:$BH154),4)=MOD(COLUMN($M154)+1,4)),$M154:$BH154)</f>
        <v/>
      </c>
      <c r="BL154" s="341">
        <f>BK154*$I154</f>
        <v/>
      </c>
      <c r="BM154" s="342">
        <f>SUMPRODUCT(--(MOD(COLUMN($M154:$BH154),4)=MOD(COLUMN($M154)+2,4)),$M154:$BH154)</f>
        <v/>
      </c>
      <c r="BN154" s="343">
        <f>BM154*$I154</f>
        <v/>
      </c>
      <c r="BO154" s="36" t="n"/>
      <c r="BP154" s="47" t="n"/>
      <c r="BQ154" s="39" t="n"/>
      <c r="BR154" s="38" t="n">
        <v>0</v>
      </c>
      <c r="BS154" s="347" t="n"/>
      <c r="BT154" s="36">
        <f>$KN154*5</f>
        <v/>
      </c>
      <c r="BU154" s="47">
        <f>$KN154*0</f>
        <v/>
      </c>
      <c r="BV154" s="69">
        <f>$KN154*0</f>
        <v/>
      </c>
      <c r="BW154" s="38" t="n">
        <v>0</v>
      </c>
      <c r="BX154" s="347" t="n"/>
      <c r="BY154" s="36">
        <f>$KN154*5</f>
        <v/>
      </c>
      <c r="BZ154" s="47">
        <f>$KN154*0</f>
        <v/>
      </c>
      <c r="CA154" s="284" t="n">
        <v>0</v>
      </c>
      <c r="CB154" s="38" t="n">
        <v>0</v>
      </c>
      <c r="CC154" s="284" t="n"/>
      <c r="CD154" s="36">
        <f>$KN154*0</f>
        <v/>
      </c>
      <c r="CE154" s="47">
        <f>$KN154*0</f>
        <v/>
      </c>
      <c r="CF154" s="284">
        <f>$KN154*0</f>
        <v/>
      </c>
      <c r="CG154" s="38" t="n">
        <v>0</v>
      </c>
      <c r="CH154" s="284" t="n"/>
      <c r="CI154" s="36">
        <f>$KN154*5</f>
        <v/>
      </c>
      <c r="CJ154" s="47">
        <f>$KN154*0</f>
        <v/>
      </c>
      <c r="CK154" s="284" t="n">
        <v>0</v>
      </c>
      <c r="CL154" s="38" t="n">
        <v>0</v>
      </c>
      <c r="CM154" s="284" t="n"/>
      <c r="CN154" s="36">
        <f>$KN154*10</f>
        <v/>
      </c>
      <c r="CO154" s="47">
        <f>$KN154*0</f>
        <v/>
      </c>
      <c r="CP154" s="284">
        <f>$KN154*0</f>
        <v/>
      </c>
      <c r="CQ154" s="38" t="n">
        <v>0</v>
      </c>
      <c r="CR154" s="284" t="n"/>
      <c r="CS154" s="36">
        <f>$KN154*10</f>
        <v/>
      </c>
      <c r="CT154" s="47">
        <f>$KN154*0</f>
        <v/>
      </c>
      <c r="CU154" s="284">
        <f>$KN154*0</f>
        <v/>
      </c>
      <c r="CV154" s="38" t="n">
        <v>0</v>
      </c>
      <c r="CW154" s="284" t="n"/>
      <c r="CX154" s="36">
        <f>$KN154*10</f>
        <v/>
      </c>
      <c r="CY154" s="47">
        <f>$KN154*0</f>
        <v/>
      </c>
      <c r="CZ154" s="284">
        <f>$KN154*0</f>
        <v/>
      </c>
      <c r="DA154" s="38" t="n">
        <v>0</v>
      </c>
      <c r="DB154" s="284" t="n"/>
      <c r="DC154" s="36">
        <f>$KN154*10</f>
        <v/>
      </c>
      <c r="DD154" s="47">
        <f>$KN154*0</f>
        <v/>
      </c>
      <c r="DE154" s="284">
        <f>$KN154*0</f>
        <v/>
      </c>
      <c r="DF154" s="38" t="n">
        <v>0</v>
      </c>
      <c r="DG154" s="284" t="n"/>
      <c r="DH154" s="36">
        <f>$KN154*10</f>
        <v/>
      </c>
      <c r="DI154" s="47">
        <f>$KN154*0</f>
        <v/>
      </c>
      <c r="DJ154" s="284">
        <f>$KN154*0</f>
        <v/>
      </c>
      <c r="DK154" s="38" t="n">
        <v>0</v>
      </c>
      <c r="DL154" s="284" t="n"/>
      <c r="DM154" s="36">
        <f>$KN154*10</f>
        <v/>
      </c>
      <c r="DN154" s="47">
        <f>$KN154*0</f>
        <v/>
      </c>
      <c r="DO154" s="284">
        <f>$KN154*0</f>
        <v/>
      </c>
      <c r="DP154" s="38" t="n">
        <v>0</v>
      </c>
      <c r="DQ154" s="284" t="n"/>
      <c r="DR154" s="36">
        <f>$KN154*10</f>
        <v/>
      </c>
      <c r="DS154" s="47">
        <f>$KN154*0</f>
        <v/>
      </c>
      <c r="DT154" s="284">
        <f>$KN154*0</f>
        <v/>
      </c>
      <c r="DU154" s="38" t="n"/>
      <c r="DV154" s="284" t="n"/>
      <c r="DW154" s="338">
        <f t="array" ref="DW154">SUMPRODUCT(--(MOD(COLUMN($BO154:$DV154),5)=MOD(COLUMN($BO154),5)),$BO154:$DV154)</f>
        <v/>
      </c>
      <c r="DX154" s="339">
        <f>DW154*$J154</f>
        <v/>
      </c>
      <c r="DY154" s="344">
        <f t="array" ref="DY154">SUMPRODUCT(--(MOD(COLUMN($BO154:$DV154),5)=MOD(COLUMN($BP154),5)),$BO154:$DV154)</f>
        <v/>
      </c>
      <c r="DZ154" s="345">
        <f>DY154*$J154</f>
        <v/>
      </c>
      <c r="EA154" s="340">
        <f t="array" ref="EA154">SUMPRODUCT(--(MOD(COLUMN($BO154:$DV154),5)=MOD(COLUMN($BQ154),5)),$BO154:$DV154)</f>
        <v/>
      </c>
      <c r="EB154" s="341">
        <f>EA154*$J154</f>
        <v/>
      </c>
      <c r="EC154" s="342">
        <f t="array" ref="EC154">SUMPRODUCT(--(MOD(COLUMN($BO154:$DV154),5)=MOD(COLUMN($BR154),5)),$BO154:$DV154)</f>
        <v/>
      </c>
      <c r="ED154" s="343">
        <f>EC154*$J154</f>
        <v/>
      </c>
      <c r="EE154" s="36">
        <f>$KN154*0</f>
        <v/>
      </c>
      <c r="EF154" s="284" t="n">
        <v>0</v>
      </c>
      <c r="EG154" s="38" t="n"/>
      <c r="EH154" s="284" t="n"/>
      <c r="EI154" s="36">
        <f>$KN154*3</f>
        <v/>
      </c>
      <c r="EJ154" s="284" t="n">
        <v>0</v>
      </c>
      <c r="EK154" s="38" t="n">
        <v>0</v>
      </c>
      <c r="EL154" s="284" t="n"/>
      <c r="EM154" s="36">
        <f>$KN154*0</f>
        <v/>
      </c>
      <c r="EN154" s="284" t="n">
        <v>0</v>
      </c>
      <c r="EO154" s="38" t="n"/>
      <c r="EP154" s="284" t="n"/>
      <c r="EQ154" s="36">
        <f>$KN154*5</f>
        <v/>
      </c>
      <c r="ER154" s="284" t="n">
        <v>0</v>
      </c>
      <c r="ES154" s="38" t="n">
        <v>0</v>
      </c>
      <c r="ET154" s="347" t="n"/>
      <c r="EU154" s="36">
        <f>$KN154*5</f>
        <v/>
      </c>
      <c r="EV154" s="284" t="n">
        <v>0</v>
      </c>
      <c r="EW154" s="38" t="n">
        <v>0</v>
      </c>
      <c r="EX154" s="347" t="n"/>
      <c r="EY154" s="36">
        <f>$KN154*5</f>
        <v/>
      </c>
      <c r="EZ154" s="284" t="n">
        <v>6</v>
      </c>
      <c r="FA154" s="38" t="n">
        <v>0</v>
      </c>
      <c r="FB154" s="347" t="n"/>
      <c r="FC154" s="36">
        <f>$KN154*5</f>
        <v/>
      </c>
      <c r="FD154" s="284" t="n">
        <v>5</v>
      </c>
      <c r="FE154" s="38" t="n">
        <v>0</v>
      </c>
      <c r="FF154" s="284" t="n"/>
      <c r="FG154" s="36">
        <f>$KN154*5</f>
        <v/>
      </c>
      <c r="FH154" s="284" t="n">
        <v>5</v>
      </c>
      <c r="FI154" s="38" t="n">
        <v>0</v>
      </c>
      <c r="FJ154" s="284" t="n"/>
      <c r="FK154" s="36">
        <f>$KN154*5</f>
        <v/>
      </c>
      <c r="FL154" s="284" t="n">
        <v>5</v>
      </c>
      <c r="FM154" s="38" t="n">
        <v>0</v>
      </c>
      <c r="FN154" s="284" t="n"/>
      <c r="FO154" s="36">
        <f>$KN154*5</f>
        <v/>
      </c>
      <c r="FP154" s="284" t="n">
        <v>5</v>
      </c>
      <c r="FQ154" s="38" t="n">
        <v>0</v>
      </c>
      <c r="FR154" s="284" t="n"/>
      <c r="FS154" s="36">
        <f>$KN154*5</f>
        <v/>
      </c>
      <c r="FT154" s="284" t="n">
        <v>5</v>
      </c>
      <c r="FU154" s="38" t="n">
        <v>0</v>
      </c>
      <c r="FV154" s="284" t="n"/>
      <c r="FW154" s="36">
        <f>$KN154*5</f>
        <v/>
      </c>
      <c r="FX154" s="284" t="n">
        <v>5</v>
      </c>
      <c r="FY154" s="38" t="n">
        <v>0</v>
      </c>
      <c r="FZ154" s="284" t="n"/>
      <c r="GA154" s="338">
        <f t="array" ref="GA154">SUMPRODUCT(--(MOD(COLUMN($EE154:$FZ154),4)=MOD(COLUMN($EE154),4)),$EE154:$FZ154)</f>
        <v/>
      </c>
      <c r="GB154" s="339">
        <f>GA154*$J154</f>
        <v/>
      </c>
      <c r="GC154" s="340">
        <f t="array" ref="GC154">SUMPRODUCT(--(MOD(COLUMN($EE154:$FZ154),4)=MOD(COLUMN($EF154),4)),$EE154:$FZ154)</f>
        <v/>
      </c>
      <c r="GD154" s="341">
        <f>GC154*$J154</f>
        <v/>
      </c>
      <c r="GE154" s="342">
        <f t="array" ref="GE154">SUMPRODUCT(--(MOD(COLUMN($EE154:$FZ154),4)=MOD(COLUMN($EG154),4)),$EE154:$FZ154)</f>
        <v/>
      </c>
      <c r="GF154" s="343">
        <f>GE154*$J154</f>
        <v/>
      </c>
      <c r="GG154" s="36">
        <f>$KN154*15</f>
        <v/>
      </c>
      <c r="GH154" s="284" t="n"/>
      <c r="GI154" s="38" t="n">
        <v>0</v>
      </c>
      <c r="GJ154" s="284" t="n"/>
      <c r="GK154" s="36">
        <f>$KN154*15</f>
        <v/>
      </c>
      <c r="GL154" s="284" t="n"/>
      <c r="GM154" s="38" t="n">
        <v>0</v>
      </c>
      <c r="GN154" s="284" t="n"/>
      <c r="GO154" s="36">
        <f>$KN154*15</f>
        <v/>
      </c>
      <c r="GP154" s="284" t="n"/>
      <c r="GQ154" s="38" t="n">
        <v>0</v>
      </c>
      <c r="GR154" s="284" t="n"/>
      <c r="GS154" s="36">
        <f>$KN154*20</f>
        <v/>
      </c>
      <c r="GT154" s="284" t="n"/>
      <c r="GU154" s="38" t="n">
        <v>0</v>
      </c>
      <c r="GV154" s="284" t="n"/>
      <c r="GW154" s="36">
        <f>$KN154*20</f>
        <v/>
      </c>
      <c r="GX154" s="284" t="n"/>
      <c r="GY154" s="38" t="n">
        <v>0</v>
      </c>
      <c r="GZ154" s="284" t="n"/>
      <c r="HA154" s="36">
        <f>$KN154*20</f>
        <v/>
      </c>
      <c r="HB154" s="284" t="n"/>
      <c r="HC154" s="38" t="n">
        <v>0</v>
      </c>
      <c r="HD154" s="284" t="n"/>
      <c r="HE154" s="36">
        <f>$KN154*20</f>
        <v/>
      </c>
      <c r="HF154" s="284" t="n"/>
      <c r="HG154" s="38" t="n">
        <v>0</v>
      </c>
      <c r="HH154" s="284" t="n"/>
      <c r="HI154" s="36">
        <f>$KN154*20</f>
        <v/>
      </c>
      <c r="HJ154" s="284" t="n"/>
      <c r="HK154" s="38" t="n">
        <v>0</v>
      </c>
      <c r="HL154" s="284" t="n"/>
      <c r="HM154" s="36">
        <f>$KN154*20</f>
        <v/>
      </c>
      <c r="HN154" s="284" t="n"/>
      <c r="HO154" s="38" t="n">
        <v>0</v>
      </c>
      <c r="HP154" s="284" t="n"/>
      <c r="HQ154" s="36">
        <f>$KN154*20</f>
        <v/>
      </c>
      <c r="HR154" s="284" t="n"/>
      <c r="HS154" s="38" t="n">
        <v>0</v>
      </c>
      <c r="HT154" s="284" t="n"/>
      <c r="HU154" s="36">
        <f>$KN154*20</f>
        <v/>
      </c>
      <c r="HV154" s="284" t="n"/>
      <c r="HW154" s="38" t="n">
        <v>0</v>
      </c>
      <c r="HX154" s="284" t="n"/>
      <c r="HY154" s="36">
        <f>$KN154*20</f>
        <v/>
      </c>
      <c r="HZ154" s="284" t="n"/>
      <c r="IA154" s="38" t="n">
        <v>0</v>
      </c>
      <c r="IB154" s="284" t="n"/>
      <c r="IC154" s="338">
        <f t="array" ref="IC154">SUMPRODUCT(--(MOD(COLUMN($GG154:$IB154),4)=MOD(COLUMN($GG154),4)),$GG154:$IB154)</f>
        <v/>
      </c>
      <c r="ID154" s="339">
        <f>IC154*$J154</f>
        <v/>
      </c>
      <c r="IE154" s="340">
        <f t="array" ref="IE154">SUMPRODUCT(--(MOD(COLUMN($GG154:$IB154),4)=MOD(COLUMN($GH154),4)),$GG154:$IB154)</f>
        <v/>
      </c>
      <c r="IF154" s="341">
        <f>IE154*$J154</f>
        <v/>
      </c>
      <c r="IG154" s="342">
        <f t="array" ref="IG154">SUMPRODUCT(--(MOD(COLUMN($GG154:$IB154),4)=MOD(COLUMN($GI154),4)),$GG154:$IB154)</f>
        <v/>
      </c>
      <c r="IH154" s="343">
        <f>IG154*$J154</f>
        <v/>
      </c>
      <c r="II154" s="36">
        <f>$KN154*20</f>
        <v/>
      </c>
      <c r="IJ154" s="284" t="n"/>
      <c r="IK154" s="38" t="n">
        <v>0</v>
      </c>
      <c r="IL154" s="284" t="n"/>
      <c r="IM154" s="36">
        <f>$KN154*20</f>
        <v/>
      </c>
      <c r="IN154" s="284" t="n"/>
      <c r="IO154" s="38" t="n">
        <v>0</v>
      </c>
      <c r="IP154" s="284" t="n"/>
      <c r="IQ154" s="36">
        <f>$KN154*20</f>
        <v/>
      </c>
      <c r="IR154" s="284" t="n"/>
      <c r="IS154" s="38" t="n">
        <v>0</v>
      </c>
      <c r="IT154" s="284" t="n"/>
      <c r="IU154" s="36">
        <f>$KN154*25</f>
        <v/>
      </c>
      <c r="IV154" s="284" t="n"/>
      <c r="IW154" s="38" t="n">
        <v>0</v>
      </c>
      <c r="IX154" s="284" t="n"/>
      <c r="IY154" s="36">
        <f>$KN154*25</f>
        <v/>
      </c>
      <c r="IZ154" s="284" t="n"/>
      <c r="JA154" s="38" t="n">
        <v>0</v>
      </c>
      <c r="JB154" s="284" t="n"/>
      <c r="JC154" s="36">
        <f>$KN154*25</f>
        <v/>
      </c>
      <c r="JD154" s="284" t="n"/>
      <c r="JE154" s="38" t="n">
        <v>0</v>
      </c>
      <c r="JF154" s="284" t="n"/>
      <c r="JG154" s="36">
        <f>$KN154*30</f>
        <v/>
      </c>
      <c r="JH154" s="284" t="n"/>
      <c r="JI154" s="38" t="n">
        <v>0</v>
      </c>
      <c r="JJ154" s="284" t="n"/>
      <c r="JK154" s="36">
        <f>$KN154*30</f>
        <v/>
      </c>
      <c r="JL154" s="284" t="n"/>
      <c r="JM154" s="38" t="n">
        <v>0</v>
      </c>
      <c r="JN154" s="284" t="n"/>
      <c r="JO154" s="36">
        <f>$KN154*30</f>
        <v/>
      </c>
      <c r="JP154" s="284" t="n"/>
      <c r="JQ154" s="38" t="n">
        <v>0</v>
      </c>
      <c r="JR154" s="284" t="n"/>
      <c r="JS154" s="36">
        <f>$KN154*30</f>
        <v/>
      </c>
      <c r="JT154" s="284" t="n"/>
      <c r="JU154" s="38" t="n">
        <v>0</v>
      </c>
      <c r="JV154" s="284" t="n"/>
      <c r="JW154" s="36">
        <f>$KN154*30</f>
        <v/>
      </c>
      <c r="JX154" s="284" t="n"/>
      <c r="JY154" s="38" t="n">
        <v>0</v>
      </c>
      <c r="JZ154" s="284" t="n"/>
      <c r="KA154" s="36">
        <f>$KN154*30</f>
        <v/>
      </c>
      <c r="KB154" s="284" t="n"/>
      <c r="KC154" s="38" t="n">
        <v>0</v>
      </c>
      <c r="KD154" s="284" t="n"/>
      <c r="KE154" s="338">
        <f t="array" ref="KE154">SUMPRODUCT(--(MOD(COLUMN($II154:$KD154),4)=MOD(COLUMN($II154),4)),$II154:$KD154)</f>
        <v/>
      </c>
      <c r="KF154" s="339">
        <f>KE154*$J154</f>
        <v/>
      </c>
      <c r="KG154" s="340">
        <f t="array" ref="KG154">SUMPRODUCT(--(MOD(COLUMN($II154:$KD154),4)=MOD(COLUMN($IJ154),4)),$II154:$KD154)</f>
        <v/>
      </c>
      <c r="KH154" s="341">
        <f>KG154*$J154</f>
        <v/>
      </c>
      <c r="KI154" s="342">
        <f t="array" ref="KI154">SUMPRODUCT(--(MOD(COLUMN($II154:$KD154),4)=MOD(COLUMN($IK154),4)),$II154:$KD154)</f>
        <v/>
      </c>
      <c r="KJ154" s="346">
        <f>KI154*$J154</f>
        <v/>
      </c>
      <c r="KK154" s="80" t="n"/>
      <c r="KL154" s="80" t="n"/>
      <c r="KM154" s="80" t="n"/>
      <c r="KN154" s="51" t="n">
        <v>1</v>
      </c>
      <c r="KO154" s="347" t="n"/>
    </row>
    <row r="155" outlineLevel="1" ht="28.8" customFormat="1" customHeight="1" s="68">
      <c r="A155" s="347" t="n"/>
      <c r="B155" s="347" t="n"/>
      <c r="C155" s="347" t="n"/>
      <c r="D155" s="347" t="n"/>
      <c r="E155" s="60" t="n">
        <v>8</v>
      </c>
      <c r="F155" s="60" t="n">
        <v>1</v>
      </c>
      <c r="G155" s="56" t="n">
        <v>4630320200</v>
      </c>
      <c r="H155" s="57" t="inlineStr">
        <is>
          <t>Кран ручного управления</t>
        </is>
      </c>
      <c r="I155" s="348" t="n">
        <v>456.9727891156463</v>
      </c>
      <c r="J155" s="337">
        <f>537.4/1.2*1.0863</f>
        <v/>
      </c>
      <c r="K155" s="348" t="n"/>
      <c r="L155" s="348" t="n"/>
      <c r="M155" s="36" t="n"/>
      <c r="N155" s="284" t="n"/>
      <c r="O155" s="38" t="n"/>
      <c r="P155" s="284" t="n"/>
      <c r="Q155" s="36" t="n"/>
      <c r="R155" s="284" t="n"/>
      <c r="S155" s="38" t="n"/>
      <c r="T155" s="284" t="n"/>
      <c r="U155" s="36" t="n"/>
      <c r="V155" s="284" t="n"/>
      <c r="W155" s="38" t="n"/>
      <c r="X155" s="284" t="n"/>
      <c r="Y155" s="36" t="n"/>
      <c r="Z155" s="284" t="n"/>
      <c r="AA155" s="38" t="n"/>
      <c r="AB155" s="284" t="n"/>
      <c r="AC155" s="36" t="n"/>
      <c r="AD155" s="284" t="n"/>
      <c r="AE155" s="38" t="n"/>
      <c r="AF155" s="284" t="n"/>
      <c r="AG155" s="36" t="n"/>
      <c r="AH155" s="284" t="n"/>
      <c r="AI155" s="38" t="n"/>
      <c r="AJ155" s="284" t="n"/>
      <c r="AK155" s="36" t="n"/>
      <c r="AL155" s="284" t="n"/>
      <c r="AM155" s="38" t="n"/>
      <c r="AN155" s="284" t="n"/>
      <c r="AO155" s="36" t="n"/>
      <c r="AP155" s="284" t="n"/>
      <c r="AQ155" s="38" t="n"/>
      <c r="AR155" s="284" t="n"/>
      <c r="AS155" s="36" t="n"/>
      <c r="AT155" s="284" t="n"/>
      <c r="AU155" s="38" t="n">
        <v>0</v>
      </c>
      <c r="AV155" s="284" t="n"/>
      <c r="AW155" s="36" t="n"/>
      <c r="AX155" s="284" t="n"/>
      <c r="AY155" s="38" t="n">
        <v>0</v>
      </c>
      <c r="AZ155" s="284" t="n"/>
      <c r="BA155" s="36" t="n"/>
      <c r="BB155" s="284" t="n"/>
      <c r="BC155" s="99" t="n">
        <v>0</v>
      </c>
      <c r="BD155" s="284" t="n"/>
      <c r="BE155" s="36" t="n"/>
      <c r="BF155" s="284" t="n"/>
      <c r="BG155" s="54" t="n">
        <v>0</v>
      </c>
      <c r="BH155" s="284" t="n"/>
      <c r="BI155" s="338">
        <f>SUMPRODUCT(--(MOD(COLUMN($M155:$BH155),4)=MOD(COLUMN($M155),4)),$M155:$BH155)</f>
        <v/>
      </c>
      <c r="BJ155" s="339">
        <f>BI155*$I155</f>
        <v/>
      </c>
      <c r="BK155" s="340">
        <f>SUMPRODUCT(--(MOD(COLUMN($M155:$BH155),4)=MOD(COLUMN($M155)+1,4)),$M155:$BH155)</f>
        <v/>
      </c>
      <c r="BL155" s="341">
        <f>BK155*$I155</f>
        <v/>
      </c>
      <c r="BM155" s="342">
        <f>SUMPRODUCT(--(MOD(COLUMN($M155:$BH155),4)=MOD(COLUMN($M155)+2,4)),$M155:$BH155)</f>
        <v/>
      </c>
      <c r="BN155" s="343">
        <f>BM155*$I155</f>
        <v/>
      </c>
      <c r="BO155" s="36" t="n"/>
      <c r="BP155" s="47" t="n"/>
      <c r="BQ155" s="39" t="n"/>
      <c r="BR155" s="38" t="n">
        <v>0</v>
      </c>
      <c r="BS155" s="347" t="n"/>
      <c r="BT155" s="36">
        <f>$KN155*5</f>
        <v/>
      </c>
      <c r="BU155" s="47">
        <f>$KN155*0</f>
        <v/>
      </c>
      <c r="BV155" s="69">
        <f>$KN155*0</f>
        <v/>
      </c>
      <c r="BW155" s="38" t="n">
        <v>0</v>
      </c>
      <c r="BX155" s="347" t="n"/>
      <c r="BY155" s="36">
        <f>$KN155*5</f>
        <v/>
      </c>
      <c r="BZ155" s="47">
        <f>$KN155*0</f>
        <v/>
      </c>
      <c r="CA155" s="284" t="n">
        <v>0</v>
      </c>
      <c r="CB155" s="38" t="n">
        <v>0</v>
      </c>
      <c r="CC155" s="284" t="n"/>
      <c r="CD155" s="36">
        <f>$KN155*0</f>
        <v/>
      </c>
      <c r="CE155" s="47">
        <f>$KN155*0</f>
        <v/>
      </c>
      <c r="CF155" s="284">
        <f>$KN155*0</f>
        <v/>
      </c>
      <c r="CG155" s="38" t="n">
        <v>0</v>
      </c>
      <c r="CH155" s="284" t="n"/>
      <c r="CI155" s="36">
        <f>$KN155*5</f>
        <v/>
      </c>
      <c r="CJ155" s="47">
        <f>$KN155*0</f>
        <v/>
      </c>
      <c r="CK155" s="284" t="n">
        <v>0</v>
      </c>
      <c r="CL155" s="38" t="n">
        <v>0</v>
      </c>
      <c r="CM155" s="284" t="n"/>
      <c r="CN155" s="36">
        <f>$KN155*10</f>
        <v/>
      </c>
      <c r="CO155" s="47">
        <f>$KN155*0</f>
        <v/>
      </c>
      <c r="CP155" s="284">
        <f>$KN155*0</f>
        <v/>
      </c>
      <c r="CQ155" s="38" t="n">
        <v>0</v>
      </c>
      <c r="CR155" s="284" t="n"/>
      <c r="CS155" s="36">
        <f>$KN155*10</f>
        <v/>
      </c>
      <c r="CT155" s="47">
        <f>$KN155*0</f>
        <v/>
      </c>
      <c r="CU155" s="284">
        <f>$KN155*0</f>
        <v/>
      </c>
      <c r="CV155" s="38" t="n">
        <v>0</v>
      </c>
      <c r="CW155" s="284" t="n"/>
      <c r="CX155" s="36">
        <f>$KN155*10</f>
        <v/>
      </c>
      <c r="CY155" s="47">
        <f>$KN155*0</f>
        <v/>
      </c>
      <c r="CZ155" s="284">
        <f>$KN155*0</f>
        <v/>
      </c>
      <c r="DA155" s="38" t="n">
        <v>0</v>
      </c>
      <c r="DB155" s="284" t="n"/>
      <c r="DC155" s="36">
        <f>$KN155*10</f>
        <v/>
      </c>
      <c r="DD155" s="47">
        <f>$KN155*0</f>
        <v/>
      </c>
      <c r="DE155" s="284">
        <f>$KN155*0</f>
        <v/>
      </c>
      <c r="DF155" s="38" t="n">
        <v>0</v>
      </c>
      <c r="DG155" s="284" t="n"/>
      <c r="DH155" s="36">
        <f>$KN155*10</f>
        <v/>
      </c>
      <c r="DI155" s="47">
        <f>$KN155*0</f>
        <v/>
      </c>
      <c r="DJ155" s="284">
        <f>$KN155*0</f>
        <v/>
      </c>
      <c r="DK155" s="38" t="n">
        <v>0</v>
      </c>
      <c r="DL155" s="284" t="n"/>
      <c r="DM155" s="36">
        <f>$KN155*10</f>
        <v/>
      </c>
      <c r="DN155" s="47">
        <f>$KN155*0</f>
        <v/>
      </c>
      <c r="DO155" s="284">
        <f>$KN155*0</f>
        <v/>
      </c>
      <c r="DP155" s="38" t="n">
        <v>0</v>
      </c>
      <c r="DQ155" s="284" t="n"/>
      <c r="DR155" s="36">
        <f>$KN155*10</f>
        <v/>
      </c>
      <c r="DS155" s="47">
        <f>$KN155*0</f>
        <v/>
      </c>
      <c r="DT155" s="284">
        <f>$KN155*0</f>
        <v/>
      </c>
      <c r="DU155" s="38" t="n"/>
      <c r="DV155" s="284" t="n"/>
      <c r="DW155" s="338">
        <f t="array" ref="DW155">SUMPRODUCT(--(MOD(COLUMN($BO155:$DV155),5)=MOD(COLUMN($BO155),5)),$BO155:$DV155)</f>
        <v/>
      </c>
      <c r="DX155" s="339">
        <f>DW155*$J155</f>
        <v/>
      </c>
      <c r="DY155" s="344">
        <f t="array" ref="DY155">SUMPRODUCT(--(MOD(COLUMN($BO155:$DV155),5)=MOD(COLUMN($BP155),5)),$BO155:$DV155)</f>
        <v/>
      </c>
      <c r="DZ155" s="345">
        <f>DY155*$J155</f>
        <v/>
      </c>
      <c r="EA155" s="340">
        <f t="array" ref="EA155">SUMPRODUCT(--(MOD(COLUMN($BO155:$DV155),5)=MOD(COLUMN($BQ155),5)),$BO155:$DV155)</f>
        <v/>
      </c>
      <c r="EB155" s="341">
        <f>EA155*$J155</f>
        <v/>
      </c>
      <c r="EC155" s="342">
        <f t="array" ref="EC155">SUMPRODUCT(--(MOD(COLUMN($BO155:$DV155),5)=MOD(COLUMN($BR155),5)),$BO155:$DV155)</f>
        <v/>
      </c>
      <c r="ED155" s="343">
        <f>EC155*$J155</f>
        <v/>
      </c>
      <c r="EE155" s="36">
        <f>$KN155*0</f>
        <v/>
      </c>
      <c r="EF155" s="284" t="n">
        <v>0</v>
      </c>
      <c r="EG155" s="38" t="n"/>
      <c r="EH155" s="284" t="n"/>
      <c r="EI155" s="36">
        <f>$KN155*3</f>
        <v/>
      </c>
      <c r="EJ155" s="284" t="n">
        <v>0</v>
      </c>
      <c r="EK155" s="38" t="n">
        <v>0</v>
      </c>
      <c r="EL155" s="284" t="n"/>
      <c r="EM155" s="36">
        <f>$KN155*0</f>
        <v/>
      </c>
      <c r="EN155" s="284" t="n">
        <v>0</v>
      </c>
      <c r="EO155" s="38" t="n"/>
      <c r="EP155" s="284" t="n"/>
      <c r="EQ155" s="36">
        <f>$KN155*5</f>
        <v/>
      </c>
      <c r="ER155" s="284" t="n">
        <v>0</v>
      </c>
      <c r="ES155" s="38" t="n">
        <v>0</v>
      </c>
      <c r="ET155" s="347" t="n"/>
      <c r="EU155" s="36">
        <f>$KN155*5</f>
        <v/>
      </c>
      <c r="EV155" s="284" t="n">
        <v>0</v>
      </c>
      <c r="EW155" s="38" t="n">
        <v>0</v>
      </c>
      <c r="EX155" s="347" t="n"/>
      <c r="EY155" s="36">
        <f>$KN155*5</f>
        <v/>
      </c>
      <c r="EZ155" s="284" t="n">
        <v>6</v>
      </c>
      <c r="FA155" s="38" t="n">
        <v>0</v>
      </c>
      <c r="FB155" s="347" t="n"/>
      <c r="FC155" s="36">
        <f>$KN155*5</f>
        <v/>
      </c>
      <c r="FD155" s="284" t="n">
        <v>5</v>
      </c>
      <c r="FE155" s="38" t="n">
        <v>0</v>
      </c>
      <c r="FF155" s="284" t="n"/>
      <c r="FG155" s="36">
        <f>$KN155*5</f>
        <v/>
      </c>
      <c r="FH155" s="284" t="n">
        <v>5</v>
      </c>
      <c r="FI155" s="38" t="n">
        <v>0</v>
      </c>
      <c r="FJ155" s="284" t="n"/>
      <c r="FK155" s="36">
        <f>$KN155*5</f>
        <v/>
      </c>
      <c r="FL155" s="284" t="n">
        <v>5</v>
      </c>
      <c r="FM155" s="38" t="n">
        <v>0</v>
      </c>
      <c r="FN155" s="284" t="n"/>
      <c r="FO155" s="36">
        <f>$KN155*5</f>
        <v/>
      </c>
      <c r="FP155" s="284" t="n">
        <v>5</v>
      </c>
      <c r="FQ155" s="38" t="n">
        <v>0</v>
      </c>
      <c r="FR155" s="284" t="n"/>
      <c r="FS155" s="36">
        <f>$KN155*5</f>
        <v/>
      </c>
      <c r="FT155" s="284" t="n">
        <v>5</v>
      </c>
      <c r="FU155" s="38" t="n">
        <v>0</v>
      </c>
      <c r="FV155" s="284" t="n"/>
      <c r="FW155" s="36">
        <f>$KN155*5</f>
        <v/>
      </c>
      <c r="FX155" s="284" t="n">
        <v>5</v>
      </c>
      <c r="FY155" s="38" t="n">
        <v>0</v>
      </c>
      <c r="FZ155" s="284" t="n"/>
      <c r="GA155" s="338">
        <f t="array" ref="GA155">SUMPRODUCT(--(MOD(COLUMN($EE155:$FZ155),4)=MOD(COLUMN($EE155),4)),$EE155:$FZ155)</f>
        <v/>
      </c>
      <c r="GB155" s="339">
        <f>GA155*$J155</f>
        <v/>
      </c>
      <c r="GC155" s="340">
        <f t="array" ref="GC155">SUMPRODUCT(--(MOD(COLUMN($EE155:$FZ155),4)=MOD(COLUMN($EF155),4)),$EE155:$FZ155)</f>
        <v/>
      </c>
      <c r="GD155" s="341">
        <f>GC155*$J155</f>
        <v/>
      </c>
      <c r="GE155" s="342">
        <f t="array" ref="GE155">SUMPRODUCT(--(MOD(COLUMN($EE155:$FZ155),4)=MOD(COLUMN($EG155),4)),$EE155:$FZ155)</f>
        <v/>
      </c>
      <c r="GF155" s="343">
        <f>GE155*$J155</f>
        <v/>
      </c>
      <c r="GG155" s="36">
        <f>$KN155*15</f>
        <v/>
      </c>
      <c r="GH155" s="284" t="n"/>
      <c r="GI155" s="38" t="n">
        <v>0</v>
      </c>
      <c r="GJ155" s="284" t="n"/>
      <c r="GK155" s="36">
        <f>$KN155*15</f>
        <v/>
      </c>
      <c r="GL155" s="284" t="n"/>
      <c r="GM155" s="38" t="n">
        <v>0</v>
      </c>
      <c r="GN155" s="284" t="n"/>
      <c r="GO155" s="36">
        <f>$KN155*15</f>
        <v/>
      </c>
      <c r="GP155" s="284" t="n"/>
      <c r="GQ155" s="38" t="n">
        <v>0</v>
      </c>
      <c r="GR155" s="284" t="n"/>
      <c r="GS155" s="36">
        <f>$KN155*20</f>
        <v/>
      </c>
      <c r="GT155" s="284" t="n"/>
      <c r="GU155" s="38" t="n">
        <v>0</v>
      </c>
      <c r="GV155" s="284" t="n"/>
      <c r="GW155" s="36">
        <f>$KN155*20</f>
        <v/>
      </c>
      <c r="GX155" s="284" t="n"/>
      <c r="GY155" s="38" t="n">
        <v>0</v>
      </c>
      <c r="GZ155" s="284" t="n"/>
      <c r="HA155" s="36">
        <f>$KN155*20</f>
        <v/>
      </c>
      <c r="HB155" s="284" t="n"/>
      <c r="HC155" s="38" t="n">
        <v>0</v>
      </c>
      <c r="HD155" s="284" t="n"/>
      <c r="HE155" s="36">
        <f>$KN155*20</f>
        <v/>
      </c>
      <c r="HF155" s="284" t="n"/>
      <c r="HG155" s="38" t="n">
        <v>0</v>
      </c>
      <c r="HH155" s="284" t="n"/>
      <c r="HI155" s="36">
        <f>$KN155*20</f>
        <v/>
      </c>
      <c r="HJ155" s="284" t="n"/>
      <c r="HK155" s="38" t="n">
        <v>0</v>
      </c>
      <c r="HL155" s="284" t="n"/>
      <c r="HM155" s="36">
        <f>$KN155*20</f>
        <v/>
      </c>
      <c r="HN155" s="284" t="n"/>
      <c r="HO155" s="38" t="n">
        <v>0</v>
      </c>
      <c r="HP155" s="284" t="n"/>
      <c r="HQ155" s="36">
        <f>$KN155*20</f>
        <v/>
      </c>
      <c r="HR155" s="284" t="n"/>
      <c r="HS155" s="38" t="n">
        <v>0</v>
      </c>
      <c r="HT155" s="284" t="n"/>
      <c r="HU155" s="36">
        <f>$KN155*20</f>
        <v/>
      </c>
      <c r="HV155" s="284" t="n"/>
      <c r="HW155" s="38" t="n">
        <v>0</v>
      </c>
      <c r="HX155" s="284" t="n"/>
      <c r="HY155" s="36">
        <f>$KN155*20</f>
        <v/>
      </c>
      <c r="HZ155" s="284" t="n"/>
      <c r="IA155" s="38" t="n">
        <v>0</v>
      </c>
      <c r="IB155" s="284" t="n"/>
      <c r="IC155" s="338">
        <f t="array" ref="IC155">SUMPRODUCT(--(MOD(COLUMN($GG155:$IB155),4)=MOD(COLUMN($GG155),4)),$GG155:$IB155)</f>
        <v/>
      </c>
      <c r="ID155" s="339">
        <f>IC155*$J155</f>
        <v/>
      </c>
      <c r="IE155" s="340">
        <f t="array" ref="IE155">SUMPRODUCT(--(MOD(COLUMN($GG155:$IB155),4)=MOD(COLUMN($GH155),4)),$GG155:$IB155)</f>
        <v/>
      </c>
      <c r="IF155" s="341">
        <f>IE155*$J155</f>
        <v/>
      </c>
      <c r="IG155" s="342">
        <f t="array" ref="IG155">SUMPRODUCT(--(MOD(COLUMN($GG155:$IB155),4)=MOD(COLUMN($GI155),4)),$GG155:$IB155)</f>
        <v/>
      </c>
      <c r="IH155" s="343">
        <f>IG155*$J155</f>
        <v/>
      </c>
      <c r="II155" s="36">
        <f>$KN155*20</f>
        <v/>
      </c>
      <c r="IJ155" s="284" t="n"/>
      <c r="IK155" s="38" t="n">
        <v>0</v>
      </c>
      <c r="IL155" s="284" t="n"/>
      <c r="IM155" s="36">
        <f>$KN155*20</f>
        <v/>
      </c>
      <c r="IN155" s="284" t="n"/>
      <c r="IO155" s="38" t="n">
        <v>0</v>
      </c>
      <c r="IP155" s="284" t="n"/>
      <c r="IQ155" s="36">
        <f>$KN155*20</f>
        <v/>
      </c>
      <c r="IR155" s="284" t="n"/>
      <c r="IS155" s="38" t="n">
        <v>0</v>
      </c>
      <c r="IT155" s="284" t="n"/>
      <c r="IU155" s="36">
        <f>$KN155*25</f>
        <v/>
      </c>
      <c r="IV155" s="284" t="n"/>
      <c r="IW155" s="38" t="n">
        <v>0</v>
      </c>
      <c r="IX155" s="284" t="n"/>
      <c r="IY155" s="36">
        <f>$KN155*25</f>
        <v/>
      </c>
      <c r="IZ155" s="284" t="n"/>
      <c r="JA155" s="38" t="n">
        <v>0</v>
      </c>
      <c r="JB155" s="284" t="n"/>
      <c r="JC155" s="36">
        <f>$KN155*25</f>
        <v/>
      </c>
      <c r="JD155" s="284" t="n"/>
      <c r="JE155" s="38" t="n">
        <v>0</v>
      </c>
      <c r="JF155" s="284" t="n"/>
      <c r="JG155" s="36">
        <f>$KN155*30</f>
        <v/>
      </c>
      <c r="JH155" s="284" t="n"/>
      <c r="JI155" s="38" t="n">
        <v>0</v>
      </c>
      <c r="JJ155" s="284" t="n"/>
      <c r="JK155" s="36">
        <f>$KN155*30</f>
        <v/>
      </c>
      <c r="JL155" s="284" t="n"/>
      <c r="JM155" s="38" t="n">
        <v>0</v>
      </c>
      <c r="JN155" s="284" t="n"/>
      <c r="JO155" s="36">
        <f>$KN155*30</f>
        <v/>
      </c>
      <c r="JP155" s="284" t="n"/>
      <c r="JQ155" s="38" t="n">
        <v>0</v>
      </c>
      <c r="JR155" s="284" t="n"/>
      <c r="JS155" s="36">
        <f>$KN155*30</f>
        <v/>
      </c>
      <c r="JT155" s="284" t="n"/>
      <c r="JU155" s="38" t="n">
        <v>0</v>
      </c>
      <c r="JV155" s="284" t="n"/>
      <c r="JW155" s="36">
        <f>$KN155*30</f>
        <v/>
      </c>
      <c r="JX155" s="284" t="n"/>
      <c r="JY155" s="38" t="n">
        <v>0</v>
      </c>
      <c r="JZ155" s="284" t="n"/>
      <c r="KA155" s="36">
        <f>$KN155*30</f>
        <v/>
      </c>
      <c r="KB155" s="284" t="n"/>
      <c r="KC155" s="38" t="n">
        <v>0</v>
      </c>
      <c r="KD155" s="284" t="n"/>
      <c r="KE155" s="338">
        <f t="array" ref="KE155">SUMPRODUCT(--(MOD(COLUMN($II155:$KD155),4)=MOD(COLUMN($II155),4)),$II155:$KD155)</f>
        <v/>
      </c>
      <c r="KF155" s="339">
        <f>KE155*$J155</f>
        <v/>
      </c>
      <c r="KG155" s="340">
        <f t="array" ref="KG155">SUMPRODUCT(--(MOD(COLUMN($II155:$KD155),4)=MOD(COLUMN($IJ155),4)),$II155:$KD155)</f>
        <v/>
      </c>
      <c r="KH155" s="341">
        <f>KG155*$J155</f>
        <v/>
      </c>
      <c r="KI155" s="342">
        <f t="array" ref="KI155">SUMPRODUCT(--(MOD(COLUMN($II155:$KD155),4)=MOD(COLUMN($IK155),4)),$II155:$KD155)</f>
        <v/>
      </c>
      <c r="KJ155" s="346">
        <f>KI155*$J155</f>
        <v/>
      </c>
      <c r="KK155" s="80" t="n"/>
      <c r="KL155" s="80" t="n"/>
      <c r="KM155" s="80" t="n"/>
      <c r="KN155" s="51" t="n">
        <v>1</v>
      </c>
      <c r="KO155" s="347" t="n"/>
    </row>
    <row r="156" outlineLevel="1" customFormat="1" s="68">
      <c r="A156" s="347" t="n"/>
      <c r="B156" s="347" t="n"/>
      <c r="C156" s="347" t="n"/>
      <c r="D156" s="347" t="n"/>
      <c r="E156" s="60" t="n">
        <v>9</v>
      </c>
      <c r="F156" s="60" t="n">
        <v>1</v>
      </c>
      <c r="G156" s="56" t="n">
        <v>4334010030</v>
      </c>
      <c r="H156" s="57" t="inlineStr">
        <is>
          <t>Упругий элемент</t>
        </is>
      </c>
      <c r="I156" s="348" t="n">
        <v>35.62925170068027</v>
      </c>
      <c r="J156" s="337">
        <f>41.9/1.2*1.0863</f>
        <v/>
      </c>
      <c r="K156" s="348" t="n"/>
      <c r="L156" s="348" t="n"/>
      <c r="M156" s="36" t="n"/>
      <c r="N156" s="284" t="n"/>
      <c r="O156" s="38" t="n"/>
      <c r="P156" s="284" t="n"/>
      <c r="Q156" s="36" t="n"/>
      <c r="R156" s="284" t="n"/>
      <c r="S156" s="38" t="n"/>
      <c r="T156" s="284" t="n"/>
      <c r="U156" s="36" t="n"/>
      <c r="V156" s="284" t="n"/>
      <c r="W156" s="38" t="n"/>
      <c r="X156" s="284" t="n"/>
      <c r="Y156" s="36" t="n"/>
      <c r="Z156" s="284" t="n"/>
      <c r="AA156" s="38" t="n"/>
      <c r="AB156" s="284" t="n"/>
      <c r="AC156" s="36" t="n"/>
      <c r="AD156" s="284" t="n"/>
      <c r="AE156" s="38" t="n"/>
      <c r="AF156" s="284" t="n"/>
      <c r="AG156" s="36" t="n"/>
      <c r="AH156" s="284" t="n"/>
      <c r="AI156" s="38" t="n"/>
      <c r="AJ156" s="284" t="n"/>
      <c r="AK156" s="36" t="n"/>
      <c r="AL156" s="284" t="n"/>
      <c r="AM156" s="38" t="n"/>
      <c r="AN156" s="284" t="n"/>
      <c r="AO156" s="36" t="n"/>
      <c r="AP156" s="284" t="n"/>
      <c r="AQ156" s="38" t="n"/>
      <c r="AR156" s="284" t="n"/>
      <c r="AS156" s="36" t="n"/>
      <c r="AT156" s="284" t="n"/>
      <c r="AU156" s="38" t="n">
        <v>0</v>
      </c>
      <c r="AV156" s="284" t="n"/>
      <c r="AW156" s="36" t="n"/>
      <c r="AX156" s="284" t="n"/>
      <c r="AY156" s="38" t="n">
        <v>0</v>
      </c>
      <c r="AZ156" s="284" t="n"/>
      <c r="BA156" s="36" t="n"/>
      <c r="BB156" s="284" t="n"/>
      <c r="BC156" s="99" t="n">
        <v>0</v>
      </c>
      <c r="BD156" s="284" t="n"/>
      <c r="BE156" s="36" t="n"/>
      <c r="BF156" s="284" t="n"/>
      <c r="BG156" s="54" t="n">
        <v>0</v>
      </c>
      <c r="BH156" s="284" t="n"/>
      <c r="BI156" s="338">
        <f>SUMPRODUCT(--(MOD(COLUMN($M156:$BH156),4)=MOD(COLUMN($M156),4)),$M156:$BH156)</f>
        <v/>
      </c>
      <c r="BJ156" s="339">
        <f>BI156*$I156</f>
        <v/>
      </c>
      <c r="BK156" s="340">
        <f>SUMPRODUCT(--(MOD(COLUMN($M156:$BH156),4)=MOD(COLUMN($M156)+1,4)),$M156:$BH156)</f>
        <v/>
      </c>
      <c r="BL156" s="341">
        <f>BK156*$I156</f>
        <v/>
      </c>
      <c r="BM156" s="342">
        <f>SUMPRODUCT(--(MOD(COLUMN($M156:$BH156),4)=MOD(COLUMN($M156)+2,4)),$M156:$BH156)</f>
        <v/>
      </c>
      <c r="BN156" s="343">
        <f>BM156*$I156</f>
        <v/>
      </c>
      <c r="BO156" s="36" t="n"/>
      <c r="BP156" s="47" t="n"/>
      <c r="BQ156" s="39" t="n"/>
      <c r="BR156" s="38" t="n">
        <v>0</v>
      </c>
      <c r="BS156" s="347" t="n"/>
      <c r="BT156" s="36">
        <f>$KN156*5</f>
        <v/>
      </c>
      <c r="BU156" s="47">
        <f>$KN156*0</f>
        <v/>
      </c>
      <c r="BV156" s="69">
        <f>$KN156*0</f>
        <v/>
      </c>
      <c r="BW156" s="38" t="n">
        <v>0</v>
      </c>
      <c r="BX156" s="347" t="n"/>
      <c r="BY156" s="36">
        <f>$KN156*5</f>
        <v/>
      </c>
      <c r="BZ156" s="47">
        <f>$KN156*0</f>
        <v/>
      </c>
      <c r="CA156" s="284" t="n">
        <v>0</v>
      </c>
      <c r="CB156" s="38" t="n">
        <v>0</v>
      </c>
      <c r="CC156" s="284" t="n"/>
      <c r="CD156" s="36">
        <f>$KN156*0</f>
        <v/>
      </c>
      <c r="CE156" s="47">
        <f>$KN156*0</f>
        <v/>
      </c>
      <c r="CF156" s="284">
        <f>$KN156*0</f>
        <v/>
      </c>
      <c r="CG156" s="38" t="n">
        <v>0</v>
      </c>
      <c r="CH156" s="284" t="n"/>
      <c r="CI156" s="36">
        <f>$KN156*5</f>
        <v/>
      </c>
      <c r="CJ156" s="47">
        <f>$KN156*0</f>
        <v/>
      </c>
      <c r="CK156" s="284" t="n">
        <v>0</v>
      </c>
      <c r="CL156" s="38" t="n">
        <v>0</v>
      </c>
      <c r="CM156" s="284" t="n"/>
      <c r="CN156" s="36">
        <f>$KN156*10</f>
        <v/>
      </c>
      <c r="CO156" s="47">
        <f>$KN156*0</f>
        <v/>
      </c>
      <c r="CP156" s="284">
        <f>$KN156*0</f>
        <v/>
      </c>
      <c r="CQ156" s="38" t="n">
        <v>0</v>
      </c>
      <c r="CR156" s="284" t="n"/>
      <c r="CS156" s="36">
        <f>$KN156*10</f>
        <v/>
      </c>
      <c r="CT156" s="47">
        <f>$KN156*0</f>
        <v/>
      </c>
      <c r="CU156" s="284">
        <f>$KN156*0</f>
        <v/>
      </c>
      <c r="CV156" s="38" t="n">
        <v>0</v>
      </c>
      <c r="CW156" s="284" t="n"/>
      <c r="CX156" s="36">
        <f>$KN156*10</f>
        <v/>
      </c>
      <c r="CY156" s="47">
        <f>$KN156*0</f>
        <v/>
      </c>
      <c r="CZ156" s="284">
        <f>$KN156*0</f>
        <v/>
      </c>
      <c r="DA156" s="38" t="n">
        <v>0</v>
      </c>
      <c r="DB156" s="284" t="n"/>
      <c r="DC156" s="36">
        <f>$KN156*10</f>
        <v/>
      </c>
      <c r="DD156" s="47">
        <f>$KN156*0</f>
        <v/>
      </c>
      <c r="DE156" s="284">
        <f>$KN156*0</f>
        <v/>
      </c>
      <c r="DF156" s="38" t="n">
        <v>0</v>
      </c>
      <c r="DG156" s="284" t="n"/>
      <c r="DH156" s="36">
        <f>$KN156*10</f>
        <v/>
      </c>
      <c r="DI156" s="47">
        <f>$KN156*0</f>
        <v/>
      </c>
      <c r="DJ156" s="284">
        <f>$KN156*0</f>
        <v/>
      </c>
      <c r="DK156" s="38" t="n">
        <v>0</v>
      </c>
      <c r="DL156" s="284" t="n"/>
      <c r="DM156" s="36">
        <f>$KN156*10</f>
        <v/>
      </c>
      <c r="DN156" s="47">
        <f>$KN156*0</f>
        <v/>
      </c>
      <c r="DO156" s="284">
        <f>$KN156*0</f>
        <v/>
      </c>
      <c r="DP156" s="38" t="n">
        <v>0</v>
      </c>
      <c r="DQ156" s="284" t="n"/>
      <c r="DR156" s="36">
        <f>$KN156*10</f>
        <v/>
      </c>
      <c r="DS156" s="47">
        <f>$KN156*0</f>
        <v/>
      </c>
      <c r="DT156" s="284">
        <f>$KN156*0</f>
        <v/>
      </c>
      <c r="DU156" s="38" t="n"/>
      <c r="DV156" s="284" t="n"/>
      <c r="DW156" s="338">
        <f t="array" ref="DW156">SUMPRODUCT(--(MOD(COLUMN($BO156:$DV156),5)=MOD(COLUMN($BO156),5)),$BO156:$DV156)</f>
        <v/>
      </c>
      <c r="DX156" s="339">
        <f>DW156*$J156</f>
        <v/>
      </c>
      <c r="DY156" s="344">
        <f t="array" ref="DY156">SUMPRODUCT(--(MOD(COLUMN($BO156:$DV156),5)=MOD(COLUMN($BP156),5)),$BO156:$DV156)</f>
        <v/>
      </c>
      <c r="DZ156" s="345">
        <f>DY156*$J156</f>
        <v/>
      </c>
      <c r="EA156" s="340">
        <f t="array" ref="EA156">SUMPRODUCT(--(MOD(COLUMN($BO156:$DV156),5)=MOD(COLUMN($BQ156),5)),$BO156:$DV156)</f>
        <v/>
      </c>
      <c r="EB156" s="341">
        <f>EA156*$J156</f>
        <v/>
      </c>
      <c r="EC156" s="342">
        <f t="array" ref="EC156">SUMPRODUCT(--(MOD(COLUMN($BO156:$DV156),5)=MOD(COLUMN($BR156),5)),$BO156:$DV156)</f>
        <v/>
      </c>
      <c r="ED156" s="343">
        <f>EC156*$J156</f>
        <v/>
      </c>
      <c r="EE156" s="36">
        <f>$KN156*0</f>
        <v/>
      </c>
      <c r="EF156" s="284" t="n">
        <v>0</v>
      </c>
      <c r="EG156" s="38" t="n"/>
      <c r="EH156" s="284" t="n"/>
      <c r="EI156" s="36">
        <f>$KN156*3</f>
        <v/>
      </c>
      <c r="EJ156" s="284" t="n">
        <v>0</v>
      </c>
      <c r="EK156" s="38" t="n">
        <v>0</v>
      </c>
      <c r="EL156" s="284" t="n"/>
      <c r="EM156" s="36">
        <f>$KN156*0</f>
        <v/>
      </c>
      <c r="EN156" s="284" t="n">
        <v>0</v>
      </c>
      <c r="EO156" s="38" t="n"/>
      <c r="EP156" s="284" t="n"/>
      <c r="EQ156" s="36">
        <f>$KN156*5</f>
        <v/>
      </c>
      <c r="ER156" s="284" t="n">
        <v>0</v>
      </c>
      <c r="ES156" s="38" t="n">
        <v>0</v>
      </c>
      <c r="ET156" s="347" t="n"/>
      <c r="EU156" s="36">
        <f>$KN156*5</f>
        <v/>
      </c>
      <c r="EV156" s="284" t="n">
        <v>0</v>
      </c>
      <c r="EW156" s="38" t="n">
        <v>0</v>
      </c>
      <c r="EX156" s="347" t="n"/>
      <c r="EY156" s="36">
        <f>$KN156*5</f>
        <v/>
      </c>
      <c r="EZ156" s="284" t="n">
        <v>6</v>
      </c>
      <c r="FA156" s="38" t="n">
        <v>0</v>
      </c>
      <c r="FB156" s="347" t="n"/>
      <c r="FC156" s="36">
        <f>$KN156*5</f>
        <v/>
      </c>
      <c r="FD156" s="284" t="n">
        <v>5</v>
      </c>
      <c r="FE156" s="38" t="n">
        <v>0</v>
      </c>
      <c r="FF156" s="284" t="n"/>
      <c r="FG156" s="36">
        <f>$KN156*5</f>
        <v/>
      </c>
      <c r="FH156" s="284" t="n">
        <v>5</v>
      </c>
      <c r="FI156" s="38" t="n">
        <v>0</v>
      </c>
      <c r="FJ156" s="284" t="n"/>
      <c r="FK156" s="36">
        <f>$KN156*5</f>
        <v/>
      </c>
      <c r="FL156" s="284" t="n">
        <v>5</v>
      </c>
      <c r="FM156" s="38" t="n">
        <v>0</v>
      </c>
      <c r="FN156" s="284" t="n"/>
      <c r="FO156" s="36">
        <f>$KN156*5</f>
        <v/>
      </c>
      <c r="FP156" s="284" t="n">
        <v>5</v>
      </c>
      <c r="FQ156" s="38" t="n">
        <v>0</v>
      </c>
      <c r="FR156" s="284" t="n"/>
      <c r="FS156" s="36">
        <f>$KN156*5</f>
        <v/>
      </c>
      <c r="FT156" s="284" t="n">
        <v>5</v>
      </c>
      <c r="FU156" s="38" t="n">
        <v>0</v>
      </c>
      <c r="FV156" s="284" t="n"/>
      <c r="FW156" s="36">
        <f>$KN156*5</f>
        <v/>
      </c>
      <c r="FX156" s="284" t="n">
        <v>5</v>
      </c>
      <c r="FY156" s="38" t="n">
        <v>0</v>
      </c>
      <c r="FZ156" s="284" t="n"/>
      <c r="GA156" s="338">
        <f t="array" ref="GA156">SUMPRODUCT(--(MOD(COLUMN($EE156:$FZ156),4)=MOD(COLUMN($EE156),4)),$EE156:$FZ156)</f>
        <v/>
      </c>
      <c r="GB156" s="339">
        <f>GA156*$J156</f>
        <v/>
      </c>
      <c r="GC156" s="340">
        <f t="array" ref="GC156">SUMPRODUCT(--(MOD(COLUMN($EE156:$FZ156),4)=MOD(COLUMN($EF156),4)),$EE156:$FZ156)</f>
        <v/>
      </c>
      <c r="GD156" s="341">
        <f>GC156*$J156</f>
        <v/>
      </c>
      <c r="GE156" s="342">
        <f t="array" ref="GE156">SUMPRODUCT(--(MOD(COLUMN($EE156:$FZ156),4)=MOD(COLUMN($EG156),4)),$EE156:$FZ156)</f>
        <v/>
      </c>
      <c r="GF156" s="343">
        <f>GE156*$J156</f>
        <v/>
      </c>
      <c r="GG156" s="36">
        <f>$KN156*15</f>
        <v/>
      </c>
      <c r="GH156" s="284" t="n"/>
      <c r="GI156" s="38" t="n">
        <v>0</v>
      </c>
      <c r="GJ156" s="284" t="n"/>
      <c r="GK156" s="36">
        <f>$KN156*15</f>
        <v/>
      </c>
      <c r="GL156" s="284" t="n"/>
      <c r="GM156" s="38" t="n">
        <v>0</v>
      </c>
      <c r="GN156" s="284" t="n"/>
      <c r="GO156" s="36">
        <f>$KN156*15</f>
        <v/>
      </c>
      <c r="GP156" s="284" t="n"/>
      <c r="GQ156" s="38" t="n">
        <v>0</v>
      </c>
      <c r="GR156" s="284" t="n"/>
      <c r="GS156" s="36">
        <f>$KN156*20</f>
        <v/>
      </c>
      <c r="GT156" s="284" t="n"/>
      <c r="GU156" s="38" t="n">
        <v>0</v>
      </c>
      <c r="GV156" s="284" t="n"/>
      <c r="GW156" s="36">
        <f>$KN156*20</f>
        <v/>
      </c>
      <c r="GX156" s="284" t="n"/>
      <c r="GY156" s="38" t="n">
        <v>0</v>
      </c>
      <c r="GZ156" s="284" t="n"/>
      <c r="HA156" s="36">
        <f>$KN156*20</f>
        <v/>
      </c>
      <c r="HB156" s="284" t="n"/>
      <c r="HC156" s="38" t="n">
        <v>0</v>
      </c>
      <c r="HD156" s="284" t="n"/>
      <c r="HE156" s="36">
        <f>$KN156*20</f>
        <v/>
      </c>
      <c r="HF156" s="284" t="n"/>
      <c r="HG156" s="38" t="n">
        <v>0</v>
      </c>
      <c r="HH156" s="284" t="n"/>
      <c r="HI156" s="36">
        <f>$KN156*20</f>
        <v/>
      </c>
      <c r="HJ156" s="284" t="n"/>
      <c r="HK156" s="38" t="n">
        <v>0</v>
      </c>
      <c r="HL156" s="284" t="n"/>
      <c r="HM156" s="36">
        <f>$KN156*20</f>
        <v/>
      </c>
      <c r="HN156" s="284" t="n"/>
      <c r="HO156" s="38" t="n">
        <v>0</v>
      </c>
      <c r="HP156" s="284" t="n"/>
      <c r="HQ156" s="36">
        <f>$KN156*20</f>
        <v/>
      </c>
      <c r="HR156" s="284" t="n"/>
      <c r="HS156" s="38" t="n">
        <v>0</v>
      </c>
      <c r="HT156" s="284" t="n"/>
      <c r="HU156" s="36">
        <f>$KN156*20</f>
        <v/>
      </c>
      <c r="HV156" s="284" t="n"/>
      <c r="HW156" s="38" t="n">
        <v>0</v>
      </c>
      <c r="HX156" s="284" t="n"/>
      <c r="HY156" s="36">
        <f>$KN156*20</f>
        <v/>
      </c>
      <c r="HZ156" s="284" t="n"/>
      <c r="IA156" s="38" t="n">
        <v>0</v>
      </c>
      <c r="IB156" s="284" t="n"/>
      <c r="IC156" s="338">
        <f t="array" ref="IC156">SUMPRODUCT(--(MOD(COLUMN($GG156:$IB156),4)=MOD(COLUMN($GG156),4)),$GG156:$IB156)</f>
        <v/>
      </c>
      <c r="ID156" s="339">
        <f>IC156*$J156</f>
        <v/>
      </c>
      <c r="IE156" s="340">
        <f t="array" ref="IE156">SUMPRODUCT(--(MOD(COLUMN($GG156:$IB156),4)=MOD(COLUMN($GH156),4)),$GG156:$IB156)</f>
        <v/>
      </c>
      <c r="IF156" s="341">
        <f>IE156*$J156</f>
        <v/>
      </c>
      <c r="IG156" s="342">
        <f t="array" ref="IG156">SUMPRODUCT(--(MOD(COLUMN($GG156:$IB156),4)=MOD(COLUMN($GI156),4)),$GG156:$IB156)</f>
        <v/>
      </c>
      <c r="IH156" s="343">
        <f>IG156*$J156</f>
        <v/>
      </c>
      <c r="II156" s="36">
        <f>$KN156*20</f>
        <v/>
      </c>
      <c r="IJ156" s="284" t="n"/>
      <c r="IK156" s="38" t="n">
        <v>0</v>
      </c>
      <c r="IL156" s="284" t="n"/>
      <c r="IM156" s="36">
        <f>$KN156*20</f>
        <v/>
      </c>
      <c r="IN156" s="284" t="n"/>
      <c r="IO156" s="38" t="n">
        <v>0</v>
      </c>
      <c r="IP156" s="284" t="n"/>
      <c r="IQ156" s="36">
        <f>$KN156*20</f>
        <v/>
      </c>
      <c r="IR156" s="284" t="n"/>
      <c r="IS156" s="38" t="n">
        <v>0</v>
      </c>
      <c r="IT156" s="284" t="n"/>
      <c r="IU156" s="36">
        <f>$KN156*25</f>
        <v/>
      </c>
      <c r="IV156" s="284" t="n"/>
      <c r="IW156" s="38" t="n">
        <v>0</v>
      </c>
      <c r="IX156" s="284" t="n"/>
      <c r="IY156" s="36">
        <f>$KN156*25</f>
        <v/>
      </c>
      <c r="IZ156" s="284" t="n"/>
      <c r="JA156" s="38" t="n">
        <v>0</v>
      </c>
      <c r="JB156" s="284" t="n"/>
      <c r="JC156" s="36">
        <f>$KN156*25</f>
        <v/>
      </c>
      <c r="JD156" s="284" t="n"/>
      <c r="JE156" s="38" t="n">
        <v>0</v>
      </c>
      <c r="JF156" s="284" t="n"/>
      <c r="JG156" s="36">
        <f>$KN156*30</f>
        <v/>
      </c>
      <c r="JH156" s="284" t="n"/>
      <c r="JI156" s="38" t="n">
        <v>0</v>
      </c>
      <c r="JJ156" s="284" t="n"/>
      <c r="JK156" s="36">
        <f>$KN156*30</f>
        <v/>
      </c>
      <c r="JL156" s="284" t="n"/>
      <c r="JM156" s="38" t="n">
        <v>0</v>
      </c>
      <c r="JN156" s="284" t="n"/>
      <c r="JO156" s="36">
        <f>$KN156*30</f>
        <v/>
      </c>
      <c r="JP156" s="284" t="n"/>
      <c r="JQ156" s="38" t="n">
        <v>0</v>
      </c>
      <c r="JR156" s="284" t="n"/>
      <c r="JS156" s="36">
        <f>$KN156*30</f>
        <v/>
      </c>
      <c r="JT156" s="284" t="n"/>
      <c r="JU156" s="38" t="n">
        <v>0</v>
      </c>
      <c r="JV156" s="284" t="n"/>
      <c r="JW156" s="36">
        <f>$KN156*30</f>
        <v/>
      </c>
      <c r="JX156" s="284" t="n"/>
      <c r="JY156" s="38" t="n">
        <v>0</v>
      </c>
      <c r="JZ156" s="284" t="n"/>
      <c r="KA156" s="36">
        <f>$KN156*30</f>
        <v/>
      </c>
      <c r="KB156" s="284" t="n"/>
      <c r="KC156" s="38" t="n">
        <v>0</v>
      </c>
      <c r="KD156" s="284" t="n"/>
      <c r="KE156" s="338">
        <f t="array" ref="KE156">SUMPRODUCT(--(MOD(COLUMN($II156:$KD156),4)=MOD(COLUMN($II156),4)),$II156:$KD156)</f>
        <v/>
      </c>
      <c r="KF156" s="339">
        <f>KE156*$J156</f>
        <v/>
      </c>
      <c r="KG156" s="340">
        <f t="array" ref="KG156">SUMPRODUCT(--(MOD(COLUMN($II156:$KD156),4)=MOD(COLUMN($IJ156),4)),$II156:$KD156)</f>
        <v/>
      </c>
      <c r="KH156" s="341">
        <f>KG156*$J156</f>
        <v/>
      </c>
      <c r="KI156" s="342">
        <f t="array" ref="KI156">SUMPRODUCT(--(MOD(COLUMN($II156:$KD156),4)=MOD(COLUMN($IK156),4)),$II156:$KD156)</f>
        <v/>
      </c>
      <c r="KJ156" s="346">
        <f>KI156*$J156</f>
        <v/>
      </c>
      <c r="KK156" s="80" t="n"/>
      <c r="KL156" s="80" t="n"/>
      <c r="KM156" s="80" t="n"/>
      <c r="KN156" s="51" t="n">
        <v>1</v>
      </c>
      <c r="KO156" s="333" t="n"/>
    </row>
    <row r="157" outlineLevel="1" ht="43.2" customFormat="1" customHeight="1" s="68">
      <c r="A157" s="347" t="n"/>
      <c r="B157" s="347" t="n"/>
      <c r="C157" s="347" t="n"/>
      <c r="D157" s="347" t="n"/>
      <c r="E157" s="60" t="n">
        <v>10</v>
      </c>
      <c r="F157" s="60" t="n">
        <v>1</v>
      </c>
      <c r="G157" s="56" t="n">
        <v>4630840310</v>
      </c>
      <c r="H157" s="57" t="inlineStr">
        <is>
          <t>Клапан управления подъемом оси (LACV)</t>
        </is>
      </c>
      <c r="I157" s="348" t="n">
        <v>558.7585034013606</v>
      </c>
      <c r="J157" s="337">
        <f>657.1/1.2*1.015</f>
        <v/>
      </c>
      <c r="K157" s="348" t="n"/>
      <c r="L157" s="348" t="n"/>
      <c r="M157" s="36" t="n"/>
      <c r="N157" s="284" t="n"/>
      <c r="O157" s="38" t="n"/>
      <c r="P157" s="284" t="n"/>
      <c r="Q157" s="36" t="n"/>
      <c r="R157" s="284" t="n"/>
      <c r="S157" s="38" t="n"/>
      <c r="T157" s="284" t="n"/>
      <c r="U157" s="36" t="n"/>
      <c r="V157" s="284" t="n"/>
      <c r="W157" s="38" t="n"/>
      <c r="X157" s="284" t="n"/>
      <c r="Y157" s="36" t="n"/>
      <c r="Z157" s="284" t="n"/>
      <c r="AA157" s="38" t="n"/>
      <c r="AB157" s="284" t="n"/>
      <c r="AC157" s="36" t="n"/>
      <c r="AD157" s="284" t="n"/>
      <c r="AE157" s="38" t="n"/>
      <c r="AF157" s="284" t="n"/>
      <c r="AG157" s="36" t="n"/>
      <c r="AH157" s="284" t="n"/>
      <c r="AI157" s="38" t="n"/>
      <c r="AJ157" s="284" t="n"/>
      <c r="AK157" s="36" t="n"/>
      <c r="AL157" s="284" t="n"/>
      <c r="AM157" s="38" t="n"/>
      <c r="AN157" s="284" t="n"/>
      <c r="AO157" s="36" t="n"/>
      <c r="AP157" s="284" t="n"/>
      <c r="AQ157" s="38" t="n"/>
      <c r="AR157" s="284" t="n"/>
      <c r="AS157" s="36" t="n"/>
      <c r="AT157" s="284" t="n"/>
      <c r="AU157" s="38" t="n">
        <v>0</v>
      </c>
      <c r="AV157" s="284" t="n"/>
      <c r="AW157" s="36" t="n"/>
      <c r="AX157" s="284" t="n"/>
      <c r="AY157" s="38" t="n">
        <v>0</v>
      </c>
      <c r="AZ157" s="284" t="n"/>
      <c r="BA157" s="36" t="n"/>
      <c r="BB157" s="284" t="n"/>
      <c r="BC157" s="99" t="n">
        <v>0</v>
      </c>
      <c r="BD157" s="284" t="n"/>
      <c r="BE157" s="36" t="n"/>
      <c r="BF157" s="284" t="n"/>
      <c r="BG157" s="54" t="n">
        <v>0</v>
      </c>
      <c r="BH157" s="284" t="n"/>
      <c r="BI157" s="338">
        <f>SUMPRODUCT(--(MOD(COLUMN($M157:$BH157),4)=MOD(COLUMN($M157),4)),$M157:$BH157)</f>
        <v/>
      </c>
      <c r="BJ157" s="339">
        <f>BI157*$I157</f>
        <v/>
      </c>
      <c r="BK157" s="340">
        <f>SUMPRODUCT(--(MOD(COLUMN($M157:$BH157),4)=MOD(COLUMN($M157)+1,4)),$M157:$BH157)</f>
        <v/>
      </c>
      <c r="BL157" s="341">
        <f>BK157*$I157</f>
        <v/>
      </c>
      <c r="BM157" s="342">
        <f>SUMPRODUCT(--(MOD(COLUMN($M157:$BH157),4)=MOD(COLUMN($M157)+2,4)),$M157:$BH157)</f>
        <v/>
      </c>
      <c r="BN157" s="343">
        <f>BM157*$I157</f>
        <v/>
      </c>
      <c r="BO157" s="36" t="n"/>
      <c r="BP157" s="47" t="n"/>
      <c r="BQ157" s="39" t="n"/>
      <c r="BR157" s="38" t="n">
        <v>0</v>
      </c>
      <c r="BS157" s="347" t="n"/>
      <c r="BT157" s="36">
        <f>$KN157*2</f>
        <v/>
      </c>
      <c r="BU157" s="47">
        <f>$KN157*0</f>
        <v/>
      </c>
      <c r="BV157" s="69">
        <f>$KN157*0</f>
        <v/>
      </c>
      <c r="BW157" s="38" t="n">
        <v>0</v>
      </c>
      <c r="BX157" s="347" t="n"/>
      <c r="BY157" s="36">
        <f>$KN157*5</f>
        <v/>
      </c>
      <c r="BZ157" s="47">
        <f>$KN157*0</f>
        <v/>
      </c>
      <c r="CA157" s="284" t="n">
        <v>0</v>
      </c>
      <c r="CB157" s="38" t="n">
        <v>0</v>
      </c>
      <c r="CC157" s="284" t="n"/>
      <c r="CD157" s="36">
        <f>$KN157*0</f>
        <v/>
      </c>
      <c r="CE157" s="47">
        <f>$KN157*0</f>
        <v/>
      </c>
      <c r="CF157" s="284">
        <f>$KN157*0</f>
        <v/>
      </c>
      <c r="CG157" s="38" t="n">
        <v>0</v>
      </c>
      <c r="CH157" s="284" t="n"/>
      <c r="CI157" s="36">
        <f>$KN157*5</f>
        <v/>
      </c>
      <c r="CJ157" s="47">
        <f>$KN157*0</f>
        <v/>
      </c>
      <c r="CK157" s="284" t="n">
        <v>0</v>
      </c>
      <c r="CL157" s="38" t="n">
        <v>0</v>
      </c>
      <c r="CM157" s="284" t="n"/>
      <c r="CN157" s="36">
        <f>$KN157*10</f>
        <v/>
      </c>
      <c r="CO157" s="47">
        <f>$KN157*0</f>
        <v/>
      </c>
      <c r="CP157" s="284">
        <f>$KN157*0</f>
        <v/>
      </c>
      <c r="CQ157" s="38" t="n">
        <v>0</v>
      </c>
      <c r="CR157" s="284" t="n"/>
      <c r="CS157" s="36">
        <f>$KN157*10</f>
        <v/>
      </c>
      <c r="CT157" s="47">
        <f>$KN157*0</f>
        <v/>
      </c>
      <c r="CU157" s="284">
        <f>$KN157*0</f>
        <v/>
      </c>
      <c r="CV157" s="38" t="n">
        <v>0</v>
      </c>
      <c r="CW157" s="284" t="n"/>
      <c r="CX157" s="36">
        <f>$KN157*10</f>
        <v/>
      </c>
      <c r="CY157" s="47">
        <f>$KN157*0</f>
        <v/>
      </c>
      <c r="CZ157" s="284">
        <f>$KN157*0</f>
        <v/>
      </c>
      <c r="DA157" s="38" t="n">
        <v>0</v>
      </c>
      <c r="DB157" s="284" t="n"/>
      <c r="DC157" s="36">
        <f>$KN157*10</f>
        <v/>
      </c>
      <c r="DD157" s="47">
        <f>$KN157*0</f>
        <v/>
      </c>
      <c r="DE157" s="284">
        <f>$KN157*0</f>
        <v/>
      </c>
      <c r="DF157" s="38" t="n">
        <v>0</v>
      </c>
      <c r="DG157" s="284" t="n"/>
      <c r="DH157" s="36">
        <f>$KN157*10</f>
        <v/>
      </c>
      <c r="DI157" s="47">
        <f>$KN157*0</f>
        <v/>
      </c>
      <c r="DJ157" s="284">
        <f>$KN157*0</f>
        <v/>
      </c>
      <c r="DK157" s="38" t="n">
        <v>0</v>
      </c>
      <c r="DL157" s="284" t="n"/>
      <c r="DM157" s="36">
        <f>$KN157*10</f>
        <v/>
      </c>
      <c r="DN157" s="47">
        <f>$KN157*0</f>
        <v/>
      </c>
      <c r="DO157" s="284">
        <f>$KN157*0</f>
        <v/>
      </c>
      <c r="DP157" s="38" t="n">
        <v>0</v>
      </c>
      <c r="DQ157" s="284" t="n"/>
      <c r="DR157" s="36">
        <f>$KN157*10</f>
        <v/>
      </c>
      <c r="DS157" s="47">
        <f>$KN157*0</f>
        <v/>
      </c>
      <c r="DT157" s="284">
        <f>$KN157*0</f>
        <v/>
      </c>
      <c r="DU157" s="38" t="n"/>
      <c r="DV157" s="284" t="n"/>
      <c r="DW157" s="338">
        <f t="array" ref="DW157">SUMPRODUCT(--(MOD(COLUMN($BO157:$DV157),5)=MOD(COLUMN($BO157),5)),$BO157:$DV157)</f>
        <v/>
      </c>
      <c r="DX157" s="339">
        <f>DW157*$J157</f>
        <v/>
      </c>
      <c r="DY157" s="344">
        <f t="array" ref="DY157">SUMPRODUCT(--(MOD(COLUMN($BO157:$DV157),5)=MOD(COLUMN($BP157),5)),$BO157:$DV157)</f>
        <v/>
      </c>
      <c r="DZ157" s="345">
        <f>DY157*$J157</f>
        <v/>
      </c>
      <c r="EA157" s="340">
        <f t="array" ref="EA157">SUMPRODUCT(--(MOD(COLUMN($BO157:$DV157),5)=MOD(COLUMN($BQ157),5)),$BO157:$DV157)</f>
        <v/>
      </c>
      <c r="EB157" s="341">
        <f>EA157*$J157</f>
        <v/>
      </c>
      <c r="EC157" s="342">
        <f t="array" ref="EC157">SUMPRODUCT(--(MOD(COLUMN($BO157:$DV157),5)=MOD(COLUMN($BR157),5)),$BO157:$DV157)</f>
        <v/>
      </c>
      <c r="ED157" s="343">
        <f>EC157*$J157</f>
        <v/>
      </c>
      <c r="EE157" s="36">
        <f>$KN157*0</f>
        <v/>
      </c>
      <c r="EF157" s="284" t="n">
        <v>0</v>
      </c>
      <c r="EG157" s="38" t="n"/>
      <c r="EH157" s="284" t="n"/>
      <c r="EI157" s="36">
        <f>$KN157*3</f>
        <v/>
      </c>
      <c r="EJ157" s="284" t="n">
        <v>0</v>
      </c>
      <c r="EK157" s="38" t="n">
        <v>0</v>
      </c>
      <c r="EL157" s="284" t="n"/>
      <c r="EM157" s="36">
        <f>$KN157*0</f>
        <v/>
      </c>
      <c r="EN157" s="284" t="n">
        <v>0</v>
      </c>
      <c r="EO157" s="38" t="n"/>
      <c r="EP157" s="284" t="n"/>
      <c r="EQ157" s="36">
        <f>$KN157*5</f>
        <v/>
      </c>
      <c r="ER157" s="284" t="n">
        <v>0</v>
      </c>
      <c r="ES157" s="38" t="n">
        <v>0</v>
      </c>
      <c r="ET157" s="347" t="n"/>
      <c r="EU157" s="36">
        <f>$KN157*5</f>
        <v/>
      </c>
      <c r="EV157" s="284" t="n">
        <v>0</v>
      </c>
      <c r="EW157" s="38" t="n">
        <v>0</v>
      </c>
      <c r="EX157" s="347" t="n"/>
      <c r="EY157" s="36">
        <f>$KN157*5</f>
        <v/>
      </c>
      <c r="EZ157" s="284" t="n">
        <v>8</v>
      </c>
      <c r="FA157" s="38" t="n">
        <v>0</v>
      </c>
      <c r="FB157" s="347" t="n"/>
      <c r="FC157" s="36">
        <f>$KN157*5</f>
        <v/>
      </c>
      <c r="FD157" s="284" t="n">
        <v>5</v>
      </c>
      <c r="FE157" s="38" t="n">
        <v>0</v>
      </c>
      <c r="FF157" s="284" t="n"/>
      <c r="FG157" s="36">
        <f>$KN157*5</f>
        <v/>
      </c>
      <c r="FH157" s="284" t="n">
        <v>5</v>
      </c>
      <c r="FI157" s="38" t="n">
        <v>0</v>
      </c>
      <c r="FJ157" s="284" t="n"/>
      <c r="FK157" s="36">
        <f>$KN157*5</f>
        <v/>
      </c>
      <c r="FL157" s="284" t="n">
        <v>5</v>
      </c>
      <c r="FM157" s="38" t="n">
        <v>0</v>
      </c>
      <c r="FN157" s="284" t="n"/>
      <c r="FO157" s="36">
        <f>$KN157*5</f>
        <v/>
      </c>
      <c r="FP157" s="284" t="n">
        <v>5</v>
      </c>
      <c r="FQ157" s="38" t="n">
        <v>0</v>
      </c>
      <c r="FR157" s="284" t="n"/>
      <c r="FS157" s="36">
        <f>$KN157*5</f>
        <v/>
      </c>
      <c r="FT157" s="284" t="n">
        <v>5</v>
      </c>
      <c r="FU157" s="38" t="n">
        <v>0</v>
      </c>
      <c r="FV157" s="284" t="n"/>
      <c r="FW157" s="36">
        <f>$KN157*5</f>
        <v/>
      </c>
      <c r="FX157" s="284" t="n">
        <v>5</v>
      </c>
      <c r="FY157" s="38" t="n">
        <v>0</v>
      </c>
      <c r="FZ157" s="284" t="n"/>
      <c r="GA157" s="338">
        <f t="array" ref="GA157">SUMPRODUCT(--(MOD(COLUMN($EE157:$FZ157),4)=MOD(COLUMN($EE157),4)),$EE157:$FZ157)</f>
        <v/>
      </c>
      <c r="GB157" s="339">
        <f>GA157*$J157</f>
        <v/>
      </c>
      <c r="GC157" s="340">
        <f t="array" ref="GC157">SUMPRODUCT(--(MOD(COLUMN($EE157:$FZ157),4)=MOD(COLUMN($EF157),4)),$EE157:$FZ157)</f>
        <v/>
      </c>
      <c r="GD157" s="341">
        <f>GC157*$J157</f>
        <v/>
      </c>
      <c r="GE157" s="342">
        <f t="array" ref="GE157">SUMPRODUCT(--(MOD(COLUMN($EE157:$FZ157),4)=MOD(COLUMN($EG157),4)),$EE157:$FZ157)</f>
        <v/>
      </c>
      <c r="GF157" s="343">
        <f>GE157*$J157</f>
        <v/>
      </c>
      <c r="GG157" s="36">
        <f>$KN157*15</f>
        <v/>
      </c>
      <c r="GH157" s="284" t="n"/>
      <c r="GI157" s="38" t="n">
        <v>0</v>
      </c>
      <c r="GJ157" s="284" t="n"/>
      <c r="GK157" s="36">
        <f>$KN157*15</f>
        <v/>
      </c>
      <c r="GL157" s="284" t="n"/>
      <c r="GM157" s="38" t="n">
        <v>0</v>
      </c>
      <c r="GN157" s="284" t="n"/>
      <c r="GO157" s="36">
        <f>$KN157*15</f>
        <v/>
      </c>
      <c r="GP157" s="284" t="n"/>
      <c r="GQ157" s="38" t="n">
        <v>0</v>
      </c>
      <c r="GR157" s="284" t="n"/>
      <c r="GS157" s="36">
        <f>$KN157*20</f>
        <v/>
      </c>
      <c r="GT157" s="284" t="n"/>
      <c r="GU157" s="38" t="n">
        <v>0</v>
      </c>
      <c r="GV157" s="284" t="n"/>
      <c r="GW157" s="36">
        <f>$KN157*20</f>
        <v/>
      </c>
      <c r="GX157" s="284" t="n"/>
      <c r="GY157" s="38" t="n">
        <v>0</v>
      </c>
      <c r="GZ157" s="284" t="n"/>
      <c r="HA157" s="36">
        <f>$KN157*20</f>
        <v/>
      </c>
      <c r="HB157" s="284" t="n"/>
      <c r="HC157" s="38" t="n">
        <v>0</v>
      </c>
      <c r="HD157" s="284" t="n"/>
      <c r="HE157" s="36">
        <f>$KN157*20</f>
        <v/>
      </c>
      <c r="HF157" s="284" t="n"/>
      <c r="HG157" s="38" t="n">
        <v>0</v>
      </c>
      <c r="HH157" s="284" t="n"/>
      <c r="HI157" s="36">
        <f>$KN157*20</f>
        <v/>
      </c>
      <c r="HJ157" s="284" t="n"/>
      <c r="HK157" s="38" t="n">
        <v>0</v>
      </c>
      <c r="HL157" s="284" t="n"/>
      <c r="HM157" s="36">
        <f>$KN157*20</f>
        <v/>
      </c>
      <c r="HN157" s="284" t="n"/>
      <c r="HO157" s="38" t="n">
        <v>0</v>
      </c>
      <c r="HP157" s="284" t="n"/>
      <c r="HQ157" s="36">
        <f>$KN157*20</f>
        <v/>
      </c>
      <c r="HR157" s="284" t="n"/>
      <c r="HS157" s="38" t="n">
        <v>0</v>
      </c>
      <c r="HT157" s="284" t="n"/>
      <c r="HU157" s="36">
        <f>$KN157*20</f>
        <v/>
      </c>
      <c r="HV157" s="284" t="n"/>
      <c r="HW157" s="38" t="n">
        <v>0</v>
      </c>
      <c r="HX157" s="284" t="n"/>
      <c r="HY157" s="36">
        <f>$KN157*20</f>
        <v/>
      </c>
      <c r="HZ157" s="284" t="n"/>
      <c r="IA157" s="38" t="n">
        <v>0</v>
      </c>
      <c r="IB157" s="284" t="n"/>
      <c r="IC157" s="338">
        <f t="array" ref="IC157">SUMPRODUCT(--(MOD(COLUMN($GG157:$IB157),4)=MOD(COLUMN($GG157),4)),$GG157:$IB157)</f>
        <v/>
      </c>
      <c r="ID157" s="339">
        <f>IC157*$J157</f>
        <v/>
      </c>
      <c r="IE157" s="340">
        <f t="array" ref="IE157">SUMPRODUCT(--(MOD(COLUMN($GG157:$IB157),4)=MOD(COLUMN($GH157),4)),$GG157:$IB157)</f>
        <v/>
      </c>
      <c r="IF157" s="341">
        <f>IE157*$J157</f>
        <v/>
      </c>
      <c r="IG157" s="342">
        <f t="array" ref="IG157">SUMPRODUCT(--(MOD(COLUMN($GG157:$IB157),4)=MOD(COLUMN($GI157),4)),$GG157:$IB157)</f>
        <v/>
      </c>
      <c r="IH157" s="343">
        <f>IG157*$J157</f>
        <v/>
      </c>
      <c r="II157" s="36">
        <f>$KN157*20</f>
        <v/>
      </c>
      <c r="IJ157" s="284" t="n"/>
      <c r="IK157" s="38" t="n">
        <v>0</v>
      </c>
      <c r="IL157" s="284" t="n"/>
      <c r="IM157" s="36">
        <f>$KN157*20</f>
        <v/>
      </c>
      <c r="IN157" s="284" t="n"/>
      <c r="IO157" s="38" t="n">
        <v>0</v>
      </c>
      <c r="IP157" s="284" t="n"/>
      <c r="IQ157" s="36">
        <f>$KN157*20</f>
        <v/>
      </c>
      <c r="IR157" s="284" t="n"/>
      <c r="IS157" s="38" t="n">
        <v>0</v>
      </c>
      <c r="IT157" s="284" t="n"/>
      <c r="IU157" s="36">
        <f>$KN157*25</f>
        <v/>
      </c>
      <c r="IV157" s="284" t="n"/>
      <c r="IW157" s="38" t="n">
        <v>0</v>
      </c>
      <c r="IX157" s="284" t="n"/>
      <c r="IY157" s="36">
        <f>$KN157*25</f>
        <v/>
      </c>
      <c r="IZ157" s="284" t="n"/>
      <c r="JA157" s="38" t="n">
        <v>0</v>
      </c>
      <c r="JB157" s="284" t="n"/>
      <c r="JC157" s="36">
        <f>$KN157*25</f>
        <v/>
      </c>
      <c r="JD157" s="284" t="n"/>
      <c r="JE157" s="38" t="n">
        <v>0</v>
      </c>
      <c r="JF157" s="284" t="n"/>
      <c r="JG157" s="36">
        <f>$KN157*30</f>
        <v/>
      </c>
      <c r="JH157" s="284" t="n"/>
      <c r="JI157" s="38" t="n">
        <v>0</v>
      </c>
      <c r="JJ157" s="284" t="n"/>
      <c r="JK157" s="36">
        <f>$KN157*30</f>
        <v/>
      </c>
      <c r="JL157" s="284" t="n"/>
      <c r="JM157" s="38" t="n">
        <v>0</v>
      </c>
      <c r="JN157" s="284" t="n"/>
      <c r="JO157" s="36">
        <f>$KN157*30</f>
        <v/>
      </c>
      <c r="JP157" s="284" t="n"/>
      <c r="JQ157" s="38" t="n">
        <v>0</v>
      </c>
      <c r="JR157" s="284" t="n"/>
      <c r="JS157" s="36">
        <f>$KN157*30</f>
        <v/>
      </c>
      <c r="JT157" s="284" t="n"/>
      <c r="JU157" s="38" t="n">
        <v>0</v>
      </c>
      <c r="JV157" s="284" t="n"/>
      <c r="JW157" s="36">
        <f>$KN157*30</f>
        <v/>
      </c>
      <c r="JX157" s="284" t="n"/>
      <c r="JY157" s="38" t="n">
        <v>0</v>
      </c>
      <c r="JZ157" s="284" t="n"/>
      <c r="KA157" s="36">
        <f>$KN157*30</f>
        <v/>
      </c>
      <c r="KB157" s="284" t="n"/>
      <c r="KC157" s="38" t="n">
        <v>0</v>
      </c>
      <c r="KD157" s="284" t="n"/>
      <c r="KE157" s="338">
        <f t="array" ref="KE157">SUMPRODUCT(--(MOD(COLUMN($II157:$KD157),4)=MOD(COLUMN($II157),4)),$II157:$KD157)</f>
        <v/>
      </c>
      <c r="KF157" s="339">
        <f>KE157*$J157</f>
        <v/>
      </c>
      <c r="KG157" s="340">
        <f t="array" ref="KG157">SUMPRODUCT(--(MOD(COLUMN($II157:$KD157),4)=MOD(COLUMN($IJ157),4)),$II157:$KD157)</f>
        <v/>
      </c>
      <c r="KH157" s="341">
        <f>KG157*$J157</f>
        <v/>
      </c>
      <c r="KI157" s="342">
        <f t="array" ref="KI157">SUMPRODUCT(--(MOD(COLUMN($II157:$KD157),4)=MOD(COLUMN($IK157),4)),$II157:$KD157)</f>
        <v/>
      </c>
      <c r="KJ157" s="346">
        <f>KI157*$J157</f>
        <v/>
      </c>
      <c r="KK157" s="80" t="n"/>
      <c r="KL157" s="80" t="n"/>
      <c r="KM157" s="80" t="n"/>
      <c r="KN157" s="51" t="n">
        <v>1</v>
      </c>
      <c r="KO157" s="285" t="inlineStr">
        <is>
          <t>LACV</t>
        </is>
      </c>
    </row>
    <row r="158" outlineLevel="1" ht="43.2" customFormat="1" customHeight="1" s="68">
      <c r="A158" s="347" t="n"/>
      <c r="B158" s="347" t="n"/>
      <c r="C158" s="347" t="n"/>
      <c r="D158" s="347" t="n"/>
      <c r="E158" s="60" t="n">
        <v>11</v>
      </c>
      <c r="F158" s="60" t="n">
        <v>1</v>
      </c>
      <c r="G158" s="112" t="n">
        <v>4494430400</v>
      </c>
      <c r="H158" s="154" t="inlineStr">
        <is>
          <t>Кабель клапана управления подъемом оси, 4 м</t>
        </is>
      </c>
      <c r="I158" s="348" t="n">
        <v>139.6258503401361</v>
      </c>
      <c r="J158" s="337">
        <f>164.2/1.2*1.015</f>
        <v/>
      </c>
      <c r="K158" s="348" t="n"/>
      <c r="L158" s="348" t="n"/>
      <c r="M158" s="36" t="n"/>
      <c r="N158" s="284" t="n"/>
      <c r="O158" s="38" t="n"/>
      <c r="P158" s="284" t="n"/>
      <c r="Q158" s="36" t="n"/>
      <c r="R158" s="284" t="n"/>
      <c r="S158" s="38" t="n"/>
      <c r="T158" s="284" t="n"/>
      <c r="U158" s="36" t="n"/>
      <c r="V158" s="284" t="n"/>
      <c r="W158" s="38" t="n"/>
      <c r="X158" s="284" t="n"/>
      <c r="Y158" s="36" t="n"/>
      <c r="Z158" s="284" t="n"/>
      <c r="AA158" s="38" t="n"/>
      <c r="AB158" s="284" t="n"/>
      <c r="AC158" s="36" t="n"/>
      <c r="AD158" s="284" t="n"/>
      <c r="AE158" s="38" t="n"/>
      <c r="AF158" s="284" t="n"/>
      <c r="AG158" s="36" t="n"/>
      <c r="AH158" s="284" t="n"/>
      <c r="AI158" s="38" t="n"/>
      <c r="AJ158" s="284" t="n"/>
      <c r="AK158" s="36" t="n"/>
      <c r="AL158" s="284" t="n"/>
      <c r="AM158" s="38" t="n"/>
      <c r="AN158" s="284" t="n"/>
      <c r="AO158" s="36" t="n"/>
      <c r="AP158" s="284" t="n"/>
      <c r="AQ158" s="38" t="n"/>
      <c r="AR158" s="284" t="n"/>
      <c r="AS158" s="36" t="n"/>
      <c r="AT158" s="284" t="n"/>
      <c r="AU158" s="38" t="n">
        <v>0</v>
      </c>
      <c r="AV158" s="284" t="n"/>
      <c r="AW158" s="36" t="n"/>
      <c r="AX158" s="284" t="n"/>
      <c r="AY158" s="38" t="n">
        <v>0</v>
      </c>
      <c r="AZ158" s="284" t="n"/>
      <c r="BA158" s="36" t="n"/>
      <c r="BB158" s="284" t="n"/>
      <c r="BC158" s="99" t="n">
        <v>0</v>
      </c>
      <c r="BD158" s="284" t="n"/>
      <c r="BE158" s="36" t="n"/>
      <c r="BF158" s="284" t="n"/>
      <c r="BG158" s="54" t="n">
        <v>0</v>
      </c>
      <c r="BH158" s="284" t="n"/>
      <c r="BI158" s="338">
        <f>SUMPRODUCT(--(MOD(COLUMN($M158:$BH158),4)=MOD(COLUMN($M158),4)),$M158:$BH158)</f>
        <v/>
      </c>
      <c r="BJ158" s="339">
        <f>BI158*$I158</f>
        <v/>
      </c>
      <c r="BK158" s="340">
        <f>SUMPRODUCT(--(MOD(COLUMN($M158:$BH158),4)=MOD(COLUMN($M158)+1,4)),$M158:$BH158)</f>
        <v/>
      </c>
      <c r="BL158" s="341">
        <f>BK158*$I158</f>
        <v/>
      </c>
      <c r="BM158" s="342">
        <f>SUMPRODUCT(--(MOD(COLUMN($M158:$BH158),4)=MOD(COLUMN($M158)+2,4)),$M158:$BH158)</f>
        <v/>
      </c>
      <c r="BN158" s="343">
        <f>BM158*$I158</f>
        <v/>
      </c>
      <c r="BO158" s="36" t="n"/>
      <c r="BP158" s="47" t="n"/>
      <c r="BQ158" s="39" t="n"/>
      <c r="BR158" s="38" t="n">
        <v>0</v>
      </c>
      <c r="BS158" s="347" t="n"/>
      <c r="BT158" s="36">
        <f>$KN158*2</f>
        <v/>
      </c>
      <c r="BU158" s="47">
        <f>$KN158*0</f>
        <v/>
      </c>
      <c r="BV158" s="69">
        <f>$KN158*0</f>
        <v/>
      </c>
      <c r="BW158" s="38" t="n">
        <v>0</v>
      </c>
      <c r="BX158" s="347" t="n"/>
      <c r="BY158" s="36">
        <f>$KN158*5</f>
        <v/>
      </c>
      <c r="BZ158" s="47">
        <f>$KN158*0</f>
        <v/>
      </c>
      <c r="CA158" s="284" t="n">
        <v>0</v>
      </c>
      <c r="CB158" s="38" t="n">
        <v>0</v>
      </c>
      <c r="CC158" s="284" t="n"/>
      <c r="CD158" s="36">
        <f>$KN158*0</f>
        <v/>
      </c>
      <c r="CE158" s="47">
        <f>$KN158*0</f>
        <v/>
      </c>
      <c r="CF158" s="284">
        <f>$KN158*0</f>
        <v/>
      </c>
      <c r="CG158" s="38" t="n">
        <v>0</v>
      </c>
      <c r="CH158" s="284" t="n"/>
      <c r="CI158" s="36">
        <f>$KN158*5</f>
        <v/>
      </c>
      <c r="CJ158" s="47">
        <f>$KN158*0</f>
        <v/>
      </c>
      <c r="CK158" s="284" t="n">
        <v>0</v>
      </c>
      <c r="CL158" s="38" t="n">
        <v>0</v>
      </c>
      <c r="CM158" s="284" t="n"/>
      <c r="CN158" s="36">
        <f>$KN158*10</f>
        <v/>
      </c>
      <c r="CO158" s="47">
        <f>$KN158*0</f>
        <v/>
      </c>
      <c r="CP158" s="284">
        <f>$KN158*0</f>
        <v/>
      </c>
      <c r="CQ158" s="38" t="n">
        <v>0</v>
      </c>
      <c r="CR158" s="284" t="n"/>
      <c r="CS158" s="36">
        <f>$KN158*10</f>
        <v/>
      </c>
      <c r="CT158" s="47">
        <f>$KN158*0</f>
        <v/>
      </c>
      <c r="CU158" s="284">
        <f>$KN158*0</f>
        <v/>
      </c>
      <c r="CV158" s="38" t="n">
        <v>0</v>
      </c>
      <c r="CW158" s="284" t="n"/>
      <c r="CX158" s="36">
        <f>$KN158*10</f>
        <v/>
      </c>
      <c r="CY158" s="47">
        <f>$KN158*0</f>
        <v/>
      </c>
      <c r="CZ158" s="284">
        <f>$KN158*0</f>
        <v/>
      </c>
      <c r="DA158" s="38" t="n">
        <v>0</v>
      </c>
      <c r="DB158" s="284" t="n"/>
      <c r="DC158" s="36">
        <f>$KN158*10</f>
        <v/>
      </c>
      <c r="DD158" s="47">
        <f>$KN158*0</f>
        <v/>
      </c>
      <c r="DE158" s="284">
        <f>$KN158*0</f>
        <v/>
      </c>
      <c r="DF158" s="38" t="n">
        <v>0</v>
      </c>
      <c r="DG158" s="284" t="n"/>
      <c r="DH158" s="36">
        <f>$KN158*10</f>
        <v/>
      </c>
      <c r="DI158" s="47">
        <f>$KN158*0</f>
        <v/>
      </c>
      <c r="DJ158" s="284">
        <f>$KN158*0</f>
        <v/>
      </c>
      <c r="DK158" s="38" t="n">
        <v>0</v>
      </c>
      <c r="DL158" s="284" t="n"/>
      <c r="DM158" s="36">
        <f>$KN158*10</f>
        <v/>
      </c>
      <c r="DN158" s="47">
        <f>$KN158*0</f>
        <v/>
      </c>
      <c r="DO158" s="284">
        <f>$KN158*0</f>
        <v/>
      </c>
      <c r="DP158" s="38" t="n">
        <v>0</v>
      </c>
      <c r="DQ158" s="284" t="n"/>
      <c r="DR158" s="36">
        <f>$KN158*10</f>
        <v/>
      </c>
      <c r="DS158" s="47">
        <f>$KN158*0</f>
        <v/>
      </c>
      <c r="DT158" s="284">
        <f>$KN158*0</f>
        <v/>
      </c>
      <c r="DU158" s="38" t="n"/>
      <c r="DV158" s="284" t="n"/>
      <c r="DW158" s="338">
        <f t="array" ref="DW158">SUMPRODUCT(--(MOD(COLUMN($BO158:$DV158),5)=MOD(COLUMN($BO158),5)),$BO158:$DV158)</f>
        <v/>
      </c>
      <c r="DX158" s="339">
        <f>DW158*$J158</f>
        <v/>
      </c>
      <c r="DY158" s="344">
        <f t="array" ref="DY158">SUMPRODUCT(--(MOD(COLUMN($BO158:$DV158),5)=MOD(COLUMN($BP158),5)),$BO158:$DV158)</f>
        <v/>
      </c>
      <c r="DZ158" s="345">
        <f>DY158*$J158</f>
        <v/>
      </c>
      <c r="EA158" s="340">
        <f t="array" ref="EA158">SUMPRODUCT(--(MOD(COLUMN($BO158:$DV158),5)=MOD(COLUMN($BQ158),5)),$BO158:$DV158)</f>
        <v/>
      </c>
      <c r="EB158" s="341">
        <f>EA158*$J158</f>
        <v/>
      </c>
      <c r="EC158" s="342">
        <f t="array" ref="EC158">SUMPRODUCT(--(MOD(COLUMN($BO158:$DV158),5)=MOD(COLUMN($BR158),5)),$BO158:$DV158)</f>
        <v/>
      </c>
      <c r="ED158" s="343">
        <f>EC158*$J158</f>
        <v/>
      </c>
      <c r="EE158" s="36">
        <f>$KN158*0</f>
        <v/>
      </c>
      <c r="EF158" s="284" t="n">
        <v>0</v>
      </c>
      <c r="EG158" s="38" t="n"/>
      <c r="EH158" s="284" t="n"/>
      <c r="EI158" s="36">
        <f>$KN158*3</f>
        <v/>
      </c>
      <c r="EJ158" s="284" t="n">
        <v>0</v>
      </c>
      <c r="EK158" s="38" t="n">
        <v>0</v>
      </c>
      <c r="EL158" s="284" t="n"/>
      <c r="EM158" s="36">
        <f>$KN158*0</f>
        <v/>
      </c>
      <c r="EN158" s="284" t="n">
        <v>0</v>
      </c>
      <c r="EO158" s="38" t="n"/>
      <c r="EP158" s="284" t="n"/>
      <c r="EQ158" s="36">
        <f>$KN158*5</f>
        <v/>
      </c>
      <c r="ER158" s="284" t="n">
        <v>0</v>
      </c>
      <c r="ES158" s="38" t="n">
        <v>0</v>
      </c>
      <c r="ET158" s="333" t="n"/>
      <c r="EU158" s="36">
        <f>$KN158*5</f>
        <v/>
      </c>
      <c r="EV158" s="284" t="n">
        <v>0</v>
      </c>
      <c r="EW158" s="38" t="n">
        <v>0</v>
      </c>
      <c r="EX158" s="333" t="n"/>
      <c r="EY158" s="36">
        <f>$KN158*5</f>
        <v/>
      </c>
      <c r="EZ158" s="284" t="n">
        <v>8</v>
      </c>
      <c r="FA158" s="38" t="n">
        <v>0</v>
      </c>
      <c r="FB158" s="347" t="n"/>
      <c r="FC158" s="36">
        <f>$KN158*5</f>
        <v/>
      </c>
      <c r="FD158" s="284" t="n">
        <v>5</v>
      </c>
      <c r="FE158" s="38" t="n">
        <v>0</v>
      </c>
      <c r="FF158" s="284" t="n"/>
      <c r="FG158" s="36">
        <f>$KN158*5</f>
        <v/>
      </c>
      <c r="FH158" s="284" t="n">
        <v>5</v>
      </c>
      <c r="FI158" s="38" t="n">
        <v>0</v>
      </c>
      <c r="FJ158" s="284" t="n"/>
      <c r="FK158" s="36">
        <f>$KN158*5</f>
        <v/>
      </c>
      <c r="FL158" s="284" t="n">
        <v>5</v>
      </c>
      <c r="FM158" s="38" t="n">
        <v>0</v>
      </c>
      <c r="FN158" s="284" t="n"/>
      <c r="FO158" s="36">
        <f>$KN158*5</f>
        <v/>
      </c>
      <c r="FP158" s="284" t="n">
        <v>5</v>
      </c>
      <c r="FQ158" s="38" t="n">
        <v>0</v>
      </c>
      <c r="FR158" s="284" t="n"/>
      <c r="FS158" s="36">
        <f>$KN158*5</f>
        <v/>
      </c>
      <c r="FT158" s="284" t="n">
        <v>5</v>
      </c>
      <c r="FU158" s="38" t="n">
        <v>0</v>
      </c>
      <c r="FV158" s="284" t="n"/>
      <c r="FW158" s="36">
        <f>$KN158*5</f>
        <v/>
      </c>
      <c r="FX158" s="284" t="n">
        <v>5</v>
      </c>
      <c r="FY158" s="38" t="n">
        <v>0</v>
      </c>
      <c r="FZ158" s="284" t="n"/>
      <c r="GA158" s="338">
        <f t="array" ref="GA158">SUMPRODUCT(--(MOD(COLUMN($EE158:$FZ158),4)=MOD(COLUMN($EE158),4)),$EE158:$FZ158)</f>
        <v/>
      </c>
      <c r="GB158" s="339">
        <f>GA158*$J158</f>
        <v/>
      </c>
      <c r="GC158" s="340">
        <f t="array" ref="GC158">SUMPRODUCT(--(MOD(COLUMN($EE158:$FZ158),4)=MOD(COLUMN($EF158),4)),$EE158:$FZ158)</f>
        <v/>
      </c>
      <c r="GD158" s="341">
        <f>GC158*$J158</f>
        <v/>
      </c>
      <c r="GE158" s="342">
        <f t="array" ref="GE158">SUMPRODUCT(--(MOD(COLUMN($EE158:$FZ158),4)=MOD(COLUMN($EG158),4)),$EE158:$FZ158)</f>
        <v/>
      </c>
      <c r="GF158" s="343">
        <f>GE158*$J158</f>
        <v/>
      </c>
      <c r="GG158" s="36">
        <f>$KN158*15</f>
        <v/>
      </c>
      <c r="GH158" s="284" t="n"/>
      <c r="GI158" s="38" t="n">
        <v>0</v>
      </c>
      <c r="GJ158" s="284" t="n"/>
      <c r="GK158" s="36">
        <f>$KN158*15</f>
        <v/>
      </c>
      <c r="GL158" s="284" t="n"/>
      <c r="GM158" s="38" t="n">
        <v>0</v>
      </c>
      <c r="GN158" s="284" t="n"/>
      <c r="GO158" s="36">
        <f>$KN158*15</f>
        <v/>
      </c>
      <c r="GP158" s="284" t="n"/>
      <c r="GQ158" s="38" t="n">
        <v>0</v>
      </c>
      <c r="GR158" s="284" t="n"/>
      <c r="GS158" s="36">
        <f>$KN158*20</f>
        <v/>
      </c>
      <c r="GT158" s="284" t="n"/>
      <c r="GU158" s="38" t="n">
        <v>0</v>
      </c>
      <c r="GV158" s="284" t="n"/>
      <c r="GW158" s="36">
        <f>$KN158*20</f>
        <v/>
      </c>
      <c r="GX158" s="284" t="n"/>
      <c r="GY158" s="38" t="n">
        <v>0</v>
      </c>
      <c r="GZ158" s="284" t="n"/>
      <c r="HA158" s="36">
        <f>$KN158*20</f>
        <v/>
      </c>
      <c r="HB158" s="284" t="n"/>
      <c r="HC158" s="38" t="n">
        <v>0</v>
      </c>
      <c r="HD158" s="284" t="n"/>
      <c r="HE158" s="36">
        <f>$KN158*20</f>
        <v/>
      </c>
      <c r="HF158" s="284" t="n"/>
      <c r="HG158" s="38" t="n">
        <v>0</v>
      </c>
      <c r="HH158" s="284" t="n"/>
      <c r="HI158" s="36">
        <f>$KN158*20</f>
        <v/>
      </c>
      <c r="HJ158" s="284" t="n"/>
      <c r="HK158" s="38" t="n">
        <v>0</v>
      </c>
      <c r="HL158" s="284" t="n"/>
      <c r="HM158" s="36">
        <f>$KN158*20</f>
        <v/>
      </c>
      <c r="HN158" s="284" t="n"/>
      <c r="HO158" s="38" t="n">
        <v>0</v>
      </c>
      <c r="HP158" s="284" t="n"/>
      <c r="HQ158" s="36">
        <f>$KN158*20</f>
        <v/>
      </c>
      <c r="HR158" s="284" t="n"/>
      <c r="HS158" s="38" t="n">
        <v>0</v>
      </c>
      <c r="HT158" s="284" t="n"/>
      <c r="HU158" s="36">
        <f>$KN158*20</f>
        <v/>
      </c>
      <c r="HV158" s="284" t="n"/>
      <c r="HW158" s="38" t="n">
        <v>0</v>
      </c>
      <c r="HX158" s="284" t="n"/>
      <c r="HY158" s="36">
        <f>$KN158*20</f>
        <v/>
      </c>
      <c r="HZ158" s="284" t="n"/>
      <c r="IA158" s="38" t="n">
        <v>0</v>
      </c>
      <c r="IB158" s="284" t="n"/>
      <c r="IC158" s="338">
        <f t="array" ref="IC158">SUMPRODUCT(--(MOD(COLUMN($GG158:$IB158),4)=MOD(COLUMN($GG158),4)),$GG158:$IB158)</f>
        <v/>
      </c>
      <c r="ID158" s="339">
        <f>IC158*$J158</f>
        <v/>
      </c>
      <c r="IE158" s="340">
        <f t="array" ref="IE158">SUMPRODUCT(--(MOD(COLUMN($GG158:$IB158),4)=MOD(COLUMN($GH158),4)),$GG158:$IB158)</f>
        <v/>
      </c>
      <c r="IF158" s="341">
        <f>IE158*$J158</f>
        <v/>
      </c>
      <c r="IG158" s="342">
        <f t="array" ref="IG158">SUMPRODUCT(--(MOD(COLUMN($GG158:$IB158),4)=MOD(COLUMN($GI158),4)),$GG158:$IB158)</f>
        <v/>
      </c>
      <c r="IH158" s="343">
        <f>IG158*$J158</f>
        <v/>
      </c>
      <c r="II158" s="36">
        <f>$KN158*20</f>
        <v/>
      </c>
      <c r="IJ158" s="284" t="n"/>
      <c r="IK158" s="38" t="n">
        <v>0</v>
      </c>
      <c r="IL158" s="284" t="n"/>
      <c r="IM158" s="36">
        <f>$KN158*20</f>
        <v/>
      </c>
      <c r="IN158" s="284" t="n"/>
      <c r="IO158" s="38" t="n">
        <v>0</v>
      </c>
      <c r="IP158" s="284" t="n"/>
      <c r="IQ158" s="36">
        <f>$KN158*20</f>
        <v/>
      </c>
      <c r="IR158" s="284" t="n"/>
      <c r="IS158" s="38" t="n">
        <v>0</v>
      </c>
      <c r="IT158" s="284" t="n"/>
      <c r="IU158" s="36">
        <f>$KN158*25</f>
        <v/>
      </c>
      <c r="IV158" s="284" t="n"/>
      <c r="IW158" s="38" t="n">
        <v>0</v>
      </c>
      <c r="IX158" s="284" t="n"/>
      <c r="IY158" s="36">
        <f>$KN158*25</f>
        <v/>
      </c>
      <c r="IZ158" s="284" t="n"/>
      <c r="JA158" s="38" t="n">
        <v>0</v>
      </c>
      <c r="JB158" s="284" t="n"/>
      <c r="JC158" s="36">
        <f>$KN158*25</f>
        <v/>
      </c>
      <c r="JD158" s="284" t="n"/>
      <c r="JE158" s="38" t="n">
        <v>0</v>
      </c>
      <c r="JF158" s="284" t="n"/>
      <c r="JG158" s="36">
        <f>$KN158*30</f>
        <v/>
      </c>
      <c r="JH158" s="284" t="n"/>
      <c r="JI158" s="38" t="n">
        <v>0</v>
      </c>
      <c r="JJ158" s="284" t="n"/>
      <c r="JK158" s="36">
        <f>$KN158*30</f>
        <v/>
      </c>
      <c r="JL158" s="284" t="n"/>
      <c r="JM158" s="38" t="n">
        <v>0</v>
      </c>
      <c r="JN158" s="284" t="n"/>
      <c r="JO158" s="36">
        <f>$KN158*30</f>
        <v/>
      </c>
      <c r="JP158" s="284" t="n"/>
      <c r="JQ158" s="38" t="n">
        <v>0</v>
      </c>
      <c r="JR158" s="284" t="n"/>
      <c r="JS158" s="36">
        <f>$KN158*30</f>
        <v/>
      </c>
      <c r="JT158" s="284" t="n"/>
      <c r="JU158" s="38" t="n">
        <v>0</v>
      </c>
      <c r="JV158" s="284" t="n"/>
      <c r="JW158" s="36">
        <f>$KN158*30</f>
        <v/>
      </c>
      <c r="JX158" s="284" t="n"/>
      <c r="JY158" s="38" t="n">
        <v>0</v>
      </c>
      <c r="JZ158" s="284" t="n"/>
      <c r="KA158" s="36">
        <f>$KN158*30</f>
        <v/>
      </c>
      <c r="KB158" s="284" t="n"/>
      <c r="KC158" s="38" t="n">
        <v>0</v>
      </c>
      <c r="KD158" s="284" t="n"/>
      <c r="KE158" s="338">
        <f t="array" ref="KE158">SUMPRODUCT(--(MOD(COLUMN($II158:$KD158),4)=MOD(COLUMN($II158),4)),$II158:$KD158)</f>
        <v/>
      </c>
      <c r="KF158" s="339">
        <f>KE158*$J158</f>
        <v/>
      </c>
      <c r="KG158" s="340">
        <f t="array" ref="KG158">SUMPRODUCT(--(MOD(COLUMN($II158:$KD158),4)=MOD(COLUMN($IJ158),4)),$II158:$KD158)</f>
        <v/>
      </c>
      <c r="KH158" s="341">
        <f>KG158*$J158</f>
        <v/>
      </c>
      <c r="KI158" s="342">
        <f t="array" ref="KI158">SUMPRODUCT(--(MOD(COLUMN($II158:$KD158),4)=MOD(COLUMN($IK158),4)),$II158:$KD158)</f>
        <v/>
      </c>
      <c r="KJ158" s="346">
        <f>KI158*$J158</f>
        <v/>
      </c>
      <c r="KK158" s="80" t="n"/>
      <c r="KL158" s="80" t="n"/>
      <c r="KM158" s="80" t="n"/>
      <c r="KN158" s="51" t="n">
        <v>1</v>
      </c>
      <c r="KO158" s="333" t="n"/>
    </row>
    <row r="159" outlineLevel="1" ht="28.8" customFormat="1" customHeight="1" s="68">
      <c r="A159" s="347" t="n"/>
      <c r="B159" s="347" t="n"/>
      <c r="C159" s="347" t="n"/>
      <c r="D159" s="347" t="n"/>
      <c r="E159" s="60" t="n">
        <v>12</v>
      </c>
      <c r="F159" s="60" t="n">
        <v>1</v>
      </c>
      <c r="G159" s="62" t="n">
        <v>4802070600</v>
      </c>
      <c r="H159" s="63" t="inlineStr">
        <is>
          <t>Ускорительный клапан TEBS</t>
        </is>
      </c>
      <c r="I159" s="360">
        <f>3465/1.2</f>
        <v/>
      </c>
      <c r="J159" s="360">
        <f>3465/1.2</f>
        <v/>
      </c>
      <c r="K159" s="348" t="n"/>
      <c r="L159" s="348" t="n"/>
      <c r="M159" s="36" t="n"/>
      <c r="N159" s="284" t="n"/>
      <c r="O159" s="38" t="n"/>
      <c r="P159" s="284" t="n"/>
      <c r="Q159" s="36" t="n"/>
      <c r="R159" s="284" t="n"/>
      <c r="S159" s="38" t="n"/>
      <c r="T159" s="284" t="n"/>
      <c r="U159" s="36" t="n"/>
      <c r="V159" s="284" t="n"/>
      <c r="W159" s="38" t="n"/>
      <c r="X159" s="284" t="n"/>
      <c r="Y159" s="36" t="n"/>
      <c r="Z159" s="284" t="n"/>
      <c r="AA159" s="38" t="n"/>
      <c r="AB159" s="284" t="n"/>
      <c r="AC159" s="36" t="n"/>
      <c r="AD159" s="284" t="n"/>
      <c r="AE159" s="38" t="n"/>
      <c r="AF159" s="284" t="n"/>
      <c r="AG159" s="36" t="n"/>
      <c r="AH159" s="284" t="n"/>
      <c r="AI159" s="38" t="n"/>
      <c r="AJ159" s="284" t="n"/>
      <c r="AK159" s="36" t="n"/>
      <c r="AL159" s="284" t="n"/>
      <c r="AM159" s="38" t="n"/>
      <c r="AN159" s="284" t="n"/>
      <c r="AO159" s="36" t="n"/>
      <c r="AP159" s="284" t="n"/>
      <c r="AQ159" s="38" t="n"/>
      <c r="AR159" s="284" t="n"/>
      <c r="AS159" s="36" t="n"/>
      <c r="AT159" s="284" t="n"/>
      <c r="AU159" s="38" t="n"/>
      <c r="AV159" s="284" t="n"/>
      <c r="AW159" s="36" t="n"/>
      <c r="AX159" s="284" t="n"/>
      <c r="AY159" s="38" t="n"/>
      <c r="AZ159" s="284" t="n"/>
      <c r="BA159" s="36" t="n"/>
      <c r="BB159" s="284" t="n"/>
      <c r="BC159" s="99" t="n"/>
      <c r="BD159" s="284" t="n"/>
      <c r="BE159" s="36" t="n"/>
      <c r="BF159" s="284" t="n"/>
      <c r="BG159" s="54" t="n"/>
      <c r="BH159" s="284" t="n"/>
      <c r="BI159" s="338" t="n"/>
      <c r="BJ159" s="339" t="n"/>
      <c r="BK159" s="340" t="n"/>
      <c r="BL159" s="341" t="n"/>
      <c r="BM159" s="342" t="n"/>
      <c r="BN159" s="343" t="n"/>
      <c r="BO159" s="36" t="n"/>
      <c r="BP159" s="47" t="n"/>
      <c r="BQ159" s="39" t="n"/>
      <c r="BR159" s="38" t="n"/>
      <c r="BS159" s="347" t="n"/>
      <c r="BT159" s="36" t="n"/>
      <c r="BU159" s="47">
        <f>$KN159*0</f>
        <v/>
      </c>
      <c r="BV159" s="69">
        <f>$KN159*0</f>
        <v/>
      </c>
      <c r="BW159" s="38" t="n"/>
      <c r="BX159" s="347" t="n"/>
      <c r="BY159" s="36">
        <f>$KN159*5</f>
        <v/>
      </c>
      <c r="BZ159" s="47">
        <f>$KN159*0</f>
        <v/>
      </c>
      <c r="CA159" s="284" t="n"/>
      <c r="CB159" s="38" t="n"/>
      <c r="CC159" s="284" t="n"/>
      <c r="CD159" s="36">
        <f>$KN159*0</f>
        <v/>
      </c>
      <c r="CE159" s="47">
        <f>$KN159*0</f>
        <v/>
      </c>
      <c r="CF159" s="284">
        <f>$KN159*0</f>
        <v/>
      </c>
      <c r="CG159" s="38" t="n"/>
      <c r="CH159" s="284" t="n"/>
      <c r="CI159" s="36">
        <f>$KN159*5</f>
        <v/>
      </c>
      <c r="CJ159" s="47">
        <f>$KN159*0</f>
        <v/>
      </c>
      <c r="CK159" s="284" t="n"/>
      <c r="CL159" s="38" t="n"/>
      <c r="CM159" s="284" t="n"/>
      <c r="CN159" s="36">
        <f>$KN159*10</f>
        <v/>
      </c>
      <c r="CO159" s="47">
        <f>$KN159*0</f>
        <v/>
      </c>
      <c r="CP159" s="284">
        <f>$KN159*0</f>
        <v/>
      </c>
      <c r="CQ159" s="38" t="n"/>
      <c r="CR159" s="284" t="n"/>
      <c r="CS159" s="36">
        <f>$KN159*10</f>
        <v/>
      </c>
      <c r="CT159" s="47">
        <f>$KN159*0</f>
        <v/>
      </c>
      <c r="CU159" s="284">
        <f>$KN159*0</f>
        <v/>
      </c>
      <c r="CV159" s="38" t="n"/>
      <c r="CW159" s="284" t="n"/>
      <c r="CX159" s="36">
        <f>$KN159*10</f>
        <v/>
      </c>
      <c r="CY159" s="47">
        <f>$KN159*0</f>
        <v/>
      </c>
      <c r="CZ159" s="284">
        <f>$KN159*0</f>
        <v/>
      </c>
      <c r="DA159" s="38" t="n"/>
      <c r="DB159" s="284" t="n"/>
      <c r="DC159" s="36">
        <f>$KN159*10</f>
        <v/>
      </c>
      <c r="DD159" s="47">
        <f>$KN159*0</f>
        <v/>
      </c>
      <c r="DE159" s="284">
        <f>$KN159*0</f>
        <v/>
      </c>
      <c r="DF159" s="38" t="n"/>
      <c r="DG159" s="284" t="n"/>
      <c r="DH159" s="36">
        <f>$KN159*10</f>
        <v/>
      </c>
      <c r="DI159" s="47">
        <f>$KN159*0</f>
        <v/>
      </c>
      <c r="DJ159" s="284">
        <f>$KN159*0</f>
        <v/>
      </c>
      <c r="DK159" s="38" t="n"/>
      <c r="DL159" s="284" t="n"/>
      <c r="DM159" s="36">
        <f>$KN159*10</f>
        <v/>
      </c>
      <c r="DN159" s="47">
        <f>$KN159*0</f>
        <v/>
      </c>
      <c r="DO159" s="284">
        <f>$KN159*0</f>
        <v/>
      </c>
      <c r="DP159" s="38" t="n">
        <v>0</v>
      </c>
      <c r="DQ159" s="284" t="n"/>
      <c r="DR159" s="36" t="n"/>
      <c r="DS159" s="47">
        <f>$KN159*0</f>
        <v/>
      </c>
      <c r="DT159" s="284">
        <f>$KN159*0</f>
        <v/>
      </c>
      <c r="DU159" s="38" t="n"/>
      <c r="DV159" s="284" t="n"/>
      <c r="DW159" s="338">
        <f t="array" ref="DW159">SUMPRODUCT(--(MOD(COLUMN($BO159:$DV159),5)=MOD(COLUMN($BO159),5)),$BO159:$DV159)</f>
        <v/>
      </c>
      <c r="DX159" s="339">
        <f>DW159*$J159</f>
        <v/>
      </c>
      <c r="DY159" s="344">
        <f t="array" ref="DY159">SUMPRODUCT(--(MOD(COLUMN($BO159:$DV159),5)=MOD(COLUMN($BP159),5)),$BO159:$DV159)</f>
        <v/>
      </c>
      <c r="DZ159" s="345">
        <f>DY159*$J159</f>
        <v/>
      </c>
      <c r="EA159" s="340">
        <f t="array" ref="EA159">SUMPRODUCT(--(MOD(COLUMN($BO159:$DV159),5)=MOD(COLUMN($BQ159),5)),$BO159:$DV159)</f>
        <v/>
      </c>
      <c r="EB159" s="341">
        <f>EA159*$J159</f>
        <v/>
      </c>
      <c r="EC159" s="342">
        <f t="array" ref="EC159">SUMPRODUCT(--(MOD(COLUMN($BO159:$DV159),5)=MOD(COLUMN($BR159),5)),$BO159:$DV159)</f>
        <v/>
      </c>
      <c r="ED159" s="343">
        <f>EC159*$J159</f>
        <v/>
      </c>
      <c r="EE159" s="36">
        <f>$KN159*0</f>
        <v/>
      </c>
      <c r="EF159" s="284" t="n">
        <v>0</v>
      </c>
      <c r="EG159" s="38" t="n"/>
      <c r="EH159" s="284" t="n"/>
      <c r="EI159" s="36">
        <f>$KN159*1</f>
        <v/>
      </c>
      <c r="EJ159" s="284" t="n">
        <v>0</v>
      </c>
      <c r="EK159" s="38" t="n">
        <v>0</v>
      </c>
      <c r="EL159" s="284" t="n"/>
      <c r="EM159" s="36">
        <f>$KN159*0</f>
        <v/>
      </c>
      <c r="EN159" s="284" t="n">
        <v>0</v>
      </c>
      <c r="EO159" s="38" t="n"/>
      <c r="EP159" s="284" t="n"/>
      <c r="EQ159" s="36">
        <f>$KN159*1</f>
        <v/>
      </c>
      <c r="ER159" s="284" t="n">
        <v>0</v>
      </c>
      <c r="ES159" s="38" t="n">
        <v>0</v>
      </c>
      <c r="ET159" s="284" t="n"/>
      <c r="EU159" s="36">
        <f>$KN159*1</f>
        <v/>
      </c>
      <c r="EV159" s="284" t="n">
        <v>0</v>
      </c>
      <c r="EW159" s="38" t="n">
        <v>0</v>
      </c>
      <c r="EX159" s="284" t="n"/>
      <c r="EY159" s="36">
        <f>$KN159*1</f>
        <v/>
      </c>
      <c r="EZ159" s="284" t="n">
        <v>4</v>
      </c>
      <c r="FA159" s="38" t="n">
        <v>0</v>
      </c>
      <c r="FB159" s="347" t="n"/>
      <c r="FC159" s="36">
        <f>$KN159*1</f>
        <v/>
      </c>
      <c r="FD159" s="284" t="n">
        <v>1</v>
      </c>
      <c r="FE159" s="38" t="n">
        <v>0</v>
      </c>
      <c r="FF159" s="284" t="n"/>
      <c r="FG159" s="36">
        <f>$KN159*1</f>
        <v/>
      </c>
      <c r="FH159" s="284" t="n">
        <v>1</v>
      </c>
      <c r="FI159" s="38" t="n">
        <v>0</v>
      </c>
      <c r="FJ159" s="284" t="n"/>
      <c r="FK159" s="36">
        <f>$KN159*1</f>
        <v/>
      </c>
      <c r="FL159" s="284" t="n">
        <v>1</v>
      </c>
      <c r="FM159" s="38" t="n">
        <v>0</v>
      </c>
      <c r="FN159" s="284" t="n"/>
      <c r="FO159" s="36">
        <f>$KN159*1</f>
        <v/>
      </c>
      <c r="FP159" s="284" t="n">
        <v>1</v>
      </c>
      <c r="FQ159" s="38" t="n">
        <v>0</v>
      </c>
      <c r="FR159" s="284" t="n"/>
      <c r="FS159" s="36">
        <f>$KN159*1</f>
        <v/>
      </c>
      <c r="FT159" s="284" t="n">
        <v>1</v>
      </c>
      <c r="FU159" s="38" t="n">
        <v>0</v>
      </c>
      <c r="FV159" s="284" t="n"/>
      <c r="FW159" s="36">
        <f>$KN159*1</f>
        <v/>
      </c>
      <c r="FX159" s="284" t="n">
        <v>1</v>
      </c>
      <c r="FY159" s="38" t="n">
        <v>0</v>
      </c>
      <c r="FZ159" s="284" t="n"/>
      <c r="GA159" s="338">
        <f t="array" ref="GA159">SUMPRODUCT(--(MOD(COLUMN($EE159:$FZ159),4)=MOD(COLUMN($EE159),4)),$EE159:$FZ159)</f>
        <v/>
      </c>
      <c r="GB159" s="339">
        <f>GA159*$J159</f>
        <v/>
      </c>
      <c r="GC159" s="340">
        <f t="array" ref="GC159">SUMPRODUCT(--(MOD(COLUMN($EE159:$FZ159),4)=MOD(COLUMN($EF159),4)),$EE159:$FZ159)</f>
        <v/>
      </c>
      <c r="GD159" s="341">
        <f>GC159*$J159</f>
        <v/>
      </c>
      <c r="GE159" s="342">
        <f t="array" ref="GE159">SUMPRODUCT(--(MOD(COLUMN($EE159:$FZ159),4)=MOD(COLUMN($EG159),4)),$EE159:$FZ159)</f>
        <v/>
      </c>
      <c r="GF159" s="343">
        <f>GE159*$J159</f>
        <v/>
      </c>
      <c r="GG159" s="36">
        <f>$KN159*5</f>
        <v/>
      </c>
      <c r="GH159" s="284" t="n"/>
      <c r="GI159" s="38" t="n">
        <v>0</v>
      </c>
      <c r="GJ159" s="284" t="n"/>
      <c r="GK159" s="36">
        <f>$KN159*5</f>
        <v/>
      </c>
      <c r="GL159" s="284" t="n"/>
      <c r="GM159" s="38" t="n">
        <v>0</v>
      </c>
      <c r="GN159" s="284" t="n"/>
      <c r="GO159" s="36">
        <f>$KN159*5</f>
        <v/>
      </c>
      <c r="GP159" s="284" t="n"/>
      <c r="GQ159" s="38" t="n">
        <v>0</v>
      </c>
      <c r="GR159" s="284" t="n"/>
      <c r="GS159" s="36">
        <f>$KN159*5</f>
        <v/>
      </c>
      <c r="GT159" s="284" t="n"/>
      <c r="GU159" s="38" t="n">
        <v>0</v>
      </c>
      <c r="GV159" s="284" t="n"/>
      <c r="GW159" s="36">
        <f>$KN159*5</f>
        <v/>
      </c>
      <c r="GX159" s="284" t="n"/>
      <c r="GY159" s="38" t="n">
        <v>0</v>
      </c>
      <c r="GZ159" s="284" t="n"/>
      <c r="HA159" s="36">
        <f>$KN159*5</f>
        <v/>
      </c>
      <c r="HB159" s="284" t="n"/>
      <c r="HC159" s="38" t="n">
        <v>0</v>
      </c>
      <c r="HD159" s="284" t="n"/>
      <c r="HE159" s="36">
        <f>$KN159*5</f>
        <v/>
      </c>
      <c r="HF159" s="284" t="n"/>
      <c r="HG159" s="38" t="n">
        <v>0</v>
      </c>
      <c r="HH159" s="284" t="n"/>
      <c r="HI159" s="36">
        <f>$KN159*5</f>
        <v/>
      </c>
      <c r="HJ159" s="284" t="n"/>
      <c r="HK159" s="38" t="n">
        <v>0</v>
      </c>
      <c r="HL159" s="284" t="n"/>
      <c r="HM159" s="36">
        <f>$KN159*5</f>
        <v/>
      </c>
      <c r="HN159" s="284" t="n"/>
      <c r="HO159" s="38" t="n">
        <v>0</v>
      </c>
      <c r="HP159" s="284" t="n"/>
      <c r="HQ159" s="36">
        <f>$KN159*5</f>
        <v/>
      </c>
      <c r="HR159" s="284" t="n"/>
      <c r="HS159" s="38" t="n">
        <v>0</v>
      </c>
      <c r="HT159" s="284" t="n"/>
      <c r="HU159" s="36">
        <f>$KN159*5</f>
        <v/>
      </c>
      <c r="HV159" s="284" t="n"/>
      <c r="HW159" s="38" t="n">
        <v>0</v>
      </c>
      <c r="HX159" s="284" t="n"/>
      <c r="HY159" s="36">
        <f>$KN159*5</f>
        <v/>
      </c>
      <c r="HZ159" s="284" t="n"/>
      <c r="IA159" s="38" t="n">
        <v>0</v>
      </c>
      <c r="IB159" s="284" t="n"/>
      <c r="IC159" s="338">
        <f t="array" ref="IC159">SUMPRODUCT(--(MOD(COLUMN($GG159:$IB159),4)=MOD(COLUMN($GG159),4)),$GG159:$IB159)</f>
        <v/>
      </c>
      <c r="ID159" s="339">
        <f>IC159*$J159</f>
        <v/>
      </c>
      <c r="IE159" s="340">
        <f t="array" ref="IE159">SUMPRODUCT(--(MOD(COLUMN($GG159:$IB159),4)=MOD(COLUMN($GH159),4)),$GG159:$IB159)</f>
        <v/>
      </c>
      <c r="IF159" s="341">
        <f>IE159*$J159</f>
        <v/>
      </c>
      <c r="IG159" s="342">
        <f t="array" ref="IG159">SUMPRODUCT(--(MOD(COLUMN($GG159:$IB159),4)=MOD(COLUMN($GI159),4)),$GG159:$IB159)</f>
        <v/>
      </c>
      <c r="IH159" s="343">
        <f>IG159*$J159</f>
        <v/>
      </c>
      <c r="II159" s="36">
        <f>$KN159*5</f>
        <v/>
      </c>
      <c r="IJ159" s="284" t="n"/>
      <c r="IK159" s="38" t="n">
        <v>0</v>
      </c>
      <c r="IL159" s="284" t="n"/>
      <c r="IM159" s="36">
        <f>$KN159*5</f>
        <v/>
      </c>
      <c r="IN159" s="284" t="n"/>
      <c r="IO159" s="38" t="n">
        <v>0</v>
      </c>
      <c r="IP159" s="284" t="n"/>
      <c r="IQ159" s="36">
        <f>$KN159*5</f>
        <v/>
      </c>
      <c r="IR159" s="284" t="n"/>
      <c r="IS159" s="38" t="n">
        <v>0</v>
      </c>
      <c r="IT159" s="284" t="n"/>
      <c r="IU159" s="36">
        <f>$KN159*10</f>
        <v/>
      </c>
      <c r="IV159" s="284" t="n"/>
      <c r="IW159" s="38" t="n">
        <v>0</v>
      </c>
      <c r="IX159" s="284" t="n"/>
      <c r="IY159" s="36">
        <f>$KN159*10</f>
        <v/>
      </c>
      <c r="IZ159" s="284" t="n"/>
      <c r="JA159" s="38" t="n">
        <v>0</v>
      </c>
      <c r="JB159" s="284" t="n"/>
      <c r="JC159" s="36">
        <f>$KN159*10</f>
        <v/>
      </c>
      <c r="JD159" s="284" t="n"/>
      <c r="JE159" s="38" t="n">
        <v>0</v>
      </c>
      <c r="JF159" s="284" t="n"/>
      <c r="JG159" s="36">
        <f>$KN159*10</f>
        <v/>
      </c>
      <c r="JH159" s="284" t="n"/>
      <c r="JI159" s="38" t="n">
        <v>0</v>
      </c>
      <c r="JJ159" s="284" t="n"/>
      <c r="JK159" s="36">
        <f>$KN159*10</f>
        <v/>
      </c>
      <c r="JL159" s="284" t="n"/>
      <c r="JM159" s="38" t="n">
        <v>0</v>
      </c>
      <c r="JN159" s="284" t="n"/>
      <c r="JO159" s="36">
        <f>$KN159*10</f>
        <v/>
      </c>
      <c r="JP159" s="284" t="n"/>
      <c r="JQ159" s="38" t="n">
        <v>0</v>
      </c>
      <c r="JR159" s="284" t="n"/>
      <c r="JS159" s="36">
        <f>$KN159*10</f>
        <v/>
      </c>
      <c r="JT159" s="284" t="n"/>
      <c r="JU159" s="38" t="n">
        <v>0</v>
      </c>
      <c r="JV159" s="284" t="n"/>
      <c r="JW159" s="36">
        <f>$KN159*10</f>
        <v/>
      </c>
      <c r="JX159" s="284" t="n"/>
      <c r="JY159" s="38" t="n">
        <v>0</v>
      </c>
      <c r="JZ159" s="284" t="n"/>
      <c r="KA159" s="36">
        <f>$KN159*10</f>
        <v/>
      </c>
      <c r="KB159" s="284" t="n"/>
      <c r="KC159" s="38" t="n">
        <v>0</v>
      </c>
      <c r="KD159" s="284" t="n"/>
      <c r="KE159" s="338">
        <f t="array" ref="KE159">SUMPRODUCT(--(MOD(COLUMN($II159:$KD159),4)=MOD(COLUMN($II159),4)),$II159:$KD159)</f>
        <v/>
      </c>
      <c r="KF159" s="339">
        <f>KE159*$J159</f>
        <v/>
      </c>
      <c r="KG159" s="340">
        <f t="array" ref="KG159">SUMPRODUCT(--(MOD(COLUMN($II159:$KD159),4)=MOD(COLUMN($IJ159),4)),$II159:$KD159)</f>
        <v/>
      </c>
      <c r="KH159" s="341">
        <f>KG159*$J159</f>
        <v/>
      </c>
      <c r="KI159" s="342">
        <f t="array" ref="KI159">SUMPRODUCT(--(MOD(COLUMN($II159:$KD159),4)=MOD(COLUMN($IK159),4)),$II159:$KD159)</f>
        <v/>
      </c>
      <c r="KJ159" s="346">
        <f>KI159*$J159</f>
        <v/>
      </c>
      <c r="KK159" s="80" t="n"/>
      <c r="KL159" s="80" t="n"/>
      <c r="KM159" s="80" t="n"/>
      <c r="KN159" s="51" t="n">
        <v>1</v>
      </c>
      <c r="KO159" s="285" t="inlineStr">
        <is>
          <t>3 модулятор</t>
        </is>
      </c>
    </row>
    <row r="160" outlineLevel="1" ht="43.2" customFormat="1" customHeight="1" s="68">
      <c r="A160" s="347" t="n"/>
      <c r="B160" s="347" t="n"/>
      <c r="C160" s="347" t="n"/>
      <c r="D160" s="347" t="n"/>
      <c r="E160" s="60" t="n">
        <v>13</v>
      </c>
      <c r="F160" s="60" t="n">
        <v>1</v>
      </c>
      <c r="G160" s="62" t="n">
        <v>4494300600</v>
      </c>
      <c r="H160" s="63" t="inlineStr">
        <is>
          <t>Кабель ускорительного клапана TEBS, 6 м</t>
        </is>
      </c>
      <c r="I160" s="360">
        <f>1726.2/1.2</f>
        <v/>
      </c>
      <c r="J160" s="360">
        <f>1726.2/1.2</f>
        <v/>
      </c>
      <c r="K160" s="348" t="n"/>
      <c r="L160" s="348" t="n"/>
      <c r="M160" s="36" t="n"/>
      <c r="N160" s="284" t="n"/>
      <c r="O160" s="38" t="n"/>
      <c r="P160" s="284" t="n"/>
      <c r="Q160" s="36" t="n"/>
      <c r="R160" s="284" t="n"/>
      <c r="S160" s="38" t="n"/>
      <c r="T160" s="284" t="n"/>
      <c r="U160" s="36" t="n"/>
      <c r="V160" s="284" t="n"/>
      <c r="W160" s="38" t="n"/>
      <c r="X160" s="284" t="n"/>
      <c r="Y160" s="36" t="n"/>
      <c r="Z160" s="284" t="n"/>
      <c r="AA160" s="38" t="n"/>
      <c r="AB160" s="284" t="n"/>
      <c r="AC160" s="36" t="n"/>
      <c r="AD160" s="284" t="n"/>
      <c r="AE160" s="38" t="n"/>
      <c r="AF160" s="284" t="n"/>
      <c r="AG160" s="36" t="n"/>
      <c r="AH160" s="284" t="n"/>
      <c r="AI160" s="38" t="n"/>
      <c r="AJ160" s="284" t="n"/>
      <c r="AK160" s="36" t="n"/>
      <c r="AL160" s="284" t="n"/>
      <c r="AM160" s="38" t="n"/>
      <c r="AN160" s="284" t="n"/>
      <c r="AO160" s="36" t="n"/>
      <c r="AP160" s="284" t="n"/>
      <c r="AQ160" s="38" t="n"/>
      <c r="AR160" s="284" t="n"/>
      <c r="AS160" s="36" t="n"/>
      <c r="AT160" s="284" t="n"/>
      <c r="AU160" s="38" t="n"/>
      <c r="AV160" s="284" t="n"/>
      <c r="AW160" s="36" t="n"/>
      <c r="AX160" s="284" t="n"/>
      <c r="AY160" s="38" t="n"/>
      <c r="AZ160" s="284" t="n"/>
      <c r="BA160" s="36" t="n"/>
      <c r="BB160" s="284" t="n"/>
      <c r="BC160" s="99" t="n"/>
      <c r="BD160" s="284" t="n"/>
      <c r="BE160" s="36" t="n"/>
      <c r="BF160" s="284" t="n"/>
      <c r="BG160" s="54" t="n"/>
      <c r="BH160" s="284" t="n"/>
      <c r="BI160" s="338" t="n"/>
      <c r="BJ160" s="339" t="n"/>
      <c r="BK160" s="340" t="n"/>
      <c r="BL160" s="341" t="n"/>
      <c r="BM160" s="342" t="n"/>
      <c r="BN160" s="343" t="n"/>
      <c r="BO160" s="36" t="n"/>
      <c r="BP160" s="47" t="n"/>
      <c r="BQ160" s="39" t="n"/>
      <c r="BR160" s="38" t="n"/>
      <c r="BS160" s="347" t="n"/>
      <c r="BT160" s="36" t="n"/>
      <c r="BU160" s="47">
        <f>$KN160*0</f>
        <v/>
      </c>
      <c r="BV160" s="69">
        <f>$KN160*0</f>
        <v/>
      </c>
      <c r="BW160" s="38" t="n"/>
      <c r="BX160" s="347" t="n"/>
      <c r="BY160" s="36">
        <f>$KN160*5</f>
        <v/>
      </c>
      <c r="BZ160" s="47">
        <f>$KN160*0</f>
        <v/>
      </c>
      <c r="CA160" s="284" t="n"/>
      <c r="CB160" s="38" t="n"/>
      <c r="CC160" s="284" t="n"/>
      <c r="CD160" s="36">
        <f>$KN160*0</f>
        <v/>
      </c>
      <c r="CE160" s="47">
        <f>$KN160*0</f>
        <v/>
      </c>
      <c r="CF160" s="284">
        <f>$KN160*0</f>
        <v/>
      </c>
      <c r="CG160" s="38" t="n"/>
      <c r="CH160" s="284" t="n"/>
      <c r="CI160" s="36">
        <f>$KN160*5</f>
        <v/>
      </c>
      <c r="CJ160" s="47">
        <f>$KN160*0</f>
        <v/>
      </c>
      <c r="CK160" s="284" t="n"/>
      <c r="CL160" s="38" t="n"/>
      <c r="CM160" s="284" t="n"/>
      <c r="CN160" s="36">
        <f>$KN160*10</f>
        <v/>
      </c>
      <c r="CO160" s="47">
        <f>$KN160*0</f>
        <v/>
      </c>
      <c r="CP160" s="284">
        <f>$KN160*0</f>
        <v/>
      </c>
      <c r="CQ160" s="38" t="n"/>
      <c r="CR160" s="284" t="n"/>
      <c r="CS160" s="36">
        <f>$KN160*10</f>
        <v/>
      </c>
      <c r="CT160" s="47">
        <f>$KN160*0</f>
        <v/>
      </c>
      <c r="CU160" s="284">
        <f>$KN160*0</f>
        <v/>
      </c>
      <c r="CV160" s="38" t="n"/>
      <c r="CW160" s="284" t="n"/>
      <c r="CX160" s="36">
        <f>$KN160*10</f>
        <v/>
      </c>
      <c r="CY160" s="47">
        <f>$KN160*0</f>
        <v/>
      </c>
      <c r="CZ160" s="284">
        <f>$KN160*0</f>
        <v/>
      </c>
      <c r="DA160" s="38" t="n"/>
      <c r="DB160" s="284" t="n"/>
      <c r="DC160" s="36">
        <f>$KN160*10</f>
        <v/>
      </c>
      <c r="DD160" s="47">
        <f>$KN160*0</f>
        <v/>
      </c>
      <c r="DE160" s="284">
        <f>$KN160*0</f>
        <v/>
      </c>
      <c r="DF160" s="38" t="n"/>
      <c r="DG160" s="284" t="n"/>
      <c r="DH160" s="36">
        <f>$KN160*10</f>
        <v/>
      </c>
      <c r="DI160" s="47">
        <f>$KN160*0</f>
        <v/>
      </c>
      <c r="DJ160" s="284">
        <f>$KN160*0</f>
        <v/>
      </c>
      <c r="DK160" s="38" t="n"/>
      <c r="DL160" s="284" t="n"/>
      <c r="DM160" s="36">
        <f>$KN160*10</f>
        <v/>
      </c>
      <c r="DN160" s="47">
        <f>$KN160*0</f>
        <v/>
      </c>
      <c r="DO160" s="284">
        <f>$KN160*0</f>
        <v/>
      </c>
      <c r="DP160" s="38" t="n">
        <v>0</v>
      </c>
      <c r="DQ160" s="284" t="n"/>
      <c r="DR160" s="36" t="n"/>
      <c r="DS160" s="47">
        <f>$KN160*0</f>
        <v/>
      </c>
      <c r="DT160" s="284">
        <f>$KN160*0</f>
        <v/>
      </c>
      <c r="DU160" s="38" t="n"/>
      <c r="DV160" s="284" t="n"/>
      <c r="DW160" s="338">
        <f t="array" ref="DW160">SUMPRODUCT(--(MOD(COLUMN($BO160:$DV160),5)=MOD(COLUMN($BO160),5)),$BO160:$DV160)</f>
        <v/>
      </c>
      <c r="DX160" s="339">
        <f>DW160*$J160</f>
        <v/>
      </c>
      <c r="DY160" s="344">
        <f t="array" ref="DY160">SUMPRODUCT(--(MOD(COLUMN($BO160:$DV160),5)=MOD(COLUMN($BP160),5)),$BO160:$DV160)</f>
        <v/>
      </c>
      <c r="DZ160" s="345">
        <f>DY160*$J160</f>
        <v/>
      </c>
      <c r="EA160" s="340">
        <f t="array" ref="EA160">SUMPRODUCT(--(MOD(COLUMN($BO160:$DV160),5)=MOD(COLUMN($BQ160),5)),$BO160:$DV160)</f>
        <v/>
      </c>
      <c r="EB160" s="341">
        <f>EA160*$J160</f>
        <v/>
      </c>
      <c r="EC160" s="342">
        <f t="array" ref="EC160">SUMPRODUCT(--(MOD(COLUMN($BO160:$DV160),5)=MOD(COLUMN($BR160),5)),$BO160:$DV160)</f>
        <v/>
      </c>
      <c r="ED160" s="343">
        <f>EC160*$J160</f>
        <v/>
      </c>
      <c r="EE160" s="36">
        <f>$KN160*0</f>
        <v/>
      </c>
      <c r="EF160" s="284" t="n">
        <v>0</v>
      </c>
      <c r="EG160" s="38" t="n"/>
      <c r="EH160" s="284" t="n"/>
      <c r="EI160" s="36">
        <f>$KN160*1</f>
        <v/>
      </c>
      <c r="EJ160" s="284" t="n">
        <v>0</v>
      </c>
      <c r="EK160" s="38" t="n">
        <v>0</v>
      </c>
      <c r="EL160" s="284" t="n"/>
      <c r="EM160" s="36">
        <f>$KN160*0</f>
        <v/>
      </c>
      <c r="EN160" s="284" t="n">
        <v>0</v>
      </c>
      <c r="EO160" s="38" t="n"/>
      <c r="EP160" s="284" t="n"/>
      <c r="EQ160" s="36">
        <f>$KN160*1</f>
        <v/>
      </c>
      <c r="ER160" s="284" t="n">
        <v>0</v>
      </c>
      <c r="ES160" s="38" t="n">
        <v>0</v>
      </c>
      <c r="ET160" s="284" t="n"/>
      <c r="EU160" s="36">
        <f>$KN160*1</f>
        <v/>
      </c>
      <c r="EV160" s="284" t="n">
        <v>0</v>
      </c>
      <c r="EW160" s="38" t="n">
        <v>0</v>
      </c>
      <c r="EX160" s="284" t="n"/>
      <c r="EY160" s="36">
        <f>$KN160*1</f>
        <v/>
      </c>
      <c r="EZ160" s="284" t="n">
        <v>4</v>
      </c>
      <c r="FA160" s="38" t="n">
        <v>0</v>
      </c>
      <c r="FB160" s="333" t="n"/>
      <c r="FC160" s="36">
        <f>$KN160*1</f>
        <v/>
      </c>
      <c r="FD160" s="284" t="n">
        <v>1</v>
      </c>
      <c r="FE160" s="38" t="n">
        <v>0</v>
      </c>
      <c r="FF160" s="284" t="n"/>
      <c r="FG160" s="36">
        <f>$KN160*1</f>
        <v/>
      </c>
      <c r="FH160" s="284" t="n">
        <v>1</v>
      </c>
      <c r="FI160" s="38" t="n">
        <v>0</v>
      </c>
      <c r="FJ160" s="284" t="n"/>
      <c r="FK160" s="36">
        <f>$KN160*1</f>
        <v/>
      </c>
      <c r="FL160" s="284" t="n">
        <v>1</v>
      </c>
      <c r="FM160" s="38" t="n">
        <v>0</v>
      </c>
      <c r="FN160" s="284" t="n"/>
      <c r="FO160" s="36">
        <f>$KN160*1</f>
        <v/>
      </c>
      <c r="FP160" s="284" t="n">
        <v>1</v>
      </c>
      <c r="FQ160" s="38" t="n">
        <v>0</v>
      </c>
      <c r="FR160" s="284" t="n"/>
      <c r="FS160" s="36">
        <f>$KN160*1</f>
        <v/>
      </c>
      <c r="FT160" s="284" t="n">
        <v>1</v>
      </c>
      <c r="FU160" s="38" t="n">
        <v>0</v>
      </c>
      <c r="FV160" s="284" t="n"/>
      <c r="FW160" s="36">
        <f>$KN160*1</f>
        <v/>
      </c>
      <c r="FX160" s="284" t="n">
        <v>1</v>
      </c>
      <c r="FY160" s="38" t="n">
        <v>0</v>
      </c>
      <c r="FZ160" s="284" t="n"/>
      <c r="GA160" s="338">
        <f t="array" ref="GA160">SUMPRODUCT(--(MOD(COLUMN($EE160:$FZ160),4)=MOD(COLUMN($EE160),4)),$EE160:$FZ160)</f>
        <v/>
      </c>
      <c r="GB160" s="339">
        <f>GA160*$J160</f>
        <v/>
      </c>
      <c r="GC160" s="340">
        <f t="array" ref="GC160">SUMPRODUCT(--(MOD(COLUMN($EE160:$FZ160),4)=MOD(COLUMN($EF160),4)),$EE160:$FZ160)</f>
        <v/>
      </c>
      <c r="GD160" s="341">
        <f>GC160*$J160</f>
        <v/>
      </c>
      <c r="GE160" s="342">
        <f t="array" ref="GE160">SUMPRODUCT(--(MOD(COLUMN($EE160:$FZ160),4)=MOD(COLUMN($EG160),4)),$EE160:$FZ160)</f>
        <v/>
      </c>
      <c r="GF160" s="343">
        <f>GE160*$J160</f>
        <v/>
      </c>
      <c r="GG160" s="36">
        <f>$KN160*5</f>
        <v/>
      </c>
      <c r="GH160" s="284" t="n"/>
      <c r="GI160" s="38" t="n">
        <v>0</v>
      </c>
      <c r="GJ160" s="284" t="n"/>
      <c r="GK160" s="36">
        <f>$KN160*5</f>
        <v/>
      </c>
      <c r="GL160" s="284" t="n"/>
      <c r="GM160" s="38" t="n">
        <v>0</v>
      </c>
      <c r="GN160" s="284" t="n"/>
      <c r="GO160" s="36">
        <f>$KN160*5</f>
        <v/>
      </c>
      <c r="GP160" s="284" t="n"/>
      <c r="GQ160" s="38" t="n">
        <v>0</v>
      </c>
      <c r="GR160" s="284" t="n"/>
      <c r="GS160" s="36">
        <f>$KN160*5</f>
        <v/>
      </c>
      <c r="GT160" s="284" t="n"/>
      <c r="GU160" s="38" t="n">
        <v>0</v>
      </c>
      <c r="GV160" s="284" t="n"/>
      <c r="GW160" s="36">
        <f>$KN160*5</f>
        <v/>
      </c>
      <c r="GX160" s="284" t="n"/>
      <c r="GY160" s="38" t="n">
        <v>0</v>
      </c>
      <c r="GZ160" s="284" t="n"/>
      <c r="HA160" s="36">
        <f>$KN160*5</f>
        <v/>
      </c>
      <c r="HB160" s="284" t="n"/>
      <c r="HC160" s="38" t="n">
        <v>0</v>
      </c>
      <c r="HD160" s="284" t="n"/>
      <c r="HE160" s="36">
        <f>$KN160*5</f>
        <v/>
      </c>
      <c r="HF160" s="284" t="n"/>
      <c r="HG160" s="38" t="n">
        <v>0</v>
      </c>
      <c r="HH160" s="284" t="n"/>
      <c r="HI160" s="36">
        <f>$KN160*5</f>
        <v/>
      </c>
      <c r="HJ160" s="284" t="n"/>
      <c r="HK160" s="38" t="n">
        <v>0</v>
      </c>
      <c r="HL160" s="284" t="n"/>
      <c r="HM160" s="36">
        <f>$KN160*5</f>
        <v/>
      </c>
      <c r="HN160" s="284" t="n"/>
      <c r="HO160" s="38" t="n">
        <v>0</v>
      </c>
      <c r="HP160" s="284" t="n"/>
      <c r="HQ160" s="36">
        <f>$KN160*5</f>
        <v/>
      </c>
      <c r="HR160" s="284" t="n"/>
      <c r="HS160" s="38" t="n">
        <v>0</v>
      </c>
      <c r="HT160" s="284" t="n"/>
      <c r="HU160" s="36">
        <f>$KN160*5</f>
        <v/>
      </c>
      <c r="HV160" s="284" t="n"/>
      <c r="HW160" s="38" t="n">
        <v>0</v>
      </c>
      <c r="HX160" s="284" t="n"/>
      <c r="HY160" s="36">
        <f>$KN160*5</f>
        <v/>
      </c>
      <c r="HZ160" s="284" t="n"/>
      <c r="IA160" s="38" t="n">
        <v>0</v>
      </c>
      <c r="IB160" s="284" t="n"/>
      <c r="IC160" s="338">
        <f t="array" ref="IC160">SUMPRODUCT(--(MOD(COLUMN($GG160:$IB160),4)=MOD(COLUMN($GG160),4)),$GG160:$IB160)</f>
        <v/>
      </c>
      <c r="ID160" s="339">
        <f>IC160*$J160</f>
        <v/>
      </c>
      <c r="IE160" s="340">
        <f t="array" ref="IE160">SUMPRODUCT(--(MOD(COLUMN($GG160:$IB160),4)=MOD(COLUMN($GH160),4)),$GG160:$IB160)</f>
        <v/>
      </c>
      <c r="IF160" s="341">
        <f>IE160*$J160</f>
        <v/>
      </c>
      <c r="IG160" s="342">
        <f t="array" ref="IG160">SUMPRODUCT(--(MOD(COLUMN($GG160:$IB160),4)=MOD(COLUMN($GI160),4)),$GG160:$IB160)</f>
        <v/>
      </c>
      <c r="IH160" s="343">
        <f>IG160*$J160</f>
        <v/>
      </c>
      <c r="II160" s="36">
        <f>$KN160*5</f>
        <v/>
      </c>
      <c r="IJ160" s="284" t="n"/>
      <c r="IK160" s="38" t="n">
        <v>0</v>
      </c>
      <c r="IL160" s="284" t="n"/>
      <c r="IM160" s="36">
        <f>$KN160*5</f>
        <v/>
      </c>
      <c r="IN160" s="284" t="n"/>
      <c r="IO160" s="38" t="n">
        <v>0</v>
      </c>
      <c r="IP160" s="284" t="n"/>
      <c r="IQ160" s="36">
        <f>$KN160*5</f>
        <v/>
      </c>
      <c r="IR160" s="284" t="n"/>
      <c r="IS160" s="38" t="n">
        <v>0</v>
      </c>
      <c r="IT160" s="284" t="n"/>
      <c r="IU160" s="36">
        <f>$KN160*10</f>
        <v/>
      </c>
      <c r="IV160" s="284" t="n"/>
      <c r="IW160" s="38" t="n">
        <v>0</v>
      </c>
      <c r="IX160" s="284" t="n"/>
      <c r="IY160" s="36">
        <f>$KN160*10</f>
        <v/>
      </c>
      <c r="IZ160" s="284" t="n"/>
      <c r="JA160" s="38" t="n">
        <v>0</v>
      </c>
      <c r="JB160" s="284" t="n"/>
      <c r="JC160" s="36">
        <f>$KN160*10</f>
        <v/>
      </c>
      <c r="JD160" s="284" t="n"/>
      <c r="JE160" s="38" t="n">
        <v>0</v>
      </c>
      <c r="JF160" s="284" t="n"/>
      <c r="JG160" s="36">
        <f>$KN160*10</f>
        <v/>
      </c>
      <c r="JH160" s="284" t="n"/>
      <c r="JI160" s="38" t="n">
        <v>0</v>
      </c>
      <c r="JJ160" s="284" t="n"/>
      <c r="JK160" s="36">
        <f>$KN160*10</f>
        <v/>
      </c>
      <c r="JL160" s="284" t="n"/>
      <c r="JM160" s="38" t="n">
        <v>0</v>
      </c>
      <c r="JN160" s="284" t="n"/>
      <c r="JO160" s="36">
        <f>$KN160*10</f>
        <v/>
      </c>
      <c r="JP160" s="284" t="n"/>
      <c r="JQ160" s="38" t="n">
        <v>0</v>
      </c>
      <c r="JR160" s="284" t="n"/>
      <c r="JS160" s="36">
        <f>$KN160*10</f>
        <v/>
      </c>
      <c r="JT160" s="284" t="n"/>
      <c r="JU160" s="38" t="n">
        <v>0</v>
      </c>
      <c r="JV160" s="284" t="n"/>
      <c r="JW160" s="36">
        <f>$KN160*10</f>
        <v/>
      </c>
      <c r="JX160" s="284" t="n"/>
      <c r="JY160" s="38" t="n">
        <v>0</v>
      </c>
      <c r="JZ160" s="284" t="n"/>
      <c r="KA160" s="36">
        <f>$KN160*10</f>
        <v/>
      </c>
      <c r="KB160" s="284" t="n"/>
      <c r="KC160" s="38" t="n">
        <v>0</v>
      </c>
      <c r="KD160" s="284" t="n"/>
      <c r="KE160" s="338">
        <f t="array" ref="KE160">SUMPRODUCT(--(MOD(COLUMN($II160:$KD160),4)=MOD(COLUMN($II160),4)),$II160:$KD160)</f>
        <v/>
      </c>
      <c r="KF160" s="339">
        <f>KE160*$J160</f>
        <v/>
      </c>
      <c r="KG160" s="340">
        <f t="array" ref="KG160">SUMPRODUCT(--(MOD(COLUMN($II160:$KD160),4)=MOD(COLUMN($IJ160),4)),$II160:$KD160)</f>
        <v/>
      </c>
      <c r="KH160" s="341">
        <f>KG160*$J160</f>
        <v/>
      </c>
      <c r="KI160" s="342">
        <f t="array" ref="KI160">SUMPRODUCT(--(MOD(COLUMN($II160:$KD160),4)=MOD(COLUMN($IK160),4)),$II160:$KD160)</f>
        <v/>
      </c>
      <c r="KJ160" s="346">
        <f>KI160*$J160</f>
        <v/>
      </c>
      <c r="KK160" s="80" t="n"/>
      <c r="KL160" s="80" t="n"/>
      <c r="KM160" s="80" t="n"/>
      <c r="KN160" s="51" t="n">
        <v>1</v>
      </c>
      <c r="KO160" s="333" t="n"/>
    </row>
    <row r="161" outlineLevel="1" ht="28.8" customFormat="1" customHeight="1" s="68">
      <c r="A161" s="347" t="n"/>
      <c r="B161" s="347" t="n"/>
      <c r="C161" s="347" t="n"/>
      <c r="D161" s="347" t="n"/>
      <c r="E161" s="60" t="n">
        <v>14</v>
      </c>
      <c r="F161" s="60" t="n">
        <v>1</v>
      </c>
      <c r="G161" s="56" t="n">
        <v>4231069000</v>
      </c>
      <c r="H161" s="57" t="inlineStr">
        <is>
          <t>Камера тормозная тип 24</t>
        </is>
      </c>
      <c r="I161" s="371">
        <f>145/1.2</f>
        <v/>
      </c>
      <c r="J161" s="337">
        <f>145/1.2</f>
        <v/>
      </c>
      <c r="K161" s="371" t="n"/>
      <c r="L161" s="371" t="n"/>
      <c r="M161" s="36" t="n"/>
      <c r="N161" s="284" t="n"/>
      <c r="O161" s="38" t="n"/>
      <c r="P161" s="284" t="n"/>
      <c r="Q161" s="36" t="n"/>
      <c r="R161" s="284" t="n"/>
      <c r="S161" s="38" t="n"/>
      <c r="T161" s="284" t="n"/>
      <c r="U161" s="36" t="n"/>
      <c r="V161" s="284" t="n"/>
      <c r="W161" s="38" t="n"/>
      <c r="X161" s="284" t="n"/>
      <c r="Y161" s="36" t="n"/>
      <c r="Z161" s="284" t="n"/>
      <c r="AA161" s="38" t="n"/>
      <c r="AB161" s="284" t="n"/>
      <c r="AC161" s="36" t="n"/>
      <c r="AD161" s="284" t="n"/>
      <c r="AE161" s="38" t="n"/>
      <c r="AF161" s="284" t="n"/>
      <c r="AG161" s="36" t="n"/>
      <c r="AH161" s="284" t="n"/>
      <c r="AI161" s="38" t="n"/>
      <c r="AJ161" s="284" t="n"/>
      <c r="AK161" s="36" t="n"/>
      <c r="AL161" s="284" t="n"/>
      <c r="AM161" s="38" t="n"/>
      <c r="AN161" s="284" t="n"/>
      <c r="AO161" s="36" t="n"/>
      <c r="AP161" s="284" t="n"/>
      <c r="AQ161" s="38" t="n"/>
      <c r="AR161" s="284" t="n"/>
      <c r="AS161" s="36" t="n"/>
      <c r="AT161" s="284" t="n"/>
      <c r="AU161" s="38" t="n">
        <v>0</v>
      </c>
      <c r="AV161" s="284" t="n"/>
      <c r="AW161" s="36" t="n"/>
      <c r="AX161" s="284" t="n"/>
      <c r="AY161" s="38" t="n">
        <v>0</v>
      </c>
      <c r="AZ161" s="284" t="n"/>
      <c r="BA161" s="36" t="n"/>
      <c r="BB161" s="284" t="n"/>
      <c r="BC161" s="99" t="n">
        <v>0</v>
      </c>
      <c r="BD161" s="284" t="n"/>
      <c r="BE161" s="36" t="n"/>
      <c r="BF161" s="284" t="n"/>
      <c r="BG161" s="54" t="n">
        <v>0</v>
      </c>
      <c r="BH161" s="284" t="n"/>
      <c r="BI161" s="338">
        <f>SUMPRODUCT(--(MOD(COLUMN($M161:$BH161),4)=MOD(COLUMN($M161),4)),$M161:$BH161)</f>
        <v/>
      </c>
      <c r="BJ161" s="339">
        <f>BI161*$I161</f>
        <v/>
      </c>
      <c r="BK161" s="340">
        <f>SUMPRODUCT(--(MOD(COLUMN($M161:$BH161),4)=MOD(COLUMN($M161)+1,4)),$M161:$BH161)</f>
        <v/>
      </c>
      <c r="BL161" s="341">
        <f>BK161*$I161</f>
        <v/>
      </c>
      <c r="BM161" s="342">
        <f>SUMPRODUCT(--(MOD(COLUMN($M161:$BH161),4)=MOD(COLUMN($M161)+2,4)),$M161:$BH161)</f>
        <v/>
      </c>
      <c r="BN161" s="343">
        <f>BM161*$I161</f>
        <v/>
      </c>
      <c r="BO161" s="36" t="n"/>
      <c r="BP161" s="47" t="n"/>
      <c r="BQ161" s="39" t="n"/>
      <c r="BR161" s="38" t="n">
        <v>0</v>
      </c>
      <c r="BS161" s="347" t="n"/>
      <c r="BT161" s="36" t="n"/>
      <c r="BU161" s="47" t="n"/>
      <c r="BV161" s="69">
        <f>$KN161*0</f>
        <v/>
      </c>
      <c r="BW161" s="38" t="n">
        <v>0</v>
      </c>
      <c r="BX161" s="347" t="n"/>
      <c r="BY161" s="36">
        <f>$KN161*5</f>
        <v/>
      </c>
      <c r="BZ161" s="47">
        <f>$KN161*0</f>
        <v/>
      </c>
      <c r="CA161" s="284" t="n">
        <v>0</v>
      </c>
      <c r="CB161" s="38" t="n">
        <v>0</v>
      </c>
      <c r="CC161" s="284" t="n"/>
      <c r="CD161" s="36">
        <f>$KN161*0</f>
        <v/>
      </c>
      <c r="CE161" s="47">
        <f>$KN161*0</f>
        <v/>
      </c>
      <c r="CF161" s="284">
        <f>$KN161*0</f>
        <v/>
      </c>
      <c r="CG161" s="38" t="n">
        <v>0</v>
      </c>
      <c r="CH161" s="284" t="n"/>
      <c r="CI161" s="36">
        <f>$KN161*5</f>
        <v/>
      </c>
      <c r="CJ161" s="47">
        <f>$KN161*0</f>
        <v/>
      </c>
      <c r="CK161" s="284" t="n">
        <v>0</v>
      </c>
      <c r="CL161" s="38" t="n">
        <v>0</v>
      </c>
      <c r="CM161" s="284" t="n"/>
      <c r="CN161" s="36">
        <f>$KN161*10</f>
        <v/>
      </c>
      <c r="CO161" s="47">
        <f>$KN161*0</f>
        <v/>
      </c>
      <c r="CP161" s="284">
        <f>$KN161*0</f>
        <v/>
      </c>
      <c r="CQ161" s="38" t="n">
        <v>0</v>
      </c>
      <c r="CR161" s="284" t="n"/>
      <c r="CS161" s="36">
        <f>$KN161*10</f>
        <v/>
      </c>
      <c r="CT161" s="47">
        <f>$KN161*0</f>
        <v/>
      </c>
      <c r="CU161" s="284">
        <f>$KN161*0</f>
        <v/>
      </c>
      <c r="CV161" s="38" t="n">
        <v>0</v>
      </c>
      <c r="CW161" s="284" t="n"/>
      <c r="CX161" s="36">
        <f>$KN161*10</f>
        <v/>
      </c>
      <c r="CY161" s="47">
        <f>$KN161*0</f>
        <v/>
      </c>
      <c r="CZ161" s="284">
        <f>$KN161*0</f>
        <v/>
      </c>
      <c r="DA161" s="38" t="n">
        <v>0</v>
      </c>
      <c r="DB161" s="284" t="n"/>
      <c r="DC161" s="36">
        <f>$KN161*10</f>
        <v/>
      </c>
      <c r="DD161" s="47">
        <f>$KN161*0</f>
        <v/>
      </c>
      <c r="DE161" s="284">
        <f>$KN161*0</f>
        <v/>
      </c>
      <c r="DF161" s="38" t="n">
        <v>0</v>
      </c>
      <c r="DG161" s="284" t="n"/>
      <c r="DH161" s="36">
        <f>$KN161*10</f>
        <v/>
      </c>
      <c r="DI161" s="47">
        <f>$KN161*0</f>
        <v/>
      </c>
      <c r="DJ161" s="284">
        <f>$KN161*0</f>
        <v/>
      </c>
      <c r="DK161" s="38" t="n">
        <v>0</v>
      </c>
      <c r="DL161" s="284" t="n"/>
      <c r="DM161" s="36">
        <f>$KN161*10</f>
        <v/>
      </c>
      <c r="DN161" s="47">
        <f>$KN161*0</f>
        <v/>
      </c>
      <c r="DO161" s="284">
        <f>$KN161*0</f>
        <v/>
      </c>
      <c r="DP161" s="38" t="n">
        <v>0</v>
      </c>
      <c r="DQ161" s="284" t="n"/>
      <c r="DR161" s="36">
        <f>$KN161*10</f>
        <v/>
      </c>
      <c r="DS161" s="47">
        <f>$KN161*0</f>
        <v/>
      </c>
      <c r="DT161" s="284">
        <f>$KN161*0</f>
        <v/>
      </c>
      <c r="DU161" s="38" t="n"/>
      <c r="DV161" s="284" t="n"/>
      <c r="DW161" s="338">
        <f t="array" ref="DW161">SUMPRODUCT(--(MOD(COLUMN($BO161:$DV161),5)=MOD(COLUMN($BO161),5)),$BO161:$DV161)</f>
        <v/>
      </c>
      <c r="DX161" s="339">
        <f>DW161*$J161</f>
        <v/>
      </c>
      <c r="DY161" s="344">
        <f t="array" ref="DY161">SUMPRODUCT(--(MOD(COLUMN($BO161:$DV161),5)=MOD(COLUMN($BP161),5)),$BO161:$DV161)</f>
        <v/>
      </c>
      <c r="DZ161" s="345">
        <f>DY161*$J161</f>
        <v/>
      </c>
      <c r="EA161" s="340">
        <f t="array" ref="EA161">SUMPRODUCT(--(MOD(COLUMN($BO161:$DV161),5)=MOD(COLUMN($BQ161),5)),$BO161:$DV161)</f>
        <v/>
      </c>
      <c r="EB161" s="341">
        <f>EA161*$J161</f>
        <v/>
      </c>
      <c r="EC161" s="342">
        <f t="array" ref="EC161">SUMPRODUCT(--(MOD(COLUMN($BO161:$DV161),5)=MOD(COLUMN($BR161),5)),$BO161:$DV161)</f>
        <v/>
      </c>
      <c r="ED161" s="343">
        <f>EC161*$J161</f>
        <v/>
      </c>
      <c r="EE161" s="36">
        <f>$KN161*0</f>
        <v/>
      </c>
      <c r="EF161" s="284" t="n">
        <v>0</v>
      </c>
      <c r="EG161" s="38" t="n"/>
      <c r="EH161" s="284" t="n"/>
      <c r="EI161" s="36">
        <f>$KN161*0</f>
        <v/>
      </c>
      <c r="EJ161" s="284" t="n">
        <v>0</v>
      </c>
      <c r="EK161" s="38" t="n"/>
      <c r="EL161" s="284" t="n"/>
      <c r="EM161" s="36">
        <f>$KN161*0</f>
        <v/>
      </c>
      <c r="EN161" s="284" t="n">
        <v>0</v>
      </c>
      <c r="EO161" s="38" t="n"/>
      <c r="EP161" s="284" t="n"/>
      <c r="EQ161" s="36">
        <f>$KN161*5</f>
        <v/>
      </c>
      <c r="ER161" s="284" t="n">
        <v>0</v>
      </c>
      <c r="ES161" s="38" t="n">
        <v>0</v>
      </c>
      <c r="ET161" s="284" t="n"/>
      <c r="EU161" s="36">
        <f>$KN161*5</f>
        <v/>
      </c>
      <c r="EV161" s="284" t="n">
        <v>0</v>
      </c>
      <c r="EW161" s="38" t="n">
        <v>0</v>
      </c>
      <c r="EX161" s="284" t="n"/>
      <c r="EY161" s="36">
        <f>$KN161*5</f>
        <v/>
      </c>
      <c r="EZ161" s="284" t="n">
        <v>0</v>
      </c>
      <c r="FA161" s="38" t="n">
        <v>0</v>
      </c>
      <c r="FB161" s="284" t="n"/>
      <c r="FC161" s="36">
        <f>$KN161*5</f>
        <v/>
      </c>
      <c r="FD161" s="284" t="n">
        <v>10</v>
      </c>
      <c r="FE161" s="38" t="n">
        <v>0</v>
      </c>
      <c r="FF161" s="284" t="n"/>
      <c r="FG161" s="36">
        <f>$KN161*5</f>
        <v/>
      </c>
      <c r="FH161" s="284" t="n">
        <v>10</v>
      </c>
      <c r="FI161" s="38" t="n">
        <v>0</v>
      </c>
      <c r="FJ161" s="284" t="n"/>
      <c r="FK161" s="36">
        <f>$KN161*5</f>
        <v/>
      </c>
      <c r="FL161" s="284" t="n">
        <v>10</v>
      </c>
      <c r="FM161" s="38" t="n">
        <v>0</v>
      </c>
      <c r="FN161" s="284" t="n"/>
      <c r="FO161" s="36">
        <f>$KN161*5</f>
        <v/>
      </c>
      <c r="FP161" s="284" t="n">
        <v>10</v>
      </c>
      <c r="FQ161" s="38" t="n">
        <v>0</v>
      </c>
      <c r="FR161" s="284" t="n"/>
      <c r="FS161" s="36">
        <f>$KN161*5</f>
        <v/>
      </c>
      <c r="FT161" s="284" t="n">
        <v>10</v>
      </c>
      <c r="FU161" s="38" t="n">
        <v>0</v>
      </c>
      <c r="FV161" s="284" t="n"/>
      <c r="FW161" s="36">
        <f>$KN161*5</f>
        <v/>
      </c>
      <c r="FX161" s="284" t="n">
        <v>10</v>
      </c>
      <c r="FY161" s="38" t="n">
        <v>0</v>
      </c>
      <c r="FZ161" s="284" t="n"/>
      <c r="GA161" s="338">
        <f t="array" ref="GA161">SUMPRODUCT(--(MOD(COLUMN($EE161:$FZ161),4)=MOD(COLUMN($EE161),4)),$EE161:$FZ161)</f>
        <v/>
      </c>
      <c r="GB161" s="339">
        <f>GA161*$J161</f>
        <v/>
      </c>
      <c r="GC161" s="340">
        <f t="array" ref="GC161">SUMPRODUCT(--(MOD(COLUMN($EE161:$FZ161),4)=MOD(COLUMN($EF161),4)),$EE161:$FZ161)</f>
        <v/>
      </c>
      <c r="GD161" s="341">
        <f>GC161*$J161</f>
        <v/>
      </c>
      <c r="GE161" s="342">
        <f t="array" ref="GE161">SUMPRODUCT(--(MOD(COLUMN($EE161:$FZ161),4)=MOD(COLUMN($EG161),4)),$EE161:$FZ161)</f>
        <v/>
      </c>
      <c r="GF161" s="343">
        <f>GE161*$J161</f>
        <v/>
      </c>
      <c r="GG161" s="36">
        <f>$KN161*15</f>
        <v/>
      </c>
      <c r="GH161" s="284" t="n"/>
      <c r="GI161" s="38" t="n">
        <v>0</v>
      </c>
      <c r="GJ161" s="284" t="n"/>
      <c r="GK161" s="36">
        <f>$KN161*15</f>
        <v/>
      </c>
      <c r="GL161" s="284" t="n"/>
      <c r="GM161" s="38" t="n">
        <v>0</v>
      </c>
      <c r="GN161" s="284" t="n"/>
      <c r="GO161" s="36">
        <f>$KN161*15</f>
        <v/>
      </c>
      <c r="GP161" s="284" t="n"/>
      <c r="GQ161" s="38" t="n">
        <v>0</v>
      </c>
      <c r="GR161" s="284" t="n"/>
      <c r="GS161" s="36">
        <f>$KN161*20</f>
        <v/>
      </c>
      <c r="GT161" s="284" t="n"/>
      <c r="GU161" s="38" t="n">
        <v>0</v>
      </c>
      <c r="GV161" s="284" t="n"/>
      <c r="GW161" s="36">
        <f>$KN161*20</f>
        <v/>
      </c>
      <c r="GX161" s="284" t="n"/>
      <c r="GY161" s="38" t="n">
        <v>0</v>
      </c>
      <c r="GZ161" s="284" t="n"/>
      <c r="HA161" s="36">
        <f>$KN161*20</f>
        <v/>
      </c>
      <c r="HB161" s="284" t="n"/>
      <c r="HC161" s="38" t="n">
        <v>0</v>
      </c>
      <c r="HD161" s="284" t="n"/>
      <c r="HE161" s="36">
        <f>$KN161*20</f>
        <v/>
      </c>
      <c r="HF161" s="284" t="n"/>
      <c r="HG161" s="38" t="n">
        <v>0</v>
      </c>
      <c r="HH161" s="284" t="n"/>
      <c r="HI161" s="36">
        <f>$KN161*20</f>
        <v/>
      </c>
      <c r="HJ161" s="284" t="n"/>
      <c r="HK161" s="38" t="n">
        <v>0</v>
      </c>
      <c r="HL161" s="284" t="n"/>
      <c r="HM161" s="36">
        <f>$KN161*20</f>
        <v/>
      </c>
      <c r="HN161" s="284" t="n"/>
      <c r="HO161" s="38" t="n">
        <v>0</v>
      </c>
      <c r="HP161" s="284" t="n"/>
      <c r="HQ161" s="36">
        <f>$KN161*20</f>
        <v/>
      </c>
      <c r="HR161" s="284" t="n"/>
      <c r="HS161" s="38" t="n">
        <v>0</v>
      </c>
      <c r="HT161" s="284" t="n"/>
      <c r="HU161" s="36">
        <f>$KN161*20</f>
        <v/>
      </c>
      <c r="HV161" s="284" t="n"/>
      <c r="HW161" s="38" t="n">
        <v>0</v>
      </c>
      <c r="HX161" s="284" t="n"/>
      <c r="HY161" s="36">
        <f>$KN161*20</f>
        <v/>
      </c>
      <c r="HZ161" s="284" t="n"/>
      <c r="IA161" s="38" t="n">
        <v>0</v>
      </c>
      <c r="IB161" s="284" t="n"/>
      <c r="IC161" s="338">
        <f t="array" ref="IC161">SUMPRODUCT(--(MOD(COLUMN($GG161:$IB161),4)=MOD(COLUMN($GG161),4)),$GG161:$IB161)</f>
        <v/>
      </c>
      <c r="ID161" s="339">
        <f>IC161*$J161</f>
        <v/>
      </c>
      <c r="IE161" s="340">
        <f t="array" ref="IE161">SUMPRODUCT(--(MOD(COLUMN($GG161:$IB161),4)=MOD(COLUMN($GH161),4)),$GG161:$IB161)</f>
        <v/>
      </c>
      <c r="IF161" s="341">
        <f>IE161*$J161</f>
        <v/>
      </c>
      <c r="IG161" s="342">
        <f t="array" ref="IG161">SUMPRODUCT(--(MOD(COLUMN($GG161:$IB161),4)=MOD(COLUMN($GI161),4)),$GG161:$IB161)</f>
        <v/>
      </c>
      <c r="IH161" s="343">
        <f>IG161*$J161</f>
        <v/>
      </c>
      <c r="II161" s="36">
        <f>$KN161*20</f>
        <v/>
      </c>
      <c r="IJ161" s="284" t="n"/>
      <c r="IK161" s="38" t="n">
        <v>0</v>
      </c>
      <c r="IL161" s="284" t="n"/>
      <c r="IM161" s="36">
        <f>$KN161*20</f>
        <v/>
      </c>
      <c r="IN161" s="284" t="n"/>
      <c r="IO161" s="38" t="n">
        <v>0</v>
      </c>
      <c r="IP161" s="284" t="n"/>
      <c r="IQ161" s="36">
        <f>$KN161*20</f>
        <v/>
      </c>
      <c r="IR161" s="284" t="n"/>
      <c r="IS161" s="38" t="n">
        <v>0</v>
      </c>
      <c r="IT161" s="284" t="n"/>
      <c r="IU161" s="36">
        <f>$KN161*25</f>
        <v/>
      </c>
      <c r="IV161" s="284" t="n"/>
      <c r="IW161" s="38" t="n">
        <v>0</v>
      </c>
      <c r="IX161" s="284" t="n"/>
      <c r="IY161" s="36">
        <f>$KN161*25</f>
        <v/>
      </c>
      <c r="IZ161" s="284" t="n"/>
      <c r="JA161" s="38" t="n">
        <v>0</v>
      </c>
      <c r="JB161" s="284" t="n"/>
      <c r="JC161" s="36">
        <f>$KN161*25</f>
        <v/>
      </c>
      <c r="JD161" s="284" t="n"/>
      <c r="JE161" s="38" t="n">
        <v>0</v>
      </c>
      <c r="JF161" s="284" t="n"/>
      <c r="JG161" s="36">
        <f>$KN161*30</f>
        <v/>
      </c>
      <c r="JH161" s="284" t="n"/>
      <c r="JI161" s="38" t="n">
        <v>0</v>
      </c>
      <c r="JJ161" s="284" t="n"/>
      <c r="JK161" s="36">
        <f>$KN161*30</f>
        <v/>
      </c>
      <c r="JL161" s="284" t="n"/>
      <c r="JM161" s="38" t="n">
        <v>0</v>
      </c>
      <c r="JN161" s="284" t="n"/>
      <c r="JO161" s="36">
        <f>$KN161*30</f>
        <v/>
      </c>
      <c r="JP161" s="284" t="n"/>
      <c r="JQ161" s="38" t="n">
        <v>0</v>
      </c>
      <c r="JR161" s="284" t="n"/>
      <c r="JS161" s="36">
        <f>$KN161*30</f>
        <v/>
      </c>
      <c r="JT161" s="284" t="n"/>
      <c r="JU161" s="38" t="n">
        <v>0</v>
      </c>
      <c r="JV161" s="284" t="n"/>
      <c r="JW161" s="36">
        <f>$KN161*30</f>
        <v/>
      </c>
      <c r="JX161" s="284" t="n"/>
      <c r="JY161" s="38" t="n">
        <v>0</v>
      </c>
      <c r="JZ161" s="284" t="n"/>
      <c r="KA161" s="36">
        <f>$KN161*30</f>
        <v/>
      </c>
      <c r="KB161" s="284" t="n"/>
      <c r="KC161" s="38" t="n">
        <v>0</v>
      </c>
      <c r="KD161" s="284" t="n"/>
      <c r="KE161" s="338">
        <f t="array" ref="KE161">SUMPRODUCT(--(MOD(COLUMN($II161:$KD161),4)=MOD(COLUMN($II161),4)),$II161:$KD161)</f>
        <v/>
      </c>
      <c r="KF161" s="339">
        <f>KE161*$J161</f>
        <v/>
      </c>
      <c r="KG161" s="340">
        <f t="array" ref="KG161">SUMPRODUCT(--(MOD(COLUMN($II161:$KD161),4)=MOD(COLUMN($IJ161),4)),$II161:$KD161)</f>
        <v/>
      </c>
      <c r="KH161" s="341">
        <f>KG161*$J161</f>
        <v/>
      </c>
      <c r="KI161" s="342">
        <f t="array" ref="KI161">SUMPRODUCT(--(MOD(COLUMN($II161:$KD161),4)=MOD(COLUMN($IK161),4)),$II161:$KD161)</f>
        <v/>
      </c>
      <c r="KJ161" s="346">
        <f>KI161*$J161</f>
        <v/>
      </c>
      <c r="KK161" s="80" t="n"/>
      <c r="KL161" s="80" t="n"/>
      <c r="KM161" s="80" t="n"/>
      <c r="KN161" s="51" t="n">
        <v>2</v>
      </c>
      <c r="KO161" s="285" t="n"/>
    </row>
    <row r="162" outlineLevel="1" ht="28.8" customFormat="1" customHeight="1" s="68">
      <c r="A162" s="347" t="n"/>
      <c r="B162" s="347" t="n"/>
      <c r="C162" s="347" t="n"/>
      <c r="D162" s="347" t="n"/>
      <c r="E162" s="60" t="n">
        <v>15</v>
      </c>
      <c r="F162" s="60" t="n">
        <v>1</v>
      </c>
      <c r="G162" s="56" t="n">
        <v>4231079000</v>
      </c>
      <c r="H162" s="57" t="inlineStr">
        <is>
          <t>Камера тормозная тип 30</t>
        </is>
      </c>
      <c r="I162" s="371">
        <f>153/1.2</f>
        <v/>
      </c>
      <c r="J162" s="337">
        <f>153/1.2</f>
        <v/>
      </c>
      <c r="K162" s="371" t="n"/>
      <c r="L162" s="371" t="n"/>
      <c r="M162" s="36" t="n"/>
      <c r="N162" s="284" t="n"/>
      <c r="O162" s="38" t="n"/>
      <c r="P162" s="284" t="n"/>
      <c r="Q162" s="36" t="n"/>
      <c r="R162" s="284" t="n"/>
      <c r="S162" s="38" t="n"/>
      <c r="T162" s="284" t="n"/>
      <c r="U162" s="36" t="n"/>
      <c r="V162" s="284" t="n"/>
      <c r="W162" s="38" t="n"/>
      <c r="X162" s="284" t="n"/>
      <c r="Y162" s="36" t="n"/>
      <c r="Z162" s="284" t="n"/>
      <c r="AA162" s="38" t="n"/>
      <c r="AB162" s="284" t="n"/>
      <c r="AC162" s="36" t="n"/>
      <c r="AD162" s="284" t="n"/>
      <c r="AE162" s="38" t="n"/>
      <c r="AF162" s="284" t="n"/>
      <c r="AG162" s="36" t="n"/>
      <c r="AH162" s="284" t="n"/>
      <c r="AI162" s="38" t="n"/>
      <c r="AJ162" s="284" t="n"/>
      <c r="AK162" s="36" t="n"/>
      <c r="AL162" s="284" t="n"/>
      <c r="AM162" s="38" t="n"/>
      <c r="AN162" s="284" t="n"/>
      <c r="AO162" s="36" t="n"/>
      <c r="AP162" s="284" t="n"/>
      <c r="AQ162" s="38" t="n"/>
      <c r="AR162" s="284" t="n"/>
      <c r="AS162" s="36" t="n"/>
      <c r="AT162" s="284" t="n"/>
      <c r="AU162" s="38" t="n">
        <v>0</v>
      </c>
      <c r="AV162" s="284" t="n"/>
      <c r="AW162" s="36" t="n"/>
      <c r="AX162" s="284" t="n"/>
      <c r="AY162" s="38" t="n">
        <v>0</v>
      </c>
      <c r="AZ162" s="284" t="n"/>
      <c r="BA162" s="36" t="n"/>
      <c r="BB162" s="284" t="n"/>
      <c r="BC162" s="99" t="n">
        <v>0</v>
      </c>
      <c r="BD162" s="284" t="n"/>
      <c r="BE162" s="36" t="n"/>
      <c r="BF162" s="284" t="n"/>
      <c r="BG162" s="54" t="n">
        <v>0</v>
      </c>
      <c r="BH162" s="284" t="n"/>
      <c r="BI162" s="338">
        <f>SUMPRODUCT(--(MOD(COLUMN($M162:$BH162),4)=MOD(COLUMN($M162),4)),$M162:$BH162)</f>
        <v/>
      </c>
      <c r="BJ162" s="339">
        <f>BI162*$I162</f>
        <v/>
      </c>
      <c r="BK162" s="340">
        <f>SUMPRODUCT(--(MOD(COLUMN($M162:$BH162),4)=MOD(COLUMN($M162)+1,4)),$M162:$BH162)</f>
        <v/>
      </c>
      <c r="BL162" s="341">
        <f>BK162*$I162</f>
        <v/>
      </c>
      <c r="BM162" s="342">
        <f>SUMPRODUCT(--(MOD(COLUMN($M162:$BH162),4)=MOD(COLUMN($M162)+2,4)),$M162:$BH162)</f>
        <v/>
      </c>
      <c r="BN162" s="343">
        <f>BM162*$I162</f>
        <v/>
      </c>
      <c r="BO162" s="36" t="n"/>
      <c r="BP162" s="47" t="n"/>
      <c r="BQ162" s="39" t="n"/>
      <c r="BR162" s="38" t="n">
        <v>0</v>
      </c>
      <c r="BS162" s="347" t="n"/>
      <c r="BT162" s="36" t="n"/>
      <c r="BU162" s="47" t="n"/>
      <c r="BV162" s="69">
        <f>$KN162*0</f>
        <v/>
      </c>
      <c r="BW162" s="38" t="n">
        <v>0</v>
      </c>
      <c r="BX162" s="347" t="n"/>
      <c r="BY162" s="36">
        <f>$KN162*0</f>
        <v/>
      </c>
      <c r="BZ162" s="47">
        <f>$KN162*0</f>
        <v/>
      </c>
      <c r="CA162" s="284" t="n">
        <v>0</v>
      </c>
      <c r="CB162" s="38" t="n">
        <v>0</v>
      </c>
      <c r="CC162" s="284" t="n"/>
      <c r="CD162" s="36">
        <f>$KN162*0</f>
        <v/>
      </c>
      <c r="CE162" s="47">
        <f>$KN162*0</f>
        <v/>
      </c>
      <c r="CF162" s="284">
        <f>$KN162*0</f>
        <v/>
      </c>
      <c r="CG162" s="38" t="n">
        <v>0</v>
      </c>
      <c r="CH162" s="284" t="n"/>
      <c r="CI162" s="36">
        <f>$KN162*0</f>
        <v/>
      </c>
      <c r="CJ162" s="47">
        <f>$KN162*0</f>
        <v/>
      </c>
      <c r="CK162" s="284" t="n">
        <v>0</v>
      </c>
      <c r="CL162" s="38" t="n">
        <v>0</v>
      </c>
      <c r="CM162" s="284" t="n"/>
      <c r="CN162" s="36">
        <f>$KN162*0</f>
        <v/>
      </c>
      <c r="CO162" s="47">
        <f>$KN162*0</f>
        <v/>
      </c>
      <c r="CP162" s="284">
        <f>$KN162*0</f>
        <v/>
      </c>
      <c r="CQ162" s="38" t="n">
        <v>0</v>
      </c>
      <c r="CR162" s="284" t="n"/>
      <c r="CS162" s="36">
        <f>$KN162*0</f>
        <v/>
      </c>
      <c r="CT162" s="47">
        <f>$KN162*0</f>
        <v/>
      </c>
      <c r="CU162" s="284">
        <f>$KN162*0</f>
        <v/>
      </c>
      <c r="CV162" s="38" t="n">
        <v>0</v>
      </c>
      <c r="CW162" s="284" t="n"/>
      <c r="CX162" s="36">
        <f>$KN162*0</f>
        <v/>
      </c>
      <c r="CY162" s="47">
        <f>$KN162*0</f>
        <v/>
      </c>
      <c r="CZ162" s="284">
        <f>$KN162*0</f>
        <v/>
      </c>
      <c r="DA162" s="38" t="n">
        <v>0</v>
      </c>
      <c r="DB162" s="284" t="n"/>
      <c r="DC162" s="36">
        <f>$KN162*0</f>
        <v/>
      </c>
      <c r="DD162" s="47">
        <f>$KN162*0</f>
        <v/>
      </c>
      <c r="DE162" s="284">
        <f>$KN162*0</f>
        <v/>
      </c>
      <c r="DF162" s="38" t="n">
        <v>0</v>
      </c>
      <c r="DG162" s="284" t="n"/>
      <c r="DH162" s="36">
        <f>$KN162*0</f>
        <v/>
      </c>
      <c r="DI162" s="47">
        <f>$KN162*0</f>
        <v/>
      </c>
      <c r="DJ162" s="284">
        <f>$KN162*0</f>
        <v/>
      </c>
      <c r="DK162" s="38" t="n">
        <v>0</v>
      </c>
      <c r="DL162" s="284" t="n"/>
      <c r="DM162" s="36">
        <f>$KN162*0</f>
        <v/>
      </c>
      <c r="DN162" s="47">
        <f>$KN162*0</f>
        <v/>
      </c>
      <c r="DO162" s="284">
        <f>$KN162*0</f>
        <v/>
      </c>
      <c r="DP162" s="38" t="n">
        <v>0</v>
      </c>
      <c r="DQ162" s="284" t="n"/>
      <c r="DR162" s="36">
        <f>$KN162*0</f>
        <v/>
      </c>
      <c r="DS162" s="47">
        <f>$KN162*0</f>
        <v/>
      </c>
      <c r="DT162" s="284">
        <f>$KN162*0</f>
        <v/>
      </c>
      <c r="DU162" s="38" t="n"/>
      <c r="DV162" s="284" t="n"/>
      <c r="DW162" s="338">
        <f t="array" ref="DW162">SUMPRODUCT(--(MOD(COLUMN($BO162:$DV162),5)=MOD(COLUMN($BO162),5)),$BO162:$DV162)</f>
        <v/>
      </c>
      <c r="DX162" s="339">
        <f>DW162*$J162</f>
        <v/>
      </c>
      <c r="DY162" s="344">
        <f t="array" ref="DY162">SUMPRODUCT(--(MOD(COLUMN($BO162:$DV162),5)=MOD(COLUMN($BP162),5)),$BO162:$DV162)</f>
        <v/>
      </c>
      <c r="DZ162" s="345">
        <f>DY162*$J162</f>
        <v/>
      </c>
      <c r="EA162" s="340">
        <f t="array" ref="EA162">SUMPRODUCT(--(MOD(COLUMN($BO162:$DV162),5)=MOD(COLUMN($BQ162),5)),$BO162:$DV162)</f>
        <v/>
      </c>
      <c r="EB162" s="341">
        <f>EA162*$J162</f>
        <v/>
      </c>
      <c r="EC162" s="342">
        <f t="array" ref="EC162">SUMPRODUCT(--(MOD(COLUMN($BO162:$DV162),5)=MOD(COLUMN($BR162),5)),$BO162:$DV162)</f>
        <v/>
      </c>
      <c r="ED162" s="343">
        <f>EC162*$J162</f>
        <v/>
      </c>
      <c r="EE162" s="36">
        <f>$KN162*0</f>
        <v/>
      </c>
      <c r="EF162" s="284" t="n">
        <v>0</v>
      </c>
      <c r="EG162" s="38" t="n"/>
      <c r="EH162" s="284" t="n"/>
      <c r="EI162" s="36">
        <f>$KN162*0</f>
        <v/>
      </c>
      <c r="EJ162" s="284" t="n">
        <v>0</v>
      </c>
      <c r="EK162" s="38" t="n"/>
      <c r="EL162" s="284" t="n"/>
      <c r="EM162" s="36">
        <f>$KN162*0</f>
        <v/>
      </c>
      <c r="EN162" s="284" t="n">
        <v>0</v>
      </c>
      <c r="EO162" s="38" t="n"/>
      <c r="EP162" s="284" t="n"/>
      <c r="EQ162" s="36">
        <f>$KN162*0</f>
        <v/>
      </c>
      <c r="ER162" s="284" t="n">
        <v>0</v>
      </c>
      <c r="ES162" s="38" t="n"/>
      <c r="ET162" s="284" t="n"/>
      <c r="EU162" s="36">
        <f>$KN162*0</f>
        <v/>
      </c>
      <c r="EV162" s="284" t="n">
        <v>0</v>
      </c>
      <c r="EW162" s="38" t="n"/>
      <c r="EX162" s="284" t="n"/>
      <c r="EY162" s="36">
        <f>$KN162*0</f>
        <v/>
      </c>
      <c r="EZ162" s="284" t="n">
        <v>0</v>
      </c>
      <c r="FA162" s="38" t="n"/>
      <c r="FB162" s="284" t="n"/>
      <c r="FC162" s="36">
        <f>$KN162*0</f>
        <v/>
      </c>
      <c r="FD162" s="284" t="n">
        <v>0</v>
      </c>
      <c r="FE162" s="38" t="n"/>
      <c r="FF162" s="284" t="n"/>
      <c r="FG162" s="36">
        <f>$KN162*0</f>
        <v/>
      </c>
      <c r="FH162" s="284" t="n">
        <v>0</v>
      </c>
      <c r="FI162" s="38" t="n"/>
      <c r="FJ162" s="284" t="n"/>
      <c r="FK162" s="36">
        <f>$KN162*0</f>
        <v/>
      </c>
      <c r="FL162" s="284" t="n">
        <v>0</v>
      </c>
      <c r="FM162" s="38" t="n"/>
      <c r="FN162" s="284" t="n"/>
      <c r="FO162" s="36">
        <f>$KN162*0</f>
        <v/>
      </c>
      <c r="FP162" s="284" t="n">
        <v>0</v>
      </c>
      <c r="FQ162" s="38" t="n"/>
      <c r="FR162" s="284" t="n"/>
      <c r="FS162" s="36">
        <f>$KN162*0</f>
        <v/>
      </c>
      <c r="FT162" s="284" t="n">
        <v>0</v>
      </c>
      <c r="FU162" s="38" t="n"/>
      <c r="FV162" s="284" t="n"/>
      <c r="FW162" s="36">
        <f>$KN162*0</f>
        <v/>
      </c>
      <c r="FX162" s="284" t="n">
        <v>0</v>
      </c>
      <c r="FY162" s="38" t="n"/>
      <c r="FZ162" s="284" t="n"/>
      <c r="GA162" s="338">
        <f t="array" ref="GA162">SUMPRODUCT(--(MOD(COLUMN($EE162:$FZ162),4)=MOD(COLUMN($EE162),4)),$EE162:$FZ162)</f>
        <v/>
      </c>
      <c r="GB162" s="339">
        <f>GA162*$J162</f>
        <v/>
      </c>
      <c r="GC162" s="340">
        <f t="array" ref="GC162">SUMPRODUCT(--(MOD(COLUMN($EE162:$FZ162),4)=MOD(COLUMN($EF162),4)),$EE162:$FZ162)</f>
        <v/>
      </c>
      <c r="GD162" s="341">
        <f>GC162*$J162</f>
        <v/>
      </c>
      <c r="GE162" s="342">
        <f t="array" ref="GE162">SUMPRODUCT(--(MOD(COLUMN($EE162:$FZ162),4)=MOD(COLUMN($EG162),4)),$EE162:$FZ162)</f>
        <v/>
      </c>
      <c r="GF162" s="343">
        <f>GE162*$J162</f>
        <v/>
      </c>
      <c r="GG162" s="36">
        <f>$KN162*0</f>
        <v/>
      </c>
      <c r="GH162" s="284" t="n"/>
      <c r="GI162" s="38" t="n"/>
      <c r="GJ162" s="284" t="n"/>
      <c r="GK162" s="36">
        <f>$KN162*0</f>
        <v/>
      </c>
      <c r="GL162" s="284" t="n"/>
      <c r="GM162" s="38" t="n"/>
      <c r="GN162" s="284" t="n"/>
      <c r="GO162" s="36">
        <f>$KN162*0</f>
        <v/>
      </c>
      <c r="GP162" s="284" t="n"/>
      <c r="GQ162" s="38" t="n"/>
      <c r="GR162" s="284" t="n"/>
      <c r="GS162" s="36">
        <f>$KN162*0</f>
        <v/>
      </c>
      <c r="GT162" s="284" t="n"/>
      <c r="GU162" s="38" t="n"/>
      <c r="GV162" s="284" t="n"/>
      <c r="GW162" s="36">
        <f>$KN162*0</f>
        <v/>
      </c>
      <c r="GX162" s="284" t="n"/>
      <c r="GY162" s="38" t="n"/>
      <c r="GZ162" s="284" t="n"/>
      <c r="HA162" s="36">
        <f>$KN162*0</f>
        <v/>
      </c>
      <c r="HB162" s="284" t="n"/>
      <c r="HC162" s="38" t="n"/>
      <c r="HD162" s="284" t="n"/>
      <c r="HE162" s="36">
        <f>$KN162*0</f>
        <v/>
      </c>
      <c r="HF162" s="284" t="n"/>
      <c r="HG162" s="38" t="n"/>
      <c r="HH162" s="284" t="n"/>
      <c r="HI162" s="36">
        <f>$KN162*0</f>
        <v/>
      </c>
      <c r="HJ162" s="284" t="n"/>
      <c r="HK162" s="38" t="n"/>
      <c r="HL162" s="284" t="n"/>
      <c r="HM162" s="36">
        <f>$KN162*0</f>
        <v/>
      </c>
      <c r="HN162" s="284" t="n"/>
      <c r="HO162" s="38" t="n"/>
      <c r="HP162" s="284" t="n"/>
      <c r="HQ162" s="36">
        <f>$KN162*0</f>
        <v/>
      </c>
      <c r="HR162" s="284" t="n"/>
      <c r="HS162" s="38" t="n"/>
      <c r="HT162" s="284" t="n"/>
      <c r="HU162" s="36">
        <f>$KN162*0</f>
        <v/>
      </c>
      <c r="HV162" s="284" t="n"/>
      <c r="HW162" s="38" t="n"/>
      <c r="HX162" s="284" t="n"/>
      <c r="HY162" s="36">
        <f>$KN162*0</f>
        <v/>
      </c>
      <c r="HZ162" s="284" t="n"/>
      <c r="IA162" s="38" t="n"/>
      <c r="IB162" s="284" t="n"/>
      <c r="IC162" s="338">
        <f t="array" ref="IC162">SUMPRODUCT(--(MOD(COLUMN($GG162:$IB162),4)=MOD(COLUMN($GG162),4)),$GG162:$IB162)</f>
        <v/>
      </c>
      <c r="ID162" s="339">
        <f>IC162*$J162</f>
        <v/>
      </c>
      <c r="IE162" s="340">
        <f t="array" ref="IE162">SUMPRODUCT(--(MOD(COLUMN($GG162:$IB162),4)=MOD(COLUMN($GH162),4)),$GG162:$IB162)</f>
        <v/>
      </c>
      <c r="IF162" s="341">
        <f>IE162*$J162</f>
        <v/>
      </c>
      <c r="IG162" s="342">
        <f t="array" ref="IG162">SUMPRODUCT(--(MOD(COLUMN($GG162:$IB162),4)=MOD(COLUMN($GI162),4)),$GG162:$IB162)</f>
        <v/>
      </c>
      <c r="IH162" s="343">
        <f>IG162*$J162</f>
        <v/>
      </c>
      <c r="II162" s="36">
        <f>$KN162*0</f>
        <v/>
      </c>
      <c r="IJ162" s="284" t="n"/>
      <c r="IK162" s="38" t="n"/>
      <c r="IL162" s="284" t="n"/>
      <c r="IM162" s="36">
        <f>$KN162*0</f>
        <v/>
      </c>
      <c r="IN162" s="284" t="n"/>
      <c r="IO162" s="38" t="n"/>
      <c r="IP162" s="284" t="n"/>
      <c r="IQ162" s="36">
        <f>$KN162*0</f>
        <v/>
      </c>
      <c r="IR162" s="284" t="n"/>
      <c r="IS162" s="38" t="n"/>
      <c r="IT162" s="284" t="n"/>
      <c r="IU162" s="36">
        <f>$KN162*0</f>
        <v/>
      </c>
      <c r="IV162" s="284" t="n"/>
      <c r="IW162" s="38" t="n"/>
      <c r="IX162" s="284" t="n"/>
      <c r="IY162" s="36">
        <f>$KN162*0</f>
        <v/>
      </c>
      <c r="IZ162" s="284" t="n"/>
      <c r="JA162" s="38" t="n"/>
      <c r="JB162" s="284" t="n"/>
      <c r="JC162" s="36">
        <f>$KN162*0</f>
        <v/>
      </c>
      <c r="JD162" s="284" t="n"/>
      <c r="JE162" s="38" t="n"/>
      <c r="JF162" s="284" t="n"/>
      <c r="JG162" s="36">
        <f>$KN162*0</f>
        <v/>
      </c>
      <c r="JH162" s="284" t="n"/>
      <c r="JI162" s="38" t="n"/>
      <c r="JJ162" s="284" t="n"/>
      <c r="JK162" s="36">
        <f>$KN162*0</f>
        <v/>
      </c>
      <c r="JL162" s="284" t="n"/>
      <c r="JM162" s="38" t="n"/>
      <c r="JN162" s="284" t="n"/>
      <c r="JO162" s="36">
        <f>$KN162*0</f>
        <v/>
      </c>
      <c r="JP162" s="284" t="n"/>
      <c r="JQ162" s="38" t="n"/>
      <c r="JR162" s="284" t="n"/>
      <c r="JS162" s="36">
        <f>$KN162*0</f>
        <v/>
      </c>
      <c r="JT162" s="284" t="n"/>
      <c r="JU162" s="38" t="n"/>
      <c r="JV162" s="284" t="n"/>
      <c r="JW162" s="36">
        <f>$KN162*0</f>
        <v/>
      </c>
      <c r="JX162" s="284" t="n"/>
      <c r="JY162" s="38" t="n"/>
      <c r="JZ162" s="284" t="n"/>
      <c r="KA162" s="36">
        <f>$KN162*0</f>
        <v/>
      </c>
      <c r="KB162" s="284" t="n"/>
      <c r="KC162" s="38" t="n"/>
      <c r="KD162" s="284" t="n"/>
      <c r="KE162" s="338">
        <f t="array" ref="KE162">SUMPRODUCT(--(MOD(COLUMN($II162:$KD162),4)=MOD(COLUMN($II162),4)),$II162:$KD162)</f>
        <v/>
      </c>
      <c r="KF162" s="339">
        <f>KE162*$J162</f>
        <v/>
      </c>
      <c r="KG162" s="340">
        <f t="array" ref="KG162">SUMPRODUCT(--(MOD(COLUMN($II162:$KD162),4)=MOD(COLUMN($IJ162),4)),$II162:$KD162)</f>
        <v/>
      </c>
      <c r="KH162" s="341">
        <f>KG162*$J162</f>
        <v/>
      </c>
      <c r="KI162" s="342">
        <f t="array" ref="KI162">SUMPRODUCT(--(MOD(COLUMN($II162:$KD162),4)=MOD(COLUMN($IK162),4)),$II162:$KD162)</f>
        <v/>
      </c>
      <c r="KJ162" s="346">
        <f>KI162*$J162</f>
        <v/>
      </c>
      <c r="KK162" s="80" t="n"/>
      <c r="KL162" s="80" t="n"/>
      <c r="KM162" s="80" t="n"/>
      <c r="KN162" s="51" t="n">
        <v>2</v>
      </c>
      <c r="KO162" s="285" t="n"/>
    </row>
    <row r="163" outlineLevel="1" ht="28.8" customFormat="1" customHeight="1" s="68">
      <c r="A163" s="347" t="n"/>
      <c r="B163" s="347" t="n"/>
      <c r="C163" s="347" t="n"/>
      <c r="D163" s="347" t="n"/>
      <c r="E163" s="60" t="n">
        <v>16</v>
      </c>
      <c r="F163" s="60" t="n">
        <v>1</v>
      </c>
      <c r="G163" s="56" t="n">
        <v>9253761210</v>
      </c>
      <c r="H163" s="57" t="inlineStr">
        <is>
          <t>Энергоаккумулятор тип 24/30</t>
        </is>
      </c>
      <c r="I163" s="371">
        <f>301/1.2</f>
        <v/>
      </c>
      <c r="J163" s="337">
        <f>301/1.2</f>
        <v/>
      </c>
      <c r="K163" s="371" t="n"/>
      <c r="L163" s="371" t="n"/>
      <c r="M163" s="36" t="n"/>
      <c r="N163" s="284" t="n"/>
      <c r="O163" s="38" t="n"/>
      <c r="P163" s="284" t="n"/>
      <c r="Q163" s="36" t="n"/>
      <c r="R163" s="284" t="n"/>
      <c r="S163" s="38" t="n"/>
      <c r="T163" s="284" t="n"/>
      <c r="U163" s="36" t="n"/>
      <c r="V163" s="284" t="n"/>
      <c r="W163" s="38" t="n"/>
      <c r="X163" s="284" t="n"/>
      <c r="Y163" s="36" t="n"/>
      <c r="Z163" s="284" t="n"/>
      <c r="AA163" s="38" t="n"/>
      <c r="AB163" s="284" t="n"/>
      <c r="AC163" s="36" t="n"/>
      <c r="AD163" s="284" t="n"/>
      <c r="AE163" s="38" t="n"/>
      <c r="AF163" s="284" t="n"/>
      <c r="AG163" s="36" t="n"/>
      <c r="AH163" s="284" t="n"/>
      <c r="AI163" s="38" t="n"/>
      <c r="AJ163" s="284" t="n"/>
      <c r="AK163" s="36" t="n"/>
      <c r="AL163" s="284" t="n"/>
      <c r="AM163" s="38" t="n"/>
      <c r="AN163" s="284" t="n"/>
      <c r="AO163" s="36" t="n"/>
      <c r="AP163" s="284" t="n"/>
      <c r="AQ163" s="38" t="n"/>
      <c r="AR163" s="284" t="n"/>
      <c r="AS163" s="36" t="n"/>
      <c r="AT163" s="284" t="n"/>
      <c r="AU163" s="38" t="n">
        <v>0</v>
      </c>
      <c r="AV163" s="284" t="n"/>
      <c r="AW163" s="36" t="n"/>
      <c r="AX163" s="284" t="n"/>
      <c r="AY163" s="38" t="n">
        <v>0</v>
      </c>
      <c r="AZ163" s="284" t="n"/>
      <c r="BA163" s="36" t="n"/>
      <c r="BB163" s="284" t="n"/>
      <c r="BC163" s="99" t="n">
        <v>0</v>
      </c>
      <c r="BD163" s="284" t="n"/>
      <c r="BE163" s="36" t="n"/>
      <c r="BF163" s="284" t="n"/>
      <c r="BG163" s="54" t="n">
        <v>0</v>
      </c>
      <c r="BH163" s="284" t="n"/>
      <c r="BI163" s="338">
        <f>SUMPRODUCT(--(MOD(COLUMN($M163:$BH163),4)=MOD(COLUMN($M163),4)),$M163:$BH163)</f>
        <v/>
      </c>
      <c r="BJ163" s="339">
        <f>BI163*$I163</f>
        <v/>
      </c>
      <c r="BK163" s="340">
        <f>SUMPRODUCT(--(MOD(COLUMN($M163:$BH163),4)=MOD(COLUMN($M163)+1,4)),$M163:$BH163)</f>
        <v/>
      </c>
      <c r="BL163" s="341">
        <f>BK163*$I163</f>
        <v/>
      </c>
      <c r="BM163" s="342">
        <f>SUMPRODUCT(--(MOD(COLUMN($M163:$BH163),4)=MOD(COLUMN($M163)+2,4)),$M163:$BH163)</f>
        <v/>
      </c>
      <c r="BN163" s="343">
        <f>BM163*$I163</f>
        <v/>
      </c>
      <c r="BO163" s="36" t="n"/>
      <c r="BP163" s="47" t="n"/>
      <c r="BQ163" s="39" t="n"/>
      <c r="BR163" s="38" t="n">
        <v>0</v>
      </c>
      <c r="BS163" s="347" t="n"/>
      <c r="BT163" s="36" t="n"/>
      <c r="BU163" s="47" t="n"/>
      <c r="BV163" s="69">
        <f>$KN163*0</f>
        <v/>
      </c>
      <c r="BW163" s="38" t="n">
        <v>0</v>
      </c>
      <c r="BX163" s="347" t="n"/>
      <c r="BY163" s="36">
        <f>$KN163*10</f>
        <v/>
      </c>
      <c r="BZ163" s="47">
        <f>$KN163*0</f>
        <v/>
      </c>
      <c r="CA163" s="284" t="n">
        <v>0</v>
      </c>
      <c r="CB163" s="38" t="n">
        <v>0</v>
      </c>
      <c r="CC163" s="284" t="n"/>
      <c r="CD163" s="36">
        <f>$KN163*0</f>
        <v/>
      </c>
      <c r="CE163" s="47">
        <f>$KN163*0</f>
        <v/>
      </c>
      <c r="CF163" s="284">
        <f>$KN163*0</f>
        <v/>
      </c>
      <c r="CG163" s="38" t="n">
        <v>0</v>
      </c>
      <c r="CH163" s="284" t="n"/>
      <c r="CI163" s="36">
        <f>$KN163*10</f>
        <v/>
      </c>
      <c r="CJ163" s="47">
        <f>$KN163*0</f>
        <v/>
      </c>
      <c r="CK163" s="284" t="n">
        <v>0</v>
      </c>
      <c r="CL163" s="38" t="n">
        <v>0</v>
      </c>
      <c r="CM163" s="284" t="n"/>
      <c r="CN163" s="36">
        <f>$KN163*20</f>
        <v/>
      </c>
      <c r="CO163" s="47">
        <f>$KN163*0</f>
        <v/>
      </c>
      <c r="CP163" s="284">
        <f>$KN163*0</f>
        <v/>
      </c>
      <c r="CQ163" s="38" t="n">
        <v>0</v>
      </c>
      <c r="CR163" s="284" t="n"/>
      <c r="CS163" s="36">
        <f>$KN163*20</f>
        <v/>
      </c>
      <c r="CT163" s="47">
        <f>$KN163*0</f>
        <v/>
      </c>
      <c r="CU163" s="284">
        <f>$KN163*0</f>
        <v/>
      </c>
      <c r="CV163" s="38" t="n">
        <v>0</v>
      </c>
      <c r="CW163" s="284" t="n"/>
      <c r="CX163" s="36">
        <f>$KN163*20</f>
        <v/>
      </c>
      <c r="CY163" s="47">
        <f>$KN163*0</f>
        <v/>
      </c>
      <c r="CZ163" s="284">
        <f>$KN163*0</f>
        <v/>
      </c>
      <c r="DA163" s="38" t="n">
        <v>0</v>
      </c>
      <c r="DB163" s="284" t="n"/>
      <c r="DC163" s="36">
        <f>$KN163*20</f>
        <v/>
      </c>
      <c r="DD163" s="47">
        <f>$KN163*0</f>
        <v/>
      </c>
      <c r="DE163" s="284">
        <f>$KN163*0</f>
        <v/>
      </c>
      <c r="DF163" s="38" t="n">
        <v>0</v>
      </c>
      <c r="DG163" s="284" t="n"/>
      <c r="DH163" s="36">
        <f>$KN163*20</f>
        <v/>
      </c>
      <c r="DI163" s="47">
        <f>$KN163*0</f>
        <v/>
      </c>
      <c r="DJ163" s="284">
        <f>$KN163*0</f>
        <v/>
      </c>
      <c r="DK163" s="38" t="n">
        <v>0</v>
      </c>
      <c r="DL163" s="284" t="n"/>
      <c r="DM163" s="36">
        <f>$KN163*20</f>
        <v/>
      </c>
      <c r="DN163" s="47">
        <f>$KN163*0</f>
        <v/>
      </c>
      <c r="DO163" s="284">
        <f>$KN163*0</f>
        <v/>
      </c>
      <c r="DP163" s="38" t="n">
        <v>0</v>
      </c>
      <c r="DQ163" s="284" t="n"/>
      <c r="DR163" s="36">
        <f>$KN163*20</f>
        <v/>
      </c>
      <c r="DS163" s="47">
        <f>$KN163*0</f>
        <v/>
      </c>
      <c r="DT163" s="284">
        <f>$KN163*0</f>
        <v/>
      </c>
      <c r="DU163" s="38" t="n"/>
      <c r="DV163" s="284" t="n"/>
      <c r="DW163" s="338">
        <f t="array" ref="DW163">SUMPRODUCT(--(MOD(COLUMN($BO163:$DV163),5)=MOD(COLUMN($BO163),5)),$BO163:$DV163)</f>
        <v/>
      </c>
      <c r="DX163" s="339">
        <f>DW163*$J163</f>
        <v/>
      </c>
      <c r="DY163" s="344">
        <f t="array" ref="DY163">SUMPRODUCT(--(MOD(COLUMN($BO163:$DV163),5)=MOD(COLUMN($BP163),5)),$BO163:$DV163)</f>
        <v/>
      </c>
      <c r="DZ163" s="345">
        <f>DY163*$J163</f>
        <v/>
      </c>
      <c r="EA163" s="340">
        <f t="array" ref="EA163">SUMPRODUCT(--(MOD(COLUMN($BO163:$DV163),5)=MOD(COLUMN($BQ163),5)),$BO163:$DV163)</f>
        <v/>
      </c>
      <c r="EB163" s="341">
        <f>EA163*$J163</f>
        <v/>
      </c>
      <c r="EC163" s="342">
        <f t="array" ref="EC163">SUMPRODUCT(--(MOD(COLUMN($BO163:$DV163),5)=MOD(COLUMN($BR163),5)),$BO163:$DV163)</f>
        <v/>
      </c>
      <c r="ED163" s="343">
        <f>EC163*$J163</f>
        <v/>
      </c>
      <c r="EE163" s="36">
        <f>$KN163*0</f>
        <v/>
      </c>
      <c r="EF163" s="284" t="n">
        <v>0</v>
      </c>
      <c r="EG163" s="38" t="n"/>
      <c r="EH163" s="284" t="n"/>
      <c r="EI163" s="36">
        <f>$KN163*0</f>
        <v/>
      </c>
      <c r="EJ163" s="284" t="n">
        <v>0</v>
      </c>
      <c r="EK163" s="38" t="n"/>
      <c r="EL163" s="284" t="n"/>
      <c r="EM163" s="36">
        <f>$KN163*0</f>
        <v/>
      </c>
      <c r="EN163" s="284" t="n">
        <v>0</v>
      </c>
      <c r="EO163" s="38" t="n"/>
      <c r="EP163" s="284" t="n"/>
      <c r="EQ163" s="36">
        <f>$KN163*10</f>
        <v/>
      </c>
      <c r="ER163" s="284" t="n">
        <v>0</v>
      </c>
      <c r="ES163" s="38" t="n">
        <v>0</v>
      </c>
      <c r="ET163" s="284" t="n"/>
      <c r="EU163" s="36">
        <f>$KN163*10</f>
        <v/>
      </c>
      <c r="EV163" s="284" t="n">
        <v>0</v>
      </c>
      <c r="EW163" s="38" t="n">
        <v>0</v>
      </c>
      <c r="EX163" s="284" t="n"/>
      <c r="EY163" s="36">
        <f>$KN163*10</f>
        <v/>
      </c>
      <c r="EZ163" s="284" t="n">
        <v>0</v>
      </c>
      <c r="FA163" s="38" t="n">
        <v>0</v>
      </c>
      <c r="FB163" s="284" t="n"/>
      <c r="FC163" s="36">
        <f>$KN163*10</f>
        <v/>
      </c>
      <c r="FD163" s="284" t="n">
        <v>20</v>
      </c>
      <c r="FE163" s="38" t="n">
        <v>0</v>
      </c>
      <c r="FF163" s="284" t="n"/>
      <c r="FG163" s="36">
        <f>$KN163*10</f>
        <v/>
      </c>
      <c r="FH163" s="284" t="n">
        <v>20</v>
      </c>
      <c r="FI163" s="38" t="n">
        <v>0</v>
      </c>
      <c r="FJ163" s="284" t="n"/>
      <c r="FK163" s="36">
        <f>$KN163*10</f>
        <v/>
      </c>
      <c r="FL163" s="284" t="n">
        <v>20</v>
      </c>
      <c r="FM163" s="38" t="n">
        <v>0</v>
      </c>
      <c r="FN163" s="284" t="n"/>
      <c r="FO163" s="36">
        <f>$KN163*10</f>
        <v/>
      </c>
      <c r="FP163" s="284" t="n">
        <v>20</v>
      </c>
      <c r="FQ163" s="38" t="n">
        <v>0</v>
      </c>
      <c r="FR163" s="284" t="n"/>
      <c r="FS163" s="36">
        <f>$KN163*10</f>
        <v/>
      </c>
      <c r="FT163" s="284" t="n">
        <v>20</v>
      </c>
      <c r="FU163" s="38" t="n">
        <v>0</v>
      </c>
      <c r="FV163" s="284" t="n"/>
      <c r="FW163" s="36">
        <f>$KN163*10</f>
        <v/>
      </c>
      <c r="FX163" s="284" t="n">
        <v>20</v>
      </c>
      <c r="FY163" s="38" t="n">
        <v>0</v>
      </c>
      <c r="FZ163" s="284" t="n"/>
      <c r="GA163" s="338">
        <f t="array" ref="GA163">SUMPRODUCT(--(MOD(COLUMN($EE163:$FZ163),4)=MOD(COLUMN($EE163),4)),$EE163:$FZ163)</f>
        <v/>
      </c>
      <c r="GB163" s="339">
        <f>GA163*$J163</f>
        <v/>
      </c>
      <c r="GC163" s="340">
        <f t="array" ref="GC163">SUMPRODUCT(--(MOD(COLUMN($EE163:$FZ163),4)=MOD(COLUMN($EF163),4)),$EE163:$FZ163)</f>
        <v/>
      </c>
      <c r="GD163" s="341">
        <f>GC163*$J163</f>
        <v/>
      </c>
      <c r="GE163" s="342">
        <f t="array" ref="GE163">SUMPRODUCT(--(MOD(COLUMN($EE163:$FZ163),4)=MOD(COLUMN($EG163),4)),$EE163:$FZ163)</f>
        <v/>
      </c>
      <c r="GF163" s="343">
        <f>GE163*$J163</f>
        <v/>
      </c>
      <c r="GG163" s="36">
        <f>$KN163*30</f>
        <v/>
      </c>
      <c r="GH163" s="284" t="n"/>
      <c r="GI163" s="38" t="n">
        <v>0</v>
      </c>
      <c r="GJ163" s="284" t="n"/>
      <c r="GK163" s="36">
        <f>$KN163*30</f>
        <v/>
      </c>
      <c r="GL163" s="284" t="n"/>
      <c r="GM163" s="38" t="n">
        <v>0</v>
      </c>
      <c r="GN163" s="284" t="n"/>
      <c r="GO163" s="36">
        <f>$KN163*30</f>
        <v/>
      </c>
      <c r="GP163" s="284" t="n"/>
      <c r="GQ163" s="38" t="n">
        <v>0</v>
      </c>
      <c r="GR163" s="284" t="n"/>
      <c r="GS163" s="36">
        <f>$KN163*40</f>
        <v/>
      </c>
      <c r="GT163" s="284" t="n"/>
      <c r="GU163" s="38" t="n">
        <v>0</v>
      </c>
      <c r="GV163" s="284" t="n"/>
      <c r="GW163" s="36">
        <f>$KN163*40</f>
        <v/>
      </c>
      <c r="GX163" s="284" t="n"/>
      <c r="GY163" s="38" t="n">
        <v>0</v>
      </c>
      <c r="GZ163" s="284" t="n"/>
      <c r="HA163" s="36">
        <f>$KN163*40</f>
        <v/>
      </c>
      <c r="HB163" s="284" t="n"/>
      <c r="HC163" s="38" t="n">
        <v>0</v>
      </c>
      <c r="HD163" s="284" t="n"/>
      <c r="HE163" s="36">
        <f>$KN163*40</f>
        <v/>
      </c>
      <c r="HF163" s="284" t="n"/>
      <c r="HG163" s="38" t="n">
        <v>0</v>
      </c>
      <c r="HH163" s="284" t="n"/>
      <c r="HI163" s="36">
        <f>$KN163*40</f>
        <v/>
      </c>
      <c r="HJ163" s="284" t="n"/>
      <c r="HK163" s="38" t="n">
        <v>0</v>
      </c>
      <c r="HL163" s="284" t="n"/>
      <c r="HM163" s="36">
        <f>$KN163*40</f>
        <v/>
      </c>
      <c r="HN163" s="284" t="n"/>
      <c r="HO163" s="38" t="n">
        <v>0</v>
      </c>
      <c r="HP163" s="284" t="n"/>
      <c r="HQ163" s="36">
        <f>$KN163*40</f>
        <v/>
      </c>
      <c r="HR163" s="284" t="n"/>
      <c r="HS163" s="38" t="n">
        <v>0</v>
      </c>
      <c r="HT163" s="284" t="n"/>
      <c r="HU163" s="36">
        <f>$KN163*40</f>
        <v/>
      </c>
      <c r="HV163" s="284" t="n"/>
      <c r="HW163" s="38" t="n">
        <v>0</v>
      </c>
      <c r="HX163" s="284" t="n"/>
      <c r="HY163" s="36">
        <f>$KN163*40</f>
        <v/>
      </c>
      <c r="HZ163" s="284" t="n"/>
      <c r="IA163" s="38" t="n">
        <v>0</v>
      </c>
      <c r="IB163" s="284" t="n"/>
      <c r="IC163" s="338">
        <f t="array" ref="IC163">SUMPRODUCT(--(MOD(COLUMN($GG163:$IB163),4)=MOD(COLUMN($GG163),4)),$GG163:$IB163)</f>
        <v/>
      </c>
      <c r="ID163" s="339">
        <f>IC163*$J163</f>
        <v/>
      </c>
      <c r="IE163" s="340">
        <f t="array" ref="IE163">SUMPRODUCT(--(MOD(COLUMN($GG163:$IB163),4)=MOD(COLUMN($GH163),4)),$GG163:$IB163)</f>
        <v/>
      </c>
      <c r="IF163" s="341">
        <f>IE163*$J163</f>
        <v/>
      </c>
      <c r="IG163" s="342">
        <f t="array" ref="IG163">SUMPRODUCT(--(MOD(COLUMN($GG163:$IB163),4)=MOD(COLUMN($GI163),4)),$GG163:$IB163)</f>
        <v/>
      </c>
      <c r="IH163" s="343">
        <f>IG163*$J163</f>
        <v/>
      </c>
      <c r="II163" s="36">
        <f>$KN163*40</f>
        <v/>
      </c>
      <c r="IJ163" s="284" t="n"/>
      <c r="IK163" s="38" t="n">
        <v>0</v>
      </c>
      <c r="IL163" s="284" t="n"/>
      <c r="IM163" s="36">
        <f>$KN163*40</f>
        <v/>
      </c>
      <c r="IN163" s="284" t="n"/>
      <c r="IO163" s="38" t="n">
        <v>0</v>
      </c>
      <c r="IP163" s="284" t="n"/>
      <c r="IQ163" s="36">
        <f>$KN163*40</f>
        <v/>
      </c>
      <c r="IR163" s="284" t="n"/>
      <c r="IS163" s="38" t="n">
        <v>0</v>
      </c>
      <c r="IT163" s="284" t="n"/>
      <c r="IU163" s="36">
        <f>$KN163*50</f>
        <v/>
      </c>
      <c r="IV163" s="284" t="n"/>
      <c r="IW163" s="38" t="n">
        <v>0</v>
      </c>
      <c r="IX163" s="284" t="n"/>
      <c r="IY163" s="36">
        <f>$KN163*50</f>
        <v/>
      </c>
      <c r="IZ163" s="284" t="n"/>
      <c r="JA163" s="38" t="n">
        <v>0</v>
      </c>
      <c r="JB163" s="284" t="n"/>
      <c r="JC163" s="36">
        <f>$KN163*50</f>
        <v/>
      </c>
      <c r="JD163" s="284" t="n"/>
      <c r="JE163" s="38" t="n">
        <v>0</v>
      </c>
      <c r="JF163" s="284" t="n"/>
      <c r="JG163" s="36">
        <f>$KN163*60</f>
        <v/>
      </c>
      <c r="JH163" s="284" t="n"/>
      <c r="JI163" s="38" t="n">
        <v>0</v>
      </c>
      <c r="JJ163" s="284" t="n"/>
      <c r="JK163" s="36">
        <f>$KN163*60</f>
        <v/>
      </c>
      <c r="JL163" s="284" t="n"/>
      <c r="JM163" s="38" t="n">
        <v>0</v>
      </c>
      <c r="JN163" s="284" t="n"/>
      <c r="JO163" s="36">
        <f>$KN163*60</f>
        <v/>
      </c>
      <c r="JP163" s="284" t="n"/>
      <c r="JQ163" s="38" t="n">
        <v>0</v>
      </c>
      <c r="JR163" s="284" t="n"/>
      <c r="JS163" s="36">
        <f>$KN163*60</f>
        <v/>
      </c>
      <c r="JT163" s="284" t="n"/>
      <c r="JU163" s="38" t="n">
        <v>0</v>
      </c>
      <c r="JV163" s="284" t="n"/>
      <c r="JW163" s="36">
        <f>$KN163*60</f>
        <v/>
      </c>
      <c r="JX163" s="284" t="n"/>
      <c r="JY163" s="38" t="n">
        <v>0</v>
      </c>
      <c r="JZ163" s="284" t="n"/>
      <c r="KA163" s="36">
        <f>$KN163*60</f>
        <v/>
      </c>
      <c r="KB163" s="284" t="n"/>
      <c r="KC163" s="38" t="n">
        <v>0</v>
      </c>
      <c r="KD163" s="284" t="n"/>
      <c r="KE163" s="338">
        <f t="array" ref="KE163">SUMPRODUCT(--(MOD(COLUMN($II163:$KD163),4)=MOD(COLUMN($II163),4)),$II163:$KD163)</f>
        <v/>
      </c>
      <c r="KF163" s="339">
        <f>KE163*$J163</f>
        <v/>
      </c>
      <c r="KG163" s="340">
        <f t="array" ref="KG163">SUMPRODUCT(--(MOD(COLUMN($II163:$KD163),4)=MOD(COLUMN($IJ163),4)),$II163:$KD163)</f>
        <v/>
      </c>
      <c r="KH163" s="341">
        <f>KG163*$J163</f>
        <v/>
      </c>
      <c r="KI163" s="342">
        <f t="array" ref="KI163">SUMPRODUCT(--(MOD(COLUMN($II163:$KD163),4)=MOD(COLUMN($IK163),4)),$II163:$KD163)</f>
        <v/>
      </c>
      <c r="KJ163" s="346">
        <f>KI163*$J163</f>
        <v/>
      </c>
      <c r="KK163" s="80" t="n"/>
      <c r="KL163" s="80" t="n"/>
      <c r="KM163" s="80" t="n"/>
      <c r="KN163" s="51" t="n">
        <v>2</v>
      </c>
      <c r="KO163" s="285" t="n"/>
    </row>
    <row r="164" outlineLevel="1" ht="28.8" customFormat="1" customHeight="1" s="68">
      <c r="A164" s="333" t="n"/>
      <c r="B164" s="333" t="n"/>
      <c r="C164" s="333" t="n"/>
      <c r="D164" s="333" t="n"/>
      <c r="E164" s="60" t="n">
        <v>17</v>
      </c>
      <c r="F164" s="60" t="n">
        <v>1</v>
      </c>
      <c r="G164" s="56" t="n">
        <v>9253771100</v>
      </c>
      <c r="H164" s="57" t="inlineStr">
        <is>
          <t>Энергоаккумулятор тип 30/30</t>
        </is>
      </c>
      <c r="I164" s="371">
        <f>305/1.2</f>
        <v/>
      </c>
      <c r="J164" s="337">
        <f>305/1.2</f>
        <v/>
      </c>
      <c r="K164" s="371" t="n"/>
      <c r="L164" s="371" t="n"/>
      <c r="M164" s="36" t="n"/>
      <c r="N164" s="284" t="n"/>
      <c r="O164" s="38" t="n"/>
      <c r="P164" s="284" t="n"/>
      <c r="Q164" s="36" t="n"/>
      <c r="R164" s="284" t="n"/>
      <c r="S164" s="38" t="n"/>
      <c r="T164" s="284" t="n"/>
      <c r="U164" s="36" t="n"/>
      <c r="V164" s="284" t="n"/>
      <c r="W164" s="38" t="n"/>
      <c r="X164" s="284" t="n"/>
      <c r="Y164" s="36" t="n"/>
      <c r="Z164" s="284" t="n"/>
      <c r="AA164" s="38" t="n"/>
      <c r="AB164" s="284" t="n"/>
      <c r="AC164" s="36" t="n"/>
      <c r="AD164" s="284" t="n"/>
      <c r="AE164" s="38" t="n"/>
      <c r="AF164" s="284" t="n"/>
      <c r="AG164" s="36" t="n"/>
      <c r="AH164" s="284" t="n"/>
      <c r="AI164" s="38" t="n"/>
      <c r="AJ164" s="284" t="n"/>
      <c r="AK164" s="36" t="n"/>
      <c r="AL164" s="284" t="n"/>
      <c r="AM164" s="38" t="n"/>
      <c r="AN164" s="284" t="n"/>
      <c r="AO164" s="36" t="n"/>
      <c r="AP164" s="284" t="n"/>
      <c r="AQ164" s="38" t="n"/>
      <c r="AR164" s="284" t="n"/>
      <c r="AS164" s="36" t="n"/>
      <c r="AT164" s="284" t="n"/>
      <c r="AU164" s="38" t="n">
        <v>0</v>
      </c>
      <c r="AV164" s="284" t="n"/>
      <c r="AW164" s="36" t="n"/>
      <c r="AX164" s="284" t="n"/>
      <c r="AY164" s="38" t="n">
        <v>0</v>
      </c>
      <c r="AZ164" s="284" t="n"/>
      <c r="BA164" s="36" t="n"/>
      <c r="BB164" s="284" t="n"/>
      <c r="BC164" s="99" t="n">
        <v>0</v>
      </c>
      <c r="BD164" s="284" t="n"/>
      <c r="BE164" s="36" t="n"/>
      <c r="BF164" s="284" t="n"/>
      <c r="BG164" s="54" t="n">
        <v>0</v>
      </c>
      <c r="BH164" s="284" t="n"/>
      <c r="BI164" s="338">
        <f>SUMPRODUCT(--(MOD(COLUMN($M164:$BH164),4)=MOD(COLUMN($M164),4)),$M164:$BH164)</f>
        <v/>
      </c>
      <c r="BJ164" s="339">
        <f>BI164*$I164</f>
        <v/>
      </c>
      <c r="BK164" s="340">
        <f>SUMPRODUCT(--(MOD(COLUMN($M164:$BH164),4)=MOD(COLUMN($M164)+1,4)),$M164:$BH164)</f>
        <v/>
      </c>
      <c r="BL164" s="341">
        <f>BK164*$I164</f>
        <v/>
      </c>
      <c r="BM164" s="342">
        <f>SUMPRODUCT(--(MOD(COLUMN($M164:$BH164),4)=MOD(COLUMN($M164)+2,4)),$M164:$BH164)</f>
        <v/>
      </c>
      <c r="BN164" s="343">
        <f>BM164*$I164</f>
        <v/>
      </c>
      <c r="BO164" s="36" t="n"/>
      <c r="BP164" s="47" t="n"/>
      <c r="BQ164" s="39" t="n"/>
      <c r="BR164" s="38" t="n">
        <v>0</v>
      </c>
      <c r="BS164" s="333" t="n"/>
      <c r="BT164" s="36" t="n"/>
      <c r="BU164" s="47" t="n"/>
      <c r="BV164" s="69">
        <f>$KN164*0</f>
        <v/>
      </c>
      <c r="BW164" s="38" t="n">
        <v>0</v>
      </c>
      <c r="BX164" s="333" t="n"/>
      <c r="BY164" s="36">
        <f>$KN164*0</f>
        <v/>
      </c>
      <c r="BZ164" s="47">
        <f>$KN164*0</f>
        <v/>
      </c>
      <c r="CA164" s="284" t="n">
        <v>0</v>
      </c>
      <c r="CB164" s="38" t="n">
        <v>0</v>
      </c>
      <c r="CC164" s="284" t="n"/>
      <c r="CD164" s="36">
        <f>$KN164*0</f>
        <v/>
      </c>
      <c r="CE164" s="47">
        <f>$KN164*0</f>
        <v/>
      </c>
      <c r="CF164" s="284">
        <f>$KN164*0</f>
        <v/>
      </c>
      <c r="CG164" s="38" t="n">
        <v>0</v>
      </c>
      <c r="CH164" s="284" t="n"/>
      <c r="CI164" s="36">
        <f>$KN164*0</f>
        <v/>
      </c>
      <c r="CJ164" s="47">
        <f>$KN164*0</f>
        <v/>
      </c>
      <c r="CK164" s="284" t="n">
        <v>0</v>
      </c>
      <c r="CL164" s="38" t="n">
        <v>0</v>
      </c>
      <c r="CM164" s="284" t="n"/>
      <c r="CN164" s="36">
        <f>$KN164*0</f>
        <v/>
      </c>
      <c r="CO164" s="47">
        <f>$KN164*0</f>
        <v/>
      </c>
      <c r="CP164" s="284">
        <f>$KN164*0</f>
        <v/>
      </c>
      <c r="CQ164" s="38" t="n">
        <v>0</v>
      </c>
      <c r="CR164" s="284" t="n"/>
      <c r="CS164" s="36">
        <f>$KN164*0</f>
        <v/>
      </c>
      <c r="CT164" s="47">
        <f>$KN164*0</f>
        <v/>
      </c>
      <c r="CU164" s="284">
        <f>$KN164*0</f>
        <v/>
      </c>
      <c r="CV164" s="38" t="n">
        <v>0</v>
      </c>
      <c r="CW164" s="284" t="n"/>
      <c r="CX164" s="36">
        <f>$KN164*0</f>
        <v/>
      </c>
      <c r="CY164" s="47">
        <f>$KN164*0</f>
        <v/>
      </c>
      <c r="CZ164" s="284">
        <f>$KN164*0</f>
        <v/>
      </c>
      <c r="DA164" s="38" t="n">
        <v>0</v>
      </c>
      <c r="DB164" s="284" t="n"/>
      <c r="DC164" s="36">
        <f>$KN164*0</f>
        <v/>
      </c>
      <c r="DD164" s="47">
        <f>$KN164*0</f>
        <v/>
      </c>
      <c r="DE164" s="284">
        <f>$KN164*0</f>
        <v/>
      </c>
      <c r="DF164" s="38" t="n">
        <v>0</v>
      </c>
      <c r="DG164" s="284" t="n"/>
      <c r="DH164" s="36">
        <f>$KN164*0</f>
        <v/>
      </c>
      <c r="DI164" s="47">
        <f>$KN164*0</f>
        <v/>
      </c>
      <c r="DJ164" s="284">
        <f>$KN164*0</f>
        <v/>
      </c>
      <c r="DK164" s="38" t="n">
        <v>0</v>
      </c>
      <c r="DL164" s="284" t="n"/>
      <c r="DM164" s="36">
        <f>$KN164*0</f>
        <v/>
      </c>
      <c r="DN164" s="47">
        <f>$KN164*0</f>
        <v/>
      </c>
      <c r="DO164" s="284">
        <f>$KN164*0</f>
        <v/>
      </c>
      <c r="DP164" s="38" t="n">
        <v>0</v>
      </c>
      <c r="DQ164" s="284" t="n"/>
      <c r="DR164" s="36">
        <f>$KN164*0</f>
        <v/>
      </c>
      <c r="DS164" s="47">
        <f>$KN164*0</f>
        <v/>
      </c>
      <c r="DT164" s="284">
        <f>$KN164*0</f>
        <v/>
      </c>
      <c r="DU164" s="38" t="n"/>
      <c r="DV164" s="284" t="n"/>
      <c r="DW164" s="338">
        <f t="array" ref="DW164">SUMPRODUCT(--(MOD(COLUMN($BO164:$DV164),5)=MOD(COLUMN($BO164),5)),$BO164:$DV164)</f>
        <v/>
      </c>
      <c r="DX164" s="339">
        <f>DW164*$J164</f>
        <v/>
      </c>
      <c r="DY164" s="344">
        <f t="array" ref="DY164">SUMPRODUCT(--(MOD(COLUMN($BO164:$DV164),5)=MOD(COLUMN($BP164),5)),$BO164:$DV164)</f>
        <v/>
      </c>
      <c r="DZ164" s="345">
        <f>DY164*$J164</f>
        <v/>
      </c>
      <c r="EA164" s="340">
        <f t="array" ref="EA164">SUMPRODUCT(--(MOD(COLUMN($BO164:$DV164),5)=MOD(COLUMN($BQ164),5)),$BO164:$DV164)</f>
        <v/>
      </c>
      <c r="EB164" s="341">
        <f>EA164*$J164</f>
        <v/>
      </c>
      <c r="EC164" s="342">
        <f t="array" ref="EC164">SUMPRODUCT(--(MOD(COLUMN($BO164:$DV164),5)=MOD(COLUMN($BR164),5)),$BO164:$DV164)</f>
        <v/>
      </c>
      <c r="ED164" s="343">
        <f>EC164*$J164</f>
        <v/>
      </c>
      <c r="EE164" s="36">
        <f>$KN164*0</f>
        <v/>
      </c>
      <c r="EF164" s="284" t="n">
        <v>0</v>
      </c>
      <c r="EG164" s="38" t="n"/>
      <c r="EH164" s="284" t="n"/>
      <c r="EI164" s="36">
        <f>$KN164*0</f>
        <v/>
      </c>
      <c r="EJ164" s="284" t="n">
        <v>0</v>
      </c>
      <c r="EK164" s="38" t="n"/>
      <c r="EL164" s="284" t="n"/>
      <c r="EM164" s="36">
        <f>$KN164*0</f>
        <v/>
      </c>
      <c r="EN164" s="284" t="n">
        <v>0</v>
      </c>
      <c r="EO164" s="38" t="n"/>
      <c r="EP164" s="284" t="n"/>
      <c r="EQ164" s="36">
        <f>$KN164*0</f>
        <v/>
      </c>
      <c r="ER164" s="284" t="n">
        <v>0</v>
      </c>
      <c r="ES164" s="38" t="n"/>
      <c r="ET164" s="284" t="n"/>
      <c r="EU164" s="36">
        <f>$KN164*0</f>
        <v/>
      </c>
      <c r="EV164" s="284" t="n">
        <v>0</v>
      </c>
      <c r="EW164" s="38" t="n"/>
      <c r="EX164" s="284" t="n"/>
      <c r="EY164" s="36">
        <f>$KN164*0</f>
        <v/>
      </c>
      <c r="EZ164" s="284" t="n">
        <v>0</v>
      </c>
      <c r="FA164" s="38" t="n"/>
      <c r="FB164" s="284" t="n"/>
      <c r="FC164" s="36">
        <f>$KN164*0</f>
        <v/>
      </c>
      <c r="FD164" s="284" t="n">
        <v>0</v>
      </c>
      <c r="FE164" s="38" t="n"/>
      <c r="FF164" s="284" t="n"/>
      <c r="FG164" s="36">
        <f>$KN164*0</f>
        <v/>
      </c>
      <c r="FH164" s="284" t="n">
        <v>0</v>
      </c>
      <c r="FI164" s="38" t="n"/>
      <c r="FJ164" s="284" t="n"/>
      <c r="FK164" s="36">
        <f>$KN164*0</f>
        <v/>
      </c>
      <c r="FL164" s="284" t="n">
        <v>0</v>
      </c>
      <c r="FM164" s="38" t="n"/>
      <c r="FN164" s="284" t="n"/>
      <c r="FO164" s="36">
        <f>$KN164*0</f>
        <v/>
      </c>
      <c r="FP164" s="284" t="n">
        <v>0</v>
      </c>
      <c r="FQ164" s="38" t="n"/>
      <c r="FR164" s="284" t="n"/>
      <c r="FS164" s="36">
        <f>$KN164*0</f>
        <v/>
      </c>
      <c r="FT164" s="284" t="n">
        <v>0</v>
      </c>
      <c r="FU164" s="38" t="n"/>
      <c r="FV164" s="284" t="n"/>
      <c r="FW164" s="36">
        <f>$KN164*0</f>
        <v/>
      </c>
      <c r="FX164" s="284" t="n">
        <v>0</v>
      </c>
      <c r="FY164" s="38" t="n"/>
      <c r="FZ164" s="284" t="n"/>
      <c r="GA164" s="338">
        <f t="array" ref="GA164">SUMPRODUCT(--(MOD(COLUMN($EE164:$FZ164),4)=MOD(COLUMN($EE164),4)),$EE164:$FZ164)</f>
        <v/>
      </c>
      <c r="GB164" s="339">
        <f>GA164*$J164</f>
        <v/>
      </c>
      <c r="GC164" s="340">
        <f t="array" ref="GC164">SUMPRODUCT(--(MOD(COLUMN($EE164:$FZ164),4)=MOD(COLUMN($EF164),4)),$EE164:$FZ164)</f>
        <v/>
      </c>
      <c r="GD164" s="341">
        <f>GC164*$J164</f>
        <v/>
      </c>
      <c r="GE164" s="342">
        <f t="array" ref="GE164">SUMPRODUCT(--(MOD(COLUMN($EE164:$FZ164),4)=MOD(COLUMN($EG164),4)),$EE164:$FZ164)</f>
        <v/>
      </c>
      <c r="GF164" s="343">
        <f>GE164*$J164</f>
        <v/>
      </c>
      <c r="GG164" s="36">
        <f>$KN164*0</f>
        <v/>
      </c>
      <c r="GH164" s="284" t="n"/>
      <c r="GI164" s="38" t="n"/>
      <c r="GJ164" s="284" t="n"/>
      <c r="GK164" s="36">
        <f>$KN164*0</f>
        <v/>
      </c>
      <c r="GL164" s="284" t="n"/>
      <c r="GM164" s="38" t="n"/>
      <c r="GN164" s="284" t="n"/>
      <c r="GO164" s="36">
        <f>$KN164*0</f>
        <v/>
      </c>
      <c r="GP164" s="284" t="n"/>
      <c r="GQ164" s="38" t="n"/>
      <c r="GR164" s="284" t="n"/>
      <c r="GS164" s="36">
        <f>$KN164*0</f>
        <v/>
      </c>
      <c r="GT164" s="284" t="n"/>
      <c r="GU164" s="38" t="n"/>
      <c r="GV164" s="284" t="n"/>
      <c r="GW164" s="36">
        <f>$KN164*0</f>
        <v/>
      </c>
      <c r="GX164" s="284" t="n"/>
      <c r="GY164" s="38" t="n"/>
      <c r="GZ164" s="284" t="n"/>
      <c r="HA164" s="36">
        <f>$KN164*0</f>
        <v/>
      </c>
      <c r="HB164" s="284" t="n"/>
      <c r="HC164" s="38" t="n"/>
      <c r="HD164" s="284" t="n"/>
      <c r="HE164" s="36">
        <f>$KN164*0</f>
        <v/>
      </c>
      <c r="HF164" s="284" t="n"/>
      <c r="HG164" s="38" t="n"/>
      <c r="HH164" s="284" t="n"/>
      <c r="HI164" s="36">
        <f>$KN164*0</f>
        <v/>
      </c>
      <c r="HJ164" s="284" t="n"/>
      <c r="HK164" s="38" t="n"/>
      <c r="HL164" s="284" t="n"/>
      <c r="HM164" s="36">
        <f>$KN164*0</f>
        <v/>
      </c>
      <c r="HN164" s="284" t="n"/>
      <c r="HO164" s="38" t="n"/>
      <c r="HP164" s="284" t="n"/>
      <c r="HQ164" s="36">
        <f>$KN164*0</f>
        <v/>
      </c>
      <c r="HR164" s="284" t="n"/>
      <c r="HS164" s="38" t="n"/>
      <c r="HT164" s="284" t="n"/>
      <c r="HU164" s="36">
        <f>$KN164*0</f>
        <v/>
      </c>
      <c r="HV164" s="284" t="n"/>
      <c r="HW164" s="38" t="n"/>
      <c r="HX164" s="284" t="n"/>
      <c r="HY164" s="36">
        <f>$KN164*0</f>
        <v/>
      </c>
      <c r="HZ164" s="284" t="n"/>
      <c r="IA164" s="38" t="n"/>
      <c r="IB164" s="284" t="n"/>
      <c r="IC164" s="338">
        <f t="array" ref="IC164">SUMPRODUCT(--(MOD(COLUMN($GG164:$IB164),4)=MOD(COLUMN($GG164),4)),$GG164:$IB164)</f>
        <v/>
      </c>
      <c r="ID164" s="339">
        <f>IC164*$J164</f>
        <v/>
      </c>
      <c r="IE164" s="340">
        <f t="array" ref="IE164">SUMPRODUCT(--(MOD(COLUMN($GG164:$IB164),4)=MOD(COLUMN($GH164),4)),$GG164:$IB164)</f>
        <v/>
      </c>
      <c r="IF164" s="341">
        <f>IE164*$J164</f>
        <v/>
      </c>
      <c r="IG164" s="342">
        <f t="array" ref="IG164">SUMPRODUCT(--(MOD(COLUMN($GG164:$IB164),4)=MOD(COLUMN($GI164),4)),$GG164:$IB164)</f>
        <v/>
      </c>
      <c r="IH164" s="343">
        <f>IG164*$J164</f>
        <v/>
      </c>
      <c r="II164" s="36">
        <f>$KN164*0</f>
        <v/>
      </c>
      <c r="IJ164" s="284" t="n"/>
      <c r="IK164" s="38" t="n"/>
      <c r="IL164" s="284" t="n"/>
      <c r="IM164" s="36">
        <f>$KN164*0</f>
        <v/>
      </c>
      <c r="IN164" s="284" t="n"/>
      <c r="IO164" s="38" t="n"/>
      <c r="IP164" s="284" t="n"/>
      <c r="IQ164" s="36">
        <f>$KN164*0</f>
        <v/>
      </c>
      <c r="IR164" s="284" t="n"/>
      <c r="IS164" s="38" t="n"/>
      <c r="IT164" s="284" t="n"/>
      <c r="IU164" s="36">
        <f>$KN164*0</f>
        <v/>
      </c>
      <c r="IV164" s="284" t="n"/>
      <c r="IW164" s="38" t="n"/>
      <c r="IX164" s="284" t="n"/>
      <c r="IY164" s="36">
        <f>$KN164*0</f>
        <v/>
      </c>
      <c r="IZ164" s="284" t="n"/>
      <c r="JA164" s="38" t="n"/>
      <c r="JB164" s="284" t="n"/>
      <c r="JC164" s="36">
        <f>$KN164*0</f>
        <v/>
      </c>
      <c r="JD164" s="284" t="n"/>
      <c r="JE164" s="38" t="n"/>
      <c r="JF164" s="284" t="n"/>
      <c r="JG164" s="36">
        <f>$KN164*0</f>
        <v/>
      </c>
      <c r="JH164" s="284" t="n"/>
      <c r="JI164" s="38" t="n"/>
      <c r="JJ164" s="284" t="n"/>
      <c r="JK164" s="36">
        <f>$KN164*0</f>
        <v/>
      </c>
      <c r="JL164" s="284" t="n"/>
      <c r="JM164" s="38" t="n"/>
      <c r="JN164" s="284" t="n"/>
      <c r="JO164" s="36">
        <f>$KN164*0</f>
        <v/>
      </c>
      <c r="JP164" s="284" t="n"/>
      <c r="JQ164" s="38" t="n"/>
      <c r="JR164" s="284" t="n"/>
      <c r="JS164" s="36">
        <f>$KN164*0</f>
        <v/>
      </c>
      <c r="JT164" s="284" t="n"/>
      <c r="JU164" s="38" t="n"/>
      <c r="JV164" s="284" t="n"/>
      <c r="JW164" s="36">
        <f>$KN164*0</f>
        <v/>
      </c>
      <c r="JX164" s="284" t="n"/>
      <c r="JY164" s="38" t="n"/>
      <c r="JZ164" s="284" t="n"/>
      <c r="KA164" s="36">
        <f>$KN164*0</f>
        <v/>
      </c>
      <c r="KB164" s="284" t="n"/>
      <c r="KC164" s="38" t="n"/>
      <c r="KD164" s="284" t="n"/>
      <c r="KE164" s="338">
        <f t="array" ref="KE164">SUMPRODUCT(--(MOD(COLUMN($II164:$KD164),4)=MOD(COLUMN($II164),4)),$II164:$KD164)</f>
        <v/>
      </c>
      <c r="KF164" s="339">
        <f>KE164*$J164</f>
        <v/>
      </c>
      <c r="KG164" s="340">
        <f t="array" ref="KG164">SUMPRODUCT(--(MOD(COLUMN($II164:$KD164),4)=MOD(COLUMN($IJ164),4)),$II164:$KD164)</f>
        <v/>
      </c>
      <c r="KH164" s="341">
        <f>KG164*$J164</f>
        <v/>
      </c>
      <c r="KI164" s="342">
        <f t="array" ref="KI164">SUMPRODUCT(--(MOD(COLUMN($II164:$KD164),4)=MOD(COLUMN($IK164),4)),$II164:$KD164)</f>
        <v/>
      </c>
      <c r="KJ164" s="346">
        <f>KI164*$J164</f>
        <v/>
      </c>
      <c r="KK164" s="80" t="n"/>
      <c r="KL164" s="80" t="n"/>
      <c r="KM164" s="80" t="n"/>
      <c r="KN164" s="51" t="n">
        <v>2</v>
      </c>
      <c r="KO164" s="285" t="n"/>
    </row>
    <row r="165" outlineLevel="1" customFormat="1" s="68">
      <c r="A165" s="252" t="n"/>
      <c r="B165" s="69" t="n"/>
      <c r="C165" s="256" t="n"/>
      <c r="D165" s="256" t="n"/>
      <c r="E165" s="70" t="n"/>
      <c r="F165" s="70" t="n"/>
      <c r="G165" s="71" t="n"/>
      <c r="H165" s="72" t="inlineStr">
        <is>
          <t>Итого</t>
        </is>
      </c>
      <c r="I165" s="361" t="n"/>
      <c r="J165" s="360" t="n"/>
      <c r="K165" s="360" t="n"/>
      <c r="L165" s="360" t="n"/>
      <c r="M165" s="74" t="n"/>
      <c r="N165" s="75" t="n"/>
      <c r="O165" s="28" t="n"/>
      <c r="P165" s="75" t="n"/>
      <c r="Q165" s="74" t="n"/>
      <c r="R165" s="75" t="n"/>
      <c r="S165" s="28" t="n"/>
      <c r="T165" s="75" t="n"/>
      <c r="U165" s="74" t="n"/>
      <c r="V165" s="75" t="n"/>
      <c r="W165" s="28" t="n"/>
      <c r="X165" s="75" t="n"/>
      <c r="Y165" s="74" t="n"/>
      <c r="Z165" s="75" t="n"/>
      <c r="AA165" s="38" t="n"/>
      <c r="AB165" s="75" t="n"/>
      <c r="AC165" s="74" t="n"/>
      <c r="AD165" s="75" t="n"/>
      <c r="AE165" s="28" t="n"/>
      <c r="AF165" s="75" t="n"/>
      <c r="AG165" s="74" t="n"/>
      <c r="AH165" s="75" t="n"/>
      <c r="AI165" s="38" t="n"/>
      <c r="AJ165" s="75" t="n"/>
      <c r="AK165" s="74" t="n"/>
      <c r="AL165" s="75" t="n"/>
      <c r="AM165" s="38" t="n"/>
      <c r="AN165" s="75" t="n"/>
      <c r="AO165" s="74" t="n"/>
      <c r="AP165" s="75" t="n"/>
      <c r="AQ165" s="38" t="n"/>
      <c r="AR165" s="75" t="n"/>
      <c r="AS165" s="74" t="n"/>
      <c r="AT165" s="75" t="n"/>
      <c r="AU165" s="38" t="n"/>
      <c r="AV165" s="75" t="n"/>
      <c r="AW165" s="74" t="n"/>
      <c r="AX165" s="75" t="n"/>
      <c r="AY165" s="28" t="n"/>
      <c r="AZ165" s="75" t="n"/>
      <c r="BA165" s="74" t="n"/>
      <c r="BB165" s="97" t="n"/>
      <c r="BC165" s="77" t="n"/>
      <c r="BD165" s="75" t="n"/>
      <c r="BE165" s="74" t="n"/>
      <c r="BF165" s="76" t="n"/>
      <c r="BG165" s="78" t="n"/>
      <c r="BH165" s="75" t="n"/>
      <c r="BI165" s="338">
        <f>SUMPRODUCT(--(MOD(COLUMN($M165:$BH165),4)=MOD(COLUMN($M165),4)),$M165:$BH165)</f>
        <v/>
      </c>
      <c r="BJ165" s="339">
        <f>BI165*$I165</f>
        <v/>
      </c>
      <c r="BK165" s="340">
        <f>SUMPRODUCT(--(MOD(COLUMN($M165:$BH165),4)=MOD(COLUMN($M165)+1,4)),$M165:$BH165)</f>
        <v/>
      </c>
      <c r="BL165" s="341">
        <f>BK165*$I165</f>
        <v/>
      </c>
      <c r="BM165" s="342">
        <f>SUMPRODUCT(--(MOD(COLUMN($M165:$BH165),4)=MOD(COLUMN($M165)+2,4)),$M165:$BH165)</f>
        <v/>
      </c>
      <c r="BN165" s="343">
        <f>BM165*$I165</f>
        <v/>
      </c>
      <c r="BO165" s="74" t="n"/>
      <c r="BP165" s="79" t="n"/>
      <c r="BQ165" s="75" t="n"/>
      <c r="BR165" s="28" t="n"/>
      <c r="BS165" s="75" t="n"/>
      <c r="BT165" s="74" t="n"/>
      <c r="BU165" s="79" t="n"/>
      <c r="BV165" s="75" t="n"/>
      <c r="BW165" s="28" t="n"/>
      <c r="BX165" s="75" t="n"/>
      <c r="BY165" s="74" t="n"/>
      <c r="BZ165" s="79" t="n"/>
      <c r="CA165" s="75" t="n"/>
      <c r="CB165" s="28" t="n"/>
      <c r="CC165" s="75" t="n"/>
      <c r="CD165" s="74" t="n"/>
      <c r="CE165" s="79" t="n"/>
      <c r="CF165" s="75" t="n"/>
      <c r="CG165" s="28" t="n"/>
      <c r="CH165" s="75" t="n"/>
      <c r="CI165" s="74" t="n"/>
      <c r="CJ165" s="79" t="n"/>
      <c r="CK165" s="75" t="n"/>
      <c r="CL165" s="28" t="n"/>
      <c r="CM165" s="75" t="n"/>
      <c r="CN165" s="74" t="n"/>
      <c r="CO165" s="79" t="n"/>
      <c r="CP165" s="75" t="n"/>
      <c r="CQ165" s="28" t="n"/>
      <c r="CR165" s="75" t="n"/>
      <c r="CS165" s="74" t="n"/>
      <c r="CT165" s="79" t="n"/>
      <c r="CU165" s="75" t="n"/>
      <c r="CV165" s="28" t="n"/>
      <c r="CW165" s="75" t="n"/>
      <c r="CX165" s="74" t="n"/>
      <c r="CY165" s="79" t="n"/>
      <c r="CZ165" s="75" t="n"/>
      <c r="DA165" s="28" t="n"/>
      <c r="DB165" s="75" t="n"/>
      <c r="DC165" s="74" t="n"/>
      <c r="DD165" s="79" t="n"/>
      <c r="DE165" s="75" t="n"/>
      <c r="DF165" s="28" t="n"/>
      <c r="DG165" s="75" t="n"/>
      <c r="DH165" s="74" t="n"/>
      <c r="DI165" s="79" t="n"/>
      <c r="DJ165" s="75" t="n"/>
      <c r="DK165" s="28" t="n"/>
      <c r="DL165" s="75" t="n"/>
      <c r="DM165" s="74" t="n"/>
      <c r="DN165" s="79" t="n"/>
      <c r="DO165" s="75" t="n"/>
      <c r="DP165" s="28" t="n"/>
      <c r="DQ165" s="75" t="n"/>
      <c r="DR165" s="74" t="n"/>
      <c r="DS165" s="79" t="n"/>
      <c r="DT165" s="75" t="n"/>
      <c r="DU165" s="28" t="n"/>
      <c r="DV165" s="75" t="n"/>
      <c r="DW165" s="338" t="n"/>
      <c r="DX165" s="338" t="n"/>
      <c r="DY165" s="344" t="n"/>
      <c r="DZ165" s="344" t="n"/>
      <c r="EA165" s="340" t="n"/>
      <c r="EB165" s="341" t="n"/>
      <c r="EC165" s="342" t="n"/>
      <c r="ED165" s="343" t="n"/>
      <c r="EE165" s="74" t="n"/>
      <c r="EF165" s="75" t="n"/>
      <c r="EG165" s="28" t="n"/>
      <c r="EH165" s="75" t="n"/>
      <c r="EI165" s="74" t="n"/>
      <c r="EJ165" s="75" t="n"/>
      <c r="EK165" s="28" t="n"/>
      <c r="EL165" s="75" t="n"/>
      <c r="EM165" s="74" t="n"/>
      <c r="EN165" s="75" t="n"/>
      <c r="EO165" s="28" t="n"/>
      <c r="EP165" s="75" t="n"/>
      <c r="EQ165" s="74" t="n"/>
      <c r="ER165" s="75" t="n"/>
      <c r="ES165" s="28" t="n"/>
      <c r="ET165" s="75" t="n"/>
      <c r="EU165" s="74" t="n"/>
      <c r="EV165" s="75" t="n"/>
      <c r="EW165" s="28" t="n"/>
      <c r="EX165" s="75" t="n"/>
      <c r="EY165" s="74" t="n"/>
      <c r="EZ165" s="75" t="n"/>
      <c r="FA165" s="28" t="n"/>
      <c r="FB165" s="75" t="n"/>
      <c r="FC165" s="74" t="n"/>
      <c r="FD165" s="75" t="n"/>
      <c r="FE165" s="28" t="n"/>
      <c r="FF165" s="75" t="n"/>
      <c r="FG165" s="74" t="n"/>
      <c r="FH165" s="75" t="n"/>
      <c r="FI165" s="28" t="n"/>
      <c r="FJ165" s="75" t="n"/>
      <c r="FK165" s="74" t="n"/>
      <c r="FL165" s="75" t="n"/>
      <c r="FM165" s="28" t="n"/>
      <c r="FN165" s="75" t="n"/>
      <c r="FO165" s="74" t="n"/>
      <c r="FP165" s="75" t="n"/>
      <c r="FQ165" s="28" t="n"/>
      <c r="FR165" s="75" t="n"/>
      <c r="FS165" s="74" t="n"/>
      <c r="FT165" s="75" t="n"/>
      <c r="FU165" s="28" t="n"/>
      <c r="FV165" s="75" t="n"/>
      <c r="FW165" s="74" t="n"/>
      <c r="FX165" s="75" t="n"/>
      <c r="FY165" s="28" t="n"/>
      <c r="FZ165" s="75" t="n"/>
      <c r="GA165" s="338" t="n"/>
      <c r="GB165" s="339" t="n"/>
      <c r="GC165" s="340" t="n"/>
      <c r="GD165" s="341" t="n"/>
      <c r="GE165" s="342" t="n"/>
      <c r="GF165" s="343" t="n"/>
      <c r="GG165" s="74" t="n"/>
      <c r="GH165" s="75" t="n"/>
      <c r="GI165" s="28" t="n"/>
      <c r="GJ165" s="75" t="n"/>
      <c r="GK165" s="74" t="n"/>
      <c r="GL165" s="75" t="n"/>
      <c r="GM165" s="28" t="n"/>
      <c r="GN165" s="75" t="n"/>
      <c r="GO165" s="74" t="n"/>
      <c r="GP165" s="75" t="n"/>
      <c r="GQ165" s="28" t="n"/>
      <c r="GR165" s="75" t="n"/>
      <c r="GS165" s="74" t="n"/>
      <c r="GT165" s="75" t="n"/>
      <c r="GU165" s="28" t="n"/>
      <c r="GV165" s="75" t="n"/>
      <c r="GW165" s="74" t="n"/>
      <c r="GX165" s="75" t="n"/>
      <c r="GY165" s="28" t="n"/>
      <c r="GZ165" s="75" t="n"/>
      <c r="HA165" s="74" t="n"/>
      <c r="HB165" s="75" t="n"/>
      <c r="HC165" s="28" t="n"/>
      <c r="HD165" s="75" t="n"/>
      <c r="HE165" s="74" t="n"/>
      <c r="HF165" s="75" t="n"/>
      <c r="HG165" s="28" t="n"/>
      <c r="HH165" s="75" t="n"/>
      <c r="HI165" s="74" t="n"/>
      <c r="HJ165" s="75" t="n"/>
      <c r="HK165" s="28" t="n"/>
      <c r="HL165" s="75" t="n"/>
      <c r="HM165" s="74" t="n"/>
      <c r="HN165" s="75" t="n"/>
      <c r="HO165" s="28" t="n"/>
      <c r="HP165" s="75" t="n"/>
      <c r="HQ165" s="74" t="n"/>
      <c r="HR165" s="75" t="n"/>
      <c r="HS165" s="28" t="n"/>
      <c r="HT165" s="75" t="n"/>
      <c r="HU165" s="74" t="n"/>
      <c r="HV165" s="75" t="n"/>
      <c r="HW165" s="28" t="n"/>
      <c r="HX165" s="75" t="n"/>
      <c r="HY165" s="74" t="n"/>
      <c r="HZ165" s="75" t="n"/>
      <c r="IA165" s="28" t="n"/>
      <c r="IB165" s="75" t="n"/>
      <c r="IC165" s="338" t="n"/>
      <c r="ID165" s="339" t="n"/>
      <c r="IE165" s="340" t="n"/>
      <c r="IF165" s="341" t="n"/>
      <c r="IG165" s="342" t="n"/>
      <c r="IH165" s="343" t="n"/>
      <c r="II165" s="74" t="n"/>
      <c r="IJ165" s="75" t="n"/>
      <c r="IK165" s="28" t="n"/>
      <c r="IL165" s="75" t="n"/>
      <c r="IM165" s="74" t="n"/>
      <c r="IN165" s="75" t="n"/>
      <c r="IO165" s="28" t="n"/>
      <c r="IP165" s="75" t="n"/>
      <c r="IQ165" s="74" t="n"/>
      <c r="IR165" s="75" t="n"/>
      <c r="IS165" s="28" t="n"/>
      <c r="IT165" s="75" t="n"/>
      <c r="IU165" s="74" t="n"/>
      <c r="IV165" s="75" t="n"/>
      <c r="IW165" s="28" t="n"/>
      <c r="IX165" s="75" t="n"/>
      <c r="IY165" s="74" t="n"/>
      <c r="IZ165" s="75" t="n"/>
      <c r="JA165" s="28" t="n"/>
      <c r="JB165" s="75" t="n"/>
      <c r="JC165" s="74" t="n"/>
      <c r="JD165" s="75" t="n"/>
      <c r="JE165" s="28" t="n"/>
      <c r="JF165" s="75" t="n"/>
      <c r="JG165" s="74" t="n"/>
      <c r="JH165" s="75" t="n"/>
      <c r="JI165" s="28" t="n"/>
      <c r="JJ165" s="75" t="n"/>
      <c r="JK165" s="74" t="n"/>
      <c r="JL165" s="75" t="n"/>
      <c r="JM165" s="28" t="n"/>
      <c r="JN165" s="75" t="n"/>
      <c r="JO165" s="74" t="n"/>
      <c r="JP165" s="75" t="n"/>
      <c r="JQ165" s="28" t="n"/>
      <c r="JR165" s="75" t="n"/>
      <c r="JS165" s="74" t="n"/>
      <c r="JT165" s="75" t="n"/>
      <c r="JU165" s="28" t="n"/>
      <c r="JV165" s="75" t="n"/>
      <c r="JW165" s="74" t="n"/>
      <c r="JX165" s="75" t="n"/>
      <c r="JY165" s="28" t="n"/>
      <c r="JZ165" s="75" t="n"/>
      <c r="KA165" s="74" t="n"/>
      <c r="KB165" s="75" t="n"/>
      <c r="KC165" s="28" t="n"/>
      <c r="KD165" s="75" t="n"/>
      <c r="KE165" s="338" t="n"/>
      <c r="KF165" s="339" t="n"/>
      <c r="KG165" s="340" t="n"/>
      <c r="KH165" s="341" t="n"/>
      <c r="KI165" s="342" t="n"/>
      <c r="KJ165" s="346" t="n"/>
      <c r="KK165" s="80" t="n"/>
      <c r="KL165" s="80" t="n"/>
      <c r="KM165" s="80" t="n"/>
      <c r="KN165" s="253" t="n"/>
      <c r="KO165" s="253" t="n"/>
    </row>
    <row r="166" ht="28.8" customFormat="1" customHeight="1" s="68">
      <c r="A166" s="233" t="inlineStr">
        <is>
          <t>Атлас Трейлер
(не заведен в 1С)</t>
        </is>
      </c>
      <c r="B166" s="81" t="n"/>
      <c r="C166" s="82" t="n"/>
      <c r="D166" s="82" t="n"/>
      <c r="E166" s="83" t="n"/>
      <c r="F166" s="83" t="n"/>
      <c r="G166" s="84" t="n"/>
      <c r="H166" s="85" t="n"/>
      <c r="I166" s="362" t="n"/>
      <c r="J166" s="362" t="n"/>
      <c r="K166" s="362" t="n"/>
      <c r="L166" s="362" t="n"/>
      <c r="M166" s="81" t="n"/>
      <c r="N166" s="81" t="n"/>
      <c r="O166" s="81" t="n"/>
      <c r="P166" s="81" t="n"/>
      <c r="Q166" s="81" t="n"/>
      <c r="R166" s="81" t="n"/>
      <c r="S166" s="81" t="n"/>
      <c r="T166" s="81" t="n"/>
      <c r="U166" s="81" t="n"/>
      <c r="V166" s="81" t="n"/>
      <c r="W166" s="81" t="n"/>
      <c r="X166" s="81" t="n"/>
      <c r="Y166" s="81" t="n"/>
      <c r="Z166" s="81" t="n"/>
      <c r="AA166" s="81" t="n"/>
      <c r="AB166" s="81" t="n"/>
      <c r="AC166" s="81" t="n"/>
      <c r="AD166" s="81" t="n"/>
      <c r="AE166" s="81" t="n"/>
      <c r="AF166" s="81" t="n"/>
      <c r="AG166" s="81" t="n"/>
      <c r="AH166" s="81" t="n"/>
      <c r="AI166" s="81" t="n"/>
      <c r="AJ166" s="81" t="n"/>
      <c r="AK166" s="81" t="n"/>
      <c r="AL166" s="81" t="n"/>
      <c r="AM166" s="81" t="n"/>
      <c r="AN166" s="81" t="n"/>
      <c r="AO166" s="81" t="n"/>
      <c r="AP166" s="81" t="n"/>
      <c r="AQ166" s="81" t="n"/>
      <c r="AR166" s="81" t="n"/>
      <c r="AS166" s="81" t="n"/>
      <c r="AT166" s="81" t="n"/>
      <c r="AU166" s="81" t="n"/>
      <c r="AV166" s="81" t="n"/>
      <c r="AW166" s="81" t="n"/>
      <c r="AX166" s="81" t="n"/>
      <c r="AY166" s="87" t="n"/>
      <c r="AZ166" s="81" t="n"/>
      <c r="BA166" s="87" t="n"/>
      <c r="BB166" s="87" t="n"/>
      <c r="BC166" s="88" t="n"/>
      <c r="BD166" s="81" t="n"/>
      <c r="BE166" s="87" t="n"/>
      <c r="BF166" s="87" t="n"/>
      <c r="BG166" s="87" t="n"/>
      <c r="BH166" s="81" t="n"/>
      <c r="BI166" s="363">
        <f>SUMPRODUCT(--(MOD(COLUMN($M166:$BH166),4)=MOD(COLUMN($M166),4)),$M166:$BH166)</f>
        <v/>
      </c>
      <c r="BJ166" s="364">
        <f>BI166*$I166</f>
        <v/>
      </c>
      <c r="BK166" s="363">
        <f>SUMPRODUCT(--(MOD(COLUMN($M166:$BH166),4)=MOD(COLUMN($M166)+1,4)),$M166:$BH166)</f>
        <v/>
      </c>
      <c r="BL166" s="364">
        <f>BK166*$I166</f>
        <v/>
      </c>
      <c r="BM166" s="363">
        <f>SUMPRODUCT(--(MOD(COLUMN($M166:$BH166),4)=MOD(COLUMN($M166)+2,4)),$M166:$BH166)</f>
        <v/>
      </c>
      <c r="BN166" s="364">
        <f>BM166*$I166</f>
        <v/>
      </c>
      <c r="BO166" s="81" t="n"/>
      <c r="BP166" s="81" t="n"/>
      <c r="BQ166" s="81" t="n"/>
      <c r="BR166" s="81" t="n"/>
      <c r="BS166" s="81" t="n"/>
      <c r="BT166" s="81" t="n"/>
      <c r="BU166" s="81" t="n"/>
      <c r="BV166" s="81" t="n"/>
      <c r="BW166" s="81" t="n"/>
      <c r="BX166" s="81" t="n"/>
      <c r="BY166" s="81" t="n"/>
      <c r="BZ166" s="81" t="n"/>
      <c r="CA166" s="81" t="n"/>
      <c r="CB166" s="81" t="n"/>
      <c r="CC166" s="81" t="n"/>
      <c r="CD166" s="81" t="n"/>
      <c r="CE166" s="81" t="n"/>
      <c r="CF166" s="81" t="n"/>
      <c r="CG166" s="81" t="n"/>
      <c r="CH166" s="81" t="n"/>
      <c r="CI166" s="81" t="n"/>
      <c r="CJ166" s="81" t="n"/>
      <c r="CK166" s="81" t="n"/>
      <c r="CL166" s="81" t="n"/>
      <c r="CM166" s="81" t="n"/>
      <c r="CN166" s="81" t="n"/>
      <c r="CO166" s="81" t="n"/>
      <c r="CP166" s="81" t="n"/>
      <c r="CQ166" s="81" t="n"/>
      <c r="CR166" s="81" t="n"/>
      <c r="CS166" s="81" t="n"/>
      <c r="CT166" s="81" t="n"/>
      <c r="CU166" s="81" t="n"/>
      <c r="CV166" s="81" t="n"/>
      <c r="CW166" s="81" t="n"/>
      <c r="CX166" s="81" t="n"/>
      <c r="CY166" s="81" t="n"/>
      <c r="CZ166" s="81" t="n"/>
      <c r="DA166" s="81" t="n"/>
      <c r="DB166" s="81" t="n"/>
      <c r="DC166" s="81" t="n"/>
      <c r="DD166" s="81" t="n"/>
      <c r="DE166" s="81" t="n"/>
      <c r="DF166" s="81" t="n"/>
      <c r="DG166" s="81" t="n"/>
      <c r="DH166" s="81" t="n"/>
      <c r="DI166" s="81" t="n"/>
      <c r="DJ166" s="81" t="n"/>
      <c r="DK166" s="81" t="n"/>
      <c r="DL166" s="81" t="n"/>
      <c r="DM166" s="81" t="n"/>
      <c r="DN166" s="81" t="n"/>
      <c r="DO166" s="81" t="n"/>
      <c r="DP166" s="81" t="n"/>
      <c r="DQ166" s="81" t="n"/>
      <c r="DR166" s="81" t="n"/>
      <c r="DS166" s="81" t="n"/>
      <c r="DT166" s="81" t="n"/>
      <c r="DU166" s="81" t="n"/>
      <c r="DV166" s="81" t="n"/>
      <c r="DW166" s="363">
        <f>SUMPRODUCT(--(MOD(COLUMN($BO166:$DV166),5)=MOD(COLUMN($BO166),5)),$BO166:$DV166)</f>
        <v/>
      </c>
      <c r="DX166" s="363">
        <f>DW166*$J166</f>
        <v/>
      </c>
      <c r="DY166" s="363">
        <f>SUMPRODUCT(--(MOD(COLUMN($BO166:$DV166),5)=MOD(COLUMN($BO166),5)+1),$BO166:$DV166)</f>
        <v/>
      </c>
      <c r="DZ166" s="363">
        <f>DY166*$J166</f>
        <v/>
      </c>
      <c r="EA166" s="363">
        <f>SUMPRODUCT(--(MOD(COLUMN($BO166:$DV166),5)=MOD(COLUMN($BO166),5)+2),$BO166:$DV166)</f>
        <v/>
      </c>
      <c r="EB166" s="364">
        <f>EA166*$J166</f>
        <v/>
      </c>
      <c r="EC166" s="363">
        <f>SUMPRODUCT(--(MOD(COLUMN($BO166:$DV166),5)=MOD(COLUMN($BO166),5)+3),$BO166:$DV166)</f>
        <v/>
      </c>
      <c r="ED166" s="364">
        <f>EC166*$J166</f>
        <v/>
      </c>
      <c r="EE166" s="81" t="n"/>
      <c r="EF166" s="81" t="n"/>
      <c r="EG166" s="81" t="n"/>
      <c r="EH166" s="81" t="n"/>
      <c r="EI166" s="81" t="n"/>
      <c r="EJ166" s="81" t="n"/>
      <c r="EK166" s="81" t="n"/>
      <c r="EL166" s="81" t="n"/>
      <c r="EM166" s="81" t="n"/>
      <c r="EN166" s="81" t="n"/>
      <c r="EO166" s="81" t="n"/>
      <c r="EP166" s="81" t="n"/>
      <c r="EQ166" s="81" t="n"/>
      <c r="ER166" s="81" t="n"/>
      <c r="ES166" s="81" t="n"/>
      <c r="ET166" s="81" t="n"/>
      <c r="EU166" s="81" t="n"/>
      <c r="EV166" s="81" t="n"/>
      <c r="EW166" s="81" t="n"/>
      <c r="EX166" s="81" t="n"/>
      <c r="EY166" s="81" t="n"/>
      <c r="EZ166" s="81" t="n"/>
      <c r="FA166" s="81" t="n"/>
      <c r="FB166" s="81" t="n"/>
      <c r="FC166" s="81" t="n"/>
      <c r="FD166" s="81" t="n"/>
      <c r="FE166" s="81" t="n"/>
      <c r="FF166" s="81" t="n"/>
      <c r="FG166" s="81" t="n"/>
      <c r="FH166" s="81" t="n"/>
      <c r="FI166" s="81" t="n"/>
      <c r="FJ166" s="81" t="n"/>
      <c r="FK166" s="81" t="n"/>
      <c r="FL166" s="81" t="n"/>
      <c r="FM166" s="81" t="n"/>
      <c r="FN166" s="81" t="n"/>
      <c r="FO166" s="81" t="n"/>
      <c r="FP166" s="81" t="n"/>
      <c r="FQ166" s="81" t="n"/>
      <c r="FR166" s="81" t="n"/>
      <c r="FS166" s="81" t="n"/>
      <c r="FT166" s="81" t="n"/>
      <c r="FU166" s="81" t="n"/>
      <c r="FV166" s="81" t="n"/>
      <c r="FW166" s="81" t="n"/>
      <c r="FX166" s="81" t="n"/>
      <c r="FY166" s="81" t="n"/>
      <c r="FZ166" s="81" t="n"/>
      <c r="GA166" s="363" t="n"/>
      <c r="GB166" s="364" t="n"/>
      <c r="GC166" s="365" t="n"/>
      <c r="GD166" s="366" t="n"/>
      <c r="GE166" s="363" t="n"/>
      <c r="GF166" s="364" t="n"/>
      <c r="GG166" s="81" t="n"/>
      <c r="GH166" s="81" t="n"/>
      <c r="GI166" s="81" t="n"/>
      <c r="GJ166" s="81" t="n"/>
      <c r="GK166" s="81" t="n"/>
      <c r="GL166" s="81" t="n"/>
      <c r="GM166" s="81" t="n"/>
      <c r="GN166" s="81" t="n"/>
      <c r="GO166" s="81" t="n"/>
      <c r="GP166" s="81" t="n"/>
      <c r="GQ166" s="81" t="n"/>
      <c r="GR166" s="81" t="n"/>
      <c r="GS166" s="81" t="n"/>
      <c r="GT166" s="81" t="n"/>
      <c r="GU166" s="81" t="n"/>
      <c r="GV166" s="81" t="n"/>
      <c r="GW166" s="81" t="n"/>
      <c r="GX166" s="81" t="n"/>
      <c r="GY166" s="81" t="n"/>
      <c r="GZ166" s="81" t="n"/>
      <c r="HA166" s="81" t="n"/>
      <c r="HB166" s="81" t="n"/>
      <c r="HC166" s="81" t="n"/>
      <c r="HD166" s="81" t="n"/>
      <c r="HE166" s="81" t="n"/>
      <c r="HF166" s="81" t="n"/>
      <c r="HG166" s="81" t="n"/>
      <c r="HH166" s="81" t="n"/>
      <c r="HI166" s="81" t="n"/>
      <c r="HJ166" s="81" t="n"/>
      <c r="HK166" s="81" t="n"/>
      <c r="HL166" s="81" t="n"/>
      <c r="HM166" s="81" t="n"/>
      <c r="HN166" s="81" t="n"/>
      <c r="HO166" s="81" t="n"/>
      <c r="HP166" s="81" t="n"/>
      <c r="HQ166" s="81" t="n"/>
      <c r="HR166" s="81" t="n"/>
      <c r="HS166" s="81" t="n"/>
      <c r="HT166" s="81" t="n"/>
      <c r="HU166" s="81" t="n"/>
      <c r="HV166" s="81" t="n"/>
      <c r="HW166" s="81" t="n"/>
      <c r="HX166" s="81" t="n"/>
      <c r="HY166" s="81" t="n"/>
      <c r="HZ166" s="81" t="n"/>
      <c r="IA166" s="81" t="n"/>
      <c r="IB166" s="81" t="n"/>
      <c r="IC166" s="363" t="n"/>
      <c r="ID166" s="364" t="n"/>
      <c r="IE166" s="365" t="n"/>
      <c r="IF166" s="366" t="n"/>
      <c r="IG166" s="363" t="n"/>
      <c r="IH166" s="364" t="n"/>
      <c r="II166" s="81" t="n"/>
      <c r="IJ166" s="81" t="n"/>
      <c r="IK166" s="81" t="n"/>
      <c r="IL166" s="81" t="n"/>
      <c r="IM166" s="81" t="n"/>
      <c r="IN166" s="81" t="n"/>
      <c r="IO166" s="81" t="n"/>
      <c r="IP166" s="81" t="n"/>
      <c r="IQ166" s="81" t="n"/>
      <c r="IR166" s="81" t="n"/>
      <c r="IS166" s="81" t="n"/>
      <c r="IT166" s="81" t="n"/>
      <c r="IU166" s="81" t="n"/>
      <c r="IV166" s="81" t="n"/>
      <c r="IW166" s="81" t="n"/>
      <c r="IX166" s="81" t="n"/>
      <c r="IY166" s="81" t="n"/>
      <c r="IZ166" s="81" t="n"/>
      <c r="JA166" s="81" t="n"/>
      <c r="JB166" s="81" t="n"/>
      <c r="JC166" s="81" t="n"/>
      <c r="JD166" s="81" t="n"/>
      <c r="JE166" s="81" t="n"/>
      <c r="JF166" s="81" t="n"/>
      <c r="JG166" s="81" t="n"/>
      <c r="JH166" s="81" t="n"/>
      <c r="JI166" s="81" t="n"/>
      <c r="JJ166" s="81" t="n"/>
      <c r="JK166" s="81" t="n"/>
      <c r="JL166" s="81" t="n"/>
      <c r="JM166" s="81" t="n"/>
      <c r="JN166" s="81" t="n"/>
      <c r="JO166" s="81" t="n"/>
      <c r="JP166" s="81" t="n"/>
      <c r="JQ166" s="81" t="n"/>
      <c r="JR166" s="81" t="n"/>
      <c r="JS166" s="81" t="n"/>
      <c r="JT166" s="81" t="n"/>
      <c r="JU166" s="81" t="n"/>
      <c r="JV166" s="81" t="n"/>
      <c r="JW166" s="81" t="n"/>
      <c r="JX166" s="81" t="n"/>
      <c r="JY166" s="81" t="n"/>
      <c r="JZ166" s="81" t="n"/>
      <c r="KA166" s="81" t="n"/>
      <c r="KB166" s="81" t="n"/>
      <c r="KC166" s="81" t="n"/>
      <c r="KD166" s="81" t="n"/>
      <c r="KE166" s="363" t="n"/>
      <c r="KF166" s="364" t="n"/>
      <c r="KG166" s="365" t="n"/>
      <c r="KH166" s="366" t="n"/>
      <c r="KI166" s="363" t="n"/>
      <c r="KJ166" s="367" t="n"/>
      <c r="KK166" s="80" t="n"/>
      <c r="KL166" s="80" t="n"/>
      <c r="KM166" s="80" t="n"/>
      <c r="KN166" s="253" t="n"/>
      <c r="KO166" s="253" t="n"/>
    </row>
    <row r="167" outlineLevel="1" ht="30" customFormat="1" customHeight="1" s="68">
      <c r="A167" s="274" t="inlineStr">
        <is>
          <t>ФЕНИКС ООО ТФК</t>
        </is>
      </c>
      <c r="B167" s="316" t="inlineStr">
        <is>
          <t>Договор не подписан. Оплата по счету</t>
        </is>
      </c>
      <c r="C167" s="256" t="inlineStr">
        <is>
          <t>ВБК РУС</t>
        </is>
      </c>
      <c r="D167" s="281" t="inlineStr">
        <is>
          <t>Мустафин Ринат</t>
        </is>
      </c>
      <c r="E167" s="60" t="n">
        <v>1</v>
      </c>
      <c r="F167" s="60" t="n">
        <v>1</v>
      </c>
      <c r="G167" s="56" t="n">
        <v>9522010010</v>
      </c>
      <c r="H167" s="57" t="inlineStr">
        <is>
          <t>Головка соединительная (управляющая)</t>
        </is>
      </c>
      <c r="I167" s="374" t="n">
        <v>60</v>
      </c>
      <c r="J167" s="375" t="n">
        <v>60</v>
      </c>
      <c r="K167" s="348" t="n"/>
      <c r="L167" s="348" t="n"/>
      <c r="M167" s="36" t="n"/>
      <c r="N167" s="284" t="n"/>
      <c r="O167" s="38" t="n"/>
      <c r="P167" s="284" t="n"/>
      <c r="Q167" s="36" t="n"/>
      <c r="R167" s="284" t="n"/>
      <c r="S167" s="38" t="n"/>
      <c r="T167" s="284" t="n"/>
      <c r="U167" s="36" t="n"/>
      <c r="V167" s="284" t="n"/>
      <c r="W167" s="38" t="n"/>
      <c r="X167" s="284" t="n"/>
      <c r="Y167" s="36" t="n"/>
      <c r="Z167" s="284" t="n"/>
      <c r="AA167" s="38" t="n"/>
      <c r="AB167" s="284" t="n"/>
      <c r="AC167" s="36" t="n"/>
      <c r="AD167" s="284" t="n"/>
      <c r="AE167" s="38" t="n"/>
      <c r="AF167" s="284" t="n"/>
      <c r="AG167" s="36" t="n"/>
      <c r="AH167" s="284" t="n"/>
      <c r="AI167" s="38" t="n"/>
      <c r="AJ167" s="284" t="n"/>
      <c r="AK167" s="36" t="n"/>
      <c r="AL167" s="284" t="n"/>
      <c r="AM167" s="38" t="n"/>
      <c r="AN167" s="284" t="n"/>
      <c r="AO167" s="36" t="n"/>
      <c r="AP167" s="284" t="n"/>
      <c r="AQ167" s="38" t="n"/>
      <c r="AR167" s="284" t="n"/>
      <c r="AS167" s="36" t="n"/>
      <c r="AT167" s="284" t="n"/>
      <c r="AU167" s="38" t="n">
        <v>0</v>
      </c>
      <c r="AV167" s="284" t="n"/>
      <c r="AW167" s="36" t="n"/>
      <c r="AX167" s="284" t="n"/>
      <c r="AY167" s="38" t="n">
        <v>0</v>
      </c>
      <c r="AZ167" s="284" t="inlineStr">
        <is>
          <t>Новый клиент</t>
        </is>
      </c>
      <c r="BA167" s="36" t="n"/>
      <c r="BB167" s="284" t="n"/>
      <c r="BC167" s="99" t="n">
        <v>0</v>
      </c>
      <c r="BD167" s="284" t="n"/>
      <c r="BE167" s="36" t="n"/>
      <c r="BF167" s="284">
        <f>$KN167*1</f>
        <v/>
      </c>
      <c r="BG167" s="54" t="n">
        <v>0</v>
      </c>
      <c r="BH167" s="284" t="n"/>
      <c r="BI167" s="338">
        <f>SUMPRODUCT(--(MOD(COLUMN($M167:$BH167),4)=MOD(COLUMN($M167),4)),$M167:$BH167)</f>
        <v/>
      </c>
      <c r="BJ167" s="339">
        <f>BI167*$I167</f>
        <v/>
      </c>
      <c r="BK167" s="340">
        <f>SUMPRODUCT(--(MOD(COLUMN($M167:$BH167),4)=MOD(COLUMN($M167)+1,4)),$M167:$BH167)</f>
        <v/>
      </c>
      <c r="BL167" s="341">
        <f>BK167*$I167</f>
        <v/>
      </c>
      <c r="BM167" s="342">
        <f>SUMPRODUCT(--(MOD(COLUMN($M167:$BH167),4)=MOD(COLUMN($M167)+2,4)),$M167:$BH167)</f>
        <v/>
      </c>
      <c r="BN167" s="343">
        <f>BM167*$I167</f>
        <v/>
      </c>
      <c r="BO167" s="36">
        <f>$KN167*0</f>
        <v/>
      </c>
      <c r="BP167" s="47">
        <f>$KN167*0</f>
        <v/>
      </c>
      <c r="BQ167" s="376">
        <f>SUMPRODUCT(--(MOD(COLUMN($M167:$BH167),4)=MOD(COLUMN($M167)+1,4)),$M167:$BH167)</f>
        <v/>
      </c>
      <c r="BR167" s="38" t="n">
        <v>0</v>
      </c>
      <c r="BS167" s="284" t="inlineStr">
        <is>
          <t>Заявка декабря 2024 перенесена на январь</t>
        </is>
      </c>
      <c r="BT167" s="36">
        <f>$KN167*3</f>
        <v/>
      </c>
      <c r="BU167" s="47">
        <f>$KN167*0</f>
        <v/>
      </c>
      <c r="BV167" s="284">
        <f>$KN167*0</f>
        <v/>
      </c>
      <c r="BW167" s="38" t="n">
        <v>0</v>
      </c>
      <c r="BX167" s="284" t="inlineStr">
        <is>
          <t>Заявка января перенесена на апрель</t>
        </is>
      </c>
      <c r="BY167" s="36">
        <f>$KN167*3</f>
        <v/>
      </c>
      <c r="BZ167" s="47">
        <f>$KN167*1</f>
        <v/>
      </c>
      <c r="CA167" s="284">
        <f>$KN167*1</f>
        <v/>
      </c>
      <c r="CB167" s="38" t="n">
        <v>0</v>
      </c>
      <c r="CC167" s="284" t="n"/>
      <c r="CD167" s="36">
        <f>$KN167*3</f>
        <v/>
      </c>
      <c r="CE167" s="47">
        <f>$KN167*1</f>
        <v/>
      </c>
      <c r="CF167" s="284">
        <f>$KN167*1</f>
        <v/>
      </c>
      <c r="CG167" s="38" t="n">
        <v>0</v>
      </c>
      <c r="CH167" s="284" t="inlineStr">
        <is>
          <t>Заявка марта перенесена на апрель</t>
        </is>
      </c>
      <c r="CI167" s="36">
        <f>$KN167*3</f>
        <v/>
      </c>
      <c r="CJ167" s="47">
        <f>$KN167*1</f>
        <v/>
      </c>
      <c r="CK167" s="284">
        <f>$KN167*0</f>
        <v/>
      </c>
      <c r="CL167" s="38" t="n">
        <v>0</v>
      </c>
      <c r="CM167" s="284" t="n"/>
      <c r="CN167" s="36">
        <f>$KN167*3</f>
        <v/>
      </c>
      <c r="CO167" s="47">
        <f>$KN167*1</f>
        <v/>
      </c>
      <c r="CP167" s="284">
        <f>$KN167*0</f>
        <v/>
      </c>
      <c r="CQ167" s="38" t="n">
        <v>0</v>
      </c>
      <c r="CR167" s="284" t="n"/>
      <c r="CS167" s="36">
        <f>$KN167*3</f>
        <v/>
      </c>
      <c r="CT167" s="47">
        <f>$KN167*1</f>
        <v/>
      </c>
      <c r="CU167" s="284">
        <f>$KN167*0</f>
        <v/>
      </c>
      <c r="CV167" s="38" t="n">
        <v>0</v>
      </c>
      <c r="CW167" s="284" t="n"/>
      <c r="CX167" s="36">
        <f>$KN167*3</f>
        <v/>
      </c>
      <c r="CY167" s="47">
        <f>$KN167*1</f>
        <v/>
      </c>
      <c r="CZ167" s="284">
        <f>$KN167*0</f>
        <v/>
      </c>
      <c r="DA167" s="38" t="n">
        <v>0</v>
      </c>
      <c r="DB167" s="284" t="n"/>
      <c r="DC167" s="36">
        <f>$KN167*3</f>
        <v/>
      </c>
      <c r="DD167" s="47">
        <f>$KN167*1</f>
        <v/>
      </c>
      <c r="DE167" s="284">
        <f>$KN167*0</f>
        <v/>
      </c>
      <c r="DF167" s="38" t="n">
        <v>0</v>
      </c>
      <c r="DG167" s="284" t="n"/>
      <c r="DH167" s="36">
        <f>$KN167*3</f>
        <v/>
      </c>
      <c r="DI167" s="47">
        <f>$KN167*1</f>
        <v/>
      </c>
      <c r="DJ167" s="284">
        <f>$KN167*0</f>
        <v/>
      </c>
      <c r="DK167" s="38" t="n">
        <v>0</v>
      </c>
      <c r="DL167" s="284" t="n"/>
      <c r="DM167" s="36">
        <f>$KN167*3</f>
        <v/>
      </c>
      <c r="DN167" s="47">
        <f>$KN167*1</f>
        <v/>
      </c>
      <c r="DO167" s="284">
        <f>$KN167*0</f>
        <v/>
      </c>
      <c r="DP167" s="38" t="n">
        <v>0</v>
      </c>
      <c r="DQ167" s="284" t="n"/>
      <c r="DR167" s="36">
        <f>$KN167*3</f>
        <v/>
      </c>
      <c r="DS167" s="47">
        <f>$KN167*1</f>
        <v/>
      </c>
      <c r="DT167" s="284">
        <f>$KN167*0</f>
        <v/>
      </c>
      <c r="DU167" s="38" t="n">
        <v>0</v>
      </c>
      <c r="DV167" s="284" t="n"/>
      <c r="DW167" s="338">
        <f t="array" ref="DW167">SUMPRODUCT(--(MOD(COLUMN($BO167:$DV167),5)=MOD(COLUMN($BO167),5)),$BO167:$DV167)</f>
        <v/>
      </c>
      <c r="DX167" s="339">
        <f>DW167*$J167</f>
        <v/>
      </c>
      <c r="DY167" s="344">
        <f t="array" ref="DY167">SUMPRODUCT(--(MOD(COLUMN($BO167:$DV167),5)=MOD(COLUMN($BP167),5)),$BO167:$DV167)</f>
        <v/>
      </c>
      <c r="DZ167" s="345">
        <f>DY167*$J167</f>
        <v/>
      </c>
      <c r="EA167" s="340">
        <f t="array" ref="EA167">SUMPRODUCT(--(MOD(COLUMN($BO167:$DV167),5)=MOD(COLUMN($BQ167),5)),$BO167:$DV167)</f>
        <v/>
      </c>
      <c r="EB167" s="341">
        <f>EA167*$J167</f>
        <v/>
      </c>
      <c r="EC167" s="342">
        <f t="array" ref="EC167">SUMPRODUCT(--(MOD(COLUMN($BO167:$DV167),5)=MOD(COLUMN($BR167),5)),$BO167:$DV167)</f>
        <v/>
      </c>
      <c r="ED167" s="343">
        <f>EC167*$J167</f>
        <v/>
      </c>
      <c r="EE167" s="36">
        <f>$KN167*1</f>
        <v/>
      </c>
      <c r="EF167" s="284" t="n">
        <v>1</v>
      </c>
      <c r="EG167" s="38" t="n">
        <v>0</v>
      </c>
      <c r="EH167" s="96" t="n"/>
      <c r="EI167" s="36">
        <f>$KN167*1</f>
        <v/>
      </c>
      <c r="EJ167" s="284" t="n">
        <v>0</v>
      </c>
      <c r="EK167" s="38" t="n">
        <v>0</v>
      </c>
      <c r="EL167" s="96" t="n"/>
      <c r="EM167" s="36">
        <f>$KN167*1</f>
        <v/>
      </c>
      <c r="EN167" s="284" t="n">
        <v>0</v>
      </c>
      <c r="EO167" s="38" t="n">
        <v>0</v>
      </c>
      <c r="EP167" s="96" t="n"/>
      <c r="EQ167" s="36">
        <f>$KN167*2</f>
        <v/>
      </c>
      <c r="ER167" s="284" t="n">
        <v>10</v>
      </c>
      <c r="ES167" s="38" t="n">
        <v>10</v>
      </c>
      <c r="ET167" s="284" t="inlineStr">
        <is>
          <t>Отгрузку заказа произвели апрелем, по просьбе клиента</t>
        </is>
      </c>
      <c r="EU167" s="36">
        <f>$KN167*2</f>
        <v/>
      </c>
      <c r="EV167" s="155" t="n">
        <v>15</v>
      </c>
      <c r="EW167" s="38" t="n">
        <v>0</v>
      </c>
      <c r="EX167" s="284" t="inlineStr">
        <is>
          <t>Если не успеют проплатить, заказ будет перенесен на июнь</t>
        </is>
      </c>
      <c r="EY167" s="36">
        <f>$KN167*2</f>
        <v/>
      </c>
      <c r="EZ167" s="284" t="n">
        <v>2</v>
      </c>
      <c r="FA167" s="38" t="n">
        <v>0</v>
      </c>
      <c r="FB167" s="96" t="n"/>
      <c r="FC167" s="36">
        <f>$KN167*3</f>
        <v/>
      </c>
      <c r="FD167" s="284" t="n">
        <v>3</v>
      </c>
      <c r="FE167" s="38" t="n">
        <v>0</v>
      </c>
      <c r="FF167" s="96" t="n"/>
      <c r="FG167" s="36">
        <f>$KN167*3</f>
        <v/>
      </c>
      <c r="FH167" s="284" t="n">
        <v>3</v>
      </c>
      <c r="FI167" s="38" t="n">
        <v>0</v>
      </c>
      <c r="FJ167" s="96" t="n"/>
      <c r="FK167" s="36">
        <f>$KN167*3</f>
        <v/>
      </c>
      <c r="FL167" s="284" t="n">
        <v>3</v>
      </c>
      <c r="FM167" s="38" t="n">
        <v>0</v>
      </c>
      <c r="FN167" s="96" t="n"/>
      <c r="FO167" s="36">
        <f>$KN167*4</f>
        <v/>
      </c>
      <c r="FP167" s="284" t="n">
        <v>4</v>
      </c>
      <c r="FQ167" s="38" t="n">
        <v>0</v>
      </c>
      <c r="FR167" s="96" t="n"/>
      <c r="FS167" s="36">
        <f>$KN167*4</f>
        <v/>
      </c>
      <c r="FT167" s="284" t="n">
        <v>4</v>
      </c>
      <c r="FU167" s="38" t="n">
        <v>0</v>
      </c>
      <c r="FV167" s="96" t="n"/>
      <c r="FW167" s="36">
        <f>$KN167*4</f>
        <v/>
      </c>
      <c r="FX167" s="284" t="n">
        <v>4</v>
      </c>
      <c r="FY167" s="38" t="n">
        <v>0</v>
      </c>
      <c r="FZ167" s="96" t="n"/>
      <c r="GA167" s="338">
        <f t="array" ref="GA167">SUMPRODUCT(--(MOD(COLUMN($EE167:$FZ167),4)=MOD(COLUMN($EE167),4)),$EE167:$FZ167)</f>
        <v/>
      </c>
      <c r="GB167" s="339">
        <f>GA167*$J167</f>
        <v/>
      </c>
      <c r="GC167" s="340">
        <f t="array" ref="GC167">SUMPRODUCT(--(MOD(COLUMN($EE167:$FZ167),4)=MOD(COLUMN($EF167),4)),$EE167:$FZ167)</f>
        <v/>
      </c>
      <c r="GD167" s="341">
        <f>GC167*$J167</f>
        <v/>
      </c>
      <c r="GE167" s="342">
        <f t="array" ref="GE167">SUMPRODUCT(--(MOD(COLUMN($EE167:$FZ167),4)=MOD(COLUMN($EG167),4)),$EE167:$FZ167)</f>
        <v/>
      </c>
      <c r="GF167" s="343">
        <f>GE167*$J167</f>
        <v/>
      </c>
      <c r="GG167" s="36">
        <f>$KN167*3</f>
        <v/>
      </c>
      <c r="GH167" s="284" t="n"/>
      <c r="GI167" s="38" t="n">
        <v>0</v>
      </c>
      <c r="GJ167" s="96" t="n"/>
      <c r="GK167" s="36">
        <f>$KN167*3</f>
        <v/>
      </c>
      <c r="GL167" s="284" t="n"/>
      <c r="GM167" s="38" t="n">
        <v>0</v>
      </c>
      <c r="GN167" s="96" t="n"/>
      <c r="GO167" s="36">
        <f>$KN167*3</f>
        <v/>
      </c>
      <c r="GP167" s="284" t="n"/>
      <c r="GQ167" s="38" t="n">
        <v>0</v>
      </c>
      <c r="GR167" s="96" t="n"/>
      <c r="GS167" s="36">
        <f>$KN167*5</f>
        <v/>
      </c>
      <c r="GT167" s="284" t="n"/>
      <c r="GU167" s="38" t="n">
        <v>0</v>
      </c>
      <c r="GV167" s="96" t="n"/>
      <c r="GW167" s="36">
        <f>$KN167*5</f>
        <v/>
      </c>
      <c r="GX167" s="284" t="n"/>
      <c r="GY167" s="38" t="n">
        <v>0</v>
      </c>
      <c r="GZ167" s="96" t="n"/>
      <c r="HA167" s="36">
        <f>$KN167*5</f>
        <v/>
      </c>
      <c r="HB167" s="284" t="n"/>
      <c r="HC167" s="38" t="n">
        <v>0</v>
      </c>
      <c r="HD167" s="96" t="n"/>
      <c r="HE167" s="36">
        <f>$KN167*5</f>
        <v/>
      </c>
      <c r="HF167" s="284" t="n"/>
      <c r="HG167" s="38" t="n">
        <v>0</v>
      </c>
      <c r="HH167" s="96" t="n"/>
      <c r="HI167" s="36">
        <f>$KN167*5</f>
        <v/>
      </c>
      <c r="HJ167" s="284" t="n"/>
      <c r="HK167" s="38" t="n">
        <v>0</v>
      </c>
      <c r="HL167" s="96" t="n"/>
      <c r="HM167" s="36">
        <f>$KN167*5</f>
        <v/>
      </c>
      <c r="HN167" s="284" t="n"/>
      <c r="HO167" s="38" t="n">
        <v>0</v>
      </c>
      <c r="HP167" s="96" t="n"/>
      <c r="HQ167" s="36">
        <f>$KN167*5</f>
        <v/>
      </c>
      <c r="HR167" s="284" t="n"/>
      <c r="HS167" s="38" t="n">
        <v>0</v>
      </c>
      <c r="HT167" s="96" t="n"/>
      <c r="HU167" s="36">
        <f>$KN167*5</f>
        <v/>
      </c>
      <c r="HV167" s="284" t="n"/>
      <c r="HW167" s="38" t="n">
        <v>0</v>
      </c>
      <c r="HX167" s="96" t="n"/>
      <c r="HY167" s="36">
        <f>$KN167*5</f>
        <v/>
      </c>
      <c r="HZ167" s="284" t="n"/>
      <c r="IA167" s="38" t="n">
        <v>0</v>
      </c>
      <c r="IB167" s="96" t="n"/>
      <c r="IC167" s="338">
        <f t="array" ref="IC167">SUMPRODUCT(--(MOD(COLUMN($GG167:$IB167),4)=MOD(COLUMN($GG167),4)),$GG167:$IB167)</f>
        <v/>
      </c>
      <c r="ID167" s="339">
        <f>IC167*$J167</f>
        <v/>
      </c>
      <c r="IE167" s="340">
        <f t="array" ref="IE167">SUMPRODUCT(--(MOD(COLUMN($GG167:$IB167),4)=MOD(COLUMN($GH167),4)),$GG167:$IB167)</f>
        <v/>
      </c>
      <c r="IF167" s="341">
        <f>IE167*$J167</f>
        <v/>
      </c>
      <c r="IG167" s="342">
        <f t="array" ref="IG167">SUMPRODUCT(--(MOD(COLUMN($GG167:$IB167),4)=MOD(COLUMN($GI167),4)),$GG167:$IB167)</f>
        <v/>
      </c>
      <c r="IH167" s="343">
        <f>IG167*$J167</f>
        <v/>
      </c>
      <c r="II167" s="36">
        <f>$KN167*3</f>
        <v/>
      </c>
      <c r="IJ167" s="284" t="n"/>
      <c r="IK167" s="38" t="n">
        <v>0</v>
      </c>
      <c r="IL167" s="96" t="n"/>
      <c r="IM167" s="36">
        <f>$KN167*3</f>
        <v/>
      </c>
      <c r="IN167" s="284" t="n"/>
      <c r="IO167" s="38" t="n">
        <v>0</v>
      </c>
      <c r="IP167" s="96" t="n"/>
      <c r="IQ167" s="36">
        <f>$KN167*3</f>
        <v/>
      </c>
      <c r="IR167" s="284" t="n"/>
      <c r="IS167" s="38" t="n">
        <v>0</v>
      </c>
      <c r="IT167" s="96" t="n"/>
      <c r="IU167" s="36">
        <f>$KN167*5</f>
        <v/>
      </c>
      <c r="IV167" s="284" t="n"/>
      <c r="IW167" s="38" t="n">
        <v>0</v>
      </c>
      <c r="IX167" s="96" t="n"/>
      <c r="IY167" s="36">
        <f>$KN167*5</f>
        <v/>
      </c>
      <c r="IZ167" s="284" t="n"/>
      <c r="JA167" s="38" t="n">
        <v>0</v>
      </c>
      <c r="JB167" s="96" t="n"/>
      <c r="JC167" s="36">
        <f>$KN167*5</f>
        <v/>
      </c>
      <c r="JD167" s="284" t="n"/>
      <c r="JE167" s="38" t="n">
        <v>0</v>
      </c>
      <c r="JF167" s="96" t="n"/>
      <c r="JG167" s="36">
        <f>$KN167*5</f>
        <v/>
      </c>
      <c r="JH167" s="284" t="n"/>
      <c r="JI167" s="38" t="n">
        <v>0</v>
      </c>
      <c r="JJ167" s="96" t="n"/>
      <c r="JK167" s="36">
        <f>$KN167*5</f>
        <v/>
      </c>
      <c r="JL167" s="284" t="n"/>
      <c r="JM167" s="38" t="n">
        <v>0</v>
      </c>
      <c r="JN167" s="96" t="n"/>
      <c r="JO167" s="36">
        <f>$KN167*5</f>
        <v/>
      </c>
      <c r="JP167" s="284" t="n"/>
      <c r="JQ167" s="38" t="n">
        <v>0</v>
      </c>
      <c r="JR167" s="96" t="n"/>
      <c r="JS167" s="36">
        <f>$KN167*5</f>
        <v/>
      </c>
      <c r="JT167" s="284" t="n"/>
      <c r="JU167" s="38" t="n">
        <v>0</v>
      </c>
      <c r="JV167" s="96" t="n"/>
      <c r="JW167" s="36">
        <f>$KN167*5</f>
        <v/>
      </c>
      <c r="JX167" s="284" t="n"/>
      <c r="JY167" s="38" t="n">
        <v>0</v>
      </c>
      <c r="JZ167" s="96" t="n"/>
      <c r="KA167" s="36">
        <f>$KN167*5</f>
        <v/>
      </c>
      <c r="KB167" s="284" t="n"/>
      <c r="KC167" s="38" t="n">
        <v>0</v>
      </c>
      <c r="KD167" s="96" t="n"/>
      <c r="KE167" s="338">
        <f t="array" ref="KE167">SUMPRODUCT(--(MOD(COLUMN($II167:$KD167),4)=MOD(COLUMN($II167),4)),$II167:$KD167)</f>
        <v/>
      </c>
      <c r="KF167" s="339">
        <f>KE167*$J167</f>
        <v/>
      </c>
      <c r="KG167" s="340">
        <f t="array" ref="KG167">SUMPRODUCT(--(MOD(COLUMN($II167:$KD167),4)=MOD(COLUMN($IJ167),4)),$II167:$KD167)</f>
        <v/>
      </c>
      <c r="KH167" s="341">
        <f>KG167*$J167</f>
        <v/>
      </c>
      <c r="KI167" s="342">
        <f t="array" ref="KI167">SUMPRODUCT(--(MOD(COLUMN($II167:$KD167),4)=MOD(COLUMN($IK167),4)),$II167:$KD167)</f>
        <v/>
      </c>
      <c r="KJ167" s="346">
        <f>KI167*$J167</f>
        <v/>
      </c>
      <c r="KK167" s="80" t="n"/>
      <c r="KL167" s="80" t="n"/>
      <c r="KM167" s="80" t="n"/>
      <c r="KN167" s="51" t="n">
        <v>1</v>
      </c>
      <c r="KO167" s="285" t="inlineStr">
        <is>
          <t>TEBS 2s/2m 
15м</t>
        </is>
      </c>
    </row>
    <row r="168" outlineLevel="1" ht="43.2" customFormat="1" customHeight="1" s="68">
      <c r="A168" s="347" t="n"/>
      <c r="B168" s="347" t="n"/>
      <c r="C168" s="347" t="n"/>
      <c r="D168" s="347" t="n"/>
      <c r="E168" s="60" t="n">
        <v>2</v>
      </c>
      <c r="F168" s="60" t="n">
        <v>1</v>
      </c>
      <c r="G168" s="56" t="n">
        <v>9522010020</v>
      </c>
      <c r="H168" s="57" t="inlineStr">
        <is>
          <t>Головка соединительная (питающая)</t>
        </is>
      </c>
      <c r="I168" s="374" t="n">
        <v>60</v>
      </c>
      <c r="J168" s="375" t="n">
        <v>60</v>
      </c>
      <c r="K168" s="348" t="n"/>
      <c r="L168" s="348" t="n"/>
      <c r="M168" s="36" t="n"/>
      <c r="N168" s="284" t="n"/>
      <c r="O168" s="38" t="n"/>
      <c r="P168" s="284" t="n"/>
      <c r="Q168" s="36" t="n"/>
      <c r="R168" s="284" t="n"/>
      <c r="S168" s="38" t="n"/>
      <c r="T168" s="284" t="n"/>
      <c r="U168" s="36" t="n"/>
      <c r="V168" s="284" t="n"/>
      <c r="W168" s="38" t="n"/>
      <c r="X168" s="284" t="n"/>
      <c r="Y168" s="36" t="n"/>
      <c r="Z168" s="284" t="n"/>
      <c r="AA168" s="38" t="n"/>
      <c r="AB168" s="284" t="n"/>
      <c r="AC168" s="36" t="n"/>
      <c r="AD168" s="284" t="n"/>
      <c r="AE168" s="38" t="n"/>
      <c r="AF168" s="284" t="n"/>
      <c r="AG168" s="36" t="n"/>
      <c r="AH168" s="284" t="n"/>
      <c r="AI168" s="38" t="n"/>
      <c r="AJ168" s="284" t="n"/>
      <c r="AK168" s="36" t="n"/>
      <c r="AL168" s="284" t="n"/>
      <c r="AM168" s="38" t="n"/>
      <c r="AN168" s="284" t="n"/>
      <c r="AO168" s="36" t="n"/>
      <c r="AP168" s="284" t="n"/>
      <c r="AQ168" s="38" t="n"/>
      <c r="AR168" s="284" t="n"/>
      <c r="AS168" s="36" t="n"/>
      <c r="AT168" s="284" t="n"/>
      <c r="AU168" s="38" t="n">
        <v>0</v>
      </c>
      <c r="AV168" s="284" t="n"/>
      <c r="AW168" s="36" t="n"/>
      <c r="AX168" s="284" t="n"/>
      <c r="AY168" s="38" t="n">
        <v>0</v>
      </c>
      <c r="AZ168" s="347" t="n"/>
      <c r="BA168" s="36" t="n"/>
      <c r="BB168" s="284" t="n"/>
      <c r="BC168" s="99" t="n">
        <v>0</v>
      </c>
      <c r="BD168" s="284" t="n"/>
      <c r="BE168" s="36" t="n"/>
      <c r="BF168" s="284">
        <f>$KN168*1</f>
        <v/>
      </c>
      <c r="BG168" s="54" t="n">
        <v>0</v>
      </c>
      <c r="BH168" s="284" t="n"/>
      <c r="BI168" s="338">
        <f>SUMPRODUCT(--(MOD(COLUMN($M168:$BH168),4)=MOD(COLUMN($M168),4)),$M168:$BH168)</f>
        <v/>
      </c>
      <c r="BJ168" s="339">
        <f>BI168*$I168</f>
        <v/>
      </c>
      <c r="BK168" s="340">
        <f>SUMPRODUCT(--(MOD(COLUMN($M168:$BH168),4)=MOD(COLUMN($M168)+1,4)),$M168:$BH168)</f>
        <v/>
      </c>
      <c r="BL168" s="341">
        <f>BK168*$I168</f>
        <v/>
      </c>
      <c r="BM168" s="342">
        <f>SUMPRODUCT(--(MOD(COLUMN($M168:$BH168),4)=MOD(COLUMN($M168)+2,4)),$M168:$BH168)</f>
        <v/>
      </c>
      <c r="BN168" s="343">
        <f>BM168*$I168</f>
        <v/>
      </c>
      <c r="BO168" s="36">
        <f>$KN168*0</f>
        <v/>
      </c>
      <c r="BP168" s="47">
        <f>$KN168*0</f>
        <v/>
      </c>
      <c r="BQ168" s="376">
        <f>SUMPRODUCT(--(MOD(COLUMN($M168:$BH168),4)=MOD(COLUMN($M168)+1,4)),$M168:$BH168)</f>
        <v/>
      </c>
      <c r="BR168" s="38" t="n">
        <v>0</v>
      </c>
      <c r="BS168" s="347" t="n"/>
      <c r="BT168" s="36">
        <f>$KN168*3</f>
        <v/>
      </c>
      <c r="BU168" s="47">
        <f>$KN168*0</f>
        <v/>
      </c>
      <c r="BV168" s="284">
        <f>$KN168*0</f>
        <v/>
      </c>
      <c r="BW168" s="38" t="n">
        <v>0</v>
      </c>
      <c r="BX168" s="347" t="n"/>
      <c r="BY168" s="36">
        <f>$KN168*3</f>
        <v/>
      </c>
      <c r="BZ168" s="47">
        <f>$KN168*1</f>
        <v/>
      </c>
      <c r="CA168" s="284">
        <f>$KN168*1</f>
        <v/>
      </c>
      <c r="CB168" s="38" t="n">
        <v>0</v>
      </c>
      <c r="CC168" s="284" t="n"/>
      <c r="CD168" s="36">
        <f>$KN168*3</f>
        <v/>
      </c>
      <c r="CE168" s="47">
        <f>$KN168*1</f>
        <v/>
      </c>
      <c r="CF168" s="284">
        <f>$KN168*1</f>
        <v/>
      </c>
      <c r="CG168" s="38" t="n">
        <v>0</v>
      </c>
      <c r="CH168" s="347" t="n"/>
      <c r="CI168" s="36">
        <f>$KN168*3</f>
        <v/>
      </c>
      <c r="CJ168" s="47">
        <f>$KN168*1</f>
        <v/>
      </c>
      <c r="CK168" s="284">
        <f>$KN168*0</f>
        <v/>
      </c>
      <c r="CL168" s="38" t="n">
        <v>0</v>
      </c>
      <c r="CM168" s="284" t="n"/>
      <c r="CN168" s="36">
        <f>$KN168*3</f>
        <v/>
      </c>
      <c r="CO168" s="47">
        <f>$KN168*1</f>
        <v/>
      </c>
      <c r="CP168" s="284">
        <f>$KN168*0</f>
        <v/>
      </c>
      <c r="CQ168" s="38" t="n">
        <v>0</v>
      </c>
      <c r="CR168" s="284" t="n"/>
      <c r="CS168" s="36">
        <f>$KN168*3</f>
        <v/>
      </c>
      <c r="CT168" s="47">
        <f>$KN168*1</f>
        <v/>
      </c>
      <c r="CU168" s="284">
        <f>$KN168*0</f>
        <v/>
      </c>
      <c r="CV168" s="38" t="n">
        <v>0</v>
      </c>
      <c r="CW168" s="284" t="n"/>
      <c r="CX168" s="36">
        <f>$KN168*3</f>
        <v/>
      </c>
      <c r="CY168" s="47">
        <f>$KN168*1</f>
        <v/>
      </c>
      <c r="CZ168" s="284">
        <f>$KN168*0</f>
        <v/>
      </c>
      <c r="DA168" s="38" t="n">
        <v>0</v>
      </c>
      <c r="DB168" s="284" t="n"/>
      <c r="DC168" s="36">
        <f>$KN168*3</f>
        <v/>
      </c>
      <c r="DD168" s="47">
        <f>$KN168*1</f>
        <v/>
      </c>
      <c r="DE168" s="284">
        <f>$KN168*0</f>
        <v/>
      </c>
      <c r="DF168" s="38" t="n">
        <v>0</v>
      </c>
      <c r="DG168" s="284" t="n"/>
      <c r="DH168" s="36">
        <f>$KN168*3</f>
        <v/>
      </c>
      <c r="DI168" s="47">
        <f>$KN168*1</f>
        <v/>
      </c>
      <c r="DJ168" s="284">
        <f>$KN168*0</f>
        <v/>
      </c>
      <c r="DK168" s="52" t="n">
        <v>0</v>
      </c>
      <c r="DL168" s="284" t="n"/>
      <c r="DM168" s="36">
        <f>$KN168*3</f>
        <v/>
      </c>
      <c r="DN168" s="47">
        <f>$KN168*1</f>
        <v/>
      </c>
      <c r="DO168" s="284">
        <f>$KN168*0</f>
        <v/>
      </c>
      <c r="DP168" s="38" t="n">
        <v>0</v>
      </c>
      <c r="DQ168" s="284" t="n"/>
      <c r="DR168" s="36">
        <f>$KN168*3</f>
        <v/>
      </c>
      <c r="DS168" s="47">
        <f>$KN168*1</f>
        <v/>
      </c>
      <c r="DT168" s="284">
        <f>$KN168*0</f>
        <v/>
      </c>
      <c r="DU168" s="38" t="n">
        <v>0</v>
      </c>
      <c r="DV168" s="284" t="n"/>
      <c r="DW168" s="338">
        <f t="array" ref="DW168">SUMPRODUCT(--(MOD(COLUMN($BO168:$DV168),5)=MOD(COLUMN($BO168),5)),$BO168:$DV168)</f>
        <v/>
      </c>
      <c r="DX168" s="339">
        <f>DW168*$J168</f>
        <v/>
      </c>
      <c r="DY168" s="344">
        <f t="array" ref="DY168">SUMPRODUCT(--(MOD(COLUMN($BO168:$DV168),5)=MOD(COLUMN($BP168),5)),$BO168:$DV168)</f>
        <v/>
      </c>
      <c r="DZ168" s="345">
        <f>DY168*$J168</f>
        <v/>
      </c>
      <c r="EA168" s="340">
        <f t="array" ref="EA168">SUMPRODUCT(--(MOD(COLUMN($BO168:$DV168),5)=MOD(COLUMN($BQ168),5)),$BO168:$DV168)</f>
        <v/>
      </c>
      <c r="EB168" s="341">
        <f>EA168*$J168</f>
        <v/>
      </c>
      <c r="EC168" s="342">
        <f t="array" ref="EC168">SUMPRODUCT(--(MOD(COLUMN($BO168:$DV168),5)=MOD(COLUMN($BR168),5)),$BO168:$DV168)</f>
        <v/>
      </c>
      <c r="ED168" s="343">
        <f>EC168*$J168</f>
        <v/>
      </c>
      <c r="EE168" s="36">
        <f>$KN168*1</f>
        <v/>
      </c>
      <c r="EF168" s="284" t="n">
        <v>1</v>
      </c>
      <c r="EG168" s="38" t="n">
        <v>0</v>
      </c>
      <c r="EH168" s="96" t="n"/>
      <c r="EI168" s="36">
        <f>$KN168*1</f>
        <v/>
      </c>
      <c r="EJ168" s="284" t="n">
        <v>0</v>
      </c>
      <c r="EK168" s="38" t="n">
        <v>0</v>
      </c>
      <c r="EL168" s="96" t="n"/>
      <c r="EM168" s="36">
        <f>$KN168*1</f>
        <v/>
      </c>
      <c r="EN168" s="284" t="n">
        <v>0</v>
      </c>
      <c r="EO168" s="38" t="n">
        <v>0</v>
      </c>
      <c r="EP168" s="96" t="n"/>
      <c r="EQ168" s="36">
        <f>$KN168*2</f>
        <v/>
      </c>
      <c r="ER168" s="284" t="n">
        <v>10</v>
      </c>
      <c r="ES168" s="38" t="n">
        <v>10</v>
      </c>
      <c r="ET168" s="347" t="n"/>
      <c r="EU168" s="36">
        <f>$KN168*2</f>
        <v/>
      </c>
      <c r="EV168" s="155" t="n">
        <v>15</v>
      </c>
      <c r="EW168" s="38" t="n">
        <v>0</v>
      </c>
      <c r="EX168" s="347" t="n"/>
      <c r="EY168" s="36">
        <f>$KN168*2</f>
        <v/>
      </c>
      <c r="EZ168" s="284" t="n">
        <v>2</v>
      </c>
      <c r="FA168" s="38" t="n">
        <v>0</v>
      </c>
      <c r="FB168" s="96" t="n"/>
      <c r="FC168" s="36">
        <f>$KN168*3</f>
        <v/>
      </c>
      <c r="FD168" s="284" t="n">
        <v>3</v>
      </c>
      <c r="FE168" s="38" t="n">
        <v>0</v>
      </c>
      <c r="FF168" s="96" t="n"/>
      <c r="FG168" s="36">
        <f>$KN168*3</f>
        <v/>
      </c>
      <c r="FH168" s="284" t="n">
        <v>3</v>
      </c>
      <c r="FI168" s="38" t="n">
        <v>0</v>
      </c>
      <c r="FJ168" s="96" t="n"/>
      <c r="FK168" s="36">
        <f>$KN168*3</f>
        <v/>
      </c>
      <c r="FL168" s="284" t="n">
        <v>3</v>
      </c>
      <c r="FM168" s="38" t="n">
        <v>0</v>
      </c>
      <c r="FN168" s="96" t="n"/>
      <c r="FO168" s="36">
        <f>$KN168*4</f>
        <v/>
      </c>
      <c r="FP168" s="284" t="n">
        <v>4</v>
      </c>
      <c r="FQ168" s="38" t="n">
        <v>0</v>
      </c>
      <c r="FR168" s="96" t="n"/>
      <c r="FS168" s="36">
        <f>$KN168*4</f>
        <v/>
      </c>
      <c r="FT168" s="284" t="n">
        <v>4</v>
      </c>
      <c r="FU168" s="38" t="n">
        <v>0</v>
      </c>
      <c r="FV168" s="96" t="n"/>
      <c r="FW168" s="36">
        <f>$KN168*4</f>
        <v/>
      </c>
      <c r="FX168" s="284" t="n">
        <v>4</v>
      </c>
      <c r="FY168" s="38" t="n">
        <v>0</v>
      </c>
      <c r="FZ168" s="96" t="n"/>
      <c r="GA168" s="338">
        <f t="array" ref="GA168">SUMPRODUCT(--(MOD(COLUMN($EE168:$FZ168),4)=MOD(COLUMN($EE168),4)),$EE168:$FZ168)</f>
        <v/>
      </c>
      <c r="GB168" s="339">
        <f>GA168*$J168</f>
        <v/>
      </c>
      <c r="GC168" s="340">
        <f t="array" ref="GC168">SUMPRODUCT(--(MOD(COLUMN($EE168:$FZ168),4)=MOD(COLUMN($EF168),4)),$EE168:$FZ168)</f>
        <v/>
      </c>
      <c r="GD168" s="341">
        <f>GC168*$J168</f>
        <v/>
      </c>
      <c r="GE168" s="342">
        <f t="array" ref="GE168">SUMPRODUCT(--(MOD(COLUMN($EE168:$FZ168),4)=MOD(COLUMN($EG168),4)),$EE168:$FZ168)</f>
        <v/>
      </c>
      <c r="GF168" s="343">
        <f>GE168*$J168</f>
        <v/>
      </c>
      <c r="GG168" s="36">
        <f>$KN168*3</f>
        <v/>
      </c>
      <c r="GH168" s="284" t="n"/>
      <c r="GI168" s="38" t="n">
        <v>0</v>
      </c>
      <c r="GJ168" s="96" t="n"/>
      <c r="GK168" s="36">
        <f>$KN168*3</f>
        <v/>
      </c>
      <c r="GL168" s="284" t="n"/>
      <c r="GM168" s="38" t="n">
        <v>0</v>
      </c>
      <c r="GN168" s="96" t="n"/>
      <c r="GO168" s="36">
        <f>$KN168*3</f>
        <v/>
      </c>
      <c r="GP168" s="284" t="n"/>
      <c r="GQ168" s="38" t="n">
        <v>0</v>
      </c>
      <c r="GR168" s="96" t="n"/>
      <c r="GS168" s="36">
        <f>$KN168*5</f>
        <v/>
      </c>
      <c r="GT168" s="284" t="n"/>
      <c r="GU168" s="38" t="n">
        <v>0</v>
      </c>
      <c r="GV168" s="96" t="n"/>
      <c r="GW168" s="36">
        <f>$KN168*5</f>
        <v/>
      </c>
      <c r="GX168" s="284" t="n"/>
      <c r="GY168" s="38" t="n">
        <v>0</v>
      </c>
      <c r="GZ168" s="96" t="n"/>
      <c r="HA168" s="36">
        <f>$KN168*5</f>
        <v/>
      </c>
      <c r="HB168" s="284" t="n"/>
      <c r="HC168" s="38" t="n">
        <v>0</v>
      </c>
      <c r="HD168" s="96" t="n"/>
      <c r="HE168" s="36">
        <f>$KN168*5</f>
        <v/>
      </c>
      <c r="HF168" s="284" t="n"/>
      <c r="HG168" s="38" t="n">
        <v>0</v>
      </c>
      <c r="HH168" s="96" t="n"/>
      <c r="HI168" s="36">
        <f>$KN168*5</f>
        <v/>
      </c>
      <c r="HJ168" s="284" t="n"/>
      <c r="HK168" s="38" t="n">
        <v>0</v>
      </c>
      <c r="HL168" s="96" t="n"/>
      <c r="HM168" s="36">
        <f>$KN168*5</f>
        <v/>
      </c>
      <c r="HN168" s="284" t="n"/>
      <c r="HO168" s="38" t="n">
        <v>0</v>
      </c>
      <c r="HP168" s="96" t="n"/>
      <c r="HQ168" s="36">
        <f>$KN168*5</f>
        <v/>
      </c>
      <c r="HR168" s="284" t="n"/>
      <c r="HS168" s="38" t="n">
        <v>0</v>
      </c>
      <c r="HT168" s="96" t="n"/>
      <c r="HU168" s="36">
        <f>$KN168*5</f>
        <v/>
      </c>
      <c r="HV168" s="284" t="n"/>
      <c r="HW168" s="38" t="n">
        <v>0</v>
      </c>
      <c r="HX168" s="96" t="n"/>
      <c r="HY168" s="36">
        <f>$KN168*5</f>
        <v/>
      </c>
      <c r="HZ168" s="284" t="n"/>
      <c r="IA168" s="38" t="n">
        <v>0</v>
      </c>
      <c r="IB168" s="96" t="n"/>
      <c r="IC168" s="338">
        <f t="array" ref="IC168">SUMPRODUCT(--(MOD(COLUMN($GG168:$IB168),4)=MOD(COLUMN($GG168),4)),$GG168:$IB168)</f>
        <v/>
      </c>
      <c r="ID168" s="339">
        <f>IC168*$J168</f>
        <v/>
      </c>
      <c r="IE168" s="340">
        <f t="array" ref="IE168">SUMPRODUCT(--(MOD(COLUMN($GG168:$IB168),4)=MOD(COLUMN($GH168),4)),$GG168:$IB168)</f>
        <v/>
      </c>
      <c r="IF168" s="341">
        <f>IE168*$J168</f>
        <v/>
      </c>
      <c r="IG168" s="342">
        <f t="array" ref="IG168">SUMPRODUCT(--(MOD(COLUMN($GG168:$IB168),4)=MOD(COLUMN($GI168),4)),$GG168:$IB168)</f>
        <v/>
      </c>
      <c r="IH168" s="343">
        <f>IG168*$J168</f>
        <v/>
      </c>
      <c r="II168" s="36">
        <f>$KN168*3</f>
        <v/>
      </c>
      <c r="IJ168" s="284" t="n"/>
      <c r="IK168" s="38" t="n">
        <v>0</v>
      </c>
      <c r="IL168" s="96" t="n"/>
      <c r="IM168" s="36">
        <f>$KN168*3</f>
        <v/>
      </c>
      <c r="IN168" s="284" t="n"/>
      <c r="IO168" s="38" t="n">
        <v>0</v>
      </c>
      <c r="IP168" s="96" t="n"/>
      <c r="IQ168" s="36">
        <f>$KN168*3</f>
        <v/>
      </c>
      <c r="IR168" s="284" t="n"/>
      <c r="IS168" s="38" t="n">
        <v>0</v>
      </c>
      <c r="IT168" s="96" t="n"/>
      <c r="IU168" s="36">
        <f>$KN168*5</f>
        <v/>
      </c>
      <c r="IV168" s="284" t="n"/>
      <c r="IW168" s="38" t="n">
        <v>0</v>
      </c>
      <c r="IX168" s="96" t="n"/>
      <c r="IY168" s="36">
        <f>$KN168*5</f>
        <v/>
      </c>
      <c r="IZ168" s="284" t="n"/>
      <c r="JA168" s="38" t="n">
        <v>0</v>
      </c>
      <c r="JB168" s="96" t="n"/>
      <c r="JC168" s="36">
        <f>$KN168*5</f>
        <v/>
      </c>
      <c r="JD168" s="284" t="n"/>
      <c r="JE168" s="38" t="n">
        <v>0</v>
      </c>
      <c r="JF168" s="96" t="n"/>
      <c r="JG168" s="36">
        <f>$KN168*5</f>
        <v/>
      </c>
      <c r="JH168" s="284" t="n"/>
      <c r="JI168" s="38" t="n">
        <v>0</v>
      </c>
      <c r="JJ168" s="96" t="n"/>
      <c r="JK168" s="36">
        <f>$KN168*5</f>
        <v/>
      </c>
      <c r="JL168" s="284" t="n"/>
      <c r="JM168" s="38" t="n">
        <v>0</v>
      </c>
      <c r="JN168" s="96" t="n"/>
      <c r="JO168" s="36">
        <f>$KN168*5</f>
        <v/>
      </c>
      <c r="JP168" s="284" t="n"/>
      <c r="JQ168" s="38" t="n">
        <v>0</v>
      </c>
      <c r="JR168" s="96" t="n"/>
      <c r="JS168" s="36">
        <f>$KN168*5</f>
        <v/>
      </c>
      <c r="JT168" s="284" t="n"/>
      <c r="JU168" s="38" t="n">
        <v>0</v>
      </c>
      <c r="JV168" s="96" t="n"/>
      <c r="JW168" s="36">
        <f>$KN168*5</f>
        <v/>
      </c>
      <c r="JX168" s="284" t="n"/>
      <c r="JY168" s="38" t="n">
        <v>0</v>
      </c>
      <c r="JZ168" s="96" t="n"/>
      <c r="KA168" s="36">
        <f>$KN168*5</f>
        <v/>
      </c>
      <c r="KB168" s="284" t="n"/>
      <c r="KC168" s="38" t="n">
        <v>0</v>
      </c>
      <c r="KD168" s="96" t="n"/>
      <c r="KE168" s="338">
        <f t="array" ref="KE168">SUMPRODUCT(--(MOD(COLUMN($II168:$KD168),4)=MOD(COLUMN($II168),4)),$II168:$KD168)</f>
        <v/>
      </c>
      <c r="KF168" s="339">
        <f>KE168*$J168</f>
        <v/>
      </c>
      <c r="KG168" s="340">
        <f t="array" ref="KG168">SUMPRODUCT(--(MOD(COLUMN($II168:$KD168),4)=MOD(COLUMN($IJ168),4)),$II168:$KD168)</f>
        <v/>
      </c>
      <c r="KH168" s="341">
        <f>KG168*$J168</f>
        <v/>
      </c>
      <c r="KI168" s="342">
        <f t="array" ref="KI168">SUMPRODUCT(--(MOD(COLUMN($II168:$KD168),4)=MOD(COLUMN($IK168),4)),$II168:$KD168)</f>
        <v/>
      </c>
      <c r="KJ168" s="346">
        <f>KI168*$J168</f>
        <v/>
      </c>
      <c r="KK168" s="80" t="n"/>
      <c r="KL168" s="80" t="n"/>
      <c r="KM168" s="80" t="n"/>
      <c r="KN168" s="51" t="n">
        <v>1</v>
      </c>
      <c r="KO168" s="347" t="n"/>
    </row>
    <row r="169" outlineLevel="1" ht="43.2" customFormat="1" customHeight="1" s="68">
      <c r="A169" s="347" t="n"/>
      <c r="B169" s="347" t="n"/>
      <c r="C169" s="347" t="n"/>
      <c r="D169" s="347" t="n"/>
      <c r="E169" s="60" t="n">
        <v>3</v>
      </c>
      <c r="F169" s="60" t="n">
        <v>1</v>
      </c>
      <c r="G169" s="56" t="n">
        <v>9710029000</v>
      </c>
      <c r="H169" s="57" t="inlineStr">
        <is>
          <t>Воздухораспределитель с клапаном растормаживания</t>
        </is>
      </c>
      <c r="I169" s="374" t="n">
        <v>473</v>
      </c>
      <c r="J169" s="375" t="n">
        <v>473</v>
      </c>
      <c r="K169" s="348" t="n"/>
      <c r="L169" s="348" t="n"/>
      <c r="M169" s="36" t="n"/>
      <c r="N169" s="284" t="n"/>
      <c r="O169" s="38" t="n"/>
      <c r="P169" s="284" t="n"/>
      <c r="Q169" s="36" t="n"/>
      <c r="R169" s="284" t="n"/>
      <c r="S169" s="38" t="n"/>
      <c r="T169" s="284" t="n"/>
      <c r="U169" s="36" t="n"/>
      <c r="V169" s="284" t="n"/>
      <c r="W169" s="38" t="n"/>
      <c r="X169" s="284" t="n"/>
      <c r="Y169" s="36" t="n"/>
      <c r="Z169" s="284" t="n"/>
      <c r="AA169" s="38" t="n"/>
      <c r="AB169" s="284" t="n"/>
      <c r="AC169" s="36" t="n"/>
      <c r="AD169" s="284" t="n"/>
      <c r="AE169" s="38" t="n"/>
      <c r="AF169" s="284" t="n"/>
      <c r="AG169" s="36" t="n"/>
      <c r="AH169" s="284" t="n"/>
      <c r="AI169" s="38" t="n"/>
      <c r="AJ169" s="284" t="n"/>
      <c r="AK169" s="36" t="n"/>
      <c r="AL169" s="284" t="n"/>
      <c r="AM169" s="38" t="n"/>
      <c r="AN169" s="284" t="n"/>
      <c r="AO169" s="36" t="n"/>
      <c r="AP169" s="284" t="n"/>
      <c r="AQ169" s="38" t="n"/>
      <c r="AR169" s="284" t="n"/>
      <c r="AS169" s="36" t="n"/>
      <c r="AT169" s="284" t="n"/>
      <c r="AU169" s="38" t="n">
        <v>0</v>
      </c>
      <c r="AV169" s="284" t="n"/>
      <c r="AW169" s="36" t="n"/>
      <c r="AX169" s="284" t="n"/>
      <c r="AY169" s="38" t="n">
        <v>0</v>
      </c>
      <c r="AZ169" s="347" t="n"/>
      <c r="BA169" s="36" t="n"/>
      <c r="BB169" s="284" t="n"/>
      <c r="BC169" s="99" t="n">
        <v>0</v>
      </c>
      <c r="BD169" s="284" t="n"/>
      <c r="BE169" s="36" t="n"/>
      <c r="BF169" s="284">
        <f>$KN169*1</f>
        <v/>
      </c>
      <c r="BG169" s="54" t="n">
        <v>0</v>
      </c>
      <c r="BH169" s="284" t="n"/>
      <c r="BI169" s="338">
        <f>SUMPRODUCT(--(MOD(COLUMN($M169:$BH169),4)=MOD(COLUMN($M169),4)),$M169:$BH169)</f>
        <v/>
      </c>
      <c r="BJ169" s="339">
        <f>BI169*$I169</f>
        <v/>
      </c>
      <c r="BK169" s="340">
        <f>SUMPRODUCT(--(MOD(COLUMN($M169:$BH169),4)=MOD(COLUMN($M169)+1,4)),$M169:$BH169)</f>
        <v/>
      </c>
      <c r="BL169" s="341">
        <f>BK169*$I169</f>
        <v/>
      </c>
      <c r="BM169" s="342">
        <f>SUMPRODUCT(--(MOD(COLUMN($M169:$BH169),4)=MOD(COLUMN($M169)+2,4)),$M169:$BH169)</f>
        <v/>
      </c>
      <c r="BN169" s="343">
        <f>BM169*$I169</f>
        <v/>
      </c>
      <c r="BO169" s="36">
        <f>$KN169*0</f>
        <v/>
      </c>
      <c r="BP169" s="47">
        <f>$KN169*0</f>
        <v/>
      </c>
      <c r="BQ169" s="376">
        <f>SUMPRODUCT(--(MOD(COLUMN($M169:$BH169),4)=MOD(COLUMN($M169)+1,4)),$M169:$BH169)</f>
        <v/>
      </c>
      <c r="BR169" s="38" t="n">
        <v>0</v>
      </c>
      <c r="BS169" s="347" t="n"/>
      <c r="BT169" s="36">
        <f>$KN169*3</f>
        <v/>
      </c>
      <c r="BU169" s="47">
        <f>$KN169*0</f>
        <v/>
      </c>
      <c r="BV169" s="284">
        <f>$KN169*0</f>
        <v/>
      </c>
      <c r="BW169" s="38" t="n">
        <v>0</v>
      </c>
      <c r="BX169" s="347" t="n"/>
      <c r="BY169" s="36">
        <f>$KN169*3</f>
        <v/>
      </c>
      <c r="BZ169" s="47">
        <f>$KN169*1</f>
        <v/>
      </c>
      <c r="CA169" s="284">
        <f>$KN169*1</f>
        <v/>
      </c>
      <c r="CB169" s="38" t="n">
        <v>0</v>
      </c>
      <c r="CC169" s="284" t="n"/>
      <c r="CD169" s="36">
        <f>$KN169*3</f>
        <v/>
      </c>
      <c r="CE169" s="47">
        <f>$KN169*1</f>
        <v/>
      </c>
      <c r="CF169" s="284">
        <f>$KN169*1</f>
        <v/>
      </c>
      <c r="CG169" s="38" t="n">
        <v>0</v>
      </c>
      <c r="CH169" s="347" t="n"/>
      <c r="CI169" s="36">
        <f>$KN169*3</f>
        <v/>
      </c>
      <c r="CJ169" s="47">
        <f>$KN169*1</f>
        <v/>
      </c>
      <c r="CK169" s="284">
        <f>$KN169*0</f>
        <v/>
      </c>
      <c r="CL169" s="38" t="n">
        <v>0</v>
      </c>
      <c r="CM169" s="284" t="n"/>
      <c r="CN169" s="36">
        <f>$KN169*3</f>
        <v/>
      </c>
      <c r="CO169" s="47">
        <f>$KN169*1</f>
        <v/>
      </c>
      <c r="CP169" s="284">
        <f>$KN169*0</f>
        <v/>
      </c>
      <c r="CQ169" s="38" t="n">
        <v>0</v>
      </c>
      <c r="CR169" s="284" t="n"/>
      <c r="CS169" s="36">
        <f>$KN169*3</f>
        <v/>
      </c>
      <c r="CT169" s="47">
        <f>$KN169*1</f>
        <v/>
      </c>
      <c r="CU169" s="284">
        <f>$KN169*0</f>
        <v/>
      </c>
      <c r="CV169" s="38" t="n">
        <v>0</v>
      </c>
      <c r="CW169" s="284" t="n"/>
      <c r="CX169" s="36">
        <f>$KN169*3</f>
        <v/>
      </c>
      <c r="CY169" s="47">
        <f>$KN169*1</f>
        <v/>
      </c>
      <c r="CZ169" s="284">
        <f>$KN169*0</f>
        <v/>
      </c>
      <c r="DA169" s="38" t="n">
        <v>0</v>
      </c>
      <c r="DB169" s="284" t="n"/>
      <c r="DC169" s="36">
        <f>$KN169*3</f>
        <v/>
      </c>
      <c r="DD169" s="47">
        <f>$KN169*1</f>
        <v/>
      </c>
      <c r="DE169" s="284">
        <f>$KN169*0</f>
        <v/>
      </c>
      <c r="DF169" s="38" t="n">
        <v>0</v>
      </c>
      <c r="DG169" s="284" t="n"/>
      <c r="DH169" s="36">
        <f>$KN169*3</f>
        <v/>
      </c>
      <c r="DI169" s="47">
        <f>$KN169*1</f>
        <v/>
      </c>
      <c r="DJ169" s="284">
        <f>$KN169*0</f>
        <v/>
      </c>
      <c r="DK169" s="38" t="n">
        <v>0</v>
      </c>
      <c r="DL169" s="284" t="n"/>
      <c r="DM169" s="36">
        <f>$KN169*3</f>
        <v/>
      </c>
      <c r="DN169" s="47">
        <f>$KN169*1</f>
        <v/>
      </c>
      <c r="DO169" s="284">
        <f>$KN169*0</f>
        <v/>
      </c>
      <c r="DP169" s="38" t="n">
        <v>0</v>
      </c>
      <c r="DQ169" s="284" t="n"/>
      <c r="DR169" s="36">
        <f>$KN169*3</f>
        <v/>
      </c>
      <c r="DS169" s="47">
        <f>$KN169*1</f>
        <v/>
      </c>
      <c r="DT169" s="284">
        <f>$KN169*0</f>
        <v/>
      </c>
      <c r="DU169" s="38" t="n">
        <v>0</v>
      </c>
      <c r="DV169" s="284" t="n"/>
      <c r="DW169" s="338">
        <f t="array" ref="DW169">SUMPRODUCT(--(MOD(COLUMN($BO169:$DV169),5)=MOD(COLUMN($BO169),5)),$BO169:$DV169)</f>
        <v/>
      </c>
      <c r="DX169" s="339">
        <f>DW169*$J169</f>
        <v/>
      </c>
      <c r="DY169" s="344">
        <f t="array" ref="DY169">SUMPRODUCT(--(MOD(COLUMN($BO169:$DV169),5)=MOD(COLUMN($BP169),5)),$BO169:$DV169)</f>
        <v/>
      </c>
      <c r="DZ169" s="345">
        <f>DY169*$J169</f>
        <v/>
      </c>
      <c r="EA169" s="340">
        <f t="array" ref="EA169">SUMPRODUCT(--(MOD(COLUMN($BO169:$DV169),5)=MOD(COLUMN($BQ169),5)),$BO169:$DV169)</f>
        <v/>
      </c>
      <c r="EB169" s="341">
        <f>EA169*$J169</f>
        <v/>
      </c>
      <c r="EC169" s="342">
        <f t="array" ref="EC169">SUMPRODUCT(--(MOD(COLUMN($BO169:$DV169),5)=MOD(COLUMN($BR169),5)),$BO169:$DV169)</f>
        <v/>
      </c>
      <c r="ED169" s="343">
        <f>EC169*$J169</f>
        <v/>
      </c>
      <c r="EE169" s="36">
        <f>$KN169*1</f>
        <v/>
      </c>
      <c r="EF169" s="284" t="n">
        <v>1</v>
      </c>
      <c r="EG169" s="38" t="n">
        <v>0</v>
      </c>
      <c r="EH169" s="96" t="n"/>
      <c r="EI169" s="36">
        <f>$KN169*1</f>
        <v/>
      </c>
      <c r="EJ169" s="284" t="n">
        <v>0</v>
      </c>
      <c r="EK169" s="38" t="n">
        <v>0</v>
      </c>
      <c r="EL169" s="96" t="n"/>
      <c r="EM169" s="36">
        <f>$KN169*1</f>
        <v/>
      </c>
      <c r="EN169" s="284" t="n">
        <v>0</v>
      </c>
      <c r="EO169" s="38" t="n">
        <v>0</v>
      </c>
      <c r="EP169" s="96" t="n"/>
      <c r="EQ169" s="36">
        <f>$KN169*2</f>
        <v/>
      </c>
      <c r="ER169" s="284" t="n">
        <v>10</v>
      </c>
      <c r="ES169" s="38" t="n">
        <v>10</v>
      </c>
      <c r="ET169" s="347" t="n"/>
      <c r="EU169" s="36">
        <f>$KN169*2</f>
        <v/>
      </c>
      <c r="EV169" s="155" t="n">
        <v>15</v>
      </c>
      <c r="EW169" s="38" t="n">
        <v>0</v>
      </c>
      <c r="EX169" s="347" t="n"/>
      <c r="EY169" s="36">
        <f>$KN169*2</f>
        <v/>
      </c>
      <c r="EZ169" s="284" t="n">
        <v>2</v>
      </c>
      <c r="FA169" s="38" t="n">
        <v>0</v>
      </c>
      <c r="FB169" s="96" t="n"/>
      <c r="FC169" s="36">
        <f>$KN169*3</f>
        <v/>
      </c>
      <c r="FD169" s="284" t="n">
        <v>3</v>
      </c>
      <c r="FE169" s="38" t="n">
        <v>0</v>
      </c>
      <c r="FF169" s="96" t="n"/>
      <c r="FG169" s="36">
        <f>$KN169*3</f>
        <v/>
      </c>
      <c r="FH169" s="284" t="n">
        <v>3</v>
      </c>
      <c r="FI169" s="38" t="n">
        <v>0</v>
      </c>
      <c r="FJ169" s="96" t="n"/>
      <c r="FK169" s="36">
        <f>$KN169*3</f>
        <v/>
      </c>
      <c r="FL169" s="284" t="n">
        <v>3</v>
      </c>
      <c r="FM169" s="38" t="n">
        <v>0</v>
      </c>
      <c r="FN169" s="96" t="n"/>
      <c r="FO169" s="36">
        <f>$KN169*4</f>
        <v/>
      </c>
      <c r="FP169" s="284" t="n">
        <v>4</v>
      </c>
      <c r="FQ169" s="38" t="n">
        <v>0</v>
      </c>
      <c r="FR169" s="96" t="n"/>
      <c r="FS169" s="36">
        <f>$KN169*4</f>
        <v/>
      </c>
      <c r="FT169" s="284" t="n">
        <v>4</v>
      </c>
      <c r="FU169" s="38" t="n">
        <v>0</v>
      </c>
      <c r="FV169" s="96" t="n"/>
      <c r="FW169" s="36">
        <f>$KN169*4</f>
        <v/>
      </c>
      <c r="FX169" s="284" t="n">
        <v>4</v>
      </c>
      <c r="FY169" s="38" t="n">
        <v>0</v>
      </c>
      <c r="FZ169" s="96" t="n"/>
      <c r="GA169" s="338">
        <f t="array" ref="GA169">SUMPRODUCT(--(MOD(COLUMN($EE169:$FZ169),4)=MOD(COLUMN($EE169),4)),$EE169:$FZ169)</f>
        <v/>
      </c>
      <c r="GB169" s="339">
        <f>GA169*$J169</f>
        <v/>
      </c>
      <c r="GC169" s="340">
        <f t="array" ref="GC169">SUMPRODUCT(--(MOD(COLUMN($EE169:$FZ169),4)=MOD(COLUMN($EF169),4)),$EE169:$FZ169)</f>
        <v/>
      </c>
      <c r="GD169" s="341">
        <f>GC169*$J169</f>
        <v/>
      </c>
      <c r="GE169" s="342">
        <f t="array" ref="GE169">SUMPRODUCT(--(MOD(COLUMN($EE169:$FZ169),4)=MOD(COLUMN($EG169),4)),$EE169:$FZ169)</f>
        <v/>
      </c>
      <c r="GF169" s="343">
        <f>GE169*$J169</f>
        <v/>
      </c>
      <c r="GG169" s="36">
        <f>$KN169*3</f>
        <v/>
      </c>
      <c r="GH169" s="284" t="n"/>
      <c r="GI169" s="38" t="n">
        <v>0</v>
      </c>
      <c r="GJ169" s="96" t="n"/>
      <c r="GK169" s="36">
        <f>$KN169*3</f>
        <v/>
      </c>
      <c r="GL169" s="284" t="n"/>
      <c r="GM169" s="38" t="n">
        <v>0</v>
      </c>
      <c r="GN169" s="96" t="n"/>
      <c r="GO169" s="36">
        <f>$KN169*3</f>
        <v/>
      </c>
      <c r="GP169" s="284" t="n"/>
      <c r="GQ169" s="38" t="n">
        <v>0</v>
      </c>
      <c r="GR169" s="96" t="n"/>
      <c r="GS169" s="36">
        <f>$KN169*5</f>
        <v/>
      </c>
      <c r="GT169" s="284" t="n"/>
      <c r="GU169" s="38" t="n">
        <v>0</v>
      </c>
      <c r="GV169" s="96" t="n"/>
      <c r="GW169" s="36">
        <f>$KN169*5</f>
        <v/>
      </c>
      <c r="GX169" s="284" t="n"/>
      <c r="GY169" s="38" t="n">
        <v>0</v>
      </c>
      <c r="GZ169" s="96" t="n"/>
      <c r="HA169" s="36">
        <f>$KN169*5</f>
        <v/>
      </c>
      <c r="HB169" s="284" t="n"/>
      <c r="HC169" s="38" t="n">
        <v>0</v>
      </c>
      <c r="HD169" s="96" t="n"/>
      <c r="HE169" s="36">
        <f>$KN169*5</f>
        <v/>
      </c>
      <c r="HF169" s="284" t="n"/>
      <c r="HG169" s="38" t="n">
        <v>0</v>
      </c>
      <c r="HH169" s="96" t="n"/>
      <c r="HI169" s="36">
        <f>$KN169*5</f>
        <v/>
      </c>
      <c r="HJ169" s="284" t="n"/>
      <c r="HK169" s="38" t="n">
        <v>0</v>
      </c>
      <c r="HL169" s="96" t="n"/>
      <c r="HM169" s="36">
        <f>$KN169*5</f>
        <v/>
      </c>
      <c r="HN169" s="284" t="n"/>
      <c r="HO169" s="38" t="n">
        <v>0</v>
      </c>
      <c r="HP169" s="96" t="n"/>
      <c r="HQ169" s="36">
        <f>$KN169*5</f>
        <v/>
      </c>
      <c r="HR169" s="284" t="n"/>
      <c r="HS169" s="38" t="n">
        <v>0</v>
      </c>
      <c r="HT169" s="96" t="n"/>
      <c r="HU169" s="36">
        <f>$KN169*5</f>
        <v/>
      </c>
      <c r="HV169" s="284" t="n"/>
      <c r="HW169" s="38" t="n">
        <v>0</v>
      </c>
      <c r="HX169" s="96" t="n"/>
      <c r="HY169" s="36">
        <f>$KN169*5</f>
        <v/>
      </c>
      <c r="HZ169" s="284" t="n"/>
      <c r="IA169" s="38" t="n">
        <v>0</v>
      </c>
      <c r="IB169" s="96" t="n"/>
      <c r="IC169" s="338">
        <f t="array" ref="IC169">SUMPRODUCT(--(MOD(COLUMN($GG169:$IB169),4)=MOD(COLUMN($GG169),4)),$GG169:$IB169)</f>
        <v/>
      </c>
      <c r="ID169" s="339">
        <f>IC169*$J169</f>
        <v/>
      </c>
      <c r="IE169" s="340">
        <f t="array" ref="IE169">SUMPRODUCT(--(MOD(COLUMN($GG169:$IB169),4)=MOD(COLUMN($GH169),4)),$GG169:$IB169)</f>
        <v/>
      </c>
      <c r="IF169" s="341">
        <f>IE169*$J169</f>
        <v/>
      </c>
      <c r="IG169" s="342">
        <f t="array" ref="IG169">SUMPRODUCT(--(MOD(COLUMN($GG169:$IB169),4)=MOD(COLUMN($GI169),4)),$GG169:$IB169)</f>
        <v/>
      </c>
      <c r="IH169" s="343">
        <f>IG169*$J169</f>
        <v/>
      </c>
      <c r="II169" s="36">
        <f>$KN169*3</f>
        <v/>
      </c>
      <c r="IJ169" s="284" t="n"/>
      <c r="IK169" s="38" t="n">
        <v>0</v>
      </c>
      <c r="IL169" s="96" t="n"/>
      <c r="IM169" s="36">
        <f>$KN169*3</f>
        <v/>
      </c>
      <c r="IN169" s="284" t="n"/>
      <c r="IO169" s="38" t="n">
        <v>0</v>
      </c>
      <c r="IP169" s="96" t="n"/>
      <c r="IQ169" s="36">
        <f>$KN169*3</f>
        <v/>
      </c>
      <c r="IR169" s="284" t="n"/>
      <c r="IS169" s="38" t="n">
        <v>0</v>
      </c>
      <c r="IT169" s="96" t="n"/>
      <c r="IU169" s="36">
        <f>$KN169*5</f>
        <v/>
      </c>
      <c r="IV169" s="284" t="n"/>
      <c r="IW169" s="38" t="n">
        <v>0</v>
      </c>
      <c r="IX169" s="96" t="n"/>
      <c r="IY169" s="36">
        <f>$KN169*5</f>
        <v/>
      </c>
      <c r="IZ169" s="284" t="n"/>
      <c r="JA169" s="38" t="n">
        <v>0</v>
      </c>
      <c r="JB169" s="96" t="n"/>
      <c r="JC169" s="36">
        <f>$KN169*5</f>
        <v/>
      </c>
      <c r="JD169" s="284" t="n"/>
      <c r="JE169" s="38" t="n">
        <v>0</v>
      </c>
      <c r="JF169" s="96" t="n"/>
      <c r="JG169" s="36">
        <f>$KN169*5</f>
        <v/>
      </c>
      <c r="JH169" s="284" t="n"/>
      <c r="JI169" s="38" t="n">
        <v>0</v>
      </c>
      <c r="JJ169" s="96" t="n"/>
      <c r="JK169" s="36">
        <f>$KN169*5</f>
        <v/>
      </c>
      <c r="JL169" s="284" t="n"/>
      <c r="JM169" s="38" t="n">
        <v>0</v>
      </c>
      <c r="JN169" s="96" t="n"/>
      <c r="JO169" s="36">
        <f>$KN169*5</f>
        <v/>
      </c>
      <c r="JP169" s="284" t="n"/>
      <c r="JQ169" s="38" t="n">
        <v>0</v>
      </c>
      <c r="JR169" s="96" t="n"/>
      <c r="JS169" s="36">
        <f>$KN169*5</f>
        <v/>
      </c>
      <c r="JT169" s="284" t="n"/>
      <c r="JU169" s="38" t="n">
        <v>0</v>
      </c>
      <c r="JV169" s="96" t="n"/>
      <c r="JW169" s="36">
        <f>$KN169*5</f>
        <v/>
      </c>
      <c r="JX169" s="284" t="n"/>
      <c r="JY169" s="38" t="n">
        <v>0</v>
      </c>
      <c r="JZ169" s="96" t="n"/>
      <c r="KA169" s="36">
        <f>$KN169*5</f>
        <v/>
      </c>
      <c r="KB169" s="284" t="n"/>
      <c r="KC169" s="38" t="n">
        <v>0</v>
      </c>
      <c r="KD169" s="96" t="n"/>
      <c r="KE169" s="338">
        <f t="array" ref="KE169">SUMPRODUCT(--(MOD(COLUMN($II169:$KD169),4)=MOD(COLUMN($II169),4)),$II169:$KD169)</f>
        <v/>
      </c>
      <c r="KF169" s="339">
        <f>KE169*$J169</f>
        <v/>
      </c>
      <c r="KG169" s="340">
        <f t="array" ref="KG169">SUMPRODUCT(--(MOD(COLUMN($II169:$KD169),4)=MOD(COLUMN($IJ169),4)),$II169:$KD169)</f>
        <v/>
      </c>
      <c r="KH169" s="341">
        <f>KG169*$J169</f>
        <v/>
      </c>
      <c r="KI169" s="342">
        <f t="array" ref="KI169">SUMPRODUCT(--(MOD(COLUMN($II169:$KD169),4)=MOD(COLUMN($IK169),4)),$II169:$KD169)</f>
        <v/>
      </c>
      <c r="KJ169" s="346">
        <f>KI169*$J169</f>
        <v/>
      </c>
      <c r="KK169" s="80" t="n"/>
      <c r="KL169" s="80" t="n"/>
      <c r="KM169" s="80" t="n"/>
      <c r="KN169" s="51" t="n">
        <v>1</v>
      </c>
      <c r="KO169" s="347" t="n"/>
    </row>
    <row r="170" outlineLevel="1" ht="28.8" customFormat="1" customHeight="1" s="68">
      <c r="A170" s="347" t="n"/>
      <c r="B170" s="347" t="n"/>
      <c r="C170" s="347" t="n"/>
      <c r="D170" s="347" t="n"/>
      <c r="E170" s="60" t="n">
        <v>4</v>
      </c>
      <c r="F170" s="60" t="n">
        <v>1</v>
      </c>
      <c r="G170" s="56" t="n">
        <v>4801020640</v>
      </c>
      <c r="H170" s="57" t="inlineStr">
        <is>
          <t>Модулятор EBS, с PEM, без фит.</t>
        </is>
      </c>
      <c r="I170" s="374" t="n">
        <v>4632</v>
      </c>
      <c r="J170" s="377" t="n">
        <v>4632</v>
      </c>
      <c r="K170" s="348" t="n"/>
      <c r="L170" s="348" t="n"/>
      <c r="M170" s="36" t="n"/>
      <c r="N170" s="284" t="n"/>
      <c r="O170" s="38" t="n"/>
      <c r="P170" s="284" t="n"/>
      <c r="Q170" s="36" t="n"/>
      <c r="R170" s="284" t="n"/>
      <c r="S170" s="38" t="n"/>
      <c r="T170" s="284" t="n"/>
      <c r="U170" s="36" t="n"/>
      <c r="V170" s="284" t="n"/>
      <c r="W170" s="38" t="n"/>
      <c r="X170" s="284" t="n"/>
      <c r="Y170" s="36" t="n"/>
      <c r="Z170" s="284" t="n"/>
      <c r="AA170" s="38" t="n"/>
      <c r="AB170" s="284" t="n"/>
      <c r="AC170" s="36" t="n"/>
      <c r="AD170" s="284" t="n"/>
      <c r="AE170" s="38" t="n"/>
      <c r="AF170" s="284" t="n"/>
      <c r="AG170" s="36" t="n"/>
      <c r="AH170" s="284" t="n"/>
      <c r="AI170" s="38" t="n"/>
      <c r="AJ170" s="284" t="n"/>
      <c r="AK170" s="36" t="n"/>
      <c r="AL170" s="284" t="n"/>
      <c r="AM170" s="38" t="n"/>
      <c r="AN170" s="284" t="n"/>
      <c r="AO170" s="36" t="n"/>
      <c r="AP170" s="284" t="n"/>
      <c r="AQ170" s="38" t="n"/>
      <c r="AR170" s="284" t="n"/>
      <c r="AS170" s="36" t="n"/>
      <c r="AT170" s="284" t="n"/>
      <c r="AU170" s="38" t="n">
        <v>0</v>
      </c>
      <c r="AV170" s="284" t="n"/>
      <c r="AW170" s="36" t="n"/>
      <c r="AX170" s="284" t="n"/>
      <c r="AY170" s="38" t="n">
        <v>0</v>
      </c>
      <c r="AZ170" s="347" t="n"/>
      <c r="BA170" s="36" t="n"/>
      <c r="BB170" s="284" t="n"/>
      <c r="BC170" s="99" t="n">
        <v>0</v>
      </c>
      <c r="BD170" s="284" t="n"/>
      <c r="BE170" s="36" t="n"/>
      <c r="BF170" s="284">
        <f>$KN170*1</f>
        <v/>
      </c>
      <c r="BG170" s="54" t="n">
        <v>0</v>
      </c>
      <c r="BH170" s="284" t="n"/>
      <c r="BI170" s="338">
        <f>SUMPRODUCT(--(MOD(COLUMN($M170:$BH170),4)=MOD(COLUMN($M170),4)),$M170:$BH170)</f>
        <v/>
      </c>
      <c r="BJ170" s="339">
        <f>BI170*$I170</f>
        <v/>
      </c>
      <c r="BK170" s="340">
        <f>SUMPRODUCT(--(MOD(COLUMN($M170:$BH170),4)=MOD(COLUMN($M170)+1,4)),$M170:$BH170)</f>
        <v/>
      </c>
      <c r="BL170" s="341">
        <f>BK170*$I170</f>
        <v/>
      </c>
      <c r="BM170" s="342">
        <f>SUMPRODUCT(--(MOD(COLUMN($M170:$BH170),4)=MOD(COLUMN($M170)+2,4)),$M170:$BH170)</f>
        <v/>
      </c>
      <c r="BN170" s="343">
        <f>BM170*$I170</f>
        <v/>
      </c>
      <c r="BO170" s="36">
        <f>$KN170*0</f>
        <v/>
      </c>
      <c r="BP170" s="47">
        <f>$KN170*0</f>
        <v/>
      </c>
      <c r="BQ170" s="376">
        <f>SUMPRODUCT(--(MOD(COLUMN($M170:$BH170),4)=MOD(COLUMN($M170)+1,4)),$M170:$BH170)</f>
        <v/>
      </c>
      <c r="BR170" s="38" t="n">
        <v>0</v>
      </c>
      <c r="BS170" s="347" t="n"/>
      <c r="BT170" s="36">
        <f>$KN170*3</f>
        <v/>
      </c>
      <c r="BU170" s="47">
        <f>$KN170*0</f>
        <v/>
      </c>
      <c r="BV170" s="284">
        <f>$KN170*0</f>
        <v/>
      </c>
      <c r="BW170" s="38" t="n">
        <v>0</v>
      </c>
      <c r="BX170" s="347" t="n"/>
      <c r="BY170" s="36">
        <f>$KN170*3</f>
        <v/>
      </c>
      <c r="BZ170" s="47">
        <f>$KN170*1</f>
        <v/>
      </c>
      <c r="CA170" s="284">
        <f>$KN170*1</f>
        <v/>
      </c>
      <c r="CB170" s="38" t="n">
        <v>0</v>
      </c>
      <c r="CC170" s="284" t="n"/>
      <c r="CD170" s="36">
        <f>$KN170*3</f>
        <v/>
      </c>
      <c r="CE170" s="47">
        <f>$KN170*1</f>
        <v/>
      </c>
      <c r="CF170" s="284">
        <f>$KN170*1</f>
        <v/>
      </c>
      <c r="CG170" s="38" t="n">
        <v>0</v>
      </c>
      <c r="CH170" s="347" t="n"/>
      <c r="CI170" s="36">
        <f>$KN170*3</f>
        <v/>
      </c>
      <c r="CJ170" s="47">
        <f>$KN170*1</f>
        <v/>
      </c>
      <c r="CK170" s="284">
        <f>$KN170*0</f>
        <v/>
      </c>
      <c r="CL170" s="38" t="n">
        <v>0</v>
      </c>
      <c r="CM170" s="284" t="n"/>
      <c r="CN170" s="36">
        <f>$KN170*3</f>
        <v/>
      </c>
      <c r="CO170" s="47">
        <f>$KN170*1</f>
        <v/>
      </c>
      <c r="CP170" s="284">
        <f>$KN170*0</f>
        <v/>
      </c>
      <c r="CQ170" s="38" t="n">
        <v>0</v>
      </c>
      <c r="CR170" s="284" t="n"/>
      <c r="CS170" s="36">
        <f>$KN170*3</f>
        <v/>
      </c>
      <c r="CT170" s="47">
        <f>$KN170*1</f>
        <v/>
      </c>
      <c r="CU170" s="284">
        <f>$KN170*0</f>
        <v/>
      </c>
      <c r="CV170" s="38" t="n">
        <v>0</v>
      </c>
      <c r="CW170" s="284" t="n"/>
      <c r="CX170" s="36">
        <f>$KN170*3</f>
        <v/>
      </c>
      <c r="CY170" s="47">
        <f>$KN170*1</f>
        <v/>
      </c>
      <c r="CZ170" s="284">
        <f>$KN170*0</f>
        <v/>
      </c>
      <c r="DA170" s="38" t="n">
        <v>0</v>
      </c>
      <c r="DB170" s="284" t="n"/>
      <c r="DC170" s="36">
        <f>$KN170*3</f>
        <v/>
      </c>
      <c r="DD170" s="47">
        <f>$KN170*1</f>
        <v/>
      </c>
      <c r="DE170" s="284">
        <f>$KN170*0</f>
        <v/>
      </c>
      <c r="DF170" s="38" t="n">
        <v>0</v>
      </c>
      <c r="DG170" s="284" t="n"/>
      <c r="DH170" s="36">
        <f>$KN170*3</f>
        <v/>
      </c>
      <c r="DI170" s="47">
        <f>$KN170*1</f>
        <v/>
      </c>
      <c r="DJ170" s="284">
        <f>$KN170*0</f>
        <v/>
      </c>
      <c r="DK170" s="52" t="n">
        <v>0</v>
      </c>
      <c r="DL170" s="284" t="n"/>
      <c r="DM170" s="36">
        <f>$KN170*3</f>
        <v/>
      </c>
      <c r="DN170" s="47">
        <f>$KN170*1</f>
        <v/>
      </c>
      <c r="DO170" s="284">
        <f>$KN170*0</f>
        <v/>
      </c>
      <c r="DP170" s="38" t="n">
        <v>0</v>
      </c>
      <c r="DQ170" s="284" t="n"/>
      <c r="DR170" s="36">
        <f>$KN170*3</f>
        <v/>
      </c>
      <c r="DS170" s="47">
        <f>$KN170*1</f>
        <v/>
      </c>
      <c r="DT170" s="284">
        <f>$KN170*0</f>
        <v/>
      </c>
      <c r="DU170" s="38" t="n">
        <v>0</v>
      </c>
      <c r="DV170" s="284" t="n"/>
      <c r="DW170" s="338">
        <f t="array" ref="DW170">SUMPRODUCT(--(MOD(COLUMN($BO170:$DV170),5)=MOD(COLUMN($BO170),5)),$BO170:$DV170)</f>
        <v/>
      </c>
      <c r="DX170" s="339">
        <f>DW170*$J170</f>
        <v/>
      </c>
      <c r="DY170" s="344">
        <f t="array" ref="DY170">SUMPRODUCT(--(MOD(COLUMN($BO170:$DV170),5)=MOD(COLUMN($BP170),5)),$BO170:$DV170)</f>
        <v/>
      </c>
      <c r="DZ170" s="345">
        <f>DY170*$J170</f>
        <v/>
      </c>
      <c r="EA170" s="340">
        <f t="array" ref="EA170">SUMPRODUCT(--(MOD(COLUMN($BO170:$DV170),5)=MOD(COLUMN($BQ170),5)),$BO170:$DV170)</f>
        <v/>
      </c>
      <c r="EB170" s="341">
        <f>EA170*$J170</f>
        <v/>
      </c>
      <c r="EC170" s="342">
        <f t="array" ref="EC170">SUMPRODUCT(--(MOD(COLUMN($BO170:$DV170),5)=MOD(COLUMN($BR170),5)),$BO170:$DV170)</f>
        <v/>
      </c>
      <c r="ED170" s="343">
        <f>EC170*$J170</f>
        <v/>
      </c>
      <c r="EE170" s="36">
        <f>$KN170*1</f>
        <v/>
      </c>
      <c r="EF170" s="284" t="n">
        <v>1</v>
      </c>
      <c r="EG170" s="38" t="n">
        <v>0</v>
      </c>
      <c r="EH170" s="96" t="n"/>
      <c r="EI170" s="36">
        <f>$KN170*1</f>
        <v/>
      </c>
      <c r="EJ170" s="284" t="n">
        <v>0</v>
      </c>
      <c r="EK170" s="38" t="n">
        <v>0</v>
      </c>
      <c r="EL170" s="96" t="n"/>
      <c r="EM170" s="36">
        <f>$KN170*1</f>
        <v/>
      </c>
      <c r="EN170" s="284" t="n">
        <v>0</v>
      </c>
      <c r="EO170" s="38" t="n">
        <v>0</v>
      </c>
      <c r="EP170" s="96" t="n"/>
      <c r="EQ170" s="36">
        <f>$KN170*2</f>
        <v/>
      </c>
      <c r="ER170" s="284" t="n">
        <v>10</v>
      </c>
      <c r="ES170" s="38" t="n">
        <v>10</v>
      </c>
      <c r="ET170" s="347" t="n"/>
      <c r="EU170" s="36">
        <f>$KN170*2</f>
        <v/>
      </c>
      <c r="EV170" s="155" t="n">
        <v>15</v>
      </c>
      <c r="EW170" s="38" t="n">
        <v>0</v>
      </c>
      <c r="EX170" s="347" t="n"/>
      <c r="EY170" s="36">
        <f>$KN170*2</f>
        <v/>
      </c>
      <c r="EZ170" s="284" t="n">
        <v>2</v>
      </c>
      <c r="FA170" s="38" t="n">
        <v>0</v>
      </c>
      <c r="FB170" s="96" t="n"/>
      <c r="FC170" s="36">
        <f>$KN170*3</f>
        <v/>
      </c>
      <c r="FD170" s="284" t="n">
        <v>3</v>
      </c>
      <c r="FE170" s="38" t="n">
        <v>0</v>
      </c>
      <c r="FF170" s="96" t="n"/>
      <c r="FG170" s="36">
        <f>$KN170*3</f>
        <v/>
      </c>
      <c r="FH170" s="284" t="n">
        <v>3</v>
      </c>
      <c r="FI170" s="38" t="n">
        <v>0</v>
      </c>
      <c r="FJ170" s="96" t="n"/>
      <c r="FK170" s="36">
        <f>$KN170*3</f>
        <v/>
      </c>
      <c r="FL170" s="284" t="n">
        <v>3</v>
      </c>
      <c r="FM170" s="38" t="n">
        <v>0</v>
      </c>
      <c r="FN170" s="96" t="n"/>
      <c r="FO170" s="36">
        <f>$KN170*4</f>
        <v/>
      </c>
      <c r="FP170" s="284" t="n">
        <v>4</v>
      </c>
      <c r="FQ170" s="38" t="n">
        <v>0</v>
      </c>
      <c r="FR170" s="96" t="n"/>
      <c r="FS170" s="36">
        <f>$KN170*4</f>
        <v/>
      </c>
      <c r="FT170" s="284" t="n">
        <v>4</v>
      </c>
      <c r="FU170" s="38" t="n">
        <v>0</v>
      </c>
      <c r="FV170" s="96" t="n"/>
      <c r="FW170" s="36">
        <f>$KN170*4</f>
        <v/>
      </c>
      <c r="FX170" s="284" t="n">
        <v>4</v>
      </c>
      <c r="FY170" s="38" t="n">
        <v>0</v>
      </c>
      <c r="FZ170" s="96" t="n"/>
      <c r="GA170" s="338">
        <f t="array" ref="GA170">SUMPRODUCT(--(MOD(COLUMN($EE170:$FZ170),4)=MOD(COLUMN($EE170),4)),$EE170:$FZ170)</f>
        <v/>
      </c>
      <c r="GB170" s="339">
        <f>GA170*$J170</f>
        <v/>
      </c>
      <c r="GC170" s="340">
        <f t="array" ref="GC170">SUMPRODUCT(--(MOD(COLUMN($EE170:$FZ170),4)=MOD(COLUMN($EF170),4)),$EE170:$FZ170)</f>
        <v/>
      </c>
      <c r="GD170" s="341">
        <f>GC170*$J170</f>
        <v/>
      </c>
      <c r="GE170" s="342">
        <f t="array" ref="GE170">SUMPRODUCT(--(MOD(COLUMN($EE170:$FZ170),4)=MOD(COLUMN($EG170),4)),$EE170:$FZ170)</f>
        <v/>
      </c>
      <c r="GF170" s="343">
        <f>GE170*$J170</f>
        <v/>
      </c>
      <c r="GG170" s="36">
        <f>$KN170*3</f>
        <v/>
      </c>
      <c r="GH170" s="284" t="n"/>
      <c r="GI170" s="38" t="n">
        <v>0</v>
      </c>
      <c r="GJ170" s="96" t="n"/>
      <c r="GK170" s="36">
        <f>$KN170*3</f>
        <v/>
      </c>
      <c r="GL170" s="284" t="n"/>
      <c r="GM170" s="38" t="n">
        <v>0</v>
      </c>
      <c r="GN170" s="96" t="n"/>
      <c r="GO170" s="36">
        <f>$KN170*3</f>
        <v/>
      </c>
      <c r="GP170" s="284" t="n"/>
      <c r="GQ170" s="38" t="n">
        <v>0</v>
      </c>
      <c r="GR170" s="96" t="n"/>
      <c r="GS170" s="36">
        <f>$KN170*5</f>
        <v/>
      </c>
      <c r="GT170" s="284" t="n"/>
      <c r="GU170" s="38" t="n">
        <v>0</v>
      </c>
      <c r="GV170" s="96" t="n"/>
      <c r="GW170" s="36">
        <f>$KN170*5</f>
        <v/>
      </c>
      <c r="GX170" s="284" t="n"/>
      <c r="GY170" s="38" t="n">
        <v>0</v>
      </c>
      <c r="GZ170" s="96" t="n"/>
      <c r="HA170" s="36">
        <f>$KN170*5</f>
        <v/>
      </c>
      <c r="HB170" s="284" t="n"/>
      <c r="HC170" s="38" t="n">
        <v>0</v>
      </c>
      <c r="HD170" s="96" t="n"/>
      <c r="HE170" s="36">
        <f>$KN170*5</f>
        <v/>
      </c>
      <c r="HF170" s="284" t="n"/>
      <c r="HG170" s="38" t="n">
        <v>0</v>
      </c>
      <c r="HH170" s="96" t="n"/>
      <c r="HI170" s="36">
        <f>$KN170*5</f>
        <v/>
      </c>
      <c r="HJ170" s="284" t="n"/>
      <c r="HK170" s="38" t="n">
        <v>0</v>
      </c>
      <c r="HL170" s="96" t="n"/>
      <c r="HM170" s="36">
        <f>$KN170*5</f>
        <v/>
      </c>
      <c r="HN170" s="284" t="n"/>
      <c r="HO170" s="38" t="n">
        <v>0</v>
      </c>
      <c r="HP170" s="96" t="n"/>
      <c r="HQ170" s="36">
        <f>$KN170*5</f>
        <v/>
      </c>
      <c r="HR170" s="284" t="n"/>
      <c r="HS170" s="38" t="n">
        <v>0</v>
      </c>
      <c r="HT170" s="96" t="n"/>
      <c r="HU170" s="36">
        <f>$KN170*5</f>
        <v/>
      </c>
      <c r="HV170" s="284" t="n"/>
      <c r="HW170" s="38" t="n">
        <v>0</v>
      </c>
      <c r="HX170" s="96" t="n"/>
      <c r="HY170" s="36">
        <f>$KN170*5</f>
        <v/>
      </c>
      <c r="HZ170" s="284" t="n"/>
      <c r="IA170" s="38" t="n">
        <v>0</v>
      </c>
      <c r="IB170" s="96" t="n"/>
      <c r="IC170" s="338">
        <f t="array" ref="IC170">SUMPRODUCT(--(MOD(COLUMN($GG170:$IB170),4)=MOD(COLUMN($GG170),4)),$GG170:$IB170)</f>
        <v/>
      </c>
      <c r="ID170" s="339">
        <f>IC170*$J170</f>
        <v/>
      </c>
      <c r="IE170" s="340">
        <f t="array" ref="IE170">SUMPRODUCT(--(MOD(COLUMN($GG170:$IB170),4)=MOD(COLUMN($GH170),4)),$GG170:$IB170)</f>
        <v/>
      </c>
      <c r="IF170" s="341">
        <f>IE170*$J170</f>
        <v/>
      </c>
      <c r="IG170" s="342">
        <f t="array" ref="IG170">SUMPRODUCT(--(MOD(COLUMN($GG170:$IB170),4)=MOD(COLUMN($GI170),4)),$GG170:$IB170)</f>
        <v/>
      </c>
      <c r="IH170" s="343">
        <f>IG170*$J170</f>
        <v/>
      </c>
      <c r="II170" s="36">
        <f>$KN170*3</f>
        <v/>
      </c>
      <c r="IJ170" s="284" t="n"/>
      <c r="IK170" s="38" t="n">
        <v>0</v>
      </c>
      <c r="IL170" s="96" t="n"/>
      <c r="IM170" s="36">
        <f>$KN170*3</f>
        <v/>
      </c>
      <c r="IN170" s="284" t="n"/>
      <c r="IO170" s="38" t="n">
        <v>0</v>
      </c>
      <c r="IP170" s="96" t="n"/>
      <c r="IQ170" s="36">
        <f>$KN170*3</f>
        <v/>
      </c>
      <c r="IR170" s="284" t="n"/>
      <c r="IS170" s="38" t="n">
        <v>0</v>
      </c>
      <c r="IT170" s="96" t="n"/>
      <c r="IU170" s="36">
        <f>$KN170*5</f>
        <v/>
      </c>
      <c r="IV170" s="284" t="n"/>
      <c r="IW170" s="38" t="n">
        <v>0</v>
      </c>
      <c r="IX170" s="96" t="n"/>
      <c r="IY170" s="36">
        <f>$KN170*5</f>
        <v/>
      </c>
      <c r="IZ170" s="284" t="n"/>
      <c r="JA170" s="38" t="n">
        <v>0</v>
      </c>
      <c r="JB170" s="96" t="n"/>
      <c r="JC170" s="36">
        <f>$KN170*5</f>
        <v/>
      </c>
      <c r="JD170" s="284" t="n"/>
      <c r="JE170" s="38" t="n">
        <v>0</v>
      </c>
      <c r="JF170" s="96" t="n"/>
      <c r="JG170" s="36">
        <f>$KN170*5</f>
        <v/>
      </c>
      <c r="JH170" s="284" t="n"/>
      <c r="JI170" s="38" t="n">
        <v>0</v>
      </c>
      <c r="JJ170" s="96" t="n"/>
      <c r="JK170" s="36">
        <f>$KN170*5</f>
        <v/>
      </c>
      <c r="JL170" s="284" t="n"/>
      <c r="JM170" s="38" t="n">
        <v>0</v>
      </c>
      <c r="JN170" s="96" t="n"/>
      <c r="JO170" s="36">
        <f>$KN170*5</f>
        <v/>
      </c>
      <c r="JP170" s="284" t="n"/>
      <c r="JQ170" s="38" t="n">
        <v>0</v>
      </c>
      <c r="JR170" s="96" t="n"/>
      <c r="JS170" s="36">
        <f>$KN170*5</f>
        <v/>
      </c>
      <c r="JT170" s="284" t="n"/>
      <c r="JU170" s="38" t="n">
        <v>0</v>
      </c>
      <c r="JV170" s="96" t="n"/>
      <c r="JW170" s="36">
        <f>$KN170*5</f>
        <v/>
      </c>
      <c r="JX170" s="284" t="n"/>
      <c r="JY170" s="38" t="n">
        <v>0</v>
      </c>
      <c r="JZ170" s="96" t="n"/>
      <c r="KA170" s="36">
        <f>$KN170*5</f>
        <v/>
      </c>
      <c r="KB170" s="284" t="n"/>
      <c r="KC170" s="38" t="n">
        <v>0</v>
      </c>
      <c r="KD170" s="96" t="n"/>
      <c r="KE170" s="338">
        <f t="array" ref="KE170">SUMPRODUCT(--(MOD(COLUMN($II170:$KD170),4)=MOD(COLUMN($II170),4)),$II170:$KD170)</f>
        <v/>
      </c>
      <c r="KF170" s="339">
        <f>KE170*$J170</f>
        <v/>
      </c>
      <c r="KG170" s="340">
        <f t="array" ref="KG170">SUMPRODUCT(--(MOD(COLUMN($II170:$KD170),4)=MOD(COLUMN($IJ170),4)),$II170:$KD170)</f>
        <v/>
      </c>
      <c r="KH170" s="341">
        <f>KG170*$J170</f>
        <v/>
      </c>
      <c r="KI170" s="342">
        <f t="array" ref="KI170">SUMPRODUCT(--(MOD(COLUMN($II170:$KD170),4)=MOD(COLUMN($IK170),4)),$II170:$KD170)</f>
        <v/>
      </c>
      <c r="KJ170" s="346">
        <f>KI170*$J170</f>
        <v/>
      </c>
      <c r="KK170" s="80" t="n"/>
      <c r="KL170" s="80" t="n"/>
      <c r="KM170" s="80" t="n"/>
      <c r="KN170" s="51" t="n">
        <v>1</v>
      </c>
      <c r="KO170" s="347" t="n"/>
    </row>
    <row r="171" outlineLevel="1" customFormat="1" s="68">
      <c r="A171" s="347" t="n"/>
      <c r="B171" s="347" t="n"/>
      <c r="C171" s="347" t="n"/>
      <c r="D171" s="347" t="n"/>
      <c r="E171" s="60" t="n">
        <v>5</v>
      </c>
      <c r="F171" s="60" t="n">
        <v>1</v>
      </c>
      <c r="G171" s="56" t="n">
        <v>4491731500</v>
      </c>
      <c r="H171" s="57" t="inlineStr">
        <is>
          <t>Кабель питания, 15 м</t>
        </is>
      </c>
      <c r="I171" s="374" t="n">
        <v>1148</v>
      </c>
      <c r="J171" s="375" t="n">
        <v>1148</v>
      </c>
      <c r="K171" s="348" t="n"/>
      <c r="L171" s="348" t="n"/>
      <c r="M171" s="36" t="n"/>
      <c r="N171" s="284" t="n"/>
      <c r="O171" s="38" t="n"/>
      <c r="P171" s="284" t="n"/>
      <c r="Q171" s="36" t="n"/>
      <c r="R171" s="284" t="n"/>
      <c r="S171" s="38" t="n"/>
      <c r="T171" s="284" t="n"/>
      <c r="U171" s="36" t="n"/>
      <c r="V171" s="284" t="n"/>
      <c r="W171" s="38" t="n"/>
      <c r="X171" s="284" t="n"/>
      <c r="Y171" s="36" t="n"/>
      <c r="Z171" s="284" t="n"/>
      <c r="AA171" s="38" t="n"/>
      <c r="AB171" s="284" t="n"/>
      <c r="AC171" s="36" t="n"/>
      <c r="AD171" s="284" t="n"/>
      <c r="AE171" s="38" t="n"/>
      <c r="AF171" s="284" t="n"/>
      <c r="AG171" s="36" t="n"/>
      <c r="AH171" s="284" t="n"/>
      <c r="AI171" s="38" t="n"/>
      <c r="AJ171" s="284" t="n"/>
      <c r="AK171" s="36" t="n"/>
      <c r="AL171" s="284" t="n"/>
      <c r="AM171" s="38" t="n"/>
      <c r="AN171" s="284" t="n"/>
      <c r="AO171" s="36" t="n"/>
      <c r="AP171" s="284" t="n"/>
      <c r="AQ171" s="38" t="n"/>
      <c r="AR171" s="284" t="n"/>
      <c r="AS171" s="36" t="n"/>
      <c r="AT171" s="284" t="n"/>
      <c r="AU171" s="38" t="n">
        <v>0</v>
      </c>
      <c r="AV171" s="284" t="n"/>
      <c r="AW171" s="36" t="n"/>
      <c r="AX171" s="284" t="n"/>
      <c r="AY171" s="38" t="n">
        <v>0</v>
      </c>
      <c r="AZ171" s="347" t="n"/>
      <c r="BA171" s="36" t="n"/>
      <c r="BB171" s="284" t="n"/>
      <c r="BC171" s="99" t="n">
        <v>0</v>
      </c>
      <c r="BD171" s="284" t="n"/>
      <c r="BE171" s="36" t="n"/>
      <c r="BF171" s="284">
        <f>$KN171*1</f>
        <v/>
      </c>
      <c r="BG171" s="54" t="n">
        <v>0</v>
      </c>
      <c r="BH171" s="284" t="n"/>
      <c r="BI171" s="338">
        <f>SUMPRODUCT(--(MOD(COLUMN($M171:$BH171),4)=MOD(COLUMN($M171),4)),$M171:$BH171)</f>
        <v/>
      </c>
      <c r="BJ171" s="339">
        <f>BI171*$I171</f>
        <v/>
      </c>
      <c r="BK171" s="340">
        <f>SUMPRODUCT(--(MOD(COLUMN($M171:$BH171),4)=MOD(COLUMN($M171)+1,4)),$M171:$BH171)</f>
        <v/>
      </c>
      <c r="BL171" s="341">
        <f>BK171*$I171</f>
        <v/>
      </c>
      <c r="BM171" s="342">
        <f>SUMPRODUCT(--(MOD(COLUMN($M171:$BH171),4)=MOD(COLUMN($M171)+2,4)),$M171:$BH171)</f>
        <v/>
      </c>
      <c r="BN171" s="343">
        <f>BM171*$I171</f>
        <v/>
      </c>
      <c r="BO171" s="36">
        <f>$KN171*0</f>
        <v/>
      </c>
      <c r="BP171" s="47">
        <f>$KN171*0</f>
        <v/>
      </c>
      <c r="BQ171" s="376">
        <f>SUMPRODUCT(--(MOD(COLUMN($M171:$BH171),4)=MOD(COLUMN($M171)+1,4)),$M171:$BH171)</f>
        <v/>
      </c>
      <c r="BR171" s="38" t="n">
        <v>0</v>
      </c>
      <c r="BS171" s="347" t="n"/>
      <c r="BT171" s="36">
        <f>$KN171*3</f>
        <v/>
      </c>
      <c r="BU171" s="47">
        <f>$KN171*0</f>
        <v/>
      </c>
      <c r="BV171" s="284">
        <f>$KN171*0</f>
        <v/>
      </c>
      <c r="BW171" s="38" t="n">
        <v>0</v>
      </c>
      <c r="BX171" s="347" t="n"/>
      <c r="BY171" s="36">
        <f>$KN171*3</f>
        <v/>
      </c>
      <c r="BZ171" s="47">
        <f>$KN171*1</f>
        <v/>
      </c>
      <c r="CA171" s="284">
        <f>$KN171*1</f>
        <v/>
      </c>
      <c r="CB171" s="38" t="n">
        <v>0</v>
      </c>
      <c r="CC171" s="284" t="n"/>
      <c r="CD171" s="36">
        <f>$KN171*3</f>
        <v/>
      </c>
      <c r="CE171" s="47">
        <f>$KN171*1</f>
        <v/>
      </c>
      <c r="CF171" s="284">
        <f>$KN171*1</f>
        <v/>
      </c>
      <c r="CG171" s="38" t="n">
        <v>0</v>
      </c>
      <c r="CH171" s="347" t="n"/>
      <c r="CI171" s="36">
        <f>$KN171*3</f>
        <v/>
      </c>
      <c r="CJ171" s="47">
        <f>$KN171*1</f>
        <v/>
      </c>
      <c r="CK171" s="284">
        <f>$KN171*0</f>
        <v/>
      </c>
      <c r="CL171" s="38" t="n">
        <v>0</v>
      </c>
      <c r="CM171" s="284" t="n"/>
      <c r="CN171" s="36">
        <f>$KN171*3</f>
        <v/>
      </c>
      <c r="CO171" s="47">
        <f>$KN171*1</f>
        <v/>
      </c>
      <c r="CP171" s="284">
        <f>$KN171*0</f>
        <v/>
      </c>
      <c r="CQ171" s="38" t="n">
        <v>0</v>
      </c>
      <c r="CR171" s="284" t="n"/>
      <c r="CS171" s="36">
        <f>$KN171*3</f>
        <v/>
      </c>
      <c r="CT171" s="47">
        <f>$KN171*1</f>
        <v/>
      </c>
      <c r="CU171" s="284">
        <f>$KN171*0</f>
        <v/>
      </c>
      <c r="CV171" s="38" t="n">
        <v>0</v>
      </c>
      <c r="CW171" s="284" t="n"/>
      <c r="CX171" s="36">
        <f>$KN171*3</f>
        <v/>
      </c>
      <c r="CY171" s="47">
        <f>$KN171*1</f>
        <v/>
      </c>
      <c r="CZ171" s="284">
        <f>$KN171*0</f>
        <v/>
      </c>
      <c r="DA171" s="38" t="n">
        <v>0</v>
      </c>
      <c r="DB171" s="284" t="n"/>
      <c r="DC171" s="36">
        <f>$KN171*3</f>
        <v/>
      </c>
      <c r="DD171" s="47">
        <f>$KN171*1</f>
        <v/>
      </c>
      <c r="DE171" s="284">
        <f>$KN171*0</f>
        <v/>
      </c>
      <c r="DF171" s="38" t="n">
        <v>0</v>
      </c>
      <c r="DG171" s="284" t="n"/>
      <c r="DH171" s="36">
        <f>$KN171*3</f>
        <v/>
      </c>
      <c r="DI171" s="47">
        <f>$KN171*1</f>
        <v/>
      </c>
      <c r="DJ171" s="284">
        <f>$KN171*0</f>
        <v/>
      </c>
      <c r="DK171" s="38" t="n">
        <v>0</v>
      </c>
      <c r="DL171" s="284" t="n"/>
      <c r="DM171" s="36">
        <f>$KN171*3</f>
        <v/>
      </c>
      <c r="DN171" s="47">
        <f>$KN171*1</f>
        <v/>
      </c>
      <c r="DO171" s="284">
        <f>$KN171*0</f>
        <v/>
      </c>
      <c r="DP171" s="38" t="n">
        <v>0</v>
      </c>
      <c r="DQ171" s="284" t="n"/>
      <c r="DR171" s="36">
        <f>$KN171*3</f>
        <v/>
      </c>
      <c r="DS171" s="47">
        <f>$KN171*1</f>
        <v/>
      </c>
      <c r="DT171" s="284">
        <f>$KN171*0</f>
        <v/>
      </c>
      <c r="DU171" s="38" t="n">
        <v>0</v>
      </c>
      <c r="DV171" s="284" t="n"/>
      <c r="DW171" s="338">
        <f t="array" ref="DW171">SUMPRODUCT(--(MOD(COLUMN($BO171:$DV171),5)=MOD(COLUMN($BO171),5)),$BO171:$DV171)</f>
        <v/>
      </c>
      <c r="DX171" s="339">
        <f>DW171*$J171</f>
        <v/>
      </c>
      <c r="DY171" s="344">
        <f t="array" ref="DY171">SUMPRODUCT(--(MOD(COLUMN($BO171:$DV171),5)=MOD(COLUMN($BP171),5)),$BO171:$DV171)</f>
        <v/>
      </c>
      <c r="DZ171" s="345">
        <f>DY171*$J171</f>
        <v/>
      </c>
      <c r="EA171" s="340">
        <f t="array" ref="EA171">SUMPRODUCT(--(MOD(COLUMN($BO171:$DV171),5)=MOD(COLUMN($BQ171),5)),$BO171:$DV171)</f>
        <v/>
      </c>
      <c r="EB171" s="341">
        <f>EA171*$J171</f>
        <v/>
      </c>
      <c r="EC171" s="342">
        <f t="array" ref="EC171">SUMPRODUCT(--(MOD(COLUMN($BO171:$DV171),5)=MOD(COLUMN($BR171),5)),$BO171:$DV171)</f>
        <v/>
      </c>
      <c r="ED171" s="343">
        <f>EC171*$J171</f>
        <v/>
      </c>
      <c r="EE171" s="36">
        <f>$KN171*1</f>
        <v/>
      </c>
      <c r="EF171" s="284" t="n">
        <v>1</v>
      </c>
      <c r="EG171" s="38" t="n">
        <v>0</v>
      </c>
      <c r="EH171" s="96" t="n"/>
      <c r="EI171" s="36">
        <f>$KN171*1</f>
        <v/>
      </c>
      <c r="EJ171" s="284" t="n">
        <v>0</v>
      </c>
      <c r="EK171" s="38" t="n">
        <v>0</v>
      </c>
      <c r="EL171" s="96" t="n"/>
      <c r="EM171" s="36">
        <f>$KN171*1</f>
        <v/>
      </c>
      <c r="EN171" s="284" t="n">
        <v>0</v>
      </c>
      <c r="EO171" s="38" t="n">
        <v>0</v>
      </c>
      <c r="EP171" s="96" t="n"/>
      <c r="EQ171" s="36">
        <f>$KN171*2</f>
        <v/>
      </c>
      <c r="ER171" s="284" t="n">
        <v>10</v>
      </c>
      <c r="ES171" s="38" t="n">
        <v>10</v>
      </c>
      <c r="ET171" s="347" t="n"/>
      <c r="EU171" s="36">
        <f>$KN171*2</f>
        <v/>
      </c>
      <c r="EV171" s="155" t="n">
        <v>15</v>
      </c>
      <c r="EW171" s="38" t="n">
        <v>0</v>
      </c>
      <c r="EX171" s="347" t="n"/>
      <c r="EY171" s="36">
        <f>$KN171*2</f>
        <v/>
      </c>
      <c r="EZ171" s="284" t="n">
        <v>2</v>
      </c>
      <c r="FA171" s="38" t="n">
        <v>0</v>
      </c>
      <c r="FB171" s="96" t="n"/>
      <c r="FC171" s="36">
        <f>$KN171*3</f>
        <v/>
      </c>
      <c r="FD171" s="284" t="n">
        <v>3</v>
      </c>
      <c r="FE171" s="38" t="n">
        <v>0</v>
      </c>
      <c r="FF171" s="96" t="n"/>
      <c r="FG171" s="36">
        <f>$KN171*3</f>
        <v/>
      </c>
      <c r="FH171" s="284" t="n">
        <v>3</v>
      </c>
      <c r="FI171" s="38" t="n">
        <v>0</v>
      </c>
      <c r="FJ171" s="96" t="n"/>
      <c r="FK171" s="36">
        <f>$KN171*3</f>
        <v/>
      </c>
      <c r="FL171" s="284" t="n">
        <v>3</v>
      </c>
      <c r="FM171" s="38" t="n">
        <v>0</v>
      </c>
      <c r="FN171" s="96" t="n"/>
      <c r="FO171" s="36">
        <f>$KN171*4</f>
        <v/>
      </c>
      <c r="FP171" s="284" t="n">
        <v>4</v>
      </c>
      <c r="FQ171" s="38" t="n">
        <v>0</v>
      </c>
      <c r="FR171" s="96" t="n"/>
      <c r="FS171" s="36">
        <f>$KN171*4</f>
        <v/>
      </c>
      <c r="FT171" s="284" t="n">
        <v>4</v>
      </c>
      <c r="FU171" s="38" t="n">
        <v>0</v>
      </c>
      <c r="FV171" s="96" t="n"/>
      <c r="FW171" s="36">
        <f>$KN171*4</f>
        <v/>
      </c>
      <c r="FX171" s="284" t="n">
        <v>4</v>
      </c>
      <c r="FY171" s="38" t="n">
        <v>0</v>
      </c>
      <c r="FZ171" s="96" t="n"/>
      <c r="GA171" s="338">
        <f t="array" ref="GA171">SUMPRODUCT(--(MOD(COLUMN($EE171:$FZ171),4)=MOD(COLUMN($EE171),4)),$EE171:$FZ171)</f>
        <v/>
      </c>
      <c r="GB171" s="339">
        <f>GA171*$J171</f>
        <v/>
      </c>
      <c r="GC171" s="340">
        <f t="array" ref="GC171">SUMPRODUCT(--(MOD(COLUMN($EE171:$FZ171),4)=MOD(COLUMN($EF171),4)),$EE171:$FZ171)</f>
        <v/>
      </c>
      <c r="GD171" s="341">
        <f>GC171*$J171</f>
        <v/>
      </c>
      <c r="GE171" s="342">
        <f t="array" ref="GE171">SUMPRODUCT(--(MOD(COLUMN($EE171:$FZ171),4)=MOD(COLUMN($EG171),4)),$EE171:$FZ171)</f>
        <v/>
      </c>
      <c r="GF171" s="343">
        <f>GE171*$J171</f>
        <v/>
      </c>
      <c r="GG171" s="36">
        <f>$KN171*3</f>
        <v/>
      </c>
      <c r="GH171" s="284" t="n"/>
      <c r="GI171" s="38" t="n">
        <v>0</v>
      </c>
      <c r="GJ171" s="96" t="n"/>
      <c r="GK171" s="36">
        <f>$KN171*3</f>
        <v/>
      </c>
      <c r="GL171" s="284" t="n"/>
      <c r="GM171" s="38" t="n">
        <v>0</v>
      </c>
      <c r="GN171" s="96" t="n"/>
      <c r="GO171" s="36">
        <f>$KN171*3</f>
        <v/>
      </c>
      <c r="GP171" s="284" t="n"/>
      <c r="GQ171" s="38" t="n">
        <v>0</v>
      </c>
      <c r="GR171" s="96" t="n"/>
      <c r="GS171" s="36">
        <f>$KN171*5</f>
        <v/>
      </c>
      <c r="GT171" s="284" t="n"/>
      <c r="GU171" s="38" t="n">
        <v>0</v>
      </c>
      <c r="GV171" s="96" t="n"/>
      <c r="GW171" s="36">
        <f>$KN171*5</f>
        <v/>
      </c>
      <c r="GX171" s="284" t="n"/>
      <c r="GY171" s="38" t="n">
        <v>0</v>
      </c>
      <c r="GZ171" s="96" t="n"/>
      <c r="HA171" s="36">
        <f>$KN171*5</f>
        <v/>
      </c>
      <c r="HB171" s="284" t="n"/>
      <c r="HC171" s="38" t="n">
        <v>0</v>
      </c>
      <c r="HD171" s="96" t="n"/>
      <c r="HE171" s="36">
        <f>$KN171*5</f>
        <v/>
      </c>
      <c r="HF171" s="284" t="n"/>
      <c r="HG171" s="38" t="n">
        <v>0</v>
      </c>
      <c r="HH171" s="96" t="n"/>
      <c r="HI171" s="36">
        <f>$KN171*5</f>
        <v/>
      </c>
      <c r="HJ171" s="284" t="n"/>
      <c r="HK171" s="38" t="n">
        <v>0</v>
      </c>
      <c r="HL171" s="96" t="n"/>
      <c r="HM171" s="36">
        <f>$KN171*5</f>
        <v/>
      </c>
      <c r="HN171" s="284" t="n"/>
      <c r="HO171" s="38" t="n">
        <v>0</v>
      </c>
      <c r="HP171" s="96" t="n"/>
      <c r="HQ171" s="36">
        <f>$KN171*5</f>
        <v/>
      </c>
      <c r="HR171" s="284" t="n"/>
      <c r="HS171" s="38" t="n">
        <v>0</v>
      </c>
      <c r="HT171" s="96" t="n"/>
      <c r="HU171" s="36">
        <f>$KN171*5</f>
        <v/>
      </c>
      <c r="HV171" s="284" t="n"/>
      <c r="HW171" s="38" t="n">
        <v>0</v>
      </c>
      <c r="HX171" s="96" t="n"/>
      <c r="HY171" s="36">
        <f>$KN171*5</f>
        <v/>
      </c>
      <c r="HZ171" s="284" t="n"/>
      <c r="IA171" s="38" t="n">
        <v>0</v>
      </c>
      <c r="IB171" s="96" t="n"/>
      <c r="IC171" s="338">
        <f t="array" ref="IC171">SUMPRODUCT(--(MOD(COLUMN($GG171:$IB171),4)=MOD(COLUMN($GG171),4)),$GG171:$IB171)</f>
        <v/>
      </c>
      <c r="ID171" s="339">
        <f>IC171*$J171</f>
        <v/>
      </c>
      <c r="IE171" s="340">
        <f t="array" ref="IE171">SUMPRODUCT(--(MOD(COLUMN($GG171:$IB171),4)=MOD(COLUMN($GH171),4)),$GG171:$IB171)</f>
        <v/>
      </c>
      <c r="IF171" s="341">
        <f>IE171*$J171</f>
        <v/>
      </c>
      <c r="IG171" s="342">
        <f t="array" ref="IG171">SUMPRODUCT(--(MOD(COLUMN($GG171:$IB171),4)=MOD(COLUMN($GI171),4)),$GG171:$IB171)</f>
        <v/>
      </c>
      <c r="IH171" s="343">
        <f>IG171*$J171</f>
        <v/>
      </c>
      <c r="II171" s="36">
        <f>$KN171*3</f>
        <v/>
      </c>
      <c r="IJ171" s="284" t="n"/>
      <c r="IK171" s="38" t="n">
        <v>0</v>
      </c>
      <c r="IL171" s="96" t="n"/>
      <c r="IM171" s="36">
        <f>$KN171*3</f>
        <v/>
      </c>
      <c r="IN171" s="284" t="n"/>
      <c r="IO171" s="38" t="n">
        <v>0</v>
      </c>
      <c r="IP171" s="96" t="n"/>
      <c r="IQ171" s="36">
        <f>$KN171*3</f>
        <v/>
      </c>
      <c r="IR171" s="284" t="n"/>
      <c r="IS171" s="38" t="n">
        <v>0</v>
      </c>
      <c r="IT171" s="96" t="n"/>
      <c r="IU171" s="36">
        <f>$KN171*5</f>
        <v/>
      </c>
      <c r="IV171" s="284" t="n"/>
      <c r="IW171" s="38" t="n">
        <v>0</v>
      </c>
      <c r="IX171" s="96" t="n"/>
      <c r="IY171" s="36">
        <f>$KN171*5</f>
        <v/>
      </c>
      <c r="IZ171" s="284" t="n"/>
      <c r="JA171" s="38" t="n">
        <v>0</v>
      </c>
      <c r="JB171" s="96" t="n"/>
      <c r="JC171" s="36">
        <f>$KN171*5</f>
        <v/>
      </c>
      <c r="JD171" s="284" t="n"/>
      <c r="JE171" s="38" t="n">
        <v>0</v>
      </c>
      <c r="JF171" s="96" t="n"/>
      <c r="JG171" s="36">
        <f>$KN171*5</f>
        <v/>
      </c>
      <c r="JH171" s="284" t="n"/>
      <c r="JI171" s="38" t="n">
        <v>0</v>
      </c>
      <c r="JJ171" s="96" t="n"/>
      <c r="JK171" s="36">
        <f>$KN171*5</f>
        <v/>
      </c>
      <c r="JL171" s="284" t="n"/>
      <c r="JM171" s="38" t="n">
        <v>0</v>
      </c>
      <c r="JN171" s="96" t="n"/>
      <c r="JO171" s="36">
        <f>$KN171*5</f>
        <v/>
      </c>
      <c r="JP171" s="284" t="n"/>
      <c r="JQ171" s="38" t="n">
        <v>0</v>
      </c>
      <c r="JR171" s="96" t="n"/>
      <c r="JS171" s="36">
        <f>$KN171*5</f>
        <v/>
      </c>
      <c r="JT171" s="284" t="n"/>
      <c r="JU171" s="38" t="n">
        <v>0</v>
      </c>
      <c r="JV171" s="96" t="n"/>
      <c r="JW171" s="36">
        <f>$KN171*5</f>
        <v/>
      </c>
      <c r="JX171" s="284" t="n"/>
      <c r="JY171" s="38" t="n">
        <v>0</v>
      </c>
      <c r="JZ171" s="96" t="n"/>
      <c r="KA171" s="36">
        <f>$KN171*5</f>
        <v/>
      </c>
      <c r="KB171" s="284" t="n"/>
      <c r="KC171" s="38" t="n">
        <v>0</v>
      </c>
      <c r="KD171" s="96" t="n"/>
      <c r="KE171" s="338">
        <f t="array" ref="KE171">SUMPRODUCT(--(MOD(COLUMN($II171:$KD171),4)=MOD(COLUMN($II171),4)),$II171:$KD171)</f>
        <v/>
      </c>
      <c r="KF171" s="339">
        <f>KE171*$J171</f>
        <v/>
      </c>
      <c r="KG171" s="340">
        <f t="array" ref="KG171">SUMPRODUCT(--(MOD(COLUMN($II171:$KD171),4)=MOD(COLUMN($IJ171),4)),$II171:$KD171)</f>
        <v/>
      </c>
      <c r="KH171" s="341">
        <f>KG171*$J171</f>
        <v/>
      </c>
      <c r="KI171" s="342">
        <f t="array" ref="KI171">SUMPRODUCT(--(MOD(COLUMN($II171:$KD171),4)=MOD(COLUMN($IK171),4)),$II171:$KD171)</f>
        <v/>
      </c>
      <c r="KJ171" s="346">
        <f>KI171*$J171</f>
        <v/>
      </c>
      <c r="KK171" s="80" t="n"/>
      <c r="KL171" s="80" t="n"/>
      <c r="KM171" s="80" t="n"/>
      <c r="KN171" s="51" t="n">
        <v>1</v>
      </c>
      <c r="KO171" s="347" t="n"/>
    </row>
    <row r="172" outlineLevel="1" customFormat="1" s="68">
      <c r="A172" s="347" t="n"/>
      <c r="B172" s="347" t="n"/>
      <c r="C172" s="347" t="n"/>
      <c r="D172" s="347" t="n"/>
      <c r="E172" s="60" t="n">
        <v>6</v>
      </c>
      <c r="F172" s="60" t="n">
        <v>1</v>
      </c>
      <c r="G172" s="56" t="n">
        <v>4497230400</v>
      </c>
      <c r="H172" s="57" t="inlineStr">
        <is>
          <t>Кабель датчика, 4 м</t>
        </is>
      </c>
      <c r="I172" s="374" t="n">
        <v>126</v>
      </c>
      <c r="J172" s="375" t="n">
        <v>126</v>
      </c>
      <c r="K172" s="348" t="n"/>
      <c r="L172" s="348" t="n"/>
      <c r="M172" s="36" t="n"/>
      <c r="N172" s="284" t="n"/>
      <c r="O172" s="38" t="n"/>
      <c r="P172" s="284" t="n"/>
      <c r="Q172" s="36" t="n"/>
      <c r="R172" s="284" t="n"/>
      <c r="S172" s="38" t="n"/>
      <c r="T172" s="284" t="n"/>
      <c r="U172" s="36" t="n"/>
      <c r="V172" s="284" t="n"/>
      <c r="W172" s="38" t="n"/>
      <c r="X172" s="284" t="n"/>
      <c r="Y172" s="36" t="n"/>
      <c r="Z172" s="284" t="n"/>
      <c r="AA172" s="38" t="n"/>
      <c r="AB172" s="284" t="n"/>
      <c r="AC172" s="36" t="n"/>
      <c r="AD172" s="284" t="n"/>
      <c r="AE172" s="38" t="n"/>
      <c r="AF172" s="284" t="n"/>
      <c r="AG172" s="36" t="n"/>
      <c r="AH172" s="284" t="n"/>
      <c r="AI172" s="38" t="n"/>
      <c r="AJ172" s="284" t="n"/>
      <c r="AK172" s="36" t="n"/>
      <c r="AL172" s="284" t="n"/>
      <c r="AM172" s="38" t="n"/>
      <c r="AN172" s="284" t="n"/>
      <c r="AO172" s="36" t="n"/>
      <c r="AP172" s="284" t="n"/>
      <c r="AQ172" s="38" t="n"/>
      <c r="AR172" s="284" t="n"/>
      <c r="AS172" s="36" t="n"/>
      <c r="AT172" s="284" t="n"/>
      <c r="AU172" s="38" t="n">
        <v>0</v>
      </c>
      <c r="AV172" s="284" t="n"/>
      <c r="AW172" s="36" t="n"/>
      <c r="AX172" s="284" t="n"/>
      <c r="AY172" s="38" t="n">
        <v>0</v>
      </c>
      <c r="AZ172" s="347" t="n"/>
      <c r="BA172" s="36" t="n"/>
      <c r="BB172" s="284" t="n"/>
      <c r="BC172" s="99" t="n">
        <v>0</v>
      </c>
      <c r="BD172" s="284" t="n"/>
      <c r="BE172" s="36" t="n"/>
      <c r="BF172" s="284">
        <f>$KN172*1</f>
        <v/>
      </c>
      <c r="BG172" s="54" t="n">
        <v>0</v>
      </c>
      <c r="BH172" s="284" t="n"/>
      <c r="BI172" s="338">
        <f>SUMPRODUCT(--(MOD(COLUMN($M172:$BH172),4)=MOD(COLUMN($M172),4)),$M172:$BH172)</f>
        <v/>
      </c>
      <c r="BJ172" s="339">
        <f>BI172*$I172</f>
        <v/>
      </c>
      <c r="BK172" s="340">
        <f>SUMPRODUCT(--(MOD(COLUMN($M172:$BH172),4)=MOD(COLUMN($M172)+1,4)),$M172:$BH172)</f>
        <v/>
      </c>
      <c r="BL172" s="341">
        <f>BK172*$I172</f>
        <v/>
      </c>
      <c r="BM172" s="342">
        <f>SUMPRODUCT(--(MOD(COLUMN($M172:$BH172),4)=MOD(COLUMN($M172)+2,4)),$M172:$BH172)</f>
        <v/>
      </c>
      <c r="BN172" s="343">
        <f>BM172*$I172</f>
        <v/>
      </c>
      <c r="BO172" s="36">
        <f>$KN172*0</f>
        <v/>
      </c>
      <c r="BP172" s="47">
        <f>$KN172*0</f>
        <v/>
      </c>
      <c r="BQ172" s="376">
        <f>SUMPRODUCT(--(MOD(COLUMN($M172:$BH172),4)=MOD(COLUMN($M172)+1,4)),$M172:$BH172)</f>
        <v/>
      </c>
      <c r="BR172" s="38" t="n">
        <v>0</v>
      </c>
      <c r="BS172" s="347" t="n"/>
      <c r="BT172" s="36">
        <f>$KN172*3</f>
        <v/>
      </c>
      <c r="BU172" s="47">
        <f>$KN172*0</f>
        <v/>
      </c>
      <c r="BV172" s="284">
        <f>$KN172*0</f>
        <v/>
      </c>
      <c r="BW172" s="38" t="n">
        <v>0</v>
      </c>
      <c r="BX172" s="347" t="n"/>
      <c r="BY172" s="36">
        <f>$KN172*3</f>
        <v/>
      </c>
      <c r="BZ172" s="47">
        <f>$KN172*1</f>
        <v/>
      </c>
      <c r="CA172" s="284">
        <f>$KN172*1</f>
        <v/>
      </c>
      <c r="CB172" s="38" t="n">
        <v>0</v>
      </c>
      <c r="CC172" s="284" t="n"/>
      <c r="CD172" s="36">
        <f>$KN172*3</f>
        <v/>
      </c>
      <c r="CE172" s="47">
        <f>$KN172*1</f>
        <v/>
      </c>
      <c r="CF172" s="284">
        <f>$KN172*1</f>
        <v/>
      </c>
      <c r="CG172" s="38" t="n">
        <v>0</v>
      </c>
      <c r="CH172" s="347" t="n"/>
      <c r="CI172" s="36">
        <f>$KN172*3</f>
        <v/>
      </c>
      <c r="CJ172" s="47">
        <f>$KN172*1</f>
        <v/>
      </c>
      <c r="CK172" s="284">
        <f>$KN172*0</f>
        <v/>
      </c>
      <c r="CL172" s="38" t="n">
        <v>0</v>
      </c>
      <c r="CM172" s="284" t="n"/>
      <c r="CN172" s="36">
        <f>$KN172*3</f>
        <v/>
      </c>
      <c r="CO172" s="47">
        <f>$KN172*1</f>
        <v/>
      </c>
      <c r="CP172" s="284">
        <f>$KN172*0</f>
        <v/>
      </c>
      <c r="CQ172" s="38" t="n">
        <v>0</v>
      </c>
      <c r="CR172" s="284" t="n"/>
      <c r="CS172" s="36">
        <f>$KN172*3</f>
        <v/>
      </c>
      <c r="CT172" s="47">
        <f>$KN172*1</f>
        <v/>
      </c>
      <c r="CU172" s="284">
        <f>$KN172*0</f>
        <v/>
      </c>
      <c r="CV172" s="38" t="n">
        <v>0</v>
      </c>
      <c r="CW172" s="284" t="n"/>
      <c r="CX172" s="36">
        <f>$KN172*3</f>
        <v/>
      </c>
      <c r="CY172" s="47">
        <f>$KN172*1</f>
        <v/>
      </c>
      <c r="CZ172" s="284">
        <f>$KN172*0</f>
        <v/>
      </c>
      <c r="DA172" s="38" t="n">
        <v>0</v>
      </c>
      <c r="DB172" s="284" t="n"/>
      <c r="DC172" s="36">
        <f>$KN172*3</f>
        <v/>
      </c>
      <c r="DD172" s="47">
        <f>$KN172*1</f>
        <v/>
      </c>
      <c r="DE172" s="284">
        <f>$KN172*0</f>
        <v/>
      </c>
      <c r="DF172" s="38" t="n">
        <v>0</v>
      </c>
      <c r="DG172" s="284" t="n"/>
      <c r="DH172" s="36">
        <f>$KN172*3</f>
        <v/>
      </c>
      <c r="DI172" s="47">
        <f>$KN172*1</f>
        <v/>
      </c>
      <c r="DJ172" s="284">
        <f>$KN172*0</f>
        <v/>
      </c>
      <c r="DK172" s="52" t="n">
        <v>0</v>
      </c>
      <c r="DL172" s="284" t="n"/>
      <c r="DM172" s="36">
        <f>$KN172*3</f>
        <v/>
      </c>
      <c r="DN172" s="47">
        <f>$KN172*1</f>
        <v/>
      </c>
      <c r="DO172" s="284">
        <f>$KN172*0</f>
        <v/>
      </c>
      <c r="DP172" s="38" t="n">
        <v>0</v>
      </c>
      <c r="DQ172" s="284" t="n"/>
      <c r="DR172" s="36">
        <f>$KN172*3</f>
        <v/>
      </c>
      <c r="DS172" s="47">
        <f>$KN172*1</f>
        <v/>
      </c>
      <c r="DT172" s="284">
        <f>$KN172*0</f>
        <v/>
      </c>
      <c r="DU172" s="38" t="n">
        <v>0</v>
      </c>
      <c r="DV172" s="284" t="n"/>
      <c r="DW172" s="338">
        <f t="array" ref="DW172">SUMPRODUCT(--(MOD(COLUMN($BO172:$DV172),5)=MOD(COLUMN($BO172),5)),$BO172:$DV172)</f>
        <v/>
      </c>
      <c r="DX172" s="339">
        <f>DW172*$J172</f>
        <v/>
      </c>
      <c r="DY172" s="344">
        <f t="array" ref="DY172">SUMPRODUCT(--(MOD(COLUMN($BO172:$DV172),5)=MOD(COLUMN($BP172),5)),$BO172:$DV172)</f>
        <v/>
      </c>
      <c r="DZ172" s="345">
        <f>DY172*$J172</f>
        <v/>
      </c>
      <c r="EA172" s="340">
        <f t="array" ref="EA172">SUMPRODUCT(--(MOD(COLUMN($BO172:$DV172),5)=MOD(COLUMN($BQ172),5)),$BO172:$DV172)</f>
        <v/>
      </c>
      <c r="EB172" s="341">
        <f>EA172*$J172</f>
        <v/>
      </c>
      <c r="EC172" s="342">
        <f t="array" ref="EC172">SUMPRODUCT(--(MOD(COLUMN($BO172:$DV172),5)=MOD(COLUMN($BR172),5)),$BO172:$DV172)</f>
        <v/>
      </c>
      <c r="ED172" s="343">
        <f>EC172*$J172</f>
        <v/>
      </c>
      <c r="EE172" s="36">
        <f>$KN172*1</f>
        <v/>
      </c>
      <c r="EF172" s="284" t="n">
        <v>2</v>
      </c>
      <c r="EG172" s="38" t="n">
        <v>0</v>
      </c>
      <c r="EH172" s="96" t="n"/>
      <c r="EI172" s="36">
        <f>$KN172*1</f>
        <v/>
      </c>
      <c r="EJ172" s="284" t="n">
        <v>0</v>
      </c>
      <c r="EK172" s="38" t="n">
        <v>0</v>
      </c>
      <c r="EL172" s="96" t="n"/>
      <c r="EM172" s="36">
        <f>$KN172*1</f>
        <v/>
      </c>
      <c r="EN172" s="284" t="n">
        <v>0</v>
      </c>
      <c r="EO172" s="38" t="n">
        <v>0</v>
      </c>
      <c r="EP172" s="96" t="n"/>
      <c r="EQ172" s="36">
        <f>$KN172*2</f>
        <v/>
      </c>
      <c r="ER172" s="284" t="n">
        <v>20</v>
      </c>
      <c r="ES172" s="38" t="n">
        <v>20</v>
      </c>
      <c r="ET172" s="347" t="n"/>
      <c r="EU172" s="36">
        <f>$KN172*2</f>
        <v/>
      </c>
      <c r="EV172" s="155" t="n">
        <v>30</v>
      </c>
      <c r="EW172" s="38" t="n">
        <v>0</v>
      </c>
      <c r="EX172" s="347" t="n"/>
      <c r="EY172" s="36">
        <f>$KN172*2</f>
        <v/>
      </c>
      <c r="EZ172" s="284" t="n">
        <v>4</v>
      </c>
      <c r="FA172" s="38" t="n">
        <v>0</v>
      </c>
      <c r="FB172" s="96" t="n"/>
      <c r="FC172" s="36">
        <f>$KN172*3</f>
        <v/>
      </c>
      <c r="FD172" s="284" t="n">
        <v>6</v>
      </c>
      <c r="FE172" s="38" t="n">
        <v>0</v>
      </c>
      <c r="FF172" s="96" t="n"/>
      <c r="FG172" s="36">
        <f>$KN172*3</f>
        <v/>
      </c>
      <c r="FH172" s="284" t="n">
        <v>6</v>
      </c>
      <c r="FI172" s="38" t="n">
        <v>0</v>
      </c>
      <c r="FJ172" s="96" t="n"/>
      <c r="FK172" s="36">
        <f>$KN172*3</f>
        <v/>
      </c>
      <c r="FL172" s="284" t="n">
        <v>6</v>
      </c>
      <c r="FM172" s="38" t="n">
        <v>0</v>
      </c>
      <c r="FN172" s="96" t="n"/>
      <c r="FO172" s="36">
        <f>$KN172*4</f>
        <v/>
      </c>
      <c r="FP172" s="284" t="n">
        <v>8</v>
      </c>
      <c r="FQ172" s="38" t="n">
        <v>0</v>
      </c>
      <c r="FR172" s="96" t="n"/>
      <c r="FS172" s="36">
        <f>$KN172*4</f>
        <v/>
      </c>
      <c r="FT172" s="284" t="n">
        <v>8</v>
      </c>
      <c r="FU172" s="38" t="n">
        <v>0</v>
      </c>
      <c r="FV172" s="96" t="n"/>
      <c r="FW172" s="36">
        <f>$KN172*4</f>
        <v/>
      </c>
      <c r="FX172" s="284" t="n">
        <v>8</v>
      </c>
      <c r="FY172" s="38" t="n">
        <v>0</v>
      </c>
      <c r="FZ172" s="96" t="n"/>
      <c r="GA172" s="338">
        <f t="array" ref="GA172">SUMPRODUCT(--(MOD(COLUMN($EE172:$FZ172),4)=MOD(COLUMN($EE172),4)),$EE172:$FZ172)</f>
        <v/>
      </c>
      <c r="GB172" s="339">
        <f>GA172*$J172</f>
        <v/>
      </c>
      <c r="GC172" s="340">
        <f t="array" ref="GC172">SUMPRODUCT(--(MOD(COLUMN($EE172:$FZ172),4)=MOD(COLUMN($EF172),4)),$EE172:$FZ172)</f>
        <v/>
      </c>
      <c r="GD172" s="341">
        <f>GC172*$J172</f>
        <v/>
      </c>
      <c r="GE172" s="342">
        <f t="array" ref="GE172">SUMPRODUCT(--(MOD(COLUMN($EE172:$FZ172),4)=MOD(COLUMN($EG172),4)),$EE172:$FZ172)</f>
        <v/>
      </c>
      <c r="GF172" s="343">
        <f>GE172*$J172</f>
        <v/>
      </c>
      <c r="GG172" s="36">
        <f>$KN172*3</f>
        <v/>
      </c>
      <c r="GH172" s="284" t="n"/>
      <c r="GI172" s="38" t="n">
        <v>0</v>
      </c>
      <c r="GJ172" s="96" t="n"/>
      <c r="GK172" s="36">
        <f>$KN172*3</f>
        <v/>
      </c>
      <c r="GL172" s="284" t="n"/>
      <c r="GM172" s="38" t="n">
        <v>0</v>
      </c>
      <c r="GN172" s="96" t="n"/>
      <c r="GO172" s="36">
        <f>$KN172*3</f>
        <v/>
      </c>
      <c r="GP172" s="284" t="n"/>
      <c r="GQ172" s="38" t="n">
        <v>0</v>
      </c>
      <c r="GR172" s="96" t="n"/>
      <c r="GS172" s="36">
        <f>$KN172*5</f>
        <v/>
      </c>
      <c r="GT172" s="284" t="n"/>
      <c r="GU172" s="38" t="n">
        <v>0</v>
      </c>
      <c r="GV172" s="96" t="n"/>
      <c r="GW172" s="36">
        <f>$KN172*5</f>
        <v/>
      </c>
      <c r="GX172" s="284" t="n"/>
      <c r="GY172" s="38" t="n">
        <v>0</v>
      </c>
      <c r="GZ172" s="96" t="n"/>
      <c r="HA172" s="36">
        <f>$KN172*5</f>
        <v/>
      </c>
      <c r="HB172" s="284" t="n"/>
      <c r="HC172" s="38" t="n">
        <v>0</v>
      </c>
      <c r="HD172" s="96" t="n"/>
      <c r="HE172" s="36">
        <f>$KN172*5</f>
        <v/>
      </c>
      <c r="HF172" s="284" t="n"/>
      <c r="HG172" s="38" t="n">
        <v>0</v>
      </c>
      <c r="HH172" s="96" t="n"/>
      <c r="HI172" s="36">
        <f>$KN172*5</f>
        <v/>
      </c>
      <c r="HJ172" s="284" t="n"/>
      <c r="HK172" s="38" t="n">
        <v>0</v>
      </c>
      <c r="HL172" s="96" t="n"/>
      <c r="HM172" s="36">
        <f>$KN172*5</f>
        <v/>
      </c>
      <c r="HN172" s="284" t="n"/>
      <c r="HO172" s="38" t="n">
        <v>0</v>
      </c>
      <c r="HP172" s="96" t="n"/>
      <c r="HQ172" s="36">
        <f>$KN172*5</f>
        <v/>
      </c>
      <c r="HR172" s="284" t="n"/>
      <c r="HS172" s="38" t="n">
        <v>0</v>
      </c>
      <c r="HT172" s="96" t="n"/>
      <c r="HU172" s="36">
        <f>$KN172*5</f>
        <v/>
      </c>
      <c r="HV172" s="284" t="n"/>
      <c r="HW172" s="38" t="n">
        <v>0</v>
      </c>
      <c r="HX172" s="96" t="n"/>
      <c r="HY172" s="36">
        <f>$KN172*5</f>
        <v/>
      </c>
      <c r="HZ172" s="284" t="n"/>
      <c r="IA172" s="38" t="n">
        <v>0</v>
      </c>
      <c r="IB172" s="96" t="n"/>
      <c r="IC172" s="338">
        <f t="array" ref="IC172">SUMPRODUCT(--(MOD(COLUMN($GG172:$IB172),4)=MOD(COLUMN($GG172),4)),$GG172:$IB172)</f>
        <v/>
      </c>
      <c r="ID172" s="339">
        <f>IC172*$J172</f>
        <v/>
      </c>
      <c r="IE172" s="340">
        <f t="array" ref="IE172">SUMPRODUCT(--(MOD(COLUMN($GG172:$IB172),4)=MOD(COLUMN($GH172),4)),$GG172:$IB172)</f>
        <v/>
      </c>
      <c r="IF172" s="341">
        <f>IE172*$J172</f>
        <v/>
      </c>
      <c r="IG172" s="342">
        <f t="array" ref="IG172">SUMPRODUCT(--(MOD(COLUMN($GG172:$IB172),4)=MOD(COLUMN($GI172),4)),$GG172:$IB172)</f>
        <v/>
      </c>
      <c r="IH172" s="343">
        <f>IG172*$J172</f>
        <v/>
      </c>
      <c r="II172" s="36">
        <f>$KN172*3</f>
        <v/>
      </c>
      <c r="IJ172" s="284" t="n"/>
      <c r="IK172" s="38" t="n">
        <v>0</v>
      </c>
      <c r="IL172" s="96" t="n"/>
      <c r="IM172" s="36">
        <f>$KN172*3</f>
        <v/>
      </c>
      <c r="IN172" s="284" t="n"/>
      <c r="IO172" s="38" t="n">
        <v>0</v>
      </c>
      <c r="IP172" s="96" t="n"/>
      <c r="IQ172" s="36">
        <f>$KN172*3</f>
        <v/>
      </c>
      <c r="IR172" s="284" t="n"/>
      <c r="IS172" s="38" t="n">
        <v>0</v>
      </c>
      <c r="IT172" s="96" t="n"/>
      <c r="IU172" s="36">
        <f>$KN172*5</f>
        <v/>
      </c>
      <c r="IV172" s="284" t="n"/>
      <c r="IW172" s="38" t="n">
        <v>0</v>
      </c>
      <c r="IX172" s="96" t="n"/>
      <c r="IY172" s="36">
        <f>$KN172*5</f>
        <v/>
      </c>
      <c r="IZ172" s="284" t="n"/>
      <c r="JA172" s="38" t="n">
        <v>0</v>
      </c>
      <c r="JB172" s="96" t="n"/>
      <c r="JC172" s="36">
        <f>$KN172*5</f>
        <v/>
      </c>
      <c r="JD172" s="284" t="n"/>
      <c r="JE172" s="38" t="n">
        <v>0</v>
      </c>
      <c r="JF172" s="96" t="n"/>
      <c r="JG172" s="36">
        <f>$KN172*5</f>
        <v/>
      </c>
      <c r="JH172" s="284" t="n"/>
      <c r="JI172" s="38" t="n">
        <v>0</v>
      </c>
      <c r="JJ172" s="96" t="n"/>
      <c r="JK172" s="36">
        <f>$KN172*5</f>
        <v/>
      </c>
      <c r="JL172" s="284" t="n"/>
      <c r="JM172" s="38" t="n">
        <v>0</v>
      </c>
      <c r="JN172" s="96" t="n"/>
      <c r="JO172" s="36">
        <f>$KN172*5</f>
        <v/>
      </c>
      <c r="JP172" s="284" t="n"/>
      <c r="JQ172" s="38" t="n">
        <v>0</v>
      </c>
      <c r="JR172" s="96" t="n"/>
      <c r="JS172" s="36">
        <f>$KN172*5</f>
        <v/>
      </c>
      <c r="JT172" s="284" t="n"/>
      <c r="JU172" s="38" t="n">
        <v>0</v>
      </c>
      <c r="JV172" s="96" t="n"/>
      <c r="JW172" s="36">
        <f>$KN172*5</f>
        <v/>
      </c>
      <c r="JX172" s="284" t="n"/>
      <c r="JY172" s="38" t="n">
        <v>0</v>
      </c>
      <c r="JZ172" s="96" t="n"/>
      <c r="KA172" s="36">
        <f>$KN172*5</f>
        <v/>
      </c>
      <c r="KB172" s="284" t="n"/>
      <c r="KC172" s="38" t="n">
        <v>0</v>
      </c>
      <c r="KD172" s="96" t="n"/>
      <c r="KE172" s="338">
        <f t="array" ref="KE172">SUMPRODUCT(--(MOD(COLUMN($II172:$KD172),4)=MOD(COLUMN($II172),4)),$II172:$KD172)</f>
        <v/>
      </c>
      <c r="KF172" s="339">
        <f>KE172*$J172</f>
        <v/>
      </c>
      <c r="KG172" s="340">
        <f t="array" ref="KG172">SUMPRODUCT(--(MOD(COLUMN($II172:$KD172),4)=MOD(COLUMN($IJ172),4)),$II172:$KD172)</f>
        <v/>
      </c>
      <c r="KH172" s="341">
        <f>KG172*$J172</f>
        <v/>
      </c>
      <c r="KI172" s="342">
        <f t="array" ref="KI172">SUMPRODUCT(--(MOD(COLUMN($II172:$KD172),4)=MOD(COLUMN($IK172),4)),$II172:$KD172)</f>
        <v/>
      </c>
      <c r="KJ172" s="346">
        <f>KI172*$J172</f>
        <v/>
      </c>
      <c r="KK172" s="80" t="n"/>
      <c r="KL172" s="80" t="n"/>
      <c r="KM172" s="80" t="n"/>
      <c r="KN172" s="51" t="n">
        <v>2</v>
      </c>
      <c r="KO172" s="347" t="n"/>
    </row>
    <row r="173" outlineLevel="1" ht="28.8" customFormat="1" customHeight="1" s="68">
      <c r="A173" s="347" t="n"/>
      <c r="B173" s="347" t="n"/>
      <c r="C173" s="347" t="n"/>
      <c r="D173" s="347" t="n"/>
      <c r="E173" s="60" t="n">
        <v>7</v>
      </c>
      <c r="F173" s="60" t="n">
        <v>1</v>
      </c>
      <c r="G173" s="56" t="n">
        <v>4640061000</v>
      </c>
      <c r="H173" s="57" t="inlineStr">
        <is>
          <t>Кран уровня пола, 5-ти портовый</t>
        </is>
      </c>
      <c r="I173" s="374" t="n">
        <v>347</v>
      </c>
      <c r="J173" s="375" t="n">
        <v>347</v>
      </c>
      <c r="K173" s="348" t="n"/>
      <c r="L173" s="348" t="n"/>
      <c r="M173" s="36" t="n"/>
      <c r="N173" s="284" t="n"/>
      <c r="O173" s="38" t="n"/>
      <c r="P173" s="284" t="n"/>
      <c r="Q173" s="36" t="n"/>
      <c r="R173" s="284" t="n"/>
      <c r="S173" s="38" t="n"/>
      <c r="T173" s="284" t="n"/>
      <c r="U173" s="36" t="n"/>
      <c r="V173" s="284" t="n"/>
      <c r="W173" s="38" t="n"/>
      <c r="X173" s="284" t="n"/>
      <c r="Y173" s="36" t="n"/>
      <c r="Z173" s="284" t="n"/>
      <c r="AA173" s="38" t="n"/>
      <c r="AB173" s="284" t="n"/>
      <c r="AC173" s="36" t="n"/>
      <c r="AD173" s="284" t="n"/>
      <c r="AE173" s="38" t="n"/>
      <c r="AF173" s="284" t="n"/>
      <c r="AG173" s="36" t="n"/>
      <c r="AH173" s="284" t="n"/>
      <c r="AI173" s="38" t="n"/>
      <c r="AJ173" s="284" t="n"/>
      <c r="AK173" s="36" t="n"/>
      <c r="AL173" s="284" t="n"/>
      <c r="AM173" s="38" t="n"/>
      <c r="AN173" s="284" t="n"/>
      <c r="AO173" s="36" t="n"/>
      <c r="AP173" s="284" t="n"/>
      <c r="AQ173" s="38" t="n"/>
      <c r="AR173" s="284" t="n"/>
      <c r="AS173" s="36" t="n"/>
      <c r="AT173" s="284" t="n"/>
      <c r="AU173" s="38" t="n">
        <v>0</v>
      </c>
      <c r="AV173" s="284" t="n"/>
      <c r="AW173" s="36" t="n"/>
      <c r="AX173" s="284" t="n"/>
      <c r="AY173" s="38" t="n">
        <v>0</v>
      </c>
      <c r="AZ173" s="347" t="n"/>
      <c r="BA173" s="36" t="n"/>
      <c r="BB173" s="284" t="n"/>
      <c r="BC173" s="99" t="n">
        <v>0</v>
      </c>
      <c r="BD173" s="284" t="n"/>
      <c r="BE173" s="36" t="n"/>
      <c r="BF173" s="284">
        <f>$KN173*1</f>
        <v/>
      </c>
      <c r="BG173" s="54" t="n">
        <v>0</v>
      </c>
      <c r="BH173" s="284" t="n"/>
      <c r="BI173" s="338">
        <f>SUMPRODUCT(--(MOD(COLUMN($M173:$BH173),4)=MOD(COLUMN($M173),4)),$M173:$BH173)</f>
        <v/>
      </c>
      <c r="BJ173" s="339">
        <f>BI173*$I173</f>
        <v/>
      </c>
      <c r="BK173" s="340">
        <f>SUMPRODUCT(--(MOD(COLUMN($M173:$BH173),4)=MOD(COLUMN($M173)+1,4)),$M173:$BH173)</f>
        <v/>
      </c>
      <c r="BL173" s="341">
        <f>BK173*$I173</f>
        <v/>
      </c>
      <c r="BM173" s="342">
        <f>SUMPRODUCT(--(MOD(COLUMN($M173:$BH173),4)=MOD(COLUMN($M173)+2,4)),$M173:$BH173)</f>
        <v/>
      </c>
      <c r="BN173" s="343">
        <f>BM173*$I173</f>
        <v/>
      </c>
      <c r="BO173" s="36">
        <f>$KN173*0</f>
        <v/>
      </c>
      <c r="BP173" s="47">
        <f>$KN173*0</f>
        <v/>
      </c>
      <c r="BQ173" s="376">
        <f>SUMPRODUCT(--(MOD(COLUMN($M173:$BH173),4)=MOD(COLUMN($M173)+1,4)),$M173:$BH173)</f>
        <v/>
      </c>
      <c r="BR173" s="38" t="n">
        <v>0</v>
      </c>
      <c r="BS173" s="347" t="n"/>
      <c r="BT173" s="36">
        <f>$KN173*3</f>
        <v/>
      </c>
      <c r="BU173" s="47">
        <f>$KN173*0</f>
        <v/>
      </c>
      <c r="BV173" s="284">
        <f>$KN173*0</f>
        <v/>
      </c>
      <c r="BW173" s="38" t="n">
        <v>0</v>
      </c>
      <c r="BX173" s="347" t="n"/>
      <c r="BY173" s="36">
        <f>$KN173*3</f>
        <v/>
      </c>
      <c r="BZ173" s="47">
        <f>$KN173*1</f>
        <v/>
      </c>
      <c r="CA173" s="284">
        <f>$KN173*1</f>
        <v/>
      </c>
      <c r="CB173" s="38" t="n">
        <v>0</v>
      </c>
      <c r="CC173" s="284" t="n"/>
      <c r="CD173" s="36">
        <f>$KN173*3</f>
        <v/>
      </c>
      <c r="CE173" s="47">
        <f>$KN173*1</f>
        <v/>
      </c>
      <c r="CF173" s="284">
        <f>$KN173*1</f>
        <v/>
      </c>
      <c r="CG173" s="38" t="n">
        <v>0</v>
      </c>
      <c r="CH173" s="347" t="n"/>
      <c r="CI173" s="36">
        <f>$KN173*3</f>
        <v/>
      </c>
      <c r="CJ173" s="47">
        <f>$KN173*1</f>
        <v/>
      </c>
      <c r="CK173" s="284">
        <f>$KN173*0</f>
        <v/>
      </c>
      <c r="CL173" s="38" t="n">
        <v>0</v>
      </c>
      <c r="CM173" s="284" t="n"/>
      <c r="CN173" s="36">
        <f>$KN173*3</f>
        <v/>
      </c>
      <c r="CO173" s="47">
        <f>$KN173*1</f>
        <v/>
      </c>
      <c r="CP173" s="284">
        <f>$KN173*0</f>
        <v/>
      </c>
      <c r="CQ173" s="38" t="n">
        <v>0</v>
      </c>
      <c r="CR173" s="284" t="n"/>
      <c r="CS173" s="36">
        <f>$KN173*3</f>
        <v/>
      </c>
      <c r="CT173" s="47">
        <f>$KN173*1</f>
        <v/>
      </c>
      <c r="CU173" s="284">
        <f>$KN173*0</f>
        <v/>
      </c>
      <c r="CV173" s="38" t="n">
        <v>0</v>
      </c>
      <c r="CW173" s="284" t="n"/>
      <c r="CX173" s="36">
        <f>$KN173*3</f>
        <v/>
      </c>
      <c r="CY173" s="47">
        <f>$KN173*1</f>
        <v/>
      </c>
      <c r="CZ173" s="284">
        <f>$KN173*0</f>
        <v/>
      </c>
      <c r="DA173" s="38" t="n">
        <v>0</v>
      </c>
      <c r="DB173" s="284" t="n"/>
      <c r="DC173" s="36">
        <f>$KN173*3</f>
        <v/>
      </c>
      <c r="DD173" s="47">
        <f>$KN173*1</f>
        <v/>
      </c>
      <c r="DE173" s="284">
        <f>$KN173*0</f>
        <v/>
      </c>
      <c r="DF173" s="38" t="n">
        <v>0</v>
      </c>
      <c r="DG173" s="284" t="n"/>
      <c r="DH173" s="36">
        <f>$KN173*3</f>
        <v/>
      </c>
      <c r="DI173" s="47">
        <f>$KN173*1</f>
        <v/>
      </c>
      <c r="DJ173" s="284">
        <f>$KN173*0</f>
        <v/>
      </c>
      <c r="DK173" s="38" t="n">
        <v>0</v>
      </c>
      <c r="DL173" s="284" t="n"/>
      <c r="DM173" s="36">
        <f>$KN173*3</f>
        <v/>
      </c>
      <c r="DN173" s="47">
        <f>$KN173*1</f>
        <v/>
      </c>
      <c r="DO173" s="284">
        <f>$KN173*0</f>
        <v/>
      </c>
      <c r="DP173" s="38" t="n">
        <v>0</v>
      </c>
      <c r="DQ173" s="284" t="n"/>
      <c r="DR173" s="36">
        <f>$KN173*3</f>
        <v/>
      </c>
      <c r="DS173" s="47">
        <f>$KN173*1</f>
        <v/>
      </c>
      <c r="DT173" s="284">
        <f>$KN173*0</f>
        <v/>
      </c>
      <c r="DU173" s="38" t="n">
        <v>0</v>
      </c>
      <c r="DV173" s="284" t="n"/>
      <c r="DW173" s="338">
        <f t="array" ref="DW173">SUMPRODUCT(--(MOD(COLUMN($BO173:$DV173),5)=MOD(COLUMN($BO173),5)),$BO173:$DV173)</f>
        <v/>
      </c>
      <c r="DX173" s="339">
        <f>DW173*$J173</f>
        <v/>
      </c>
      <c r="DY173" s="344">
        <f t="array" ref="DY173">SUMPRODUCT(--(MOD(COLUMN($BO173:$DV173),5)=MOD(COLUMN($BP173),5)),$BO173:$DV173)</f>
        <v/>
      </c>
      <c r="DZ173" s="345">
        <f>DY173*$J173</f>
        <v/>
      </c>
      <c r="EA173" s="340">
        <f t="array" ref="EA173">SUMPRODUCT(--(MOD(COLUMN($BO173:$DV173),5)=MOD(COLUMN($BQ173),5)),$BO173:$DV173)</f>
        <v/>
      </c>
      <c r="EB173" s="341">
        <f>EA173*$J173</f>
        <v/>
      </c>
      <c r="EC173" s="342">
        <f t="array" ref="EC173">SUMPRODUCT(--(MOD(COLUMN($BO173:$DV173),5)=MOD(COLUMN($BR173),5)),$BO173:$DV173)</f>
        <v/>
      </c>
      <c r="ED173" s="343">
        <f>EC173*$J173</f>
        <v/>
      </c>
      <c r="EE173" s="36">
        <f>$KN173*1</f>
        <v/>
      </c>
      <c r="EF173" s="284" t="n">
        <v>1</v>
      </c>
      <c r="EG173" s="38" t="n">
        <v>0</v>
      </c>
      <c r="EH173" s="96" t="n"/>
      <c r="EI173" s="36">
        <f>$KN173*1</f>
        <v/>
      </c>
      <c r="EJ173" s="284" t="n">
        <v>0</v>
      </c>
      <c r="EK173" s="38" t="n">
        <v>0</v>
      </c>
      <c r="EL173" s="96" t="n"/>
      <c r="EM173" s="36">
        <f>$KN173*1</f>
        <v/>
      </c>
      <c r="EN173" s="284" t="n">
        <v>0</v>
      </c>
      <c r="EO173" s="38" t="n">
        <v>0</v>
      </c>
      <c r="EP173" s="96" t="n"/>
      <c r="EQ173" s="36">
        <f>$KN173*2</f>
        <v/>
      </c>
      <c r="ER173" s="284" t="n">
        <v>10</v>
      </c>
      <c r="ES173" s="38" t="n">
        <v>10</v>
      </c>
      <c r="ET173" s="347" t="n"/>
      <c r="EU173" s="36">
        <f>$KN173*2</f>
        <v/>
      </c>
      <c r="EV173" s="155" t="n">
        <v>15</v>
      </c>
      <c r="EW173" s="38" t="n">
        <v>0</v>
      </c>
      <c r="EX173" s="347" t="n"/>
      <c r="EY173" s="36">
        <f>$KN173*2</f>
        <v/>
      </c>
      <c r="EZ173" s="284" t="n">
        <v>2</v>
      </c>
      <c r="FA173" s="38" t="n">
        <v>0</v>
      </c>
      <c r="FB173" s="96" t="n"/>
      <c r="FC173" s="36">
        <f>$KN173*3</f>
        <v/>
      </c>
      <c r="FD173" s="284" t="n">
        <v>3</v>
      </c>
      <c r="FE173" s="38" t="n">
        <v>0</v>
      </c>
      <c r="FF173" s="96" t="n"/>
      <c r="FG173" s="36">
        <f>$KN173*3</f>
        <v/>
      </c>
      <c r="FH173" s="284" t="n">
        <v>3</v>
      </c>
      <c r="FI173" s="38" t="n">
        <v>0</v>
      </c>
      <c r="FJ173" s="96" t="n"/>
      <c r="FK173" s="36">
        <f>$KN173*3</f>
        <v/>
      </c>
      <c r="FL173" s="284" t="n">
        <v>3</v>
      </c>
      <c r="FM173" s="38" t="n">
        <v>0</v>
      </c>
      <c r="FN173" s="96" t="n"/>
      <c r="FO173" s="36">
        <f>$KN173*4</f>
        <v/>
      </c>
      <c r="FP173" s="284" t="n">
        <v>4</v>
      </c>
      <c r="FQ173" s="38" t="n">
        <v>0</v>
      </c>
      <c r="FR173" s="96" t="n"/>
      <c r="FS173" s="36">
        <f>$KN173*4</f>
        <v/>
      </c>
      <c r="FT173" s="284" t="n">
        <v>4</v>
      </c>
      <c r="FU173" s="38" t="n">
        <v>0</v>
      </c>
      <c r="FV173" s="96" t="n"/>
      <c r="FW173" s="36">
        <f>$KN173*4</f>
        <v/>
      </c>
      <c r="FX173" s="284" t="n">
        <v>4</v>
      </c>
      <c r="FY173" s="38" t="n">
        <v>0</v>
      </c>
      <c r="FZ173" s="96" t="n"/>
      <c r="GA173" s="338">
        <f t="array" ref="GA173">SUMPRODUCT(--(MOD(COLUMN($EE173:$FZ173),4)=MOD(COLUMN($EE173),4)),$EE173:$FZ173)</f>
        <v/>
      </c>
      <c r="GB173" s="339">
        <f>GA173*$J173</f>
        <v/>
      </c>
      <c r="GC173" s="340">
        <f t="array" ref="GC173">SUMPRODUCT(--(MOD(COLUMN($EE173:$FZ173),4)=MOD(COLUMN($EF173),4)),$EE173:$FZ173)</f>
        <v/>
      </c>
      <c r="GD173" s="341">
        <f>GC173*$J173</f>
        <v/>
      </c>
      <c r="GE173" s="342">
        <f t="array" ref="GE173">SUMPRODUCT(--(MOD(COLUMN($EE173:$FZ173),4)=MOD(COLUMN($EG173),4)),$EE173:$FZ173)</f>
        <v/>
      </c>
      <c r="GF173" s="343">
        <f>GE173*$J173</f>
        <v/>
      </c>
      <c r="GG173" s="36">
        <f>$KN173*3</f>
        <v/>
      </c>
      <c r="GH173" s="284" t="n"/>
      <c r="GI173" s="38" t="n">
        <v>0</v>
      </c>
      <c r="GJ173" s="96" t="n"/>
      <c r="GK173" s="36">
        <f>$KN173*3</f>
        <v/>
      </c>
      <c r="GL173" s="284" t="n"/>
      <c r="GM173" s="38" t="n">
        <v>0</v>
      </c>
      <c r="GN173" s="96" t="n"/>
      <c r="GO173" s="36">
        <f>$KN173*3</f>
        <v/>
      </c>
      <c r="GP173" s="284" t="n"/>
      <c r="GQ173" s="38" t="n">
        <v>0</v>
      </c>
      <c r="GR173" s="96" t="n"/>
      <c r="GS173" s="36">
        <f>$KN173*5</f>
        <v/>
      </c>
      <c r="GT173" s="284" t="n"/>
      <c r="GU173" s="38" t="n">
        <v>0</v>
      </c>
      <c r="GV173" s="96" t="n"/>
      <c r="GW173" s="36">
        <f>$KN173*5</f>
        <v/>
      </c>
      <c r="GX173" s="284" t="n"/>
      <c r="GY173" s="38" t="n">
        <v>0</v>
      </c>
      <c r="GZ173" s="96" t="n"/>
      <c r="HA173" s="36">
        <f>$KN173*5</f>
        <v/>
      </c>
      <c r="HB173" s="284" t="n"/>
      <c r="HC173" s="38" t="n">
        <v>0</v>
      </c>
      <c r="HD173" s="96" t="n"/>
      <c r="HE173" s="36">
        <f>$KN173*5</f>
        <v/>
      </c>
      <c r="HF173" s="284" t="n"/>
      <c r="HG173" s="38" t="n">
        <v>0</v>
      </c>
      <c r="HH173" s="96" t="n"/>
      <c r="HI173" s="36">
        <f>$KN173*5</f>
        <v/>
      </c>
      <c r="HJ173" s="284" t="n"/>
      <c r="HK173" s="38" t="n">
        <v>0</v>
      </c>
      <c r="HL173" s="96" t="n"/>
      <c r="HM173" s="36">
        <f>$KN173*5</f>
        <v/>
      </c>
      <c r="HN173" s="284" t="n"/>
      <c r="HO173" s="38" t="n">
        <v>0</v>
      </c>
      <c r="HP173" s="96" t="n"/>
      <c r="HQ173" s="36">
        <f>$KN173*5</f>
        <v/>
      </c>
      <c r="HR173" s="284" t="n"/>
      <c r="HS173" s="38" t="n">
        <v>0</v>
      </c>
      <c r="HT173" s="96" t="n"/>
      <c r="HU173" s="36">
        <f>$KN173*5</f>
        <v/>
      </c>
      <c r="HV173" s="284" t="n"/>
      <c r="HW173" s="38" t="n">
        <v>0</v>
      </c>
      <c r="HX173" s="96" t="n"/>
      <c r="HY173" s="36">
        <f>$KN173*5</f>
        <v/>
      </c>
      <c r="HZ173" s="284" t="n"/>
      <c r="IA173" s="38" t="n">
        <v>0</v>
      </c>
      <c r="IB173" s="96" t="n"/>
      <c r="IC173" s="338">
        <f t="array" ref="IC173">SUMPRODUCT(--(MOD(COLUMN($GG173:$IB173),4)=MOD(COLUMN($GG173),4)),$GG173:$IB173)</f>
        <v/>
      </c>
      <c r="ID173" s="339">
        <f>IC173*$J173</f>
        <v/>
      </c>
      <c r="IE173" s="340">
        <f t="array" ref="IE173">SUMPRODUCT(--(MOD(COLUMN($GG173:$IB173),4)=MOD(COLUMN($GH173),4)),$GG173:$IB173)</f>
        <v/>
      </c>
      <c r="IF173" s="341">
        <f>IE173*$J173</f>
        <v/>
      </c>
      <c r="IG173" s="342">
        <f t="array" ref="IG173">SUMPRODUCT(--(MOD(COLUMN($GG173:$IB173),4)=MOD(COLUMN($GI173),4)),$GG173:$IB173)</f>
        <v/>
      </c>
      <c r="IH173" s="343">
        <f>IG173*$J173</f>
        <v/>
      </c>
      <c r="II173" s="36">
        <f>$KN173*3</f>
        <v/>
      </c>
      <c r="IJ173" s="284" t="n"/>
      <c r="IK173" s="38" t="n">
        <v>0</v>
      </c>
      <c r="IL173" s="96" t="n"/>
      <c r="IM173" s="36">
        <f>$KN173*3</f>
        <v/>
      </c>
      <c r="IN173" s="284" t="n"/>
      <c r="IO173" s="38" t="n">
        <v>0</v>
      </c>
      <c r="IP173" s="96" t="n"/>
      <c r="IQ173" s="36">
        <f>$KN173*3</f>
        <v/>
      </c>
      <c r="IR173" s="284" t="n"/>
      <c r="IS173" s="38" t="n">
        <v>0</v>
      </c>
      <c r="IT173" s="96" t="n"/>
      <c r="IU173" s="36">
        <f>$KN173*5</f>
        <v/>
      </c>
      <c r="IV173" s="284" t="n"/>
      <c r="IW173" s="38" t="n">
        <v>0</v>
      </c>
      <c r="IX173" s="96" t="n"/>
      <c r="IY173" s="36">
        <f>$KN173*5</f>
        <v/>
      </c>
      <c r="IZ173" s="284" t="n"/>
      <c r="JA173" s="38" t="n">
        <v>0</v>
      </c>
      <c r="JB173" s="96" t="n"/>
      <c r="JC173" s="36">
        <f>$KN173*5</f>
        <v/>
      </c>
      <c r="JD173" s="284" t="n"/>
      <c r="JE173" s="38" t="n">
        <v>0</v>
      </c>
      <c r="JF173" s="96" t="n"/>
      <c r="JG173" s="36">
        <f>$KN173*5</f>
        <v/>
      </c>
      <c r="JH173" s="284" t="n"/>
      <c r="JI173" s="38" t="n">
        <v>0</v>
      </c>
      <c r="JJ173" s="96" t="n"/>
      <c r="JK173" s="36">
        <f>$KN173*5</f>
        <v/>
      </c>
      <c r="JL173" s="284" t="n"/>
      <c r="JM173" s="38" t="n">
        <v>0</v>
      </c>
      <c r="JN173" s="96" t="n"/>
      <c r="JO173" s="36">
        <f>$KN173*5</f>
        <v/>
      </c>
      <c r="JP173" s="284" t="n"/>
      <c r="JQ173" s="38" t="n">
        <v>0</v>
      </c>
      <c r="JR173" s="96" t="n"/>
      <c r="JS173" s="36">
        <f>$KN173*5</f>
        <v/>
      </c>
      <c r="JT173" s="284" t="n"/>
      <c r="JU173" s="38" t="n">
        <v>0</v>
      </c>
      <c r="JV173" s="96" t="n"/>
      <c r="JW173" s="36">
        <f>$KN173*5</f>
        <v/>
      </c>
      <c r="JX173" s="284" t="n"/>
      <c r="JY173" s="38" t="n">
        <v>0</v>
      </c>
      <c r="JZ173" s="96" t="n"/>
      <c r="KA173" s="36">
        <f>$KN173*5</f>
        <v/>
      </c>
      <c r="KB173" s="284" t="n"/>
      <c r="KC173" s="38" t="n">
        <v>0</v>
      </c>
      <c r="KD173" s="96" t="n"/>
      <c r="KE173" s="338">
        <f t="array" ref="KE173">SUMPRODUCT(--(MOD(COLUMN($II173:$KD173),4)=MOD(COLUMN($II173),4)),$II173:$KD173)</f>
        <v/>
      </c>
      <c r="KF173" s="339">
        <f>KE173*$J173</f>
        <v/>
      </c>
      <c r="KG173" s="340">
        <f t="array" ref="KG173">SUMPRODUCT(--(MOD(COLUMN($II173:$KD173),4)=MOD(COLUMN($IJ173),4)),$II173:$KD173)</f>
        <v/>
      </c>
      <c r="KH173" s="341">
        <f>KG173*$J173</f>
        <v/>
      </c>
      <c r="KI173" s="342">
        <f t="array" ref="KI173">SUMPRODUCT(--(MOD(COLUMN($II173:$KD173),4)=MOD(COLUMN($IK173),4)),$II173:$KD173)</f>
        <v/>
      </c>
      <c r="KJ173" s="346">
        <f>KI173*$J173</f>
        <v/>
      </c>
      <c r="KK173" s="80" t="n"/>
      <c r="KL173" s="80" t="n"/>
      <c r="KM173" s="80" t="n"/>
      <c r="KN173" s="51" t="n">
        <v>1</v>
      </c>
      <c r="KO173" s="347" t="n"/>
    </row>
    <row r="174" outlineLevel="1" ht="28.8" customFormat="1" customHeight="1" s="68">
      <c r="A174" s="347" t="n"/>
      <c r="B174" s="347" t="n"/>
      <c r="C174" s="347" t="n"/>
      <c r="D174" s="347" t="n"/>
      <c r="E174" s="60" t="n">
        <v>8</v>
      </c>
      <c r="F174" s="60" t="n">
        <v>1</v>
      </c>
      <c r="G174" s="56" t="n">
        <v>4630320200</v>
      </c>
      <c r="H174" s="57" t="inlineStr">
        <is>
          <t>Кран ручного управления</t>
        </is>
      </c>
      <c r="I174" s="374" t="n">
        <v>305</v>
      </c>
      <c r="J174" s="375" t="n">
        <v>305</v>
      </c>
      <c r="K174" s="348" t="n"/>
      <c r="L174" s="348" t="n"/>
      <c r="M174" s="36" t="n"/>
      <c r="N174" s="284" t="n"/>
      <c r="O174" s="38" t="n"/>
      <c r="P174" s="284" t="n"/>
      <c r="Q174" s="36" t="n"/>
      <c r="R174" s="284" t="n"/>
      <c r="S174" s="38" t="n"/>
      <c r="T174" s="284" t="n"/>
      <c r="U174" s="36" t="n"/>
      <c r="V174" s="284" t="n"/>
      <c r="W174" s="38" t="n"/>
      <c r="X174" s="284" t="n"/>
      <c r="Y174" s="36" t="n"/>
      <c r="Z174" s="284" t="n"/>
      <c r="AA174" s="38" t="n"/>
      <c r="AB174" s="284" t="n"/>
      <c r="AC174" s="36" t="n"/>
      <c r="AD174" s="284" t="n"/>
      <c r="AE174" s="38" t="n"/>
      <c r="AF174" s="284" t="n"/>
      <c r="AG174" s="36" t="n"/>
      <c r="AH174" s="284" t="n"/>
      <c r="AI174" s="38" t="n"/>
      <c r="AJ174" s="284" t="n"/>
      <c r="AK174" s="36" t="n"/>
      <c r="AL174" s="284" t="n"/>
      <c r="AM174" s="38" t="n"/>
      <c r="AN174" s="284" t="n"/>
      <c r="AO174" s="36" t="n"/>
      <c r="AP174" s="284" t="n"/>
      <c r="AQ174" s="38" t="n"/>
      <c r="AR174" s="284" t="n"/>
      <c r="AS174" s="36" t="n"/>
      <c r="AT174" s="284" t="n"/>
      <c r="AU174" s="38" t="n">
        <v>0</v>
      </c>
      <c r="AV174" s="284" t="n"/>
      <c r="AW174" s="36" t="n"/>
      <c r="AX174" s="284" t="n"/>
      <c r="AY174" s="38" t="n">
        <v>0</v>
      </c>
      <c r="AZ174" s="347" t="n"/>
      <c r="BA174" s="36" t="n"/>
      <c r="BB174" s="284" t="n"/>
      <c r="BC174" s="99" t="n">
        <v>0</v>
      </c>
      <c r="BD174" s="284" t="n"/>
      <c r="BE174" s="36" t="n"/>
      <c r="BF174" s="284">
        <f>$KN174*1</f>
        <v/>
      </c>
      <c r="BG174" s="54" t="n">
        <v>0</v>
      </c>
      <c r="BH174" s="284" t="n"/>
      <c r="BI174" s="338">
        <f>SUMPRODUCT(--(MOD(COLUMN($M174:$BH174),4)=MOD(COLUMN($M174),4)),$M174:$BH174)</f>
        <v/>
      </c>
      <c r="BJ174" s="339">
        <f>BI174*$I174</f>
        <v/>
      </c>
      <c r="BK174" s="340">
        <f>SUMPRODUCT(--(MOD(COLUMN($M174:$BH174),4)=MOD(COLUMN($M174)+1,4)),$M174:$BH174)</f>
        <v/>
      </c>
      <c r="BL174" s="341">
        <f>BK174*$I174</f>
        <v/>
      </c>
      <c r="BM174" s="342">
        <f>SUMPRODUCT(--(MOD(COLUMN($M174:$BH174),4)=MOD(COLUMN($M174)+2,4)),$M174:$BH174)</f>
        <v/>
      </c>
      <c r="BN174" s="343">
        <f>BM174*$I174</f>
        <v/>
      </c>
      <c r="BO174" s="36">
        <f>$KN174*0</f>
        <v/>
      </c>
      <c r="BP174" s="47">
        <f>$KN174*0</f>
        <v/>
      </c>
      <c r="BQ174" s="376">
        <f>SUMPRODUCT(--(MOD(COLUMN($M174:$BH174),4)=MOD(COLUMN($M174)+1,4)),$M174:$BH174)</f>
        <v/>
      </c>
      <c r="BR174" s="38" t="n">
        <v>0</v>
      </c>
      <c r="BS174" s="347" t="n"/>
      <c r="BT174" s="36">
        <f>$KN174*3</f>
        <v/>
      </c>
      <c r="BU174" s="47">
        <f>$KN174*0</f>
        <v/>
      </c>
      <c r="BV174" s="284">
        <f>$KN174*0</f>
        <v/>
      </c>
      <c r="BW174" s="38" t="n">
        <v>0</v>
      </c>
      <c r="BX174" s="347" t="n"/>
      <c r="BY174" s="36">
        <f>$KN174*3</f>
        <v/>
      </c>
      <c r="BZ174" s="47">
        <f>$KN174*1</f>
        <v/>
      </c>
      <c r="CA174" s="284">
        <f>$KN174*1</f>
        <v/>
      </c>
      <c r="CB174" s="38" t="n">
        <v>0</v>
      </c>
      <c r="CC174" s="284" t="n"/>
      <c r="CD174" s="36">
        <f>$KN174*3</f>
        <v/>
      </c>
      <c r="CE174" s="47">
        <f>$KN174*1</f>
        <v/>
      </c>
      <c r="CF174" s="284">
        <f>$KN174*1</f>
        <v/>
      </c>
      <c r="CG174" s="38" t="n">
        <v>0</v>
      </c>
      <c r="CH174" s="347" t="n"/>
      <c r="CI174" s="36">
        <f>$KN174*3</f>
        <v/>
      </c>
      <c r="CJ174" s="47">
        <f>$KN174*1</f>
        <v/>
      </c>
      <c r="CK174" s="284">
        <f>$KN174*0</f>
        <v/>
      </c>
      <c r="CL174" s="38" t="n">
        <v>0</v>
      </c>
      <c r="CM174" s="284" t="n"/>
      <c r="CN174" s="36">
        <f>$KN174*3</f>
        <v/>
      </c>
      <c r="CO174" s="47">
        <f>$KN174*1</f>
        <v/>
      </c>
      <c r="CP174" s="284">
        <f>$KN174*0</f>
        <v/>
      </c>
      <c r="CQ174" s="38" t="n">
        <v>0</v>
      </c>
      <c r="CR174" s="284" t="n"/>
      <c r="CS174" s="36">
        <f>$KN174*3</f>
        <v/>
      </c>
      <c r="CT174" s="47">
        <f>$KN174*1</f>
        <v/>
      </c>
      <c r="CU174" s="284">
        <f>$KN174*0</f>
        <v/>
      </c>
      <c r="CV174" s="38" t="n">
        <v>0</v>
      </c>
      <c r="CW174" s="284" t="n"/>
      <c r="CX174" s="36">
        <f>$KN174*3</f>
        <v/>
      </c>
      <c r="CY174" s="47">
        <f>$KN174*1</f>
        <v/>
      </c>
      <c r="CZ174" s="284">
        <f>$KN174*0</f>
        <v/>
      </c>
      <c r="DA174" s="38" t="n">
        <v>0</v>
      </c>
      <c r="DB174" s="284" t="n"/>
      <c r="DC174" s="36">
        <f>$KN174*3</f>
        <v/>
      </c>
      <c r="DD174" s="47">
        <f>$KN174*1</f>
        <v/>
      </c>
      <c r="DE174" s="284">
        <f>$KN174*0</f>
        <v/>
      </c>
      <c r="DF174" s="38" t="n">
        <v>0</v>
      </c>
      <c r="DG174" s="284" t="n"/>
      <c r="DH174" s="36">
        <f>$KN174*3</f>
        <v/>
      </c>
      <c r="DI174" s="47">
        <f>$KN174*1</f>
        <v/>
      </c>
      <c r="DJ174" s="284">
        <f>$KN174*0</f>
        <v/>
      </c>
      <c r="DK174" s="52" t="n">
        <v>0</v>
      </c>
      <c r="DL174" s="284" t="n"/>
      <c r="DM174" s="36">
        <f>$KN174*3</f>
        <v/>
      </c>
      <c r="DN174" s="47">
        <f>$KN174*1</f>
        <v/>
      </c>
      <c r="DO174" s="284">
        <f>$KN174*0</f>
        <v/>
      </c>
      <c r="DP174" s="38" t="n">
        <v>0</v>
      </c>
      <c r="DQ174" s="284" t="n"/>
      <c r="DR174" s="36">
        <f>$KN174*3</f>
        <v/>
      </c>
      <c r="DS174" s="47">
        <f>$KN174*1</f>
        <v/>
      </c>
      <c r="DT174" s="284">
        <f>$KN174*0</f>
        <v/>
      </c>
      <c r="DU174" s="38" t="n">
        <v>0</v>
      </c>
      <c r="DV174" s="284" t="n"/>
      <c r="DW174" s="338">
        <f t="array" ref="DW174">SUMPRODUCT(--(MOD(COLUMN($BO174:$DV174),5)=MOD(COLUMN($BO174),5)),$BO174:$DV174)</f>
        <v/>
      </c>
      <c r="DX174" s="339">
        <f>DW174*$J174</f>
        <v/>
      </c>
      <c r="DY174" s="344">
        <f t="array" ref="DY174">SUMPRODUCT(--(MOD(COLUMN($BO174:$DV174),5)=MOD(COLUMN($BP174),5)),$BO174:$DV174)</f>
        <v/>
      </c>
      <c r="DZ174" s="345">
        <f>DY174*$J174</f>
        <v/>
      </c>
      <c r="EA174" s="340">
        <f t="array" ref="EA174">SUMPRODUCT(--(MOD(COLUMN($BO174:$DV174),5)=MOD(COLUMN($BQ174),5)),$BO174:$DV174)</f>
        <v/>
      </c>
      <c r="EB174" s="341">
        <f>EA174*$J174</f>
        <v/>
      </c>
      <c r="EC174" s="342">
        <f t="array" ref="EC174">SUMPRODUCT(--(MOD(COLUMN($BO174:$DV174),5)=MOD(COLUMN($BR174),5)),$BO174:$DV174)</f>
        <v/>
      </c>
      <c r="ED174" s="343">
        <f>EC174*$J174</f>
        <v/>
      </c>
      <c r="EE174" s="36">
        <f>$KN174*1</f>
        <v/>
      </c>
      <c r="EF174" s="284" t="n">
        <v>1</v>
      </c>
      <c r="EG174" s="38" t="n">
        <v>0</v>
      </c>
      <c r="EH174" s="96" t="n"/>
      <c r="EI174" s="36">
        <f>$KN174*1</f>
        <v/>
      </c>
      <c r="EJ174" s="284" t="n">
        <v>0</v>
      </c>
      <c r="EK174" s="38" t="n">
        <v>0</v>
      </c>
      <c r="EL174" s="96" t="n"/>
      <c r="EM174" s="36">
        <f>$KN174*1</f>
        <v/>
      </c>
      <c r="EN174" s="284" t="n">
        <v>0</v>
      </c>
      <c r="EO174" s="38" t="n">
        <v>0</v>
      </c>
      <c r="EP174" s="96" t="n"/>
      <c r="EQ174" s="36">
        <f>$KN174*2</f>
        <v/>
      </c>
      <c r="ER174" s="284" t="n">
        <v>10</v>
      </c>
      <c r="ES174" s="38" t="n">
        <v>10</v>
      </c>
      <c r="ET174" s="347" t="n"/>
      <c r="EU174" s="36">
        <f>$KN174*2</f>
        <v/>
      </c>
      <c r="EV174" s="155" t="n">
        <v>15</v>
      </c>
      <c r="EW174" s="38" t="n">
        <v>0</v>
      </c>
      <c r="EX174" s="347" t="n"/>
      <c r="EY174" s="36">
        <f>$KN174*2</f>
        <v/>
      </c>
      <c r="EZ174" s="284" t="n">
        <v>2</v>
      </c>
      <c r="FA174" s="38" t="n">
        <v>0</v>
      </c>
      <c r="FB174" s="96" t="n"/>
      <c r="FC174" s="36">
        <f>$KN174*3</f>
        <v/>
      </c>
      <c r="FD174" s="284" t="n">
        <v>3</v>
      </c>
      <c r="FE174" s="38" t="n">
        <v>0</v>
      </c>
      <c r="FF174" s="96" t="n"/>
      <c r="FG174" s="36">
        <f>$KN174*3</f>
        <v/>
      </c>
      <c r="FH174" s="284" t="n">
        <v>3</v>
      </c>
      <c r="FI174" s="38" t="n">
        <v>0</v>
      </c>
      <c r="FJ174" s="96" t="n"/>
      <c r="FK174" s="36">
        <f>$KN174*3</f>
        <v/>
      </c>
      <c r="FL174" s="284" t="n">
        <v>3</v>
      </c>
      <c r="FM174" s="38" t="n">
        <v>0</v>
      </c>
      <c r="FN174" s="96" t="n"/>
      <c r="FO174" s="36">
        <f>$KN174*4</f>
        <v/>
      </c>
      <c r="FP174" s="284" t="n">
        <v>4</v>
      </c>
      <c r="FQ174" s="38" t="n">
        <v>0</v>
      </c>
      <c r="FR174" s="96" t="n"/>
      <c r="FS174" s="36">
        <f>$KN174*4</f>
        <v/>
      </c>
      <c r="FT174" s="284" t="n">
        <v>4</v>
      </c>
      <c r="FU174" s="38" t="n">
        <v>0</v>
      </c>
      <c r="FV174" s="96" t="n"/>
      <c r="FW174" s="36">
        <f>$KN174*4</f>
        <v/>
      </c>
      <c r="FX174" s="284" t="n">
        <v>4</v>
      </c>
      <c r="FY174" s="38" t="n">
        <v>0</v>
      </c>
      <c r="FZ174" s="96" t="n"/>
      <c r="GA174" s="338">
        <f t="array" ref="GA174">SUMPRODUCT(--(MOD(COLUMN($EE174:$FZ174),4)=MOD(COLUMN($EE174),4)),$EE174:$FZ174)</f>
        <v/>
      </c>
      <c r="GB174" s="339">
        <f>GA174*$J174</f>
        <v/>
      </c>
      <c r="GC174" s="340">
        <f t="array" ref="GC174">SUMPRODUCT(--(MOD(COLUMN($EE174:$FZ174),4)=MOD(COLUMN($EF174),4)),$EE174:$FZ174)</f>
        <v/>
      </c>
      <c r="GD174" s="341">
        <f>GC174*$J174</f>
        <v/>
      </c>
      <c r="GE174" s="342">
        <f t="array" ref="GE174">SUMPRODUCT(--(MOD(COLUMN($EE174:$FZ174),4)=MOD(COLUMN($EG174),4)),$EE174:$FZ174)</f>
        <v/>
      </c>
      <c r="GF174" s="343">
        <f>GE174*$J174</f>
        <v/>
      </c>
      <c r="GG174" s="36">
        <f>$KN174*3</f>
        <v/>
      </c>
      <c r="GH174" s="284" t="n"/>
      <c r="GI174" s="38" t="n">
        <v>0</v>
      </c>
      <c r="GJ174" s="96" t="n"/>
      <c r="GK174" s="36">
        <f>$KN174*3</f>
        <v/>
      </c>
      <c r="GL174" s="284" t="n"/>
      <c r="GM174" s="38" t="n">
        <v>0</v>
      </c>
      <c r="GN174" s="96" t="n"/>
      <c r="GO174" s="36">
        <f>$KN174*3</f>
        <v/>
      </c>
      <c r="GP174" s="284" t="n"/>
      <c r="GQ174" s="38" t="n">
        <v>0</v>
      </c>
      <c r="GR174" s="96" t="n"/>
      <c r="GS174" s="36">
        <f>$KN174*5</f>
        <v/>
      </c>
      <c r="GT174" s="284" t="n"/>
      <c r="GU174" s="38" t="n">
        <v>0</v>
      </c>
      <c r="GV174" s="96" t="n"/>
      <c r="GW174" s="36">
        <f>$KN174*5</f>
        <v/>
      </c>
      <c r="GX174" s="284" t="n"/>
      <c r="GY174" s="38" t="n">
        <v>0</v>
      </c>
      <c r="GZ174" s="96" t="n"/>
      <c r="HA174" s="36">
        <f>$KN174*5</f>
        <v/>
      </c>
      <c r="HB174" s="284" t="n"/>
      <c r="HC174" s="38" t="n">
        <v>0</v>
      </c>
      <c r="HD174" s="96" t="n"/>
      <c r="HE174" s="36">
        <f>$KN174*5</f>
        <v/>
      </c>
      <c r="HF174" s="284" t="n"/>
      <c r="HG174" s="38" t="n">
        <v>0</v>
      </c>
      <c r="HH174" s="96" t="n"/>
      <c r="HI174" s="36">
        <f>$KN174*5</f>
        <v/>
      </c>
      <c r="HJ174" s="284" t="n"/>
      <c r="HK174" s="38" t="n">
        <v>0</v>
      </c>
      <c r="HL174" s="96" t="n"/>
      <c r="HM174" s="36">
        <f>$KN174*5</f>
        <v/>
      </c>
      <c r="HN174" s="284" t="n"/>
      <c r="HO174" s="38" t="n">
        <v>0</v>
      </c>
      <c r="HP174" s="96" t="n"/>
      <c r="HQ174" s="36">
        <f>$KN174*5</f>
        <v/>
      </c>
      <c r="HR174" s="284" t="n"/>
      <c r="HS174" s="38" t="n">
        <v>0</v>
      </c>
      <c r="HT174" s="96" t="n"/>
      <c r="HU174" s="36">
        <f>$KN174*5</f>
        <v/>
      </c>
      <c r="HV174" s="284" t="n"/>
      <c r="HW174" s="38" t="n">
        <v>0</v>
      </c>
      <c r="HX174" s="96" t="n"/>
      <c r="HY174" s="36">
        <f>$KN174*5</f>
        <v/>
      </c>
      <c r="HZ174" s="284" t="n"/>
      <c r="IA174" s="38" t="n">
        <v>0</v>
      </c>
      <c r="IB174" s="96" t="n"/>
      <c r="IC174" s="338">
        <f t="array" ref="IC174">SUMPRODUCT(--(MOD(COLUMN($GG174:$IB174),4)=MOD(COLUMN($GG174),4)),$GG174:$IB174)</f>
        <v/>
      </c>
      <c r="ID174" s="339">
        <f>IC174*$J174</f>
        <v/>
      </c>
      <c r="IE174" s="340">
        <f t="array" ref="IE174">SUMPRODUCT(--(MOD(COLUMN($GG174:$IB174),4)=MOD(COLUMN($GH174),4)),$GG174:$IB174)</f>
        <v/>
      </c>
      <c r="IF174" s="341">
        <f>IE174*$J174</f>
        <v/>
      </c>
      <c r="IG174" s="342">
        <f t="array" ref="IG174">SUMPRODUCT(--(MOD(COLUMN($GG174:$IB174),4)=MOD(COLUMN($GI174),4)),$GG174:$IB174)</f>
        <v/>
      </c>
      <c r="IH174" s="343">
        <f>IG174*$J174</f>
        <v/>
      </c>
      <c r="II174" s="36">
        <f>$KN174*3</f>
        <v/>
      </c>
      <c r="IJ174" s="284" t="n"/>
      <c r="IK174" s="38" t="n">
        <v>0</v>
      </c>
      <c r="IL174" s="96" t="n"/>
      <c r="IM174" s="36">
        <f>$KN174*3</f>
        <v/>
      </c>
      <c r="IN174" s="284" t="n"/>
      <c r="IO174" s="38" t="n">
        <v>0</v>
      </c>
      <c r="IP174" s="96" t="n"/>
      <c r="IQ174" s="36">
        <f>$KN174*3</f>
        <v/>
      </c>
      <c r="IR174" s="284" t="n"/>
      <c r="IS174" s="38" t="n">
        <v>0</v>
      </c>
      <c r="IT174" s="96" t="n"/>
      <c r="IU174" s="36">
        <f>$KN174*5</f>
        <v/>
      </c>
      <c r="IV174" s="284" t="n"/>
      <c r="IW174" s="38" t="n">
        <v>0</v>
      </c>
      <c r="IX174" s="96" t="n"/>
      <c r="IY174" s="36">
        <f>$KN174*5</f>
        <v/>
      </c>
      <c r="IZ174" s="284" t="n"/>
      <c r="JA174" s="38" t="n">
        <v>0</v>
      </c>
      <c r="JB174" s="96" t="n"/>
      <c r="JC174" s="36">
        <f>$KN174*5</f>
        <v/>
      </c>
      <c r="JD174" s="284" t="n"/>
      <c r="JE174" s="38" t="n">
        <v>0</v>
      </c>
      <c r="JF174" s="96" t="n"/>
      <c r="JG174" s="36">
        <f>$KN174*5</f>
        <v/>
      </c>
      <c r="JH174" s="284" t="n"/>
      <c r="JI174" s="38" t="n">
        <v>0</v>
      </c>
      <c r="JJ174" s="96" t="n"/>
      <c r="JK174" s="36">
        <f>$KN174*5</f>
        <v/>
      </c>
      <c r="JL174" s="284" t="n"/>
      <c r="JM174" s="38" t="n">
        <v>0</v>
      </c>
      <c r="JN174" s="96" t="n"/>
      <c r="JO174" s="36">
        <f>$KN174*5</f>
        <v/>
      </c>
      <c r="JP174" s="284" t="n"/>
      <c r="JQ174" s="38" t="n">
        <v>0</v>
      </c>
      <c r="JR174" s="96" t="n"/>
      <c r="JS174" s="36">
        <f>$KN174*5</f>
        <v/>
      </c>
      <c r="JT174" s="284" t="n"/>
      <c r="JU174" s="38" t="n">
        <v>0</v>
      </c>
      <c r="JV174" s="96" t="n"/>
      <c r="JW174" s="36">
        <f>$KN174*5</f>
        <v/>
      </c>
      <c r="JX174" s="284" t="n"/>
      <c r="JY174" s="38" t="n">
        <v>0</v>
      </c>
      <c r="JZ174" s="96" t="n"/>
      <c r="KA174" s="36">
        <f>$KN174*5</f>
        <v/>
      </c>
      <c r="KB174" s="284" t="n"/>
      <c r="KC174" s="38" t="n">
        <v>0</v>
      </c>
      <c r="KD174" s="96" t="n"/>
      <c r="KE174" s="338">
        <f t="array" ref="KE174">SUMPRODUCT(--(MOD(COLUMN($II174:$KD174),4)=MOD(COLUMN($II174),4)),$II174:$KD174)</f>
        <v/>
      </c>
      <c r="KF174" s="339">
        <f>KE174*$J174</f>
        <v/>
      </c>
      <c r="KG174" s="340">
        <f t="array" ref="KG174">SUMPRODUCT(--(MOD(COLUMN($II174:$KD174),4)=MOD(COLUMN($IJ174),4)),$II174:$KD174)</f>
        <v/>
      </c>
      <c r="KH174" s="341">
        <f>KG174*$J174</f>
        <v/>
      </c>
      <c r="KI174" s="342">
        <f t="array" ref="KI174">SUMPRODUCT(--(MOD(COLUMN($II174:$KD174),4)=MOD(COLUMN($IK174),4)),$II174:$KD174)</f>
        <v/>
      </c>
      <c r="KJ174" s="346">
        <f>KI174*$J174</f>
        <v/>
      </c>
      <c r="KK174" s="80" t="n"/>
      <c r="KL174" s="80" t="n"/>
      <c r="KM174" s="80" t="n"/>
      <c r="KN174" s="51" t="n">
        <v>1</v>
      </c>
      <c r="KO174" s="347" t="n"/>
    </row>
    <row r="175" outlineLevel="1" customFormat="1" s="68">
      <c r="A175" s="347" t="n"/>
      <c r="B175" s="347" t="n"/>
      <c r="C175" s="347" t="n"/>
      <c r="D175" s="347" t="n"/>
      <c r="E175" s="60" t="n">
        <v>9</v>
      </c>
      <c r="F175" s="60" t="n">
        <v>1</v>
      </c>
      <c r="G175" s="56" t="n">
        <v>4334010030</v>
      </c>
      <c r="H175" s="57" t="inlineStr">
        <is>
          <t>Упругий элемент</t>
        </is>
      </c>
      <c r="I175" s="374" t="n">
        <v>40</v>
      </c>
      <c r="J175" s="375" t="n">
        <v>40</v>
      </c>
      <c r="K175" s="348" t="n"/>
      <c r="L175" s="348" t="n"/>
      <c r="M175" s="36" t="n"/>
      <c r="N175" s="284" t="n"/>
      <c r="O175" s="38" t="n"/>
      <c r="P175" s="284" t="n"/>
      <c r="Q175" s="36" t="n"/>
      <c r="R175" s="284" t="n"/>
      <c r="S175" s="38" t="n"/>
      <c r="T175" s="284" t="n"/>
      <c r="U175" s="36" t="n"/>
      <c r="V175" s="284" t="n"/>
      <c r="W175" s="38" t="n"/>
      <c r="X175" s="284" t="n"/>
      <c r="Y175" s="36" t="n"/>
      <c r="Z175" s="284" t="n"/>
      <c r="AA175" s="38" t="n"/>
      <c r="AB175" s="284" t="n"/>
      <c r="AC175" s="36" t="n"/>
      <c r="AD175" s="284" t="n"/>
      <c r="AE175" s="38" t="n"/>
      <c r="AF175" s="284" t="n"/>
      <c r="AG175" s="36" t="n"/>
      <c r="AH175" s="284" t="n"/>
      <c r="AI175" s="38" t="n"/>
      <c r="AJ175" s="284" t="n"/>
      <c r="AK175" s="36" t="n"/>
      <c r="AL175" s="284" t="n"/>
      <c r="AM175" s="38" t="n"/>
      <c r="AN175" s="284" t="n"/>
      <c r="AO175" s="36" t="n"/>
      <c r="AP175" s="284" t="n"/>
      <c r="AQ175" s="38" t="n"/>
      <c r="AR175" s="284" t="n"/>
      <c r="AS175" s="36" t="n"/>
      <c r="AT175" s="284" t="n"/>
      <c r="AU175" s="38" t="n">
        <v>0</v>
      </c>
      <c r="AV175" s="284" t="n"/>
      <c r="AW175" s="36" t="n"/>
      <c r="AX175" s="284" t="n"/>
      <c r="AY175" s="38" t="n">
        <v>0</v>
      </c>
      <c r="AZ175" s="347" t="n"/>
      <c r="BA175" s="36" t="n"/>
      <c r="BB175" s="284" t="n"/>
      <c r="BC175" s="99" t="n">
        <v>0</v>
      </c>
      <c r="BD175" s="284" t="n"/>
      <c r="BE175" s="36" t="n"/>
      <c r="BF175" s="284">
        <f>$KN175*1</f>
        <v/>
      </c>
      <c r="BG175" s="54" t="n">
        <v>0</v>
      </c>
      <c r="BH175" s="284" t="n"/>
      <c r="BI175" s="338">
        <f>SUMPRODUCT(--(MOD(COLUMN($M175:$BH175),4)=MOD(COLUMN($M175),4)),$M175:$BH175)</f>
        <v/>
      </c>
      <c r="BJ175" s="339">
        <f>BI175*$I175</f>
        <v/>
      </c>
      <c r="BK175" s="340">
        <f>SUMPRODUCT(--(MOD(COLUMN($M175:$BH175),4)=MOD(COLUMN($M175)+1,4)),$M175:$BH175)</f>
        <v/>
      </c>
      <c r="BL175" s="341">
        <f>BK175*$I175</f>
        <v/>
      </c>
      <c r="BM175" s="342">
        <f>SUMPRODUCT(--(MOD(COLUMN($M175:$BH175),4)=MOD(COLUMN($M175)+2,4)),$M175:$BH175)</f>
        <v/>
      </c>
      <c r="BN175" s="343">
        <f>BM175*$I175</f>
        <v/>
      </c>
      <c r="BO175" s="36">
        <f>$KN175*0</f>
        <v/>
      </c>
      <c r="BP175" s="47">
        <f>$KN175*0</f>
        <v/>
      </c>
      <c r="BQ175" s="376">
        <f>SUMPRODUCT(--(MOD(COLUMN($M175:$BH175),4)=MOD(COLUMN($M175)+1,4)),$M175:$BH175)</f>
        <v/>
      </c>
      <c r="BR175" s="38" t="n">
        <v>0</v>
      </c>
      <c r="BS175" s="347" t="n"/>
      <c r="BT175" s="36">
        <f>$KN175*3</f>
        <v/>
      </c>
      <c r="BU175" s="47">
        <f>$KN175*0</f>
        <v/>
      </c>
      <c r="BV175" s="284">
        <f>$KN175*0</f>
        <v/>
      </c>
      <c r="BW175" s="38" t="n">
        <v>0</v>
      </c>
      <c r="BX175" s="347" t="n"/>
      <c r="BY175" s="36">
        <f>$KN175*3</f>
        <v/>
      </c>
      <c r="BZ175" s="47">
        <f>$KN175*1</f>
        <v/>
      </c>
      <c r="CA175" s="284">
        <f>$KN175*1</f>
        <v/>
      </c>
      <c r="CB175" s="38" t="n">
        <v>0</v>
      </c>
      <c r="CC175" s="284" t="n"/>
      <c r="CD175" s="36">
        <f>$KN175*3</f>
        <v/>
      </c>
      <c r="CE175" s="47">
        <f>$KN175*1</f>
        <v/>
      </c>
      <c r="CF175" s="284">
        <f>$KN175*1</f>
        <v/>
      </c>
      <c r="CG175" s="38" t="n">
        <v>0</v>
      </c>
      <c r="CH175" s="347" t="n"/>
      <c r="CI175" s="36">
        <f>$KN175*3</f>
        <v/>
      </c>
      <c r="CJ175" s="47">
        <f>$KN175*1</f>
        <v/>
      </c>
      <c r="CK175" s="284">
        <f>$KN175*0</f>
        <v/>
      </c>
      <c r="CL175" s="38" t="n">
        <v>0</v>
      </c>
      <c r="CM175" s="284" t="n"/>
      <c r="CN175" s="36">
        <f>$KN175*3</f>
        <v/>
      </c>
      <c r="CO175" s="47">
        <f>$KN175*1</f>
        <v/>
      </c>
      <c r="CP175" s="284">
        <f>$KN175*0</f>
        <v/>
      </c>
      <c r="CQ175" s="38" t="n">
        <v>0</v>
      </c>
      <c r="CR175" s="284" t="n"/>
      <c r="CS175" s="36">
        <f>$KN175*3</f>
        <v/>
      </c>
      <c r="CT175" s="47">
        <f>$KN175*1</f>
        <v/>
      </c>
      <c r="CU175" s="284">
        <f>$KN175*0</f>
        <v/>
      </c>
      <c r="CV175" s="38" t="n">
        <v>0</v>
      </c>
      <c r="CW175" s="284" t="n"/>
      <c r="CX175" s="36">
        <f>$KN175*3</f>
        <v/>
      </c>
      <c r="CY175" s="47">
        <f>$KN175*1</f>
        <v/>
      </c>
      <c r="CZ175" s="284">
        <f>$KN175*0</f>
        <v/>
      </c>
      <c r="DA175" s="38" t="n">
        <v>0</v>
      </c>
      <c r="DB175" s="284" t="n"/>
      <c r="DC175" s="36">
        <f>$KN175*3</f>
        <v/>
      </c>
      <c r="DD175" s="47">
        <f>$KN175*1</f>
        <v/>
      </c>
      <c r="DE175" s="284">
        <f>$KN175*0</f>
        <v/>
      </c>
      <c r="DF175" s="38" t="n">
        <v>0</v>
      </c>
      <c r="DG175" s="284" t="n"/>
      <c r="DH175" s="36">
        <f>$KN175*3</f>
        <v/>
      </c>
      <c r="DI175" s="47">
        <f>$KN175*1</f>
        <v/>
      </c>
      <c r="DJ175" s="284">
        <f>$KN175*0</f>
        <v/>
      </c>
      <c r="DK175" s="38" t="n">
        <v>0</v>
      </c>
      <c r="DL175" s="284" t="n"/>
      <c r="DM175" s="36">
        <f>$KN175*3</f>
        <v/>
      </c>
      <c r="DN175" s="47">
        <f>$KN175*1</f>
        <v/>
      </c>
      <c r="DO175" s="284">
        <f>$KN175*0</f>
        <v/>
      </c>
      <c r="DP175" s="38" t="n">
        <v>0</v>
      </c>
      <c r="DQ175" s="284" t="n"/>
      <c r="DR175" s="36">
        <f>$KN175*3</f>
        <v/>
      </c>
      <c r="DS175" s="47">
        <f>$KN175*1</f>
        <v/>
      </c>
      <c r="DT175" s="284">
        <f>$KN175*0</f>
        <v/>
      </c>
      <c r="DU175" s="38" t="n">
        <v>0</v>
      </c>
      <c r="DV175" s="284" t="n"/>
      <c r="DW175" s="338">
        <f t="array" ref="DW175">SUMPRODUCT(--(MOD(COLUMN($BO175:$DV175),5)=MOD(COLUMN($BO175),5)),$BO175:$DV175)</f>
        <v/>
      </c>
      <c r="DX175" s="339">
        <f>DW175*$J175</f>
        <v/>
      </c>
      <c r="DY175" s="344">
        <f t="array" ref="DY175">SUMPRODUCT(--(MOD(COLUMN($BO175:$DV175),5)=MOD(COLUMN($BP175),5)),$BO175:$DV175)</f>
        <v/>
      </c>
      <c r="DZ175" s="345">
        <f>DY175*$J175</f>
        <v/>
      </c>
      <c r="EA175" s="340">
        <f t="array" ref="EA175">SUMPRODUCT(--(MOD(COLUMN($BO175:$DV175),5)=MOD(COLUMN($BQ175),5)),$BO175:$DV175)</f>
        <v/>
      </c>
      <c r="EB175" s="341">
        <f>EA175*$J175</f>
        <v/>
      </c>
      <c r="EC175" s="342">
        <f t="array" ref="EC175">SUMPRODUCT(--(MOD(COLUMN($BO175:$DV175),5)=MOD(COLUMN($BR175),5)),$BO175:$DV175)</f>
        <v/>
      </c>
      <c r="ED175" s="343">
        <f>EC175*$J175</f>
        <v/>
      </c>
      <c r="EE175" s="36">
        <f>$KN175*1</f>
        <v/>
      </c>
      <c r="EF175" s="284" t="n">
        <v>1</v>
      </c>
      <c r="EG175" s="38" t="n">
        <v>0</v>
      </c>
      <c r="EH175" s="96" t="n"/>
      <c r="EI175" s="36">
        <f>$KN175*1</f>
        <v/>
      </c>
      <c r="EJ175" s="284" t="n">
        <v>0</v>
      </c>
      <c r="EK175" s="38" t="n">
        <v>0</v>
      </c>
      <c r="EL175" s="96" t="n"/>
      <c r="EM175" s="36">
        <f>$KN175*1</f>
        <v/>
      </c>
      <c r="EN175" s="284" t="n">
        <v>0</v>
      </c>
      <c r="EO175" s="38" t="n">
        <v>0</v>
      </c>
      <c r="EP175" s="96" t="n"/>
      <c r="EQ175" s="36">
        <f>$KN175*2</f>
        <v/>
      </c>
      <c r="ER175" s="284" t="n">
        <v>10</v>
      </c>
      <c r="ES175" s="38" t="n">
        <v>10</v>
      </c>
      <c r="ET175" s="347" t="n"/>
      <c r="EU175" s="36">
        <f>$KN175*2</f>
        <v/>
      </c>
      <c r="EV175" s="155" t="n">
        <v>15</v>
      </c>
      <c r="EW175" s="38" t="n">
        <v>0</v>
      </c>
      <c r="EX175" s="347" t="n"/>
      <c r="EY175" s="36">
        <f>$KN175*2</f>
        <v/>
      </c>
      <c r="EZ175" s="284" t="n">
        <v>2</v>
      </c>
      <c r="FA175" s="38" t="n">
        <v>0</v>
      </c>
      <c r="FB175" s="96" t="n"/>
      <c r="FC175" s="36">
        <f>$KN175*3</f>
        <v/>
      </c>
      <c r="FD175" s="284" t="n">
        <v>3</v>
      </c>
      <c r="FE175" s="38" t="n">
        <v>0</v>
      </c>
      <c r="FF175" s="96" t="n"/>
      <c r="FG175" s="36">
        <f>$KN175*3</f>
        <v/>
      </c>
      <c r="FH175" s="284" t="n">
        <v>3</v>
      </c>
      <c r="FI175" s="38" t="n">
        <v>0</v>
      </c>
      <c r="FJ175" s="96" t="n"/>
      <c r="FK175" s="36">
        <f>$KN175*3</f>
        <v/>
      </c>
      <c r="FL175" s="284" t="n">
        <v>3</v>
      </c>
      <c r="FM175" s="38" t="n">
        <v>0</v>
      </c>
      <c r="FN175" s="96" t="n"/>
      <c r="FO175" s="36">
        <f>$KN175*4</f>
        <v/>
      </c>
      <c r="FP175" s="284" t="n">
        <v>4</v>
      </c>
      <c r="FQ175" s="38" t="n">
        <v>0</v>
      </c>
      <c r="FR175" s="96" t="n"/>
      <c r="FS175" s="36">
        <f>$KN175*4</f>
        <v/>
      </c>
      <c r="FT175" s="284" t="n">
        <v>4</v>
      </c>
      <c r="FU175" s="38" t="n">
        <v>0</v>
      </c>
      <c r="FV175" s="96" t="n"/>
      <c r="FW175" s="36">
        <f>$KN175*4</f>
        <v/>
      </c>
      <c r="FX175" s="284" t="n">
        <v>4</v>
      </c>
      <c r="FY175" s="38" t="n">
        <v>0</v>
      </c>
      <c r="FZ175" s="96" t="n"/>
      <c r="GA175" s="338">
        <f t="array" ref="GA175">SUMPRODUCT(--(MOD(COLUMN($EE175:$FZ175),4)=MOD(COLUMN($EE175),4)),$EE175:$FZ175)</f>
        <v/>
      </c>
      <c r="GB175" s="339">
        <f>GA175*$J175</f>
        <v/>
      </c>
      <c r="GC175" s="340">
        <f t="array" ref="GC175">SUMPRODUCT(--(MOD(COLUMN($EE175:$FZ175),4)=MOD(COLUMN($EF175),4)),$EE175:$FZ175)</f>
        <v/>
      </c>
      <c r="GD175" s="341">
        <f>GC175*$J175</f>
        <v/>
      </c>
      <c r="GE175" s="342">
        <f t="array" ref="GE175">SUMPRODUCT(--(MOD(COLUMN($EE175:$FZ175),4)=MOD(COLUMN($EG175),4)),$EE175:$FZ175)</f>
        <v/>
      </c>
      <c r="GF175" s="343">
        <f>GE175*$J175</f>
        <v/>
      </c>
      <c r="GG175" s="36">
        <f>$KN175*3</f>
        <v/>
      </c>
      <c r="GH175" s="284" t="n"/>
      <c r="GI175" s="38" t="n">
        <v>0</v>
      </c>
      <c r="GJ175" s="96" t="n"/>
      <c r="GK175" s="36">
        <f>$KN175*3</f>
        <v/>
      </c>
      <c r="GL175" s="284" t="n"/>
      <c r="GM175" s="38" t="n">
        <v>0</v>
      </c>
      <c r="GN175" s="96" t="n"/>
      <c r="GO175" s="36">
        <f>$KN175*3</f>
        <v/>
      </c>
      <c r="GP175" s="284" t="n"/>
      <c r="GQ175" s="38" t="n">
        <v>0</v>
      </c>
      <c r="GR175" s="96" t="n"/>
      <c r="GS175" s="36">
        <f>$KN175*5</f>
        <v/>
      </c>
      <c r="GT175" s="284" t="n"/>
      <c r="GU175" s="38" t="n">
        <v>0</v>
      </c>
      <c r="GV175" s="96" t="n"/>
      <c r="GW175" s="36">
        <f>$KN175*5</f>
        <v/>
      </c>
      <c r="GX175" s="284" t="n"/>
      <c r="GY175" s="38" t="n">
        <v>0</v>
      </c>
      <c r="GZ175" s="96" t="n"/>
      <c r="HA175" s="36">
        <f>$KN175*5</f>
        <v/>
      </c>
      <c r="HB175" s="284" t="n"/>
      <c r="HC175" s="38" t="n">
        <v>0</v>
      </c>
      <c r="HD175" s="96" t="n"/>
      <c r="HE175" s="36">
        <f>$KN175*5</f>
        <v/>
      </c>
      <c r="HF175" s="284" t="n"/>
      <c r="HG175" s="38" t="n">
        <v>0</v>
      </c>
      <c r="HH175" s="96" t="n"/>
      <c r="HI175" s="36">
        <f>$KN175*5</f>
        <v/>
      </c>
      <c r="HJ175" s="284" t="n"/>
      <c r="HK175" s="38" t="n">
        <v>0</v>
      </c>
      <c r="HL175" s="96" t="n"/>
      <c r="HM175" s="36">
        <f>$KN175*5</f>
        <v/>
      </c>
      <c r="HN175" s="284" t="n"/>
      <c r="HO175" s="38" t="n">
        <v>0</v>
      </c>
      <c r="HP175" s="96" t="n"/>
      <c r="HQ175" s="36">
        <f>$KN175*5</f>
        <v/>
      </c>
      <c r="HR175" s="284" t="n"/>
      <c r="HS175" s="38" t="n">
        <v>0</v>
      </c>
      <c r="HT175" s="96" t="n"/>
      <c r="HU175" s="36">
        <f>$KN175*5</f>
        <v/>
      </c>
      <c r="HV175" s="284" t="n"/>
      <c r="HW175" s="38" t="n">
        <v>0</v>
      </c>
      <c r="HX175" s="96" t="n"/>
      <c r="HY175" s="36">
        <f>$KN175*5</f>
        <v/>
      </c>
      <c r="HZ175" s="284" t="n"/>
      <c r="IA175" s="38" t="n">
        <v>0</v>
      </c>
      <c r="IB175" s="96" t="n"/>
      <c r="IC175" s="338">
        <f t="array" ref="IC175">SUMPRODUCT(--(MOD(COLUMN($GG175:$IB175),4)=MOD(COLUMN($GG175),4)),$GG175:$IB175)</f>
        <v/>
      </c>
      <c r="ID175" s="339">
        <f>IC175*$J175</f>
        <v/>
      </c>
      <c r="IE175" s="340">
        <f t="array" ref="IE175">SUMPRODUCT(--(MOD(COLUMN($GG175:$IB175),4)=MOD(COLUMN($GH175),4)),$GG175:$IB175)</f>
        <v/>
      </c>
      <c r="IF175" s="341">
        <f>IE175*$J175</f>
        <v/>
      </c>
      <c r="IG175" s="342">
        <f t="array" ref="IG175">SUMPRODUCT(--(MOD(COLUMN($GG175:$IB175),4)=MOD(COLUMN($GI175),4)),$GG175:$IB175)</f>
        <v/>
      </c>
      <c r="IH175" s="343">
        <f>IG175*$J175</f>
        <v/>
      </c>
      <c r="II175" s="36">
        <f>$KN175*3</f>
        <v/>
      </c>
      <c r="IJ175" s="284" t="n"/>
      <c r="IK175" s="38" t="n">
        <v>0</v>
      </c>
      <c r="IL175" s="96" t="n"/>
      <c r="IM175" s="36">
        <f>$KN175*3</f>
        <v/>
      </c>
      <c r="IN175" s="284" t="n"/>
      <c r="IO175" s="38" t="n">
        <v>0</v>
      </c>
      <c r="IP175" s="96" t="n"/>
      <c r="IQ175" s="36">
        <f>$KN175*3</f>
        <v/>
      </c>
      <c r="IR175" s="284" t="n"/>
      <c r="IS175" s="38" t="n">
        <v>0</v>
      </c>
      <c r="IT175" s="96" t="n"/>
      <c r="IU175" s="36">
        <f>$KN175*5</f>
        <v/>
      </c>
      <c r="IV175" s="284" t="n"/>
      <c r="IW175" s="38" t="n">
        <v>0</v>
      </c>
      <c r="IX175" s="96" t="n"/>
      <c r="IY175" s="36">
        <f>$KN175*5</f>
        <v/>
      </c>
      <c r="IZ175" s="284" t="n"/>
      <c r="JA175" s="38" t="n">
        <v>0</v>
      </c>
      <c r="JB175" s="96" t="n"/>
      <c r="JC175" s="36">
        <f>$KN175*5</f>
        <v/>
      </c>
      <c r="JD175" s="284" t="n"/>
      <c r="JE175" s="38" t="n">
        <v>0</v>
      </c>
      <c r="JF175" s="96" t="n"/>
      <c r="JG175" s="36">
        <f>$KN175*5</f>
        <v/>
      </c>
      <c r="JH175" s="284" t="n"/>
      <c r="JI175" s="38" t="n">
        <v>0</v>
      </c>
      <c r="JJ175" s="96" t="n"/>
      <c r="JK175" s="36">
        <f>$KN175*5</f>
        <v/>
      </c>
      <c r="JL175" s="284" t="n"/>
      <c r="JM175" s="38" t="n">
        <v>0</v>
      </c>
      <c r="JN175" s="96" t="n"/>
      <c r="JO175" s="36">
        <f>$KN175*5</f>
        <v/>
      </c>
      <c r="JP175" s="284" t="n"/>
      <c r="JQ175" s="38" t="n">
        <v>0</v>
      </c>
      <c r="JR175" s="96" t="n"/>
      <c r="JS175" s="36">
        <f>$KN175*5</f>
        <v/>
      </c>
      <c r="JT175" s="284" t="n"/>
      <c r="JU175" s="38" t="n">
        <v>0</v>
      </c>
      <c r="JV175" s="96" t="n"/>
      <c r="JW175" s="36">
        <f>$KN175*5</f>
        <v/>
      </c>
      <c r="JX175" s="284" t="n"/>
      <c r="JY175" s="38" t="n">
        <v>0</v>
      </c>
      <c r="JZ175" s="96" t="n"/>
      <c r="KA175" s="36">
        <f>$KN175*5</f>
        <v/>
      </c>
      <c r="KB175" s="284" t="n"/>
      <c r="KC175" s="38" t="n">
        <v>0</v>
      </c>
      <c r="KD175" s="96" t="n"/>
      <c r="KE175" s="338">
        <f t="array" ref="KE175">SUMPRODUCT(--(MOD(COLUMN($II175:$KD175),4)=MOD(COLUMN($II175),4)),$II175:$KD175)</f>
        <v/>
      </c>
      <c r="KF175" s="339">
        <f>KE175*$J175</f>
        <v/>
      </c>
      <c r="KG175" s="340">
        <f t="array" ref="KG175">SUMPRODUCT(--(MOD(COLUMN($II175:$KD175),4)=MOD(COLUMN($IJ175),4)),$II175:$KD175)</f>
        <v/>
      </c>
      <c r="KH175" s="341">
        <f>KG175*$J175</f>
        <v/>
      </c>
      <c r="KI175" s="342">
        <f t="array" ref="KI175">SUMPRODUCT(--(MOD(COLUMN($II175:$KD175),4)=MOD(COLUMN($IK175),4)),$II175:$KD175)</f>
        <v/>
      </c>
      <c r="KJ175" s="346">
        <f>KI175*$J175</f>
        <v/>
      </c>
      <c r="KK175" s="80" t="n"/>
      <c r="KL175" s="80" t="n"/>
      <c r="KM175" s="80" t="n"/>
      <c r="KN175" s="51" t="n">
        <v>1</v>
      </c>
      <c r="KO175" s="333" t="n"/>
    </row>
    <row r="176" outlineLevel="1" ht="43.2" customFormat="1" customHeight="1" s="68">
      <c r="A176" s="347" t="n"/>
      <c r="B176" s="347" t="n"/>
      <c r="C176" s="347" t="n"/>
      <c r="D176" s="347" t="n"/>
      <c r="E176" s="60" t="n">
        <v>10</v>
      </c>
      <c r="F176" s="60" t="n">
        <v>1</v>
      </c>
      <c r="G176" s="56" t="n">
        <v>4630840310</v>
      </c>
      <c r="H176" s="57" t="inlineStr">
        <is>
          <t>Клапан управления подъемом оси (LACV)</t>
        </is>
      </c>
      <c r="I176" s="374" t="n">
        <v>515</v>
      </c>
      <c r="J176" s="375" t="n">
        <v>515</v>
      </c>
      <c r="K176" s="348" t="n"/>
      <c r="L176" s="348" t="n"/>
      <c r="M176" s="36" t="n"/>
      <c r="N176" s="284" t="n"/>
      <c r="O176" s="38" t="n"/>
      <c r="P176" s="284" t="n"/>
      <c r="Q176" s="36" t="n"/>
      <c r="R176" s="284" t="n"/>
      <c r="S176" s="38" t="n"/>
      <c r="T176" s="284" t="n"/>
      <c r="U176" s="36" t="n"/>
      <c r="V176" s="284" t="n"/>
      <c r="W176" s="38" t="n"/>
      <c r="X176" s="284" t="n"/>
      <c r="Y176" s="36" t="n"/>
      <c r="Z176" s="284" t="n"/>
      <c r="AA176" s="38" t="n"/>
      <c r="AB176" s="284" t="n"/>
      <c r="AC176" s="36" t="n"/>
      <c r="AD176" s="284" t="n"/>
      <c r="AE176" s="38" t="n"/>
      <c r="AF176" s="284" t="n"/>
      <c r="AG176" s="36" t="n"/>
      <c r="AH176" s="284" t="n"/>
      <c r="AI176" s="38" t="n"/>
      <c r="AJ176" s="284" t="n"/>
      <c r="AK176" s="36" t="n"/>
      <c r="AL176" s="284" t="n"/>
      <c r="AM176" s="38" t="n"/>
      <c r="AN176" s="284" t="n"/>
      <c r="AO176" s="36" t="n"/>
      <c r="AP176" s="284" t="n"/>
      <c r="AQ176" s="38" t="n"/>
      <c r="AR176" s="284" t="n"/>
      <c r="AS176" s="36" t="n"/>
      <c r="AT176" s="284" t="n"/>
      <c r="AU176" s="38" t="n">
        <v>0</v>
      </c>
      <c r="AV176" s="284" t="n"/>
      <c r="AW176" s="36" t="n"/>
      <c r="AX176" s="284" t="n"/>
      <c r="AY176" s="38" t="n">
        <v>0</v>
      </c>
      <c r="AZ176" s="347" t="n"/>
      <c r="BA176" s="36" t="n"/>
      <c r="BB176" s="284" t="n"/>
      <c r="BC176" s="99" t="n">
        <v>0</v>
      </c>
      <c r="BD176" s="284" t="n"/>
      <c r="BE176" s="36" t="n"/>
      <c r="BF176" s="284">
        <f>$KN176*1</f>
        <v/>
      </c>
      <c r="BG176" s="54" t="n">
        <v>0</v>
      </c>
      <c r="BH176" s="284" t="n"/>
      <c r="BI176" s="338">
        <f>SUMPRODUCT(--(MOD(COLUMN($M176:$BH176),4)=MOD(COLUMN($M176),4)),$M176:$BH176)</f>
        <v/>
      </c>
      <c r="BJ176" s="339">
        <f>BI176*$I176</f>
        <v/>
      </c>
      <c r="BK176" s="340">
        <f>SUMPRODUCT(--(MOD(COLUMN($M176:$BH176),4)=MOD(COLUMN($M176)+1,4)),$M176:$BH176)</f>
        <v/>
      </c>
      <c r="BL176" s="341">
        <f>BK176*$I176</f>
        <v/>
      </c>
      <c r="BM176" s="342">
        <f>SUMPRODUCT(--(MOD(COLUMN($M176:$BH176),4)=MOD(COLUMN($M176)+2,4)),$M176:$BH176)</f>
        <v/>
      </c>
      <c r="BN176" s="343">
        <f>BM176*$I176</f>
        <v/>
      </c>
      <c r="BO176" s="36">
        <f>$KN176*0</f>
        <v/>
      </c>
      <c r="BP176" s="47">
        <f>$KN176*0</f>
        <v/>
      </c>
      <c r="BQ176" s="376">
        <f>SUMPRODUCT(--(MOD(COLUMN($M176:$BH176),4)=MOD(COLUMN($M176)+1,4)),$M176:$BH176)</f>
        <v/>
      </c>
      <c r="BR176" s="38" t="n">
        <v>0</v>
      </c>
      <c r="BS176" s="347" t="n"/>
      <c r="BT176" s="36">
        <f>$KN176*3</f>
        <v/>
      </c>
      <c r="BU176" s="47">
        <f>$KN176*0</f>
        <v/>
      </c>
      <c r="BV176" s="284">
        <f>$KN176*0</f>
        <v/>
      </c>
      <c r="BW176" s="38" t="n">
        <v>0</v>
      </c>
      <c r="BX176" s="347" t="n"/>
      <c r="BY176" s="36">
        <f>$KN176*3</f>
        <v/>
      </c>
      <c r="BZ176" s="47">
        <f>$KN176*1</f>
        <v/>
      </c>
      <c r="CA176" s="284">
        <f>$KN176*1</f>
        <v/>
      </c>
      <c r="CB176" s="38" t="n">
        <v>0</v>
      </c>
      <c r="CC176" s="284" t="n"/>
      <c r="CD176" s="36">
        <f>$KN176*3</f>
        <v/>
      </c>
      <c r="CE176" s="47">
        <f>$KN176*1</f>
        <v/>
      </c>
      <c r="CF176" s="284">
        <f>$KN176*1</f>
        <v/>
      </c>
      <c r="CG176" s="38" t="n">
        <v>0</v>
      </c>
      <c r="CH176" s="347" t="n"/>
      <c r="CI176" s="36">
        <f>$KN176*3</f>
        <v/>
      </c>
      <c r="CJ176" s="47">
        <f>$KN176*1</f>
        <v/>
      </c>
      <c r="CK176" s="284">
        <f>$KN176*0</f>
        <v/>
      </c>
      <c r="CL176" s="38" t="n">
        <v>0</v>
      </c>
      <c r="CM176" s="284" t="n"/>
      <c r="CN176" s="36">
        <f>$KN176*3</f>
        <v/>
      </c>
      <c r="CO176" s="47">
        <f>$KN176*1</f>
        <v/>
      </c>
      <c r="CP176" s="284">
        <f>$KN176*0</f>
        <v/>
      </c>
      <c r="CQ176" s="38" t="n">
        <v>0</v>
      </c>
      <c r="CR176" s="284" t="n"/>
      <c r="CS176" s="36">
        <f>$KN176*3</f>
        <v/>
      </c>
      <c r="CT176" s="47">
        <f>$KN176*1</f>
        <v/>
      </c>
      <c r="CU176" s="284">
        <f>$KN176*0</f>
        <v/>
      </c>
      <c r="CV176" s="38" t="n">
        <v>0</v>
      </c>
      <c r="CW176" s="284" t="n"/>
      <c r="CX176" s="36">
        <f>$KN176*3</f>
        <v/>
      </c>
      <c r="CY176" s="47">
        <f>$KN176*1</f>
        <v/>
      </c>
      <c r="CZ176" s="284">
        <f>$KN176*0</f>
        <v/>
      </c>
      <c r="DA176" s="38" t="n">
        <v>0</v>
      </c>
      <c r="DB176" s="284" t="n"/>
      <c r="DC176" s="36">
        <f>$KN176*3</f>
        <v/>
      </c>
      <c r="DD176" s="47">
        <f>$KN176*1</f>
        <v/>
      </c>
      <c r="DE176" s="284">
        <f>$KN176*0</f>
        <v/>
      </c>
      <c r="DF176" s="38" t="n">
        <v>0</v>
      </c>
      <c r="DG176" s="284" t="n"/>
      <c r="DH176" s="36">
        <f>$KN176*3</f>
        <v/>
      </c>
      <c r="DI176" s="47">
        <f>$KN176*1</f>
        <v/>
      </c>
      <c r="DJ176" s="284">
        <f>$KN176*0</f>
        <v/>
      </c>
      <c r="DK176" s="52" t="n">
        <v>0</v>
      </c>
      <c r="DL176" s="284" t="n"/>
      <c r="DM176" s="36">
        <f>$KN176*3</f>
        <v/>
      </c>
      <c r="DN176" s="47">
        <f>$KN176*1</f>
        <v/>
      </c>
      <c r="DO176" s="284">
        <f>$KN176*0</f>
        <v/>
      </c>
      <c r="DP176" s="38" t="n">
        <v>0</v>
      </c>
      <c r="DQ176" s="284" t="n"/>
      <c r="DR176" s="36">
        <f>$KN176*3</f>
        <v/>
      </c>
      <c r="DS176" s="47">
        <f>$KN176*1</f>
        <v/>
      </c>
      <c r="DT176" s="284">
        <f>$KN176*0</f>
        <v/>
      </c>
      <c r="DU176" s="38" t="n">
        <v>0</v>
      </c>
      <c r="DV176" s="284" t="n"/>
      <c r="DW176" s="338">
        <f t="array" ref="DW176">SUMPRODUCT(--(MOD(COLUMN($BO176:$DV176),5)=MOD(COLUMN($BO176),5)),$BO176:$DV176)</f>
        <v/>
      </c>
      <c r="DX176" s="339">
        <f>DW176*$J176</f>
        <v/>
      </c>
      <c r="DY176" s="344">
        <f t="array" ref="DY176">SUMPRODUCT(--(MOD(COLUMN($BO176:$DV176),5)=MOD(COLUMN($BP176),5)),$BO176:$DV176)</f>
        <v/>
      </c>
      <c r="DZ176" s="345">
        <f>DY176*$J176</f>
        <v/>
      </c>
      <c r="EA176" s="340">
        <f t="array" ref="EA176">SUMPRODUCT(--(MOD(COLUMN($BO176:$DV176),5)=MOD(COLUMN($BQ176),5)),$BO176:$DV176)</f>
        <v/>
      </c>
      <c r="EB176" s="341">
        <f>EA176*$J176</f>
        <v/>
      </c>
      <c r="EC176" s="342">
        <f t="array" ref="EC176">SUMPRODUCT(--(MOD(COLUMN($BO176:$DV176),5)=MOD(COLUMN($BR176),5)),$BO176:$DV176)</f>
        <v/>
      </c>
      <c r="ED176" s="343">
        <f>EC176*$J176</f>
        <v/>
      </c>
      <c r="EE176" s="36">
        <f>$KN176*1</f>
        <v/>
      </c>
      <c r="EF176" s="284" t="n">
        <v>1</v>
      </c>
      <c r="EG176" s="38" t="n">
        <v>0</v>
      </c>
      <c r="EH176" s="96" t="n"/>
      <c r="EI176" s="36">
        <f>$KN176*1</f>
        <v/>
      </c>
      <c r="EJ176" s="284" t="n">
        <v>0</v>
      </c>
      <c r="EK176" s="38" t="n">
        <v>0</v>
      </c>
      <c r="EL176" s="96" t="n"/>
      <c r="EM176" s="36">
        <f>$KN176*1</f>
        <v/>
      </c>
      <c r="EN176" s="284" t="n">
        <v>0</v>
      </c>
      <c r="EO176" s="38" t="n">
        <v>0</v>
      </c>
      <c r="EP176" s="96" t="n"/>
      <c r="EQ176" s="36">
        <f>$KN176*2</f>
        <v/>
      </c>
      <c r="ER176" s="284" t="n">
        <v>10</v>
      </c>
      <c r="ES176" s="38" t="n">
        <v>10</v>
      </c>
      <c r="ET176" s="347" t="n"/>
      <c r="EU176" s="36">
        <f>$KN176*2</f>
        <v/>
      </c>
      <c r="EV176" s="155" t="n">
        <v>15</v>
      </c>
      <c r="EW176" s="38" t="n">
        <v>0</v>
      </c>
      <c r="EX176" s="347" t="n"/>
      <c r="EY176" s="36">
        <f>$KN176*2</f>
        <v/>
      </c>
      <c r="EZ176" s="284" t="n">
        <v>2</v>
      </c>
      <c r="FA176" s="38" t="n">
        <v>0</v>
      </c>
      <c r="FB176" s="96" t="n"/>
      <c r="FC176" s="36">
        <f>$KN176*3</f>
        <v/>
      </c>
      <c r="FD176" s="284" t="n">
        <v>3</v>
      </c>
      <c r="FE176" s="38" t="n">
        <v>0</v>
      </c>
      <c r="FF176" s="96" t="n"/>
      <c r="FG176" s="36">
        <f>$KN176*3</f>
        <v/>
      </c>
      <c r="FH176" s="284" t="n">
        <v>3</v>
      </c>
      <c r="FI176" s="38" t="n">
        <v>0</v>
      </c>
      <c r="FJ176" s="96" t="n"/>
      <c r="FK176" s="36">
        <f>$KN176*3</f>
        <v/>
      </c>
      <c r="FL176" s="284" t="n">
        <v>3</v>
      </c>
      <c r="FM176" s="38" t="n">
        <v>0</v>
      </c>
      <c r="FN176" s="96" t="n"/>
      <c r="FO176" s="36">
        <f>$KN176*4</f>
        <v/>
      </c>
      <c r="FP176" s="284" t="n">
        <v>4</v>
      </c>
      <c r="FQ176" s="38" t="n">
        <v>0</v>
      </c>
      <c r="FR176" s="96" t="n"/>
      <c r="FS176" s="36">
        <f>$KN176*4</f>
        <v/>
      </c>
      <c r="FT176" s="284" t="n">
        <v>4</v>
      </c>
      <c r="FU176" s="38" t="n">
        <v>0</v>
      </c>
      <c r="FV176" s="96" t="n"/>
      <c r="FW176" s="36">
        <f>$KN176*4</f>
        <v/>
      </c>
      <c r="FX176" s="284" t="n">
        <v>4</v>
      </c>
      <c r="FY176" s="38" t="n">
        <v>0</v>
      </c>
      <c r="FZ176" s="96" t="n"/>
      <c r="GA176" s="338">
        <f t="array" ref="GA176">SUMPRODUCT(--(MOD(COLUMN($EE176:$FZ176),4)=MOD(COLUMN($EE176),4)),$EE176:$FZ176)</f>
        <v/>
      </c>
      <c r="GB176" s="339">
        <f>GA176*$J176</f>
        <v/>
      </c>
      <c r="GC176" s="340">
        <f t="array" ref="GC176">SUMPRODUCT(--(MOD(COLUMN($EE176:$FZ176),4)=MOD(COLUMN($EF176),4)),$EE176:$FZ176)</f>
        <v/>
      </c>
      <c r="GD176" s="341">
        <f>GC176*$J176</f>
        <v/>
      </c>
      <c r="GE176" s="342">
        <f t="array" ref="GE176">SUMPRODUCT(--(MOD(COLUMN($EE176:$FZ176),4)=MOD(COLUMN($EG176),4)),$EE176:$FZ176)</f>
        <v/>
      </c>
      <c r="GF176" s="343">
        <f>GE176*$J176</f>
        <v/>
      </c>
      <c r="GG176" s="36">
        <f>$KN176*3</f>
        <v/>
      </c>
      <c r="GH176" s="284" t="n"/>
      <c r="GI176" s="38" t="n">
        <v>0</v>
      </c>
      <c r="GJ176" s="96" t="n"/>
      <c r="GK176" s="36">
        <f>$KN176*3</f>
        <v/>
      </c>
      <c r="GL176" s="284" t="n"/>
      <c r="GM176" s="38" t="n">
        <v>0</v>
      </c>
      <c r="GN176" s="96" t="n"/>
      <c r="GO176" s="36">
        <f>$KN176*3</f>
        <v/>
      </c>
      <c r="GP176" s="284" t="n"/>
      <c r="GQ176" s="38" t="n">
        <v>0</v>
      </c>
      <c r="GR176" s="96" t="n"/>
      <c r="GS176" s="36">
        <f>$KN176*5</f>
        <v/>
      </c>
      <c r="GT176" s="284" t="n"/>
      <c r="GU176" s="38" t="n">
        <v>0</v>
      </c>
      <c r="GV176" s="96" t="n"/>
      <c r="GW176" s="36">
        <f>$KN176*5</f>
        <v/>
      </c>
      <c r="GX176" s="284" t="n"/>
      <c r="GY176" s="38" t="n">
        <v>0</v>
      </c>
      <c r="GZ176" s="96" t="n"/>
      <c r="HA176" s="36">
        <f>$KN176*5</f>
        <v/>
      </c>
      <c r="HB176" s="284" t="n"/>
      <c r="HC176" s="38" t="n">
        <v>0</v>
      </c>
      <c r="HD176" s="96" t="n"/>
      <c r="HE176" s="36">
        <f>$KN176*5</f>
        <v/>
      </c>
      <c r="HF176" s="284" t="n"/>
      <c r="HG176" s="38" t="n">
        <v>0</v>
      </c>
      <c r="HH176" s="96" t="n"/>
      <c r="HI176" s="36">
        <f>$KN176*5</f>
        <v/>
      </c>
      <c r="HJ176" s="284" t="n"/>
      <c r="HK176" s="38" t="n">
        <v>0</v>
      </c>
      <c r="HL176" s="96" t="n"/>
      <c r="HM176" s="36">
        <f>$KN176*5</f>
        <v/>
      </c>
      <c r="HN176" s="284" t="n"/>
      <c r="HO176" s="38" t="n">
        <v>0</v>
      </c>
      <c r="HP176" s="96" t="n"/>
      <c r="HQ176" s="36">
        <f>$KN176*5</f>
        <v/>
      </c>
      <c r="HR176" s="284" t="n"/>
      <c r="HS176" s="38" t="n">
        <v>0</v>
      </c>
      <c r="HT176" s="96" t="n"/>
      <c r="HU176" s="36">
        <f>$KN176*5</f>
        <v/>
      </c>
      <c r="HV176" s="284" t="n"/>
      <c r="HW176" s="38" t="n">
        <v>0</v>
      </c>
      <c r="HX176" s="96" t="n"/>
      <c r="HY176" s="36">
        <f>$KN176*5</f>
        <v/>
      </c>
      <c r="HZ176" s="284" t="n"/>
      <c r="IA176" s="38" t="n">
        <v>0</v>
      </c>
      <c r="IB176" s="96" t="n"/>
      <c r="IC176" s="338">
        <f t="array" ref="IC176">SUMPRODUCT(--(MOD(COLUMN($GG176:$IB176),4)=MOD(COLUMN($GG176),4)),$GG176:$IB176)</f>
        <v/>
      </c>
      <c r="ID176" s="339">
        <f>IC176*$J176</f>
        <v/>
      </c>
      <c r="IE176" s="340">
        <f t="array" ref="IE176">SUMPRODUCT(--(MOD(COLUMN($GG176:$IB176),4)=MOD(COLUMN($GH176),4)),$GG176:$IB176)</f>
        <v/>
      </c>
      <c r="IF176" s="341">
        <f>IE176*$J176</f>
        <v/>
      </c>
      <c r="IG176" s="342">
        <f t="array" ref="IG176">SUMPRODUCT(--(MOD(COLUMN($GG176:$IB176),4)=MOD(COLUMN($GI176),4)),$GG176:$IB176)</f>
        <v/>
      </c>
      <c r="IH176" s="343">
        <f>IG176*$J176</f>
        <v/>
      </c>
      <c r="II176" s="36">
        <f>$KN176*3</f>
        <v/>
      </c>
      <c r="IJ176" s="284" t="n"/>
      <c r="IK176" s="38" t="n">
        <v>0</v>
      </c>
      <c r="IL176" s="96" t="n"/>
      <c r="IM176" s="36">
        <f>$KN176*3</f>
        <v/>
      </c>
      <c r="IN176" s="284" t="n"/>
      <c r="IO176" s="38" t="n">
        <v>0</v>
      </c>
      <c r="IP176" s="96" t="n"/>
      <c r="IQ176" s="36">
        <f>$KN176*3</f>
        <v/>
      </c>
      <c r="IR176" s="284" t="n"/>
      <c r="IS176" s="38" t="n">
        <v>0</v>
      </c>
      <c r="IT176" s="96" t="n"/>
      <c r="IU176" s="36">
        <f>$KN176*5</f>
        <v/>
      </c>
      <c r="IV176" s="284" t="n"/>
      <c r="IW176" s="38" t="n">
        <v>0</v>
      </c>
      <c r="IX176" s="96" t="n"/>
      <c r="IY176" s="36">
        <f>$KN176*5</f>
        <v/>
      </c>
      <c r="IZ176" s="284" t="n"/>
      <c r="JA176" s="38" t="n">
        <v>0</v>
      </c>
      <c r="JB176" s="96" t="n"/>
      <c r="JC176" s="36">
        <f>$KN176*5</f>
        <v/>
      </c>
      <c r="JD176" s="284" t="n"/>
      <c r="JE176" s="38" t="n">
        <v>0</v>
      </c>
      <c r="JF176" s="96" t="n"/>
      <c r="JG176" s="36">
        <f>$KN176*5</f>
        <v/>
      </c>
      <c r="JH176" s="284" t="n"/>
      <c r="JI176" s="38" t="n">
        <v>0</v>
      </c>
      <c r="JJ176" s="96" t="n"/>
      <c r="JK176" s="36">
        <f>$KN176*5</f>
        <v/>
      </c>
      <c r="JL176" s="284" t="n"/>
      <c r="JM176" s="38" t="n">
        <v>0</v>
      </c>
      <c r="JN176" s="96" t="n"/>
      <c r="JO176" s="36">
        <f>$KN176*5</f>
        <v/>
      </c>
      <c r="JP176" s="284" t="n"/>
      <c r="JQ176" s="38" t="n">
        <v>0</v>
      </c>
      <c r="JR176" s="96" t="n"/>
      <c r="JS176" s="36">
        <f>$KN176*5</f>
        <v/>
      </c>
      <c r="JT176" s="284" t="n"/>
      <c r="JU176" s="38" t="n">
        <v>0</v>
      </c>
      <c r="JV176" s="96" t="n"/>
      <c r="JW176" s="36">
        <f>$KN176*5</f>
        <v/>
      </c>
      <c r="JX176" s="284" t="n"/>
      <c r="JY176" s="38" t="n">
        <v>0</v>
      </c>
      <c r="JZ176" s="96" t="n"/>
      <c r="KA176" s="36">
        <f>$KN176*5</f>
        <v/>
      </c>
      <c r="KB176" s="284" t="n"/>
      <c r="KC176" s="38" t="n">
        <v>0</v>
      </c>
      <c r="KD176" s="96" t="n"/>
      <c r="KE176" s="338">
        <f t="array" ref="KE176">SUMPRODUCT(--(MOD(COLUMN($II176:$KD176),4)=MOD(COLUMN($II176),4)),$II176:$KD176)</f>
        <v/>
      </c>
      <c r="KF176" s="339">
        <f>KE176*$J176</f>
        <v/>
      </c>
      <c r="KG176" s="340">
        <f t="array" ref="KG176">SUMPRODUCT(--(MOD(COLUMN($II176:$KD176),4)=MOD(COLUMN($IJ176),4)),$II176:$KD176)</f>
        <v/>
      </c>
      <c r="KH176" s="341">
        <f>KG176*$J176</f>
        <v/>
      </c>
      <c r="KI176" s="342">
        <f t="array" ref="KI176">SUMPRODUCT(--(MOD(COLUMN($II176:$KD176),4)=MOD(COLUMN($IK176),4)),$II176:$KD176)</f>
        <v/>
      </c>
      <c r="KJ176" s="346">
        <f>KI176*$J176</f>
        <v/>
      </c>
      <c r="KK176" s="80" t="n"/>
      <c r="KL176" s="80" t="n"/>
      <c r="KM176" s="80" t="n"/>
      <c r="KN176" s="51" t="n">
        <v>1</v>
      </c>
      <c r="KO176" s="285" t="inlineStr">
        <is>
          <t>LACV</t>
        </is>
      </c>
    </row>
    <row r="177" outlineLevel="1" ht="43.2" customFormat="1" customHeight="1" s="68">
      <c r="A177" s="347" t="n"/>
      <c r="B177" s="347" t="n"/>
      <c r="C177" s="347" t="n"/>
      <c r="D177" s="347" t="n"/>
      <c r="E177" s="60" t="n">
        <v>11</v>
      </c>
      <c r="F177" s="60" t="n">
        <v>1</v>
      </c>
      <c r="G177" s="56" t="n">
        <v>4494430600</v>
      </c>
      <c r="H177" s="57" t="inlineStr">
        <is>
          <t>Кабель клапана управления подъемом оси, 6 м</t>
        </is>
      </c>
      <c r="I177" s="374" t="n">
        <v>175</v>
      </c>
      <c r="J177" s="375" t="n">
        <v>175</v>
      </c>
      <c r="K177" s="348" t="n"/>
      <c r="L177" s="348" t="n"/>
      <c r="M177" s="36" t="n"/>
      <c r="N177" s="284" t="n"/>
      <c r="O177" s="38" t="n"/>
      <c r="P177" s="284" t="n"/>
      <c r="Q177" s="36" t="n"/>
      <c r="R177" s="284" t="n"/>
      <c r="S177" s="38" t="n"/>
      <c r="T177" s="284" t="n"/>
      <c r="U177" s="36" t="n"/>
      <c r="V177" s="284" t="n"/>
      <c r="W177" s="38" t="n"/>
      <c r="X177" s="284" t="n"/>
      <c r="Y177" s="36" t="n"/>
      <c r="Z177" s="284" t="n"/>
      <c r="AA177" s="38" t="n"/>
      <c r="AB177" s="284" t="n"/>
      <c r="AC177" s="36" t="n"/>
      <c r="AD177" s="284" t="n"/>
      <c r="AE177" s="38" t="n"/>
      <c r="AF177" s="284" t="n"/>
      <c r="AG177" s="36" t="n"/>
      <c r="AH177" s="284" t="n"/>
      <c r="AI177" s="38" t="n"/>
      <c r="AJ177" s="284" t="n"/>
      <c r="AK177" s="36" t="n"/>
      <c r="AL177" s="284" t="n"/>
      <c r="AM177" s="38" t="n"/>
      <c r="AN177" s="284" t="n"/>
      <c r="AO177" s="36" t="n"/>
      <c r="AP177" s="284" t="n"/>
      <c r="AQ177" s="38" t="n"/>
      <c r="AR177" s="284" t="n"/>
      <c r="AS177" s="36" t="n"/>
      <c r="AT177" s="284" t="n"/>
      <c r="AU177" s="38" t="n">
        <v>0</v>
      </c>
      <c r="AV177" s="284" t="n"/>
      <c r="AW177" s="36" t="n"/>
      <c r="AX177" s="284" t="n"/>
      <c r="AY177" s="38" t="n">
        <v>0</v>
      </c>
      <c r="AZ177" s="347" t="n"/>
      <c r="BA177" s="36" t="n"/>
      <c r="BB177" s="284" t="n"/>
      <c r="BC177" s="99" t="n">
        <v>0</v>
      </c>
      <c r="BD177" s="284" t="n"/>
      <c r="BE177" s="36" t="n"/>
      <c r="BF177" s="284">
        <f>$KN177*1</f>
        <v/>
      </c>
      <c r="BG177" s="54" t="n">
        <v>0</v>
      </c>
      <c r="BH177" s="284" t="n"/>
      <c r="BI177" s="338">
        <f>SUMPRODUCT(--(MOD(COLUMN($M177:$BH177),4)=MOD(COLUMN($M177),4)),$M177:$BH177)</f>
        <v/>
      </c>
      <c r="BJ177" s="339">
        <f>BI177*$I177</f>
        <v/>
      </c>
      <c r="BK177" s="340">
        <f>SUMPRODUCT(--(MOD(COLUMN($M177:$BH177),4)=MOD(COLUMN($M177)+1,4)),$M177:$BH177)</f>
        <v/>
      </c>
      <c r="BL177" s="341">
        <f>BK177*$I177</f>
        <v/>
      </c>
      <c r="BM177" s="342">
        <f>SUMPRODUCT(--(MOD(COLUMN($M177:$BH177),4)=MOD(COLUMN($M177)+2,4)),$M177:$BH177)</f>
        <v/>
      </c>
      <c r="BN177" s="343">
        <f>BM177*$I177</f>
        <v/>
      </c>
      <c r="BO177" s="36">
        <f>$KN177*0</f>
        <v/>
      </c>
      <c r="BP177" s="47">
        <f>$KN177*0</f>
        <v/>
      </c>
      <c r="BQ177" s="376">
        <f>SUMPRODUCT(--(MOD(COLUMN($M177:$BH177),4)=MOD(COLUMN($M177)+1,4)),$M177:$BH177)</f>
        <v/>
      </c>
      <c r="BR177" s="38" t="n">
        <v>0</v>
      </c>
      <c r="BS177" s="347" t="n"/>
      <c r="BT177" s="36">
        <f>$KN177*3</f>
        <v/>
      </c>
      <c r="BU177" s="47">
        <f>$KN177*0</f>
        <v/>
      </c>
      <c r="BV177" s="284">
        <f>$KN177*0</f>
        <v/>
      </c>
      <c r="BW177" s="38" t="n">
        <v>0</v>
      </c>
      <c r="BX177" s="347" t="n"/>
      <c r="BY177" s="36">
        <f>$KN177*3</f>
        <v/>
      </c>
      <c r="BZ177" s="47">
        <f>$KN177*1</f>
        <v/>
      </c>
      <c r="CA177" s="284">
        <f>$KN177*1</f>
        <v/>
      </c>
      <c r="CB177" s="38" t="n">
        <v>0</v>
      </c>
      <c r="CC177" s="284" t="n"/>
      <c r="CD177" s="36">
        <f>$KN177*3</f>
        <v/>
      </c>
      <c r="CE177" s="47">
        <f>$KN177*1</f>
        <v/>
      </c>
      <c r="CF177" s="284">
        <f>$KN177*1</f>
        <v/>
      </c>
      <c r="CG177" s="38" t="n">
        <v>0</v>
      </c>
      <c r="CH177" s="347" t="n"/>
      <c r="CI177" s="36">
        <f>$KN177*3</f>
        <v/>
      </c>
      <c r="CJ177" s="47">
        <f>$KN177*1</f>
        <v/>
      </c>
      <c r="CK177" s="284">
        <f>$KN177*0</f>
        <v/>
      </c>
      <c r="CL177" s="38" t="n">
        <v>0</v>
      </c>
      <c r="CM177" s="284" t="n"/>
      <c r="CN177" s="36">
        <f>$KN177*3</f>
        <v/>
      </c>
      <c r="CO177" s="47">
        <f>$KN177*1</f>
        <v/>
      </c>
      <c r="CP177" s="284">
        <f>$KN177*0</f>
        <v/>
      </c>
      <c r="CQ177" s="38" t="n">
        <v>0</v>
      </c>
      <c r="CR177" s="284" t="n"/>
      <c r="CS177" s="36">
        <f>$KN177*3</f>
        <v/>
      </c>
      <c r="CT177" s="47">
        <f>$KN177*1</f>
        <v/>
      </c>
      <c r="CU177" s="284">
        <f>$KN177*0</f>
        <v/>
      </c>
      <c r="CV177" s="38" t="n">
        <v>0</v>
      </c>
      <c r="CW177" s="284" t="n"/>
      <c r="CX177" s="36">
        <f>$KN177*3</f>
        <v/>
      </c>
      <c r="CY177" s="47">
        <f>$KN177*1</f>
        <v/>
      </c>
      <c r="CZ177" s="284">
        <f>$KN177*0</f>
        <v/>
      </c>
      <c r="DA177" s="38" t="n">
        <v>0</v>
      </c>
      <c r="DB177" s="284" t="n"/>
      <c r="DC177" s="36">
        <f>$KN177*3</f>
        <v/>
      </c>
      <c r="DD177" s="47">
        <f>$KN177*1</f>
        <v/>
      </c>
      <c r="DE177" s="284">
        <f>$KN177*0</f>
        <v/>
      </c>
      <c r="DF177" s="38" t="n">
        <v>0</v>
      </c>
      <c r="DG177" s="284" t="n"/>
      <c r="DH177" s="36">
        <f>$KN177*3</f>
        <v/>
      </c>
      <c r="DI177" s="47">
        <f>$KN177*1</f>
        <v/>
      </c>
      <c r="DJ177" s="284">
        <f>$KN177*0</f>
        <v/>
      </c>
      <c r="DK177" s="38" t="n">
        <v>0</v>
      </c>
      <c r="DL177" s="284" t="n"/>
      <c r="DM177" s="36">
        <f>$KN177*3</f>
        <v/>
      </c>
      <c r="DN177" s="47">
        <f>$KN177*1</f>
        <v/>
      </c>
      <c r="DO177" s="284">
        <f>$KN177*0</f>
        <v/>
      </c>
      <c r="DP177" s="38" t="n">
        <v>0</v>
      </c>
      <c r="DQ177" s="284" t="n"/>
      <c r="DR177" s="36">
        <f>$KN177*3</f>
        <v/>
      </c>
      <c r="DS177" s="47">
        <f>$KN177*1</f>
        <v/>
      </c>
      <c r="DT177" s="284">
        <f>$KN177*0</f>
        <v/>
      </c>
      <c r="DU177" s="38" t="n">
        <v>0</v>
      </c>
      <c r="DV177" s="284" t="n"/>
      <c r="DW177" s="338">
        <f t="array" ref="DW177">SUMPRODUCT(--(MOD(COLUMN($BO177:$DV177),5)=MOD(COLUMN($BO177),5)),$BO177:$DV177)</f>
        <v/>
      </c>
      <c r="DX177" s="339">
        <f>DW177*$J177</f>
        <v/>
      </c>
      <c r="DY177" s="344">
        <f t="array" ref="DY177">SUMPRODUCT(--(MOD(COLUMN($BO177:$DV177),5)=MOD(COLUMN($BP177),5)),$BO177:$DV177)</f>
        <v/>
      </c>
      <c r="DZ177" s="345">
        <f>DY177*$J177</f>
        <v/>
      </c>
      <c r="EA177" s="340">
        <f t="array" ref="EA177">SUMPRODUCT(--(MOD(COLUMN($BO177:$DV177),5)=MOD(COLUMN($BQ177),5)),$BO177:$DV177)</f>
        <v/>
      </c>
      <c r="EB177" s="341">
        <f>EA177*$J177</f>
        <v/>
      </c>
      <c r="EC177" s="342">
        <f t="array" ref="EC177">SUMPRODUCT(--(MOD(COLUMN($BO177:$DV177),5)=MOD(COLUMN($BR177),5)),$BO177:$DV177)</f>
        <v/>
      </c>
      <c r="ED177" s="343">
        <f>EC177*$J177</f>
        <v/>
      </c>
      <c r="EE177" s="36">
        <f>$KN177*1</f>
        <v/>
      </c>
      <c r="EF177" s="284" t="n">
        <v>1</v>
      </c>
      <c r="EG177" s="38" t="n">
        <v>0</v>
      </c>
      <c r="EH177" s="96" t="n"/>
      <c r="EI177" s="36">
        <f>$KN177*1</f>
        <v/>
      </c>
      <c r="EJ177" s="284" t="n">
        <v>0</v>
      </c>
      <c r="EK177" s="38" t="n">
        <v>0</v>
      </c>
      <c r="EL177" s="96" t="n"/>
      <c r="EM177" s="36">
        <f>$KN177*1</f>
        <v/>
      </c>
      <c r="EN177" s="284" t="n">
        <v>0</v>
      </c>
      <c r="EO177" s="38" t="n">
        <v>0</v>
      </c>
      <c r="EP177" s="96" t="n"/>
      <c r="EQ177" s="36">
        <f>$KN177*2</f>
        <v/>
      </c>
      <c r="ER177" s="284" t="n">
        <v>10</v>
      </c>
      <c r="ES177" s="38" t="n">
        <v>10</v>
      </c>
      <c r="ET177" s="347" t="n"/>
      <c r="EU177" s="36">
        <f>$KN177*2</f>
        <v/>
      </c>
      <c r="EV177" s="155" t="n">
        <v>15</v>
      </c>
      <c r="EW177" s="38" t="n">
        <v>0</v>
      </c>
      <c r="EX177" s="333" t="n"/>
      <c r="EY177" s="36">
        <f>$KN177*2</f>
        <v/>
      </c>
      <c r="EZ177" s="284" t="n">
        <v>2</v>
      </c>
      <c r="FA177" s="38" t="n">
        <v>0</v>
      </c>
      <c r="FB177" s="96" t="n"/>
      <c r="FC177" s="36">
        <f>$KN177*3</f>
        <v/>
      </c>
      <c r="FD177" s="284" t="n">
        <v>3</v>
      </c>
      <c r="FE177" s="38" t="n">
        <v>0</v>
      </c>
      <c r="FF177" s="96" t="n"/>
      <c r="FG177" s="36">
        <f>$KN177*3</f>
        <v/>
      </c>
      <c r="FH177" s="284" t="n">
        <v>3</v>
      </c>
      <c r="FI177" s="38" t="n">
        <v>0</v>
      </c>
      <c r="FJ177" s="96" t="n"/>
      <c r="FK177" s="36">
        <f>$KN177*3</f>
        <v/>
      </c>
      <c r="FL177" s="284" t="n">
        <v>3</v>
      </c>
      <c r="FM177" s="38" t="n">
        <v>0</v>
      </c>
      <c r="FN177" s="96" t="n"/>
      <c r="FO177" s="36">
        <f>$KN177*4</f>
        <v/>
      </c>
      <c r="FP177" s="284" t="n">
        <v>4</v>
      </c>
      <c r="FQ177" s="38" t="n">
        <v>0</v>
      </c>
      <c r="FR177" s="96" t="n"/>
      <c r="FS177" s="36">
        <f>$KN177*4</f>
        <v/>
      </c>
      <c r="FT177" s="284" t="n">
        <v>4</v>
      </c>
      <c r="FU177" s="38" t="n">
        <v>0</v>
      </c>
      <c r="FV177" s="96" t="n"/>
      <c r="FW177" s="36">
        <f>$KN177*4</f>
        <v/>
      </c>
      <c r="FX177" s="284" t="n">
        <v>4</v>
      </c>
      <c r="FY177" s="38" t="n">
        <v>0</v>
      </c>
      <c r="FZ177" s="96" t="n"/>
      <c r="GA177" s="338">
        <f t="array" ref="GA177">SUMPRODUCT(--(MOD(COLUMN($EE177:$FZ177),4)=MOD(COLUMN($EE177),4)),$EE177:$FZ177)</f>
        <v/>
      </c>
      <c r="GB177" s="339">
        <f>GA177*$J177</f>
        <v/>
      </c>
      <c r="GC177" s="340">
        <f t="array" ref="GC177">SUMPRODUCT(--(MOD(COLUMN($EE177:$FZ177),4)=MOD(COLUMN($EF177),4)),$EE177:$FZ177)</f>
        <v/>
      </c>
      <c r="GD177" s="341">
        <f>GC177*$J177</f>
        <v/>
      </c>
      <c r="GE177" s="342">
        <f t="array" ref="GE177">SUMPRODUCT(--(MOD(COLUMN($EE177:$FZ177),4)=MOD(COLUMN($EG177),4)),$EE177:$FZ177)</f>
        <v/>
      </c>
      <c r="GF177" s="343">
        <f>GE177*$J177</f>
        <v/>
      </c>
      <c r="GG177" s="36">
        <f>$KN177*3</f>
        <v/>
      </c>
      <c r="GH177" s="284" t="n"/>
      <c r="GI177" s="38" t="n">
        <v>0</v>
      </c>
      <c r="GJ177" s="96" t="n"/>
      <c r="GK177" s="36">
        <f>$KN177*3</f>
        <v/>
      </c>
      <c r="GL177" s="284" t="n"/>
      <c r="GM177" s="38" t="n">
        <v>0</v>
      </c>
      <c r="GN177" s="96" t="n"/>
      <c r="GO177" s="36">
        <f>$KN177*3</f>
        <v/>
      </c>
      <c r="GP177" s="284" t="n"/>
      <c r="GQ177" s="38" t="n">
        <v>0</v>
      </c>
      <c r="GR177" s="96" t="n"/>
      <c r="GS177" s="36">
        <f>$KN177*5</f>
        <v/>
      </c>
      <c r="GT177" s="284" t="n"/>
      <c r="GU177" s="38" t="n">
        <v>0</v>
      </c>
      <c r="GV177" s="96" t="n"/>
      <c r="GW177" s="36">
        <f>$KN177*5</f>
        <v/>
      </c>
      <c r="GX177" s="284" t="n"/>
      <c r="GY177" s="38" t="n">
        <v>0</v>
      </c>
      <c r="GZ177" s="96" t="n"/>
      <c r="HA177" s="36">
        <f>$KN177*5</f>
        <v/>
      </c>
      <c r="HB177" s="284" t="n"/>
      <c r="HC177" s="38" t="n">
        <v>0</v>
      </c>
      <c r="HD177" s="96" t="n"/>
      <c r="HE177" s="36">
        <f>$KN177*5</f>
        <v/>
      </c>
      <c r="HF177" s="284" t="n"/>
      <c r="HG177" s="38" t="n">
        <v>0</v>
      </c>
      <c r="HH177" s="96" t="n"/>
      <c r="HI177" s="36">
        <f>$KN177*5</f>
        <v/>
      </c>
      <c r="HJ177" s="284" t="n"/>
      <c r="HK177" s="38" t="n">
        <v>0</v>
      </c>
      <c r="HL177" s="96" t="n"/>
      <c r="HM177" s="36">
        <f>$KN177*5</f>
        <v/>
      </c>
      <c r="HN177" s="284" t="n"/>
      <c r="HO177" s="38" t="n">
        <v>0</v>
      </c>
      <c r="HP177" s="96" t="n"/>
      <c r="HQ177" s="36">
        <f>$KN177*5</f>
        <v/>
      </c>
      <c r="HR177" s="284" t="n"/>
      <c r="HS177" s="38" t="n">
        <v>0</v>
      </c>
      <c r="HT177" s="96" t="n"/>
      <c r="HU177" s="36">
        <f>$KN177*5</f>
        <v/>
      </c>
      <c r="HV177" s="284" t="n"/>
      <c r="HW177" s="38" t="n">
        <v>0</v>
      </c>
      <c r="HX177" s="96" t="n"/>
      <c r="HY177" s="36">
        <f>$KN177*5</f>
        <v/>
      </c>
      <c r="HZ177" s="284" t="n"/>
      <c r="IA177" s="38" t="n">
        <v>0</v>
      </c>
      <c r="IB177" s="96" t="n"/>
      <c r="IC177" s="338">
        <f t="array" ref="IC177">SUMPRODUCT(--(MOD(COLUMN($GG177:$IB177),4)=MOD(COLUMN($GG177),4)),$GG177:$IB177)</f>
        <v/>
      </c>
      <c r="ID177" s="339">
        <f>IC177*$J177</f>
        <v/>
      </c>
      <c r="IE177" s="340">
        <f t="array" ref="IE177">SUMPRODUCT(--(MOD(COLUMN($GG177:$IB177),4)=MOD(COLUMN($GH177),4)),$GG177:$IB177)</f>
        <v/>
      </c>
      <c r="IF177" s="341">
        <f>IE177*$J177</f>
        <v/>
      </c>
      <c r="IG177" s="342">
        <f t="array" ref="IG177">SUMPRODUCT(--(MOD(COLUMN($GG177:$IB177),4)=MOD(COLUMN($GI177),4)),$GG177:$IB177)</f>
        <v/>
      </c>
      <c r="IH177" s="343">
        <f>IG177*$J177</f>
        <v/>
      </c>
      <c r="II177" s="36">
        <f>$KN177*3</f>
        <v/>
      </c>
      <c r="IJ177" s="284" t="n"/>
      <c r="IK177" s="38" t="n">
        <v>0</v>
      </c>
      <c r="IL177" s="96" t="n"/>
      <c r="IM177" s="36">
        <f>$KN177*3</f>
        <v/>
      </c>
      <c r="IN177" s="284" t="n"/>
      <c r="IO177" s="38" t="n">
        <v>0</v>
      </c>
      <c r="IP177" s="96" t="n"/>
      <c r="IQ177" s="36">
        <f>$KN177*3</f>
        <v/>
      </c>
      <c r="IR177" s="284" t="n"/>
      <c r="IS177" s="38" t="n">
        <v>0</v>
      </c>
      <c r="IT177" s="96" t="n"/>
      <c r="IU177" s="36">
        <f>$KN177*5</f>
        <v/>
      </c>
      <c r="IV177" s="284" t="n"/>
      <c r="IW177" s="38" t="n">
        <v>0</v>
      </c>
      <c r="IX177" s="96" t="n"/>
      <c r="IY177" s="36">
        <f>$KN177*5</f>
        <v/>
      </c>
      <c r="IZ177" s="284" t="n"/>
      <c r="JA177" s="38" t="n">
        <v>0</v>
      </c>
      <c r="JB177" s="96" t="n"/>
      <c r="JC177" s="36">
        <f>$KN177*5</f>
        <v/>
      </c>
      <c r="JD177" s="284" t="n"/>
      <c r="JE177" s="38" t="n">
        <v>0</v>
      </c>
      <c r="JF177" s="96" t="n"/>
      <c r="JG177" s="36">
        <f>$KN177*5</f>
        <v/>
      </c>
      <c r="JH177" s="284" t="n"/>
      <c r="JI177" s="38" t="n">
        <v>0</v>
      </c>
      <c r="JJ177" s="96" t="n"/>
      <c r="JK177" s="36">
        <f>$KN177*5</f>
        <v/>
      </c>
      <c r="JL177" s="284" t="n"/>
      <c r="JM177" s="38" t="n">
        <v>0</v>
      </c>
      <c r="JN177" s="96" t="n"/>
      <c r="JO177" s="36">
        <f>$KN177*5</f>
        <v/>
      </c>
      <c r="JP177" s="284" t="n"/>
      <c r="JQ177" s="38" t="n">
        <v>0</v>
      </c>
      <c r="JR177" s="96" t="n"/>
      <c r="JS177" s="36">
        <f>$KN177*5</f>
        <v/>
      </c>
      <c r="JT177" s="284" t="n"/>
      <c r="JU177" s="38" t="n">
        <v>0</v>
      </c>
      <c r="JV177" s="96" t="n"/>
      <c r="JW177" s="36">
        <f>$KN177*5</f>
        <v/>
      </c>
      <c r="JX177" s="284" t="n"/>
      <c r="JY177" s="38" t="n">
        <v>0</v>
      </c>
      <c r="JZ177" s="96" t="n"/>
      <c r="KA177" s="36">
        <f>$KN177*5</f>
        <v/>
      </c>
      <c r="KB177" s="284" t="n"/>
      <c r="KC177" s="38" t="n">
        <v>0</v>
      </c>
      <c r="KD177" s="96" t="n"/>
      <c r="KE177" s="338">
        <f t="array" ref="KE177">SUMPRODUCT(--(MOD(COLUMN($II177:$KD177),4)=MOD(COLUMN($II177),4)),$II177:$KD177)</f>
        <v/>
      </c>
      <c r="KF177" s="339">
        <f>KE177*$J177</f>
        <v/>
      </c>
      <c r="KG177" s="340">
        <f t="array" ref="KG177">SUMPRODUCT(--(MOD(COLUMN($II177:$KD177),4)=MOD(COLUMN($IJ177),4)),$II177:$KD177)</f>
        <v/>
      </c>
      <c r="KH177" s="341">
        <f>KG177*$J177</f>
        <v/>
      </c>
      <c r="KI177" s="342">
        <f t="array" ref="KI177">SUMPRODUCT(--(MOD(COLUMN($II177:$KD177),4)=MOD(COLUMN($IK177),4)),$II177:$KD177)</f>
        <v/>
      </c>
      <c r="KJ177" s="346">
        <f>KI177*$J177</f>
        <v/>
      </c>
      <c r="KK177" s="80" t="n"/>
      <c r="KL177" s="80" t="n"/>
      <c r="KM177" s="80" t="n"/>
      <c r="KN177" s="51" t="n">
        <v>1</v>
      </c>
      <c r="KO177" s="347" t="n"/>
    </row>
    <row r="178" outlineLevel="1" ht="86.40000000000001" customFormat="1" customHeight="1" s="68">
      <c r="A178" s="347" t="n"/>
      <c r="B178" s="347" t="n"/>
      <c r="C178" s="347" t="n"/>
      <c r="D178" s="347" t="n"/>
      <c r="E178" s="60" t="n">
        <v>12</v>
      </c>
      <c r="F178" s="170" t="n">
        <v>1</v>
      </c>
      <c r="G178" s="56" t="inlineStr">
        <is>
          <t>WA-3601400</t>
        </is>
      </c>
      <c r="H178" s="172" t="inlineStr">
        <is>
          <t>Диагностический адаптер в комплекте с кабелем WA-3601400 (с кабелем WA-3601200 3601300)</t>
        </is>
      </c>
      <c r="I178" s="378" t="n">
        <v>2240</v>
      </c>
      <c r="J178" s="379" t="n">
        <v>2240</v>
      </c>
      <c r="K178" s="368" t="n"/>
      <c r="L178" s="368" t="n"/>
      <c r="M178" s="175" t="n"/>
      <c r="N178" s="315" t="n"/>
      <c r="O178" s="177" t="n"/>
      <c r="P178" s="315" t="n"/>
      <c r="Q178" s="175" t="n"/>
      <c r="R178" s="315" t="n"/>
      <c r="S178" s="177" t="n"/>
      <c r="T178" s="315" t="n"/>
      <c r="U178" s="175" t="n"/>
      <c r="V178" s="315" t="n"/>
      <c r="W178" s="177" t="n"/>
      <c r="X178" s="315" t="n"/>
      <c r="Y178" s="175" t="n"/>
      <c r="Z178" s="315" t="n"/>
      <c r="AA178" s="177" t="n"/>
      <c r="AB178" s="315" t="n"/>
      <c r="AC178" s="175" t="n"/>
      <c r="AD178" s="315" t="n"/>
      <c r="AE178" s="177" t="n"/>
      <c r="AF178" s="315" t="n"/>
      <c r="AG178" s="175" t="n"/>
      <c r="AH178" s="315" t="n"/>
      <c r="AI178" s="177" t="n"/>
      <c r="AJ178" s="315" t="n"/>
      <c r="AK178" s="175" t="n"/>
      <c r="AL178" s="315" t="n"/>
      <c r="AM178" s="177" t="n"/>
      <c r="AN178" s="315" t="n"/>
      <c r="AO178" s="175" t="n"/>
      <c r="AP178" s="315" t="n"/>
      <c r="AQ178" s="177" t="n"/>
      <c r="AR178" s="315" t="n"/>
      <c r="AS178" s="175" t="n"/>
      <c r="AT178" s="315" t="n"/>
      <c r="AU178" s="177" t="n"/>
      <c r="AV178" s="315" t="n"/>
      <c r="AW178" s="175" t="n"/>
      <c r="AX178" s="315" t="n"/>
      <c r="AY178" s="177" t="n"/>
      <c r="AZ178" s="347" t="n"/>
      <c r="BA178" s="175" t="n"/>
      <c r="BB178" s="315" t="n"/>
      <c r="BC178" s="178" t="n"/>
      <c r="BD178" s="315" t="n"/>
      <c r="BE178" s="175" t="n"/>
      <c r="BF178" s="315" t="n"/>
      <c r="BG178" s="208" t="n"/>
      <c r="BH178" s="315" t="n"/>
      <c r="BI178" s="350" t="n"/>
      <c r="BJ178" s="351" t="n"/>
      <c r="BK178" s="352" t="n"/>
      <c r="BL178" s="353" t="n"/>
      <c r="BM178" s="354" t="n"/>
      <c r="BN178" s="355" t="n"/>
      <c r="BO178" s="175" t="n"/>
      <c r="BP178" s="186" t="n"/>
      <c r="BQ178" s="380" t="n"/>
      <c r="BR178" s="177" t="n"/>
      <c r="BS178" s="347" t="n"/>
      <c r="BT178" s="175" t="n"/>
      <c r="BU178" s="186" t="n"/>
      <c r="BV178" s="315" t="n"/>
      <c r="BW178" s="177" t="n"/>
      <c r="BX178" s="347" t="n"/>
      <c r="BY178" s="175" t="n"/>
      <c r="BZ178" s="186" t="n"/>
      <c r="CA178" s="315" t="n"/>
      <c r="CB178" s="177" t="n"/>
      <c r="CC178" s="315" t="n"/>
      <c r="CD178" s="175" t="n"/>
      <c r="CE178" s="186" t="n"/>
      <c r="CF178" s="315" t="n"/>
      <c r="CG178" s="177" t="n"/>
      <c r="CH178" s="347" t="n"/>
      <c r="CI178" s="175" t="n"/>
      <c r="CJ178" s="186" t="n"/>
      <c r="CK178" s="315" t="n"/>
      <c r="CL178" s="177" t="n"/>
      <c r="CM178" s="315" t="n"/>
      <c r="CN178" s="175" t="n"/>
      <c r="CO178" s="186" t="n"/>
      <c r="CP178" s="315" t="n"/>
      <c r="CQ178" s="177" t="n"/>
      <c r="CR178" s="315" t="n"/>
      <c r="CS178" s="175" t="n"/>
      <c r="CT178" s="186" t="n"/>
      <c r="CU178" s="315" t="n"/>
      <c r="CV178" s="177" t="n"/>
      <c r="CW178" s="315" t="n"/>
      <c r="CX178" s="175" t="n"/>
      <c r="CY178" s="186" t="n"/>
      <c r="CZ178" s="315" t="n"/>
      <c r="DA178" s="177" t="n"/>
      <c r="DB178" s="315" t="n"/>
      <c r="DC178" s="175" t="n"/>
      <c r="DD178" s="186" t="n"/>
      <c r="DE178" s="315" t="n"/>
      <c r="DF178" s="177" t="n"/>
      <c r="DG178" s="315" t="n"/>
      <c r="DH178" s="175" t="n"/>
      <c r="DI178" s="186" t="n"/>
      <c r="DJ178" s="315" t="n"/>
      <c r="DK178" s="52" t="n"/>
      <c r="DL178" s="315" t="n"/>
      <c r="DM178" s="175" t="n"/>
      <c r="DN178" s="186" t="n"/>
      <c r="DO178" s="315" t="n"/>
      <c r="DP178" s="177" t="n"/>
      <c r="DQ178" s="315" t="n"/>
      <c r="DR178" s="175" t="n"/>
      <c r="DS178" s="186" t="n"/>
      <c r="DT178" s="315" t="n"/>
      <c r="DU178" s="177" t="n"/>
      <c r="DV178" s="315" t="n"/>
      <c r="DW178" s="350" t="n"/>
      <c r="DX178" s="351" t="n"/>
      <c r="DY178" s="356" t="n"/>
      <c r="DZ178" s="357" t="n"/>
      <c r="EA178" s="352" t="n"/>
      <c r="EB178" s="353" t="n"/>
      <c r="EC178" s="354" t="n"/>
      <c r="ED178" s="355" t="n"/>
      <c r="EE178" s="175" t="n"/>
      <c r="EF178" s="315" t="n"/>
      <c r="EG178" s="177" t="n"/>
      <c r="EH178" s="151" t="n"/>
      <c r="EI178" s="175" t="n"/>
      <c r="EJ178" s="315" t="n"/>
      <c r="EK178" s="177" t="n"/>
      <c r="EL178" s="151" t="n"/>
      <c r="EM178" s="175" t="n"/>
      <c r="EN178" s="315" t="n"/>
      <c r="EO178" s="177" t="n"/>
      <c r="EP178" s="151" t="n"/>
      <c r="EQ178" s="175" t="n"/>
      <c r="ER178" s="284" t="n">
        <v>1</v>
      </c>
      <c r="ES178" s="38" t="n">
        <v>1</v>
      </c>
      <c r="ET178" s="347" t="n"/>
      <c r="EU178" s="175" t="n"/>
      <c r="EV178" s="206" t="n"/>
      <c r="EW178" s="177" t="n"/>
      <c r="EX178" s="151" t="n"/>
      <c r="EY178" s="175" t="n"/>
      <c r="EZ178" s="315" t="n"/>
      <c r="FA178" s="177" t="n"/>
      <c r="FB178" s="151" t="n"/>
      <c r="FC178" s="175" t="n"/>
      <c r="FD178" s="315" t="n"/>
      <c r="FE178" s="177" t="n"/>
      <c r="FF178" s="151" t="n"/>
      <c r="FG178" s="175" t="n"/>
      <c r="FH178" s="315" t="n"/>
      <c r="FI178" s="177" t="n"/>
      <c r="FJ178" s="151" t="n"/>
      <c r="FK178" s="175" t="n"/>
      <c r="FL178" s="315" t="n"/>
      <c r="FM178" s="177" t="n"/>
      <c r="FN178" s="151" t="n"/>
      <c r="FO178" s="175" t="n"/>
      <c r="FP178" s="315" t="n"/>
      <c r="FQ178" s="177" t="n"/>
      <c r="FR178" s="151" t="n"/>
      <c r="FS178" s="175" t="n"/>
      <c r="FT178" s="315" t="n"/>
      <c r="FU178" s="177" t="n"/>
      <c r="FV178" s="151" t="n"/>
      <c r="FW178" s="175" t="n"/>
      <c r="FX178" s="315" t="n"/>
      <c r="FY178" s="177" t="n"/>
      <c r="FZ178" s="151" t="n"/>
      <c r="GA178" s="338">
        <f t="array" ref="GA178">SUMPRODUCT(--(MOD(COLUMN($EE178:$FZ178),4)=MOD(COLUMN($EE178),4)),$EE178:$FZ178)</f>
        <v/>
      </c>
      <c r="GB178" s="339">
        <f>GA178*$J178</f>
        <v/>
      </c>
      <c r="GC178" s="340">
        <f t="array" ref="GC178">SUMPRODUCT(--(MOD(COLUMN($EE178:$FZ178),4)=MOD(COLUMN($EF178),4)),$EE178:$FZ178)</f>
        <v/>
      </c>
      <c r="GD178" s="341">
        <f>GC178*$J178</f>
        <v/>
      </c>
      <c r="GE178" s="342">
        <f t="array" ref="GE178">SUMPRODUCT(--(MOD(COLUMN($EE178:$FZ178),4)=MOD(COLUMN($EG178),4)),$EE178:$FZ178)</f>
        <v/>
      </c>
      <c r="GF178" s="343">
        <f>GE178*$J178</f>
        <v/>
      </c>
      <c r="GG178" s="175" t="n"/>
      <c r="GH178" s="315" t="n"/>
      <c r="GI178" s="177" t="n"/>
      <c r="GJ178" s="151" t="n"/>
      <c r="GK178" s="175" t="n"/>
      <c r="GL178" s="315" t="n"/>
      <c r="GM178" s="177" t="n"/>
      <c r="GN178" s="151" t="n"/>
      <c r="GO178" s="175" t="n"/>
      <c r="GP178" s="315" t="n"/>
      <c r="GQ178" s="177" t="n"/>
      <c r="GR178" s="151" t="n"/>
      <c r="GS178" s="175" t="n"/>
      <c r="GT178" s="315" t="n"/>
      <c r="GU178" s="177" t="n"/>
      <c r="GV178" s="151" t="n"/>
      <c r="GW178" s="175" t="n"/>
      <c r="GX178" s="315" t="n"/>
      <c r="GY178" s="177" t="n"/>
      <c r="GZ178" s="151" t="n"/>
      <c r="HA178" s="175" t="n"/>
      <c r="HB178" s="315" t="n"/>
      <c r="HC178" s="177" t="n"/>
      <c r="HD178" s="151" t="n"/>
      <c r="HE178" s="175" t="n"/>
      <c r="HF178" s="315" t="n"/>
      <c r="HG178" s="177" t="n"/>
      <c r="HH178" s="151" t="n"/>
      <c r="HI178" s="175" t="n"/>
      <c r="HJ178" s="315" t="n"/>
      <c r="HK178" s="177" t="n"/>
      <c r="HL178" s="151" t="n"/>
      <c r="HM178" s="175" t="n"/>
      <c r="HN178" s="315" t="n"/>
      <c r="HO178" s="177" t="n"/>
      <c r="HP178" s="151" t="n"/>
      <c r="HQ178" s="175" t="n"/>
      <c r="HR178" s="315" t="n"/>
      <c r="HS178" s="177" t="n"/>
      <c r="HT178" s="151" t="n"/>
      <c r="HU178" s="175" t="n"/>
      <c r="HV178" s="315" t="n"/>
      <c r="HW178" s="177" t="n"/>
      <c r="HX178" s="151" t="n"/>
      <c r="HY178" s="175" t="n"/>
      <c r="HZ178" s="315" t="n"/>
      <c r="IA178" s="177" t="n"/>
      <c r="IB178" s="151" t="n"/>
      <c r="IC178" s="338">
        <f t="array" ref="IC178">SUMPRODUCT(--(MOD(COLUMN($GG178:$IB178),4)=MOD(COLUMN($GG178),4)),$GG178:$IB178)</f>
        <v/>
      </c>
      <c r="ID178" s="339">
        <f>IC178*$J178</f>
        <v/>
      </c>
      <c r="IE178" s="340">
        <f t="array" ref="IE178">SUMPRODUCT(--(MOD(COLUMN($GG178:$IB178),4)=MOD(COLUMN($GH178),4)),$GG178:$IB178)</f>
        <v/>
      </c>
      <c r="IF178" s="341">
        <f>IE178*$J178</f>
        <v/>
      </c>
      <c r="IG178" s="342">
        <f t="array" ref="IG178">SUMPRODUCT(--(MOD(COLUMN($GG178:$IB178),4)=MOD(COLUMN($GI178),4)),$GG178:$IB178)</f>
        <v/>
      </c>
      <c r="IH178" s="343">
        <f>IG178*$J178</f>
        <v/>
      </c>
      <c r="II178" s="36">
        <f>$KN178*3</f>
        <v/>
      </c>
      <c r="IJ178" s="284" t="n"/>
      <c r="IK178" s="38" t="n"/>
      <c r="IL178" s="96" t="n"/>
      <c r="IM178" s="36">
        <f>$KN178*3</f>
        <v/>
      </c>
      <c r="IN178" s="284" t="n"/>
      <c r="IO178" s="38" t="n"/>
      <c r="IP178" s="96" t="n"/>
      <c r="IQ178" s="36">
        <f>$KN178*3</f>
        <v/>
      </c>
      <c r="IR178" s="284" t="n"/>
      <c r="IS178" s="38" t="n"/>
      <c r="IT178" s="96" t="n"/>
      <c r="IU178" s="36">
        <f>$KN178*5</f>
        <v/>
      </c>
      <c r="IV178" s="284" t="n"/>
      <c r="IW178" s="38" t="n"/>
      <c r="IX178" s="96" t="n"/>
      <c r="IY178" s="36">
        <f>$KN178*5</f>
        <v/>
      </c>
      <c r="IZ178" s="284" t="n"/>
      <c r="JA178" s="38" t="n"/>
      <c r="JB178" s="96" t="n"/>
      <c r="JC178" s="36">
        <f>$KN178*5</f>
        <v/>
      </c>
      <c r="JD178" s="284" t="n"/>
      <c r="JE178" s="38" t="n"/>
      <c r="JF178" s="96" t="n"/>
      <c r="JG178" s="36">
        <f>$KN178*5</f>
        <v/>
      </c>
      <c r="JH178" s="284" t="n"/>
      <c r="JI178" s="38" t="n"/>
      <c r="JJ178" s="96" t="n"/>
      <c r="JK178" s="36">
        <f>$KN178*5</f>
        <v/>
      </c>
      <c r="JL178" s="284" t="n"/>
      <c r="JM178" s="38" t="n"/>
      <c r="JN178" s="96" t="n"/>
      <c r="JO178" s="36">
        <f>$KN178*5</f>
        <v/>
      </c>
      <c r="JP178" s="284" t="n"/>
      <c r="JQ178" s="38" t="n"/>
      <c r="JR178" s="96" t="n"/>
      <c r="JS178" s="36">
        <f>$KN178*5</f>
        <v/>
      </c>
      <c r="JT178" s="284" t="n"/>
      <c r="JU178" s="38" t="n"/>
      <c r="JV178" s="96" t="n"/>
      <c r="JW178" s="36">
        <f>$KN178*5</f>
        <v/>
      </c>
      <c r="JX178" s="284" t="n"/>
      <c r="JY178" s="38" t="n"/>
      <c r="JZ178" s="96" t="n"/>
      <c r="KA178" s="36">
        <f>$KN178*5</f>
        <v/>
      </c>
      <c r="KB178" s="284" t="n"/>
      <c r="KC178" s="38" t="n"/>
      <c r="KD178" s="96" t="n"/>
      <c r="KE178" s="338">
        <f t="array" ref="KE178">SUMPRODUCT(--(MOD(COLUMN($II178:$KD178),4)=MOD(COLUMN($II178),4)),$II178:$KD178)</f>
        <v/>
      </c>
      <c r="KF178" s="339">
        <f>KE178*$J178</f>
        <v/>
      </c>
      <c r="KG178" s="340">
        <f t="array" ref="KG178">SUMPRODUCT(--(MOD(COLUMN($II178:$KD178),4)=MOD(COLUMN($IJ178),4)),$II178:$KD178)</f>
        <v/>
      </c>
      <c r="KH178" s="341">
        <f>KG178*$J178</f>
        <v/>
      </c>
      <c r="KI178" s="342">
        <f t="array" ref="KI178">SUMPRODUCT(--(MOD(COLUMN($II178:$KD178),4)=MOD(COLUMN($IK178),4)),$II178:$KD178)</f>
        <v/>
      </c>
      <c r="KJ178" s="346">
        <f>KI178*$J178</f>
        <v/>
      </c>
      <c r="KK178" s="189" t="n"/>
      <c r="KL178" s="189" t="n"/>
      <c r="KM178" s="189" t="n"/>
      <c r="KN178" s="190" t="n"/>
      <c r="KO178" s="347" t="n"/>
    </row>
    <row r="179" outlineLevel="1" ht="57.6" customFormat="1" customHeight="1" s="68">
      <c r="A179" s="347" t="n"/>
      <c r="B179" s="347" t="n"/>
      <c r="C179" s="333" t="n"/>
      <c r="D179" s="347" t="n"/>
      <c r="E179" s="60" t="n">
        <v>13</v>
      </c>
      <c r="F179" s="60" t="n">
        <v>1</v>
      </c>
      <c r="G179" s="56" t="n">
        <v>4463003700</v>
      </c>
      <c r="H179" s="57" t="inlineStr">
        <is>
          <t>Кабель диагностический, модифицированный, COM-port</t>
        </is>
      </c>
      <c r="I179" s="374" t="n">
        <v>335</v>
      </c>
      <c r="J179" s="375" t="n">
        <v>335</v>
      </c>
      <c r="K179" s="348" t="n"/>
      <c r="L179" s="348" t="n"/>
      <c r="M179" s="36" t="n"/>
      <c r="N179" s="284" t="n"/>
      <c r="O179" s="38" t="n"/>
      <c r="P179" s="284" t="n"/>
      <c r="Q179" s="36" t="n"/>
      <c r="R179" s="284" t="n"/>
      <c r="S179" s="38" t="n"/>
      <c r="T179" s="284" t="n"/>
      <c r="U179" s="36" t="n"/>
      <c r="V179" s="284" t="n"/>
      <c r="W179" s="38" t="n"/>
      <c r="X179" s="284" t="n"/>
      <c r="Y179" s="36" t="n"/>
      <c r="Z179" s="284" t="n"/>
      <c r="AA179" s="38" t="n"/>
      <c r="AB179" s="284" t="n"/>
      <c r="AC179" s="36" t="n"/>
      <c r="AD179" s="284" t="n"/>
      <c r="AE179" s="38" t="n"/>
      <c r="AF179" s="284" t="n"/>
      <c r="AG179" s="36" t="n"/>
      <c r="AH179" s="284" t="n"/>
      <c r="AI179" s="38" t="n"/>
      <c r="AJ179" s="284" t="n"/>
      <c r="AK179" s="36" t="n"/>
      <c r="AL179" s="284" t="n"/>
      <c r="AM179" s="38" t="n"/>
      <c r="AN179" s="284" t="n"/>
      <c r="AO179" s="36" t="n"/>
      <c r="AP179" s="284" t="n"/>
      <c r="AQ179" s="38" t="n"/>
      <c r="AR179" s="284" t="n"/>
      <c r="AS179" s="36" t="n"/>
      <c r="AT179" s="284" t="n"/>
      <c r="AU179" s="38" t="n"/>
      <c r="AV179" s="284" t="n"/>
      <c r="AW179" s="36" t="n"/>
      <c r="AX179" s="284" t="n"/>
      <c r="AY179" s="38" t="n"/>
      <c r="AZ179" s="333" t="n"/>
      <c r="BA179" s="36" t="n"/>
      <c r="BB179" s="284" t="n"/>
      <c r="BC179" s="99" t="n"/>
      <c r="BD179" s="284" t="n"/>
      <c r="BE179" s="36" t="n"/>
      <c r="BF179" s="284" t="n"/>
      <c r="BG179" s="54" t="n"/>
      <c r="BH179" s="284" t="n"/>
      <c r="BI179" s="338">
        <f>SUMPRODUCT(--(MOD(COLUMN($M179:$BH179),4)=MOD(COLUMN($M179),4)),$M179:$BH179)</f>
        <v/>
      </c>
      <c r="BJ179" s="339">
        <f>BI179*$I179</f>
        <v/>
      </c>
      <c r="BK179" s="340">
        <f>SUMPRODUCT(--(MOD(COLUMN($M179:$BH179),4)=MOD(COLUMN($M179)+1,4)),$M179:$BH179)</f>
        <v/>
      </c>
      <c r="BL179" s="341">
        <f>BK179*$I179</f>
        <v/>
      </c>
      <c r="BM179" s="342">
        <f>SUMPRODUCT(--(MOD(COLUMN($M179:$BH179),4)=MOD(COLUMN($M179)+2,4)),$M179:$BH179)</f>
        <v/>
      </c>
      <c r="BN179" s="343">
        <f>BM179*$I179</f>
        <v/>
      </c>
      <c r="BO179" s="36" t="n"/>
      <c r="BP179" s="47" t="n"/>
      <c r="BQ179" s="376" t="n"/>
      <c r="BR179" s="38" t="n"/>
      <c r="BS179" s="333" t="n"/>
      <c r="BT179" s="36" t="n"/>
      <c r="BU179" s="47" t="n"/>
      <c r="BV179" s="284" t="n"/>
      <c r="BW179" s="38" t="n"/>
      <c r="BX179" s="333" t="n"/>
      <c r="BY179" s="36" t="n"/>
      <c r="BZ179" s="47" t="n"/>
      <c r="CA179" s="284" t="n"/>
      <c r="CB179" s="38" t="n"/>
      <c r="CC179" s="284" t="n"/>
      <c r="CD179" s="36" t="n"/>
      <c r="CE179" s="47" t="n"/>
      <c r="CF179" s="284" t="n"/>
      <c r="CG179" s="38" t="n"/>
      <c r="CH179" s="333" t="n"/>
      <c r="CI179" s="36" t="n"/>
      <c r="CJ179" s="47" t="n"/>
      <c r="CK179" s="284" t="n"/>
      <c r="CL179" s="38" t="n"/>
      <c r="CM179" s="284" t="n"/>
      <c r="CN179" s="36" t="n"/>
      <c r="CO179" s="47" t="n"/>
      <c r="CP179" s="284" t="n"/>
      <c r="CQ179" s="38" t="n"/>
      <c r="CR179" s="284" t="n"/>
      <c r="CS179" s="36" t="n"/>
      <c r="CT179" s="47" t="n"/>
      <c r="CU179" s="284" t="n"/>
      <c r="CV179" s="38" t="n"/>
      <c r="CW179" s="284" t="n"/>
      <c r="CX179" s="36" t="n"/>
      <c r="CY179" s="47" t="n"/>
      <c r="CZ179" s="284" t="n"/>
      <c r="DA179" s="38" t="n"/>
      <c r="DB179" s="284" t="n"/>
      <c r="DC179" s="36" t="n"/>
      <c r="DD179" s="47" t="n"/>
      <c r="DE179" s="284" t="n"/>
      <c r="DF179" s="38" t="n"/>
      <c r="DG179" s="284" t="n"/>
      <c r="DH179" s="36" t="n"/>
      <c r="DI179" s="47" t="n"/>
      <c r="DJ179" s="284" t="n"/>
      <c r="DK179" s="38" t="n"/>
      <c r="DL179" s="284" t="n"/>
      <c r="DM179" s="36" t="n"/>
      <c r="DN179" s="47" t="n"/>
      <c r="DO179" s="284" t="n"/>
      <c r="DP179" s="38" t="n"/>
      <c r="DQ179" s="284" t="n"/>
      <c r="DR179" s="36" t="n"/>
      <c r="DS179" s="47" t="n"/>
      <c r="DT179" s="284" t="n"/>
      <c r="DU179" s="38" t="n"/>
      <c r="DV179" s="284" t="n"/>
      <c r="DW179" s="338">
        <f t="array" ref="DW179">SUMPRODUCT(--(MOD(COLUMN($BO179:$DV179),5)=MOD(COLUMN($BO179),5)),$BO179:$DV179)</f>
        <v/>
      </c>
      <c r="DX179" s="339">
        <f>DW179*$J179</f>
        <v/>
      </c>
      <c r="DY179" s="344">
        <f t="array" ref="DY179">SUMPRODUCT(--(MOD(COLUMN($BO179:$DV179),5)=MOD(COLUMN($BP179),5)),$BO179:$DV179)</f>
        <v/>
      </c>
      <c r="DZ179" s="345">
        <f>DY179*$J179</f>
        <v/>
      </c>
      <c r="EA179" s="340">
        <f t="array" ref="EA179">SUMPRODUCT(--(MOD(COLUMN($BO179:$DV179),5)=MOD(COLUMN($BQ179),5)),$BO179:$DV179)</f>
        <v/>
      </c>
      <c r="EB179" s="341">
        <f>EA179*$J179</f>
        <v/>
      </c>
      <c r="EC179" s="342">
        <f t="array" ref="EC179">SUMPRODUCT(--(MOD(COLUMN($BO179:$DV179),5)=MOD(COLUMN($BR179),5)),$BO179:$DV179)</f>
        <v/>
      </c>
      <c r="ED179" s="343">
        <f>EC179*$J179</f>
        <v/>
      </c>
      <c r="EE179" s="36" t="n"/>
      <c r="EF179" s="284" t="n"/>
      <c r="EG179" s="38" t="n"/>
      <c r="EH179" s="96" t="n"/>
      <c r="EI179" s="36" t="n"/>
      <c r="EJ179" s="284" t="n"/>
      <c r="EK179" s="38" t="n"/>
      <c r="EL179" s="96" t="n"/>
      <c r="EM179" s="36" t="n"/>
      <c r="EN179" s="284" t="n"/>
      <c r="EO179" s="38" t="n"/>
      <c r="EP179" s="96" t="n"/>
      <c r="EQ179" s="36" t="n"/>
      <c r="ER179" s="284" t="n">
        <v>1</v>
      </c>
      <c r="ES179" s="38" t="n">
        <v>1</v>
      </c>
      <c r="ET179" s="333" t="n"/>
      <c r="EU179" s="36" t="n"/>
      <c r="EV179" s="39" t="n"/>
      <c r="EW179" s="38" t="n"/>
      <c r="EX179" s="96" t="n"/>
      <c r="EY179" s="36" t="n"/>
      <c r="EZ179" s="284" t="n"/>
      <c r="FA179" s="38" t="n"/>
      <c r="FB179" s="96" t="n"/>
      <c r="FC179" s="36" t="n"/>
      <c r="FD179" s="284" t="n"/>
      <c r="FE179" s="38" t="n"/>
      <c r="FF179" s="96" t="n"/>
      <c r="FG179" s="36" t="n"/>
      <c r="FH179" s="284" t="n"/>
      <c r="FI179" s="38" t="n"/>
      <c r="FJ179" s="96" t="n"/>
      <c r="FK179" s="36" t="n"/>
      <c r="FL179" s="284" t="n"/>
      <c r="FM179" s="38" t="n"/>
      <c r="FN179" s="96" t="n"/>
      <c r="FO179" s="36" t="n"/>
      <c r="FP179" s="284" t="n"/>
      <c r="FQ179" s="38" t="n"/>
      <c r="FR179" s="96" t="n"/>
      <c r="FS179" s="36" t="n"/>
      <c r="FT179" s="284" t="n"/>
      <c r="FU179" s="38" t="n"/>
      <c r="FV179" s="96" t="n"/>
      <c r="FW179" s="36" t="n"/>
      <c r="FX179" s="284" t="n"/>
      <c r="FY179" s="38" t="n"/>
      <c r="FZ179" s="96" t="n"/>
      <c r="GA179" s="338">
        <f t="array" ref="GA179">SUMPRODUCT(--(MOD(COLUMN($EE179:$FZ179),4)=MOD(COLUMN($EE179),4)),$EE179:$FZ179)</f>
        <v/>
      </c>
      <c r="GB179" s="339">
        <f>GA179*$J179</f>
        <v/>
      </c>
      <c r="GC179" s="340">
        <f t="array" ref="GC179">SUMPRODUCT(--(MOD(COLUMN($EE179:$FZ179),4)=MOD(COLUMN($EF179),4)),$EE179:$FZ179)</f>
        <v/>
      </c>
      <c r="GD179" s="341">
        <f>GC179*$J179</f>
        <v/>
      </c>
      <c r="GE179" s="342">
        <f t="array" ref="GE179">SUMPRODUCT(--(MOD(COLUMN($EE179:$FZ179),4)=MOD(COLUMN($EG179),4)),$EE179:$FZ179)</f>
        <v/>
      </c>
      <c r="GF179" s="343">
        <f>GE179*$J179</f>
        <v/>
      </c>
      <c r="GG179" s="36" t="n"/>
      <c r="GH179" s="284" t="n"/>
      <c r="GI179" s="38" t="n"/>
      <c r="GJ179" s="96" t="n"/>
      <c r="GK179" s="36" t="n"/>
      <c r="GL179" s="284" t="n"/>
      <c r="GM179" s="38" t="n"/>
      <c r="GN179" s="96" t="n"/>
      <c r="GO179" s="36" t="n"/>
      <c r="GP179" s="284" t="n"/>
      <c r="GQ179" s="38" t="n"/>
      <c r="GR179" s="96" t="n"/>
      <c r="GS179" s="36" t="n"/>
      <c r="GT179" s="284" t="n"/>
      <c r="GU179" s="38" t="n"/>
      <c r="GV179" s="96" t="n"/>
      <c r="GW179" s="36" t="n"/>
      <c r="GX179" s="284" t="n"/>
      <c r="GY179" s="38" t="n"/>
      <c r="GZ179" s="96" t="n"/>
      <c r="HA179" s="36" t="n"/>
      <c r="HB179" s="284" t="n"/>
      <c r="HC179" s="38" t="n"/>
      <c r="HD179" s="96" t="n"/>
      <c r="HE179" s="36" t="n"/>
      <c r="HF179" s="284" t="n"/>
      <c r="HG179" s="38" t="n"/>
      <c r="HH179" s="96" t="n"/>
      <c r="HI179" s="36" t="n"/>
      <c r="HJ179" s="284" t="n"/>
      <c r="HK179" s="38" t="n"/>
      <c r="HL179" s="96" t="n"/>
      <c r="HM179" s="36" t="n"/>
      <c r="HN179" s="284" t="n"/>
      <c r="HO179" s="38" t="n"/>
      <c r="HP179" s="96" t="n"/>
      <c r="HQ179" s="36" t="n"/>
      <c r="HR179" s="284" t="n"/>
      <c r="HS179" s="38" t="n"/>
      <c r="HT179" s="96" t="n"/>
      <c r="HU179" s="36" t="n"/>
      <c r="HV179" s="284" t="n"/>
      <c r="HW179" s="38" t="n"/>
      <c r="HX179" s="96" t="n"/>
      <c r="HY179" s="36" t="n"/>
      <c r="HZ179" s="284" t="n"/>
      <c r="IA179" s="38" t="n"/>
      <c r="IB179" s="96" t="n"/>
      <c r="IC179" s="338">
        <f t="array" ref="IC179">SUMPRODUCT(--(MOD(COLUMN($GG179:$IB179),4)=MOD(COLUMN($GG179),4)),$GG179:$IB179)</f>
        <v/>
      </c>
      <c r="ID179" s="339">
        <f>IC179*$J179</f>
        <v/>
      </c>
      <c r="IE179" s="340">
        <f t="array" ref="IE179">SUMPRODUCT(--(MOD(COLUMN($GG179:$IB179),4)=MOD(COLUMN($GH179),4)),$GG179:$IB179)</f>
        <v/>
      </c>
      <c r="IF179" s="341">
        <f>IE179*$J179</f>
        <v/>
      </c>
      <c r="IG179" s="342">
        <f t="array" ref="IG179">SUMPRODUCT(--(MOD(COLUMN($GG179:$IB179),4)=MOD(COLUMN($GI179),4)),$GG179:$IB179)</f>
        <v/>
      </c>
      <c r="IH179" s="343">
        <f>IG179*$J179</f>
        <v/>
      </c>
      <c r="II179" s="36">
        <f>$KN179*3</f>
        <v/>
      </c>
      <c r="IJ179" s="284" t="n"/>
      <c r="IK179" s="38" t="n"/>
      <c r="IL179" s="96" t="n"/>
      <c r="IM179" s="36">
        <f>$KN179*3</f>
        <v/>
      </c>
      <c r="IN179" s="284" t="n"/>
      <c r="IO179" s="38" t="n"/>
      <c r="IP179" s="96" t="n"/>
      <c r="IQ179" s="36">
        <f>$KN179*3</f>
        <v/>
      </c>
      <c r="IR179" s="284" t="n"/>
      <c r="IS179" s="38" t="n"/>
      <c r="IT179" s="96" t="n"/>
      <c r="IU179" s="36">
        <f>$KN179*5</f>
        <v/>
      </c>
      <c r="IV179" s="284" t="n"/>
      <c r="IW179" s="38" t="n"/>
      <c r="IX179" s="96" t="n"/>
      <c r="IY179" s="36">
        <f>$KN179*5</f>
        <v/>
      </c>
      <c r="IZ179" s="284" t="n"/>
      <c r="JA179" s="38" t="n"/>
      <c r="JB179" s="96" t="n"/>
      <c r="JC179" s="36">
        <f>$KN179*5</f>
        <v/>
      </c>
      <c r="JD179" s="284" t="n"/>
      <c r="JE179" s="38" t="n"/>
      <c r="JF179" s="96" t="n"/>
      <c r="JG179" s="36">
        <f>$KN179*5</f>
        <v/>
      </c>
      <c r="JH179" s="284" t="n"/>
      <c r="JI179" s="38" t="n"/>
      <c r="JJ179" s="96" t="n"/>
      <c r="JK179" s="36">
        <f>$KN179*5</f>
        <v/>
      </c>
      <c r="JL179" s="284" t="n"/>
      <c r="JM179" s="38" t="n"/>
      <c r="JN179" s="96" t="n"/>
      <c r="JO179" s="36">
        <f>$KN179*5</f>
        <v/>
      </c>
      <c r="JP179" s="284" t="n"/>
      <c r="JQ179" s="38" t="n"/>
      <c r="JR179" s="96" t="n"/>
      <c r="JS179" s="36">
        <f>$KN179*5</f>
        <v/>
      </c>
      <c r="JT179" s="284" t="n"/>
      <c r="JU179" s="38" t="n"/>
      <c r="JV179" s="96" t="n"/>
      <c r="JW179" s="36">
        <f>$KN179*5</f>
        <v/>
      </c>
      <c r="JX179" s="284" t="n"/>
      <c r="JY179" s="38" t="n"/>
      <c r="JZ179" s="96" t="n"/>
      <c r="KA179" s="36">
        <f>$KN179*5</f>
        <v/>
      </c>
      <c r="KB179" s="284" t="n"/>
      <c r="KC179" s="38" t="n"/>
      <c r="KD179" s="96" t="n"/>
      <c r="KE179" s="338">
        <f t="array" ref="KE179">SUMPRODUCT(--(MOD(COLUMN($II179:$KD179),4)=MOD(COLUMN($II179),4)),$II179:$KD179)</f>
        <v/>
      </c>
      <c r="KF179" s="339">
        <f>KE179*$J179</f>
        <v/>
      </c>
      <c r="KG179" s="340">
        <f t="array" ref="KG179">SUMPRODUCT(--(MOD(COLUMN($II179:$KD179),4)=MOD(COLUMN($IJ179),4)),$II179:$KD179)</f>
        <v/>
      </c>
      <c r="KH179" s="341">
        <f>KG179*$J179</f>
        <v/>
      </c>
      <c r="KI179" s="342">
        <f t="array" ref="KI179">SUMPRODUCT(--(MOD(COLUMN($II179:$KD179),4)=MOD(COLUMN($IK179),4)),$II179:$KD179)</f>
        <v/>
      </c>
      <c r="KJ179" s="346">
        <f>KI179*$J179</f>
        <v/>
      </c>
      <c r="KK179" s="80" t="n"/>
      <c r="KL179" s="80" t="n"/>
      <c r="KM179" s="80" t="n"/>
      <c r="KN179" s="51" t="n"/>
      <c r="KO179" s="333" t="n"/>
    </row>
    <row r="180" outlineLevel="1" customFormat="1" s="68">
      <c r="A180" s="252" t="n"/>
      <c r="B180" s="69" t="n"/>
      <c r="C180" s="256" t="n"/>
      <c r="D180" s="256" t="n"/>
      <c r="E180" s="70" t="n"/>
      <c r="F180" s="70" t="n"/>
      <c r="G180" s="71" t="n"/>
      <c r="H180" s="72" t="inlineStr">
        <is>
          <t>Итого</t>
        </is>
      </c>
      <c r="I180" s="361" t="n"/>
      <c r="J180" s="360" t="n"/>
      <c r="K180" s="360" t="n"/>
      <c r="L180" s="360" t="n"/>
      <c r="M180" s="74" t="n"/>
      <c r="N180" s="75" t="n"/>
      <c r="O180" s="28" t="n"/>
      <c r="P180" s="75" t="n"/>
      <c r="Q180" s="74" t="n"/>
      <c r="R180" s="75" t="n"/>
      <c r="S180" s="28" t="n"/>
      <c r="T180" s="75" t="n"/>
      <c r="U180" s="74" t="n"/>
      <c r="V180" s="75" t="n"/>
      <c r="W180" s="28" t="n"/>
      <c r="X180" s="75" t="n"/>
      <c r="Y180" s="74" t="n"/>
      <c r="Z180" s="75" t="n"/>
      <c r="AA180" s="38" t="n"/>
      <c r="AB180" s="75" t="n"/>
      <c r="AC180" s="74" t="n"/>
      <c r="AD180" s="75" t="n"/>
      <c r="AE180" s="28" t="n"/>
      <c r="AF180" s="75" t="n"/>
      <c r="AG180" s="74" t="n"/>
      <c r="AH180" s="75" t="n"/>
      <c r="AI180" s="38" t="n"/>
      <c r="AJ180" s="75" t="n"/>
      <c r="AK180" s="74" t="n"/>
      <c r="AL180" s="75" t="n"/>
      <c r="AM180" s="38" t="n"/>
      <c r="AN180" s="75" t="n"/>
      <c r="AO180" s="74" t="n"/>
      <c r="AP180" s="75" t="n"/>
      <c r="AQ180" s="38" t="n"/>
      <c r="AR180" s="75" t="n"/>
      <c r="AS180" s="74" t="n"/>
      <c r="AT180" s="75" t="n"/>
      <c r="AU180" s="38" t="n"/>
      <c r="AV180" s="75" t="n"/>
      <c r="AW180" s="74" t="n"/>
      <c r="AX180" s="75" t="n"/>
      <c r="AY180" s="28" t="n"/>
      <c r="AZ180" s="75" t="n"/>
      <c r="BA180" s="74" t="n"/>
      <c r="BB180" s="97" t="n"/>
      <c r="BC180" s="77" t="n"/>
      <c r="BD180" s="75" t="n"/>
      <c r="BE180" s="74" t="n"/>
      <c r="BF180" s="76" t="n"/>
      <c r="BG180" s="78" t="n"/>
      <c r="BH180" s="75" t="n"/>
      <c r="BI180" s="338">
        <f>SUMPRODUCT(--(MOD(COLUMN($M180:$BH180),4)=MOD(COLUMN($M180),4)),$M180:$BH180)</f>
        <v/>
      </c>
      <c r="BJ180" s="339">
        <f>BI180*$I180</f>
        <v/>
      </c>
      <c r="BK180" s="340">
        <f>SUMPRODUCT(--(MOD(COLUMN($M180:$BH180),4)=MOD(COLUMN($M180)+1,4)),$M180:$BH180)</f>
        <v/>
      </c>
      <c r="BL180" s="341">
        <f>BK180*$I180</f>
        <v/>
      </c>
      <c r="BM180" s="342">
        <f>SUMPRODUCT(--(MOD(COLUMN($M180:$BH180),4)=MOD(COLUMN($M180)+2,4)),$M180:$BH180)</f>
        <v/>
      </c>
      <c r="BN180" s="343">
        <f>BM180*$I180</f>
        <v/>
      </c>
      <c r="BO180" s="74" t="n"/>
      <c r="BP180" s="79" t="n"/>
      <c r="BQ180" s="75" t="n"/>
      <c r="BR180" s="28" t="n"/>
      <c r="BS180" s="75" t="n"/>
      <c r="BT180" s="74" t="n"/>
      <c r="BU180" s="79" t="n"/>
      <c r="BV180" s="75" t="n"/>
      <c r="BW180" s="28" t="n"/>
      <c r="BX180" s="75" t="n"/>
      <c r="BY180" s="74" t="n"/>
      <c r="BZ180" s="79" t="n"/>
      <c r="CA180" s="75" t="n"/>
      <c r="CB180" s="28" t="n"/>
      <c r="CC180" s="75" t="n"/>
      <c r="CD180" s="74" t="n"/>
      <c r="CE180" s="79" t="n"/>
      <c r="CF180" s="75" t="n"/>
      <c r="CG180" s="28" t="n"/>
      <c r="CH180" s="75" t="n"/>
      <c r="CI180" s="74" t="n"/>
      <c r="CJ180" s="79" t="n"/>
      <c r="CK180" s="75" t="n"/>
      <c r="CL180" s="28" t="n"/>
      <c r="CM180" s="75" t="n"/>
      <c r="CN180" s="74" t="n"/>
      <c r="CO180" s="79" t="n"/>
      <c r="CP180" s="75" t="n"/>
      <c r="CQ180" s="28" t="n"/>
      <c r="CR180" s="75" t="n"/>
      <c r="CS180" s="74" t="n"/>
      <c r="CT180" s="79" t="n"/>
      <c r="CU180" s="75" t="n"/>
      <c r="CV180" s="28" t="n"/>
      <c r="CW180" s="75" t="n"/>
      <c r="CX180" s="74" t="n"/>
      <c r="CY180" s="79" t="n"/>
      <c r="CZ180" s="75" t="n"/>
      <c r="DA180" s="28" t="n"/>
      <c r="DB180" s="75" t="n"/>
      <c r="DC180" s="74" t="n"/>
      <c r="DD180" s="79" t="n"/>
      <c r="DE180" s="75" t="n"/>
      <c r="DF180" s="28" t="n"/>
      <c r="DG180" s="75" t="n"/>
      <c r="DH180" s="74" t="n"/>
      <c r="DI180" s="79" t="n"/>
      <c r="DJ180" s="75" t="n"/>
      <c r="DK180" s="28" t="n"/>
      <c r="DL180" s="75" t="n"/>
      <c r="DM180" s="74" t="n"/>
      <c r="DN180" s="79" t="n"/>
      <c r="DO180" s="75" t="n"/>
      <c r="DP180" s="28" t="n"/>
      <c r="DQ180" s="75" t="n"/>
      <c r="DR180" s="74" t="n"/>
      <c r="DS180" s="79" t="n"/>
      <c r="DT180" s="75" t="n"/>
      <c r="DU180" s="28" t="n"/>
      <c r="DV180" s="75" t="n"/>
      <c r="DW180" s="338" t="n"/>
      <c r="DX180" s="338" t="n"/>
      <c r="DY180" s="344" t="n"/>
      <c r="DZ180" s="344" t="n"/>
      <c r="EA180" s="340" t="n"/>
      <c r="EB180" s="341" t="n"/>
      <c r="EC180" s="342" t="n"/>
      <c r="ED180" s="343" t="n"/>
      <c r="EE180" s="74" t="n"/>
      <c r="EF180" s="75" t="n"/>
      <c r="EG180" s="28" t="n"/>
      <c r="EH180" s="75" t="n"/>
      <c r="EI180" s="74" t="n"/>
      <c r="EJ180" s="75" t="n"/>
      <c r="EK180" s="28" t="n"/>
      <c r="EL180" s="75" t="n"/>
      <c r="EM180" s="74" t="n"/>
      <c r="EN180" s="75" t="n"/>
      <c r="EO180" s="28" t="n"/>
      <c r="EP180" s="75" t="n"/>
      <c r="EQ180" s="74" t="n"/>
      <c r="ER180" s="75" t="n"/>
      <c r="ES180" s="28" t="n"/>
      <c r="ET180" s="75" t="n"/>
      <c r="EU180" s="74" t="n"/>
      <c r="EV180" s="75" t="n"/>
      <c r="EW180" s="28" t="n"/>
      <c r="EX180" s="75" t="n"/>
      <c r="EY180" s="74" t="n"/>
      <c r="EZ180" s="75" t="n"/>
      <c r="FA180" s="28" t="n"/>
      <c r="FB180" s="75" t="n"/>
      <c r="FC180" s="74" t="n"/>
      <c r="FD180" s="75" t="n"/>
      <c r="FE180" s="28" t="n"/>
      <c r="FF180" s="75" t="n"/>
      <c r="FG180" s="74" t="n"/>
      <c r="FH180" s="75" t="n"/>
      <c r="FI180" s="28" t="n"/>
      <c r="FJ180" s="75" t="n"/>
      <c r="FK180" s="74" t="n"/>
      <c r="FL180" s="75" t="n"/>
      <c r="FM180" s="28" t="n"/>
      <c r="FN180" s="75" t="n"/>
      <c r="FO180" s="74" t="n"/>
      <c r="FP180" s="75" t="n"/>
      <c r="FQ180" s="28" t="n"/>
      <c r="FR180" s="75" t="n"/>
      <c r="FS180" s="74" t="n"/>
      <c r="FT180" s="75" t="n"/>
      <c r="FU180" s="28" t="n"/>
      <c r="FV180" s="75" t="n"/>
      <c r="FW180" s="74" t="n"/>
      <c r="FX180" s="75" t="n"/>
      <c r="FY180" s="28" t="n"/>
      <c r="FZ180" s="75" t="n"/>
      <c r="GA180" s="338" t="n"/>
      <c r="GB180" s="339" t="n"/>
      <c r="GC180" s="340" t="n"/>
      <c r="GD180" s="341" t="n"/>
      <c r="GE180" s="342" t="n"/>
      <c r="GF180" s="343" t="n"/>
      <c r="GG180" s="74" t="n"/>
      <c r="GH180" s="75" t="n"/>
      <c r="GI180" s="28" t="n"/>
      <c r="GJ180" s="75" t="n"/>
      <c r="GK180" s="74" t="n"/>
      <c r="GL180" s="75" t="n"/>
      <c r="GM180" s="28" t="n"/>
      <c r="GN180" s="75" t="n"/>
      <c r="GO180" s="74" t="n"/>
      <c r="GP180" s="75" t="n"/>
      <c r="GQ180" s="28" t="n"/>
      <c r="GR180" s="75" t="n"/>
      <c r="GS180" s="74" t="n"/>
      <c r="GT180" s="75" t="n"/>
      <c r="GU180" s="28" t="n"/>
      <c r="GV180" s="75" t="n"/>
      <c r="GW180" s="74" t="n"/>
      <c r="GX180" s="75" t="n"/>
      <c r="GY180" s="28" t="n"/>
      <c r="GZ180" s="75" t="n"/>
      <c r="HA180" s="74" t="n"/>
      <c r="HB180" s="75" t="n"/>
      <c r="HC180" s="28" t="n"/>
      <c r="HD180" s="75" t="n"/>
      <c r="HE180" s="74" t="n"/>
      <c r="HF180" s="75" t="n"/>
      <c r="HG180" s="28" t="n"/>
      <c r="HH180" s="75" t="n"/>
      <c r="HI180" s="74" t="n"/>
      <c r="HJ180" s="75" t="n"/>
      <c r="HK180" s="28" t="n"/>
      <c r="HL180" s="75" t="n"/>
      <c r="HM180" s="74" t="n"/>
      <c r="HN180" s="75" t="n"/>
      <c r="HO180" s="28" t="n"/>
      <c r="HP180" s="75" t="n"/>
      <c r="HQ180" s="74" t="n"/>
      <c r="HR180" s="75" t="n"/>
      <c r="HS180" s="28" t="n"/>
      <c r="HT180" s="75" t="n"/>
      <c r="HU180" s="74" t="n"/>
      <c r="HV180" s="75" t="n"/>
      <c r="HW180" s="28" t="n"/>
      <c r="HX180" s="75" t="n"/>
      <c r="HY180" s="74" t="n"/>
      <c r="HZ180" s="75" t="n"/>
      <c r="IA180" s="28" t="n"/>
      <c r="IB180" s="75" t="n"/>
      <c r="IC180" s="338" t="n"/>
      <c r="ID180" s="339" t="n"/>
      <c r="IE180" s="340" t="n"/>
      <c r="IF180" s="341" t="n"/>
      <c r="IG180" s="342" t="n"/>
      <c r="IH180" s="343" t="n"/>
      <c r="II180" s="74" t="n"/>
      <c r="IJ180" s="75" t="n"/>
      <c r="IK180" s="28" t="n"/>
      <c r="IL180" s="75" t="n"/>
      <c r="IM180" s="74" t="n"/>
      <c r="IN180" s="75" t="n"/>
      <c r="IO180" s="28" t="n"/>
      <c r="IP180" s="75" t="n"/>
      <c r="IQ180" s="74" t="n"/>
      <c r="IR180" s="75" t="n"/>
      <c r="IS180" s="28" t="n"/>
      <c r="IT180" s="75" t="n"/>
      <c r="IU180" s="74" t="n"/>
      <c r="IV180" s="75" t="n"/>
      <c r="IW180" s="28" t="n"/>
      <c r="IX180" s="75" t="n"/>
      <c r="IY180" s="74" t="n"/>
      <c r="IZ180" s="75" t="n"/>
      <c r="JA180" s="28" t="n"/>
      <c r="JB180" s="75" t="n"/>
      <c r="JC180" s="74" t="n"/>
      <c r="JD180" s="75" t="n"/>
      <c r="JE180" s="28" t="n"/>
      <c r="JF180" s="75" t="n"/>
      <c r="JG180" s="74" t="n"/>
      <c r="JH180" s="75" t="n"/>
      <c r="JI180" s="28" t="n"/>
      <c r="JJ180" s="75" t="n"/>
      <c r="JK180" s="74" t="n"/>
      <c r="JL180" s="75" t="n"/>
      <c r="JM180" s="28" t="n"/>
      <c r="JN180" s="75" t="n"/>
      <c r="JO180" s="74" t="n"/>
      <c r="JP180" s="75" t="n"/>
      <c r="JQ180" s="28" t="n"/>
      <c r="JR180" s="75" t="n"/>
      <c r="JS180" s="74" t="n"/>
      <c r="JT180" s="75" t="n"/>
      <c r="JU180" s="28" t="n"/>
      <c r="JV180" s="75" t="n"/>
      <c r="JW180" s="74" t="n"/>
      <c r="JX180" s="75" t="n"/>
      <c r="JY180" s="28" t="n"/>
      <c r="JZ180" s="75" t="n"/>
      <c r="KA180" s="74" t="n"/>
      <c r="KB180" s="75" t="n"/>
      <c r="KC180" s="28" t="n"/>
      <c r="KD180" s="75" t="n"/>
      <c r="KE180" s="338" t="n"/>
      <c r="KF180" s="339" t="n"/>
      <c r="KG180" s="340" t="n"/>
      <c r="KH180" s="341" t="n"/>
      <c r="KI180" s="342" t="n"/>
      <c r="KJ180" s="346" t="n"/>
      <c r="KK180" s="80" t="n"/>
      <c r="KL180" s="80" t="n"/>
      <c r="KM180" s="80" t="n"/>
      <c r="KN180" s="253" t="n"/>
      <c r="KO180" s="253" t="n"/>
    </row>
    <row r="181" ht="28.8" customFormat="1" customHeight="1" s="68">
      <c r="A181" s="82" t="inlineStr">
        <is>
          <t>ФЕНИКС ООО ТФК</t>
        </is>
      </c>
      <c r="B181" s="81" t="n"/>
      <c r="C181" s="82" t="n"/>
      <c r="D181" s="82" t="n"/>
      <c r="E181" s="83" t="n"/>
      <c r="F181" s="83" t="n"/>
      <c r="G181" s="84" t="n"/>
      <c r="H181" s="85" t="n"/>
      <c r="I181" s="362" t="n"/>
      <c r="J181" s="362" t="n"/>
      <c r="K181" s="362" t="n"/>
      <c r="L181" s="362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1" t="n"/>
      <c r="Y181" s="81" t="n"/>
      <c r="Z181" s="81" t="n"/>
      <c r="AA181" s="81" t="n"/>
      <c r="AB181" s="81" t="n"/>
      <c r="AC181" s="81" t="n"/>
      <c r="AD181" s="81" t="n"/>
      <c r="AE181" s="81" t="n"/>
      <c r="AF181" s="81" t="n"/>
      <c r="AG181" s="81" t="n"/>
      <c r="AH181" s="81" t="n"/>
      <c r="AI181" s="81" t="n"/>
      <c r="AJ181" s="81" t="n"/>
      <c r="AK181" s="81" t="n"/>
      <c r="AL181" s="81" t="n"/>
      <c r="AM181" s="81" t="n"/>
      <c r="AN181" s="81" t="n"/>
      <c r="AO181" s="81" t="n"/>
      <c r="AP181" s="81" t="n"/>
      <c r="AQ181" s="81" t="n"/>
      <c r="AR181" s="81" t="n"/>
      <c r="AS181" s="81" t="n"/>
      <c r="AT181" s="81" t="n"/>
      <c r="AU181" s="81" t="n"/>
      <c r="AV181" s="81" t="n"/>
      <c r="AW181" s="81" t="n"/>
      <c r="AX181" s="81" t="n"/>
      <c r="AY181" s="87" t="n"/>
      <c r="AZ181" s="81" t="n"/>
      <c r="BA181" s="87" t="n"/>
      <c r="BB181" s="87" t="n"/>
      <c r="BC181" s="88" t="n"/>
      <c r="BD181" s="81" t="n"/>
      <c r="BE181" s="87" t="n"/>
      <c r="BF181" s="87" t="n"/>
      <c r="BG181" s="87" t="n"/>
      <c r="BH181" s="81" t="n"/>
      <c r="BI181" s="363">
        <f>SUMPRODUCT(--(MOD(COLUMN($M181:$BH181),4)=MOD(COLUMN($M181),4)),$M181:$BH181)</f>
        <v/>
      </c>
      <c r="BJ181" s="364">
        <f>BI181*$I181</f>
        <v/>
      </c>
      <c r="BK181" s="363">
        <f>SUMPRODUCT(--(MOD(COLUMN($M181:$BH181),4)=MOD(COLUMN($M181)+1,4)),$M181:$BH181)</f>
        <v/>
      </c>
      <c r="BL181" s="364">
        <f>BK181*$I181</f>
        <v/>
      </c>
      <c r="BM181" s="363">
        <f>SUMPRODUCT(--(MOD(COLUMN($M181:$BH181),4)=MOD(COLUMN($M181)+2,4)),$M181:$BH181)</f>
        <v/>
      </c>
      <c r="BN181" s="364">
        <f>BM181*$I181</f>
        <v/>
      </c>
      <c r="BO181" s="81" t="n"/>
      <c r="BP181" s="81" t="n"/>
      <c r="BQ181" s="81" t="n"/>
      <c r="BR181" s="81" t="n"/>
      <c r="BS181" s="81" t="n"/>
      <c r="BT181" s="81" t="n"/>
      <c r="BU181" s="81" t="n"/>
      <c r="BV181" s="81" t="n"/>
      <c r="BW181" s="81" t="n"/>
      <c r="BX181" s="81" t="n"/>
      <c r="BY181" s="81" t="n"/>
      <c r="BZ181" s="81" t="n"/>
      <c r="CA181" s="81" t="n"/>
      <c r="CB181" s="81" t="n"/>
      <c r="CC181" s="81" t="n"/>
      <c r="CD181" s="81" t="n"/>
      <c r="CE181" s="81" t="n"/>
      <c r="CF181" s="81" t="n"/>
      <c r="CG181" s="81" t="n"/>
      <c r="CH181" s="81" t="n"/>
      <c r="CI181" s="81" t="n"/>
      <c r="CJ181" s="81" t="n"/>
      <c r="CK181" s="81" t="n"/>
      <c r="CL181" s="81" t="n"/>
      <c r="CM181" s="81" t="n"/>
      <c r="CN181" s="81" t="n"/>
      <c r="CO181" s="81" t="n"/>
      <c r="CP181" s="81" t="n"/>
      <c r="CQ181" s="81" t="n"/>
      <c r="CR181" s="81" t="n"/>
      <c r="CS181" s="81" t="n"/>
      <c r="CT181" s="81" t="n"/>
      <c r="CU181" s="81" t="n"/>
      <c r="CV181" s="81" t="n"/>
      <c r="CW181" s="81" t="n"/>
      <c r="CX181" s="81" t="n"/>
      <c r="CY181" s="81" t="n"/>
      <c r="CZ181" s="81" t="n"/>
      <c r="DA181" s="81" t="n"/>
      <c r="DB181" s="81" t="n"/>
      <c r="DC181" s="81" t="n"/>
      <c r="DD181" s="81" t="n"/>
      <c r="DE181" s="81" t="n"/>
      <c r="DF181" s="81" t="n"/>
      <c r="DG181" s="81" t="n"/>
      <c r="DH181" s="81" t="n"/>
      <c r="DI181" s="81" t="n"/>
      <c r="DJ181" s="81" t="n"/>
      <c r="DK181" s="81" t="n"/>
      <c r="DL181" s="81" t="n"/>
      <c r="DM181" s="81" t="n"/>
      <c r="DN181" s="81" t="n"/>
      <c r="DO181" s="81" t="n"/>
      <c r="DP181" s="81" t="n"/>
      <c r="DQ181" s="81" t="n"/>
      <c r="DR181" s="81" t="n"/>
      <c r="DS181" s="81" t="n"/>
      <c r="DT181" s="81" t="n"/>
      <c r="DU181" s="81" t="n"/>
      <c r="DV181" s="81" t="n"/>
      <c r="DW181" s="363">
        <f>SUMPRODUCT(--(MOD(COLUMN($BO181:$DV181),5)=MOD(COLUMN($BO181),5)),$BO181:$DV181)</f>
        <v/>
      </c>
      <c r="DX181" s="363">
        <f>DW181*$J181</f>
        <v/>
      </c>
      <c r="DY181" s="363">
        <f>SUMPRODUCT(--(MOD(COLUMN($BO181:$DV181),5)=MOD(COLUMN($BO181),5)+1),$BO181:$DV181)</f>
        <v/>
      </c>
      <c r="DZ181" s="363">
        <f>DY181*$J181</f>
        <v/>
      </c>
      <c r="EA181" s="363">
        <f>SUMPRODUCT(--(MOD(COLUMN($BO181:$DV181),5)=MOD(COLUMN($BO181),5)+2),$BO181:$DV181)</f>
        <v/>
      </c>
      <c r="EB181" s="364">
        <f>EA181*$J181</f>
        <v/>
      </c>
      <c r="EC181" s="363">
        <f>SUMPRODUCT(--(MOD(COLUMN($BO181:$DV181),5)=MOD(COLUMN($BO181),5)+3),$BO181:$DV181)</f>
        <v/>
      </c>
      <c r="ED181" s="364">
        <f>EC181*$J181</f>
        <v/>
      </c>
      <c r="EE181" s="81" t="n"/>
      <c r="EF181" s="81" t="n"/>
      <c r="EG181" s="81" t="n"/>
      <c r="EH181" s="81" t="n"/>
      <c r="EI181" s="81" t="n"/>
      <c r="EJ181" s="81" t="n"/>
      <c r="EK181" s="81" t="n"/>
      <c r="EL181" s="81" t="n"/>
      <c r="EM181" s="81" t="n"/>
      <c r="EN181" s="81" t="n"/>
      <c r="EO181" s="81" t="n"/>
      <c r="EP181" s="81" t="n"/>
      <c r="EQ181" s="81" t="n"/>
      <c r="ER181" s="81" t="n"/>
      <c r="ES181" s="81" t="n"/>
      <c r="ET181" s="81" t="n"/>
      <c r="EU181" s="81" t="n"/>
      <c r="EV181" s="81" t="n"/>
      <c r="EW181" s="81" t="n"/>
      <c r="EX181" s="81" t="n"/>
      <c r="EY181" s="81" t="n"/>
      <c r="EZ181" s="81" t="n"/>
      <c r="FA181" s="81" t="n"/>
      <c r="FB181" s="81" t="n"/>
      <c r="FC181" s="81" t="n"/>
      <c r="FD181" s="81" t="n"/>
      <c r="FE181" s="81" t="n"/>
      <c r="FF181" s="81" t="n"/>
      <c r="FG181" s="81" t="n"/>
      <c r="FH181" s="81" t="n"/>
      <c r="FI181" s="81" t="n"/>
      <c r="FJ181" s="81" t="n"/>
      <c r="FK181" s="81" t="n"/>
      <c r="FL181" s="81" t="n"/>
      <c r="FM181" s="81" t="n"/>
      <c r="FN181" s="81" t="n"/>
      <c r="FO181" s="81" t="n"/>
      <c r="FP181" s="81" t="n"/>
      <c r="FQ181" s="81" t="n"/>
      <c r="FR181" s="81" t="n"/>
      <c r="FS181" s="81" t="n"/>
      <c r="FT181" s="81" t="n"/>
      <c r="FU181" s="81" t="n"/>
      <c r="FV181" s="81" t="n"/>
      <c r="FW181" s="81" t="n"/>
      <c r="FX181" s="81" t="n"/>
      <c r="FY181" s="81" t="n"/>
      <c r="FZ181" s="81" t="n"/>
      <c r="GA181" s="363" t="n"/>
      <c r="GB181" s="364" t="n"/>
      <c r="GC181" s="365" t="n"/>
      <c r="GD181" s="366" t="n"/>
      <c r="GE181" s="363" t="n"/>
      <c r="GF181" s="364" t="n"/>
      <c r="GG181" s="81" t="n"/>
      <c r="GH181" s="81" t="n"/>
      <c r="GI181" s="81" t="n"/>
      <c r="GJ181" s="81" t="n"/>
      <c r="GK181" s="81" t="n"/>
      <c r="GL181" s="81" t="n"/>
      <c r="GM181" s="81" t="n"/>
      <c r="GN181" s="81" t="n"/>
      <c r="GO181" s="81" t="n"/>
      <c r="GP181" s="81" t="n"/>
      <c r="GQ181" s="81" t="n"/>
      <c r="GR181" s="81" t="n"/>
      <c r="GS181" s="81" t="n"/>
      <c r="GT181" s="81" t="n"/>
      <c r="GU181" s="81" t="n"/>
      <c r="GV181" s="81" t="n"/>
      <c r="GW181" s="81" t="n"/>
      <c r="GX181" s="81" t="n"/>
      <c r="GY181" s="81" t="n"/>
      <c r="GZ181" s="81" t="n"/>
      <c r="HA181" s="81" t="n"/>
      <c r="HB181" s="81" t="n"/>
      <c r="HC181" s="81" t="n"/>
      <c r="HD181" s="81" t="n"/>
      <c r="HE181" s="81" t="n"/>
      <c r="HF181" s="81" t="n"/>
      <c r="HG181" s="81" t="n"/>
      <c r="HH181" s="81" t="n"/>
      <c r="HI181" s="81" t="n"/>
      <c r="HJ181" s="81" t="n"/>
      <c r="HK181" s="81" t="n"/>
      <c r="HL181" s="81" t="n"/>
      <c r="HM181" s="81" t="n"/>
      <c r="HN181" s="81" t="n"/>
      <c r="HO181" s="81" t="n"/>
      <c r="HP181" s="81" t="n"/>
      <c r="HQ181" s="81" t="n"/>
      <c r="HR181" s="81" t="n"/>
      <c r="HS181" s="81" t="n"/>
      <c r="HT181" s="81" t="n"/>
      <c r="HU181" s="81" t="n"/>
      <c r="HV181" s="81" t="n"/>
      <c r="HW181" s="81" t="n"/>
      <c r="HX181" s="81" t="n"/>
      <c r="HY181" s="81" t="n"/>
      <c r="HZ181" s="81" t="n"/>
      <c r="IA181" s="81" t="n"/>
      <c r="IB181" s="81" t="n"/>
      <c r="IC181" s="363" t="n"/>
      <c r="ID181" s="364" t="n"/>
      <c r="IE181" s="365" t="n"/>
      <c r="IF181" s="366" t="n"/>
      <c r="IG181" s="363" t="n"/>
      <c r="IH181" s="364" t="n"/>
      <c r="II181" s="81" t="n"/>
      <c r="IJ181" s="81" t="n"/>
      <c r="IK181" s="81" t="n"/>
      <c r="IL181" s="81" t="n"/>
      <c r="IM181" s="81" t="n"/>
      <c r="IN181" s="81" t="n"/>
      <c r="IO181" s="81" t="n"/>
      <c r="IP181" s="81" t="n"/>
      <c r="IQ181" s="81" t="n"/>
      <c r="IR181" s="81" t="n"/>
      <c r="IS181" s="81" t="n"/>
      <c r="IT181" s="81" t="n"/>
      <c r="IU181" s="81" t="n"/>
      <c r="IV181" s="81" t="n"/>
      <c r="IW181" s="81" t="n"/>
      <c r="IX181" s="81" t="n"/>
      <c r="IY181" s="81" t="n"/>
      <c r="IZ181" s="81" t="n"/>
      <c r="JA181" s="81" t="n"/>
      <c r="JB181" s="81" t="n"/>
      <c r="JC181" s="81" t="n"/>
      <c r="JD181" s="81" t="n"/>
      <c r="JE181" s="81" t="n"/>
      <c r="JF181" s="81" t="n"/>
      <c r="JG181" s="81" t="n"/>
      <c r="JH181" s="81" t="n"/>
      <c r="JI181" s="81" t="n"/>
      <c r="JJ181" s="81" t="n"/>
      <c r="JK181" s="81" t="n"/>
      <c r="JL181" s="81" t="n"/>
      <c r="JM181" s="81" t="n"/>
      <c r="JN181" s="81" t="n"/>
      <c r="JO181" s="81" t="n"/>
      <c r="JP181" s="81" t="n"/>
      <c r="JQ181" s="81" t="n"/>
      <c r="JR181" s="81" t="n"/>
      <c r="JS181" s="81" t="n"/>
      <c r="JT181" s="81" t="n"/>
      <c r="JU181" s="81" t="n"/>
      <c r="JV181" s="81" t="n"/>
      <c r="JW181" s="81" t="n"/>
      <c r="JX181" s="81" t="n"/>
      <c r="JY181" s="81" t="n"/>
      <c r="JZ181" s="81" t="n"/>
      <c r="KA181" s="81" t="n"/>
      <c r="KB181" s="81" t="n"/>
      <c r="KC181" s="81" t="n"/>
      <c r="KD181" s="81" t="n"/>
      <c r="KE181" s="363" t="n"/>
      <c r="KF181" s="364" t="n"/>
      <c r="KG181" s="365" t="n"/>
      <c r="KH181" s="366" t="n"/>
      <c r="KI181" s="363" t="n"/>
      <c r="KJ181" s="367" t="n"/>
      <c r="KK181" s="80" t="n"/>
      <c r="KL181" s="80" t="n"/>
      <c r="KM181" s="80" t="n"/>
      <c r="KN181" s="253" t="n"/>
      <c r="KO181" s="253" t="n"/>
    </row>
    <row r="182" outlineLevel="1" ht="30" customFormat="1" customHeight="1" s="68">
      <c r="A182" s="295" t="inlineStr">
        <is>
          <t>МЕГАТРОН (не заведен в 1С)</t>
        </is>
      </c>
      <c r="B182" s="313" t="inlineStr">
        <is>
          <t>Предоплата 100%</t>
        </is>
      </c>
      <c r="C182" s="256" t="inlineStr">
        <is>
          <t>ВБК РУС</t>
        </is>
      </c>
      <c r="D182" s="281" t="inlineStr">
        <is>
          <t>Мустафин Ринат</t>
        </is>
      </c>
      <c r="E182" s="60" t="n">
        <v>1</v>
      </c>
      <c r="F182" s="60" t="n">
        <v>1</v>
      </c>
      <c r="G182" s="56" t="n">
        <v>9522010010</v>
      </c>
      <c r="H182" s="57" t="inlineStr">
        <is>
          <t>Головка соединительная (управляющая)</t>
        </is>
      </c>
      <c r="I182" s="348" t="n">
        <v>76.19047619047619</v>
      </c>
      <c r="J182" s="337">
        <f>89.6/1.2*1.0863</f>
        <v/>
      </c>
      <c r="K182" s="348" t="n"/>
      <c r="L182" s="348" t="n"/>
      <c r="M182" s="36" t="n"/>
      <c r="N182" s="284" t="n"/>
      <c r="O182" s="38" t="n"/>
      <c r="P182" s="284" t="n"/>
      <c r="Q182" s="36" t="n"/>
      <c r="R182" s="284" t="n"/>
      <c r="S182" s="38" t="n"/>
      <c r="T182" s="284" t="n"/>
      <c r="U182" s="36" t="n"/>
      <c r="V182" s="284" t="n"/>
      <c r="W182" s="38" t="n"/>
      <c r="X182" s="284" t="n"/>
      <c r="Y182" s="36" t="n"/>
      <c r="Z182" s="284" t="n"/>
      <c r="AA182" s="38" t="n"/>
      <c r="AB182" s="284" t="n"/>
      <c r="AC182" s="36" t="n"/>
      <c r="AD182" s="284" t="n"/>
      <c r="AE182" s="38" t="n"/>
      <c r="AF182" s="284" t="n"/>
      <c r="AG182" s="36" t="n"/>
      <c r="AH182" s="284" t="n"/>
      <c r="AI182" s="38" t="n"/>
      <c r="AJ182" s="284" t="n"/>
      <c r="AK182" s="36" t="n"/>
      <c r="AL182" s="284" t="n"/>
      <c r="AM182" s="38" t="n"/>
      <c r="AN182" s="284" t="n"/>
      <c r="AO182" s="36" t="n"/>
      <c r="AP182" s="284" t="n"/>
      <c r="AQ182" s="38" t="n"/>
      <c r="AR182" s="284" t="n"/>
      <c r="AS182" s="36" t="n"/>
      <c r="AT182" s="284" t="n"/>
      <c r="AU182" s="38" t="n">
        <v>0</v>
      </c>
      <c r="AV182" s="284" t="n"/>
      <c r="AW182" s="36" t="n"/>
      <c r="AX182" s="284" t="n"/>
      <c r="AY182" s="38" t="n"/>
      <c r="AZ182" s="96" t="n"/>
      <c r="BA182" s="36" t="n"/>
      <c r="BB182" s="284" t="n"/>
      <c r="BC182" s="99" t="n">
        <v>0</v>
      </c>
      <c r="BD182" s="284" t="n"/>
      <c r="BE182" s="36" t="n"/>
      <c r="BF182" s="284" t="n"/>
      <c r="BG182" s="54" t="n">
        <v>0</v>
      </c>
      <c r="BH182" s="284" t="n"/>
      <c r="BI182" s="338">
        <f>SUMPRODUCT(--(MOD(COLUMN($M182:$BH182),4)=MOD(COLUMN($M182),4)),$M182:$BH182)</f>
        <v/>
      </c>
      <c r="BJ182" s="339">
        <f>BI182*$I182</f>
        <v/>
      </c>
      <c r="BK182" s="340">
        <f>SUMPRODUCT(--(MOD(COLUMN($M182:$BH182),4)=MOD(COLUMN($M182)+1,4)),$M182:$BH182)</f>
        <v/>
      </c>
      <c r="BL182" s="341">
        <f>BK182*$I182</f>
        <v/>
      </c>
      <c r="BM182" s="342">
        <f>SUMPRODUCT(--(MOD(COLUMN($M182:$BH182),4)=MOD(COLUMN($M182)+2,4)),$M182:$BH182)</f>
        <v/>
      </c>
      <c r="BN182" s="343">
        <f>BM182*$I182</f>
        <v/>
      </c>
      <c r="BO182" s="36">
        <f>$KN182*0</f>
        <v/>
      </c>
      <c r="BP182" s="47">
        <f>$KN182*0</f>
        <v/>
      </c>
      <c r="BQ182" s="284" t="n">
        <v>0</v>
      </c>
      <c r="BR182" s="38" t="n">
        <v>0</v>
      </c>
      <c r="BS182" s="284" t="inlineStr">
        <is>
          <t>Новый клиент</t>
        </is>
      </c>
      <c r="BT182" s="36">
        <f>$KN182*3</f>
        <v/>
      </c>
      <c r="BU182" s="47">
        <f>$KN182*0</f>
        <v/>
      </c>
      <c r="BV182" s="284">
        <f>$KN182*0</f>
        <v/>
      </c>
      <c r="BW182" s="38" t="n">
        <v>0</v>
      </c>
      <c r="BX182" s="284" t="n"/>
      <c r="BY182" s="36">
        <f>$KN182*3</f>
        <v/>
      </c>
      <c r="BZ182" s="47">
        <f>$KN182*1</f>
        <v/>
      </c>
      <c r="CA182" s="284">
        <f>$KN182*0</f>
        <v/>
      </c>
      <c r="CB182" s="38" t="n">
        <v>0</v>
      </c>
      <c r="CC182" s="284" t="n"/>
      <c r="CD182" s="36">
        <f>$KN182*3</f>
        <v/>
      </c>
      <c r="CE182" s="47">
        <f>$KN182*1</f>
        <v/>
      </c>
      <c r="CF182" s="284">
        <f>$KN182*0</f>
        <v/>
      </c>
      <c r="CG182" s="38" t="n">
        <v>0</v>
      </c>
      <c r="CH182" s="284" t="n"/>
      <c r="CI182" s="36">
        <f>$KN182*3</f>
        <v/>
      </c>
      <c r="CJ182" s="47">
        <f>$KN182*1</f>
        <v/>
      </c>
      <c r="CK182" s="284">
        <f>$KN182*0</f>
        <v/>
      </c>
      <c r="CL182" s="38" t="n">
        <v>0</v>
      </c>
      <c r="CM182" s="284" t="n"/>
      <c r="CN182" s="36">
        <f>$KN182*3</f>
        <v/>
      </c>
      <c r="CO182" s="47">
        <f>$KN182*1</f>
        <v/>
      </c>
      <c r="CP182" s="284">
        <f>$KN182*0</f>
        <v/>
      </c>
      <c r="CQ182" s="38" t="n">
        <v>0</v>
      </c>
      <c r="CR182" s="284" t="n"/>
      <c r="CS182" s="36">
        <f>$KN182*3</f>
        <v/>
      </c>
      <c r="CT182" s="47">
        <f>$KN182*1</f>
        <v/>
      </c>
      <c r="CU182" s="284">
        <f>$KN182*0</f>
        <v/>
      </c>
      <c r="CV182" s="38" t="n">
        <v>0</v>
      </c>
      <c r="CW182" s="284" t="n"/>
      <c r="CX182" s="36">
        <f>$KN182*3</f>
        <v/>
      </c>
      <c r="CY182" s="47">
        <f>$KN182*1</f>
        <v/>
      </c>
      <c r="CZ182" s="284">
        <f>$KN182*0</f>
        <v/>
      </c>
      <c r="DA182" s="38" t="n">
        <v>0</v>
      </c>
      <c r="DB182" s="284" t="n"/>
      <c r="DC182" s="36">
        <f>$KN182*3</f>
        <v/>
      </c>
      <c r="DD182" s="47">
        <f>$KN182*1</f>
        <v/>
      </c>
      <c r="DE182" s="284">
        <f>$KN182*0</f>
        <v/>
      </c>
      <c r="DF182" s="38" t="n">
        <v>0</v>
      </c>
      <c r="DG182" s="284" t="n"/>
      <c r="DH182" s="36">
        <f>$KN182*3</f>
        <v/>
      </c>
      <c r="DI182" s="47">
        <f>$KN182*1</f>
        <v/>
      </c>
      <c r="DJ182" s="284">
        <f>$KN182*0</f>
        <v/>
      </c>
      <c r="DK182" s="38" t="n">
        <v>0</v>
      </c>
      <c r="DL182" s="284" t="n"/>
      <c r="DM182" s="36">
        <f>$KN182*3</f>
        <v/>
      </c>
      <c r="DN182" s="47">
        <f>$KN182*1</f>
        <v/>
      </c>
      <c r="DO182" s="284">
        <f>$KN182*0</f>
        <v/>
      </c>
      <c r="DP182" s="38" t="n">
        <v>0</v>
      </c>
      <c r="DQ182" s="284" t="n"/>
      <c r="DR182" s="36">
        <f>$KN182*3</f>
        <v/>
      </c>
      <c r="DS182" s="47">
        <f>$KN182*1</f>
        <v/>
      </c>
      <c r="DT182" s="284">
        <f>$KN182*0</f>
        <v/>
      </c>
      <c r="DU182" s="38" t="n">
        <v>0</v>
      </c>
      <c r="DV182" s="284" t="n"/>
      <c r="DW182" s="338">
        <f t="array" ref="DW182">SUMPRODUCT(--(MOD(COLUMN($BO182:$DV182),5)=MOD(COLUMN($BO182),5)),$BO182:$DV182)</f>
        <v/>
      </c>
      <c r="DX182" s="339">
        <f>DW182*$J182</f>
        <v/>
      </c>
      <c r="DY182" s="344">
        <f t="array" ref="DY182">SUMPRODUCT(--(MOD(COLUMN($BO182:$DV182),5)=MOD(COLUMN($BP182),5)),$BO182:$DV182)</f>
        <v/>
      </c>
      <c r="DZ182" s="345">
        <f>DY182*$J182</f>
        <v/>
      </c>
      <c r="EA182" s="340">
        <f t="array" ref="EA182">SUMPRODUCT(--(MOD(COLUMN($BO182:$DV182),5)=MOD(COLUMN($BQ182),5)),$BO182:$DV182)</f>
        <v/>
      </c>
      <c r="EB182" s="341">
        <f>EA182*$J182</f>
        <v/>
      </c>
      <c r="EC182" s="342">
        <f t="array" ref="EC182">SUMPRODUCT(--(MOD(COLUMN($BO182:$DV182),5)=MOD(COLUMN($BR182),5)),$BO182:$DV182)</f>
        <v/>
      </c>
      <c r="ED182" s="343">
        <f>EC182*$J182</f>
        <v/>
      </c>
      <c r="EE182" s="36">
        <f>$KN182*1</f>
        <v/>
      </c>
      <c r="EF182" s="284" t="n">
        <v>1</v>
      </c>
      <c r="EG182" s="38" t="n">
        <v>0</v>
      </c>
      <c r="EH182" s="284" t="n"/>
      <c r="EI182" s="36">
        <f>$KN182*1</f>
        <v/>
      </c>
      <c r="EJ182" s="284" t="n">
        <v>0</v>
      </c>
      <c r="EK182" s="38" t="n">
        <v>0</v>
      </c>
      <c r="EL182" s="284" t="n"/>
      <c r="EM182" s="36">
        <f>$KN182*1</f>
        <v/>
      </c>
      <c r="EN182" s="284" t="n">
        <v>0</v>
      </c>
      <c r="EO182" s="38" t="n">
        <v>0</v>
      </c>
      <c r="EP182" s="284" t="n"/>
      <c r="EQ182" s="36">
        <f>$KN182*2</f>
        <v/>
      </c>
      <c r="ER182" s="284" t="n">
        <v>0</v>
      </c>
      <c r="ES182" s="38" t="n">
        <v>0</v>
      </c>
      <c r="ET182" s="284" t="n"/>
      <c r="EU182" s="36">
        <f>$KN182*2</f>
        <v/>
      </c>
      <c r="EV182" s="284" t="n">
        <v>0</v>
      </c>
      <c r="EW182" s="38" t="n">
        <v>0</v>
      </c>
      <c r="EX182" s="284" t="n"/>
      <c r="EY182" s="36">
        <f>$KN182*2</f>
        <v/>
      </c>
      <c r="EZ182" s="284" t="n">
        <v>2</v>
      </c>
      <c r="FA182" s="38" t="n">
        <v>0</v>
      </c>
      <c r="FB182" s="284" t="n"/>
      <c r="FC182" s="36">
        <f>$KN182*3</f>
        <v/>
      </c>
      <c r="FD182" s="284" t="n">
        <v>3</v>
      </c>
      <c r="FE182" s="38" t="n">
        <v>0</v>
      </c>
      <c r="FF182" s="284" t="n"/>
      <c r="FG182" s="36">
        <f>$KN182*3</f>
        <v/>
      </c>
      <c r="FH182" s="284" t="n">
        <v>3</v>
      </c>
      <c r="FI182" s="38" t="n">
        <v>0</v>
      </c>
      <c r="FJ182" s="284" t="n"/>
      <c r="FK182" s="36">
        <f>$KN182*3</f>
        <v/>
      </c>
      <c r="FL182" s="284" t="n">
        <v>3</v>
      </c>
      <c r="FM182" s="38" t="n">
        <v>0</v>
      </c>
      <c r="FN182" s="284" t="n"/>
      <c r="FO182" s="36">
        <f>$KN182*4</f>
        <v/>
      </c>
      <c r="FP182" s="284" t="n">
        <v>4</v>
      </c>
      <c r="FQ182" s="38" t="n">
        <v>0</v>
      </c>
      <c r="FR182" s="284" t="n"/>
      <c r="FS182" s="36">
        <f>$KN182*4</f>
        <v/>
      </c>
      <c r="FT182" s="284" t="n">
        <v>4</v>
      </c>
      <c r="FU182" s="38" t="n">
        <v>0</v>
      </c>
      <c r="FV182" s="284" t="n"/>
      <c r="FW182" s="36">
        <f>$KN182*4</f>
        <v/>
      </c>
      <c r="FX182" s="284" t="n">
        <v>4</v>
      </c>
      <c r="FY182" s="38" t="n">
        <v>0</v>
      </c>
      <c r="FZ182" s="284" t="n"/>
      <c r="GA182" s="338">
        <f>SUMPRODUCT(--(MOD(COLUMN($EE182:$FZ182),4)=MOD(COLUMN($EE182),4)),$EE182:$FZ182)</f>
        <v/>
      </c>
      <c r="GB182" s="339">
        <f>GA182*$J182</f>
        <v/>
      </c>
      <c r="GC182" s="340">
        <f>SUMPRODUCT(--(MOD(COLUMN($EE182:$FZ182),4)=MOD(COLUMN($EF182),4)),$EE182:$FZ182)</f>
        <v/>
      </c>
      <c r="GD182" s="341">
        <f>GC182*$J182</f>
        <v/>
      </c>
      <c r="GE182" s="342">
        <f>SUMPRODUCT(--(MOD(COLUMN($EE182:$FZ182),4)=MOD(COLUMN($EG182),4)),$EE182:$FZ182)</f>
        <v/>
      </c>
      <c r="GF182" s="343">
        <f>GE182*$J182</f>
        <v/>
      </c>
      <c r="GG182" s="36">
        <f>$KN182*3</f>
        <v/>
      </c>
      <c r="GH182" s="284" t="n"/>
      <c r="GI182" s="38" t="n">
        <v>0</v>
      </c>
      <c r="GJ182" s="284" t="n"/>
      <c r="GK182" s="36">
        <f>$KN182*3</f>
        <v/>
      </c>
      <c r="GL182" s="284" t="n"/>
      <c r="GM182" s="38" t="n">
        <v>0</v>
      </c>
      <c r="GN182" s="284" t="n"/>
      <c r="GO182" s="36">
        <f>$KN182*3</f>
        <v/>
      </c>
      <c r="GP182" s="284" t="n"/>
      <c r="GQ182" s="38" t="n">
        <v>0</v>
      </c>
      <c r="GR182" s="284" t="n"/>
      <c r="GS182" s="36">
        <f>$KN182*5</f>
        <v/>
      </c>
      <c r="GT182" s="284" t="n"/>
      <c r="GU182" s="38" t="n">
        <v>0</v>
      </c>
      <c r="GV182" s="284" t="n"/>
      <c r="GW182" s="36">
        <f>$KN182*5</f>
        <v/>
      </c>
      <c r="GX182" s="284" t="n"/>
      <c r="GY182" s="38" t="n">
        <v>0</v>
      </c>
      <c r="GZ182" s="284" t="n"/>
      <c r="HA182" s="36">
        <f>$KN182*5</f>
        <v/>
      </c>
      <c r="HB182" s="284" t="n"/>
      <c r="HC182" s="38" t="n">
        <v>0</v>
      </c>
      <c r="HD182" s="284" t="n"/>
      <c r="HE182" s="36">
        <f>$KN182*5</f>
        <v/>
      </c>
      <c r="HF182" s="284" t="n"/>
      <c r="HG182" s="38" t="n">
        <v>0</v>
      </c>
      <c r="HH182" s="284" t="n"/>
      <c r="HI182" s="36">
        <f>$KN182*5</f>
        <v/>
      </c>
      <c r="HJ182" s="284" t="n"/>
      <c r="HK182" s="38" t="n">
        <v>0</v>
      </c>
      <c r="HL182" s="284" t="n"/>
      <c r="HM182" s="36">
        <f>$KN182*5</f>
        <v/>
      </c>
      <c r="HN182" s="284" t="n"/>
      <c r="HO182" s="38" t="n">
        <v>0</v>
      </c>
      <c r="HP182" s="284" t="n"/>
      <c r="HQ182" s="36">
        <f>$KN182*5</f>
        <v/>
      </c>
      <c r="HR182" s="284" t="n"/>
      <c r="HS182" s="38" t="n">
        <v>0</v>
      </c>
      <c r="HT182" s="284" t="n"/>
      <c r="HU182" s="36">
        <f>$KN182*5</f>
        <v/>
      </c>
      <c r="HV182" s="284" t="n"/>
      <c r="HW182" s="38" t="n">
        <v>0</v>
      </c>
      <c r="HX182" s="284" t="n"/>
      <c r="HY182" s="36">
        <f>$KN182*5</f>
        <v/>
      </c>
      <c r="HZ182" s="284" t="n"/>
      <c r="IA182" s="38" t="n">
        <v>0</v>
      </c>
      <c r="IB182" s="284" t="n"/>
      <c r="IC182" s="338">
        <f t="array" ref="IC182">SUMPRODUCT(--(MOD(COLUMN($GG182:$IB182),4)=MOD(COLUMN($GG182),4)),$GG182:$IB182)</f>
        <v/>
      </c>
      <c r="ID182" s="339">
        <f>IC182*$J182</f>
        <v/>
      </c>
      <c r="IE182" s="340">
        <f t="array" ref="IE182">SUMPRODUCT(--(MOD(COLUMN($GG182:$IB182),4)=MOD(COLUMN($GH182),4)),$GG182:$IB182)</f>
        <v/>
      </c>
      <c r="IF182" s="341">
        <f>IE182*$J182</f>
        <v/>
      </c>
      <c r="IG182" s="342">
        <f t="array" ref="IG182">SUMPRODUCT(--(MOD(COLUMN($GG182:$IB182),4)=MOD(COLUMN($GI182),4)),$GG182:$IB182)</f>
        <v/>
      </c>
      <c r="IH182" s="343">
        <f>IG182*$J182</f>
        <v/>
      </c>
      <c r="II182" s="36">
        <f>$KN182*3</f>
        <v/>
      </c>
      <c r="IJ182" s="284" t="n"/>
      <c r="IK182" s="38" t="n">
        <v>0</v>
      </c>
      <c r="IL182" s="284" t="n"/>
      <c r="IM182" s="36">
        <f>$KN182*3</f>
        <v/>
      </c>
      <c r="IN182" s="284" t="n"/>
      <c r="IO182" s="38" t="n">
        <v>0</v>
      </c>
      <c r="IP182" s="284" t="n"/>
      <c r="IQ182" s="36">
        <f>$KN182*3</f>
        <v/>
      </c>
      <c r="IR182" s="284" t="n"/>
      <c r="IS182" s="38" t="n">
        <v>0</v>
      </c>
      <c r="IT182" s="284" t="n"/>
      <c r="IU182" s="36">
        <f>$KN182*5</f>
        <v/>
      </c>
      <c r="IV182" s="284" t="n"/>
      <c r="IW182" s="38" t="n">
        <v>0</v>
      </c>
      <c r="IX182" s="284" t="n"/>
      <c r="IY182" s="36">
        <f>$KN182*5</f>
        <v/>
      </c>
      <c r="IZ182" s="284" t="n"/>
      <c r="JA182" s="38" t="n">
        <v>0</v>
      </c>
      <c r="JB182" s="284" t="n"/>
      <c r="JC182" s="36">
        <f>$KN182*5</f>
        <v/>
      </c>
      <c r="JD182" s="284" t="n"/>
      <c r="JE182" s="38" t="n">
        <v>0</v>
      </c>
      <c r="JF182" s="284" t="n"/>
      <c r="JG182" s="36">
        <f>$KN182*5</f>
        <v/>
      </c>
      <c r="JH182" s="284" t="n"/>
      <c r="JI182" s="38" t="n">
        <v>0</v>
      </c>
      <c r="JJ182" s="284" t="n"/>
      <c r="JK182" s="36">
        <f>$KN182*5</f>
        <v/>
      </c>
      <c r="JL182" s="284" t="n"/>
      <c r="JM182" s="38" t="n">
        <v>0</v>
      </c>
      <c r="JN182" s="284" t="n"/>
      <c r="JO182" s="36">
        <f>$KN182*5</f>
        <v/>
      </c>
      <c r="JP182" s="284" t="n"/>
      <c r="JQ182" s="38" t="n">
        <v>0</v>
      </c>
      <c r="JR182" s="284" t="n"/>
      <c r="JS182" s="36">
        <f>$KN182*5</f>
        <v/>
      </c>
      <c r="JT182" s="284" t="n"/>
      <c r="JU182" s="38" t="n">
        <v>0</v>
      </c>
      <c r="JV182" s="284" t="n"/>
      <c r="JW182" s="36">
        <f>$KN182*5</f>
        <v/>
      </c>
      <c r="JX182" s="284" t="n"/>
      <c r="JY182" s="38" t="n">
        <v>0</v>
      </c>
      <c r="JZ182" s="284" t="n"/>
      <c r="KA182" s="36">
        <f>$KN182*5</f>
        <v/>
      </c>
      <c r="KB182" s="284" t="n"/>
      <c r="KC182" s="38" t="n">
        <v>0</v>
      </c>
      <c r="KD182" s="284" t="n"/>
      <c r="KE182" s="338">
        <f t="array" ref="KE182">SUMPRODUCT(--(MOD(COLUMN($II182:$KD182),4)=MOD(COLUMN($II182),4)),$II182:$KD182)</f>
        <v/>
      </c>
      <c r="KF182" s="339">
        <f>KE182*$J182</f>
        <v/>
      </c>
      <c r="KG182" s="340">
        <f t="array" ref="KG182">SUMPRODUCT(--(MOD(COLUMN($II182:$KD182),4)=MOD(COLUMN($IJ182),4)),$II182:$KD182)</f>
        <v/>
      </c>
      <c r="KH182" s="341">
        <f>KG182*$J182</f>
        <v/>
      </c>
      <c r="KI182" s="342">
        <f t="array" ref="KI182">SUMPRODUCT(--(MOD(COLUMN($II182:$KD182),4)=MOD(COLUMN($IK182),4)),$II182:$KD182)</f>
        <v/>
      </c>
      <c r="KJ182" s="346">
        <f>KI182*$J182</f>
        <v/>
      </c>
      <c r="KK182" s="80" t="n"/>
      <c r="KL182" s="80" t="n"/>
      <c r="KM182" s="80" t="n"/>
      <c r="KN182" s="51" t="n">
        <v>1</v>
      </c>
      <c r="KO182" s="285" t="inlineStr">
        <is>
          <t>TEBS 2s/2m 
12м</t>
        </is>
      </c>
    </row>
    <row r="183" outlineLevel="1" ht="43.2" customFormat="1" customHeight="1" s="68">
      <c r="A183" s="347" t="n"/>
      <c r="B183" s="347" t="n"/>
      <c r="C183" s="347" t="n"/>
      <c r="D183" s="347" t="n"/>
      <c r="E183" s="60" t="n">
        <v>2</v>
      </c>
      <c r="F183" s="60" t="n">
        <v>1</v>
      </c>
      <c r="G183" s="56" t="n">
        <v>9522010020</v>
      </c>
      <c r="H183" s="57" t="inlineStr">
        <is>
          <t>Головка соединительная (питающая)</t>
        </is>
      </c>
      <c r="I183" s="348" t="n">
        <v>76.19047619047619</v>
      </c>
      <c r="J183" s="337">
        <f>89.6/1.2*1.0863</f>
        <v/>
      </c>
      <c r="K183" s="348" t="n"/>
      <c r="L183" s="348" t="n"/>
      <c r="M183" s="36" t="n"/>
      <c r="N183" s="284" t="n"/>
      <c r="O183" s="38" t="n"/>
      <c r="P183" s="284" t="n"/>
      <c r="Q183" s="36" t="n"/>
      <c r="R183" s="284" t="n"/>
      <c r="S183" s="38" t="n"/>
      <c r="T183" s="284" t="n"/>
      <c r="U183" s="36" t="n"/>
      <c r="V183" s="284" t="n"/>
      <c r="W183" s="38" t="n"/>
      <c r="X183" s="284" t="n"/>
      <c r="Y183" s="36" t="n"/>
      <c r="Z183" s="284" t="n"/>
      <c r="AA183" s="38" t="n"/>
      <c r="AB183" s="284" t="n"/>
      <c r="AC183" s="36" t="n"/>
      <c r="AD183" s="284" t="n"/>
      <c r="AE183" s="38" t="n"/>
      <c r="AF183" s="284" t="n"/>
      <c r="AG183" s="36" t="n"/>
      <c r="AH183" s="284" t="n"/>
      <c r="AI183" s="38" t="n"/>
      <c r="AJ183" s="284" t="n"/>
      <c r="AK183" s="36" t="n"/>
      <c r="AL183" s="284" t="n"/>
      <c r="AM183" s="38" t="n"/>
      <c r="AN183" s="284" t="n"/>
      <c r="AO183" s="36" t="n"/>
      <c r="AP183" s="284" t="n"/>
      <c r="AQ183" s="38" t="n"/>
      <c r="AR183" s="284" t="n"/>
      <c r="AS183" s="36" t="n"/>
      <c r="AT183" s="284" t="n"/>
      <c r="AU183" s="38" t="n">
        <v>0</v>
      </c>
      <c r="AV183" s="284" t="n"/>
      <c r="AW183" s="36" t="n"/>
      <c r="AX183" s="284" t="n"/>
      <c r="AY183" s="38" t="n"/>
      <c r="AZ183" s="96" t="n"/>
      <c r="BA183" s="36" t="n"/>
      <c r="BB183" s="284" t="n"/>
      <c r="BC183" s="99" t="n">
        <v>0</v>
      </c>
      <c r="BD183" s="284" t="n"/>
      <c r="BE183" s="36" t="n"/>
      <c r="BF183" s="284" t="n"/>
      <c r="BG183" s="54" t="n">
        <v>0</v>
      </c>
      <c r="BH183" s="284" t="n"/>
      <c r="BI183" s="338">
        <f>SUMPRODUCT(--(MOD(COLUMN($M183:$BH183),4)=MOD(COLUMN($M183),4)),$M183:$BH183)</f>
        <v/>
      </c>
      <c r="BJ183" s="339">
        <f>BI183*$I183</f>
        <v/>
      </c>
      <c r="BK183" s="340">
        <f>SUMPRODUCT(--(MOD(COLUMN($M183:$BH183),4)=MOD(COLUMN($M183)+1,4)),$M183:$BH183)</f>
        <v/>
      </c>
      <c r="BL183" s="341">
        <f>BK183*$I183</f>
        <v/>
      </c>
      <c r="BM183" s="342">
        <f>SUMPRODUCT(--(MOD(COLUMN($M183:$BH183),4)=MOD(COLUMN($M183)+2,4)),$M183:$BH183)</f>
        <v/>
      </c>
      <c r="BN183" s="343">
        <f>BM183*$I183</f>
        <v/>
      </c>
      <c r="BO183" s="36">
        <f>$KN183*0</f>
        <v/>
      </c>
      <c r="BP183" s="47">
        <f>$KN183*0</f>
        <v/>
      </c>
      <c r="BQ183" s="284" t="n">
        <v>0</v>
      </c>
      <c r="BR183" s="38" t="n">
        <v>0</v>
      </c>
      <c r="BS183" s="347" t="n"/>
      <c r="BT183" s="36">
        <f>$KN183*3</f>
        <v/>
      </c>
      <c r="BU183" s="47">
        <f>$KN183*0</f>
        <v/>
      </c>
      <c r="BV183" s="284">
        <f>$KN183*0</f>
        <v/>
      </c>
      <c r="BW183" s="38" t="n">
        <v>0</v>
      </c>
      <c r="BX183" s="284" t="n"/>
      <c r="BY183" s="36">
        <f>$KN183*3</f>
        <v/>
      </c>
      <c r="BZ183" s="47">
        <f>$KN183*1</f>
        <v/>
      </c>
      <c r="CA183" s="284">
        <f>$KN183*0</f>
        <v/>
      </c>
      <c r="CB183" s="38" t="n">
        <v>0</v>
      </c>
      <c r="CC183" s="284" t="n"/>
      <c r="CD183" s="36">
        <f>$KN183*3</f>
        <v/>
      </c>
      <c r="CE183" s="47">
        <f>$KN183*1</f>
        <v/>
      </c>
      <c r="CF183" s="284">
        <f>$KN183*0</f>
        <v/>
      </c>
      <c r="CG183" s="38" t="n">
        <v>0</v>
      </c>
      <c r="CH183" s="284" t="n"/>
      <c r="CI183" s="36">
        <f>$KN183*3</f>
        <v/>
      </c>
      <c r="CJ183" s="47">
        <f>$KN183*1</f>
        <v/>
      </c>
      <c r="CK183" s="284">
        <f>$KN183*0</f>
        <v/>
      </c>
      <c r="CL183" s="38" t="n">
        <v>0</v>
      </c>
      <c r="CM183" s="284" t="n"/>
      <c r="CN183" s="36">
        <f>$KN183*3</f>
        <v/>
      </c>
      <c r="CO183" s="47">
        <f>$KN183*1</f>
        <v/>
      </c>
      <c r="CP183" s="284">
        <f>$KN183*0</f>
        <v/>
      </c>
      <c r="CQ183" s="38" t="n">
        <v>0</v>
      </c>
      <c r="CR183" s="284" t="n"/>
      <c r="CS183" s="36">
        <f>$KN183*3</f>
        <v/>
      </c>
      <c r="CT183" s="47">
        <f>$KN183*1</f>
        <v/>
      </c>
      <c r="CU183" s="284">
        <f>$KN183*0</f>
        <v/>
      </c>
      <c r="CV183" s="38" t="n">
        <v>0</v>
      </c>
      <c r="CW183" s="284" t="n"/>
      <c r="CX183" s="36">
        <f>$KN183*3</f>
        <v/>
      </c>
      <c r="CY183" s="47">
        <f>$KN183*1</f>
        <v/>
      </c>
      <c r="CZ183" s="284">
        <f>$KN183*0</f>
        <v/>
      </c>
      <c r="DA183" s="38" t="n">
        <v>0</v>
      </c>
      <c r="DB183" s="284" t="n"/>
      <c r="DC183" s="36">
        <f>$KN183*3</f>
        <v/>
      </c>
      <c r="DD183" s="47">
        <f>$KN183*1</f>
        <v/>
      </c>
      <c r="DE183" s="284">
        <f>$KN183*0</f>
        <v/>
      </c>
      <c r="DF183" s="38" t="n">
        <v>0</v>
      </c>
      <c r="DG183" s="284" t="n"/>
      <c r="DH183" s="36">
        <f>$KN183*3</f>
        <v/>
      </c>
      <c r="DI183" s="47">
        <f>$KN183*1</f>
        <v/>
      </c>
      <c r="DJ183" s="284">
        <f>$KN183*0</f>
        <v/>
      </c>
      <c r="DK183" s="52" t="n">
        <v>0</v>
      </c>
      <c r="DL183" s="284" t="n"/>
      <c r="DM183" s="36">
        <f>$KN183*3</f>
        <v/>
      </c>
      <c r="DN183" s="47">
        <f>$KN183*1</f>
        <v/>
      </c>
      <c r="DO183" s="284">
        <f>$KN183*0</f>
        <v/>
      </c>
      <c r="DP183" s="38" t="n">
        <v>0</v>
      </c>
      <c r="DQ183" s="284" t="n"/>
      <c r="DR183" s="36">
        <f>$KN183*3</f>
        <v/>
      </c>
      <c r="DS183" s="47">
        <f>$KN183*1</f>
        <v/>
      </c>
      <c r="DT183" s="284">
        <f>$KN183*0</f>
        <v/>
      </c>
      <c r="DU183" s="38" t="n">
        <v>0</v>
      </c>
      <c r="DV183" s="284" t="n"/>
      <c r="DW183" s="338">
        <f t="array" ref="DW183">SUMPRODUCT(--(MOD(COLUMN($BO183:$DV183),5)=MOD(COLUMN($BO183),5)),$BO183:$DV183)</f>
        <v/>
      </c>
      <c r="DX183" s="339">
        <f>DW183*$J183</f>
        <v/>
      </c>
      <c r="DY183" s="344">
        <f t="array" ref="DY183">SUMPRODUCT(--(MOD(COLUMN($BO183:$DV183),5)=MOD(COLUMN($BP183),5)),$BO183:$DV183)</f>
        <v/>
      </c>
      <c r="DZ183" s="345">
        <f>DY183*$J183</f>
        <v/>
      </c>
      <c r="EA183" s="340">
        <f t="array" ref="EA183">SUMPRODUCT(--(MOD(COLUMN($BO183:$DV183),5)=MOD(COLUMN($BQ183),5)),$BO183:$DV183)</f>
        <v/>
      </c>
      <c r="EB183" s="341">
        <f>EA183*$J183</f>
        <v/>
      </c>
      <c r="EC183" s="342">
        <f t="array" ref="EC183">SUMPRODUCT(--(MOD(COLUMN($BO183:$DV183),5)=MOD(COLUMN($BR183),5)),$BO183:$DV183)</f>
        <v/>
      </c>
      <c r="ED183" s="343">
        <f>EC183*$J183</f>
        <v/>
      </c>
      <c r="EE183" s="36">
        <f>$KN183*1</f>
        <v/>
      </c>
      <c r="EF183" s="284" t="n">
        <v>1</v>
      </c>
      <c r="EG183" s="38" t="n">
        <v>0</v>
      </c>
      <c r="EH183" s="284" t="n"/>
      <c r="EI183" s="36">
        <f>$KN183*1</f>
        <v/>
      </c>
      <c r="EJ183" s="284" t="n">
        <v>0</v>
      </c>
      <c r="EK183" s="38" t="n">
        <v>0</v>
      </c>
      <c r="EL183" s="284" t="n"/>
      <c r="EM183" s="36">
        <f>$KN183*1</f>
        <v/>
      </c>
      <c r="EN183" s="284" t="n">
        <v>0</v>
      </c>
      <c r="EO183" s="38" t="n">
        <v>0</v>
      </c>
      <c r="EP183" s="284" t="n"/>
      <c r="EQ183" s="36">
        <f>$KN183*2</f>
        <v/>
      </c>
      <c r="ER183" s="284" t="n">
        <v>0</v>
      </c>
      <c r="ES183" s="38" t="n">
        <v>0</v>
      </c>
      <c r="ET183" s="284" t="n"/>
      <c r="EU183" s="36">
        <f>$KN183*2</f>
        <v/>
      </c>
      <c r="EV183" s="284" t="n">
        <v>0</v>
      </c>
      <c r="EW183" s="38" t="n">
        <v>0</v>
      </c>
      <c r="EX183" s="284" t="n"/>
      <c r="EY183" s="36">
        <f>$KN183*2</f>
        <v/>
      </c>
      <c r="EZ183" s="284" t="n">
        <v>2</v>
      </c>
      <c r="FA183" s="38" t="n">
        <v>0</v>
      </c>
      <c r="FB183" s="284" t="n"/>
      <c r="FC183" s="36">
        <f>$KN183*3</f>
        <v/>
      </c>
      <c r="FD183" s="284" t="n">
        <v>3</v>
      </c>
      <c r="FE183" s="38" t="n">
        <v>0</v>
      </c>
      <c r="FF183" s="284" t="n"/>
      <c r="FG183" s="36">
        <f>$KN183*3</f>
        <v/>
      </c>
      <c r="FH183" s="284" t="n">
        <v>3</v>
      </c>
      <c r="FI183" s="38" t="n">
        <v>0</v>
      </c>
      <c r="FJ183" s="284" t="n"/>
      <c r="FK183" s="36">
        <f>$KN183*3</f>
        <v/>
      </c>
      <c r="FL183" s="284" t="n">
        <v>3</v>
      </c>
      <c r="FM183" s="38" t="n">
        <v>0</v>
      </c>
      <c r="FN183" s="284" t="n"/>
      <c r="FO183" s="36">
        <f>$KN183*4</f>
        <v/>
      </c>
      <c r="FP183" s="284" t="n">
        <v>4</v>
      </c>
      <c r="FQ183" s="38" t="n">
        <v>0</v>
      </c>
      <c r="FR183" s="284" t="n"/>
      <c r="FS183" s="36">
        <f>$KN183*4</f>
        <v/>
      </c>
      <c r="FT183" s="284" t="n">
        <v>4</v>
      </c>
      <c r="FU183" s="38" t="n">
        <v>0</v>
      </c>
      <c r="FV183" s="284" t="n"/>
      <c r="FW183" s="36">
        <f>$KN183*4</f>
        <v/>
      </c>
      <c r="FX183" s="284" t="n">
        <v>4</v>
      </c>
      <c r="FY183" s="38" t="n">
        <v>0</v>
      </c>
      <c r="FZ183" s="284" t="n"/>
      <c r="GA183" s="338">
        <f t="array" ref="GA183">SUMPRODUCT(--(MOD(COLUMN($EE183:$FZ183),4)=MOD(COLUMN($EE183),4)),$EE183:$FZ183)</f>
        <v/>
      </c>
      <c r="GB183" s="339">
        <f>GA183*$J183</f>
        <v/>
      </c>
      <c r="GC183" s="340">
        <f t="array" ref="GC183">SUMPRODUCT(--(MOD(COLUMN($EE183:$FZ183),4)=MOD(COLUMN($EF183),4)),$EE183:$FZ183)</f>
        <v/>
      </c>
      <c r="GD183" s="341">
        <f>GC183*$J183</f>
        <v/>
      </c>
      <c r="GE183" s="342">
        <f t="array" ref="GE183">SUMPRODUCT(--(MOD(COLUMN($EE183:$FZ183),4)=MOD(COLUMN($EG183),4)),$EE183:$FZ183)</f>
        <v/>
      </c>
      <c r="GF183" s="343">
        <f>GE183*$J183</f>
        <v/>
      </c>
      <c r="GG183" s="36">
        <f>$KN183*3</f>
        <v/>
      </c>
      <c r="GH183" s="284" t="n"/>
      <c r="GI183" s="38" t="n">
        <v>0</v>
      </c>
      <c r="GJ183" s="284" t="n"/>
      <c r="GK183" s="36">
        <f>$KN183*3</f>
        <v/>
      </c>
      <c r="GL183" s="284" t="n"/>
      <c r="GM183" s="38" t="n">
        <v>0</v>
      </c>
      <c r="GN183" s="284" t="n"/>
      <c r="GO183" s="36">
        <f>$KN183*3</f>
        <v/>
      </c>
      <c r="GP183" s="284" t="n"/>
      <c r="GQ183" s="38" t="n">
        <v>0</v>
      </c>
      <c r="GR183" s="284" t="n"/>
      <c r="GS183" s="36">
        <f>$KN183*5</f>
        <v/>
      </c>
      <c r="GT183" s="284" t="n"/>
      <c r="GU183" s="38" t="n">
        <v>0</v>
      </c>
      <c r="GV183" s="284" t="n"/>
      <c r="GW183" s="36">
        <f>$KN183*5</f>
        <v/>
      </c>
      <c r="GX183" s="284" t="n"/>
      <c r="GY183" s="38" t="n">
        <v>0</v>
      </c>
      <c r="GZ183" s="284" t="n"/>
      <c r="HA183" s="36">
        <f>$KN183*5</f>
        <v/>
      </c>
      <c r="HB183" s="284" t="n"/>
      <c r="HC183" s="38" t="n">
        <v>0</v>
      </c>
      <c r="HD183" s="284" t="n"/>
      <c r="HE183" s="36">
        <f>$KN183*5</f>
        <v/>
      </c>
      <c r="HF183" s="284" t="n"/>
      <c r="HG183" s="38" t="n">
        <v>0</v>
      </c>
      <c r="HH183" s="284" t="n"/>
      <c r="HI183" s="36">
        <f>$KN183*5</f>
        <v/>
      </c>
      <c r="HJ183" s="284" t="n"/>
      <c r="HK183" s="38" t="n">
        <v>0</v>
      </c>
      <c r="HL183" s="284" t="n"/>
      <c r="HM183" s="36">
        <f>$KN183*5</f>
        <v/>
      </c>
      <c r="HN183" s="284" t="n"/>
      <c r="HO183" s="38" t="n">
        <v>0</v>
      </c>
      <c r="HP183" s="284" t="n"/>
      <c r="HQ183" s="36">
        <f>$KN183*5</f>
        <v/>
      </c>
      <c r="HR183" s="284" t="n"/>
      <c r="HS183" s="38" t="n">
        <v>0</v>
      </c>
      <c r="HT183" s="284" t="n"/>
      <c r="HU183" s="36">
        <f>$KN183*5</f>
        <v/>
      </c>
      <c r="HV183" s="284" t="n"/>
      <c r="HW183" s="38" t="n">
        <v>0</v>
      </c>
      <c r="HX183" s="284" t="n"/>
      <c r="HY183" s="36">
        <f>$KN183*5</f>
        <v/>
      </c>
      <c r="HZ183" s="284" t="n"/>
      <c r="IA183" s="38" t="n">
        <v>0</v>
      </c>
      <c r="IB183" s="284" t="n"/>
      <c r="IC183" s="338">
        <f t="array" ref="IC183">SUMPRODUCT(--(MOD(COLUMN($GG183:$IB183),4)=MOD(COLUMN($GG183),4)),$GG183:$IB183)</f>
        <v/>
      </c>
      <c r="ID183" s="339">
        <f>IC183*$J183</f>
        <v/>
      </c>
      <c r="IE183" s="340">
        <f t="array" ref="IE183">SUMPRODUCT(--(MOD(COLUMN($GG183:$IB183),4)=MOD(COLUMN($GH183),4)),$GG183:$IB183)</f>
        <v/>
      </c>
      <c r="IF183" s="341">
        <f>IE183*$J183</f>
        <v/>
      </c>
      <c r="IG183" s="342">
        <f t="array" ref="IG183">SUMPRODUCT(--(MOD(COLUMN($GG183:$IB183),4)=MOD(COLUMN($GI183),4)),$GG183:$IB183)</f>
        <v/>
      </c>
      <c r="IH183" s="343">
        <f>IG183*$J183</f>
        <v/>
      </c>
      <c r="II183" s="36">
        <f>$KN183*3</f>
        <v/>
      </c>
      <c r="IJ183" s="284" t="n"/>
      <c r="IK183" s="38" t="n">
        <v>0</v>
      </c>
      <c r="IL183" s="284" t="n"/>
      <c r="IM183" s="36">
        <f>$KN183*3</f>
        <v/>
      </c>
      <c r="IN183" s="284" t="n"/>
      <c r="IO183" s="38" t="n">
        <v>0</v>
      </c>
      <c r="IP183" s="284" t="n"/>
      <c r="IQ183" s="36">
        <f>$KN183*3</f>
        <v/>
      </c>
      <c r="IR183" s="284" t="n"/>
      <c r="IS183" s="38" t="n">
        <v>0</v>
      </c>
      <c r="IT183" s="284" t="n"/>
      <c r="IU183" s="36">
        <f>$KN183*5</f>
        <v/>
      </c>
      <c r="IV183" s="284" t="n"/>
      <c r="IW183" s="38" t="n">
        <v>0</v>
      </c>
      <c r="IX183" s="284" t="n"/>
      <c r="IY183" s="36">
        <f>$KN183*5</f>
        <v/>
      </c>
      <c r="IZ183" s="284" t="n"/>
      <c r="JA183" s="38" t="n">
        <v>0</v>
      </c>
      <c r="JB183" s="284" t="n"/>
      <c r="JC183" s="36">
        <f>$KN183*5</f>
        <v/>
      </c>
      <c r="JD183" s="284" t="n"/>
      <c r="JE183" s="38" t="n">
        <v>0</v>
      </c>
      <c r="JF183" s="284" t="n"/>
      <c r="JG183" s="36">
        <f>$KN183*5</f>
        <v/>
      </c>
      <c r="JH183" s="284" t="n"/>
      <c r="JI183" s="38" t="n">
        <v>0</v>
      </c>
      <c r="JJ183" s="284" t="n"/>
      <c r="JK183" s="36">
        <f>$KN183*5</f>
        <v/>
      </c>
      <c r="JL183" s="284" t="n"/>
      <c r="JM183" s="38" t="n">
        <v>0</v>
      </c>
      <c r="JN183" s="284" t="n"/>
      <c r="JO183" s="36">
        <f>$KN183*5</f>
        <v/>
      </c>
      <c r="JP183" s="284" t="n"/>
      <c r="JQ183" s="38" t="n">
        <v>0</v>
      </c>
      <c r="JR183" s="284" t="n"/>
      <c r="JS183" s="36">
        <f>$KN183*5</f>
        <v/>
      </c>
      <c r="JT183" s="284" t="n"/>
      <c r="JU183" s="38" t="n">
        <v>0</v>
      </c>
      <c r="JV183" s="284" t="n"/>
      <c r="JW183" s="36">
        <f>$KN183*5</f>
        <v/>
      </c>
      <c r="JX183" s="284" t="n"/>
      <c r="JY183" s="38" t="n">
        <v>0</v>
      </c>
      <c r="JZ183" s="284" t="n"/>
      <c r="KA183" s="36">
        <f>$KN183*5</f>
        <v/>
      </c>
      <c r="KB183" s="284" t="n"/>
      <c r="KC183" s="38" t="n">
        <v>0</v>
      </c>
      <c r="KD183" s="284" t="n"/>
      <c r="KE183" s="338">
        <f t="array" ref="KE183">SUMPRODUCT(--(MOD(COLUMN($II183:$KD183),4)=MOD(COLUMN($II183),4)),$II183:$KD183)</f>
        <v/>
      </c>
      <c r="KF183" s="339">
        <f>KE183*$J183</f>
        <v/>
      </c>
      <c r="KG183" s="340">
        <f t="array" ref="KG183">SUMPRODUCT(--(MOD(COLUMN($II183:$KD183),4)=MOD(COLUMN($IJ183),4)),$II183:$KD183)</f>
        <v/>
      </c>
      <c r="KH183" s="341">
        <f>KG183*$J183</f>
        <v/>
      </c>
      <c r="KI183" s="342">
        <f t="array" ref="KI183">SUMPRODUCT(--(MOD(COLUMN($II183:$KD183),4)=MOD(COLUMN($IK183),4)),$II183:$KD183)</f>
        <v/>
      </c>
      <c r="KJ183" s="346">
        <f>KI183*$J183</f>
        <v/>
      </c>
      <c r="KK183" s="80" t="n"/>
      <c r="KL183" s="80" t="n"/>
      <c r="KM183" s="80" t="n"/>
      <c r="KN183" s="51" t="n">
        <v>1</v>
      </c>
      <c r="KO183" s="347" t="n"/>
    </row>
    <row r="184" outlineLevel="1" ht="43.2" customFormat="1" customHeight="1" s="68">
      <c r="A184" s="347" t="n"/>
      <c r="B184" s="347" t="n"/>
      <c r="C184" s="347" t="n"/>
      <c r="D184" s="347" t="n"/>
      <c r="E184" s="60" t="n">
        <v>3</v>
      </c>
      <c r="F184" s="60" t="n">
        <v>1</v>
      </c>
      <c r="G184" s="56" t="n">
        <v>9710029000</v>
      </c>
      <c r="H184" s="57" t="inlineStr">
        <is>
          <t>Воздухораспределитель с клапаном растормаживания</t>
        </is>
      </c>
      <c r="I184" s="348" t="n">
        <v>543.3673469387755</v>
      </c>
      <c r="J184" s="337">
        <f>639/1.2*1.0863</f>
        <v/>
      </c>
      <c r="K184" s="348" t="n"/>
      <c r="L184" s="348" t="n"/>
      <c r="M184" s="36" t="n"/>
      <c r="N184" s="284" t="n"/>
      <c r="O184" s="38" t="n"/>
      <c r="P184" s="284" t="n"/>
      <c r="Q184" s="36" t="n"/>
      <c r="R184" s="284" t="n"/>
      <c r="S184" s="38" t="n"/>
      <c r="T184" s="284" t="n"/>
      <c r="U184" s="36" t="n"/>
      <c r="V184" s="284" t="n"/>
      <c r="W184" s="38" t="n"/>
      <c r="X184" s="284" t="n"/>
      <c r="Y184" s="36" t="n"/>
      <c r="Z184" s="284" t="n"/>
      <c r="AA184" s="38" t="n"/>
      <c r="AB184" s="284" t="n"/>
      <c r="AC184" s="36" t="n"/>
      <c r="AD184" s="284" t="n"/>
      <c r="AE184" s="38" t="n"/>
      <c r="AF184" s="284" t="n"/>
      <c r="AG184" s="36" t="n"/>
      <c r="AH184" s="284" t="n"/>
      <c r="AI184" s="38" t="n"/>
      <c r="AJ184" s="284" t="n"/>
      <c r="AK184" s="36" t="n"/>
      <c r="AL184" s="284" t="n"/>
      <c r="AM184" s="38" t="n"/>
      <c r="AN184" s="284" t="n"/>
      <c r="AO184" s="36" t="n"/>
      <c r="AP184" s="284" t="n"/>
      <c r="AQ184" s="38" t="n"/>
      <c r="AR184" s="284" t="n"/>
      <c r="AS184" s="36" t="n"/>
      <c r="AT184" s="284" t="n"/>
      <c r="AU184" s="38" t="n">
        <v>0</v>
      </c>
      <c r="AV184" s="284" t="n"/>
      <c r="AW184" s="36" t="n"/>
      <c r="AX184" s="284" t="n"/>
      <c r="AY184" s="38" t="n"/>
      <c r="AZ184" s="96" t="n"/>
      <c r="BA184" s="36" t="n"/>
      <c r="BB184" s="284" t="n"/>
      <c r="BC184" s="99" t="n">
        <v>0</v>
      </c>
      <c r="BD184" s="284" t="n"/>
      <c r="BE184" s="36" t="n"/>
      <c r="BF184" s="284" t="n"/>
      <c r="BG184" s="54" t="n">
        <v>0</v>
      </c>
      <c r="BH184" s="284" t="n"/>
      <c r="BI184" s="338">
        <f>SUMPRODUCT(--(MOD(COLUMN($M184:$BH184),4)=MOD(COLUMN($M184),4)),$M184:$BH184)</f>
        <v/>
      </c>
      <c r="BJ184" s="339">
        <f>BI184*$I184</f>
        <v/>
      </c>
      <c r="BK184" s="340">
        <f>SUMPRODUCT(--(MOD(COLUMN($M184:$BH184),4)=MOD(COLUMN($M184)+1,4)),$M184:$BH184)</f>
        <v/>
      </c>
      <c r="BL184" s="341">
        <f>BK184*$I184</f>
        <v/>
      </c>
      <c r="BM184" s="342">
        <f>SUMPRODUCT(--(MOD(COLUMN($M184:$BH184),4)=MOD(COLUMN($M184)+2,4)),$M184:$BH184)</f>
        <v/>
      </c>
      <c r="BN184" s="343">
        <f>BM184*$I184</f>
        <v/>
      </c>
      <c r="BO184" s="36">
        <f>$KN184*0</f>
        <v/>
      </c>
      <c r="BP184" s="47">
        <f>$KN184*0</f>
        <v/>
      </c>
      <c r="BQ184" s="284" t="n">
        <v>0</v>
      </c>
      <c r="BR184" s="38" t="n">
        <v>0</v>
      </c>
      <c r="BS184" s="347" t="n"/>
      <c r="BT184" s="36">
        <f>$KN184*3</f>
        <v/>
      </c>
      <c r="BU184" s="47">
        <f>$KN184*0</f>
        <v/>
      </c>
      <c r="BV184" s="284">
        <f>$KN184*0</f>
        <v/>
      </c>
      <c r="BW184" s="38" t="n">
        <v>0</v>
      </c>
      <c r="BX184" s="284" t="n"/>
      <c r="BY184" s="36">
        <f>$KN184*3</f>
        <v/>
      </c>
      <c r="BZ184" s="47">
        <f>$KN184*1</f>
        <v/>
      </c>
      <c r="CA184" s="284">
        <f>$KN184*0</f>
        <v/>
      </c>
      <c r="CB184" s="38" t="n">
        <v>0</v>
      </c>
      <c r="CC184" s="284" t="n"/>
      <c r="CD184" s="36">
        <f>$KN184*3</f>
        <v/>
      </c>
      <c r="CE184" s="47">
        <f>$KN184*1</f>
        <v/>
      </c>
      <c r="CF184" s="284">
        <f>$KN184*0</f>
        <v/>
      </c>
      <c r="CG184" s="38" t="n">
        <v>0</v>
      </c>
      <c r="CH184" s="284" t="n"/>
      <c r="CI184" s="36">
        <f>$KN184*3</f>
        <v/>
      </c>
      <c r="CJ184" s="47">
        <f>$KN184*1</f>
        <v/>
      </c>
      <c r="CK184" s="284">
        <f>$KN184*0</f>
        <v/>
      </c>
      <c r="CL184" s="38" t="n">
        <v>0</v>
      </c>
      <c r="CM184" s="284" t="n"/>
      <c r="CN184" s="36">
        <f>$KN184*3</f>
        <v/>
      </c>
      <c r="CO184" s="47">
        <f>$KN184*1</f>
        <v/>
      </c>
      <c r="CP184" s="284">
        <f>$KN184*0</f>
        <v/>
      </c>
      <c r="CQ184" s="38" t="n">
        <v>0</v>
      </c>
      <c r="CR184" s="284" t="n"/>
      <c r="CS184" s="36">
        <f>$KN184*3</f>
        <v/>
      </c>
      <c r="CT184" s="47">
        <f>$KN184*1</f>
        <v/>
      </c>
      <c r="CU184" s="284">
        <f>$KN184*0</f>
        <v/>
      </c>
      <c r="CV184" s="38" t="n">
        <v>0</v>
      </c>
      <c r="CW184" s="284" t="n"/>
      <c r="CX184" s="36">
        <f>$KN184*3</f>
        <v/>
      </c>
      <c r="CY184" s="47">
        <f>$KN184*1</f>
        <v/>
      </c>
      <c r="CZ184" s="284">
        <f>$KN184*0</f>
        <v/>
      </c>
      <c r="DA184" s="38" t="n">
        <v>0</v>
      </c>
      <c r="DB184" s="284" t="n"/>
      <c r="DC184" s="36">
        <f>$KN184*3</f>
        <v/>
      </c>
      <c r="DD184" s="47">
        <f>$KN184*1</f>
        <v/>
      </c>
      <c r="DE184" s="284">
        <f>$KN184*0</f>
        <v/>
      </c>
      <c r="DF184" s="38" t="n">
        <v>0</v>
      </c>
      <c r="DG184" s="284" t="n"/>
      <c r="DH184" s="36">
        <f>$KN184*3</f>
        <v/>
      </c>
      <c r="DI184" s="47">
        <f>$KN184*1</f>
        <v/>
      </c>
      <c r="DJ184" s="284">
        <f>$KN184*0</f>
        <v/>
      </c>
      <c r="DK184" s="38" t="n">
        <v>0</v>
      </c>
      <c r="DL184" s="284" t="n"/>
      <c r="DM184" s="36">
        <f>$KN184*3</f>
        <v/>
      </c>
      <c r="DN184" s="47">
        <f>$KN184*1</f>
        <v/>
      </c>
      <c r="DO184" s="284">
        <f>$KN184*0</f>
        <v/>
      </c>
      <c r="DP184" s="38" t="n">
        <v>0</v>
      </c>
      <c r="DQ184" s="284" t="n"/>
      <c r="DR184" s="36">
        <f>$KN184*3</f>
        <v/>
      </c>
      <c r="DS184" s="47">
        <f>$KN184*1</f>
        <v/>
      </c>
      <c r="DT184" s="284">
        <f>$KN184*0</f>
        <v/>
      </c>
      <c r="DU184" s="38" t="n">
        <v>0</v>
      </c>
      <c r="DV184" s="284" t="n"/>
      <c r="DW184" s="338">
        <f t="array" ref="DW184">SUMPRODUCT(--(MOD(COLUMN($BO184:$DV184),5)=MOD(COLUMN($BO184),5)),$BO184:$DV184)</f>
        <v/>
      </c>
      <c r="DX184" s="339">
        <f>DW184*$J184</f>
        <v/>
      </c>
      <c r="DY184" s="344">
        <f t="array" ref="DY184">SUMPRODUCT(--(MOD(COLUMN($BO184:$DV184),5)=MOD(COLUMN($BP184),5)),$BO184:$DV184)</f>
        <v/>
      </c>
      <c r="DZ184" s="345">
        <f>DY184*$J184</f>
        <v/>
      </c>
      <c r="EA184" s="340">
        <f t="array" ref="EA184">SUMPRODUCT(--(MOD(COLUMN($BO184:$DV184),5)=MOD(COLUMN($BQ184),5)),$BO184:$DV184)</f>
        <v/>
      </c>
      <c r="EB184" s="341">
        <f>EA184*$J184</f>
        <v/>
      </c>
      <c r="EC184" s="342">
        <f t="array" ref="EC184">SUMPRODUCT(--(MOD(COLUMN($BO184:$DV184),5)=MOD(COLUMN($BR184),5)),$BO184:$DV184)</f>
        <v/>
      </c>
      <c r="ED184" s="343">
        <f>EC184*$J184</f>
        <v/>
      </c>
      <c r="EE184" s="36">
        <f>$KN184*1</f>
        <v/>
      </c>
      <c r="EF184" s="284" t="n">
        <v>1</v>
      </c>
      <c r="EG184" s="38" t="n">
        <v>0</v>
      </c>
      <c r="EH184" s="284" t="n"/>
      <c r="EI184" s="36">
        <f>$KN184*1</f>
        <v/>
      </c>
      <c r="EJ184" s="284" t="n">
        <v>0</v>
      </c>
      <c r="EK184" s="38" t="n">
        <v>0</v>
      </c>
      <c r="EL184" s="284" t="n"/>
      <c r="EM184" s="36">
        <f>$KN184*1</f>
        <v/>
      </c>
      <c r="EN184" s="284" t="n">
        <v>0</v>
      </c>
      <c r="EO184" s="38" t="n">
        <v>0</v>
      </c>
      <c r="EP184" s="284" t="n"/>
      <c r="EQ184" s="36">
        <f>$KN184*2</f>
        <v/>
      </c>
      <c r="ER184" s="284" t="n">
        <v>0</v>
      </c>
      <c r="ES184" s="38" t="n">
        <v>0</v>
      </c>
      <c r="ET184" s="284" t="n"/>
      <c r="EU184" s="36">
        <f>$KN184*2</f>
        <v/>
      </c>
      <c r="EV184" s="284" t="n">
        <v>0</v>
      </c>
      <c r="EW184" s="38" t="n">
        <v>0</v>
      </c>
      <c r="EX184" s="284" t="n"/>
      <c r="EY184" s="36">
        <f>$KN184*2</f>
        <v/>
      </c>
      <c r="EZ184" s="284" t="n">
        <v>2</v>
      </c>
      <c r="FA184" s="38" t="n">
        <v>0</v>
      </c>
      <c r="FB184" s="284" t="n"/>
      <c r="FC184" s="36">
        <f>$KN184*3</f>
        <v/>
      </c>
      <c r="FD184" s="284" t="n">
        <v>3</v>
      </c>
      <c r="FE184" s="38" t="n">
        <v>0</v>
      </c>
      <c r="FF184" s="284" t="n"/>
      <c r="FG184" s="36">
        <f>$KN184*3</f>
        <v/>
      </c>
      <c r="FH184" s="284" t="n">
        <v>3</v>
      </c>
      <c r="FI184" s="38" t="n">
        <v>0</v>
      </c>
      <c r="FJ184" s="284" t="n"/>
      <c r="FK184" s="36">
        <f>$KN184*3</f>
        <v/>
      </c>
      <c r="FL184" s="284" t="n">
        <v>3</v>
      </c>
      <c r="FM184" s="38" t="n">
        <v>0</v>
      </c>
      <c r="FN184" s="284" t="n"/>
      <c r="FO184" s="36">
        <f>$KN184*4</f>
        <v/>
      </c>
      <c r="FP184" s="284" t="n">
        <v>4</v>
      </c>
      <c r="FQ184" s="38" t="n">
        <v>0</v>
      </c>
      <c r="FR184" s="284" t="n"/>
      <c r="FS184" s="36">
        <f>$KN184*4</f>
        <v/>
      </c>
      <c r="FT184" s="284" t="n">
        <v>4</v>
      </c>
      <c r="FU184" s="38" t="n">
        <v>0</v>
      </c>
      <c r="FV184" s="284" t="n"/>
      <c r="FW184" s="36">
        <f>$KN184*4</f>
        <v/>
      </c>
      <c r="FX184" s="284" t="n">
        <v>4</v>
      </c>
      <c r="FY184" s="38" t="n">
        <v>0</v>
      </c>
      <c r="FZ184" s="284" t="n"/>
      <c r="GA184" s="338">
        <f t="array" ref="GA184">SUMPRODUCT(--(MOD(COLUMN($EE184:$FZ184),4)=MOD(COLUMN($EE184),4)),$EE184:$FZ184)</f>
        <v/>
      </c>
      <c r="GB184" s="339">
        <f>GA184*$J184</f>
        <v/>
      </c>
      <c r="GC184" s="340">
        <f t="array" ref="GC184">SUMPRODUCT(--(MOD(COLUMN($EE184:$FZ184),4)=MOD(COLUMN($EF184),4)),$EE184:$FZ184)</f>
        <v/>
      </c>
      <c r="GD184" s="341">
        <f>GC184*$J184</f>
        <v/>
      </c>
      <c r="GE184" s="342">
        <f t="array" ref="GE184">SUMPRODUCT(--(MOD(COLUMN($EE184:$FZ184),4)=MOD(COLUMN($EG184),4)),$EE184:$FZ184)</f>
        <v/>
      </c>
      <c r="GF184" s="343">
        <f>GE184*$J184</f>
        <v/>
      </c>
      <c r="GG184" s="36">
        <f>$KN184*3</f>
        <v/>
      </c>
      <c r="GH184" s="284" t="n"/>
      <c r="GI184" s="38" t="n">
        <v>0</v>
      </c>
      <c r="GJ184" s="284" t="n"/>
      <c r="GK184" s="36">
        <f>$KN184*3</f>
        <v/>
      </c>
      <c r="GL184" s="284" t="n"/>
      <c r="GM184" s="38" t="n">
        <v>0</v>
      </c>
      <c r="GN184" s="284" t="n"/>
      <c r="GO184" s="36">
        <f>$KN184*3</f>
        <v/>
      </c>
      <c r="GP184" s="284" t="n"/>
      <c r="GQ184" s="38" t="n">
        <v>0</v>
      </c>
      <c r="GR184" s="284" t="n"/>
      <c r="GS184" s="36">
        <f>$KN184*5</f>
        <v/>
      </c>
      <c r="GT184" s="284" t="n"/>
      <c r="GU184" s="38" t="n">
        <v>0</v>
      </c>
      <c r="GV184" s="284" t="n"/>
      <c r="GW184" s="36">
        <f>$KN184*5</f>
        <v/>
      </c>
      <c r="GX184" s="284" t="n"/>
      <c r="GY184" s="38" t="n">
        <v>0</v>
      </c>
      <c r="GZ184" s="284" t="n"/>
      <c r="HA184" s="36">
        <f>$KN184*5</f>
        <v/>
      </c>
      <c r="HB184" s="284" t="n"/>
      <c r="HC184" s="38" t="n">
        <v>0</v>
      </c>
      <c r="HD184" s="284" t="n"/>
      <c r="HE184" s="36">
        <f>$KN184*5</f>
        <v/>
      </c>
      <c r="HF184" s="284" t="n"/>
      <c r="HG184" s="38" t="n">
        <v>0</v>
      </c>
      <c r="HH184" s="284" t="n"/>
      <c r="HI184" s="36">
        <f>$KN184*5</f>
        <v/>
      </c>
      <c r="HJ184" s="284" t="n"/>
      <c r="HK184" s="38" t="n">
        <v>0</v>
      </c>
      <c r="HL184" s="284" t="n"/>
      <c r="HM184" s="36">
        <f>$KN184*5</f>
        <v/>
      </c>
      <c r="HN184" s="284" t="n"/>
      <c r="HO184" s="38" t="n">
        <v>0</v>
      </c>
      <c r="HP184" s="284" t="n"/>
      <c r="HQ184" s="36">
        <f>$KN184*5</f>
        <v/>
      </c>
      <c r="HR184" s="284" t="n"/>
      <c r="HS184" s="38" t="n">
        <v>0</v>
      </c>
      <c r="HT184" s="284" t="n"/>
      <c r="HU184" s="36">
        <f>$KN184*5</f>
        <v/>
      </c>
      <c r="HV184" s="284" t="n"/>
      <c r="HW184" s="38" t="n">
        <v>0</v>
      </c>
      <c r="HX184" s="284" t="n"/>
      <c r="HY184" s="36">
        <f>$KN184*5</f>
        <v/>
      </c>
      <c r="HZ184" s="284" t="n"/>
      <c r="IA184" s="38" t="n">
        <v>0</v>
      </c>
      <c r="IB184" s="284" t="n"/>
      <c r="IC184" s="338">
        <f t="array" ref="IC184">SUMPRODUCT(--(MOD(COLUMN($GG184:$IB184),4)=MOD(COLUMN($GG184),4)),$GG184:$IB184)</f>
        <v/>
      </c>
      <c r="ID184" s="339">
        <f>IC184*$J184</f>
        <v/>
      </c>
      <c r="IE184" s="340">
        <f t="array" ref="IE184">SUMPRODUCT(--(MOD(COLUMN($GG184:$IB184),4)=MOD(COLUMN($GH184),4)),$GG184:$IB184)</f>
        <v/>
      </c>
      <c r="IF184" s="341">
        <f>IE184*$J184</f>
        <v/>
      </c>
      <c r="IG184" s="342">
        <f t="array" ref="IG184">SUMPRODUCT(--(MOD(COLUMN($GG184:$IB184),4)=MOD(COLUMN($GI184),4)),$GG184:$IB184)</f>
        <v/>
      </c>
      <c r="IH184" s="343">
        <f>IG184*$J184</f>
        <v/>
      </c>
      <c r="II184" s="36">
        <f>$KN184*3</f>
        <v/>
      </c>
      <c r="IJ184" s="284" t="n"/>
      <c r="IK184" s="38" t="n">
        <v>0</v>
      </c>
      <c r="IL184" s="284" t="n"/>
      <c r="IM184" s="36">
        <f>$KN184*3</f>
        <v/>
      </c>
      <c r="IN184" s="284" t="n"/>
      <c r="IO184" s="38" t="n">
        <v>0</v>
      </c>
      <c r="IP184" s="284" t="n"/>
      <c r="IQ184" s="36">
        <f>$KN184*3</f>
        <v/>
      </c>
      <c r="IR184" s="284" t="n"/>
      <c r="IS184" s="38" t="n">
        <v>0</v>
      </c>
      <c r="IT184" s="284" t="n"/>
      <c r="IU184" s="36">
        <f>$KN184*5</f>
        <v/>
      </c>
      <c r="IV184" s="284" t="n"/>
      <c r="IW184" s="38" t="n">
        <v>0</v>
      </c>
      <c r="IX184" s="284" t="n"/>
      <c r="IY184" s="36">
        <f>$KN184*5</f>
        <v/>
      </c>
      <c r="IZ184" s="284" t="n"/>
      <c r="JA184" s="38" t="n">
        <v>0</v>
      </c>
      <c r="JB184" s="284" t="n"/>
      <c r="JC184" s="36">
        <f>$KN184*5</f>
        <v/>
      </c>
      <c r="JD184" s="284" t="n"/>
      <c r="JE184" s="38" t="n">
        <v>0</v>
      </c>
      <c r="JF184" s="284" t="n"/>
      <c r="JG184" s="36">
        <f>$KN184*5</f>
        <v/>
      </c>
      <c r="JH184" s="284" t="n"/>
      <c r="JI184" s="38" t="n">
        <v>0</v>
      </c>
      <c r="JJ184" s="284" t="n"/>
      <c r="JK184" s="36">
        <f>$KN184*5</f>
        <v/>
      </c>
      <c r="JL184" s="284" t="n"/>
      <c r="JM184" s="38" t="n">
        <v>0</v>
      </c>
      <c r="JN184" s="284" t="n"/>
      <c r="JO184" s="36">
        <f>$KN184*5</f>
        <v/>
      </c>
      <c r="JP184" s="284" t="n"/>
      <c r="JQ184" s="38" t="n">
        <v>0</v>
      </c>
      <c r="JR184" s="284" t="n"/>
      <c r="JS184" s="36">
        <f>$KN184*5</f>
        <v/>
      </c>
      <c r="JT184" s="284" t="n"/>
      <c r="JU184" s="38" t="n">
        <v>0</v>
      </c>
      <c r="JV184" s="284" t="n"/>
      <c r="JW184" s="36">
        <f>$KN184*5</f>
        <v/>
      </c>
      <c r="JX184" s="284" t="n"/>
      <c r="JY184" s="38" t="n">
        <v>0</v>
      </c>
      <c r="JZ184" s="284" t="n"/>
      <c r="KA184" s="36">
        <f>$KN184*5</f>
        <v/>
      </c>
      <c r="KB184" s="284" t="n"/>
      <c r="KC184" s="38" t="n">
        <v>0</v>
      </c>
      <c r="KD184" s="284" t="n"/>
      <c r="KE184" s="338">
        <f t="array" ref="KE184">SUMPRODUCT(--(MOD(COLUMN($II184:$KD184),4)=MOD(COLUMN($II184),4)),$II184:$KD184)</f>
        <v/>
      </c>
      <c r="KF184" s="339">
        <f>KE184*$J184</f>
        <v/>
      </c>
      <c r="KG184" s="340">
        <f t="array" ref="KG184">SUMPRODUCT(--(MOD(COLUMN($II184:$KD184),4)=MOD(COLUMN($IJ184),4)),$II184:$KD184)</f>
        <v/>
      </c>
      <c r="KH184" s="341">
        <f>KG184*$J184</f>
        <v/>
      </c>
      <c r="KI184" s="342">
        <f t="array" ref="KI184">SUMPRODUCT(--(MOD(COLUMN($II184:$KD184),4)=MOD(COLUMN($IK184),4)),$II184:$KD184)</f>
        <v/>
      </c>
      <c r="KJ184" s="346">
        <f>KI184*$J184</f>
        <v/>
      </c>
      <c r="KK184" s="80" t="n"/>
      <c r="KL184" s="80" t="n"/>
      <c r="KM184" s="80" t="n"/>
      <c r="KN184" s="51" t="n">
        <v>1</v>
      </c>
      <c r="KO184" s="347" t="n"/>
    </row>
    <row r="185" outlineLevel="1" ht="28.8" customFormat="1" customHeight="1" s="68">
      <c r="A185" s="347" t="n"/>
      <c r="B185" s="347" t="n"/>
      <c r="C185" s="347" t="n"/>
      <c r="D185" s="347" t="n"/>
      <c r="E185" s="60" t="n">
        <v>4</v>
      </c>
      <c r="F185" s="60" t="n">
        <v>1</v>
      </c>
      <c r="G185" s="56" t="n">
        <v>4801020640</v>
      </c>
      <c r="H185" s="57" t="inlineStr">
        <is>
          <t>Модулятор EBS, с PEM, без фит.</t>
        </is>
      </c>
      <c r="I185" s="348">
        <f>4169.1/1.2*1.0863*1.048</f>
        <v/>
      </c>
      <c r="J185" s="337">
        <f>4169/1.2*1.0863*1.048*1.05</f>
        <v/>
      </c>
      <c r="K185" s="348" t="n"/>
      <c r="L185" s="348" t="n"/>
      <c r="M185" s="36" t="n"/>
      <c r="N185" s="284" t="n"/>
      <c r="O185" s="38" t="n"/>
      <c r="P185" s="284" t="n"/>
      <c r="Q185" s="36" t="n"/>
      <c r="R185" s="284" t="n"/>
      <c r="S185" s="38" t="n"/>
      <c r="T185" s="284" t="n"/>
      <c r="U185" s="36" t="n"/>
      <c r="V185" s="284" t="n"/>
      <c r="W185" s="38" t="n"/>
      <c r="X185" s="284" t="n"/>
      <c r="Y185" s="36" t="n"/>
      <c r="Z185" s="284" t="n"/>
      <c r="AA185" s="38" t="n"/>
      <c r="AB185" s="284" t="n"/>
      <c r="AC185" s="36" t="n"/>
      <c r="AD185" s="284" t="n"/>
      <c r="AE185" s="38" t="n"/>
      <c r="AF185" s="284" t="n"/>
      <c r="AG185" s="36" t="n"/>
      <c r="AH185" s="284" t="n"/>
      <c r="AI185" s="38" t="n"/>
      <c r="AJ185" s="284" t="n"/>
      <c r="AK185" s="36" t="n"/>
      <c r="AL185" s="284" t="n"/>
      <c r="AM185" s="38" t="n"/>
      <c r="AN185" s="284" t="n"/>
      <c r="AO185" s="36" t="n"/>
      <c r="AP185" s="284" t="n"/>
      <c r="AQ185" s="38" t="n"/>
      <c r="AR185" s="284" t="n"/>
      <c r="AS185" s="36" t="n"/>
      <c r="AT185" s="284" t="n"/>
      <c r="AU185" s="38" t="n">
        <v>0</v>
      </c>
      <c r="AV185" s="284" t="n"/>
      <c r="AW185" s="36" t="n"/>
      <c r="AX185" s="284" t="n"/>
      <c r="AY185" s="38" t="n"/>
      <c r="AZ185" s="96" t="n"/>
      <c r="BA185" s="36" t="n"/>
      <c r="BB185" s="284" t="n"/>
      <c r="BC185" s="99" t="n">
        <v>0</v>
      </c>
      <c r="BD185" s="284" t="n"/>
      <c r="BE185" s="36" t="n"/>
      <c r="BF185" s="284" t="n"/>
      <c r="BG185" s="54" t="n">
        <v>0</v>
      </c>
      <c r="BH185" s="284" t="n"/>
      <c r="BI185" s="338">
        <f>SUMPRODUCT(--(MOD(COLUMN($M185:$BH185),4)=MOD(COLUMN($M185),4)),$M185:$BH185)</f>
        <v/>
      </c>
      <c r="BJ185" s="339">
        <f>BI185*$I185</f>
        <v/>
      </c>
      <c r="BK185" s="340">
        <f>SUMPRODUCT(--(MOD(COLUMN($M185:$BH185),4)=MOD(COLUMN($M185)+1,4)),$M185:$BH185)</f>
        <v/>
      </c>
      <c r="BL185" s="341">
        <f>BK185*$I185</f>
        <v/>
      </c>
      <c r="BM185" s="342">
        <f>SUMPRODUCT(--(MOD(COLUMN($M185:$BH185),4)=MOD(COLUMN($M185)+2,4)),$M185:$BH185)</f>
        <v/>
      </c>
      <c r="BN185" s="343">
        <f>BM185*$I185</f>
        <v/>
      </c>
      <c r="BO185" s="36">
        <f>$KN185*0</f>
        <v/>
      </c>
      <c r="BP185" s="47">
        <f>$KN185*0</f>
        <v/>
      </c>
      <c r="BQ185" s="284" t="n">
        <v>0</v>
      </c>
      <c r="BR185" s="38" t="n">
        <v>0</v>
      </c>
      <c r="BS185" s="347" t="n"/>
      <c r="BT185" s="36">
        <f>$KN185*3</f>
        <v/>
      </c>
      <c r="BU185" s="47">
        <f>$KN185*0</f>
        <v/>
      </c>
      <c r="BV185" s="284">
        <f>$KN185*0</f>
        <v/>
      </c>
      <c r="BW185" s="38" t="n">
        <v>0</v>
      </c>
      <c r="BX185" s="284" t="n"/>
      <c r="BY185" s="36">
        <f>$KN185*3</f>
        <v/>
      </c>
      <c r="BZ185" s="47">
        <f>$KN185*1</f>
        <v/>
      </c>
      <c r="CA185" s="284">
        <f>$KN185*0</f>
        <v/>
      </c>
      <c r="CB185" s="38" t="n">
        <v>0</v>
      </c>
      <c r="CC185" s="284" t="n"/>
      <c r="CD185" s="36">
        <f>$KN185*3</f>
        <v/>
      </c>
      <c r="CE185" s="47">
        <f>$KN185*1</f>
        <v/>
      </c>
      <c r="CF185" s="284">
        <f>$KN185*0</f>
        <v/>
      </c>
      <c r="CG185" s="38" t="n">
        <v>0</v>
      </c>
      <c r="CH185" s="284" t="n"/>
      <c r="CI185" s="36">
        <f>$KN185*3</f>
        <v/>
      </c>
      <c r="CJ185" s="47">
        <f>$KN185*1</f>
        <v/>
      </c>
      <c r="CK185" s="284">
        <f>$KN185*0</f>
        <v/>
      </c>
      <c r="CL185" s="38" t="n">
        <v>0</v>
      </c>
      <c r="CM185" s="284" t="n"/>
      <c r="CN185" s="36">
        <f>$KN185*3</f>
        <v/>
      </c>
      <c r="CO185" s="47">
        <f>$KN185*1</f>
        <v/>
      </c>
      <c r="CP185" s="284">
        <f>$KN185*0</f>
        <v/>
      </c>
      <c r="CQ185" s="38" t="n">
        <v>0</v>
      </c>
      <c r="CR185" s="284" t="n"/>
      <c r="CS185" s="36">
        <f>$KN185*3</f>
        <v/>
      </c>
      <c r="CT185" s="47">
        <f>$KN185*1</f>
        <v/>
      </c>
      <c r="CU185" s="284">
        <f>$KN185*0</f>
        <v/>
      </c>
      <c r="CV185" s="38" t="n">
        <v>0</v>
      </c>
      <c r="CW185" s="284" t="n"/>
      <c r="CX185" s="36">
        <f>$KN185*3</f>
        <v/>
      </c>
      <c r="CY185" s="47">
        <f>$KN185*1</f>
        <v/>
      </c>
      <c r="CZ185" s="284">
        <f>$KN185*0</f>
        <v/>
      </c>
      <c r="DA185" s="38" t="n">
        <v>0</v>
      </c>
      <c r="DB185" s="284" t="n"/>
      <c r="DC185" s="36">
        <f>$KN185*3</f>
        <v/>
      </c>
      <c r="DD185" s="47">
        <f>$KN185*1</f>
        <v/>
      </c>
      <c r="DE185" s="284">
        <f>$KN185*0</f>
        <v/>
      </c>
      <c r="DF185" s="38" t="n">
        <v>0</v>
      </c>
      <c r="DG185" s="284" t="n"/>
      <c r="DH185" s="36">
        <f>$KN185*3</f>
        <v/>
      </c>
      <c r="DI185" s="47">
        <f>$KN185*1</f>
        <v/>
      </c>
      <c r="DJ185" s="284">
        <f>$KN185*0</f>
        <v/>
      </c>
      <c r="DK185" s="52" t="n">
        <v>0</v>
      </c>
      <c r="DL185" s="284" t="n"/>
      <c r="DM185" s="36">
        <f>$KN185*3</f>
        <v/>
      </c>
      <c r="DN185" s="47">
        <f>$KN185*1</f>
        <v/>
      </c>
      <c r="DO185" s="284">
        <f>$KN185*0</f>
        <v/>
      </c>
      <c r="DP185" s="38" t="n">
        <v>0</v>
      </c>
      <c r="DQ185" s="284" t="n"/>
      <c r="DR185" s="36">
        <f>$KN185*3</f>
        <v/>
      </c>
      <c r="DS185" s="47">
        <f>$KN185*1</f>
        <v/>
      </c>
      <c r="DT185" s="284">
        <f>$KN185*0</f>
        <v/>
      </c>
      <c r="DU185" s="38" t="n">
        <v>0</v>
      </c>
      <c r="DV185" s="284" t="n"/>
      <c r="DW185" s="338">
        <f t="array" ref="DW185">SUMPRODUCT(--(MOD(COLUMN($BO185:$DV185),5)=MOD(COLUMN($BO185),5)),$BO185:$DV185)</f>
        <v/>
      </c>
      <c r="DX185" s="339">
        <f>DW185*$J185</f>
        <v/>
      </c>
      <c r="DY185" s="344">
        <f t="array" ref="DY185">SUMPRODUCT(--(MOD(COLUMN($BO185:$DV185),5)=MOD(COLUMN($BP185),5)),$BO185:$DV185)</f>
        <v/>
      </c>
      <c r="DZ185" s="345">
        <f>DY185*$J185</f>
        <v/>
      </c>
      <c r="EA185" s="340">
        <f t="array" ref="EA185">SUMPRODUCT(--(MOD(COLUMN($BO185:$DV185),5)=MOD(COLUMN($BQ185),5)),$BO185:$DV185)</f>
        <v/>
      </c>
      <c r="EB185" s="341">
        <f>EA185*$J185</f>
        <v/>
      </c>
      <c r="EC185" s="342">
        <f t="array" ref="EC185">SUMPRODUCT(--(MOD(COLUMN($BO185:$DV185),5)=MOD(COLUMN($BR185),5)),$BO185:$DV185)</f>
        <v/>
      </c>
      <c r="ED185" s="343">
        <f>EC185*$J185</f>
        <v/>
      </c>
      <c r="EE185" s="36">
        <f>$KN185*1</f>
        <v/>
      </c>
      <c r="EF185" s="284" t="n">
        <v>1</v>
      </c>
      <c r="EG185" s="38" t="n">
        <v>0</v>
      </c>
      <c r="EH185" s="284" t="n"/>
      <c r="EI185" s="36">
        <f>$KN185*1</f>
        <v/>
      </c>
      <c r="EJ185" s="284" t="n">
        <v>0</v>
      </c>
      <c r="EK185" s="38" t="n">
        <v>0</v>
      </c>
      <c r="EL185" s="284" t="n"/>
      <c r="EM185" s="36">
        <f>$KN185*1</f>
        <v/>
      </c>
      <c r="EN185" s="284" t="n">
        <v>0</v>
      </c>
      <c r="EO185" s="38" t="n">
        <v>0</v>
      </c>
      <c r="EP185" s="284" t="n"/>
      <c r="EQ185" s="36">
        <f>$KN185*2</f>
        <v/>
      </c>
      <c r="ER185" s="284" t="n">
        <v>0</v>
      </c>
      <c r="ES185" s="38" t="n">
        <v>0</v>
      </c>
      <c r="ET185" s="284" t="n"/>
      <c r="EU185" s="36">
        <f>$KN185*2</f>
        <v/>
      </c>
      <c r="EV185" s="284" t="n">
        <v>0</v>
      </c>
      <c r="EW185" s="38" t="n">
        <v>0</v>
      </c>
      <c r="EX185" s="284" t="n"/>
      <c r="EY185" s="36">
        <f>$KN185*2</f>
        <v/>
      </c>
      <c r="EZ185" s="284" t="n">
        <v>2</v>
      </c>
      <c r="FA185" s="38" t="n">
        <v>0</v>
      </c>
      <c r="FB185" s="284" t="n"/>
      <c r="FC185" s="36">
        <f>$KN185*3</f>
        <v/>
      </c>
      <c r="FD185" s="284" t="n">
        <v>3</v>
      </c>
      <c r="FE185" s="38" t="n">
        <v>0</v>
      </c>
      <c r="FF185" s="284" t="n"/>
      <c r="FG185" s="36">
        <f>$KN185*3</f>
        <v/>
      </c>
      <c r="FH185" s="284" t="n">
        <v>3</v>
      </c>
      <c r="FI185" s="38" t="n">
        <v>0</v>
      </c>
      <c r="FJ185" s="284" t="n"/>
      <c r="FK185" s="36">
        <f>$KN185*3</f>
        <v/>
      </c>
      <c r="FL185" s="284" t="n">
        <v>3</v>
      </c>
      <c r="FM185" s="38" t="n">
        <v>0</v>
      </c>
      <c r="FN185" s="284" t="n"/>
      <c r="FO185" s="36">
        <f>$KN185*4</f>
        <v/>
      </c>
      <c r="FP185" s="284" t="n">
        <v>4</v>
      </c>
      <c r="FQ185" s="38" t="n">
        <v>0</v>
      </c>
      <c r="FR185" s="284" t="n"/>
      <c r="FS185" s="36">
        <f>$KN185*4</f>
        <v/>
      </c>
      <c r="FT185" s="284" t="n">
        <v>4</v>
      </c>
      <c r="FU185" s="38" t="n">
        <v>0</v>
      </c>
      <c r="FV185" s="284" t="n"/>
      <c r="FW185" s="36">
        <f>$KN185*4</f>
        <v/>
      </c>
      <c r="FX185" s="284" t="n">
        <v>4</v>
      </c>
      <c r="FY185" s="38" t="n">
        <v>0</v>
      </c>
      <c r="FZ185" s="284" t="n"/>
      <c r="GA185" s="338">
        <f t="array" ref="GA185">SUMPRODUCT(--(MOD(COLUMN($EE185:$FZ185),4)=MOD(COLUMN($EE185),4)),$EE185:$FZ185)</f>
        <v/>
      </c>
      <c r="GB185" s="339">
        <f>GA185*$J185</f>
        <v/>
      </c>
      <c r="GC185" s="340">
        <f t="array" ref="GC185">SUMPRODUCT(--(MOD(COLUMN($EE185:$FZ185),4)=MOD(COLUMN($EF185),4)),$EE185:$FZ185)</f>
        <v/>
      </c>
      <c r="GD185" s="341">
        <f>GC185*$J185</f>
        <v/>
      </c>
      <c r="GE185" s="342">
        <f t="array" ref="GE185">SUMPRODUCT(--(MOD(COLUMN($EE185:$FZ185),4)=MOD(COLUMN($EG185),4)),$EE185:$FZ185)</f>
        <v/>
      </c>
      <c r="GF185" s="343">
        <f>GE185*$J185</f>
        <v/>
      </c>
      <c r="GG185" s="36">
        <f>$KN185*3</f>
        <v/>
      </c>
      <c r="GH185" s="284" t="n"/>
      <c r="GI185" s="38" t="n">
        <v>0</v>
      </c>
      <c r="GJ185" s="284" t="n"/>
      <c r="GK185" s="36">
        <f>$KN185*3</f>
        <v/>
      </c>
      <c r="GL185" s="284" t="n"/>
      <c r="GM185" s="38" t="n">
        <v>0</v>
      </c>
      <c r="GN185" s="284" t="n"/>
      <c r="GO185" s="36">
        <f>$KN185*3</f>
        <v/>
      </c>
      <c r="GP185" s="284" t="n"/>
      <c r="GQ185" s="38" t="n">
        <v>0</v>
      </c>
      <c r="GR185" s="284" t="n"/>
      <c r="GS185" s="36">
        <f>$KN185*5</f>
        <v/>
      </c>
      <c r="GT185" s="284" t="n"/>
      <c r="GU185" s="38" t="n">
        <v>0</v>
      </c>
      <c r="GV185" s="284" t="n"/>
      <c r="GW185" s="36">
        <f>$KN185*5</f>
        <v/>
      </c>
      <c r="GX185" s="284" t="n"/>
      <c r="GY185" s="38" t="n">
        <v>0</v>
      </c>
      <c r="GZ185" s="284" t="n"/>
      <c r="HA185" s="36">
        <f>$KN185*5</f>
        <v/>
      </c>
      <c r="HB185" s="284" t="n"/>
      <c r="HC185" s="38" t="n">
        <v>0</v>
      </c>
      <c r="HD185" s="284" t="n"/>
      <c r="HE185" s="36">
        <f>$KN185*5</f>
        <v/>
      </c>
      <c r="HF185" s="284" t="n"/>
      <c r="HG185" s="38" t="n">
        <v>0</v>
      </c>
      <c r="HH185" s="284" t="n"/>
      <c r="HI185" s="36">
        <f>$KN185*5</f>
        <v/>
      </c>
      <c r="HJ185" s="284" t="n"/>
      <c r="HK185" s="38" t="n">
        <v>0</v>
      </c>
      <c r="HL185" s="284" t="n"/>
      <c r="HM185" s="36">
        <f>$KN185*5</f>
        <v/>
      </c>
      <c r="HN185" s="284" t="n"/>
      <c r="HO185" s="38" t="n">
        <v>0</v>
      </c>
      <c r="HP185" s="284" t="n"/>
      <c r="HQ185" s="36">
        <f>$KN185*5</f>
        <v/>
      </c>
      <c r="HR185" s="284" t="n"/>
      <c r="HS185" s="38" t="n">
        <v>0</v>
      </c>
      <c r="HT185" s="284" t="n"/>
      <c r="HU185" s="36">
        <f>$KN185*5</f>
        <v/>
      </c>
      <c r="HV185" s="284" t="n"/>
      <c r="HW185" s="38" t="n">
        <v>0</v>
      </c>
      <c r="HX185" s="284" t="n"/>
      <c r="HY185" s="36">
        <f>$KN185*5</f>
        <v/>
      </c>
      <c r="HZ185" s="284" t="n"/>
      <c r="IA185" s="38" t="n">
        <v>0</v>
      </c>
      <c r="IB185" s="284" t="n"/>
      <c r="IC185" s="338">
        <f t="array" ref="IC185">SUMPRODUCT(--(MOD(COLUMN($GG185:$IB185),4)=MOD(COLUMN($GG185),4)),$GG185:$IB185)</f>
        <v/>
      </c>
      <c r="ID185" s="339">
        <f>IC185*$J185</f>
        <v/>
      </c>
      <c r="IE185" s="340">
        <f t="array" ref="IE185">SUMPRODUCT(--(MOD(COLUMN($GG185:$IB185),4)=MOD(COLUMN($GH185),4)),$GG185:$IB185)</f>
        <v/>
      </c>
      <c r="IF185" s="341">
        <f>IE185*$J185</f>
        <v/>
      </c>
      <c r="IG185" s="342">
        <f t="array" ref="IG185">SUMPRODUCT(--(MOD(COLUMN($GG185:$IB185),4)=MOD(COLUMN($GI185),4)),$GG185:$IB185)</f>
        <v/>
      </c>
      <c r="IH185" s="343">
        <f>IG185*$J185</f>
        <v/>
      </c>
      <c r="II185" s="36">
        <f>$KN185*3</f>
        <v/>
      </c>
      <c r="IJ185" s="284" t="n"/>
      <c r="IK185" s="38" t="n">
        <v>0</v>
      </c>
      <c r="IL185" s="284" t="n"/>
      <c r="IM185" s="36">
        <f>$KN185*3</f>
        <v/>
      </c>
      <c r="IN185" s="284" t="n"/>
      <c r="IO185" s="38" t="n">
        <v>0</v>
      </c>
      <c r="IP185" s="284" t="n"/>
      <c r="IQ185" s="36">
        <f>$KN185*3</f>
        <v/>
      </c>
      <c r="IR185" s="284" t="n"/>
      <c r="IS185" s="38" t="n">
        <v>0</v>
      </c>
      <c r="IT185" s="284" t="n"/>
      <c r="IU185" s="36">
        <f>$KN185*5</f>
        <v/>
      </c>
      <c r="IV185" s="284" t="n"/>
      <c r="IW185" s="38" t="n">
        <v>0</v>
      </c>
      <c r="IX185" s="284" t="n"/>
      <c r="IY185" s="36">
        <f>$KN185*5</f>
        <v/>
      </c>
      <c r="IZ185" s="284" t="n"/>
      <c r="JA185" s="38" t="n">
        <v>0</v>
      </c>
      <c r="JB185" s="284" t="n"/>
      <c r="JC185" s="36">
        <f>$KN185*5</f>
        <v/>
      </c>
      <c r="JD185" s="284" t="n"/>
      <c r="JE185" s="38" t="n">
        <v>0</v>
      </c>
      <c r="JF185" s="284" t="n"/>
      <c r="JG185" s="36">
        <f>$KN185*5</f>
        <v/>
      </c>
      <c r="JH185" s="284" t="n"/>
      <c r="JI185" s="38" t="n">
        <v>0</v>
      </c>
      <c r="JJ185" s="284" t="n"/>
      <c r="JK185" s="36">
        <f>$KN185*5</f>
        <v/>
      </c>
      <c r="JL185" s="284" t="n"/>
      <c r="JM185" s="38" t="n">
        <v>0</v>
      </c>
      <c r="JN185" s="284" t="n"/>
      <c r="JO185" s="36">
        <f>$KN185*5</f>
        <v/>
      </c>
      <c r="JP185" s="284" t="n"/>
      <c r="JQ185" s="38" t="n">
        <v>0</v>
      </c>
      <c r="JR185" s="284" t="n"/>
      <c r="JS185" s="36">
        <f>$KN185*5</f>
        <v/>
      </c>
      <c r="JT185" s="284" t="n"/>
      <c r="JU185" s="38" t="n">
        <v>0</v>
      </c>
      <c r="JV185" s="284" t="n"/>
      <c r="JW185" s="36">
        <f>$KN185*5</f>
        <v/>
      </c>
      <c r="JX185" s="284" t="n"/>
      <c r="JY185" s="38" t="n">
        <v>0</v>
      </c>
      <c r="JZ185" s="284" t="n"/>
      <c r="KA185" s="36">
        <f>$KN185*5</f>
        <v/>
      </c>
      <c r="KB185" s="284" t="n"/>
      <c r="KC185" s="38" t="n">
        <v>0</v>
      </c>
      <c r="KD185" s="284" t="n"/>
      <c r="KE185" s="338">
        <f t="array" ref="KE185">SUMPRODUCT(--(MOD(COLUMN($II185:$KD185),4)=MOD(COLUMN($II185),4)),$II185:$KD185)</f>
        <v/>
      </c>
      <c r="KF185" s="339">
        <f>KE185*$J185</f>
        <v/>
      </c>
      <c r="KG185" s="340">
        <f t="array" ref="KG185">SUMPRODUCT(--(MOD(COLUMN($II185:$KD185),4)=MOD(COLUMN($IJ185),4)),$II185:$KD185)</f>
        <v/>
      </c>
      <c r="KH185" s="341">
        <f>KG185*$J185</f>
        <v/>
      </c>
      <c r="KI185" s="342">
        <f t="array" ref="KI185">SUMPRODUCT(--(MOD(COLUMN($II185:$KD185),4)=MOD(COLUMN($IK185),4)),$II185:$KD185)</f>
        <v/>
      </c>
      <c r="KJ185" s="346">
        <f>KI185*$J185</f>
        <v/>
      </c>
      <c r="KK185" s="80" t="n"/>
      <c r="KL185" s="80" t="n"/>
      <c r="KM185" s="80" t="n"/>
      <c r="KN185" s="51" t="n">
        <v>1</v>
      </c>
      <c r="KO185" s="347" t="n"/>
    </row>
    <row r="186" outlineLevel="1" customFormat="1" s="68">
      <c r="A186" s="347" t="n"/>
      <c r="B186" s="347" t="n"/>
      <c r="C186" s="347" t="n"/>
      <c r="D186" s="347" t="n"/>
      <c r="E186" s="60" t="n">
        <v>5</v>
      </c>
      <c r="F186" s="60" t="n">
        <v>1</v>
      </c>
      <c r="G186" s="56" t="n">
        <v>4491731200</v>
      </c>
      <c r="H186" s="57" t="inlineStr">
        <is>
          <t>Кабель питания, 12 м</t>
        </is>
      </c>
      <c r="I186" s="348" t="n">
        <v>716.1564625850341</v>
      </c>
      <c r="J186" s="337">
        <f>842.2/1.2*1.0863</f>
        <v/>
      </c>
      <c r="K186" s="348" t="n"/>
      <c r="L186" s="348" t="n"/>
      <c r="M186" s="36" t="n"/>
      <c r="N186" s="284" t="n"/>
      <c r="O186" s="38" t="n"/>
      <c r="P186" s="284" t="n"/>
      <c r="Q186" s="36" t="n"/>
      <c r="R186" s="284" t="n"/>
      <c r="S186" s="38" t="n"/>
      <c r="T186" s="284" t="n"/>
      <c r="U186" s="36" t="n"/>
      <c r="V186" s="284" t="n"/>
      <c r="W186" s="38" t="n"/>
      <c r="X186" s="284" t="n"/>
      <c r="Y186" s="36" t="n"/>
      <c r="Z186" s="284" t="n"/>
      <c r="AA186" s="38" t="n"/>
      <c r="AB186" s="284" t="n"/>
      <c r="AC186" s="36" t="n"/>
      <c r="AD186" s="284" t="n"/>
      <c r="AE186" s="38" t="n"/>
      <c r="AF186" s="284" t="n"/>
      <c r="AG186" s="36" t="n"/>
      <c r="AH186" s="284" t="n"/>
      <c r="AI186" s="38" t="n"/>
      <c r="AJ186" s="284" t="n"/>
      <c r="AK186" s="36" t="n"/>
      <c r="AL186" s="284" t="n"/>
      <c r="AM186" s="38" t="n"/>
      <c r="AN186" s="284" t="n"/>
      <c r="AO186" s="36" t="n"/>
      <c r="AP186" s="284" t="n"/>
      <c r="AQ186" s="38" t="n"/>
      <c r="AR186" s="284" t="n"/>
      <c r="AS186" s="36" t="n"/>
      <c r="AT186" s="284" t="n"/>
      <c r="AU186" s="38" t="n">
        <v>0</v>
      </c>
      <c r="AV186" s="284" t="n"/>
      <c r="AW186" s="36" t="n"/>
      <c r="AX186" s="284" t="n"/>
      <c r="AY186" s="38" t="n"/>
      <c r="AZ186" s="96" t="n"/>
      <c r="BA186" s="36" t="n"/>
      <c r="BB186" s="284" t="n"/>
      <c r="BC186" s="99" t="n">
        <v>0</v>
      </c>
      <c r="BD186" s="284" t="n"/>
      <c r="BE186" s="36" t="n"/>
      <c r="BF186" s="284" t="n"/>
      <c r="BG186" s="54" t="n">
        <v>0</v>
      </c>
      <c r="BH186" s="284" t="n"/>
      <c r="BI186" s="338">
        <f>SUMPRODUCT(--(MOD(COLUMN($M186:$BH186),4)=MOD(COLUMN($M186),4)),$M186:$BH186)</f>
        <v/>
      </c>
      <c r="BJ186" s="339">
        <f>BI186*$I186</f>
        <v/>
      </c>
      <c r="BK186" s="340">
        <f>SUMPRODUCT(--(MOD(COLUMN($M186:$BH186),4)=MOD(COLUMN($M186)+1,4)),$M186:$BH186)</f>
        <v/>
      </c>
      <c r="BL186" s="341">
        <f>BK186*$I186</f>
        <v/>
      </c>
      <c r="BM186" s="342">
        <f>SUMPRODUCT(--(MOD(COLUMN($M186:$BH186),4)=MOD(COLUMN($M186)+2,4)),$M186:$BH186)</f>
        <v/>
      </c>
      <c r="BN186" s="343">
        <f>BM186*$I186</f>
        <v/>
      </c>
      <c r="BO186" s="36">
        <f>$KN186*0</f>
        <v/>
      </c>
      <c r="BP186" s="47">
        <f>$KN186*0</f>
        <v/>
      </c>
      <c r="BQ186" s="284" t="n">
        <v>0</v>
      </c>
      <c r="BR186" s="38" t="n">
        <v>0</v>
      </c>
      <c r="BS186" s="347" t="n"/>
      <c r="BT186" s="36">
        <f>$KN186*3</f>
        <v/>
      </c>
      <c r="BU186" s="47">
        <f>$KN186*0</f>
        <v/>
      </c>
      <c r="BV186" s="284">
        <f>$KN186*0</f>
        <v/>
      </c>
      <c r="BW186" s="38" t="n">
        <v>0</v>
      </c>
      <c r="BX186" s="284" t="n"/>
      <c r="BY186" s="36">
        <f>$KN186*3</f>
        <v/>
      </c>
      <c r="BZ186" s="47">
        <f>$KN186*1</f>
        <v/>
      </c>
      <c r="CA186" s="284">
        <f>$KN186*0</f>
        <v/>
      </c>
      <c r="CB186" s="38" t="n">
        <v>0</v>
      </c>
      <c r="CC186" s="284" t="n"/>
      <c r="CD186" s="36">
        <f>$KN186*3</f>
        <v/>
      </c>
      <c r="CE186" s="47">
        <f>$KN186*1</f>
        <v/>
      </c>
      <c r="CF186" s="284">
        <f>$KN186*0</f>
        <v/>
      </c>
      <c r="CG186" s="38" t="n">
        <v>0</v>
      </c>
      <c r="CH186" s="284" t="n"/>
      <c r="CI186" s="36">
        <f>$KN186*3</f>
        <v/>
      </c>
      <c r="CJ186" s="47">
        <f>$KN186*1</f>
        <v/>
      </c>
      <c r="CK186" s="284">
        <f>$KN186*0</f>
        <v/>
      </c>
      <c r="CL186" s="38" t="n">
        <v>0</v>
      </c>
      <c r="CM186" s="284" t="n"/>
      <c r="CN186" s="36">
        <f>$KN186*3</f>
        <v/>
      </c>
      <c r="CO186" s="47">
        <f>$KN186*1</f>
        <v/>
      </c>
      <c r="CP186" s="284">
        <f>$KN186*0</f>
        <v/>
      </c>
      <c r="CQ186" s="38" t="n">
        <v>0</v>
      </c>
      <c r="CR186" s="284" t="n"/>
      <c r="CS186" s="36">
        <f>$KN186*3</f>
        <v/>
      </c>
      <c r="CT186" s="47">
        <f>$KN186*1</f>
        <v/>
      </c>
      <c r="CU186" s="284">
        <f>$KN186*0</f>
        <v/>
      </c>
      <c r="CV186" s="38" t="n">
        <v>0</v>
      </c>
      <c r="CW186" s="284" t="n"/>
      <c r="CX186" s="36">
        <f>$KN186*3</f>
        <v/>
      </c>
      <c r="CY186" s="47">
        <f>$KN186*1</f>
        <v/>
      </c>
      <c r="CZ186" s="284">
        <f>$KN186*0</f>
        <v/>
      </c>
      <c r="DA186" s="38" t="n">
        <v>0</v>
      </c>
      <c r="DB186" s="284" t="n"/>
      <c r="DC186" s="36">
        <f>$KN186*3</f>
        <v/>
      </c>
      <c r="DD186" s="47">
        <f>$KN186*1</f>
        <v/>
      </c>
      <c r="DE186" s="284">
        <f>$KN186*0</f>
        <v/>
      </c>
      <c r="DF186" s="38" t="n">
        <v>0</v>
      </c>
      <c r="DG186" s="284" t="n"/>
      <c r="DH186" s="36">
        <f>$KN186*3</f>
        <v/>
      </c>
      <c r="DI186" s="47">
        <f>$KN186*1</f>
        <v/>
      </c>
      <c r="DJ186" s="284">
        <f>$KN186*0</f>
        <v/>
      </c>
      <c r="DK186" s="38" t="n">
        <v>0</v>
      </c>
      <c r="DL186" s="284" t="n"/>
      <c r="DM186" s="36">
        <f>$KN186*3</f>
        <v/>
      </c>
      <c r="DN186" s="47">
        <f>$KN186*1</f>
        <v/>
      </c>
      <c r="DO186" s="284">
        <f>$KN186*0</f>
        <v/>
      </c>
      <c r="DP186" s="38" t="n">
        <v>0</v>
      </c>
      <c r="DQ186" s="284" t="n"/>
      <c r="DR186" s="36">
        <f>$KN186*3</f>
        <v/>
      </c>
      <c r="DS186" s="47">
        <f>$KN186*1</f>
        <v/>
      </c>
      <c r="DT186" s="284">
        <f>$KN186*0</f>
        <v/>
      </c>
      <c r="DU186" s="38" t="n">
        <v>0</v>
      </c>
      <c r="DV186" s="284" t="n"/>
      <c r="DW186" s="338">
        <f t="array" ref="DW186">SUMPRODUCT(--(MOD(COLUMN($BO186:$DV186),5)=MOD(COLUMN($BO186),5)),$BO186:$DV186)</f>
        <v/>
      </c>
      <c r="DX186" s="339">
        <f>DW186*$J186</f>
        <v/>
      </c>
      <c r="DY186" s="344">
        <f t="array" ref="DY186">SUMPRODUCT(--(MOD(COLUMN($BO186:$DV186),5)=MOD(COLUMN($BP186),5)),$BO186:$DV186)</f>
        <v/>
      </c>
      <c r="DZ186" s="345">
        <f>DY186*$J186</f>
        <v/>
      </c>
      <c r="EA186" s="340">
        <f t="array" ref="EA186">SUMPRODUCT(--(MOD(COLUMN($BO186:$DV186),5)=MOD(COLUMN($BQ186),5)),$BO186:$DV186)</f>
        <v/>
      </c>
      <c r="EB186" s="341">
        <f>EA186*$J186</f>
        <v/>
      </c>
      <c r="EC186" s="342">
        <f t="array" ref="EC186">SUMPRODUCT(--(MOD(COLUMN($BO186:$DV186),5)=MOD(COLUMN($BR186),5)),$BO186:$DV186)</f>
        <v/>
      </c>
      <c r="ED186" s="343">
        <f>EC186*$J186</f>
        <v/>
      </c>
      <c r="EE186" s="36">
        <f>$KN186*1</f>
        <v/>
      </c>
      <c r="EF186" s="284" t="n">
        <v>1</v>
      </c>
      <c r="EG186" s="38" t="n">
        <v>0</v>
      </c>
      <c r="EH186" s="284" t="n"/>
      <c r="EI186" s="36">
        <f>$KN186*1</f>
        <v/>
      </c>
      <c r="EJ186" s="284" t="n">
        <v>0</v>
      </c>
      <c r="EK186" s="38" t="n">
        <v>0</v>
      </c>
      <c r="EL186" s="284" t="n"/>
      <c r="EM186" s="36">
        <f>$KN186*1</f>
        <v/>
      </c>
      <c r="EN186" s="284" t="n">
        <v>0</v>
      </c>
      <c r="EO186" s="38" t="n">
        <v>0</v>
      </c>
      <c r="EP186" s="284" t="n"/>
      <c r="EQ186" s="36">
        <f>$KN186*2</f>
        <v/>
      </c>
      <c r="ER186" s="284" t="n">
        <v>0</v>
      </c>
      <c r="ES186" s="38" t="n">
        <v>0</v>
      </c>
      <c r="ET186" s="284" t="n"/>
      <c r="EU186" s="36">
        <f>$KN186*2</f>
        <v/>
      </c>
      <c r="EV186" s="284" t="n">
        <v>0</v>
      </c>
      <c r="EW186" s="38" t="n">
        <v>0</v>
      </c>
      <c r="EX186" s="284" t="n"/>
      <c r="EY186" s="36">
        <f>$KN186*2</f>
        <v/>
      </c>
      <c r="EZ186" s="284" t="n">
        <v>2</v>
      </c>
      <c r="FA186" s="38" t="n">
        <v>0</v>
      </c>
      <c r="FB186" s="284" t="n"/>
      <c r="FC186" s="36">
        <f>$KN186*3</f>
        <v/>
      </c>
      <c r="FD186" s="284" t="n">
        <v>3</v>
      </c>
      <c r="FE186" s="38" t="n">
        <v>0</v>
      </c>
      <c r="FF186" s="284" t="n"/>
      <c r="FG186" s="36">
        <f>$KN186*3</f>
        <v/>
      </c>
      <c r="FH186" s="284" t="n">
        <v>3</v>
      </c>
      <c r="FI186" s="38" t="n">
        <v>0</v>
      </c>
      <c r="FJ186" s="284" t="n"/>
      <c r="FK186" s="36">
        <f>$KN186*3</f>
        <v/>
      </c>
      <c r="FL186" s="284" t="n">
        <v>3</v>
      </c>
      <c r="FM186" s="38" t="n">
        <v>0</v>
      </c>
      <c r="FN186" s="284" t="n"/>
      <c r="FO186" s="36">
        <f>$KN186*4</f>
        <v/>
      </c>
      <c r="FP186" s="284" t="n">
        <v>4</v>
      </c>
      <c r="FQ186" s="38" t="n">
        <v>0</v>
      </c>
      <c r="FR186" s="284" t="n"/>
      <c r="FS186" s="36">
        <f>$KN186*4</f>
        <v/>
      </c>
      <c r="FT186" s="284" t="n">
        <v>4</v>
      </c>
      <c r="FU186" s="38" t="n">
        <v>0</v>
      </c>
      <c r="FV186" s="284" t="n"/>
      <c r="FW186" s="36">
        <f>$KN186*4</f>
        <v/>
      </c>
      <c r="FX186" s="284" t="n">
        <v>4</v>
      </c>
      <c r="FY186" s="38" t="n">
        <v>0</v>
      </c>
      <c r="FZ186" s="284" t="n"/>
      <c r="GA186" s="338">
        <f t="array" ref="GA186">SUMPRODUCT(--(MOD(COLUMN($EE186:$FZ186),4)=MOD(COLUMN($EE186),4)),$EE186:$FZ186)</f>
        <v/>
      </c>
      <c r="GB186" s="339">
        <f>GA186*$J186</f>
        <v/>
      </c>
      <c r="GC186" s="340">
        <f t="array" ref="GC186">SUMPRODUCT(--(MOD(COLUMN($EE186:$FZ186),4)=MOD(COLUMN($EF186),4)),$EE186:$FZ186)</f>
        <v/>
      </c>
      <c r="GD186" s="341">
        <f>GC186*$J186</f>
        <v/>
      </c>
      <c r="GE186" s="342">
        <f t="array" ref="GE186">SUMPRODUCT(--(MOD(COLUMN($EE186:$FZ186),4)=MOD(COLUMN($EG186),4)),$EE186:$FZ186)</f>
        <v/>
      </c>
      <c r="GF186" s="343">
        <f>GE186*$J186</f>
        <v/>
      </c>
      <c r="GG186" s="36">
        <f>$KN186*3</f>
        <v/>
      </c>
      <c r="GH186" s="284" t="n"/>
      <c r="GI186" s="38" t="n">
        <v>0</v>
      </c>
      <c r="GJ186" s="284" t="n"/>
      <c r="GK186" s="36">
        <f>$KN186*3</f>
        <v/>
      </c>
      <c r="GL186" s="284" t="n"/>
      <c r="GM186" s="38" t="n">
        <v>0</v>
      </c>
      <c r="GN186" s="284" t="n"/>
      <c r="GO186" s="36">
        <f>$KN186*3</f>
        <v/>
      </c>
      <c r="GP186" s="284" t="n"/>
      <c r="GQ186" s="38" t="n">
        <v>0</v>
      </c>
      <c r="GR186" s="284" t="n"/>
      <c r="GS186" s="36">
        <f>$KN186*5</f>
        <v/>
      </c>
      <c r="GT186" s="284" t="n"/>
      <c r="GU186" s="38" t="n">
        <v>0</v>
      </c>
      <c r="GV186" s="284" t="n"/>
      <c r="GW186" s="36">
        <f>$KN186*5</f>
        <v/>
      </c>
      <c r="GX186" s="284" t="n"/>
      <c r="GY186" s="38" t="n">
        <v>0</v>
      </c>
      <c r="GZ186" s="284" t="n"/>
      <c r="HA186" s="36">
        <f>$KN186*5</f>
        <v/>
      </c>
      <c r="HB186" s="284" t="n"/>
      <c r="HC186" s="38" t="n">
        <v>0</v>
      </c>
      <c r="HD186" s="284" t="n"/>
      <c r="HE186" s="36">
        <f>$KN186*5</f>
        <v/>
      </c>
      <c r="HF186" s="284" t="n"/>
      <c r="HG186" s="38" t="n">
        <v>0</v>
      </c>
      <c r="HH186" s="284" t="n"/>
      <c r="HI186" s="36">
        <f>$KN186*5</f>
        <v/>
      </c>
      <c r="HJ186" s="284" t="n"/>
      <c r="HK186" s="38" t="n">
        <v>0</v>
      </c>
      <c r="HL186" s="284" t="n"/>
      <c r="HM186" s="36">
        <f>$KN186*5</f>
        <v/>
      </c>
      <c r="HN186" s="284" t="n"/>
      <c r="HO186" s="38" t="n">
        <v>0</v>
      </c>
      <c r="HP186" s="284" t="n"/>
      <c r="HQ186" s="36">
        <f>$KN186*5</f>
        <v/>
      </c>
      <c r="HR186" s="284" t="n"/>
      <c r="HS186" s="38" t="n">
        <v>0</v>
      </c>
      <c r="HT186" s="284" t="n"/>
      <c r="HU186" s="36">
        <f>$KN186*5</f>
        <v/>
      </c>
      <c r="HV186" s="284" t="n"/>
      <c r="HW186" s="38" t="n">
        <v>0</v>
      </c>
      <c r="HX186" s="284" t="n"/>
      <c r="HY186" s="36">
        <f>$KN186*5</f>
        <v/>
      </c>
      <c r="HZ186" s="284" t="n"/>
      <c r="IA186" s="38" t="n">
        <v>0</v>
      </c>
      <c r="IB186" s="284" t="n"/>
      <c r="IC186" s="338">
        <f t="array" ref="IC186">SUMPRODUCT(--(MOD(COLUMN($GG186:$IB186),4)=MOD(COLUMN($GG186),4)),$GG186:$IB186)</f>
        <v/>
      </c>
      <c r="ID186" s="339">
        <f>IC186*$J186</f>
        <v/>
      </c>
      <c r="IE186" s="340">
        <f t="array" ref="IE186">SUMPRODUCT(--(MOD(COLUMN($GG186:$IB186),4)=MOD(COLUMN($GH186),4)),$GG186:$IB186)</f>
        <v/>
      </c>
      <c r="IF186" s="341">
        <f>IE186*$J186</f>
        <v/>
      </c>
      <c r="IG186" s="342">
        <f t="array" ref="IG186">SUMPRODUCT(--(MOD(COLUMN($GG186:$IB186),4)=MOD(COLUMN($GI186),4)),$GG186:$IB186)</f>
        <v/>
      </c>
      <c r="IH186" s="343">
        <f>IG186*$J186</f>
        <v/>
      </c>
      <c r="II186" s="36">
        <f>$KN186*3</f>
        <v/>
      </c>
      <c r="IJ186" s="284" t="n"/>
      <c r="IK186" s="38" t="n">
        <v>0</v>
      </c>
      <c r="IL186" s="284" t="n"/>
      <c r="IM186" s="36">
        <f>$KN186*3</f>
        <v/>
      </c>
      <c r="IN186" s="284" t="n"/>
      <c r="IO186" s="38" t="n">
        <v>0</v>
      </c>
      <c r="IP186" s="284" t="n"/>
      <c r="IQ186" s="36">
        <f>$KN186*3</f>
        <v/>
      </c>
      <c r="IR186" s="284" t="n"/>
      <c r="IS186" s="38" t="n">
        <v>0</v>
      </c>
      <c r="IT186" s="284" t="n"/>
      <c r="IU186" s="36">
        <f>$KN186*5</f>
        <v/>
      </c>
      <c r="IV186" s="284" t="n"/>
      <c r="IW186" s="38" t="n">
        <v>0</v>
      </c>
      <c r="IX186" s="284" t="n"/>
      <c r="IY186" s="36">
        <f>$KN186*5</f>
        <v/>
      </c>
      <c r="IZ186" s="284" t="n"/>
      <c r="JA186" s="38" t="n">
        <v>0</v>
      </c>
      <c r="JB186" s="284" t="n"/>
      <c r="JC186" s="36">
        <f>$KN186*5</f>
        <v/>
      </c>
      <c r="JD186" s="284" t="n"/>
      <c r="JE186" s="38" t="n">
        <v>0</v>
      </c>
      <c r="JF186" s="284" t="n"/>
      <c r="JG186" s="36">
        <f>$KN186*5</f>
        <v/>
      </c>
      <c r="JH186" s="284" t="n"/>
      <c r="JI186" s="38" t="n">
        <v>0</v>
      </c>
      <c r="JJ186" s="284" t="n"/>
      <c r="JK186" s="36">
        <f>$KN186*5</f>
        <v/>
      </c>
      <c r="JL186" s="284" t="n"/>
      <c r="JM186" s="38" t="n">
        <v>0</v>
      </c>
      <c r="JN186" s="284" t="n"/>
      <c r="JO186" s="36">
        <f>$KN186*5</f>
        <v/>
      </c>
      <c r="JP186" s="284" t="n"/>
      <c r="JQ186" s="38" t="n">
        <v>0</v>
      </c>
      <c r="JR186" s="284" t="n"/>
      <c r="JS186" s="36">
        <f>$KN186*5</f>
        <v/>
      </c>
      <c r="JT186" s="284" t="n"/>
      <c r="JU186" s="38" t="n">
        <v>0</v>
      </c>
      <c r="JV186" s="284" t="n"/>
      <c r="JW186" s="36">
        <f>$KN186*5</f>
        <v/>
      </c>
      <c r="JX186" s="284" t="n"/>
      <c r="JY186" s="38" t="n">
        <v>0</v>
      </c>
      <c r="JZ186" s="284" t="n"/>
      <c r="KA186" s="36">
        <f>$KN186*5</f>
        <v/>
      </c>
      <c r="KB186" s="284" t="n"/>
      <c r="KC186" s="38" t="n">
        <v>0</v>
      </c>
      <c r="KD186" s="284" t="n"/>
      <c r="KE186" s="338">
        <f t="array" ref="KE186">SUMPRODUCT(--(MOD(COLUMN($II186:$KD186),4)=MOD(COLUMN($II186),4)),$II186:$KD186)</f>
        <v/>
      </c>
      <c r="KF186" s="339">
        <f>KE186*$J186</f>
        <v/>
      </c>
      <c r="KG186" s="340">
        <f t="array" ref="KG186">SUMPRODUCT(--(MOD(COLUMN($II186:$KD186),4)=MOD(COLUMN($IJ186),4)),$II186:$KD186)</f>
        <v/>
      </c>
      <c r="KH186" s="341">
        <f>KG186*$J186</f>
        <v/>
      </c>
      <c r="KI186" s="342">
        <f t="array" ref="KI186">SUMPRODUCT(--(MOD(COLUMN($II186:$KD186),4)=MOD(COLUMN($IK186),4)),$II186:$KD186)</f>
        <v/>
      </c>
      <c r="KJ186" s="346">
        <f>KI186*$J186</f>
        <v/>
      </c>
      <c r="KK186" s="80" t="n"/>
      <c r="KL186" s="80" t="n"/>
      <c r="KM186" s="80" t="n"/>
      <c r="KN186" s="51" t="n">
        <v>1</v>
      </c>
      <c r="KO186" s="347" t="n"/>
    </row>
    <row r="187" outlineLevel="1" customFormat="1" s="68">
      <c r="A187" s="347" t="n"/>
      <c r="B187" s="347" t="n"/>
      <c r="C187" s="347" t="n"/>
      <c r="D187" s="347" t="n"/>
      <c r="E187" s="60" t="n">
        <v>6</v>
      </c>
      <c r="F187" s="60" t="n">
        <v>1</v>
      </c>
      <c r="G187" s="56" t="n">
        <v>4497230500</v>
      </c>
      <c r="H187" s="57" t="inlineStr">
        <is>
          <t>Кабель датчика, 5 м</t>
        </is>
      </c>
      <c r="I187" s="348" t="n">
        <v>60.96938775510205</v>
      </c>
      <c r="J187" s="337">
        <f>71.7/1.2*1.0863</f>
        <v/>
      </c>
      <c r="K187" s="348" t="n"/>
      <c r="L187" s="348" t="n"/>
      <c r="M187" s="36" t="n"/>
      <c r="N187" s="284" t="n"/>
      <c r="O187" s="38" t="n"/>
      <c r="P187" s="284" t="n"/>
      <c r="Q187" s="36" t="n"/>
      <c r="R187" s="284" t="n"/>
      <c r="S187" s="38" t="n"/>
      <c r="T187" s="284" t="n"/>
      <c r="U187" s="36" t="n"/>
      <c r="V187" s="284" t="n"/>
      <c r="W187" s="38" t="n"/>
      <c r="X187" s="284" t="n"/>
      <c r="Y187" s="36" t="n"/>
      <c r="Z187" s="284" t="n"/>
      <c r="AA187" s="38" t="n"/>
      <c r="AB187" s="284" t="n"/>
      <c r="AC187" s="36" t="n"/>
      <c r="AD187" s="284" t="n"/>
      <c r="AE187" s="38" t="n"/>
      <c r="AF187" s="284" t="n"/>
      <c r="AG187" s="36" t="n"/>
      <c r="AH187" s="284" t="n"/>
      <c r="AI187" s="38" t="n"/>
      <c r="AJ187" s="284" t="n"/>
      <c r="AK187" s="36" t="n"/>
      <c r="AL187" s="284" t="n"/>
      <c r="AM187" s="38" t="n"/>
      <c r="AN187" s="284" t="n"/>
      <c r="AO187" s="36" t="n"/>
      <c r="AP187" s="284" t="n"/>
      <c r="AQ187" s="38" t="n"/>
      <c r="AR187" s="284" t="n"/>
      <c r="AS187" s="36" t="n"/>
      <c r="AT187" s="284" t="n"/>
      <c r="AU187" s="38" t="n">
        <v>0</v>
      </c>
      <c r="AV187" s="284" t="n"/>
      <c r="AW187" s="36" t="n"/>
      <c r="AX187" s="284" t="n"/>
      <c r="AY187" s="38" t="n"/>
      <c r="AZ187" s="96" t="n"/>
      <c r="BA187" s="36" t="n"/>
      <c r="BB187" s="284" t="n"/>
      <c r="BC187" s="99" t="n">
        <v>0</v>
      </c>
      <c r="BD187" s="284" t="n"/>
      <c r="BE187" s="36" t="n"/>
      <c r="BF187" s="284" t="n"/>
      <c r="BG187" s="54" t="n">
        <v>0</v>
      </c>
      <c r="BH187" s="284" t="n"/>
      <c r="BI187" s="338">
        <f>SUMPRODUCT(--(MOD(COLUMN($M187:$BH187),4)=MOD(COLUMN($M187),4)),$M187:$BH187)</f>
        <v/>
      </c>
      <c r="BJ187" s="339">
        <f>BI187*$I187</f>
        <v/>
      </c>
      <c r="BK187" s="340">
        <f>SUMPRODUCT(--(MOD(COLUMN($M187:$BH187),4)=MOD(COLUMN($M187)+1,4)),$M187:$BH187)</f>
        <v/>
      </c>
      <c r="BL187" s="341">
        <f>BK187*$I187</f>
        <v/>
      </c>
      <c r="BM187" s="342">
        <f>SUMPRODUCT(--(MOD(COLUMN($M187:$BH187),4)=MOD(COLUMN($M187)+2,4)),$M187:$BH187)</f>
        <v/>
      </c>
      <c r="BN187" s="343">
        <f>BM187*$I187</f>
        <v/>
      </c>
      <c r="BO187" s="36">
        <f>$KN187*0</f>
        <v/>
      </c>
      <c r="BP187" s="47">
        <f>$KN187*0</f>
        <v/>
      </c>
      <c r="BQ187" s="284" t="n">
        <v>0</v>
      </c>
      <c r="BR187" s="38" t="n">
        <v>0</v>
      </c>
      <c r="BS187" s="347" t="n"/>
      <c r="BT187" s="36">
        <f>$KN187*3</f>
        <v/>
      </c>
      <c r="BU187" s="47">
        <f>$KN187*0</f>
        <v/>
      </c>
      <c r="BV187" s="284">
        <f>$KN187*0</f>
        <v/>
      </c>
      <c r="BW187" s="38" t="n">
        <v>0</v>
      </c>
      <c r="BX187" s="284" t="n"/>
      <c r="BY187" s="36">
        <f>$KN187*3</f>
        <v/>
      </c>
      <c r="BZ187" s="47">
        <f>$KN187*1</f>
        <v/>
      </c>
      <c r="CA187" s="284">
        <f>$KN187*0</f>
        <v/>
      </c>
      <c r="CB187" s="38" t="n">
        <v>0</v>
      </c>
      <c r="CC187" s="284" t="n"/>
      <c r="CD187" s="36">
        <f>$KN187*3</f>
        <v/>
      </c>
      <c r="CE187" s="47">
        <f>$KN187*1</f>
        <v/>
      </c>
      <c r="CF187" s="284">
        <f>$KN187*0</f>
        <v/>
      </c>
      <c r="CG187" s="38" t="n">
        <v>0</v>
      </c>
      <c r="CH187" s="284" t="n"/>
      <c r="CI187" s="36">
        <f>$KN187*3</f>
        <v/>
      </c>
      <c r="CJ187" s="47">
        <f>$KN187*1</f>
        <v/>
      </c>
      <c r="CK187" s="284">
        <f>$KN187*0</f>
        <v/>
      </c>
      <c r="CL187" s="38" t="n">
        <v>0</v>
      </c>
      <c r="CM187" s="284" t="n"/>
      <c r="CN187" s="36">
        <f>$KN187*3</f>
        <v/>
      </c>
      <c r="CO187" s="47">
        <f>$KN187*1</f>
        <v/>
      </c>
      <c r="CP187" s="284">
        <f>$KN187*0</f>
        <v/>
      </c>
      <c r="CQ187" s="38" t="n">
        <v>0</v>
      </c>
      <c r="CR187" s="284" t="n"/>
      <c r="CS187" s="36">
        <f>$KN187*3</f>
        <v/>
      </c>
      <c r="CT187" s="47">
        <f>$KN187*1</f>
        <v/>
      </c>
      <c r="CU187" s="284">
        <f>$KN187*0</f>
        <v/>
      </c>
      <c r="CV187" s="38" t="n">
        <v>0</v>
      </c>
      <c r="CW187" s="284" t="n"/>
      <c r="CX187" s="36">
        <f>$KN187*3</f>
        <v/>
      </c>
      <c r="CY187" s="47">
        <f>$KN187*1</f>
        <v/>
      </c>
      <c r="CZ187" s="284">
        <f>$KN187*0</f>
        <v/>
      </c>
      <c r="DA187" s="38" t="n">
        <v>0</v>
      </c>
      <c r="DB187" s="284" t="n"/>
      <c r="DC187" s="36">
        <f>$KN187*3</f>
        <v/>
      </c>
      <c r="DD187" s="47">
        <f>$KN187*1</f>
        <v/>
      </c>
      <c r="DE187" s="284">
        <f>$KN187*0</f>
        <v/>
      </c>
      <c r="DF187" s="38" t="n">
        <v>0</v>
      </c>
      <c r="DG187" s="284" t="n"/>
      <c r="DH187" s="36">
        <f>$KN187*3</f>
        <v/>
      </c>
      <c r="DI187" s="47">
        <f>$KN187*1</f>
        <v/>
      </c>
      <c r="DJ187" s="284">
        <f>$KN187*0</f>
        <v/>
      </c>
      <c r="DK187" s="52" t="n">
        <v>0</v>
      </c>
      <c r="DL187" s="284" t="n"/>
      <c r="DM187" s="36">
        <f>$KN187*3</f>
        <v/>
      </c>
      <c r="DN187" s="47">
        <f>$KN187*1</f>
        <v/>
      </c>
      <c r="DO187" s="284">
        <f>$KN187*0</f>
        <v/>
      </c>
      <c r="DP187" s="38" t="n">
        <v>0</v>
      </c>
      <c r="DQ187" s="284" t="n"/>
      <c r="DR187" s="36">
        <f>$KN187*3</f>
        <v/>
      </c>
      <c r="DS187" s="47">
        <f>$KN187*1</f>
        <v/>
      </c>
      <c r="DT187" s="284">
        <f>$KN187*0</f>
        <v/>
      </c>
      <c r="DU187" s="38" t="n">
        <v>0</v>
      </c>
      <c r="DV187" s="284" t="n"/>
      <c r="DW187" s="338">
        <f t="array" ref="DW187">SUMPRODUCT(--(MOD(COLUMN($BO187:$DV187),5)=MOD(COLUMN($BO187),5)),$BO187:$DV187)</f>
        <v/>
      </c>
      <c r="DX187" s="339">
        <f>DW187*$J187</f>
        <v/>
      </c>
      <c r="DY187" s="344">
        <f t="array" ref="DY187">SUMPRODUCT(--(MOD(COLUMN($BO187:$DV187),5)=MOD(COLUMN($BP187),5)),$BO187:$DV187)</f>
        <v/>
      </c>
      <c r="DZ187" s="345">
        <f>DY187*$J187</f>
        <v/>
      </c>
      <c r="EA187" s="340">
        <f t="array" ref="EA187">SUMPRODUCT(--(MOD(COLUMN($BO187:$DV187),5)=MOD(COLUMN($BQ187),5)),$BO187:$DV187)</f>
        <v/>
      </c>
      <c r="EB187" s="341">
        <f>EA187*$J187</f>
        <v/>
      </c>
      <c r="EC187" s="342">
        <f t="array" ref="EC187">SUMPRODUCT(--(MOD(COLUMN($BO187:$DV187),5)=MOD(COLUMN($BR187),5)),$BO187:$DV187)</f>
        <v/>
      </c>
      <c r="ED187" s="343">
        <f>EC187*$J187</f>
        <v/>
      </c>
      <c r="EE187" s="36">
        <f>$KN187*1</f>
        <v/>
      </c>
      <c r="EF187" s="284" t="n">
        <v>2</v>
      </c>
      <c r="EG187" s="38" t="n">
        <v>0</v>
      </c>
      <c r="EH187" s="284" t="n"/>
      <c r="EI187" s="36">
        <f>$KN187*1</f>
        <v/>
      </c>
      <c r="EJ187" s="284" t="n">
        <v>0</v>
      </c>
      <c r="EK187" s="38" t="n">
        <v>0</v>
      </c>
      <c r="EL187" s="284" t="n"/>
      <c r="EM187" s="36">
        <f>$KN187*1</f>
        <v/>
      </c>
      <c r="EN187" s="284" t="n">
        <v>0</v>
      </c>
      <c r="EO187" s="38" t="n">
        <v>0</v>
      </c>
      <c r="EP187" s="284" t="n"/>
      <c r="EQ187" s="36">
        <f>$KN187*2</f>
        <v/>
      </c>
      <c r="ER187" s="284" t="n">
        <v>0</v>
      </c>
      <c r="ES187" s="38" t="n">
        <v>0</v>
      </c>
      <c r="ET187" s="284" t="n"/>
      <c r="EU187" s="36">
        <f>$KN187*2</f>
        <v/>
      </c>
      <c r="EV187" s="284" t="n">
        <v>0</v>
      </c>
      <c r="EW187" s="38" t="n">
        <v>0</v>
      </c>
      <c r="EX187" s="284" t="n"/>
      <c r="EY187" s="36">
        <f>$KN187*2</f>
        <v/>
      </c>
      <c r="EZ187" s="284" t="n">
        <v>4</v>
      </c>
      <c r="FA187" s="38" t="n">
        <v>0</v>
      </c>
      <c r="FB187" s="284" t="n"/>
      <c r="FC187" s="36">
        <f>$KN187*3</f>
        <v/>
      </c>
      <c r="FD187" s="284" t="n">
        <v>6</v>
      </c>
      <c r="FE187" s="38" t="n">
        <v>0</v>
      </c>
      <c r="FF187" s="284" t="n"/>
      <c r="FG187" s="36">
        <f>$KN187*3</f>
        <v/>
      </c>
      <c r="FH187" s="284" t="n">
        <v>6</v>
      </c>
      <c r="FI187" s="38" t="n">
        <v>0</v>
      </c>
      <c r="FJ187" s="284" t="n"/>
      <c r="FK187" s="36">
        <f>$KN187*3</f>
        <v/>
      </c>
      <c r="FL187" s="284" t="n">
        <v>6</v>
      </c>
      <c r="FM187" s="38" t="n">
        <v>0</v>
      </c>
      <c r="FN187" s="284" t="n"/>
      <c r="FO187" s="36">
        <f>$KN187*4</f>
        <v/>
      </c>
      <c r="FP187" s="284" t="n">
        <v>8</v>
      </c>
      <c r="FQ187" s="38" t="n">
        <v>0</v>
      </c>
      <c r="FR187" s="284" t="n"/>
      <c r="FS187" s="36">
        <f>$KN187*4</f>
        <v/>
      </c>
      <c r="FT187" s="284" t="n">
        <v>8</v>
      </c>
      <c r="FU187" s="38" t="n">
        <v>0</v>
      </c>
      <c r="FV187" s="284" t="n"/>
      <c r="FW187" s="36">
        <f>$KN187*4</f>
        <v/>
      </c>
      <c r="FX187" s="284" t="n">
        <v>8</v>
      </c>
      <c r="FY187" s="38" t="n">
        <v>0</v>
      </c>
      <c r="FZ187" s="284" t="n"/>
      <c r="GA187" s="338">
        <f t="array" ref="GA187">SUMPRODUCT(--(MOD(COLUMN($EE187:$FZ187),4)=MOD(COLUMN($EE187),4)),$EE187:$FZ187)</f>
        <v/>
      </c>
      <c r="GB187" s="339">
        <f>GA187*$J187</f>
        <v/>
      </c>
      <c r="GC187" s="340">
        <f t="array" ref="GC187">SUMPRODUCT(--(MOD(COLUMN($EE187:$FZ187),4)=MOD(COLUMN($EF187),4)),$EE187:$FZ187)</f>
        <v/>
      </c>
      <c r="GD187" s="341">
        <f>GC187*$J187</f>
        <v/>
      </c>
      <c r="GE187" s="342">
        <f t="array" ref="GE187">SUMPRODUCT(--(MOD(COLUMN($EE187:$FZ187),4)=MOD(COLUMN($EG187),4)),$EE187:$FZ187)</f>
        <v/>
      </c>
      <c r="GF187" s="343">
        <f>GE187*$J187</f>
        <v/>
      </c>
      <c r="GG187" s="36">
        <f>$KN187*3</f>
        <v/>
      </c>
      <c r="GH187" s="284" t="n"/>
      <c r="GI187" s="38" t="n">
        <v>0</v>
      </c>
      <c r="GJ187" s="284" t="n"/>
      <c r="GK187" s="36">
        <f>$KN187*3</f>
        <v/>
      </c>
      <c r="GL187" s="284" t="n"/>
      <c r="GM187" s="38" t="n">
        <v>0</v>
      </c>
      <c r="GN187" s="284" t="n"/>
      <c r="GO187" s="36">
        <f>$KN187*3</f>
        <v/>
      </c>
      <c r="GP187" s="284" t="n"/>
      <c r="GQ187" s="38" t="n">
        <v>0</v>
      </c>
      <c r="GR187" s="284" t="n"/>
      <c r="GS187" s="36">
        <f>$KN187*5</f>
        <v/>
      </c>
      <c r="GT187" s="284" t="n"/>
      <c r="GU187" s="38" t="n">
        <v>0</v>
      </c>
      <c r="GV187" s="284" t="n"/>
      <c r="GW187" s="36">
        <f>$KN187*5</f>
        <v/>
      </c>
      <c r="GX187" s="284" t="n"/>
      <c r="GY187" s="38" t="n">
        <v>0</v>
      </c>
      <c r="GZ187" s="284" t="n"/>
      <c r="HA187" s="36">
        <f>$KN187*5</f>
        <v/>
      </c>
      <c r="HB187" s="284" t="n"/>
      <c r="HC187" s="38" t="n">
        <v>0</v>
      </c>
      <c r="HD187" s="284" t="n"/>
      <c r="HE187" s="36">
        <f>$KN187*5</f>
        <v/>
      </c>
      <c r="HF187" s="284" t="n"/>
      <c r="HG187" s="38" t="n">
        <v>0</v>
      </c>
      <c r="HH187" s="284" t="n"/>
      <c r="HI187" s="36">
        <f>$KN187*5</f>
        <v/>
      </c>
      <c r="HJ187" s="284" t="n"/>
      <c r="HK187" s="38" t="n">
        <v>0</v>
      </c>
      <c r="HL187" s="284" t="n"/>
      <c r="HM187" s="36">
        <f>$KN187*5</f>
        <v/>
      </c>
      <c r="HN187" s="284" t="n"/>
      <c r="HO187" s="38" t="n">
        <v>0</v>
      </c>
      <c r="HP187" s="284" t="n"/>
      <c r="HQ187" s="36">
        <f>$KN187*5</f>
        <v/>
      </c>
      <c r="HR187" s="284" t="n"/>
      <c r="HS187" s="38" t="n">
        <v>0</v>
      </c>
      <c r="HT187" s="284" t="n"/>
      <c r="HU187" s="36">
        <f>$KN187*5</f>
        <v/>
      </c>
      <c r="HV187" s="284" t="n"/>
      <c r="HW187" s="38" t="n">
        <v>0</v>
      </c>
      <c r="HX187" s="284" t="n"/>
      <c r="HY187" s="36">
        <f>$KN187*5</f>
        <v/>
      </c>
      <c r="HZ187" s="284" t="n"/>
      <c r="IA187" s="38" t="n">
        <v>0</v>
      </c>
      <c r="IB187" s="284" t="n"/>
      <c r="IC187" s="338">
        <f t="array" ref="IC187">SUMPRODUCT(--(MOD(COLUMN($GG187:$IB187),4)=MOD(COLUMN($GG187),4)),$GG187:$IB187)</f>
        <v/>
      </c>
      <c r="ID187" s="339">
        <f>IC187*$J187</f>
        <v/>
      </c>
      <c r="IE187" s="340">
        <f t="array" ref="IE187">SUMPRODUCT(--(MOD(COLUMN($GG187:$IB187),4)=MOD(COLUMN($GH187),4)),$GG187:$IB187)</f>
        <v/>
      </c>
      <c r="IF187" s="341">
        <f>IE187*$J187</f>
        <v/>
      </c>
      <c r="IG187" s="342">
        <f t="array" ref="IG187">SUMPRODUCT(--(MOD(COLUMN($GG187:$IB187),4)=MOD(COLUMN($GI187),4)),$GG187:$IB187)</f>
        <v/>
      </c>
      <c r="IH187" s="343">
        <f>IG187*$J187</f>
        <v/>
      </c>
      <c r="II187" s="36">
        <f>$KN187*3</f>
        <v/>
      </c>
      <c r="IJ187" s="284" t="n"/>
      <c r="IK187" s="38" t="n">
        <v>0</v>
      </c>
      <c r="IL187" s="284" t="n"/>
      <c r="IM187" s="36">
        <f>$KN187*3</f>
        <v/>
      </c>
      <c r="IN187" s="284" t="n"/>
      <c r="IO187" s="38" t="n">
        <v>0</v>
      </c>
      <c r="IP187" s="284" t="n"/>
      <c r="IQ187" s="36">
        <f>$KN187*3</f>
        <v/>
      </c>
      <c r="IR187" s="284" t="n"/>
      <c r="IS187" s="38" t="n">
        <v>0</v>
      </c>
      <c r="IT187" s="284" t="n"/>
      <c r="IU187" s="36">
        <f>$KN187*5</f>
        <v/>
      </c>
      <c r="IV187" s="284" t="n"/>
      <c r="IW187" s="38" t="n">
        <v>0</v>
      </c>
      <c r="IX187" s="284" t="n"/>
      <c r="IY187" s="36">
        <f>$KN187*5</f>
        <v/>
      </c>
      <c r="IZ187" s="284" t="n"/>
      <c r="JA187" s="38" t="n">
        <v>0</v>
      </c>
      <c r="JB187" s="284" t="n"/>
      <c r="JC187" s="36">
        <f>$KN187*5</f>
        <v/>
      </c>
      <c r="JD187" s="284" t="n"/>
      <c r="JE187" s="38" t="n">
        <v>0</v>
      </c>
      <c r="JF187" s="284" t="n"/>
      <c r="JG187" s="36">
        <f>$KN187*5</f>
        <v/>
      </c>
      <c r="JH187" s="284" t="n"/>
      <c r="JI187" s="38" t="n">
        <v>0</v>
      </c>
      <c r="JJ187" s="284" t="n"/>
      <c r="JK187" s="36">
        <f>$KN187*5</f>
        <v/>
      </c>
      <c r="JL187" s="284" t="n"/>
      <c r="JM187" s="38" t="n">
        <v>0</v>
      </c>
      <c r="JN187" s="284" t="n"/>
      <c r="JO187" s="36">
        <f>$KN187*5</f>
        <v/>
      </c>
      <c r="JP187" s="284" t="n"/>
      <c r="JQ187" s="38" t="n">
        <v>0</v>
      </c>
      <c r="JR187" s="284" t="n"/>
      <c r="JS187" s="36">
        <f>$KN187*5</f>
        <v/>
      </c>
      <c r="JT187" s="284" t="n"/>
      <c r="JU187" s="38" t="n">
        <v>0</v>
      </c>
      <c r="JV187" s="284" t="n"/>
      <c r="JW187" s="36">
        <f>$KN187*5</f>
        <v/>
      </c>
      <c r="JX187" s="284" t="n"/>
      <c r="JY187" s="38" t="n">
        <v>0</v>
      </c>
      <c r="JZ187" s="284" t="n"/>
      <c r="KA187" s="36">
        <f>$KN187*5</f>
        <v/>
      </c>
      <c r="KB187" s="284" t="n"/>
      <c r="KC187" s="38" t="n">
        <v>0</v>
      </c>
      <c r="KD187" s="284" t="n"/>
      <c r="KE187" s="338">
        <f t="array" ref="KE187">SUMPRODUCT(--(MOD(COLUMN($II187:$KD187),4)=MOD(COLUMN($II187),4)),$II187:$KD187)</f>
        <v/>
      </c>
      <c r="KF187" s="339">
        <f>KE187*$J187</f>
        <v/>
      </c>
      <c r="KG187" s="340">
        <f t="array" ref="KG187">SUMPRODUCT(--(MOD(COLUMN($II187:$KD187),4)=MOD(COLUMN($IJ187),4)),$II187:$KD187)</f>
        <v/>
      </c>
      <c r="KH187" s="341">
        <f>KG187*$J187</f>
        <v/>
      </c>
      <c r="KI187" s="342">
        <f t="array" ref="KI187">SUMPRODUCT(--(MOD(COLUMN($II187:$KD187),4)=MOD(COLUMN($IK187),4)),$II187:$KD187)</f>
        <v/>
      </c>
      <c r="KJ187" s="346">
        <f>KI187*$J187</f>
        <v/>
      </c>
      <c r="KK187" s="80" t="n"/>
      <c r="KL187" s="80" t="n"/>
      <c r="KM187" s="80" t="n"/>
      <c r="KN187" s="51" t="n">
        <v>2</v>
      </c>
      <c r="KO187" s="347" t="n"/>
    </row>
    <row r="188" outlineLevel="1" ht="28.8" customFormat="1" customHeight="1" s="68">
      <c r="A188" s="347" t="n"/>
      <c r="B188" s="347" t="n"/>
      <c r="C188" s="347" t="n"/>
      <c r="D188" s="347" t="n"/>
      <c r="E188" s="60" t="n">
        <v>7</v>
      </c>
      <c r="F188" s="60" t="n">
        <v>1</v>
      </c>
      <c r="G188" s="56" t="n">
        <v>4640061000</v>
      </c>
      <c r="H188" s="57" t="inlineStr">
        <is>
          <t>Кран уровня пола, 5-ти портовый</t>
        </is>
      </c>
      <c r="I188" s="348" t="n">
        <v>496.5986394557823</v>
      </c>
      <c r="J188" s="337">
        <f>584/1.2*1.0863</f>
        <v/>
      </c>
      <c r="K188" s="348" t="n"/>
      <c r="L188" s="348" t="n"/>
      <c r="M188" s="36" t="n"/>
      <c r="N188" s="284" t="n"/>
      <c r="O188" s="38" t="n"/>
      <c r="P188" s="284" t="n"/>
      <c r="Q188" s="36" t="n"/>
      <c r="R188" s="284" t="n"/>
      <c r="S188" s="38" t="n"/>
      <c r="T188" s="284" t="n"/>
      <c r="U188" s="36" t="n"/>
      <c r="V188" s="284" t="n"/>
      <c r="W188" s="38" t="n"/>
      <c r="X188" s="284" t="n"/>
      <c r="Y188" s="36" t="n"/>
      <c r="Z188" s="284" t="n"/>
      <c r="AA188" s="38" t="n"/>
      <c r="AB188" s="284" t="n"/>
      <c r="AC188" s="36" t="n"/>
      <c r="AD188" s="284" t="n"/>
      <c r="AE188" s="38" t="n"/>
      <c r="AF188" s="284" t="n"/>
      <c r="AG188" s="36" t="n"/>
      <c r="AH188" s="284" t="n"/>
      <c r="AI188" s="38" t="n"/>
      <c r="AJ188" s="284" t="n"/>
      <c r="AK188" s="36" t="n"/>
      <c r="AL188" s="284" t="n"/>
      <c r="AM188" s="38" t="n"/>
      <c r="AN188" s="284" t="n"/>
      <c r="AO188" s="36" t="n"/>
      <c r="AP188" s="284" t="n"/>
      <c r="AQ188" s="38" t="n"/>
      <c r="AR188" s="284" t="n"/>
      <c r="AS188" s="36" t="n"/>
      <c r="AT188" s="284" t="n"/>
      <c r="AU188" s="38" t="n">
        <v>0</v>
      </c>
      <c r="AV188" s="284" t="n"/>
      <c r="AW188" s="36" t="n"/>
      <c r="AX188" s="284" t="n"/>
      <c r="AY188" s="38" t="n"/>
      <c r="AZ188" s="96" t="n"/>
      <c r="BA188" s="36" t="n"/>
      <c r="BB188" s="284" t="n"/>
      <c r="BC188" s="99" t="n">
        <v>0</v>
      </c>
      <c r="BD188" s="284" t="n"/>
      <c r="BE188" s="36" t="n"/>
      <c r="BF188" s="284" t="n"/>
      <c r="BG188" s="54" t="n">
        <v>0</v>
      </c>
      <c r="BH188" s="284" t="n"/>
      <c r="BI188" s="338">
        <f>SUMPRODUCT(--(MOD(COLUMN($M188:$BH188),4)=MOD(COLUMN($M188),4)),$M188:$BH188)</f>
        <v/>
      </c>
      <c r="BJ188" s="339">
        <f>BI188*$I188</f>
        <v/>
      </c>
      <c r="BK188" s="340">
        <f>SUMPRODUCT(--(MOD(COLUMN($M188:$BH188),4)=MOD(COLUMN($M188)+1,4)),$M188:$BH188)</f>
        <v/>
      </c>
      <c r="BL188" s="341">
        <f>BK188*$I188</f>
        <v/>
      </c>
      <c r="BM188" s="342">
        <f>SUMPRODUCT(--(MOD(COLUMN($M188:$BH188),4)=MOD(COLUMN($M188)+2,4)),$M188:$BH188)</f>
        <v/>
      </c>
      <c r="BN188" s="343">
        <f>BM188*$I188</f>
        <v/>
      </c>
      <c r="BO188" s="36">
        <f>$KN188*0</f>
        <v/>
      </c>
      <c r="BP188" s="47">
        <f>$KN188*0</f>
        <v/>
      </c>
      <c r="BQ188" s="284" t="n">
        <v>0</v>
      </c>
      <c r="BR188" s="38" t="n">
        <v>0</v>
      </c>
      <c r="BS188" s="347" t="n"/>
      <c r="BT188" s="36">
        <f>$KN188*3</f>
        <v/>
      </c>
      <c r="BU188" s="47">
        <f>$KN188*0</f>
        <v/>
      </c>
      <c r="BV188" s="284">
        <f>$KN188*0</f>
        <v/>
      </c>
      <c r="BW188" s="38" t="n">
        <v>0</v>
      </c>
      <c r="BX188" s="284" t="n"/>
      <c r="BY188" s="36">
        <f>$KN188*3</f>
        <v/>
      </c>
      <c r="BZ188" s="47">
        <f>$KN188*1</f>
        <v/>
      </c>
      <c r="CA188" s="284">
        <f>$KN188*0</f>
        <v/>
      </c>
      <c r="CB188" s="38" t="n">
        <v>0</v>
      </c>
      <c r="CC188" s="284" t="n"/>
      <c r="CD188" s="36">
        <f>$KN188*3</f>
        <v/>
      </c>
      <c r="CE188" s="47">
        <f>$KN188*1</f>
        <v/>
      </c>
      <c r="CF188" s="284">
        <f>$KN188*0</f>
        <v/>
      </c>
      <c r="CG188" s="38" t="n">
        <v>0</v>
      </c>
      <c r="CH188" s="284" t="n"/>
      <c r="CI188" s="36">
        <f>$KN188*3</f>
        <v/>
      </c>
      <c r="CJ188" s="47">
        <f>$KN188*1</f>
        <v/>
      </c>
      <c r="CK188" s="284">
        <f>$KN188*0</f>
        <v/>
      </c>
      <c r="CL188" s="38" t="n">
        <v>0</v>
      </c>
      <c r="CM188" s="284" t="n"/>
      <c r="CN188" s="36">
        <f>$KN188*3</f>
        <v/>
      </c>
      <c r="CO188" s="47">
        <f>$KN188*1</f>
        <v/>
      </c>
      <c r="CP188" s="284">
        <f>$KN188*0</f>
        <v/>
      </c>
      <c r="CQ188" s="38" t="n">
        <v>0</v>
      </c>
      <c r="CR188" s="284" t="n"/>
      <c r="CS188" s="36">
        <f>$KN188*3</f>
        <v/>
      </c>
      <c r="CT188" s="47">
        <f>$KN188*1</f>
        <v/>
      </c>
      <c r="CU188" s="284">
        <f>$KN188*0</f>
        <v/>
      </c>
      <c r="CV188" s="38" t="n">
        <v>0</v>
      </c>
      <c r="CW188" s="284" t="n"/>
      <c r="CX188" s="36">
        <f>$KN188*3</f>
        <v/>
      </c>
      <c r="CY188" s="47">
        <f>$KN188*1</f>
        <v/>
      </c>
      <c r="CZ188" s="284">
        <f>$KN188*0</f>
        <v/>
      </c>
      <c r="DA188" s="38" t="n">
        <v>0</v>
      </c>
      <c r="DB188" s="284" t="n"/>
      <c r="DC188" s="36">
        <f>$KN188*3</f>
        <v/>
      </c>
      <c r="DD188" s="47">
        <f>$KN188*1</f>
        <v/>
      </c>
      <c r="DE188" s="284">
        <f>$KN188*0</f>
        <v/>
      </c>
      <c r="DF188" s="38" t="n">
        <v>0</v>
      </c>
      <c r="DG188" s="284" t="n"/>
      <c r="DH188" s="36">
        <f>$KN188*3</f>
        <v/>
      </c>
      <c r="DI188" s="47">
        <f>$KN188*1</f>
        <v/>
      </c>
      <c r="DJ188" s="284">
        <f>$KN188*0</f>
        <v/>
      </c>
      <c r="DK188" s="38" t="n">
        <v>0</v>
      </c>
      <c r="DL188" s="284" t="n"/>
      <c r="DM188" s="36">
        <f>$KN188*3</f>
        <v/>
      </c>
      <c r="DN188" s="47">
        <f>$KN188*1</f>
        <v/>
      </c>
      <c r="DO188" s="284">
        <f>$KN188*0</f>
        <v/>
      </c>
      <c r="DP188" s="38" t="n">
        <v>0</v>
      </c>
      <c r="DQ188" s="284" t="n"/>
      <c r="DR188" s="36">
        <f>$KN188*3</f>
        <v/>
      </c>
      <c r="DS188" s="47">
        <f>$KN188*1</f>
        <v/>
      </c>
      <c r="DT188" s="284">
        <f>$KN188*0</f>
        <v/>
      </c>
      <c r="DU188" s="38" t="n">
        <v>0</v>
      </c>
      <c r="DV188" s="284" t="n"/>
      <c r="DW188" s="338">
        <f t="array" ref="DW188">SUMPRODUCT(--(MOD(COLUMN($BO188:$DV188),5)=MOD(COLUMN($BO188),5)),$BO188:$DV188)</f>
        <v/>
      </c>
      <c r="DX188" s="339">
        <f>DW188*$J188</f>
        <v/>
      </c>
      <c r="DY188" s="344">
        <f t="array" ref="DY188">SUMPRODUCT(--(MOD(COLUMN($BO188:$DV188),5)=MOD(COLUMN($BP188),5)),$BO188:$DV188)</f>
        <v/>
      </c>
      <c r="DZ188" s="345">
        <f>DY188*$J188</f>
        <v/>
      </c>
      <c r="EA188" s="340">
        <f t="array" ref="EA188">SUMPRODUCT(--(MOD(COLUMN($BO188:$DV188),5)=MOD(COLUMN($BQ188),5)),$BO188:$DV188)</f>
        <v/>
      </c>
      <c r="EB188" s="341">
        <f>EA188*$J188</f>
        <v/>
      </c>
      <c r="EC188" s="342">
        <f t="array" ref="EC188">SUMPRODUCT(--(MOD(COLUMN($BO188:$DV188),5)=MOD(COLUMN($BR188),5)),$BO188:$DV188)</f>
        <v/>
      </c>
      <c r="ED188" s="343">
        <f>EC188*$J188</f>
        <v/>
      </c>
      <c r="EE188" s="36">
        <f>$KN188*1</f>
        <v/>
      </c>
      <c r="EF188" s="284" t="n">
        <v>1</v>
      </c>
      <c r="EG188" s="38" t="n">
        <v>0</v>
      </c>
      <c r="EH188" s="284" t="n"/>
      <c r="EI188" s="36">
        <f>$KN188*1</f>
        <v/>
      </c>
      <c r="EJ188" s="284" t="n">
        <v>0</v>
      </c>
      <c r="EK188" s="38" t="n">
        <v>0</v>
      </c>
      <c r="EL188" s="284" t="n"/>
      <c r="EM188" s="36">
        <f>$KN188*1</f>
        <v/>
      </c>
      <c r="EN188" s="284" t="n">
        <v>0</v>
      </c>
      <c r="EO188" s="38" t="n">
        <v>0</v>
      </c>
      <c r="EP188" s="284" t="n"/>
      <c r="EQ188" s="36">
        <f>$KN188*2</f>
        <v/>
      </c>
      <c r="ER188" s="284" t="n">
        <v>0</v>
      </c>
      <c r="ES188" s="38" t="n">
        <v>0</v>
      </c>
      <c r="ET188" s="284" t="n"/>
      <c r="EU188" s="36">
        <f>$KN188*2</f>
        <v/>
      </c>
      <c r="EV188" s="284" t="n">
        <v>0</v>
      </c>
      <c r="EW188" s="38" t="n">
        <v>0</v>
      </c>
      <c r="EX188" s="284" t="n"/>
      <c r="EY188" s="36">
        <f>$KN188*2</f>
        <v/>
      </c>
      <c r="EZ188" s="284" t="n">
        <v>2</v>
      </c>
      <c r="FA188" s="38" t="n">
        <v>0</v>
      </c>
      <c r="FB188" s="284" t="n"/>
      <c r="FC188" s="36">
        <f>$KN188*3</f>
        <v/>
      </c>
      <c r="FD188" s="284" t="n">
        <v>3</v>
      </c>
      <c r="FE188" s="38" t="n">
        <v>0</v>
      </c>
      <c r="FF188" s="284" t="n"/>
      <c r="FG188" s="36">
        <f>$KN188*3</f>
        <v/>
      </c>
      <c r="FH188" s="284" t="n">
        <v>3</v>
      </c>
      <c r="FI188" s="38" t="n">
        <v>0</v>
      </c>
      <c r="FJ188" s="284" t="n"/>
      <c r="FK188" s="36">
        <f>$KN188*3</f>
        <v/>
      </c>
      <c r="FL188" s="284" t="n">
        <v>3</v>
      </c>
      <c r="FM188" s="38" t="n">
        <v>0</v>
      </c>
      <c r="FN188" s="284" t="n"/>
      <c r="FO188" s="36">
        <f>$KN188*4</f>
        <v/>
      </c>
      <c r="FP188" s="284" t="n">
        <v>4</v>
      </c>
      <c r="FQ188" s="38" t="n">
        <v>0</v>
      </c>
      <c r="FR188" s="284" t="n"/>
      <c r="FS188" s="36">
        <f>$KN188*4</f>
        <v/>
      </c>
      <c r="FT188" s="284" t="n">
        <v>4</v>
      </c>
      <c r="FU188" s="38" t="n">
        <v>0</v>
      </c>
      <c r="FV188" s="284" t="n"/>
      <c r="FW188" s="36">
        <f>$KN188*4</f>
        <v/>
      </c>
      <c r="FX188" s="284" t="n">
        <v>4</v>
      </c>
      <c r="FY188" s="38" t="n">
        <v>0</v>
      </c>
      <c r="FZ188" s="284" t="n"/>
      <c r="GA188" s="338">
        <f t="array" ref="GA188">SUMPRODUCT(--(MOD(COLUMN($EE188:$FZ188),4)=MOD(COLUMN($EE188),4)),$EE188:$FZ188)</f>
        <v/>
      </c>
      <c r="GB188" s="339">
        <f>GA188*$J188</f>
        <v/>
      </c>
      <c r="GC188" s="340">
        <f t="array" ref="GC188">SUMPRODUCT(--(MOD(COLUMN($EE188:$FZ188),4)=MOD(COLUMN($EF188),4)),$EE188:$FZ188)</f>
        <v/>
      </c>
      <c r="GD188" s="341">
        <f>GC188*$J188</f>
        <v/>
      </c>
      <c r="GE188" s="342">
        <f t="array" ref="GE188">SUMPRODUCT(--(MOD(COLUMN($EE188:$FZ188),4)=MOD(COLUMN($EG188),4)),$EE188:$FZ188)</f>
        <v/>
      </c>
      <c r="GF188" s="343">
        <f>GE188*$J188</f>
        <v/>
      </c>
      <c r="GG188" s="36">
        <f>$KN188*3</f>
        <v/>
      </c>
      <c r="GH188" s="284" t="n"/>
      <c r="GI188" s="38" t="n">
        <v>0</v>
      </c>
      <c r="GJ188" s="284" t="n"/>
      <c r="GK188" s="36">
        <f>$KN188*3</f>
        <v/>
      </c>
      <c r="GL188" s="284" t="n"/>
      <c r="GM188" s="38" t="n">
        <v>0</v>
      </c>
      <c r="GN188" s="284" t="n"/>
      <c r="GO188" s="36">
        <f>$KN188*3</f>
        <v/>
      </c>
      <c r="GP188" s="284" t="n"/>
      <c r="GQ188" s="38" t="n">
        <v>0</v>
      </c>
      <c r="GR188" s="284" t="n"/>
      <c r="GS188" s="36">
        <f>$KN188*5</f>
        <v/>
      </c>
      <c r="GT188" s="284" t="n"/>
      <c r="GU188" s="38" t="n">
        <v>0</v>
      </c>
      <c r="GV188" s="284" t="n"/>
      <c r="GW188" s="36">
        <f>$KN188*5</f>
        <v/>
      </c>
      <c r="GX188" s="284" t="n"/>
      <c r="GY188" s="38" t="n">
        <v>0</v>
      </c>
      <c r="GZ188" s="284" t="n"/>
      <c r="HA188" s="36">
        <f>$KN188*5</f>
        <v/>
      </c>
      <c r="HB188" s="284" t="n"/>
      <c r="HC188" s="38" t="n">
        <v>0</v>
      </c>
      <c r="HD188" s="284" t="n"/>
      <c r="HE188" s="36">
        <f>$KN188*5</f>
        <v/>
      </c>
      <c r="HF188" s="284" t="n"/>
      <c r="HG188" s="38" t="n">
        <v>0</v>
      </c>
      <c r="HH188" s="284" t="n"/>
      <c r="HI188" s="36">
        <f>$KN188*5</f>
        <v/>
      </c>
      <c r="HJ188" s="284" t="n"/>
      <c r="HK188" s="38" t="n">
        <v>0</v>
      </c>
      <c r="HL188" s="284" t="n"/>
      <c r="HM188" s="36">
        <f>$KN188*5</f>
        <v/>
      </c>
      <c r="HN188" s="284" t="n"/>
      <c r="HO188" s="38" t="n">
        <v>0</v>
      </c>
      <c r="HP188" s="284" t="n"/>
      <c r="HQ188" s="36">
        <f>$KN188*5</f>
        <v/>
      </c>
      <c r="HR188" s="284" t="n"/>
      <c r="HS188" s="38" t="n">
        <v>0</v>
      </c>
      <c r="HT188" s="284" t="n"/>
      <c r="HU188" s="36">
        <f>$KN188*5</f>
        <v/>
      </c>
      <c r="HV188" s="284" t="n"/>
      <c r="HW188" s="38" t="n">
        <v>0</v>
      </c>
      <c r="HX188" s="284" t="n"/>
      <c r="HY188" s="36">
        <f>$KN188*5</f>
        <v/>
      </c>
      <c r="HZ188" s="284" t="n"/>
      <c r="IA188" s="38" t="n">
        <v>0</v>
      </c>
      <c r="IB188" s="284" t="n"/>
      <c r="IC188" s="338">
        <f t="array" ref="IC188">SUMPRODUCT(--(MOD(COLUMN($GG188:$IB188),4)=MOD(COLUMN($GG188),4)),$GG188:$IB188)</f>
        <v/>
      </c>
      <c r="ID188" s="339">
        <f>IC188*$J188</f>
        <v/>
      </c>
      <c r="IE188" s="340">
        <f t="array" ref="IE188">SUMPRODUCT(--(MOD(COLUMN($GG188:$IB188),4)=MOD(COLUMN($GH188),4)),$GG188:$IB188)</f>
        <v/>
      </c>
      <c r="IF188" s="341">
        <f>IE188*$J188</f>
        <v/>
      </c>
      <c r="IG188" s="342">
        <f t="array" ref="IG188">SUMPRODUCT(--(MOD(COLUMN($GG188:$IB188),4)=MOD(COLUMN($GI188),4)),$GG188:$IB188)</f>
        <v/>
      </c>
      <c r="IH188" s="343">
        <f>IG188*$J188</f>
        <v/>
      </c>
      <c r="II188" s="36">
        <f>$KN188*3</f>
        <v/>
      </c>
      <c r="IJ188" s="284" t="n"/>
      <c r="IK188" s="38" t="n">
        <v>0</v>
      </c>
      <c r="IL188" s="284" t="n"/>
      <c r="IM188" s="36">
        <f>$KN188*3</f>
        <v/>
      </c>
      <c r="IN188" s="284" t="n"/>
      <c r="IO188" s="38" t="n">
        <v>0</v>
      </c>
      <c r="IP188" s="284" t="n"/>
      <c r="IQ188" s="36">
        <f>$KN188*3</f>
        <v/>
      </c>
      <c r="IR188" s="284" t="n"/>
      <c r="IS188" s="38" t="n">
        <v>0</v>
      </c>
      <c r="IT188" s="284" t="n"/>
      <c r="IU188" s="36">
        <f>$KN188*5</f>
        <v/>
      </c>
      <c r="IV188" s="284" t="n"/>
      <c r="IW188" s="38" t="n">
        <v>0</v>
      </c>
      <c r="IX188" s="284" t="n"/>
      <c r="IY188" s="36">
        <f>$KN188*5</f>
        <v/>
      </c>
      <c r="IZ188" s="284" t="n"/>
      <c r="JA188" s="38" t="n">
        <v>0</v>
      </c>
      <c r="JB188" s="284" t="n"/>
      <c r="JC188" s="36">
        <f>$KN188*5</f>
        <v/>
      </c>
      <c r="JD188" s="284" t="n"/>
      <c r="JE188" s="38" t="n">
        <v>0</v>
      </c>
      <c r="JF188" s="284" t="n"/>
      <c r="JG188" s="36">
        <f>$KN188*5</f>
        <v/>
      </c>
      <c r="JH188" s="284" t="n"/>
      <c r="JI188" s="38" t="n">
        <v>0</v>
      </c>
      <c r="JJ188" s="284" t="n"/>
      <c r="JK188" s="36">
        <f>$KN188*5</f>
        <v/>
      </c>
      <c r="JL188" s="284" t="n"/>
      <c r="JM188" s="38" t="n">
        <v>0</v>
      </c>
      <c r="JN188" s="284" t="n"/>
      <c r="JO188" s="36">
        <f>$KN188*5</f>
        <v/>
      </c>
      <c r="JP188" s="284" t="n"/>
      <c r="JQ188" s="38" t="n">
        <v>0</v>
      </c>
      <c r="JR188" s="284" t="n"/>
      <c r="JS188" s="36">
        <f>$KN188*5</f>
        <v/>
      </c>
      <c r="JT188" s="284" t="n"/>
      <c r="JU188" s="38" t="n">
        <v>0</v>
      </c>
      <c r="JV188" s="284" t="n"/>
      <c r="JW188" s="36">
        <f>$KN188*5</f>
        <v/>
      </c>
      <c r="JX188" s="284" t="n"/>
      <c r="JY188" s="38" t="n">
        <v>0</v>
      </c>
      <c r="JZ188" s="284" t="n"/>
      <c r="KA188" s="36">
        <f>$KN188*5</f>
        <v/>
      </c>
      <c r="KB188" s="284" t="n"/>
      <c r="KC188" s="38" t="n">
        <v>0</v>
      </c>
      <c r="KD188" s="284" t="n"/>
      <c r="KE188" s="338">
        <f t="array" ref="KE188">SUMPRODUCT(--(MOD(COLUMN($II188:$KD188),4)=MOD(COLUMN($II188),4)),$II188:$KD188)</f>
        <v/>
      </c>
      <c r="KF188" s="339">
        <f>KE188*$J188</f>
        <v/>
      </c>
      <c r="KG188" s="340">
        <f t="array" ref="KG188">SUMPRODUCT(--(MOD(COLUMN($II188:$KD188),4)=MOD(COLUMN($IJ188),4)),$II188:$KD188)</f>
        <v/>
      </c>
      <c r="KH188" s="341">
        <f>KG188*$J188</f>
        <v/>
      </c>
      <c r="KI188" s="342">
        <f t="array" ref="KI188">SUMPRODUCT(--(MOD(COLUMN($II188:$KD188),4)=MOD(COLUMN($IK188),4)),$II188:$KD188)</f>
        <v/>
      </c>
      <c r="KJ188" s="346">
        <f>KI188*$J188</f>
        <v/>
      </c>
      <c r="KK188" s="80" t="n"/>
      <c r="KL188" s="80" t="n"/>
      <c r="KM188" s="80" t="n"/>
      <c r="KN188" s="51" t="n">
        <v>1</v>
      </c>
      <c r="KO188" s="347" t="n"/>
    </row>
    <row r="189" outlineLevel="1" ht="28.8" customFormat="1" customHeight="1" s="68">
      <c r="A189" s="347" t="n"/>
      <c r="B189" s="347" t="n"/>
      <c r="C189" s="347" t="n"/>
      <c r="D189" s="347" t="n"/>
      <c r="E189" s="60" t="n">
        <v>8</v>
      </c>
      <c r="F189" s="60" t="n">
        <v>1</v>
      </c>
      <c r="G189" s="56" t="n">
        <v>4630320200</v>
      </c>
      <c r="H189" s="57" t="inlineStr">
        <is>
          <t>Кран ручного управления</t>
        </is>
      </c>
      <c r="I189" s="348" t="n">
        <v>456.9727891156463</v>
      </c>
      <c r="J189" s="337">
        <f>537.4/1.2*1.0863</f>
        <v/>
      </c>
      <c r="K189" s="348" t="n"/>
      <c r="L189" s="348" t="n"/>
      <c r="M189" s="36" t="n"/>
      <c r="N189" s="284" t="n"/>
      <c r="O189" s="38" t="n"/>
      <c r="P189" s="284" t="n"/>
      <c r="Q189" s="36" t="n"/>
      <c r="R189" s="284" t="n"/>
      <c r="S189" s="38" t="n"/>
      <c r="T189" s="284" t="n"/>
      <c r="U189" s="36" t="n"/>
      <c r="V189" s="284" t="n"/>
      <c r="W189" s="38" t="n"/>
      <c r="X189" s="284" t="n"/>
      <c r="Y189" s="36" t="n"/>
      <c r="Z189" s="284" t="n"/>
      <c r="AA189" s="38" t="n"/>
      <c r="AB189" s="284" t="n"/>
      <c r="AC189" s="36" t="n"/>
      <c r="AD189" s="284" t="n"/>
      <c r="AE189" s="38" t="n"/>
      <c r="AF189" s="284" t="n"/>
      <c r="AG189" s="36" t="n"/>
      <c r="AH189" s="284" t="n"/>
      <c r="AI189" s="38" t="n"/>
      <c r="AJ189" s="284" t="n"/>
      <c r="AK189" s="36" t="n"/>
      <c r="AL189" s="284" t="n"/>
      <c r="AM189" s="38" t="n"/>
      <c r="AN189" s="284" t="n"/>
      <c r="AO189" s="36" t="n"/>
      <c r="AP189" s="284" t="n"/>
      <c r="AQ189" s="38" t="n"/>
      <c r="AR189" s="284" t="n"/>
      <c r="AS189" s="36" t="n"/>
      <c r="AT189" s="284" t="n"/>
      <c r="AU189" s="38" t="n">
        <v>0</v>
      </c>
      <c r="AV189" s="284" t="n"/>
      <c r="AW189" s="36" t="n"/>
      <c r="AX189" s="284" t="n"/>
      <c r="AY189" s="38" t="n"/>
      <c r="AZ189" s="96" t="n"/>
      <c r="BA189" s="36" t="n"/>
      <c r="BB189" s="284" t="n"/>
      <c r="BC189" s="99" t="n">
        <v>0</v>
      </c>
      <c r="BD189" s="284" t="n"/>
      <c r="BE189" s="36" t="n"/>
      <c r="BF189" s="284" t="n"/>
      <c r="BG189" s="54" t="n">
        <v>0</v>
      </c>
      <c r="BH189" s="284" t="n"/>
      <c r="BI189" s="338">
        <f>SUMPRODUCT(--(MOD(COLUMN($M189:$BH189),4)=MOD(COLUMN($M189),4)),$M189:$BH189)</f>
        <v/>
      </c>
      <c r="BJ189" s="339">
        <f>BI189*$I189</f>
        <v/>
      </c>
      <c r="BK189" s="340">
        <f>SUMPRODUCT(--(MOD(COLUMN($M189:$BH189),4)=MOD(COLUMN($M189)+1,4)),$M189:$BH189)</f>
        <v/>
      </c>
      <c r="BL189" s="341">
        <f>BK189*$I189</f>
        <v/>
      </c>
      <c r="BM189" s="342">
        <f>SUMPRODUCT(--(MOD(COLUMN($M189:$BH189),4)=MOD(COLUMN($M189)+2,4)),$M189:$BH189)</f>
        <v/>
      </c>
      <c r="BN189" s="343">
        <f>BM189*$I189</f>
        <v/>
      </c>
      <c r="BO189" s="36">
        <f>$KN189*0</f>
        <v/>
      </c>
      <c r="BP189" s="47">
        <f>$KN189*0</f>
        <v/>
      </c>
      <c r="BQ189" s="284" t="n">
        <v>0</v>
      </c>
      <c r="BR189" s="38" t="n">
        <v>0</v>
      </c>
      <c r="BS189" s="347" t="n"/>
      <c r="BT189" s="36">
        <f>$KN189*3</f>
        <v/>
      </c>
      <c r="BU189" s="47">
        <f>$KN189*0</f>
        <v/>
      </c>
      <c r="BV189" s="284">
        <f>$KN189*0</f>
        <v/>
      </c>
      <c r="BW189" s="38" t="n">
        <v>0</v>
      </c>
      <c r="BX189" s="284" t="n"/>
      <c r="BY189" s="36">
        <f>$KN189*3</f>
        <v/>
      </c>
      <c r="BZ189" s="47">
        <f>$KN189*1</f>
        <v/>
      </c>
      <c r="CA189" s="284">
        <f>$KN189*0</f>
        <v/>
      </c>
      <c r="CB189" s="38" t="n">
        <v>0</v>
      </c>
      <c r="CC189" s="284" t="n"/>
      <c r="CD189" s="36">
        <f>$KN189*3</f>
        <v/>
      </c>
      <c r="CE189" s="47">
        <f>$KN189*1</f>
        <v/>
      </c>
      <c r="CF189" s="284">
        <f>$KN189*0</f>
        <v/>
      </c>
      <c r="CG189" s="38" t="n">
        <v>0</v>
      </c>
      <c r="CH189" s="284" t="n"/>
      <c r="CI189" s="36">
        <f>$KN189*3</f>
        <v/>
      </c>
      <c r="CJ189" s="47">
        <f>$KN189*1</f>
        <v/>
      </c>
      <c r="CK189" s="284">
        <f>$KN189*0</f>
        <v/>
      </c>
      <c r="CL189" s="38" t="n">
        <v>0</v>
      </c>
      <c r="CM189" s="284" t="n"/>
      <c r="CN189" s="36">
        <f>$KN189*3</f>
        <v/>
      </c>
      <c r="CO189" s="47">
        <f>$KN189*1</f>
        <v/>
      </c>
      <c r="CP189" s="284">
        <f>$KN189*0</f>
        <v/>
      </c>
      <c r="CQ189" s="38" t="n">
        <v>0</v>
      </c>
      <c r="CR189" s="284" t="n"/>
      <c r="CS189" s="36">
        <f>$KN189*3</f>
        <v/>
      </c>
      <c r="CT189" s="47">
        <f>$KN189*1</f>
        <v/>
      </c>
      <c r="CU189" s="284">
        <f>$KN189*0</f>
        <v/>
      </c>
      <c r="CV189" s="38" t="n">
        <v>0</v>
      </c>
      <c r="CW189" s="284" t="n"/>
      <c r="CX189" s="36">
        <f>$KN189*3</f>
        <v/>
      </c>
      <c r="CY189" s="47">
        <f>$KN189*1</f>
        <v/>
      </c>
      <c r="CZ189" s="284">
        <f>$KN189*0</f>
        <v/>
      </c>
      <c r="DA189" s="38" t="n">
        <v>0</v>
      </c>
      <c r="DB189" s="284" t="n"/>
      <c r="DC189" s="36">
        <f>$KN189*3</f>
        <v/>
      </c>
      <c r="DD189" s="47">
        <f>$KN189*1</f>
        <v/>
      </c>
      <c r="DE189" s="284">
        <f>$KN189*0</f>
        <v/>
      </c>
      <c r="DF189" s="38" t="n">
        <v>0</v>
      </c>
      <c r="DG189" s="284" t="n"/>
      <c r="DH189" s="36">
        <f>$KN189*3</f>
        <v/>
      </c>
      <c r="DI189" s="47">
        <f>$KN189*1</f>
        <v/>
      </c>
      <c r="DJ189" s="284">
        <f>$KN189*0</f>
        <v/>
      </c>
      <c r="DK189" s="52" t="n">
        <v>0</v>
      </c>
      <c r="DL189" s="284" t="n"/>
      <c r="DM189" s="36">
        <f>$KN189*3</f>
        <v/>
      </c>
      <c r="DN189" s="47">
        <f>$KN189*1</f>
        <v/>
      </c>
      <c r="DO189" s="284">
        <f>$KN189*0</f>
        <v/>
      </c>
      <c r="DP189" s="38" t="n">
        <v>0</v>
      </c>
      <c r="DQ189" s="284" t="n"/>
      <c r="DR189" s="36">
        <f>$KN189*3</f>
        <v/>
      </c>
      <c r="DS189" s="47">
        <f>$KN189*1</f>
        <v/>
      </c>
      <c r="DT189" s="284">
        <f>$KN189*0</f>
        <v/>
      </c>
      <c r="DU189" s="38" t="n">
        <v>0</v>
      </c>
      <c r="DV189" s="284" t="n"/>
      <c r="DW189" s="338">
        <f t="array" ref="DW189">SUMPRODUCT(--(MOD(COLUMN($BO189:$DV189),5)=MOD(COLUMN($BO189),5)),$BO189:$DV189)</f>
        <v/>
      </c>
      <c r="DX189" s="339">
        <f>DW189*$J189</f>
        <v/>
      </c>
      <c r="DY189" s="344">
        <f t="array" ref="DY189">SUMPRODUCT(--(MOD(COLUMN($BO189:$DV189),5)=MOD(COLUMN($BP189),5)),$BO189:$DV189)</f>
        <v/>
      </c>
      <c r="DZ189" s="345">
        <f>DY189*$J189</f>
        <v/>
      </c>
      <c r="EA189" s="340">
        <f t="array" ref="EA189">SUMPRODUCT(--(MOD(COLUMN($BO189:$DV189),5)=MOD(COLUMN($BQ189),5)),$BO189:$DV189)</f>
        <v/>
      </c>
      <c r="EB189" s="341">
        <f>EA189*$J189</f>
        <v/>
      </c>
      <c r="EC189" s="342">
        <f t="array" ref="EC189">SUMPRODUCT(--(MOD(COLUMN($BO189:$DV189),5)=MOD(COLUMN($BR189),5)),$BO189:$DV189)</f>
        <v/>
      </c>
      <c r="ED189" s="343">
        <f>EC189*$J189</f>
        <v/>
      </c>
      <c r="EE189" s="36">
        <f>$KN189*1</f>
        <v/>
      </c>
      <c r="EF189" s="284" t="n">
        <v>1</v>
      </c>
      <c r="EG189" s="38" t="n">
        <v>0</v>
      </c>
      <c r="EH189" s="284" t="n"/>
      <c r="EI189" s="36">
        <f>$KN189*1</f>
        <v/>
      </c>
      <c r="EJ189" s="284" t="n">
        <v>0</v>
      </c>
      <c r="EK189" s="38" t="n">
        <v>0</v>
      </c>
      <c r="EL189" s="284" t="n"/>
      <c r="EM189" s="36">
        <f>$KN189*1</f>
        <v/>
      </c>
      <c r="EN189" s="284" t="n">
        <v>0</v>
      </c>
      <c r="EO189" s="38" t="n">
        <v>0</v>
      </c>
      <c r="EP189" s="284" t="n"/>
      <c r="EQ189" s="36">
        <f>$KN189*2</f>
        <v/>
      </c>
      <c r="ER189" s="284" t="n">
        <v>0</v>
      </c>
      <c r="ES189" s="38" t="n">
        <v>0</v>
      </c>
      <c r="ET189" s="284" t="n"/>
      <c r="EU189" s="36">
        <f>$KN189*2</f>
        <v/>
      </c>
      <c r="EV189" s="284" t="n">
        <v>0</v>
      </c>
      <c r="EW189" s="38" t="n">
        <v>0</v>
      </c>
      <c r="EX189" s="284" t="n"/>
      <c r="EY189" s="36">
        <f>$KN189*2</f>
        <v/>
      </c>
      <c r="EZ189" s="284" t="n">
        <v>2</v>
      </c>
      <c r="FA189" s="38" t="n">
        <v>0</v>
      </c>
      <c r="FB189" s="284" t="n"/>
      <c r="FC189" s="36">
        <f>$KN189*3</f>
        <v/>
      </c>
      <c r="FD189" s="284" t="n">
        <v>3</v>
      </c>
      <c r="FE189" s="38" t="n">
        <v>0</v>
      </c>
      <c r="FF189" s="284" t="n"/>
      <c r="FG189" s="36">
        <f>$KN189*3</f>
        <v/>
      </c>
      <c r="FH189" s="284" t="n">
        <v>3</v>
      </c>
      <c r="FI189" s="38" t="n">
        <v>0</v>
      </c>
      <c r="FJ189" s="284" t="n"/>
      <c r="FK189" s="36">
        <f>$KN189*3</f>
        <v/>
      </c>
      <c r="FL189" s="284" t="n">
        <v>3</v>
      </c>
      <c r="FM189" s="38" t="n">
        <v>0</v>
      </c>
      <c r="FN189" s="284" t="n"/>
      <c r="FO189" s="36">
        <f>$KN189*4</f>
        <v/>
      </c>
      <c r="FP189" s="284" t="n">
        <v>4</v>
      </c>
      <c r="FQ189" s="38" t="n">
        <v>0</v>
      </c>
      <c r="FR189" s="284" t="n"/>
      <c r="FS189" s="36">
        <f>$KN189*4</f>
        <v/>
      </c>
      <c r="FT189" s="284" t="n">
        <v>4</v>
      </c>
      <c r="FU189" s="38" t="n">
        <v>0</v>
      </c>
      <c r="FV189" s="284" t="n"/>
      <c r="FW189" s="36">
        <f>$KN189*4</f>
        <v/>
      </c>
      <c r="FX189" s="284" t="n">
        <v>4</v>
      </c>
      <c r="FY189" s="38" t="n">
        <v>0</v>
      </c>
      <c r="FZ189" s="284" t="n"/>
      <c r="GA189" s="338">
        <f t="array" ref="GA189">SUMPRODUCT(--(MOD(COLUMN($EE189:$FZ189),4)=MOD(COLUMN($EE189),4)),$EE189:$FZ189)</f>
        <v/>
      </c>
      <c r="GB189" s="339">
        <f>GA189*$J189</f>
        <v/>
      </c>
      <c r="GC189" s="340">
        <f t="array" ref="GC189">SUMPRODUCT(--(MOD(COLUMN($EE189:$FZ189),4)=MOD(COLUMN($EF189),4)),$EE189:$FZ189)</f>
        <v/>
      </c>
      <c r="GD189" s="341">
        <f>GC189*$J189</f>
        <v/>
      </c>
      <c r="GE189" s="342">
        <f t="array" ref="GE189">SUMPRODUCT(--(MOD(COLUMN($EE189:$FZ189),4)=MOD(COLUMN($EG189),4)),$EE189:$FZ189)</f>
        <v/>
      </c>
      <c r="GF189" s="343">
        <f>GE189*$J189</f>
        <v/>
      </c>
      <c r="GG189" s="36">
        <f>$KN189*3</f>
        <v/>
      </c>
      <c r="GH189" s="284" t="n"/>
      <c r="GI189" s="38" t="n">
        <v>0</v>
      </c>
      <c r="GJ189" s="284" t="n"/>
      <c r="GK189" s="36">
        <f>$KN189*3</f>
        <v/>
      </c>
      <c r="GL189" s="284" t="n"/>
      <c r="GM189" s="38" t="n">
        <v>0</v>
      </c>
      <c r="GN189" s="284" t="n"/>
      <c r="GO189" s="36">
        <f>$KN189*3</f>
        <v/>
      </c>
      <c r="GP189" s="284" t="n"/>
      <c r="GQ189" s="38" t="n">
        <v>0</v>
      </c>
      <c r="GR189" s="284" t="n"/>
      <c r="GS189" s="36">
        <f>$KN189*5</f>
        <v/>
      </c>
      <c r="GT189" s="284" t="n"/>
      <c r="GU189" s="38" t="n">
        <v>0</v>
      </c>
      <c r="GV189" s="284" t="n"/>
      <c r="GW189" s="36">
        <f>$KN189*5</f>
        <v/>
      </c>
      <c r="GX189" s="284" t="n"/>
      <c r="GY189" s="38" t="n">
        <v>0</v>
      </c>
      <c r="GZ189" s="284" t="n"/>
      <c r="HA189" s="36">
        <f>$KN189*5</f>
        <v/>
      </c>
      <c r="HB189" s="284" t="n"/>
      <c r="HC189" s="38" t="n">
        <v>0</v>
      </c>
      <c r="HD189" s="284" t="n"/>
      <c r="HE189" s="36">
        <f>$KN189*5</f>
        <v/>
      </c>
      <c r="HF189" s="284" t="n"/>
      <c r="HG189" s="38" t="n">
        <v>0</v>
      </c>
      <c r="HH189" s="284" t="n"/>
      <c r="HI189" s="36">
        <f>$KN189*5</f>
        <v/>
      </c>
      <c r="HJ189" s="284" t="n"/>
      <c r="HK189" s="38" t="n">
        <v>0</v>
      </c>
      <c r="HL189" s="284" t="n"/>
      <c r="HM189" s="36">
        <f>$KN189*5</f>
        <v/>
      </c>
      <c r="HN189" s="284" t="n"/>
      <c r="HO189" s="38" t="n">
        <v>0</v>
      </c>
      <c r="HP189" s="284" t="n"/>
      <c r="HQ189" s="36">
        <f>$KN189*5</f>
        <v/>
      </c>
      <c r="HR189" s="284" t="n"/>
      <c r="HS189" s="38" t="n">
        <v>0</v>
      </c>
      <c r="HT189" s="284" t="n"/>
      <c r="HU189" s="36">
        <f>$KN189*5</f>
        <v/>
      </c>
      <c r="HV189" s="284" t="n"/>
      <c r="HW189" s="38" t="n">
        <v>0</v>
      </c>
      <c r="HX189" s="284" t="n"/>
      <c r="HY189" s="36">
        <f>$KN189*5</f>
        <v/>
      </c>
      <c r="HZ189" s="284" t="n"/>
      <c r="IA189" s="38" t="n">
        <v>0</v>
      </c>
      <c r="IB189" s="284" t="n"/>
      <c r="IC189" s="338">
        <f t="array" ref="IC189">SUMPRODUCT(--(MOD(COLUMN($GG189:$IB189),4)=MOD(COLUMN($GG189),4)),$GG189:$IB189)</f>
        <v/>
      </c>
      <c r="ID189" s="339">
        <f>IC189*$J189</f>
        <v/>
      </c>
      <c r="IE189" s="340">
        <f t="array" ref="IE189">SUMPRODUCT(--(MOD(COLUMN($GG189:$IB189),4)=MOD(COLUMN($GH189),4)),$GG189:$IB189)</f>
        <v/>
      </c>
      <c r="IF189" s="341">
        <f>IE189*$J189</f>
        <v/>
      </c>
      <c r="IG189" s="342">
        <f t="array" ref="IG189">SUMPRODUCT(--(MOD(COLUMN($GG189:$IB189),4)=MOD(COLUMN($GI189),4)),$GG189:$IB189)</f>
        <v/>
      </c>
      <c r="IH189" s="343">
        <f>IG189*$J189</f>
        <v/>
      </c>
      <c r="II189" s="36">
        <f>$KN189*3</f>
        <v/>
      </c>
      <c r="IJ189" s="284" t="n"/>
      <c r="IK189" s="38" t="n">
        <v>0</v>
      </c>
      <c r="IL189" s="284" t="n"/>
      <c r="IM189" s="36">
        <f>$KN189*3</f>
        <v/>
      </c>
      <c r="IN189" s="284" t="n"/>
      <c r="IO189" s="38" t="n">
        <v>0</v>
      </c>
      <c r="IP189" s="284" t="n"/>
      <c r="IQ189" s="36">
        <f>$KN189*3</f>
        <v/>
      </c>
      <c r="IR189" s="284" t="n"/>
      <c r="IS189" s="38" t="n">
        <v>0</v>
      </c>
      <c r="IT189" s="284" t="n"/>
      <c r="IU189" s="36">
        <f>$KN189*5</f>
        <v/>
      </c>
      <c r="IV189" s="284" t="n"/>
      <c r="IW189" s="38" t="n">
        <v>0</v>
      </c>
      <c r="IX189" s="284" t="n"/>
      <c r="IY189" s="36">
        <f>$KN189*5</f>
        <v/>
      </c>
      <c r="IZ189" s="284" t="n"/>
      <c r="JA189" s="38" t="n">
        <v>0</v>
      </c>
      <c r="JB189" s="284" t="n"/>
      <c r="JC189" s="36">
        <f>$KN189*5</f>
        <v/>
      </c>
      <c r="JD189" s="284" t="n"/>
      <c r="JE189" s="38" t="n">
        <v>0</v>
      </c>
      <c r="JF189" s="284" t="n"/>
      <c r="JG189" s="36">
        <f>$KN189*5</f>
        <v/>
      </c>
      <c r="JH189" s="284" t="n"/>
      <c r="JI189" s="38" t="n">
        <v>0</v>
      </c>
      <c r="JJ189" s="284" t="n"/>
      <c r="JK189" s="36">
        <f>$KN189*5</f>
        <v/>
      </c>
      <c r="JL189" s="284" t="n"/>
      <c r="JM189" s="38" t="n">
        <v>0</v>
      </c>
      <c r="JN189" s="284" t="n"/>
      <c r="JO189" s="36">
        <f>$KN189*5</f>
        <v/>
      </c>
      <c r="JP189" s="284" t="n"/>
      <c r="JQ189" s="38" t="n">
        <v>0</v>
      </c>
      <c r="JR189" s="284" t="n"/>
      <c r="JS189" s="36">
        <f>$KN189*5</f>
        <v/>
      </c>
      <c r="JT189" s="284" t="n"/>
      <c r="JU189" s="38" t="n">
        <v>0</v>
      </c>
      <c r="JV189" s="284" t="n"/>
      <c r="JW189" s="36">
        <f>$KN189*5</f>
        <v/>
      </c>
      <c r="JX189" s="284" t="n"/>
      <c r="JY189" s="38" t="n">
        <v>0</v>
      </c>
      <c r="JZ189" s="284" t="n"/>
      <c r="KA189" s="36">
        <f>$KN189*5</f>
        <v/>
      </c>
      <c r="KB189" s="284" t="n"/>
      <c r="KC189" s="38" t="n">
        <v>0</v>
      </c>
      <c r="KD189" s="284" t="n"/>
      <c r="KE189" s="338">
        <f t="array" ref="KE189">SUMPRODUCT(--(MOD(COLUMN($II189:$KD189),4)=MOD(COLUMN($II189),4)),$II189:$KD189)</f>
        <v/>
      </c>
      <c r="KF189" s="339">
        <f>KE189*$J189</f>
        <v/>
      </c>
      <c r="KG189" s="340">
        <f t="array" ref="KG189">SUMPRODUCT(--(MOD(COLUMN($II189:$KD189),4)=MOD(COLUMN($IJ189),4)),$II189:$KD189)</f>
        <v/>
      </c>
      <c r="KH189" s="341">
        <f>KG189*$J189</f>
        <v/>
      </c>
      <c r="KI189" s="342">
        <f t="array" ref="KI189">SUMPRODUCT(--(MOD(COLUMN($II189:$KD189),4)=MOD(COLUMN($IK189),4)),$II189:$KD189)</f>
        <v/>
      </c>
      <c r="KJ189" s="346">
        <f>KI189*$J189</f>
        <v/>
      </c>
      <c r="KK189" s="80" t="n"/>
      <c r="KL189" s="80" t="n"/>
      <c r="KM189" s="80" t="n"/>
      <c r="KN189" s="51" t="n">
        <v>1</v>
      </c>
      <c r="KO189" s="347" t="n"/>
    </row>
    <row r="190" outlineLevel="1" customFormat="1" s="68">
      <c r="A190" s="347" t="n"/>
      <c r="B190" s="347" t="n"/>
      <c r="C190" s="347" t="n"/>
      <c r="D190" s="347" t="n"/>
      <c r="E190" s="60" t="n">
        <v>9</v>
      </c>
      <c r="F190" s="60" t="n">
        <v>1</v>
      </c>
      <c r="G190" s="56" t="n">
        <v>4334010030</v>
      </c>
      <c r="H190" s="57" t="inlineStr">
        <is>
          <t>Упругий элемент</t>
        </is>
      </c>
      <c r="I190" s="348" t="n">
        <v>35.62925170068027</v>
      </c>
      <c r="J190" s="337">
        <f>41.9/1.2*1.0863</f>
        <v/>
      </c>
      <c r="K190" s="348" t="n"/>
      <c r="L190" s="348" t="n"/>
      <c r="M190" s="36" t="n"/>
      <c r="N190" s="284" t="n"/>
      <c r="O190" s="38" t="n"/>
      <c r="P190" s="284" t="n"/>
      <c r="Q190" s="36" t="n"/>
      <c r="R190" s="284" t="n"/>
      <c r="S190" s="38" t="n"/>
      <c r="T190" s="284" t="n"/>
      <c r="U190" s="36" t="n"/>
      <c r="V190" s="284" t="n"/>
      <c r="W190" s="38" t="n"/>
      <c r="X190" s="284" t="n"/>
      <c r="Y190" s="36" t="n"/>
      <c r="Z190" s="284" t="n"/>
      <c r="AA190" s="38" t="n"/>
      <c r="AB190" s="284" t="n"/>
      <c r="AC190" s="36" t="n"/>
      <c r="AD190" s="284" t="n"/>
      <c r="AE190" s="38" t="n"/>
      <c r="AF190" s="284" t="n"/>
      <c r="AG190" s="36" t="n"/>
      <c r="AH190" s="284" t="n"/>
      <c r="AI190" s="38" t="n"/>
      <c r="AJ190" s="284" t="n"/>
      <c r="AK190" s="36" t="n"/>
      <c r="AL190" s="284" t="n"/>
      <c r="AM190" s="38" t="n"/>
      <c r="AN190" s="284" t="n"/>
      <c r="AO190" s="36" t="n"/>
      <c r="AP190" s="284" t="n"/>
      <c r="AQ190" s="38" t="n"/>
      <c r="AR190" s="284" t="n"/>
      <c r="AS190" s="36" t="n"/>
      <c r="AT190" s="284" t="n"/>
      <c r="AU190" s="38" t="n">
        <v>0</v>
      </c>
      <c r="AV190" s="284" t="n"/>
      <c r="AW190" s="36" t="n"/>
      <c r="AX190" s="284" t="n"/>
      <c r="AY190" s="38" t="n"/>
      <c r="AZ190" s="96" t="n"/>
      <c r="BA190" s="36" t="n"/>
      <c r="BB190" s="284" t="n"/>
      <c r="BC190" s="99" t="n">
        <v>0</v>
      </c>
      <c r="BD190" s="284" t="n"/>
      <c r="BE190" s="36" t="n"/>
      <c r="BF190" s="284" t="n"/>
      <c r="BG190" s="54" t="n">
        <v>0</v>
      </c>
      <c r="BH190" s="284" t="n"/>
      <c r="BI190" s="338">
        <f>SUMPRODUCT(--(MOD(COLUMN($M190:$BH190),4)=MOD(COLUMN($M190),4)),$M190:$BH190)</f>
        <v/>
      </c>
      <c r="BJ190" s="339">
        <f>BI190*$I190</f>
        <v/>
      </c>
      <c r="BK190" s="340">
        <f>SUMPRODUCT(--(MOD(COLUMN($M190:$BH190),4)=MOD(COLUMN($M190)+1,4)),$M190:$BH190)</f>
        <v/>
      </c>
      <c r="BL190" s="341">
        <f>BK190*$I190</f>
        <v/>
      </c>
      <c r="BM190" s="342">
        <f>SUMPRODUCT(--(MOD(COLUMN($M190:$BH190),4)=MOD(COLUMN($M190)+2,4)),$M190:$BH190)</f>
        <v/>
      </c>
      <c r="BN190" s="343">
        <f>BM190*$I190</f>
        <v/>
      </c>
      <c r="BO190" s="36">
        <f>$KN190*0</f>
        <v/>
      </c>
      <c r="BP190" s="47">
        <f>$KN190*0</f>
        <v/>
      </c>
      <c r="BQ190" s="284" t="n">
        <v>0</v>
      </c>
      <c r="BR190" s="38" t="n">
        <v>0</v>
      </c>
      <c r="BS190" s="347" t="n"/>
      <c r="BT190" s="36">
        <f>$KN190*3</f>
        <v/>
      </c>
      <c r="BU190" s="47">
        <f>$KN190*0</f>
        <v/>
      </c>
      <c r="BV190" s="284">
        <f>$KN190*0</f>
        <v/>
      </c>
      <c r="BW190" s="38" t="n">
        <v>0</v>
      </c>
      <c r="BX190" s="284" t="n"/>
      <c r="BY190" s="36">
        <f>$KN190*3</f>
        <v/>
      </c>
      <c r="BZ190" s="47">
        <f>$KN190*1</f>
        <v/>
      </c>
      <c r="CA190" s="284">
        <f>$KN190*0</f>
        <v/>
      </c>
      <c r="CB190" s="38" t="n">
        <v>0</v>
      </c>
      <c r="CC190" s="284" t="n"/>
      <c r="CD190" s="36">
        <f>$KN190*3</f>
        <v/>
      </c>
      <c r="CE190" s="47">
        <f>$KN190*1</f>
        <v/>
      </c>
      <c r="CF190" s="284">
        <f>$KN190*0</f>
        <v/>
      </c>
      <c r="CG190" s="38" t="n">
        <v>0</v>
      </c>
      <c r="CH190" s="284" t="n"/>
      <c r="CI190" s="36">
        <f>$KN190*3</f>
        <v/>
      </c>
      <c r="CJ190" s="47">
        <f>$KN190*1</f>
        <v/>
      </c>
      <c r="CK190" s="284">
        <f>$KN190*0</f>
        <v/>
      </c>
      <c r="CL190" s="38" t="n">
        <v>0</v>
      </c>
      <c r="CM190" s="284" t="n"/>
      <c r="CN190" s="36">
        <f>$KN190*3</f>
        <v/>
      </c>
      <c r="CO190" s="47">
        <f>$KN190*1</f>
        <v/>
      </c>
      <c r="CP190" s="284">
        <f>$KN190*0</f>
        <v/>
      </c>
      <c r="CQ190" s="38" t="n">
        <v>0</v>
      </c>
      <c r="CR190" s="284" t="n"/>
      <c r="CS190" s="36">
        <f>$KN190*3</f>
        <v/>
      </c>
      <c r="CT190" s="47">
        <f>$KN190*1</f>
        <v/>
      </c>
      <c r="CU190" s="284">
        <f>$KN190*0</f>
        <v/>
      </c>
      <c r="CV190" s="38" t="n">
        <v>0</v>
      </c>
      <c r="CW190" s="284" t="n"/>
      <c r="CX190" s="36">
        <f>$KN190*3</f>
        <v/>
      </c>
      <c r="CY190" s="47">
        <f>$KN190*1</f>
        <v/>
      </c>
      <c r="CZ190" s="284">
        <f>$KN190*0</f>
        <v/>
      </c>
      <c r="DA190" s="38" t="n">
        <v>0</v>
      </c>
      <c r="DB190" s="284" t="n"/>
      <c r="DC190" s="36">
        <f>$KN190*3</f>
        <v/>
      </c>
      <c r="DD190" s="47">
        <f>$KN190*1</f>
        <v/>
      </c>
      <c r="DE190" s="284">
        <f>$KN190*0</f>
        <v/>
      </c>
      <c r="DF190" s="38" t="n">
        <v>0</v>
      </c>
      <c r="DG190" s="284" t="n"/>
      <c r="DH190" s="36">
        <f>$KN190*3</f>
        <v/>
      </c>
      <c r="DI190" s="47">
        <f>$KN190*1</f>
        <v/>
      </c>
      <c r="DJ190" s="284">
        <f>$KN190*0</f>
        <v/>
      </c>
      <c r="DK190" s="38" t="n">
        <v>0</v>
      </c>
      <c r="DL190" s="284" t="n"/>
      <c r="DM190" s="36">
        <f>$KN190*3</f>
        <v/>
      </c>
      <c r="DN190" s="47">
        <f>$KN190*1</f>
        <v/>
      </c>
      <c r="DO190" s="284">
        <f>$KN190*0</f>
        <v/>
      </c>
      <c r="DP190" s="38" t="n">
        <v>0</v>
      </c>
      <c r="DQ190" s="284" t="n"/>
      <c r="DR190" s="36">
        <f>$KN190*3</f>
        <v/>
      </c>
      <c r="DS190" s="47">
        <f>$KN190*1</f>
        <v/>
      </c>
      <c r="DT190" s="284">
        <f>$KN190*0</f>
        <v/>
      </c>
      <c r="DU190" s="38" t="n">
        <v>0</v>
      </c>
      <c r="DV190" s="284" t="n"/>
      <c r="DW190" s="338">
        <f t="array" ref="DW190">SUMPRODUCT(--(MOD(COLUMN($BO190:$DV190),5)=MOD(COLUMN($BO190),5)),$BO190:$DV190)</f>
        <v/>
      </c>
      <c r="DX190" s="339">
        <f>DW190*$J190</f>
        <v/>
      </c>
      <c r="DY190" s="344">
        <f t="array" ref="DY190">SUMPRODUCT(--(MOD(COLUMN($BO190:$DV190),5)=MOD(COLUMN($BP190),5)),$BO190:$DV190)</f>
        <v/>
      </c>
      <c r="DZ190" s="345">
        <f>DY190*$J190</f>
        <v/>
      </c>
      <c r="EA190" s="340">
        <f t="array" ref="EA190">SUMPRODUCT(--(MOD(COLUMN($BO190:$DV190),5)=MOD(COLUMN($BQ190),5)),$BO190:$DV190)</f>
        <v/>
      </c>
      <c r="EB190" s="341">
        <f>EA190*$J190</f>
        <v/>
      </c>
      <c r="EC190" s="342">
        <f t="array" ref="EC190">SUMPRODUCT(--(MOD(COLUMN($BO190:$DV190),5)=MOD(COLUMN($BR190),5)),$BO190:$DV190)</f>
        <v/>
      </c>
      <c r="ED190" s="343">
        <f>EC190*$J190</f>
        <v/>
      </c>
      <c r="EE190" s="36">
        <f>$KN190*1</f>
        <v/>
      </c>
      <c r="EF190" s="284" t="n">
        <v>1</v>
      </c>
      <c r="EG190" s="38" t="n">
        <v>0</v>
      </c>
      <c r="EH190" s="284" t="n"/>
      <c r="EI190" s="36">
        <f>$KN190*1</f>
        <v/>
      </c>
      <c r="EJ190" s="284" t="n">
        <v>0</v>
      </c>
      <c r="EK190" s="38" t="n">
        <v>0</v>
      </c>
      <c r="EL190" s="284" t="n"/>
      <c r="EM190" s="36">
        <f>$KN190*1</f>
        <v/>
      </c>
      <c r="EN190" s="284" t="n">
        <v>0</v>
      </c>
      <c r="EO190" s="38" t="n">
        <v>0</v>
      </c>
      <c r="EP190" s="284" t="n"/>
      <c r="EQ190" s="36">
        <f>$KN190*2</f>
        <v/>
      </c>
      <c r="ER190" s="284" t="n">
        <v>0</v>
      </c>
      <c r="ES190" s="38" t="n">
        <v>0</v>
      </c>
      <c r="ET190" s="284" t="n"/>
      <c r="EU190" s="36">
        <f>$KN190*2</f>
        <v/>
      </c>
      <c r="EV190" s="284" t="n">
        <v>0</v>
      </c>
      <c r="EW190" s="38" t="n">
        <v>0</v>
      </c>
      <c r="EX190" s="284" t="n"/>
      <c r="EY190" s="36">
        <f>$KN190*2</f>
        <v/>
      </c>
      <c r="EZ190" s="284" t="n">
        <v>2</v>
      </c>
      <c r="FA190" s="38" t="n">
        <v>0</v>
      </c>
      <c r="FB190" s="284" t="n"/>
      <c r="FC190" s="36">
        <f>$KN190*3</f>
        <v/>
      </c>
      <c r="FD190" s="284" t="n">
        <v>3</v>
      </c>
      <c r="FE190" s="38" t="n">
        <v>0</v>
      </c>
      <c r="FF190" s="284" t="n"/>
      <c r="FG190" s="36">
        <f>$KN190*3</f>
        <v/>
      </c>
      <c r="FH190" s="284" t="n">
        <v>3</v>
      </c>
      <c r="FI190" s="38" t="n">
        <v>0</v>
      </c>
      <c r="FJ190" s="284" t="n"/>
      <c r="FK190" s="36">
        <f>$KN190*3</f>
        <v/>
      </c>
      <c r="FL190" s="284" t="n">
        <v>3</v>
      </c>
      <c r="FM190" s="38" t="n">
        <v>0</v>
      </c>
      <c r="FN190" s="284" t="n"/>
      <c r="FO190" s="36">
        <f>$KN190*4</f>
        <v/>
      </c>
      <c r="FP190" s="284" t="n">
        <v>4</v>
      </c>
      <c r="FQ190" s="38" t="n">
        <v>0</v>
      </c>
      <c r="FR190" s="284" t="n"/>
      <c r="FS190" s="36">
        <f>$KN190*4</f>
        <v/>
      </c>
      <c r="FT190" s="284" t="n">
        <v>4</v>
      </c>
      <c r="FU190" s="38" t="n">
        <v>0</v>
      </c>
      <c r="FV190" s="284" t="n"/>
      <c r="FW190" s="36">
        <f>$KN190*4</f>
        <v/>
      </c>
      <c r="FX190" s="284" t="n">
        <v>4</v>
      </c>
      <c r="FY190" s="38" t="n">
        <v>0</v>
      </c>
      <c r="FZ190" s="284" t="n"/>
      <c r="GA190" s="338">
        <f t="array" ref="GA190">SUMPRODUCT(--(MOD(COLUMN($EE190:$FZ190),4)=MOD(COLUMN($EE190),4)),$EE190:$FZ190)</f>
        <v/>
      </c>
      <c r="GB190" s="339">
        <f>GA190*$J190</f>
        <v/>
      </c>
      <c r="GC190" s="340">
        <f t="array" ref="GC190">SUMPRODUCT(--(MOD(COLUMN($EE190:$FZ190),4)=MOD(COLUMN($EF190),4)),$EE190:$FZ190)</f>
        <v/>
      </c>
      <c r="GD190" s="341">
        <f>GC190*$J190</f>
        <v/>
      </c>
      <c r="GE190" s="342">
        <f t="array" ref="GE190">SUMPRODUCT(--(MOD(COLUMN($EE190:$FZ190),4)=MOD(COLUMN($EG190),4)),$EE190:$FZ190)</f>
        <v/>
      </c>
      <c r="GF190" s="343">
        <f>GE190*$J190</f>
        <v/>
      </c>
      <c r="GG190" s="36">
        <f>$KN190*3</f>
        <v/>
      </c>
      <c r="GH190" s="284" t="n"/>
      <c r="GI190" s="38" t="n">
        <v>0</v>
      </c>
      <c r="GJ190" s="284" t="n"/>
      <c r="GK190" s="36">
        <f>$KN190*3</f>
        <v/>
      </c>
      <c r="GL190" s="284" t="n"/>
      <c r="GM190" s="38" t="n">
        <v>0</v>
      </c>
      <c r="GN190" s="284" t="n"/>
      <c r="GO190" s="36">
        <f>$KN190*3</f>
        <v/>
      </c>
      <c r="GP190" s="284" t="n"/>
      <c r="GQ190" s="38" t="n">
        <v>0</v>
      </c>
      <c r="GR190" s="284" t="n"/>
      <c r="GS190" s="36">
        <f>$KN190*5</f>
        <v/>
      </c>
      <c r="GT190" s="284" t="n"/>
      <c r="GU190" s="38" t="n">
        <v>0</v>
      </c>
      <c r="GV190" s="284" t="n"/>
      <c r="GW190" s="36">
        <f>$KN190*5</f>
        <v/>
      </c>
      <c r="GX190" s="284" t="n"/>
      <c r="GY190" s="38" t="n">
        <v>0</v>
      </c>
      <c r="GZ190" s="284" t="n"/>
      <c r="HA190" s="36">
        <f>$KN190*5</f>
        <v/>
      </c>
      <c r="HB190" s="284" t="n"/>
      <c r="HC190" s="38" t="n">
        <v>0</v>
      </c>
      <c r="HD190" s="284" t="n"/>
      <c r="HE190" s="36">
        <f>$KN190*5</f>
        <v/>
      </c>
      <c r="HF190" s="284" t="n"/>
      <c r="HG190" s="38" t="n">
        <v>0</v>
      </c>
      <c r="HH190" s="284" t="n"/>
      <c r="HI190" s="36">
        <f>$KN190*5</f>
        <v/>
      </c>
      <c r="HJ190" s="284" t="n"/>
      <c r="HK190" s="38" t="n">
        <v>0</v>
      </c>
      <c r="HL190" s="284" t="n"/>
      <c r="HM190" s="36">
        <f>$KN190*5</f>
        <v/>
      </c>
      <c r="HN190" s="284" t="n"/>
      <c r="HO190" s="38" t="n">
        <v>0</v>
      </c>
      <c r="HP190" s="284" t="n"/>
      <c r="HQ190" s="36">
        <f>$KN190*5</f>
        <v/>
      </c>
      <c r="HR190" s="284" t="n"/>
      <c r="HS190" s="38" t="n">
        <v>0</v>
      </c>
      <c r="HT190" s="284" t="n"/>
      <c r="HU190" s="36">
        <f>$KN190*5</f>
        <v/>
      </c>
      <c r="HV190" s="284" t="n"/>
      <c r="HW190" s="38" t="n">
        <v>0</v>
      </c>
      <c r="HX190" s="284" t="n"/>
      <c r="HY190" s="36">
        <f>$KN190*5</f>
        <v/>
      </c>
      <c r="HZ190" s="284" t="n"/>
      <c r="IA190" s="38" t="n">
        <v>0</v>
      </c>
      <c r="IB190" s="284" t="n"/>
      <c r="IC190" s="338">
        <f t="array" ref="IC190">SUMPRODUCT(--(MOD(COLUMN($GG190:$IB190),4)=MOD(COLUMN($GG190),4)),$GG190:$IB190)</f>
        <v/>
      </c>
      <c r="ID190" s="339">
        <f>IC190*$J190</f>
        <v/>
      </c>
      <c r="IE190" s="340">
        <f t="array" ref="IE190">SUMPRODUCT(--(MOD(COLUMN($GG190:$IB190),4)=MOD(COLUMN($GH190),4)),$GG190:$IB190)</f>
        <v/>
      </c>
      <c r="IF190" s="341">
        <f>IE190*$J190</f>
        <v/>
      </c>
      <c r="IG190" s="342">
        <f t="array" ref="IG190">SUMPRODUCT(--(MOD(COLUMN($GG190:$IB190),4)=MOD(COLUMN($GI190),4)),$GG190:$IB190)</f>
        <v/>
      </c>
      <c r="IH190" s="343">
        <f>IG190*$J190</f>
        <v/>
      </c>
      <c r="II190" s="36">
        <f>$KN190*3</f>
        <v/>
      </c>
      <c r="IJ190" s="284" t="n"/>
      <c r="IK190" s="38" t="n">
        <v>0</v>
      </c>
      <c r="IL190" s="284" t="n"/>
      <c r="IM190" s="36">
        <f>$KN190*3</f>
        <v/>
      </c>
      <c r="IN190" s="284" t="n"/>
      <c r="IO190" s="38" t="n">
        <v>0</v>
      </c>
      <c r="IP190" s="284" t="n"/>
      <c r="IQ190" s="36">
        <f>$KN190*3</f>
        <v/>
      </c>
      <c r="IR190" s="284" t="n"/>
      <c r="IS190" s="38" t="n">
        <v>0</v>
      </c>
      <c r="IT190" s="284" t="n"/>
      <c r="IU190" s="36">
        <f>$KN190*5</f>
        <v/>
      </c>
      <c r="IV190" s="284" t="n"/>
      <c r="IW190" s="38" t="n">
        <v>0</v>
      </c>
      <c r="IX190" s="284" t="n"/>
      <c r="IY190" s="36">
        <f>$KN190*5</f>
        <v/>
      </c>
      <c r="IZ190" s="284" t="n"/>
      <c r="JA190" s="38" t="n">
        <v>0</v>
      </c>
      <c r="JB190" s="284" t="n"/>
      <c r="JC190" s="36">
        <f>$KN190*5</f>
        <v/>
      </c>
      <c r="JD190" s="284" t="n"/>
      <c r="JE190" s="38" t="n">
        <v>0</v>
      </c>
      <c r="JF190" s="284" t="n"/>
      <c r="JG190" s="36">
        <f>$KN190*5</f>
        <v/>
      </c>
      <c r="JH190" s="284" t="n"/>
      <c r="JI190" s="38" t="n">
        <v>0</v>
      </c>
      <c r="JJ190" s="284" t="n"/>
      <c r="JK190" s="36">
        <f>$KN190*5</f>
        <v/>
      </c>
      <c r="JL190" s="284" t="n"/>
      <c r="JM190" s="38" t="n">
        <v>0</v>
      </c>
      <c r="JN190" s="284" t="n"/>
      <c r="JO190" s="36">
        <f>$KN190*5</f>
        <v/>
      </c>
      <c r="JP190" s="284" t="n"/>
      <c r="JQ190" s="38" t="n">
        <v>0</v>
      </c>
      <c r="JR190" s="284" t="n"/>
      <c r="JS190" s="36">
        <f>$KN190*5</f>
        <v/>
      </c>
      <c r="JT190" s="284" t="n"/>
      <c r="JU190" s="38" t="n">
        <v>0</v>
      </c>
      <c r="JV190" s="284" t="n"/>
      <c r="JW190" s="36">
        <f>$KN190*5</f>
        <v/>
      </c>
      <c r="JX190" s="284" t="n"/>
      <c r="JY190" s="38" t="n">
        <v>0</v>
      </c>
      <c r="JZ190" s="284" t="n"/>
      <c r="KA190" s="36">
        <f>$KN190*5</f>
        <v/>
      </c>
      <c r="KB190" s="284" t="n"/>
      <c r="KC190" s="38" t="n">
        <v>0</v>
      </c>
      <c r="KD190" s="284" t="n"/>
      <c r="KE190" s="338">
        <f t="array" ref="KE190">SUMPRODUCT(--(MOD(COLUMN($II190:$KD190),4)=MOD(COLUMN($II190),4)),$II190:$KD190)</f>
        <v/>
      </c>
      <c r="KF190" s="339">
        <f>KE190*$J190</f>
        <v/>
      </c>
      <c r="KG190" s="340">
        <f t="array" ref="KG190">SUMPRODUCT(--(MOD(COLUMN($II190:$KD190),4)=MOD(COLUMN($IJ190),4)),$II190:$KD190)</f>
        <v/>
      </c>
      <c r="KH190" s="341">
        <f>KG190*$J190</f>
        <v/>
      </c>
      <c r="KI190" s="342">
        <f t="array" ref="KI190">SUMPRODUCT(--(MOD(COLUMN($II190:$KD190),4)=MOD(COLUMN($IK190),4)),$II190:$KD190)</f>
        <v/>
      </c>
      <c r="KJ190" s="346">
        <f>KI190*$J190</f>
        <v/>
      </c>
      <c r="KK190" s="80" t="n"/>
      <c r="KL190" s="80" t="n"/>
      <c r="KM190" s="80" t="n"/>
      <c r="KN190" s="51" t="n">
        <v>1</v>
      </c>
      <c r="KO190" s="333" t="n"/>
    </row>
    <row r="191" outlineLevel="1" ht="43.2" customFormat="1" customHeight="1" s="68">
      <c r="A191" s="347" t="n"/>
      <c r="B191" s="347" t="n"/>
      <c r="C191" s="347" t="n"/>
      <c r="D191" s="347" t="n"/>
      <c r="E191" s="60" t="n">
        <v>10</v>
      </c>
      <c r="F191" s="60" t="n">
        <v>1</v>
      </c>
      <c r="G191" s="56" t="n">
        <v>4630840310</v>
      </c>
      <c r="H191" s="57" t="inlineStr">
        <is>
          <t>Клапан управления подъемом оси (LACV)</t>
        </is>
      </c>
      <c r="I191" s="348" t="n">
        <v>558.7585034013606</v>
      </c>
      <c r="J191" s="337">
        <f>657.1/1.2*1.015</f>
        <v/>
      </c>
      <c r="K191" s="348" t="n"/>
      <c r="L191" s="348" t="n"/>
      <c r="M191" s="36" t="n"/>
      <c r="N191" s="284" t="n"/>
      <c r="O191" s="38" t="n"/>
      <c r="P191" s="284" t="n"/>
      <c r="Q191" s="36" t="n"/>
      <c r="R191" s="284" t="n"/>
      <c r="S191" s="38" t="n"/>
      <c r="T191" s="284" t="n"/>
      <c r="U191" s="36" t="n"/>
      <c r="V191" s="284" t="n"/>
      <c r="W191" s="38" t="n"/>
      <c r="X191" s="284" t="n"/>
      <c r="Y191" s="36" t="n"/>
      <c r="Z191" s="284" t="n"/>
      <c r="AA191" s="38" t="n"/>
      <c r="AB191" s="284" t="n"/>
      <c r="AC191" s="36" t="n"/>
      <c r="AD191" s="284" t="n"/>
      <c r="AE191" s="38" t="n"/>
      <c r="AF191" s="284" t="n"/>
      <c r="AG191" s="36" t="n"/>
      <c r="AH191" s="284" t="n"/>
      <c r="AI191" s="38" t="n"/>
      <c r="AJ191" s="284" t="n"/>
      <c r="AK191" s="36" t="n"/>
      <c r="AL191" s="284" t="n"/>
      <c r="AM191" s="38" t="n"/>
      <c r="AN191" s="284" t="n"/>
      <c r="AO191" s="36" t="n"/>
      <c r="AP191" s="284" t="n"/>
      <c r="AQ191" s="38" t="n"/>
      <c r="AR191" s="284" t="n"/>
      <c r="AS191" s="36" t="n"/>
      <c r="AT191" s="284" t="n"/>
      <c r="AU191" s="38" t="n">
        <v>0</v>
      </c>
      <c r="AV191" s="284" t="n"/>
      <c r="AW191" s="36" t="n"/>
      <c r="AX191" s="284" t="n"/>
      <c r="AY191" s="38" t="n"/>
      <c r="AZ191" s="96" t="n"/>
      <c r="BA191" s="36" t="n"/>
      <c r="BB191" s="284" t="n"/>
      <c r="BC191" s="99" t="n">
        <v>0</v>
      </c>
      <c r="BD191" s="284" t="n"/>
      <c r="BE191" s="36" t="n"/>
      <c r="BF191" s="284" t="n"/>
      <c r="BG191" s="54" t="n">
        <v>0</v>
      </c>
      <c r="BH191" s="284" t="n"/>
      <c r="BI191" s="338">
        <f>SUMPRODUCT(--(MOD(COLUMN($M191:$BH191),4)=MOD(COLUMN($M191),4)),$M191:$BH191)</f>
        <v/>
      </c>
      <c r="BJ191" s="339">
        <f>BI191*$I191</f>
        <v/>
      </c>
      <c r="BK191" s="340">
        <f>SUMPRODUCT(--(MOD(COLUMN($M191:$BH191),4)=MOD(COLUMN($M191)+1,4)),$M191:$BH191)</f>
        <v/>
      </c>
      <c r="BL191" s="341">
        <f>BK191*$I191</f>
        <v/>
      </c>
      <c r="BM191" s="342">
        <f>SUMPRODUCT(--(MOD(COLUMN($M191:$BH191),4)=MOD(COLUMN($M191)+2,4)),$M191:$BH191)</f>
        <v/>
      </c>
      <c r="BN191" s="343">
        <f>BM191*$I191</f>
        <v/>
      </c>
      <c r="BO191" s="36">
        <f>$KN191*0</f>
        <v/>
      </c>
      <c r="BP191" s="47">
        <f>$KN191*0</f>
        <v/>
      </c>
      <c r="BQ191" s="284" t="n">
        <v>0</v>
      </c>
      <c r="BR191" s="38" t="n">
        <v>0</v>
      </c>
      <c r="BS191" s="347" t="n"/>
      <c r="BT191" s="36">
        <f>$KN191*3</f>
        <v/>
      </c>
      <c r="BU191" s="47">
        <f>$KN191*0</f>
        <v/>
      </c>
      <c r="BV191" s="284">
        <f>$KN191*0</f>
        <v/>
      </c>
      <c r="BW191" s="38" t="n">
        <v>0</v>
      </c>
      <c r="BX191" s="284" t="n"/>
      <c r="BY191" s="36">
        <f>$KN191*3</f>
        <v/>
      </c>
      <c r="BZ191" s="47">
        <f>$KN191*1</f>
        <v/>
      </c>
      <c r="CA191" s="284">
        <f>$KN191*0</f>
        <v/>
      </c>
      <c r="CB191" s="38" t="n">
        <v>0</v>
      </c>
      <c r="CC191" s="284" t="n"/>
      <c r="CD191" s="36">
        <f>$KN191*3</f>
        <v/>
      </c>
      <c r="CE191" s="47">
        <f>$KN191*1</f>
        <v/>
      </c>
      <c r="CF191" s="284">
        <f>$KN191*0</f>
        <v/>
      </c>
      <c r="CG191" s="38" t="n">
        <v>0</v>
      </c>
      <c r="CH191" s="284" t="n"/>
      <c r="CI191" s="36">
        <f>$KN191*3</f>
        <v/>
      </c>
      <c r="CJ191" s="47">
        <f>$KN191*1</f>
        <v/>
      </c>
      <c r="CK191" s="284">
        <f>$KN191*0</f>
        <v/>
      </c>
      <c r="CL191" s="38" t="n">
        <v>0</v>
      </c>
      <c r="CM191" s="284" t="n"/>
      <c r="CN191" s="36">
        <f>$KN191*3</f>
        <v/>
      </c>
      <c r="CO191" s="47">
        <f>$KN191*1</f>
        <v/>
      </c>
      <c r="CP191" s="284">
        <f>$KN191*0</f>
        <v/>
      </c>
      <c r="CQ191" s="38" t="n">
        <v>0</v>
      </c>
      <c r="CR191" s="284" t="n"/>
      <c r="CS191" s="36">
        <f>$KN191*3</f>
        <v/>
      </c>
      <c r="CT191" s="47">
        <f>$KN191*1</f>
        <v/>
      </c>
      <c r="CU191" s="284">
        <f>$KN191*0</f>
        <v/>
      </c>
      <c r="CV191" s="38" t="n">
        <v>0</v>
      </c>
      <c r="CW191" s="284" t="n"/>
      <c r="CX191" s="36">
        <f>$KN191*3</f>
        <v/>
      </c>
      <c r="CY191" s="47">
        <f>$KN191*1</f>
        <v/>
      </c>
      <c r="CZ191" s="284">
        <f>$KN191*0</f>
        <v/>
      </c>
      <c r="DA191" s="38" t="n">
        <v>0</v>
      </c>
      <c r="DB191" s="284" t="n"/>
      <c r="DC191" s="36">
        <f>$KN191*3</f>
        <v/>
      </c>
      <c r="DD191" s="47">
        <f>$KN191*1</f>
        <v/>
      </c>
      <c r="DE191" s="284">
        <f>$KN191*0</f>
        <v/>
      </c>
      <c r="DF191" s="38" t="n">
        <v>0</v>
      </c>
      <c r="DG191" s="284" t="n"/>
      <c r="DH191" s="36">
        <f>$KN191*3</f>
        <v/>
      </c>
      <c r="DI191" s="47">
        <f>$KN191*1</f>
        <v/>
      </c>
      <c r="DJ191" s="284">
        <f>$KN191*0</f>
        <v/>
      </c>
      <c r="DK191" s="52" t="n">
        <v>0</v>
      </c>
      <c r="DL191" s="284" t="n"/>
      <c r="DM191" s="36">
        <f>$KN191*3</f>
        <v/>
      </c>
      <c r="DN191" s="47">
        <f>$KN191*1</f>
        <v/>
      </c>
      <c r="DO191" s="284">
        <f>$KN191*0</f>
        <v/>
      </c>
      <c r="DP191" s="38" t="n">
        <v>0</v>
      </c>
      <c r="DQ191" s="284" t="n"/>
      <c r="DR191" s="36">
        <f>$KN191*3</f>
        <v/>
      </c>
      <c r="DS191" s="47">
        <f>$KN191*1</f>
        <v/>
      </c>
      <c r="DT191" s="284">
        <f>$KN191*0</f>
        <v/>
      </c>
      <c r="DU191" s="38" t="n">
        <v>0</v>
      </c>
      <c r="DV191" s="284" t="n"/>
      <c r="DW191" s="338">
        <f t="array" ref="DW191">SUMPRODUCT(--(MOD(COLUMN($BO191:$DV191),5)=MOD(COLUMN($BO191),5)),$BO191:$DV191)</f>
        <v/>
      </c>
      <c r="DX191" s="339">
        <f>DW191*$J191</f>
        <v/>
      </c>
      <c r="DY191" s="344">
        <f t="array" ref="DY191">SUMPRODUCT(--(MOD(COLUMN($BO191:$DV191),5)=MOD(COLUMN($BP191),5)),$BO191:$DV191)</f>
        <v/>
      </c>
      <c r="DZ191" s="345">
        <f>DY191*$J191</f>
        <v/>
      </c>
      <c r="EA191" s="340">
        <f t="array" ref="EA191">SUMPRODUCT(--(MOD(COLUMN($BO191:$DV191),5)=MOD(COLUMN($BQ191),5)),$BO191:$DV191)</f>
        <v/>
      </c>
      <c r="EB191" s="341">
        <f>EA191*$J191</f>
        <v/>
      </c>
      <c r="EC191" s="342">
        <f t="array" ref="EC191">SUMPRODUCT(--(MOD(COLUMN($BO191:$DV191),5)=MOD(COLUMN($BR191),5)),$BO191:$DV191)</f>
        <v/>
      </c>
      <c r="ED191" s="343">
        <f>EC191*$J191</f>
        <v/>
      </c>
      <c r="EE191" s="36">
        <f>$KN191*1</f>
        <v/>
      </c>
      <c r="EF191" s="284" t="n">
        <v>1</v>
      </c>
      <c r="EG191" s="38" t="n">
        <v>0</v>
      </c>
      <c r="EH191" s="284" t="n"/>
      <c r="EI191" s="36">
        <f>$KN191*1</f>
        <v/>
      </c>
      <c r="EJ191" s="284" t="n">
        <v>0</v>
      </c>
      <c r="EK191" s="38" t="n">
        <v>0</v>
      </c>
      <c r="EL191" s="284" t="n"/>
      <c r="EM191" s="36">
        <f>$KN191*1</f>
        <v/>
      </c>
      <c r="EN191" s="284" t="n">
        <v>0</v>
      </c>
      <c r="EO191" s="38" t="n">
        <v>0</v>
      </c>
      <c r="EP191" s="284" t="n"/>
      <c r="EQ191" s="36">
        <f>$KN191*2</f>
        <v/>
      </c>
      <c r="ER191" s="284" t="n">
        <v>0</v>
      </c>
      <c r="ES191" s="38" t="n">
        <v>0</v>
      </c>
      <c r="ET191" s="284" t="n"/>
      <c r="EU191" s="36">
        <f>$KN191*2</f>
        <v/>
      </c>
      <c r="EV191" s="284" t="n">
        <v>0</v>
      </c>
      <c r="EW191" s="38" t="n">
        <v>0</v>
      </c>
      <c r="EX191" s="284" t="n"/>
      <c r="EY191" s="36">
        <f>$KN191*2</f>
        <v/>
      </c>
      <c r="EZ191" s="284" t="n">
        <v>2</v>
      </c>
      <c r="FA191" s="38" t="n">
        <v>0</v>
      </c>
      <c r="FB191" s="284" t="n"/>
      <c r="FC191" s="36">
        <f>$KN191*3</f>
        <v/>
      </c>
      <c r="FD191" s="284" t="n">
        <v>3</v>
      </c>
      <c r="FE191" s="38" t="n">
        <v>0</v>
      </c>
      <c r="FF191" s="284" t="n"/>
      <c r="FG191" s="36">
        <f>$KN191*3</f>
        <v/>
      </c>
      <c r="FH191" s="284" t="n">
        <v>3</v>
      </c>
      <c r="FI191" s="38" t="n">
        <v>0</v>
      </c>
      <c r="FJ191" s="284" t="n"/>
      <c r="FK191" s="36">
        <f>$KN191*3</f>
        <v/>
      </c>
      <c r="FL191" s="284" t="n">
        <v>3</v>
      </c>
      <c r="FM191" s="38" t="n">
        <v>0</v>
      </c>
      <c r="FN191" s="284" t="n"/>
      <c r="FO191" s="36">
        <f>$KN191*4</f>
        <v/>
      </c>
      <c r="FP191" s="284" t="n">
        <v>4</v>
      </c>
      <c r="FQ191" s="38" t="n">
        <v>0</v>
      </c>
      <c r="FR191" s="284" t="n"/>
      <c r="FS191" s="36">
        <f>$KN191*4</f>
        <v/>
      </c>
      <c r="FT191" s="284" t="n">
        <v>4</v>
      </c>
      <c r="FU191" s="38" t="n">
        <v>0</v>
      </c>
      <c r="FV191" s="284" t="n"/>
      <c r="FW191" s="36">
        <f>$KN191*4</f>
        <v/>
      </c>
      <c r="FX191" s="284" t="n">
        <v>4</v>
      </c>
      <c r="FY191" s="38" t="n">
        <v>0</v>
      </c>
      <c r="FZ191" s="284" t="n"/>
      <c r="GA191" s="338">
        <f t="array" ref="GA191">SUMPRODUCT(--(MOD(COLUMN($EE191:$FZ191),4)=MOD(COLUMN($EE191),4)),$EE191:$FZ191)</f>
        <v/>
      </c>
      <c r="GB191" s="339">
        <f>GA191*$J191</f>
        <v/>
      </c>
      <c r="GC191" s="340">
        <f t="array" ref="GC191">SUMPRODUCT(--(MOD(COLUMN($EE191:$FZ191),4)=MOD(COLUMN($EF191),4)),$EE191:$FZ191)</f>
        <v/>
      </c>
      <c r="GD191" s="341">
        <f>GC191*$J191</f>
        <v/>
      </c>
      <c r="GE191" s="342">
        <f t="array" ref="GE191">SUMPRODUCT(--(MOD(COLUMN($EE191:$FZ191),4)=MOD(COLUMN($EG191),4)),$EE191:$FZ191)</f>
        <v/>
      </c>
      <c r="GF191" s="343">
        <f>GE191*$J191</f>
        <v/>
      </c>
      <c r="GG191" s="36">
        <f>$KN191*3</f>
        <v/>
      </c>
      <c r="GH191" s="284" t="n"/>
      <c r="GI191" s="38" t="n">
        <v>0</v>
      </c>
      <c r="GJ191" s="284" t="n"/>
      <c r="GK191" s="36">
        <f>$KN191*3</f>
        <v/>
      </c>
      <c r="GL191" s="284" t="n"/>
      <c r="GM191" s="38" t="n">
        <v>0</v>
      </c>
      <c r="GN191" s="284" t="n"/>
      <c r="GO191" s="36">
        <f>$KN191*3</f>
        <v/>
      </c>
      <c r="GP191" s="284" t="n"/>
      <c r="GQ191" s="38" t="n">
        <v>0</v>
      </c>
      <c r="GR191" s="284" t="n"/>
      <c r="GS191" s="36">
        <f>$KN191*5</f>
        <v/>
      </c>
      <c r="GT191" s="284" t="n"/>
      <c r="GU191" s="38" t="n">
        <v>0</v>
      </c>
      <c r="GV191" s="284" t="n"/>
      <c r="GW191" s="36">
        <f>$KN191*5</f>
        <v/>
      </c>
      <c r="GX191" s="284" t="n"/>
      <c r="GY191" s="38" t="n">
        <v>0</v>
      </c>
      <c r="GZ191" s="284" t="n"/>
      <c r="HA191" s="36">
        <f>$KN191*5</f>
        <v/>
      </c>
      <c r="HB191" s="284" t="n"/>
      <c r="HC191" s="38" t="n">
        <v>0</v>
      </c>
      <c r="HD191" s="284" t="n"/>
      <c r="HE191" s="36">
        <f>$KN191*5</f>
        <v/>
      </c>
      <c r="HF191" s="284" t="n"/>
      <c r="HG191" s="38" t="n">
        <v>0</v>
      </c>
      <c r="HH191" s="284" t="n"/>
      <c r="HI191" s="36">
        <f>$KN191*5</f>
        <v/>
      </c>
      <c r="HJ191" s="284" t="n"/>
      <c r="HK191" s="38" t="n">
        <v>0</v>
      </c>
      <c r="HL191" s="284" t="n"/>
      <c r="HM191" s="36">
        <f>$KN191*5</f>
        <v/>
      </c>
      <c r="HN191" s="284" t="n"/>
      <c r="HO191" s="38" t="n">
        <v>0</v>
      </c>
      <c r="HP191" s="284" t="n"/>
      <c r="HQ191" s="36">
        <f>$KN191*5</f>
        <v/>
      </c>
      <c r="HR191" s="284" t="n"/>
      <c r="HS191" s="38" t="n">
        <v>0</v>
      </c>
      <c r="HT191" s="284" t="n"/>
      <c r="HU191" s="36">
        <f>$KN191*5</f>
        <v/>
      </c>
      <c r="HV191" s="284" t="n"/>
      <c r="HW191" s="38" t="n">
        <v>0</v>
      </c>
      <c r="HX191" s="284" t="n"/>
      <c r="HY191" s="36">
        <f>$KN191*5</f>
        <v/>
      </c>
      <c r="HZ191" s="284" t="n"/>
      <c r="IA191" s="38" t="n">
        <v>0</v>
      </c>
      <c r="IB191" s="284" t="n"/>
      <c r="IC191" s="338">
        <f t="array" ref="IC191">SUMPRODUCT(--(MOD(COLUMN($GG191:$IB191),4)=MOD(COLUMN($GG191),4)),$GG191:$IB191)</f>
        <v/>
      </c>
      <c r="ID191" s="339">
        <f>IC191*$J191</f>
        <v/>
      </c>
      <c r="IE191" s="340">
        <f t="array" ref="IE191">SUMPRODUCT(--(MOD(COLUMN($GG191:$IB191),4)=MOD(COLUMN($GH191),4)),$GG191:$IB191)</f>
        <v/>
      </c>
      <c r="IF191" s="341">
        <f>IE191*$J191</f>
        <v/>
      </c>
      <c r="IG191" s="342">
        <f t="array" ref="IG191">SUMPRODUCT(--(MOD(COLUMN($GG191:$IB191),4)=MOD(COLUMN($GI191),4)),$GG191:$IB191)</f>
        <v/>
      </c>
      <c r="IH191" s="343">
        <f>IG191*$J191</f>
        <v/>
      </c>
      <c r="II191" s="36">
        <f>$KN191*3</f>
        <v/>
      </c>
      <c r="IJ191" s="284" t="n"/>
      <c r="IK191" s="38" t="n">
        <v>0</v>
      </c>
      <c r="IL191" s="284" t="n"/>
      <c r="IM191" s="36">
        <f>$KN191*3</f>
        <v/>
      </c>
      <c r="IN191" s="284" t="n"/>
      <c r="IO191" s="38" t="n">
        <v>0</v>
      </c>
      <c r="IP191" s="284" t="n"/>
      <c r="IQ191" s="36">
        <f>$KN191*3</f>
        <v/>
      </c>
      <c r="IR191" s="284" t="n"/>
      <c r="IS191" s="38" t="n">
        <v>0</v>
      </c>
      <c r="IT191" s="284" t="n"/>
      <c r="IU191" s="36">
        <f>$KN191*5</f>
        <v/>
      </c>
      <c r="IV191" s="284" t="n"/>
      <c r="IW191" s="38" t="n">
        <v>0</v>
      </c>
      <c r="IX191" s="284" t="n"/>
      <c r="IY191" s="36">
        <f>$KN191*5</f>
        <v/>
      </c>
      <c r="IZ191" s="284" t="n"/>
      <c r="JA191" s="38" t="n">
        <v>0</v>
      </c>
      <c r="JB191" s="284" t="n"/>
      <c r="JC191" s="36">
        <f>$KN191*5</f>
        <v/>
      </c>
      <c r="JD191" s="284" t="n"/>
      <c r="JE191" s="38" t="n">
        <v>0</v>
      </c>
      <c r="JF191" s="284" t="n"/>
      <c r="JG191" s="36">
        <f>$KN191*5</f>
        <v/>
      </c>
      <c r="JH191" s="284" t="n"/>
      <c r="JI191" s="38" t="n">
        <v>0</v>
      </c>
      <c r="JJ191" s="284" t="n"/>
      <c r="JK191" s="36">
        <f>$KN191*5</f>
        <v/>
      </c>
      <c r="JL191" s="284" t="n"/>
      <c r="JM191" s="38" t="n">
        <v>0</v>
      </c>
      <c r="JN191" s="284" t="n"/>
      <c r="JO191" s="36">
        <f>$KN191*5</f>
        <v/>
      </c>
      <c r="JP191" s="284" t="n"/>
      <c r="JQ191" s="38" t="n">
        <v>0</v>
      </c>
      <c r="JR191" s="284" t="n"/>
      <c r="JS191" s="36">
        <f>$KN191*5</f>
        <v/>
      </c>
      <c r="JT191" s="284" t="n"/>
      <c r="JU191" s="38" t="n">
        <v>0</v>
      </c>
      <c r="JV191" s="284" t="n"/>
      <c r="JW191" s="36">
        <f>$KN191*5</f>
        <v/>
      </c>
      <c r="JX191" s="284" t="n"/>
      <c r="JY191" s="38" t="n">
        <v>0</v>
      </c>
      <c r="JZ191" s="284" t="n"/>
      <c r="KA191" s="36">
        <f>$KN191*5</f>
        <v/>
      </c>
      <c r="KB191" s="284" t="n"/>
      <c r="KC191" s="38" t="n">
        <v>0</v>
      </c>
      <c r="KD191" s="284" t="n"/>
      <c r="KE191" s="338">
        <f t="array" ref="KE191">SUMPRODUCT(--(MOD(COLUMN($II191:$KD191),4)=MOD(COLUMN($II191),4)),$II191:$KD191)</f>
        <v/>
      </c>
      <c r="KF191" s="339">
        <f>KE191*$J191</f>
        <v/>
      </c>
      <c r="KG191" s="340">
        <f t="array" ref="KG191">SUMPRODUCT(--(MOD(COLUMN($II191:$KD191),4)=MOD(COLUMN($IJ191),4)),$II191:$KD191)</f>
        <v/>
      </c>
      <c r="KH191" s="341">
        <f>KG191*$J191</f>
        <v/>
      </c>
      <c r="KI191" s="342">
        <f t="array" ref="KI191">SUMPRODUCT(--(MOD(COLUMN($II191:$KD191),4)=MOD(COLUMN($IK191),4)),$II191:$KD191)</f>
        <v/>
      </c>
      <c r="KJ191" s="346">
        <f>KI191*$J191</f>
        <v/>
      </c>
      <c r="KK191" s="80" t="n"/>
      <c r="KL191" s="80" t="n"/>
      <c r="KM191" s="80" t="n"/>
      <c r="KN191" s="51" t="n">
        <v>1</v>
      </c>
      <c r="KO191" s="285" t="inlineStr">
        <is>
          <t>LACV</t>
        </is>
      </c>
    </row>
    <row r="192" outlineLevel="1" ht="43.2" customFormat="1" customHeight="1" s="68">
      <c r="A192" s="347" t="n"/>
      <c r="B192" s="347" t="n"/>
      <c r="C192" s="333" t="n"/>
      <c r="D192" s="347" t="n"/>
      <c r="E192" s="60" t="n">
        <v>11</v>
      </c>
      <c r="F192" s="60" t="n">
        <v>1</v>
      </c>
      <c r="G192" s="56" t="n">
        <v>4494430600</v>
      </c>
      <c r="H192" s="57" t="inlineStr">
        <is>
          <t>Кабель клапана управления подъемом оси, 6 м</t>
        </is>
      </c>
      <c r="I192" s="348" t="n">
        <v>139.6258503401361</v>
      </c>
      <c r="J192" s="337">
        <f>164.2/1.2*1.015</f>
        <v/>
      </c>
      <c r="K192" s="348" t="n"/>
      <c r="L192" s="348" t="n"/>
      <c r="M192" s="36" t="n"/>
      <c r="N192" s="284" t="n"/>
      <c r="O192" s="38" t="n"/>
      <c r="P192" s="284" t="n"/>
      <c r="Q192" s="36" t="n"/>
      <c r="R192" s="284" t="n"/>
      <c r="S192" s="38" t="n"/>
      <c r="T192" s="284" t="n"/>
      <c r="U192" s="36" t="n"/>
      <c r="V192" s="284" t="n"/>
      <c r="W192" s="38" t="n"/>
      <c r="X192" s="284" t="n"/>
      <c r="Y192" s="36" t="n"/>
      <c r="Z192" s="284" t="n"/>
      <c r="AA192" s="38" t="n"/>
      <c r="AB192" s="284" t="n"/>
      <c r="AC192" s="36" t="n"/>
      <c r="AD192" s="284" t="n"/>
      <c r="AE192" s="38" t="n"/>
      <c r="AF192" s="284" t="n"/>
      <c r="AG192" s="36" t="n"/>
      <c r="AH192" s="284" t="n"/>
      <c r="AI192" s="38" t="n"/>
      <c r="AJ192" s="284" t="n"/>
      <c r="AK192" s="36" t="n"/>
      <c r="AL192" s="284" t="n"/>
      <c r="AM192" s="38" t="n"/>
      <c r="AN192" s="284" t="n"/>
      <c r="AO192" s="36" t="n"/>
      <c r="AP192" s="284" t="n"/>
      <c r="AQ192" s="38" t="n"/>
      <c r="AR192" s="284" t="n"/>
      <c r="AS192" s="36" t="n"/>
      <c r="AT192" s="284" t="n"/>
      <c r="AU192" s="38" t="n">
        <v>0</v>
      </c>
      <c r="AV192" s="284" t="n"/>
      <c r="AW192" s="36" t="n"/>
      <c r="AX192" s="284" t="n"/>
      <c r="AY192" s="38" t="n"/>
      <c r="AZ192" s="96" t="n"/>
      <c r="BA192" s="36" t="n"/>
      <c r="BB192" s="284" t="n"/>
      <c r="BC192" s="99" t="n">
        <v>0</v>
      </c>
      <c r="BD192" s="284" t="n"/>
      <c r="BE192" s="36" t="n"/>
      <c r="BF192" s="284" t="n"/>
      <c r="BG192" s="54" t="n">
        <v>0</v>
      </c>
      <c r="BH192" s="284" t="n"/>
      <c r="BI192" s="338">
        <f>SUMPRODUCT(--(MOD(COLUMN($M192:$BH192),4)=MOD(COLUMN($M192),4)),$M192:$BH192)</f>
        <v/>
      </c>
      <c r="BJ192" s="339">
        <f>BI192*$I192</f>
        <v/>
      </c>
      <c r="BK192" s="340">
        <f>SUMPRODUCT(--(MOD(COLUMN($M192:$BH192),4)=MOD(COLUMN($M192)+1,4)),$M192:$BH192)</f>
        <v/>
      </c>
      <c r="BL192" s="341">
        <f>BK192*$I192</f>
        <v/>
      </c>
      <c r="BM192" s="342">
        <f>SUMPRODUCT(--(MOD(COLUMN($M192:$BH192),4)=MOD(COLUMN($M192)+2,4)),$M192:$BH192)</f>
        <v/>
      </c>
      <c r="BN192" s="343">
        <f>BM192*$I192</f>
        <v/>
      </c>
      <c r="BO192" s="36">
        <f>$KN192*0</f>
        <v/>
      </c>
      <c r="BP192" s="47">
        <f>$KN192*0</f>
        <v/>
      </c>
      <c r="BQ192" s="284" t="n">
        <v>0</v>
      </c>
      <c r="BR192" s="38" t="n">
        <v>0</v>
      </c>
      <c r="BS192" s="333" t="n"/>
      <c r="BT192" s="36">
        <f>$KN192*3</f>
        <v/>
      </c>
      <c r="BU192" s="47">
        <f>$KN192*0</f>
        <v/>
      </c>
      <c r="BV192" s="284">
        <f>$KN192*0</f>
        <v/>
      </c>
      <c r="BW192" s="38" t="n">
        <v>0</v>
      </c>
      <c r="BX192" s="284" t="n"/>
      <c r="BY192" s="36">
        <f>$KN192*3</f>
        <v/>
      </c>
      <c r="BZ192" s="47">
        <f>$KN192*1</f>
        <v/>
      </c>
      <c r="CA192" s="284">
        <f>$KN192*0</f>
        <v/>
      </c>
      <c r="CB192" s="38" t="n">
        <v>0</v>
      </c>
      <c r="CC192" s="284" t="n"/>
      <c r="CD192" s="36">
        <f>$KN192*3</f>
        <v/>
      </c>
      <c r="CE192" s="47">
        <f>$KN192*1</f>
        <v/>
      </c>
      <c r="CF192" s="284">
        <f>$KN192*0</f>
        <v/>
      </c>
      <c r="CG192" s="38" t="n">
        <v>0</v>
      </c>
      <c r="CH192" s="284" t="n"/>
      <c r="CI192" s="36">
        <f>$KN192*3</f>
        <v/>
      </c>
      <c r="CJ192" s="47">
        <f>$KN192*1</f>
        <v/>
      </c>
      <c r="CK192" s="284">
        <f>$KN192*0</f>
        <v/>
      </c>
      <c r="CL192" s="38" t="n">
        <v>0</v>
      </c>
      <c r="CM192" s="284" t="n"/>
      <c r="CN192" s="36">
        <f>$KN192*3</f>
        <v/>
      </c>
      <c r="CO192" s="47">
        <f>$KN192*1</f>
        <v/>
      </c>
      <c r="CP192" s="284">
        <f>$KN192*0</f>
        <v/>
      </c>
      <c r="CQ192" s="38" t="n">
        <v>0</v>
      </c>
      <c r="CR192" s="284" t="n"/>
      <c r="CS192" s="36">
        <f>$KN192*3</f>
        <v/>
      </c>
      <c r="CT192" s="47">
        <f>$KN192*1</f>
        <v/>
      </c>
      <c r="CU192" s="284">
        <f>$KN192*0</f>
        <v/>
      </c>
      <c r="CV192" s="38" t="n">
        <v>0</v>
      </c>
      <c r="CW192" s="284" t="n"/>
      <c r="CX192" s="36">
        <f>$KN192*3</f>
        <v/>
      </c>
      <c r="CY192" s="47">
        <f>$KN192*1</f>
        <v/>
      </c>
      <c r="CZ192" s="284">
        <f>$KN192*0</f>
        <v/>
      </c>
      <c r="DA192" s="38" t="n">
        <v>0</v>
      </c>
      <c r="DB192" s="284" t="n"/>
      <c r="DC192" s="36">
        <f>$KN192*3</f>
        <v/>
      </c>
      <c r="DD192" s="47">
        <f>$KN192*1</f>
        <v/>
      </c>
      <c r="DE192" s="284">
        <f>$KN192*0</f>
        <v/>
      </c>
      <c r="DF192" s="38" t="n">
        <v>0</v>
      </c>
      <c r="DG192" s="284" t="n"/>
      <c r="DH192" s="36">
        <f>$KN192*3</f>
        <v/>
      </c>
      <c r="DI192" s="47">
        <f>$KN192*1</f>
        <v/>
      </c>
      <c r="DJ192" s="284">
        <f>$KN192*0</f>
        <v/>
      </c>
      <c r="DK192" s="38" t="n">
        <v>0</v>
      </c>
      <c r="DL192" s="284" t="n"/>
      <c r="DM192" s="36">
        <f>$KN192*3</f>
        <v/>
      </c>
      <c r="DN192" s="47">
        <f>$KN192*1</f>
        <v/>
      </c>
      <c r="DO192" s="284">
        <f>$KN192*0</f>
        <v/>
      </c>
      <c r="DP192" s="38" t="n">
        <v>0</v>
      </c>
      <c r="DQ192" s="284" t="n"/>
      <c r="DR192" s="36">
        <f>$KN192*3</f>
        <v/>
      </c>
      <c r="DS192" s="47">
        <f>$KN192*1</f>
        <v/>
      </c>
      <c r="DT192" s="284">
        <f>$KN192*0</f>
        <v/>
      </c>
      <c r="DU192" s="38" t="n">
        <v>0</v>
      </c>
      <c r="DV192" s="284" t="n"/>
      <c r="DW192" s="338">
        <f t="array" ref="DW192">SUMPRODUCT(--(MOD(COLUMN($BO192:$DV192),5)=MOD(COLUMN($BO192),5)),$BO192:$DV192)</f>
        <v/>
      </c>
      <c r="DX192" s="339">
        <f>DW192*$J192</f>
        <v/>
      </c>
      <c r="DY192" s="344">
        <f t="array" ref="DY192">SUMPRODUCT(--(MOD(COLUMN($BO192:$DV192),5)=MOD(COLUMN($BP192),5)),$BO192:$DV192)</f>
        <v/>
      </c>
      <c r="DZ192" s="345">
        <f>DY192*$J192</f>
        <v/>
      </c>
      <c r="EA192" s="340">
        <f t="array" ref="EA192">SUMPRODUCT(--(MOD(COLUMN($BO192:$DV192),5)=MOD(COLUMN($BQ192),5)),$BO192:$DV192)</f>
        <v/>
      </c>
      <c r="EB192" s="341">
        <f>EA192*$J192</f>
        <v/>
      </c>
      <c r="EC192" s="342">
        <f t="array" ref="EC192">SUMPRODUCT(--(MOD(COLUMN($BO192:$DV192),5)=MOD(COLUMN($BR192),5)),$BO192:$DV192)</f>
        <v/>
      </c>
      <c r="ED192" s="343">
        <f>EC192*$J192</f>
        <v/>
      </c>
      <c r="EE192" s="36">
        <f>$KN192*1</f>
        <v/>
      </c>
      <c r="EF192" s="284" t="n">
        <v>1</v>
      </c>
      <c r="EG192" s="38" t="n">
        <v>0</v>
      </c>
      <c r="EH192" s="284" t="n"/>
      <c r="EI192" s="36">
        <f>$KN192*1</f>
        <v/>
      </c>
      <c r="EJ192" s="284" t="n">
        <v>0</v>
      </c>
      <c r="EK192" s="38" t="n">
        <v>0</v>
      </c>
      <c r="EL192" s="284" t="n"/>
      <c r="EM192" s="36">
        <f>$KN192*1</f>
        <v/>
      </c>
      <c r="EN192" s="284" t="n">
        <v>0</v>
      </c>
      <c r="EO192" s="38" t="n">
        <v>0</v>
      </c>
      <c r="EP192" s="284" t="n"/>
      <c r="EQ192" s="36">
        <f>$KN192*2</f>
        <v/>
      </c>
      <c r="ER192" s="284" t="n">
        <v>0</v>
      </c>
      <c r="ES192" s="38" t="n">
        <v>0</v>
      </c>
      <c r="ET192" s="284" t="n"/>
      <c r="EU192" s="36">
        <f>$KN192*2</f>
        <v/>
      </c>
      <c r="EV192" s="284" t="n">
        <v>0</v>
      </c>
      <c r="EW192" s="38" t="n">
        <v>0</v>
      </c>
      <c r="EX192" s="284" t="n"/>
      <c r="EY192" s="36">
        <f>$KN192*2</f>
        <v/>
      </c>
      <c r="EZ192" s="284" t="n">
        <v>2</v>
      </c>
      <c r="FA192" s="38" t="n">
        <v>0</v>
      </c>
      <c r="FB192" s="284" t="n"/>
      <c r="FC192" s="36">
        <f>$KN192*3</f>
        <v/>
      </c>
      <c r="FD192" s="284" t="n">
        <v>3</v>
      </c>
      <c r="FE192" s="38" t="n">
        <v>0</v>
      </c>
      <c r="FF192" s="284" t="n"/>
      <c r="FG192" s="36">
        <f>$KN192*3</f>
        <v/>
      </c>
      <c r="FH192" s="284" t="n">
        <v>3</v>
      </c>
      <c r="FI192" s="38" t="n">
        <v>0</v>
      </c>
      <c r="FJ192" s="284" t="n"/>
      <c r="FK192" s="36">
        <f>$KN192*3</f>
        <v/>
      </c>
      <c r="FL192" s="284" t="n">
        <v>3</v>
      </c>
      <c r="FM192" s="38" t="n">
        <v>0</v>
      </c>
      <c r="FN192" s="284" t="n"/>
      <c r="FO192" s="36">
        <f>$KN192*4</f>
        <v/>
      </c>
      <c r="FP192" s="284" t="n">
        <v>4</v>
      </c>
      <c r="FQ192" s="38" t="n">
        <v>0</v>
      </c>
      <c r="FR192" s="284" t="n"/>
      <c r="FS192" s="36">
        <f>$KN192*4</f>
        <v/>
      </c>
      <c r="FT192" s="284" t="n">
        <v>4</v>
      </c>
      <c r="FU192" s="38" t="n">
        <v>0</v>
      </c>
      <c r="FV192" s="284" t="n"/>
      <c r="FW192" s="36">
        <f>$KN192*4</f>
        <v/>
      </c>
      <c r="FX192" s="284" t="n">
        <v>4</v>
      </c>
      <c r="FY192" s="38" t="n">
        <v>0</v>
      </c>
      <c r="FZ192" s="284" t="n"/>
      <c r="GA192" s="338">
        <f t="array" ref="GA192">SUMPRODUCT(--(MOD(COLUMN($EE192:$FZ192),4)=MOD(COLUMN($EE192),4)),$EE192:$FZ192)</f>
        <v/>
      </c>
      <c r="GB192" s="339">
        <f>GA192*$J192</f>
        <v/>
      </c>
      <c r="GC192" s="340">
        <f t="array" ref="GC192">SUMPRODUCT(--(MOD(COLUMN($EE192:$FZ192),4)=MOD(COLUMN($EF192),4)),$EE192:$FZ192)</f>
        <v/>
      </c>
      <c r="GD192" s="341">
        <f>GC192*$J192</f>
        <v/>
      </c>
      <c r="GE192" s="342">
        <f t="array" ref="GE192">SUMPRODUCT(--(MOD(COLUMN($EE192:$FZ192),4)=MOD(COLUMN($EG192),4)),$EE192:$FZ192)</f>
        <v/>
      </c>
      <c r="GF192" s="343">
        <f>GE192*$J192</f>
        <v/>
      </c>
      <c r="GG192" s="36">
        <f>$KN192*3</f>
        <v/>
      </c>
      <c r="GH192" s="284" t="n"/>
      <c r="GI192" s="38" t="n">
        <v>0</v>
      </c>
      <c r="GJ192" s="284" t="n"/>
      <c r="GK192" s="36">
        <f>$KN192*3</f>
        <v/>
      </c>
      <c r="GL192" s="284" t="n"/>
      <c r="GM192" s="38" t="n">
        <v>0</v>
      </c>
      <c r="GN192" s="284" t="n"/>
      <c r="GO192" s="36">
        <f>$KN192*3</f>
        <v/>
      </c>
      <c r="GP192" s="284" t="n"/>
      <c r="GQ192" s="38" t="n">
        <v>0</v>
      </c>
      <c r="GR192" s="284" t="n"/>
      <c r="GS192" s="36">
        <f>$KN192*5</f>
        <v/>
      </c>
      <c r="GT192" s="284" t="n"/>
      <c r="GU192" s="38" t="n">
        <v>0</v>
      </c>
      <c r="GV192" s="284" t="n"/>
      <c r="GW192" s="36">
        <f>$KN192*5</f>
        <v/>
      </c>
      <c r="GX192" s="284" t="n"/>
      <c r="GY192" s="38" t="n">
        <v>0</v>
      </c>
      <c r="GZ192" s="284" t="n"/>
      <c r="HA192" s="36">
        <f>$KN192*5</f>
        <v/>
      </c>
      <c r="HB192" s="284" t="n"/>
      <c r="HC192" s="38" t="n">
        <v>0</v>
      </c>
      <c r="HD192" s="284" t="n"/>
      <c r="HE192" s="36">
        <f>$KN192*5</f>
        <v/>
      </c>
      <c r="HF192" s="284" t="n"/>
      <c r="HG192" s="38" t="n">
        <v>0</v>
      </c>
      <c r="HH192" s="284" t="n"/>
      <c r="HI192" s="36">
        <f>$KN192*5</f>
        <v/>
      </c>
      <c r="HJ192" s="284" t="n"/>
      <c r="HK192" s="38" t="n">
        <v>0</v>
      </c>
      <c r="HL192" s="284" t="n"/>
      <c r="HM192" s="36">
        <f>$KN192*5</f>
        <v/>
      </c>
      <c r="HN192" s="284" t="n"/>
      <c r="HO192" s="38" t="n">
        <v>0</v>
      </c>
      <c r="HP192" s="284" t="n"/>
      <c r="HQ192" s="36">
        <f>$KN192*5</f>
        <v/>
      </c>
      <c r="HR192" s="284" t="n"/>
      <c r="HS192" s="38" t="n">
        <v>0</v>
      </c>
      <c r="HT192" s="284" t="n"/>
      <c r="HU192" s="36">
        <f>$KN192*5</f>
        <v/>
      </c>
      <c r="HV192" s="284" t="n"/>
      <c r="HW192" s="38" t="n">
        <v>0</v>
      </c>
      <c r="HX192" s="284" t="n"/>
      <c r="HY192" s="36">
        <f>$KN192*5</f>
        <v/>
      </c>
      <c r="HZ192" s="284" t="n"/>
      <c r="IA192" s="38" t="n">
        <v>0</v>
      </c>
      <c r="IB192" s="284" t="n"/>
      <c r="IC192" s="338">
        <f t="array" ref="IC192">SUMPRODUCT(--(MOD(COLUMN($GG192:$IB192),4)=MOD(COLUMN($GG192),4)),$GG192:$IB192)</f>
        <v/>
      </c>
      <c r="ID192" s="339">
        <f>IC192*$J192</f>
        <v/>
      </c>
      <c r="IE192" s="340">
        <f t="array" ref="IE192">SUMPRODUCT(--(MOD(COLUMN($GG192:$IB192),4)=MOD(COLUMN($GH192),4)),$GG192:$IB192)</f>
        <v/>
      </c>
      <c r="IF192" s="341">
        <f>IE192*$J192</f>
        <v/>
      </c>
      <c r="IG192" s="342">
        <f t="array" ref="IG192">SUMPRODUCT(--(MOD(COLUMN($GG192:$IB192),4)=MOD(COLUMN($GI192),4)),$GG192:$IB192)</f>
        <v/>
      </c>
      <c r="IH192" s="343">
        <f>IG192*$J192</f>
        <v/>
      </c>
      <c r="II192" s="36">
        <f>$KN192*3</f>
        <v/>
      </c>
      <c r="IJ192" s="284" t="n"/>
      <c r="IK192" s="38" t="n">
        <v>0</v>
      </c>
      <c r="IL192" s="284" t="n"/>
      <c r="IM192" s="36">
        <f>$KN192*3</f>
        <v/>
      </c>
      <c r="IN192" s="284" t="n"/>
      <c r="IO192" s="38" t="n">
        <v>0</v>
      </c>
      <c r="IP192" s="284" t="n"/>
      <c r="IQ192" s="36">
        <f>$KN192*3</f>
        <v/>
      </c>
      <c r="IR192" s="284" t="n"/>
      <c r="IS192" s="38" t="n">
        <v>0</v>
      </c>
      <c r="IT192" s="284" t="n"/>
      <c r="IU192" s="36">
        <f>$KN192*5</f>
        <v/>
      </c>
      <c r="IV192" s="284" t="n"/>
      <c r="IW192" s="38" t="n">
        <v>0</v>
      </c>
      <c r="IX192" s="284" t="n"/>
      <c r="IY192" s="36">
        <f>$KN192*5</f>
        <v/>
      </c>
      <c r="IZ192" s="284" t="n"/>
      <c r="JA192" s="38" t="n">
        <v>0</v>
      </c>
      <c r="JB192" s="284" t="n"/>
      <c r="JC192" s="36">
        <f>$KN192*5</f>
        <v/>
      </c>
      <c r="JD192" s="284" t="n"/>
      <c r="JE192" s="38" t="n">
        <v>0</v>
      </c>
      <c r="JF192" s="284" t="n"/>
      <c r="JG192" s="36">
        <f>$KN192*5</f>
        <v/>
      </c>
      <c r="JH192" s="284" t="n"/>
      <c r="JI192" s="38" t="n">
        <v>0</v>
      </c>
      <c r="JJ192" s="284" t="n"/>
      <c r="JK192" s="36">
        <f>$KN192*5</f>
        <v/>
      </c>
      <c r="JL192" s="284" t="n"/>
      <c r="JM192" s="38" t="n">
        <v>0</v>
      </c>
      <c r="JN192" s="284" t="n"/>
      <c r="JO192" s="36">
        <f>$KN192*5</f>
        <v/>
      </c>
      <c r="JP192" s="284" t="n"/>
      <c r="JQ192" s="38" t="n">
        <v>0</v>
      </c>
      <c r="JR192" s="284" t="n"/>
      <c r="JS192" s="36">
        <f>$KN192*5</f>
        <v/>
      </c>
      <c r="JT192" s="284" t="n"/>
      <c r="JU192" s="38" t="n">
        <v>0</v>
      </c>
      <c r="JV192" s="284" t="n"/>
      <c r="JW192" s="36">
        <f>$KN192*5</f>
        <v/>
      </c>
      <c r="JX192" s="284" t="n"/>
      <c r="JY192" s="38" t="n">
        <v>0</v>
      </c>
      <c r="JZ192" s="284" t="n"/>
      <c r="KA192" s="36">
        <f>$KN192*5</f>
        <v/>
      </c>
      <c r="KB192" s="284" t="n"/>
      <c r="KC192" s="38" t="n">
        <v>0</v>
      </c>
      <c r="KD192" s="284" t="n"/>
      <c r="KE192" s="338">
        <f t="array" ref="KE192">SUMPRODUCT(--(MOD(COLUMN($II192:$KD192),4)=MOD(COLUMN($II192),4)),$II192:$KD192)</f>
        <v/>
      </c>
      <c r="KF192" s="339">
        <f>KE192*$J192</f>
        <v/>
      </c>
      <c r="KG192" s="340">
        <f t="array" ref="KG192">SUMPRODUCT(--(MOD(COLUMN($II192:$KD192),4)=MOD(COLUMN($IJ192),4)),$II192:$KD192)</f>
        <v/>
      </c>
      <c r="KH192" s="341">
        <f>KG192*$J192</f>
        <v/>
      </c>
      <c r="KI192" s="342">
        <f t="array" ref="KI192">SUMPRODUCT(--(MOD(COLUMN($II192:$KD192),4)=MOD(COLUMN($IK192),4)),$II192:$KD192)</f>
        <v/>
      </c>
      <c r="KJ192" s="346">
        <f>KI192*$J192</f>
        <v/>
      </c>
      <c r="KK192" s="80" t="n"/>
      <c r="KL192" s="80" t="n"/>
      <c r="KM192" s="80" t="n"/>
      <c r="KN192" s="51" t="n">
        <v>1</v>
      </c>
      <c r="KO192" s="333" t="n"/>
    </row>
    <row r="193" outlineLevel="1" customFormat="1" s="68">
      <c r="A193" s="252" t="n"/>
      <c r="B193" s="69" t="n"/>
      <c r="C193" s="256" t="n"/>
      <c r="D193" s="256" t="n"/>
      <c r="E193" s="70" t="n"/>
      <c r="F193" s="70" t="n"/>
      <c r="G193" s="71" t="n"/>
      <c r="H193" s="72" t="inlineStr">
        <is>
          <t>Итого</t>
        </is>
      </c>
      <c r="I193" s="361" t="n"/>
      <c r="J193" s="360" t="n"/>
      <c r="K193" s="360" t="n"/>
      <c r="L193" s="360" t="n"/>
      <c r="M193" s="74" t="n"/>
      <c r="N193" s="75" t="n"/>
      <c r="O193" s="28" t="n"/>
      <c r="P193" s="75" t="n"/>
      <c r="Q193" s="74" t="n"/>
      <c r="R193" s="75" t="n"/>
      <c r="S193" s="28" t="n"/>
      <c r="T193" s="75" t="n"/>
      <c r="U193" s="74" t="n"/>
      <c r="V193" s="75" t="n"/>
      <c r="W193" s="28" t="n"/>
      <c r="X193" s="75" t="n"/>
      <c r="Y193" s="74" t="n"/>
      <c r="Z193" s="75" t="n"/>
      <c r="AA193" s="38" t="n"/>
      <c r="AB193" s="75" t="n"/>
      <c r="AC193" s="74" t="n"/>
      <c r="AD193" s="75" t="n"/>
      <c r="AE193" s="28" t="n"/>
      <c r="AF193" s="75" t="n"/>
      <c r="AG193" s="74" t="n"/>
      <c r="AH193" s="75" t="n"/>
      <c r="AI193" s="38" t="n"/>
      <c r="AJ193" s="75" t="n"/>
      <c r="AK193" s="74" t="n"/>
      <c r="AL193" s="75" t="n"/>
      <c r="AM193" s="38" t="n"/>
      <c r="AN193" s="75" t="n"/>
      <c r="AO193" s="74" t="n"/>
      <c r="AP193" s="75" t="n"/>
      <c r="AQ193" s="38" t="n"/>
      <c r="AR193" s="75" t="n"/>
      <c r="AS193" s="74" t="n"/>
      <c r="AT193" s="75" t="n"/>
      <c r="AU193" s="38" t="n"/>
      <c r="AV193" s="75" t="n"/>
      <c r="AW193" s="74" t="n"/>
      <c r="AX193" s="75" t="n"/>
      <c r="AY193" s="28" t="n"/>
      <c r="AZ193" s="75" t="n"/>
      <c r="BA193" s="74" t="n"/>
      <c r="BB193" s="97" t="n"/>
      <c r="BC193" s="77" t="n"/>
      <c r="BD193" s="75" t="n"/>
      <c r="BE193" s="74" t="n"/>
      <c r="BF193" s="76" t="n"/>
      <c r="BG193" s="78" t="n"/>
      <c r="BH193" s="75" t="n"/>
      <c r="BI193" s="338">
        <f>SUMPRODUCT(--(MOD(COLUMN($M193:$BH193),4)=MOD(COLUMN($M193),4)),$M193:$BH193)</f>
        <v/>
      </c>
      <c r="BJ193" s="339">
        <f>BI193*$I193</f>
        <v/>
      </c>
      <c r="BK193" s="340">
        <f>SUMPRODUCT(--(MOD(COLUMN($M193:$BH193),4)=MOD(COLUMN($M193)+1,4)),$M193:$BH193)</f>
        <v/>
      </c>
      <c r="BL193" s="341">
        <f>BK193*$I193</f>
        <v/>
      </c>
      <c r="BM193" s="342">
        <f>SUMPRODUCT(--(MOD(COLUMN($M193:$BH193),4)=MOD(COLUMN($M193)+2,4)),$M193:$BH193)</f>
        <v/>
      </c>
      <c r="BN193" s="343">
        <f>BM193*$I193</f>
        <v/>
      </c>
      <c r="BO193" s="74" t="n"/>
      <c r="BP193" s="79" t="n"/>
      <c r="BQ193" s="75" t="n"/>
      <c r="BR193" s="28" t="n"/>
      <c r="BS193" s="75" t="n"/>
      <c r="BT193" s="74" t="n"/>
      <c r="BU193" s="79" t="n"/>
      <c r="BV193" s="75" t="n"/>
      <c r="BW193" s="28" t="n"/>
      <c r="BX193" s="75" t="n"/>
      <c r="BY193" s="74" t="n"/>
      <c r="BZ193" s="79" t="n"/>
      <c r="CA193" s="75" t="n"/>
      <c r="CB193" s="28" t="n"/>
      <c r="CC193" s="75" t="n"/>
      <c r="CD193" s="74" t="n"/>
      <c r="CE193" s="79" t="n"/>
      <c r="CF193" s="75" t="n"/>
      <c r="CG193" s="28" t="n"/>
      <c r="CH193" s="75" t="n"/>
      <c r="CI193" s="74" t="n"/>
      <c r="CJ193" s="79" t="n"/>
      <c r="CK193" s="75" t="n"/>
      <c r="CL193" s="28" t="n"/>
      <c r="CM193" s="75" t="n"/>
      <c r="CN193" s="74" t="n"/>
      <c r="CO193" s="79" t="n"/>
      <c r="CP193" s="75" t="n"/>
      <c r="CQ193" s="28" t="n"/>
      <c r="CR193" s="75" t="n"/>
      <c r="CS193" s="74" t="n"/>
      <c r="CT193" s="79" t="n"/>
      <c r="CU193" s="75" t="n"/>
      <c r="CV193" s="28" t="n"/>
      <c r="CW193" s="75" t="n"/>
      <c r="CX193" s="74" t="n"/>
      <c r="CY193" s="79" t="n"/>
      <c r="CZ193" s="75" t="n"/>
      <c r="DA193" s="28" t="n"/>
      <c r="DB193" s="75" t="n"/>
      <c r="DC193" s="74" t="n"/>
      <c r="DD193" s="79" t="n"/>
      <c r="DE193" s="75" t="n"/>
      <c r="DF193" s="28" t="n"/>
      <c r="DG193" s="75" t="n"/>
      <c r="DH193" s="74" t="n"/>
      <c r="DI193" s="79" t="n"/>
      <c r="DJ193" s="75" t="n"/>
      <c r="DK193" s="28" t="n"/>
      <c r="DL193" s="75" t="n"/>
      <c r="DM193" s="74" t="n"/>
      <c r="DN193" s="79" t="n"/>
      <c r="DO193" s="75" t="n"/>
      <c r="DP193" s="28" t="n"/>
      <c r="DQ193" s="75" t="n"/>
      <c r="DR193" s="74" t="n"/>
      <c r="DS193" s="79" t="n"/>
      <c r="DT193" s="75" t="n"/>
      <c r="DU193" s="28" t="n"/>
      <c r="DV193" s="75" t="n"/>
      <c r="DW193" s="338" t="n"/>
      <c r="DX193" s="338" t="n"/>
      <c r="DY193" s="344" t="n"/>
      <c r="DZ193" s="344" t="n"/>
      <c r="EA193" s="340" t="n"/>
      <c r="EB193" s="341" t="n"/>
      <c r="EC193" s="342" t="n"/>
      <c r="ED193" s="343" t="n"/>
      <c r="EE193" s="74" t="n"/>
      <c r="EF193" s="75" t="n"/>
      <c r="EG193" s="28" t="n"/>
      <c r="EH193" s="75" t="n"/>
      <c r="EI193" s="74" t="n"/>
      <c r="EJ193" s="75" t="n"/>
      <c r="EK193" s="28" t="n"/>
      <c r="EL193" s="75" t="n"/>
      <c r="EM193" s="74" t="n"/>
      <c r="EN193" s="75" t="n"/>
      <c r="EO193" s="28" t="n"/>
      <c r="EP193" s="75" t="n"/>
      <c r="EQ193" s="74" t="n"/>
      <c r="ER193" s="75" t="n"/>
      <c r="ES193" s="28" t="n"/>
      <c r="ET193" s="75" t="n"/>
      <c r="EU193" s="74" t="n"/>
      <c r="EV193" s="75" t="n"/>
      <c r="EW193" s="28" t="n"/>
      <c r="EX193" s="75" t="n"/>
      <c r="EY193" s="74" t="n"/>
      <c r="EZ193" s="75" t="n"/>
      <c r="FA193" s="28" t="n"/>
      <c r="FB193" s="75" t="n"/>
      <c r="FC193" s="74" t="n"/>
      <c r="FD193" s="75" t="n"/>
      <c r="FE193" s="28" t="n"/>
      <c r="FF193" s="75" t="n"/>
      <c r="FG193" s="74" t="n"/>
      <c r="FH193" s="75" t="n"/>
      <c r="FI193" s="28" t="n"/>
      <c r="FJ193" s="75" t="n"/>
      <c r="FK193" s="74" t="n"/>
      <c r="FL193" s="75" t="n"/>
      <c r="FM193" s="28" t="n"/>
      <c r="FN193" s="75" t="n"/>
      <c r="FO193" s="74" t="n"/>
      <c r="FP193" s="75" t="n"/>
      <c r="FQ193" s="28" t="n"/>
      <c r="FR193" s="75" t="n"/>
      <c r="FS193" s="74" t="n"/>
      <c r="FT193" s="75" t="n"/>
      <c r="FU193" s="28" t="n"/>
      <c r="FV193" s="75" t="n"/>
      <c r="FW193" s="74" t="n"/>
      <c r="FX193" s="75" t="n"/>
      <c r="FY193" s="28" t="n"/>
      <c r="FZ193" s="75" t="n"/>
      <c r="GA193" s="338" t="n"/>
      <c r="GB193" s="339" t="n"/>
      <c r="GC193" s="340" t="n"/>
      <c r="GD193" s="341" t="n"/>
      <c r="GE193" s="342" t="n"/>
      <c r="GF193" s="343" t="n"/>
      <c r="GG193" s="74" t="n"/>
      <c r="GH193" s="75" t="n"/>
      <c r="GI193" s="28" t="n"/>
      <c r="GJ193" s="75" t="n"/>
      <c r="GK193" s="74" t="n"/>
      <c r="GL193" s="75" t="n"/>
      <c r="GM193" s="28" t="n"/>
      <c r="GN193" s="75" t="n"/>
      <c r="GO193" s="74" t="n"/>
      <c r="GP193" s="75" t="n"/>
      <c r="GQ193" s="28" t="n"/>
      <c r="GR193" s="75" t="n"/>
      <c r="GS193" s="74" t="n"/>
      <c r="GT193" s="75" t="n"/>
      <c r="GU193" s="28" t="n"/>
      <c r="GV193" s="75" t="n"/>
      <c r="GW193" s="74" t="n"/>
      <c r="GX193" s="75" t="n"/>
      <c r="GY193" s="28" t="n"/>
      <c r="GZ193" s="75" t="n"/>
      <c r="HA193" s="74" t="n"/>
      <c r="HB193" s="75" t="n"/>
      <c r="HC193" s="28" t="n"/>
      <c r="HD193" s="75" t="n"/>
      <c r="HE193" s="74" t="n"/>
      <c r="HF193" s="75" t="n"/>
      <c r="HG193" s="28" t="n"/>
      <c r="HH193" s="75" t="n"/>
      <c r="HI193" s="74" t="n"/>
      <c r="HJ193" s="75" t="n"/>
      <c r="HK193" s="28" t="n"/>
      <c r="HL193" s="75" t="n"/>
      <c r="HM193" s="74" t="n"/>
      <c r="HN193" s="75" t="n"/>
      <c r="HO193" s="28" t="n"/>
      <c r="HP193" s="75" t="n"/>
      <c r="HQ193" s="74" t="n"/>
      <c r="HR193" s="75" t="n"/>
      <c r="HS193" s="28" t="n"/>
      <c r="HT193" s="75" t="n"/>
      <c r="HU193" s="74" t="n"/>
      <c r="HV193" s="75" t="n"/>
      <c r="HW193" s="28" t="n"/>
      <c r="HX193" s="75" t="n"/>
      <c r="HY193" s="74" t="n"/>
      <c r="HZ193" s="75" t="n"/>
      <c r="IA193" s="28" t="n"/>
      <c r="IB193" s="75" t="n"/>
      <c r="IC193" s="338" t="n"/>
      <c r="ID193" s="339" t="n"/>
      <c r="IE193" s="340" t="n"/>
      <c r="IF193" s="341" t="n"/>
      <c r="IG193" s="342" t="n"/>
      <c r="IH193" s="343" t="n"/>
      <c r="II193" s="74" t="n"/>
      <c r="IJ193" s="75" t="n"/>
      <c r="IK193" s="28" t="n"/>
      <c r="IL193" s="75" t="n"/>
      <c r="IM193" s="74" t="n"/>
      <c r="IN193" s="75" t="n"/>
      <c r="IO193" s="28" t="n"/>
      <c r="IP193" s="75" t="n"/>
      <c r="IQ193" s="74" t="n"/>
      <c r="IR193" s="75" t="n"/>
      <c r="IS193" s="28" t="n"/>
      <c r="IT193" s="75" t="n"/>
      <c r="IU193" s="74" t="n"/>
      <c r="IV193" s="75" t="n"/>
      <c r="IW193" s="28" t="n"/>
      <c r="IX193" s="75" t="n"/>
      <c r="IY193" s="74" t="n"/>
      <c r="IZ193" s="75" t="n"/>
      <c r="JA193" s="28" t="n"/>
      <c r="JB193" s="75" t="n"/>
      <c r="JC193" s="74" t="n"/>
      <c r="JD193" s="75" t="n"/>
      <c r="JE193" s="28" t="n"/>
      <c r="JF193" s="75" t="n"/>
      <c r="JG193" s="74" t="n"/>
      <c r="JH193" s="75" t="n"/>
      <c r="JI193" s="28" t="n"/>
      <c r="JJ193" s="75" t="n"/>
      <c r="JK193" s="74" t="n"/>
      <c r="JL193" s="75" t="n"/>
      <c r="JM193" s="28" t="n"/>
      <c r="JN193" s="75" t="n"/>
      <c r="JO193" s="74" t="n"/>
      <c r="JP193" s="75" t="n"/>
      <c r="JQ193" s="28" t="n"/>
      <c r="JR193" s="75" t="n"/>
      <c r="JS193" s="74" t="n"/>
      <c r="JT193" s="75" t="n"/>
      <c r="JU193" s="28" t="n"/>
      <c r="JV193" s="75" t="n"/>
      <c r="JW193" s="74" t="n"/>
      <c r="JX193" s="75" t="n"/>
      <c r="JY193" s="28" t="n"/>
      <c r="JZ193" s="75" t="n"/>
      <c r="KA193" s="74" t="n"/>
      <c r="KB193" s="75" t="n"/>
      <c r="KC193" s="28" t="n"/>
      <c r="KD193" s="75" t="n"/>
      <c r="KE193" s="338" t="n"/>
      <c r="KF193" s="339" t="n"/>
      <c r="KG193" s="340" t="n"/>
      <c r="KH193" s="341" t="n"/>
      <c r="KI193" s="342" t="n"/>
      <c r="KJ193" s="346" t="n"/>
      <c r="KK193" s="80" t="n"/>
      <c r="KL193" s="80" t="n"/>
      <c r="KM193" s="80" t="n"/>
      <c r="KN193" s="253" t="n"/>
      <c r="KO193" s="253" t="n"/>
    </row>
    <row r="194" ht="28.8" customFormat="1" customHeight="1" s="68">
      <c r="A194" s="233" t="inlineStr">
        <is>
          <t>МЕГАТРОН (не заведен в 1С)</t>
        </is>
      </c>
      <c r="B194" s="81" t="n"/>
      <c r="C194" s="82" t="n"/>
      <c r="D194" s="82" t="n"/>
      <c r="E194" s="83" t="n"/>
      <c r="F194" s="83" t="n"/>
      <c r="G194" s="84" t="n"/>
      <c r="H194" s="85" t="n"/>
      <c r="I194" s="362" t="n"/>
      <c r="J194" s="362" t="n"/>
      <c r="K194" s="362" t="n"/>
      <c r="L194" s="362" t="n"/>
      <c r="M194" s="81" t="n"/>
      <c r="N194" s="81" t="n"/>
      <c r="O194" s="81" t="n"/>
      <c r="P194" s="81" t="n"/>
      <c r="Q194" s="81" t="n"/>
      <c r="R194" s="81" t="n"/>
      <c r="S194" s="81" t="n"/>
      <c r="T194" s="81" t="n"/>
      <c r="U194" s="81" t="n"/>
      <c r="V194" s="81" t="n"/>
      <c r="W194" s="81" t="n"/>
      <c r="X194" s="81" t="n"/>
      <c r="Y194" s="81" t="n"/>
      <c r="Z194" s="81" t="n"/>
      <c r="AA194" s="81" t="n"/>
      <c r="AB194" s="81" t="n"/>
      <c r="AC194" s="81" t="n"/>
      <c r="AD194" s="81" t="n"/>
      <c r="AE194" s="81" t="n"/>
      <c r="AF194" s="81" t="n"/>
      <c r="AG194" s="81" t="n"/>
      <c r="AH194" s="81" t="n"/>
      <c r="AI194" s="81" t="n"/>
      <c r="AJ194" s="81" t="n"/>
      <c r="AK194" s="81" t="n"/>
      <c r="AL194" s="81" t="n"/>
      <c r="AM194" s="81" t="n"/>
      <c r="AN194" s="81" t="n"/>
      <c r="AO194" s="81" t="n"/>
      <c r="AP194" s="81" t="n"/>
      <c r="AQ194" s="81" t="n"/>
      <c r="AR194" s="81" t="n"/>
      <c r="AS194" s="81" t="n"/>
      <c r="AT194" s="81" t="n"/>
      <c r="AU194" s="81" t="n"/>
      <c r="AV194" s="81" t="n"/>
      <c r="AW194" s="81" t="n"/>
      <c r="AX194" s="81" t="n"/>
      <c r="AY194" s="87" t="n"/>
      <c r="AZ194" s="81" t="n"/>
      <c r="BA194" s="87" t="n"/>
      <c r="BB194" s="87" t="n"/>
      <c r="BC194" s="88" t="n"/>
      <c r="BD194" s="81" t="n"/>
      <c r="BE194" s="87" t="n"/>
      <c r="BF194" s="87" t="n"/>
      <c r="BG194" s="87" t="n"/>
      <c r="BH194" s="81" t="n"/>
      <c r="BI194" s="363">
        <f>SUMPRODUCT(--(MOD(COLUMN($M194:$BH194),4)=MOD(COLUMN($M194),4)),$M194:$BH194)</f>
        <v/>
      </c>
      <c r="BJ194" s="364">
        <f>BI194*$I194</f>
        <v/>
      </c>
      <c r="BK194" s="363">
        <f>SUMPRODUCT(--(MOD(COLUMN($M194:$BH194),4)=MOD(COLUMN($M194)+1,4)),$M194:$BH194)</f>
        <v/>
      </c>
      <c r="BL194" s="364">
        <f>BK194*$I194</f>
        <v/>
      </c>
      <c r="BM194" s="363">
        <f>SUMPRODUCT(--(MOD(COLUMN($M194:$BH194),4)=MOD(COLUMN($M194)+2,4)),$M194:$BH194)</f>
        <v/>
      </c>
      <c r="BN194" s="364">
        <f>BM194*$I194</f>
        <v/>
      </c>
      <c r="BO194" s="81" t="n"/>
      <c r="BP194" s="81" t="n"/>
      <c r="BQ194" s="81" t="n"/>
      <c r="BR194" s="81" t="n"/>
      <c r="BS194" s="81" t="n"/>
      <c r="BT194" s="81" t="n"/>
      <c r="BU194" s="81" t="n"/>
      <c r="BV194" s="81" t="n"/>
      <c r="BW194" s="81" t="n"/>
      <c r="BX194" s="81" t="n"/>
      <c r="BY194" s="81" t="n"/>
      <c r="BZ194" s="81" t="n"/>
      <c r="CA194" s="81" t="n"/>
      <c r="CB194" s="81" t="n"/>
      <c r="CC194" s="81" t="n"/>
      <c r="CD194" s="81" t="n"/>
      <c r="CE194" s="81" t="n"/>
      <c r="CF194" s="81" t="n"/>
      <c r="CG194" s="81" t="n"/>
      <c r="CH194" s="81" t="n"/>
      <c r="CI194" s="81" t="n"/>
      <c r="CJ194" s="81" t="n"/>
      <c r="CK194" s="81" t="n"/>
      <c r="CL194" s="81" t="n"/>
      <c r="CM194" s="81" t="n"/>
      <c r="CN194" s="81" t="n"/>
      <c r="CO194" s="81" t="n"/>
      <c r="CP194" s="81" t="n"/>
      <c r="CQ194" s="81" t="n"/>
      <c r="CR194" s="81" t="n"/>
      <c r="CS194" s="81" t="n"/>
      <c r="CT194" s="81" t="n"/>
      <c r="CU194" s="81" t="n"/>
      <c r="CV194" s="81" t="n"/>
      <c r="CW194" s="81" t="n"/>
      <c r="CX194" s="81" t="n"/>
      <c r="CY194" s="81" t="n"/>
      <c r="CZ194" s="81" t="n"/>
      <c r="DA194" s="81" t="n"/>
      <c r="DB194" s="81" t="n"/>
      <c r="DC194" s="81" t="n"/>
      <c r="DD194" s="81" t="n"/>
      <c r="DE194" s="81" t="n"/>
      <c r="DF194" s="81" t="n"/>
      <c r="DG194" s="81" t="n"/>
      <c r="DH194" s="81" t="n"/>
      <c r="DI194" s="81" t="n"/>
      <c r="DJ194" s="81" t="n"/>
      <c r="DK194" s="81" t="n"/>
      <c r="DL194" s="81" t="n"/>
      <c r="DM194" s="81" t="n"/>
      <c r="DN194" s="81" t="n"/>
      <c r="DO194" s="81" t="n"/>
      <c r="DP194" s="81" t="n"/>
      <c r="DQ194" s="81" t="n"/>
      <c r="DR194" s="81" t="n"/>
      <c r="DS194" s="81" t="n"/>
      <c r="DT194" s="81" t="n"/>
      <c r="DU194" s="81" t="n"/>
      <c r="DV194" s="81" t="n"/>
      <c r="DW194" s="363">
        <f>SUMPRODUCT(--(MOD(COLUMN($BO194:$DV194),5)=MOD(COLUMN($BO194),5)),$BO194:$DV194)</f>
        <v/>
      </c>
      <c r="DX194" s="363">
        <f>DW194*$J194</f>
        <v/>
      </c>
      <c r="DY194" s="363">
        <f>SUMPRODUCT(--(MOD(COLUMN($BO194:$DV194),5)=MOD(COLUMN($BO194),5)+1),$BO194:$DV194)</f>
        <v/>
      </c>
      <c r="DZ194" s="363">
        <f>DY194*$J194</f>
        <v/>
      </c>
      <c r="EA194" s="363">
        <f>SUMPRODUCT(--(MOD(COLUMN($BO194:$DV194),5)=MOD(COLUMN($BO194),5)+2),$BO194:$DV194)</f>
        <v/>
      </c>
      <c r="EB194" s="364">
        <f>EA194*$J194</f>
        <v/>
      </c>
      <c r="EC194" s="363">
        <f>SUMPRODUCT(--(MOD(COLUMN($BO194:$DV194),5)=MOD(COLUMN($BO194),5)+3),$BO194:$DV194)</f>
        <v/>
      </c>
      <c r="ED194" s="364">
        <f>EC194*$J194</f>
        <v/>
      </c>
      <c r="EE194" s="81" t="n"/>
      <c r="EF194" s="81" t="n"/>
      <c r="EG194" s="81" t="n"/>
      <c r="EH194" s="81" t="n"/>
      <c r="EI194" s="81" t="n"/>
      <c r="EJ194" s="81" t="n"/>
      <c r="EK194" s="81" t="n"/>
      <c r="EL194" s="81" t="n"/>
      <c r="EM194" s="81" t="n"/>
      <c r="EN194" s="81" t="n"/>
      <c r="EO194" s="81" t="n"/>
      <c r="EP194" s="81" t="n"/>
      <c r="EQ194" s="81" t="n"/>
      <c r="ER194" s="81" t="n"/>
      <c r="ES194" s="81" t="n"/>
      <c r="ET194" s="81" t="n"/>
      <c r="EU194" s="81" t="n"/>
      <c r="EV194" s="81" t="n"/>
      <c r="EW194" s="81" t="n"/>
      <c r="EX194" s="81" t="n"/>
      <c r="EY194" s="81" t="n"/>
      <c r="EZ194" s="81" t="n"/>
      <c r="FA194" s="81" t="n"/>
      <c r="FB194" s="81" t="n"/>
      <c r="FC194" s="81" t="n"/>
      <c r="FD194" s="81" t="n"/>
      <c r="FE194" s="81" t="n"/>
      <c r="FF194" s="81" t="n"/>
      <c r="FG194" s="81" t="n"/>
      <c r="FH194" s="81" t="n"/>
      <c r="FI194" s="81" t="n"/>
      <c r="FJ194" s="81" t="n"/>
      <c r="FK194" s="81" t="n"/>
      <c r="FL194" s="81" t="n"/>
      <c r="FM194" s="81" t="n"/>
      <c r="FN194" s="81" t="n"/>
      <c r="FO194" s="81" t="n"/>
      <c r="FP194" s="81" t="n"/>
      <c r="FQ194" s="81" t="n"/>
      <c r="FR194" s="81" t="n"/>
      <c r="FS194" s="81" t="n"/>
      <c r="FT194" s="81" t="n"/>
      <c r="FU194" s="81" t="n"/>
      <c r="FV194" s="81" t="n"/>
      <c r="FW194" s="81" t="n"/>
      <c r="FX194" s="81" t="n"/>
      <c r="FY194" s="81" t="n"/>
      <c r="FZ194" s="81" t="n"/>
      <c r="GA194" s="363" t="n"/>
      <c r="GB194" s="364" t="n"/>
      <c r="GC194" s="365" t="n"/>
      <c r="GD194" s="366" t="n"/>
      <c r="GE194" s="363" t="n"/>
      <c r="GF194" s="364" t="n"/>
      <c r="GG194" s="81" t="n"/>
      <c r="GH194" s="81" t="n"/>
      <c r="GI194" s="81" t="n"/>
      <c r="GJ194" s="81" t="n"/>
      <c r="GK194" s="81" t="n"/>
      <c r="GL194" s="81" t="n"/>
      <c r="GM194" s="81" t="n"/>
      <c r="GN194" s="81" t="n"/>
      <c r="GO194" s="81" t="n"/>
      <c r="GP194" s="81" t="n"/>
      <c r="GQ194" s="81" t="n"/>
      <c r="GR194" s="81" t="n"/>
      <c r="GS194" s="81" t="n"/>
      <c r="GT194" s="81" t="n"/>
      <c r="GU194" s="81" t="n"/>
      <c r="GV194" s="81" t="n"/>
      <c r="GW194" s="81" t="n"/>
      <c r="GX194" s="81" t="n"/>
      <c r="GY194" s="81" t="n"/>
      <c r="GZ194" s="81" t="n"/>
      <c r="HA194" s="81" t="n"/>
      <c r="HB194" s="81" t="n"/>
      <c r="HC194" s="81" t="n"/>
      <c r="HD194" s="81" t="n"/>
      <c r="HE194" s="81" t="n"/>
      <c r="HF194" s="81" t="n"/>
      <c r="HG194" s="81" t="n"/>
      <c r="HH194" s="81" t="n"/>
      <c r="HI194" s="81" t="n"/>
      <c r="HJ194" s="81" t="n"/>
      <c r="HK194" s="81" t="n"/>
      <c r="HL194" s="81" t="n"/>
      <c r="HM194" s="81" t="n"/>
      <c r="HN194" s="81" t="n"/>
      <c r="HO194" s="81" t="n"/>
      <c r="HP194" s="81" t="n"/>
      <c r="HQ194" s="81" t="n"/>
      <c r="HR194" s="81" t="n"/>
      <c r="HS194" s="81" t="n"/>
      <c r="HT194" s="81" t="n"/>
      <c r="HU194" s="81" t="n"/>
      <c r="HV194" s="81" t="n"/>
      <c r="HW194" s="81" t="n"/>
      <c r="HX194" s="81" t="n"/>
      <c r="HY194" s="81" t="n"/>
      <c r="HZ194" s="81" t="n"/>
      <c r="IA194" s="81" t="n"/>
      <c r="IB194" s="81" t="n"/>
      <c r="IC194" s="363" t="n"/>
      <c r="ID194" s="364" t="n"/>
      <c r="IE194" s="365" t="n"/>
      <c r="IF194" s="366" t="n"/>
      <c r="IG194" s="363" t="n"/>
      <c r="IH194" s="364" t="n"/>
      <c r="II194" s="81" t="n"/>
      <c r="IJ194" s="81" t="n"/>
      <c r="IK194" s="81" t="n"/>
      <c r="IL194" s="81" t="n"/>
      <c r="IM194" s="81" t="n"/>
      <c r="IN194" s="81" t="n"/>
      <c r="IO194" s="81" t="n"/>
      <c r="IP194" s="81" t="n"/>
      <c r="IQ194" s="81" t="n"/>
      <c r="IR194" s="81" t="n"/>
      <c r="IS194" s="81" t="n"/>
      <c r="IT194" s="81" t="n"/>
      <c r="IU194" s="81" t="n"/>
      <c r="IV194" s="81" t="n"/>
      <c r="IW194" s="81" t="n"/>
      <c r="IX194" s="81" t="n"/>
      <c r="IY194" s="81" t="n"/>
      <c r="IZ194" s="81" t="n"/>
      <c r="JA194" s="81" t="n"/>
      <c r="JB194" s="81" t="n"/>
      <c r="JC194" s="81" t="n"/>
      <c r="JD194" s="81" t="n"/>
      <c r="JE194" s="81" t="n"/>
      <c r="JF194" s="81" t="n"/>
      <c r="JG194" s="81" t="n"/>
      <c r="JH194" s="81" t="n"/>
      <c r="JI194" s="81" t="n"/>
      <c r="JJ194" s="81" t="n"/>
      <c r="JK194" s="81" t="n"/>
      <c r="JL194" s="81" t="n"/>
      <c r="JM194" s="81" t="n"/>
      <c r="JN194" s="81" t="n"/>
      <c r="JO194" s="81" t="n"/>
      <c r="JP194" s="81" t="n"/>
      <c r="JQ194" s="81" t="n"/>
      <c r="JR194" s="81" t="n"/>
      <c r="JS194" s="81" t="n"/>
      <c r="JT194" s="81" t="n"/>
      <c r="JU194" s="81" t="n"/>
      <c r="JV194" s="81" t="n"/>
      <c r="JW194" s="81" t="n"/>
      <c r="JX194" s="81" t="n"/>
      <c r="JY194" s="81" t="n"/>
      <c r="JZ194" s="81" t="n"/>
      <c r="KA194" s="81" t="n"/>
      <c r="KB194" s="81" t="n"/>
      <c r="KC194" s="81" t="n"/>
      <c r="KD194" s="81" t="n"/>
      <c r="KE194" s="363" t="n"/>
      <c r="KF194" s="364" t="n"/>
      <c r="KG194" s="365" t="n"/>
      <c r="KH194" s="366" t="n"/>
      <c r="KI194" s="363" t="n"/>
      <c r="KJ194" s="367" t="n"/>
      <c r="KK194" s="80" t="n"/>
      <c r="KL194" s="80" t="n"/>
      <c r="KM194" s="80" t="n"/>
      <c r="KN194" s="253" t="n"/>
      <c r="KO194" s="253" t="n"/>
    </row>
    <row r="195" outlineLevel="1" ht="90.75" customFormat="1" customHeight="1" s="68">
      <c r="A195" s="381" t="inlineStr">
        <is>
          <t>ВАГНЕРМАЙЕР РУССЛАНД ООО</t>
        </is>
      </c>
      <c r="B195" s="335" t="inlineStr">
        <is>
          <t>Предоплата 100%</t>
        </is>
      </c>
      <c r="C195" s="256" t="inlineStr">
        <is>
          <t>ВБК РУС</t>
        </is>
      </c>
      <c r="D195" s="336" t="inlineStr">
        <is>
          <t>Мустафин Ринат</t>
        </is>
      </c>
      <c r="E195" s="60" t="n">
        <v>1</v>
      </c>
      <c r="F195" s="60" t="n">
        <v>1</v>
      </c>
      <c r="G195" s="56" t="n">
        <v>4801020640</v>
      </c>
      <c r="H195" s="57" t="inlineStr">
        <is>
          <t>Модулятор EBS, с PEM, без фит.</t>
        </is>
      </c>
      <c r="I195" s="377">
        <f>74400/1.2/A2</f>
        <v/>
      </c>
      <c r="J195" s="375">
        <f>74400/1.2/A2</f>
        <v/>
      </c>
      <c r="K195" s="337" t="n">
        <v>62000</v>
      </c>
      <c r="L195" s="337" t="inlineStr">
        <is>
          <t>RUB</t>
        </is>
      </c>
      <c r="M195" s="36" t="n"/>
      <c r="N195" s="284" t="n"/>
      <c r="O195" s="38" t="n"/>
      <c r="P195" s="284" t="n"/>
      <c r="Q195" s="36" t="n"/>
      <c r="R195" s="284" t="n"/>
      <c r="S195" s="38" t="n"/>
      <c r="T195" s="284" t="n"/>
      <c r="U195" s="36" t="n"/>
      <c r="V195" s="284" t="n"/>
      <c r="W195" s="38" t="n"/>
      <c r="X195" s="284" t="n"/>
      <c r="Y195" s="36" t="n"/>
      <c r="Z195" s="284" t="n"/>
      <c r="AA195" s="38" t="n"/>
      <c r="AB195" s="284" t="n"/>
      <c r="AC195" s="36" t="n"/>
      <c r="AD195" s="284" t="n"/>
      <c r="AE195" s="38" t="n"/>
      <c r="AF195" s="284" t="n"/>
      <c r="AG195" s="36" t="n"/>
      <c r="AH195" s="284" t="n"/>
      <c r="AI195" s="38" t="n"/>
      <c r="AJ195" s="284" t="n"/>
      <c r="AK195" s="36" t="n"/>
      <c r="AL195" s="284" t="n"/>
      <c r="AM195" s="38" t="n"/>
      <c r="AN195" s="284" t="n"/>
      <c r="AO195" s="36" t="n"/>
      <c r="AP195" s="284" t="n"/>
      <c r="AQ195" s="38" t="n"/>
      <c r="AR195" s="284" t="n"/>
      <c r="AS195" s="36" t="n"/>
      <c r="AT195" s="284" t="n"/>
      <c r="AU195" s="38" t="n"/>
      <c r="AV195" s="284" t="n"/>
      <c r="AW195" s="36" t="n"/>
      <c r="AX195" s="284" t="n"/>
      <c r="AY195" s="38" t="n"/>
      <c r="AZ195" s="96" t="n"/>
      <c r="BA195" s="36" t="n"/>
      <c r="BB195" s="284" t="n"/>
      <c r="BC195" s="99" t="n"/>
      <c r="BD195" s="284" t="n"/>
      <c r="BE195" s="36" t="n"/>
      <c r="BF195" s="284">
        <f>$KN195*1</f>
        <v/>
      </c>
      <c r="BG195" s="78" t="n">
        <v>1</v>
      </c>
      <c r="BH195" s="246" t="n"/>
      <c r="BI195" s="338">
        <f>SUMPRODUCT(--(MOD(COLUMN($M195:$BH195),4)=MOD(COLUMN($M195),4)),$M195:$BH195)</f>
        <v/>
      </c>
      <c r="BJ195" s="339">
        <f>BI195*$I195</f>
        <v/>
      </c>
      <c r="BK195" s="340">
        <f>SUMPRODUCT(--(MOD(COLUMN($M195:$BH195),4)=MOD(COLUMN($M195)+1,4)),$M195:$BH195)</f>
        <v/>
      </c>
      <c r="BL195" s="341">
        <f>BK195*$I195</f>
        <v/>
      </c>
      <c r="BM195" s="342">
        <f>SUMPRODUCT(--(MOD(COLUMN($M195:$BH195),4)=MOD(COLUMN($M195)+2,4)),$M195:$BH195)</f>
        <v/>
      </c>
      <c r="BN195" s="343">
        <f>BM195*$I195</f>
        <v/>
      </c>
      <c r="BO195" s="36" t="n"/>
      <c r="BP195" s="47" t="n"/>
      <c r="BQ195" s="284" t="n"/>
      <c r="BR195" s="38" t="n">
        <v>0</v>
      </c>
      <c r="BS195" s="246" t="n"/>
      <c r="BT195" s="36" t="n"/>
      <c r="BU195" s="47" t="n"/>
      <c r="BV195" s="284" t="n"/>
      <c r="BW195" s="38" t="n">
        <v>0</v>
      </c>
      <c r="BX195" s="284" t="n"/>
      <c r="BY195" s="36" t="n"/>
      <c r="BZ195" s="47" t="n"/>
      <c r="CA195" s="284" t="n"/>
      <c r="CB195" s="38" t="n">
        <v>0</v>
      </c>
      <c r="CC195" s="284" t="n"/>
      <c r="CD195" s="36" t="n"/>
      <c r="CE195" s="47" t="n"/>
      <c r="CF195" s="284" t="n">
        <v>2</v>
      </c>
      <c r="CG195" s="38" t="n">
        <v>2</v>
      </c>
      <c r="CH195" s="284" t="inlineStr">
        <is>
          <t>Новый клиент</t>
        </is>
      </c>
      <c r="CI195" s="36" t="inlineStr">
        <is>
          <t> </t>
        </is>
      </c>
      <c r="CJ195" s="47" t="n"/>
      <c r="CK195" s="284" t="n"/>
      <c r="CL195" s="38" t="n">
        <v>0</v>
      </c>
      <c r="CM195" s="284" t="n"/>
      <c r="CN195" s="36" t="n"/>
      <c r="CO195" s="47" t="n"/>
      <c r="CP195" s="284" t="n"/>
      <c r="CQ195" s="38" t="n">
        <v>0</v>
      </c>
      <c r="CR195" s="284" t="n"/>
      <c r="CS195" s="36" t="n"/>
      <c r="CT195" s="47" t="n"/>
      <c r="CU195" s="284" t="n"/>
      <c r="CV195" s="38" t="n">
        <v>0</v>
      </c>
      <c r="CW195" s="284" t="n"/>
      <c r="CX195" s="36" t="n"/>
      <c r="CY195" s="47" t="n"/>
      <c r="CZ195" s="284">
        <f>$KN195*1</f>
        <v/>
      </c>
      <c r="DA195" s="38" t="n">
        <v>0</v>
      </c>
      <c r="DB195" s="284" t="n"/>
      <c r="DC195" s="36" t="n"/>
      <c r="DD195" s="47" t="n"/>
      <c r="DE195" s="284" t="n">
        <v>40</v>
      </c>
      <c r="DF195" s="38" t="n">
        <v>11</v>
      </c>
      <c r="DG195" s="284" t="n"/>
      <c r="DH195" s="36" t="n"/>
      <c r="DI195" s="47" t="n"/>
      <c r="DJ195" s="284" t="n">
        <v>20</v>
      </c>
      <c r="DK195" s="38" t="n">
        <v>10</v>
      </c>
      <c r="DL195" s="284" t="inlineStr">
        <is>
          <t>Все зависит от решения на возникшую рекламацию</t>
        </is>
      </c>
      <c r="DM195" s="36" t="n"/>
      <c r="DN195" s="47" t="n"/>
      <c r="DO195" s="284" t="n">
        <v>0</v>
      </c>
      <c r="DP195" s="38" t="n">
        <v>0</v>
      </c>
      <c r="DQ195" s="284" t="inlineStr">
        <is>
          <t>Ждем ответа от клиента на проведение испытаний. Закупки приостановлены</t>
        </is>
      </c>
      <c r="DR195" s="36" t="n"/>
      <c r="DS195" s="47" t="n"/>
      <c r="DT195" s="284" t="n">
        <v>30</v>
      </c>
      <c r="DU195" s="38" t="n">
        <v>30</v>
      </c>
      <c r="DV195" s="284" t="n"/>
      <c r="DW195" s="338">
        <f t="array" ref="DW195">SUMPRODUCT(--(MOD(COLUMN($BO195:$DV195),5)=MOD(COLUMN($BO195),5)),$BO195:$DV195)</f>
        <v/>
      </c>
      <c r="DX195" s="339">
        <f>DW195*$J195</f>
        <v/>
      </c>
      <c r="DY195" s="344">
        <f t="array" ref="DY195">SUMPRODUCT(--(MOD(COLUMN($BO195:$DV195),5)=MOD(COLUMN($BP195),5)),$BO195:$DV195)</f>
        <v/>
      </c>
      <c r="DZ195" s="345">
        <f>DY195*$J195</f>
        <v/>
      </c>
      <c r="EA195" s="340">
        <f t="array" ref="EA195">SUMPRODUCT(--(MOD(COLUMN($BO195:$DV195),5)=MOD(COLUMN($BQ195),5)),$BO195:$DV195)</f>
        <v/>
      </c>
      <c r="EB195" s="341">
        <f>EA195*$J195</f>
        <v/>
      </c>
      <c r="EC195" s="342">
        <f t="array" ref="EC195">SUMPRODUCT(--(MOD(COLUMN($BO195:$DV195),5)=MOD(COLUMN($BR195),5)),$BO195:$DV195)</f>
        <v/>
      </c>
      <c r="ED195" s="343">
        <f>EC195*$J195</f>
        <v/>
      </c>
      <c r="EE195" s="36">
        <f>$KN195*30</f>
        <v/>
      </c>
      <c r="EF195" s="284" t="n">
        <v>50</v>
      </c>
      <c r="EG195" s="38" t="n">
        <v>0</v>
      </c>
      <c r="EH195" s="284" t="n"/>
      <c r="EI195" s="36">
        <f>$KN195*60</f>
        <v/>
      </c>
      <c r="EJ195" s="284" t="n">
        <v>100</v>
      </c>
      <c r="EK195" s="38" t="n">
        <v>50</v>
      </c>
      <c r="EL195" s="284" t="n"/>
      <c r="EM195" s="36">
        <f>$KN195*60</f>
        <v/>
      </c>
      <c r="EN195" s="284" t="n">
        <v>50</v>
      </c>
      <c r="EO195" s="38" t="n">
        <v>50</v>
      </c>
      <c r="EP195" s="284" t="n"/>
      <c r="EQ195" s="36">
        <f>$KN195*60</f>
        <v/>
      </c>
      <c r="ER195" s="284" t="n">
        <v>100</v>
      </c>
      <c r="ES195" s="38" t="n">
        <v>100</v>
      </c>
      <c r="ET195" s="284" t="n"/>
      <c r="EU195" s="36">
        <f>$KN195*60</f>
        <v/>
      </c>
      <c r="EV195" s="284" t="n">
        <v>60</v>
      </c>
      <c r="EW195" s="38" t="n">
        <v>60</v>
      </c>
      <c r="EX195" s="284" t="n"/>
      <c r="EY195" s="36">
        <f>$KN195*60</f>
        <v/>
      </c>
      <c r="EZ195" s="284" t="n">
        <v>150</v>
      </c>
      <c r="FA195" s="38" t="n">
        <v>0</v>
      </c>
      <c r="FB195" s="284" t="n"/>
      <c r="FC195" s="36">
        <f>$KN195*60</f>
        <v/>
      </c>
      <c r="FD195" s="284" t="n">
        <v>150</v>
      </c>
      <c r="FE195" s="38" t="n">
        <v>0</v>
      </c>
      <c r="FF195" s="284" t="n"/>
      <c r="FG195" s="36">
        <f>$KN195*60</f>
        <v/>
      </c>
      <c r="FH195" s="284" t="n">
        <v>150</v>
      </c>
      <c r="FI195" s="38" t="n">
        <v>0</v>
      </c>
      <c r="FJ195" s="284" t="n"/>
      <c r="FK195" s="36">
        <f>$KN195*60</f>
        <v/>
      </c>
      <c r="FL195" s="284" t="n">
        <v>150</v>
      </c>
      <c r="FM195" s="38" t="n">
        <v>0</v>
      </c>
      <c r="FN195" s="284" t="n"/>
      <c r="FO195" s="36">
        <f>$KN195*60</f>
        <v/>
      </c>
      <c r="FP195" s="284" t="n">
        <v>150</v>
      </c>
      <c r="FQ195" s="38" t="n">
        <v>0</v>
      </c>
      <c r="FR195" s="284" t="n"/>
      <c r="FS195" s="36">
        <f>$KN195*60</f>
        <v/>
      </c>
      <c r="FT195" s="284" t="n">
        <v>60</v>
      </c>
      <c r="FU195" s="38" t="n">
        <v>0</v>
      </c>
      <c r="FV195" s="284" t="n"/>
      <c r="FW195" s="36">
        <f>$KN195*60</f>
        <v/>
      </c>
      <c r="FX195" s="284" t="n">
        <v>60</v>
      </c>
      <c r="FY195" s="38" t="n">
        <v>0</v>
      </c>
      <c r="FZ195" s="284" t="n"/>
      <c r="GA195" s="338">
        <f>SUMPRODUCT(--(MOD(COLUMN($EE195:$FZ195),4)=MOD(COLUMN($EE195),4)),$EE195:$FZ195)</f>
        <v/>
      </c>
      <c r="GB195" s="339">
        <f>GA195*$J195</f>
        <v/>
      </c>
      <c r="GC195" s="340">
        <f>SUMPRODUCT(--(MOD(COLUMN($EE195:$FZ195),4)=MOD(COLUMN($EF195),4)),$EE195:$FZ195)</f>
        <v/>
      </c>
      <c r="GD195" s="341">
        <f>GC195*$J195</f>
        <v/>
      </c>
      <c r="GE195" s="342">
        <f>SUMPRODUCT(--(MOD(COLUMN($EE195:$FZ195),4)=MOD(COLUMN($EG195),4)),$EE195:$FZ195)</f>
        <v/>
      </c>
      <c r="GF195" s="343">
        <f>GE195*$J195</f>
        <v/>
      </c>
      <c r="GG195" s="36">
        <f>$KN195*70</f>
        <v/>
      </c>
      <c r="GH195" s="284" t="n"/>
      <c r="GI195" s="38" t="n">
        <v>0</v>
      </c>
      <c r="GJ195" s="284" t="n"/>
      <c r="GK195" s="36">
        <f>$KN195*80</f>
        <v/>
      </c>
      <c r="GL195" s="284" t="n"/>
      <c r="GM195" s="38" t="n">
        <v>0</v>
      </c>
      <c r="GN195" s="284" t="n"/>
      <c r="GO195" s="36">
        <f>$KN195*90</f>
        <v/>
      </c>
      <c r="GP195" s="284" t="n"/>
      <c r="GQ195" s="38" t="n">
        <v>0</v>
      </c>
      <c r="GR195" s="284" t="n"/>
      <c r="GS195" s="36">
        <f>$KN195*100</f>
        <v/>
      </c>
      <c r="GT195" s="284" t="n"/>
      <c r="GU195" s="38" t="n">
        <v>0</v>
      </c>
      <c r="GV195" s="284" t="n"/>
      <c r="GW195" s="36">
        <f>$KN195*100</f>
        <v/>
      </c>
      <c r="GX195" s="284" t="n"/>
      <c r="GY195" s="38" t="n">
        <v>0</v>
      </c>
      <c r="GZ195" s="284" t="n"/>
      <c r="HA195" s="36">
        <f>$KN195*100</f>
        <v/>
      </c>
      <c r="HB195" s="284" t="n"/>
      <c r="HC195" s="38" t="n">
        <v>0</v>
      </c>
      <c r="HD195" s="284" t="n"/>
      <c r="HE195" s="36">
        <f>$KN195*100</f>
        <v/>
      </c>
      <c r="HF195" s="284" t="n"/>
      <c r="HG195" s="38" t="n">
        <v>0</v>
      </c>
      <c r="HH195" s="284" t="n"/>
      <c r="HI195" s="36">
        <f>$KN195*100</f>
        <v/>
      </c>
      <c r="HJ195" s="284" t="n"/>
      <c r="HK195" s="38" t="n">
        <v>0</v>
      </c>
      <c r="HL195" s="284" t="n"/>
      <c r="HM195" s="36">
        <f>$KN195*100</f>
        <v/>
      </c>
      <c r="HN195" s="284" t="n"/>
      <c r="HO195" s="38" t="n">
        <v>0</v>
      </c>
      <c r="HP195" s="284" t="n"/>
      <c r="HQ195" s="36">
        <f>$KN195*100</f>
        <v/>
      </c>
      <c r="HR195" s="284" t="n"/>
      <c r="HS195" s="38" t="n">
        <v>0</v>
      </c>
      <c r="HT195" s="284" t="n"/>
      <c r="HU195" s="36">
        <f>$KN195*100</f>
        <v/>
      </c>
      <c r="HV195" s="284" t="n"/>
      <c r="HW195" s="38" t="n">
        <v>0</v>
      </c>
      <c r="HX195" s="284" t="n"/>
      <c r="HY195" s="36">
        <f>$KN195*100</f>
        <v/>
      </c>
      <c r="HZ195" s="284" t="n"/>
      <c r="IA195" s="38" t="n">
        <v>0</v>
      </c>
      <c r="IB195" s="284" t="n"/>
      <c r="IC195" s="338">
        <f t="array" ref="IC195">SUMPRODUCT(--(MOD(COLUMN($GG195:$IB195),4)=MOD(COLUMN($GG195),4)),$GG195:$IB195)</f>
        <v/>
      </c>
      <c r="ID195" s="339">
        <f>IC195*$J195</f>
        <v/>
      </c>
      <c r="IE195" s="340">
        <f t="array" ref="IE195">SUMPRODUCT(--(MOD(COLUMN($GG195:$IB195),4)=MOD(COLUMN($GH195),4)),$GG195:$IB195)</f>
        <v/>
      </c>
      <c r="IF195" s="341">
        <f>IE195*$J195</f>
        <v/>
      </c>
      <c r="IG195" s="342">
        <f t="array" ref="IG195">SUMPRODUCT(--(MOD(COLUMN($GG195:$IB195),4)=MOD(COLUMN($GI195),4)),$GG195:$IB195)</f>
        <v/>
      </c>
      <c r="IH195" s="343">
        <f>IG195*$J195</f>
        <v/>
      </c>
      <c r="II195" s="36">
        <f>$KN195*100</f>
        <v/>
      </c>
      <c r="IJ195" s="284" t="n"/>
      <c r="IK195" s="38" t="n">
        <v>0</v>
      </c>
      <c r="IL195" s="284" t="n"/>
      <c r="IM195" s="36">
        <f>$KN195*100</f>
        <v/>
      </c>
      <c r="IN195" s="284" t="n"/>
      <c r="IO195" s="38" t="n">
        <v>0</v>
      </c>
      <c r="IP195" s="284" t="n"/>
      <c r="IQ195" s="36">
        <f>$KN195*100</f>
        <v/>
      </c>
      <c r="IR195" s="284" t="n"/>
      <c r="IS195" s="38" t="n">
        <v>0</v>
      </c>
      <c r="IT195" s="284" t="n"/>
      <c r="IU195" s="36">
        <f>$KN195*125</f>
        <v/>
      </c>
      <c r="IV195" s="284" t="n"/>
      <c r="IW195" s="38" t="n">
        <v>0</v>
      </c>
      <c r="IX195" s="284" t="n"/>
      <c r="IY195" s="36">
        <f>$KN195*125</f>
        <v/>
      </c>
      <c r="IZ195" s="284" t="n"/>
      <c r="JA195" s="38" t="n">
        <v>0</v>
      </c>
      <c r="JB195" s="284" t="n"/>
      <c r="JC195" s="36">
        <f>$KN195*125</f>
        <v/>
      </c>
      <c r="JD195" s="284" t="n"/>
      <c r="JE195" s="38" t="n">
        <v>0</v>
      </c>
      <c r="JF195" s="284" t="n"/>
      <c r="JG195" s="36">
        <f>$KN195*150</f>
        <v/>
      </c>
      <c r="JH195" s="284" t="n"/>
      <c r="JI195" s="38" t="n">
        <v>0</v>
      </c>
      <c r="JJ195" s="284" t="n"/>
      <c r="JK195" s="36">
        <f>$KN195*150</f>
        <v/>
      </c>
      <c r="JL195" s="284" t="n"/>
      <c r="JM195" s="38" t="n">
        <v>0</v>
      </c>
      <c r="JN195" s="284" t="n"/>
      <c r="JO195" s="36">
        <f>$KN195*150</f>
        <v/>
      </c>
      <c r="JP195" s="284" t="n"/>
      <c r="JQ195" s="38" t="n">
        <v>0</v>
      </c>
      <c r="JR195" s="284" t="n"/>
      <c r="JS195" s="36">
        <f>$KN195*200</f>
        <v/>
      </c>
      <c r="JT195" s="284" t="n"/>
      <c r="JU195" s="38" t="n">
        <v>0</v>
      </c>
      <c r="JV195" s="284" t="n"/>
      <c r="JW195" s="36">
        <f>$KN195*200</f>
        <v/>
      </c>
      <c r="JX195" s="284" t="n"/>
      <c r="JY195" s="38" t="n">
        <v>0</v>
      </c>
      <c r="JZ195" s="284" t="n"/>
      <c r="KA195" s="36">
        <f>$KN195*200</f>
        <v/>
      </c>
      <c r="KB195" s="284" t="n"/>
      <c r="KC195" s="38" t="n">
        <v>0</v>
      </c>
      <c r="KD195" s="284" t="n"/>
      <c r="KE195" s="338">
        <f t="array" ref="KE195">SUMPRODUCT(--(MOD(COLUMN($II195:$KD195),4)=MOD(COLUMN($II195),4)),$II195:$KD195)</f>
        <v/>
      </c>
      <c r="KF195" s="339">
        <f>KE195*$J195</f>
        <v/>
      </c>
      <c r="KG195" s="340">
        <f t="array" ref="KG195">SUMPRODUCT(--(MOD(COLUMN($II195:$KD195),4)=MOD(COLUMN($IJ195),4)),$II195:$KD195)</f>
        <v/>
      </c>
      <c r="KH195" s="341">
        <f>KG195*$J195</f>
        <v/>
      </c>
      <c r="KI195" s="342">
        <f t="array" ref="KI195">SUMPRODUCT(--(MOD(COLUMN($II195:$KD195),4)=MOD(COLUMN($IK195),4)),$II195:$KD195)</f>
        <v/>
      </c>
      <c r="KJ195" s="346">
        <f>KI195*$J195</f>
        <v/>
      </c>
      <c r="KK195" s="80" t="n"/>
      <c r="KL195" s="80" t="n"/>
      <c r="KM195" s="80" t="n"/>
      <c r="KN195" s="51" t="n">
        <v>1</v>
      </c>
      <c r="KO195" s="285" t="inlineStr">
        <is>
          <t>TEBS</t>
        </is>
      </c>
    </row>
    <row r="196" outlineLevel="1" ht="43.2" customFormat="1" customHeight="1" s="68">
      <c r="A196" s="347" t="n"/>
      <c r="B196" s="347" t="n"/>
      <c r="C196" s="347" t="n"/>
      <c r="D196" s="347" t="n"/>
      <c r="E196" s="170" t="n">
        <v>2</v>
      </c>
      <c r="F196" s="60" t="n">
        <v>1</v>
      </c>
      <c r="G196" s="56" t="n">
        <v>9522010010</v>
      </c>
      <c r="H196" s="57" t="inlineStr">
        <is>
          <t>Головка соединительная (управляющая)</t>
        </is>
      </c>
      <c r="I196" s="379" t="n">
        <v>64</v>
      </c>
      <c r="J196" s="379" t="n">
        <v>64</v>
      </c>
      <c r="K196" s="349" t="n"/>
      <c r="L196" s="349" t="n"/>
      <c r="M196" s="175" t="n"/>
      <c r="N196" s="315" t="n"/>
      <c r="O196" s="177" t="n"/>
      <c r="P196" s="315" t="n"/>
      <c r="Q196" s="175" t="n"/>
      <c r="R196" s="315" t="n"/>
      <c r="S196" s="177" t="n"/>
      <c r="T196" s="315" t="n"/>
      <c r="U196" s="175" t="n"/>
      <c r="V196" s="315" t="n"/>
      <c r="W196" s="177" t="n"/>
      <c r="X196" s="315" t="n"/>
      <c r="Y196" s="175" t="n"/>
      <c r="Z196" s="315" t="n"/>
      <c r="AA196" s="177" t="n"/>
      <c r="AB196" s="315" t="n"/>
      <c r="AC196" s="175" t="n"/>
      <c r="AD196" s="315" t="n"/>
      <c r="AE196" s="177" t="n"/>
      <c r="AF196" s="315" t="n"/>
      <c r="AG196" s="175" t="n"/>
      <c r="AH196" s="315" t="n"/>
      <c r="AI196" s="177" t="n"/>
      <c r="AJ196" s="315" t="n"/>
      <c r="AK196" s="175" t="n"/>
      <c r="AL196" s="315" t="n"/>
      <c r="AM196" s="177" t="n"/>
      <c r="AN196" s="315" t="n"/>
      <c r="AO196" s="175" t="n"/>
      <c r="AP196" s="315" t="n"/>
      <c r="AQ196" s="177" t="n"/>
      <c r="AR196" s="315" t="n"/>
      <c r="AS196" s="175" t="n"/>
      <c r="AT196" s="315" t="n"/>
      <c r="AU196" s="177" t="n"/>
      <c r="AV196" s="315" t="n"/>
      <c r="AW196" s="175" t="n"/>
      <c r="AX196" s="315" t="n"/>
      <c r="AY196" s="177" t="n"/>
      <c r="AZ196" s="151" t="n"/>
      <c r="BA196" s="175" t="n"/>
      <c r="BB196" s="315" t="n"/>
      <c r="BC196" s="178" t="n"/>
      <c r="BD196" s="315" t="n"/>
      <c r="BE196" s="175" t="n"/>
      <c r="BF196" s="315" t="n"/>
      <c r="BG196" s="179" t="n"/>
      <c r="BH196" s="246" t="n"/>
      <c r="BI196" s="350" t="n"/>
      <c r="BJ196" s="351" t="n"/>
      <c r="BK196" s="352" t="n"/>
      <c r="BL196" s="353" t="n"/>
      <c r="BM196" s="354" t="n"/>
      <c r="BN196" s="355" t="n"/>
      <c r="BO196" s="175" t="n"/>
      <c r="BP196" s="186" t="n"/>
      <c r="BQ196" s="315" t="n"/>
      <c r="BR196" s="177" t="n"/>
      <c r="BS196" s="246" t="n"/>
      <c r="BT196" s="175" t="n"/>
      <c r="BU196" s="186" t="n"/>
      <c r="BV196" s="315" t="n"/>
      <c r="BW196" s="177" t="n"/>
      <c r="BX196" s="315" t="n"/>
      <c r="BY196" s="175" t="n"/>
      <c r="BZ196" s="186" t="n"/>
      <c r="CA196" s="315" t="n"/>
      <c r="CB196" s="177" t="n"/>
      <c r="CC196" s="315" t="n"/>
      <c r="CD196" s="175" t="n"/>
      <c r="CE196" s="186" t="n"/>
      <c r="CF196" s="315" t="n"/>
      <c r="CG196" s="177" t="n"/>
      <c r="CH196" s="315" t="n"/>
      <c r="CI196" s="175" t="n"/>
      <c r="CJ196" s="186" t="n"/>
      <c r="CK196" s="315" t="n"/>
      <c r="CL196" s="177" t="n"/>
      <c r="CM196" s="315" t="n"/>
      <c r="CN196" s="175" t="n"/>
      <c r="CO196" s="186" t="n"/>
      <c r="CP196" s="315" t="n"/>
      <c r="CQ196" s="177" t="n"/>
      <c r="CR196" s="315" t="n"/>
      <c r="CS196" s="175" t="n"/>
      <c r="CT196" s="186" t="n"/>
      <c r="CU196" s="315" t="n"/>
      <c r="CV196" s="177" t="n"/>
      <c r="CW196" s="315" t="n"/>
      <c r="CX196" s="175" t="n"/>
      <c r="CY196" s="186" t="n"/>
      <c r="CZ196" s="315" t="n"/>
      <c r="DA196" s="177" t="n"/>
      <c r="DB196" s="315" t="n"/>
      <c r="DC196" s="175" t="n"/>
      <c r="DD196" s="186" t="n"/>
      <c r="DE196" s="315" t="n"/>
      <c r="DF196" s="177" t="n"/>
      <c r="DG196" s="315" t="n"/>
      <c r="DH196" s="175" t="n"/>
      <c r="DI196" s="186" t="n"/>
      <c r="DJ196" s="315" t="n"/>
      <c r="DK196" s="177" t="n"/>
      <c r="DL196" s="315" t="n"/>
      <c r="DM196" s="175" t="n"/>
      <c r="DN196" s="186" t="n"/>
      <c r="DO196" s="315" t="n"/>
      <c r="DP196" s="177" t="n"/>
      <c r="DQ196" s="315" t="n"/>
      <c r="DR196" s="175" t="n"/>
      <c r="DS196" s="186" t="n"/>
      <c r="DT196" s="315" t="n"/>
      <c r="DU196" s="177" t="n"/>
      <c r="DV196" s="315" t="n"/>
      <c r="DW196" s="350" t="n"/>
      <c r="DX196" s="351" t="n"/>
      <c r="DY196" s="356" t="n"/>
      <c r="DZ196" s="357" t="n"/>
      <c r="EA196" s="352" t="n"/>
      <c r="EB196" s="353" t="n"/>
      <c r="EC196" s="354" t="n"/>
      <c r="ED196" s="355" t="n"/>
      <c r="EE196" s="175" t="n"/>
      <c r="EF196" s="315" t="n"/>
      <c r="EG196" s="177" t="n"/>
      <c r="EH196" s="315" t="n"/>
      <c r="EI196" s="175" t="n"/>
      <c r="EJ196" s="315" t="n"/>
      <c r="EK196" s="177" t="n"/>
      <c r="EL196" s="315" t="n"/>
      <c r="EM196" s="175" t="n"/>
      <c r="EN196" s="315" t="n">
        <v>10</v>
      </c>
      <c r="EO196" s="177" t="n">
        <v>10</v>
      </c>
      <c r="EP196" s="315" t="inlineStr">
        <is>
          <t>Новый компонент</t>
        </is>
      </c>
      <c r="EQ196" s="175" t="n"/>
      <c r="ER196" s="315" t="n">
        <v>30</v>
      </c>
      <c r="ES196" s="177" t="n">
        <v>30</v>
      </c>
      <c r="ET196" s="315" t="n"/>
      <c r="EU196" s="175" t="n"/>
      <c r="EV196" s="315" t="n"/>
      <c r="EW196" s="177" t="n"/>
      <c r="EX196" s="315" t="n"/>
      <c r="EY196" s="175" t="n"/>
      <c r="EZ196" s="315" t="n"/>
      <c r="FA196" s="177" t="n"/>
      <c r="FB196" s="315" t="n"/>
      <c r="FC196" s="175" t="n"/>
      <c r="FD196" s="315" t="n"/>
      <c r="FE196" s="177" t="n"/>
      <c r="FF196" s="315" t="n"/>
      <c r="FG196" s="175" t="n"/>
      <c r="FH196" s="315" t="n"/>
      <c r="FI196" s="177" t="n"/>
      <c r="FJ196" s="315" t="n"/>
      <c r="FK196" s="175" t="n"/>
      <c r="FL196" s="315" t="n"/>
      <c r="FM196" s="177" t="n"/>
      <c r="FN196" s="315" t="n"/>
      <c r="FO196" s="175" t="n"/>
      <c r="FP196" s="315" t="n"/>
      <c r="FQ196" s="177" t="n"/>
      <c r="FR196" s="315" t="n"/>
      <c r="FS196" s="175" t="n"/>
      <c r="FT196" s="315" t="n"/>
      <c r="FU196" s="177" t="n"/>
      <c r="FV196" s="315" t="n"/>
      <c r="FW196" s="175" t="n"/>
      <c r="FX196" s="315" t="n"/>
      <c r="FY196" s="177" t="n"/>
      <c r="FZ196" s="315" t="n"/>
      <c r="GA196" s="338">
        <f>SUMPRODUCT(--(MOD(COLUMN($EE196:$FZ196),4)=MOD(COLUMN($EE196),4)),$EE196:$FZ196)</f>
        <v/>
      </c>
      <c r="GB196" s="339">
        <f>GA196*$J196</f>
        <v/>
      </c>
      <c r="GC196" s="340">
        <f>SUMPRODUCT(--(MOD(COLUMN($EE196:$FZ196),4)=MOD(COLUMN($EF196),4)),$EE196:$FZ196)</f>
        <v/>
      </c>
      <c r="GD196" s="341">
        <f>GC196*$J196</f>
        <v/>
      </c>
      <c r="GE196" s="342">
        <f>SUMPRODUCT(--(MOD(COLUMN($EE196:$FZ196),4)=MOD(COLUMN($EG196),4)),$EE196:$FZ196)</f>
        <v/>
      </c>
      <c r="GF196" s="343">
        <f>GE196*$J196</f>
        <v/>
      </c>
      <c r="GG196" s="175" t="n"/>
      <c r="GH196" s="315" t="n"/>
      <c r="GI196" s="177" t="n"/>
      <c r="GJ196" s="315" t="n"/>
      <c r="GK196" s="175" t="n"/>
      <c r="GL196" s="315" t="n"/>
      <c r="GM196" s="177" t="n"/>
      <c r="GN196" s="315" t="n"/>
      <c r="GO196" s="175" t="n"/>
      <c r="GP196" s="315" t="n"/>
      <c r="GQ196" s="177" t="n"/>
      <c r="GR196" s="315" t="n"/>
      <c r="GS196" s="175" t="n"/>
      <c r="GT196" s="315" t="n"/>
      <c r="GU196" s="177" t="n"/>
      <c r="GV196" s="315" t="n"/>
      <c r="GW196" s="175" t="n"/>
      <c r="GX196" s="315" t="n"/>
      <c r="GY196" s="177" t="n"/>
      <c r="GZ196" s="315" t="n"/>
      <c r="HA196" s="175" t="n"/>
      <c r="HB196" s="315" t="n"/>
      <c r="HC196" s="177" t="n"/>
      <c r="HD196" s="315" t="n"/>
      <c r="HE196" s="175" t="n"/>
      <c r="HF196" s="315" t="n"/>
      <c r="HG196" s="177" t="n"/>
      <c r="HH196" s="315" t="n"/>
      <c r="HI196" s="175" t="n"/>
      <c r="HJ196" s="315" t="n"/>
      <c r="HK196" s="177" t="n"/>
      <c r="HL196" s="315" t="n"/>
      <c r="HM196" s="175" t="n"/>
      <c r="HN196" s="315" t="n"/>
      <c r="HO196" s="177" t="n"/>
      <c r="HP196" s="315" t="n"/>
      <c r="HQ196" s="175" t="n"/>
      <c r="HR196" s="315" t="n"/>
      <c r="HS196" s="177" t="n"/>
      <c r="HT196" s="315" t="n"/>
      <c r="HU196" s="175" t="n"/>
      <c r="HV196" s="315" t="n"/>
      <c r="HW196" s="177" t="n"/>
      <c r="HX196" s="315" t="n"/>
      <c r="HY196" s="175" t="n"/>
      <c r="HZ196" s="315" t="n"/>
      <c r="IA196" s="177" t="n"/>
      <c r="IB196" s="315" t="n"/>
      <c r="IC196" s="338">
        <f t="array" ref="IC196">SUMPRODUCT(--(MOD(COLUMN($GG196:$IB196),4)=MOD(COLUMN($GG196),4)),$GG196:$IB196)</f>
        <v/>
      </c>
      <c r="ID196" s="339">
        <f>IC196*$J196</f>
        <v/>
      </c>
      <c r="IE196" s="340">
        <f t="array" ref="IE196">SUMPRODUCT(--(MOD(COLUMN($GG196:$IB196),4)=MOD(COLUMN($GH196),4)),$GG196:$IB196)</f>
        <v/>
      </c>
      <c r="IF196" s="341">
        <f>IE196*$J196</f>
        <v/>
      </c>
      <c r="IG196" s="342">
        <f t="array" ref="IG196">SUMPRODUCT(--(MOD(COLUMN($GG196:$IB196),4)=MOD(COLUMN($GI196),4)),$GG196:$IB196)</f>
        <v/>
      </c>
      <c r="IH196" s="343">
        <f>IG196*$J196</f>
        <v/>
      </c>
      <c r="II196" s="175" t="n"/>
      <c r="IJ196" s="315" t="n"/>
      <c r="IK196" s="177" t="n"/>
      <c r="IL196" s="315" t="n"/>
      <c r="IM196" s="175" t="n"/>
      <c r="IN196" s="315" t="n"/>
      <c r="IO196" s="177" t="n"/>
      <c r="IP196" s="315" t="n"/>
      <c r="IQ196" s="175" t="n"/>
      <c r="IR196" s="315" t="n"/>
      <c r="IS196" s="177" t="n"/>
      <c r="IT196" s="315" t="n"/>
      <c r="IU196" s="175" t="n"/>
      <c r="IV196" s="315" t="n"/>
      <c r="IW196" s="177" t="n"/>
      <c r="IX196" s="315" t="n"/>
      <c r="IY196" s="175" t="n"/>
      <c r="IZ196" s="315" t="n"/>
      <c r="JA196" s="177" t="n"/>
      <c r="JB196" s="315" t="n"/>
      <c r="JC196" s="175" t="n"/>
      <c r="JD196" s="315" t="n"/>
      <c r="JE196" s="177" t="n"/>
      <c r="JF196" s="315" t="n"/>
      <c r="JG196" s="175" t="n"/>
      <c r="JH196" s="315" t="n"/>
      <c r="JI196" s="177" t="n"/>
      <c r="JJ196" s="315" t="n"/>
      <c r="JK196" s="175" t="n"/>
      <c r="JL196" s="315" t="n"/>
      <c r="JM196" s="177" t="n"/>
      <c r="JN196" s="315" t="n"/>
      <c r="JO196" s="175" t="n"/>
      <c r="JP196" s="315" t="n"/>
      <c r="JQ196" s="177" t="n"/>
      <c r="JR196" s="315" t="n"/>
      <c r="JS196" s="175" t="n"/>
      <c r="JT196" s="315" t="n"/>
      <c r="JU196" s="177" t="n"/>
      <c r="JV196" s="315" t="n"/>
      <c r="JW196" s="175" t="n"/>
      <c r="JX196" s="315" t="n"/>
      <c r="JY196" s="177" t="n"/>
      <c r="JZ196" s="315" t="n"/>
      <c r="KA196" s="175" t="n"/>
      <c r="KB196" s="315" t="n"/>
      <c r="KC196" s="177" t="n"/>
      <c r="KD196" s="315" t="n"/>
      <c r="KE196" s="338">
        <f t="array" ref="KE196">SUMPRODUCT(--(MOD(COLUMN($II196:$KD196),4)=MOD(COLUMN($II196),4)),$II196:$KD196)</f>
        <v/>
      </c>
      <c r="KF196" s="339">
        <f>KE196*$J196</f>
        <v/>
      </c>
      <c r="KG196" s="340">
        <f t="array" ref="KG196">SUMPRODUCT(--(MOD(COLUMN($II196:$KD196),4)=MOD(COLUMN($IJ196),4)),$II196:$KD196)</f>
        <v/>
      </c>
      <c r="KH196" s="341">
        <f>KG196*$J196</f>
        <v/>
      </c>
      <c r="KI196" s="342">
        <f t="array" ref="KI196">SUMPRODUCT(--(MOD(COLUMN($II196:$KD196),4)=MOD(COLUMN($IK196),4)),$II196:$KD196)</f>
        <v/>
      </c>
      <c r="KJ196" s="346">
        <f>KI196*$J196</f>
        <v/>
      </c>
      <c r="KK196" s="189" t="n"/>
      <c r="KL196" s="189" t="n"/>
      <c r="KM196" s="189" t="n"/>
      <c r="KN196" s="190" t="n"/>
      <c r="KO196" s="291" t="n"/>
    </row>
    <row r="197" outlineLevel="1" ht="43.2" customFormat="1" customHeight="1" s="68">
      <c r="A197" s="347" t="n"/>
      <c r="B197" s="347" t="n"/>
      <c r="C197" s="347" t="n"/>
      <c r="D197" s="347" t="n"/>
      <c r="E197" s="60" t="n">
        <v>3</v>
      </c>
      <c r="F197" s="60" t="n">
        <v>1</v>
      </c>
      <c r="G197" s="56" t="n">
        <v>9522010020</v>
      </c>
      <c r="H197" s="57" t="inlineStr">
        <is>
          <t>Головка соединительная (питающая)</t>
        </is>
      </c>
      <c r="I197" s="379" t="n">
        <v>64</v>
      </c>
      <c r="J197" s="379" t="n">
        <v>64</v>
      </c>
      <c r="K197" s="349" t="n"/>
      <c r="L197" s="349" t="n"/>
      <c r="M197" s="175" t="n"/>
      <c r="N197" s="315" t="n"/>
      <c r="O197" s="177" t="n"/>
      <c r="P197" s="315" t="n"/>
      <c r="Q197" s="175" t="n"/>
      <c r="R197" s="315" t="n"/>
      <c r="S197" s="177" t="n"/>
      <c r="T197" s="315" t="n"/>
      <c r="U197" s="175" t="n"/>
      <c r="V197" s="315" t="n"/>
      <c r="W197" s="177" t="n"/>
      <c r="X197" s="315" t="n"/>
      <c r="Y197" s="175" t="n"/>
      <c r="Z197" s="315" t="n"/>
      <c r="AA197" s="177" t="n"/>
      <c r="AB197" s="315" t="n"/>
      <c r="AC197" s="175" t="n"/>
      <c r="AD197" s="315" t="n"/>
      <c r="AE197" s="177" t="n"/>
      <c r="AF197" s="315" t="n"/>
      <c r="AG197" s="175" t="n"/>
      <c r="AH197" s="315" t="n"/>
      <c r="AI197" s="177" t="n"/>
      <c r="AJ197" s="315" t="n"/>
      <c r="AK197" s="175" t="n"/>
      <c r="AL197" s="315" t="n"/>
      <c r="AM197" s="177" t="n"/>
      <c r="AN197" s="315" t="n"/>
      <c r="AO197" s="175" t="n"/>
      <c r="AP197" s="315" t="n"/>
      <c r="AQ197" s="177" t="n"/>
      <c r="AR197" s="315" t="n"/>
      <c r="AS197" s="175" t="n"/>
      <c r="AT197" s="315" t="n"/>
      <c r="AU197" s="177" t="n"/>
      <c r="AV197" s="315" t="n"/>
      <c r="AW197" s="175" t="n"/>
      <c r="AX197" s="315" t="n"/>
      <c r="AY197" s="177" t="n"/>
      <c r="AZ197" s="151" t="n"/>
      <c r="BA197" s="175" t="n"/>
      <c r="BB197" s="315" t="n"/>
      <c r="BC197" s="178" t="n"/>
      <c r="BD197" s="315" t="n"/>
      <c r="BE197" s="175" t="n"/>
      <c r="BF197" s="315" t="n"/>
      <c r="BG197" s="179" t="n"/>
      <c r="BH197" s="246" t="n"/>
      <c r="BI197" s="350" t="n"/>
      <c r="BJ197" s="351" t="n"/>
      <c r="BK197" s="352" t="n"/>
      <c r="BL197" s="353" t="n"/>
      <c r="BM197" s="354" t="n"/>
      <c r="BN197" s="355" t="n"/>
      <c r="BO197" s="175" t="n"/>
      <c r="BP197" s="186" t="n"/>
      <c r="BQ197" s="315" t="n"/>
      <c r="BR197" s="177" t="n"/>
      <c r="BS197" s="246" t="n"/>
      <c r="BT197" s="175" t="n"/>
      <c r="BU197" s="186" t="n"/>
      <c r="BV197" s="315" t="n"/>
      <c r="BW197" s="177" t="n"/>
      <c r="BX197" s="315" t="n"/>
      <c r="BY197" s="175" t="n"/>
      <c r="BZ197" s="186" t="n"/>
      <c r="CA197" s="315" t="n"/>
      <c r="CB197" s="177" t="n"/>
      <c r="CC197" s="315" t="n"/>
      <c r="CD197" s="175" t="n"/>
      <c r="CE197" s="186" t="n"/>
      <c r="CF197" s="315" t="n"/>
      <c r="CG197" s="177" t="n"/>
      <c r="CH197" s="315" t="n"/>
      <c r="CI197" s="175" t="n"/>
      <c r="CJ197" s="186" t="n"/>
      <c r="CK197" s="315" t="n"/>
      <c r="CL197" s="177" t="n"/>
      <c r="CM197" s="315" t="n"/>
      <c r="CN197" s="175" t="n"/>
      <c r="CO197" s="186" t="n"/>
      <c r="CP197" s="315" t="n"/>
      <c r="CQ197" s="177" t="n"/>
      <c r="CR197" s="315" t="n"/>
      <c r="CS197" s="175" t="n"/>
      <c r="CT197" s="186" t="n"/>
      <c r="CU197" s="315" t="n"/>
      <c r="CV197" s="177" t="n"/>
      <c r="CW197" s="315" t="n"/>
      <c r="CX197" s="175" t="n"/>
      <c r="CY197" s="186" t="n"/>
      <c r="CZ197" s="315" t="n"/>
      <c r="DA197" s="177" t="n"/>
      <c r="DB197" s="315" t="n"/>
      <c r="DC197" s="175" t="n"/>
      <c r="DD197" s="186" t="n"/>
      <c r="DE197" s="315" t="n"/>
      <c r="DF197" s="177" t="n"/>
      <c r="DG197" s="315" t="n"/>
      <c r="DH197" s="175" t="n"/>
      <c r="DI197" s="186" t="n"/>
      <c r="DJ197" s="315" t="n"/>
      <c r="DK197" s="177" t="n"/>
      <c r="DL197" s="315" t="n"/>
      <c r="DM197" s="175" t="n"/>
      <c r="DN197" s="186" t="n"/>
      <c r="DO197" s="315" t="n"/>
      <c r="DP197" s="177" t="n"/>
      <c r="DQ197" s="315" t="n"/>
      <c r="DR197" s="175" t="n"/>
      <c r="DS197" s="186" t="n"/>
      <c r="DT197" s="315" t="n"/>
      <c r="DU197" s="177" t="n"/>
      <c r="DV197" s="315" t="n"/>
      <c r="DW197" s="350" t="n"/>
      <c r="DX197" s="351" t="n"/>
      <c r="DY197" s="356" t="n"/>
      <c r="DZ197" s="357" t="n"/>
      <c r="EA197" s="352" t="n"/>
      <c r="EB197" s="353" t="n"/>
      <c r="EC197" s="354" t="n"/>
      <c r="ED197" s="355" t="n"/>
      <c r="EE197" s="175" t="n"/>
      <c r="EF197" s="315" t="n"/>
      <c r="EG197" s="177" t="n"/>
      <c r="EH197" s="315" t="n"/>
      <c r="EI197" s="175" t="n"/>
      <c r="EJ197" s="315" t="n"/>
      <c r="EK197" s="177" t="n"/>
      <c r="EL197" s="315" t="n"/>
      <c r="EM197" s="175" t="n"/>
      <c r="EN197" s="315" t="n">
        <v>10</v>
      </c>
      <c r="EO197" s="177" t="n">
        <v>10</v>
      </c>
      <c r="EP197" s="382" t="n"/>
      <c r="EQ197" s="175" t="n"/>
      <c r="ER197" s="315" t="n">
        <v>30</v>
      </c>
      <c r="ES197" s="177" t="n">
        <v>30</v>
      </c>
      <c r="ET197" s="315" t="n"/>
      <c r="EU197" s="175" t="n"/>
      <c r="EV197" s="315" t="n"/>
      <c r="EW197" s="177" t="n"/>
      <c r="EX197" s="315" t="n"/>
      <c r="EY197" s="175" t="n"/>
      <c r="EZ197" s="315" t="n"/>
      <c r="FA197" s="177" t="n"/>
      <c r="FB197" s="315" t="n"/>
      <c r="FC197" s="175" t="n"/>
      <c r="FD197" s="315" t="n"/>
      <c r="FE197" s="177" t="n"/>
      <c r="FF197" s="315" t="n"/>
      <c r="FG197" s="175" t="n"/>
      <c r="FH197" s="315" t="n"/>
      <c r="FI197" s="177" t="n"/>
      <c r="FJ197" s="315" t="n"/>
      <c r="FK197" s="175" t="n"/>
      <c r="FL197" s="315" t="n"/>
      <c r="FM197" s="177" t="n"/>
      <c r="FN197" s="315" t="n"/>
      <c r="FO197" s="175" t="n"/>
      <c r="FP197" s="315" t="n"/>
      <c r="FQ197" s="177" t="n"/>
      <c r="FR197" s="315" t="n"/>
      <c r="FS197" s="175" t="n"/>
      <c r="FT197" s="315" t="n"/>
      <c r="FU197" s="177" t="n"/>
      <c r="FV197" s="315" t="n"/>
      <c r="FW197" s="175" t="n"/>
      <c r="FX197" s="315" t="n"/>
      <c r="FY197" s="177" t="n"/>
      <c r="FZ197" s="315" t="n"/>
      <c r="GA197" s="338">
        <f>SUMPRODUCT(--(MOD(COLUMN($EE197:$FZ197),4)=MOD(COLUMN($EE197),4)),$EE197:$FZ197)</f>
        <v/>
      </c>
      <c r="GB197" s="339">
        <f>GA197*$J197</f>
        <v/>
      </c>
      <c r="GC197" s="340">
        <f>SUMPRODUCT(--(MOD(COLUMN($EE197:$FZ197),4)=MOD(COLUMN($EF197),4)),$EE197:$FZ197)</f>
        <v/>
      </c>
      <c r="GD197" s="341">
        <f>GC197*$J197</f>
        <v/>
      </c>
      <c r="GE197" s="342">
        <f>SUMPRODUCT(--(MOD(COLUMN($EE197:$FZ197),4)=MOD(COLUMN($EG197),4)),$EE197:$FZ197)</f>
        <v/>
      </c>
      <c r="GF197" s="343">
        <f>GE197*$J197</f>
        <v/>
      </c>
      <c r="GG197" s="175" t="n"/>
      <c r="GH197" s="315" t="n"/>
      <c r="GI197" s="177" t="n"/>
      <c r="GJ197" s="315" t="n"/>
      <c r="GK197" s="175" t="n"/>
      <c r="GL197" s="315" t="n"/>
      <c r="GM197" s="177" t="n"/>
      <c r="GN197" s="315" t="n"/>
      <c r="GO197" s="175" t="n"/>
      <c r="GP197" s="315" t="n"/>
      <c r="GQ197" s="177" t="n"/>
      <c r="GR197" s="315" t="n"/>
      <c r="GS197" s="175" t="n"/>
      <c r="GT197" s="315" t="n"/>
      <c r="GU197" s="177" t="n"/>
      <c r="GV197" s="315" t="n"/>
      <c r="GW197" s="175" t="n"/>
      <c r="GX197" s="315" t="n"/>
      <c r="GY197" s="177" t="n"/>
      <c r="GZ197" s="315" t="n"/>
      <c r="HA197" s="175" t="n"/>
      <c r="HB197" s="315" t="n"/>
      <c r="HC197" s="177" t="n"/>
      <c r="HD197" s="315" t="n"/>
      <c r="HE197" s="175" t="n"/>
      <c r="HF197" s="315" t="n"/>
      <c r="HG197" s="177" t="n"/>
      <c r="HH197" s="315" t="n"/>
      <c r="HI197" s="175" t="n"/>
      <c r="HJ197" s="315" t="n"/>
      <c r="HK197" s="177" t="n"/>
      <c r="HL197" s="315" t="n"/>
      <c r="HM197" s="175" t="n"/>
      <c r="HN197" s="315" t="n"/>
      <c r="HO197" s="177" t="n"/>
      <c r="HP197" s="315" t="n"/>
      <c r="HQ197" s="175" t="n"/>
      <c r="HR197" s="315" t="n"/>
      <c r="HS197" s="177" t="n"/>
      <c r="HT197" s="315" t="n"/>
      <c r="HU197" s="175" t="n"/>
      <c r="HV197" s="315" t="n"/>
      <c r="HW197" s="177" t="n"/>
      <c r="HX197" s="315" t="n"/>
      <c r="HY197" s="175" t="n"/>
      <c r="HZ197" s="315" t="n"/>
      <c r="IA197" s="177" t="n"/>
      <c r="IB197" s="315" t="n"/>
      <c r="IC197" s="338">
        <f t="array" ref="IC197">SUMPRODUCT(--(MOD(COLUMN($GG197:$IB197),4)=MOD(COLUMN($GG197),4)),$GG197:$IB197)</f>
        <v/>
      </c>
      <c r="ID197" s="339">
        <f>IC197*$J197</f>
        <v/>
      </c>
      <c r="IE197" s="340">
        <f t="array" ref="IE197">SUMPRODUCT(--(MOD(COLUMN($GG197:$IB197),4)=MOD(COLUMN($GH197),4)),$GG197:$IB197)</f>
        <v/>
      </c>
      <c r="IF197" s="341">
        <f>IE197*$J197</f>
        <v/>
      </c>
      <c r="IG197" s="342">
        <f t="array" ref="IG197">SUMPRODUCT(--(MOD(COLUMN($GG197:$IB197),4)=MOD(COLUMN($GI197),4)),$GG197:$IB197)</f>
        <v/>
      </c>
      <c r="IH197" s="343">
        <f>IG197*$J197</f>
        <v/>
      </c>
      <c r="II197" s="175" t="n"/>
      <c r="IJ197" s="315" t="n"/>
      <c r="IK197" s="177" t="n"/>
      <c r="IL197" s="315" t="n"/>
      <c r="IM197" s="175" t="n"/>
      <c r="IN197" s="315" t="n"/>
      <c r="IO197" s="177" t="n"/>
      <c r="IP197" s="315" t="n"/>
      <c r="IQ197" s="175" t="n"/>
      <c r="IR197" s="315" t="n"/>
      <c r="IS197" s="177" t="n"/>
      <c r="IT197" s="315" t="n"/>
      <c r="IU197" s="175" t="n"/>
      <c r="IV197" s="315" t="n"/>
      <c r="IW197" s="177" t="n"/>
      <c r="IX197" s="315" t="n"/>
      <c r="IY197" s="175" t="n"/>
      <c r="IZ197" s="315" t="n"/>
      <c r="JA197" s="177" t="n"/>
      <c r="JB197" s="315" t="n"/>
      <c r="JC197" s="175" t="n"/>
      <c r="JD197" s="315" t="n"/>
      <c r="JE197" s="177" t="n"/>
      <c r="JF197" s="315" t="n"/>
      <c r="JG197" s="175" t="n"/>
      <c r="JH197" s="315" t="n"/>
      <c r="JI197" s="177" t="n"/>
      <c r="JJ197" s="315" t="n"/>
      <c r="JK197" s="175" t="n"/>
      <c r="JL197" s="315" t="n"/>
      <c r="JM197" s="177" t="n"/>
      <c r="JN197" s="315" t="n"/>
      <c r="JO197" s="175" t="n"/>
      <c r="JP197" s="315" t="n"/>
      <c r="JQ197" s="177" t="n"/>
      <c r="JR197" s="315" t="n"/>
      <c r="JS197" s="175" t="n"/>
      <c r="JT197" s="315" t="n"/>
      <c r="JU197" s="177" t="n"/>
      <c r="JV197" s="315" t="n"/>
      <c r="JW197" s="175" t="n"/>
      <c r="JX197" s="315" t="n"/>
      <c r="JY197" s="177" t="n"/>
      <c r="JZ197" s="315" t="n"/>
      <c r="KA197" s="175" t="n"/>
      <c r="KB197" s="315" t="n"/>
      <c r="KC197" s="177" t="n"/>
      <c r="KD197" s="315" t="n"/>
      <c r="KE197" s="338">
        <f t="array" ref="KE197">SUMPRODUCT(--(MOD(COLUMN($II197:$KD197),4)=MOD(COLUMN($II197),4)),$II197:$KD197)</f>
        <v/>
      </c>
      <c r="KF197" s="339">
        <f>KE197*$J197</f>
        <v/>
      </c>
      <c r="KG197" s="340">
        <f t="array" ref="KG197">SUMPRODUCT(--(MOD(COLUMN($II197:$KD197),4)=MOD(COLUMN($IJ197),4)),$II197:$KD197)</f>
        <v/>
      </c>
      <c r="KH197" s="341">
        <f>KG197*$J197</f>
        <v/>
      </c>
      <c r="KI197" s="342">
        <f t="array" ref="KI197">SUMPRODUCT(--(MOD(COLUMN($II197:$KD197),4)=MOD(COLUMN($IK197),4)),$II197:$KD197)</f>
        <v/>
      </c>
      <c r="KJ197" s="346">
        <f>KI197*$J197</f>
        <v/>
      </c>
      <c r="KK197" s="189" t="n"/>
      <c r="KL197" s="189" t="n"/>
      <c r="KM197" s="189" t="n"/>
      <c r="KN197" s="190" t="n"/>
      <c r="KO197" s="291" t="n"/>
    </row>
    <row r="198" outlineLevel="1" ht="43.2" customFormat="1" customHeight="1" s="68">
      <c r="A198" s="347" t="n"/>
      <c r="B198" s="347" t="n"/>
      <c r="C198" s="347" t="n"/>
      <c r="D198" s="347" t="n"/>
      <c r="E198" s="170" t="n">
        <v>4</v>
      </c>
      <c r="F198" s="60" t="n">
        <v>1</v>
      </c>
      <c r="G198" s="56" t="n">
        <v>9710029000</v>
      </c>
      <c r="H198" s="57" t="inlineStr">
        <is>
          <t>Воздухораспределитель с клапаном растормаживания</t>
        </is>
      </c>
      <c r="I198" s="379" t="n">
        <v>502</v>
      </c>
      <c r="J198" s="379" t="n">
        <v>502</v>
      </c>
      <c r="K198" s="349" t="n"/>
      <c r="L198" s="349" t="n"/>
      <c r="M198" s="175" t="n"/>
      <c r="N198" s="315" t="n"/>
      <c r="O198" s="177" t="n"/>
      <c r="P198" s="315" t="n"/>
      <c r="Q198" s="175" t="n"/>
      <c r="R198" s="315" t="n"/>
      <c r="S198" s="177" t="n"/>
      <c r="T198" s="315" t="n"/>
      <c r="U198" s="175" t="n"/>
      <c r="V198" s="315" t="n"/>
      <c r="W198" s="177" t="n"/>
      <c r="X198" s="315" t="n"/>
      <c r="Y198" s="175" t="n"/>
      <c r="Z198" s="315" t="n"/>
      <c r="AA198" s="177" t="n"/>
      <c r="AB198" s="315" t="n"/>
      <c r="AC198" s="175" t="n"/>
      <c r="AD198" s="315" t="n"/>
      <c r="AE198" s="177" t="n"/>
      <c r="AF198" s="315" t="n"/>
      <c r="AG198" s="175" t="n"/>
      <c r="AH198" s="315" t="n"/>
      <c r="AI198" s="177" t="n"/>
      <c r="AJ198" s="315" t="n"/>
      <c r="AK198" s="175" t="n"/>
      <c r="AL198" s="315" t="n"/>
      <c r="AM198" s="177" t="n"/>
      <c r="AN198" s="315" t="n"/>
      <c r="AO198" s="175" t="n"/>
      <c r="AP198" s="315" t="n"/>
      <c r="AQ198" s="177" t="n"/>
      <c r="AR198" s="315" t="n"/>
      <c r="AS198" s="175" t="n"/>
      <c r="AT198" s="315" t="n"/>
      <c r="AU198" s="177" t="n"/>
      <c r="AV198" s="315" t="n"/>
      <c r="AW198" s="175" t="n"/>
      <c r="AX198" s="315" t="n"/>
      <c r="AY198" s="177" t="n"/>
      <c r="AZ198" s="151" t="n"/>
      <c r="BA198" s="175" t="n"/>
      <c r="BB198" s="315" t="n"/>
      <c r="BC198" s="178" t="n"/>
      <c r="BD198" s="315" t="n"/>
      <c r="BE198" s="175" t="n"/>
      <c r="BF198" s="315" t="n"/>
      <c r="BG198" s="179" t="n"/>
      <c r="BH198" s="246" t="n"/>
      <c r="BI198" s="350" t="n"/>
      <c r="BJ198" s="351" t="n"/>
      <c r="BK198" s="352" t="n"/>
      <c r="BL198" s="353" t="n"/>
      <c r="BM198" s="354" t="n"/>
      <c r="BN198" s="355" t="n"/>
      <c r="BO198" s="175" t="n"/>
      <c r="BP198" s="186" t="n"/>
      <c r="BQ198" s="315" t="n"/>
      <c r="BR198" s="177" t="n"/>
      <c r="BS198" s="246" t="n"/>
      <c r="BT198" s="175" t="n"/>
      <c r="BU198" s="186" t="n"/>
      <c r="BV198" s="315" t="n"/>
      <c r="BW198" s="177" t="n"/>
      <c r="BX198" s="315" t="n"/>
      <c r="BY198" s="175" t="n"/>
      <c r="BZ198" s="186" t="n"/>
      <c r="CA198" s="315" t="n"/>
      <c r="CB198" s="177" t="n"/>
      <c r="CC198" s="315" t="n"/>
      <c r="CD198" s="175" t="n"/>
      <c r="CE198" s="186" t="n"/>
      <c r="CF198" s="315" t="n"/>
      <c r="CG198" s="177" t="n"/>
      <c r="CH198" s="315" t="n"/>
      <c r="CI198" s="175" t="n"/>
      <c r="CJ198" s="186" t="n"/>
      <c r="CK198" s="315" t="n"/>
      <c r="CL198" s="177" t="n"/>
      <c r="CM198" s="315" t="n"/>
      <c r="CN198" s="175" t="n"/>
      <c r="CO198" s="186" t="n"/>
      <c r="CP198" s="315" t="n"/>
      <c r="CQ198" s="177" t="n"/>
      <c r="CR198" s="315" t="n"/>
      <c r="CS198" s="175" t="n"/>
      <c r="CT198" s="186" t="n"/>
      <c r="CU198" s="315" t="n"/>
      <c r="CV198" s="177" t="n"/>
      <c r="CW198" s="315" t="n"/>
      <c r="CX198" s="175" t="n"/>
      <c r="CY198" s="186" t="n"/>
      <c r="CZ198" s="315" t="n"/>
      <c r="DA198" s="177" t="n"/>
      <c r="DB198" s="315" t="n"/>
      <c r="DC198" s="175" t="n"/>
      <c r="DD198" s="186" t="n"/>
      <c r="DE198" s="315" t="n"/>
      <c r="DF198" s="177" t="n"/>
      <c r="DG198" s="315" t="n"/>
      <c r="DH198" s="175" t="n"/>
      <c r="DI198" s="186" t="n"/>
      <c r="DJ198" s="315" t="n"/>
      <c r="DK198" s="177" t="n"/>
      <c r="DL198" s="315" t="n"/>
      <c r="DM198" s="175" t="n"/>
      <c r="DN198" s="186" t="n"/>
      <c r="DO198" s="315" t="n"/>
      <c r="DP198" s="177" t="n"/>
      <c r="DQ198" s="315" t="n"/>
      <c r="DR198" s="175" t="n"/>
      <c r="DS198" s="186" t="n"/>
      <c r="DT198" s="315" t="n"/>
      <c r="DU198" s="177" t="n"/>
      <c r="DV198" s="315" t="n"/>
      <c r="DW198" s="350" t="n"/>
      <c r="DX198" s="351" t="n"/>
      <c r="DY198" s="356" t="n"/>
      <c r="DZ198" s="357" t="n"/>
      <c r="EA198" s="352" t="n"/>
      <c r="EB198" s="353" t="n"/>
      <c r="EC198" s="354" t="n"/>
      <c r="ED198" s="355" t="n"/>
      <c r="EE198" s="175" t="n"/>
      <c r="EF198" s="315" t="n"/>
      <c r="EG198" s="177" t="n"/>
      <c r="EH198" s="315" t="n"/>
      <c r="EI198" s="175" t="n"/>
      <c r="EJ198" s="315" t="n"/>
      <c r="EK198" s="177" t="n"/>
      <c r="EL198" s="315" t="n"/>
      <c r="EM198" s="175" t="n"/>
      <c r="EN198" s="315" t="n">
        <v>10</v>
      </c>
      <c r="EO198" s="177" t="n">
        <v>10</v>
      </c>
      <c r="EP198" s="382" t="n"/>
      <c r="EQ198" s="175" t="n"/>
      <c r="ER198" s="315" t="n">
        <v>30</v>
      </c>
      <c r="ES198" s="177" t="n">
        <v>30</v>
      </c>
      <c r="ET198" s="315" t="n"/>
      <c r="EU198" s="175" t="n"/>
      <c r="EV198" s="315" t="n"/>
      <c r="EW198" s="177" t="n"/>
      <c r="EX198" s="315" t="n"/>
      <c r="EY198" s="175" t="n"/>
      <c r="EZ198" s="315" t="n"/>
      <c r="FA198" s="177" t="n"/>
      <c r="FB198" s="315" t="n"/>
      <c r="FC198" s="175" t="n"/>
      <c r="FD198" s="315" t="n"/>
      <c r="FE198" s="177" t="n"/>
      <c r="FF198" s="315" t="n"/>
      <c r="FG198" s="175" t="n"/>
      <c r="FH198" s="315" t="n"/>
      <c r="FI198" s="177" t="n"/>
      <c r="FJ198" s="315" t="n"/>
      <c r="FK198" s="175" t="n"/>
      <c r="FL198" s="315" t="n"/>
      <c r="FM198" s="177" t="n"/>
      <c r="FN198" s="315" t="n"/>
      <c r="FO198" s="175" t="n"/>
      <c r="FP198" s="315" t="n"/>
      <c r="FQ198" s="177" t="n"/>
      <c r="FR198" s="315" t="n"/>
      <c r="FS198" s="175" t="n"/>
      <c r="FT198" s="315" t="n"/>
      <c r="FU198" s="177" t="n"/>
      <c r="FV198" s="315" t="n"/>
      <c r="FW198" s="175" t="n"/>
      <c r="FX198" s="315" t="n"/>
      <c r="FY198" s="177" t="n"/>
      <c r="FZ198" s="315" t="n"/>
      <c r="GA198" s="338">
        <f>SUMPRODUCT(--(MOD(COLUMN($EE198:$FZ198),4)=MOD(COLUMN($EE198),4)),$EE198:$FZ198)</f>
        <v/>
      </c>
      <c r="GB198" s="339">
        <f>GA198*$J198</f>
        <v/>
      </c>
      <c r="GC198" s="340">
        <f>SUMPRODUCT(--(MOD(COLUMN($EE198:$FZ198),4)=MOD(COLUMN($EF198),4)),$EE198:$FZ198)</f>
        <v/>
      </c>
      <c r="GD198" s="341">
        <f>GC198*$J198</f>
        <v/>
      </c>
      <c r="GE198" s="342">
        <f>SUMPRODUCT(--(MOD(COLUMN($EE198:$FZ198),4)=MOD(COLUMN($EG198),4)),$EE198:$FZ198)</f>
        <v/>
      </c>
      <c r="GF198" s="343">
        <f>GE198*$J198</f>
        <v/>
      </c>
      <c r="GG198" s="175" t="n"/>
      <c r="GH198" s="315" t="n"/>
      <c r="GI198" s="177" t="n"/>
      <c r="GJ198" s="315" t="n"/>
      <c r="GK198" s="175" t="n"/>
      <c r="GL198" s="315" t="n"/>
      <c r="GM198" s="177" t="n"/>
      <c r="GN198" s="315" t="n"/>
      <c r="GO198" s="175" t="n"/>
      <c r="GP198" s="315" t="n"/>
      <c r="GQ198" s="177" t="n"/>
      <c r="GR198" s="315" t="n"/>
      <c r="GS198" s="175" t="n"/>
      <c r="GT198" s="315" t="n"/>
      <c r="GU198" s="177" t="n"/>
      <c r="GV198" s="315" t="n"/>
      <c r="GW198" s="175" t="n"/>
      <c r="GX198" s="315" t="n"/>
      <c r="GY198" s="177" t="n"/>
      <c r="GZ198" s="315" t="n"/>
      <c r="HA198" s="175" t="n"/>
      <c r="HB198" s="315" t="n"/>
      <c r="HC198" s="177" t="n"/>
      <c r="HD198" s="315" t="n"/>
      <c r="HE198" s="175" t="n"/>
      <c r="HF198" s="315" t="n"/>
      <c r="HG198" s="177" t="n"/>
      <c r="HH198" s="315" t="n"/>
      <c r="HI198" s="175" t="n"/>
      <c r="HJ198" s="315" t="n"/>
      <c r="HK198" s="177" t="n"/>
      <c r="HL198" s="315" t="n"/>
      <c r="HM198" s="175" t="n"/>
      <c r="HN198" s="315" t="n"/>
      <c r="HO198" s="177" t="n"/>
      <c r="HP198" s="315" t="n"/>
      <c r="HQ198" s="175" t="n"/>
      <c r="HR198" s="315" t="n"/>
      <c r="HS198" s="177" t="n"/>
      <c r="HT198" s="315" t="n"/>
      <c r="HU198" s="175" t="n"/>
      <c r="HV198" s="315" t="n"/>
      <c r="HW198" s="177" t="n"/>
      <c r="HX198" s="315" t="n"/>
      <c r="HY198" s="175" t="n"/>
      <c r="HZ198" s="315" t="n"/>
      <c r="IA198" s="177" t="n"/>
      <c r="IB198" s="315" t="n"/>
      <c r="IC198" s="338">
        <f t="array" ref="IC198">SUMPRODUCT(--(MOD(COLUMN($GG198:$IB198),4)=MOD(COLUMN($GG198),4)),$GG198:$IB198)</f>
        <v/>
      </c>
      <c r="ID198" s="339">
        <f>IC198*$J198</f>
        <v/>
      </c>
      <c r="IE198" s="340">
        <f t="array" ref="IE198">SUMPRODUCT(--(MOD(COLUMN($GG198:$IB198),4)=MOD(COLUMN($GH198),4)),$GG198:$IB198)</f>
        <v/>
      </c>
      <c r="IF198" s="341">
        <f>IE198*$J198</f>
        <v/>
      </c>
      <c r="IG198" s="342">
        <f t="array" ref="IG198">SUMPRODUCT(--(MOD(COLUMN($GG198:$IB198),4)=MOD(COLUMN($GI198),4)),$GG198:$IB198)</f>
        <v/>
      </c>
      <c r="IH198" s="343">
        <f>IG198*$J198</f>
        <v/>
      </c>
      <c r="II198" s="175" t="n"/>
      <c r="IJ198" s="315" t="n"/>
      <c r="IK198" s="177" t="n"/>
      <c r="IL198" s="315" t="n"/>
      <c r="IM198" s="175" t="n"/>
      <c r="IN198" s="315" t="n"/>
      <c r="IO198" s="177" t="n"/>
      <c r="IP198" s="315" t="n"/>
      <c r="IQ198" s="175" t="n"/>
      <c r="IR198" s="315" t="n"/>
      <c r="IS198" s="177" t="n"/>
      <c r="IT198" s="315" t="n"/>
      <c r="IU198" s="175" t="n"/>
      <c r="IV198" s="315" t="n"/>
      <c r="IW198" s="177" t="n"/>
      <c r="IX198" s="315" t="n"/>
      <c r="IY198" s="175" t="n"/>
      <c r="IZ198" s="315" t="n"/>
      <c r="JA198" s="177" t="n"/>
      <c r="JB198" s="315" t="n"/>
      <c r="JC198" s="175" t="n"/>
      <c r="JD198" s="315" t="n"/>
      <c r="JE198" s="177" t="n"/>
      <c r="JF198" s="315" t="n"/>
      <c r="JG198" s="175" t="n"/>
      <c r="JH198" s="315" t="n"/>
      <c r="JI198" s="177" t="n"/>
      <c r="JJ198" s="315" t="n"/>
      <c r="JK198" s="175" t="n"/>
      <c r="JL198" s="315" t="n"/>
      <c r="JM198" s="177" t="n"/>
      <c r="JN198" s="315" t="n"/>
      <c r="JO198" s="175" t="n"/>
      <c r="JP198" s="315" t="n"/>
      <c r="JQ198" s="177" t="n"/>
      <c r="JR198" s="315" t="n"/>
      <c r="JS198" s="175" t="n"/>
      <c r="JT198" s="315" t="n"/>
      <c r="JU198" s="177" t="n"/>
      <c r="JV198" s="315" t="n"/>
      <c r="JW198" s="175" t="n"/>
      <c r="JX198" s="315" t="n"/>
      <c r="JY198" s="177" t="n"/>
      <c r="JZ198" s="315" t="n"/>
      <c r="KA198" s="175" t="n"/>
      <c r="KB198" s="315" t="n"/>
      <c r="KC198" s="177" t="n"/>
      <c r="KD198" s="315" t="n"/>
      <c r="KE198" s="338">
        <f t="array" ref="KE198">SUMPRODUCT(--(MOD(COLUMN($II198:$KD198),4)=MOD(COLUMN($II198),4)),$II198:$KD198)</f>
        <v/>
      </c>
      <c r="KF198" s="339">
        <f>KE198*$J198</f>
        <v/>
      </c>
      <c r="KG198" s="340">
        <f t="array" ref="KG198">SUMPRODUCT(--(MOD(COLUMN($II198:$KD198),4)=MOD(COLUMN($IJ198),4)),$II198:$KD198)</f>
        <v/>
      </c>
      <c r="KH198" s="341">
        <f>KG198*$J198</f>
        <v/>
      </c>
      <c r="KI198" s="342">
        <f t="array" ref="KI198">SUMPRODUCT(--(MOD(COLUMN($II198:$KD198),4)=MOD(COLUMN($IK198),4)),$II198:$KD198)</f>
        <v/>
      </c>
      <c r="KJ198" s="346">
        <f>KI198*$J198</f>
        <v/>
      </c>
      <c r="KK198" s="189" t="n"/>
      <c r="KL198" s="189" t="n"/>
      <c r="KM198" s="189" t="n"/>
      <c r="KN198" s="190" t="n"/>
      <c r="KO198" s="291" t="n"/>
    </row>
    <row r="199" outlineLevel="1" customFormat="1" s="68">
      <c r="A199" s="347" t="n"/>
      <c r="B199" s="347" t="n"/>
      <c r="C199" s="347" t="n"/>
      <c r="D199" s="347" t="n"/>
      <c r="E199" s="60" t="n">
        <v>5</v>
      </c>
      <c r="F199" s="60" t="n">
        <v>1</v>
      </c>
      <c r="G199" s="56" t="n">
        <v>4491731200</v>
      </c>
      <c r="H199" s="57" t="inlineStr">
        <is>
          <t>Кабель питания, 12 м</t>
        </is>
      </c>
      <c r="I199" s="379" t="n">
        <v>906</v>
      </c>
      <c r="J199" s="379" t="n">
        <v>906</v>
      </c>
      <c r="K199" s="349" t="n"/>
      <c r="L199" s="349" t="n"/>
      <c r="M199" s="175" t="n"/>
      <c r="N199" s="315" t="n"/>
      <c r="O199" s="177" t="n"/>
      <c r="P199" s="315" t="n"/>
      <c r="Q199" s="175" t="n"/>
      <c r="R199" s="315" t="n"/>
      <c r="S199" s="177" t="n"/>
      <c r="T199" s="315" t="n"/>
      <c r="U199" s="175" t="n"/>
      <c r="V199" s="315" t="n"/>
      <c r="W199" s="177" t="n"/>
      <c r="X199" s="315" t="n"/>
      <c r="Y199" s="175" t="n"/>
      <c r="Z199" s="315" t="n"/>
      <c r="AA199" s="177" t="n"/>
      <c r="AB199" s="315" t="n"/>
      <c r="AC199" s="175" t="n"/>
      <c r="AD199" s="315" t="n"/>
      <c r="AE199" s="177" t="n"/>
      <c r="AF199" s="315" t="n"/>
      <c r="AG199" s="175" t="n"/>
      <c r="AH199" s="315" t="n"/>
      <c r="AI199" s="177" t="n"/>
      <c r="AJ199" s="315" t="n"/>
      <c r="AK199" s="175" t="n"/>
      <c r="AL199" s="315" t="n"/>
      <c r="AM199" s="177" t="n"/>
      <c r="AN199" s="315" t="n"/>
      <c r="AO199" s="175" t="n"/>
      <c r="AP199" s="315" t="n"/>
      <c r="AQ199" s="177" t="n"/>
      <c r="AR199" s="315" t="n"/>
      <c r="AS199" s="175" t="n"/>
      <c r="AT199" s="315" t="n"/>
      <c r="AU199" s="177" t="n"/>
      <c r="AV199" s="315" t="n"/>
      <c r="AW199" s="175" t="n"/>
      <c r="AX199" s="315" t="n"/>
      <c r="AY199" s="177" t="n"/>
      <c r="AZ199" s="151" t="n"/>
      <c r="BA199" s="175" t="n"/>
      <c r="BB199" s="315" t="n"/>
      <c r="BC199" s="178" t="n"/>
      <c r="BD199" s="315" t="n"/>
      <c r="BE199" s="175" t="n"/>
      <c r="BF199" s="315" t="n"/>
      <c r="BG199" s="179" t="n"/>
      <c r="BH199" s="246" t="n"/>
      <c r="BI199" s="350" t="n"/>
      <c r="BJ199" s="351" t="n"/>
      <c r="BK199" s="352" t="n"/>
      <c r="BL199" s="353" t="n"/>
      <c r="BM199" s="354" t="n"/>
      <c r="BN199" s="355" t="n"/>
      <c r="BO199" s="175" t="n"/>
      <c r="BP199" s="186" t="n"/>
      <c r="BQ199" s="315" t="n"/>
      <c r="BR199" s="177" t="n"/>
      <c r="BS199" s="246" t="n"/>
      <c r="BT199" s="175" t="n"/>
      <c r="BU199" s="186" t="n"/>
      <c r="BV199" s="315" t="n"/>
      <c r="BW199" s="177" t="n"/>
      <c r="BX199" s="315" t="n"/>
      <c r="BY199" s="175" t="n"/>
      <c r="BZ199" s="186" t="n"/>
      <c r="CA199" s="315" t="n"/>
      <c r="CB199" s="177" t="n"/>
      <c r="CC199" s="315" t="n"/>
      <c r="CD199" s="175" t="n"/>
      <c r="CE199" s="186" t="n"/>
      <c r="CF199" s="315" t="n"/>
      <c r="CG199" s="177" t="n"/>
      <c r="CH199" s="315" t="n"/>
      <c r="CI199" s="175" t="n"/>
      <c r="CJ199" s="186" t="n"/>
      <c r="CK199" s="315" t="n"/>
      <c r="CL199" s="177" t="n"/>
      <c r="CM199" s="315" t="n"/>
      <c r="CN199" s="175" t="n"/>
      <c r="CO199" s="186" t="n"/>
      <c r="CP199" s="315" t="n"/>
      <c r="CQ199" s="177" t="n"/>
      <c r="CR199" s="315" t="n"/>
      <c r="CS199" s="175" t="n"/>
      <c r="CT199" s="186" t="n"/>
      <c r="CU199" s="315" t="n"/>
      <c r="CV199" s="177" t="n"/>
      <c r="CW199" s="315" t="n"/>
      <c r="CX199" s="175" t="n"/>
      <c r="CY199" s="186" t="n"/>
      <c r="CZ199" s="315" t="n"/>
      <c r="DA199" s="177" t="n"/>
      <c r="DB199" s="315" t="n"/>
      <c r="DC199" s="175" t="n"/>
      <c r="DD199" s="186" t="n"/>
      <c r="DE199" s="315" t="n"/>
      <c r="DF199" s="177" t="n"/>
      <c r="DG199" s="315" t="n"/>
      <c r="DH199" s="175" t="n"/>
      <c r="DI199" s="186" t="n"/>
      <c r="DJ199" s="315" t="n"/>
      <c r="DK199" s="177" t="n"/>
      <c r="DL199" s="315" t="n"/>
      <c r="DM199" s="175" t="n"/>
      <c r="DN199" s="186" t="n"/>
      <c r="DO199" s="315" t="n"/>
      <c r="DP199" s="177" t="n"/>
      <c r="DQ199" s="315" t="n"/>
      <c r="DR199" s="175" t="n"/>
      <c r="DS199" s="186" t="n"/>
      <c r="DT199" s="315" t="n"/>
      <c r="DU199" s="177" t="n"/>
      <c r="DV199" s="315" t="n"/>
      <c r="DW199" s="350" t="n"/>
      <c r="DX199" s="351" t="n"/>
      <c r="DY199" s="356" t="n"/>
      <c r="DZ199" s="357" t="n"/>
      <c r="EA199" s="352" t="n"/>
      <c r="EB199" s="353" t="n"/>
      <c r="EC199" s="354" t="n"/>
      <c r="ED199" s="355" t="n"/>
      <c r="EE199" s="175" t="n"/>
      <c r="EF199" s="315" t="n"/>
      <c r="EG199" s="177" t="n"/>
      <c r="EH199" s="315" t="n"/>
      <c r="EI199" s="175" t="n"/>
      <c r="EJ199" s="315" t="n"/>
      <c r="EK199" s="177" t="n"/>
      <c r="EL199" s="315" t="n"/>
      <c r="EM199" s="175" t="n"/>
      <c r="EN199" s="315" t="n">
        <v>10</v>
      </c>
      <c r="EO199" s="177" t="n">
        <v>10</v>
      </c>
      <c r="EP199" s="382" t="n"/>
      <c r="EQ199" s="175" t="n"/>
      <c r="ER199" s="315" t="n">
        <v>30</v>
      </c>
      <c r="ES199" s="177" t="n">
        <v>30</v>
      </c>
      <c r="ET199" s="315" t="n"/>
      <c r="EU199" s="175" t="n"/>
      <c r="EV199" s="315" t="n"/>
      <c r="EW199" s="177" t="n"/>
      <c r="EX199" s="315" t="n"/>
      <c r="EY199" s="175" t="n"/>
      <c r="EZ199" s="315" t="n"/>
      <c r="FA199" s="177" t="n"/>
      <c r="FB199" s="315" t="n"/>
      <c r="FC199" s="175" t="n"/>
      <c r="FD199" s="315" t="n"/>
      <c r="FE199" s="177" t="n"/>
      <c r="FF199" s="315" t="n"/>
      <c r="FG199" s="175" t="n"/>
      <c r="FH199" s="315" t="n"/>
      <c r="FI199" s="177" t="n"/>
      <c r="FJ199" s="315" t="n"/>
      <c r="FK199" s="175" t="n"/>
      <c r="FL199" s="315" t="n"/>
      <c r="FM199" s="177" t="n"/>
      <c r="FN199" s="315" t="n"/>
      <c r="FO199" s="175" t="n"/>
      <c r="FP199" s="315" t="n"/>
      <c r="FQ199" s="177" t="n"/>
      <c r="FR199" s="315" t="n"/>
      <c r="FS199" s="175" t="n"/>
      <c r="FT199" s="315" t="n"/>
      <c r="FU199" s="177" t="n"/>
      <c r="FV199" s="315" t="n"/>
      <c r="FW199" s="175" t="n"/>
      <c r="FX199" s="315" t="n"/>
      <c r="FY199" s="177" t="n"/>
      <c r="FZ199" s="315" t="n"/>
      <c r="GA199" s="338">
        <f>SUMPRODUCT(--(MOD(COLUMN($EE199:$FZ199),4)=MOD(COLUMN($EE199),4)),$EE199:$FZ199)</f>
        <v/>
      </c>
      <c r="GB199" s="339">
        <f>GA199*$J199</f>
        <v/>
      </c>
      <c r="GC199" s="340">
        <f>SUMPRODUCT(--(MOD(COLUMN($EE199:$FZ199),4)=MOD(COLUMN($EF199),4)),$EE199:$FZ199)</f>
        <v/>
      </c>
      <c r="GD199" s="341">
        <f>GC199*$J199</f>
        <v/>
      </c>
      <c r="GE199" s="342">
        <f>SUMPRODUCT(--(MOD(COLUMN($EE199:$FZ199),4)=MOD(COLUMN($EG199),4)),$EE199:$FZ199)</f>
        <v/>
      </c>
      <c r="GF199" s="343">
        <f>GE199*$J199</f>
        <v/>
      </c>
      <c r="GG199" s="175" t="n"/>
      <c r="GH199" s="315" t="n"/>
      <c r="GI199" s="177" t="n"/>
      <c r="GJ199" s="315" t="n"/>
      <c r="GK199" s="175" t="n"/>
      <c r="GL199" s="315" t="n"/>
      <c r="GM199" s="177" t="n"/>
      <c r="GN199" s="315" t="n"/>
      <c r="GO199" s="175" t="n"/>
      <c r="GP199" s="315" t="n"/>
      <c r="GQ199" s="177" t="n"/>
      <c r="GR199" s="315" t="n"/>
      <c r="GS199" s="175" t="n"/>
      <c r="GT199" s="315" t="n"/>
      <c r="GU199" s="177" t="n"/>
      <c r="GV199" s="315" t="n"/>
      <c r="GW199" s="175" t="n"/>
      <c r="GX199" s="315" t="n"/>
      <c r="GY199" s="177" t="n"/>
      <c r="GZ199" s="315" t="n"/>
      <c r="HA199" s="175" t="n"/>
      <c r="HB199" s="315" t="n"/>
      <c r="HC199" s="177" t="n"/>
      <c r="HD199" s="315" t="n"/>
      <c r="HE199" s="175" t="n"/>
      <c r="HF199" s="315" t="n"/>
      <c r="HG199" s="177" t="n"/>
      <c r="HH199" s="315" t="n"/>
      <c r="HI199" s="175" t="n"/>
      <c r="HJ199" s="315" t="n"/>
      <c r="HK199" s="177" t="n"/>
      <c r="HL199" s="315" t="n"/>
      <c r="HM199" s="175" t="n"/>
      <c r="HN199" s="315" t="n"/>
      <c r="HO199" s="177" t="n"/>
      <c r="HP199" s="315" t="n"/>
      <c r="HQ199" s="175" t="n"/>
      <c r="HR199" s="315" t="n"/>
      <c r="HS199" s="177" t="n"/>
      <c r="HT199" s="315" t="n"/>
      <c r="HU199" s="175" t="n"/>
      <c r="HV199" s="315" t="n"/>
      <c r="HW199" s="177" t="n"/>
      <c r="HX199" s="315" t="n"/>
      <c r="HY199" s="175" t="n"/>
      <c r="HZ199" s="315" t="n"/>
      <c r="IA199" s="177" t="n"/>
      <c r="IB199" s="315" t="n"/>
      <c r="IC199" s="338">
        <f t="array" ref="IC199">SUMPRODUCT(--(MOD(COLUMN($GG199:$IB199),4)=MOD(COLUMN($GG199),4)),$GG199:$IB199)</f>
        <v/>
      </c>
      <c r="ID199" s="339">
        <f>IC199*$J199</f>
        <v/>
      </c>
      <c r="IE199" s="340">
        <f t="array" ref="IE199">SUMPRODUCT(--(MOD(COLUMN($GG199:$IB199),4)=MOD(COLUMN($GH199),4)),$GG199:$IB199)</f>
        <v/>
      </c>
      <c r="IF199" s="341">
        <f>IE199*$J199</f>
        <v/>
      </c>
      <c r="IG199" s="342">
        <f t="array" ref="IG199">SUMPRODUCT(--(MOD(COLUMN($GG199:$IB199),4)=MOD(COLUMN($GI199),4)),$GG199:$IB199)</f>
        <v/>
      </c>
      <c r="IH199" s="343">
        <f>IG199*$J199</f>
        <v/>
      </c>
      <c r="II199" s="175" t="n"/>
      <c r="IJ199" s="315" t="n"/>
      <c r="IK199" s="177" t="n"/>
      <c r="IL199" s="315" t="n"/>
      <c r="IM199" s="175" t="n"/>
      <c r="IN199" s="315" t="n"/>
      <c r="IO199" s="177" t="n"/>
      <c r="IP199" s="315" t="n"/>
      <c r="IQ199" s="175" t="n"/>
      <c r="IR199" s="315" t="n"/>
      <c r="IS199" s="177" t="n"/>
      <c r="IT199" s="315" t="n"/>
      <c r="IU199" s="175" t="n"/>
      <c r="IV199" s="315" t="n"/>
      <c r="IW199" s="177" t="n"/>
      <c r="IX199" s="315" t="n"/>
      <c r="IY199" s="175" t="n"/>
      <c r="IZ199" s="315" t="n"/>
      <c r="JA199" s="177" t="n"/>
      <c r="JB199" s="315" t="n"/>
      <c r="JC199" s="175" t="n"/>
      <c r="JD199" s="315" t="n"/>
      <c r="JE199" s="177" t="n"/>
      <c r="JF199" s="315" t="n"/>
      <c r="JG199" s="175" t="n"/>
      <c r="JH199" s="315" t="n"/>
      <c r="JI199" s="177" t="n"/>
      <c r="JJ199" s="315" t="n"/>
      <c r="JK199" s="175" t="n"/>
      <c r="JL199" s="315" t="n"/>
      <c r="JM199" s="177" t="n"/>
      <c r="JN199" s="315" t="n"/>
      <c r="JO199" s="175" t="n"/>
      <c r="JP199" s="315" t="n"/>
      <c r="JQ199" s="177" t="n"/>
      <c r="JR199" s="315" t="n"/>
      <c r="JS199" s="175" t="n"/>
      <c r="JT199" s="315" t="n"/>
      <c r="JU199" s="177" t="n"/>
      <c r="JV199" s="315" t="n"/>
      <c r="JW199" s="175" t="n"/>
      <c r="JX199" s="315" t="n"/>
      <c r="JY199" s="177" t="n"/>
      <c r="JZ199" s="315" t="n"/>
      <c r="KA199" s="175" t="n"/>
      <c r="KB199" s="315" t="n"/>
      <c r="KC199" s="177" t="n"/>
      <c r="KD199" s="315" t="n"/>
      <c r="KE199" s="338">
        <f t="array" ref="KE199">SUMPRODUCT(--(MOD(COLUMN($II199:$KD199),4)=MOD(COLUMN($II199),4)),$II199:$KD199)</f>
        <v/>
      </c>
      <c r="KF199" s="339">
        <f>KE199*$J199</f>
        <v/>
      </c>
      <c r="KG199" s="340">
        <f t="array" ref="KG199">SUMPRODUCT(--(MOD(COLUMN($II199:$KD199),4)=MOD(COLUMN($IJ199),4)),$II199:$KD199)</f>
        <v/>
      </c>
      <c r="KH199" s="341">
        <f>KG199*$J199</f>
        <v/>
      </c>
      <c r="KI199" s="342">
        <f t="array" ref="KI199">SUMPRODUCT(--(MOD(COLUMN($II199:$KD199),4)=MOD(COLUMN($IK199),4)),$II199:$KD199)</f>
        <v/>
      </c>
      <c r="KJ199" s="346">
        <f>KI199*$J199</f>
        <v/>
      </c>
      <c r="KK199" s="189" t="n"/>
      <c r="KL199" s="189" t="n"/>
      <c r="KM199" s="189" t="n"/>
      <c r="KN199" s="190" t="n"/>
      <c r="KO199" s="291" t="n"/>
    </row>
    <row r="200" outlineLevel="1" customFormat="1" s="68">
      <c r="A200" s="347" t="n"/>
      <c r="B200" s="347" t="n"/>
      <c r="C200" s="347" t="n"/>
      <c r="D200" s="347" t="n"/>
      <c r="E200" s="170" t="n">
        <v>6</v>
      </c>
      <c r="F200" s="60" t="n">
        <v>1</v>
      </c>
      <c r="G200" s="56" t="n">
        <v>4497230300</v>
      </c>
      <c r="H200" s="57" t="inlineStr">
        <is>
          <t>Кабель датчика, 3 м</t>
        </is>
      </c>
      <c r="I200" s="379" t="n">
        <v>80</v>
      </c>
      <c r="J200" s="379" t="n">
        <v>80</v>
      </c>
      <c r="K200" s="349" t="n"/>
      <c r="L200" s="349" t="n"/>
      <c r="M200" s="175" t="n"/>
      <c r="N200" s="315" t="n"/>
      <c r="O200" s="177" t="n"/>
      <c r="P200" s="315" t="n"/>
      <c r="Q200" s="175" t="n"/>
      <c r="R200" s="315" t="n"/>
      <c r="S200" s="177" t="n"/>
      <c r="T200" s="315" t="n"/>
      <c r="U200" s="175" t="n"/>
      <c r="V200" s="315" t="n"/>
      <c r="W200" s="177" t="n"/>
      <c r="X200" s="315" t="n"/>
      <c r="Y200" s="175" t="n"/>
      <c r="Z200" s="315" t="n"/>
      <c r="AA200" s="177" t="n"/>
      <c r="AB200" s="315" t="n"/>
      <c r="AC200" s="175" t="n"/>
      <c r="AD200" s="315" t="n"/>
      <c r="AE200" s="177" t="n"/>
      <c r="AF200" s="315" t="n"/>
      <c r="AG200" s="175" t="n"/>
      <c r="AH200" s="315" t="n"/>
      <c r="AI200" s="177" t="n"/>
      <c r="AJ200" s="315" t="n"/>
      <c r="AK200" s="175" t="n"/>
      <c r="AL200" s="315" t="n"/>
      <c r="AM200" s="177" t="n"/>
      <c r="AN200" s="315" t="n"/>
      <c r="AO200" s="175" t="n"/>
      <c r="AP200" s="315" t="n"/>
      <c r="AQ200" s="177" t="n"/>
      <c r="AR200" s="315" t="n"/>
      <c r="AS200" s="175" t="n"/>
      <c r="AT200" s="315" t="n"/>
      <c r="AU200" s="177" t="n"/>
      <c r="AV200" s="315" t="n"/>
      <c r="AW200" s="175" t="n"/>
      <c r="AX200" s="315" t="n"/>
      <c r="AY200" s="177" t="n"/>
      <c r="AZ200" s="151" t="n"/>
      <c r="BA200" s="175" t="n"/>
      <c r="BB200" s="315" t="n"/>
      <c r="BC200" s="178" t="n"/>
      <c r="BD200" s="315" t="n"/>
      <c r="BE200" s="175" t="n"/>
      <c r="BF200" s="315" t="n"/>
      <c r="BG200" s="179" t="n"/>
      <c r="BH200" s="246" t="n"/>
      <c r="BI200" s="350" t="n"/>
      <c r="BJ200" s="351" t="n"/>
      <c r="BK200" s="352" t="n"/>
      <c r="BL200" s="353" t="n"/>
      <c r="BM200" s="354" t="n"/>
      <c r="BN200" s="355" t="n"/>
      <c r="BO200" s="175" t="n"/>
      <c r="BP200" s="186" t="n"/>
      <c r="BQ200" s="315" t="n"/>
      <c r="BR200" s="177" t="n"/>
      <c r="BS200" s="246" t="n"/>
      <c r="BT200" s="175" t="n"/>
      <c r="BU200" s="186" t="n"/>
      <c r="BV200" s="315" t="n"/>
      <c r="BW200" s="177" t="n"/>
      <c r="BX200" s="315" t="n"/>
      <c r="BY200" s="175" t="n"/>
      <c r="BZ200" s="186" t="n"/>
      <c r="CA200" s="315" t="n"/>
      <c r="CB200" s="177" t="n"/>
      <c r="CC200" s="315" t="n"/>
      <c r="CD200" s="175" t="n"/>
      <c r="CE200" s="186" t="n"/>
      <c r="CF200" s="315" t="n"/>
      <c r="CG200" s="177" t="n"/>
      <c r="CH200" s="315" t="n"/>
      <c r="CI200" s="175" t="n"/>
      <c r="CJ200" s="186" t="n"/>
      <c r="CK200" s="315" t="n"/>
      <c r="CL200" s="177" t="n"/>
      <c r="CM200" s="315" t="n"/>
      <c r="CN200" s="175" t="n"/>
      <c r="CO200" s="186" t="n"/>
      <c r="CP200" s="315" t="n"/>
      <c r="CQ200" s="177" t="n"/>
      <c r="CR200" s="315" t="n"/>
      <c r="CS200" s="175" t="n"/>
      <c r="CT200" s="186" t="n"/>
      <c r="CU200" s="315" t="n"/>
      <c r="CV200" s="177" t="n"/>
      <c r="CW200" s="315" t="n"/>
      <c r="CX200" s="175" t="n"/>
      <c r="CY200" s="186" t="n"/>
      <c r="CZ200" s="315" t="n"/>
      <c r="DA200" s="177" t="n"/>
      <c r="DB200" s="315" t="n"/>
      <c r="DC200" s="175" t="n"/>
      <c r="DD200" s="186" t="n"/>
      <c r="DE200" s="315" t="n"/>
      <c r="DF200" s="177" t="n"/>
      <c r="DG200" s="315" t="n"/>
      <c r="DH200" s="175" t="n"/>
      <c r="DI200" s="186" t="n"/>
      <c r="DJ200" s="315" t="n"/>
      <c r="DK200" s="177" t="n"/>
      <c r="DL200" s="315" t="n"/>
      <c r="DM200" s="175" t="n"/>
      <c r="DN200" s="186" t="n"/>
      <c r="DO200" s="315" t="n"/>
      <c r="DP200" s="177" t="n"/>
      <c r="DQ200" s="315" t="n"/>
      <c r="DR200" s="175" t="n"/>
      <c r="DS200" s="186" t="n"/>
      <c r="DT200" s="315" t="n"/>
      <c r="DU200" s="177" t="n"/>
      <c r="DV200" s="315" t="n"/>
      <c r="DW200" s="350" t="n"/>
      <c r="DX200" s="351" t="n"/>
      <c r="DY200" s="356" t="n"/>
      <c r="DZ200" s="357" t="n"/>
      <c r="EA200" s="352" t="n"/>
      <c r="EB200" s="353" t="n"/>
      <c r="EC200" s="354" t="n"/>
      <c r="ED200" s="355" t="n"/>
      <c r="EE200" s="175" t="n"/>
      <c r="EF200" s="315" t="n"/>
      <c r="EG200" s="177" t="n"/>
      <c r="EH200" s="315" t="n"/>
      <c r="EI200" s="175" t="n"/>
      <c r="EJ200" s="315" t="n"/>
      <c r="EK200" s="177" t="n"/>
      <c r="EL200" s="315" t="n"/>
      <c r="EM200" s="175" t="n"/>
      <c r="EN200" s="315" t="n">
        <v>20</v>
      </c>
      <c r="EO200" s="177" t="n">
        <v>20</v>
      </c>
      <c r="EP200" s="382" t="n"/>
      <c r="EQ200" s="175" t="n"/>
      <c r="ER200" s="315" t="n">
        <v>60</v>
      </c>
      <c r="ES200" s="177" t="n">
        <v>60</v>
      </c>
      <c r="ET200" s="315" t="n"/>
      <c r="EU200" s="175" t="n"/>
      <c r="EV200" s="315" t="n"/>
      <c r="EW200" s="177" t="n"/>
      <c r="EX200" s="315" t="n"/>
      <c r="EY200" s="175" t="n"/>
      <c r="EZ200" s="315" t="n"/>
      <c r="FA200" s="177" t="n"/>
      <c r="FB200" s="315" t="n"/>
      <c r="FC200" s="175" t="n"/>
      <c r="FD200" s="315" t="n"/>
      <c r="FE200" s="177" t="n"/>
      <c r="FF200" s="315" t="n"/>
      <c r="FG200" s="175" t="n"/>
      <c r="FH200" s="315" t="n"/>
      <c r="FI200" s="177" t="n"/>
      <c r="FJ200" s="315" t="n"/>
      <c r="FK200" s="175" t="n"/>
      <c r="FL200" s="315" t="n"/>
      <c r="FM200" s="177" t="n"/>
      <c r="FN200" s="315" t="n"/>
      <c r="FO200" s="175" t="n"/>
      <c r="FP200" s="315" t="n"/>
      <c r="FQ200" s="177" t="n"/>
      <c r="FR200" s="315" t="n"/>
      <c r="FS200" s="175" t="n"/>
      <c r="FT200" s="315" t="n"/>
      <c r="FU200" s="177" t="n"/>
      <c r="FV200" s="315" t="n"/>
      <c r="FW200" s="175" t="n"/>
      <c r="FX200" s="315" t="n"/>
      <c r="FY200" s="177" t="n"/>
      <c r="FZ200" s="315" t="n"/>
      <c r="GA200" s="338">
        <f>SUMPRODUCT(--(MOD(COLUMN($EE200:$FZ200),4)=MOD(COLUMN($EE200),4)),$EE200:$FZ200)</f>
        <v/>
      </c>
      <c r="GB200" s="339">
        <f>GA200*$J200</f>
        <v/>
      </c>
      <c r="GC200" s="340">
        <f>SUMPRODUCT(--(MOD(COLUMN($EE200:$FZ200),4)=MOD(COLUMN($EF200),4)),$EE200:$FZ200)</f>
        <v/>
      </c>
      <c r="GD200" s="341">
        <f>GC200*$J200</f>
        <v/>
      </c>
      <c r="GE200" s="342">
        <f>SUMPRODUCT(--(MOD(COLUMN($EE200:$FZ200),4)=MOD(COLUMN($EG200),4)),$EE200:$FZ200)</f>
        <v/>
      </c>
      <c r="GF200" s="343">
        <f>GE200*$J200</f>
        <v/>
      </c>
      <c r="GG200" s="175" t="n"/>
      <c r="GH200" s="315" t="n"/>
      <c r="GI200" s="177" t="n"/>
      <c r="GJ200" s="315" t="n"/>
      <c r="GK200" s="175" t="n"/>
      <c r="GL200" s="315" t="n"/>
      <c r="GM200" s="177" t="n"/>
      <c r="GN200" s="315" t="n"/>
      <c r="GO200" s="175" t="n"/>
      <c r="GP200" s="315" t="n"/>
      <c r="GQ200" s="177" t="n"/>
      <c r="GR200" s="315" t="n"/>
      <c r="GS200" s="175" t="n"/>
      <c r="GT200" s="315" t="n"/>
      <c r="GU200" s="177" t="n"/>
      <c r="GV200" s="315" t="n"/>
      <c r="GW200" s="175" t="n"/>
      <c r="GX200" s="315" t="n"/>
      <c r="GY200" s="177" t="n"/>
      <c r="GZ200" s="315" t="n"/>
      <c r="HA200" s="175" t="n"/>
      <c r="HB200" s="315" t="n"/>
      <c r="HC200" s="177" t="n"/>
      <c r="HD200" s="315" t="n"/>
      <c r="HE200" s="175" t="n"/>
      <c r="HF200" s="315" t="n"/>
      <c r="HG200" s="177" t="n"/>
      <c r="HH200" s="315" t="n"/>
      <c r="HI200" s="175" t="n"/>
      <c r="HJ200" s="315" t="n"/>
      <c r="HK200" s="177" t="n"/>
      <c r="HL200" s="315" t="n"/>
      <c r="HM200" s="175" t="n"/>
      <c r="HN200" s="315" t="n"/>
      <c r="HO200" s="177" t="n"/>
      <c r="HP200" s="315" t="n"/>
      <c r="HQ200" s="175" t="n"/>
      <c r="HR200" s="315" t="n"/>
      <c r="HS200" s="177" t="n"/>
      <c r="HT200" s="315" t="n"/>
      <c r="HU200" s="175" t="n"/>
      <c r="HV200" s="315" t="n"/>
      <c r="HW200" s="177" t="n"/>
      <c r="HX200" s="315" t="n"/>
      <c r="HY200" s="175" t="n"/>
      <c r="HZ200" s="315" t="n"/>
      <c r="IA200" s="177" t="n"/>
      <c r="IB200" s="315" t="n"/>
      <c r="IC200" s="338">
        <f t="array" ref="IC200">SUMPRODUCT(--(MOD(COLUMN($GG200:$IB200),4)=MOD(COLUMN($GG200),4)),$GG200:$IB200)</f>
        <v/>
      </c>
      <c r="ID200" s="339">
        <f>IC200*$J200</f>
        <v/>
      </c>
      <c r="IE200" s="340">
        <f t="array" ref="IE200">SUMPRODUCT(--(MOD(COLUMN($GG200:$IB200),4)=MOD(COLUMN($GH200),4)),$GG200:$IB200)</f>
        <v/>
      </c>
      <c r="IF200" s="341">
        <f>IE200*$J200</f>
        <v/>
      </c>
      <c r="IG200" s="342">
        <f t="array" ref="IG200">SUMPRODUCT(--(MOD(COLUMN($GG200:$IB200),4)=MOD(COLUMN($GI200),4)),$GG200:$IB200)</f>
        <v/>
      </c>
      <c r="IH200" s="343">
        <f>IG200*$J200</f>
        <v/>
      </c>
      <c r="II200" s="175" t="n"/>
      <c r="IJ200" s="315" t="n"/>
      <c r="IK200" s="177" t="n"/>
      <c r="IL200" s="315" t="n"/>
      <c r="IM200" s="175" t="n"/>
      <c r="IN200" s="315" t="n"/>
      <c r="IO200" s="177" t="n"/>
      <c r="IP200" s="315" t="n"/>
      <c r="IQ200" s="175" t="n"/>
      <c r="IR200" s="315" t="n"/>
      <c r="IS200" s="177" t="n"/>
      <c r="IT200" s="315" t="n"/>
      <c r="IU200" s="175" t="n"/>
      <c r="IV200" s="315" t="n"/>
      <c r="IW200" s="177" t="n"/>
      <c r="IX200" s="315" t="n"/>
      <c r="IY200" s="175" t="n"/>
      <c r="IZ200" s="315" t="n"/>
      <c r="JA200" s="177" t="n"/>
      <c r="JB200" s="315" t="n"/>
      <c r="JC200" s="175" t="n"/>
      <c r="JD200" s="315" t="n"/>
      <c r="JE200" s="177" t="n"/>
      <c r="JF200" s="315" t="n"/>
      <c r="JG200" s="175" t="n"/>
      <c r="JH200" s="315" t="n"/>
      <c r="JI200" s="177" t="n"/>
      <c r="JJ200" s="315" t="n"/>
      <c r="JK200" s="175" t="n"/>
      <c r="JL200" s="315" t="n"/>
      <c r="JM200" s="177" t="n"/>
      <c r="JN200" s="315" t="n"/>
      <c r="JO200" s="175" t="n"/>
      <c r="JP200" s="315" t="n"/>
      <c r="JQ200" s="177" t="n"/>
      <c r="JR200" s="315" t="n"/>
      <c r="JS200" s="175" t="n"/>
      <c r="JT200" s="315" t="n"/>
      <c r="JU200" s="177" t="n"/>
      <c r="JV200" s="315" t="n"/>
      <c r="JW200" s="175" t="n"/>
      <c r="JX200" s="315" t="n"/>
      <c r="JY200" s="177" t="n"/>
      <c r="JZ200" s="315" t="n"/>
      <c r="KA200" s="175" t="n"/>
      <c r="KB200" s="315" t="n"/>
      <c r="KC200" s="177" t="n"/>
      <c r="KD200" s="315" t="n"/>
      <c r="KE200" s="338">
        <f t="array" ref="KE200">SUMPRODUCT(--(MOD(COLUMN($II200:$KD200),4)=MOD(COLUMN($II200),4)),$II200:$KD200)</f>
        <v/>
      </c>
      <c r="KF200" s="339">
        <f>KE200*$J200</f>
        <v/>
      </c>
      <c r="KG200" s="340">
        <f t="array" ref="KG200">SUMPRODUCT(--(MOD(COLUMN($II200:$KD200),4)=MOD(COLUMN($IJ200),4)),$II200:$KD200)</f>
        <v/>
      </c>
      <c r="KH200" s="341">
        <f>KG200*$J200</f>
        <v/>
      </c>
      <c r="KI200" s="342">
        <f t="array" ref="KI200">SUMPRODUCT(--(MOD(COLUMN($II200:$KD200),4)=MOD(COLUMN($IK200),4)),$II200:$KD200)</f>
        <v/>
      </c>
      <c r="KJ200" s="346">
        <f>KI200*$J200</f>
        <v/>
      </c>
      <c r="KK200" s="189" t="n"/>
      <c r="KL200" s="189" t="n"/>
      <c r="KM200" s="189" t="n"/>
      <c r="KN200" s="190" t="n"/>
      <c r="KO200" s="291" t="n"/>
    </row>
    <row r="201" outlineLevel="1" customFormat="1" s="68">
      <c r="A201" s="347" t="n"/>
      <c r="B201" s="347" t="n"/>
      <c r="C201" s="347" t="n"/>
      <c r="D201" s="347" t="n"/>
      <c r="E201" s="60" t="n">
        <v>7</v>
      </c>
      <c r="F201" s="60" t="n">
        <v>1</v>
      </c>
      <c r="G201" s="56" t="n">
        <v>4640060020</v>
      </c>
      <c r="H201" s="57" t="inlineStr">
        <is>
          <t>Кран уровня пола</t>
        </is>
      </c>
      <c r="I201" s="379" t="n">
        <v>369</v>
      </c>
      <c r="J201" s="379" t="n">
        <v>369</v>
      </c>
      <c r="K201" s="349" t="n"/>
      <c r="L201" s="349" t="n"/>
      <c r="M201" s="175" t="n"/>
      <c r="N201" s="315" t="n"/>
      <c r="O201" s="177" t="n"/>
      <c r="P201" s="315" t="n"/>
      <c r="Q201" s="175" t="n"/>
      <c r="R201" s="315" t="n"/>
      <c r="S201" s="177" t="n"/>
      <c r="T201" s="315" t="n"/>
      <c r="U201" s="175" t="n"/>
      <c r="V201" s="315" t="n"/>
      <c r="W201" s="177" t="n"/>
      <c r="X201" s="315" t="n"/>
      <c r="Y201" s="175" t="n"/>
      <c r="Z201" s="315" t="n"/>
      <c r="AA201" s="177" t="n"/>
      <c r="AB201" s="315" t="n"/>
      <c r="AC201" s="175" t="n"/>
      <c r="AD201" s="315" t="n"/>
      <c r="AE201" s="177" t="n"/>
      <c r="AF201" s="315" t="n"/>
      <c r="AG201" s="175" t="n"/>
      <c r="AH201" s="315" t="n"/>
      <c r="AI201" s="177" t="n"/>
      <c r="AJ201" s="315" t="n"/>
      <c r="AK201" s="175" t="n"/>
      <c r="AL201" s="315" t="n"/>
      <c r="AM201" s="177" t="n"/>
      <c r="AN201" s="315" t="n"/>
      <c r="AO201" s="175" t="n"/>
      <c r="AP201" s="315" t="n"/>
      <c r="AQ201" s="177" t="n"/>
      <c r="AR201" s="315" t="n"/>
      <c r="AS201" s="175" t="n"/>
      <c r="AT201" s="315" t="n"/>
      <c r="AU201" s="177" t="n"/>
      <c r="AV201" s="315" t="n"/>
      <c r="AW201" s="175" t="n"/>
      <c r="AX201" s="315" t="n"/>
      <c r="AY201" s="177" t="n"/>
      <c r="AZ201" s="151" t="n"/>
      <c r="BA201" s="175" t="n"/>
      <c r="BB201" s="315" t="n"/>
      <c r="BC201" s="178" t="n"/>
      <c r="BD201" s="315" t="n"/>
      <c r="BE201" s="175" t="n"/>
      <c r="BF201" s="315" t="n"/>
      <c r="BG201" s="179" t="n"/>
      <c r="BH201" s="246" t="n"/>
      <c r="BI201" s="350" t="n"/>
      <c r="BJ201" s="351" t="n"/>
      <c r="BK201" s="352" t="n"/>
      <c r="BL201" s="353" t="n"/>
      <c r="BM201" s="354" t="n"/>
      <c r="BN201" s="355" t="n"/>
      <c r="BO201" s="175" t="n"/>
      <c r="BP201" s="186" t="n"/>
      <c r="BQ201" s="315" t="n"/>
      <c r="BR201" s="177" t="n"/>
      <c r="BS201" s="246" t="n"/>
      <c r="BT201" s="175" t="n"/>
      <c r="BU201" s="186" t="n"/>
      <c r="BV201" s="315" t="n"/>
      <c r="BW201" s="177" t="n"/>
      <c r="BX201" s="315" t="n"/>
      <c r="BY201" s="175" t="n"/>
      <c r="BZ201" s="186" t="n"/>
      <c r="CA201" s="315" t="n"/>
      <c r="CB201" s="177" t="n"/>
      <c r="CC201" s="315" t="n"/>
      <c r="CD201" s="175" t="n"/>
      <c r="CE201" s="186" t="n"/>
      <c r="CF201" s="315" t="n"/>
      <c r="CG201" s="177" t="n"/>
      <c r="CH201" s="315" t="n"/>
      <c r="CI201" s="175" t="n"/>
      <c r="CJ201" s="186" t="n"/>
      <c r="CK201" s="315" t="n"/>
      <c r="CL201" s="177" t="n"/>
      <c r="CM201" s="315" t="n"/>
      <c r="CN201" s="175" t="n"/>
      <c r="CO201" s="186" t="n"/>
      <c r="CP201" s="315" t="n"/>
      <c r="CQ201" s="177" t="n"/>
      <c r="CR201" s="315" t="n"/>
      <c r="CS201" s="175" t="n"/>
      <c r="CT201" s="186" t="n"/>
      <c r="CU201" s="315" t="n"/>
      <c r="CV201" s="177" t="n"/>
      <c r="CW201" s="315" t="n"/>
      <c r="CX201" s="175" t="n"/>
      <c r="CY201" s="186" t="n"/>
      <c r="CZ201" s="315" t="n"/>
      <c r="DA201" s="177" t="n"/>
      <c r="DB201" s="315" t="n"/>
      <c r="DC201" s="175" t="n"/>
      <c r="DD201" s="186" t="n"/>
      <c r="DE201" s="315" t="n"/>
      <c r="DF201" s="177" t="n"/>
      <c r="DG201" s="315" t="n"/>
      <c r="DH201" s="175" t="n"/>
      <c r="DI201" s="186" t="n"/>
      <c r="DJ201" s="315" t="n"/>
      <c r="DK201" s="177" t="n"/>
      <c r="DL201" s="315" t="n"/>
      <c r="DM201" s="175" t="n"/>
      <c r="DN201" s="186" t="n"/>
      <c r="DO201" s="315" t="n"/>
      <c r="DP201" s="177" t="n"/>
      <c r="DQ201" s="315" t="n"/>
      <c r="DR201" s="175" t="n"/>
      <c r="DS201" s="186" t="n"/>
      <c r="DT201" s="315" t="n"/>
      <c r="DU201" s="177" t="n"/>
      <c r="DV201" s="315" t="n"/>
      <c r="DW201" s="350" t="n"/>
      <c r="DX201" s="351" t="n"/>
      <c r="DY201" s="356" t="n"/>
      <c r="DZ201" s="357" t="n"/>
      <c r="EA201" s="352" t="n"/>
      <c r="EB201" s="353" t="n"/>
      <c r="EC201" s="354" t="n"/>
      <c r="ED201" s="355" t="n"/>
      <c r="EE201" s="175" t="n"/>
      <c r="EF201" s="315" t="n"/>
      <c r="EG201" s="177" t="n"/>
      <c r="EH201" s="315" t="n"/>
      <c r="EI201" s="175" t="n"/>
      <c r="EJ201" s="315" t="n"/>
      <c r="EK201" s="177" t="n"/>
      <c r="EL201" s="315" t="n"/>
      <c r="EM201" s="175" t="n"/>
      <c r="EN201" s="315" t="n">
        <v>10</v>
      </c>
      <c r="EO201" s="177" t="n">
        <v>10</v>
      </c>
      <c r="EP201" s="382" t="n"/>
      <c r="EQ201" s="175" t="n"/>
      <c r="ER201" s="315" t="n">
        <v>30</v>
      </c>
      <c r="ES201" s="177" t="n">
        <v>30</v>
      </c>
      <c r="ET201" s="315" t="n"/>
      <c r="EU201" s="175" t="n"/>
      <c r="EV201" s="315" t="n"/>
      <c r="EW201" s="177" t="n"/>
      <c r="EX201" s="315" t="n"/>
      <c r="EY201" s="175" t="n"/>
      <c r="EZ201" s="315" t="n"/>
      <c r="FA201" s="177" t="n"/>
      <c r="FB201" s="315" t="n"/>
      <c r="FC201" s="175" t="n"/>
      <c r="FD201" s="315" t="n"/>
      <c r="FE201" s="177" t="n"/>
      <c r="FF201" s="315" t="n"/>
      <c r="FG201" s="175" t="n"/>
      <c r="FH201" s="315" t="n"/>
      <c r="FI201" s="177" t="n"/>
      <c r="FJ201" s="315" t="n"/>
      <c r="FK201" s="175" t="n"/>
      <c r="FL201" s="315" t="n"/>
      <c r="FM201" s="177" t="n"/>
      <c r="FN201" s="315" t="n"/>
      <c r="FO201" s="175" t="n"/>
      <c r="FP201" s="315" t="n"/>
      <c r="FQ201" s="177" t="n"/>
      <c r="FR201" s="315" t="n"/>
      <c r="FS201" s="175" t="n"/>
      <c r="FT201" s="315" t="n"/>
      <c r="FU201" s="177" t="n"/>
      <c r="FV201" s="315" t="n"/>
      <c r="FW201" s="175" t="n"/>
      <c r="FX201" s="315" t="n"/>
      <c r="FY201" s="177" t="n"/>
      <c r="FZ201" s="315" t="n"/>
      <c r="GA201" s="338">
        <f>SUMPRODUCT(--(MOD(COLUMN($EE201:$FZ201),4)=MOD(COLUMN($EE201),4)),$EE201:$FZ201)</f>
        <v/>
      </c>
      <c r="GB201" s="339">
        <f>GA201*$J201</f>
        <v/>
      </c>
      <c r="GC201" s="340">
        <f>SUMPRODUCT(--(MOD(COLUMN($EE201:$FZ201),4)=MOD(COLUMN($EF201),4)),$EE201:$FZ201)</f>
        <v/>
      </c>
      <c r="GD201" s="341">
        <f>GC201*$J201</f>
        <v/>
      </c>
      <c r="GE201" s="342">
        <f>SUMPRODUCT(--(MOD(COLUMN($EE201:$FZ201),4)=MOD(COLUMN($EG201),4)),$EE201:$FZ201)</f>
        <v/>
      </c>
      <c r="GF201" s="343">
        <f>GE201*$J201</f>
        <v/>
      </c>
      <c r="GG201" s="175" t="n"/>
      <c r="GH201" s="315" t="n"/>
      <c r="GI201" s="177" t="n"/>
      <c r="GJ201" s="315" t="n"/>
      <c r="GK201" s="175" t="n"/>
      <c r="GL201" s="315" t="n"/>
      <c r="GM201" s="177" t="n"/>
      <c r="GN201" s="315" t="n"/>
      <c r="GO201" s="175" t="n"/>
      <c r="GP201" s="315" t="n"/>
      <c r="GQ201" s="177" t="n"/>
      <c r="GR201" s="315" t="n"/>
      <c r="GS201" s="175" t="n"/>
      <c r="GT201" s="315" t="n"/>
      <c r="GU201" s="177" t="n"/>
      <c r="GV201" s="315" t="n"/>
      <c r="GW201" s="175" t="n"/>
      <c r="GX201" s="315" t="n"/>
      <c r="GY201" s="177" t="n"/>
      <c r="GZ201" s="315" t="n"/>
      <c r="HA201" s="175" t="n"/>
      <c r="HB201" s="315" t="n"/>
      <c r="HC201" s="177" t="n"/>
      <c r="HD201" s="315" t="n"/>
      <c r="HE201" s="175" t="n"/>
      <c r="HF201" s="315" t="n"/>
      <c r="HG201" s="177" t="n"/>
      <c r="HH201" s="315" t="n"/>
      <c r="HI201" s="175" t="n"/>
      <c r="HJ201" s="315" t="n"/>
      <c r="HK201" s="177" t="n"/>
      <c r="HL201" s="315" t="n"/>
      <c r="HM201" s="175" t="n"/>
      <c r="HN201" s="315" t="n"/>
      <c r="HO201" s="177" t="n"/>
      <c r="HP201" s="315" t="n"/>
      <c r="HQ201" s="175" t="n"/>
      <c r="HR201" s="315" t="n"/>
      <c r="HS201" s="177" t="n"/>
      <c r="HT201" s="315" t="n"/>
      <c r="HU201" s="175" t="n"/>
      <c r="HV201" s="315" t="n"/>
      <c r="HW201" s="177" t="n"/>
      <c r="HX201" s="315" t="n"/>
      <c r="HY201" s="175" t="n"/>
      <c r="HZ201" s="315" t="n"/>
      <c r="IA201" s="177" t="n"/>
      <c r="IB201" s="315" t="n"/>
      <c r="IC201" s="338">
        <f t="array" ref="IC201">SUMPRODUCT(--(MOD(COLUMN($GG201:$IB201),4)=MOD(COLUMN($GG201),4)),$GG201:$IB201)</f>
        <v/>
      </c>
      <c r="ID201" s="339">
        <f>IC201*$J201</f>
        <v/>
      </c>
      <c r="IE201" s="340">
        <f t="array" ref="IE201">SUMPRODUCT(--(MOD(COLUMN($GG201:$IB201),4)=MOD(COLUMN($GH201),4)),$GG201:$IB201)</f>
        <v/>
      </c>
      <c r="IF201" s="341">
        <f>IE201*$J201</f>
        <v/>
      </c>
      <c r="IG201" s="342">
        <f t="array" ref="IG201">SUMPRODUCT(--(MOD(COLUMN($GG201:$IB201),4)=MOD(COLUMN($GI201),4)),$GG201:$IB201)</f>
        <v/>
      </c>
      <c r="IH201" s="343">
        <f>IG201*$J201</f>
        <v/>
      </c>
      <c r="II201" s="175" t="n"/>
      <c r="IJ201" s="315" t="n"/>
      <c r="IK201" s="177" t="n"/>
      <c r="IL201" s="315" t="n"/>
      <c r="IM201" s="175" t="n"/>
      <c r="IN201" s="315" t="n"/>
      <c r="IO201" s="177" t="n"/>
      <c r="IP201" s="315" t="n"/>
      <c r="IQ201" s="175" t="n"/>
      <c r="IR201" s="315" t="n"/>
      <c r="IS201" s="177" t="n"/>
      <c r="IT201" s="315" t="n"/>
      <c r="IU201" s="175" t="n"/>
      <c r="IV201" s="315" t="n"/>
      <c r="IW201" s="177" t="n"/>
      <c r="IX201" s="315" t="n"/>
      <c r="IY201" s="175" t="n"/>
      <c r="IZ201" s="315" t="n"/>
      <c r="JA201" s="177" t="n"/>
      <c r="JB201" s="315" t="n"/>
      <c r="JC201" s="175" t="n"/>
      <c r="JD201" s="315" t="n"/>
      <c r="JE201" s="177" t="n"/>
      <c r="JF201" s="315" t="n"/>
      <c r="JG201" s="175" t="n"/>
      <c r="JH201" s="315" t="n"/>
      <c r="JI201" s="177" t="n"/>
      <c r="JJ201" s="315" t="n"/>
      <c r="JK201" s="175" t="n"/>
      <c r="JL201" s="315" t="n"/>
      <c r="JM201" s="177" t="n"/>
      <c r="JN201" s="315" t="n"/>
      <c r="JO201" s="175" t="n"/>
      <c r="JP201" s="315" t="n"/>
      <c r="JQ201" s="177" t="n"/>
      <c r="JR201" s="315" t="n"/>
      <c r="JS201" s="175" t="n"/>
      <c r="JT201" s="315" t="n"/>
      <c r="JU201" s="177" t="n"/>
      <c r="JV201" s="315" t="n"/>
      <c r="JW201" s="175" t="n"/>
      <c r="JX201" s="315" t="n"/>
      <c r="JY201" s="177" t="n"/>
      <c r="JZ201" s="315" t="n"/>
      <c r="KA201" s="175" t="n"/>
      <c r="KB201" s="315" t="n"/>
      <c r="KC201" s="177" t="n"/>
      <c r="KD201" s="315" t="n"/>
      <c r="KE201" s="338">
        <f t="array" ref="KE201">SUMPRODUCT(--(MOD(COLUMN($II201:$KD201),4)=MOD(COLUMN($II201),4)),$II201:$KD201)</f>
        <v/>
      </c>
      <c r="KF201" s="339">
        <f>KE201*$J201</f>
        <v/>
      </c>
      <c r="KG201" s="340">
        <f t="array" ref="KG201">SUMPRODUCT(--(MOD(COLUMN($II201:$KD201),4)=MOD(COLUMN($IJ201),4)),$II201:$KD201)</f>
        <v/>
      </c>
      <c r="KH201" s="341">
        <f>KG201*$J201</f>
        <v/>
      </c>
      <c r="KI201" s="342">
        <f t="array" ref="KI201">SUMPRODUCT(--(MOD(COLUMN($II201:$KD201),4)=MOD(COLUMN($IK201),4)),$II201:$KD201)</f>
        <v/>
      </c>
      <c r="KJ201" s="346">
        <f>KI201*$J201</f>
        <v/>
      </c>
      <c r="KK201" s="189" t="n"/>
      <c r="KL201" s="189" t="n"/>
      <c r="KM201" s="189" t="n"/>
      <c r="KN201" s="190" t="n"/>
      <c r="KO201" s="291" t="n"/>
    </row>
    <row r="202" outlineLevel="1" ht="28.8" customFormat="1" customHeight="1" s="68">
      <c r="A202" s="347" t="n"/>
      <c r="B202" s="347" t="n"/>
      <c r="C202" s="347" t="n"/>
      <c r="D202" s="347" t="n"/>
      <c r="E202" s="170" t="n">
        <v>8</v>
      </c>
      <c r="F202" s="60" t="n">
        <v>1</v>
      </c>
      <c r="G202" s="56" t="n">
        <v>4630320200</v>
      </c>
      <c r="H202" s="57" t="inlineStr">
        <is>
          <t>Кран ручного управления</t>
        </is>
      </c>
      <c r="I202" s="379" t="n">
        <v>324</v>
      </c>
      <c r="J202" s="379" t="n">
        <v>324</v>
      </c>
      <c r="K202" s="349" t="n"/>
      <c r="L202" s="349" t="n"/>
      <c r="M202" s="175" t="n"/>
      <c r="N202" s="315" t="n"/>
      <c r="O202" s="177" t="n"/>
      <c r="P202" s="315" t="n"/>
      <c r="Q202" s="175" t="n"/>
      <c r="R202" s="315" t="n"/>
      <c r="S202" s="177" t="n"/>
      <c r="T202" s="315" t="n"/>
      <c r="U202" s="175" t="n"/>
      <c r="V202" s="315" t="n"/>
      <c r="W202" s="177" t="n"/>
      <c r="X202" s="315" t="n"/>
      <c r="Y202" s="175" t="n"/>
      <c r="Z202" s="315" t="n"/>
      <c r="AA202" s="177" t="n"/>
      <c r="AB202" s="315" t="n"/>
      <c r="AC202" s="175" t="n"/>
      <c r="AD202" s="315" t="n"/>
      <c r="AE202" s="177" t="n"/>
      <c r="AF202" s="315" t="n"/>
      <c r="AG202" s="175" t="n"/>
      <c r="AH202" s="315" t="n"/>
      <c r="AI202" s="177" t="n"/>
      <c r="AJ202" s="315" t="n"/>
      <c r="AK202" s="175" t="n"/>
      <c r="AL202" s="315" t="n"/>
      <c r="AM202" s="177" t="n"/>
      <c r="AN202" s="315" t="n"/>
      <c r="AO202" s="175" t="n"/>
      <c r="AP202" s="315" t="n"/>
      <c r="AQ202" s="177" t="n"/>
      <c r="AR202" s="315" t="n"/>
      <c r="AS202" s="175" t="n"/>
      <c r="AT202" s="315" t="n"/>
      <c r="AU202" s="177" t="n"/>
      <c r="AV202" s="315" t="n"/>
      <c r="AW202" s="175" t="n"/>
      <c r="AX202" s="315" t="n"/>
      <c r="AY202" s="177" t="n"/>
      <c r="AZ202" s="151" t="n"/>
      <c r="BA202" s="175" t="n"/>
      <c r="BB202" s="315" t="n"/>
      <c r="BC202" s="178" t="n"/>
      <c r="BD202" s="315" t="n"/>
      <c r="BE202" s="175" t="n"/>
      <c r="BF202" s="315" t="n"/>
      <c r="BG202" s="179" t="n"/>
      <c r="BH202" s="246" t="n"/>
      <c r="BI202" s="350" t="n"/>
      <c r="BJ202" s="351" t="n"/>
      <c r="BK202" s="352" t="n"/>
      <c r="BL202" s="353" t="n"/>
      <c r="BM202" s="354" t="n"/>
      <c r="BN202" s="355" t="n"/>
      <c r="BO202" s="175" t="n"/>
      <c r="BP202" s="186" t="n"/>
      <c r="BQ202" s="315" t="n"/>
      <c r="BR202" s="177" t="n"/>
      <c r="BS202" s="246" t="n"/>
      <c r="BT202" s="175" t="n"/>
      <c r="BU202" s="186" t="n"/>
      <c r="BV202" s="315" t="n"/>
      <c r="BW202" s="177" t="n"/>
      <c r="BX202" s="315" t="n"/>
      <c r="BY202" s="175" t="n"/>
      <c r="BZ202" s="186" t="n"/>
      <c r="CA202" s="315" t="n"/>
      <c r="CB202" s="177" t="n"/>
      <c r="CC202" s="315" t="n"/>
      <c r="CD202" s="175" t="n"/>
      <c r="CE202" s="186" t="n"/>
      <c r="CF202" s="315" t="n"/>
      <c r="CG202" s="177" t="n"/>
      <c r="CH202" s="315" t="n"/>
      <c r="CI202" s="175" t="n"/>
      <c r="CJ202" s="186" t="n"/>
      <c r="CK202" s="315" t="n"/>
      <c r="CL202" s="177" t="n"/>
      <c r="CM202" s="315" t="n"/>
      <c r="CN202" s="175" t="n"/>
      <c r="CO202" s="186" t="n"/>
      <c r="CP202" s="315" t="n"/>
      <c r="CQ202" s="177" t="n"/>
      <c r="CR202" s="315" t="n"/>
      <c r="CS202" s="175" t="n"/>
      <c r="CT202" s="186" t="n"/>
      <c r="CU202" s="315" t="n"/>
      <c r="CV202" s="177" t="n"/>
      <c r="CW202" s="315" t="n"/>
      <c r="CX202" s="175" t="n"/>
      <c r="CY202" s="186" t="n"/>
      <c r="CZ202" s="315" t="n"/>
      <c r="DA202" s="177" t="n"/>
      <c r="DB202" s="315" t="n"/>
      <c r="DC202" s="175" t="n"/>
      <c r="DD202" s="186" t="n"/>
      <c r="DE202" s="315" t="n"/>
      <c r="DF202" s="177" t="n"/>
      <c r="DG202" s="315" t="n"/>
      <c r="DH202" s="175" t="n"/>
      <c r="DI202" s="186" t="n"/>
      <c r="DJ202" s="315" t="n"/>
      <c r="DK202" s="177" t="n"/>
      <c r="DL202" s="315" t="n"/>
      <c r="DM202" s="175" t="n"/>
      <c r="DN202" s="186" t="n"/>
      <c r="DO202" s="315" t="n"/>
      <c r="DP202" s="177" t="n"/>
      <c r="DQ202" s="315" t="n"/>
      <c r="DR202" s="175" t="n"/>
      <c r="DS202" s="186" t="n"/>
      <c r="DT202" s="315" t="n"/>
      <c r="DU202" s="177" t="n"/>
      <c r="DV202" s="315" t="n"/>
      <c r="DW202" s="350" t="n"/>
      <c r="DX202" s="351" t="n"/>
      <c r="DY202" s="356" t="n"/>
      <c r="DZ202" s="357" t="n"/>
      <c r="EA202" s="352" t="n"/>
      <c r="EB202" s="353" t="n"/>
      <c r="EC202" s="354" t="n"/>
      <c r="ED202" s="355" t="n"/>
      <c r="EE202" s="175" t="n"/>
      <c r="EF202" s="315" t="n"/>
      <c r="EG202" s="177" t="n"/>
      <c r="EH202" s="315" t="n"/>
      <c r="EI202" s="175" t="n"/>
      <c r="EJ202" s="315" t="n"/>
      <c r="EK202" s="177" t="n"/>
      <c r="EL202" s="315" t="n"/>
      <c r="EM202" s="175" t="n"/>
      <c r="EN202" s="315" t="n">
        <v>10</v>
      </c>
      <c r="EO202" s="177" t="n">
        <v>10</v>
      </c>
      <c r="EP202" s="382" t="n"/>
      <c r="EQ202" s="175" t="n"/>
      <c r="ER202" s="315" t="n">
        <v>30</v>
      </c>
      <c r="ES202" s="177" t="n">
        <v>30</v>
      </c>
      <c r="ET202" s="315" t="n"/>
      <c r="EU202" s="175" t="n"/>
      <c r="EV202" s="315" t="n"/>
      <c r="EW202" s="177" t="n"/>
      <c r="EX202" s="315" t="n"/>
      <c r="EY202" s="175" t="n"/>
      <c r="EZ202" s="315" t="n"/>
      <c r="FA202" s="177" t="n"/>
      <c r="FB202" s="315" t="n"/>
      <c r="FC202" s="175" t="n"/>
      <c r="FD202" s="315" t="n"/>
      <c r="FE202" s="177" t="n"/>
      <c r="FF202" s="315" t="n"/>
      <c r="FG202" s="175" t="n"/>
      <c r="FH202" s="315" t="n"/>
      <c r="FI202" s="177" t="n"/>
      <c r="FJ202" s="315" t="n"/>
      <c r="FK202" s="175" t="n"/>
      <c r="FL202" s="315" t="n"/>
      <c r="FM202" s="177" t="n"/>
      <c r="FN202" s="315" t="n"/>
      <c r="FO202" s="175" t="n"/>
      <c r="FP202" s="315" t="n"/>
      <c r="FQ202" s="177" t="n"/>
      <c r="FR202" s="315" t="n"/>
      <c r="FS202" s="175" t="n"/>
      <c r="FT202" s="315" t="n"/>
      <c r="FU202" s="177" t="n"/>
      <c r="FV202" s="315" t="n"/>
      <c r="FW202" s="175" t="n"/>
      <c r="FX202" s="315" t="n"/>
      <c r="FY202" s="177" t="n"/>
      <c r="FZ202" s="315" t="n"/>
      <c r="GA202" s="338">
        <f>SUMPRODUCT(--(MOD(COLUMN($EE202:$FZ202),4)=MOD(COLUMN($EE202),4)),$EE202:$FZ202)</f>
        <v/>
      </c>
      <c r="GB202" s="339">
        <f>GA202*$J202</f>
        <v/>
      </c>
      <c r="GC202" s="340">
        <f>SUMPRODUCT(--(MOD(COLUMN($EE202:$FZ202),4)=MOD(COLUMN($EF202),4)),$EE202:$FZ202)</f>
        <v/>
      </c>
      <c r="GD202" s="341">
        <f>GC202*$J202</f>
        <v/>
      </c>
      <c r="GE202" s="342">
        <f>SUMPRODUCT(--(MOD(COLUMN($EE202:$FZ202),4)=MOD(COLUMN($EG202),4)),$EE202:$FZ202)</f>
        <v/>
      </c>
      <c r="GF202" s="343">
        <f>GE202*$J202</f>
        <v/>
      </c>
      <c r="GG202" s="175" t="n"/>
      <c r="GH202" s="315" t="n"/>
      <c r="GI202" s="177" t="n"/>
      <c r="GJ202" s="315" t="n"/>
      <c r="GK202" s="175" t="n"/>
      <c r="GL202" s="315" t="n"/>
      <c r="GM202" s="177" t="n"/>
      <c r="GN202" s="315" t="n"/>
      <c r="GO202" s="175" t="n"/>
      <c r="GP202" s="315" t="n"/>
      <c r="GQ202" s="177" t="n"/>
      <c r="GR202" s="315" t="n"/>
      <c r="GS202" s="175" t="n"/>
      <c r="GT202" s="315" t="n"/>
      <c r="GU202" s="177" t="n"/>
      <c r="GV202" s="315" t="n"/>
      <c r="GW202" s="175" t="n"/>
      <c r="GX202" s="315" t="n"/>
      <c r="GY202" s="177" t="n"/>
      <c r="GZ202" s="315" t="n"/>
      <c r="HA202" s="175" t="n"/>
      <c r="HB202" s="315" t="n"/>
      <c r="HC202" s="177" t="n"/>
      <c r="HD202" s="315" t="n"/>
      <c r="HE202" s="175" t="n"/>
      <c r="HF202" s="315" t="n"/>
      <c r="HG202" s="177" t="n"/>
      <c r="HH202" s="315" t="n"/>
      <c r="HI202" s="175" t="n"/>
      <c r="HJ202" s="315" t="n"/>
      <c r="HK202" s="177" t="n"/>
      <c r="HL202" s="315" t="n"/>
      <c r="HM202" s="175" t="n"/>
      <c r="HN202" s="315" t="n"/>
      <c r="HO202" s="177" t="n"/>
      <c r="HP202" s="315" t="n"/>
      <c r="HQ202" s="175" t="n"/>
      <c r="HR202" s="315" t="n"/>
      <c r="HS202" s="177" t="n"/>
      <c r="HT202" s="315" t="n"/>
      <c r="HU202" s="175" t="n"/>
      <c r="HV202" s="315" t="n"/>
      <c r="HW202" s="177" t="n"/>
      <c r="HX202" s="315" t="n"/>
      <c r="HY202" s="175" t="n"/>
      <c r="HZ202" s="315" t="n"/>
      <c r="IA202" s="177" t="n"/>
      <c r="IB202" s="315" t="n"/>
      <c r="IC202" s="338">
        <f t="array" ref="IC202">SUMPRODUCT(--(MOD(COLUMN($GG202:$IB202),4)=MOD(COLUMN($GG202),4)),$GG202:$IB202)</f>
        <v/>
      </c>
      <c r="ID202" s="339">
        <f>IC202*$J202</f>
        <v/>
      </c>
      <c r="IE202" s="340">
        <f t="array" ref="IE202">SUMPRODUCT(--(MOD(COLUMN($GG202:$IB202),4)=MOD(COLUMN($GH202),4)),$GG202:$IB202)</f>
        <v/>
      </c>
      <c r="IF202" s="341">
        <f>IE202*$J202</f>
        <v/>
      </c>
      <c r="IG202" s="342">
        <f t="array" ref="IG202">SUMPRODUCT(--(MOD(COLUMN($GG202:$IB202),4)=MOD(COLUMN($GI202),4)),$GG202:$IB202)</f>
        <v/>
      </c>
      <c r="IH202" s="343">
        <f>IG202*$J202</f>
        <v/>
      </c>
      <c r="II202" s="175" t="n"/>
      <c r="IJ202" s="315" t="n"/>
      <c r="IK202" s="177" t="n"/>
      <c r="IL202" s="315" t="n"/>
      <c r="IM202" s="175" t="n"/>
      <c r="IN202" s="315" t="n"/>
      <c r="IO202" s="177" t="n"/>
      <c r="IP202" s="315" t="n"/>
      <c r="IQ202" s="175" t="n"/>
      <c r="IR202" s="315" t="n"/>
      <c r="IS202" s="177" t="n"/>
      <c r="IT202" s="315" t="n"/>
      <c r="IU202" s="175" t="n"/>
      <c r="IV202" s="315" t="n"/>
      <c r="IW202" s="177" t="n"/>
      <c r="IX202" s="315" t="n"/>
      <c r="IY202" s="175" t="n"/>
      <c r="IZ202" s="315" t="n"/>
      <c r="JA202" s="177" t="n"/>
      <c r="JB202" s="315" t="n"/>
      <c r="JC202" s="175" t="n"/>
      <c r="JD202" s="315" t="n"/>
      <c r="JE202" s="177" t="n"/>
      <c r="JF202" s="315" t="n"/>
      <c r="JG202" s="175" t="n"/>
      <c r="JH202" s="315" t="n"/>
      <c r="JI202" s="177" t="n"/>
      <c r="JJ202" s="315" t="n"/>
      <c r="JK202" s="175" t="n"/>
      <c r="JL202" s="315" t="n"/>
      <c r="JM202" s="177" t="n"/>
      <c r="JN202" s="315" t="n"/>
      <c r="JO202" s="175" t="n"/>
      <c r="JP202" s="315" t="n"/>
      <c r="JQ202" s="177" t="n"/>
      <c r="JR202" s="315" t="n"/>
      <c r="JS202" s="175" t="n"/>
      <c r="JT202" s="315" t="n"/>
      <c r="JU202" s="177" t="n"/>
      <c r="JV202" s="315" t="n"/>
      <c r="JW202" s="175" t="n"/>
      <c r="JX202" s="315" t="n"/>
      <c r="JY202" s="177" t="n"/>
      <c r="JZ202" s="315" t="n"/>
      <c r="KA202" s="175" t="n"/>
      <c r="KB202" s="315" t="n"/>
      <c r="KC202" s="177" t="n"/>
      <c r="KD202" s="315" t="n"/>
      <c r="KE202" s="338">
        <f t="array" ref="KE202">SUMPRODUCT(--(MOD(COLUMN($II202:$KD202),4)=MOD(COLUMN($II202),4)),$II202:$KD202)</f>
        <v/>
      </c>
      <c r="KF202" s="339">
        <f>KE202*$J202</f>
        <v/>
      </c>
      <c r="KG202" s="340">
        <f t="array" ref="KG202">SUMPRODUCT(--(MOD(COLUMN($II202:$KD202),4)=MOD(COLUMN($IJ202),4)),$II202:$KD202)</f>
        <v/>
      </c>
      <c r="KH202" s="341">
        <f>KG202*$J202</f>
        <v/>
      </c>
      <c r="KI202" s="342">
        <f t="array" ref="KI202">SUMPRODUCT(--(MOD(COLUMN($II202:$KD202),4)=MOD(COLUMN($IK202),4)),$II202:$KD202)</f>
        <v/>
      </c>
      <c r="KJ202" s="346">
        <f>KI202*$J202</f>
        <v/>
      </c>
      <c r="KK202" s="189" t="n"/>
      <c r="KL202" s="189" t="n"/>
      <c r="KM202" s="189" t="n"/>
      <c r="KN202" s="190" t="n"/>
      <c r="KO202" s="291" t="n"/>
    </row>
    <row r="203" outlineLevel="1" customFormat="1" s="68">
      <c r="A203" s="347" t="n"/>
      <c r="B203" s="347" t="n"/>
      <c r="C203" s="347" t="n"/>
      <c r="D203" s="347" t="n"/>
      <c r="E203" s="60" t="n">
        <v>9</v>
      </c>
      <c r="F203" s="60" t="n">
        <v>1</v>
      </c>
      <c r="G203" s="56" t="n">
        <v>4334010030</v>
      </c>
      <c r="H203" s="57" t="inlineStr">
        <is>
          <t>Упругий элемент</t>
        </is>
      </c>
      <c r="I203" s="379" t="n">
        <v>43</v>
      </c>
      <c r="J203" s="379" t="n">
        <v>43</v>
      </c>
      <c r="K203" s="349" t="n"/>
      <c r="L203" s="349" t="n"/>
      <c r="M203" s="175" t="n"/>
      <c r="N203" s="315" t="n"/>
      <c r="O203" s="177" t="n"/>
      <c r="P203" s="315" t="n"/>
      <c r="Q203" s="175" t="n"/>
      <c r="R203" s="315" t="n"/>
      <c r="S203" s="177" t="n"/>
      <c r="T203" s="315" t="n"/>
      <c r="U203" s="175" t="n"/>
      <c r="V203" s="315" t="n"/>
      <c r="W203" s="177" t="n"/>
      <c r="X203" s="315" t="n"/>
      <c r="Y203" s="175" t="n"/>
      <c r="Z203" s="315" t="n"/>
      <c r="AA203" s="177" t="n"/>
      <c r="AB203" s="315" t="n"/>
      <c r="AC203" s="175" t="n"/>
      <c r="AD203" s="315" t="n"/>
      <c r="AE203" s="177" t="n"/>
      <c r="AF203" s="315" t="n"/>
      <c r="AG203" s="175" t="n"/>
      <c r="AH203" s="315" t="n"/>
      <c r="AI203" s="177" t="n"/>
      <c r="AJ203" s="315" t="n"/>
      <c r="AK203" s="175" t="n"/>
      <c r="AL203" s="315" t="n"/>
      <c r="AM203" s="177" t="n"/>
      <c r="AN203" s="315" t="n"/>
      <c r="AO203" s="175" t="n"/>
      <c r="AP203" s="315" t="n"/>
      <c r="AQ203" s="177" t="n"/>
      <c r="AR203" s="315" t="n"/>
      <c r="AS203" s="175" t="n"/>
      <c r="AT203" s="315" t="n"/>
      <c r="AU203" s="177" t="n"/>
      <c r="AV203" s="315" t="n"/>
      <c r="AW203" s="175" t="n"/>
      <c r="AX203" s="315" t="n"/>
      <c r="AY203" s="177" t="n"/>
      <c r="AZ203" s="151" t="n"/>
      <c r="BA203" s="175" t="n"/>
      <c r="BB203" s="315" t="n"/>
      <c r="BC203" s="178" t="n"/>
      <c r="BD203" s="315" t="n"/>
      <c r="BE203" s="175" t="n"/>
      <c r="BF203" s="315" t="n"/>
      <c r="BG203" s="179" t="n"/>
      <c r="BH203" s="246" t="n"/>
      <c r="BI203" s="350" t="n"/>
      <c r="BJ203" s="351" t="n"/>
      <c r="BK203" s="352" t="n"/>
      <c r="BL203" s="353" t="n"/>
      <c r="BM203" s="354" t="n"/>
      <c r="BN203" s="355" t="n"/>
      <c r="BO203" s="175" t="n"/>
      <c r="BP203" s="186" t="n"/>
      <c r="BQ203" s="315" t="n"/>
      <c r="BR203" s="177" t="n"/>
      <c r="BS203" s="246" t="n"/>
      <c r="BT203" s="175" t="n"/>
      <c r="BU203" s="186" t="n"/>
      <c r="BV203" s="315" t="n"/>
      <c r="BW203" s="177" t="n"/>
      <c r="BX203" s="315" t="n"/>
      <c r="BY203" s="175" t="n"/>
      <c r="BZ203" s="186" t="n"/>
      <c r="CA203" s="315" t="n"/>
      <c r="CB203" s="177" t="n"/>
      <c r="CC203" s="315" t="n"/>
      <c r="CD203" s="175" t="n"/>
      <c r="CE203" s="186" t="n"/>
      <c r="CF203" s="315" t="n"/>
      <c r="CG203" s="177" t="n"/>
      <c r="CH203" s="315" t="n"/>
      <c r="CI203" s="175" t="n"/>
      <c r="CJ203" s="186" t="n"/>
      <c r="CK203" s="315" t="n"/>
      <c r="CL203" s="177" t="n"/>
      <c r="CM203" s="315" t="n"/>
      <c r="CN203" s="175" t="n"/>
      <c r="CO203" s="186" t="n"/>
      <c r="CP203" s="315" t="n"/>
      <c r="CQ203" s="177" t="n"/>
      <c r="CR203" s="315" t="n"/>
      <c r="CS203" s="175" t="n"/>
      <c r="CT203" s="186" t="n"/>
      <c r="CU203" s="315" t="n"/>
      <c r="CV203" s="177" t="n"/>
      <c r="CW203" s="315" t="n"/>
      <c r="CX203" s="175" t="n"/>
      <c r="CY203" s="186" t="n"/>
      <c r="CZ203" s="315" t="n"/>
      <c r="DA203" s="177" t="n"/>
      <c r="DB203" s="315" t="n"/>
      <c r="DC203" s="175" t="n"/>
      <c r="DD203" s="186" t="n"/>
      <c r="DE203" s="315" t="n"/>
      <c r="DF203" s="177" t="n"/>
      <c r="DG203" s="315" t="n"/>
      <c r="DH203" s="175" t="n"/>
      <c r="DI203" s="186" t="n"/>
      <c r="DJ203" s="315" t="n"/>
      <c r="DK203" s="177" t="n"/>
      <c r="DL203" s="315" t="n"/>
      <c r="DM203" s="175" t="n"/>
      <c r="DN203" s="186" t="n"/>
      <c r="DO203" s="315" t="n"/>
      <c r="DP203" s="177" t="n"/>
      <c r="DQ203" s="315" t="n"/>
      <c r="DR203" s="175" t="n"/>
      <c r="DS203" s="186" t="n"/>
      <c r="DT203" s="315" t="n"/>
      <c r="DU203" s="177" t="n"/>
      <c r="DV203" s="315" t="n"/>
      <c r="DW203" s="350" t="n"/>
      <c r="DX203" s="351" t="n"/>
      <c r="DY203" s="356" t="n"/>
      <c r="DZ203" s="357" t="n"/>
      <c r="EA203" s="352" t="n"/>
      <c r="EB203" s="353" t="n"/>
      <c r="EC203" s="354" t="n"/>
      <c r="ED203" s="355" t="n"/>
      <c r="EE203" s="175" t="n"/>
      <c r="EF203" s="315" t="n"/>
      <c r="EG203" s="177" t="n"/>
      <c r="EH203" s="315" t="n"/>
      <c r="EI203" s="175" t="n"/>
      <c r="EJ203" s="315" t="n"/>
      <c r="EK203" s="177" t="n"/>
      <c r="EL203" s="315" t="n"/>
      <c r="EM203" s="175" t="n"/>
      <c r="EN203" s="315" t="n">
        <v>10</v>
      </c>
      <c r="EO203" s="177" t="n">
        <v>10</v>
      </c>
      <c r="EP203" s="383" t="n"/>
      <c r="EQ203" s="175" t="n"/>
      <c r="ER203" s="315" t="n">
        <v>30</v>
      </c>
      <c r="ES203" s="177" t="n">
        <v>30</v>
      </c>
      <c r="ET203" s="315" t="n"/>
      <c r="EU203" s="175" t="n"/>
      <c r="EV203" s="315" t="n"/>
      <c r="EW203" s="177" t="n"/>
      <c r="EX203" s="315" t="n"/>
      <c r="EY203" s="175" t="n"/>
      <c r="EZ203" s="315" t="n"/>
      <c r="FA203" s="177" t="n"/>
      <c r="FB203" s="315" t="n"/>
      <c r="FC203" s="175" t="n"/>
      <c r="FD203" s="315" t="n"/>
      <c r="FE203" s="177" t="n"/>
      <c r="FF203" s="315" t="n"/>
      <c r="FG203" s="175" t="n"/>
      <c r="FH203" s="315" t="n"/>
      <c r="FI203" s="177" t="n"/>
      <c r="FJ203" s="315" t="n"/>
      <c r="FK203" s="175" t="n"/>
      <c r="FL203" s="315" t="n"/>
      <c r="FM203" s="177" t="n"/>
      <c r="FN203" s="315" t="n"/>
      <c r="FO203" s="175" t="n"/>
      <c r="FP203" s="315" t="n"/>
      <c r="FQ203" s="177" t="n"/>
      <c r="FR203" s="315" t="n"/>
      <c r="FS203" s="175" t="n"/>
      <c r="FT203" s="315" t="n"/>
      <c r="FU203" s="177" t="n"/>
      <c r="FV203" s="315" t="n"/>
      <c r="FW203" s="175" t="n"/>
      <c r="FX203" s="315" t="n"/>
      <c r="FY203" s="177" t="n"/>
      <c r="FZ203" s="315" t="n"/>
      <c r="GA203" s="338">
        <f>SUMPRODUCT(--(MOD(COLUMN($EE203:$FZ203),4)=MOD(COLUMN($EE203),4)),$EE203:$FZ203)</f>
        <v/>
      </c>
      <c r="GB203" s="339">
        <f>GA203*$J203</f>
        <v/>
      </c>
      <c r="GC203" s="340">
        <f>SUMPRODUCT(--(MOD(COLUMN($EE203:$FZ203),4)=MOD(COLUMN($EF203),4)),$EE203:$FZ203)</f>
        <v/>
      </c>
      <c r="GD203" s="341">
        <f>GC203*$J203</f>
        <v/>
      </c>
      <c r="GE203" s="342">
        <f>SUMPRODUCT(--(MOD(COLUMN($EE203:$FZ203),4)=MOD(COLUMN($EG203),4)),$EE203:$FZ203)</f>
        <v/>
      </c>
      <c r="GF203" s="343">
        <f>GE203*$J203</f>
        <v/>
      </c>
      <c r="GG203" s="175" t="n"/>
      <c r="GH203" s="315" t="n"/>
      <c r="GI203" s="177" t="n"/>
      <c r="GJ203" s="315" t="n"/>
      <c r="GK203" s="175" t="n"/>
      <c r="GL203" s="315" t="n"/>
      <c r="GM203" s="177" t="n"/>
      <c r="GN203" s="315" t="n"/>
      <c r="GO203" s="175" t="n"/>
      <c r="GP203" s="315" t="n"/>
      <c r="GQ203" s="177" t="n"/>
      <c r="GR203" s="315" t="n"/>
      <c r="GS203" s="175" t="n"/>
      <c r="GT203" s="315" t="n"/>
      <c r="GU203" s="177" t="n"/>
      <c r="GV203" s="315" t="n"/>
      <c r="GW203" s="175" t="n"/>
      <c r="GX203" s="315" t="n"/>
      <c r="GY203" s="177" t="n"/>
      <c r="GZ203" s="315" t="n"/>
      <c r="HA203" s="175" t="n"/>
      <c r="HB203" s="315" t="n"/>
      <c r="HC203" s="177" t="n"/>
      <c r="HD203" s="315" t="n"/>
      <c r="HE203" s="175" t="n"/>
      <c r="HF203" s="315" t="n"/>
      <c r="HG203" s="177" t="n"/>
      <c r="HH203" s="315" t="n"/>
      <c r="HI203" s="175" t="n"/>
      <c r="HJ203" s="315" t="n"/>
      <c r="HK203" s="177" t="n"/>
      <c r="HL203" s="315" t="n"/>
      <c r="HM203" s="175" t="n"/>
      <c r="HN203" s="315" t="n"/>
      <c r="HO203" s="177" t="n"/>
      <c r="HP203" s="315" t="n"/>
      <c r="HQ203" s="175" t="n"/>
      <c r="HR203" s="315" t="n"/>
      <c r="HS203" s="177" t="n"/>
      <c r="HT203" s="315" t="n"/>
      <c r="HU203" s="175" t="n"/>
      <c r="HV203" s="315" t="n"/>
      <c r="HW203" s="177" t="n"/>
      <c r="HX203" s="315" t="n"/>
      <c r="HY203" s="175" t="n"/>
      <c r="HZ203" s="315" t="n"/>
      <c r="IA203" s="177" t="n"/>
      <c r="IB203" s="315" t="n"/>
      <c r="IC203" s="338">
        <f t="array" ref="IC203">SUMPRODUCT(--(MOD(COLUMN($GG203:$IB203),4)=MOD(COLUMN($GG203),4)),$GG203:$IB203)</f>
        <v/>
      </c>
      <c r="ID203" s="339">
        <f>IC203*$J203</f>
        <v/>
      </c>
      <c r="IE203" s="340">
        <f t="array" ref="IE203">SUMPRODUCT(--(MOD(COLUMN($GG203:$IB203),4)=MOD(COLUMN($GH203),4)),$GG203:$IB203)</f>
        <v/>
      </c>
      <c r="IF203" s="341">
        <f>IE203*$J203</f>
        <v/>
      </c>
      <c r="IG203" s="342">
        <f t="array" ref="IG203">SUMPRODUCT(--(MOD(COLUMN($GG203:$IB203),4)=MOD(COLUMN($GI203),4)),$GG203:$IB203)</f>
        <v/>
      </c>
      <c r="IH203" s="343">
        <f>IG203*$J203</f>
        <v/>
      </c>
      <c r="II203" s="175" t="n"/>
      <c r="IJ203" s="315" t="n"/>
      <c r="IK203" s="177" t="n"/>
      <c r="IL203" s="315" t="n"/>
      <c r="IM203" s="175" t="n"/>
      <c r="IN203" s="315" t="n"/>
      <c r="IO203" s="177" t="n"/>
      <c r="IP203" s="315" t="n"/>
      <c r="IQ203" s="175" t="n"/>
      <c r="IR203" s="315" t="n"/>
      <c r="IS203" s="177" t="n"/>
      <c r="IT203" s="315" t="n"/>
      <c r="IU203" s="175" t="n"/>
      <c r="IV203" s="315" t="n"/>
      <c r="IW203" s="177" t="n"/>
      <c r="IX203" s="315" t="n"/>
      <c r="IY203" s="175" t="n"/>
      <c r="IZ203" s="315" t="n"/>
      <c r="JA203" s="177" t="n"/>
      <c r="JB203" s="315" t="n"/>
      <c r="JC203" s="175" t="n"/>
      <c r="JD203" s="315" t="n"/>
      <c r="JE203" s="177" t="n"/>
      <c r="JF203" s="315" t="n"/>
      <c r="JG203" s="175" t="n"/>
      <c r="JH203" s="315" t="n"/>
      <c r="JI203" s="177" t="n"/>
      <c r="JJ203" s="315" t="n"/>
      <c r="JK203" s="175" t="n"/>
      <c r="JL203" s="315" t="n"/>
      <c r="JM203" s="177" t="n"/>
      <c r="JN203" s="315" t="n"/>
      <c r="JO203" s="175" t="n"/>
      <c r="JP203" s="315" t="n"/>
      <c r="JQ203" s="177" t="n"/>
      <c r="JR203" s="315" t="n"/>
      <c r="JS203" s="175" t="n"/>
      <c r="JT203" s="315" t="n"/>
      <c r="JU203" s="177" t="n"/>
      <c r="JV203" s="315" t="n"/>
      <c r="JW203" s="175" t="n"/>
      <c r="JX203" s="315" t="n"/>
      <c r="JY203" s="177" t="n"/>
      <c r="JZ203" s="315" t="n"/>
      <c r="KA203" s="175" t="n"/>
      <c r="KB203" s="315" t="n"/>
      <c r="KC203" s="177" t="n"/>
      <c r="KD203" s="315" t="n"/>
      <c r="KE203" s="338">
        <f t="array" ref="KE203">SUMPRODUCT(--(MOD(COLUMN($II203:$KD203),4)=MOD(COLUMN($II203),4)),$II203:$KD203)</f>
        <v/>
      </c>
      <c r="KF203" s="339">
        <f>KE203*$J203</f>
        <v/>
      </c>
      <c r="KG203" s="340">
        <f t="array" ref="KG203">SUMPRODUCT(--(MOD(COLUMN($II203:$KD203),4)=MOD(COLUMN($IJ203),4)),$II203:$KD203)</f>
        <v/>
      </c>
      <c r="KH203" s="341">
        <f>KG203*$J203</f>
        <v/>
      </c>
      <c r="KI203" s="342">
        <f t="array" ref="KI203">SUMPRODUCT(--(MOD(COLUMN($II203:$KD203),4)=MOD(COLUMN($IK203),4)),$II203:$KD203)</f>
        <v/>
      </c>
      <c r="KJ203" s="346">
        <f>KI203*$J203</f>
        <v/>
      </c>
      <c r="KK203" s="189" t="n"/>
      <c r="KL203" s="189" t="n"/>
      <c r="KM203" s="189" t="n"/>
      <c r="KN203" s="190" t="n"/>
      <c r="KO203" s="291" t="n"/>
    </row>
    <row r="204" outlineLevel="1" ht="28.8" customFormat="1" customHeight="1" s="68">
      <c r="A204" s="347" t="n"/>
      <c r="B204" s="347" t="n"/>
      <c r="C204" s="347" t="n"/>
      <c r="D204" s="347" t="n"/>
      <c r="E204" s="170" t="n">
        <v>10</v>
      </c>
      <c r="F204" s="170" t="n">
        <v>1</v>
      </c>
      <c r="G204" s="171" t="n">
        <v>4410328090</v>
      </c>
      <c r="H204" s="172" t="inlineStr">
        <is>
          <t>Датчик скорости угловой, 1м</t>
        </is>
      </c>
      <c r="I204" s="379" t="n">
        <v>85</v>
      </c>
      <c r="J204" s="379" t="n">
        <v>85</v>
      </c>
      <c r="K204" s="349" t="n"/>
      <c r="L204" s="349" t="n"/>
      <c r="M204" s="175" t="n"/>
      <c r="N204" s="315" t="n"/>
      <c r="O204" s="177" t="n"/>
      <c r="P204" s="315" t="n"/>
      <c r="Q204" s="175" t="n"/>
      <c r="R204" s="315" t="n"/>
      <c r="S204" s="177" t="n"/>
      <c r="T204" s="315" t="n"/>
      <c r="U204" s="175" t="n"/>
      <c r="V204" s="315" t="n"/>
      <c r="W204" s="177" t="n"/>
      <c r="X204" s="315" t="n"/>
      <c r="Y204" s="175" t="n"/>
      <c r="Z204" s="315" t="n"/>
      <c r="AA204" s="177" t="n"/>
      <c r="AB204" s="315" t="n"/>
      <c r="AC204" s="175" t="n"/>
      <c r="AD204" s="315" t="n"/>
      <c r="AE204" s="177" t="n"/>
      <c r="AF204" s="315" t="n"/>
      <c r="AG204" s="175" t="n"/>
      <c r="AH204" s="315" t="n"/>
      <c r="AI204" s="177" t="n"/>
      <c r="AJ204" s="315" t="n"/>
      <c r="AK204" s="175" t="n"/>
      <c r="AL204" s="315" t="n"/>
      <c r="AM204" s="177" t="n"/>
      <c r="AN204" s="315" t="n"/>
      <c r="AO204" s="175" t="n"/>
      <c r="AP204" s="315" t="n"/>
      <c r="AQ204" s="177" t="n"/>
      <c r="AR204" s="315" t="n"/>
      <c r="AS204" s="175" t="n"/>
      <c r="AT204" s="315" t="n"/>
      <c r="AU204" s="177" t="n"/>
      <c r="AV204" s="315" t="n"/>
      <c r="AW204" s="175" t="n"/>
      <c r="AX204" s="315" t="n"/>
      <c r="AY204" s="177" t="n"/>
      <c r="AZ204" s="151" t="n"/>
      <c r="BA204" s="175" t="n"/>
      <c r="BB204" s="315" t="n"/>
      <c r="BC204" s="178" t="n"/>
      <c r="BD204" s="315" t="n"/>
      <c r="BE204" s="175" t="n"/>
      <c r="BF204" s="315" t="n"/>
      <c r="BG204" s="179" t="n"/>
      <c r="BH204" s="246" t="n"/>
      <c r="BI204" s="350" t="n"/>
      <c r="BJ204" s="351" t="n"/>
      <c r="BK204" s="352" t="n"/>
      <c r="BL204" s="353" t="n"/>
      <c r="BM204" s="354" t="n"/>
      <c r="BN204" s="355" t="n"/>
      <c r="BO204" s="175" t="n"/>
      <c r="BP204" s="186" t="n"/>
      <c r="BQ204" s="315" t="n"/>
      <c r="BR204" s="177" t="n"/>
      <c r="BS204" s="246" t="n"/>
      <c r="BT204" s="175" t="n"/>
      <c r="BU204" s="186" t="n"/>
      <c r="BV204" s="315" t="n"/>
      <c r="BW204" s="177" t="n"/>
      <c r="BX204" s="315" t="n"/>
      <c r="BY204" s="175" t="n"/>
      <c r="BZ204" s="186" t="n"/>
      <c r="CA204" s="315" t="n"/>
      <c r="CB204" s="177" t="n"/>
      <c r="CC204" s="315" t="n"/>
      <c r="CD204" s="175" t="n"/>
      <c r="CE204" s="186" t="n"/>
      <c r="CF204" s="315" t="n"/>
      <c r="CG204" s="177" t="n"/>
      <c r="CH204" s="315" t="n"/>
      <c r="CI204" s="175" t="n"/>
      <c r="CJ204" s="186" t="n"/>
      <c r="CK204" s="315" t="n"/>
      <c r="CL204" s="177" t="n"/>
      <c r="CM204" s="315" t="n"/>
      <c r="CN204" s="175" t="n"/>
      <c r="CO204" s="186" t="n"/>
      <c r="CP204" s="315" t="n"/>
      <c r="CQ204" s="177" t="n"/>
      <c r="CR204" s="315" t="n"/>
      <c r="CS204" s="175" t="n"/>
      <c r="CT204" s="186" t="n"/>
      <c r="CU204" s="315" t="n"/>
      <c r="CV204" s="177" t="n"/>
      <c r="CW204" s="315" t="n"/>
      <c r="CX204" s="175" t="n"/>
      <c r="CY204" s="186" t="n"/>
      <c r="CZ204" s="315" t="n"/>
      <c r="DA204" s="177" t="n"/>
      <c r="DB204" s="315" t="n"/>
      <c r="DC204" s="175" t="n"/>
      <c r="DD204" s="186" t="n"/>
      <c r="DE204" s="315" t="n"/>
      <c r="DF204" s="177" t="n"/>
      <c r="DG204" s="315" t="n"/>
      <c r="DH204" s="175" t="n"/>
      <c r="DI204" s="186" t="n"/>
      <c r="DJ204" s="315" t="n"/>
      <c r="DK204" s="177" t="n"/>
      <c r="DL204" s="315" t="n"/>
      <c r="DM204" s="175" t="n"/>
      <c r="DN204" s="186" t="n"/>
      <c r="DO204" s="315" t="n"/>
      <c r="DP204" s="177" t="n"/>
      <c r="DQ204" s="315" t="n"/>
      <c r="DR204" s="175" t="n"/>
      <c r="DS204" s="186" t="n"/>
      <c r="DT204" s="315" t="n"/>
      <c r="DU204" s="177" t="n"/>
      <c r="DV204" s="315" t="n"/>
      <c r="DW204" s="350" t="n"/>
      <c r="DX204" s="351" t="n"/>
      <c r="DY204" s="356" t="n"/>
      <c r="DZ204" s="357" t="n"/>
      <c r="EA204" s="352" t="n"/>
      <c r="EB204" s="353" t="n"/>
      <c r="EC204" s="354" t="n"/>
      <c r="ED204" s="355" t="n"/>
      <c r="EE204" s="175" t="n"/>
      <c r="EF204" s="315" t="n"/>
      <c r="EG204" s="177" t="n"/>
      <c r="EH204" s="315" t="n"/>
      <c r="EI204" s="175" t="n"/>
      <c r="EJ204" s="315" t="n">
        <v>40</v>
      </c>
      <c r="EK204" s="177" t="n">
        <v>0</v>
      </c>
      <c r="EL204" s="315" t="inlineStr">
        <is>
          <t>Новый компонент</t>
        </is>
      </c>
      <c r="EM204" s="175" t="n"/>
      <c r="EN204" s="206" t="n"/>
      <c r="EO204" s="206" t="n"/>
      <c r="EP204" s="225" t="n"/>
      <c r="EQ204" s="175" t="n"/>
      <c r="ER204" s="315" t="n"/>
      <c r="ES204" s="177" t="n"/>
      <c r="ET204" s="315" t="n"/>
      <c r="EU204" s="175" t="n"/>
      <c r="EV204" s="315" t="n"/>
      <c r="EW204" s="177" t="n"/>
      <c r="EX204" s="315" t="n"/>
      <c r="EY204" s="175" t="n"/>
      <c r="EZ204" s="315" t="n"/>
      <c r="FA204" s="177" t="n"/>
      <c r="FB204" s="315" t="n"/>
      <c r="FC204" s="175" t="n"/>
      <c r="FD204" s="315" t="n"/>
      <c r="FE204" s="177" t="n"/>
      <c r="FF204" s="315" t="n"/>
      <c r="FG204" s="175" t="n"/>
      <c r="FH204" s="315" t="n"/>
      <c r="FI204" s="177" t="n"/>
      <c r="FJ204" s="315" t="n"/>
      <c r="FK204" s="175" t="n"/>
      <c r="FL204" s="315" t="n"/>
      <c r="FM204" s="177" t="n"/>
      <c r="FN204" s="315" t="n"/>
      <c r="FO204" s="175" t="n"/>
      <c r="FP204" s="315" t="n"/>
      <c r="FQ204" s="177" t="n"/>
      <c r="FR204" s="315" t="n"/>
      <c r="FS204" s="175" t="n"/>
      <c r="FT204" s="315" t="n"/>
      <c r="FU204" s="177" t="n"/>
      <c r="FV204" s="315" t="n"/>
      <c r="FW204" s="175" t="n"/>
      <c r="FX204" s="315" t="n"/>
      <c r="FY204" s="177" t="n"/>
      <c r="FZ204" s="315" t="n"/>
      <c r="GA204" s="338">
        <f>SUMPRODUCT(--(MOD(COLUMN($EE204:$FZ204),4)=MOD(COLUMN($EE204),4)),$EE204:$FZ204)</f>
        <v/>
      </c>
      <c r="GB204" s="339">
        <f>GA204*$J204</f>
        <v/>
      </c>
      <c r="GC204" s="340">
        <f>SUMPRODUCT(--(MOD(COLUMN($EE204:$FZ204),4)=MOD(COLUMN($EF204),4)),$EE204:$FZ204)</f>
        <v/>
      </c>
      <c r="GD204" s="341">
        <f>GC204*$J204</f>
        <v/>
      </c>
      <c r="GE204" s="342">
        <f>SUMPRODUCT(--(MOD(COLUMN($EE204:$FZ204),4)=MOD(COLUMN($EG204),4)),$EE204:$FZ204)</f>
        <v/>
      </c>
      <c r="GF204" s="343">
        <f>GE204*$J204</f>
        <v/>
      </c>
      <c r="GG204" s="175" t="n"/>
      <c r="GH204" s="315" t="n"/>
      <c r="GI204" s="177" t="n"/>
      <c r="GJ204" s="315" t="n"/>
      <c r="GK204" s="175" t="n"/>
      <c r="GL204" s="315" t="n"/>
      <c r="GM204" s="177" t="n"/>
      <c r="GN204" s="315" t="n"/>
      <c r="GO204" s="175" t="n"/>
      <c r="GP204" s="315" t="n"/>
      <c r="GQ204" s="177" t="n"/>
      <c r="GR204" s="315" t="n"/>
      <c r="GS204" s="175" t="n"/>
      <c r="GT204" s="315" t="n"/>
      <c r="GU204" s="177" t="n"/>
      <c r="GV204" s="315" t="n"/>
      <c r="GW204" s="175" t="n"/>
      <c r="GX204" s="315" t="n"/>
      <c r="GY204" s="177" t="n"/>
      <c r="GZ204" s="315" t="n"/>
      <c r="HA204" s="175" t="n"/>
      <c r="HB204" s="315" t="n"/>
      <c r="HC204" s="177" t="n"/>
      <c r="HD204" s="315" t="n"/>
      <c r="HE204" s="175" t="n"/>
      <c r="HF204" s="315" t="n"/>
      <c r="HG204" s="177" t="n"/>
      <c r="HH204" s="315" t="n"/>
      <c r="HI204" s="175" t="n"/>
      <c r="HJ204" s="315" t="n"/>
      <c r="HK204" s="177" t="n"/>
      <c r="HL204" s="315" t="n"/>
      <c r="HM204" s="175" t="n"/>
      <c r="HN204" s="315" t="n"/>
      <c r="HO204" s="177" t="n"/>
      <c r="HP204" s="315" t="n"/>
      <c r="HQ204" s="175" t="n"/>
      <c r="HR204" s="315" t="n"/>
      <c r="HS204" s="177" t="n"/>
      <c r="HT204" s="315" t="n"/>
      <c r="HU204" s="175" t="n"/>
      <c r="HV204" s="315" t="n"/>
      <c r="HW204" s="177" t="n"/>
      <c r="HX204" s="315" t="n"/>
      <c r="HY204" s="175" t="n"/>
      <c r="HZ204" s="315" t="n"/>
      <c r="IA204" s="177" t="n"/>
      <c r="IB204" s="315" t="n"/>
      <c r="IC204" s="338">
        <f t="array" ref="IC204">SUMPRODUCT(--(MOD(COLUMN($GG204:$IB204),4)=MOD(COLUMN($GG204),4)),$GG204:$IB204)</f>
        <v/>
      </c>
      <c r="ID204" s="339">
        <f>IC204*$J204</f>
        <v/>
      </c>
      <c r="IE204" s="340">
        <f t="array" ref="IE204">SUMPRODUCT(--(MOD(COLUMN($GG204:$IB204),4)=MOD(COLUMN($GH204),4)),$GG204:$IB204)</f>
        <v/>
      </c>
      <c r="IF204" s="341">
        <f>IE204*$J204</f>
        <v/>
      </c>
      <c r="IG204" s="342">
        <f t="array" ref="IG204">SUMPRODUCT(--(MOD(COLUMN($GG204:$IB204),4)=MOD(COLUMN($GI204),4)),$GG204:$IB204)</f>
        <v/>
      </c>
      <c r="IH204" s="343">
        <f>IG204*$J204</f>
        <v/>
      </c>
      <c r="II204" s="175" t="n"/>
      <c r="IJ204" s="315" t="n"/>
      <c r="IK204" s="177" t="n"/>
      <c r="IL204" s="315" t="n"/>
      <c r="IM204" s="175" t="n"/>
      <c r="IN204" s="315" t="n"/>
      <c r="IO204" s="177" t="n"/>
      <c r="IP204" s="315" t="n"/>
      <c r="IQ204" s="175" t="n"/>
      <c r="IR204" s="315" t="n"/>
      <c r="IS204" s="177" t="n"/>
      <c r="IT204" s="315" t="n"/>
      <c r="IU204" s="175" t="n"/>
      <c r="IV204" s="315" t="n"/>
      <c r="IW204" s="177" t="n"/>
      <c r="IX204" s="315" t="n"/>
      <c r="IY204" s="175" t="n"/>
      <c r="IZ204" s="315" t="n"/>
      <c r="JA204" s="177" t="n"/>
      <c r="JB204" s="315" t="n"/>
      <c r="JC204" s="175" t="n"/>
      <c r="JD204" s="315" t="n"/>
      <c r="JE204" s="177" t="n"/>
      <c r="JF204" s="315" t="n"/>
      <c r="JG204" s="175" t="n"/>
      <c r="JH204" s="315" t="n"/>
      <c r="JI204" s="177" t="n"/>
      <c r="JJ204" s="315" t="n"/>
      <c r="JK204" s="175" t="n"/>
      <c r="JL204" s="315" t="n"/>
      <c r="JM204" s="177" t="n"/>
      <c r="JN204" s="315" t="n"/>
      <c r="JO204" s="175" t="n"/>
      <c r="JP204" s="315" t="n"/>
      <c r="JQ204" s="177" t="n"/>
      <c r="JR204" s="315" t="n"/>
      <c r="JS204" s="175" t="n"/>
      <c r="JT204" s="315" t="n"/>
      <c r="JU204" s="177" t="n"/>
      <c r="JV204" s="315" t="n"/>
      <c r="JW204" s="175" t="n"/>
      <c r="JX204" s="315" t="n"/>
      <c r="JY204" s="177" t="n"/>
      <c r="JZ204" s="315" t="n"/>
      <c r="KA204" s="175" t="n"/>
      <c r="KB204" s="315" t="n"/>
      <c r="KC204" s="177" t="n"/>
      <c r="KD204" s="315" t="n"/>
      <c r="KE204" s="338">
        <f t="array" ref="KE204">SUMPRODUCT(--(MOD(COLUMN($II204:$KD204),4)=MOD(COLUMN($II204),4)),$II204:$KD204)</f>
        <v/>
      </c>
      <c r="KF204" s="339">
        <f>KE204*$J204</f>
        <v/>
      </c>
      <c r="KG204" s="340">
        <f t="array" ref="KG204">SUMPRODUCT(--(MOD(COLUMN($II204:$KD204),4)=MOD(COLUMN($IJ204),4)),$II204:$KD204)</f>
        <v/>
      </c>
      <c r="KH204" s="341">
        <f>KG204*$J204</f>
        <v/>
      </c>
      <c r="KI204" s="342">
        <f t="array" ref="KI204">SUMPRODUCT(--(MOD(COLUMN($II204:$KD204),4)=MOD(COLUMN($IK204),4)),$II204:$KD204)</f>
        <v/>
      </c>
      <c r="KJ204" s="346">
        <f>KI204*$J204</f>
        <v/>
      </c>
      <c r="KK204" s="189" t="n"/>
      <c r="KL204" s="189" t="n"/>
      <c r="KM204" s="189" t="n"/>
      <c r="KN204" s="190" t="n"/>
      <c r="KO204" s="291" t="n"/>
    </row>
    <row r="205" outlineLevel="1" ht="43.2" customFormat="1" customHeight="1" s="68">
      <c r="A205" s="333" t="n"/>
      <c r="B205" s="333" t="n"/>
      <c r="C205" s="333" t="n"/>
      <c r="D205" s="333" t="n"/>
      <c r="E205" s="60" t="n">
        <v>11</v>
      </c>
      <c r="F205" s="170" t="n">
        <v>2</v>
      </c>
      <c r="G205" s="171" t="n">
        <v>4499161820</v>
      </c>
      <c r="H205" s="172" t="inlineStr">
        <is>
          <t>Кабель с розеткой</t>
        </is>
      </c>
      <c r="I205" s="379">
        <f>18361/1.22/A2</f>
        <v/>
      </c>
      <c r="J205" s="379">
        <f>18361/1.22/A2</f>
        <v/>
      </c>
      <c r="K205" s="349" t="n"/>
      <c r="L205" s="349" t="n"/>
      <c r="M205" s="175" t="n"/>
      <c r="N205" s="315" t="n"/>
      <c r="O205" s="177" t="n"/>
      <c r="P205" s="315" t="n"/>
      <c r="Q205" s="175" t="n"/>
      <c r="R205" s="315" t="n"/>
      <c r="S205" s="177" t="n"/>
      <c r="T205" s="315" t="n"/>
      <c r="U205" s="175" t="n"/>
      <c r="V205" s="315" t="n"/>
      <c r="W205" s="177" t="n"/>
      <c r="X205" s="315" t="n"/>
      <c r="Y205" s="175" t="n"/>
      <c r="Z205" s="315" t="n"/>
      <c r="AA205" s="177" t="n"/>
      <c r="AB205" s="315" t="n"/>
      <c r="AC205" s="175" t="n"/>
      <c r="AD205" s="315" t="n"/>
      <c r="AE205" s="177" t="n"/>
      <c r="AF205" s="315" t="n"/>
      <c r="AG205" s="175" t="n"/>
      <c r="AH205" s="315" t="n"/>
      <c r="AI205" s="177" t="n"/>
      <c r="AJ205" s="315" t="n"/>
      <c r="AK205" s="175" t="n"/>
      <c r="AL205" s="315" t="n"/>
      <c r="AM205" s="177" t="n"/>
      <c r="AN205" s="315" t="n"/>
      <c r="AO205" s="175" t="n"/>
      <c r="AP205" s="315" t="n"/>
      <c r="AQ205" s="177" t="n"/>
      <c r="AR205" s="315" t="n"/>
      <c r="AS205" s="175" t="n"/>
      <c r="AT205" s="315" t="n"/>
      <c r="AU205" s="177" t="n"/>
      <c r="AV205" s="315" t="n"/>
      <c r="AW205" s="175" t="n"/>
      <c r="AX205" s="315" t="n"/>
      <c r="AY205" s="177" t="n"/>
      <c r="AZ205" s="151" t="n"/>
      <c r="BA205" s="175" t="n"/>
      <c r="BB205" s="315" t="n"/>
      <c r="BC205" s="178" t="n"/>
      <c r="BD205" s="315" t="n"/>
      <c r="BE205" s="175" t="n"/>
      <c r="BF205" s="315" t="n"/>
      <c r="BG205" s="179" t="n"/>
      <c r="BH205" s="246" t="n"/>
      <c r="BI205" s="350" t="n"/>
      <c r="BJ205" s="351" t="n"/>
      <c r="BK205" s="352" t="n"/>
      <c r="BL205" s="353" t="n"/>
      <c r="BM205" s="354" t="n"/>
      <c r="BN205" s="355" t="n"/>
      <c r="BO205" s="175" t="n"/>
      <c r="BP205" s="186" t="n"/>
      <c r="BQ205" s="315" t="n"/>
      <c r="BR205" s="177" t="n"/>
      <c r="BS205" s="246" t="n"/>
      <c r="BT205" s="175" t="n"/>
      <c r="BU205" s="186" t="n"/>
      <c r="BV205" s="315" t="n"/>
      <c r="BW205" s="177" t="n"/>
      <c r="BX205" s="315" t="n"/>
      <c r="BY205" s="175" t="n"/>
      <c r="BZ205" s="186" t="n"/>
      <c r="CA205" s="315" t="n"/>
      <c r="CB205" s="177" t="n"/>
      <c r="CC205" s="315" t="n"/>
      <c r="CD205" s="175" t="n"/>
      <c r="CE205" s="186" t="n"/>
      <c r="CF205" s="315" t="n"/>
      <c r="CG205" s="177" t="n"/>
      <c r="CH205" s="315" t="n"/>
      <c r="CI205" s="175" t="n"/>
      <c r="CJ205" s="186" t="n"/>
      <c r="CK205" s="315" t="n"/>
      <c r="CL205" s="177" t="n"/>
      <c r="CM205" s="315" t="n"/>
      <c r="CN205" s="175" t="n"/>
      <c r="CO205" s="186" t="n"/>
      <c r="CP205" s="315" t="n"/>
      <c r="CQ205" s="177" t="n"/>
      <c r="CR205" s="315" t="n"/>
      <c r="CS205" s="175" t="n"/>
      <c r="CT205" s="186" t="n"/>
      <c r="CU205" s="315" t="n"/>
      <c r="CV205" s="177" t="n"/>
      <c r="CW205" s="315" t="n"/>
      <c r="CX205" s="175" t="n"/>
      <c r="CY205" s="186" t="n"/>
      <c r="CZ205" s="315" t="n"/>
      <c r="DA205" s="177" t="n"/>
      <c r="DB205" s="315" t="n"/>
      <c r="DC205" s="175" t="n"/>
      <c r="DD205" s="186" t="n"/>
      <c r="DE205" s="315" t="n"/>
      <c r="DF205" s="177" t="n"/>
      <c r="DG205" s="315" t="n"/>
      <c r="DH205" s="175" t="n"/>
      <c r="DI205" s="186" t="n"/>
      <c r="DJ205" s="315" t="n"/>
      <c r="DK205" s="177" t="n"/>
      <c r="DL205" s="315" t="n"/>
      <c r="DM205" s="175" t="n"/>
      <c r="DN205" s="186" t="n"/>
      <c r="DO205" s="315" t="n"/>
      <c r="DP205" s="177" t="n"/>
      <c r="DQ205" s="315" t="n"/>
      <c r="DR205" s="175" t="n"/>
      <c r="DS205" s="186" t="n"/>
      <c r="DT205" s="315" t="n"/>
      <c r="DU205" s="177" t="n"/>
      <c r="DV205" s="315" t="n"/>
      <c r="DW205" s="350" t="n"/>
      <c r="DX205" s="351" t="n"/>
      <c r="DY205" s="356" t="n"/>
      <c r="DZ205" s="357" t="n"/>
      <c r="EA205" s="352" t="n"/>
      <c r="EB205" s="353" t="n"/>
      <c r="EC205" s="354" t="n"/>
      <c r="ED205" s="355" t="n"/>
      <c r="EE205" s="175" t="n"/>
      <c r="EF205" s="315" t="n"/>
      <c r="EG205" s="177" t="n"/>
      <c r="EH205" s="315" t="n"/>
      <c r="EI205" s="175" t="n"/>
      <c r="EJ205" s="315" t="n">
        <v>0</v>
      </c>
      <c r="EK205" s="177" t="n"/>
      <c r="EL205" s="315" t="n"/>
      <c r="EM205" s="175" t="n"/>
      <c r="EN205" s="315" t="n">
        <v>1</v>
      </c>
      <c r="EO205" s="177" t="n">
        <v>0</v>
      </c>
      <c r="EP205" s="315" t="inlineStr">
        <is>
          <t>Новый компонент</t>
        </is>
      </c>
      <c r="EQ205" s="175" t="n"/>
      <c r="ER205" s="315" t="n">
        <v>1</v>
      </c>
      <c r="ES205" s="177" t="n">
        <v>1</v>
      </c>
      <c r="ET205" s="315" t="inlineStr">
        <is>
          <t>Заказ марта пепенесен на апрель</t>
        </is>
      </c>
      <c r="EU205" s="175" t="n"/>
      <c r="EV205" s="315" t="n"/>
      <c r="EW205" s="177" t="n"/>
      <c r="EX205" s="315" t="n"/>
      <c r="EY205" s="175" t="n"/>
      <c r="EZ205" s="315" t="n"/>
      <c r="FA205" s="177" t="n"/>
      <c r="FB205" s="315" t="n"/>
      <c r="FC205" s="175" t="n"/>
      <c r="FD205" s="315" t="n"/>
      <c r="FE205" s="177" t="n"/>
      <c r="FF205" s="315" t="n"/>
      <c r="FG205" s="175" t="n"/>
      <c r="FH205" s="315" t="n"/>
      <c r="FI205" s="177" t="n"/>
      <c r="FJ205" s="315" t="n"/>
      <c r="FK205" s="175" t="n"/>
      <c r="FL205" s="315" t="n"/>
      <c r="FM205" s="177" t="n"/>
      <c r="FN205" s="315" t="n"/>
      <c r="FO205" s="175" t="n"/>
      <c r="FP205" s="315" t="n"/>
      <c r="FQ205" s="177" t="n"/>
      <c r="FR205" s="315" t="n"/>
      <c r="FS205" s="175" t="n"/>
      <c r="FT205" s="315" t="n"/>
      <c r="FU205" s="177" t="n"/>
      <c r="FV205" s="315" t="n"/>
      <c r="FW205" s="175" t="n"/>
      <c r="FX205" s="315" t="n"/>
      <c r="FY205" s="177" t="n"/>
      <c r="FZ205" s="315" t="n"/>
      <c r="GA205" s="338">
        <f>SUMPRODUCT(--(MOD(COLUMN($EE205:$FZ205),4)=MOD(COLUMN($EE205),4)),$EE205:$FZ205)</f>
        <v/>
      </c>
      <c r="GB205" s="339">
        <f>GA205*$J205</f>
        <v/>
      </c>
      <c r="GC205" s="340">
        <f>SUMPRODUCT(--(MOD(COLUMN($EE205:$FZ205),4)=MOD(COLUMN($EF205),4)),$EE205:$FZ205)</f>
        <v/>
      </c>
      <c r="GD205" s="341">
        <f>GC205*$J205</f>
        <v/>
      </c>
      <c r="GE205" s="342">
        <f>SUMPRODUCT(--(MOD(COLUMN($EE205:$FZ205),4)=MOD(COLUMN($EG205),4)),$EE205:$FZ205)</f>
        <v/>
      </c>
      <c r="GF205" s="343">
        <f>GE205*$J205</f>
        <v/>
      </c>
      <c r="GG205" s="175" t="n"/>
      <c r="GH205" s="315" t="n"/>
      <c r="GI205" s="177" t="n"/>
      <c r="GJ205" s="315" t="n"/>
      <c r="GK205" s="175" t="n"/>
      <c r="GL205" s="315" t="n"/>
      <c r="GM205" s="177" t="n"/>
      <c r="GN205" s="315" t="n"/>
      <c r="GO205" s="175" t="n"/>
      <c r="GP205" s="315" t="n"/>
      <c r="GQ205" s="177" t="n"/>
      <c r="GR205" s="315" t="n"/>
      <c r="GS205" s="175" t="n"/>
      <c r="GT205" s="315" t="n"/>
      <c r="GU205" s="177" t="n"/>
      <c r="GV205" s="315" t="n"/>
      <c r="GW205" s="175" t="n"/>
      <c r="GX205" s="315" t="n"/>
      <c r="GY205" s="177" t="n"/>
      <c r="GZ205" s="315" t="n"/>
      <c r="HA205" s="175" t="n"/>
      <c r="HB205" s="315" t="n"/>
      <c r="HC205" s="177" t="n"/>
      <c r="HD205" s="315" t="n"/>
      <c r="HE205" s="175" t="n"/>
      <c r="HF205" s="315" t="n"/>
      <c r="HG205" s="177" t="n"/>
      <c r="HH205" s="315" t="n"/>
      <c r="HI205" s="175" t="n"/>
      <c r="HJ205" s="315" t="n"/>
      <c r="HK205" s="177" t="n"/>
      <c r="HL205" s="315" t="n"/>
      <c r="HM205" s="175" t="n"/>
      <c r="HN205" s="315" t="n"/>
      <c r="HO205" s="177" t="n"/>
      <c r="HP205" s="315" t="n"/>
      <c r="HQ205" s="175" t="n"/>
      <c r="HR205" s="315" t="n"/>
      <c r="HS205" s="177" t="n"/>
      <c r="HT205" s="315" t="n"/>
      <c r="HU205" s="175" t="n"/>
      <c r="HV205" s="315" t="n"/>
      <c r="HW205" s="177" t="n"/>
      <c r="HX205" s="315" t="n"/>
      <c r="HY205" s="175" t="n"/>
      <c r="HZ205" s="315" t="n"/>
      <c r="IA205" s="177" t="n"/>
      <c r="IB205" s="315" t="n"/>
      <c r="IC205" s="338">
        <f t="array" ref="IC205">SUMPRODUCT(--(MOD(COLUMN($GG205:$IB205),4)=MOD(COLUMN($GG205),4)),$GG205:$IB205)</f>
        <v/>
      </c>
      <c r="ID205" s="339">
        <f>IC205*$J205</f>
        <v/>
      </c>
      <c r="IE205" s="340">
        <f t="array" ref="IE205">SUMPRODUCT(--(MOD(COLUMN($GG205:$IB205),4)=MOD(COLUMN($GH205),4)),$GG205:$IB205)</f>
        <v/>
      </c>
      <c r="IF205" s="341">
        <f>IE205*$J205</f>
        <v/>
      </c>
      <c r="IG205" s="342">
        <f t="array" ref="IG205">SUMPRODUCT(--(MOD(COLUMN($GG205:$IB205),4)=MOD(COLUMN($GI205),4)),$GG205:$IB205)</f>
        <v/>
      </c>
      <c r="IH205" s="343">
        <f>IG205*$J205</f>
        <v/>
      </c>
      <c r="II205" s="175" t="n"/>
      <c r="IJ205" s="315" t="n"/>
      <c r="IK205" s="177" t="n"/>
      <c r="IL205" s="315" t="n"/>
      <c r="IM205" s="175" t="n"/>
      <c r="IN205" s="315" t="n"/>
      <c r="IO205" s="177" t="n"/>
      <c r="IP205" s="315" t="n"/>
      <c r="IQ205" s="175" t="n"/>
      <c r="IR205" s="315" t="n"/>
      <c r="IS205" s="177" t="n"/>
      <c r="IT205" s="315" t="n"/>
      <c r="IU205" s="175" t="n"/>
      <c r="IV205" s="315" t="n"/>
      <c r="IW205" s="177" t="n"/>
      <c r="IX205" s="315" t="n"/>
      <c r="IY205" s="175" t="n"/>
      <c r="IZ205" s="315" t="n"/>
      <c r="JA205" s="177" t="n"/>
      <c r="JB205" s="315" t="n"/>
      <c r="JC205" s="175" t="n"/>
      <c r="JD205" s="315" t="n"/>
      <c r="JE205" s="177" t="n"/>
      <c r="JF205" s="315" t="n"/>
      <c r="JG205" s="175" t="n"/>
      <c r="JH205" s="315" t="n"/>
      <c r="JI205" s="177" t="n"/>
      <c r="JJ205" s="315" t="n"/>
      <c r="JK205" s="175" t="n"/>
      <c r="JL205" s="315" t="n"/>
      <c r="JM205" s="177" t="n"/>
      <c r="JN205" s="315" t="n"/>
      <c r="JO205" s="175" t="n"/>
      <c r="JP205" s="315" t="n"/>
      <c r="JQ205" s="177" t="n"/>
      <c r="JR205" s="315" t="n"/>
      <c r="JS205" s="175" t="n"/>
      <c r="JT205" s="315" t="n"/>
      <c r="JU205" s="177" t="n"/>
      <c r="JV205" s="315" t="n"/>
      <c r="JW205" s="175" t="n"/>
      <c r="JX205" s="315" t="n"/>
      <c r="JY205" s="177" t="n"/>
      <c r="JZ205" s="315" t="n"/>
      <c r="KA205" s="175" t="n"/>
      <c r="KB205" s="315" t="n"/>
      <c r="KC205" s="177" t="n"/>
      <c r="KD205" s="315" t="n"/>
      <c r="KE205" s="338">
        <f t="array" ref="KE205">SUMPRODUCT(--(MOD(COLUMN($II205:$KD205),4)=MOD(COLUMN($II205),4)),$II205:$KD205)</f>
        <v/>
      </c>
      <c r="KF205" s="339">
        <f>KE205*$J205</f>
        <v/>
      </c>
      <c r="KG205" s="340">
        <f t="array" ref="KG205">SUMPRODUCT(--(MOD(COLUMN($II205:$KD205),4)=MOD(COLUMN($IJ205),4)),$II205:$KD205)</f>
        <v/>
      </c>
      <c r="KH205" s="341">
        <f>KG205*$J205</f>
        <v/>
      </c>
      <c r="KI205" s="342">
        <f t="array" ref="KI205">SUMPRODUCT(--(MOD(COLUMN($II205:$KD205),4)=MOD(COLUMN($IK205),4)),$II205:$KD205)</f>
        <v/>
      </c>
      <c r="KJ205" s="346">
        <f>KI205*$J205</f>
        <v/>
      </c>
      <c r="KK205" s="189" t="n"/>
      <c r="KL205" s="189" t="n"/>
      <c r="KM205" s="189" t="n"/>
      <c r="KN205" s="190" t="n"/>
      <c r="KO205" s="291" t="n"/>
    </row>
    <row r="206" outlineLevel="1" customFormat="1" s="68">
      <c r="A206" s="252" t="n"/>
      <c r="B206" s="69" t="n"/>
      <c r="C206" s="256" t="n"/>
      <c r="D206" s="256" t="n"/>
      <c r="E206" s="70" t="n"/>
      <c r="F206" s="70" t="n"/>
      <c r="G206" s="71" t="n"/>
      <c r="H206" s="72" t="inlineStr">
        <is>
          <t>Итого</t>
        </is>
      </c>
      <c r="I206" s="361" t="n"/>
      <c r="J206" s="360" t="n"/>
      <c r="K206" s="360" t="n"/>
      <c r="L206" s="360" t="n"/>
      <c r="M206" s="74" t="n"/>
      <c r="N206" s="75" t="n"/>
      <c r="O206" s="28" t="n"/>
      <c r="P206" s="75" t="n"/>
      <c r="Q206" s="74" t="n"/>
      <c r="R206" s="75" t="n"/>
      <c r="S206" s="28" t="n"/>
      <c r="T206" s="75" t="n"/>
      <c r="U206" s="74" t="n"/>
      <c r="V206" s="75" t="n"/>
      <c r="W206" s="28" t="n"/>
      <c r="X206" s="75" t="n"/>
      <c r="Y206" s="74" t="n"/>
      <c r="Z206" s="75" t="n"/>
      <c r="AA206" s="38" t="n"/>
      <c r="AB206" s="75" t="n"/>
      <c r="AC206" s="74" t="n"/>
      <c r="AD206" s="75" t="n"/>
      <c r="AE206" s="28" t="n"/>
      <c r="AF206" s="75" t="n"/>
      <c r="AG206" s="74" t="n"/>
      <c r="AH206" s="75" t="n"/>
      <c r="AI206" s="38" t="n"/>
      <c r="AJ206" s="75" t="n"/>
      <c r="AK206" s="74" t="n"/>
      <c r="AL206" s="75" t="n"/>
      <c r="AM206" s="38" t="n"/>
      <c r="AN206" s="75" t="n"/>
      <c r="AO206" s="74" t="n"/>
      <c r="AP206" s="75" t="n"/>
      <c r="AQ206" s="38" t="n"/>
      <c r="AR206" s="75" t="n"/>
      <c r="AS206" s="74" t="n"/>
      <c r="AT206" s="75" t="n"/>
      <c r="AU206" s="38" t="n"/>
      <c r="AV206" s="75" t="n"/>
      <c r="AW206" s="74" t="n"/>
      <c r="AX206" s="75" t="n"/>
      <c r="AY206" s="28" t="n"/>
      <c r="AZ206" s="75" t="n"/>
      <c r="BA206" s="74" t="n"/>
      <c r="BB206" s="97" t="n"/>
      <c r="BC206" s="77" t="n"/>
      <c r="BD206" s="75" t="n"/>
      <c r="BE206" s="74" t="n"/>
      <c r="BF206" s="76" t="n"/>
      <c r="BG206" s="78" t="n"/>
      <c r="BH206" s="75" t="n"/>
      <c r="BI206" s="338">
        <f>SUMPRODUCT(--(MOD(COLUMN($M206:$BH206),4)=MOD(COLUMN($M206),4)),$M206:$BH206)</f>
        <v/>
      </c>
      <c r="BJ206" s="339">
        <f>BI206*$I206</f>
        <v/>
      </c>
      <c r="BK206" s="340">
        <f>SUMPRODUCT(--(MOD(COLUMN($M206:$BH206),4)=MOD(COLUMN($M206)+1,4)),$M206:$BH206)</f>
        <v/>
      </c>
      <c r="BL206" s="341">
        <f>BK206*$I206</f>
        <v/>
      </c>
      <c r="BM206" s="342">
        <f>SUMPRODUCT(--(MOD(COLUMN($M206:$BH206),4)=MOD(COLUMN($M206)+2,4)),$M206:$BH206)</f>
        <v/>
      </c>
      <c r="BN206" s="343">
        <f>BM206*$I206</f>
        <v/>
      </c>
      <c r="BO206" s="74" t="n"/>
      <c r="BP206" s="79" t="n"/>
      <c r="BQ206" s="75" t="n"/>
      <c r="BR206" s="28" t="n"/>
      <c r="BS206" s="75" t="n"/>
      <c r="BT206" s="74" t="n"/>
      <c r="BU206" s="79" t="n"/>
      <c r="BV206" s="75" t="n"/>
      <c r="BW206" s="28" t="n"/>
      <c r="BX206" s="75" t="n"/>
      <c r="BY206" s="74" t="n"/>
      <c r="BZ206" s="79" t="n"/>
      <c r="CA206" s="75" t="n"/>
      <c r="CB206" s="28" t="n"/>
      <c r="CC206" s="75" t="n"/>
      <c r="CD206" s="74" t="n"/>
      <c r="CE206" s="79" t="n"/>
      <c r="CF206" s="75" t="n"/>
      <c r="CG206" s="28" t="n"/>
      <c r="CH206" s="75" t="n"/>
      <c r="CI206" s="74" t="n"/>
      <c r="CJ206" s="79" t="n"/>
      <c r="CK206" s="75" t="n"/>
      <c r="CL206" s="28" t="n"/>
      <c r="CM206" s="75" t="n"/>
      <c r="CN206" s="74" t="n"/>
      <c r="CO206" s="79" t="n"/>
      <c r="CP206" s="75" t="n"/>
      <c r="CQ206" s="28" t="n"/>
      <c r="CR206" s="75" t="n"/>
      <c r="CS206" s="74" t="n"/>
      <c r="CT206" s="79" t="n"/>
      <c r="CU206" s="75" t="n"/>
      <c r="CV206" s="28" t="n"/>
      <c r="CW206" s="75" t="n"/>
      <c r="CX206" s="74" t="n"/>
      <c r="CY206" s="79" t="n"/>
      <c r="CZ206" s="75" t="n"/>
      <c r="DA206" s="28" t="n"/>
      <c r="DB206" s="75" t="n"/>
      <c r="DC206" s="74" t="n"/>
      <c r="DD206" s="79" t="n"/>
      <c r="DE206" s="75" t="n"/>
      <c r="DF206" s="28" t="n"/>
      <c r="DG206" s="75" t="n"/>
      <c r="DH206" s="74" t="n"/>
      <c r="DI206" s="79" t="n"/>
      <c r="DJ206" s="75" t="n"/>
      <c r="DK206" s="28" t="n"/>
      <c r="DL206" s="75" t="n"/>
      <c r="DM206" s="74" t="n"/>
      <c r="DN206" s="79" t="n"/>
      <c r="DO206" s="75" t="n"/>
      <c r="DP206" s="28" t="n"/>
      <c r="DQ206" s="75" t="n"/>
      <c r="DR206" s="74" t="n"/>
      <c r="DS206" s="79" t="n"/>
      <c r="DT206" s="75" t="n"/>
      <c r="DU206" s="28" t="n"/>
      <c r="DV206" s="75" t="n"/>
      <c r="DW206" s="338" t="n"/>
      <c r="DX206" s="338" t="n"/>
      <c r="DY206" s="344" t="n"/>
      <c r="DZ206" s="344" t="n"/>
      <c r="EA206" s="340" t="n"/>
      <c r="EB206" s="341" t="n"/>
      <c r="EC206" s="342" t="n"/>
      <c r="ED206" s="343" t="n"/>
      <c r="EE206" s="74" t="n"/>
      <c r="EF206" s="75" t="n"/>
      <c r="EG206" s="28" t="n"/>
      <c r="EH206" s="75" t="n"/>
      <c r="EI206" s="74" t="n"/>
      <c r="EJ206" s="75" t="n"/>
      <c r="EK206" s="28" t="n"/>
      <c r="EL206" s="75" t="n"/>
      <c r="EM206" s="74" t="n"/>
      <c r="EN206" s="75" t="n"/>
      <c r="EO206" s="28" t="n"/>
      <c r="EP206" s="75" t="n"/>
      <c r="EQ206" s="74" t="n"/>
      <c r="ER206" s="75" t="n"/>
      <c r="ES206" s="28" t="n"/>
      <c r="ET206" s="75" t="n"/>
      <c r="EU206" s="74" t="n"/>
      <c r="EV206" s="75" t="n"/>
      <c r="EW206" s="28" t="n"/>
      <c r="EX206" s="75" t="n"/>
      <c r="EY206" s="74" t="n"/>
      <c r="EZ206" s="75" t="n"/>
      <c r="FA206" s="28" t="n"/>
      <c r="FB206" s="75" t="n"/>
      <c r="FC206" s="74" t="n"/>
      <c r="FD206" s="75" t="n"/>
      <c r="FE206" s="28" t="n"/>
      <c r="FF206" s="75" t="n"/>
      <c r="FG206" s="74" t="n"/>
      <c r="FH206" s="75" t="n"/>
      <c r="FI206" s="28" t="n"/>
      <c r="FJ206" s="75" t="n"/>
      <c r="FK206" s="74" t="n"/>
      <c r="FL206" s="75" t="n"/>
      <c r="FM206" s="28" t="n"/>
      <c r="FN206" s="75" t="n"/>
      <c r="FO206" s="74" t="n"/>
      <c r="FP206" s="75" t="n"/>
      <c r="FQ206" s="28" t="n"/>
      <c r="FR206" s="75" t="n"/>
      <c r="FS206" s="74" t="n"/>
      <c r="FT206" s="75" t="n"/>
      <c r="FU206" s="28" t="n"/>
      <c r="FV206" s="75" t="n"/>
      <c r="FW206" s="74" t="n"/>
      <c r="FX206" s="75" t="n"/>
      <c r="FY206" s="28" t="n"/>
      <c r="FZ206" s="75" t="n"/>
      <c r="GA206" s="338" t="n"/>
      <c r="GB206" s="339" t="n"/>
      <c r="GC206" s="340" t="n"/>
      <c r="GD206" s="341" t="n"/>
      <c r="GE206" s="342" t="n"/>
      <c r="GF206" s="343" t="n"/>
      <c r="GG206" s="74" t="n"/>
      <c r="GH206" s="75" t="n"/>
      <c r="GI206" s="28" t="n"/>
      <c r="GJ206" s="75" t="n"/>
      <c r="GK206" s="74" t="n"/>
      <c r="GL206" s="75" t="n"/>
      <c r="GM206" s="28" t="n"/>
      <c r="GN206" s="75" t="n"/>
      <c r="GO206" s="74" t="n"/>
      <c r="GP206" s="75" t="n"/>
      <c r="GQ206" s="28" t="n"/>
      <c r="GR206" s="75" t="n"/>
      <c r="GS206" s="74" t="n"/>
      <c r="GT206" s="75" t="n"/>
      <c r="GU206" s="28" t="n"/>
      <c r="GV206" s="75" t="n"/>
      <c r="GW206" s="74" t="n"/>
      <c r="GX206" s="75" t="n"/>
      <c r="GY206" s="28" t="n"/>
      <c r="GZ206" s="75" t="n"/>
      <c r="HA206" s="74" t="n"/>
      <c r="HB206" s="75" t="n"/>
      <c r="HC206" s="28" t="n"/>
      <c r="HD206" s="75" t="n"/>
      <c r="HE206" s="74" t="n"/>
      <c r="HF206" s="75" t="n"/>
      <c r="HG206" s="28" t="n"/>
      <c r="HH206" s="75" t="n"/>
      <c r="HI206" s="74" t="n"/>
      <c r="HJ206" s="75" t="n"/>
      <c r="HK206" s="28" t="n"/>
      <c r="HL206" s="75" t="n"/>
      <c r="HM206" s="74" t="n"/>
      <c r="HN206" s="75" t="n"/>
      <c r="HO206" s="28" t="n"/>
      <c r="HP206" s="75" t="n"/>
      <c r="HQ206" s="74" t="n"/>
      <c r="HR206" s="75" t="n"/>
      <c r="HS206" s="28" t="n"/>
      <c r="HT206" s="75" t="n"/>
      <c r="HU206" s="74" t="n"/>
      <c r="HV206" s="75" t="n"/>
      <c r="HW206" s="28" t="n"/>
      <c r="HX206" s="75" t="n"/>
      <c r="HY206" s="74" t="n"/>
      <c r="HZ206" s="75" t="n"/>
      <c r="IA206" s="28" t="n"/>
      <c r="IB206" s="75" t="n"/>
      <c r="IC206" s="338" t="n"/>
      <c r="ID206" s="339" t="n"/>
      <c r="IE206" s="340" t="n"/>
      <c r="IF206" s="341" t="n"/>
      <c r="IG206" s="342" t="n"/>
      <c r="IH206" s="343" t="n"/>
      <c r="II206" s="74" t="n"/>
      <c r="IJ206" s="75" t="n"/>
      <c r="IK206" s="28" t="n"/>
      <c r="IL206" s="75" t="n"/>
      <c r="IM206" s="74" t="n"/>
      <c r="IN206" s="75" t="n"/>
      <c r="IO206" s="28" t="n"/>
      <c r="IP206" s="75" t="n"/>
      <c r="IQ206" s="74" t="n"/>
      <c r="IR206" s="75" t="n"/>
      <c r="IS206" s="28" t="n"/>
      <c r="IT206" s="75" t="n"/>
      <c r="IU206" s="74" t="n"/>
      <c r="IV206" s="75" t="n"/>
      <c r="IW206" s="28" t="n"/>
      <c r="IX206" s="75" t="n"/>
      <c r="IY206" s="74" t="n"/>
      <c r="IZ206" s="75" t="n"/>
      <c r="JA206" s="28" t="n"/>
      <c r="JB206" s="75" t="n"/>
      <c r="JC206" s="74" t="n"/>
      <c r="JD206" s="75" t="n"/>
      <c r="JE206" s="28" t="n"/>
      <c r="JF206" s="75" t="n"/>
      <c r="JG206" s="74" t="n"/>
      <c r="JH206" s="75" t="n"/>
      <c r="JI206" s="28" t="n"/>
      <c r="JJ206" s="75" t="n"/>
      <c r="JK206" s="74" t="n"/>
      <c r="JL206" s="75" t="n"/>
      <c r="JM206" s="28" t="n"/>
      <c r="JN206" s="75" t="n"/>
      <c r="JO206" s="74" t="n"/>
      <c r="JP206" s="75" t="n"/>
      <c r="JQ206" s="28" t="n"/>
      <c r="JR206" s="75" t="n"/>
      <c r="JS206" s="74" t="n"/>
      <c r="JT206" s="75" t="n"/>
      <c r="JU206" s="28" t="n"/>
      <c r="JV206" s="75" t="n"/>
      <c r="JW206" s="74" t="n"/>
      <c r="JX206" s="75" t="n"/>
      <c r="JY206" s="28" t="n"/>
      <c r="JZ206" s="75" t="n"/>
      <c r="KA206" s="74" t="n"/>
      <c r="KB206" s="75" t="n"/>
      <c r="KC206" s="28" t="n"/>
      <c r="KD206" s="75" t="n"/>
      <c r="KE206" s="338" t="n"/>
      <c r="KF206" s="339" t="n"/>
      <c r="KG206" s="340" t="n"/>
      <c r="KH206" s="341" t="n"/>
      <c r="KI206" s="342" t="n"/>
      <c r="KJ206" s="346" t="n"/>
      <c r="KK206" s="80" t="n"/>
      <c r="KL206" s="80" t="n"/>
      <c r="KM206" s="80" t="n"/>
      <c r="KN206" s="253" t="n"/>
      <c r="KO206" s="253" t="n"/>
    </row>
    <row r="207" ht="28.8" customFormat="1" customHeight="1" s="68">
      <c r="A207" s="82" t="inlineStr">
        <is>
          <t>ВАГНЕРМАЙЕР РУССЛАНД ООО</t>
        </is>
      </c>
      <c r="B207" s="81" t="n"/>
      <c r="C207" s="82" t="n"/>
      <c r="D207" s="82" t="n"/>
      <c r="E207" s="83" t="n"/>
      <c r="F207" s="83" t="n"/>
      <c r="G207" s="84" t="n"/>
      <c r="H207" s="85" t="n"/>
      <c r="I207" s="362" t="n"/>
      <c r="J207" s="362" t="n"/>
      <c r="K207" s="362" t="n"/>
      <c r="L207" s="362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1" t="n"/>
      <c r="Y207" s="81" t="n"/>
      <c r="Z207" s="81" t="n"/>
      <c r="AA207" s="81" t="n"/>
      <c r="AB207" s="81" t="n"/>
      <c r="AC207" s="81" t="n"/>
      <c r="AD207" s="81" t="n"/>
      <c r="AE207" s="81" t="n"/>
      <c r="AF207" s="81" t="n"/>
      <c r="AG207" s="81" t="n"/>
      <c r="AH207" s="81" t="n"/>
      <c r="AI207" s="81" t="n"/>
      <c r="AJ207" s="81" t="n"/>
      <c r="AK207" s="81" t="n"/>
      <c r="AL207" s="81" t="n"/>
      <c r="AM207" s="81" t="n"/>
      <c r="AN207" s="81" t="n"/>
      <c r="AO207" s="81" t="n"/>
      <c r="AP207" s="81" t="n"/>
      <c r="AQ207" s="81" t="n"/>
      <c r="AR207" s="81" t="n"/>
      <c r="AS207" s="81" t="n"/>
      <c r="AT207" s="81" t="n"/>
      <c r="AU207" s="81" t="n"/>
      <c r="AV207" s="81" t="n"/>
      <c r="AW207" s="81" t="n"/>
      <c r="AX207" s="81" t="n"/>
      <c r="AY207" s="87" t="n"/>
      <c r="AZ207" s="81" t="n"/>
      <c r="BA207" s="87" t="n"/>
      <c r="BB207" s="87" t="n"/>
      <c r="BC207" s="88" t="n"/>
      <c r="BD207" s="81" t="n"/>
      <c r="BE207" s="87" t="n"/>
      <c r="BF207" s="87" t="n"/>
      <c r="BG207" s="87" t="n"/>
      <c r="BH207" s="81" t="n"/>
      <c r="BI207" s="363">
        <f>SUMPRODUCT(--(MOD(COLUMN($M207:$BH207),4)=MOD(COLUMN($M207),4)),$M207:$BH207)</f>
        <v/>
      </c>
      <c r="BJ207" s="364">
        <f>BI207*$I207</f>
        <v/>
      </c>
      <c r="BK207" s="363">
        <f>SUMPRODUCT(--(MOD(COLUMN($M207:$BH207),4)=MOD(COLUMN($M207)+1,4)),$M207:$BH207)</f>
        <v/>
      </c>
      <c r="BL207" s="364">
        <f>BK207*$I207</f>
        <v/>
      </c>
      <c r="BM207" s="363">
        <f>SUMPRODUCT(--(MOD(COLUMN($M207:$BH207),4)=MOD(COLUMN($M207)+2,4)),$M207:$BH207)</f>
        <v/>
      </c>
      <c r="BN207" s="364">
        <f>BM207*$I207</f>
        <v/>
      </c>
      <c r="BO207" s="81" t="n"/>
      <c r="BP207" s="81" t="n"/>
      <c r="BQ207" s="81" t="n"/>
      <c r="BR207" s="81" t="n"/>
      <c r="BS207" s="81" t="n"/>
      <c r="BT207" s="81" t="n"/>
      <c r="BU207" s="81" t="n"/>
      <c r="BV207" s="81" t="n"/>
      <c r="BW207" s="81" t="n"/>
      <c r="BX207" s="81" t="n"/>
      <c r="BY207" s="81" t="n"/>
      <c r="BZ207" s="81" t="n"/>
      <c r="CA207" s="81" t="n"/>
      <c r="CB207" s="81" t="n"/>
      <c r="CC207" s="81" t="n"/>
      <c r="CD207" s="81" t="n"/>
      <c r="CE207" s="81" t="n"/>
      <c r="CF207" s="81" t="n"/>
      <c r="CG207" s="81" t="n"/>
      <c r="CH207" s="81" t="n"/>
      <c r="CI207" s="81" t="n"/>
      <c r="CJ207" s="81" t="n"/>
      <c r="CK207" s="81" t="n"/>
      <c r="CL207" s="81" t="n"/>
      <c r="CM207" s="81" t="n"/>
      <c r="CN207" s="81" t="n"/>
      <c r="CO207" s="81" t="n"/>
      <c r="CP207" s="81" t="n"/>
      <c r="CQ207" s="81" t="n"/>
      <c r="CR207" s="81" t="n"/>
      <c r="CS207" s="81" t="n"/>
      <c r="CT207" s="81" t="n"/>
      <c r="CU207" s="81" t="n"/>
      <c r="CV207" s="81" t="n"/>
      <c r="CW207" s="81" t="n"/>
      <c r="CX207" s="81" t="n"/>
      <c r="CY207" s="81" t="n"/>
      <c r="CZ207" s="81" t="n"/>
      <c r="DA207" s="81" t="n"/>
      <c r="DB207" s="81" t="n"/>
      <c r="DC207" s="81" t="n"/>
      <c r="DD207" s="81" t="n"/>
      <c r="DE207" s="81" t="n"/>
      <c r="DF207" s="81" t="n"/>
      <c r="DG207" s="81" t="n"/>
      <c r="DH207" s="81" t="n"/>
      <c r="DI207" s="81" t="n"/>
      <c r="DJ207" s="81" t="n"/>
      <c r="DK207" s="81" t="n"/>
      <c r="DL207" s="81" t="n"/>
      <c r="DM207" s="81" t="n"/>
      <c r="DN207" s="81" t="n"/>
      <c r="DO207" s="81" t="n"/>
      <c r="DP207" s="81" t="n"/>
      <c r="DQ207" s="81" t="n"/>
      <c r="DR207" s="81" t="n"/>
      <c r="DS207" s="81" t="n"/>
      <c r="DT207" s="81" t="n"/>
      <c r="DU207" s="81" t="n"/>
      <c r="DV207" s="81" t="n"/>
      <c r="DW207" s="363">
        <f>SUMPRODUCT(--(MOD(COLUMN($BO207:$DV207),5)=MOD(COLUMN($BO207),5)),$BO207:$DV207)</f>
        <v/>
      </c>
      <c r="DX207" s="363">
        <f>DW207*$J207</f>
        <v/>
      </c>
      <c r="DY207" s="363">
        <f>SUMPRODUCT(--(MOD(COLUMN($BO207:$DV207),5)=MOD(COLUMN($BO207),5)+1),$BO207:$DV207)</f>
        <v/>
      </c>
      <c r="DZ207" s="363">
        <f>DY207*$J207</f>
        <v/>
      </c>
      <c r="EA207" s="363">
        <f>SUMPRODUCT(--(MOD(COLUMN($BO207:$DV207),5)=MOD(COLUMN($BO207),5)+2),$BO207:$DV207)</f>
        <v/>
      </c>
      <c r="EB207" s="364">
        <f>EA207*$J207</f>
        <v/>
      </c>
      <c r="EC207" s="363">
        <f>SUMPRODUCT(--(MOD(COLUMN($BO207:$DV207),5)=MOD(COLUMN($BO207),5)+3),$BO207:$DV207)</f>
        <v/>
      </c>
      <c r="ED207" s="364">
        <f>EC207*$J207</f>
        <v/>
      </c>
      <c r="EE207" s="81" t="n"/>
      <c r="EF207" s="81" t="n"/>
      <c r="EG207" s="81" t="n"/>
      <c r="EH207" s="81" t="n"/>
      <c r="EI207" s="81" t="n"/>
      <c r="EJ207" s="81" t="n"/>
      <c r="EK207" s="81" t="n"/>
      <c r="EL207" s="81" t="n"/>
      <c r="EM207" s="81" t="n"/>
      <c r="EN207" s="81" t="n"/>
      <c r="EO207" s="81" t="n"/>
      <c r="EP207" s="81" t="n"/>
      <c r="EQ207" s="81" t="n"/>
      <c r="ER207" s="81" t="n"/>
      <c r="ES207" s="81" t="n"/>
      <c r="ET207" s="81" t="n"/>
      <c r="EU207" s="81" t="n"/>
      <c r="EV207" s="81" t="n"/>
      <c r="EW207" s="81" t="n"/>
      <c r="EX207" s="81" t="n"/>
      <c r="EY207" s="81" t="n"/>
      <c r="EZ207" s="81" t="n"/>
      <c r="FA207" s="81" t="n"/>
      <c r="FB207" s="81" t="n"/>
      <c r="FC207" s="81" t="n"/>
      <c r="FD207" s="81" t="n"/>
      <c r="FE207" s="81" t="n"/>
      <c r="FF207" s="81" t="n"/>
      <c r="FG207" s="81" t="n"/>
      <c r="FH207" s="81" t="n"/>
      <c r="FI207" s="81" t="n"/>
      <c r="FJ207" s="81" t="n"/>
      <c r="FK207" s="81" t="n"/>
      <c r="FL207" s="81" t="n"/>
      <c r="FM207" s="81" t="n"/>
      <c r="FN207" s="81" t="n"/>
      <c r="FO207" s="81" t="n"/>
      <c r="FP207" s="81" t="n"/>
      <c r="FQ207" s="81" t="n"/>
      <c r="FR207" s="81" t="n"/>
      <c r="FS207" s="81" t="n"/>
      <c r="FT207" s="81" t="n"/>
      <c r="FU207" s="81" t="n"/>
      <c r="FV207" s="81" t="n"/>
      <c r="FW207" s="81" t="n"/>
      <c r="FX207" s="81" t="n"/>
      <c r="FY207" s="81" t="n"/>
      <c r="FZ207" s="81" t="n"/>
      <c r="GA207" s="363" t="n"/>
      <c r="GB207" s="364" t="n"/>
      <c r="GC207" s="365" t="n"/>
      <c r="GD207" s="366" t="n"/>
      <c r="GE207" s="363" t="n"/>
      <c r="GF207" s="364" t="n"/>
      <c r="GG207" s="81" t="n"/>
      <c r="GH207" s="81" t="n"/>
      <c r="GI207" s="81" t="n"/>
      <c r="GJ207" s="81" t="n"/>
      <c r="GK207" s="81" t="n"/>
      <c r="GL207" s="81" t="n"/>
      <c r="GM207" s="81" t="n"/>
      <c r="GN207" s="81" t="n"/>
      <c r="GO207" s="81" t="n"/>
      <c r="GP207" s="81" t="n"/>
      <c r="GQ207" s="81" t="n"/>
      <c r="GR207" s="81" t="n"/>
      <c r="GS207" s="81" t="n"/>
      <c r="GT207" s="81" t="n"/>
      <c r="GU207" s="81" t="n"/>
      <c r="GV207" s="81" t="n"/>
      <c r="GW207" s="81" t="n"/>
      <c r="GX207" s="81" t="n"/>
      <c r="GY207" s="81" t="n"/>
      <c r="GZ207" s="81" t="n"/>
      <c r="HA207" s="81" t="n"/>
      <c r="HB207" s="81" t="n"/>
      <c r="HC207" s="81" t="n"/>
      <c r="HD207" s="81" t="n"/>
      <c r="HE207" s="81" t="n"/>
      <c r="HF207" s="81" t="n"/>
      <c r="HG207" s="81" t="n"/>
      <c r="HH207" s="81" t="n"/>
      <c r="HI207" s="81" t="n"/>
      <c r="HJ207" s="81" t="n"/>
      <c r="HK207" s="81" t="n"/>
      <c r="HL207" s="81" t="n"/>
      <c r="HM207" s="81" t="n"/>
      <c r="HN207" s="81" t="n"/>
      <c r="HO207" s="81" t="n"/>
      <c r="HP207" s="81" t="n"/>
      <c r="HQ207" s="81" t="n"/>
      <c r="HR207" s="81" t="n"/>
      <c r="HS207" s="81" t="n"/>
      <c r="HT207" s="81" t="n"/>
      <c r="HU207" s="81" t="n"/>
      <c r="HV207" s="81" t="n"/>
      <c r="HW207" s="81" t="n"/>
      <c r="HX207" s="81" t="n"/>
      <c r="HY207" s="81" t="n"/>
      <c r="HZ207" s="81" t="n"/>
      <c r="IA207" s="81" t="n"/>
      <c r="IB207" s="81" t="n"/>
      <c r="IC207" s="363" t="n"/>
      <c r="ID207" s="364" t="n"/>
      <c r="IE207" s="365" t="n"/>
      <c r="IF207" s="366" t="n"/>
      <c r="IG207" s="363" t="n"/>
      <c r="IH207" s="364" t="n"/>
      <c r="II207" s="81" t="n"/>
      <c r="IJ207" s="81" t="n"/>
      <c r="IK207" s="81" t="n"/>
      <c r="IL207" s="81" t="n"/>
      <c r="IM207" s="81" t="n"/>
      <c r="IN207" s="81" t="n"/>
      <c r="IO207" s="81" t="n"/>
      <c r="IP207" s="81" t="n"/>
      <c r="IQ207" s="81" t="n"/>
      <c r="IR207" s="81" t="n"/>
      <c r="IS207" s="81" t="n"/>
      <c r="IT207" s="81" t="n"/>
      <c r="IU207" s="81" t="n"/>
      <c r="IV207" s="81" t="n"/>
      <c r="IW207" s="81" t="n"/>
      <c r="IX207" s="81" t="n"/>
      <c r="IY207" s="81" t="n"/>
      <c r="IZ207" s="81" t="n"/>
      <c r="JA207" s="81" t="n"/>
      <c r="JB207" s="81" t="n"/>
      <c r="JC207" s="81" t="n"/>
      <c r="JD207" s="81" t="n"/>
      <c r="JE207" s="81" t="n"/>
      <c r="JF207" s="81" t="n"/>
      <c r="JG207" s="81" t="n"/>
      <c r="JH207" s="81" t="n"/>
      <c r="JI207" s="81" t="n"/>
      <c r="JJ207" s="81" t="n"/>
      <c r="JK207" s="81" t="n"/>
      <c r="JL207" s="81" t="n"/>
      <c r="JM207" s="81" t="n"/>
      <c r="JN207" s="81" t="n"/>
      <c r="JO207" s="81" t="n"/>
      <c r="JP207" s="81" t="n"/>
      <c r="JQ207" s="81" t="n"/>
      <c r="JR207" s="81" t="n"/>
      <c r="JS207" s="81" t="n"/>
      <c r="JT207" s="81" t="n"/>
      <c r="JU207" s="81" t="n"/>
      <c r="JV207" s="81" t="n"/>
      <c r="JW207" s="81" t="n"/>
      <c r="JX207" s="81" t="n"/>
      <c r="JY207" s="81" t="n"/>
      <c r="JZ207" s="81" t="n"/>
      <c r="KA207" s="81" t="n"/>
      <c r="KB207" s="81" t="n"/>
      <c r="KC207" s="81" t="n"/>
      <c r="KD207" s="81" t="n"/>
      <c r="KE207" s="363" t="n"/>
      <c r="KF207" s="364" t="n"/>
      <c r="KG207" s="365" t="n"/>
      <c r="KH207" s="366" t="n"/>
      <c r="KI207" s="363" t="n"/>
      <c r="KJ207" s="367" t="n"/>
      <c r="KK207" s="80" t="n"/>
      <c r="KL207" s="80" t="n"/>
      <c r="KM207" s="80" t="n"/>
      <c r="KN207" s="253" t="n"/>
      <c r="KO207" s="253" t="n"/>
    </row>
    <row r="208" outlineLevel="1" ht="30" customFormat="1" customHeight="1" s="68">
      <c r="A208" s="334" t="inlineStr">
        <is>
          <t>АР СИ ЭР ООО</t>
        </is>
      </c>
      <c r="B208" s="384" t="inlineStr">
        <is>
          <t>Договор не подписан. Оплата по счету</t>
        </is>
      </c>
      <c r="C208" s="253" t="inlineStr">
        <is>
          <t>ВБК РУС</t>
        </is>
      </c>
      <c r="D208" s="254" t="inlineStr">
        <is>
          <t>Мустафин Ринат</t>
        </is>
      </c>
      <c r="E208" s="15" t="n">
        <v>1</v>
      </c>
      <c r="F208" s="15" t="n">
        <v>1</v>
      </c>
      <c r="G208" s="33" t="n">
        <v>9522010010</v>
      </c>
      <c r="H208" s="34" t="inlineStr">
        <is>
          <t>Головка соединительная (управляющая)</t>
        </is>
      </c>
      <c r="I208" s="337" t="n">
        <v>76.19047619047619</v>
      </c>
      <c r="J208" s="337">
        <f>89.6/1.2*1.0863</f>
        <v/>
      </c>
      <c r="K208" s="337" t="n"/>
      <c r="L208" s="337" t="n"/>
      <c r="M208" s="39" t="n"/>
      <c r="N208" s="39" t="n"/>
      <c r="O208" s="39" t="n"/>
      <c r="P208" s="39" t="n"/>
      <c r="Q208" s="39" t="n"/>
      <c r="R208" s="39" t="n"/>
      <c r="S208" s="39" t="n"/>
      <c r="T208" s="39" t="n"/>
      <c r="U208" s="39" t="n"/>
      <c r="V208" s="39" t="n"/>
      <c r="W208" s="39" t="n"/>
      <c r="X208" s="39" t="n"/>
      <c r="Y208" s="39" t="n"/>
      <c r="Z208" s="39" t="n"/>
      <c r="AA208" s="39" t="n"/>
      <c r="AB208" s="39" t="n"/>
      <c r="AC208" s="39" t="n"/>
      <c r="AD208" s="39" t="n"/>
      <c r="AE208" s="39" t="n"/>
      <c r="AF208" s="39" t="n"/>
      <c r="AG208" s="39" t="n"/>
      <c r="AH208" s="39" t="n"/>
      <c r="AI208" s="39" t="n"/>
      <c r="AJ208" s="39" t="n"/>
      <c r="AK208" s="39" t="n"/>
      <c r="AL208" s="39" t="n"/>
      <c r="AM208" s="39" t="n"/>
      <c r="AN208" s="39" t="n"/>
      <c r="AO208" s="39" t="n"/>
      <c r="AP208" s="39" t="n"/>
      <c r="AQ208" s="39" t="n"/>
      <c r="AR208" s="39" t="n"/>
      <c r="AS208" s="39" t="n"/>
      <c r="AT208" s="39" t="n"/>
      <c r="AU208" s="39" t="n"/>
      <c r="AV208" s="39" t="n"/>
      <c r="AW208" s="39" t="n"/>
      <c r="AX208" s="39" t="n"/>
      <c r="AY208" s="39" t="n"/>
      <c r="AZ208" s="16" t="n"/>
      <c r="BA208" s="39" t="n"/>
      <c r="BB208" s="39" t="n"/>
      <c r="BC208" s="158" t="n"/>
      <c r="BD208" s="39" t="n"/>
      <c r="BE208" s="39" t="n"/>
      <c r="BF208" s="39" t="n"/>
      <c r="BG208" s="159" t="n"/>
      <c r="BH208" s="307" t="n"/>
      <c r="BI208" s="340" t="n"/>
      <c r="BJ208" s="341" t="n"/>
      <c r="BK208" s="340" t="n"/>
      <c r="BL208" s="341" t="n"/>
      <c r="BM208" s="340" t="n"/>
      <c r="BN208" s="341" t="n"/>
      <c r="BO208" s="39" t="n"/>
      <c r="BP208" s="39" t="n"/>
      <c r="BQ208" s="39" t="n"/>
      <c r="BR208" s="39" t="n"/>
      <c r="BS208" s="307" t="n"/>
      <c r="BT208" s="39" t="n"/>
      <c r="BU208" s="39" t="n"/>
      <c r="BV208" s="39" t="n"/>
      <c r="BW208" s="39" t="n"/>
      <c r="BX208" s="39" t="n"/>
      <c r="BY208" s="39" t="n"/>
      <c r="BZ208" s="39" t="n"/>
      <c r="CA208" s="39" t="n"/>
      <c r="CB208" s="39" t="n"/>
      <c r="CC208" s="39" t="n"/>
      <c r="CD208" s="39" t="n"/>
      <c r="CE208" s="39" t="n"/>
      <c r="CF208" s="39" t="n"/>
      <c r="CG208" s="39" t="n"/>
      <c r="CH208" s="39" t="n"/>
      <c r="CI208" s="39" t="n"/>
      <c r="CJ208" s="39" t="n"/>
      <c r="CK208" s="39">
        <f>$KN208*1</f>
        <v/>
      </c>
      <c r="CL208" s="39" t="n">
        <v>0</v>
      </c>
      <c r="CM208" s="39" t="inlineStr">
        <is>
          <t>Новый клиент и новые артикулы</t>
        </is>
      </c>
      <c r="CN208" s="39" t="n"/>
      <c r="CO208" s="39" t="n"/>
      <c r="CP208" s="39">
        <f>$KN208*1</f>
        <v/>
      </c>
      <c r="CQ208" s="39" t="n">
        <v>2</v>
      </c>
      <c r="CR208" s="16" t="n"/>
      <c r="CS208" s="39" t="n"/>
      <c r="CT208" s="39" t="n"/>
      <c r="CU208" s="39" t="n"/>
      <c r="CV208" s="39" t="n">
        <v>0</v>
      </c>
      <c r="CW208" s="39" t="n"/>
      <c r="CX208" s="39" t="n"/>
      <c r="CY208" s="39" t="n"/>
      <c r="CZ208" s="39" t="n"/>
      <c r="DA208" s="39" t="n">
        <v>0</v>
      </c>
      <c r="DB208" s="39" t="n"/>
      <c r="DC208" s="39" t="n"/>
      <c r="DD208" s="39" t="n"/>
      <c r="DE208" s="39" t="n"/>
      <c r="DF208" s="39" t="n"/>
      <c r="DG208" s="39" t="n"/>
      <c r="DH208" s="39" t="n"/>
      <c r="DI208" s="39" t="n"/>
      <c r="DJ208" s="39" t="n"/>
      <c r="DK208" s="39" t="n">
        <v>0</v>
      </c>
      <c r="DL208" s="39" t="n"/>
      <c r="DM208" s="39" t="n"/>
      <c r="DN208" s="39" t="n"/>
      <c r="DO208" s="39" t="n"/>
      <c r="DP208" s="39" t="n">
        <v>0</v>
      </c>
      <c r="DQ208" s="39" t="n"/>
      <c r="DR208" s="39" t="n"/>
      <c r="DS208" s="39" t="n"/>
      <c r="DT208" s="39" t="n"/>
      <c r="DU208" s="39" t="n">
        <v>0</v>
      </c>
      <c r="DV208" s="39" t="n"/>
      <c r="DW208" s="340">
        <f t="array" ref="DW208">SUMPRODUCT(--(MOD(COLUMN($BO208:$DV208),5)=MOD(COLUMN($BO208),5)),$BO208:$DV208)</f>
        <v/>
      </c>
      <c r="DX208" s="341">
        <f>DW208*$J208</f>
        <v/>
      </c>
      <c r="DY208" s="340">
        <f t="array" ref="DY208">SUMPRODUCT(--(MOD(COLUMN($BO208:$DV208),5)=MOD(COLUMN($BP208),5)),$BO208:$DV208)</f>
        <v/>
      </c>
      <c r="DZ208" s="341">
        <f>DY208*$J208</f>
        <v/>
      </c>
      <c r="EA208" s="340">
        <f t="array" ref="EA208">SUMPRODUCT(--(MOD(COLUMN($BO208:$DV208),5)=MOD(COLUMN($BQ208),5)),$BO208:$DV208)</f>
        <v/>
      </c>
      <c r="EB208" s="341">
        <f>EA208*$J208</f>
        <v/>
      </c>
      <c r="EC208" s="340">
        <f t="array" ref="EC208">SUMPRODUCT(--(MOD(COLUMN($BO208:$DV208),5)=MOD(COLUMN($BR208),5)),$BO208:$DV208)</f>
        <v/>
      </c>
      <c r="ED208" s="341">
        <f>EC208*$J208</f>
        <v/>
      </c>
      <c r="EE208" s="39" t="n"/>
      <c r="EF208" s="39" t="n"/>
      <c r="EG208" s="39" t="n">
        <v>0</v>
      </c>
      <c r="EH208" s="39" t="n"/>
      <c r="EI208" s="39" t="n"/>
      <c r="EJ208" s="39" t="n"/>
      <c r="EK208" s="39" t="n">
        <v>0</v>
      </c>
      <c r="EL208" s="39" t="n"/>
      <c r="EM208" s="39" t="n"/>
      <c r="EN208" s="39" t="n"/>
      <c r="EO208" s="39" t="n">
        <v>0</v>
      </c>
      <c r="EP208" s="39" t="n"/>
      <c r="EQ208" s="204">
        <f>$KN208*0</f>
        <v/>
      </c>
      <c r="ER208" s="39" t="n">
        <v>0</v>
      </c>
      <c r="ES208" s="39" t="n">
        <v>0</v>
      </c>
      <c r="ET208" s="39" t="n"/>
      <c r="EU208" s="204">
        <f>$KN208*0</f>
        <v/>
      </c>
      <c r="EV208" s="39" t="n">
        <v>0</v>
      </c>
      <c r="EW208" s="39" t="n">
        <v>0</v>
      </c>
      <c r="EX208" s="39" t="n"/>
      <c r="EY208" s="200" t="n">
        <v>2</v>
      </c>
      <c r="EZ208" s="155" t="n">
        <v>0</v>
      </c>
      <c r="FA208" s="39" t="n">
        <v>0</v>
      </c>
      <c r="FB208" s="39" t="n"/>
      <c r="FC208" s="204">
        <f>$KN208*0</f>
        <v/>
      </c>
      <c r="FD208" s="39" t="n">
        <v>0</v>
      </c>
      <c r="FE208" s="39" t="n"/>
      <c r="FF208" s="39" t="n"/>
      <c r="FG208" s="204">
        <f>$KN208*0</f>
        <v/>
      </c>
      <c r="FH208" s="39" t="n">
        <v>0</v>
      </c>
      <c r="FI208" s="39" t="n"/>
      <c r="FJ208" s="39" t="n"/>
      <c r="FK208" s="200" t="n">
        <v>2</v>
      </c>
      <c r="FL208" s="155" t="n">
        <v>0</v>
      </c>
      <c r="FM208" s="39" t="n">
        <v>0</v>
      </c>
      <c r="FN208" s="39" t="n"/>
      <c r="FO208" s="39">
        <f>$KN208*0</f>
        <v/>
      </c>
      <c r="FP208" s="39" t="n">
        <v>0</v>
      </c>
      <c r="FQ208" s="39" t="n"/>
      <c r="FR208" s="39" t="n"/>
      <c r="FS208" s="39">
        <f>$KN208*0</f>
        <v/>
      </c>
      <c r="FT208" s="39" t="n">
        <v>0</v>
      </c>
      <c r="FU208" s="39" t="n"/>
      <c r="FV208" s="39" t="n"/>
      <c r="FW208" s="200" t="n">
        <v>2</v>
      </c>
      <c r="FX208" s="155" t="n">
        <v>0</v>
      </c>
      <c r="FY208" s="39" t="n">
        <v>0</v>
      </c>
      <c r="FZ208" s="39" t="n"/>
      <c r="GA208" s="340">
        <f>SUMPRODUCT(--(MOD(COLUMN($EE208:$FZ208),4)=MOD(COLUMN($EE208),4)),$EE208:$FZ208)</f>
        <v/>
      </c>
      <c r="GB208" s="341">
        <f>GA208*$J208</f>
        <v/>
      </c>
      <c r="GC208" s="340">
        <f>SUMPRODUCT(--(MOD(COLUMN($EE208:$FZ208),4)=MOD(COLUMN($EF208),4)),$EE208:$FZ208)</f>
        <v/>
      </c>
      <c r="GD208" s="341">
        <f>GC208*$J208</f>
        <v/>
      </c>
      <c r="GE208" s="340">
        <f>SUMPRODUCT(--(MOD(COLUMN($EE208:$FZ208),4)=MOD(COLUMN($EG208),4)),$EE208:$FZ208)</f>
        <v/>
      </c>
      <c r="GF208" s="341">
        <f>GE208*$J208</f>
        <v/>
      </c>
      <c r="GG208" s="39">
        <f>$KN208*0</f>
        <v/>
      </c>
      <c r="GH208" s="39" t="n"/>
      <c r="GI208" s="39" t="n"/>
      <c r="GJ208" s="39" t="n"/>
      <c r="GK208" s="39">
        <f>$KN208*0</f>
        <v/>
      </c>
      <c r="GL208" s="39" t="n"/>
      <c r="GM208" s="39" t="n"/>
      <c r="GN208" s="39" t="n"/>
      <c r="GO208" s="169" t="n">
        <v>0</v>
      </c>
      <c r="GP208" s="39" t="n"/>
      <c r="GQ208" s="39" t="n"/>
      <c r="GR208" s="39" t="n"/>
      <c r="GS208" s="39">
        <f>$KN208*0</f>
        <v/>
      </c>
      <c r="GT208" s="39" t="n"/>
      <c r="GU208" s="39" t="n"/>
      <c r="GV208" s="39" t="n"/>
      <c r="GW208" s="39">
        <f>$KN208*0</f>
        <v/>
      </c>
      <c r="GX208" s="39" t="n"/>
      <c r="GY208" s="39" t="n"/>
      <c r="GZ208" s="39" t="n"/>
      <c r="HA208" s="169" t="n">
        <v>0</v>
      </c>
      <c r="HB208" s="39" t="n"/>
      <c r="HC208" s="39" t="n"/>
      <c r="HD208" s="39" t="n"/>
      <c r="HE208" s="39">
        <f>$KN208*0</f>
        <v/>
      </c>
      <c r="HF208" s="39" t="n"/>
      <c r="HG208" s="39" t="n"/>
      <c r="HH208" s="39" t="n"/>
      <c r="HI208" s="39">
        <f>$KN208*0</f>
        <v/>
      </c>
      <c r="HJ208" s="39" t="n"/>
      <c r="HK208" s="39" t="n"/>
      <c r="HL208" s="39" t="n"/>
      <c r="HM208" s="169" t="n">
        <v>0</v>
      </c>
      <c r="HN208" s="39" t="n"/>
      <c r="HO208" s="39" t="n"/>
      <c r="HP208" s="39" t="n"/>
      <c r="HQ208" s="39">
        <f>$KN208*0</f>
        <v/>
      </c>
      <c r="HR208" s="39" t="n"/>
      <c r="HS208" s="39" t="n"/>
      <c r="HT208" s="39" t="n"/>
      <c r="HU208" s="39">
        <f>$KN208*0</f>
        <v/>
      </c>
      <c r="HV208" s="39" t="n"/>
      <c r="HW208" s="39" t="n"/>
      <c r="HX208" s="39" t="n"/>
      <c r="HY208" s="169" t="n">
        <v>0</v>
      </c>
      <c r="HZ208" s="39" t="n"/>
      <c r="IA208" s="39" t="n"/>
      <c r="IB208" s="39" t="n"/>
      <c r="IC208" s="340">
        <f t="array" ref="IC208">SUMPRODUCT(--(MOD(COLUMN($GG208:$IB208),4)=MOD(COLUMN($GG208),4)),$GG208:$IB208)</f>
        <v/>
      </c>
      <c r="ID208" s="341">
        <f>IC208*$J208</f>
        <v/>
      </c>
      <c r="IE208" s="340">
        <f t="array" ref="IE208">SUMPRODUCT(--(MOD(COLUMN($GG208:$IB208),4)=MOD(COLUMN($GH208),4)),$GG208:$IB208)</f>
        <v/>
      </c>
      <c r="IF208" s="341">
        <f>IE208*$J208</f>
        <v/>
      </c>
      <c r="IG208" s="340">
        <f t="array" ref="IG208">SUMPRODUCT(--(MOD(COLUMN($GG208:$IB208),4)=MOD(COLUMN($GI208),4)),$GG208:$IB208)</f>
        <v/>
      </c>
      <c r="IH208" s="341">
        <f>IG208*$J208</f>
        <v/>
      </c>
      <c r="II208" s="39">
        <f>$KN208*0</f>
        <v/>
      </c>
      <c r="IJ208" s="39" t="n"/>
      <c r="IK208" s="39" t="n"/>
      <c r="IL208" s="39" t="n"/>
      <c r="IM208" s="39">
        <f>$KN208*0</f>
        <v/>
      </c>
      <c r="IN208" s="39" t="n"/>
      <c r="IO208" s="39" t="n"/>
      <c r="IP208" s="39" t="n"/>
      <c r="IQ208" s="169" t="n">
        <v>0</v>
      </c>
      <c r="IR208" s="39" t="n"/>
      <c r="IS208" s="39" t="n"/>
      <c r="IT208" s="39" t="n"/>
      <c r="IU208" s="39">
        <f>$KN208*0</f>
        <v/>
      </c>
      <c r="IV208" s="39" t="n"/>
      <c r="IW208" s="39" t="n"/>
      <c r="IX208" s="39" t="n"/>
      <c r="IY208" s="39">
        <f>$KN208*0</f>
        <v/>
      </c>
      <c r="IZ208" s="39" t="n"/>
      <c r="JA208" s="39" t="n"/>
      <c r="JB208" s="39" t="n"/>
      <c r="JC208" s="169" t="n">
        <v>0</v>
      </c>
      <c r="JD208" s="39" t="n"/>
      <c r="JE208" s="39" t="n"/>
      <c r="JF208" s="39" t="n"/>
      <c r="JG208" s="39">
        <f>$KN208*0</f>
        <v/>
      </c>
      <c r="JH208" s="39" t="n"/>
      <c r="JI208" s="39" t="n"/>
      <c r="JJ208" s="39" t="n"/>
      <c r="JK208" s="39">
        <f>$KN208*0</f>
        <v/>
      </c>
      <c r="JL208" s="39" t="n"/>
      <c r="JM208" s="39" t="n"/>
      <c r="JN208" s="39" t="n"/>
      <c r="JO208" s="169" t="n">
        <v>0</v>
      </c>
      <c r="JP208" s="39" t="n"/>
      <c r="JQ208" s="39" t="n"/>
      <c r="JR208" s="39" t="n"/>
      <c r="JS208" s="39">
        <f>$KN208*0</f>
        <v/>
      </c>
      <c r="JT208" s="39" t="n"/>
      <c r="JU208" s="39" t="n"/>
      <c r="JV208" s="39" t="n"/>
      <c r="JW208" s="39">
        <f>$KN208*0</f>
        <v/>
      </c>
      <c r="JX208" s="39" t="n"/>
      <c r="JY208" s="39" t="n"/>
      <c r="JZ208" s="39" t="n"/>
      <c r="KA208" s="169" t="n">
        <v>0</v>
      </c>
      <c r="KB208" s="39" t="n"/>
      <c r="KC208" s="39" t="n"/>
      <c r="KD208" s="39" t="n"/>
      <c r="KE208" s="340">
        <f t="array" ref="KE208">SUMPRODUCT(--(MOD(COLUMN($II208:$KD208),4)=MOD(COLUMN($II208),4)),$II208:$KD208)</f>
        <v/>
      </c>
      <c r="KF208" s="341">
        <f>KE208*$J208</f>
        <v/>
      </c>
      <c r="KG208" s="340">
        <f t="array" ref="KG208">SUMPRODUCT(--(MOD(COLUMN($II208:$KD208),4)=MOD(COLUMN($IJ208),4)),$II208:$KD208)</f>
        <v/>
      </c>
      <c r="KH208" s="341">
        <f>KG208*$J208</f>
        <v/>
      </c>
      <c r="KI208" s="340">
        <f t="array" ref="KI208">SUMPRODUCT(--(MOD(COLUMN($II208:$KD208),4)=MOD(COLUMN($IK208),4)),$II208:$KD208)</f>
        <v/>
      </c>
      <c r="KJ208" s="385">
        <f>KI208*$J208</f>
        <v/>
      </c>
      <c r="KK208" s="80" t="n"/>
      <c r="KL208" s="80" t="n"/>
      <c r="KM208" s="80" t="n"/>
      <c r="KN208" s="51" t="n">
        <v>2</v>
      </c>
      <c r="KO208" s="285" t="inlineStr">
        <is>
          <t xml:space="preserve">TEBS 2s/2m </t>
        </is>
      </c>
    </row>
    <row r="209" outlineLevel="1" ht="43.2" customFormat="1" customHeight="1" s="68">
      <c r="A209" s="347" t="n"/>
      <c r="B209" s="347" t="n"/>
      <c r="C209" s="347" t="n"/>
      <c r="D209" s="347" t="n"/>
      <c r="E209" s="15" t="n">
        <v>2</v>
      </c>
      <c r="F209" s="15" t="n">
        <v>1</v>
      </c>
      <c r="G209" s="33" t="n">
        <v>9522010020</v>
      </c>
      <c r="H209" s="34" t="inlineStr">
        <is>
          <t>Головка соединительная (питающая)</t>
        </is>
      </c>
      <c r="I209" s="337" t="n">
        <v>76.19047619047619</v>
      </c>
      <c r="J209" s="337">
        <f>89.6/1.2*1.0863</f>
        <v/>
      </c>
      <c r="K209" s="337" t="n"/>
      <c r="L209" s="337" t="n"/>
      <c r="M209" s="39" t="n"/>
      <c r="N209" s="39" t="n"/>
      <c r="O209" s="39" t="n"/>
      <c r="P209" s="39" t="n"/>
      <c r="Q209" s="39" t="n"/>
      <c r="R209" s="39" t="n"/>
      <c r="S209" s="39" t="n"/>
      <c r="T209" s="39" t="n"/>
      <c r="U209" s="39" t="n"/>
      <c r="V209" s="39" t="n"/>
      <c r="W209" s="39" t="n"/>
      <c r="X209" s="39" t="n"/>
      <c r="Y209" s="39" t="n"/>
      <c r="Z209" s="39" t="n"/>
      <c r="AA209" s="39" t="n"/>
      <c r="AB209" s="39" t="n"/>
      <c r="AC209" s="39" t="n"/>
      <c r="AD209" s="39" t="n"/>
      <c r="AE209" s="39" t="n"/>
      <c r="AF209" s="39" t="n"/>
      <c r="AG209" s="39" t="n"/>
      <c r="AH209" s="39" t="n"/>
      <c r="AI209" s="39" t="n"/>
      <c r="AJ209" s="39" t="n"/>
      <c r="AK209" s="39" t="n"/>
      <c r="AL209" s="39" t="n"/>
      <c r="AM209" s="39" t="n"/>
      <c r="AN209" s="39" t="n"/>
      <c r="AO209" s="39" t="n"/>
      <c r="AP209" s="39" t="n"/>
      <c r="AQ209" s="39" t="n"/>
      <c r="AR209" s="39" t="n"/>
      <c r="AS209" s="39" t="n"/>
      <c r="AT209" s="39" t="n"/>
      <c r="AU209" s="39" t="n"/>
      <c r="AV209" s="39" t="n"/>
      <c r="AW209" s="39" t="n"/>
      <c r="AX209" s="39" t="n"/>
      <c r="AY209" s="39" t="n"/>
      <c r="AZ209" s="16" t="n"/>
      <c r="BA209" s="39" t="n"/>
      <c r="BB209" s="39" t="n"/>
      <c r="BC209" s="158" t="n"/>
      <c r="BD209" s="39" t="n"/>
      <c r="BE209" s="39" t="n"/>
      <c r="BF209" s="39" t="n"/>
      <c r="BG209" s="159" t="n"/>
      <c r="BH209" s="347" t="n"/>
      <c r="BI209" s="340" t="n"/>
      <c r="BJ209" s="341" t="n"/>
      <c r="BK209" s="340" t="n"/>
      <c r="BL209" s="341" t="n"/>
      <c r="BM209" s="340" t="n"/>
      <c r="BN209" s="341" t="n"/>
      <c r="BO209" s="39" t="n"/>
      <c r="BP209" s="39" t="n"/>
      <c r="BQ209" s="39" t="n"/>
      <c r="BR209" s="39" t="n"/>
      <c r="BS209" s="347" t="n"/>
      <c r="BT209" s="39" t="n"/>
      <c r="BU209" s="39" t="n"/>
      <c r="BV209" s="39" t="n"/>
      <c r="BW209" s="39" t="n"/>
      <c r="BX209" s="39" t="n"/>
      <c r="BY209" s="39" t="n"/>
      <c r="BZ209" s="39" t="n"/>
      <c r="CA209" s="39" t="n"/>
      <c r="CB209" s="39" t="n"/>
      <c r="CC209" s="39" t="n"/>
      <c r="CD209" s="39" t="n"/>
      <c r="CE209" s="39" t="n"/>
      <c r="CF209" s="39" t="n"/>
      <c r="CG209" s="39" t="n"/>
      <c r="CH209" s="39" t="n"/>
      <c r="CI209" s="39" t="n"/>
      <c r="CJ209" s="39" t="n"/>
      <c r="CK209" s="39">
        <f>$KN209*1</f>
        <v/>
      </c>
      <c r="CL209" s="39" t="n">
        <v>0</v>
      </c>
      <c r="CM209" s="347" t="n"/>
      <c r="CN209" s="39" t="n"/>
      <c r="CO209" s="39" t="n"/>
      <c r="CP209" s="39">
        <f>$KN209*1</f>
        <v/>
      </c>
      <c r="CQ209" s="39" t="n">
        <v>2</v>
      </c>
      <c r="CR209" s="16" t="n"/>
      <c r="CS209" s="39" t="n"/>
      <c r="CT209" s="39" t="n"/>
      <c r="CU209" s="39" t="n"/>
      <c r="CV209" s="39" t="n">
        <v>0</v>
      </c>
      <c r="CW209" s="39" t="n"/>
      <c r="CX209" s="39" t="n"/>
      <c r="CY209" s="39" t="n"/>
      <c r="CZ209" s="39" t="n"/>
      <c r="DA209" s="3" t="n">
        <v>0</v>
      </c>
      <c r="DB209" s="39" t="n"/>
      <c r="DC209" s="39" t="n"/>
      <c r="DD209" s="39" t="n"/>
      <c r="DE209" s="39" t="n"/>
      <c r="DF209" s="39" t="n"/>
      <c r="DG209" s="39" t="n"/>
      <c r="DH209" s="39" t="n"/>
      <c r="DI209" s="39" t="n"/>
      <c r="DJ209" s="39" t="n"/>
      <c r="DK209" s="39" t="n">
        <v>0</v>
      </c>
      <c r="DL209" s="39" t="n"/>
      <c r="DM209" s="39" t="n"/>
      <c r="DN209" s="39" t="n"/>
      <c r="DO209" s="39" t="n"/>
      <c r="DP209" s="39" t="n">
        <v>0</v>
      </c>
      <c r="DQ209" s="39" t="n"/>
      <c r="DR209" s="39" t="n"/>
      <c r="DS209" s="39" t="n"/>
      <c r="DT209" s="39" t="n"/>
      <c r="DU209" s="39" t="n">
        <v>0</v>
      </c>
      <c r="DV209" s="39" t="n"/>
      <c r="DW209" s="340">
        <f t="array" ref="DW209">SUMPRODUCT(--(MOD(COLUMN($BO209:$DV209),5)=MOD(COLUMN($BO209),5)),$BO209:$DV209)</f>
        <v/>
      </c>
      <c r="DX209" s="341">
        <f>DW209*$J209</f>
        <v/>
      </c>
      <c r="DY209" s="340">
        <f t="array" ref="DY209">SUMPRODUCT(--(MOD(COLUMN($BO209:$DV209),5)=MOD(COLUMN($BP209),5)),$BO209:$DV209)</f>
        <v/>
      </c>
      <c r="DZ209" s="341">
        <f>DY209*$J209</f>
        <v/>
      </c>
      <c r="EA209" s="340">
        <f t="array" ref="EA209">SUMPRODUCT(--(MOD(COLUMN($BO209:$DV209),5)=MOD(COLUMN($BQ209),5)),$BO209:$DV209)</f>
        <v/>
      </c>
      <c r="EB209" s="341">
        <f>EA209*$J209</f>
        <v/>
      </c>
      <c r="EC209" s="340">
        <f t="array" ref="EC209">SUMPRODUCT(--(MOD(COLUMN($BO209:$DV209),5)=MOD(COLUMN($BR209),5)),$BO209:$DV209)</f>
        <v/>
      </c>
      <c r="ED209" s="341">
        <f>EC209*$J209</f>
        <v/>
      </c>
      <c r="EE209" s="39" t="n"/>
      <c r="EF209" s="39" t="n"/>
      <c r="EG209" s="39" t="n"/>
      <c r="EH209" s="39" t="n"/>
      <c r="EI209" s="39" t="n"/>
      <c r="EJ209" s="39" t="n"/>
      <c r="EK209" s="39" t="n">
        <v>0</v>
      </c>
      <c r="EL209" s="39" t="n"/>
      <c r="EM209" s="39" t="n"/>
      <c r="EN209" s="39" t="n"/>
      <c r="EO209" s="39" t="n">
        <v>0</v>
      </c>
      <c r="EP209" s="39" t="n"/>
      <c r="EQ209" s="204">
        <f>$KN209*0</f>
        <v/>
      </c>
      <c r="ER209" s="39" t="n">
        <v>0</v>
      </c>
      <c r="ES209" s="39" t="n"/>
      <c r="ET209" s="39" t="n"/>
      <c r="EU209" s="204">
        <f>$KN209*0</f>
        <v/>
      </c>
      <c r="EV209" s="39" t="n">
        <v>0</v>
      </c>
      <c r="EW209" s="39" t="n"/>
      <c r="EX209" s="39" t="n"/>
      <c r="EY209" s="200" t="n">
        <v>2</v>
      </c>
      <c r="EZ209" s="155" t="n">
        <v>0</v>
      </c>
      <c r="FA209" s="39" t="n">
        <v>0</v>
      </c>
      <c r="FB209" s="39" t="n"/>
      <c r="FC209" s="204">
        <f>$KN209*0</f>
        <v/>
      </c>
      <c r="FD209" s="39" t="n">
        <v>0</v>
      </c>
      <c r="FE209" s="39" t="n"/>
      <c r="FF209" s="39" t="n"/>
      <c r="FG209" s="204">
        <f>$KN209*0</f>
        <v/>
      </c>
      <c r="FH209" s="39" t="n">
        <v>0</v>
      </c>
      <c r="FI209" s="39" t="n"/>
      <c r="FJ209" s="39" t="n"/>
      <c r="FK209" s="200" t="n">
        <v>2</v>
      </c>
      <c r="FL209" s="155" t="n">
        <v>0</v>
      </c>
      <c r="FM209" s="39" t="n">
        <v>0</v>
      </c>
      <c r="FN209" s="39" t="n"/>
      <c r="FO209" s="39">
        <f>$KN209*0</f>
        <v/>
      </c>
      <c r="FP209" s="39" t="n">
        <v>0</v>
      </c>
      <c r="FQ209" s="39" t="n"/>
      <c r="FR209" s="39" t="n"/>
      <c r="FS209" s="39">
        <f>$KN209*0</f>
        <v/>
      </c>
      <c r="FT209" s="39" t="n">
        <v>0</v>
      </c>
      <c r="FU209" s="39" t="n"/>
      <c r="FV209" s="39" t="n"/>
      <c r="FW209" s="200" t="n">
        <v>2</v>
      </c>
      <c r="FX209" s="155" t="n">
        <v>0</v>
      </c>
      <c r="FY209" s="39" t="n">
        <v>0</v>
      </c>
      <c r="FZ209" s="39" t="n"/>
      <c r="GA209" s="340">
        <f>SUMPRODUCT(--(MOD(COLUMN($EE209:$FZ209),4)=MOD(COLUMN($EE209),4)),$EE209:$FZ209)</f>
        <v/>
      </c>
      <c r="GB209" s="341">
        <f>GA209*$J209</f>
        <v/>
      </c>
      <c r="GC209" s="340">
        <f>SUMPRODUCT(--(MOD(COLUMN($EE209:$FZ209),4)=MOD(COLUMN($EF209),4)),$EE209:$FZ209)</f>
        <v/>
      </c>
      <c r="GD209" s="341">
        <f>GC209*$J209</f>
        <v/>
      </c>
      <c r="GE209" s="340">
        <f>SUMPRODUCT(--(MOD(COLUMN($EE209:$FZ209),4)=MOD(COLUMN($EG209),4)),$EE209:$FZ209)</f>
        <v/>
      </c>
      <c r="GF209" s="341">
        <f>GE209*$J209</f>
        <v/>
      </c>
      <c r="GG209" s="39">
        <f>$KN209*0</f>
        <v/>
      </c>
      <c r="GH209" s="39" t="n"/>
      <c r="GI209" s="39" t="n"/>
      <c r="GJ209" s="39" t="n"/>
      <c r="GK209" s="39">
        <f>$KN209*0</f>
        <v/>
      </c>
      <c r="GL209" s="39" t="n"/>
      <c r="GM209" s="39" t="n"/>
      <c r="GN209" s="39" t="n"/>
      <c r="GO209" s="169" t="n">
        <v>0</v>
      </c>
      <c r="GP209" s="39" t="n"/>
      <c r="GQ209" s="39" t="n"/>
      <c r="GR209" s="39" t="n"/>
      <c r="GS209" s="39">
        <f>$KN209*0</f>
        <v/>
      </c>
      <c r="GT209" s="39" t="n"/>
      <c r="GU209" s="39" t="n"/>
      <c r="GV209" s="39" t="n"/>
      <c r="GW209" s="39">
        <f>$KN209*0</f>
        <v/>
      </c>
      <c r="GX209" s="39" t="n"/>
      <c r="GY209" s="39" t="n"/>
      <c r="GZ209" s="39" t="n"/>
      <c r="HA209" s="169" t="n">
        <v>0</v>
      </c>
      <c r="HB209" s="39" t="n"/>
      <c r="HC209" s="39" t="n"/>
      <c r="HD209" s="39" t="n"/>
      <c r="HE209" s="39">
        <f>$KN209*0</f>
        <v/>
      </c>
      <c r="HF209" s="39" t="n"/>
      <c r="HG209" s="39" t="n"/>
      <c r="HH209" s="39" t="n"/>
      <c r="HI209" s="39">
        <f>$KN209*0</f>
        <v/>
      </c>
      <c r="HJ209" s="39" t="n"/>
      <c r="HK209" s="39" t="n"/>
      <c r="HL209" s="39" t="n"/>
      <c r="HM209" s="169" t="n">
        <v>0</v>
      </c>
      <c r="HN209" s="39" t="n"/>
      <c r="HO209" s="39" t="n"/>
      <c r="HP209" s="39" t="n"/>
      <c r="HQ209" s="39">
        <f>$KN209*0</f>
        <v/>
      </c>
      <c r="HR209" s="39" t="n"/>
      <c r="HS209" s="39" t="n"/>
      <c r="HT209" s="39" t="n"/>
      <c r="HU209" s="39">
        <f>$KN209*0</f>
        <v/>
      </c>
      <c r="HV209" s="39" t="n"/>
      <c r="HW209" s="39" t="n"/>
      <c r="HX209" s="39" t="n"/>
      <c r="HY209" s="169" t="n">
        <v>0</v>
      </c>
      <c r="HZ209" s="39" t="n"/>
      <c r="IA209" s="39" t="n"/>
      <c r="IB209" s="39" t="n"/>
      <c r="IC209" s="340">
        <f t="array" ref="IC209">SUMPRODUCT(--(MOD(COLUMN($GG209:$IB209),4)=MOD(COLUMN($GG209),4)),$GG209:$IB209)</f>
        <v/>
      </c>
      <c r="ID209" s="341">
        <f>IC209*$J209</f>
        <v/>
      </c>
      <c r="IE209" s="340">
        <f t="array" ref="IE209">SUMPRODUCT(--(MOD(COLUMN($GG209:$IB209),4)=MOD(COLUMN($GH209),4)),$GG209:$IB209)</f>
        <v/>
      </c>
      <c r="IF209" s="341">
        <f>IE209*$J209</f>
        <v/>
      </c>
      <c r="IG209" s="340">
        <f t="array" ref="IG209">SUMPRODUCT(--(MOD(COLUMN($GG209:$IB209),4)=MOD(COLUMN($GI209),4)),$GG209:$IB209)</f>
        <v/>
      </c>
      <c r="IH209" s="341">
        <f>IG209*$J209</f>
        <v/>
      </c>
      <c r="II209" s="39">
        <f>$KN209*0</f>
        <v/>
      </c>
      <c r="IJ209" s="39" t="n"/>
      <c r="IK209" s="39" t="n"/>
      <c r="IL209" s="39" t="n"/>
      <c r="IM209" s="39">
        <f>$KN209*0</f>
        <v/>
      </c>
      <c r="IN209" s="39" t="n"/>
      <c r="IO209" s="39" t="n"/>
      <c r="IP209" s="39" t="n"/>
      <c r="IQ209" s="169" t="n">
        <v>0</v>
      </c>
      <c r="IR209" s="39" t="n"/>
      <c r="IS209" s="39" t="n"/>
      <c r="IT209" s="39" t="n"/>
      <c r="IU209" s="39">
        <f>$KN209*0</f>
        <v/>
      </c>
      <c r="IV209" s="39" t="n"/>
      <c r="IW209" s="39" t="n"/>
      <c r="IX209" s="39" t="n"/>
      <c r="IY209" s="39">
        <f>$KN209*0</f>
        <v/>
      </c>
      <c r="IZ209" s="39" t="n"/>
      <c r="JA209" s="39" t="n"/>
      <c r="JB209" s="39" t="n"/>
      <c r="JC209" s="169" t="n">
        <v>0</v>
      </c>
      <c r="JD209" s="39" t="n"/>
      <c r="JE209" s="39" t="n"/>
      <c r="JF209" s="39" t="n"/>
      <c r="JG209" s="39">
        <f>$KN209*0</f>
        <v/>
      </c>
      <c r="JH209" s="39" t="n"/>
      <c r="JI209" s="39" t="n"/>
      <c r="JJ209" s="39" t="n"/>
      <c r="JK209" s="39">
        <f>$KN209*0</f>
        <v/>
      </c>
      <c r="JL209" s="39" t="n"/>
      <c r="JM209" s="39" t="n"/>
      <c r="JN209" s="39" t="n"/>
      <c r="JO209" s="169" t="n">
        <v>0</v>
      </c>
      <c r="JP209" s="39" t="n"/>
      <c r="JQ209" s="39" t="n"/>
      <c r="JR209" s="39" t="n"/>
      <c r="JS209" s="39">
        <f>$KN209*0</f>
        <v/>
      </c>
      <c r="JT209" s="39" t="n"/>
      <c r="JU209" s="39" t="n"/>
      <c r="JV209" s="39" t="n"/>
      <c r="JW209" s="39">
        <f>$KN209*0</f>
        <v/>
      </c>
      <c r="JX209" s="39" t="n"/>
      <c r="JY209" s="39" t="n"/>
      <c r="JZ209" s="39" t="n"/>
      <c r="KA209" s="169" t="n">
        <v>0</v>
      </c>
      <c r="KB209" s="39" t="n"/>
      <c r="KC209" s="39" t="n"/>
      <c r="KD209" s="39" t="n"/>
      <c r="KE209" s="340">
        <f t="array" ref="KE209">SUMPRODUCT(--(MOD(COLUMN($II209:$KD209),4)=MOD(COLUMN($II209),4)),$II209:$KD209)</f>
        <v/>
      </c>
      <c r="KF209" s="341">
        <f>KE209*$J209</f>
        <v/>
      </c>
      <c r="KG209" s="340">
        <f t="array" ref="KG209">SUMPRODUCT(--(MOD(COLUMN($II209:$KD209),4)=MOD(COLUMN($IJ209),4)),$II209:$KD209)</f>
        <v/>
      </c>
      <c r="KH209" s="341">
        <f>KG209*$J209</f>
        <v/>
      </c>
      <c r="KI209" s="340">
        <f t="array" ref="KI209">SUMPRODUCT(--(MOD(COLUMN($II209:$KD209),4)=MOD(COLUMN($IK209),4)),$II209:$KD209)</f>
        <v/>
      </c>
      <c r="KJ209" s="385">
        <f>KI209*$J209</f>
        <v/>
      </c>
      <c r="KK209" s="80" t="n"/>
      <c r="KL209" s="80" t="n"/>
      <c r="KM209" s="80" t="n"/>
      <c r="KN209" s="51" t="n">
        <v>2</v>
      </c>
      <c r="KO209" s="347" t="n"/>
    </row>
    <row r="210" outlineLevel="1" ht="43.2" customFormat="1" customHeight="1" s="68">
      <c r="A210" s="347" t="n"/>
      <c r="B210" s="347" t="n"/>
      <c r="C210" s="347" t="n"/>
      <c r="D210" s="347" t="n"/>
      <c r="E210" s="15" t="n">
        <v>3</v>
      </c>
      <c r="F210" s="15" t="n">
        <v>1</v>
      </c>
      <c r="G210" s="33" t="n">
        <v>9710029000</v>
      </c>
      <c r="H210" s="34" t="inlineStr">
        <is>
          <t>Воздухораспределитель с клапаном растормаживания</t>
        </is>
      </c>
      <c r="I210" s="337" t="n">
        <v>543.3673469387755</v>
      </c>
      <c r="J210" s="337">
        <f>639/1.2*1.0863</f>
        <v/>
      </c>
      <c r="K210" s="337" t="n"/>
      <c r="L210" s="337" t="n"/>
      <c r="M210" s="39" t="n"/>
      <c r="N210" s="39" t="n"/>
      <c r="O210" s="39" t="n"/>
      <c r="P210" s="39" t="n"/>
      <c r="Q210" s="39" t="n"/>
      <c r="R210" s="39" t="n"/>
      <c r="S210" s="39" t="n"/>
      <c r="T210" s="39" t="n"/>
      <c r="U210" s="39" t="n"/>
      <c r="V210" s="39" t="n"/>
      <c r="W210" s="39" t="n"/>
      <c r="X210" s="39" t="n"/>
      <c r="Y210" s="39" t="n"/>
      <c r="Z210" s="39" t="n"/>
      <c r="AA210" s="39" t="n"/>
      <c r="AB210" s="39" t="n"/>
      <c r="AC210" s="39" t="n"/>
      <c r="AD210" s="39" t="n"/>
      <c r="AE210" s="39" t="n"/>
      <c r="AF210" s="39" t="n"/>
      <c r="AG210" s="39" t="n"/>
      <c r="AH210" s="39" t="n"/>
      <c r="AI210" s="39" t="n"/>
      <c r="AJ210" s="39" t="n"/>
      <c r="AK210" s="39" t="n"/>
      <c r="AL210" s="39" t="n"/>
      <c r="AM210" s="39" t="n"/>
      <c r="AN210" s="39" t="n"/>
      <c r="AO210" s="39" t="n"/>
      <c r="AP210" s="39" t="n"/>
      <c r="AQ210" s="39" t="n"/>
      <c r="AR210" s="39" t="n"/>
      <c r="AS210" s="39" t="n"/>
      <c r="AT210" s="39" t="n"/>
      <c r="AU210" s="39" t="n"/>
      <c r="AV210" s="39" t="n"/>
      <c r="AW210" s="39" t="n"/>
      <c r="AX210" s="39" t="n"/>
      <c r="AY210" s="39" t="n"/>
      <c r="AZ210" s="16" t="n"/>
      <c r="BA210" s="39" t="n"/>
      <c r="BB210" s="39" t="n"/>
      <c r="BC210" s="158" t="n"/>
      <c r="BD210" s="39" t="n"/>
      <c r="BE210" s="39" t="n"/>
      <c r="BF210" s="39" t="n"/>
      <c r="BG210" s="159" t="n"/>
      <c r="BH210" s="347" t="n"/>
      <c r="BI210" s="340" t="n"/>
      <c r="BJ210" s="341" t="n"/>
      <c r="BK210" s="340" t="n"/>
      <c r="BL210" s="341" t="n"/>
      <c r="BM210" s="340" t="n"/>
      <c r="BN210" s="341" t="n"/>
      <c r="BO210" s="39" t="n"/>
      <c r="BP210" s="39" t="n"/>
      <c r="BQ210" s="39" t="n"/>
      <c r="BR210" s="39" t="n"/>
      <c r="BS210" s="347" t="n"/>
      <c r="BT210" s="39" t="n"/>
      <c r="BU210" s="39" t="n"/>
      <c r="BV210" s="39" t="n"/>
      <c r="BW210" s="39" t="n"/>
      <c r="BX210" s="39" t="n"/>
      <c r="BY210" s="39" t="n"/>
      <c r="BZ210" s="39" t="n"/>
      <c r="CA210" s="39" t="n"/>
      <c r="CB210" s="39" t="n"/>
      <c r="CC210" s="39" t="n"/>
      <c r="CD210" s="39" t="n"/>
      <c r="CE210" s="39" t="n"/>
      <c r="CF210" s="39" t="n"/>
      <c r="CG210" s="39" t="n"/>
      <c r="CH210" s="39" t="n"/>
      <c r="CI210" s="39" t="n"/>
      <c r="CJ210" s="39" t="n"/>
      <c r="CK210" s="39">
        <f>$KN210*1</f>
        <v/>
      </c>
      <c r="CL210" s="39" t="n">
        <v>0</v>
      </c>
      <c r="CM210" s="347" t="n"/>
      <c r="CN210" s="39" t="n"/>
      <c r="CO210" s="39" t="n"/>
      <c r="CP210" s="39">
        <f>$KN210*1</f>
        <v/>
      </c>
      <c r="CQ210" s="39" t="n">
        <v>1</v>
      </c>
      <c r="CR210" s="16" t="n"/>
      <c r="CS210" s="39" t="n"/>
      <c r="CT210" s="39" t="n"/>
      <c r="CU210" s="39" t="n"/>
      <c r="CV210" s="39" t="n">
        <v>0</v>
      </c>
      <c r="CW210" s="39" t="n"/>
      <c r="CX210" s="39" t="n"/>
      <c r="CY210" s="39" t="n"/>
      <c r="CZ210" s="39" t="n"/>
      <c r="DA210" s="39" t="n">
        <v>0</v>
      </c>
      <c r="DB210" s="39" t="n"/>
      <c r="DC210" s="39" t="n"/>
      <c r="DD210" s="39" t="n"/>
      <c r="DE210" s="39" t="n"/>
      <c r="DF210" s="39" t="n"/>
      <c r="DG210" s="39" t="n"/>
      <c r="DH210" s="39" t="n"/>
      <c r="DI210" s="39" t="n"/>
      <c r="DJ210" s="39" t="n"/>
      <c r="DK210" s="39" t="n">
        <v>0</v>
      </c>
      <c r="DL210" s="39" t="n"/>
      <c r="DM210" s="39" t="n"/>
      <c r="DN210" s="39" t="n"/>
      <c r="DO210" s="39" t="n"/>
      <c r="DP210" s="39" t="n">
        <v>0</v>
      </c>
      <c r="DQ210" s="39" t="n"/>
      <c r="DR210" s="39" t="n"/>
      <c r="DS210" s="39" t="n"/>
      <c r="DT210" s="39" t="n"/>
      <c r="DU210" s="39" t="n">
        <v>0</v>
      </c>
      <c r="DV210" s="39" t="n"/>
      <c r="DW210" s="340">
        <f t="array" ref="DW210">SUMPRODUCT(--(MOD(COLUMN($BO210:$DV210),5)=MOD(COLUMN($BO210),5)),$BO210:$DV210)</f>
        <v/>
      </c>
      <c r="DX210" s="341">
        <f>DW210*$J210</f>
        <v/>
      </c>
      <c r="DY210" s="340">
        <f t="array" ref="DY210">SUMPRODUCT(--(MOD(COLUMN($BO210:$DV210),5)=MOD(COLUMN($BP210),5)),$BO210:$DV210)</f>
        <v/>
      </c>
      <c r="DZ210" s="341">
        <f>DY210*$J210</f>
        <v/>
      </c>
      <c r="EA210" s="340">
        <f t="array" ref="EA210">SUMPRODUCT(--(MOD(COLUMN($BO210:$DV210),5)=MOD(COLUMN($BQ210),5)),$BO210:$DV210)</f>
        <v/>
      </c>
      <c r="EB210" s="341">
        <f>EA210*$J210</f>
        <v/>
      </c>
      <c r="EC210" s="340">
        <f t="array" ref="EC210">SUMPRODUCT(--(MOD(COLUMN($BO210:$DV210),5)=MOD(COLUMN($BR210),5)),$BO210:$DV210)</f>
        <v/>
      </c>
      <c r="ED210" s="341">
        <f>EC210*$J210</f>
        <v/>
      </c>
      <c r="EE210" s="39" t="n"/>
      <c r="EF210" s="39" t="n"/>
      <c r="EG210" s="39" t="n"/>
      <c r="EH210" s="39" t="n"/>
      <c r="EI210" s="39" t="n"/>
      <c r="EJ210" s="39" t="n"/>
      <c r="EK210" s="39" t="n">
        <v>0</v>
      </c>
      <c r="EL210" s="39" t="n"/>
      <c r="EM210" s="39" t="n"/>
      <c r="EN210" s="39" t="n"/>
      <c r="EO210" s="39" t="n">
        <v>0</v>
      </c>
      <c r="EP210" s="39" t="n"/>
      <c r="EQ210" s="204">
        <f>$KN210*0</f>
        <v/>
      </c>
      <c r="ER210" s="39" t="n">
        <v>0</v>
      </c>
      <c r="ES210" s="39" t="n"/>
      <c r="ET210" s="39" t="n"/>
      <c r="EU210" s="204">
        <f>$KN210*0</f>
        <v/>
      </c>
      <c r="EV210" s="39" t="n">
        <v>0</v>
      </c>
      <c r="EW210" s="39" t="n"/>
      <c r="EX210" s="39" t="n"/>
      <c r="EY210" s="200" t="n">
        <v>1</v>
      </c>
      <c r="EZ210" s="155" t="n">
        <v>0</v>
      </c>
      <c r="FA210" s="39" t="n">
        <v>0</v>
      </c>
      <c r="FB210" s="39" t="n"/>
      <c r="FC210" s="204">
        <f>$KN210*0</f>
        <v/>
      </c>
      <c r="FD210" s="39" t="n">
        <v>0</v>
      </c>
      <c r="FE210" s="39" t="n"/>
      <c r="FF210" s="39" t="n"/>
      <c r="FG210" s="204">
        <f>$KN210*0</f>
        <v/>
      </c>
      <c r="FH210" s="39" t="n">
        <v>0</v>
      </c>
      <c r="FI210" s="39" t="n"/>
      <c r="FJ210" s="39" t="n"/>
      <c r="FK210" s="200" t="n">
        <v>1</v>
      </c>
      <c r="FL210" s="155" t="n">
        <v>0</v>
      </c>
      <c r="FM210" s="39" t="n">
        <v>0</v>
      </c>
      <c r="FN210" s="39" t="n"/>
      <c r="FO210" s="39">
        <f>$KN210*0</f>
        <v/>
      </c>
      <c r="FP210" s="39" t="n">
        <v>0</v>
      </c>
      <c r="FQ210" s="39" t="n"/>
      <c r="FR210" s="39" t="n"/>
      <c r="FS210" s="39">
        <f>$KN210*0</f>
        <v/>
      </c>
      <c r="FT210" s="39" t="n">
        <v>0</v>
      </c>
      <c r="FU210" s="39" t="n"/>
      <c r="FV210" s="39" t="n"/>
      <c r="FW210" s="200" t="n">
        <v>1</v>
      </c>
      <c r="FX210" s="155" t="n">
        <v>0</v>
      </c>
      <c r="FY210" s="39" t="n">
        <v>0</v>
      </c>
      <c r="FZ210" s="39" t="n"/>
      <c r="GA210" s="340">
        <f>SUMPRODUCT(--(MOD(COLUMN($EE210:$FZ210),4)=MOD(COLUMN($EE210),4)),$EE210:$FZ210)</f>
        <v/>
      </c>
      <c r="GB210" s="341">
        <f>GA210*$J210</f>
        <v/>
      </c>
      <c r="GC210" s="340">
        <f>SUMPRODUCT(--(MOD(COLUMN($EE210:$FZ210),4)=MOD(COLUMN($EF210),4)),$EE210:$FZ210)</f>
        <v/>
      </c>
      <c r="GD210" s="341">
        <f>GC210*$J210</f>
        <v/>
      </c>
      <c r="GE210" s="340">
        <f>SUMPRODUCT(--(MOD(COLUMN($EE210:$FZ210),4)=MOD(COLUMN($EG210),4)),$EE210:$FZ210)</f>
        <v/>
      </c>
      <c r="GF210" s="341">
        <f>GE210*$J210</f>
        <v/>
      </c>
      <c r="GG210" s="39">
        <f>$KN210*0</f>
        <v/>
      </c>
      <c r="GH210" s="39" t="n"/>
      <c r="GI210" s="39" t="n"/>
      <c r="GJ210" s="39" t="n"/>
      <c r="GK210" s="39">
        <f>$KN210*0</f>
        <v/>
      </c>
      <c r="GL210" s="39" t="n"/>
      <c r="GM210" s="39" t="n"/>
      <c r="GN210" s="39" t="n"/>
      <c r="GO210" s="169" t="n">
        <v>0</v>
      </c>
      <c r="GP210" s="39" t="n"/>
      <c r="GQ210" s="39" t="n"/>
      <c r="GR210" s="39" t="n"/>
      <c r="GS210" s="39">
        <f>$KN210*0</f>
        <v/>
      </c>
      <c r="GT210" s="39" t="n"/>
      <c r="GU210" s="39" t="n"/>
      <c r="GV210" s="39" t="n"/>
      <c r="GW210" s="39">
        <f>$KN210*0</f>
        <v/>
      </c>
      <c r="GX210" s="39" t="n"/>
      <c r="GY210" s="39" t="n"/>
      <c r="GZ210" s="39" t="n"/>
      <c r="HA210" s="169" t="n">
        <v>0</v>
      </c>
      <c r="HB210" s="39" t="n"/>
      <c r="HC210" s="39" t="n"/>
      <c r="HD210" s="39" t="n"/>
      <c r="HE210" s="39">
        <f>$KN210*0</f>
        <v/>
      </c>
      <c r="HF210" s="39" t="n"/>
      <c r="HG210" s="39" t="n"/>
      <c r="HH210" s="39" t="n"/>
      <c r="HI210" s="39">
        <f>$KN210*0</f>
        <v/>
      </c>
      <c r="HJ210" s="39" t="n"/>
      <c r="HK210" s="39" t="n"/>
      <c r="HL210" s="39" t="n"/>
      <c r="HM210" s="169" t="n">
        <v>0</v>
      </c>
      <c r="HN210" s="39" t="n"/>
      <c r="HO210" s="39" t="n"/>
      <c r="HP210" s="39" t="n"/>
      <c r="HQ210" s="39">
        <f>$KN210*0</f>
        <v/>
      </c>
      <c r="HR210" s="39" t="n"/>
      <c r="HS210" s="39" t="n"/>
      <c r="HT210" s="39" t="n"/>
      <c r="HU210" s="39">
        <f>$KN210*0</f>
        <v/>
      </c>
      <c r="HV210" s="39" t="n"/>
      <c r="HW210" s="39" t="n"/>
      <c r="HX210" s="39" t="n"/>
      <c r="HY210" s="169" t="n">
        <v>0</v>
      </c>
      <c r="HZ210" s="39" t="n"/>
      <c r="IA210" s="39" t="n"/>
      <c r="IB210" s="39" t="n"/>
      <c r="IC210" s="340">
        <f t="array" ref="IC210">SUMPRODUCT(--(MOD(COLUMN($GG210:$IB210),4)=MOD(COLUMN($GG210),4)),$GG210:$IB210)</f>
        <v/>
      </c>
      <c r="ID210" s="341">
        <f>IC210*$J210</f>
        <v/>
      </c>
      <c r="IE210" s="340">
        <f t="array" ref="IE210">SUMPRODUCT(--(MOD(COLUMN($GG210:$IB210),4)=MOD(COLUMN($GH210),4)),$GG210:$IB210)</f>
        <v/>
      </c>
      <c r="IF210" s="341">
        <f>IE210*$J210</f>
        <v/>
      </c>
      <c r="IG210" s="340">
        <f t="array" ref="IG210">SUMPRODUCT(--(MOD(COLUMN($GG210:$IB210),4)=MOD(COLUMN($GI210),4)),$GG210:$IB210)</f>
        <v/>
      </c>
      <c r="IH210" s="341">
        <f>IG210*$J210</f>
        <v/>
      </c>
      <c r="II210" s="39">
        <f>$KN210*0</f>
        <v/>
      </c>
      <c r="IJ210" s="39" t="n"/>
      <c r="IK210" s="39" t="n"/>
      <c r="IL210" s="39" t="n"/>
      <c r="IM210" s="39">
        <f>$KN210*0</f>
        <v/>
      </c>
      <c r="IN210" s="39" t="n"/>
      <c r="IO210" s="39" t="n"/>
      <c r="IP210" s="39" t="n"/>
      <c r="IQ210" s="169" t="n">
        <v>0</v>
      </c>
      <c r="IR210" s="39" t="n"/>
      <c r="IS210" s="39" t="n"/>
      <c r="IT210" s="39" t="n"/>
      <c r="IU210" s="39">
        <f>$KN210*0</f>
        <v/>
      </c>
      <c r="IV210" s="39" t="n"/>
      <c r="IW210" s="39" t="n"/>
      <c r="IX210" s="39" t="n"/>
      <c r="IY210" s="39">
        <f>$KN210*0</f>
        <v/>
      </c>
      <c r="IZ210" s="39" t="n"/>
      <c r="JA210" s="39" t="n"/>
      <c r="JB210" s="39" t="n"/>
      <c r="JC210" s="169" t="n">
        <v>0</v>
      </c>
      <c r="JD210" s="39" t="n"/>
      <c r="JE210" s="39" t="n"/>
      <c r="JF210" s="39" t="n"/>
      <c r="JG210" s="39">
        <f>$KN210*0</f>
        <v/>
      </c>
      <c r="JH210" s="39" t="n"/>
      <c r="JI210" s="39" t="n"/>
      <c r="JJ210" s="39" t="n"/>
      <c r="JK210" s="39">
        <f>$KN210*0</f>
        <v/>
      </c>
      <c r="JL210" s="39" t="n"/>
      <c r="JM210" s="39" t="n"/>
      <c r="JN210" s="39" t="n"/>
      <c r="JO210" s="169" t="n">
        <v>0</v>
      </c>
      <c r="JP210" s="39" t="n"/>
      <c r="JQ210" s="39" t="n"/>
      <c r="JR210" s="39" t="n"/>
      <c r="JS210" s="39">
        <f>$KN210*0</f>
        <v/>
      </c>
      <c r="JT210" s="39" t="n"/>
      <c r="JU210" s="39" t="n"/>
      <c r="JV210" s="39" t="n"/>
      <c r="JW210" s="39">
        <f>$KN210*0</f>
        <v/>
      </c>
      <c r="JX210" s="39" t="n"/>
      <c r="JY210" s="39" t="n"/>
      <c r="JZ210" s="39" t="n"/>
      <c r="KA210" s="169" t="n">
        <v>0</v>
      </c>
      <c r="KB210" s="39" t="n"/>
      <c r="KC210" s="39" t="n"/>
      <c r="KD210" s="39" t="n"/>
      <c r="KE210" s="340">
        <f t="array" ref="KE210">SUMPRODUCT(--(MOD(COLUMN($II210:$KD210),4)=MOD(COLUMN($II210),4)),$II210:$KD210)</f>
        <v/>
      </c>
      <c r="KF210" s="341">
        <f>KE210*$J210</f>
        <v/>
      </c>
      <c r="KG210" s="340">
        <f t="array" ref="KG210">SUMPRODUCT(--(MOD(COLUMN($II210:$KD210),4)=MOD(COLUMN($IJ210),4)),$II210:$KD210)</f>
        <v/>
      </c>
      <c r="KH210" s="341">
        <f>KG210*$J210</f>
        <v/>
      </c>
      <c r="KI210" s="340">
        <f t="array" ref="KI210">SUMPRODUCT(--(MOD(COLUMN($II210:$KD210),4)=MOD(COLUMN($IK210),4)),$II210:$KD210)</f>
        <v/>
      </c>
      <c r="KJ210" s="385">
        <f>KI210*$J210</f>
        <v/>
      </c>
      <c r="KK210" s="80" t="n"/>
      <c r="KL210" s="80" t="n"/>
      <c r="KM210" s="80" t="n"/>
      <c r="KN210" s="51" t="n">
        <v>1</v>
      </c>
      <c r="KO210" s="347" t="n"/>
    </row>
    <row r="211" outlineLevel="1" ht="28.8" customFormat="1" customHeight="1" s="68">
      <c r="A211" s="347" t="n"/>
      <c r="B211" s="347" t="n"/>
      <c r="C211" s="347" t="n"/>
      <c r="D211" s="347" t="n"/>
      <c r="E211" s="15" t="n">
        <v>4</v>
      </c>
      <c r="F211" s="15" t="n">
        <v>1</v>
      </c>
      <c r="G211" s="33" t="n">
        <v>4801020640</v>
      </c>
      <c r="H211" s="34" t="inlineStr">
        <is>
          <t>Модулятор EBS, с PEM, без фит.</t>
        </is>
      </c>
      <c r="I211" s="337">
        <f>4169.1/1.2*1.0863*1.048</f>
        <v/>
      </c>
      <c r="J211" s="337">
        <f>4169/1.2*1.0863*1.048*1.05</f>
        <v/>
      </c>
      <c r="K211" s="337" t="n"/>
      <c r="L211" s="337" t="n"/>
      <c r="M211" s="39" t="n"/>
      <c r="N211" s="39" t="n"/>
      <c r="O211" s="39" t="n"/>
      <c r="P211" s="39" t="n"/>
      <c r="Q211" s="39" t="n"/>
      <c r="R211" s="39" t="n"/>
      <c r="S211" s="39" t="n"/>
      <c r="T211" s="39" t="n"/>
      <c r="U211" s="39" t="n"/>
      <c r="V211" s="39" t="n"/>
      <c r="W211" s="39" t="n"/>
      <c r="X211" s="39" t="n"/>
      <c r="Y211" s="39" t="n"/>
      <c r="Z211" s="39" t="n"/>
      <c r="AA211" s="39" t="n"/>
      <c r="AB211" s="39" t="n"/>
      <c r="AC211" s="39" t="n"/>
      <c r="AD211" s="39" t="n"/>
      <c r="AE211" s="39" t="n"/>
      <c r="AF211" s="39" t="n"/>
      <c r="AG211" s="39" t="n"/>
      <c r="AH211" s="39" t="n"/>
      <c r="AI211" s="39" t="n"/>
      <c r="AJ211" s="39" t="n"/>
      <c r="AK211" s="39" t="n"/>
      <c r="AL211" s="39" t="n"/>
      <c r="AM211" s="39" t="n"/>
      <c r="AN211" s="39" t="n"/>
      <c r="AO211" s="39" t="n"/>
      <c r="AP211" s="39" t="n"/>
      <c r="AQ211" s="39" t="n"/>
      <c r="AR211" s="39" t="n"/>
      <c r="AS211" s="39" t="n"/>
      <c r="AT211" s="39" t="n"/>
      <c r="AU211" s="39" t="n"/>
      <c r="AV211" s="39" t="n"/>
      <c r="AW211" s="39" t="n"/>
      <c r="AX211" s="39" t="n"/>
      <c r="AY211" s="39" t="n"/>
      <c r="AZ211" s="16" t="n"/>
      <c r="BA211" s="39" t="n"/>
      <c r="BB211" s="39" t="n"/>
      <c r="BC211" s="158" t="n"/>
      <c r="BD211" s="39" t="n"/>
      <c r="BE211" s="39" t="n"/>
      <c r="BF211" s="39" t="n"/>
      <c r="BG211" s="159" t="n"/>
      <c r="BH211" s="347" t="n"/>
      <c r="BI211" s="340" t="n"/>
      <c r="BJ211" s="341" t="n"/>
      <c r="BK211" s="340" t="n"/>
      <c r="BL211" s="341" t="n"/>
      <c r="BM211" s="340" t="n"/>
      <c r="BN211" s="341" t="n"/>
      <c r="BO211" s="39" t="n"/>
      <c r="BP211" s="39" t="n"/>
      <c r="BQ211" s="39" t="n"/>
      <c r="BR211" s="39" t="n"/>
      <c r="BS211" s="347" t="n"/>
      <c r="BT211" s="39" t="n"/>
      <c r="BU211" s="39" t="n"/>
      <c r="BV211" s="39" t="n"/>
      <c r="BW211" s="39" t="n"/>
      <c r="BX211" s="39" t="n"/>
      <c r="BY211" s="39" t="n"/>
      <c r="BZ211" s="39" t="n"/>
      <c r="CA211" s="39" t="n"/>
      <c r="CB211" s="39" t="n"/>
      <c r="CC211" s="39" t="n"/>
      <c r="CD211" s="39" t="n"/>
      <c r="CE211" s="39" t="n"/>
      <c r="CF211" s="39" t="n"/>
      <c r="CG211" s="39" t="n"/>
      <c r="CH211" s="39" t="n"/>
      <c r="CI211" s="39" t="n"/>
      <c r="CJ211" s="39" t="n"/>
      <c r="CK211" s="39">
        <f>$KN211*1</f>
        <v/>
      </c>
      <c r="CL211" s="39" t="n">
        <v>0</v>
      </c>
      <c r="CM211" s="347" t="n"/>
      <c r="CN211" s="39" t="n"/>
      <c r="CO211" s="39" t="n"/>
      <c r="CP211" s="39">
        <f>$KN211*1</f>
        <v/>
      </c>
      <c r="CQ211" s="39" t="n">
        <v>1</v>
      </c>
      <c r="CR211" s="16" t="n"/>
      <c r="CS211" s="39" t="n"/>
      <c r="CT211" s="39" t="n"/>
      <c r="CU211" s="39" t="n"/>
      <c r="CV211" s="39" t="n">
        <v>0</v>
      </c>
      <c r="CW211" s="39" t="n"/>
      <c r="CX211" s="39" t="n"/>
      <c r="CY211" s="39" t="n"/>
      <c r="CZ211" s="39" t="n"/>
      <c r="DA211" s="3" t="n">
        <v>0</v>
      </c>
      <c r="DB211" s="39" t="n"/>
      <c r="DC211" s="39" t="n"/>
      <c r="DD211" s="39" t="n"/>
      <c r="DE211" s="39" t="n"/>
      <c r="DF211" s="39" t="n"/>
      <c r="DG211" s="39" t="n"/>
      <c r="DH211" s="39" t="n"/>
      <c r="DI211" s="39" t="n"/>
      <c r="DJ211" s="39" t="n"/>
      <c r="DK211" s="39" t="n">
        <v>0</v>
      </c>
      <c r="DL211" s="39" t="n"/>
      <c r="DM211" s="39" t="n"/>
      <c r="DN211" s="39" t="n"/>
      <c r="DO211" s="39" t="n"/>
      <c r="DP211" s="39" t="n">
        <v>0</v>
      </c>
      <c r="DQ211" s="39" t="n"/>
      <c r="DR211" s="39" t="n"/>
      <c r="DS211" s="39" t="n"/>
      <c r="DT211" s="39" t="n"/>
      <c r="DU211" s="39" t="n">
        <v>0</v>
      </c>
      <c r="DV211" s="39" t="n"/>
      <c r="DW211" s="340">
        <f t="array" ref="DW211">SUMPRODUCT(--(MOD(COLUMN($BO211:$DV211),5)=MOD(COLUMN($BO211),5)),$BO211:$DV211)</f>
        <v/>
      </c>
      <c r="DX211" s="341">
        <f>DW211*$J211</f>
        <v/>
      </c>
      <c r="DY211" s="340">
        <f t="array" ref="DY211">SUMPRODUCT(--(MOD(COLUMN($BO211:$DV211),5)=MOD(COLUMN($BP211),5)),$BO211:$DV211)</f>
        <v/>
      </c>
      <c r="DZ211" s="341">
        <f>DY211*$J211</f>
        <v/>
      </c>
      <c r="EA211" s="340">
        <f t="array" ref="EA211">SUMPRODUCT(--(MOD(COLUMN($BO211:$DV211),5)=MOD(COLUMN($BQ211),5)),$BO211:$DV211)</f>
        <v/>
      </c>
      <c r="EB211" s="341">
        <f>EA211*$J211</f>
        <v/>
      </c>
      <c r="EC211" s="340">
        <f t="array" ref="EC211">SUMPRODUCT(--(MOD(COLUMN($BO211:$DV211),5)=MOD(COLUMN($BR211),5)),$BO211:$DV211)</f>
        <v/>
      </c>
      <c r="ED211" s="341">
        <f>EC211*$J211</f>
        <v/>
      </c>
      <c r="EE211" s="39" t="n"/>
      <c r="EF211" s="39" t="n"/>
      <c r="EG211" s="39" t="n"/>
      <c r="EH211" s="39" t="n"/>
      <c r="EI211" s="39" t="n"/>
      <c r="EJ211" s="39" t="n"/>
      <c r="EK211" s="39" t="n">
        <v>0</v>
      </c>
      <c r="EL211" s="39" t="n"/>
      <c r="EM211" s="39" t="n"/>
      <c r="EN211" s="39" t="n"/>
      <c r="EO211" s="39" t="n">
        <v>0</v>
      </c>
      <c r="EP211" s="39" t="n"/>
      <c r="EQ211" s="204">
        <f>$KN211*0</f>
        <v/>
      </c>
      <c r="ER211" s="39" t="n">
        <v>0</v>
      </c>
      <c r="ES211" s="39" t="n"/>
      <c r="ET211" s="39" t="n"/>
      <c r="EU211" s="204">
        <f>$KN211*0</f>
        <v/>
      </c>
      <c r="EV211" s="39" t="n">
        <v>0</v>
      </c>
      <c r="EW211" s="39" t="n"/>
      <c r="EX211" s="39" t="n"/>
      <c r="EY211" s="200" t="n">
        <v>1</v>
      </c>
      <c r="EZ211" s="155" t="n">
        <v>0</v>
      </c>
      <c r="FA211" s="39" t="n">
        <v>0</v>
      </c>
      <c r="FB211" s="39" t="n"/>
      <c r="FC211" s="204">
        <f>$KN211*0</f>
        <v/>
      </c>
      <c r="FD211" s="39" t="n">
        <v>0</v>
      </c>
      <c r="FE211" s="39" t="n"/>
      <c r="FF211" s="39" t="n"/>
      <c r="FG211" s="204">
        <f>$KN211*0</f>
        <v/>
      </c>
      <c r="FH211" s="39" t="n">
        <v>0</v>
      </c>
      <c r="FI211" s="39" t="n"/>
      <c r="FJ211" s="39" t="n"/>
      <c r="FK211" s="200" t="n">
        <v>1</v>
      </c>
      <c r="FL211" s="155" t="n">
        <v>0</v>
      </c>
      <c r="FM211" s="39" t="n">
        <v>0</v>
      </c>
      <c r="FN211" s="39" t="n"/>
      <c r="FO211" s="39">
        <f>$KN211*0</f>
        <v/>
      </c>
      <c r="FP211" s="39" t="n">
        <v>0</v>
      </c>
      <c r="FQ211" s="39" t="n"/>
      <c r="FR211" s="39" t="n"/>
      <c r="FS211" s="39">
        <f>$KN211*0</f>
        <v/>
      </c>
      <c r="FT211" s="39" t="n">
        <v>0</v>
      </c>
      <c r="FU211" s="39" t="n"/>
      <c r="FV211" s="39" t="n"/>
      <c r="FW211" s="200" t="n">
        <v>1</v>
      </c>
      <c r="FX211" s="155" t="n">
        <v>0</v>
      </c>
      <c r="FY211" s="39" t="n">
        <v>0</v>
      </c>
      <c r="FZ211" s="39" t="n"/>
      <c r="GA211" s="340">
        <f>SUMPRODUCT(--(MOD(COLUMN($EE211:$FZ211),4)=MOD(COLUMN($EE211),4)),$EE211:$FZ211)</f>
        <v/>
      </c>
      <c r="GB211" s="341">
        <f>GA211*$J211</f>
        <v/>
      </c>
      <c r="GC211" s="340">
        <f>SUMPRODUCT(--(MOD(COLUMN($EE211:$FZ211),4)=MOD(COLUMN($EF211),4)),$EE211:$FZ211)</f>
        <v/>
      </c>
      <c r="GD211" s="341">
        <f>GC211*$J211</f>
        <v/>
      </c>
      <c r="GE211" s="340">
        <f>SUMPRODUCT(--(MOD(COLUMN($EE211:$FZ211),4)=MOD(COLUMN($EG211),4)),$EE211:$FZ211)</f>
        <v/>
      </c>
      <c r="GF211" s="341">
        <f>GE211*$J211</f>
        <v/>
      </c>
      <c r="GG211" s="39">
        <f>$KN211*0</f>
        <v/>
      </c>
      <c r="GH211" s="39" t="n"/>
      <c r="GI211" s="39" t="n"/>
      <c r="GJ211" s="39" t="n"/>
      <c r="GK211" s="39">
        <f>$KN211*0</f>
        <v/>
      </c>
      <c r="GL211" s="39" t="n"/>
      <c r="GM211" s="39" t="n"/>
      <c r="GN211" s="39" t="n"/>
      <c r="GO211" s="169" t="n">
        <v>0</v>
      </c>
      <c r="GP211" s="39" t="n"/>
      <c r="GQ211" s="39" t="n"/>
      <c r="GR211" s="39" t="n"/>
      <c r="GS211" s="39">
        <f>$KN211*0</f>
        <v/>
      </c>
      <c r="GT211" s="39" t="n"/>
      <c r="GU211" s="39" t="n"/>
      <c r="GV211" s="39" t="n"/>
      <c r="GW211" s="39">
        <f>$KN211*0</f>
        <v/>
      </c>
      <c r="GX211" s="39" t="n"/>
      <c r="GY211" s="39" t="n"/>
      <c r="GZ211" s="39" t="n"/>
      <c r="HA211" s="169" t="n">
        <v>0</v>
      </c>
      <c r="HB211" s="39" t="n"/>
      <c r="HC211" s="39" t="n"/>
      <c r="HD211" s="39" t="n"/>
      <c r="HE211" s="39">
        <f>$KN211*0</f>
        <v/>
      </c>
      <c r="HF211" s="39" t="n"/>
      <c r="HG211" s="39" t="n"/>
      <c r="HH211" s="39" t="n"/>
      <c r="HI211" s="39">
        <f>$KN211*0</f>
        <v/>
      </c>
      <c r="HJ211" s="39" t="n"/>
      <c r="HK211" s="39" t="n"/>
      <c r="HL211" s="39" t="n"/>
      <c r="HM211" s="169" t="n">
        <v>0</v>
      </c>
      <c r="HN211" s="39" t="n"/>
      <c r="HO211" s="39" t="n"/>
      <c r="HP211" s="39" t="n"/>
      <c r="HQ211" s="39">
        <f>$KN211*0</f>
        <v/>
      </c>
      <c r="HR211" s="39" t="n"/>
      <c r="HS211" s="39" t="n"/>
      <c r="HT211" s="39" t="n"/>
      <c r="HU211" s="39">
        <f>$KN211*0</f>
        <v/>
      </c>
      <c r="HV211" s="39" t="n"/>
      <c r="HW211" s="39" t="n"/>
      <c r="HX211" s="39" t="n"/>
      <c r="HY211" s="169" t="n">
        <v>0</v>
      </c>
      <c r="HZ211" s="39" t="n"/>
      <c r="IA211" s="39" t="n"/>
      <c r="IB211" s="39" t="n"/>
      <c r="IC211" s="340">
        <f t="array" ref="IC211">SUMPRODUCT(--(MOD(COLUMN($GG211:$IB211),4)=MOD(COLUMN($GG211),4)),$GG211:$IB211)</f>
        <v/>
      </c>
      <c r="ID211" s="341">
        <f>IC211*$J211</f>
        <v/>
      </c>
      <c r="IE211" s="340">
        <f t="array" ref="IE211">SUMPRODUCT(--(MOD(COLUMN($GG211:$IB211),4)=MOD(COLUMN($GH211),4)),$GG211:$IB211)</f>
        <v/>
      </c>
      <c r="IF211" s="341">
        <f>IE211*$J211</f>
        <v/>
      </c>
      <c r="IG211" s="340">
        <f t="array" ref="IG211">SUMPRODUCT(--(MOD(COLUMN($GG211:$IB211),4)=MOD(COLUMN($GI211),4)),$GG211:$IB211)</f>
        <v/>
      </c>
      <c r="IH211" s="341">
        <f>IG211*$J211</f>
        <v/>
      </c>
      <c r="II211" s="39">
        <f>$KN211*0</f>
        <v/>
      </c>
      <c r="IJ211" s="39" t="n"/>
      <c r="IK211" s="39" t="n"/>
      <c r="IL211" s="39" t="n"/>
      <c r="IM211" s="39">
        <f>$KN211*0</f>
        <v/>
      </c>
      <c r="IN211" s="39" t="n"/>
      <c r="IO211" s="39" t="n"/>
      <c r="IP211" s="39" t="n"/>
      <c r="IQ211" s="169" t="n">
        <v>0</v>
      </c>
      <c r="IR211" s="39" t="n"/>
      <c r="IS211" s="39" t="n"/>
      <c r="IT211" s="39" t="n"/>
      <c r="IU211" s="39">
        <f>$KN211*0</f>
        <v/>
      </c>
      <c r="IV211" s="39" t="n"/>
      <c r="IW211" s="39" t="n"/>
      <c r="IX211" s="39" t="n"/>
      <c r="IY211" s="39">
        <f>$KN211*0</f>
        <v/>
      </c>
      <c r="IZ211" s="39" t="n"/>
      <c r="JA211" s="39" t="n"/>
      <c r="JB211" s="39" t="n"/>
      <c r="JC211" s="169" t="n">
        <v>0</v>
      </c>
      <c r="JD211" s="39" t="n"/>
      <c r="JE211" s="39" t="n"/>
      <c r="JF211" s="39" t="n"/>
      <c r="JG211" s="39">
        <f>$KN211*0</f>
        <v/>
      </c>
      <c r="JH211" s="39" t="n"/>
      <c r="JI211" s="39" t="n"/>
      <c r="JJ211" s="39" t="n"/>
      <c r="JK211" s="39">
        <f>$KN211*0</f>
        <v/>
      </c>
      <c r="JL211" s="39" t="n"/>
      <c r="JM211" s="39" t="n"/>
      <c r="JN211" s="39" t="n"/>
      <c r="JO211" s="169" t="n">
        <v>0</v>
      </c>
      <c r="JP211" s="39" t="n"/>
      <c r="JQ211" s="39" t="n"/>
      <c r="JR211" s="39" t="n"/>
      <c r="JS211" s="39">
        <f>$KN211*0</f>
        <v/>
      </c>
      <c r="JT211" s="39" t="n"/>
      <c r="JU211" s="39" t="n"/>
      <c r="JV211" s="39" t="n"/>
      <c r="JW211" s="39">
        <f>$KN211*0</f>
        <v/>
      </c>
      <c r="JX211" s="39" t="n"/>
      <c r="JY211" s="39" t="n"/>
      <c r="JZ211" s="39" t="n"/>
      <c r="KA211" s="169" t="n">
        <v>0</v>
      </c>
      <c r="KB211" s="39" t="n"/>
      <c r="KC211" s="39" t="n"/>
      <c r="KD211" s="39" t="n"/>
      <c r="KE211" s="340">
        <f t="array" ref="KE211">SUMPRODUCT(--(MOD(COLUMN($II211:$KD211),4)=MOD(COLUMN($II211),4)),$II211:$KD211)</f>
        <v/>
      </c>
      <c r="KF211" s="341">
        <f>KE211*$J211</f>
        <v/>
      </c>
      <c r="KG211" s="340">
        <f t="array" ref="KG211">SUMPRODUCT(--(MOD(COLUMN($II211:$KD211),4)=MOD(COLUMN($IJ211),4)),$II211:$KD211)</f>
        <v/>
      </c>
      <c r="KH211" s="341">
        <f>KG211*$J211</f>
        <v/>
      </c>
      <c r="KI211" s="340">
        <f t="array" ref="KI211">SUMPRODUCT(--(MOD(COLUMN($II211:$KD211),4)=MOD(COLUMN($IK211),4)),$II211:$KD211)</f>
        <v/>
      </c>
      <c r="KJ211" s="385">
        <f>KI211*$J211</f>
        <v/>
      </c>
      <c r="KK211" s="80" t="n"/>
      <c r="KL211" s="80" t="n"/>
      <c r="KM211" s="80" t="n"/>
      <c r="KN211" s="51" t="n">
        <v>1</v>
      </c>
      <c r="KO211" s="347" t="n"/>
    </row>
    <row r="212" outlineLevel="1" customFormat="1" s="68">
      <c r="A212" s="347" t="n"/>
      <c r="B212" s="347" t="n"/>
      <c r="C212" s="347" t="n"/>
      <c r="D212" s="347" t="n"/>
      <c r="E212" s="15" t="n">
        <v>5</v>
      </c>
      <c r="F212" s="15" t="n">
        <v>1</v>
      </c>
      <c r="G212" s="33" t="n">
        <v>4497230300</v>
      </c>
      <c r="H212" s="34" t="inlineStr">
        <is>
          <t>Кабель датчика, 3 м</t>
        </is>
      </c>
      <c r="I212" s="337" t="n">
        <v>60.96938775510205</v>
      </c>
      <c r="J212" s="337">
        <f>74.3/1.2</f>
        <v/>
      </c>
      <c r="K212" s="337" t="n"/>
      <c r="L212" s="337" t="n"/>
      <c r="M212" s="39" t="n"/>
      <c r="N212" s="39" t="n"/>
      <c r="O212" s="39" t="n"/>
      <c r="P212" s="39" t="n"/>
      <c r="Q212" s="39" t="n"/>
      <c r="R212" s="39" t="n"/>
      <c r="S212" s="39" t="n"/>
      <c r="T212" s="39" t="n"/>
      <c r="U212" s="39" t="n"/>
      <c r="V212" s="39" t="n"/>
      <c r="W212" s="39" t="n"/>
      <c r="X212" s="39" t="n"/>
      <c r="Y212" s="39" t="n"/>
      <c r="Z212" s="39" t="n"/>
      <c r="AA212" s="39" t="n"/>
      <c r="AB212" s="39" t="n"/>
      <c r="AC212" s="39" t="n"/>
      <c r="AD212" s="39" t="n"/>
      <c r="AE212" s="39" t="n"/>
      <c r="AF212" s="39" t="n"/>
      <c r="AG212" s="39" t="n"/>
      <c r="AH212" s="39" t="n"/>
      <c r="AI212" s="39" t="n"/>
      <c r="AJ212" s="39" t="n"/>
      <c r="AK212" s="39" t="n"/>
      <c r="AL212" s="39" t="n"/>
      <c r="AM212" s="39" t="n"/>
      <c r="AN212" s="39" t="n"/>
      <c r="AO212" s="39" t="n"/>
      <c r="AP212" s="39" t="n"/>
      <c r="AQ212" s="39" t="n"/>
      <c r="AR212" s="39" t="n"/>
      <c r="AS212" s="39" t="n"/>
      <c r="AT212" s="39" t="n"/>
      <c r="AU212" s="39" t="n"/>
      <c r="AV212" s="39" t="n"/>
      <c r="AW212" s="39" t="n"/>
      <c r="AX212" s="39" t="n"/>
      <c r="AY212" s="39" t="n"/>
      <c r="AZ212" s="16" t="n"/>
      <c r="BA212" s="39" t="n"/>
      <c r="BB212" s="39" t="n"/>
      <c r="BC212" s="158" t="n"/>
      <c r="BD212" s="39" t="n"/>
      <c r="BE212" s="39" t="n"/>
      <c r="BF212" s="39" t="n"/>
      <c r="BG212" s="159" t="n"/>
      <c r="BH212" s="347" t="n"/>
      <c r="BI212" s="340" t="n"/>
      <c r="BJ212" s="341" t="n"/>
      <c r="BK212" s="340" t="n"/>
      <c r="BL212" s="341" t="n"/>
      <c r="BM212" s="340" t="n"/>
      <c r="BN212" s="341" t="n"/>
      <c r="BO212" s="39" t="n"/>
      <c r="BP212" s="39" t="n"/>
      <c r="BQ212" s="39" t="n"/>
      <c r="BR212" s="39" t="n"/>
      <c r="BS212" s="347" t="n"/>
      <c r="BT212" s="39" t="n"/>
      <c r="BU212" s="39" t="n"/>
      <c r="BV212" s="39" t="n"/>
      <c r="BW212" s="39" t="n"/>
      <c r="BX212" s="39" t="n"/>
      <c r="BY212" s="39" t="n"/>
      <c r="BZ212" s="39" t="n"/>
      <c r="CA212" s="39" t="n"/>
      <c r="CB212" s="39" t="n"/>
      <c r="CC212" s="39" t="n"/>
      <c r="CD212" s="39" t="n"/>
      <c r="CE212" s="39" t="n"/>
      <c r="CF212" s="39" t="n"/>
      <c r="CG212" s="39" t="n"/>
      <c r="CH212" s="39" t="n"/>
      <c r="CI212" s="39" t="n"/>
      <c r="CJ212" s="39" t="n"/>
      <c r="CK212" s="39">
        <f>$KN212*1</f>
        <v/>
      </c>
      <c r="CL212" s="39" t="n">
        <v>0</v>
      </c>
      <c r="CM212" s="347" t="n"/>
      <c r="CN212" s="39" t="n"/>
      <c r="CO212" s="39" t="n"/>
      <c r="CP212" s="39">
        <f>$KN212*(1+1)</f>
        <v/>
      </c>
      <c r="CQ212" s="39" t="n">
        <v>2</v>
      </c>
      <c r="CR212" s="16" t="inlineStr">
        <is>
          <t>Изменено кол-во</t>
        </is>
      </c>
      <c r="CS212" s="39" t="n"/>
      <c r="CT212" s="39" t="n"/>
      <c r="CU212" s="39" t="n"/>
      <c r="CV212" s="39" t="n">
        <v>2</v>
      </c>
      <c r="CW212" s="39" t="n"/>
      <c r="CX212" s="39" t="n"/>
      <c r="CY212" s="39" t="n"/>
      <c r="CZ212" s="39" t="n"/>
      <c r="DA212" s="39" t="n">
        <v>0</v>
      </c>
      <c r="DB212" s="39" t="n"/>
      <c r="DC212" s="39" t="n"/>
      <c r="DD212" s="39" t="n"/>
      <c r="DE212" s="39" t="n"/>
      <c r="DF212" s="39" t="n"/>
      <c r="DG212" s="39" t="n"/>
      <c r="DH212" s="39" t="n"/>
      <c r="DI212" s="39" t="n"/>
      <c r="DJ212" s="39" t="n"/>
      <c r="DK212" s="39" t="n">
        <v>0</v>
      </c>
      <c r="DL212" s="39" t="n"/>
      <c r="DM212" s="39" t="n"/>
      <c r="DN212" s="39" t="n"/>
      <c r="DO212" s="39" t="n"/>
      <c r="DP212" s="39" t="n">
        <v>0</v>
      </c>
      <c r="DQ212" s="39" t="n"/>
      <c r="DR212" s="39" t="n"/>
      <c r="DS212" s="39" t="n"/>
      <c r="DT212" s="39" t="n"/>
      <c r="DU212" s="39" t="n">
        <v>0</v>
      </c>
      <c r="DV212" s="39" t="n"/>
      <c r="DW212" s="340">
        <f t="array" ref="DW212">SUMPRODUCT(--(MOD(COLUMN($BO212:$DV212),5)=MOD(COLUMN($BO212),5)),$BO212:$DV212)</f>
        <v/>
      </c>
      <c r="DX212" s="341">
        <f>DW212*$J212</f>
        <v/>
      </c>
      <c r="DY212" s="340">
        <f t="array" ref="DY212">SUMPRODUCT(--(MOD(COLUMN($BO212:$DV212),5)=MOD(COLUMN($BP212),5)),$BO212:$DV212)</f>
        <v/>
      </c>
      <c r="DZ212" s="341">
        <f>DY212*$J212</f>
        <v/>
      </c>
      <c r="EA212" s="340">
        <f t="array" ref="EA212">SUMPRODUCT(--(MOD(COLUMN($BO212:$DV212),5)=MOD(COLUMN($BQ212),5)),$BO212:$DV212)</f>
        <v/>
      </c>
      <c r="EB212" s="341">
        <f>EA212*$J212</f>
        <v/>
      </c>
      <c r="EC212" s="340">
        <f t="array" ref="EC212">SUMPRODUCT(--(MOD(COLUMN($BO212:$DV212),5)=MOD(COLUMN($BR212),5)),$BO212:$DV212)</f>
        <v/>
      </c>
      <c r="ED212" s="341">
        <f>EC212*$J212</f>
        <v/>
      </c>
      <c r="EE212" s="39" t="n"/>
      <c r="EF212" s="39" t="n"/>
      <c r="EG212" s="39" t="n"/>
      <c r="EH212" s="39" t="n"/>
      <c r="EI212" s="39" t="n"/>
      <c r="EJ212" s="39" t="n"/>
      <c r="EK212" s="39" t="n">
        <v>0</v>
      </c>
      <c r="EL212" s="39" t="n"/>
      <c r="EM212" s="39" t="n"/>
      <c r="EN212" s="39" t="n"/>
      <c r="EO212" s="39" t="n">
        <v>0</v>
      </c>
      <c r="EP212" s="39" t="n"/>
      <c r="EQ212" s="204">
        <f>$KN212*0</f>
        <v/>
      </c>
      <c r="ER212" s="39" t="n">
        <v>0</v>
      </c>
      <c r="ES212" s="39" t="n"/>
      <c r="ET212" s="39" t="n"/>
      <c r="EU212" s="204">
        <f>$KN212*0</f>
        <v/>
      </c>
      <c r="EV212" s="39" t="n">
        <v>0</v>
      </c>
      <c r="EW212" s="39" t="n"/>
      <c r="EX212" s="39" t="n"/>
      <c r="EY212" s="200" t="n">
        <v>2</v>
      </c>
      <c r="EZ212" s="155" t="n">
        <v>0</v>
      </c>
      <c r="FA212" s="39" t="n">
        <v>0</v>
      </c>
      <c r="FB212" s="39" t="n"/>
      <c r="FC212" s="204">
        <f>$KN212*0</f>
        <v/>
      </c>
      <c r="FD212" s="39" t="n">
        <v>0</v>
      </c>
      <c r="FE212" s="39" t="n"/>
      <c r="FF212" s="39" t="n"/>
      <c r="FG212" s="204">
        <f>$KN212*0</f>
        <v/>
      </c>
      <c r="FH212" s="39" t="n">
        <v>0</v>
      </c>
      <c r="FI212" s="39" t="n"/>
      <c r="FJ212" s="39" t="n"/>
      <c r="FK212" s="200" t="n">
        <v>2</v>
      </c>
      <c r="FL212" s="155" t="n">
        <v>0</v>
      </c>
      <c r="FM212" s="39" t="n">
        <v>0</v>
      </c>
      <c r="FN212" s="39" t="n"/>
      <c r="FO212" s="39">
        <f>$KN212*0</f>
        <v/>
      </c>
      <c r="FP212" s="39" t="n">
        <v>0</v>
      </c>
      <c r="FQ212" s="39" t="n"/>
      <c r="FR212" s="39" t="n"/>
      <c r="FS212" s="39">
        <f>$KN212*0</f>
        <v/>
      </c>
      <c r="FT212" s="39" t="n">
        <v>0</v>
      </c>
      <c r="FU212" s="39" t="n"/>
      <c r="FV212" s="39" t="n"/>
      <c r="FW212" s="200" t="n">
        <v>2</v>
      </c>
      <c r="FX212" s="155" t="n">
        <v>0</v>
      </c>
      <c r="FY212" s="39" t="n">
        <v>0</v>
      </c>
      <c r="FZ212" s="39" t="n"/>
      <c r="GA212" s="340">
        <f>SUMPRODUCT(--(MOD(COLUMN($EE212:$FZ212),4)=MOD(COLUMN($EE212),4)),$EE212:$FZ212)</f>
        <v/>
      </c>
      <c r="GB212" s="341">
        <f>GA212*$J212</f>
        <v/>
      </c>
      <c r="GC212" s="340">
        <f>SUMPRODUCT(--(MOD(COLUMN($EE212:$FZ212),4)=MOD(COLUMN($EF212),4)),$EE212:$FZ212)</f>
        <v/>
      </c>
      <c r="GD212" s="341">
        <f>GC212*$J212</f>
        <v/>
      </c>
      <c r="GE212" s="340">
        <f>SUMPRODUCT(--(MOD(COLUMN($EE212:$FZ212),4)=MOD(COLUMN($EG212),4)),$EE212:$FZ212)</f>
        <v/>
      </c>
      <c r="GF212" s="341">
        <f>GE212*$J212</f>
        <v/>
      </c>
      <c r="GG212" s="39">
        <f>$KN212*0</f>
        <v/>
      </c>
      <c r="GH212" s="39" t="n"/>
      <c r="GI212" s="39" t="n"/>
      <c r="GJ212" s="39" t="n"/>
      <c r="GK212" s="39">
        <f>$KN212*0</f>
        <v/>
      </c>
      <c r="GL212" s="39" t="n"/>
      <c r="GM212" s="39" t="n"/>
      <c r="GN212" s="39" t="n"/>
      <c r="GO212" s="169" t="n">
        <v>0</v>
      </c>
      <c r="GP212" s="39" t="n"/>
      <c r="GQ212" s="39" t="n"/>
      <c r="GR212" s="39" t="n"/>
      <c r="GS212" s="39">
        <f>$KN212*0</f>
        <v/>
      </c>
      <c r="GT212" s="39" t="n"/>
      <c r="GU212" s="39" t="n"/>
      <c r="GV212" s="39" t="n"/>
      <c r="GW212" s="39">
        <f>$KN212*0</f>
        <v/>
      </c>
      <c r="GX212" s="39" t="n"/>
      <c r="GY212" s="39" t="n"/>
      <c r="GZ212" s="39" t="n"/>
      <c r="HA212" s="169" t="n">
        <v>0</v>
      </c>
      <c r="HB212" s="39" t="n"/>
      <c r="HC212" s="39" t="n"/>
      <c r="HD212" s="39" t="n"/>
      <c r="HE212" s="39">
        <f>$KN212*0</f>
        <v/>
      </c>
      <c r="HF212" s="39" t="n"/>
      <c r="HG212" s="39" t="n"/>
      <c r="HH212" s="39" t="n"/>
      <c r="HI212" s="39">
        <f>$KN212*0</f>
        <v/>
      </c>
      <c r="HJ212" s="39" t="n"/>
      <c r="HK212" s="39" t="n"/>
      <c r="HL212" s="39" t="n"/>
      <c r="HM212" s="169" t="n">
        <v>0</v>
      </c>
      <c r="HN212" s="39" t="n"/>
      <c r="HO212" s="39" t="n"/>
      <c r="HP212" s="39" t="n"/>
      <c r="HQ212" s="39">
        <f>$KN212*0</f>
        <v/>
      </c>
      <c r="HR212" s="39" t="n"/>
      <c r="HS212" s="39" t="n"/>
      <c r="HT212" s="39" t="n"/>
      <c r="HU212" s="39">
        <f>$KN212*0</f>
        <v/>
      </c>
      <c r="HV212" s="39" t="n"/>
      <c r="HW212" s="39" t="n"/>
      <c r="HX212" s="39" t="n"/>
      <c r="HY212" s="169" t="n">
        <v>0</v>
      </c>
      <c r="HZ212" s="39" t="n"/>
      <c r="IA212" s="39" t="n"/>
      <c r="IB212" s="39" t="n"/>
      <c r="IC212" s="340">
        <f t="array" ref="IC212">SUMPRODUCT(--(MOD(COLUMN($GG212:$IB212),4)=MOD(COLUMN($GG212),4)),$GG212:$IB212)</f>
        <v/>
      </c>
      <c r="ID212" s="341">
        <f>IC212*$J212</f>
        <v/>
      </c>
      <c r="IE212" s="340">
        <f t="array" ref="IE212">SUMPRODUCT(--(MOD(COLUMN($GG212:$IB212),4)=MOD(COLUMN($GH212),4)),$GG212:$IB212)</f>
        <v/>
      </c>
      <c r="IF212" s="341">
        <f>IE212*$J212</f>
        <v/>
      </c>
      <c r="IG212" s="340">
        <f t="array" ref="IG212">SUMPRODUCT(--(MOD(COLUMN($GG212:$IB212),4)=MOD(COLUMN($GI212),4)),$GG212:$IB212)</f>
        <v/>
      </c>
      <c r="IH212" s="341">
        <f>IG212*$J212</f>
        <v/>
      </c>
      <c r="II212" s="39">
        <f>$KN212*0</f>
        <v/>
      </c>
      <c r="IJ212" s="39" t="n"/>
      <c r="IK212" s="39" t="n"/>
      <c r="IL212" s="39" t="n"/>
      <c r="IM212" s="39">
        <f>$KN212*0</f>
        <v/>
      </c>
      <c r="IN212" s="39" t="n"/>
      <c r="IO212" s="39" t="n"/>
      <c r="IP212" s="39" t="n"/>
      <c r="IQ212" s="169" t="n">
        <v>0</v>
      </c>
      <c r="IR212" s="39" t="n"/>
      <c r="IS212" s="39" t="n"/>
      <c r="IT212" s="39" t="n"/>
      <c r="IU212" s="39">
        <f>$KN212*0</f>
        <v/>
      </c>
      <c r="IV212" s="39" t="n"/>
      <c r="IW212" s="39" t="n"/>
      <c r="IX212" s="39" t="n"/>
      <c r="IY212" s="39">
        <f>$KN212*0</f>
        <v/>
      </c>
      <c r="IZ212" s="39" t="n"/>
      <c r="JA212" s="39" t="n"/>
      <c r="JB212" s="39" t="n"/>
      <c r="JC212" s="169" t="n">
        <v>0</v>
      </c>
      <c r="JD212" s="39" t="n"/>
      <c r="JE212" s="39" t="n"/>
      <c r="JF212" s="39" t="n"/>
      <c r="JG212" s="39">
        <f>$KN212*0</f>
        <v/>
      </c>
      <c r="JH212" s="39" t="n"/>
      <c r="JI212" s="39" t="n"/>
      <c r="JJ212" s="39" t="n"/>
      <c r="JK212" s="39">
        <f>$KN212*0</f>
        <v/>
      </c>
      <c r="JL212" s="39" t="n"/>
      <c r="JM212" s="39" t="n"/>
      <c r="JN212" s="39" t="n"/>
      <c r="JO212" s="169" t="n">
        <v>0</v>
      </c>
      <c r="JP212" s="39" t="n"/>
      <c r="JQ212" s="39" t="n"/>
      <c r="JR212" s="39" t="n"/>
      <c r="JS212" s="39">
        <f>$KN212*0</f>
        <v/>
      </c>
      <c r="JT212" s="39" t="n"/>
      <c r="JU212" s="39" t="n"/>
      <c r="JV212" s="39" t="n"/>
      <c r="JW212" s="39">
        <f>$KN212*0</f>
        <v/>
      </c>
      <c r="JX212" s="39" t="n"/>
      <c r="JY212" s="39" t="n"/>
      <c r="JZ212" s="39" t="n"/>
      <c r="KA212" s="169" t="n">
        <v>0</v>
      </c>
      <c r="KB212" s="39" t="n"/>
      <c r="KC212" s="39" t="n"/>
      <c r="KD212" s="39" t="n"/>
      <c r="KE212" s="340">
        <f t="array" ref="KE212">SUMPRODUCT(--(MOD(COLUMN($II212:$KD212),4)=MOD(COLUMN($II212),4)),$II212:$KD212)</f>
        <v/>
      </c>
      <c r="KF212" s="341">
        <f>KE212*$J212</f>
        <v/>
      </c>
      <c r="KG212" s="340">
        <f t="array" ref="KG212">SUMPRODUCT(--(MOD(COLUMN($II212:$KD212),4)=MOD(COLUMN($IJ212),4)),$II212:$KD212)</f>
        <v/>
      </c>
      <c r="KH212" s="341">
        <f>KG212*$J212</f>
        <v/>
      </c>
      <c r="KI212" s="340">
        <f t="array" ref="KI212">SUMPRODUCT(--(MOD(COLUMN($II212:$KD212),4)=MOD(COLUMN($IK212),4)),$II212:$KD212)</f>
        <v/>
      </c>
      <c r="KJ212" s="385">
        <f>KI212*$J212</f>
        <v/>
      </c>
      <c r="KK212" s="80" t="n"/>
      <c r="KL212" s="80" t="n"/>
      <c r="KM212" s="80" t="n"/>
      <c r="KN212" s="51" t="n">
        <v>2</v>
      </c>
      <c r="KO212" s="347" t="n"/>
    </row>
    <row r="213" outlineLevel="1" ht="28.8" customFormat="1" customHeight="1" s="68">
      <c r="A213" s="347" t="n"/>
      <c r="B213" s="347" t="n"/>
      <c r="C213" s="347" t="n"/>
      <c r="D213" s="347" t="n"/>
      <c r="E213" s="15" t="n">
        <v>6</v>
      </c>
      <c r="F213" s="15" t="n">
        <v>1</v>
      </c>
      <c r="G213" s="33" t="n">
        <v>4640061000</v>
      </c>
      <c r="H213" s="34" t="inlineStr">
        <is>
          <t>Кран уровня пола, 5-ти портовый</t>
        </is>
      </c>
      <c r="I213" s="337" t="n">
        <v>496.5986394557823</v>
      </c>
      <c r="J213" s="337">
        <f>584/1.2*1.0863</f>
        <v/>
      </c>
      <c r="K213" s="337" t="n"/>
      <c r="L213" s="337" t="n"/>
      <c r="M213" s="39" t="n"/>
      <c r="N213" s="39" t="n"/>
      <c r="O213" s="39" t="n"/>
      <c r="P213" s="39" t="n"/>
      <c r="Q213" s="39" t="n"/>
      <c r="R213" s="39" t="n"/>
      <c r="S213" s="39" t="n"/>
      <c r="T213" s="39" t="n"/>
      <c r="U213" s="39" t="n"/>
      <c r="V213" s="39" t="n"/>
      <c r="W213" s="39" t="n"/>
      <c r="X213" s="39" t="n"/>
      <c r="Y213" s="39" t="n"/>
      <c r="Z213" s="39" t="n"/>
      <c r="AA213" s="39" t="n"/>
      <c r="AB213" s="39" t="n"/>
      <c r="AC213" s="39" t="n"/>
      <c r="AD213" s="39" t="n"/>
      <c r="AE213" s="39" t="n"/>
      <c r="AF213" s="39" t="n"/>
      <c r="AG213" s="39" t="n"/>
      <c r="AH213" s="39" t="n"/>
      <c r="AI213" s="39" t="n"/>
      <c r="AJ213" s="39" t="n"/>
      <c r="AK213" s="39" t="n"/>
      <c r="AL213" s="39" t="n"/>
      <c r="AM213" s="39" t="n"/>
      <c r="AN213" s="39" t="n"/>
      <c r="AO213" s="39" t="n"/>
      <c r="AP213" s="39" t="n"/>
      <c r="AQ213" s="39" t="n"/>
      <c r="AR213" s="39" t="n"/>
      <c r="AS213" s="39" t="n"/>
      <c r="AT213" s="39" t="n"/>
      <c r="AU213" s="39" t="n"/>
      <c r="AV213" s="39" t="n"/>
      <c r="AW213" s="39" t="n"/>
      <c r="AX213" s="39" t="n"/>
      <c r="AY213" s="39" t="n"/>
      <c r="AZ213" s="16" t="n"/>
      <c r="BA213" s="39" t="n"/>
      <c r="BB213" s="39" t="n"/>
      <c r="BC213" s="158" t="n"/>
      <c r="BD213" s="39" t="n"/>
      <c r="BE213" s="39" t="n"/>
      <c r="BF213" s="39" t="n"/>
      <c r="BG213" s="159" t="n"/>
      <c r="BH213" s="347" t="n"/>
      <c r="BI213" s="340" t="n"/>
      <c r="BJ213" s="341" t="n"/>
      <c r="BK213" s="340" t="n"/>
      <c r="BL213" s="341" t="n"/>
      <c r="BM213" s="340" t="n"/>
      <c r="BN213" s="341" t="n"/>
      <c r="BO213" s="39" t="n"/>
      <c r="BP213" s="39" t="n"/>
      <c r="BQ213" s="39" t="n"/>
      <c r="BR213" s="39" t="n"/>
      <c r="BS213" s="347" t="n"/>
      <c r="BT213" s="39" t="n"/>
      <c r="BU213" s="39" t="n"/>
      <c r="BV213" s="39" t="n"/>
      <c r="BW213" s="39" t="n"/>
      <c r="BX213" s="39" t="n"/>
      <c r="BY213" s="39" t="n"/>
      <c r="BZ213" s="39" t="n"/>
      <c r="CA213" s="39" t="n"/>
      <c r="CB213" s="39" t="n"/>
      <c r="CC213" s="39" t="n"/>
      <c r="CD213" s="39" t="n"/>
      <c r="CE213" s="39" t="n"/>
      <c r="CF213" s="39" t="n"/>
      <c r="CG213" s="39" t="n"/>
      <c r="CH213" s="39" t="n"/>
      <c r="CI213" s="39" t="n"/>
      <c r="CJ213" s="39" t="n"/>
      <c r="CK213" s="39">
        <f>$KN213*1</f>
        <v/>
      </c>
      <c r="CL213" s="39" t="n">
        <v>0</v>
      </c>
      <c r="CM213" s="347" t="n"/>
      <c r="CN213" s="39" t="n"/>
      <c r="CO213" s="39" t="n"/>
      <c r="CP213" s="39">
        <f>$KN213*1</f>
        <v/>
      </c>
      <c r="CQ213" s="39" t="n">
        <v>1</v>
      </c>
      <c r="CR213" s="16" t="n"/>
      <c r="CS213" s="39" t="n"/>
      <c r="CT213" s="39" t="n"/>
      <c r="CU213" s="39" t="n"/>
      <c r="CV213" s="39" t="n">
        <v>0</v>
      </c>
      <c r="CW213" s="39" t="n"/>
      <c r="CX213" s="39" t="n"/>
      <c r="CY213" s="39" t="n"/>
      <c r="CZ213" s="39" t="n"/>
      <c r="DA213" s="3" t="n">
        <v>0</v>
      </c>
      <c r="DB213" s="39" t="n"/>
      <c r="DC213" s="39" t="n"/>
      <c r="DD213" s="39" t="n"/>
      <c r="DE213" s="39" t="n"/>
      <c r="DF213" s="39" t="n"/>
      <c r="DG213" s="39" t="n"/>
      <c r="DH213" s="39" t="n"/>
      <c r="DI213" s="39" t="n"/>
      <c r="DJ213" s="39" t="n"/>
      <c r="DK213" s="39" t="n">
        <v>0</v>
      </c>
      <c r="DL213" s="39" t="n"/>
      <c r="DM213" s="39" t="n"/>
      <c r="DN213" s="39" t="n"/>
      <c r="DO213" s="39" t="n"/>
      <c r="DP213" s="39" t="n">
        <v>0</v>
      </c>
      <c r="DQ213" s="39" t="n"/>
      <c r="DR213" s="39" t="n"/>
      <c r="DS213" s="39" t="n"/>
      <c r="DT213" s="39" t="n"/>
      <c r="DU213" s="39" t="n">
        <v>0</v>
      </c>
      <c r="DV213" s="39" t="n"/>
      <c r="DW213" s="340">
        <f t="array" ref="DW213">SUMPRODUCT(--(MOD(COLUMN($BO213:$DV213),5)=MOD(COLUMN($BO213),5)),$BO213:$DV213)</f>
        <v/>
      </c>
      <c r="DX213" s="341">
        <f>DW213*$J213</f>
        <v/>
      </c>
      <c r="DY213" s="340">
        <f t="array" ref="DY213">SUMPRODUCT(--(MOD(COLUMN($BO213:$DV213),5)=MOD(COLUMN($BP213),5)),$BO213:$DV213)</f>
        <v/>
      </c>
      <c r="DZ213" s="341">
        <f>DY213*$J213</f>
        <v/>
      </c>
      <c r="EA213" s="340">
        <f t="array" ref="EA213">SUMPRODUCT(--(MOD(COLUMN($BO213:$DV213),5)=MOD(COLUMN($BQ213),5)),$BO213:$DV213)</f>
        <v/>
      </c>
      <c r="EB213" s="341">
        <f>EA213*$J213</f>
        <v/>
      </c>
      <c r="EC213" s="340">
        <f t="array" ref="EC213">SUMPRODUCT(--(MOD(COLUMN($BO213:$DV213),5)=MOD(COLUMN($BR213),5)),$BO213:$DV213)</f>
        <v/>
      </c>
      <c r="ED213" s="341">
        <f>EC213*$J213</f>
        <v/>
      </c>
      <c r="EE213" s="39" t="n"/>
      <c r="EF213" s="39" t="n"/>
      <c r="EG213" s="39" t="n"/>
      <c r="EH213" s="39" t="n"/>
      <c r="EI213" s="39" t="n"/>
      <c r="EJ213" s="39" t="n"/>
      <c r="EK213" s="39" t="n">
        <v>0</v>
      </c>
      <c r="EL213" s="39" t="n"/>
      <c r="EM213" s="39" t="n"/>
      <c r="EN213" s="39" t="n"/>
      <c r="EO213" s="39" t="n">
        <v>0</v>
      </c>
      <c r="EP213" s="39" t="n"/>
      <c r="EQ213" s="204">
        <f>$KN213*0</f>
        <v/>
      </c>
      <c r="ER213" s="39" t="n">
        <v>0</v>
      </c>
      <c r="ES213" s="39" t="n"/>
      <c r="ET213" s="39" t="n"/>
      <c r="EU213" s="204">
        <f>$KN213*0</f>
        <v/>
      </c>
      <c r="EV213" s="39" t="n">
        <v>0</v>
      </c>
      <c r="EW213" s="39" t="n"/>
      <c r="EX213" s="39" t="n"/>
      <c r="EY213" s="200" t="n">
        <v>1</v>
      </c>
      <c r="EZ213" s="155" t="n">
        <v>0</v>
      </c>
      <c r="FA213" s="39" t="n">
        <v>0</v>
      </c>
      <c r="FB213" s="39" t="n"/>
      <c r="FC213" s="204">
        <f>$KN213*0</f>
        <v/>
      </c>
      <c r="FD213" s="39" t="n">
        <v>0</v>
      </c>
      <c r="FE213" s="39" t="n"/>
      <c r="FF213" s="39" t="n"/>
      <c r="FG213" s="204">
        <f>$KN213*0</f>
        <v/>
      </c>
      <c r="FH213" s="39" t="n">
        <v>0</v>
      </c>
      <c r="FI213" s="39" t="n"/>
      <c r="FJ213" s="39" t="n"/>
      <c r="FK213" s="200" t="n">
        <v>1</v>
      </c>
      <c r="FL213" s="155" t="n">
        <v>0</v>
      </c>
      <c r="FM213" s="39" t="n">
        <v>0</v>
      </c>
      <c r="FN213" s="39" t="n"/>
      <c r="FO213" s="39">
        <f>$KN213*0</f>
        <v/>
      </c>
      <c r="FP213" s="39" t="n">
        <v>0</v>
      </c>
      <c r="FQ213" s="39" t="n"/>
      <c r="FR213" s="39" t="n"/>
      <c r="FS213" s="39">
        <f>$KN213*0</f>
        <v/>
      </c>
      <c r="FT213" s="39" t="n">
        <v>0</v>
      </c>
      <c r="FU213" s="39" t="n"/>
      <c r="FV213" s="39" t="n"/>
      <c r="FW213" s="200" t="n">
        <v>1</v>
      </c>
      <c r="FX213" s="155" t="n">
        <v>0</v>
      </c>
      <c r="FY213" s="39" t="n">
        <v>0</v>
      </c>
      <c r="FZ213" s="39" t="n"/>
      <c r="GA213" s="340">
        <f>SUMPRODUCT(--(MOD(COLUMN($EE213:$FZ213),4)=MOD(COLUMN($EE213),4)),$EE213:$FZ213)</f>
        <v/>
      </c>
      <c r="GB213" s="341">
        <f>GA213*$J213</f>
        <v/>
      </c>
      <c r="GC213" s="340">
        <f>SUMPRODUCT(--(MOD(COLUMN($EE213:$FZ213),4)=MOD(COLUMN($EF213),4)),$EE213:$FZ213)</f>
        <v/>
      </c>
      <c r="GD213" s="341">
        <f>GC213*$J213</f>
        <v/>
      </c>
      <c r="GE213" s="340">
        <f>SUMPRODUCT(--(MOD(COLUMN($EE213:$FZ213),4)=MOD(COLUMN($EG213),4)),$EE213:$FZ213)</f>
        <v/>
      </c>
      <c r="GF213" s="341">
        <f>GE213*$J213</f>
        <v/>
      </c>
      <c r="GG213" s="39">
        <f>$KN213*0</f>
        <v/>
      </c>
      <c r="GH213" s="39" t="n"/>
      <c r="GI213" s="39" t="n"/>
      <c r="GJ213" s="39" t="n"/>
      <c r="GK213" s="39">
        <f>$KN213*0</f>
        <v/>
      </c>
      <c r="GL213" s="39" t="n"/>
      <c r="GM213" s="39" t="n"/>
      <c r="GN213" s="39" t="n"/>
      <c r="GO213" s="169" t="n">
        <v>0</v>
      </c>
      <c r="GP213" s="39" t="n"/>
      <c r="GQ213" s="39" t="n"/>
      <c r="GR213" s="39" t="n"/>
      <c r="GS213" s="39">
        <f>$KN213*0</f>
        <v/>
      </c>
      <c r="GT213" s="39" t="n"/>
      <c r="GU213" s="39" t="n"/>
      <c r="GV213" s="39" t="n"/>
      <c r="GW213" s="39">
        <f>$KN213*0</f>
        <v/>
      </c>
      <c r="GX213" s="39" t="n"/>
      <c r="GY213" s="39" t="n"/>
      <c r="GZ213" s="39" t="n"/>
      <c r="HA213" s="169" t="n">
        <v>0</v>
      </c>
      <c r="HB213" s="39" t="n"/>
      <c r="HC213" s="39" t="n"/>
      <c r="HD213" s="39" t="n"/>
      <c r="HE213" s="39">
        <f>$KN213*0</f>
        <v/>
      </c>
      <c r="HF213" s="39" t="n"/>
      <c r="HG213" s="39" t="n"/>
      <c r="HH213" s="39" t="n"/>
      <c r="HI213" s="39">
        <f>$KN213*0</f>
        <v/>
      </c>
      <c r="HJ213" s="39" t="n"/>
      <c r="HK213" s="39" t="n"/>
      <c r="HL213" s="39" t="n"/>
      <c r="HM213" s="169" t="n">
        <v>0</v>
      </c>
      <c r="HN213" s="39" t="n"/>
      <c r="HO213" s="39" t="n"/>
      <c r="HP213" s="39" t="n"/>
      <c r="HQ213" s="39">
        <f>$KN213*0</f>
        <v/>
      </c>
      <c r="HR213" s="39" t="n"/>
      <c r="HS213" s="39" t="n"/>
      <c r="HT213" s="39" t="n"/>
      <c r="HU213" s="39">
        <f>$KN213*0</f>
        <v/>
      </c>
      <c r="HV213" s="39" t="n"/>
      <c r="HW213" s="39" t="n"/>
      <c r="HX213" s="39" t="n"/>
      <c r="HY213" s="169" t="n">
        <v>0</v>
      </c>
      <c r="HZ213" s="39" t="n"/>
      <c r="IA213" s="39" t="n"/>
      <c r="IB213" s="39" t="n"/>
      <c r="IC213" s="340">
        <f t="array" ref="IC213">SUMPRODUCT(--(MOD(COLUMN($GG213:$IB213),4)=MOD(COLUMN($GG213),4)),$GG213:$IB213)</f>
        <v/>
      </c>
      <c r="ID213" s="341">
        <f>IC213*$J213</f>
        <v/>
      </c>
      <c r="IE213" s="340">
        <f t="array" ref="IE213">SUMPRODUCT(--(MOD(COLUMN($GG213:$IB213),4)=MOD(COLUMN($GH213),4)),$GG213:$IB213)</f>
        <v/>
      </c>
      <c r="IF213" s="341">
        <f>IE213*$J213</f>
        <v/>
      </c>
      <c r="IG213" s="340">
        <f t="array" ref="IG213">SUMPRODUCT(--(MOD(COLUMN($GG213:$IB213),4)=MOD(COLUMN($GI213),4)),$GG213:$IB213)</f>
        <v/>
      </c>
      <c r="IH213" s="341">
        <f>IG213*$J213</f>
        <v/>
      </c>
      <c r="II213" s="39">
        <f>$KN213*0</f>
        <v/>
      </c>
      <c r="IJ213" s="39" t="n"/>
      <c r="IK213" s="39" t="n"/>
      <c r="IL213" s="39" t="n"/>
      <c r="IM213" s="39">
        <f>$KN213*0</f>
        <v/>
      </c>
      <c r="IN213" s="39" t="n"/>
      <c r="IO213" s="39" t="n"/>
      <c r="IP213" s="39" t="n"/>
      <c r="IQ213" s="169" t="n">
        <v>0</v>
      </c>
      <c r="IR213" s="39" t="n"/>
      <c r="IS213" s="39" t="n"/>
      <c r="IT213" s="39" t="n"/>
      <c r="IU213" s="39">
        <f>$KN213*0</f>
        <v/>
      </c>
      <c r="IV213" s="39" t="n"/>
      <c r="IW213" s="39" t="n"/>
      <c r="IX213" s="39" t="n"/>
      <c r="IY213" s="39">
        <f>$KN213*0</f>
        <v/>
      </c>
      <c r="IZ213" s="39" t="n"/>
      <c r="JA213" s="39" t="n"/>
      <c r="JB213" s="39" t="n"/>
      <c r="JC213" s="169" t="n">
        <v>0</v>
      </c>
      <c r="JD213" s="39" t="n"/>
      <c r="JE213" s="39" t="n"/>
      <c r="JF213" s="39" t="n"/>
      <c r="JG213" s="39">
        <f>$KN213*0</f>
        <v/>
      </c>
      <c r="JH213" s="39" t="n"/>
      <c r="JI213" s="39" t="n"/>
      <c r="JJ213" s="39" t="n"/>
      <c r="JK213" s="39">
        <f>$KN213*0</f>
        <v/>
      </c>
      <c r="JL213" s="39" t="n"/>
      <c r="JM213" s="39" t="n"/>
      <c r="JN213" s="39" t="n"/>
      <c r="JO213" s="169" t="n">
        <v>0</v>
      </c>
      <c r="JP213" s="39" t="n"/>
      <c r="JQ213" s="39" t="n"/>
      <c r="JR213" s="39" t="n"/>
      <c r="JS213" s="39">
        <f>$KN213*0</f>
        <v/>
      </c>
      <c r="JT213" s="39" t="n"/>
      <c r="JU213" s="39" t="n"/>
      <c r="JV213" s="39" t="n"/>
      <c r="JW213" s="39">
        <f>$KN213*0</f>
        <v/>
      </c>
      <c r="JX213" s="39" t="n"/>
      <c r="JY213" s="39" t="n"/>
      <c r="JZ213" s="39" t="n"/>
      <c r="KA213" s="169" t="n">
        <v>0</v>
      </c>
      <c r="KB213" s="39" t="n"/>
      <c r="KC213" s="39" t="n"/>
      <c r="KD213" s="39" t="n"/>
      <c r="KE213" s="340">
        <f t="array" ref="KE213">SUMPRODUCT(--(MOD(COLUMN($II213:$KD213),4)=MOD(COLUMN($II213),4)),$II213:$KD213)</f>
        <v/>
      </c>
      <c r="KF213" s="341">
        <f>KE213*$J213</f>
        <v/>
      </c>
      <c r="KG213" s="340">
        <f t="array" ref="KG213">SUMPRODUCT(--(MOD(COLUMN($II213:$KD213),4)=MOD(COLUMN($IJ213),4)),$II213:$KD213)</f>
        <v/>
      </c>
      <c r="KH213" s="341">
        <f>KG213*$J213</f>
        <v/>
      </c>
      <c r="KI213" s="340">
        <f t="array" ref="KI213">SUMPRODUCT(--(MOD(COLUMN($II213:$KD213),4)=MOD(COLUMN($IK213),4)),$II213:$KD213)</f>
        <v/>
      </c>
      <c r="KJ213" s="385">
        <f>KI213*$J213</f>
        <v/>
      </c>
      <c r="KK213" s="80" t="n"/>
      <c r="KL213" s="80" t="n"/>
      <c r="KM213" s="80" t="n"/>
      <c r="KN213" s="51" t="n">
        <v>1</v>
      </c>
      <c r="KO213" s="347" t="n"/>
    </row>
    <row r="214" outlineLevel="1" ht="28.8" customFormat="1" customHeight="1" s="68">
      <c r="A214" s="347" t="n"/>
      <c r="B214" s="347" t="n"/>
      <c r="C214" s="347" t="n"/>
      <c r="D214" s="347" t="n"/>
      <c r="E214" s="15" t="n">
        <v>7</v>
      </c>
      <c r="F214" s="15" t="n">
        <v>1</v>
      </c>
      <c r="G214" s="33" t="n">
        <v>4630320200</v>
      </c>
      <c r="H214" s="34" t="inlineStr">
        <is>
          <t>Кран ручного управления</t>
        </is>
      </c>
      <c r="I214" s="337" t="n">
        <v>456.9727891156463</v>
      </c>
      <c r="J214" s="337">
        <f>537.4/1.2*1.0863</f>
        <v/>
      </c>
      <c r="K214" s="337" t="n"/>
      <c r="L214" s="337" t="n"/>
      <c r="M214" s="39" t="n"/>
      <c r="N214" s="39" t="n"/>
      <c r="O214" s="39" t="n"/>
      <c r="P214" s="39" t="n"/>
      <c r="Q214" s="39" t="n"/>
      <c r="R214" s="39" t="n"/>
      <c r="S214" s="39" t="n"/>
      <c r="T214" s="39" t="n"/>
      <c r="U214" s="39" t="n"/>
      <c r="V214" s="39" t="n"/>
      <c r="W214" s="39" t="n"/>
      <c r="X214" s="39" t="n"/>
      <c r="Y214" s="39" t="n"/>
      <c r="Z214" s="39" t="n"/>
      <c r="AA214" s="39" t="n"/>
      <c r="AB214" s="39" t="n"/>
      <c r="AC214" s="39" t="n"/>
      <c r="AD214" s="39" t="n"/>
      <c r="AE214" s="39" t="n"/>
      <c r="AF214" s="39" t="n"/>
      <c r="AG214" s="39" t="n"/>
      <c r="AH214" s="39" t="n"/>
      <c r="AI214" s="39" t="n"/>
      <c r="AJ214" s="39" t="n"/>
      <c r="AK214" s="39" t="n"/>
      <c r="AL214" s="39" t="n"/>
      <c r="AM214" s="39" t="n"/>
      <c r="AN214" s="39" t="n"/>
      <c r="AO214" s="39" t="n"/>
      <c r="AP214" s="39" t="n"/>
      <c r="AQ214" s="39" t="n"/>
      <c r="AR214" s="39" t="n"/>
      <c r="AS214" s="39" t="n"/>
      <c r="AT214" s="39" t="n"/>
      <c r="AU214" s="39" t="n"/>
      <c r="AV214" s="39" t="n"/>
      <c r="AW214" s="39" t="n"/>
      <c r="AX214" s="39" t="n"/>
      <c r="AY214" s="39" t="n"/>
      <c r="AZ214" s="16" t="n"/>
      <c r="BA214" s="39" t="n"/>
      <c r="BB214" s="39" t="n"/>
      <c r="BC214" s="158" t="n"/>
      <c r="BD214" s="39" t="n"/>
      <c r="BE214" s="39" t="n"/>
      <c r="BF214" s="39" t="n"/>
      <c r="BG214" s="159" t="n"/>
      <c r="BH214" s="347" t="n"/>
      <c r="BI214" s="340" t="n"/>
      <c r="BJ214" s="341" t="n"/>
      <c r="BK214" s="340" t="n"/>
      <c r="BL214" s="341" t="n"/>
      <c r="BM214" s="340" t="n"/>
      <c r="BN214" s="341" t="n"/>
      <c r="BO214" s="39" t="n"/>
      <c r="BP214" s="39" t="n"/>
      <c r="BQ214" s="39" t="n"/>
      <c r="BR214" s="39" t="n"/>
      <c r="BS214" s="347" t="n"/>
      <c r="BT214" s="39" t="n"/>
      <c r="BU214" s="39" t="n"/>
      <c r="BV214" s="39" t="n"/>
      <c r="BW214" s="39" t="n"/>
      <c r="BX214" s="39" t="n"/>
      <c r="BY214" s="39" t="n"/>
      <c r="BZ214" s="39" t="n"/>
      <c r="CA214" s="39" t="n"/>
      <c r="CB214" s="39" t="n"/>
      <c r="CC214" s="39" t="n"/>
      <c r="CD214" s="39" t="n"/>
      <c r="CE214" s="39" t="n"/>
      <c r="CF214" s="39" t="n"/>
      <c r="CG214" s="39" t="n"/>
      <c r="CH214" s="39" t="n"/>
      <c r="CI214" s="39" t="n"/>
      <c r="CJ214" s="39" t="n"/>
      <c r="CK214" s="39">
        <f>$KN214*1</f>
        <v/>
      </c>
      <c r="CL214" s="39" t="n">
        <v>0</v>
      </c>
      <c r="CM214" s="347" t="n"/>
      <c r="CN214" s="39" t="n"/>
      <c r="CO214" s="39" t="n"/>
      <c r="CP214" s="39">
        <f>$KN214*1</f>
        <v/>
      </c>
      <c r="CQ214" s="39" t="n">
        <v>1</v>
      </c>
      <c r="CR214" s="16" t="n"/>
      <c r="CS214" s="39" t="n"/>
      <c r="CT214" s="39" t="n"/>
      <c r="CU214" s="39" t="n"/>
      <c r="CV214" s="39" t="n">
        <v>0</v>
      </c>
      <c r="CW214" s="39" t="n"/>
      <c r="CX214" s="39" t="n"/>
      <c r="CY214" s="39" t="n"/>
      <c r="CZ214" s="39" t="n"/>
      <c r="DA214" s="39" t="n">
        <v>0</v>
      </c>
      <c r="DB214" s="39" t="n"/>
      <c r="DC214" s="39" t="n"/>
      <c r="DD214" s="39" t="n"/>
      <c r="DE214" s="39" t="n"/>
      <c r="DF214" s="39" t="n"/>
      <c r="DG214" s="39" t="n"/>
      <c r="DH214" s="39" t="n"/>
      <c r="DI214" s="39" t="n"/>
      <c r="DJ214" s="39" t="n"/>
      <c r="DK214" s="39" t="n">
        <v>0</v>
      </c>
      <c r="DL214" s="39" t="n"/>
      <c r="DM214" s="39" t="n"/>
      <c r="DN214" s="39" t="n"/>
      <c r="DO214" s="39" t="n"/>
      <c r="DP214" s="39" t="n">
        <v>0</v>
      </c>
      <c r="DQ214" s="39" t="n"/>
      <c r="DR214" s="39" t="n"/>
      <c r="DS214" s="39" t="n"/>
      <c r="DT214" s="39" t="n"/>
      <c r="DU214" s="39" t="n">
        <v>0</v>
      </c>
      <c r="DV214" s="39" t="n"/>
      <c r="DW214" s="340">
        <f t="array" ref="DW214">SUMPRODUCT(--(MOD(COLUMN($BO214:$DV214),5)=MOD(COLUMN($BO214),5)),$BO214:$DV214)</f>
        <v/>
      </c>
      <c r="DX214" s="341">
        <f>DW214*$J214</f>
        <v/>
      </c>
      <c r="DY214" s="340">
        <f t="array" ref="DY214">SUMPRODUCT(--(MOD(COLUMN($BO214:$DV214),5)=MOD(COLUMN($BP214),5)),$BO214:$DV214)</f>
        <v/>
      </c>
      <c r="DZ214" s="341">
        <f>DY214*$J214</f>
        <v/>
      </c>
      <c r="EA214" s="340">
        <f t="array" ref="EA214">SUMPRODUCT(--(MOD(COLUMN($BO214:$DV214),5)=MOD(COLUMN($BQ214),5)),$BO214:$DV214)</f>
        <v/>
      </c>
      <c r="EB214" s="341">
        <f>EA214*$J214</f>
        <v/>
      </c>
      <c r="EC214" s="340">
        <f t="array" ref="EC214">SUMPRODUCT(--(MOD(COLUMN($BO214:$DV214),5)=MOD(COLUMN($BR214),5)),$BO214:$DV214)</f>
        <v/>
      </c>
      <c r="ED214" s="341">
        <f>EC214*$J214</f>
        <v/>
      </c>
      <c r="EE214" s="39" t="n"/>
      <c r="EF214" s="39" t="n"/>
      <c r="EG214" s="39" t="n"/>
      <c r="EH214" s="39" t="n"/>
      <c r="EI214" s="39" t="n"/>
      <c r="EJ214" s="39" t="n"/>
      <c r="EK214" s="39" t="n">
        <v>0</v>
      </c>
      <c r="EL214" s="39" t="n"/>
      <c r="EM214" s="39" t="n"/>
      <c r="EN214" s="39" t="n"/>
      <c r="EO214" s="39" t="n">
        <v>0</v>
      </c>
      <c r="EP214" s="39" t="n"/>
      <c r="EQ214" s="204">
        <f>$KN214*0</f>
        <v/>
      </c>
      <c r="ER214" s="39" t="n">
        <v>0</v>
      </c>
      <c r="ES214" s="39" t="n"/>
      <c r="ET214" s="39" t="n"/>
      <c r="EU214" s="204">
        <f>$KN214*0</f>
        <v/>
      </c>
      <c r="EV214" s="39" t="n">
        <v>0</v>
      </c>
      <c r="EW214" s="39" t="n"/>
      <c r="EX214" s="39" t="n"/>
      <c r="EY214" s="200" t="n">
        <v>1</v>
      </c>
      <c r="EZ214" s="155" t="n">
        <v>0</v>
      </c>
      <c r="FA214" s="39" t="n">
        <v>0</v>
      </c>
      <c r="FB214" s="39" t="n"/>
      <c r="FC214" s="204">
        <f>$KN214*0</f>
        <v/>
      </c>
      <c r="FD214" s="39" t="n">
        <v>0</v>
      </c>
      <c r="FE214" s="39" t="n"/>
      <c r="FF214" s="39" t="n"/>
      <c r="FG214" s="204">
        <f>$KN214*0</f>
        <v/>
      </c>
      <c r="FH214" s="39" t="n">
        <v>0</v>
      </c>
      <c r="FI214" s="39" t="n"/>
      <c r="FJ214" s="39" t="n"/>
      <c r="FK214" s="200" t="n">
        <v>1</v>
      </c>
      <c r="FL214" s="155" t="n">
        <v>0</v>
      </c>
      <c r="FM214" s="39" t="n">
        <v>0</v>
      </c>
      <c r="FN214" s="39" t="n"/>
      <c r="FO214" s="39">
        <f>$KN214*0</f>
        <v/>
      </c>
      <c r="FP214" s="39" t="n">
        <v>0</v>
      </c>
      <c r="FQ214" s="39" t="n"/>
      <c r="FR214" s="39" t="n"/>
      <c r="FS214" s="39">
        <f>$KN214*0</f>
        <v/>
      </c>
      <c r="FT214" s="39" t="n">
        <v>0</v>
      </c>
      <c r="FU214" s="39" t="n"/>
      <c r="FV214" s="39" t="n"/>
      <c r="FW214" s="200" t="n">
        <v>1</v>
      </c>
      <c r="FX214" s="155" t="n">
        <v>0</v>
      </c>
      <c r="FY214" s="39" t="n">
        <v>0</v>
      </c>
      <c r="FZ214" s="39" t="n"/>
      <c r="GA214" s="340">
        <f>SUMPRODUCT(--(MOD(COLUMN($EE214:$FZ214),4)=MOD(COLUMN($EE214),4)),$EE214:$FZ214)</f>
        <v/>
      </c>
      <c r="GB214" s="341">
        <f>GA214*$J214</f>
        <v/>
      </c>
      <c r="GC214" s="340">
        <f>SUMPRODUCT(--(MOD(COLUMN($EE214:$FZ214),4)=MOD(COLUMN($EF214),4)),$EE214:$FZ214)</f>
        <v/>
      </c>
      <c r="GD214" s="341">
        <f>GC214*$J214</f>
        <v/>
      </c>
      <c r="GE214" s="340">
        <f>SUMPRODUCT(--(MOD(COLUMN($EE214:$FZ214),4)=MOD(COLUMN($EG214),4)),$EE214:$FZ214)</f>
        <v/>
      </c>
      <c r="GF214" s="341">
        <f>GE214*$J214</f>
        <v/>
      </c>
      <c r="GG214" s="39">
        <f>$KN214*0</f>
        <v/>
      </c>
      <c r="GH214" s="39" t="n"/>
      <c r="GI214" s="39" t="n"/>
      <c r="GJ214" s="39" t="n"/>
      <c r="GK214" s="39">
        <f>$KN214*0</f>
        <v/>
      </c>
      <c r="GL214" s="39" t="n"/>
      <c r="GM214" s="39" t="n"/>
      <c r="GN214" s="39" t="n"/>
      <c r="GO214" s="169" t="n">
        <v>0</v>
      </c>
      <c r="GP214" s="39" t="n"/>
      <c r="GQ214" s="39" t="n"/>
      <c r="GR214" s="39" t="n"/>
      <c r="GS214" s="39">
        <f>$KN214*0</f>
        <v/>
      </c>
      <c r="GT214" s="39" t="n"/>
      <c r="GU214" s="39" t="n"/>
      <c r="GV214" s="39" t="n"/>
      <c r="GW214" s="39">
        <f>$KN214*0</f>
        <v/>
      </c>
      <c r="GX214" s="39" t="n"/>
      <c r="GY214" s="39" t="n"/>
      <c r="GZ214" s="39" t="n"/>
      <c r="HA214" s="169" t="n">
        <v>0</v>
      </c>
      <c r="HB214" s="39" t="n"/>
      <c r="HC214" s="39" t="n"/>
      <c r="HD214" s="39" t="n"/>
      <c r="HE214" s="39">
        <f>$KN214*0</f>
        <v/>
      </c>
      <c r="HF214" s="39" t="n"/>
      <c r="HG214" s="39" t="n"/>
      <c r="HH214" s="39" t="n"/>
      <c r="HI214" s="39">
        <f>$KN214*0</f>
        <v/>
      </c>
      <c r="HJ214" s="39" t="n"/>
      <c r="HK214" s="39" t="n"/>
      <c r="HL214" s="39" t="n"/>
      <c r="HM214" s="169" t="n">
        <v>0</v>
      </c>
      <c r="HN214" s="39" t="n"/>
      <c r="HO214" s="39" t="n"/>
      <c r="HP214" s="39" t="n"/>
      <c r="HQ214" s="39">
        <f>$KN214*0</f>
        <v/>
      </c>
      <c r="HR214" s="39" t="n"/>
      <c r="HS214" s="39" t="n"/>
      <c r="HT214" s="39" t="n"/>
      <c r="HU214" s="39">
        <f>$KN214*0</f>
        <v/>
      </c>
      <c r="HV214" s="39" t="n"/>
      <c r="HW214" s="39" t="n"/>
      <c r="HX214" s="39" t="n"/>
      <c r="HY214" s="169" t="n">
        <v>0</v>
      </c>
      <c r="HZ214" s="39" t="n"/>
      <c r="IA214" s="39" t="n"/>
      <c r="IB214" s="39" t="n"/>
      <c r="IC214" s="340">
        <f t="array" ref="IC214">SUMPRODUCT(--(MOD(COLUMN($GG214:$IB214),4)=MOD(COLUMN($GG214),4)),$GG214:$IB214)</f>
        <v/>
      </c>
      <c r="ID214" s="341">
        <f>IC214*$J214</f>
        <v/>
      </c>
      <c r="IE214" s="340">
        <f t="array" ref="IE214">SUMPRODUCT(--(MOD(COLUMN($GG214:$IB214),4)=MOD(COLUMN($GH214),4)),$GG214:$IB214)</f>
        <v/>
      </c>
      <c r="IF214" s="341">
        <f>IE214*$J214</f>
        <v/>
      </c>
      <c r="IG214" s="340">
        <f t="array" ref="IG214">SUMPRODUCT(--(MOD(COLUMN($GG214:$IB214),4)=MOD(COLUMN($GI214),4)),$GG214:$IB214)</f>
        <v/>
      </c>
      <c r="IH214" s="341">
        <f>IG214*$J214</f>
        <v/>
      </c>
      <c r="II214" s="39">
        <f>$KN214*0</f>
        <v/>
      </c>
      <c r="IJ214" s="39" t="n"/>
      <c r="IK214" s="39" t="n"/>
      <c r="IL214" s="39" t="n"/>
      <c r="IM214" s="39">
        <f>$KN214*0</f>
        <v/>
      </c>
      <c r="IN214" s="39" t="n"/>
      <c r="IO214" s="39" t="n"/>
      <c r="IP214" s="39" t="n"/>
      <c r="IQ214" s="169" t="n">
        <v>0</v>
      </c>
      <c r="IR214" s="39" t="n"/>
      <c r="IS214" s="39" t="n"/>
      <c r="IT214" s="39" t="n"/>
      <c r="IU214" s="39">
        <f>$KN214*0</f>
        <v/>
      </c>
      <c r="IV214" s="39" t="n"/>
      <c r="IW214" s="39" t="n"/>
      <c r="IX214" s="39" t="n"/>
      <c r="IY214" s="39">
        <f>$KN214*0</f>
        <v/>
      </c>
      <c r="IZ214" s="39" t="n"/>
      <c r="JA214" s="39" t="n"/>
      <c r="JB214" s="39" t="n"/>
      <c r="JC214" s="169" t="n">
        <v>0</v>
      </c>
      <c r="JD214" s="39" t="n"/>
      <c r="JE214" s="39" t="n"/>
      <c r="JF214" s="39" t="n"/>
      <c r="JG214" s="39">
        <f>$KN214*0</f>
        <v/>
      </c>
      <c r="JH214" s="39" t="n"/>
      <c r="JI214" s="39" t="n"/>
      <c r="JJ214" s="39" t="n"/>
      <c r="JK214" s="39">
        <f>$KN214*0</f>
        <v/>
      </c>
      <c r="JL214" s="39" t="n"/>
      <c r="JM214" s="39" t="n"/>
      <c r="JN214" s="39" t="n"/>
      <c r="JO214" s="169" t="n">
        <v>0</v>
      </c>
      <c r="JP214" s="39" t="n"/>
      <c r="JQ214" s="39" t="n"/>
      <c r="JR214" s="39" t="n"/>
      <c r="JS214" s="39">
        <f>$KN214*0</f>
        <v/>
      </c>
      <c r="JT214" s="39" t="n"/>
      <c r="JU214" s="39" t="n"/>
      <c r="JV214" s="39" t="n"/>
      <c r="JW214" s="39">
        <f>$KN214*0</f>
        <v/>
      </c>
      <c r="JX214" s="39" t="n"/>
      <c r="JY214" s="39" t="n"/>
      <c r="JZ214" s="39" t="n"/>
      <c r="KA214" s="169" t="n">
        <v>0</v>
      </c>
      <c r="KB214" s="39" t="n"/>
      <c r="KC214" s="39" t="n"/>
      <c r="KD214" s="39" t="n"/>
      <c r="KE214" s="340">
        <f t="array" ref="KE214">SUMPRODUCT(--(MOD(COLUMN($II214:$KD214),4)=MOD(COLUMN($II214),4)),$II214:$KD214)</f>
        <v/>
      </c>
      <c r="KF214" s="341">
        <f>KE214*$J214</f>
        <v/>
      </c>
      <c r="KG214" s="340">
        <f t="array" ref="KG214">SUMPRODUCT(--(MOD(COLUMN($II214:$KD214),4)=MOD(COLUMN($IJ214),4)),$II214:$KD214)</f>
        <v/>
      </c>
      <c r="KH214" s="341">
        <f>KG214*$J214</f>
        <v/>
      </c>
      <c r="KI214" s="340">
        <f t="array" ref="KI214">SUMPRODUCT(--(MOD(COLUMN($II214:$KD214),4)=MOD(COLUMN($IK214),4)),$II214:$KD214)</f>
        <v/>
      </c>
      <c r="KJ214" s="385">
        <f>KI214*$J214</f>
        <v/>
      </c>
      <c r="KK214" s="80" t="n"/>
      <c r="KL214" s="80" t="n"/>
      <c r="KM214" s="80" t="n"/>
      <c r="KN214" s="51" t="n">
        <v>1</v>
      </c>
      <c r="KO214" s="347" t="n"/>
    </row>
    <row r="215" outlineLevel="1" customFormat="1" s="68">
      <c r="A215" s="347" t="n"/>
      <c r="B215" s="347" t="n"/>
      <c r="C215" s="347" t="n"/>
      <c r="D215" s="347" t="n"/>
      <c r="E215" s="15" t="n">
        <v>8</v>
      </c>
      <c r="F215" s="15" t="n">
        <v>1</v>
      </c>
      <c r="G215" s="33" t="n">
        <v>4334010030</v>
      </c>
      <c r="H215" s="34" t="inlineStr">
        <is>
          <t>Упругий элемент</t>
        </is>
      </c>
      <c r="I215" s="337" t="n">
        <v>35.62925170068027</v>
      </c>
      <c r="J215" s="337">
        <f>41.9/1.2*1.0863</f>
        <v/>
      </c>
      <c r="K215" s="337" t="n"/>
      <c r="L215" s="337" t="n"/>
      <c r="M215" s="39" t="n"/>
      <c r="N215" s="39" t="n"/>
      <c r="O215" s="39" t="n"/>
      <c r="P215" s="39" t="n"/>
      <c r="Q215" s="39" t="n"/>
      <c r="R215" s="39" t="n"/>
      <c r="S215" s="39" t="n"/>
      <c r="T215" s="39" t="n"/>
      <c r="U215" s="39" t="n"/>
      <c r="V215" s="39" t="n"/>
      <c r="W215" s="39" t="n"/>
      <c r="X215" s="39" t="n"/>
      <c r="Y215" s="39" t="n"/>
      <c r="Z215" s="39" t="n"/>
      <c r="AA215" s="39" t="n"/>
      <c r="AB215" s="39" t="n"/>
      <c r="AC215" s="39" t="n"/>
      <c r="AD215" s="39" t="n"/>
      <c r="AE215" s="39" t="n"/>
      <c r="AF215" s="39" t="n"/>
      <c r="AG215" s="39" t="n"/>
      <c r="AH215" s="39" t="n"/>
      <c r="AI215" s="39" t="n"/>
      <c r="AJ215" s="39" t="n"/>
      <c r="AK215" s="39" t="n"/>
      <c r="AL215" s="39" t="n"/>
      <c r="AM215" s="39" t="n"/>
      <c r="AN215" s="39" t="n"/>
      <c r="AO215" s="39" t="n"/>
      <c r="AP215" s="39" t="n"/>
      <c r="AQ215" s="39" t="n"/>
      <c r="AR215" s="39" t="n"/>
      <c r="AS215" s="39" t="n"/>
      <c r="AT215" s="39" t="n"/>
      <c r="AU215" s="39" t="n"/>
      <c r="AV215" s="39" t="n"/>
      <c r="AW215" s="39" t="n"/>
      <c r="AX215" s="39" t="n"/>
      <c r="AY215" s="39" t="n"/>
      <c r="AZ215" s="16" t="n"/>
      <c r="BA215" s="39" t="n"/>
      <c r="BB215" s="39" t="n"/>
      <c r="BC215" s="158" t="n"/>
      <c r="BD215" s="39" t="n"/>
      <c r="BE215" s="39" t="n"/>
      <c r="BF215" s="39" t="n"/>
      <c r="BG215" s="159" t="n"/>
      <c r="BH215" s="347" t="n"/>
      <c r="BI215" s="340" t="n"/>
      <c r="BJ215" s="341" t="n"/>
      <c r="BK215" s="340" t="n"/>
      <c r="BL215" s="341" t="n"/>
      <c r="BM215" s="340" t="n"/>
      <c r="BN215" s="341" t="n"/>
      <c r="BO215" s="39" t="n"/>
      <c r="BP215" s="39" t="n"/>
      <c r="BQ215" s="39" t="n"/>
      <c r="BR215" s="39" t="n"/>
      <c r="BS215" s="347" t="n"/>
      <c r="BT215" s="39" t="n"/>
      <c r="BU215" s="39" t="n"/>
      <c r="BV215" s="39" t="n"/>
      <c r="BW215" s="39" t="n"/>
      <c r="BX215" s="39" t="n"/>
      <c r="BY215" s="39" t="n"/>
      <c r="BZ215" s="39" t="n"/>
      <c r="CA215" s="39" t="n"/>
      <c r="CB215" s="39" t="n"/>
      <c r="CC215" s="39" t="n"/>
      <c r="CD215" s="39" t="n"/>
      <c r="CE215" s="39" t="n"/>
      <c r="CF215" s="39" t="n"/>
      <c r="CG215" s="39" t="n"/>
      <c r="CH215" s="39" t="n"/>
      <c r="CI215" s="39" t="n"/>
      <c r="CJ215" s="39" t="n"/>
      <c r="CK215" s="39">
        <f>$KN215*1</f>
        <v/>
      </c>
      <c r="CL215" s="39" t="n">
        <v>0</v>
      </c>
      <c r="CM215" s="347" t="n"/>
      <c r="CN215" s="39" t="n"/>
      <c r="CO215" s="39" t="n"/>
      <c r="CP215" s="39">
        <f>$KN215*1</f>
        <v/>
      </c>
      <c r="CQ215" s="39" t="n">
        <v>1</v>
      </c>
      <c r="CR215" s="16" t="n"/>
      <c r="CS215" s="39" t="n"/>
      <c r="CT215" s="39" t="n"/>
      <c r="CU215" s="39" t="n"/>
      <c r="CV215" s="39" t="n">
        <v>0</v>
      </c>
      <c r="CW215" s="39" t="n"/>
      <c r="CX215" s="39" t="n"/>
      <c r="CY215" s="39" t="n"/>
      <c r="CZ215" s="39" t="n"/>
      <c r="DA215" s="3" t="n">
        <v>0</v>
      </c>
      <c r="DB215" s="39" t="n"/>
      <c r="DC215" s="39" t="n"/>
      <c r="DD215" s="39" t="n"/>
      <c r="DE215" s="39" t="n"/>
      <c r="DF215" s="39" t="n"/>
      <c r="DG215" s="39" t="n"/>
      <c r="DH215" s="39" t="n"/>
      <c r="DI215" s="39" t="n"/>
      <c r="DJ215" s="39" t="n"/>
      <c r="DK215" s="39" t="n">
        <v>0</v>
      </c>
      <c r="DL215" s="39" t="n"/>
      <c r="DM215" s="39" t="n"/>
      <c r="DN215" s="39" t="n"/>
      <c r="DO215" s="39" t="n"/>
      <c r="DP215" s="39" t="n">
        <v>0</v>
      </c>
      <c r="DQ215" s="39" t="n"/>
      <c r="DR215" s="39" t="n"/>
      <c r="DS215" s="39" t="n"/>
      <c r="DT215" s="39" t="n"/>
      <c r="DU215" s="39" t="n">
        <v>0</v>
      </c>
      <c r="DV215" s="39" t="n"/>
      <c r="DW215" s="340">
        <f t="array" ref="DW215">SUMPRODUCT(--(MOD(COLUMN($BO215:$DV215),5)=MOD(COLUMN($BO215),5)),$BO215:$DV215)</f>
        <v/>
      </c>
      <c r="DX215" s="341">
        <f>DW215*$J215</f>
        <v/>
      </c>
      <c r="DY215" s="340">
        <f t="array" ref="DY215">SUMPRODUCT(--(MOD(COLUMN($BO215:$DV215),5)=MOD(COLUMN($BP215),5)),$BO215:$DV215)</f>
        <v/>
      </c>
      <c r="DZ215" s="341">
        <f>DY215*$J215</f>
        <v/>
      </c>
      <c r="EA215" s="340">
        <f t="array" ref="EA215">SUMPRODUCT(--(MOD(COLUMN($BO215:$DV215),5)=MOD(COLUMN($BQ215),5)),$BO215:$DV215)</f>
        <v/>
      </c>
      <c r="EB215" s="341">
        <f>EA215*$J215</f>
        <v/>
      </c>
      <c r="EC215" s="340">
        <f t="array" ref="EC215">SUMPRODUCT(--(MOD(COLUMN($BO215:$DV215),5)=MOD(COLUMN($BR215),5)),$BO215:$DV215)</f>
        <v/>
      </c>
      <c r="ED215" s="341">
        <f>EC215*$J215</f>
        <v/>
      </c>
      <c r="EE215" s="39" t="n"/>
      <c r="EF215" s="39" t="n"/>
      <c r="EG215" s="39" t="n"/>
      <c r="EH215" s="39" t="n"/>
      <c r="EI215" s="39" t="n"/>
      <c r="EJ215" s="39" t="n"/>
      <c r="EK215" s="39" t="n">
        <v>0</v>
      </c>
      <c r="EL215" s="39" t="n"/>
      <c r="EM215" s="39" t="n"/>
      <c r="EN215" s="39" t="n"/>
      <c r="EO215" s="39" t="n">
        <v>0</v>
      </c>
      <c r="EP215" s="39" t="n"/>
      <c r="EQ215" s="204">
        <f>$KN215*0</f>
        <v/>
      </c>
      <c r="ER215" s="39" t="n">
        <v>0</v>
      </c>
      <c r="ES215" s="39" t="n"/>
      <c r="ET215" s="39" t="n"/>
      <c r="EU215" s="204">
        <f>$KN215*0</f>
        <v/>
      </c>
      <c r="EV215" s="39" t="n">
        <v>0</v>
      </c>
      <c r="EW215" s="39" t="n"/>
      <c r="EX215" s="39" t="n"/>
      <c r="EY215" s="200" t="n">
        <v>1</v>
      </c>
      <c r="EZ215" s="155" t="n">
        <v>0</v>
      </c>
      <c r="FA215" s="39" t="n">
        <v>0</v>
      </c>
      <c r="FB215" s="39" t="n"/>
      <c r="FC215" s="204">
        <f>$KN215*0</f>
        <v/>
      </c>
      <c r="FD215" s="39" t="n">
        <v>0</v>
      </c>
      <c r="FE215" s="39" t="n"/>
      <c r="FF215" s="39" t="n"/>
      <c r="FG215" s="204">
        <f>$KN215*0</f>
        <v/>
      </c>
      <c r="FH215" s="39" t="n">
        <v>0</v>
      </c>
      <c r="FI215" s="39" t="n"/>
      <c r="FJ215" s="39" t="n"/>
      <c r="FK215" s="200" t="n">
        <v>1</v>
      </c>
      <c r="FL215" s="155" t="n">
        <v>0</v>
      </c>
      <c r="FM215" s="39" t="n">
        <v>0</v>
      </c>
      <c r="FN215" s="39" t="n"/>
      <c r="FO215" s="39">
        <f>$KN215*0</f>
        <v/>
      </c>
      <c r="FP215" s="39" t="n">
        <v>0</v>
      </c>
      <c r="FQ215" s="39" t="n"/>
      <c r="FR215" s="39" t="n"/>
      <c r="FS215" s="39">
        <f>$KN215*0</f>
        <v/>
      </c>
      <c r="FT215" s="39" t="n">
        <v>0</v>
      </c>
      <c r="FU215" s="39" t="n"/>
      <c r="FV215" s="39" t="n"/>
      <c r="FW215" s="201" t="n">
        <v>1</v>
      </c>
      <c r="FX215" s="155" t="n">
        <v>0</v>
      </c>
      <c r="FY215" s="39" t="n">
        <v>0</v>
      </c>
      <c r="FZ215" s="39" t="n"/>
      <c r="GA215" s="340">
        <f>SUMPRODUCT(--(MOD(COLUMN($EE215:$FZ215),4)=MOD(COLUMN($EE215),4)),$EE215:$FZ215)</f>
        <v/>
      </c>
      <c r="GB215" s="341">
        <f>GA215*$J215</f>
        <v/>
      </c>
      <c r="GC215" s="340">
        <f>SUMPRODUCT(--(MOD(COLUMN($EE215:$FZ215),4)=MOD(COLUMN($EF215),4)),$EE215:$FZ215)</f>
        <v/>
      </c>
      <c r="GD215" s="341">
        <f>GC215*$J215</f>
        <v/>
      </c>
      <c r="GE215" s="340">
        <f>SUMPRODUCT(--(MOD(COLUMN($EE215:$FZ215),4)=MOD(COLUMN($EG215),4)),$EE215:$FZ215)</f>
        <v/>
      </c>
      <c r="GF215" s="341">
        <f>GE215*$J215</f>
        <v/>
      </c>
      <c r="GG215" s="39">
        <f>$KN215*0</f>
        <v/>
      </c>
      <c r="GH215" s="39" t="n"/>
      <c r="GI215" s="39" t="n"/>
      <c r="GJ215" s="39" t="n"/>
      <c r="GK215" s="39">
        <f>$KN215*0</f>
        <v/>
      </c>
      <c r="GL215" s="39" t="n"/>
      <c r="GM215" s="39" t="n"/>
      <c r="GN215" s="39" t="n"/>
      <c r="GO215" s="169" t="n">
        <v>0</v>
      </c>
      <c r="GP215" s="39" t="n"/>
      <c r="GQ215" s="39" t="n"/>
      <c r="GR215" s="39" t="n"/>
      <c r="GS215" s="39">
        <f>$KN215*0</f>
        <v/>
      </c>
      <c r="GT215" s="39" t="n"/>
      <c r="GU215" s="39" t="n"/>
      <c r="GV215" s="39" t="n"/>
      <c r="GW215" s="39">
        <f>$KN215*0</f>
        <v/>
      </c>
      <c r="GX215" s="39" t="n"/>
      <c r="GY215" s="39" t="n"/>
      <c r="GZ215" s="39" t="n"/>
      <c r="HA215" s="169" t="n">
        <v>0</v>
      </c>
      <c r="HB215" s="39" t="n"/>
      <c r="HC215" s="39" t="n"/>
      <c r="HD215" s="39" t="n"/>
      <c r="HE215" s="39">
        <f>$KN215*0</f>
        <v/>
      </c>
      <c r="HF215" s="39" t="n"/>
      <c r="HG215" s="39" t="n"/>
      <c r="HH215" s="39" t="n"/>
      <c r="HI215" s="39">
        <f>$KN215*0</f>
        <v/>
      </c>
      <c r="HJ215" s="39" t="n"/>
      <c r="HK215" s="39" t="n"/>
      <c r="HL215" s="39" t="n"/>
      <c r="HM215" s="169" t="n">
        <v>0</v>
      </c>
      <c r="HN215" s="39" t="n"/>
      <c r="HO215" s="39" t="n"/>
      <c r="HP215" s="39" t="n"/>
      <c r="HQ215" s="39">
        <f>$KN215*0</f>
        <v/>
      </c>
      <c r="HR215" s="39" t="n"/>
      <c r="HS215" s="39" t="n"/>
      <c r="HT215" s="39" t="n"/>
      <c r="HU215" s="39">
        <f>$KN215*0</f>
        <v/>
      </c>
      <c r="HV215" s="39" t="n"/>
      <c r="HW215" s="39" t="n"/>
      <c r="HX215" s="39" t="n"/>
      <c r="HY215" s="169" t="n">
        <v>0</v>
      </c>
      <c r="HZ215" s="39" t="n"/>
      <c r="IA215" s="39" t="n"/>
      <c r="IB215" s="39" t="n"/>
      <c r="IC215" s="340">
        <f t="array" ref="IC215">SUMPRODUCT(--(MOD(COLUMN($GG215:$IB215),4)=MOD(COLUMN($GG215),4)),$GG215:$IB215)</f>
        <v/>
      </c>
      <c r="ID215" s="341">
        <f>IC215*$J215</f>
        <v/>
      </c>
      <c r="IE215" s="340">
        <f t="array" ref="IE215">SUMPRODUCT(--(MOD(COLUMN($GG215:$IB215),4)=MOD(COLUMN($GH215),4)),$GG215:$IB215)</f>
        <v/>
      </c>
      <c r="IF215" s="341">
        <f>IE215*$J215</f>
        <v/>
      </c>
      <c r="IG215" s="340">
        <f t="array" ref="IG215">SUMPRODUCT(--(MOD(COLUMN($GG215:$IB215),4)=MOD(COLUMN($GI215),4)),$GG215:$IB215)</f>
        <v/>
      </c>
      <c r="IH215" s="341">
        <f>IG215*$J215</f>
        <v/>
      </c>
      <c r="II215" s="39">
        <f>$KN215*0</f>
        <v/>
      </c>
      <c r="IJ215" s="39" t="n"/>
      <c r="IK215" s="39" t="n"/>
      <c r="IL215" s="39" t="n"/>
      <c r="IM215" s="39">
        <f>$KN215*0</f>
        <v/>
      </c>
      <c r="IN215" s="39" t="n"/>
      <c r="IO215" s="39" t="n"/>
      <c r="IP215" s="39" t="n"/>
      <c r="IQ215" s="169" t="n">
        <v>0</v>
      </c>
      <c r="IR215" s="39" t="n"/>
      <c r="IS215" s="39" t="n"/>
      <c r="IT215" s="39" t="n"/>
      <c r="IU215" s="39">
        <f>$KN215*0</f>
        <v/>
      </c>
      <c r="IV215" s="39" t="n"/>
      <c r="IW215" s="39" t="n"/>
      <c r="IX215" s="39" t="n"/>
      <c r="IY215" s="39">
        <f>$KN215*0</f>
        <v/>
      </c>
      <c r="IZ215" s="39" t="n"/>
      <c r="JA215" s="39" t="n"/>
      <c r="JB215" s="39" t="n"/>
      <c r="JC215" s="169" t="n">
        <v>0</v>
      </c>
      <c r="JD215" s="39" t="n"/>
      <c r="JE215" s="39" t="n"/>
      <c r="JF215" s="39" t="n"/>
      <c r="JG215" s="39">
        <f>$KN215*0</f>
        <v/>
      </c>
      <c r="JH215" s="39" t="n"/>
      <c r="JI215" s="39" t="n"/>
      <c r="JJ215" s="39" t="n"/>
      <c r="JK215" s="39">
        <f>$KN215*0</f>
        <v/>
      </c>
      <c r="JL215" s="39" t="n"/>
      <c r="JM215" s="39" t="n"/>
      <c r="JN215" s="39" t="n"/>
      <c r="JO215" s="169" t="n">
        <v>0</v>
      </c>
      <c r="JP215" s="39" t="n"/>
      <c r="JQ215" s="39" t="n"/>
      <c r="JR215" s="39" t="n"/>
      <c r="JS215" s="39">
        <f>$KN215*0</f>
        <v/>
      </c>
      <c r="JT215" s="39" t="n"/>
      <c r="JU215" s="39" t="n"/>
      <c r="JV215" s="39" t="n"/>
      <c r="JW215" s="39">
        <f>$KN215*0</f>
        <v/>
      </c>
      <c r="JX215" s="39" t="n"/>
      <c r="JY215" s="39" t="n"/>
      <c r="JZ215" s="39" t="n"/>
      <c r="KA215" s="169" t="n">
        <v>0</v>
      </c>
      <c r="KB215" s="39" t="n"/>
      <c r="KC215" s="39" t="n"/>
      <c r="KD215" s="39" t="n"/>
      <c r="KE215" s="340">
        <f t="array" ref="KE215">SUMPRODUCT(--(MOD(COLUMN($II215:$KD215),4)=MOD(COLUMN($II215),4)),$II215:$KD215)</f>
        <v/>
      </c>
      <c r="KF215" s="341">
        <f>KE215*$J215</f>
        <v/>
      </c>
      <c r="KG215" s="340">
        <f t="array" ref="KG215">SUMPRODUCT(--(MOD(COLUMN($II215:$KD215),4)=MOD(COLUMN($IJ215),4)),$II215:$KD215)</f>
        <v/>
      </c>
      <c r="KH215" s="341">
        <f>KG215*$J215</f>
        <v/>
      </c>
      <c r="KI215" s="340">
        <f t="array" ref="KI215">SUMPRODUCT(--(MOD(COLUMN($II215:$KD215),4)=MOD(COLUMN($IK215),4)),$II215:$KD215)</f>
        <v/>
      </c>
      <c r="KJ215" s="385">
        <f>KI215*$J215</f>
        <v/>
      </c>
      <c r="KK215" s="80" t="n"/>
      <c r="KL215" s="80" t="n"/>
      <c r="KM215" s="80" t="n"/>
      <c r="KN215" s="51" t="n">
        <v>1</v>
      </c>
      <c r="KO215" s="333" t="n"/>
    </row>
    <row r="216" outlineLevel="1" customFormat="1" s="68">
      <c r="A216" s="347" t="n"/>
      <c r="B216" s="347" t="n"/>
      <c r="C216" s="347" t="n"/>
      <c r="D216" s="347" t="n"/>
      <c r="E216" s="15" t="n">
        <v>9</v>
      </c>
      <c r="F216" s="15" t="n">
        <v>2</v>
      </c>
      <c r="G216" s="33" t="n">
        <v>4461220500</v>
      </c>
      <c r="H216" s="34" t="inlineStr">
        <is>
          <t>CAN Router</t>
        </is>
      </c>
      <c r="I216" s="337" t="n"/>
      <c r="J216" s="337">
        <f>13817/1.2</f>
        <v/>
      </c>
      <c r="K216" s="337" t="n"/>
      <c r="L216" s="337" t="n"/>
      <c r="M216" s="39" t="n"/>
      <c r="N216" s="39" t="n"/>
      <c r="O216" s="39" t="n"/>
      <c r="P216" s="39" t="n"/>
      <c r="Q216" s="39" t="n"/>
      <c r="R216" s="39" t="n"/>
      <c r="S216" s="39" t="n"/>
      <c r="T216" s="39" t="n"/>
      <c r="U216" s="39" t="n"/>
      <c r="V216" s="39" t="n"/>
      <c r="W216" s="39" t="n"/>
      <c r="X216" s="39" t="n"/>
      <c r="Y216" s="39" t="n"/>
      <c r="Z216" s="39" t="n"/>
      <c r="AA216" s="39" t="n"/>
      <c r="AB216" s="39" t="n"/>
      <c r="AC216" s="39" t="n"/>
      <c r="AD216" s="39" t="n"/>
      <c r="AE216" s="39" t="n"/>
      <c r="AF216" s="39" t="n"/>
      <c r="AG216" s="39" t="n"/>
      <c r="AH216" s="39" t="n"/>
      <c r="AI216" s="39" t="n"/>
      <c r="AJ216" s="39" t="n"/>
      <c r="AK216" s="39" t="n"/>
      <c r="AL216" s="39" t="n"/>
      <c r="AM216" s="39" t="n"/>
      <c r="AN216" s="39" t="n"/>
      <c r="AO216" s="39" t="n"/>
      <c r="AP216" s="39" t="n"/>
      <c r="AQ216" s="39" t="n"/>
      <c r="AR216" s="39" t="n"/>
      <c r="AS216" s="39" t="n"/>
      <c r="AT216" s="39" t="n"/>
      <c r="AU216" s="39" t="n"/>
      <c r="AV216" s="39" t="n"/>
      <c r="AW216" s="39" t="n"/>
      <c r="AX216" s="39" t="n"/>
      <c r="AY216" s="39" t="n"/>
      <c r="AZ216" s="16" t="n"/>
      <c r="BA216" s="39" t="n"/>
      <c r="BB216" s="39" t="n"/>
      <c r="BC216" s="158" t="n"/>
      <c r="BD216" s="39" t="n"/>
      <c r="BE216" s="39" t="n"/>
      <c r="BF216" s="39" t="n"/>
      <c r="BG216" s="159" t="n"/>
      <c r="BH216" s="347" t="n"/>
      <c r="BI216" s="340" t="n"/>
      <c r="BJ216" s="341" t="n"/>
      <c r="BK216" s="340" t="n"/>
      <c r="BL216" s="341" t="n"/>
      <c r="BM216" s="340" t="n"/>
      <c r="BN216" s="341" t="n"/>
      <c r="BO216" s="39" t="n"/>
      <c r="BP216" s="39" t="n"/>
      <c r="BQ216" s="39" t="n"/>
      <c r="BR216" s="39" t="n"/>
      <c r="BS216" s="308" t="n"/>
      <c r="BT216" s="39" t="n"/>
      <c r="BU216" s="39" t="n"/>
      <c r="BV216" s="39" t="n"/>
      <c r="BW216" s="39" t="n"/>
      <c r="BX216" s="39" t="n"/>
      <c r="BY216" s="39" t="n"/>
      <c r="BZ216" s="39" t="n"/>
      <c r="CA216" s="39" t="n"/>
      <c r="CB216" s="39" t="n"/>
      <c r="CC216" s="39" t="n"/>
      <c r="CD216" s="39" t="n"/>
      <c r="CE216" s="39" t="n"/>
      <c r="CF216" s="39" t="n"/>
      <c r="CG216" s="39" t="n"/>
      <c r="CH216" s="39" t="n"/>
      <c r="CI216" s="39" t="n"/>
      <c r="CJ216" s="39" t="n"/>
      <c r="CK216" s="39">
        <f>$KN216*1</f>
        <v/>
      </c>
      <c r="CL216" s="39" t="n">
        <v>0</v>
      </c>
      <c r="CM216" s="347" t="n"/>
      <c r="CN216" s="39" t="n"/>
      <c r="CO216" s="39" t="n"/>
      <c r="CP216" s="39">
        <f>$KN216*1</f>
        <v/>
      </c>
      <c r="CQ216" s="39" t="n">
        <v>0</v>
      </c>
      <c r="CR216" s="16" t="n"/>
      <c r="CS216" s="39" t="n"/>
      <c r="CT216" s="39" t="n"/>
      <c r="CU216" s="39" t="n"/>
      <c r="CV216" s="39" t="n">
        <v>0</v>
      </c>
      <c r="CW216" s="39" t="n"/>
      <c r="CX216" s="39" t="n"/>
      <c r="CY216" s="39" t="n"/>
      <c r="CZ216" s="39" t="n"/>
      <c r="DA216" s="39" t="n">
        <v>0</v>
      </c>
      <c r="DB216" s="39" t="n"/>
      <c r="DC216" s="39" t="n"/>
      <c r="DD216" s="39" t="n"/>
      <c r="DE216" s="39" t="n"/>
      <c r="DF216" s="39" t="n">
        <v>1</v>
      </c>
      <c r="DG216" s="39" t="n"/>
      <c r="DH216" s="39" t="n"/>
      <c r="DI216" s="39" t="n"/>
      <c r="DJ216" s="39" t="n"/>
      <c r="DK216" s="39" t="n">
        <v>0</v>
      </c>
      <c r="DL216" s="39" t="n"/>
      <c r="DM216" s="39" t="n"/>
      <c r="DN216" s="39" t="n"/>
      <c r="DO216" s="39" t="n"/>
      <c r="DP216" s="39" t="n">
        <v>0</v>
      </c>
      <c r="DQ216" s="39" t="n"/>
      <c r="DR216" s="39" t="n"/>
      <c r="DS216" s="39" t="n"/>
      <c r="DT216" s="39" t="n"/>
      <c r="DU216" s="39" t="n">
        <v>0</v>
      </c>
      <c r="DV216" s="39" t="n"/>
      <c r="DW216" s="340">
        <f t="array" ref="DW216">SUMPRODUCT(--(MOD(COLUMN($BO216:$DV216),5)=MOD(COLUMN($BO216),5)),$BO216:$DV216)</f>
        <v/>
      </c>
      <c r="DX216" s="341">
        <f>DW216*$J216</f>
        <v/>
      </c>
      <c r="DY216" s="340">
        <f t="array" ref="DY216">SUMPRODUCT(--(MOD(COLUMN($BO216:$DV216),5)=MOD(COLUMN($BP216),5)),$BO216:$DV216)</f>
        <v/>
      </c>
      <c r="DZ216" s="341">
        <f>DY216*$J216</f>
        <v/>
      </c>
      <c r="EA216" s="340">
        <f t="array" ref="EA216">SUMPRODUCT(--(MOD(COLUMN($BO216:$DV216),5)=MOD(COLUMN($BQ216),5)),$BO216:$DV216)</f>
        <v/>
      </c>
      <c r="EB216" s="341">
        <f>EA216*$J216</f>
        <v/>
      </c>
      <c r="EC216" s="340">
        <f t="array" ref="EC216">SUMPRODUCT(--(MOD(COLUMN($BO216:$DV216),5)=MOD(COLUMN($BR216),5)),$BO216:$DV216)</f>
        <v/>
      </c>
      <c r="ED216" s="341">
        <f>EC216*$J216</f>
        <v/>
      </c>
      <c r="EE216" s="39" t="n"/>
      <c r="EF216" s="39" t="n"/>
      <c r="EG216" s="39" t="n"/>
      <c r="EH216" s="39" t="n"/>
      <c r="EI216" s="39" t="n"/>
      <c r="EJ216" s="39" t="n"/>
      <c r="EK216" s="39" t="n">
        <v>0</v>
      </c>
      <c r="EL216" s="39" t="n"/>
      <c r="EM216" s="39" t="n"/>
      <c r="EN216" s="39" t="n"/>
      <c r="EO216" s="39" t="n">
        <v>0</v>
      </c>
      <c r="EP216" s="39" t="n"/>
      <c r="EQ216" s="204">
        <f>$KN216*0</f>
        <v/>
      </c>
      <c r="ER216" s="39" t="n">
        <v>0</v>
      </c>
      <c r="ES216" s="39" t="n"/>
      <c r="ET216" s="39" t="n"/>
      <c r="EU216" s="204">
        <f>$KN216*0</f>
        <v/>
      </c>
      <c r="EV216" s="39" t="n">
        <v>0</v>
      </c>
      <c r="EW216" s="39" t="n"/>
      <c r="EX216" s="39" t="n"/>
      <c r="EY216" s="200" t="n">
        <v>1</v>
      </c>
      <c r="EZ216" s="155" t="n">
        <v>0</v>
      </c>
      <c r="FA216" s="39" t="n">
        <v>0</v>
      </c>
      <c r="FB216" s="39" t="n"/>
      <c r="FC216" s="204">
        <f>$KN216*0</f>
        <v/>
      </c>
      <c r="FD216" s="39" t="n">
        <v>0</v>
      </c>
      <c r="FE216" s="39" t="n"/>
      <c r="FF216" s="39" t="n"/>
      <c r="FG216" s="204">
        <f>$KN216*0</f>
        <v/>
      </c>
      <c r="FH216" s="39" t="n">
        <v>0</v>
      </c>
      <c r="FI216" s="39" t="n"/>
      <c r="FJ216" s="39" t="n"/>
      <c r="FK216" s="200" t="n">
        <v>1</v>
      </c>
      <c r="FL216" s="155" t="n">
        <v>0</v>
      </c>
      <c r="FM216" s="39" t="n">
        <v>0</v>
      </c>
      <c r="FN216" s="39" t="n"/>
      <c r="FO216" s="39">
        <f>$KN216*0</f>
        <v/>
      </c>
      <c r="FP216" s="39" t="n">
        <v>0</v>
      </c>
      <c r="FQ216" s="39" t="n"/>
      <c r="FR216" s="39" t="n"/>
      <c r="FS216" s="39">
        <f>$KN216*0</f>
        <v/>
      </c>
      <c r="FT216" s="39" t="n">
        <v>0</v>
      </c>
      <c r="FU216" s="39" t="n"/>
      <c r="FV216" s="39" t="n"/>
      <c r="FW216" s="201" t="n">
        <v>1</v>
      </c>
      <c r="FX216" s="155" t="n">
        <v>0</v>
      </c>
      <c r="FY216" s="39" t="n">
        <v>0</v>
      </c>
      <c r="FZ216" s="39" t="n"/>
      <c r="GA216" s="340">
        <f>SUMPRODUCT(--(MOD(COLUMN($EE216:$FZ216),4)=MOD(COLUMN($EE216),4)),$EE216:$FZ216)</f>
        <v/>
      </c>
      <c r="GB216" s="341">
        <f>GA216*$J216</f>
        <v/>
      </c>
      <c r="GC216" s="340">
        <f>SUMPRODUCT(--(MOD(COLUMN($EE216:$FZ216),4)=MOD(COLUMN($EF216),4)),$EE216:$FZ216)</f>
        <v/>
      </c>
      <c r="GD216" s="341">
        <f>GC216*$J216</f>
        <v/>
      </c>
      <c r="GE216" s="340">
        <f>SUMPRODUCT(--(MOD(COLUMN($EE216:$FZ216),4)=MOD(COLUMN($EG216),4)),$EE216:$FZ216)</f>
        <v/>
      </c>
      <c r="GF216" s="341">
        <f>GE216*$J216</f>
        <v/>
      </c>
      <c r="GG216" s="39">
        <f>$KN216*0</f>
        <v/>
      </c>
      <c r="GH216" s="39" t="n"/>
      <c r="GI216" s="39" t="n"/>
      <c r="GJ216" s="39" t="n"/>
      <c r="GK216" s="39">
        <f>$KN216*0</f>
        <v/>
      </c>
      <c r="GL216" s="39" t="n"/>
      <c r="GM216" s="39" t="n"/>
      <c r="GN216" s="39" t="n"/>
      <c r="GO216" s="169" t="n">
        <v>0</v>
      </c>
      <c r="GP216" s="39" t="n"/>
      <c r="GQ216" s="39" t="n"/>
      <c r="GR216" s="39" t="n"/>
      <c r="GS216" s="39">
        <f>$KN216*0</f>
        <v/>
      </c>
      <c r="GT216" s="39" t="n"/>
      <c r="GU216" s="39" t="n"/>
      <c r="GV216" s="39" t="n"/>
      <c r="GW216" s="39">
        <f>$KN216*0</f>
        <v/>
      </c>
      <c r="GX216" s="39" t="n"/>
      <c r="GY216" s="39" t="n"/>
      <c r="GZ216" s="39" t="n"/>
      <c r="HA216" s="169" t="n">
        <v>0</v>
      </c>
      <c r="HB216" s="39" t="n"/>
      <c r="HC216" s="39" t="n"/>
      <c r="HD216" s="39" t="n"/>
      <c r="HE216" s="39">
        <f>$KN216*0</f>
        <v/>
      </c>
      <c r="HF216" s="39" t="n"/>
      <c r="HG216" s="39" t="n"/>
      <c r="HH216" s="39" t="n"/>
      <c r="HI216" s="39">
        <f>$KN216*0</f>
        <v/>
      </c>
      <c r="HJ216" s="39" t="n"/>
      <c r="HK216" s="39" t="n"/>
      <c r="HL216" s="39" t="n"/>
      <c r="HM216" s="169" t="n">
        <v>0</v>
      </c>
      <c r="HN216" s="39" t="n"/>
      <c r="HO216" s="39" t="n"/>
      <c r="HP216" s="39" t="n"/>
      <c r="HQ216" s="39">
        <f>$KN216*0</f>
        <v/>
      </c>
      <c r="HR216" s="39" t="n"/>
      <c r="HS216" s="39" t="n"/>
      <c r="HT216" s="39" t="n"/>
      <c r="HU216" s="39">
        <f>$KN216*0</f>
        <v/>
      </c>
      <c r="HV216" s="39" t="n"/>
      <c r="HW216" s="39" t="n"/>
      <c r="HX216" s="39" t="n"/>
      <c r="HY216" s="169" t="n">
        <v>0</v>
      </c>
      <c r="HZ216" s="39" t="n"/>
      <c r="IA216" s="39" t="n"/>
      <c r="IB216" s="39" t="n"/>
      <c r="IC216" s="340">
        <f t="array" ref="IC216">SUMPRODUCT(--(MOD(COLUMN($GG216:$IB216),4)=MOD(COLUMN($GG216),4)),$GG216:$IB216)</f>
        <v/>
      </c>
      <c r="ID216" s="341">
        <f>IC216*$J216</f>
        <v/>
      </c>
      <c r="IE216" s="340">
        <f t="array" ref="IE216">SUMPRODUCT(--(MOD(COLUMN($GG216:$IB216),4)=MOD(COLUMN($GH216),4)),$GG216:$IB216)</f>
        <v/>
      </c>
      <c r="IF216" s="341">
        <f>IE216*$J216</f>
        <v/>
      </c>
      <c r="IG216" s="340">
        <f t="array" ref="IG216">SUMPRODUCT(--(MOD(COLUMN($GG216:$IB216),4)=MOD(COLUMN($GI216),4)),$GG216:$IB216)</f>
        <v/>
      </c>
      <c r="IH216" s="341">
        <f>IG216*$J216</f>
        <v/>
      </c>
      <c r="II216" s="39">
        <f>$KN216*0</f>
        <v/>
      </c>
      <c r="IJ216" s="39" t="n"/>
      <c r="IK216" s="39" t="n"/>
      <c r="IL216" s="39" t="n"/>
      <c r="IM216" s="39">
        <f>$KN216*0</f>
        <v/>
      </c>
      <c r="IN216" s="39" t="n"/>
      <c r="IO216" s="39" t="n"/>
      <c r="IP216" s="39" t="n"/>
      <c r="IQ216" s="169" t="n">
        <v>0</v>
      </c>
      <c r="IR216" s="39" t="n"/>
      <c r="IS216" s="39" t="n"/>
      <c r="IT216" s="39" t="n"/>
      <c r="IU216" s="39">
        <f>$KN216*0</f>
        <v/>
      </c>
      <c r="IV216" s="39" t="n"/>
      <c r="IW216" s="39" t="n"/>
      <c r="IX216" s="39" t="n"/>
      <c r="IY216" s="39">
        <f>$KN216*0</f>
        <v/>
      </c>
      <c r="IZ216" s="39" t="n"/>
      <c r="JA216" s="39" t="n"/>
      <c r="JB216" s="39" t="n"/>
      <c r="JC216" s="169" t="n">
        <v>0</v>
      </c>
      <c r="JD216" s="39" t="n"/>
      <c r="JE216" s="39" t="n"/>
      <c r="JF216" s="39" t="n"/>
      <c r="JG216" s="39">
        <f>$KN216*0</f>
        <v/>
      </c>
      <c r="JH216" s="39" t="n"/>
      <c r="JI216" s="39" t="n"/>
      <c r="JJ216" s="39" t="n"/>
      <c r="JK216" s="39">
        <f>$KN216*0</f>
        <v/>
      </c>
      <c r="JL216" s="39" t="n"/>
      <c r="JM216" s="39" t="n"/>
      <c r="JN216" s="39" t="n"/>
      <c r="JO216" s="169" t="n">
        <v>0</v>
      </c>
      <c r="JP216" s="39" t="n"/>
      <c r="JQ216" s="39" t="n"/>
      <c r="JR216" s="39" t="n"/>
      <c r="JS216" s="39">
        <f>$KN216*0</f>
        <v/>
      </c>
      <c r="JT216" s="39" t="n"/>
      <c r="JU216" s="39" t="n"/>
      <c r="JV216" s="39" t="n"/>
      <c r="JW216" s="39">
        <f>$KN216*0</f>
        <v/>
      </c>
      <c r="JX216" s="39" t="n"/>
      <c r="JY216" s="39" t="n"/>
      <c r="JZ216" s="39" t="n"/>
      <c r="KA216" s="169" t="n">
        <v>0</v>
      </c>
      <c r="KB216" s="39" t="n"/>
      <c r="KC216" s="39" t="n"/>
      <c r="KD216" s="39" t="n"/>
      <c r="KE216" s="340">
        <f t="array" ref="KE216">SUMPRODUCT(--(MOD(COLUMN($II216:$KD216),4)=MOD(COLUMN($II216),4)),$II216:$KD216)</f>
        <v/>
      </c>
      <c r="KF216" s="341">
        <f>KE216*$J216</f>
        <v/>
      </c>
      <c r="KG216" s="340">
        <f t="array" ref="KG216">SUMPRODUCT(--(MOD(COLUMN($II216:$KD216),4)=MOD(COLUMN($IJ216),4)),$II216:$KD216)</f>
        <v/>
      </c>
      <c r="KH216" s="341">
        <f>KG216*$J216</f>
        <v/>
      </c>
      <c r="KI216" s="340">
        <f t="array" ref="KI216">SUMPRODUCT(--(MOD(COLUMN($II216:$KD216),4)=MOD(COLUMN($IK216),4)),$II216:$KD216)</f>
        <v/>
      </c>
      <c r="KJ216" s="385">
        <f>KI216*$J216</f>
        <v/>
      </c>
      <c r="KK216" s="80" t="n"/>
      <c r="KL216" s="80" t="n"/>
      <c r="KM216" s="80" t="n"/>
      <c r="KN216" s="51" t="n">
        <v>1</v>
      </c>
      <c r="KO216" s="285" t="inlineStr">
        <is>
          <t>CAN Router</t>
        </is>
      </c>
    </row>
    <row r="217" outlineLevel="1" customFormat="1" s="68">
      <c r="A217" s="347" t="n"/>
      <c r="B217" s="347" t="n"/>
      <c r="C217" s="347" t="n"/>
      <c r="D217" s="347" t="n"/>
      <c r="E217" s="15" t="n">
        <v>10</v>
      </c>
      <c r="F217" s="15" t="n">
        <v>2</v>
      </c>
      <c r="G217" s="33" t="n">
        <v>4491330300</v>
      </c>
      <c r="H217" s="34" t="inlineStr">
        <is>
          <t>Power Cable</t>
        </is>
      </c>
      <c r="I217" s="337" t="n"/>
      <c r="J217" s="337">
        <f>1945/1.2</f>
        <v/>
      </c>
      <c r="K217" s="337" t="n"/>
      <c r="L217" s="337" t="n"/>
      <c r="M217" s="39" t="n"/>
      <c r="N217" s="39" t="n"/>
      <c r="O217" s="39" t="n"/>
      <c r="P217" s="39" t="n"/>
      <c r="Q217" s="39" t="n"/>
      <c r="R217" s="39" t="n"/>
      <c r="S217" s="39" t="n"/>
      <c r="T217" s="39" t="n"/>
      <c r="U217" s="39" t="n"/>
      <c r="V217" s="39" t="n"/>
      <c r="W217" s="39" t="n"/>
      <c r="X217" s="39" t="n"/>
      <c r="Y217" s="39" t="n"/>
      <c r="Z217" s="39" t="n"/>
      <c r="AA217" s="39" t="n"/>
      <c r="AB217" s="39" t="n"/>
      <c r="AC217" s="39" t="n"/>
      <c r="AD217" s="39" t="n"/>
      <c r="AE217" s="39" t="n"/>
      <c r="AF217" s="39" t="n"/>
      <c r="AG217" s="39" t="n"/>
      <c r="AH217" s="39" t="n"/>
      <c r="AI217" s="39" t="n"/>
      <c r="AJ217" s="39" t="n"/>
      <c r="AK217" s="39" t="n"/>
      <c r="AL217" s="39" t="n"/>
      <c r="AM217" s="39" t="n"/>
      <c r="AN217" s="39" t="n"/>
      <c r="AO217" s="39" t="n"/>
      <c r="AP217" s="39" t="n"/>
      <c r="AQ217" s="39" t="n"/>
      <c r="AR217" s="39" t="n"/>
      <c r="AS217" s="39" t="n"/>
      <c r="AT217" s="39" t="n"/>
      <c r="AU217" s="39" t="n"/>
      <c r="AV217" s="39" t="n"/>
      <c r="AW217" s="39" t="n"/>
      <c r="AX217" s="39" t="n"/>
      <c r="AY217" s="39" t="n"/>
      <c r="AZ217" s="16" t="n"/>
      <c r="BA217" s="39" t="n"/>
      <c r="BB217" s="39" t="n"/>
      <c r="BC217" s="158" t="n"/>
      <c r="BD217" s="39" t="n"/>
      <c r="BE217" s="39" t="n"/>
      <c r="BF217" s="39" t="n"/>
      <c r="BG217" s="159" t="n"/>
      <c r="BH217" s="347" t="n"/>
      <c r="BI217" s="340" t="n"/>
      <c r="BJ217" s="341" t="n"/>
      <c r="BK217" s="340" t="n"/>
      <c r="BL217" s="341" t="n"/>
      <c r="BM217" s="340" t="n"/>
      <c r="BN217" s="341" t="n"/>
      <c r="BO217" s="39" t="n"/>
      <c r="BP217" s="39" t="n"/>
      <c r="BQ217" s="39" t="n"/>
      <c r="BR217" s="39" t="n"/>
      <c r="BS217" s="308" t="n"/>
      <c r="BT217" s="39" t="n"/>
      <c r="BU217" s="39" t="n"/>
      <c r="BV217" s="39" t="n"/>
      <c r="BW217" s="39" t="n"/>
      <c r="BX217" s="39" t="n"/>
      <c r="BY217" s="39" t="n"/>
      <c r="BZ217" s="39" t="n"/>
      <c r="CA217" s="39" t="n"/>
      <c r="CB217" s="39" t="n"/>
      <c r="CC217" s="39" t="n"/>
      <c r="CD217" s="39" t="n"/>
      <c r="CE217" s="39" t="n"/>
      <c r="CF217" s="39" t="n"/>
      <c r="CG217" s="39" t="n"/>
      <c r="CH217" s="39" t="n"/>
      <c r="CI217" s="39" t="n"/>
      <c r="CJ217" s="39" t="n"/>
      <c r="CK217" s="39">
        <f>$KN217*1</f>
        <v/>
      </c>
      <c r="CL217" s="39" t="n">
        <v>0</v>
      </c>
      <c r="CM217" s="347" t="n"/>
      <c r="CN217" s="39" t="n"/>
      <c r="CO217" s="39" t="n"/>
      <c r="CP217" s="39">
        <f>$KN217*1</f>
        <v/>
      </c>
      <c r="CQ217" s="39" t="n">
        <v>0</v>
      </c>
      <c r="CR217" s="16" t="n"/>
      <c r="CS217" s="39" t="n"/>
      <c r="CT217" s="39" t="n"/>
      <c r="CU217" s="39" t="n"/>
      <c r="CV217" s="39" t="n">
        <v>0</v>
      </c>
      <c r="CW217" s="39" t="n"/>
      <c r="CX217" s="39" t="n"/>
      <c r="CY217" s="39" t="n"/>
      <c r="CZ217" s="39" t="n"/>
      <c r="DA217" s="3" t="n">
        <v>0</v>
      </c>
      <c r="DB217" s="39" t="n"/>
      <c r="DC217" s="39" t="n"/>
      <c r="DD217" s="39" t="n"/>
      <c r="DE217" s="39" t="n"/>
      <c r="DF217" s="39" t="n">
        <v>1</v>
      </c>
      <c r="DG217" s="39" t="n"/>
      <c r="DH217" s="39" t="n"/>
      <c r="DI217" s="39" t="n"/>
      <c r="DJ217" s="39" t="n"/>
      <c r="DK217" s="39" t="n">
        <v>0</v>
      </c>
      <c r="DL217" s="39" t="n"/>
      <c r="DM217" s="39" t="n"/>
      <c r="DN217" s="39" t="n"/>
      <c r="DO217" s="39" t="n"/>
      <c r="DP217" s="39" t="n">
        <v>0</v>
      </c>
      <c r="DQ217" s="39" t="n"/>
      <c r="DR217" s="39" t="n"/>
      <c r="DS217" s="39" t="n"/>
      <c r="DT217" s="39" t="n"/>
      <c r="DU217" s="39" t="n">
        <v>0</v>
      </c>
      <c r="DV217" s="39" t="n"/>
      <c r="DW217" s="340">
        <f t="array" ref="DW217">SUMPRODUCT(--(MOD(COLUMN($BO217:$DV217),5)=MOD(COLUMN($BO217),5)),$BO217:$DV217)</f>
        <v/>
      </c>
      <c r="DX217" s="341">
        <f>DW217*$J217</f>
        <v/>
      </c>
      <c r="DY217" s="340">
        <f t="array" ref="DY217">SUMPRODUCT(--(MOD(COLUMN($BO217:$DV217),5)=MOD(COLUMN($BP217),5)),$BO217:$DV217)</f>
        <v/>
      </c>
      <c r="DZ217" s="341">
        <f>DY217*$J217</f>
        <v/>
      </c>
      <c r="EA217" s="340">
        <f t="array" ref="EA217">SUMPRODUCT(--(MOD(COLUMN($BO217:$DV217),5)=MOD(COLUMN($BQ217),5)),$BO217:$DV217)</f>
        <v/>
      </c>
      <c r="EB217" s="341">
        <f>EA217*$J217</f>
        <v/>
      </c>
      <c r="EC217" s="340">
        <f t="array" ref="EC217">SUMPRODUCT(--(MOD(COLUMN($BO217:$DV217),5)=MOD(COLUMN($BR217),5)),$BO217:$DV217)</f>
        <v/>
      </c>
      <c r="ED217" s="341">
        <f>EC217*$J217</f>
        <v/>
      </c>
      <c r="EE217" s="39" t="n"/>
      <c r="EF217" s="39" t="n"/>
      <c r="EG217" s="39" t="n"/>
      <c r="EH217" s="39" t="n"/>
      <c r="EI217" s="39" t="n"/>
      <c r="EJ217" s="39" t="n"/>
      <c r="EK217" s="39" t="n">
        <v>0</v>
      </c>
      <c r="EL217" s="39" t="n"/>
      <c r="EM217" s="39" t="n"/>
      <c r="EN217" s="39" t="n"/>
      <c r="EO217" s="39" t="n">
        <v>0</v>
      </c>
      <c r="EP217" s="39" t="n"/>
      <c r="EQ217" s="204">
        <f>$KN217*0</f>
        <v/>
      </c>
      <c r="ER217" s="39" t="n">
        <v>0</v>
      </c>
      <c r="ES217" s="39" t="n"/>
      <c r="ET217" s="39" t="n"/>
      <c r="EU217" s="204">
        <f>$KN217*0</f>
        <v/>
      </c>
      <c r="EV217" s="39" t="n">
        <v>0</v>
      </c>
      <c r="EW217" s="39" t="n"/>
      <c r="EX217" s="39" t="n"/>
      <c r="EY217" s="200" t="n">
        <v>1</v>
      </c>
      <c r="EZ217" s="155" t="n">
        <v>0</v>
      </c>
      <c r="FA217" s="39" t="n">
        <v>0</v>
      </c>
      <c r="FB217" s="39" t="n"/>
      <c r="FC217" s="204">
        <f>$KN217*0</f>
        <v/>
      </c>
      <c r="FD217" s="39" t="n">
        <v>0</v>
      </c>
      <c r="FE217" s="39" t="n"/>
      <c r="FF217" s="39" t="n"/>
      <c r="FG217" s="204">
        <f>$KN217*0</f>
        <v/>
      </c>
      <c r="FH217" s="39" t="n">
        <v>0</v>
      </c>
      <c r="FI217" s="39" t="n"/>
      <c r="FJ217" s="39" t="n"/>
      <c r="FK217" s="200" t="n">
        <v>1</v>
      </c>
      <c r="FL217" s="155" t="n">
        <v>0</v>
      </c>
      <c r="FM217" s="39" t="n">
        <v>0</v>
      </c>
      <c r="FN217" s="39" t="n"/>
      <c r="FO217" s="39">
        <f>$KN217*0</f>
        <v/>
      </c>
      <c r="FP217" s="39" t="n">
        <v>0</v>
      </c>
      <c r="FQ217" s="39" t="n"/>
      <c r="FR217" s="39" t="n"/>
      <c r="FS217" s="39">
        <f>$KN217*0</f>
        <v/>
      </c>
      <c r="FT217" s="39" t="n">
        <v>0</v>
      </c>
      <c r="FU217" s="39" t="n"/>
      <c r="FV217" s="39" t="n"/>
      <c r="FW217" s="200" t="n">
        <v>1</v>
      </c>
      <c r="FX217" s="155" t="n">
        <v>0</v>
      </c>
      <c r="FY217" s="39" t="n">
        <v>0</v>
      </c>
      <c r="FZ217" s="39" t="n"/>
      <c r="GA217" s="340">
        <f>SUMPRODUCT(--(MOD(COLUMN($EE217:$FZ217),4)=MOD(COLUMN($EE217),4)),$EE217:$FZ217)</f>
        <v/>
      </c>
      <c r="GB217" s="341">
        <f>GA217*$J217</f>
        <v/>
      </c>
      <c r="GC217" s="340">
        <f>SUMPRODUCT(--(MOD(COLUMN($EE217:$FZ217),4)=MOD(COLUMN($EF217),4)),$EE217:$FZ217)</f>
        <v/>
      </c>
      <c r="GD217" s="341">
        <f>GC217*$J217</f>
        <v/>
      </c>
      <c r="GE217" s="340">
        <f>SUMPRODUCT(--(MOD(COLUMN($EE217:$FZ217),4)=MOD(COLUMN($EG217),4)),$EE217:$FZ217)</f>
        <v/>
      </c>
      <c r="GF217" s="341">
        <f>GE217*$J217</f>
        <v/>
      </c>
      <c r="GG217" s="39">
        <f>$KN217*0</f>
        <v/>
      </c>
      <c r="GH217" s="39" t="n"/>
      <c r="GI217" s="39" t="n"/>
      <c r="GJ217" s="39" t="n"/>
      <c r="GK217" s="39">
        <f>$KN217*0</f>
        <v/>
      </c>
      <c r="GL217" s="39" t="n"/>
      <c r="GM217" s="39" t="n"/>
      <c r="GN217" s="39" t="n"/>
      <c r="GO217" s="169" t="n">
        <v>0</v>
      </c>
      <c r="GP217" s="39" t="n"/>
      <c r="GQ217" s="39" t="n"/>
      <c r="GR217" s="39" t="n"/>
      <c r="GS217" s="39">
        <f>$KN217*0</f>
        <v/>
      </c>
      <c r="GT217" s="39" t="n"/>
      <c r="GU217" s="39" t="n"/>
      <c r="GV217" s="39" t="n"/>
      <c r="GW217" s="39">
        <f>$KN217*0</f>
        <v/>
      </c>
      <c r="GX217" s="39" t="n"/>
      <c r="GY217" s="39" t="n"/>
      <c r="GZ217" s="39" t="n"/>
      <c r="HA217" s="169" t="n">
        <v>0</v>
      </c>
      <c r="HB217" s="39" t="n"/>
      <c r="HC217" s="39" t="n"/>
      <c r="HD217" s="39" t="n"/>
      <c r="HE217" s="39">
        <f>$KN217*0</f>
        <v/>
      </c>
      <c r="HF217" s="39" t="n"/>
      <c r="HG217" s="39" t="n"/>
      <c r="HH217" s="39" t="n"/>
      <c r="HI217" s="39">
        <f>$KN217*0</f>
        <v/>
      </c>
      <c r="HJ217" s="39" t="n"/>
      <c r="HK217" s="39" t="n"/>
      <c r="HL217" s="39" t="n"/>
      <c r="HM217" s="169" t="n">
        <v>0</v>
      </c>
      <c r="HN217" s="39" t="n"/>
      <c r="HO217" s="39" t="n"/>
      <c r="HP217" s="39" t="n"/>
      <c r="HQ217" s="39">
        <f>$KN217*0</f>
        <v/>
      </c>
      <c r="HR217" s="39" t="n"/>
      <c r="HS217" s="39" t="n"/>
      <c r="HT217" s="39" t="n"/>
      <c r="HU217" s="39">
        <f>$KN217*0</f>
        <v/>
      </c>
      <c r="HV217" s="39" t="n"/>
      <c r="HW217" s="39" t="n"/>
      <c r="HX217" s="39" t="n"/>
      <c r="HY217" s="169" t="n">
        <v>0</v>
      </c>
      <c r="HZ217" s="39" t="n"/>
      <c r="IA217" s="39" t="n"/>
      <c r="IB217" s="39" t="n"/>
      <c r="IC217" s="340">
        <f t="array" ref="IC217">SUMPRODUCT(--(MOD(COLUMN($GG217:$IB217),4)=MOD(COLUMN($GG217),4)),$GG217:$IB217)</f>
        <v/>
      </c>
      <c r="ID217" s="341">
        <f>IC217*$J217</f>
        <v/>
      </c>
      <c r="IE217" s="340">
        <f t="array" ref="IE217">SUMPRODUCT(--(MOD(COLUMN($GG217:$IB217),4)=MOD(COLUMN($GH217),4)),$GG217:$IB217)</f>
        <v/>
      </c>
      <c r="IF217" s="341">
        <f>IE217*$J217</f>
        <v/>
      </c>
      <c r="IG217" s="340">
        <f t="array" ref="IG217">SUMPRODUCT(--(MOD(COLUMN($GG217:$IB217),4)=MOD(COLUMN($GI217),4)),$GG217:$IB217)</f>
        <v/>
      </c>
      <c r="IH217" s="341">
        <f>IG217*$J217</f>
        <v/>
      </c>
      <c r="II217" s="39">
        <f>$KN217*0</f>
        <v/>
      </c>
      <c r="IJ217" s="39" t="n"/>
      <c r="IK217" s="39" t="n"/>
      <c r="IL217" s="39" t="n"/>
      <c r="IM217" s="39">
        <f>$KN217*0</f>
        <v/>
      </c>
      <c r="IN217" s="39" t="n"/>
      <c r="IO217" s="39" t="n"/>
      <c r="IP217" s="39" t="n"/>
      <c r="IQ217" s="169" t="n">
        <v>0</v>
      </c>
      <c r="IR217" s="39" t="n"/>
      <c r="IS217" s="39" t="n"/>
      <c r="IT217" s="39" t="n"/>
      <c r="IU217" s="39">
        <f>$KN217*0</f>
        <v/>
      </c>
      <c r="IV217" s="39" t="n"/>
      <c r="IW217" s="39" t="n"/>
      <c r="IX217" s="39" t="n"/>
      <c r="IY217" s="39">
        <f>$KN217*0</f>
        <v/>
      </c>
      <c r="IZ217" s="39" t="n"/>
      <c r="JA217" s="39" t="n"/>
      <c r="JB217" s="39" t="n"/>
      <c r="JC217" s="169" t="n">
        <v>0</v>
      </c>
      <c r="JD217" s="39" t="n"/>
      <c r="JE217" s="39" t="n"/>
      <c r="JF217" s="39" t="n"/>
      <c r="JG217" s="39">
        <f>$KN217*0</f>
        <v/>
      </c>
      <c r="JH217" s="39" t="n"/>
      <c r="JI217" s="39" t="n"/>
      <c r="JJ217" s="39" t="n"/>
      <c r="JK217" s="39">
        <f>$KN217*0</f>
        <v/>
      </c>
      <c r="JL217" s="39" t="n"/>
      <c r="JM217" s="39" t="n"/>
      <c r="JN217" s="39" t="n"/>
      <c r="JO217" s="169" t="n">
        <v>0</v>
      </c>
      <c r="JP217" s="39" t="n"/>
      <c r="JQ217" s="39" t="n"/>
      <c r="JR217" s="39" t="n"/>
      <c r="JS217" s="39">
        <f>$KN217*0</f>
        <v/>
      </c>
      <c r="JT217" s="39" t="n"/>
      <c r="JU217" s="39" t="n"/>
      <c r="JV217" s="39" t="n"/>
      <c r="JW217" s="39">
        <f>$KN217*0</f>
        <v/>
      </c>
      <c r="JX217" s="39" t="n"/>
      <c r="JY217" s="39" t="n"/>
      <c r="JZ217" s="39" t="n"/>
      <c r="KA217" s="169" t="n">
        <v>0</v>
      </c>
      <c r="KB217" s="39" t="n"/>
      <c r="KC217" s="39" t="n"/>
      <c r="KD217" s="39" t="n"/>
      <c r="KE217" s="340">
        <f t="array" ref="KE217">SUMPRODUCT(--(MOD(COLUMN($II217:$KD217),4)=MOD(COLUMN($II217),4)),$II217:$KD217)</f>
        <v/>
      </c>
      <c r="KF217" s="341">
        <f>KE217*$J217</f>
        <v/>
      </c>
      <c r="KG217" s="340">
        <f t="array" ref="KG217">SUMPRODUCT(--(MOD(COLUMN($II217:$KD217),4)=MOD(COLUMN($IJ217),4)),$II217:$KD217)</f>
        <v/>
      </c>
      <c r="KH217" s="341">
        <f>KG217*$J217</f>
        <v/>
      </c>
      <c r="KI217" s="340">
        <f t="array" ref="KI217">SUMPRODUCT(--(MOD(COLUMN($II217:$KD217),4)=MOD(COLUMN($IK217),4)),$II217:$KD217)</f>
        <v/>
      </c>
      <c r="KJ217" s="385">
        <f>KI217*$J217</f>
        <v/>
      </c>
      <c r="KK217" s="80" t="n"/>
      <c r="KL217" s="80" t="n"/>
      <c r="KM217" s="80" t="n"/>
      <c r="KN217" s="51" t="n">
        <v>1</v>
      </c>
      <c r="KO217" s="347" t="n"/>
    </row>
    <row r="218" outlineLevel="1" customFormat="1" s="68">
      <c r="A218" s="347" t="n"/>
      <c r="B218" s="347" t="n"/>
      <c r="C218" s="347" t="n"/>
      <c r="D218" s="347" t="n"/>
      <c r="E218" s="15" t="n">
        <v>11</v>
      </c>
      <c r="F218" s="15" t="n">
        <v>2</v>
      </c>
      <c r="G218" s="33" t="n">
        <v>4493470800</v>
      </c>
      <c r="H218" s="34" t="inlineStr">
        <is>
          <t>Power Cable</t>
        </is>
      </c>
      <c r="I218" s="337" t="n"/>
      <c r="J218" s="337">
        <f>2521.5/1.2</f>
        <v/>
      </c>
      <c r="K218" s="337" t="n"/>
      <c r="L218" s="337" t="n"/>
      <c r="M218" s="39" t="n"/>
      <c r="N218" s="39" t="n"/>
      <c r="O218" s="39" t="n"/>
      <c r="P218" s="39" t="n"/>
      <c r="Q218" s="39" t="n"/>
      <c r="R218" s="39" t="n"/>
      <c r="S218" s="39" t="n"/>
      <c r="T218" s="39" t="n"/>
      <c r="U218" s="39" t="n"/>
      <c r="V218" s="39" t="n"/>
      <c r="W218" s="39" t="n"/>
      <c r="X218" s="39" t="n"/>
      <c r="Y218" s="39" t="n"/>
      <c r="Z218" s="39" t="n"/>
      <c r="AA218" s="39" t="n"/>
      <c r="AB218" s="39" t="n"/>
      <c r="AC218" s="39" t="n"/>
      <c r="AD218" s="39" t="n"/>
      <c r="AE218" s="39" t="n"/>
      <c r="AF218" s="39" t="n"/>
      <c r="AG218" s="39" t="n"/>
      <c r="AH218" s="39" t="n"/>
      <c r="AI218" s="39" t="n"/>
      <c r="AJ218" s="39" t="n"/>
      <c r="AK218" s="39" t="n"/>
      <c r="AL218" s="39" t="n"/>
      <c r="AM218" s="39" t="n"/>
      <c r="AN218" s="39" t="n"/>
      <c r="AO218" s="39" t="n"/>
      <c r="AP218" s="39" t="n"/>
      <c r="AQ218" s="39" t="n"/>
      <c r="AR218" s="39" t="n"/>
      <c r="AS218" s="39" t="n"/>
      <c r="AT218" s="39" t="n"/>
      <c r="AU218" s="39" t="n"/>
      <c r="AV218" s="39" t="n"/>
      <c r="AW218" s="39" t="n"/>
      <c r="AX218" s="39" t="n"/>
      <c r="AY218" s="39" t="n"/>
      <c r="AZ218" s="16" t="n"/>
      <c r="BA218" s="39" t="n"/>
      <c r="BB218" s="39" t="n"/>
      <c r="BC218" s="158" t="n"/>
      <c r="BD218" s="39" t="n"/>
      <c r="BE218" s="39" t="n"/>
      <c r="BF218" s="39" t="n"/>
      <c r="BG218" s="159" t="n"/>
      <c r="BH218" s="347" t="n"/>
      <c r="BI218" s="340" t="n"/>
      <c r="BJ218" s="341" t="n"/>
      <c r="BK218" s="340" t="n"/>
      <c r="BL218" s="341" t="n"/>
      <c r="BM218" s="340" t="n"/>
      <c r="BN218" s="341" t="n"/>
      <c r="BO218" s="39" t="n"/>
      <c r="BP218" s="39" t="n"/>
      <c r="BQ218" s="39" t="n"/>
      <c r="BR218" s="39" t="n"/>
      <c r="BS218" s="308" t="n"/>
      <c r="BT218" s="39" t="n"/>
      <c r="BU218" s="39" t="n"/>
      <c r="BV218" s="39" t="n"/>
      <c r="BW218" s="39" t="n"/>
      <c r="BX218" s="39" t="n"/>
      <c r="BY218" s="39" t="n"/>
      <c r="BZ218" s="39" t="n"/>
      <c r="CA218" s="39" t="n"/>
      <c r="CB218" s="39" t="n"/>
      <c r="CC218" s="39" t="n"/>
      <c r="CD218" s="39" t="n"/>
      <c r="CE218" s="39" t="n"/>
      <c r="CF218" s="39" t="n"/>
      <c r="CG218" s="39" t="n"/>
      <c r="CH218" s="39" t="n"/>
      <c r="CI218" s="39" t="n"/>
      <c r="CJ218" s="39" t="n"/>
      <c r="CK218" s="39">
        <f>$KN218*1</f>
        <v/>
      </c>
      <c r="CL218" s="39" t="n">
        <v>0</v>
      </c>
      <c r="CM218" s="347" t="n"/>
      <c r="CN218" s="39" t="n"/>
      <c r="CO218" s="39" t="n"/>
      <c r="CP218" s="39">
        <f>$KN218*1</f>
        <v/>
      </c>
      <c r="CQ218" s="39" t="n">
        <v>0</v>
      </c>
      <c r="CR218" s="16" t="n"/>
      <c r="CS218" s="39" t="n"/>
      <c r="CT218" s="39" t="n"/>
      <c r="CU218" s="39" t="n"/>
      <c r="CV218" s="39" t="n">
        <v>0</v>
      </c>
      <c r="CW218" s="39" t="n"/>
      <c r="CX218" s="39" t="n"/>
      <c r="CY218" s="39" t="n"/>
      <c r="CZ218" s="39" t="n"/>
      <c r="DA218" s="39" t="n">
        <v>0</v>
      </c>
      <c r="DB218" s="39" t="n"/>
      <c r="DC218" s="39" t="n"/>
      <c r="DD218" s="39" t="n"/>
      <c r="DE218" s="39" t="n"/>
      <c r="DF218" s="39" t="n">
        <v>1</v>
      </c>
      <c r="DG218" s="39" t="n"/>
      <c r="DH218" s="39" t="n"/>
      <c r="DI218" s="39" t="n"/>
      <c r="DJ218" s="39" t="n"/>
      <c r="DK218" s="39" t="n">
        <v>0</v>
      </c>
      <c r="DL218" s="39" t="n"/>
      <c r="DM218" s="39" t="n"/>
      <c r="DN218" s="39" t="n"/>
      <c r="DO218" s="39" t="n"/>
      <c r="DP218" s="39" t="n">
        <v>0</v>
      </c>
      <c r="DQ218" s="39" t="n"/>
      <c r="DR218" s="39" t="n"/>
      <c r="DS218" s="39" t="n"/>
      <c r="DT218" s="39" t="n"/>
      <c r="DU218" s="39" t="n">
        <v>0</v>
      </c>
      <c r="DV218" s="39" t="n"/>
      <c r="DW218" s="340">
        <f t="array" ref="DW218">SUMPRODUCT(--(MOD(COLUMN($BO218:$DV218),5)=MOD(COLUMN($BO218),5)),$BO218:$DV218)</f>
        <v/>
      </c>
      <c r="DX218" s="341">
        <f>DW218*$J218</f>
        <v/>
      </c>
      <c r="DY218" s="340">
        <f t="array" ref="DY218">SUMPRODUCT(--(MOD(COLUMN($BO218:$DV218),5)=MOD(COLUMN($BP218),5)),$BO218:$DV218)</f>
        <v/>
      </c>
      <c r="DZ218" s="341">
        <f>DY218*$J218</f>
        <v/>
      </c>
      <c r="EA218" s="340">
        <f t="array" ref="EA218">SUMPRODUCT(--(MOD(COLUMN($BO218:$DV218),5)=MOD(COLUMN($BQ218),5)),$BO218:$DV218)</f>
        <v/>
      </c>
      <c r="EB218" s="341">
        <f>EA218*$J218</f>
        <v/>
      </c>
      <c r="EC218" s="340">
        <f t="array" ref="EC218">SUMPRODUCT(--(MOD(COLUMN($BO218:$DV218),5)=MOD(COLUMN($BR218),5)),$BO218:$DV218)</f>
        <v/>
      </c>
      <c r="ED218" s="341">
        <f>EC218*$J218</f>
        <v/>
      </c>
      <c r="EE218" s="39" t="n"/>
      <c r="EF218" s="39" t="n"/>
      <c r="EG218" s="39" t="n"/>
      <c r="EH218" s="39" t="n"/>
      <c r="EI218" s="39" t="n"/>
      <c r="EJ218" s="39" t="n"/>
      <c r="EK218" s="39" t="n">
        <v>0</v>
      </c>
      <c r="EL218" s="39" t="n"/>
      <c r="EM218" s="39" t="n"/>
      <c r="EN218" s="39" t="n"/>
      <c r="EO218" s="39" t="n">
        <v>0</v>
      </c>
      <c r="EP218" s="39" t="n"/>
      <c r="EQ218" s="204">
        <f>$KN218*0</f>
        <v/>
      </c>
      <c r="ER218" s="39" t="n">
        <v>0</v>
      </c>
      <c r="ES218" s="39" t="n"/>
      <c r="ET218" s="39" t="n"/>
      <c r="EU218" s="204">
        <f>$KN218*0</f>
        <v/>
      </c>
      <c r="EV218" s="39" t="n">
        <v>0</v>
      </c>
      <c r="EW218" s="39" t="n"/>
      <c r="EX218" s="39" t="n"/>
      <c r="EY218" s="200" t="n">
        <v>1</v>
      </c>
      <c r="EZ218" s="155" t="n">
        <v>0</v>
      </c>
      <c r="FA218" s="39" t="n">
        <v>0</v>
      </c>
      <c r="FB218" s="39" t="n"/>
      <c r="FC218" s="204">
        <f>$KN218*0</f>
        <v/>
      </c>
      <c r="FD218" s="39" t="n">
        <v>0</v>
      </c>
      <c r="FE218" s="39" t="n"/>
      <c r="FF218" s="39" t="n"/>
      <c r="FG218" s="204">
        <f>$KN218*0</f>
        <v/>
      </c>
      <c r="FH218" s="39" t="n">
        <v>0</v>
      </c>
      <c r="FI218" s="39" t="n"/>
      <c r="FJ218" s="39" t="n"/>
      <c r="FK218" s="200" t="n">
        <v>1</v>
      </c>
      <c r="FL218" s="155" t="n">
        <v>0</v>
      </c>
      <c r="FM218" s="39" t="n">
        <v>0</v>
      </c>
      <c r="FN218" s="39" t="n"/>
      <c r="FO218" s="39">
        <f>$KN218*0</f>
        <v/>
      </c>
      <c r="FP218" s="39" t="n">
        <v>0</v>
      </c>
      <c r="FQ218" s="39" t="n"/>
      <c r="FR218" s="39" t="n"/>
      <c r="FS218" s="39">
        <f>$KN218*0</f>
        <v/>
      </c>
      <c r="FT218" s="39" t="n">
        <v>0</v>
      </c>
      <c r="FU218" s="39" t="n"/>
      <c r="FV218" s="39" t="n"/>
      <c r="FW218" s="200" t="n">
        <v>1</v>
      </c>
      <c r="FX218" s="155" t="n">
        <v>0</v>
      </c>
      <c r="FY218" s="39" t="n">
        <v>0</v>
      </c>
      <c r="FZ218" s="39" t="n"/>
      <c r="GA218" s="340">
        <f>SUMPRODUCT(--(MOD(COLUMN($EE218:$FZ218),4)=MOD(COLUMN($EE218),4)),$EE218:$FZ218)</f>
        <v/>
      </c>
      <c r="GB218" s="341">
        <f>GA218*$J218</f>
        <v/>
      </c>
      <c r="GC218" s="340">
        <f>SUMPRODUCT(--(MOD(COLUMN($EE218:$FZ218),4)=MOD(COLUMN($EF218),4)),$EE218:$FZ218)</f>
        <v/>
      </c>
      <c r="GD218" s="341">
        <f>GC218*$J218</f>
        <v/>
      </c>
      <c r="GE218" s="340">
        <f>SUMPRODUCT(--(MOD(COLUMN($EE218:$FZ218),4)=MOD(COLUMN($EG218),4)),$EE218:$FZ218)</f>
        <v/>
      </c>
      <c r="GF218" s="341">
        <f>GE218*$J218</f>
        <v/>
      </c>
      <c r="GG218" s="39">
        <f>$KN218*0</f>
        <v/>
      </c>
      <c r="GH218" s="39" t="n"/>
      <c r="GI218" s="39" t="n"/>
      <c r="GJ218" s="39" t="n"/>
      <c r="GK218" s="39">
        <f>$KN218*0</f>
        <v/>
      </c>
      <c r="GL218" s="39" t="n"/>
      <c r="GM218" s="39" t="n"/>
      <c r="GN218" s="39" t="n"/>
      <c r="GO218" s="169" t="n">
        <v>0</v>
      </c>
      <c r="GP218" s="39" t="n"/>
      <c r="GQ218" s="39" t="n"/>
      <c r="GR218" s="39" t="n"/>
      <c r="GS218" s="39">
        <f>$KN218*0</f>
        <v/>
      </c>
      <c r="GT218" s="39" t="n"/>
      <c r="GU218" s="39" t="n"/>
      <c r="GV218" s="39" t="n"/>
      <c r="GW218" s="39">
        <f>$KN218*0</f>
        <v/>
      </c>
      <c r="GX218" s="39" t="n"/>
      <c r="GY218" s="39" t="n"/>
      <c r="GZ218" s="39" t="n"/>
      <c r="HA218" s="169" t="n">
        <v>0</v>
      </c>
      <c r="HB218" s="39" t="n"/>
      <c r="HC218" s="39" t="n"/>
      <c r="HD218" s="39" t="n"/>
      <c r="HE218" s="39">
        <f>$KN218*0</f>
        <v/>
      </c>
      <c r="HF218" s="39" t="n"/>
      <c r="HG218" s="39" t="n"/>
      <c r="HH218" s="39" t="n"/>
      <c r="HI218" s="39">
        <f>$KN218*0</f>
        <v/>
      </c>
      <c r="HJ218" s="39" t="n"/>
      <c r="HK218" s="39" t="n"/>
      <c r="HL218" s="39" t="n"/>
      <c r="HM218" s="169" t="n">
        <v>0</v>
      </c>
      <c r="HN218" s="39" t="n"/>
      <c r="HO218" s="39" t="n"/>
      <c r="HP218" s="39" t="n"/>
      <c r="HQ218" s="39">
        <f>$KN218*0</f>
        <v/>
      </c>
      <c r="HR218" s="39" t="n"/>
      <c r="HS218" s="39" t="n"/>
      <c r="HT218" s="39" t="n"/>
      <c r="HU218" s="39">
        <f>$KN218*0</f>
        <v/>
      </c>
      <c r="HV218" s="39" t="n"/>
      <c r="HW218" s="39" t="n"/>
      <c r="HX218" s="39" t="n"/>
      <c r="HY218" s="169" t="n">
        <v>0</v>
      </c>
      <c r="HZ218" s="39" t="n"/>
      <c r="IA218" s="39" t="n"/>
      <c r="IB218" s="39" t="n"/>
      <c r="IC218" s="340">
        <f t="array" ref="IC218">SUMPRODUCT(--(MOD(COLUMN($GG218:$IB218),4)=MOD(COLUMN($GG218),4)),$GG218:$IB218)</f>
        <v/>
      </c>
      <c r="ID218" s="341">
        <f>IC218*$J218</f>
        <v/>
      </c>
      <c r="IE218" s="340">
        <f t="array" ref="IE218">SUMPRODUCT(--(MOD(COLUMN($GG218:$IB218),4)=MOD(COLUMN($GH218),4)),$GG218:$IB218)</f>
        <v/>
      </c>
      <c r="IF218" s="341">
        <f>IE218*$J218</f>
        <v/>
      </c>
      <c r="IG218" s="340">
        <f t="array" ref="IG218">SUMPRODUCT(--(MOD(COLUMN($GG218:$IB218),4)=MOD(COLUMN($GI218),4)),$GG218:$IB218)</f>
        <v/>
      </c>
      <c r="IH218" s="341">
        <f>IG218*$J218</f>
        <v/>
      </c>
      <c r="II218" s="39">
        <f>$KN218*0</f>
        <v/>
      </c>
      <c r="IJ218" s="39" t="n"/>
      <c r="IK218" s="39" t="n"/>
      <c r="IL218" s="39" t="n"/>
      <c r="IM218" s="39">
        <f>$KN218*0</f>
        <v/>
      </c>
      <c r="IN218" s="39" t="n"/>
      <c r="IO218" s="39" t="n"/>
      <c r="IP218" s="39" t="n"/>
      <c r="IQ218" s="169" t="n">
        <v>0</v>
      </c>
      <c r="IR218" s="39" t="n"/>
      <c r="IS218" s="39" t="n"/>
      <c r="IT218" s="39" t="n"/>
      <c r="IU218" s="39">
        <f>$KN218*0</f>
        <v/>
      </c>
      <c r="IV218" s="39" t="n"/>
      <c r="IW218" s="39" t="n"/>
      <c r="IX218" s="39" t="n"/>
      <c r="IY218" s="39">
        <f>$KN218*0</f>
        <v/>
      </c>
      <c r="IZ218" s="39" t="n"/>
      <c r="JA218" s="39" t="n"/>
      <c r="JB218" s="39" t="n"/>
      <c r="JC218" s="169" t="n">
        <v>0</v>
      </c>
      <c r="JD218" s="39" t="n"/>
      <c r="JE218" s="39" t="n"/>
      <c r="JF218" s="39" t="n"/>
      <c r="JG218" s="39">
        <f>$KN218*0</f>
        <v/>
      </c>
      <c r="JH218" s="39" t="n"/>
      <c r="JI218" s="39" t="n"/>
      <c r="JJ218" s="39" t="n"/>
      <c r="JK218" s="39">
        <f>$KN218*0</f>
        <v/>
      </c>
      <c r="JL218" s="39" t="n"/>
      <c r="JM218" s="39" t="n"/>
      <c r="JN218" s="39" t="n"/>
      <c r="JO218" s="169" t="n">
        <v>0</v>
      </c>
      <c r="JP218" s="39" t="n"/>
      <c r="JQ218" s="39" t="n"/>
      <c r="JR218" s="39" t="n"/>
      <c r="JS218" s="39">
        <f>$KN218*0</f>
        <v/>
      </c>
      <c r="JT218" s="39" t="n"/>
      <c r="JU218" s="39" t="n"/>
      <c r="JV218" s="39" t="n"/>
      <c r="JW218" s="39">
        <f>$KN218*0</f>
        <v/>
      </c>
      <c r="JX218" s="39" t="n"/>
      <c r="JY218" s="39" t="n"/>
      <c r="JZ218" s="39" t="n"/>
      <c r="KA218" s="169" t="n">
        <v>0</v>
      </c>
      <c r="KB218" s="39" t="n"/>
      <c r="KC218" s="39" t="n"/>
      <c r="KD218" s="39" t="n"/>
      <c r="KE218" s="340">
        <f t="array" ref="KE218">SUMPRODUCT(--(MOD(COLUMN($II218:$KD218),4)=MOD(COLUMN($II218),4)),$II218:$KD218)</f>
        <v/>
      </c>
      <c r="KF218" s="341">
        <f>KE218*$J218</f>
        <v/>
      </c>
      <c r="KG218" s="340">
        <f t="array" ref="KG218">SUMPRODUCT(--(MOD(COLUMN($II218:$KD218),4)=MOD(COLUMN($IJ218),4)),$II218:$KD218)</f>
        <v/>
      </c>
      <c r="KH218" s="341">
        <f>KG218*$J218</f>
        <v/>
      </c>
      <c r="KI218" s="340">
        <f t="array" ref="KI218">SUMPRODUCT(--(MOD(COLUMN($II218:$KD218),4)=MOD(COLUMN($IK218),4)),$II218:$KD218)</f>
        <v/>
      </c>
      <c r="KJ218" s="385">
        <f>KI218*$J218</f>
        <v/>
      </c>
      <c r="KK218" s="80" t="n"/>
      <c r="KL218" s="80" t="n"/>
      <c r="KM218" s="80" t="n"/>
      <c r="KN218" s="51" t="n">
        <v>1</v>
      </c>
      <c r="KO218" s="347" t="n"/>
    </row>
    <row r="219" outlineLevel="1" customFormat="1" s="68">
      <c r="A219" s="347" t="n"/>
      <c r="B219" s="347" t="n"/>
      <c r="C219" s="347" t="n"/>
      <c r="D219" s="347" t="n"/>
      <c r="E219" s="15" t="n">
        <v>12</v>
      </c>
      <c r="F219" s="15" t="n">
        <v>2</v>
      </c>
      <c r="G219" s="33" t="n">
        <v>4491350600</v>
      </c>
      <c r="H219" s="34" t="inlineStr">
        <is>
          <t>Power Cable</t>
        </is>
      </c>
      <c r="I219" s="337" t="n"/>
      <c r="J219" s="337">
        <f>2284.5/1.2</f>
        <v/>
      </c>
      <c r="K219" s="337" t="n"/>
      <c r="L219" s="337" t="n"/>
      <c r="M219" s="39" t="n"/>
      <c r="N219" s="39" t="n"/>
      <c r="O219" s="39" t="n"/>
      <c r="P219" s="39" t="n"/>
      <c r="Q219" s="39" t="n"/>
      <c r="R219" s="39" t="n"/>
      <c r="S219" s="39" t="n"/>
      <c r="T219" s="39" t="n"/>
      <c r="U219" s="39" t="n"/>
      <c r="V219" s="39" t="n"/>
      <c r="W219" s="39" t="n"/>
      <c r="X219" s="39" t="n"/>
      <c r="Y219" s="39" t="n"/>
      <c r="Z219" s="39" t="n"/>
      <c r="AA219" s="39" t="n"/>
      <c r="AB219" s="39" t="n"/>
      <c r="AC219" s="39" t="n"/>
      <c r="AD219" s="39" t="n"/>
      <c r="AE219" s="39" t="n"/>
      <c r="AF219" s="39" t="n"/>
      <c r="AG219" s="39" t="n"/>
      <c r="AH219" s="39" t="n"/>
      <c r="AI219" s="39" t="n"/>
      <c r="AJ219" s="39" t="n"/>
      <c r="AK219" s="39" t="n"/>
      <c r="AL219" s="39" t="n"/>
      <c r="AM219" s="39" t="n"/>
      <c r="AN219" s="39" t="n"/>
      <c r="AO219" s="39" t="n"/>
      <c r="AP219" s="39" t="n"/>
      <c r="AQ219" s="39" t="n"/>
      <c r="AR219" s="39" t="n"/>
      <c r="AS219" s="39" t="n"/>
      <c r="AT219" s="39" t="n"/>
      <c r="AU219" s="39" t="n"/>
      <c r="AV219" s="39" t="n"/>
      <c r="AW219" s="39" t="n"/>
      <c r="AX219" s="39" t="n"/>
      <c r="AY219" s="39" t="n"/>
      <c r="AZ219" s="16" t="n"/>
      <c r="BA219" s="39" t="n"/>
      <c r="BB219" s="39" t="n"/>
      <c r="BC219" s="158" t="n"/>
      <c r="BD219" s="39" t="n"/>
      <c r="BE219" s="39" t="n"/>
      <c r="BF219" s="39" t="n"/>
      <c r="BG219" s="159" t="n"/>
      <c r="BH219" s="347" t="n"/>
      <c r="BI219" s="340" t="n"/>
      <c r="BJ219" s="341" t="n"/>
      <c r="BK219" s="340" t="n"/>
      <c r="BL219" s="341" t="n"/>
      <c r="BM219" s="340" t="n"/>
      <c r="BN219" s="341" t="n"/>
      <c r="BO219" s="39" t="n"/>
      <c r="BP219" s="39" t="n"/>
      <c r="BQ219" s="39" t="n"/>
      <c r="BR219" s="39" t="n"/>
      <c r="BS219" s="308" t="n"/>
      <c r="BT219" s="39" t="n"/>
      <c r="BU219" s="39" t="n"/>
      <c r="BV219" s="39" t="n"/>
      <c r="BW219" s="39" t="n"/>
      <c r="BX219" s="39" t="n"/>
      <c r="BY219" s="39" t="n"/>
      <c r="BZ219" s="39" t="n"/>
      <c r="CA219" s="39" t="n"/>
      <c r="CB219" s="39" t="n"/>
      <c r="CC219" s="39" t="n"/>
      <c r="CD219" s="39" t="n"/>
      <c r="CE219" s="39" t="n"/>
      <c r="CF219" s="39" t="n"/>
      <c r="CG219" s="39" t="n"/>
      <c r="CH219" s="39" t="n"/>
      <c r="CI219" s="39" t="n"/>
      <c r="CJ219" s="39" t="n"/>
      <c r="CK219" s="39">
        <f>$KN219*1</f>
        <v/>
      </c>
      <c r="CL219" s="39" t="n">
        <v>0</v>
      </c>
      <c r="CM219" s="347" t="n"/>
      <c r="CN219" s="39" t="n"/>
      <c r="CO219" s="39" t="n"/>
      <c r="CP219" s="39">
        <f>$KN219*1</f>
        <v/>
      </c>
      <c r="CQ219" s="39" t="n">
        <v>0</v>
      </c>
      <c r="CR219" s="16" t="n"/>
      <c r="CS219" s="39" t="n"/>
      <c r="CT219" s="39" t="n"/>
      <c r="CU219" s="39" t="n"/>
      <c r="CV219" s="39" t="n">
        <v>0</v>
      </c>
      <c r="CW219" s="39" t="n"/>
      <c r="CX219" s="39" t="n"/>
      <c r="CY219" s="39" t="n"/>
      <c r="CZ219" s="39" t="n"/>
      <c r="DA219" s="3" t="n">
        <v>0</v>
      </c>
      <c r="DB219" s="39" t="n"/>
      <c r="DC219" s="39" t="n"/>
      <c r="DD219" s="39" t="n"/>
      <c r="DE219" s="39" t="n"/>
      <c r="DF219" s="39" t="n">
        <v>1</v>
      </c>
      <c r="DG219" s="39" t="n"/>
      <c r="DH219" s="39" t="n"/>
      <c r="DI219" s="39" t="n"/>
      <c r="DJ219" s="39" t="n"/>
      <c r="DK219" s="39" t="n">
        <v>0</v>
      </c>
      <c r="DL219" s="39" t="n"/>
      <c r="DM219" s="39" t="n"/>
      <c r="DN219" s="39" t="n"/>
      <c r="DO219" s="39" t="n"/>
      <c r="DP219" s="39" t="n">
        <v>0</v>
      </c>
      <c r="DQ219" s="39" t="n"/>
      <c r="DR219" s="39" t="n"/>
      <c r="DS219" s="39" t="n"/>
      <c r="DT219" s="39" t="n"/>
      <c r="DU219" s="39" t="n">
        <v>0</v>
      </c>
      <c r="DV219" s="39" t="n"/>
      <c r="DW219" s="340">
        <f t="array" ref="DW219">SUMPRODUCT(--(MOD(COLUMN($BO219:$DV219),5)=MOD(COLUMN($BO219),5)),$BO219:$DV219)</f>
        <v/>
      </c>
      <c r="DX219" s="341">
        <f>DW219*$J219</f>
        <v/>
      </c>
      <c r="DY219" s="340">
        <f t="array" ref="DY219">SUMPRODUCT(--(MOD(COLUMN($BO219:$DV219),5)=MOD(COLUMN($BP219),5)),$BO219:$DV219)</f>
        <v/>
      </c>
      <c r="DZ219" s="341">
        <f>DY219*$J219</f>
        <v/>
      </c>
      <c r="EA219" s="340">
        <f t="array" ref="EA219">SUMPRODUCT(--(MOD(COLUMN($BO219:$DV219),5)=MOD(COLUMN($BQ219),5)),$BO219:$DV219)</f>
        <v/>
      </c>
      <c r="EB219" s="341">
        <f>EA219*$J219</f>
        <v/>
      </c>
      <c r="EC219" s="340">
        <f t="array" ref="EC219">SUMPRODUCT(--(MOD(COLUMN($BO219:$DV219),5)=MOD(COLUMN($BR219),5)),$BO219:$DV219)</f>
        <v/>
      </c>
      <c r="ED219" s="341">
        <f>EC219*$J219</f>
        <v/>
      </c>
      <c r="EE219" s="39" t="n"/>
      <c r="EF219" s="39" t="n"/>
      <c r="EG219" s="39" t="n"/>
      <c r="EH219" s="39" t="n"/>
      <c r="EI219" s="39" t="n"/>
      <c r="EJ219" s="39" t="n"/>
      <c r="EK219" s="39" t="n">
        <v>0</v>
      </c>
      <c r="EL219" s="39" t="n"/>
      <c r="EM219" s="39" t="n"/>
      <c r="EN219" s="39" t="n"/>
      <c r="EO219" s="39" t="n"/>
      <c r="EP219" s="39" t="n"/>
      <c r="EQ219" s="204">
        <f>$KN219*0</f>
        <v/>
      </c>
      <c r="ER219" s="39" t="n">
        <v>0</v>
      </c>
      <c r="ES219" s="39" t="n"/>
      <c r="ET219" s="39" t="n"/>
      <c r="EU219" s="204">
        <f>$KN219*0</f>
        <v/>
      </c>
      <c r="EV219" s="39" t="n">
        <v>0</v>
      </c>
      <c r="EW219" s="39" t="n"/>
      <c r="EX219" s="39" t="n"/>
      <c r="EY219" s="200" t="n">
        <v>1</v>
      </c>
      <c r="EZ219" s="155" t="n">
        <v>0</v>
      </c>
      <c r="FA219" s="39" t="n">
        <v>0</v>
      </c>
      <c r="FB219" s="39" t="n"/>
      <c r="FC219" s="204">
        <f>$KN219*0</f>
        <v/>
      </c>
      <c r="FD219" s="39" t="n">
        <v>0</v>
      </c>
      <c r="FE219" s="39" t="n"/>
      <c r="FF219" s="39" t="n"/>
      <c r="FG219" s="204">
        <f>$KN219*0</f>
        <v/>
      </c>
      <c r="FH219" s="39" t="n">
        <v>0</v>
      </c>
      <c r="FI219" s="39" t="n"/>
      <c r="FJ219" s="39" t="n"/>
      <c r="FK219" s="200" t="n">
        <v>1</v>
      </c>
      <c r="FL219" s="155" t="n">
        <v>0</v>
      </c>
      <c r="FM219" s="39" t="n">
        <v>0</v>
      </c>
      <c r="FN219" s="39" t="n"/>
      <c r="FO219" s="39">
        <f>$KN219*0</f>
        <v/>
      </c>
      <c r="FP219" s="39" t="n">
        <v>0</v>
      </c>
      <c r="FQ219" s="39" t="n"/>
      <c r="FR219" s="39" t="n"/>
      <c r="FS219" s="39">
        <f>$KN219*0</f>
        <v/>
      </c>
      <c r="FT219" s="39" t="n">
        <v>0</v>
      </c>
      <c r="FU219" s="39" t="n"/>
      <c r="FV219" s="39" t="n"/>
      <c r="FW219" s="200" t="n">
        <v>1</v>
      </c>
      <c r="FX219" s="155" t="n">
        <v>0</v>
      </c>
      <c r="FY219" s="39" t="n">
        <v>0</v>
      </c>
      <c r="FZ219" s="39" t="n"/>
      <c r="GA219" s="340">
        <f t="array" ref="GA219">SUMPRODUCT(--(MOD(COLUMN($EE219:$FZ219),4)=MOD(COLUMN($EE219),4)),$EE219:$FZ219)</f>
        <v/>
      </c>
      <c r="GB219" s="341">
        <f>GA219*$J219</f>
        <v/>
      </c>
      <c r="GC219" s="340">
        <f t="array" ref="GC219">SUMPRODUCT(--(MOD(COLUMN($EE219:$FZ219),4)=MOD(COLUMN($EF219),4)),$EE219:$FZ219)</f>
        <v/>
      </c>
      <c r="GD219" s="341">
        <f>GC219*$J219</f>
        <v/>
      </c>
      <c r="GE219" s="340">
        <f t="array" ref="GE219">SUMPRODUCT(--(MOD(COLUMN($EE219:$FZ219),4)=MOD(COLUMN($EG219),4)),$EE219:$FZ219)</f>
        <v/>
      </c>
      <c r="GF219" s="341">
        <f>GE219*$J219</f>
        <v/>
      </c>
      <c r="GG219" s="39">
        <f>$KN219*0</f>
        <v/>
      </c>
      <c r="GH219" s="39" t="n"/>
      <c r="GI219" s="39" t="n"/>
      <c r="GJ219" s="39" t="n"/>
      <c r="GK219" s="39">
        <f>$KN219*0</f>
        <v/>
      </c>
      <c r="GL219" s="39" t="n"/>
      <c r="GM219" s="39" t="n"/>
      <c r="GN219" s="39" t="n"/>
      <c r="GO219" s="169" t="n">
        <v>0</v>
      </c>
      <c r="GP219" s="39" t="n"/>
      <c r="GQ219" s="39" t="n"/>
      <c r="GR219" s="39" t="n"/>
      <c r="GS219" s="39">
        <f>$KN219*0</f>
        <v/>
      </c>
      <c r="GT219" s="39" t="n"/>
      <c r="GU219" s="39" t="n"/>
      <c r="GV219" s="39" t="n"/>
      <c r="GW219" s="39">
        <f>$KN219*0</f>
        <v/>
      </c>
      <c r="GX219" s="39" t="n"/>
      <c r="GY219" s="39" t="n"/>
      <c r="GZ219" s="39" t="n"/>
      <c r="HA219" s="169" t="n">
        <v>0</v>
      </c>
      <c r="HB219" s="39" t="n"/>
      <c r="HC219" s="39" t="n"/>
      <c r="HD219" s="39" t="n"/>
      <c r="HE219" s="39">
        <f>$KN219*0</f>
        <v/>
      </c>
      <c r="HF219" s="39" t="n"/>
      <c r="HG219" s="39" t="n"/>
      <c r="HH219" s="39" t="n"/>
      <c r="HI219" s="39">
        <f>$KN219*0</f>
        <v/>
      </c>
      <c r="HJ219" s="39" t="n"/>
      <c r="HK219" s="39" t="n"/>
      <c r="HL219" s="39" t="n"/>
      <c r="HM219" s="169" t="n">
        <v>0</v>
      </c>
      <c r="HN219" s="39" t="n"/>
      <c r="HO219" s="39" t="n"/>
      <c r="HP219" s="39" t="n"/>
      <c r="HQ219" s="39">
        <f>$KN219*0</f>
        <v/>
      </c>
      <c r="HR219" s="39" t="n"/>
      <c r="HS219" s="39" t="n"/>
      <c r="HT219" s="39" t="n"/>
      <c r="HU219" s="39">
        <f>$KN219*0</f>
        <v/>
      </c>
      <c r="HV219" s="39" t="n"/>
      <c r="HW219" s="39" t="n"/>
      <c r="HX219" s="39" t="n"/>
      <c r="HY219" s="169" t="n">
        <v>0</v>
      </c>
      <c r="HZ219" s="39" t="n"/>
      <c r="IA219" s="39" t="n"/>
      <c r="IB219" s="39" t="n"/>
      <c r="IC219" s="340">
        <f t="array" ref="IC219">SUMPRODUCT(--(MOD(COLUMN($GG219:$IB219),4)=MOD(COLUMN($GG219),4)),$GG219:$IB219)</f>
        <v/>
      </c>
      <c r="ID219" s="341">
        <f>IC219*$J219</f>
        <v/>
      </c>
      <c r="IE219" s="340">
        <f t="array" ref="IE219">SUMPRODUCT(--(MOD(COLUMN($GG219:$IB219),4)=MOD(COLUMN($GH219),4)),$GG219:$IB219)</f>
        <v/>
      </c>
      <c r="IF219" s="341">
        <f>IE219*$J219</f>
        <v/>
      </c>
      <c r="IG219" s="340">
        <f t="array" ref="IG219">SUMPRODUCT(--(MOD(COLUMN($GG219:$IB219),4)=MOD(COLUMN($GI219),4)),$GG219:$IB219)</f>
        <v/>
      </c>
      <c r="IH219" s="341">
        <f>IG219*$J219</f>
        <v/>
      </c>
      <c r="II219" s="39">
        <f>$KN219*0</f>
        <v/>
      </c>
      <c r="IJ219" s="39" t="n"/>
      <c r="IK219" s="39" t="n"/>
      <c r="IL219" s="39" t="n"/>
      <c r="IM219" s="39">
        <f>$KN219*0</f>
        <v/>
      </c>
      <c r="IN219" s="39" t="n"/>
      <c r="IO219" s="39" t="n"/>
      <c r="IP219" s="39" t="n"/>
      <c r="IQ219" s="169" t="n">
        <v>0</v>
      </c>
      <c r="IR219" s="39" t="n"/>
      <c r="IS219" s="39" t="n"/>
      <c r="IT219" s="39" t="n"/>
      <c r="IU219" s="39">
        <f>$KN219*0</f>
        <v/>
      </c>
      <c r="IV219" s="39" t="n"/>
      <c r="IW219" s="39" t="n"/>
      <c r="IX219" s="39" t="n"/>
      <c r="IY219" s="39">
        <f>$KN219*0</f>
        <v/>
      </c>
      <c r="IZ219" s="39" t="n"/>
      <c r="JA219" s="39" t="n"/>
      <c r="JB219" s="39" t="n"/>
      <c r="JC219" s="169" t="n">
        <v>0</v>
      </c>
      <c r="JD219" s="39" t="n"/>
      <c r="JE219" s="39" t="n"/>
      <c r="JF219" s="39" t="n"/>
      <c r="JG219" s="39">
        <f>$KN219*0</f>
        <v/>
      </c>
      <c r="JH219" s="39" t="n"/>
      <c r="JI219" s="39" t="n"/>
      <c r="JJ219" s="39" t="n"/>
      <c r="JK219" s="39">
        <f>$KN219*0</f>
        <v/>
      </c>
      <c r="JL219" s="39" t="n"/>
      <c r="JM219" s="39" t="n"/>
      <c r="JN219" s="39" t="n"/>
      <c r="JO219" s="169" t="n">
        <v>0</v>
      </c>
      <c r="JP219" s="39" t="n"/>
      <c r="JQ219" s="39" t="n"/>
      <c r="JR219" s="39" t="n"/>
      <c r="JS219" s="39">
        <f>$KN219*0</f>
        <v/>
      </c>
      <c r="JT219" s="39" t="n"/>
      <c r="JU219" s="39" t="n"/>
      <c r="JV219" s="39" t="n"/>
      <c r="JW219" s="39">
        <f>$KN219*0</f>
        <v/>
      </c>
      <c r="JX219" s="39" t="n"/>
      <c r="JY219" s="39" t="n"/>
      <c r="JZ219" s="39" t="n"/>
      <c r="KA219" s="169" t="n">
        <v>0</v>
      </c>
      <c r="KB219" s="39" t="n"/>
      <c r="KC219" s="39" t="n"/>
      <c r="KD219" s="39" t="n"/>
      <c r="KE219" s="340">
        <f t="array" ref="KE219">SUMPRODUCT(--(MOD(COLUMN($II219:$KD219),4)=MOD(COLUMN($II219),4)),$II219:$KD219)</f>
        <v/>
      </c>
      <c r="KF219" s="341">
        <f>KE219*$J219</f>
        <v/>
      </c>
      <c r="KG219" s="340">
        <f t="array" ref="KG219">SUMPRODUCT(--(MOD(COLUMN($II219:$KD219),4)=MOD(COLUMN($IJ219),4)),$II219:$KD219)</f>
        <v/>
      </c>
      <c r="KH219" s="341">
        <f>KG219*$J219</f>
        <v/>
      </c>
      <c r="KI219" s="340">
        <f t="array" ref="KI219">SUMPRODUCT(--(MOD(COLUMN($II219:$KD219),4)=MOD(COLUMN($IK219),4)),$II219:$KD219)</f>
        <v/>
      </c>
      <c r="KJ219" s="385">
        <f>KI219*$J219</f>
        <v/>
      </c>
      <c r="KK219" s="80" t="n"/>
      <c r="KL219" s="80" t="n"/>
      <c r="KM219" s="80" t="n"/>
      <c r="KN219" s="51" t="n">
        <v>1</v>
      </c>
      <c r="KO219" s="333" t="n"/>
    </row>
    <row r="220" outlineLevel="1" ht="28.8" customFormat="1" customHeight="1" s="68">
      <c r="A220" s="347" t="n"/>
      <c r="B220" s="347" t="n"/>
      <c r="C220" s="347" t="n"/>
      <c r="D220" s="347" t="n"/>
      <c r="E220" s="15" t="n">
        <v>13</v>
      </c>
      <c r="F220" s="15" t="n">
        <v>2</v>
      </c>
      <c r="G220" s="33" t="n">
        <v>9730090060</v>
      </c>
      <c r="H220" s="34" t="inlineStr">
        <is>
          <t>Клапан управления тормозами прицепа</t>
        </is>
      </c>
      <c r="I220" s="337" t="n"/>
      <c r="J220" s="337">
        <f>2196/1.2</f>
        <v/>
      </c>
      <c r="K220" s="337" t="n"/>
      <c r="L220" s="337" t="n"/>
      <c r="M220" s="39" t="n"/>
      <c r="N220" s="39" t="n"/>
      <c r="O220" s="39" t="n"/>
      <c r="P220" s="39" t="n"/>
      <c r="Q220" s="39" t="n"/>
      <c r="R220" s="39" t="n"/>
      <c r="S220" s="39" t="n"/>
      <c r="T220" s="39" t="n"/>
      <c r="U220" s="39" t="n"/>
      <c r="V220" s="39" t="n"/>
      <c r="W220" s="39" t="n"/>
      <c r="X220" s="39" t="n"/>
      <c r="Y220" s="39" t="n"/>
      <c r="Z220" s="39" t="n"/>
      <c r="AA220" s="39" t="n"/>
      <c r="AB220" s="39" t="n"/>
      <c r="AC220" s="39" t="n"/>
      <c r="AD220" s="39" t="n"/>
      <c r="AE220" s="39" t="n"/>
      <c r="AF220" s="39" t="n"/>
      <c r="AG220" s="39" t="n"/>
      <c r="AH220" s="39" t="n"/>
      <c r="AI220" s="39" t="n"/>
      <c r="AJ220" s="39" t="n"/>
      <c r="AK220" s="39" t="n"/>
      <c r="AL220" s="39" t="n"/>
      <c r="AM220" s="39" t="n"/>
      <c r="AN220" s="39" t="n"/>
      <c r="AO220" s="39" t="n"/>
      <c r="AP220" s="39" t="n"/>
      <c r="AQ220" s="39" t="n"/>
      <c r="AR220" s="39" t="n"/>
      <c r="AS220" s="39" t="n"/>
      <c r="AT220" s="39" t="n"/>
      <c r="AU220" s="39" t="n"/>
      <c r="AV220" s="39" t="n"/>
      <c r="AW220" s="39" t="n"/>
      <c r="AX220" s="39" t="n"/>
      <c r="AY220" s="39" t="n"/>
      <c r="AZ220" s="16" t="n"/>
      <c r="BA220" s="39" t="n"/>
      <c r="BB220" s="39" t="n"/>
      <c r="BC220" s="158" t="n"/>
      <c r="BD220" s="39" t="n"/>
      <c r="BE220" s="39" t="n"/>
      <c r="BF220" s="39" t="n"/>
      <c r="BG220" s="159" t="n"/>
      <c r="BH220" s="347" t="n"/>
      <c r="BI220" s="340" t="n"/>
      <c r="BJ220" s="341" t="n"/>
      <c r="BK220" s="340" t="n"/>
      <c r="BL220" s="341" t="n"/>
      <c r="BM220" s="340" t="n"/>
      <c r="BN220" s="341" t="n"/>
      <c r="BO220" s="39" t="n"/>
      <c r="BP220" s="39" t="n"/>
      <c r="BQ220" s="39" t="n"/>
      <c r="BR220" s="39" t="n"/>
      <c r="BS220" s="308" t="n"/>
      <c r="BT220" s="39" t="n"/>
      <c r="BU220" s="39" t="n"/>
      <c r="BV220" s="39" t="n"/>
      <c r="BW220" s="39" t="n"/>
      <c r="BX220" s="39" t="n"/>
      <c r="BY220" s="39" t="n"/>
      <c r="BZ220" s="39" t="n"/>
      <c r="CA220" s="39" t="n"/>
      <c r="CB220" s="39" t="n"/>
      <c r="CC220" s="39" t="n"/>
      <c r="CD220" s="39" t="n"/>
      <c r="CE220" s="39" t="n"/>
      <c r="CF220" s="39" t="n"/>
      <c r="CG220" s="39" t="n"/>
      <c r="CH220" s="39" t="n"/>
      <c r="CI220" s="39" t="n"/>
      <c r="CJ220" s="39" t="n"/>
      <c r="CK220" s="39">
        <f>$KN220*1</f>
        <v/>
      </c>
      <c r="CL220" s="39" t="n">
        <v>0</v>
      </c>
      <c r="CM220" s="333" t="n"/>
      <c r="CN220" s="39" t="n"/>
      <c r="CO220" s="39" t="n"/>
      <c r="CP220" s="39">
        <f>$KN220*1</f>
        <v/>
      </c>
      <c r="CQ220" s="39" t="n">
        <v>1</v>
      </c>
      <c r="CR220" s="16" t="n"/>
      <c r="CS220" s="39" t="n"/>
      <c r="CT220" s="39" t="n"/>
      <c r="CU220" s="39" t="n"/>
      <c r="CV220" s="39" t="n">
        <v>0</v>
      </c>
      <c r="CW220" s="39" t="n"/>
      <c r="CX220" s="39" t="n"/>
      <c r="CY220" s="39" t="n"/>
      <c r="CZ220" s="39" t="n"/>
      <c r="DA220" s="39" t="n">
        <v>0</v>
      </c>
      <c r="DB220" s="39" t="n"/>
      <c r="DC220" s="39" t="n"/>
      <c r="DD220" s="39" t="n"/>
      <c r="DE220" s="39" t="n"/>
      <c r="DF220" s="39" t="n"/>
      <c r="DG220" s="39" t="n"/>
      <c r="DH220" s="39" t="n"/>
      <c r="DI220" s="39" t="n"/>
      <c r="DJ220" s="39" t="n"/>
      <c r="DK220" s="39" t="n">
        <v>0</v>
      </c>
      <c r="DL220" s="39" t="n"/>
      <c r="DM220" s="39" t="n"/>
      <c r="DN220" s="39" t="n"/>
      <c r="DO220" s="39" t="n"/>
      <c r="DP220" s="39" t="n">
        <v>0</v>
      </c>
      <c r="DQ220" s="39" t="n"/>
      <c r="DR220" s="39" t="n"/>
      <c r="DS220" s="39" t="n"/>
      <c r="DT220" s="39" t="n"/>
      <c r="DU220" s="39" t="n">
        <v>0</v>
      </c>
      <c r="DV220" s="39" t="n"/>
      <c r="DW220" s="340">
        <f t="array" ref="DW220">SUMPRODUCT(--(MOD(COLUMN($BO220:$DV220),5)=MOD(COLUMN($BO220),5)),$BO220:$DV220)</f>
        <v/>
      </c>
      <c r="DX220" s="341">
        <f>DW220*$J220</f>
        <v/>
      </c>
      <c r="DY220" s="340">
        <f t="array" ref="DY220">SUMPRODUCT(--(MOD(COLUMN($BO220:$DV220),5)=MOD(COLUMN($BP220),5)),$BO220:$DV220)</f>
        <v/>
      </c>
      <c r="DZ220" s="341">
        <f>DY220*$J220</f>
        <v/>
      </c>
      <c r="EA220" s="340">
        <f t="array" ref="EA220">SUMPRODUCT(--(MOD(COLUMN($BO220:$DV220),5)=MOD(COLUMN($BQ220),5)),$BO220:$DV220)</f>
        <v/>
      </c>
      <c r="EB220" s="341">
        <f>EA220*$J220</f>
        <v/>
      </c>
      <c r="EC220" s="340">
        <f t="array" ref="EC220">SUMPRODUCT(--(MOD(COLUMN($BO220:$DV220),5)=MOD(COLUMN($BR220),5)),$BO220:$DV220)</f>
        <v/>
      </c>
      <c r="ED220" s="341">
        <f>EC220*$J220</f>
        <v/>
      </c>
      <c r="EE220" s="39" t="n"/>
      <c r="EF220" s="39" t="n"/>
      <c r="EG220" s="39" t="n"/>
      <c r="EH220" s="39" t="n"/>
      <c r="EI220" s="39" t="n"/>
      <c r="EJ220" s="39" t="n"/>
      <c r="EK220" s="39" t="n">
        <v>0</v>
      </c>
      <c r="EL220" s="39" t="n"/>
      <c r="EM220" s="39" t="n"/>
      <c r="EN220" s="39" t="n"/>
      <c r="EO220" s="39" t="n"/>
      <c r="EP220" s="39" t="n"/>
      <c r="EQ220" s="204">
        <f>$KN220*0</f>
        <v/>
      </c>
      <c r="ER220" s="39" t="n">
        <v>0</v>
      </c>
      <c r="ES220" s="39" t="n"/>
      <c r="ET220" s="39" t="n"/>
      <c r="EU220" s="204">
        <f>$KN220*0</f>
        <v/>
      </c>
      <c r="EV220" s="39" t="n">
        <v>0</v>
      </c>
      <c r="EW220" s="39" t="n"/>
      <c r="EX220" s="39" t="n"/>
      <c r="EY220" s="200" t="n">
        <v>1</v>
      </c>
      <c r="EZ220" s="155" t="n">
        <v>0</v>
      </c>
      <c r="FA220" s="39" t="n">
        <v>0</v>
      </c>
      <c r="FB220" s="39" t="n"/>
      <c r="FC220" s="204">
        <f>$KN220*0</f>
        <v/>
      </c>
      <c r="FD220" s="39" t="n">
        <v>0</v>
      </c>
      <c r="FE220" s="39" t="n"/>
      <c r="FF220" s="39" t="n"/>
      <c r="FG220" s="204">
        <f>$KN220*0</f>
        <v/>
      </c>
      <c r="FH220" s="39" t="n">
        <v>0</v>
      </c>
      <c r="FI220" s="39" t="n"/>
      <c r="FJ220" s="39" t="n"/>
      <c r="FK220" s="200" t="n">
        <v>1</v>
      </c>
      <c r="FL220" s="155" t="n">
        <v>0</v>
      </c>
      <c r="FM220" s="39" t="n">
        <v>0</v>
      </c>
      <c r="FN220" s="39" t="n"/>
      <c r="FO220" s="39">
        <f>$KN220*0</f>
        <v/>
      </c>
      <c r="FP220" s="39" t="n">
        <v>0</v>
      </c>
      <c r="FQ220" s="39" t="n"/>
      <c r="FR220" s="39" t="n"/>
      <c r="FS220" s="39">
        <f>$KN220*0</f>
        <v/>
      </c>
      <c r="FT220" s="39" t="n">
        <v>0</v>
      </c>
      <c r="FU220" s="39" t="n"/>
      <c r="FV220" s="39" t="n"/>
      <c r="FW220" s="200" t="n">
        <v>1</v>
      </c>
      <c r="FX220" s="155" t="n">
        <v>0</v>
      </c>
      <c r="FY220" s="39" t="n">
        <v>0</v>
      </c>
      <c r="FZ220" s="39" t="n"/>
      <c r="GA220" s="340">
        <f t="array" ref="GA220">SUMPRODUCT(--(MOD(COLUMN($EE220:$FZ220),4)=MOD(COLUMN($EE220),4)),$EE220:$FZ220)</f>
        <v/>
      </c>
      <c r="GB220" s="341">
        <f>GA220*$J220</f>
        <v/>
      </c>
      <c r="GC220" s="340">
        <f t="array" ref="GC220">SUMPRODUCT(--(MOD(COLUMN($EE220:$FZ220),4)=MOD(COLUMN($EF220),4)),$EE220:$FZ220)</f>
        <v/>
      </c>
      <c r="GD220" s="341">
        <f>GC220*$J220</f>
        <v/>
      </c>
      <c r="GE220" s="340">
        <f t="array" ref="GE220">SUMPRODUCT(--(MOD(COLUMN($EE220:$FZ220),4)=MOD(COLUMN($EG220),4)),$EE220:$FZ220)</f>
        <v/>
      </c>
      <c r="GF220" s="341">
        <f>GE220*$J220</f>
        <v/>
      </c>
      <c r="GG220" s="39">
        <f>$KN220*0</f>
        <v/>
      </c>
      <c r="GH220" s="39" t="n"/>
      <c r="GI220" s="39" t="n"/>
      <c r="GJ220" s="39" t="n"/>
      <c r="GK220" s="39">
        <f>$KN220*0</f>
        <v/>
      </c>
      <c r="GL220" s="39" t="n"/>
      <c r="GM220" s="39" t="n"/>
      <c r="GN220" s="39" t="n"/>
      <c r="GO220" s="169" t="n">
        <v>0</v>
      </c>
      <c r="GP220" s="39" t="n"/>
      <c r="GQ220" s="39" t="n"/>
      <c r="GR220" s="39" t="n"/>
      <c r="GS220" s="39">
        <f>$KN220*0</f>
        <v/>
      </c>
      <c r="GT220" s="39" t="n"/>
      <c r="GU220" s="39" t="n"/>
      <c r="GV220" s="39" t="n"/>
      <c r="GW220" s="39">
        <f>$KN220*0</f>
        <v/>
      </c>
      <c r="GX220" s="39" t="n"/>
      <c r="GY220" s="39" t="n"/>
      <c r="GZ220" s="39" t="n"/>
      <c r="HA220" s="169" t="n">
        <v>0</v>
      </c>
      <c r="HB220" s="39" t="n"/>
      <c r="HC220" s="39" t="n"/>
      <c r="HD220" s="39" t="n"/>
      <c r="HE220" s="39">
        <f>$KN220*0</f>
        <v/>
      </c>
      <c r="HF220" s="39" t="n"/>
      <c r="HG220" s="39" t="n"/>
      <c r="HH220" s="39" t="n"/>
      <c r="HI220" s="39">
        <f>$KN220*0</f>
        <v/>
      </c>
      <c r="HJ220" s="39" t="n"/>
      <c r="HK220" s="39" t="n"/>
      <c r="HL220" s="39" t="n"/>
      <c r="HM220" s="169" t="n">
        <v>0</v>
      </c>
      <c r="HN220" s="39" t="n"/>
      <c r="HO220" s="39" t="n"/>
      <c r="HP220" s="39" t="n"/>
      <c r="HQ220" s="39">
        <f>$KN220*0</f>
        <v/>
      </c>
      <c r="HR220" s="39" t="n"/>
      <c r="HS220" s="39" t="n"/>
      <c r="HT220" s="39" t="n"/>
      <c r="HU220" s="39">
        <f>$KN220*0</f>
        <v/>
      </c>
      <c r="HV220" s="39" t="n"/>
      <c r="HW220" s="39" t="n"/>
      <c r="HX220" s="39" t="n"/>
      <c r="HY220" s="169" t="n">
        <v>0</v>
      </c>
      <c r="HZ220" s="39" t="n"/>
      <c r="IA220" s="39" t="n"/>
      <c r="IB220" s="39" t="n"/>
      <c r="IC220" s="340">
        <f t="array" ref="IC220">SUMPRODUCT(--(MOD(COLUMN($GG220:$IB220),4)=MOD(COLUMN($GG220),4)),$GG220:$IB220)</f>
        <v/>
      </c>
      <c r="ID220" s="341">
        <f>IC220*$J220</f>
        <v/>
      </c>
      <c r="IE220" s="340">
        <f t="array" ref="IE220">SUMPRODUCT(--(MOD(COLUMN($GG220:$IB220),4)=MOD(COLUMN($GH220),4)),$GG220:$IB220)</f>
        <v/>
      </c>
      <c r="IF220" s="341">
        <f>IE220*$J220</f>
        <v/>
      </c>
      <c r="IG220" s="340">
        <f t="array" ref="IG220">SUMPRODUCT(--(MOD(COLUMN($GG220:$IB220),4)=MOD(COLUMN($GI220),4)),$GG220:$IB220)</f>
        <v/>
      </c>
      <c r="IH220" s="341">
        <f>IG220*$J220</f>
        <v/>
      </c>
      <c r="II220" s="39">
        <f>$KN220*0</f>
        <v/>
      </c>
      <c r="IJ220" s="39" t="n"/>
      <c r="IK220" s="39" t="n"/>
      <c r="IL220" s="39" t="n"/>
      <c r="IM220" s="39">
        <f>$KN220*0</f>
        <v/>
      </c>
      <c r="IN220" s="39" t="n"/>
      <c r="IO220" s="39" t="n"/>
      <c r="IP220" s="39" t="n"/>
      <c r="IQ220" s="169" t="n">
        <v>0</v>
      </c>
      <c r="IR220" s="39" t="n"/>
      <c r="IS220" s="39" t="n"/>
      <c r="IT220" s="39" t="n"/>
      <c r="IU220" s="39">
        <f>$KN220*0</f>
        <v/>
      </c>
      <c r="IV220" s="39" t="n"/>
      <c r="IW220" s="39" t="n"/>
      <c r="IX220" s="39" t="n"/>
      <c r="IY220" s="39">
        <f>$KN220*0</f>
        <v/>
      </c>
      <c r="IZ220" s="39" t="n"/>
      <c r="JA220" s="39" t="n"/>
      <c r="JB220" s="39" t="n"/>
      <c r="JC220" s="169" t="n">
        <v>0</v>
      </c>
      <c r="JD220" s="39" t="n"/>
      <c r="JE220" s="39" t="n"/>
      <c r="JF220" s="39" t="n"/>
      <c r="JG220" s="39">
        <f>$KN220*0</f>
        <v/>
      </c>
      <c r="JH220" s="39" t="n"/>
      <c r="JI220" s="39" t="n"/>
      <c r="JJ220" s="39" t="n"/>
      <c r="JK220" s="39">
        <f>$KN220*0</f>
        <v/>
      </c>
      <c r="JL220" s="39" t="n"/>
      <c r="JM220" s="39" t="n"/>
      <c r="JN220" s="39" t="n"/>
      <c r="JO220" s="169" t="n">
        <v>0</v>
      </c>
      <c r="JP220" s="39" t="n"/>
      <c r="JQ220" s="39" t="n"/>
      <c r="JR220" s="39" t="n"/>
      <c r="JS220" s="39">
        <f>$KN220*0</f>
        <v/>
      </c>
      <c r="JT220" s="39" t="n"/>
      <c r="JU220" s="39" t="n"/>
      <c r="JV220" s="39" t="n"/>
      <c r="JW220" s="39">
        <f>$KN220*0</f>
        <v/>
      </c>
      <c r="JX220" s="39" t="n"/>
      <c r="JY220" s="39" t="n"/>
      <c r="JZ220" s="39" t="n"/>
      <c r="KA220" s="169" t="n">
        <v>0</v>
      </c>
      <c r="KB220" s="39" t="n"/>
      <c r="KC220" s="39" t="n"/>
      <c r="KD220" s="39" t="n"/>
      <c r="KE220" s="340">
        <f t="array" ref="KE220">SUMPRODUCT(--(MOD(COLUMN($II220:$KD220),4)=MOD(COLUMN($II220),4)),$II220:$KD220)</f>
        <v/>
      </c>
      <c r="KF220" s="341">
        <f>KE220*$J220</f>
        <v/>
      </c>
      <c r="KG220" s="340">
        <f t="array" ref="KG220">SUMPRODUCT(--(MOD(COLUMN($II220:$KD220),4)=MOD(COLUMN($IJ220),4)),$II220:$KD220)</f>
        <v/>
      </c>
      <c r="KH220" s="341">
        <f>KG220*$J220</f>
        <v/>
      </c>
      <c r="KI220" s="340">
        <f t="array" ref="KI220">SUMPRODUCT(--(MOD(COLUMN($II220:$KD220),4)=MOD(COLUMN($IK220),4)),$II220:$KD220)</f>
        <v/>
      </c>
      <c r="KJ220" s="385">
        <f>KI220*$J220</f>
        <v/>
      </c>
      <c r="KK220" s="80" t="n"/>
      <c r="KL220" s="80" t="n"/>
      <c r="KM220" s="80" t="n"/>
      <c r="KN220" s="51" t="n">
        <v>1</v>
      </c>
      <c r="KO220" s="285" t="inlineStr">
        <is>
          <t>КУТП</t>
        </is>
      </c>
    </row>
    <row r="221" outlineLevel="1" customFormat="1" s="68">
      <c r="A221" s="347" t="n"/>
      <c r="B221" s="347" t="n"/>
      <c r="C221" s="347" t="n"/>
      <c r="D221" s="347" t="n"/>
      <c r="E221" s="15" t="n">
        <v>14</v>
      </c>
      <c r="F221" s="15" t="n">
        <v>2</v>
      </c>
      <c r="G221" s="33" t="n">
        <v>4340140000</v>
      </c>
      <c r="H221" s="34" t="inlineStr">
        <is>
          <t>Клапан обратный</t>
        </is>
      </c>
      <c r="I221" s="337" t="n"/>
      <c r="J221" s="337">
        <f>213.16/1.2</f>
        <v/>
      </c>
      <c r="K221" s="337" t="n"/>
      <c r="L221" s="337" t="n"/>
      <c r="M221" s="39" t="n"/>
      <c r="N221" s="39" t="n"/>
      <c r="O221" s="39" t="n"/>
      <c r="P221" s="39" t="n"/>
      <c r="Q221" s="39" t="n"/>
      <c r="R221" s="39" t="n"/>
      <c r="S221" s="39" t="n"/>
      <c r="T221" s="39" t="n"/>
      <c r="U221" s="39" t="n"/>
      <c r="V221" s="39" t="n"/>
      <c r="W221" s="39" t="n"/>
      <c r="X221" s="39" t="n"/>
      <c r="Y221" s="39" t="n"/>
      <c r="Z221" s="39" t="n"/>
      <c r="AA221" s="39" t="n"/>
      <c r="AB221" s="39" t="n"/>
      <c r="AC221" s="39" t="n"/>
      <c r="AD221" s="39" t="n"/>
      <c r="AE221" s="39" t="n"/>
      <c r="AF221" s="39" t="n"/>
      <c r="AG221" s="39" t="n"/>
      <c r="AH221" s="39" t="n"/>
      <c r="AI221" s="39" t="n"/>
      <c r="AJ221" s="39" t="n"/>
      <c r="AK221" s="39" t="n"/>
      <c r="AL221" s="39" t="n"/>
      <c r="AM221" s="39" t="n"/>
      <c r="AN221" s="39" t="n"/>
      <c r="AO221" s="39" t="n"/>
      <c r="AP221" s="39" t="n"/>
      <c r="AQ221" s="39" t="n"/>
      <c r="AR221" s="39" t="n"/>
      <c r="AS221" s="39" t="n"/>
      <c r="AT221" s="39" t="n"/>
      <c r="AU221" s="39" t="n"/>
      <c r="AV221" s="39" t="n"/>
      <c r="AW221" s="39" t="n"/>
      <c r="AX221" s="39" t="n"/>
      <c r="AY221" s="39" t="n"/>
      <c r="AZ221" s="16" t="n"/>
      <c r="BA221" s="39" t="n"/>
      <c r="BB221" s="39" t="n"/>
      <c r="BC221" s="158" t="n"/>
      <c r="BD221" s="39" t="n"/>
      <c r="BE221" s="39" t="n"/>
      <c r="BF221" s="39" t="n"/>
      <c r="BG221" s="159" t="n"/>
      <c r="BH221" s="308" t="n"/>
      <c r="BI221" s="340" t="n"/>
      <c r="BJ221" s="341" t="n"/>
      <c r="BK221" s="340" t="n"/>
      <c r="BL221" s="341" t="n"/>
      <c r="BM221" s="340" t="n"/>
      <c r="BN221" s="341" t="n"/>
      <c r="BO221" s="39" t="n"/>
      <c r="BP221" s="39" t="n"/>
      <c r="BQ221" s="39" t="n"/>
      <c r="BR221" s="39" t="n"/>
      <c r="BS221" s="308" t="n"/>
      <c r="BT221" s="39" t="n"/>
      <c r="BU221" s="39" t="n"/>
      <c r="BV221" s="39" t="n"/>
      <c r="BW221" s="39" t="n"/>
      <c r="BX221" s="39" t="n"/>
      <c r="BY221" s="39" t="n"/>
      <c r="BZ221" s="39" t="n"/>
      <c r="CA221" s="39" t="n"/>
      <c r="CB221" s="39" t="n"/>
      <c r="CC221" s="39" t="n"/>
      <c r="CD221" s="39" t="n"/>
      <c r="CE221" s="39" t="n"/>
      <c r="CF221" s="39" t="n"/>
      <c r="CG221" s="39" t="n"/>
      <c r="CH221" s="39" t="n"/>
      <c r="CI221" s="39" t="n"/>
      <c r="CJ221" s="39" t="n"/>
      <c r="CK221" s="39" t="n"/>
      <c r="CL221" s="39" t="n"/>
      <c r="CM221" s="309" t="n"/>
      <c r="CN221" s="39" t="n"/>
      <c r="CO221" s="39" t="n"/>
      <c r="CP221" s="39" t="n">
        <v>1</v>
      </c>
      <c r="CQ221" s="39" t="n">
        <v>0</v>
      </c>
      <c r="CR221" s="39" t="inlineStr">
        <is>
          <t>Новые артикулы</t>
        </is>
      </c>
      <c r="CS221" s="39" t="n"/>
      <c r="CT221" s="39" t="n"/>
      <c r="CU221" s="39" t="n"/>
      <c r="CV221" s="39" t="n">
        <v>1</v>
      </c>
      <c r="CW221" s="39" t="n"/>
      <c r="CX221" s="39" t="n"/>
      <c r="CY221" s="39" t="n"/>
      <c r="CZ221" s="39" t="n"/>
      <c r="DA221" s="3" t="n">
        <v>0</v>
      </c>
      <c r="DB221" s="39" t="n"/>
      <c r="DC221" s="39" t="n"/>
      <c r="DD221" s="39" t="n"/>
      <c r="DE221" s="39" t="n"/>
      <c r="DF221" s="39" t="n"/>
      <c r="DG221" s="39" t="n"/>
      <c r="DH221" s="39" t="n"/>
      <c r="DI221" s="39" t="n"/>
      <c r="DJ221" s="39" t="n"/>
      <c r="DK221" s="39" t="n">
        <v>0</v>
      </c>
      <c r="DL221" s="39" t="n"/>
      <c r="DM221" s="39" t="n"/>
      <c r="DN221" s="39" t="n"/>
      <c r="DO221" s="39" t="n"/>
      <c r="DP221" s="39" t="n">
        <v>0</v>
      </c>
      <c r="DQ221" s="39" t="n"/>
      <c r="DR221" s="39" t="n"/>
      <c r="DS221" s="39" t="n"/>
      <c r="DT221" s="39" t="n"/>
      <c r="DU221" s="39" t="n">
        <v>0</v>
      </c>
      <c r="DV221" s="39" t="n"/>
      <c r="DW221" s="340">
        <f t="array" ref="DW221">SUMPRODUCT(--(MOD(COLUMN($BO221:$DV221),5)=MOD(COLUMN($BO221),5)),$BO221:$DV221)</f>
        <v/>
      </c>
      <c r="DX221" s="341">
        <f>DW221*$J221</f>
        <v/>
      </c>
      <c r="DY221" s="340">
        <f t="array" ref="DY221">SUMPRODUCT(--(MOD(COLUMN($BO221:$DV221),5)=MOD(COLUMN($BP221),5)),$BO221:$DV221)</f>
        <v/>
      </c>
      <c r="DZ221" s="341">
        <f>DY221*$J221</f>
        <v/>
      </c>
      <c r="EA221" s="340">
        <f t="array" ref="EA221">SUMPRODUCT(--(MOD(COLUMN($BO221:$DV221),5)=MOD(COLUMN($BQ221),5)),$BO221:$DV221)</f>
        <v/>
      </c>
      <c r="EB221" s="341">
        <f>EA221*$J221</f>
        <v/>
      </c>
      <c r="EC221" s="340">
        <f t="array" ref="EC221">SUMPRODUCT(--(MOD(COLUMN($BO221:$DV221),5)=MOD(COLUMN($BR221),5)),$BO221:$DV221)</f>
        <v/>
      </c>
      <c r="ED221" s="341">
        <f>EC221*$J221</f>
        <v/>
      </c>
      <c r="EE221" s="39" t="n"/>
      <c r="EF221" s="39" t="n"/>
      <c r="EG221" s="39" t="n"/>
      <c r="EH221" s="39" t="n"/>
      <c r="EI221" s="39" t="n"/>
      <c r="EJ221" s="39" t="n"/>
      <c r="EK221" s="39" t="n">
        <v>0</v>
      </c>
      <c r="EL221" s="39" t="n"/>
      <c r="EM221" s="39" t="n"/>
      <c r="EN221" s="39" t="n"/>
      <c r="EO221" s="39" t="n"/>
      <c r="EP221" s="39" t="n"/>
      <c r="EQ221" s="204" t="n"/>
      <c r="ER221" s="39" t="n"/>
      <c r="ES221" s="39" t="n"/>
      <c r="ET221" s="39" t="n"/>
      <c r="EU221" s="204" t="n"/>
      <c r="EV221" s="39" t="n"/>
      <c r="EW221" s="39" t="n"/>
      <c r="EX221" s="39" t="n"/>
      <c r="EY221" s="200" t="n"/>
      <c r="EZ221" s="39" t="n"/>
      <c r="FA221" s="39" t="n"/>
      <c r="FB221" s="39" t="n"/>
      <c r="FC221" s="204" t="n"/>
      <c r="FD221" s="39" t="n"/>
      <c r="FE221" s="39" t="n"/>
      <c r="FF221" s="39" t="n"/>
      <c r="FG221" s="204" t="n"/>
      <c r="FH221" s="39" t="n"/>
      <c r="FI221" s="39" t="n"/>
      <c r="FJ221" s="39" t="n"/>
      <c r="FK221" s="200" t="n"/>
      <c r="FL221" s="39" t="n"/>
      <c r="FM221" s="39" t="n"/>
      <c r="FN221" s="39" t="n"/>
      <c r="FO221" s="39" t="n"/>
      <c r="FP221" s="39" t="n"/>
      <c r="FQ221" s="39" t="n"/>
      <c r="FR221" s="39" t="n"/>
      <c r="FS221" s="39" t="n"/>
      <c r="FT221" s="39" t="n"/>
      <c r="FU221" s="39" t="n"/>
      <c r="FV221" s="39" t="n"/>
      <c r="FW221" s="200" t="n"/>
      <c r="FX221" s="39" t="n"/>
      <c r="FY221" s="39" t="n"/>
      <c r="FZ221" s="39" t="n"/>
      <c r="GA221" s="340">
        <f t="array" ref="GA221">SUMPRODUCT(--(MOD(COLUMN($EE221:$FZ221),4)=MOD(COLUMN($EE221),4)),$EE221:$FZ221)</f>
        <v/>
      </c>
      <c r="GB221" s="341">
        <f>GA221*$J221</f>
        <v/>
      </c>
      <c r="GC221" s="340">
        <f t="array" ref="GC221">SUMPRODUCT(--(MOD(COLUMN($EE221:$FZ221),4)=MOD(COLUMN($EF221),4)),$EE221:$FZ221)</f>
        <v/>
      </c>
      <c r="GD221" s="341">
        <f>GC221*$J221</f>
        <v/>
      </c>
      <c r="GE221" s="340">
        <f t="array" ref="GE221">SUMPRODUCT(--(MOD(COLUMN($EE221:$FZ221),4)=MOD(COLUMN($EG221),4)),$EE221:$FZ221)</f>
        <v/>
      </c>
      <c r="GF221" s="341">
        <f>GE221*$J221</f>
        <v/>
      </c>
      <c r="GG221" s="39" t="n"/>
      <c r="GH221" s="39" t="n"/>
      <c r="GI221" s="39" t="n"/>
      <c r="GJ221" s="39" t="n"/>
      <c r="GK221" s="39" t="n"/>
      <c r="GL221" s="39" t="n"/>
      <c r="GM221" s="39" t="n"/>
      <c r="GN221" s="39" t="n"/>
      <c r="GO221" s="39" t="n"/>
      <c r="GP221" s="39" t="n"/>
      <c r="GQ221" s="39" t="n"/>
      <c r="GR221" s="39" t="n"/>
      <c r="GS221" s="39" t="n"/>
      <c r="GT221" s="39" t="n"/>
      <c r="GU221" s="39" t="n"/>
      <c r="GV221" s="39" t="n"/>
      <c r="GW221" s="39" t="n"/>
      <c r="GX221" s="39" t="n"/>
      <c r="GY221" s="39" t="n"/>
      <c r="GZ221" s="39" t="n"/>
      <c r="HA221" s="39" t="n"/>
      <c r="HB221" s="39" t="n"/>
      <c r="HC221" s="39" t="n"/>
      <c r="HD221" s="39" t="n"/>
      <c r="HE221" s="39" t="n"/>
      <c r="HF221" s="39" t="n"/>
      <c r="HG221" s="39" t="n"/>
      <c r="HH221" s="39" t="n"/>
      <c r="HI221" s="39" t="n"/>
      <c r="HJ221" s="39" t="n"/>
      <c r="HK221" s="39" t="n"/>
      <c r="HL221" s="39" t="n"/>
      <c r="HM221" s="39" t="n"/>
      <c r="HN221" s="39" t="n"/>
      <c r="HO221" s="39" t="n"/>
      <c r="HP221" s="39" t="n"/>
      <c r="HQ221" s="39" t="n"/>
      <c r="HR221" s="39" t="n"/>
      <c r="HS221" s="39" t="n"/>
      <c r="HT221" s="39" t="n"/>
      <c r="HU221" s="39" t="n"/>
      <c r="HV221" s="39" t="n"/>
      <c r="HW221" s="39" t="n"/>
      <c r="HX221" s="39" t="n"/>
      <c r="HY221" s="39" t="n"/>
      <c r="HZ221" s="39" t="n"/>
      <c r="IA221" s="39" t="n"/>
      <c r="IB221" s="39" t="n"/>
      <c r="IC221" s="340">
        <f t="array" ref="IC221">SUMPRODUCT(--(MOD(COLUMN($GG221:$IB221),4)=MOD(COLUMN($GG221),4)),$GG221:$IB221)</f>
        <v/>
      </c>
      <c r="ID221" s="341">
        <f>IC221*$J221</f>
        <v/>
      </c>
      <c r="IE221" s="340">
        <f t="array" ref="IE221">SUMPRODUCT(--(MOD(COLUMN($GG221:$IB221),4)=MOD(COLUMN($GH221),4)),$GG221:$IB221)</f>
        <v/>
      </c>
      <c r="IF221" s="341">
        <f>IE221*$J221</f>
        <v/>
      </c>
      <c r="IG221" s="340">
        <f t="array" ref="IG221">SUMPRODUCT(--(MOD(COLUMN($GG221:$IB221),4)=MOD(COLUMN($GI221),4)),$GG221:$IB221)</f>
        <v/>
      </c>
      <c r="IH221" s="341">
        <f>IG221*$J221</f>
        <v/>
      </c>
      <c r="II221" s="39" t="n"/>
      <c r="IJ221" s="39" t="n"/>
      <c r="IK221" s="39" t="n"/>
      <c r="IL221" s="39" t="n"/>
      <c r="IM221" s="39" t="n"/>
      <c r="IN221" s="39" t="n"/>
      <c r="IO221" s="39" t="n"/>
      <c r="IP221" s="39" t="n"/>
      <c r="IQ221" s="39" t="n"/>
      <c r="IR221" s="39" t="n"/>
      <c r="IS221" s="39" t="n"/>
      <c r="IT221" s="39" t="n"/>
      <c r="IU221" s="39" t="n"/>
      <c r="IV221" s="39" t="n"/>
      <c r="IW221" s="39" t="n"/>
      <c r="IX221" s="39" t="n"/>
      <c r="IY221" s="39" t="n"/>
      <c r="IZ221" s="39" t="n"/>
      <c r="JA221" s="39" t="n"/>
      <c r="JB221" s="39" t="n"/>
      <c r="JC221" s="39" t="n"/>
      <c r="JD221" s="39" t="n"/>
      <c r="JE221" s="39" t="n"/>
      <c r="JF221" s="39" t="n"/>
      <c r="JG221" s="39" t="n"/>
      <c r="JH221" s="39" t="n"/>
      <c r="JI221" s="39" t="n"/>
      <c r="JJ221" s="39" t="n"/>
      <c r="JK221" s="39" t="n"/>
      <c r="JL221" s="39" t="n"/>
      <c r="JM221" s="39" t="n"/>
      <c r="JN221" s="39" t="n"/>
      <c r="JO221" s="39" t="n"/>
      <c r="JP221" s="39" t="n"/>
      <c r="JQ221" s="39" t="n"/>
      <c r="JR221" s="39" t="n"/>
      <c r="JS221" s="39" t="n"/>
      <c r="JT221" s="39" t="n"/>
      <c r="JU221" s="39" t="n"/>
      <c r="JV221" s="39" t="n"/>
      <c r="JW221" s="39" t="n"/>
      <c r="JX221" s="39" t="n"/>
      <c r="JY221" s="39" t="n"/>
      <c r="JZ221" s="39" t="n"/>
      <c r="KA221" s="39" t="n"/>
      <c r="KB221" s="39" t="n"/>
      <c r="KC221" s="39" t="n"/>
      <c r="KD221" s="39" t="n"/>
      <c r="KE221" s="340">
        <f t="array" ref="KE221">SUMPRODUCT(--(MOD(COLUMN($II221:$KD221),4)=MOD(COLUMN($II221),4)),$II221:$KD221)</f>
        <v/>
      </c>
      <c r="KF221" s="341">
        <f>KE221*$J221</f>
        <v/>
      </c>
      <c r="KG221" s="340">
        <f t="array" ref="KG221">SUMPRODUCT(--(MOD(COLUMN($II221:$KD221),4)=MOD(COLUMN($IJ221),4)),$II221:$KD221)</f>
        <v/>
      </c>
      <c r="KH221" s="341">
        <f>KG221*$J221</f>
        <v/>
      </c>
      <c r="KI221" s="340">
        <f t="array" ref="KI221">SUMPRODUCT(--(MOD(COLUMN($II221:$KD221),4)=MOD(COLUMN($IK221),4)),$II221:$KD221)</f>
        <v/>
      </c>
      <c r="KJ221" s="385">
        <f>KI221*$J221</f>
        <v/>
      </c>
      <c r="KK221" s="80" t="n"/>
      <c r="KL221" s="80" t="n"/>
      <c r="KM221" s="80" t="n"/>
      <c r="KN221" s="51" t="n"/>
      <c r="KO221" s="285" t="n"/>
    </row>
    <row r="222" outlineLevel="1" ht="28.8" customFormat="1" customHeight="1" s="68">
      <c r="A222" s="347" t="n"/>
      <c r="B222" s="347" t="n"/>
      <c r="C222" s="347" t="n"/>
      <c r="D222" s="347" t="n"/>
      <c r="E222" s="15" t="n">
        <v>15</v>
      </c>
      <c r="F222" s="15" t="n">
        <v>2</v>
      </c>
      <c r="G222" s="33" t="n">
        <v>4345000030</v>
      </c>
      <c r="H222" s="34" t="inlineStr">
        <is>
          <t>Клапан двойной, запорный</t>
        </is>
      </c>
      <c r="I222" s="337" t="n"/>
      <c r="J222" s="337">
        <f>791.24/1.2</f>
        <v/>
      </c>
      <c r="K222" s="337" t="n"/>
      <c r="L222" s="337" t="n"/>
      <c r="M222" s="39" t="n"/>
      <c r="N222" s="39" t="n"/>
      <c r="O222" s="39" t="n"/>
      <c r="P222" s="39" t="n"/>
      <c r="Q222" s="39" t="n"/>
      <c r="R222" s="39" t="n"/>
      <c r="S222" s="39" t="n"/>
      <c r="T222" s="39" t="n"/>
      <c r="U222" s="39" t="n"/>
      <c r="V222" s="39" t="n"/>
      <c r="W222" s="39" t="n"/>
      <c r="X222" s="39" t="n"/>
      <c r="Y222" s="39" t="n"/>
      <c r="Z222" s="39" t="n"/>
      <c r="AA222" s="39" t="n"/>
      <c r="AB222" s="39" t="n"/>
      <c r="AC222" s="39" t="n"/>
      <c r="AD222" s="39" t="n"/>
      <c r="AE222" s="39" t="n"/>
      <c r="AF222" s="39" t="n"/>
      <c r="AG222" s="39" t="n"/>
      <c r="AH222" s="39" t="n"/>
      <c r="AI222" s="39" t="n"/>
      <c r="AJ222" s="39" t="n"/>
      <c r="AK222" s="39" t="n"/>
      <c r="AL222" s="39" t="n"/>
      <c r="AM222" s="39" t="n"/>
      <c r="AN222" s="39" t="n"/>
      <c r="AO222" s="39" t="n"/>
      <c r="AP222" s="39" t="n"/>
      <c r="AQ222" s="39" t="n"/>
      <c r="AR222" s="39" t="n"/>
      <c r="AS222" s="39" t="n"/>
      <c r="AT222" s="39" t="n"/>
      <c r="AU222" s="39" t="n"/>
      <c r="AV222" s="39" t="n"/>
      <c r="AW222" s="39" t="n"/>
      <c r="AX222" s="39" t="n"/>
      <c r="AY222" s="39" t="n"/>
      <c r="AZ222" s="16" t="n"/>
      <c r="BA222" s="39" t="n"/>
      <c r="BB222" s="39" t="n"/>
      <c r="BC222" s="158" t="n"/>
      <c r="BD222" s="39" t="n"/>
      <c r="BE222" s="39" t="n"/>
      <c r="BF222" s="39" t="n"/>
      <c r="BG222" s="159" t="n"/>
      <c r="BH222" s="308" t="n"/>
      <c r="BI222" s="340" t="n"/>
      <c r="BJ222" s="341" t="n"/>
      <c r="BK222" s="340" t="n"/>
      <c r="BL222" s="341" t="n"/>
      <c r="BM222" s="340" t="n"/>
      <c r="BN222" s="341" t="n"/>
      <c r="BO222" s="39" t="n"/>
      <c r="BP222" s="39" t="n"/>
      <c r="BQ222" s="39" t="n"/>
      <c r="BR222" s="39" t="n"/>
      <c r="BS222" s="308" t="n"/>
      <c r="BT222" s="39" t="n"/>
      <c r="BU222" s="39" t="n"/>
      <c r="BV222" s="39" t="n"/>
      <c r="BW222" s="39" t="n"/>
      <c r="BX222" s="39" t="n"/>
      <c r="BY222" s="39" t="n"/>
      <c r="BZ222" s="39" t="n"/>
      <c r="CA222" s="39" t="n"/>
      <c r="CB222" s="39" t="n"/>
      <c r="CC222" s="39" t="n"/>
      <c r="CD222" s="39" t="n"/>
      <c r="CE222" s="39" t="n"/>
      <c r="CF222" s="39" t="n"/>
      <c r="CG222" s="39" t="n"/>
      <c r="CH222" s="39" t="n"/>
      <c r="CI222" s="39" t="n"/>
      <c r="CJ222" s="39" t="n"/>
      <c r="CK222" s="39" t="n"/>
      <c r="CL222" s="39" t="n"/>
      <c r="CM222" s="309" t="n"/>
      <c r="CN222" s="39" t="n"/>
      <c r="CO222" s="39" t="n"/>
      <c r="CP222" s="39" t="n">
        <v>1</v>
      </c>
      <c r="CQ222" s="39" t="n">
        <v>0</v>
      </c>
      <c r="CR222" s="347" t="n"/>
      <c r="CS222" s="39" t="n"/>
      <c r="CT222" s="39" t="n"/>
      <c r="CU222" s="39" t="n"/>
      <c r="CV222" s="39" t="n">
        <v>1</v>
      </c>
      <c r="CW222" s="39" t="n"/>
      <c r="CX222" s="39" t="n"/>
      <c r="CY222" s="39" t="n"/>
      <c r="CZ222" s="39" t="n"/>
      <c r="DA222" s="39" t="n">
        <v>0</v>
      </c>
      <c r="DB222" s="39" t="n"/>
      <c r="DC222" s="39" t="n"/>
      <c r="DD222" s="39" t="n"/>
      <c r="DE222" s="39" t="n"/>
      <c r="DF222" s="39" t="n"/>
      <c r="DG222" s="39" t="n"/>
      <c r="DH222" s="39" t="n"/>
      <c r="DI222" s="39" t="n"/>
      <c r="DJ222" s="39" t="n"/>
      <c r="DK222" s="39" t="n">
        <v>0</v>
      </c>
      <c r="DL222" s="39" t="n"/>
      <c r="DM222" s="39" t="n"/>
      <c r="DN222" s="39" t="n"/>
      <c r="DO222" s="39" t="n"/>
      <c r="DP222" s="39" t="n">
        <v>0</v>
      </c>
      <c r="DQ222" s="39" t="n"/>
      <c r="DR222" s="39" t="n"/>
      <c r="DS222" s="39" t="n"/>
      <c r="DT222" s="39" t="n"/>
      <c r="DU222" s="39" t="n">
        <v>0</v>
      </c>
      <c r="DV222" s="39" t="n"/>
      <c r="DW222" s="340">
        <f t="array" ref="DW222">SUMPRODUCT(--(MOD(COLUMN($BO222:$DV222),5)=MOD(COLUMN($BO222),5)),$BO222:$DV222)</f>
        <v/>
      </c>
      <c r="DX222" s="341">
        <f>DW222*$J222</f>
        <v/>
      </c>
      <c r="DY222" s="340">
        <f t="array" ref="DY222">SUMPRODUCT(--(MOD(COLUMN($BO222:$DV222),5)=MOD(COLUMN($BP222),5)),$BO222:$DV222)</f>
        <v/>
      </c>
      <c r="DZ222" s="341">
        <f>DY222*$J222</f>
        <v/>
      </c>
      <c r="EA222" s="340">
        <f t="array" ref="EA222">SUMPRODUCT(--(MOD(COLUMN($BO222:$DV222),5)=MOD(COLUMN($BQ222),5)),$BO222:$DV222)</f>
        <v/>
      </c>
      <c r="EB222" s="341">
        <f>EA222*$J222</f>
        <v/>
      </c>
      <c r="EC222" s="340">
        <f t="array" ref="EC222">SUMPRODUCT(--(MOD(COLUMN($BO222:$DV222),5)=MOD(COLUMN($BR222),5)),$BO222:$DV222)</f>
        <v/>
      </c>
      <c r="ED222" s="341">
        <f>EC222*$J222</f>
        <v/>
      </c>
      <c r="EE222" s="39" t="n"/>
      <c r="EF222" s="39" t="n"/>
      <c r="EG222" s="39" t="n"/>
      <c r="EH222" s="39" t="n"/>
      <c r="EI222" s="39" t="n"/>
      <c r="EJ222" s="39" t="n"/>
      <c r="EK222" s="39" t="n">
        <v>0</v>
      </c>
      <c r="EL222" s="39" t="n"/>
      <c r="EM222" s="39" t="n"/>
      <c r="EN222" s="39" t="n"/>
      <c r="EO222" s="39" t="n"/>
      <c r="EP222" s="39" t="n"/>
      <c r="EQ222" s="204" t="n"/>
      <c r="ER222" s="39" t="n"/>
      <c r="ES222" s="39" t="n"/>
      <c r="ET222" s="39" t="n"/>
      <c r="EU222" s="204" t="n"/>
      <c r="EV222" s="39" t="n"/>
      <c r="EW222" s="39" t="n"/>
      <c r="EX222" s="39" t="n"/>
      <c r="EY222" s="200" t="n"/>
      <c r="EZ222" s="39" t="n"/>
      <c r="FA222" s="39" t="n"/>
      <c r="FB222" s="39" t="n"/>
      <c r="FC222" s="204" t="n"/>
      <c r="FD222" s="39" t="n"/>
      <c r="FE222" s="39" t="n"/>
      <c r="FF222" s="39" t="n"/>
      <c r="FG222" s="204" t="n"/>
      <c r="FH222" s="39" t="n"/>
      <c r="FI222" s="39" t="n"/>
      <c r="FJ222" s="39" t="n"/>
      <c r="FK222" s="200" t="n"/>
      <c r="FL222" s="39" t="n"/>
      <c r="FM222" s="39" t="n"/>
      <c r="FN222" s="39" t="n"/>
      <c r="FO222" s="39" t="n"/>
      <c r="FP222" s="39" t="n"/>
      <c r="FQ222" s="39" t="n"/>
      <c r="FR222" s="39" t="n"/>
      <c r="FS222" s="39" t="n"/>
      <c r="FT222" s="39" t="n"/>
      <c r="FU222" s="39" t="n"/>
      <c r="FV222" s="39" t="n"/>
      <c r="FW222" s="201" t="n"/>
      <c r="FX222" s="39" t="n"/>
      <c r="FY222" s="39" t="n"/>
      <c r="FZ222" s="39" t="n"/>
      <c r="GA222" s="340">
        <f t="array" ref="GA222">SUMPRODUCT(--(MOD(COLUMN($EE222:$FZ222),4)=MOD(COLUMN($EE222),4)),$EE222:$FZ222)</f>
        <v/>
      </c>
      <c r="GB222" s="341">
        <f>GA222*$J222</f>
        <v/>
      </c>
      <c r="GC222" s="340">
        <f t="array" ref="GC222">SUMPRODUCT(--(MOD(COLUMN($EE222:$FZ222),4)=MOD(COLUMN($EF222),4)),$EE222:$FZ222)</f>
        <v/>
      </c>
      <c r="GD222" s="341">
        <f>GC222*$J222</f>
        <v/>
      </c>
      <c r="GE222" s="340">
        <f t="array" ref="GE222">SUMPRODUCT(--(MOD(COLUMN($EE222:$FZ222),4)=MOD(COLUMN($EG222),4)),$EE222:$FZ222)</f>
        <v/>
      </c>
      <c r="GF222" s="341">
        <f>GE222*$J222</f>
        <v/>
      </c>
      <c r="GG222" s="39" t="n"/>
      <c r="GH222" s="39" t="n"/>
      <c r="GI222" s="39" t="n"/>
      <c r="GJ222" s="39" t="n"/>
      <c r="GK222" s="39" t="n"/>
      <c r="GL222" s="39" t="n"/>
      <c r="GM222" s="39" t="n"/>
      <c r="GN222" s="39" t="n"/>
      <c r="GO222" s="39" t="n"/>
      <c r="GP222" s="39" t="n"/>
      <c r="GQ222" s="39" t="n"/>
      <c r="GR222" s="39" t="n"/>
      <c r="GS222" s="39" t="n"/>
      <c r="GT222" s="39" t="n"/>
      <c r="GU222" s="39" t="n"/>
      <c r="GV222" s="39" t="n"/>
      <c r="GW222" s="39" t="n"/>
      <c r="GX222" s="39" t="n"/>
      <c r="GY222" s="39" t="n"/>
      <c r="GZ222" s="39" t="n"/>
      <c r="HA222" s="39" t="n"/>
      <c r="HB222" s="39" t="n"/>
      <c r="HC222" s="39" t="n"/>
      <c r="HD222" s="39" t="n"/>
      <c r="HE222" s="39" t="n"/>
      <c r="HF222" s="39" t="n"/>
      <c r="HG222" s="39" t="n"/>
      <c r="HH222" s="39" t="n"/>
      <c r="HI222" s="39" t="n"/>
      <c r="HJ222" s="39" t="n"/>
      <c r="HK222" s="39" t="n"/>
      <c r="HL222" s="39" t="n"/>
      <c r="HM222" s="39" t="n"/>
      <c r="HN222" s="39" t="n"/>
      <c r="HO222" s="39" t="n"/>
      <c r="HP222" s="39" t="n"/>
      <c r="HQ222" s="39" t="n"/>
      <c r="HR222" s="39" t="n"/>
      <c r="HS222" s="39" t="n"/>
      <c r="HT222" s="39" t="n"/>
      <c r="HU222" s="39" t="n"/>
      <c r="HV222" s="39" t="n"/>
      <c r="HW222" s="39" t="n"/>
      <c r="HX222" s="39" t="n"/>
      <c r="HY222" s="39" t="n"/>
      <c r="HZ222" s="39" t="n"/>
      <c r="IA222" s="39" t="n"/>
      <c r="IB222" s="39" t="n"/>
      <c r="IC222" s="340">
        <f t="array" ref="IC222">SUMPRODUCT(--(MOD(COLUMN($GG222:$IB222),4)=MOD(COLUMN($GG222),4)),$GG222:$IB222)</f>
        <v/>
      </c>
      <c r="ID222" s="341">
        <f>IC222*$J222</f>
        <v/>
      </c>
      <c r="IE222" s="340">
        <f t="array" ref="IE222">SUMPRODUCT(--(MOD(COLUMN($GG222:$IB222),4)=MOD(COLUMN($GH222),4)),$GG222:$IB222)</f>
        <v/>
      </c>
      <c r="IF222" s="341">
        <f>IE222*$J222</f>
        <v/>
      </c>
      <c r="IG222" s="340">
        <f t="array" ref="IG222">SUMPRODUCT(--(MOD(COLUMN($GG222:$IB222),4)=MOD(COLUMN($GI222),4)),$GG222:$IB222)</f>
        <v/>
      </c>
      <c r="IH222" s="341">
        <f>IG222*$J222</f>
        <v/>
      </c>
      <c r="II222" s="39" t="n"/>
      <c r="IJ222" s="39" t="n"/>
      <c r="IK222" s="39" t="n"/>
      <c r="IL222" s="39" t="n"/>
      <c r="IM222" s="39" t="n"/>
      <c r="IN222" s="39" t="n"/>
      <c r="IO222" s="39" t="n"/>
      <c r="IP222" s="39" t="n"/>
      <c r="IQ222" s="39" t="n"/>
      <c r="IR222" s="39" t="n"/>
      <c r="IS222" s="39" t="n"/>
      <c r="IT222" s="39" t="n"/>
      <c r="IU222" s="39" t="n"/>
      <c r="IV222" s="39" t="n"/>
      <c r="IW222" s="39" t="n"/>
      <c r="IX222" s="39" t="n"/>
      <c r="IY222" s="39" t="n"/>
      <c r="IZ222" s="39" t="n"/>
      <c r="JA222" s="39" t="n"/>
      <c r="JB222" s="39" t="n"/>
      <c r="JC222" s="39" t="n"/>
      <c r="JD222" s="39" t="n"/>
      <c r="JE222" s="39" t="n"/>
      <c r="JF222" s="39" t="n"/>
      <c r="JG222" s="39" t="n"/>
      <c r="JH222" s="39" t="n"/>
      <c r="JI222" s="39" t="n"/>
      <c r="JJ222" s="39" t="n"/>
      <c r="JK222" s="39" t="n"/>
      <c r="JL222" s="39" t="n"/>
      <c r="JM222" s="39" t="n"/>
      <c r="JN222" s="39" t="n"/>
      <c r="JO222" s="39" t="n"/>
      <c r="JP222" s="39" t="n"/>
      <c r="JQ222" s="39" t="n"/>
      <c r="JR222" s="39" t="n"/>
      <c r="JS222" s="39" t="n"/>
      <c r="JT222" s="39" t="n"/>
      <c r="JU222" s="39" t="n"/>
      <c r="JV222" s="39" t="n"/>
      <c r="JW222" s="39" t="n"/>
      <c r="JX222" s="39" t="n"/>
      <c r="JY222" s="39" t="n"/>
      <c r="JZ222" s="39" t="n"/>
      <c r="KA222" s="39" t="n"/>
      <c r="KB222" s="39" t="n"/>
      <c r="KC222" s="39" t="n"/>
      <c r="KD222" s="39" t="n"/>
      <c r="KE222" s="340">
        <f t="array" ref="KE222">SUMPRODUCT(--(MOD(COLUMN($II222:$KD222),4)=MOD(COLUMN($II222),4)),$II222:$KD222)</f>
        <v/>
      </c>
      <c r="KF222" s="341">
        <f>KE222*$J222</f>
        <v/>
      </c>
      <c r="KG222" s="340">
        <f t="array" ref="KG222">SUMPRODUCT(--(MOD(COLUMN($II222:$KD222),4)=MOD(COLUMN($IJ222),4)),$II222:$KD222)</f>
        <v/>
      </c>
      <c r="KH222" s="341">
        <f>KG222*$J222</f>
        <v/>
      </c>
      <c r="KI222" s="340">
        <f t="array" ref="KI222">SUMPRODUCT(--(MOD(COLUMN($II222:$KD222),4)=MOD(COLUMN($IK222),4)),$II222:$KD222)</f>
        <v/>
      </c>
      <c r="KJ222" s="385">
        <f>KI222*$J222</f>
        <v/>
      </c>
      <c r="KK222" s="80" t="n"/>
      <c r="KL222" s="80" t="n"/>
      <c r="KM222" s="80" t="n"/>
      <c r="KN222" s="51" t="n"/>
      <c r="KO222" s="285" t="n"/>
    </row>
    <row r="223" outlineLevel="1" ht="28.8" customFormat="1" customHeight="1" s="68">
      <c r="A223" s="347" t="n"/>
      <c r="B223" s="347" t="n"/>
      <c r="C223" s="347" t="n"/>
      <c r="D223" s="347" t="n"/>
      <c r="E223" s="15" t="n">
        <v>16</v>
      </c>
      <c r="F223" s="15" t="n">
        <v>2</v>
      </c>
      <c r="G223" s="33" t="n">
        <v>4342080290</v>
      </c>
      <c r="H223" s="34" t="inlineStr">
        <is>
          <t>Клапан 2х магистральный</t>
        </is>
      </c>
      <c r="I223" s="337" t="n"/>
      <c r="J223" s="337">
        <f>231.27/1.2</f>
        <v/>
      </c>
      <c r="K223" s="337" t="n"/>
      <c r="L223" s="337" t="n"/>
      <c r="M223" s="39" t="n"/>
      <c r="N223" s="39" t="n"/>
      <c r="O223" s="39" t="n"/>
      <c r="P223" s="39" t="n"/>
      <c r="Q223" s="39" t="n"/>
      <c r="R223" s="39" t="n"/>
      <c r="S223" s="39" t="n"/>
      <c r="T223" s="39" t="n"/>
      <c r="U223" s="39" t="n"/>
      <c r="V223" s="39" t="n"/>
      <c r="W223" s="39" t="n"/>
      <c r="X223" s="39" t="n"/>
      <c r="Y223" s="39" t="n"/>
      <c r="Z223" s="39" t="n"/>
      <c r="AA223" s="39" t="n"/>
      <c r="AB223" s="39" t="n"/>
      <c r="AC223" s="39" t="n"/>
      <c r="AD223" s="39" t="n"/>
      <c r="AE223" s="39" t="n"/>
      <c r="AF223" s="39" t="n"/>
      <c r="AG223" s="39" t="n"/>
      <c r="AH223" s="39" t="n"/>
      <c r="AI223" s="39" t="n"/>
      <c r="AJ223" s="39" t="n"/>
      <c r="AK223" s="39" t="n"/>
      <c r="AL223" s="39" t="n"/>
      <c r="AM223" s="39" t="n"/>
      <c r="AN223" s="39" t="n"/>
      <c r="AO223" s="39" t="n"/>
      <c r="AP223" s="39" t="n"/>
      <c r="AQ223" s="39" t="n"/>
      <c r="AR223" s="39" t="n"/>
      <c r="AS223" s="39" t="n"/>
      <c r="AT223" s="39" t="n"/>
      <c r="AU223" s="39" t="n"/>
      <c r="AV223" s="39" t="n"/>
      <c r="AW223" s="39" t="n"/>
      <c r="AX223" s="39" t="n"/>
      <c r="AY223" s="39" t="n"/>
      <c r="AZ223" s="16" t="n"/>
      <c r="BA223" s="39" t="n"/>
      <c r="BB223" s="39" t="n"/>
      <c r="BC223" s="158" t="n"/>
      <c r="BD223" s="39" t="n"/>
      <c r="BE223" s="39" t="n"/>
      <c r="BF223" s="39" t="n"/>
      <c r="BG223" s="159" t="n"/>
      <c r="BH223" s="308" t="n"/>
      <c r="BI223" s="340" t="n"/>
      <c r="BJ223" s="341" t="n"/>
      <c r="BK223" s="340" t="n"/>
      <c r="BL223" s="341" t="n"/>
      <c r="BM223" s="340" t="n"/>
      <c r="BN223" s="341" t="n"/>
      <c r="BO223" s="39" t="n"/>
      <c r="BP223" s="39" t="n"/>
      <c r="BQ223" s="39" t="n"/>
      <c r="BR223" s="39" t="n"/>
      <c r="BS223" s="308" t="n"/>
      <c r="BT223" s="39" t="n"/>
      <c r="BU223" s="39" t="n"/>
      <c r="BV223" s="39" t="n"/>
      <c r="BW223" s="39" t="n"/>
      <c r="BX223" s="39" t="n"/>
      <c r="BY223" s="39" t="n"/>
      <c r="BZ223" s="39" t="n"/>
      <c r="CA223" s="39" t="n"/>
      <c r="CB223" s="39" t="n"/>
      <c r="CC223" s="39" t="n"/>
      <c r="CD223" s="39" t="n"/>
      <c r="CE223" s="39" t="n"/>
      <c r="CF223" s="39" t="n"/>
      <c r="CG223" s="39" t="n"/>
      <c r="CH223" s="39" t="n"/>
      <c r="CI223" s="39" t="n"/>
      <c r="CJ223" s="39" t="n"/>
      <c r="CK223" s="39" t="n"/>
      <c r="CL223" s="39" t="n"/>
      <c r="CM223" s="309" t="n"/>
      <c r="CN223" s="39" t="n"/>
      <c r="CO223" s="39" t="n"/>
      <c r="CP223" s="39" t="n">
        <v>1</v>
      </c>
      <c r="CQ223" s="39" t="n">
        <v>0</v>
      </c>
      <c r="CR223" s="347" t="n"/>
      <c r="CS223" s="39" t="n"/>
      <c r="CT223" s="39" t="n"/>
      <c r="CU223" s="39" t="n"/>
      <c r="CV223" s="39" t="n">
        <v>1</v>
      </c>
      <c r="CW223" s="39" t="n"/>
      <c r="CX223" s="39" t="n"/>
      <c r="CY223" s="39" t="n"/>
      <c r="CZ223" s="39" t="n"/>
      <c r="DA223" s="3" t="n">
        <v>0</v>
      </c>
      <c r="DB223" s="39" t="n"/>
      <c r="DC223" s="39" t="n"/>
      <c r="DD223" s="39" t="n"/>
      <c r="DE223" s="39" t="n"/>
      <c r="DF223" s="39" t="n"/>
      <c r="DG223" s="39" t="n"/>
      <c r="DH223" s="39" t="n"/>
      <c r="DI223" s="39" t="n"/>
      <c r="DJ223" s="39" t="n"/>
      <c r="DK223" s="39" t="n">
        <v>0</v>
      </c>
      <c r="DL223" s="39" t="n"/>
      <c r="DM223" s="39" t="n"/>
      <c r="DN223" s="39" t="n"/>
      <c r="DO223" s="39" t="n"/>
      <c r="DP223" s="39" t="n">
        <v>0</v>
      </c>
      <c r="DQ223" s="39" t="n"/>
      <c r="DR223" s="39" t="n"/>
      <c r="DS223" s="39" t="n"/>
      <c r="DT223" s="39" t="n"/>
      <c r="DU223" s="39" t="n">
        <v>0</v>
      </c>
      <c r="DV223" s="39" t="n"/>
      <c r="DW223" s="340">
        <f t="array" ref="DW223">SUMPRODUCT(--(MOD(COLUMN($BO223:$DV223),5)=MOD(COLUMN($BO223),5)),$BO223:$DV223)</f>
        <v/>
      </c>
      <c r="DX223" s="341">
        <f>DW223*$J223</f>
        <v/>
      </c>
      <c r="DY223" s="340">
        <f t="array" ref="DY223">SUMPRODUCT(--(MOD(COLUMN($BO223:$DV223),5)=MOD(COLUMN($BP223),5)),$BO223:$DV223)</f>
        <v/>
      </c>
      <c r="DZ223" s="341">
        <f>DY223*$J223</f>
        <v/>
      </c>
      <c r="EA223" s="340">
        <f t="array" ref="EA223">SUMPRODUCT(--(MOD(COLUMN($BO223:$DV223),5)=MOD(COLUMN($BQ223),5)),$BO223:$DV223)</f>
        <v/>
      </c>
      <c r="EB223" s="341">
        <f>EA223*$J223</f>
        <v/>
      </c>
      <c r="EC223" s="340">
        <f t="array" ref="EC223">SUMPRODUCT(--(MOD(COLUMN($BO223:$DV223),5)=MOD(COLUMN($BR223),5)),$BO223:$DV223)</f>
        <v/>
      </c>
      <c r="ED223" s="341">
        <f>EC223*$J223</f>
        <v/>
      </c>
      <c r="EE223" s="39" t="n"/>
      <c r="EF223" s="39" t="n"/>
      <c r="EG223" s="39" t="n"/>
      <c r="EH223" s="39" t="n"/>
      <c r="EI223" s="39" t="n"/>
      <c r="EJ223" s="39" t="n"/>
      <c r="EK223" s="39" t="n">
        <v>0</v>
      </c>
      <c r="EL223" s="39" t="n"/>
      <c r="EM223" s="39" t="n"/>
      <c r="EN223" s="39" t="n"/>
      <c r="EO223" s="39" t="n"/>
      <c r="EP223" s="39" t="n"/>
      <c r="EQ223" s="204" t="n"/>
      <c r="ER223" s="39" t="n"/>
      <c r="ES223" s="39" t="n"/>
      <c r="ET223" s="39" t="n"/>
      <c r="EU223" s="204" t="n"/>
      <c r="EV223" s="39" t="n"/>
      <c r="EW223" s="39" t="n"/>
      <c r="EX223" s="39" t="n"/>
      <c r="EY223" s="200" t="n"/>
      <c r="EZ223" s="39" t="n"/>
      <c r="FA223" s="39" t="n"/>
      <c r="FB223" s="39" t="n"/>
      <c r="FC223" s="204" t="n"/>
      <c r="FD223" s="39" t="n"/>
      <c r="FE223" s="39" t="n"/>
      <c r="FF223" s="39" t="n"/>
      <c r="FG223" s="204" t="n"/>
      <c r="FH223" s="39" t="n"/>
      <c r="FI223" s="39" t="n"/>
      <c r="FJ223" s="39" t="n"/>
      <c r="FK223" s="200" t="n"/>
      <c r="FL223" s="39" t="n"/>
      <c r="FM223" s="39" t="n"/>
      <c r="FN223" s="39" t="n"/>
      <c r="FO223" s="39" t="n"/>
      <c r="FP223" s="39" t="n"/>
      <c r="FQ223" s="39" t="n"/>
      <c r="FR223" s="39" t="n"/>
      <c r="FS223" s="39" t="n"/>
      <c r="FT223" s="39" t="n"/>
      <c r="FU223" s="39" t="n"/>
      <c r="FV223" s="39" t="n"/>
      <c r="FW223" s="201" t="n"/>
      <c r="FX223" s="39" t="n"/>
      <c r="FY223" s="39" t="n"/>
      <c r="FZ223" s="39" t="n"/>
      <c r="GA223" s="340">
        <f t="array" ref="GA223">SUMPRODUCT(--(MOD(COLUMN($EE223:$FZ223),4)=MOD(COLUMN($EE223),4)),$EE223:$FZ223)</f>
        <v/>
      </c>
      <c r="GB223" s="341">
        <f>GA223*$J223</f>
        <v/>
      </c>
      <c r="GC223" s="340">
        <f t="array" ref="GC223">SUMPRODUCT(--(MOD(COLUMN($EE223:$FZ223),4)=MOD(COLUMN($EF223),4)),$EE223:$FZ223)</f>
        <v/>
      </c>
      <c r="GD223" s="341">
        <f>GC223*$J223</f>
        <v/>
      </c>
      <c r="GE223" s="340">
        <f t="array" ref="GE223">SUMPRODUCT(--(MOD(COLUMN($EE223:$FZ223),4)=MOD(COLUMN($EG223),4)),$EE223:$FZ223)</f>
        <v/>
      </c>
      <c r="GF223" s="341">
        <f>GE223*$J223</f>
        <v/>
      </c>
      <c r="GG223" s="39" t="n"/>
      <c r="GH223" s="39" t="n"/>
      <c r="GI223" s="39" t="n"/>
      <c r="GJ223" s="39" t="n"/>
      <c r="GK223" s="39" t="n"/>
      <c r="GL223" s="39" t="n"/>
      <c r="GM223" s="39" t="n"/>
      <c r="GN223" s="39" t="n"/>
      <c r="GO223" s="39" t="n"/>
      <c r="GP223" s="39" t="n"/>
      <c r="GQ223" s="39" t="n"/>
      <c r="GR223" s="39" t="n"/>
      <c r="GS223" s="39" t="n"/>
      <c r="GT223" s="39" t="n"/>
      <c r="GU223" s="39" t="n"/>
      <c r="GV223" s="39" t="n"/>
      <c r="GW223" s="39" t="n"/>
      <c r="GX223" s="39" t="n"/>
      <c r="GY223" s="39" t="n"/>
      <c r="GZ223" s="39" t="n"/>
      <c r="HA223" s="39" t="n"/>
      <c r="HB223" s="39" t="n"/>
      <c r="HC223" s="39" t="n"/>
      <c r="HD223" s="39" t="n"/>
      <c r="HE223" s="39" t="n"/>
      <c r="HF223" s="39" t="n"/>
      <c r="HG223" s="39" t="n"/>
      <c r="HH223" s="39" t="n"/>
      <c r="HI223" s="39" t="n"/>
      <c r="HJ223" s="39" t="n"/>
      <c r="HK223" s="39" t="n"/>
      <c r="HL223" s="39" t="n"/>
      <c r="HM223" s="39" t="n"/>
      <c r="HN223" s="39" t="n"/>
      <c r="HO223" s="39" t="n"/>
      <c r="HP223" s="39" t="n"/>
      <c r="HQ223" s="39" t="n"/>
      <c r="HR223" s="39" t="n"/>
      <c r="HS223" s="39" t="n"/>
      <c r="HT223" s="39" t="n"/>
      <c r="HU223" s="39" t="n"/>
      <c r="HV223" s="39" t="n"/>
      <c r="HW223" s="39" t="n"/>
      <c r="HX223" s="39" t="n"/>
      <c r="HY223" s="39" t="n"/>
      <c r="HZ223" s="39" t="n"/>
      <c r="IA223" s="39" t="n"/>
      <c r="IB223" s="39" t="n"/>
      <c r="IC223" s="340">
        <f t="array" ref="IC223">SUMPRODUCT(--(MOD(COLUMN($GG223:$IB223),4)=MOD(COLUMN($GG223),4)),$GG223:$IB223)</f>
        <v/>
      </c>
      <c r="ID223" s="341">
        <f>IC223*$J223</f>
        <v/>
      </c>
      <c r="IE223" s="340">
        <f t="array" ref="IE223">SUMPRODUCT(--(MOD(COLUMN($GG223:$IB223),4)=MOD(COLUMN($GH223),4)),$GG223:$IB223)</f>
        <v/>
      </c>
      <c r="IF223" s="341">
        <f>IE223*$J223</f>
        <v/>
      </c>
      <c r="IG223" s="340">
        <f t="array" ref="IG223">SUMPRODUCT(--(MOD(COLUMN($GG223:$IB223),4)=MOD(COLUMN($GI223),4)),$GG223:$IB223)</f>
        <v/>
      </c>
      <c r="IH223" s="341">
        <f>IG223*$J223</f>
        <v/>
      </c>
      <c r="II223" s="39" t="n"/>
      <c r="IJ223" s="39" t="n"/>
      <c r="IK223" s="39" t="n"/>
      <c r="IL223" s="39" t="n"/>
      <c r="IM223" s="39" t="n"/>
      <c r="IN223" s="39" t="n"/>
      <c r="IO223" s="39" t="n"/>
      <c r="IP223" s="39" t="n"/>
      <c r="IQ223" s="39" t="n"/>
      <c r="IR223" s="39" t="n"/>
      <c r="IS223" s="39" t="n"/>
      <c r="IT223" s="39" t="n"/>
      <c r="IU223" s="39" t="n"/>
      <c r="IV223" s="39" t="n"/>
      <c r="IW223" s="39" t="n"/>
      <c r="IX223" s="39" t="n"/>
      <c r="IY223" s="39" t="n"/>
      <c r="IZ223" s="39" t="n"/>
      <c r="JA223" s="39" t="n"/>
      <c r="JB223" s="39" t="n"/>
      <c r="JC223" s="39" t="n"/>
      <c r="JD223" s="39" t="n"/>
      <c r="JE223" s="39" t="n"/>
      <c r="JF223" s="39" t="n"/>
      <c r="JG223" s="39" t="n"/>
      <c r="JH223" s="39" t="n"/>
      <c r="JI223" s="39" t="n"/>
      <c r="JJ223" s="39" t="n"/>
      <c r="JK223" s="39" t="n"/>
      <c r="JL223" s="39" t="n"/>
      <c r="JM223" s="39" t="n"/>
      <c r="JN223" s="39" t="n"/>
      <c r="JO223" s="39" t="n"/>
      <c r="JP223" s="39" t="n"/>
      <c r="JQ223" s="39" t="n"/>
      <c r="JR223" s="39" t="n"/>
      <c r="JS223" s="39" t="n"/>
      <c r="JT223" s="39" t="n"/>
      <c r="JU223" s="39" t="n"/>
      <c r="JV223" s="39" t="n"/>
      <c r="JW223" s="39" t="n"/>
      <c r="JX223" s="39" t="n"/>
      <c r="JY223" s="39" t="n"/>
      <c r="JZ223" s="39" t="n"/>
      <c r="KA223" s="39" t="n"/>
      <c r="KB223" s="39" t="n"/>
      <c r="KC223" s="39" t="n"/>
      <c r="KD223" s="39" t="n"/>
      <c r="KE223" s="340">
        <f t="array" ref="KE223">SUMPRODUCT(--(MOD(COLUMN($II223:$KD223),4)=MOD(COLUMN($II223),4)),$II223:$KD223)</f>
        <v/>
      </c>
      <c r="KF223" s="341">
        <f>KE223*$J223</f>
        <v/>
      </c>
      <c r="KG223" s="340">
        <f t="array" ref="KG223">SUMPRODUCT(--(MOD(COLUMN($II223:$KD223),4)=MOD(COLUMN($IJ223),4)),$II223:$KD223)</f>
        <v/>
      </c>
      <c r="KH223" s="341">
        <f>KG223*$J223</f>
        <v/>
      </c>
      <c r="KI223" s="340">
        <f t="array" ref="KI223">SUMPRODUCT(--(MOD(COLUMN($II223:$KD223),4)=MOD(COLUMN($IK223),4)),$II223:$KD223)</f>
        <v/>
      </c>
      <c r="KJ223" s="385">
        <f>KI223*$J223</f>
        <v/>
      </c>
      <c r="KK223" s="80" t="n"/>
      <c r="KL223" s="80" t="n"/>
      <c r="KM223" s="80" t="n"/>
      <c r="KN223" s="51" t="n"/>
      <c r="KO223" s="285" t="n"/>
    </row>
    <row r="224" outlineLevel="1" ht="43.2" customFormat="1" customHeight="1" s="68">
      <c r="A224" s="347" t="n"/>
      <c r="B224" s="347" t="n"/>
      <c r="C224" s="347" t="n"/>
      <c r="D224" s="347" t="n"/>
      <c r="E224" s="15" t="n">
        <v>17</v>
      </c>
      <c r="F224" s="202" t="n">
        <v>1</v>
      </c>
      <c r="G224" s="33" t="n">
        <v>9522002210</v>
      </c>
      <c r="H224" s="34" t="inlineStr">
        <is>
          <t>Головка соед. М16х1,5, внутр.рез., с клапаном, красная</t>
        </is>
      </c>
      <c r="I224" s="337" t="n"/>
      <c r="J224" s="337">
        <f>176.62/1.2</f>
        <v/>
      </c>
      <c r="K224" s="337" t="n"/>
      <c r="L224" s="337" t="n"/>
      <c r="M224" s="39" t="n"/>
      <c r="N224" s="39" t="n"/>
      <c r="O224" s="39" t="n"/>
      <c r="P224" s="39" t="n"/>
      <c r="Q224" s="39" t="n"/>
      <c r="R224" s="39" t="n"/>
      <c r="S224" s="39" t="n"/>
      <c r="T224" s="39" t="n"/>
      <c r="U224" s="39" t="n"/>
      <c r="V224" s="39" t="n"/>
      <c r="W224" s="39" t="n"/>
      <c r="X224" s="39" t="n"/>
      <c r="Y224" s="39" t="n"/>
      <c r="Z224" s="39" t="n"/>
      <c r="AA224" s="39" t="n"/>
      <c r="AB224" s="39" t="n"/>
      <c r="AC224" s="39" t="n"/>
      <c r="AD224" s="39" t="n"/>
      <c r="AE224" s="39" t="n"/>
      <c r="AF224" s="39" t="n"/>
      <c r="AG224" s="39" t="n"/>
      <c r="AH224" s="39" t="n"/>
      <c r="AI224" s="39" t="n"/>
      <c r="AJ224" s="39" t="n"/>
      <c r="AK224" s="39" t="n"/>
      <c r="AL224" s="39" t="n"/>
      <c r="AM224" s="39" t="n"/>
      <c r="AN224" s="39" t="n"/>
      <c r="AO224" s="39" t="n"/>
      <c r="AP224" s="39" t="n"/>
      <c r="AQ224" s="39" t="n"/>
      <c r="AR224" s="39" t="n"/>
      <c r="AS224" s="39" t="n"/>
      <c r="AT224" s="39" t="n"/>
      <c r="AU224" s="39" t="n"/>
      <c r="AV224" s="39" t="n"/>
      <c r="AW224" s="39" t="n"/>
      <c r="AX224" s="39" t="n"/>
      <c r="AY224" s="39" t="n"/>
      <c r="AZ224" s="16" t="n"/>
      <c r="BA224" s="39" t="n"/>
      <c r="BB224" s="39" t="n"/>
      <c r="BC224" s="158" t="n"/>
      <c r="BD224" s="39" t="n"/>
      <c r="BE224" s="39" t="n"/>
      <c r="BF224" s="39" t="n"/>
      <c r="BG224" s="159" t="n"/>
      <c r="BH224" s="308" t="n"/>
      <c r="BI224" s="340" t="n"/>
      <c r="BJ224" s="341" t="n"/>
      <c r="BK224" s="340" t="n"/>
      <c r="BL224" s="341" t="n"/>
      <c r="BM224" s="340" t="n"/>
      <c r="BN224" s="341" t="n"/>
      <c r="BO224" s="39" t="n"/>
      <c r="BP224" s="39" t="n"/>
      <c r="BQ224" s="39" t="n"/>
      <c r="BR224" s="39" t="n"/>
      <c r="BS224" s="308" t="n"/>
      <c r="BT224" s="39" t="n"/>
      <c r="BU224" s="39" t="n"/>
      <c r="BV224" s="39" t="n"/>
      <c r="BW224" s="39" t="n"/>
      <c r="BX224" s="39" t="n"/>
      <c r="BY224" s="39" t="n"/>
      <c r="BZ224" s="39" t="n"/>
      <c r="CA224" s="39" t="n"/>
      <c r="CB224" s="39" t="n"/>
      <c r="CC224" s="39" t="n"/>
      <c r="CD224" s="39" t="n"/>
      <c r="CE224" s="39" t="n"/>
      <c r="CF224" s="39" t="n"/>
      <c r="CG224" s="39" t="n"/>
      <c r="CH224" s="39" t="n"/>
      <c r="CI224" s="39" t="n"/>
      <c r="CJ224" s="39" t="n"/>
      <c r="CK224" s="39" t="n"/>
      <c r="CL224" s="39" t="n"/>
      <c r="CM224" s="309" t="n"/>
      <c r="CN224" s="39" t="n"/>
      <c r="CO224" s="39" t="n"/>
      <c r="CP224" s="39" t="n">
        <v>1</v>
      </c>
      <c r="CQ224" s="39" t="n">
        <v>0</v>
      </c>
      <c r="CR224" s="347" t="n"/>
      <c r="CS224" s="39" t="n"/>
      <c r="CT224" s="39" t="n"/>
      <c r="CU224" s="39" t="n"/>
      <c r="CV224" s="39" t="n">
        <v>1</v>
      </c>
      <c r="CW224" s="39" t="n"/>
      <c r="CX224" s="39" t="n"/>
      <c r="CY224" s="39" t="n"/>
      <c r="CZ224" s="39" t="n"/>
      <c r="DA224" s="39" t="n">
        <v>0</v>
      </c>
      <c r="DB224" s="39" t="n"/>
      <c r="DC224" s="39" t="n"/>
      <c r="DD224" s="39" t="n"/>
      <c r="DE224" s="39" t="n"/>
      <c r="DF224" s="39" t="n"/>
      <c r="DG224" s="39" t="n"/>
      <c r="DH224" s="39" t="n"/>
      <c r="DI224" s="39" t="n"/>
      <c r="DJ224" s="39" t="n"/>
      <c r="DK224" s="39" t="n">
        <v>0</v>
      </c>
      <c r="DL224" s="39" t="n"/>
      <c r="DM224" s="39" t="n"/>
      <c r="DN224" s="39" t="n"/>
      <c r="DO224" s="39" t="n"/>
      <c r="DP224" s="39" t="n">
        <v>0</v>
      </c>
      <c r="DQ224" s="39" t="n"/>
      <c r="DR224" s="39" t="n"/>
      <c r="DS224" s="39" t="n"/>
      <c r="DT224" s="39" t="n"/>
      <c r="DU224" s="39" t="n">
        <v>0</v>
      </c>
      <c r="DV224" s="39" t="n"/>
      <c r="DW224" s="340">
        <f t="array" ref="DW224">SUMPRODUCT(--(MOD(COLUMN($BO224:$DV224),5)=MOD(COLUMN($BO224),5)),$BO224:$DV224)</f>
        <v/>
      </c>
      <c r="DX224" s="341">
        <f>DW224*$J224</f>
        <v/>
      </c>
      <c r="DY224" s="340">
        <f t="array" ref="DY224">SUMPRODUCT(--(MOD(COLUMN($BO224:$DV224),5)=MOD(COLUMN($BP224),5)),$BO224:$DV224)</f>
        <v/>
      </c>
      <c r="DZ224" s="341">
        <f>DY224*$J224</f>
        <v/>
      </c>
      <c r="EA224" s="340">
        <f t="array" ref="EA224">SUMPRODUCT(--(MOD(COLUMN($BO224:$DV224),5)=MOD(COLUMN($BQ224),5)),$BO224:$DV224)</f>
        <v/>
      </c>
      <c r="EB224" s="341">
        <f>EA224*$J224</f>
        <v/>
      </c>
      <c r="EC224" s="340">
        <f t="array" ref="EC224">SUMPRODUCT(--(MOD(COLUMN($BO224:$DV224),5)=MOD(COLUMN($BR224),5)),$BO224:$DV224)</f>
        <v/>
      </c>
      <c r="ED224" s="341">
        <f>EC224*$J224</f>
        <v/>
      </c>
      <c r="EE224" s="39" t="n"/>
      <c r="EF224" s="39" t="n"/>
      <c r="EG224" s="39" t="n"/>
      <c r="EH224" s="39" t="n"/>
      <c r="EI224" s="39" t="n"/>
      <c r="EJ224" s="39" t="n"/>
      <c r="EK224" s="39" t="n">
        <v>0</v>
      </c>
      <c r="EL224" s="155" t="inlineStr">
        <is>
          <t>перевод на ТСР</t>
        </is>
      </c>
      <c r="EM224" s="39" t="n"/>
      <c r="EN224" s="39" t="n"/>
      <c r="EO224" s="39" t="n"/>
      <c r="EP224" s="39" t="n"/>
      <c r="EQ224" s="204" t="n"/>
      <c r="ER224" s="39" t="n"/>
      <c r="ES224" s="39" t="n"/>
      <c r="ET224" s="39" t="n"/>
      <c r="EU224" s="204" t="n"/>
      <c r="EV224" s="39" t="n"/>
      <c r="EW224" s="39" t="n"/>
      <c r="EX224" s="39" t="n"/>
      <c r="EY224" s="200" t="n"/>
      <c r="EZ224" s="39" t="n"/>
      <c r="FA224" s="39" t="n"/>
      <c r="FB224" s="39" t="n"/>
      <c r="FC224" s="204" t="n"/>
      <c r="FD224" s="39" t="n"/>
      <c r="FE224" s="39" t="n"/>
      <c r="FF224" s="39" t="n"/>
      <c r="FG224" s="204" t="n"/>
      <c r="FH224" s="39" t="n"/>
      <c r="FI224" s="39" t="n"/>
      <c r="FJ224" s="39" t="n"/>
      <c r="FK224" s="200" t="n"/>
      <c r="FL224" s="39" t="n"/>
      <c r="FM224" s="39" t="n"/>
      <c r="FN224" s="39" t="n"/>
      <c r="FO224" s="39" t="n"/>
      <c r="FP224" s="39" t="n"/>
      <c r="FQ224" s="39" t="n"/>
      <c r="FR224" s="39" t="n"/>
      <c r="FS224" s="39" t="n"/>
      <c r="FT224" s="39" t="n"/>
      <c r="FU224" s="39" t="n"/>
      <c r="FV224" s="39" t="n"/>
      <c r="FW224" s="200" t="n"/>
      <c r="FX224" s="39" t="n"/>
      <c r="FY224" s="39" t="n"/>
      <c r="FZ224" s="39" t="n"/>
      <c r="GA224" s="340">
        <f t="array" ref="GA224">SUMPRODUCT(--(MOD(COLUMN($EE224:$FZ224),4)=MOD(COLUMN($EE224),4)),$EE224:$FZ224)</f>
        <v/>
      </c>
      <c r="GB224" s="341">
        <f>GA224*$J224</f>
        <v/>
      </c>
      <c r="GC224" s="340">
        <f t="array" ref="GC224">SUMPRODUCT(--(MOD(COLUMN($EE224:$FZ224),4)=MOD(COLUMN($EF224),4)),$EE224:$FZ224)</f>
        <v/>
      </c>
      <c r="GD224" s="341">
        <f>GC224*$J224</f>
        <v/>
      </c>
      <c r="GE224" s="340">
        <f t="array" ref="GE224">SUMPRODUCT(--(MOD(COLUMN($EE224:$FZ224),4)=MOD(COLUMN($EG224),4)),$EE224:$FZ224)</f>
        <v/>
      </c>
      <c r="GF224" s="341">
        <f>GE224*$J224</f>
        <v/>
      </c>
      <c r="GG224" s="39" t="n"/>
      <c r="GH224" s="39" t="n"/>
      <c r="GI224" s="39" t="n"/>
      <c r="GJ224" s="39" t="n"/>
      <c r="GK224" s="39" t="n"/>
      <c r="GL224" s="39" t="n"/>
      <c r="GM224" s="39" t="n"/>
      <c r="GN224" s="39" t="n"/>
      <c r="GO224" s="39" t="n"/>
      <c r="GP224" s="39" t="n"/>
      <c r="GQ224" s="39" t="n"/>
      <c r="GR224" s="39" t="n"/>
      <c r="GS224" s="39" t="n"/>
      <c r="GT224" s="39" t="n"/>
      <c r="GU224" s="39" t="n"/>
      <c r="GV224" s="39" t="n"/>
      <c r="GW224" s="39" t="n"/>
      <c r="GX224" s="39" t="n"/>
      <c r="GY224" s="39" t="n"/>
      <c r="GZ224" s="39" t="n"/>
      <c r="HA224" s="39" t="n"/>
      <c r="HB224" s="39" t="n"/>
      <c r="HC224" s="39" t="n"/>
      <c r="HD224" s="39" t="n"/>
      <c r="HE224" s="39" t="n"/>
      <c r="HF224" s="39" t="n"/>
      <c r="HG224" s="39" t="n"/>
      <c r="HH224" s="39" t="n"/>
      <c r="HI224" s="39" t="n"/>
      <c r="HJ224" s="39" t="n"/>
      <c r="HK224" s="39" t="n"/>
      <c r="HL224" s="39" t="n"/>
      <c r="HM224" s="39" t="n"/>
      <c r="HN224" s="39" t="n"/>
      <c r="HO224" s="39" t="n"/>
      <c r="HP224" s="39" t="n"/>
      <c r="HQ224" s="39" t="n"/>
      <c r="HR224" s="39" t="n"/>
      <c r="HS224" s="39" t="n"/>
      <c r="HT224" s="39" t="n"/>
      <c r="HU224" s="39" t="n"/>
      <c r="HV224" s="39" t="n"/>
      <c r="HW224" s="39" t="n"/>
      <c r="HX224" s="39" t="n"/>
      <c r="HY224" s="39" t="n"/>
      <c r="HZ224" s="39" t="n"/>
      <c r="IA224" s="39" t="n"/>
      <c r="IB224" s="39" t="n"/>
      <c r="IC224" s="340">
        <f t="array" ref="IC224">SUMPRODUCT(--(MOD(COLUMN($GG224:$IB224),4)=MOD(COLUMN($GG224),4)),$GG224:$IB224)</f>
        <v/>
      </c>
      <c r="ID224" s="341">
        <f>IC224*$J224</f>
        <v/>
      </c>
      <c r="IE224" s="340">
        <f t="array" ref="IE224">SUMPRODUCT(--(MOD(COLUMN($GG224:$IB224),4)=MOD(COLUMN($GH224),4)),$GG224:$IB224)</f>
        <v/>
      </c>
      <c r="IF224" s="341">
        <f>IE224*$J224</f>
        <v/>
      </c>
      <c r="IG224" s="340">
        <f t="array" ref="IG224">SUMPRODUCT(--(MOD(COLUMN($GG224:$IB224),4)=MOD(COLUMN($GI224),4)),$GG224:$IB224)</f>
        <v/>
      </c>
      <c r="IH224" s="341">
        <f>IG224*$J224</f>
        <v/>
      </c>
      <c r="II224" s="39" t="n"/>
      <c r="IJ224" s="39" t="n"/>
      <c r="IK224" s="39" t="n"/>
      <c r="IL224" s="39" t="n"/>
      <c r="IM224" s="39" t="n"/>
      <c r="IN224" s="39" t="n"/>
      <c r="IO224" s="39" t="n"/>
      <c r="IP224" s="39" t="n"/>
      <c r="IQ224" s="39" t="n"/>
      <c r="IR224" s="39" t="n"/>
      <c r="IS224" s="39" t="n"/>
      <c r="IT224" s="39" t="n"/>
      <c r="IU224" s="39" t="n"/>
      <c r="IV224" s="39" t="n"/>
      <c r="IW224" s="39" t="n"/>
      <c r="IX224" s="39" t="n"/>
      <c r="IY224" s="39" t="n"/>
      <c r="IZ224" s="39" t="n"/>
      <c r="JA224" s="39" t="n"/>
      <c r="JB224" s="39" t="n"/>
      <c r="JC224" s="39" t="n"/>
      <c r="JD224" s="39" t="n"/>
      <c r="JE224" s="39" t="n"/>
      <c r="JF224" s="39" t="n"/>
      <c r="JG224" s="39" t="n"/>
      <c r="JH224" s="39" t="n"/>
      <c r="JI224" s="39" t="n"/>
      <c r="JJ224" s="39" t="n"/>
      <c r="JK224" s="39" t="n"/>
      <c r="JL224" s="39" t="n"/>
      <c r="JM224" s="39" t="n"/>
      <c r="JN224" s="39" t="n"/>
      <c r="JO224" s="39" t="n"/>
      <c r="JP224" s="39" t="n"/>
      <c r="JQ224" s="39" t="n"/>
      <c r="JR224" s="39" t="n"/>
      <c r="JS224" s="39" t="n"/>
      <c r="JT224" s="39" t="n"/>
      <c r="JU224" s="39" t="n"/>
      <c r="JV224" s="39" t="n"/>
      <c r="JW224" s="39" t="n"/>
      <c r="JX224" s="39" t="n"/>
      <c r="JY224" s="39" t="n"/>
      <c r="JZ224" s="39" t="n"/>
      <c r="KA224" s="39" t="n"/>
      <c r="KB224" s="39" t="n"/>
      <c r="KC224" s="39" t="n"/>
      <c r="KD224" s="39" t="n"/>
      <c r="KE224" s="340">
        <f t="array" ref="KE224">SUMPRODUCT(--(MOD(COLUMN($II224:$KD224),4)=MOD(COLUMN($II224),4)),$II224:$KD224)</f>
        <v/>
      </c>
      <c r="KF224" s="341">
        <f>KE224*$J224</f>
        <v/>
      </c>
      <c r="KG224" s="340">
        <f t="array" ref="KG224">SUMPRODUCT(--(MOD(COLUMN($II224:$KD224),4)=MOD(COLUMN($IJ224),4)),$II224:$KD224)</f>
        <v/>
      </c>
      <c r="KH224" s="341">
        <f>KG224*$J224</f>
        <v/>
      </c>
      <c r="KI224" s="340">
        <f t="array" ref="KI224">SUMPRODUCT(--(MOD(COLUMN($II224:$KD224),4)=MOD(COLUMN($IK224),4)),$II224:$KD224)</f>
        <v/>
      </c>
      <c r="KJ224" s="385">
        <f>KI224*$J224</f>
        <v/>
      </c>
      <c r="KK224" s="80" t="n"/>
      <c r="KL224" s="80" t="n"/>
      <c r="KM224" s="80" t="n"/>
      <c r="KN224" s="51" t="n"/>
      <c r="KO224" s="285" t="n"/>
    </row>
    <row r="225" outlineLevel="1" ht="43.2" customFormat="1" customHeight="1" s="68">
      <c r="A225" s="347" t="n"/>
      <c r="B225" s="347" t="n"/>
      <c r="C225" s="347" t="n"/>
      <c r="D225" s="347" t="n"/>
      <c r="E225" s="15" t="n">
        <v>18</v>
      </c>
      <c r="F225" s="202" t="n">
        <v>1</v>
      </c>
      <c r="G225" s="33" t="n">
        <v>9522002220</v>
      </c>
      <c r="H225" s="34" t="inlineStr">
        <is>
          <t>Головка соед. М16х1,5, внутр.рез., с клапаном, желтая</t>
        </is>
      </c>
      <c r="I225" s="337" t="n"/>
      <c r="J225" s="337">
        <f>130.69/1.2</f>
        <v/>
      </c>
      <c r="K225" s="337" t="n"/>
      <c r="L225" s="337" t="n"/>
      <c r="M225" s="39" t="n"/>
      <c r="N225" s="39" t="n"/>
      <c r="O225" s="39" t="n"/>
      <c r="P225" s="39" t="n"/>
      <c r="Q225" s="39" t="n"/>
      <c r="R225" s="39" t="n"/>
      <c r="S225" s="39" t="n"/>
      <c r="T225" s="39" t="n"/>
      <c r="U225" s="39" t="n"/>
      <c r="V225" s="39" t="n"/>
      <c r="W225" s="39" t="n"/>
      <c r="X225" s="39" t="n"/>
      <c r="Y225" s="39" t="n"/>
      <c r="Z225" s="39" t="n"/>
      <c r="AA225" s="39" t="n"/>
      <c r="AB225" s="39" t="n"/>
      <c r="AC225" s="39" t="n"/>
      <c r="AD225" s="39" t="n"/>
      <c r="AE225" s="39" t="n"/>
      <c r="AF225" s="39" t="n"/>
      <c r="AG225" s="39" t="n"/>
      <c r="AH225" s="39" t="n"/>
      <c r="AI225" s="39" t="n"/>
      <c r="AJ225" s="39" t="n"/>
      <c r="AK225" s="39" t="n"/>
      <c r="AL225" s="39" t="n"/>
      <c r="AM225" s="39" t="n"/>
      <c r="AN225" s="39" t="n"/>
      <c r="AO225" s="39" t="n"/>
      <c r="AP225" s="39" t="n"/>
      <c r="AQ225" s="39" t="n"/>
      <c r="AR225" s="39" t="n"/>
      <c r="AS225" s="39" t="n"/>
      <c r="AT225" s="39" t="n"/>
      <c r="AU225" s="39" t="n"/>
      <c r="AV225" s="39" t="n"/>
      <c r="AW225" s="39" t="n"/>
      <c r="AX225" s="39" t="n"/>
      <c r="AY225" s="39" t="n"/>
      <c r="AZ225" s="16" t="n"/>
      <c r="BA225" s="39" t="n"/>
      <c r="BB225" s="39" t="n"/>
      <c r="BC225" s="158" t="n"/>
      <c r="BD225" s="39" t="n"/>
      <c r="BE225" s="39" t="n"/>
      <c r="BF225" s="39" t="n"/>
      <c r="BG225" s="159" t="n"/>
      <c r="BH225" s="308" t="n"/>
      <c r="BI225" s="340" t="n"/>
      <c r="BJ225" s="341" t="n"/>
      <c r="BK225" s="340" t="n"/>
      <c r="BL225" s="341" t="n"/>
      <c r="BM225" s="340" t="n"/>
      <c r="BN225" s="341" t="n"/>
      <c r="BO225" s="39" t="n"/>
      <c r="BP225" s="39" t="n"/>
      <c r="BQ225" s="39" t="n"/>
      <c r="BR225" s="39" t="n"/>
      <c r="BS225" s="308" t="n"/>
      <c r="BT225" s="39" t="n"/>
      <c r="BU225" s="39" t="n"/>
      <c r="BV225" s="39" t="n"/>
      <c r="BW225" s="39" t="n"/>
      <c r="BX225" s="39" t="n"/>
      <c r="BY225" s="39" t="n"/>
      <c r="BZ225" s="39" t="n"/>
      <c r="CA225" s="39" t="n"/>
      <c r="CB225" s="39" t="n"/>
      <c r="CC225" s="39" t="n"/>
      <c r="CD225" s="39" t="n"/>
      <c r="CE225" s="39" t="n"/>
      <c r="CF225" s="39" t="n"/>
      <c r="CG225" s="39" t="n"/>
      <c r="CH225" s="39" t="n"/>
      <c r="CI225" s="39" t="n"/>
      <c r="CJ225" s="39" t="n"/>
      <c r="CK225" s="39" t="n"/>
      <c r="CL225" s="39" t="n"/>
      <c r="CM225" s="309" t="n"/>
      <c r="CN225" s="39" t="n"/>
      <c r="CO225" s="39" t="n"/>
      <c r="CP225" s="39" t="n">
        <v>1</v>
      </c>
      <c r="CQ225" s="39" t="n">
        <v>0</v>
      </c>
      <c r="CR225" s="333" t="n"/>
      <c r="CS225" s="39" t="n"/>
      <c r="CT225" s="39" t="n"/>
      <c r="CU225" s="39" t="n"/>
      <c r="CV225" s="39" t="n">
        <v>1</v>
      </c>
      <c r="CW225" s="39" t="n"/>
      <c r="CX225" s="39" t="n"/>
      <c r="CY225" s="39" t="n"/>
      <c r="CZ225" s="39" t="n"/>
      <c r="DA225" s="3" t="n">
        <v>0</v>
      </c>
      <c r="DB225" s="39" t="n"/>
      <c r="DC225" s="39" t="n"/>
      <c r="DD225" s="39" t="n"/>
      <c r="DE225" s="39" t="n"/>
      <c r="DF225" s="39" t="n"/>
      <c r="DG225" s="39" t="n"/>
      <c r="DH225" s="39" t="n"/>
      <c r="DI225" s="39" t="n"/>
      <c r="DJ225" s="39" t="n"/>
      <c r="DK225" s="39" t="n">
        <v>0</v>
      </c>
      <c r="DL225" s="39" t="n"/>
      <c r="DM225" s="39" t="n"/>
      <c r="DN225" s="39" t="n"/>
      <c r="DO225" s="39" t="n"/>
      <c r="DP225" s="39" t="n">
        <v>0</v>
      </c>
      <c r="DQ225" s="39" t="n"/>
      <c r="DR225" s="39" t="n"/>
      <c r="DS225" s="39" t="n"/>
      <c r="DT225" s="39" t="n"/>
      <c r="DU225" s="39" t="n">
        <v>0</v>
      </c>
      <c r="DV225" s="39" t="n"/>
      <c r="DW225" s="340">
        <f t="array" ref="DW225">SUMPRODUCT(--(MOD(COLUMN($BO225:$DV225),5)=MOD(COLUMN($BO225),5)),$BO225:$DV225)</f>
        <v/>
      </c>
      <c r="DX225" s="341">
        <f>DW225*$J225</f>
        <v/>
      </c>
      <c r="DY225" s="340">
        <f t="array" ref="DY225">SUMPRODUCT(--(MOD(COLUMN($BO225:$DV225),5)=MOD(COLUMN($BP225),5)),$BO225:$DV225)</f>
        <v/>
      </c>
      <c r="DZ225" s="341">
        <f>DY225*$J225</f>
        <v/>
      </c>
      <c r="EA225" s="340">
        <f t="array" ref="EA225">SUMPRODUCT(--(MOD(COLUMN($BO225:$DV225),5)=MOD(COLUMN($BQ225),5)),$BO225:$DV225)</f>
        <v/>
      </c>
      <c r="EB225" s="341">
        <f>EA225*$J225</f>
        <v/>
      </c>
      <c r="EC225" s="340">
        <f t="array" ref="EC225">SUMPRODUCT(--(MOD(COLUMN($BO225:$DV225),5)=MOD(COLUMN($BR225),5)),$BO225:$DV225)</f>
        <v/>
      </c>
      <c r="ED225" s="341">
        <f>EC225*$J225</f>
        <v/>
      </c>
      <c r="EE225" s="39" t="n"/>
      <c r="EF225" s="39" t="n"/>
      <c r="EG225" s="39" t="n"/>
      <c r="EH225" s="39" t="n"/>
      <c r="EI225" s="39" t="n"/>
      <c r="EJ225" s="39" t="n"/>
      <c r="EK225" s="39" t="n">
        <v>0</v>
      </c>
      <c r="EL225" s="155" t="inlineStr">
        <is>
          <t>перевод на ТСР</t>
        </is>
      </c>
      <c r="EM225" s="39" t="n"/>
      <c r="EN225" s="39" t="n"/>
      <c r="EO225" s="39" t="n"/>
      <c r="EP225" s="39" t="n"/>
      <c r="EQ225" s="204" t="n"/>
      <c r="ER225" s="39" t="n"/>
      <c r="ES225" s="39" t="n"/>
      <c r="ET225" s="39" t="n"/>
      <c r="EU225" s="204" t="n"/>
      <c r="EV225" s="39" t="n"/>
      <c r="EW225" s="39" t="n"/>
      <c r="EX225" s="39" t="n"/>
      <c r="EY225" s="200" t="n"/>
      <c r="EZ225" s="39" t="n"/>
      <c r="FA225" s="39" t="n"/>
      <c r="FB225" s="39" t="n"/>
      <c r="FC225" s="204" t="n"/>
      <c r="FD225" s="39" t="n"/>
      <c r="FE225" s="39" t="n"/>
      <c r="FF225" s="39" t="n"/>
      <c r="FG225" s="204" t="n"/>
      <c r="FH225" s="39" t="n"/>
      <c r="FI225" s="39" t="n"/>
      <c r="FJ225" s="39" t="n"/>
      <c r="FK225" s="200" t="n"/>
      <c r="FL225" s="39" t="n"/>
      <c r="FM225" s="39" t="n"/>
      <c r="FN225" s="39" t="n"/>
      <c r="FO225" s="39" t="n"/>
      <c r="FP225" s="39" t="n"/>
      <c r="FQ225" s="39" t="n"/>
      <c r="FR225" s="39" t="n"/>
      <c r="FS225" s="39" t="n"/>
      <c r="FT225" s="39" t="n"/>
      <c r="FU225" s="39" t="n"/>
      <c r="FV225" s="39" t="n"/>
      <c r="FW225" s="200" t="n"/>
      <c r="FX225" s="39" t="n"/>
      <c r="FY225" s="39" t="n"/>
      <c r="FZ225" s="39" t="n"/>
      <c r="GA225" s="340">
        <f t="array" ref="GA225">SUMPRODUCT(--(MOD(COLUMN($EE225:$FZ225),4)=MOD(COLUMN($EE225),4)),$EE225:$FZ225)</f>
        <v/>
      </c>
      <c r="GB225" s="341">
        <f>GA225*$J225</f>
        <v/>
      </c>
      <c r="GC225" s="340">
        <f t="array" ref="GC225">SUMPRODUCT(--(MOD(COLUMN($EE225:$FZ225),4)=MOD(COLUMN($EF225),4)),$EE225:$FZ225)</f>
        <v/>
      </c>
      <c r="GD225" s="341">
        <f>GC225*$J225</f>
        <v/>
      </c>
      <c r="GE225" s="340">
        <f t="array" ref="GE225">SUMPRODUCT(--(MOD(COLUMN($EE225:$FZ225),4)=MOD(COLUMN($EG225),4)),$EE225:$FZ225)</f>
        <v/>
      </c>
      <c r="GF225" s="341">
        <f>GE225*$J225</f>
        <v/>
      </c>
      <c r="GG225" s="39" t="n"/>
      <c r="GH225" s="39" t="n"/>
      <c r="GI225" s="39" t="n"/>
      <c r="GJ225" s="39" t="n"/>
      <c r="GK225" s="39" t="n"/>
      <c r="GL225" s="39" t="n"/>
      <c r="GM225" s="39" t="n"/>
      <c r="GN225" s="39" t="n"/>
      <c r="GO225" s="39" t="n"/>
      <c r="GP225" s="39" t="n"/>
      <c r="GQ225" s="39" t="n"/>
      <c r="GR225" s="39" t="n"/>
      <c r="GS225" s="39" t="n"/>
      <c r="GT225" s="39" t="n"/>
      <c r="GU225" s="39" t="n"/>
      <c r="GV225" s="39" t="n"/>
      <c r="GW225" s="39" t="n"/>
      <c r="GX225" s="39" t="n"/>
      <c r="GY225" s="39" t="n"/>
      <c r="GZ225" s="39" t="n"/>
      <c r="HA225" s="39" t="n"/>
      <c r="HB225" s="39" t="n"/>
      <c r="HC225" s="39" t="n"/>
      <c r="HD225" s="39" t="n"/>
      <c r="HE225" s="39" t="n"/>
      <c r="HF225" s="39" t="n"/>
      <c r="HG225" s="39" t="n"/>
      <c r="HH225" s="39" t="n"/>
      <c r="HI225" s="39" t="n"/>
      <c r="HJ225" s="39" t="n"/>
      <c r="HK225" s="39" t="n"/>
      <c r="HL225" s="39" t="n"/>
      <c r="HM225" s="39" t="n"/>
      <c r="HN225" s="39" t="n"/>
      <c r="HO225" s="39" t="n"/>
      <c r="HP225" s="39" t="n"/>
      <c r="HQ225" s="39" t="n"/>
      <c r="HR225" s="39" t="n"/>
      <c r="HS225" s="39" t="n"/>
      <c r="HT225" s="39" t="n"/>
      <c r="HU225" s="39" t="n"/>
      <c r="HV225" s="39" t="n"/>
      <c r="HW225" s="39" t="n"/>
      <c r="HX225" s="39" t="n"/>
      <c r="HY225" s="39" t="n"/>
      <c r="HZ225" s="39" t="n"/>
      <c r="IA225" s="39" t="n"/>
      <c r="IB225" s="39" t="n"/>
      <c r="IC225" s="340">
        <f t="array" ref="IC225">SUMPRODUCT(--(MOD(COLUMN($GG225:$IB225),4)=MOD(COLUMN($GG225),4)),$GG225:$IB225)</f>
        <v/>
      </c>
      <c r="ID225" s="341">
        <f>IC225*$J225</f>
        <v/>
      </c>
      <c r="IE225" s="340">
        <f t="array" ref="IE225">SUMPRODUCT(--(MOD(COLUMN($GG225:$IB225),4)=MOD(COLUMN($GH225),4)),$GG225:$IB225)</f>
        <v/>
      </c>
      <c r="IF225" s="341">
        <f>IE225*$J225</f>
        <v/>
      </c>
      <c r="IG225" s="340">
        <f t="array" ref="IG225">SUMPRODUCT(--(MOD(COLUMN($GG225:$IB225),4)=MOD(COLUMN($GI225),4)),$GG225:$IB225)</f>
        <v/>
      </c>
      <c r="IH225" s="341">
        <f>IG225*$J225</f>
        <v/>
      </c>
      <c r="II225" s="39" t="n"/>
      <c r="IJ225" s="39" t="n"/>
      <c r="IK225" s="39" t="n"/>
      <c r="IL225" s="39" t="n"/>
      <c r="IM225" s="39" t="n"/>
      <c r="IN225" s="39" t="n"/>
      <c r="IO225" s="39" t="n"/>
      <c r="IP225" s="39" t="n"/>
      <c r="IQ225" s="39" t="n"/>
      <c r="IR225" s="39" t="n"/>
      <c r="IS225" s="39" t="n"/>
      <c r="IT225" s="39" t="n"/>
      <c r="IU225" s="39" t="n"/>
      <c r="IV225" s="39" t="n"/>
      <c r="IW225" s="39" t="n"/>
      <c r="IX225" s="39" t="n"/>
      <c r="IY225" s="39" t="n"/>
      <c r="IZ225" s="39" t="n"/>
      <c r="JA225" s="39" t="n"/>
      <c r="JB225" s="39" t="n"/>
      <c r="JC225" s="39" t="n"/>
      <c r="JD225" s="39" t="n"/>
      <c r="JE225" s="39" t="n"/>
      <c r="JF225" s="39" t="n"/>
      <c r="JG225" s="39" t="n"/>
      <c r="JH225" s="39" t="n"/>
      <c r="JI225" s="39" t="n"/>
      <c r="JJ225" s="39" t="n"/>
      <c r="JK225" s="39" t="n"/>
      <c r="JL225" s="39" t="n"/>
      <c r="JM225" s="39" t="n"/>
      <c r="JN225" s="39" t="n"/>
      <c r="JO225" s="39" t="n"/>
      <c r="JP225" s="39" t="n"/>
      <c r="JQ225" s="39" t="n"/>
      <c r="JR225" s="39" t="n"/>
      <c r="JS225" s="39" t="n"/>
      <c r="JT225" s="39" t="n"/>
      <c r="JU225" s="39" t="n"/>
      <c r="JV225" s="39" t="n"/>
      <c r="JW225" s="39" t="n"/>
      <c r="JX225" s="39" t="n"/>
      <c r="JY225" s="39" t="n"/>
      <c r="JZ225" s="39" t="n"/>
      <c r="KA225" s="39" t="n"/>
      <c r="KB225" s="39" t="n"/>
      <c r="KC225" s="39" t="n"/>
      <c r="KD225" s="39" t="n"/>
      <c r="KE225" s="340">
        <f t="array" ref="KE225">SUMPRODUCT(--(MOD(COLUMN($II225:$KD225),4)=MOD(COLUMN($II225),4)),$II225:$KD225)</f>
        <v/>
      </c>
      <c r="KF225" s="341">
        <f>KE225*$J225</f>
        <v/>
      </c>
      <c r="KG225" s="340">
        <f t="array" ref="KG225">SUMPRODUCT(--(MOD(COLUMN($II225:$KD225),4)=MOD(COLUMN($IJ225),4)),$II225:$KD225)</f>
        <v/>
      </c>
      <c r="KH225" s="341">
        <f>KG225*$J225</f>
        <v/>
      </c>
      <c r="KI225" s="340">
        <f t="array" ref="KI225">SUMPRODUCT(--(MOD(COLUMN($II225:$KD225),4)=MOD(COLUMN($IK225),4)),$II225:$KD225)</f>
        <v/>
      </c>
      <c r="KJ225" s="385">
        <f>KI225*$J225</f>
        <v/>
      </c>
      <c r="KK225" s="80" t="n"/>
      <c r="KL225" s="80" t="n"/>
      <c r="KM225" s="80" t="n"/>
      <c r="KN225" s="51" t="n"/>
      <c r="KO225" s="285" t="n"/>
    </row>
    <row r="226" outlineLevel="1" ht="57.6" customFormat="1" customHeight="1" s="68">
      <c r="A226" s="347" t="n"/>
      <c r="B226" s="347" t="n"/>
      <c r="C226" s="347" t="n"/>
      <c r="D226" s="347" t="n"/>
      <c r="E226" s="15" t="n">
        <v>19</v>
      </c>
      <c r="F226" s="15" t="n">
        <v>1</v>
      </c>
      <c r="G226" s="33" t="n">
        <v>4460087000</v>
      </c>
      <c r="H226" s="34" t="inlineStr">
        <is>
          <t>Штекер ABS со спиральным кабелем по типу ISO 7638</t>
        </is>
      </c>
      <c r="I226" s="337" t="n"/>
      <c r="J226" s="337">
        <f>6000/1.2/A2</f>
        <v/>
      </c>
      <c r="K226" s="337" t="n">
        <v>6000</v>
      </c>
      <c r="L226" s="337" t="inlineStr">
        <is>
          <t>RUB</t>
        </is>
      </c>
      <c r="M226" s="39" t="n"/>
      <c r="N226" s="39" t="n"/>
      <c r="O226" s="39" t="n"/>
      <c r="P226" s="39" t="n"/>
      <c r="Q226" s="39" t="n"/>
      <c r="R226" s="39" t="n"/>
      <c r="S226" s="39" t="n"/>
      <c r="T226" s="39" t="n"/>
      <c r="U226" s="39" t="n"/>
      <c r="V226" s="39" t="n"/>
      <c r="W226" s="39" t="n"/>
      <c r="X226" s="39" t="n"/>
      <c r="Y226" s="39" t="n"/>
      <c r="Z226" s="39" t="n"/>
      <c r="AA226" s="39" t="n"/>
      <c r="AB226" s="39" t="n"/>
      <c r="AC226" s="39" t="n"/>
      <c r="AD226" s="39" t="n"/>
      <c r="AE226" s="39" t="n"/>
      <c r="AF226" s="39" t="n"/>
      <c r="AG226" s="39" t="n"/>
      <c r="AH226" s="39" t="n"/>
      <c r="AI226" s="39" t="n"/>
      <c r="AJ226" s="39" t="n"/>
      <c r="AK226" s="39" t="n"/>
      <c r="AL226" s="39" t="n"/>
      <c r="AM226" s="39" t="n"/>
      <c r="AN226" s="39" t="n"/>
      <c r="AO226" s="39" t="n"/>
      <c r="AP226" s="39" t="n"/>
      <c r="AQ226" s="39" t="n"/>
      <c r="AR226" s="39" t="n"/>
      <c r="AS226" s="39" t="n"/>
      <c r="AT226" s="39" t="n"/>
      <c r="AU226" s="39" t="n"/>
      <c r="AV226" s="39" t="n"/>
      <c r="AW226" s="39" t="n"/>
      <c r="AX226" s="39" t="n"/>
      <c r="AY226" s="39" t="n"/>
      <c r="AZ226" s="16" t="n"/>
      <c r="BA226" s="39" t="n"/>
      <c r="BB226" s="39" t="n"/>
      <c r="BC226" s="158" t="n"/>
      <c r="BD226" s="39" t="n"/>
      <c r="BE226" s="39" t="n"/>
      <c r="BF226" s="39" t="n"/>
      <c r="BG226" s="159" t="n"/>
      <c r="BH226" s="308" t="n"/>
      <c r="BI226" s="340" t="n"/>
      <c r="BJ226" s="341" t="n"/>
      <c r="BK226" s="340" t="n"/>
      <c r="BL226" s="341" t="n"/>
      <c r="BM226" s="340" t="n"/>
      <c r="BN226" s="341" t="n"/>
      <c r="BO226" s="39" t="n"/>
      <c r="BP226" s="39" t="n"/>
      <c r="BQ226" s="39" t="n"/>
      <c r="BR226" s="39" t="n"/>
      <c r="BS226" s="308" t="n"/>
      <c r="BT226" s="39" t="n"/>
      <c r="BU226" s="39" t="n"/>
      <c r="BV226" s="39" t="n"/>
      <c r="BW226" s="39" t="n"/>
      <c r="BX226" s="39" t="n"/>
      <c r="BY226" s="39" t="n"/>
      <c r="BZ226" s="39" t="n"/>
      <c r="CA226" s="39" t="n"/>
      <c r="CB226" s="39" t="n"/>
      <c r="CC226" s="39" t="n"/>
      <c r="CD226" s="39" t="n"/>
      <c r="CE226" s="39" t="n"/>
      <c r="CF226" s="39" t="n"/>
      <c r="CG226" s="39" t="n"/>
      <c r="CH226" s="39" t="n"/>
      <c r="CI226" s="39" t="n"/>
      <c r="CJ226" s="39" t="n"/>
      <c r="CK226" s="39" t="n"/>
      <c r="CL226" s="39" t="n"/>
      <c r="CM226" s="309" t="n"/>
      <c r="CN226" s="39" t="n"/>
      <c r="CO226" s="39" t="n"/>
      <c r="CP226" s="39" t="n"/>
      <c r="CQ226" s="39" t="n"/>
      <c r="CR226" s="309" t="n"/>
      <c r="CS226" s="39" t="n"/>
      <c r="CT226" s="39" t="n"/>
      <c r="CU226" s="39" t="n"/>
      <c r="CV226" s="39" t="n"/>
      <c r="CW226" s="39" t="n"/>
      <c r="CX226" s="39" t="n"/>
      <c r="CY226" s="39" t="n"/>
      <c r="CZ226" s="39" t="n"/>
      <c r="DA226" s="39" t="n">
        <v>0</v>
      </c>
      <c r="DB226" s="39" t="inlineStr">
        <is>
          <t>Новые артикулы. Клиент сначала  запросил, но в последний момент отказался. Но всеравно предлагаю оставить. Если продолжат с нами дальше сотрудничать, то в комплект им данные кабели нужны будут</t>
        </is>
      </c>
      <c r="DC226" s="39" t="n"/>
      <c r="DD226" s="39" t="n"/>
      <c r="DE226" s="39" t="n"/>
      <c r="DF226" s="39" t="n"/>
      <c r="DG226" s="39" t="n"/>
      <c r="DH226" s="39" t="n"/>
      <c r="DI226" s="39" t="n"/>
      <c r="DJ226" s="39" t="n"/>
      <c r="DK226" s="39" t="n">
        <v>0</v>
      </c>
      <c r="DL226" s="39" t="n"/>
      <c r="DM226" s="39" t="n"/>
      <c r="DN226" s="39" t="n"/>
      <c r="DO226" s="39" t="n"/>
      <c r="DP226" s="39" t="n">
        <v>0</v>
      </c>
      <c r="DQ226" s="39" t="n"/>
      <c r="DR226" s="39" t="n"/>
      <c r="DS226" s="39" t="n"/>
      <c r="DT226" s="39" t="n"/>
      <c r="DU226" s="39" t="n">
        <v>0</v>
      </c>
      <c r="DV226" s="39" t="n"/>
      <c r="DW226" s="340">
        <f t="array" ref="DW226">SUMPRODUCT(--(MOD(COLUMN($BO226:$DV226),5)=MOD(COLUMN($BO226),5)),$BO226:$DV226)</f>
        <v/>
      </c>
      <c r="DX226" s="341">
        <f>DW226*$J226</f>
        <v/>
      </c>
      <c r="DY226" s="340">
        <f t="array" ref="DY226">SUMPRODUCT(--(MOD(COLUMN($BO226:$DV226),5)=MOD(COLUMN($BP226),5)),$BO226:$DV226)</f>
        <v/>
      </c>
      <c r="DZ226" s="341">
        <f>DY226*$J226</f>
        <v/>
      </c>
      <c r="EA226" s="340">
        <f t="array" ref="EA226">SUMPRODUCT(--(MOD(COLUMN($BO226:$DV226),5)=MOD(COLUMN($BQ226),5)),$BO226:$DV226)</f>
        <v/>
      </c>
      <c r="EB226" s="341">
        <f>EA226*$J226</f>
        <v/>
      </c>
      <c r="EC226" s="340">
        <f t="array" ref="EC226">SUMPRODUCT(--(MOD(COLUMN($BO226:$DV226),5)=MOD(COLUMN($BR226),5)),$BO226:$DV226)</f>
        <v/>
      </c>
      <c r="ED226" s="341">
        <f>EC226*$J226</f>
        <v/>
      </c>
      <c r="EE226" s="39" t="n"/>
      <c r="EF226" s="39" t="n"/>
      <c r="EG226" s="39" t="n"/>
      <c r="EH226" s="39" t="n"/>
      <c r="EI226" s="39" t="n"/>
      <c r="EJ226" s="39" t="n"/>
      <c r="EK226" s="39" t="n">
        <v>0</v>
      </c>
      <c r="EL226" s="39" t="n"/>
      <c r="EM226" s="39" t="n"/>
      <c r="EN226" s="39" t="n"/>
      <c r="EO226" s="39" t="n"/>
      <c r="EP226" s="39" t="n"/>
      <c r="EQ226" s="204" t="n"/>
      <c r="ER226" s="39" t="n"/>
      <c r="ES226" s="39" t="n"/>
      <c r="ET226" s="39" t="n"/>
      <c r="EU226" s="204" t="n"/>
      <c r="EV226" s="39" t="n"/>
      <c r="EW226" s="39" t="n"/>
      <c r="EX226" s="39" t="n"/>
      <c r="EY226" s="200" t="n"/>
      <c r="EZ226" s="39" t="n"/>
      <c r="FA226" s="39" t="n"/>
      <c r="FB226" s="39" t="n"/>
      <c r="FC226" s="204" t="n"/>
      <c r="FD226" s="39" t="n"/>
      <c r="FE226" s="39" t="n"/>
      <c r="FF226" s="39" t="n"/>
      <c r="FG226" s="204" t="n"/>
      <c r="FH226" s="39" t="n"/>
      <c r="FI226" s="39" t="n"/>
      <c r="FJ226" s="39" t="n"/>
      <c r="FK226" s="200" t="n"/>
      <c r="FL226" s="39" t="n"/>
      <c r="FM226" s="39" t="n"/>
      <c r="FN226" s="39" t="n"/>
      <c r="FO226" s="39" t="n"/>
      <c r="FP226" s="39" t="n"/>
      <c r="FQ226" s="39" t="n"/>
      <c r="FR226" s="39" t="n"/>
      <c r="FS226" s="39" t="n"/>
      <c r="FT226" s="39" t="n"/>
      <c r="FU226" s="39" t="n"/>
      <c r="FV226" s="39" t="n"/>
      <c r="FW226" s="200" t="n"/>
      <c r="FX226" s="39" t="n"/>
      <c r="FY226" s="39" t="n"/>
      <c r="FZ226" s="39" t="n"/>
      <c r="GA226" s="340">
        <f t="array" ref="GA226">SUMPRODUCT(--(MOD(COLUMN($EE226:$FZ226),4)=MOD(COLUMN($EE226),4)),$EE226:$FZ226)</f>
        <v/>
      </c>
      <c r="GB226" s="341">
        <f>GA226*$J226</f>
        <v/>
      </c>
      <c r="GC226" s="340">
        <f t="array" ref="GC226">SUMPRODUCT(--(MOD(COLUMN($EE226:$FZ226),4)=MOD(COLUMN($EF226),4)),$EE226:$FZ226)</f>
        <v/>
      </c>
      <c r="GD226" s="341">
        <f>GC226*$J226</f>
        <v/>
      </c>
      <c r="GE226" s="340">
        <f t="array" ref="GE226">SUMPRODUCT(--(MOD(COLUMN($EE226:$FZ226),4)=MOD(COLUMN($EG226),4)),$EE226:$FZ226)</f>
        <v/>
      </c>
      <c r="GF226" s="341">
        <f>GE226*$J226</f>
        <v/>
      </c>
      <c r="GG226" s="39" t="n"/>
      <c r="GH226" s="39" t="n"/>
      <c r="GI226" s="39" t="n"/>
      <c r="GJ226" s="39" t="n"/>
      <c r="GK226" s="39" t="n"/>
      <c r="GL226" s="39" t="n"/>
      <c r="GM226" s="39" t="n"/>
      <c r="GN226" s="39" t="n"/>
      <c r="GO226" s="39" t="n"/>
      <c r="GP226" s="39" t="n"/>
      <c r="GQ226" s="39" t="n"/>
      <c r="GR226" s="39" t="n"/>
      <c r="GS226" s="39" t="n"/>
      <c r="GT226" s="39" t="n"/>
      <c r="GU226" s="39" t="n"/>
      <c r="GV226" s="39" t="n"/>
      <c r="GW226" s="39" t="n"/>
      <c r="GX226" s="39" t="n"/>
      <c r="GY226" s="39" t="n"/>
      <c r="GZ226" s="39" t="n"/>
      <c r="HA226" s="39" t="n"/>
      <c r="HB226" s="39" t="n"/>
      <c r="HC226" s="39" t="n"/>
      <c r="HD226" s="39" t="n"/>
      <c r="HE226" s="39" t="n"/>
      <c r="HF226" s="39" t="n"/>
      <c r="HG226" s="39" t="n"/>
      <c r="HH226" s="39" t="n"/>
      <c r="HI226" s="39" t="n"/>
      <c r="HJ226" s="39" t="n"/>
      <c r="HK226" s="39" t="n"/>
      <c r="HL226" s="39" t="n"/>
      <c r="HM226" s="39" t="n"/>
      <c r="HN226" s="39" t="n"/>
      <c r="HO226" s="39" t="n"/>
      <c r="HP226" s="39" t="n"/>
      <c r="HQ226" s="39" t="n"/>
      <c r="HR226" s="39" t="n"/>
      <c r="HS226" s="39" t="n"/>
      <c r="HT226" s="39" t="n"/>
      <c r="HU226" s="39" t="n"/>
      <c r="HV226" s="39" t="n"/>
      <c r="HW226" s="39" t="n"/>
      <c r="HX226" s="39" t="n"/>
      <c r="HY226" s="39" t="n"/>
      <c r="HZ226" s="39" t="n"/>
      <c r="IA226" s="39" t="n"/>
      <c r="IB226" s="39" t="n"/>
      <c r="IC226" s="340">
        <f t="array" ref="IC226">SUMPRODUCT(--(MOD(COLUMN($GG226:$IB226),4)=MOD(COLUMN($GG226),4)),$GG226:$IB226)</f>
        <v/>
      </c>
      <c r="ID226" s="341">
        <f>IC226*$J226</f>
        <v/>
      </c>
      <c r="IE226" s="340">
        <f t="array" ref="IE226">SUMPRODUCT(--(MOD(COLUMN($GG226:$IB226),4)=MOD(COLUMN($GH226),4)),$GG226:$IB226)</f>
        <v/>
      </c>
      <c r="IF226" s="341">
        <f>IE226*$J226</f>
        <v/>
      </c>
      <c r="IG226" s="340">
        <f t="array" ref="IG226">SUMPRODUCT(--(MOD(COLUMN($GG226:$IB226),4)=MOD(COLUMN($GI226),4)),$GG226:$IB226)</f>
        <v/>
      </c>
      <c r="IH226" s="341">
        <f>IG226*$J226</f>
        <v/>
      </c>
      <c r="II226" s="39" t="n"/>
      <c r="IJ226" s="39" t="n"/>
      <c r="IK226" s="39" t="n"/>
      <c r="IL226" s="39" t="n"/>
      <c r="IM226" s="39" t="n"/>
      <c r="IN226" s="39" t="n"/>
      <c r="IO226" s="39" t="n"/>
      <c r="IP226" s="39" t="n"/>
      <c r="IQ226" s="39" t="n"/>
      <c r="IR226" s="39" t="n"/>
      <c r="IS226" s="39" t="n"/>
      <c r="IT226" s="39" t="n"/>
      <c r="IU226" s="39" t="n"/>
      <c r="IV226" s="39" t="n"/>
      <c r="IW226" s="39" t="n"/>
      <c r="IX226" s="39" t="n"/>
      <c r="IY226" s="39" t="n"/>
      <c r="IZ226" s="39" t="n"/>
      <c r="JA226" s="39" t="n"/>
      <c r="JB226" s="39" t="n"/>
      <c r="JC226" s="39" t="n"/>
      <c r="JD226" s="39" t="n"/>
      <c r="JE226" s="39" t="n"/>
      <c r="JF226" s="39" t="n"/>
      <c r="JG226" s="39" t="n"/>
      <c r="JH226" s="39" t="n"/>
      <c r="JI226" s="39" t="n"/>
      <c r="JJ226" s="39" t="n"/>
      <c r="JK226" s="39" t="n"/>
      <c r="JL226" s="39" t="n"/>
      <c r="JM226" s="39" t="n"/>
      <c r="JN226" s="39" t="n"/>
      <c r="JO226" s="39" t="n"/>
      <c r="JP226" s="39" t="n"/>
      <c r="JQ226" s="39" t="n"/>
      <c r="JR226" s="39" t="n"/>
      <c r="JS226" s="39" t="n"/>
      <c r="JT226" s="39" t="n"/>
      <c r="JU226" s="39" t="n"/>
      <c r="JV226" s="39" t="n"/>
      <c r="JW226" s="39" t="n"/>
      <c r="JX226" s="39" t="n"/>
      <c r="JY226" s="39" t="n"/>
      <c r="JZ226" s="39" t="n"/>
      <c r="KA226" s="39" t="n"/>
      <c r="KB226" s="39" t="n"/>
      <c r="KC226" s="39" t="n"/>
      <c r="KD226" s="39" t="n"/>
      <c r="KE226" s="340">
        <f t="array" ref="KE226">SUMPRODUCT(--(MOD(COLUMN($II226:$KD226),4)=MOD(COLUMN($II226),4)),$II226:$KD226)</f>
        <v/>
      </c>
      <c r="KF226" s="341">
        <f>KE226*$J226</f>
        <v/>
      </c>
      <c r="KG226" s="340">
        <f t="array" ref="KG226">SUMPRODUCT(--(MOD(COLUMN($II226:$KD226),4)=MOD(COLUMN($IJ226),4)),$II226:$KD226)</f>
        <v/>
      </c>
      <c r="KH226" s="341">
        <f>KG226*$J226</f>
        <v/>
      </c>
      <c r="KI226" s="340">
        <f t="array" ref="KI226">SUMPRODUCT(--(MOD(COLUMN($II226:$KD226),4)=MOD(COLUMN($IK226),4)),$II226:$KD226)</f>
        <v/>
      </c>
      <c r="KJ226" s="385">
        <f>KI226*$J226</f>
        <v/>
      </c>
      <c r="KK226" s="80" t="n"/>
      <c r="KL226" s="80" t="n"/>
      <c r="KM226" s="80" t="n"/>
      <c r="KN226" s="51" t="n">
        <v>1</v>
      </c>
      <c r="KO226" s="285" t="n"/>
    </row>
    <row r="227" outlineLevel="1" ht="57.6" customFormat="1" customHeight="1" s="68">
      <c r="A227" s="333" t="n"/>
      <c r="B227" s="333" t="n"/>
      <c r="C227" s="333" t="n"/>
      <c r="D227" s="333" t="n"/>
      <c r="E227" s="15" t="n">
        <v>20</v>
      </c>
      <c r="F227" s="15" t="n">
        <v>1</v>
      </c>
      <c r="G227" s="33" t="n">
        <v>4460087100</v>
      </c>
      <c r="H227" s="34" t="inlineStr">
        <is>
          <t>Штекер ABS со спиральным кабелем по типу ISO 12098</t>
        </is>
      </c>
      <c r="I227" s="337" t="n"/>
      <c r="J227" s="337">
        <f>7800/1.2/A2</f>
        <v/>
      </c>
      <c r="K227" s="337" t="n">
        <v>7800</v>
      </c>
      <c r="L227" s="337" t="inlineStr">
        <is>
          <t>RUB</t>
        </is>
      </c>
      <c r="M227" s="39" t="n"/>
      <c r="N227" s="39" t="n"/>
      <c r="O227" s="39" t="n"/>
      <c r="P227" s="39" t="n"/>
      <c r="Q227" s="39" t="n"/>
      <c r="R227" s="39" t="n"/>
      <c r="S227" s="39" t="n"/>
      <c r="T227" s="39" t="n"/>
      <c r="U227" s="39" t="n"/>
      <c r="V227" s="39" t="n"/>
      <c r="W227" s="39" t="n"/>
      <c r="X227" s="39" t="n"/>
      <c r="Y227" s="39" t="n"/>
      <c r="Z227" s="39" t="n"/>
      <c r="AA227" s="39" t="n"/>
      <c r="AB227" s="39" t="n"/>
      <c r="AC227" s="39" t="n"/>
      <c r="AD227" s="39" t="n"/>
      <c r="AE227" s="39" t="n"/>
      <c r="AF227" s="39" t="n"/>
      <c r="AG227" s="39" t="n"/>
      <c r="AH227" s="39" t="n"/>
      <c r="AI227" s="39" t="n"/>
      <c r="AJ227" s="39" t="n"/>
      <c r="AK227" s="39" t="n"/>
      <c r="AL227" s="39" t="n"/>
      <c r="AM227" s="39" t="n"/>
      <c r="AN227" s="39" t="n"/>
      <c r="AO227" s="39" t="n"/>
      <c r="AP227" s="39" t="n"/>
      <c r="AQ227" s="39" t="n"/>
      <c r="AR227" s="39" t="n"/>
      <c r="AS227" s="39" t="n"/>
      <c r="AT227" s="39" t="n"/>
      <c r="AU227" s="39" t="n"/>
      <c r="AV227" s="39" t="n"/>
      <c r="AW227" s="39" t="n"/>
      <c r="AX227" s="39" t="n"/>
      <c r="AY227" s="39" t="n"/>
      <c r="AZ227" s="16" t="n"/>
      <c r="BA227" s="39" t="n"/>
      <c r="BB227" s="39" t="n"/>
      <c r="BC227" s="158" t="n"/>
      <c r="BD227" s="39" t="n"/>
      <c r="BE227" s="39" t="n"/>
      <c r="BF227" s="39" t="n"/>
      <c r="BG227" s="159" t="n"/>
      <c r="BH227" s="308" t="n"/>
      <c r="BI227" s="340" t="n"/>
      <c r="BJ227" s="341" t="n"/>
      <c r="BK227" s="340" t="n"/>
      <c r="BL227" s="341" t="n"/>
      <c r="BM227" s="340" t="n"/>
      <c r="BN227" s="341" t="n"/>
      <c r="BO227" s="39" t="n"/>
      <c r="BP227" s="39" t="n"/>
      <c r="BQ227" s="39" t="n"/>
      <c r="BR227" s="39" t="n"/>
      <c r="BS227" s="308" t="n"/>
      <c r="BT227" s="39" t="n"/>
      <c r="BU227" s="39" t="n"/>
      <c r="BV227" s="39" t="n"/>
      <c r="BW227" s="39" t="n"/>
      <c r="BX227" s="39" t="n"/>
      <c r="BY227" s="39" t="n"/>
      <c r="BZ227" s="39" t="n"/>
      <c r="CA227" s="39" t="n"/>
      <c r="CB227" s="39" t="n"/>
      <c r="CC227" s="39" t="n"/>
      <c r="CD227" s="39" t="n"/>
      <c r="CE227" s="39" t="n"/>
      <c r="CF227" s="39" t="n"/>
      <c r="CG227" s="39" t="n"/>
      <c r="CH227" s="39" t="n"/>
      <c r="CI227" s="39" t="n"/>
      <c r="CJ227" s="39" t="n"/>
      <c r="CK227" s="39" t="n"/>
      <c r="CL227" s="39" t="n"/>
      <c r="CM227" s="309" t="n"/>
      <c r="CN227" s="39" t="n"/>
      <c r="CO227" s="39" t="n"/>
      <c r="CP227" s="39" t="n"/>
      <c r="CQ227" s="39" t="n"/>
      <c r="CR227" s="309" t="n"/>
      <c r="CS227" s="39" t="n"/>
      <c r="CT227" s="39" t="n"/>
      <c r="CU227" s="39" t="n"/>
      <c r="CV227" s="39" t="n"/>
      <c r="CW227" s="39" t="n"/>
      <c r="CX227" s="39" t="n"/>
      <c r="CY227" s="39" t="n"/>
      <c r="CZ227" s="39" t="n"/>
      <c r="DA227" s="3" t="n">
        <v>0</v>
      </c>
      <c r="DB227" s="333" t="n"/>
      <c r="DC227" s="39" t="n"/>
      <c r="DD227" s="39" t="n"/>
      <c r="DE227" s="39" t="n"/>
      <c r="DF227" s="39" t="n"/>
      <c r="DG227" s="39" t="n"/>
      <c r="DH227" s="39" t="n"/>
      <c r="DI227" s="39" t="n"/>
      <c r="DJ227" s="39" t="n"/>
      <c r="DK227" s="39" t="n">
        <v>0</v>
      </c>
      <c r="DL227" s="39" t="n"/>
      <c r="DM227" s="39" t="n"/>
      <c r="DN227" s="39" t="n"/>
      <c r="DO227" s="39" t="n"/>
      <c r="DP227" s="39" t="n">
        <v>0</v>
      </c>
      <c r="DQ227" s="39" t="n"/>
      <c r="DR227" s="39" t="n"/>
      <c r="DS227" s="39" t="n"/>
      <c r="DT227" s="39" t="n"/>
      <c r="DU227" s="39" t="n">
        <v>0</v>
      </c>
      <c r="DV227" s="39" t="n"/>
      <c r="DW227" s="340">
        <f t="array" ref="DW227">SUMPRODUCT(--(MOD(COLUMN($BO227:$DV227),5)=MOD(COLUMN($BO227),5)),$BO227:$DV227)</f>
        <v/>
      </c>
      <c r="DX227" s="341">
        <f>DW227*$J227</f>
        <v/>
      </c>
      <c r="DY227" s="340">
        <f t="array" ref="DY227">SUMPRODUCT(--(MOD(COLUMN($BO227:$DV227),5)=MOD(COLUMN($BP227),5)),$BO227:$DV227)</f>
        <v/>
      </c>
      <c r="DZ227" s="341">
        <f>DY227*$J227</f>
        <v/>
      </c>
      <c r="EA227" s="340">
        <f t="array" ref="EA227">SUMPRODUCT(--(MOD(COLUMN($BO227:$DV227),5)=MOD(COLUMN($BQ227),5)),$BO227:$DV227)</f>
        <v/>
      </c>
      <c r="EB227" s="341">
        <f>EA227*$J227</f>
        <v/>
      </c>
      <c r="EC227" s="340">
        <f t="array" ref="EC227">SUMPRODUCT(--(MOD(COLUMN($BO227:$DV227),5)=MOD(COLUMN($BR227),5)),$BO227:$DV227)</f>
        <v/>
      </c>
      <c r="ED227" s="341">
        <f>EC227*$J227</f>
        <v/>
      </c>
      <c r="EE227" s="39" t="n"/>
      <c r="EF227" s="39" t="n"/>
      <c r="EG227" s="39" t="n"/>
      <c r="EH227" s="39" t="n"/>
      <c r="EI227" s="39" t="n"/>
      <c r="EJ227" s="39" t="n"/>
      <c r="EK227" s="39" t="n">
        <v>0</v>
      </c>
      <c r="EL227" s="39" t="n"/>
      <c r="EM227" s="39" t="n"/>
      <c r="EN227" s="39" t="n"/>
      <c r="EO227" s="39" t="n"/>
      <c r="EP227" s="39" t="n"/>
      <c r="EQ227" s="204" t="n"/>
      <c r="ER227" s="39" t="n"/>
      <c r="ES227" s="39" t="n"/>
      <c r="ET227" s="39" t="n"/>
      <c r="EU227" s="204" t="n"/>
      <c r="EV227" s="39" t="n"/>
      <c r="EW227" s="39" t="n"/>
      <c r="EX227" s="39" t="n"/>
      <c r="EY227" s="200" t="n"/>
      <c r="EZ227" s="39" t="n"/>
      <c r="FA227" s="39" t="n"/>
      <c r="FB227" s="39" t="n"/>
      <c r="FC227" s="204" t="n"/>
      <c r="FD227" s="39" t="n"/>
      <c r="FE227" s="39" t="n"/>
      <c r="FF227" s="39" t="n"/>
      <c r="FG227" s="204" t="n"/>
      <c r="FH227" s="39" t="n"/>
      <c r="FI227" s="39" t="n"/>
      <c r="FJ227" s="39" t="n"/>
      <c r="FK227" s="200" t="n"/>
      <c r="FL227" s="39" t="n"/>
      <c r="FM227" s="39" t="n"/>
      <c r="FN227" s="39" t="n"/>
      <c r="FO227" s="39" t="n"/>
      <c r="FP227" s="39" t="n"/>
      <c r="FQ227" s="39" t="n"/>
      <c r="FR227" s="39" t="n"/>
      <c r="FS227" s="39" t="n"/>
      <c r="FT227" s="39" t="n"/>
      <c r="FU227" s="39" t="n"/>
      <c r="FV227" s="39" t="n"/>
      <c r="FW227" s="200" t="n"/>
      <c r="FX227" s="39" t="n"/>
      <c r="FY227" s="39" t="n"/>
      <c r="FZ227" s="39" t="n"/>
      <c r="GA227" s="340">
        <f t="array" ref="GA227">SUMPRODUCT(--(MOD(COLUMN($EE227:$FZ227),4)=MOD(COLUMN($EE227),4)),$EE227:$FZ227)</f>
        <v/>
      </c>
      <c r="GB227" s="341">
        <f>GA227*$J227</f>
        <v/>
      </c>
      <c r="GC227" s="340">
        <f t="array" ref="GC227">SUMPRODUCT(--(MOD(COLUMN($EE227:$FZ227),4)=MOD(COLUMN($EF227),4)),$EE227:$FZ227)</f>
        <v/>
      </c>
      <c r="GD227" s="341">
        <f>GC227*$J227</f>
        <v/>
      </c>
      <c r="GE227" s="340">
        <f t="array" ref="GE227">SUMPRODUCT(--(MOD(COLUMN($EE227:$FZ227),4)=MOD(COLUMN($EG227),4)),$EE227:$FZ227)</f>
        <v/>
      </c>
      <c r="GF227" s="341">
        <f>GE227*$J227</f>
        <v/>
      </c>
      <c r="GG227" s="39" t="n"/>
      <c r="GH227" s="39" t="n"/>
      <c r="GI227" s="39" t="n"/>
      <c r="GJ227" s="39" t="n"/>
      <c r="GK227" s="39" t="n"/>
      <c r="GL227" s="39" t="n"/>
      <c r="GM227" s="39" t="n"/>
      <c r="GN227" s="39" t="n"/>
      <c r="GO227" s="39" t="n"/>
      <c r="GP227" s="39" t="n"/>
      <c r="GQ227" s="39" t="n"/>
      <c r="GR227" s="39" t="n"/>
      <c r="GS227" s="39" t="n"/>
      <c r="GT227" s="39" t="n"/>
      <c r="GU227" s="39" t="n"/>
      <c r="GV227" s="39" t="n"/>
      <c r="GW227" s="39" t="n"/>
      <c r="GX227" s="39" t="n"/>
      <c r="GY227" s="39" t="n"/>
      <c r="GZ227" s="39" t="n"/>
      <c r="HA227" s="39" t="n"/>
      <c r="HB227" s="39" t="n"/>
      <c r="HC227" s="39" t="n"/>
      <c r="HD227" s="39" t="n"/>
      <c r="HE227" s="39" t="n"/>
      <c r="HF227" s="39" t="n"/>
      <c r="HG227" s="39" t="n"/>
      <c r="HH227" s="39" t="n"/>
      <c r="HI227" s="39" t="n"/>
      <c r="HJ227" s="39" t="n"/>
      <c r="HK227" s="39" t="n"/>
      <c r="HL227" s="39" t="n"/>
      <c r="HM227" s="39" t="n"/>
      <c r="HN227" s="39" t="n"/>
      <c r="HO227" s="39" t="n"/>
      <c r="HP227" s="39" t="n"/>
      <c r="HQ227" s="39" t="n"/>
      <c r="HR227" s="39" t="n"/>
      <c r="HS227" s="39" t="n"/>
      <c r="HT227" s="39" t="n"/>
      <c r="HU227" s="39" t="n"/>
      <c r="HV227" s="39" t="n"/>
      <c r="HW227" s="39" t="n"/>
      <c r="HX227" s="39" t="n"/>
      <c r="HY227" s="39" t="n"/>
      <c r="HZ227" s="39" t="n"/>
      <c r="IA227" s="39" t="n"/>
      <c r="IB227" s="39" t="n"/>
      <c r="IC227" s="340">
        <f t="array" ref="IC227">SUMPRODUCT(--(MOD(COLUMN($GG227:$IB227),4)=MOD(COLUMN($GG227),4)),$GG227:$IB227)</f>
        <v/>
      </c>
      <c r="ID227" s="341">
        <f>IC227*$J227</f>
        <v/>
      </c>
      <c r="IE227" s="340">
        <f t="array" ref="IE227">SUMPRODUCT(--(MOD(COLUMN($GG227:$IB227),4)=MOD(COLUMN($GH227),4)),$GG227:$IB227)</f>
        <v/>
      </c>
      <c r="IF227" s="341">
        <f>IE227*$J227</f>
        <v/>
      </c>
      <c r="IG227" s="340">
        <f t="array" ref="IG227">SUMPRODUCT(--(MOD(COLUMN($GG227:$IB227),4)=MOD(COLUMN($GI227),4)),$GG227:$IB227)</f>
        <v/>
      </c>
      <c r="IH227" s="341">
        <f>IG227*$J227</f>
        <v/>
      </c>
      <c r="II227" s="39" t="n"/>
      <c r="IJ227" s="39" t="n"/>
      <c r="IK227" s="39" t="n"/>
      <c r="IL227" s="39" t="n"/>
      <c r="IM227" s="39" t="n"/>
      <c r="IN227" s="39" t="n"/>
      <c r="IO227" s="39" t="n"/>
      <c r="IP227" s="39" t="n"/>
      <c r="IQ227" s="39" t="n"/>
      <c r="IR227" s="39" t="n"/>
      <c r="IS227" s="39" t="n"/>
      <c r="IT227" s="39" t="n"/>
      <c r="IU227" s="39" t="n"/>
      <c r="IV227" s="39" t="n"/>
      <c r="IW227" s="39" t="n"/>
      <c r="IX227" s="39" t="n"/>
      <c r="IY227" s="39" t="n"/>
      <c r="IZ227" s="39" t="n"/>
      <c r="JA227" s="39" t="n"/>
      <c r="JB227" s="39" t="n"/>
      <c r="JC227" s="39" t="n"/>
      <c r="JD227" s="39" t="n"/>
      <c r="JE227" s="39" t="n"/>
      <c r="JF227" s="39" t="n"/>
      <c r="JG227" s="39" t="n"/>
      <c r="JH227" s="39" t="n"/>
      <c r="JI227" s="39" t="n"/>
      <c r="JJ227" s="39" t="n"/>
      <c r="JK227" s="39" t="n"/>
      <c r="JL227" s="39" t="n"/>
      <c r="JM227" s="39" t="n"/>
      <c r="JN227" s="39" t="n"/>
      <c r="JO227" s="39" t="n"/>
      <c r="JP227" s="39" t="n"/>
      <c r="JQ227" s="39" t="n"/>
      <c r="JR227" s="39" t="n"/>
      <c r="JS227" s="39" t="n"/>
      <c r="JT227" s="39" t="n"/>
      <c r="JU227" s="39" t="n"/>
      <c r="JV227" s="39" t="n"/>
      <c r="JW227" s="39" t="n"/>
      <c r="JX227" s="39" t="n"/>
      <c r="JY227" s="39" t="n"/>
      <c r="JZ227" s="39" t="n"/>
      <c r="KA227" s="39" t="n"/>
      <c r="KB227" s="39" t="n"/>
      <c r="KC227" s="39" t="n"/>
      <c r="KD227" s="39" t="n"/>
      <c r="KE227" s="340">
        <f t="array" ref="KE227">SUMPRODUCT(--(MOD(COLUMN($II227:$KD227),4)=MOD(COLUMN($II227),4)),$II227:$KD227)</f>
        <v/>
      </c>
      <c r="KF227" s="341">
        <f>KE227*$J227</f>
        <v/>
      </c>
      <c r="KG227" s="340">
        <f t="array" ref="KG227">SUMPRODUCT(--(MOD(COLUMN($II227:$KD227),4)=MOD(COLUMN($IJ227),4)),$II227:$KD227)</f>
        <v/>
      </c>
      <c r="KH227" s="341">
        <f>KG227*$J227</f>
        <v/>
      </c>
      <c r="KI227" s="340">
        <f t="array" ref="KI227">SUMPRODUCT(--(MOD(COLUMN($II227:$KD227),4)=MOD(COLUMN($IK227),4)),$II227:$KD227)</f>
        <v/>
      </c>
      <c r="KJ227" s="385">
        <f>KI227*$J227</f>
        <v/>
      </c>
      <c r="KK227" s="80" t="n"/>
      <c r="KL227" s="80" t="n"/>
      <c r="KM227" s="80" t="n"/>
      <c r="KN227" s="51" t="n">
        <v>1</v>
      </c>
      <c r="KO227" s="285" t="n"/>
    </row>
    <row r="228" outlineLevel="1" customFormat="1" s="68">
      <c r="A228" s="252" t="n"/>
      <c r="B228" s="39" t="n"/>
      <c r="C228" s="253" t="n"/>
      <c r="D228" s="253" t="n"/>
      <c r="E228" s="252" t="n"/>
      <c r="F228" s="252" t="n"/>
      <c r="G228" s="165" t="n"/>
      <c r="H228" s="166" t="inlineStr">
        <is>
          <t>Итого</t>
        </is>
      </c>
      <c r="I228" s="386" t="n"/>
      <c r="J228" s="387" t="n"/>
      <c r="K228" s="387" t="n"/>
      <c r="L228" s="387" t="n"/>
      <c r="M228" s="253" t="n"/>
      <c r="N228" s="253" t="n"/>
      <c r="O228" s="253" t="n"/>
      <c r="P228" s="253" t="n"/>
      <c r="Q228" s="253" t="n"/>
      <c r="R228" s="253" t="n"/>
      <c r="S228" s="253" t="n"/>
      <c r="T228" s="253" t="n"/>
      <c r="U228" s="253" t="n"/>
      <c r="V228" s="253" t="n"/>
      <c r="W228" s="253" t="n"/>
      <c r="X228" s="253" t="n"/>
      <c r="Y228" s="253" t="n"/>
      <c r="Z228" s="253" t="n"/>
      <c r="AA228" s="39" t="n"/>
      <c r="AB228" s="253" t="n"/>
      <c r="AC228" s="253" t="n"/>
      <c r="AD228" s="253" t="n"/>
      <c r="AE228" s="253" t="n"/>
      <c r="AF228" s="253" t="n"/>
      <c r="AG228" s="253" t="n"/>
      <c r="AH228" s="253" t="n"/>
      <c r="AI228" s="39" t="n"/>
      <c r="AJ228" s="253" t="n"/>
      <c r="AK228" s="253" t="n"/>
      <c r="AL228" s="253" t="n"/>
      <c r="AM228" s="39" t="n"/>
      <c r="AN228" s="253" t="n"/>
      <c r="AO228" s="253" t="n"/>
      <c r="AP228" s="253" t="n"/>
      <c r="AQ228" s="39" t="n"/>
      <c r="AR228" s="253" t="n"/>
      <c r="AS228" s="253" t="n"/>
      <c r="AT228" s="253" t="n"/>
      <c r="AU228" s="39" t="n"/>
      <c r="AV228" s="253" t="n"/>
      <c r="AW228" s="253" t="n"/>
      <c r="AX228" s="253" t="n"/>
      <c r="AY228" s="253" t="n"/>
      <c r="AZ228" s="253" t="n"/>
      <c r="BA228" s="253" t="n"/>
      <c r="BB228" s="76" t="n"/>
      <c r="BC228" s="168" t="n"/>
      <c r="BD228" s="253" t="n"/>
      <c r="BE228" s="253" t="n"/>
      <c r="BF228" s="76" t="n"/>
      <c r="BG228" s="159" t="n"/>
      <c r="BH228" s="253" t="n"/>
      <c r="BI228" s="340" t="n"/>
      <c r="BJ228" s="341" t="n"/>
      <c r="BK228" s="340" t="n"/>
      <c r="BL228" s="341" t="n"/>
      <c r="BM228" s="340" t="n"/>
      <c r="BN228" s="341" t="n"/>
      <c r="BO228" s="253" t="n"/>
      <c r="BP228" s="253" t="n"/>
      <c r="BQ228" s="253" t="n"/>
      <c r="BR228" s="253" t="n"/>
      <c r="BS228" s="253" t="n"/>
      <c r="BT228" s="253" t="n"/>
      <c r="BU228" s="253" t="n"/>
      <c r="BV228" s="253" t="n"/>
      <c r="BW228" s="253" t="n"/>
      <c r="BX228" s="253" t="n"/>
      <c r="BY228" s="253" t="n"/>
      <c r="BZ228" s="253" t="n"/>
      <c r="CA228" s="253" t="n"/>
      <c r="CB228" s="253" t="n"/>
      <c r="CC228" s="253" t="n"/>
      <c r="CD228" s="253" t="n"/>
      <c r="CE228" s="253" t="n"/>
      <c r="CF228" s="253" t="n"/>
      <c r="CG228" s="253" t="n"/>
      <c r="CH228" s="253" t="n"/>
      <c r="CI228" s="253" t="n"/>
      <c r="CJ228" s="253" t="n"/>
      <c r="CK228" s="253" t="n"/>
      <c r="CL228" s="253" t="n"/>
      <c r="CM228" s="253" t="n"/>
      <c r="CN228" s="253" t="n"/>
      <c r="CO228" s="253" t="n"/>
      <c r="CP228" s="253" t="n"/>
      <c r="CQ228" s="253" t="n"/>
      <c r="CR228" s="253" t="n"/>
      <c r="CS228" s="253" t="n"/>
      <c r="CT228" s="253" t="n"/>
      <c r="CU228" s="253" t="n"/>
      <c r="CV228" s="253" t="n"/>
      <c r="CW228" s="253" t="n"/>
      <c r="CX228" s="253" t="n"/>
      <c r="CY228" s="253" t="n"/>
      <c r="CZ228" s="253" t="n"/>
      <c r="DA228" s="253" t="n"/>
      <c r="DB228" s="253" t="n"/>
      <c r="DC228" s="253" t="n"/>
      <c r="DD228" s="253" t="n"/>
      <c r="DE228" s="253" t="n"/>
      <c r="DF228" s="253" t="n"/>
      <c r="DG228" s="253" t="n"/>
      <c r="DH228" s="253" t="n"/>
      <c r="DI228" s="253" t="n"/>
      <c r="DJ228" s="253" t="n"/>
      <c r="DK228" s="253" t="n"/>
      <c r="DL228" s="253" t="n"/>
      <c r="DM228" s="253" t="n"/>
      <c r="DN228" s="253" t="n"/>
      <c r="DO228" s="253" t="n"/>
      <c r="DP228" s="253" t="n"/>
      <c r="DQ228" s="253" t="n"/>
      <c r="DR228" s="253" t="n"/>
      <c r="DS228" s="253" t="n"/>
      <c r="DT228" s="253" t="n"/>
      <c r="DU228" s="39" t="n"/>
      <c r="DV228" s="253" t="n"/>
      <c r="DW228" s="340" t="n"/>
      <c r="DX228" s="340" t="n"/>
      <c r="DY228" s="340" t="n"/>
      <c r="DZ228" s="340" t="n"/>
      <c r="EA228" s="340" t="n"/>
      <c r="EB228" s="341" t="n"/>
      <c r="EC228" s="340" t="n"/>
      <c r="ED228" s="341" t="n"/>
      <c r="EE228" s="253" t="n"/>
      <c r="EF228" s="253" t="n"/>
      <c r="EG228" s="253" t="n"/>
      <c r="EH228" s="253" t="n"/>
      <c r="EI228" s="253" t="n"/>
      <c r="EJ228" s="253" t="n"/>
      <c r="EK228" s="39" t="n"/>
      <c r="EL228" s="253" t="n"/>
      <c r="EM228" s="253" t="n"/>
      <c r="EN228" s="253" t="n"/>
      <c r="EO228" s="253" t="n"/>
      <c r="EP228" s="253" t="n"/>
      <c r="EQ228" s="253" t="n"/>
      <c r="ER228" s="253" t="n"/>
      <c r="ES228" s="253" t="n"/>
      <c r="ET228" s="253" t="n"/>
      <c r="EU228" s="253" t="n"/>
      <c r="EV228" s="253" t="n"/>
      <c r="EW228" s="253" t="n"/>
      <c r="EX228" s="253" t="n"/>
      <c r="EY228" s="203" t="n"/>
      <c r="EZ228" s="253" t="n"/>
      <c r="FA228" s="253" t="n"/>
      <c r="FB228" s="253" t="n"/>
      <c r="FC228" s="253" t="n"/>
      <c r="FD228" s="253" t="n"/>
      <c r="FE228" s="253" t="n"/>
      <c r="FF228" s="253" t="n"/>
      <c r="FG228" s="253" t="n"/>
      <c r="FH228" s="253" t="n"/>
      <c r="FI228" s="253" t="n"/>
      <c r="FJ228" s="253" t="n"/>
      <c r="FK228" s="253" t="n"/>
      <c r="FL228" s="253" t="n"/>
      <c r="FM228" s="253" t="n"/>
      <c r="FN228" s="253" t="n"/>
      <c r="FO228" s="253" t="n"/>
      <c r="FP228" s="253" t="n"/>
      <c r="FQ228" s="253" t="n"/>
      <c r="FR228" s="253" t="n"/>
      <c r="FS228" s="253" t="n"/>
      <c r="FT228" s="253" t="n"/>
      <c r="FU228" s="253" t="n"/>
      <c r="FV228" s="253" t="n"/>
      <c r="FW228" s="253" t="n"/>
      <c r="FX228" s="253" t="n"/>
      <c r="FY228" s="253" t="n"/>
      <c r="FZ228" s="253" t="n"/>
      <c r="GA228" s="340" t="n"/>
      <c r="GB228" s="341" t="n"/>
      <c r="GC228" s="340" t="n"/>
      <c r="GD228" s="341" t="n"/>
      <c r="GE228" s="340" t="n"/>
      <c r="GF228" s="341" t="n"/>
      <c r="GG228" s="253" t="n"/>
      <c r="GH228" s="253" t="n"/>
      <c r="GI228" s="253" t="n"/>
      <c r="GJ228" s="253" t="n"/>
      <c r="GK228" s="253" t="n"/>
      <c r="GL228" s="253" t="n"/>
      <c r="GM228" s="253" t="n"/>
      <c r="GN228" s="253" t="n"/>
      <c r="GO228" s="253" t="n"/>
      <c r="GP228" s="253" t="n"/>
      <c r="GQ228" s="253" t="n"/>
      <c r="GR228" s="253" t="n"/>
      <c r="GS228" s="253" t="n"/>
      <c r="GT228" s="253" t="n"/>
      <c r="GU228" s="253" t="n"/>
      <c r="GV228" s="253" t="n"/>
      <c r="GW228" s="253" t="n"/>
      <c r="GX228" s="253" t="n"/>
      <c r="GY228" s="253" t="n"/>
      <c r="GZ228" s="253" t="n"/>
      <c r="HA228" s="253" t="n"/>
      <c r="HB228" s="253" t="n"/>
      <c r="HC228" s="253" t="n"/>
      <c r="HD228" s="253" t="n"/>
      <c r="HE228" s="253" t="n"/>
      <c r="HF228" s="253" t="n"/>
      <c r="HG228" s="253" t="n"/>
      <c r="HH228" s="253" t="n"/>
      <c r="HI228" s="253" t="n"/>
      <c r="HJ228" s="253" t="n"/>
      <c r="HK228" s="253" t="n"/>
      <c r="HL228" s="253" t="n"/>
      <c r="HM228" s="253" t="n"/>
      <c r="HN228" s="253" t="n"/>
      <c r="HO228" s="253" t="n"/>
      <c r="HP228" s="253" t="n"/>
      <c r="HQ228" s="253" t="n"/>
      <c r="HR228" s="253" t="n"/>
      <c r="HS228" s="253" t="n"/>
      <c r="HT228" s="253" t="n"/>
      <c r="HU228" s="253" t="n"/>
      <c r="HV228" s="253" t="n"/>
      <c r="HW228" s="253" t="n"/>
      <c r="HX228" s="253" t="n"/>
      <c r="HY228" s="253" t="n"/>
      <c r="HZ228" s="253" t="n"/>
      <c r="IA228" s="253" t="n"/>
      <c r="IB228" s="253" t="n"/>
      <c r="IC228" s="340">
        <f t="array" ref="IC228">SUMPRODUCT(--(MOD(COLUMN($GG228:$IB228),4)=MOD(COLUMN($GG228),4)),$GG228:$IB228)</f>
        <v/>
      </c>
      <c r="ID228" s="341">
        <f>IC228*$J228</f>
        <v/>
      </c>
      <c r="IE228" s="340">
        <f t="array" ref="IE228">SUMPRODUCT(--(MOD(COLUMN($GG228:$IB228),4)=MOD(COLUMN($GH228),4)),$GG228:$IB228)</f>
        <v/>
      </c>
      <c r="IF228" s="341">
        <f>IE228*$J228</f>
        <v/>
      </c>
      <c r="IG228" s="340">
        <f t="array" ref="IG228">SUMPRODUCT(--(MOD(COLUMN($GG228:$IB228),4)=MOD(COLUMN($GI228),4)),$GG228:$IB228)</f>
        <v/>
      </c>
      <c r="IH228" s="341">
        <f>IG228*$J228</f>
        <v/>
      </c>
      <c r="II228" s="253" t="n"/>
      <c r="IJ228" s="253" t="n"/>
      <c r="IK228" s="253" t="n"/>
      <c r="IL228" s="253" t="n"/>
      <c r="IM228" s="253" t="n"/>
      <c r="IN228" s="253" t="n"/>
      <c r="IO228" s="253" t="n"/>
      <c r="IP228" s="253" t="n"/>
      <c r="IQ228" s="253" t="n"/>
      <c r="IR228" s="253" t="n"/>
      <c r="IS228" s="253" t="n"/>
      <c r="IT228" s="253" t="n"/>
      <c r="IU228" s="253" t="n"/>
      <c r="IV228" s="253" t="n"/>
      <c r="IW228" s="253" t="n"/>
      <c r="IX228" s="253" t="n"/>
      <c r="IY228" s="253" t="n"/>
      <c r="IZ228" s="253" t="n"/>
      <c r="JA228" s="253" t="n"/>
      <c r="JB228" s="253" t="n"/>
      <c r="JC228" s="253" t="n"/>
      <c r="JD228" s="253" t="n"/>
      <c r="JE228" s="253" t="n"/>
      <c r="JF228" s="253" t="n"/>
      <c r="JG228" s="253" t="n"/>
      <c r="JH228" s="253" t="n"/>
      <c r="JI228" s="253" t="n"/>
      <c r="JJ228" s="253" t="n"/>
      <c r="JK228" s="253" t="n"/>
      <c r="JL228" s="253" t="n"/>
      <c r="JM228" s="253" t="n"/>
      <c r="JN228" s="253" t="n"/>
      <c r="JO228" s="253" t="n"/>
      <c r="JP228" s="253" t="n"/>
      <c r="JQ228" s="253" t="n"/>
      <c r="JR228" s="253" t="n"/>
      <c r="JS228" s="253" t="n"/>
      <c r="JT228" s="253" t="n"/>
      <c r="JU228" s="253" t="n"/>
      <c r="JV228" s="253" t="n"/>
      <c r="JW228" s="253" t="n"/>
      <c r="JX228" s="253" t="n"/>
      <c r="JY228" s="253" t="n"/>
      <c r="JZ228" s="253" t="n"/>
      <c r="KA228" s="253" t="n"/>
      <c r="KB228" s="253" t="n"/>
      <c r="KC228" s="253" t="n"/>
      <c r="KD228" s="253" t="n"/>
      <c r="KE228" s="340">
        <f t="array" ref="KE228">SUMPRODUCT(--(MOD(COLUMN($II228:$KD228),4)=MOD(COLUMN($II228),4)),$II228:$KD228)</f>
        <v/>
      </c>
      <c r="KF228" s="341">
        <f>KE228*$J228</f>
        <v/>
      </c>
      <c r="KG228" s="340">
        <f t="array" ref="KG228">SUMPRODUCT(--(MOD(COLUMN($II228:$KD228),4)=MOD(COLUMN($IJ228),4)),$II228:$KD228)</f>
        <v/>
      </c>
      <c r="KH228" s="341">
        <f>KG228*$J228</f>
        <v/>
      </c>
      <c r="KI228" s="340">
        <f t="array" ref="KI228">SUMPRODUCT(--(MOD(COLUMN($II228:$KD228),4)=MOD(COLUMN($IK228),4)),$II228:$KD228)</f>
        <v/>
      </c>
      <c r="KJ228" s="385">
        <f>KI228*$J228</f>
        <v/>
      </c>
      <c r="KK228" s="80" t="n"/>
      <c r="KL228" s="80" t="n"/>
      <c r="KM228" s="80" t="n"/>
      <c r="KN228" s="253" t="n"/>
      <c r="KO228" s="253" t="n"/>
    </row>
    <row r="229" customFormat="1" s="68">
      <c r="A229" s="234" t="inlineStr">
        <is>
          <t>АР СИ ЭР ООО</t>
        </is>
      </c>
      <c r="B229" s="215" t="n"/>
      <c r="C229" s="215" t="n"/>
      <c r="D229" s="215" t="n"/>
      <c r="E229" s="215" t="n"/>
      <c r="F229" s="215" t="n"/>
      <c r="G229" s="216" t="n"/>
      <c r="H229" s="217" t="n"/>
      <c r="I229" s="388" t="n"/>
      <c r="J229" s="388" t="n"/>
      <c r="K229" s="388" t="n"/>
      <c r="L229" s="388" t="n"/>
      <c r="M229" s="219" t="n"/>
      <c r="N229" s="219" t="n"/>
      <c r="O229" s="219" t="n"/>
      <c r="P229" s="219" t="n"/>
      <c r="Q229" s="219" t="n"/>
      <c r="R229" s="219" t="n"/>
      <c r="S229" s="219" t="n"/>
      <c r="T229" s="219" t="n"/>
      <c r="U229" s="219" t="n"/>
      <c r="V229" s="219" t="n"/>
      <c r="W229" s="219" t="n"/>
      <c r="X229" s="219" t="n"/>
      <c r="Y229" s="219" t="n"/>
      <c r="Z229" s="219" t="n"/>
      <c r="AA229" s="219" t="n"/>
      <c r="AB229" s="219" t="n"/>
      <c r="AC229" s="219" t="n"/>
      <c r="AD229" s="219" t="n"/>
      <c r="AE229" s="219" t="n"/>
      <c r="AF229" s="219" t="n"/>
      <c r="AG229" s="219" t="n"/>
      <c r="AH229" s="219" t="n"/>
      <c r="AI229" s="219" t="n"/>
      <c r="AJ229" s="219" t="n"/>
      <c r="AK229" s="219" t="n"/>
      <c r="AL229" s="219" t="n"/>
      <c r="AM229" s="219" t="n"/>
      <c r="AN229" s="219" t="n"/>
      <c r="AO229" s="219" t="n"/>
      <c r="AP229" s="219" t="n"/>
      <c r="AQ229" s="219" t="n"/>
      <c r="AR229" s="219" t="n"/>
      <c r="AS229" s="219" t="n"/>
      <c r="AT229" s="219" t="n"/>
      <c r="AU229" s="219" t="n"/>
      <c r="AV229" s="219" t="n"/>
      <c r="AW229" s="219" t="n"/>
      <c r="AX229" s="219" t="n"/>
      <c r="AY229" s="220" t="n"/>
      <c r="AZ229" s="219" t="n"/>
      <c r="BA229" s="220" t="n"/>
      <c r="BB229" s="220" t="n"/>
      <c r="BC229" s="221" t="n"/>
      <c r="BD229" s="219" t="n"/>
      <c r="BE229" s="220" t="n"/>
      <c r="BF229" s="220" t="n"/>
      <c r="BG229" s="220" t="n"/>
      <c r="BH229" s="219" t="n"/>
      <c r="BI229" s="389" t="n"/>
      <c r="BJ229" s="390" t="n"/>
      <c r="BK229" s="389" t="n"/>
      <c r="BL229" s="390" t="n"/>
      <c r="BM229" s="389" t="n"/>
      <c r="BN229" s="390" t="n"/>
      <c r="BO229" s="219" t="n"/>
      <c r="BP229" s="219" t="n"/>
      <c r="BQ229" s="219" t="n"/>
      <c r="BR229" s="219" t="n"/>
      <c r="BS229" s="219" t="n"/>
      <c r="BT229" s="219" t="n"/>
      <c r="BU229" s="219" t="n"/>
      <c r="BV229" s="219" t="n"/>
      <c r="BW229" s="219" t="n"/>
      <c r="BX229" s="219" t="n"/>
      <c r="BY229" s="219" t="n"/>
      <c r="BZ229" s="219" t="n"/>
      <c r="CA229" s="219" t="n"/>
      <c r="CB229" s="219" t="n"/>
      <c r="CC229" s="219" t="n"/>
      <c r="CD229" s="219" t="n"/>
      <c r="CE229" s="219" t="n"/>
      <c r="CF229" s="219" t="n"/>
      <c r="CG229" s="219" t="n"/>
      <c r="CH229" s="219" t="n"/>
      <c r="CI229" s="219" t="n"/>
      <c r="CJ229" s="219" t="n"/>
      <c r="CK229" s="219" t="n"/>
      <c r="CL229" s="219" t="n"/>
      <c r="CM229" s="219" t="n"/>
      <c r="CN229" s="219" t="n"/>
      <c r="CO229" s="219" t="n"/>
      <c r="CP229" s="219" t="n"/>
      <c r="CQ229" s="219" t="n"/>
      <c r="CR229" s="219" t="n"/>
      <c r="CS229" s="219" t="n"/>
      <c r="CT229" s="219" t="n"/>
      <c r="CU229" s="219" t="n"/>
      <c r="CV229" s="219" t="n"/>
      <c r="CW229" s="219" t="n"/>
      <c r="CX229" s="219" t="n"/>
      <c r="CY229" s="219" t="n"/>
      <c r="CZ229" s="219" t="n"/>
      <c r="DA229" s="219" t="n"/>
      <c r="DB229" s="219" t="n"/>
      <c r="DC229" s="219" t="n"/>
      <c r="DD229" s="219" t="n"/>
      <c r="DE229" s="219" t="n"/>
      <c r="DF229" s="219" t="n"/>
      <c r="DG229" s="219" t="n"/>
      <c r="DH229" s="219" t="n"/>
      <c r="DI229" s="219" t="n"/>
      <c r="DJ229" s="219" t="n"/>
      <c r="DK229" s="219" t="n"/>
      <c r="DL229" s="219" t="n"/>
      <c r="DM229" s="219" t="n"/>
      <c r="DN229" s="219" t="n"/>
      <c r="DO229" s="219" t="n"/>
      <c r="DP229" s="219" t="n"/>
      <c r="DQ229" s="219" t="n"/>
      <c r="DR229" s="219" t="n"/>
      <c r="DS229" s="219" t="n"/>
      <c r="DT229" s="219" t="n"/>
      <c r="DU229" s="219" t="n"/>
      <c r="DV229" s="219" t="n"/>
      <c r="DW229" s="389" t="n"/>
      <c r="DX229" s="389">
        <f>DW229*$J229</f>
        <v/>
      </c>
      <c r="DY229" s="389">
        <f>SUMPRODUCT(--(MOD(COLUMN($BO229:$DV229),5)=MOD(COLUMN($BO229),5)+1),$BO229:$DV229)</f>
        <v/>
      </c>
      <c r="DZ229" s="389">
        <f>DY229*$J229</f>
        <v/>
      </c>
      <c r="EA229" s="389">
        <f>SUMPRODUCT(--(MOD(COLUMN($BO229:$DV229),5)=MOD(COLUMN($BO229),5)+2),$BO229:$DV229)</f>
        <v/>
      </c>
      <c r="EB229" s="390">
        <f>EA229*$J229</f>
        <v/>
      </c>
      <c r="EC229" s="389">
        <f>SUMPRODUCT(--(MOD(COLUMN($BO229:$DV229),5)=MOD(COLUMN($BO229),5)+3),$BO229:$DV229)</f>
        <v/>
      </c>
      <c r="ED229" s="390">
        <f>EC229*$J229</f>
        <v/>
      </c>
      <c r="EE229" s="219" t="n"/>
      <c r="EF229" s="219" t="n"/>
      <c r="EG229" s="219" t="n"/>
      <c r="EH229" s="219" t="n"/>
      <c r="EI229" s="219" t="n"/>
      <c r="EJ229" s="219" t="n"/>
      <c r="EK229" s="219" t="n"/>
      <c r="EL229" s="219" t="n"/>
      <c r="EM229" s="219" t="n"/>
      <c r="EN229" s="219" t="n"/>
      <c r="EO229" s="219" t="n"/>
      <c r="EP229" s="219" t="n"/>
      <c r="EQ229" s="219" t="n"/>
      <c r="ER229" s="219" t="n"/>
      <c r="ES229" s="219" t="n"/>
      <c r="ET229" s="219" t="n"/>
      <c r="EU229" s="219" t="n"/>
      <c r="EV229" s="219" t="n"/>
      <c r="EW229" s="219" t="n"/>
      <c r="EX229" s="219" t="n"/>
      <c r="EY229" s="219" t="n"/>
      <c r="EZ229" s="219" t="n"/>
      <c r="FA229" s="219" t="n"/>
      <c r="FB229" s="219" t="n"/>
      <c r="FC229" s="219" t="n"/>
      <c r="FD229" s="219" t="n"/>
      <c r="FE229" s="219" t="n"/>
      <c r="FF229" s="219" t="n"/>
      <c r="FG229" s="219" t="n"/>
      <c r="FH229" s="219" t="n"/>
      <c r="FI229" s="219" t="n"/>
      <c r="FJ229" s="219" t="n"/>
      <c r="FK229" s="219" t="n"/>
      <c r="FL229" s="219" t="n"/>
      <c r="FM229" s="219" t="n"/>
      <c r="FN229" s="219" t="n"/>
      <c r="FO229" s="219" t="n"/>
      <c r="FP229" s="219" t="n"/>
      <c r="FQ229" s="219" t="n"/>
      <c r="FR229" s="219" t="n"/>
      <c r="FS229" s="219" t="n"/>
      <c r="FT229" s="219" t="n"/>
      <c r="FU229" s="219" t="n"/>
      <c r="FV229" s="219" t="n"/>
      <c r="FW229" s="219" t="n"/>
      <c r="FX229" s="219" t="n"/>
      <c r="FY229" s="219" t="n"/>
      <c r="FZ229" s="219" t="n"/>
      <c r="GA229" s="365">
        <f t="array" ref="GA229">SUMPRODUCT(--(MOD(COLUMN($EE229:$FZ229),4)=MOD(COLUMN($EE229),4)),$EE229:$FZ229)</f>
        <v/>
      </c>
      <c r="GB229" s="366">
        <f>GA229*$J229</f>
        <v/>
      </c>
      <c r="GC229" s="365">
        <f t="array" ref="GC229">SUMPRODUCT(--(MOD(COLUMN($EE229:$FZ229),4)=MOD(COLUMN($EF229),4)),$EE229:$FZ229)</f>
        <v/>
      </c>
      <c r="GD229" s="366">
        <f>GC229*$J229</f>
        <v/>
      </c>
      <c r="GE229" s="365">
        <f t="array" ref="GE229">SUMPRODUCT(--(MOD(COLUMN($EE229:$FZ229),4)=MOD(COLUMN($EG229),4)),$EE229:$FZ229)</f>
        <v/>
      </c>
      <c r="GF229" s="366">
        <f>GE229*$J229</f>
        <v/>
      </c>
      <c r="GG229" s="219" t="n"/>
      <c r="GH229" s="219" t="n"/>
      <c r="GI229" s="219" t="n"/>
      <c r="GJ229" s="219" t="n"/>
      <c r="GK229" s="219" t="n"/>
      <c r="GL229" s="219" t="n"/>
      <c r="GM229" s="219" t="n"/>
      <c r="GN229" s="219" t="n"/>
      <c r="GO229" s="219" t="n"/>
      <c r="GP229" s="219" t="n"/>
      <c r="GQ229" s="219" t="n"/>
      <c r="GR229" s="219" t="n"/>
      <c r="GS229" s="219" t="n"/>
      <c r="GT229" s="219" t="n"/>
      <c r="GU229" s="219" t="n"/>
      <c r="GV229" s="219" t="n"/>
      <c r="GW229" s="219" t="n"/>
      <c r="GX229" s="219" t="n"/>
      <c r="GY229" s="219" t="n"/>
      <c r="GZ229" s="219" t="n"/>
      <c r="HA229" s="219" t="n"/>
      <c r="HB229" s="219" t="n"/>
      <c r="HC229" s="219" t="n"/>
      <c r="HD229" s="219" t="n"/>
      <c r="HE229" s="219" t="n"/>
      <c r="HF229" s="219" t="n"/>
      <c r="HG229" s="219" t="n"/>
      <c r="HH229" s="219" t="n"/>
      <c r="HI229" s="219" t="n"/>
      <c r="HJ229" s="219" t="n"/>
      <c r="HK229" s="219" t="n"/>
      <c r="HL229" s="219" t="n"/>
      <c r="HM229" s="219" t="n"/>
      <c r="HN229" s="219" t="n"/>
      <c r="HO229" s="219" t="n"/>
      <c r="HP229" s="219" t="n"/>
      <c r="HQ229" s="219" t="n"/>
      <c r="HR229" s="219" t="n"/>
      <c r="HS229" s="219" t="n"/>
      <c r="HT229" s="219" t="n"/>
      <c r="HU229" s="219" t="n"/>
      <c r="HV229" s="219" t="n"/>
      <c r="HW229" s="219" t="n"/>
      <c r="HX229" s="219" t="n"/>
      <c r="HY229" s="219" t="n"/>
      <c r="HZ229" s="219" t="n"/>
      <c r="IA229" s="219" t="n"/>
      <c r="IB229" s="219" t="n"/>
      <c r="IC229" s="365">
        <f t="array" ref="IC229">SUMPRODUCT(--(MOD(COLUMN($GG229:$IB229),4)=MOD(COLUMN($GG229),4)),$GG229:$IB229)</f>
        <v/>
      </c>
      <c r="ID229" s="366">
        <f>IC229*$J229</f>
        <v/>
      </c>
      <c r="IE229" s="365">
        <f t="array" ref="IE229">SUMPRODUCT(--(MOD(COLUMN($GG229:$IB229),4)=MOD(COLUMN($GH229),4)),$GG229:$IB229)</f>
        <v/>
      </c>
      <c r="IF229" s="366">
        <f>IE229*$J229</f>
        <v/>
      </c>
      <c r="IG229" s="365">
        <f t="array" ref="IG229">SUMPRODUCT(--(MOD(COLUMN($GG229:$IB229),4)=MOD(COLUMN($GI229),4)),$GG229:$IB229)</f>
        <v/>
      </c>
      <c r="IH229" s="366">
        <f>IG229*$J229</f>
        <v/>
      </c>
      <c r="II229" s="219" t="n"/>
      <c r="IJ229" s="219" t="n"/>
      <c r="IK229" s="219" t="n"/>
      <c r="IL229" s="219" t="n"/>
      <c r="IM229" s="219" t="n"/>
      <c r="IN229" s="219" t="n"/>
      <c r="IO229" s="219" t="n"/>
      <c r="IP229" s="219" t="n"/>
      <c r="IQ229" s="219" t="n"/>
      <c r="IR229" s="219" t="n"/>
      <c r="IS229" s="219" t="n"/>
      <c r="IT229" s="219" t="n"/>
      <c r="IU229" s="219" t="n"/>
      <c r="IV229" s="219" t="n"/>
      <c r="IW229" s="219" t="n"/>
      <c r="IX229" s="219" t="n"/>
      <c r="IY229" s="219" t="n"/>
      <c r="IZ229" s="219" t="n"/>
      <c r="JA229" s="219" t="n"/>
      <c r="JB229" s="219" t="n"/>
      <c r="JC229" s="219" t="n"/>
      <c r="JD229" s="219" t="n"/>
      <c r="JE229" s="219" t="n"/>
      <c r="JF229" s="219" t="n"/>
      <c r="JG229" s="219" t="n"/>
      <c r="JH229" s="219" t="n"/>
      <c r="JI229" s="219" t="n"/>
      <c r="JJ229" s="219" t="n"/>
      <c r="JK229" s="219" t="n"/>
      <c r="JL229" s="219" t="n"/>
      <c r="JM229" s="219" t="n"/>
      <c r="JN229" s="219" t="n"/>
      <c r="JO229" s="219" t="n"/>
      <c r="JP229" s="219" t="n"/>
      <c r="JQ229" s="219" t="n"/>
      <c r="JR229" s="219" t="n"/>
      <c r="JS229" s="219" t="n"/>
      <c r="JT229" s="219" t="n"/>
      <c r="JU229" s="219" t="n"/>
      <c r="JV229" s="219" t="n"/>
      <c r="JW229" s="219" t="n"/>
      <c r="JX229" s="219" t="n"/>
      <c r="JY229" s="219" t="n"/>
      <c r="JZ229" s="219" t="n"/>
      <c r="KA229" s="219" t="n"/>
      <c r="KB229" s="219" t="n"/>
      <c r="KC229" s="219" t="n"/>
      <c r="KD229" s="219" t="n"/>
      <c r="KE229" s="365">
        <f t="array" ref="KE229">SUMPRODUCT(--(MOD(COLUMN($II229:$KD229),4)=MOD(COLUMN($II229),4)),$II229:$KD229)</f>
        <v/>
      </c>
      <c r="KF229" s="366">
        <f>KE229*$J229</f>
        <v/>
      </c>
      <c r="KG229" s="365">
        <f t="array" ref="KG229">SUMPRODUCT(--(MOD(COLUMN($II229:$KD229),4)=MOD(COLUMN($IJ229),4)),$II229:$KD229)</f>
        <v/>
      </c>
      <c r="KH229" s="366">
        <f>KG229*$J229</f>
        <v/>
      </c>
      <c r="KI229" s="365">
        <f t="array" ref="KI229">SUMPRODUCT(--(MOD(COLUMN($II229:$KD229),4)=MOD(COLUMN($IK229),4)),$II229:$KD229)</f>
        <v/>
      </c>
      <c r="KJ229" s="391">
        <f>KI229*$J229</f>
        <v/>
      </c>
      <c r="KK229" s="80" t="n"/>
      <c r="KL229" s="80" t="n"/>
      <c r="KM229" s="80" t="n"/>
      <c r="KN229" s="253" t="n"/>
      <c r="KO229" s="253" t="n"/>
    </row>
    <row r="230" outlineLevel="1" ht="30" customFormat="1" customHeight="1" s="68">
      <c r="A230" s="274" t="inlineStr">
        <is>
          <t>СПЕЦМАШ ООО</t>
        </is>
      </c>
      <c r="B230" s="277" t="inlineStr">
        <is>
          <t>Предоплата 100%</t>
        </is>
      </c>
      <c r="C230" s="257" t="inlineStr">
        <is>
          <t>ВБК РУС</t>
        </is>
      </c>
      <c r="D230" s="281" t="inlineStr">
        <is>
          <t>Мустафин Ринат</t>
        </is>
      </c>
      <c r="E230" s="60" t="n">
        <v>1</v>
      </c>
      <c r="F230" s="60" t="n">
        <v>1</v>
      </c>
      <c r="G230" s="33" t="n">
        <v>9522010010</v>
      </c>
      <c r="H230" s="57" t="inlineStr">
        <is>
          <t>Головка соединительная (управляющая)</t>
        </is>
      </c>
      <c r="I230" s="348">
        <f>89.6/1.2*1.1371</f>
        <v/>
      </c>
      <c r="J230" s="348">
        <f>89.6/1.2*1.1371</f>
        <v/>
      </c>
      <c r="K230" s="348" t="n"/>
      <c r="L230" s="348" t="n"/>
      <c r="M230" s="36" t="n"/>
      <c r="N230" s="284" t="n"/>
      <c r="O230" s="38" t="n"/>
      <c r="P230" s="284" t="n"/>
      <c r="Q230" s="36" t="n"/>
      <c r="R230" s="284" t="n"/>
      <c r="S230" s="38" t="n"/>
      <c r="T230" s="284" t="n"/>
      <c r="U230" s="36" t="n"/>
      <c r="V230" s="284" t="n"/>
      <c r="W230" s="38" t="n"/>
      <c r="X230" s="284" t="n"/>
      <c r="Y230" s="36" t="n"/>
      <c r="Z230" s="284" t="n"/>
      <c r="AA230" s="38" t="n"/>
      <c r="AB230" s="284" t="n"/>
      <c r="AC230" s="36" t="n"/>
      <c r="AD230" s="284" t="n"/>
      <c r="AE230" s="38" t="n"/>
      <c r="AF230" s="284" t="n"/>
      <c r="AG230" s="36" t="n"/>
      <c r="AH230" s="284" t="n"/>
      <c r="AI230" s="38" t="n"/>
      <c r="AJ230" s="284" t="n"/>
      <c r="AK230" s="36" t="n"/>
      <c r="AL230" s="284" t="n"/>
      <c r="AM230" s="38" t="n"/>
      <c r="AN230" s="284" t="n"/>
      <c r="AO230" s="36" t="n"/>
      <c r="AP230" s="284" t="n"/>
      <c r="AQ230" s="38" t="n"/>
      <c r="AR230" s="284" t="n"/>
      <c r="AS230" s="36" t="n"/>
      <c r="AT230" s="284" t="n"/>
      <c r="AU230" s="38" t="n"/>
      <c r="AV230" s="284" t="n"/>
      <c r="AW230" s="36" t="n"/>
      <c r="AX230" s="284" t="n"/>
      <c r="AY230" s="38" t="n"/>
      <c r="AZ230" s="96" t="n"/>
      <c r="BA230" s="36" t="n"/>
      <c r="BB230" s="284" t="n"/>
      <c r="BC230" s="99" t="n"/>
      <c r="BD230" s="284" t="n"/>
      <c r="BE230" s="36" t="n"/>
      <c r="BF230" s="284" t="n"/>
      <c r="BG230" s="78" t="n"/>
      <c r="BH230" s="245" t="n"/>
      <c r="BI230" s="338" t="n"/>
      <c r="BJ230" s="339" t="n"/>
      <c r="BK230" s="340" t="n"/>
      <c r="BL230" s="341" t="n"/>
      <c r="BM230" s="342" t="n"/>
      <c r="BN230" s="343" t="n"/>
      <c r="BO230" s="36" t="n"/>
      <c r="BP230" s="47" t="n"/>
      <c r="BQ230" s="284" t="n"/>
      <c r="BR230" s="38" t="n"/>
      <c r="BS230" s="96" t="n"/>
      <c r="BT230" s="36" t="n"/>
      <c r="BU230" s="47" t="n"/>
      <c r="BV230" s="284" t="n"/>
      <c r="BW230" s="38" t="n"/>
      <c r="BX230" s="284" t="n"/>
      <c r="BY230" s="36" t="n"/>
      <c r="BZ230" s="47" t="n"/>
      <c r="CA230" s="284" t="n"/>
      <c r="CB230" s="38" t="n"/>
      <c r="CC230" s="284" t="n"/>
      <c r="CD230" s="36" t="n"/>
      <c r="CE230" s="47" t="n"/>
      <c r="CF230" s="284" t="n"/>
      <c r="CG230" s="38" t="n"/>
      <c r="CH230" s="284" t="n"/>
      <c r="CI230" s="36" t="n"/>
      <c r="CJ230" s="47" t="n"/>
      <c r="CK230" s="284" t="n"/>
      <c r="CL230" s="38" t="n"/>
      <c r="CM230" s="96" t="n"/>
      <c r="CN230" s="36" t="n"/>
      <c r="CO230" s="47" t="n"/>
      <c r="CP230" s="284" t="n"/>
      <c r="CQ230" s="38" t="n"/>
      <c r="CR230" s="16" t="n"/>
      <c r="CS230" s="36" t="n"/>
      <c r="CT230" s="47" t="n"/>
      <c r="CU230" s="284" t="n"/>
      <c r="CV230" s="38" t="n">
        <v>3</v>
      </c>
      <c r="CW230" s="284" t="n"/>
      <c r="CX230" s="36" t="n"/>
      <c r="CY230" s="47" t="n"/>
      <c r="CZ230" s="284">
        <f>$KN230*0</f>
        <v/>
      </c>
      <c r="DA230" s="38" t="n">
        <v>0</v>
      </c>
      <c r="DB230" s="245" t="inlineStr">
        <is>
          <t>Заказ отгружен в июле</t>
        </is>
      </c>
      <c r="DC230" s="36" t="n"/>
      <c r="DD230" s="47" t="n"/>
      <c r="DE230" s="284" t="n"/>
      <c r="DF230" s="38" t="n">
        <v>0</v>
      </c>
      <c r="DG230" s="284" t="n"/>
      <c r="DH230" s="36" t="n"/>
      <c r="DI230" s="47" t="n"/>
      <c r="DJ230" s="284" t="n"/>
      <c r="DL230" s="284" t="n"/>
      <c r="DM230" s="36" t="n"/>
      <c r="DN230" s="47" t="n"/>
      <c r="DO230" s="284" t="n"/>
      <c r="DP230" s="38" t="n">
        <v>0</v>
      </c>
      <c r="DQ230" s="284" t="n"/>
      <c r="DR230" s="36" t="n"/>
      <c r="DS230" s="47" t="n"/>
      <c r="DT230" s="284" t="n">
        <v>6</v>
      </c>
      <c r="DU230" s="156" t="n">
        <v>6</v>
      </c>
      <c r="DV230" s="284" t="inlineStr">
        <is>
          <t>заказ января 2026 забрали декабрем</t>
        </is>
      </c>
      <c r="DW230" s="338">
        <f t="array" ref="DW230">SUMPRODUCT(--(MOD(COLUMN($BO230:$DV230),5)=MOD(COLUMN($BO230),5)),$BO230:$DV230)</f>
        <v/>
      </c>
      <c r="DX230" s="339">
        <f>DW230*$J230</f>
        <v/>
      </c>
      <c r="DY230" s="344">
        <f t="array" ref="DY230">SUMPRODUCT(--(MOD(COLUMN($BO230:$DV230),5)=MOD(COLUMN($BP230),5)),$BO230:$DV230)</f>
        <v/>
      </c>
      <c r="DZ230" s="345">
        <f>DY230*$J230</f>
        <v/>
      </c>
      <c r="EA230" s="340">
        <f t="array" ref="EA230">SUMPRODUCT(--(MOD(COLUMN($BO230:$DV230),5)=MOD(COLUMN($BQ230),5)),$BO230:$DV230)</f>
        <v/>
      </c>
      <c r="EB230" s="341">
        <f>EA230*$J230</f>
        <v/>
      </c>
      <c r="EC230" s="342">
        <f t="array" ref="EC230">SUMPRODUCT(--(MOD(COLUMN($BO230:$DV230),5)=MOD(COLUMN($BR230),5)),$BO230:$DV230)</f>
        <v/>
      </c>
      <c r="ED230" s="343">
        <f>EC230*$J230</f>
        <v/>
      </c>
      <c r="EE230" s="36" t="n">
        <v>4</v>
      </c>
      <c r="EF230" s="284" t="n">
        <v>0</v>
      </c>
      <c r="EG230" s="38" t="n">
        <v>0</v>
      </c>
      <c r="EH230" s="284" t="n"/>
      <c r="EI230" s="36" t="n"/>
      <c r="EJ230" s="284" t="n"/>
      <c r="EK230" s="38" t="n">
        <v>0</v>
      </c>
      <c r="EL230" s="284" t="n"/>
      <c r="EM230" s="36" t="n"/>
      <c r="EN230" s="284" t="n"/>
      <c r="EO230" s="38" t="n">
        <v>0</v>
      </c>
      <c r="EP230" s="284" t="n"/>
      <c r="EQ230" s="36" t="n"/>
      <c r="ER230" s="284" t="n"/>
      <c r="ES230" s="38" t="n"/>
      <c r="ET230" s="284" t="n"/>
      <c r="EU230" s="36" t="n"/>
      <c r="EV230" s="284" t="n"/>
      <c r="EW230" s="38" t="n">
        <v>0</v>
      </c>
      <c r="EX230" s="284" t="n"/>
      <c r="EY230" s="36" t="n"/>
      <c r="EZ230" s="284" t="n"/>
      <c r="FA230" s="38" t="n"/>
      <c r="FB230" s="284" t="n"/>
      <c r="FC230" s="36" t="n"/>
      <c r="FD230" s="284" t="n"/>
      <c r="FE230" s="38" t="n"/>
      <c r="FF230" s="284" t="n"/>
      <c r="FG230" s="36" t="n"/>
      <c r="FH230" s="284" t="n"/>
      <c r="FI230" s="38" t="n"/>
      <c r="FJ230" s="284" t="n"/>
      <c r="FK230" s="36" t="n"/>
      <c r="FL230" s="284" t="n"/>
      <c r="FM230" s="38" t="n"/>
      <c r="FN230" s="284" t="n"/>
      <c r="FO230" s="36" t="n"/>
      <c r="FP230" s="284" t="n"/>
      <c r="FQ230" s="38" t="n"/>
      <c r="FR230" s="284" t="n"/>
      <c r="FS230" s="36" t="n"/>
      <c r="FT230" s="284" t="n"/>
      <c r="FU230" s="38" t="n"/>
      <c r="FV230" s="284" t="n"/>
      <c r="FW230" s="36" t="n"/>
      <c r="FX230" s="284" t="n"/>
      <c r="FY230" s="38" t="n"/>
      <c r="FZ230" s="284" t="n"/>
      <c r="GA230" s="338">
        <f>SUMPRODUCT(--(MOD(COLUMN($EE230:$FZ230),4)=MOD(COLUMN($EE230),4)),$EE230:$FZ230)</f>
        <v/>
      </c>
      <c r="GB230" s="339">
        <f>GA230*$J230</f>
        <v/>
      </c>
      <c r="GC230" s="340">
        <f>SUMPRODUCT(--(MOD(COLUMN($EE230:$FZ230),4)=MOD(COLUMN($EF230),4)),$EE230:$FZ230)</f>
        <v/>
      </c>
      <c r="GD230" s="341">
        <f>GC230*$J230</f>
        <v/>
      </c>
      <c r="GE230" s="342">
        <f>SUMPRODUCT(--(MOD(COLUMN($EE230:$FZ230),4)=MOD(COLUMN($EG230),4)),$EE230:$FZ230)</f>
        <v/>
      </c>
      <c r="GF230" s="343">
        <f>GE230*$J230</f>
        <v/>
      </c>
      <c r="GG230" s="36" t="n"/>
      <c r="GH230" s="284" t="n"/>
      <c r="GI230" s="38" t="n"/>
      <c r="GJ230" s="284" t="n"/>
      <c r="GK230" s="36" t="n"/>
      <c r="GL230" s="284" t="n"/>
      <c r="GM230" s="38" t="n"/>
      <c r="GN230" s="284" t="n"/>
      <c r="GO230" s="36" t="n"/>
      <c r="GP230" s="284" t="n"/>
      <c r="GQ230" s="38" t="n"/>
      <c r="GR230" s="284" t="n"/>
      <c r="GS230" s="36" t="n"/>
      <c r="GT230" s="284" t="n"/>
      <c r="GU230" s="38" t="n"/>
      <c r="GV230" s="284" t="n"/>
      <c r="GW230" s="36" t="n"/>
      <c r="GX230" s="284" t="n"/>
      <c r="GY230" s="38" t="n"/>
      <c r="GZ230" s="284" t="n"/>
      <c r="HA230" s="36" t="n"/>
      <c r="HB230" s="284" t="n"/>
      <c r="HC230" s="38" t="n"/>
      <c r="HD230" s="284" t="n"/>
      <c r="HE230" s="36" t="n"/>
      <c r="HF230" s="284" t="n"/>
      <c r="HG230" s="38" t="n"/>
      <c r="HH230" s="284" t="n"/>
      <c r="HI230" s="36" t="n"/>
      <c r="HJ230" s="284" t="n"/>
      <c r="HK230" s="38" t="n"/>
      <c r="HL230" s="284" t="n"/>
      <c r="HM230" s="36" t="n"/>
      <c r="HN230" s="284" t="n"/>
      <c r="HO230" s="38" t="n"/>
      <c r="HP230" s="284" t="n"/>
      <c r="HQ230" s="36" t="n"/>
      <c r="HR230" s="284" t="n"/>
      <c r="HS230" s="38" t="n"/>
      <c r="HT230" s="284" t="n"/>
      <c r="HU230" s="36" t="n"/>
      <c r="HV230" s="284" t="n"/>
      <c r="HW230" s="38" t="n"/>
      <c r="HX230" s="284" t="n"/>
      <c r="HY230" s="36" t="n"/>
      <c r="HZ230" s="284" t="n"/>
      <c r="IA230" s="38" t="n"/>
      <c r="IB230" s="284" t="n"/>
      <c r="IC230" s="338">
        <f t="array" ref="IC230">SUMPRODUCT(--(MOD(COLUMN($GG230:$IB230),4)=MOD(COLUMN($GG230),4)),$GG230:$IB230)</f>
        <v/>
      </c>
      <c r="ID230" s="339">
        <f>IC230*$J230</f>
        <v/>
      </c>
      <c r="IE230" s="340">
        <f t="array" ref="IE230">SUMPRODUCT(--(MOD(COLUMN($GG230:$IB230),4)=MOD(COLUMN($GH230),4)),$GG230:$IB230)</f>
        <v/>
      </c>
      <c r="IF230" s="341">
        <f>IE230*$J230</f>
        <v/>
      </c>
      <c r="IG230" s="342">
        <f t="array" ref="IG230">SUMPRODUCT(--(MOD(COLUMN($GG230:$IB230),4)=MOD(COLUMN($GI230),4)),$GG230:$IB230)</f>
        <v/>
      </c>
      <c r="IH230" s="343">
        <f>IG230*$J230</f>
        <v/>
      </c>
      <c r="II230" s="36" t="n"/>
      <c r="IJ230" s="284" t="n"/>
      <c r="IK230" s="38" t="n"/>
      <c r="IL230" s="284" t="n"/>
      <c r="IM230" s="36" t="n"/>
      <c r="IN230" s="284" t="n"/>
      <c r="IO230" s="38" t="n"/>
      <c r="IP230" s="284" t="n"/>
      <c r="IQ230" s="36" t="n"/>
      <c r="IR230" s="284" t="n"/>
      <c r="IS230" s="38" t="n"/>
      <c r="IT230" s="284" t="n"/>
      <c r="IU230" s="36" t="n"/>
      <c r="IV230" s="284" t="n"/>
      <c r="IW230" s="38" t="n"/>
      <c r="IX230" s="284" t="n"/>
      <c r="IY230" s="36" t="n"/>
      <c r="IZ230" s="284" t="n"/>
      <c r="JA230" s="38" t="n"/>
      <c r="JB230" s="284" t="n"/>
      <c r="JC230" s="36" t="n"/>
      <c r="JD230" s="284" t="n"/>
      <c r="JE230" s="38" t="n"/>
      <c r="JF230" s="284" t="n"/>
      <c r="JG230" s="36" t="n"/>
      <c r="JH230" s="284" t="n"/>
      <c r="JI230" s="38" t="n"/>
      <c r="JJ230" s="284" t="n"/>
      <c r="JK230" s="36" t="n"/>
      <c r="JL230" s="284" t="n"/>
      <c r="JM230" s="38" t="n"/>
      <c r="JN230" s="284" t="n"/>
      <c r="JO230" s="36" t="n"/>
      <c r="JP230" s="284" t="n"/>
      <c r="JQ230" s="38" t="n"/>
      <c r="JR230" s="284" t="n"/>
      <c r="JS230" s="36" t="n"/>
      <c r="JT230" s="284" t="n"/>
      <c r="JU230" s="38" t="n"/>
      <c r="JV230" s="284" t="n"/>
      <c r="JW230" s="36" t="n"/>
      <c r="JX230" s="284" t="n"/>
      <c r="JY230" s="38" t="n"/>
      <c r="JZ230" s="284" t="n"/>
      <c r="KA230" s="36" t="n"/>
      <c r="KB230" s="284" t="n"/>
      <c r="KC230" s="38" t="n"/>
      <c r="KD230" s="284" t="n"/>
      <c r="KE230" s="338">
        <f t="array" ref="KE230">SUMPRODUCT(--(MOD(COLUMN($II230:$KD230),4)=MOD(COLUMN($II230),4)),$II230:$KD230)</f>
        <v/>
      </c>
      <c r="KF230" s="339">
        <f>KE230*$J230</f>
        <v/>
      </c>
      <c r="KG230" s="340">
        <f t="array" ref="KG230">SUMPRODUCT(--(MOD(COLUMN($II230:$KD230),4)=MOD(COLUMN($IJ230),4)),$II230:$KD230)</f>
        <v/>
      </c>
      <c r="KH230" s="341">
        <f>KG230*$J230</f>
        <v/>
      </c>
      <c r="KI230" s="342">
        <f t="array" ref="KI230">SUMPRODUCT(--(MOD(COLUMN($II230:$KD230),4)=MOD(COLUMN($IK230),4)),$II230:$KD230)</f>
        <v/>
      </c>
      <c r="KJ230" s="346">
        <f>KI230*$J230</f>
        <v/>
      </c>
      <c r="KK230" s="80" t="n"/>
      <c r="KL230" s="80" t="n"/>
      <c r="KM230" s="80" t="n"/>
      <c r="KN230" s="51" t="n">
        <v>1</v>
      </c>
      <c r="KO230" s="285" t="inlineStr">
        <is>
          <t xml:space="preserve">TEBS 2s/2m </t>
        </is>
      </c>
    </row>
    <row r="231" outlineLevel="1" ht="43.2" customFormat="1" customHeight="1" s="68">
      <c r="A231" s="347" t="n"/>
      <c r="B231" s="347" t="n"/>
      <c r="C231" s="347" t="n"/>
      <c r="D231" s="347" t="n"/>
      <c r="E231" s="60" t="n">
        <v>2</v>
      </c>
      <c r="F231" s="60" t="n">
        <v>1</v>
      </c>
      <c r="G231" s="33" t="n">
        <v>9522010020</v>
      </c>
      <c r="H231" s="57" t="inlineStr">
        <is>
          <t>Головка соединительная (питающая)</t>
        </is>
      </c>
      <c r="I231" s="348">
        <f>89.6/1.2*1.1371</f>
        <v/>
      </c>
      <c r="J231" s="348">
        <f>89.6/1.2*1.1371</f>
        <v/>
      </c>
      <c r="K231" s="348" t="n"/>
      <c r="L231" s="348" t="n"/>
      <c r="M231" s="36" t="n"/>
      <c r="N231" s="284" t="n"/>
      <c r="O231" s="38" t="n"/>
      <c r="P231" s="284" t="n"/>
      <c r="Q231" s="36" t="n"/>
      <c r="R231" s="284" t="n"/>
      <c r="S231" s="38" t="n"/>
      <c r="T231" s="284" t="n"/>
      <c r="U231" s="36" t="n"/>
      <c r="V231" s="284" t="n"/>
      <c r="W231" s="38" t="n"/>
      <c r="X231" s="284" t="n"/>
      <c r="Y231" s="36" t="n"/>
      <c r="Z231" s="284" t="n"/>
      <c r="AA231" s="38" t="n"/>
      <c r="AB231" s="284" t="n"/>
      <c r="AC231" s="36" t="n"/>
      <c r="AD231" s="284" t="n"/>
      <c r="AE231" s="38" t="n"/>
      <c r="AF231" s="284" t="n"/>
      <c r="AG231" s="36" t="n"/>
      <c r="AH231" s="284" t="n"/>
      <c r="AI231" s="38" t="n"/>
      <c r="AJ231" s="284" t="n"/>
      <c r="AK231" s="36" t="n"/>
      <c r="AL231" s="284" t="n"/>
      <c r="AM231" s="38" t="n"/>
      <c r="AN231" s="284" t="n"/>
      <c r="AO231" s="36" t="n"/>
      <c r="AP231" s="284" t="n"/>
      <c r="AQ231" s="38" t="n"/>
      <c r="AR231" s="284" t="n"/>
      <c r="AS231" s="36" t="n"/>
      <c r="AT231" s="284" t="n"/>
      <c r="AU231" s="38" t="n"/>
      <c r="AV231" s="284" t="n"/>
      <c r="AW231" s="36" t="n"/>
      <c r="AX231" s="284" t="n"/>
      <c r="AY231" s="38" t="n"/>
      <c r="AZ231" s="96" t="n"/>
      <c r="BA231" s="36" t="n"/>
      <c r="BB231" s="284" t="n"/>
      <c r="BC231" s="99" t="n"/>
      <c r="BD231" s="284" t="n"/>
      <c r="BE231" s="36" t="n"/>
      <c r="BF231" s="284" t="n"/>
      <c r="BG231" s="78" t="n"/>
      <c r="BH231" s="347" t="n"/>
      <c r="BI231" s="338" t="n"/>
      <c r="BJ231" s="339" t="n"/>
      <c r="BK231" s="340" t="n"/>
      <c r="BL231" s="341" t="n"/>
      <c r="BM231" s="342" t="n"/>
      <c r="BN231" s="343" t="n"/>
      <c r="BO231" s="36" t="n"/>
      <c r="BP231" s="47" t="n"/>
      <c r="BQ231" s="284" t="n"/>
      <c r="BR231" s="38" t="n"/>
      <c r="BS231" s="96" t="n"/>
      <c r="BT231" s="36" t="n"/>
      <c r="BU231" s="47" t="n"/>
      <c r="BV231" s="284" t="n"/>
      <c r="BW231" s="38" t="n"/>
      <c r="BX231" s="284" t="n"/>
      <c r="BY231" s="36" t="n"/>
      <c r="BZ231" s="47" t="n"/>
      <c r="CA231" s="284" t="n"/>
      <c r="CB231" s="38" t="n"/>
      <c r="CC231" s="284" t="n"/>
      <c r="CD231" s="36" t="n"/>
      <c r="CE231" s="47" t="n"/>
      <c r="CF231" s="284" t="n"/>
      <c r="CG231" s="38" t="n"/>
      <c r="CH231" s="284" t="n"/>
      <c r="CI231" s="36" t="n"/>
      <c r="CJ231" s="47" t="n"/>
      <c r="CK231" s="284" t="n"/>
      <c r="CL231" s="38" t="n"/>
      <c r="CM231" s="96" t="n"/>
      <c r="CN231" s="36" t="n"/>
      <c r="CO231" s="47" t="n"/>
      <c r="CP231" s="284" t="n"/>
      <c r="CQ231" s="38" t="n"/>
      <c r="CR231" s="16" t="n"/>
      <c r="CS231" s="36" t="n"/>
      <c r="CT231" s="47" t="n"/>
      <c r="CU231" s="284" t="n"/>
      <c r="CV231" s="38" t="n">
        <v>3</v>
      </c>
      <c r="CW231" s="284" t="n"/>
      <c r="CX231" s="36" t="n"/>
      <c r="CY231" s="47" t="n"/>
      <c r="CZ231" s="284">
        <f>$KN231*0</f>
        <v/>
      </c>
      <c r="DA231" s="38" t="n">
        <v>0</v>
      </c>
      <c r="DB231" s="347" t="n"/>
      <c r="DC231" s="36" t="n"/>
      <c r="DD231" s="47" t="n"/>
      <c r="DE231" s="284" t="n"/>
      <c r="DF231" s="38" t="n">
        <v>0</v>
      </c>
      <c r="DG231" s="284" t="n"/>
      <c r="DH231" s="36" t="n"/>
      <c r="DI231" s="47" t="n"/>
      <c r="DJ231" s="284" t="n"/>
      <c r="DK231" s="38" t="n">
        <v>0</v>
      </c>
      <c r="DL231" s="284" t="n"/>
      <c r="DM231" s="36" t="n"/>
      <c r="DN231" s="47" t="n"/>
      <c r="DO231" s="284" t="n"/>
      <c r="DP231" s="38" t="n">
        <v>0</v>
      </c>
      <c r="DQ231" s="284" t="n"/>
      <c r="DR231" s="36" t="n"/>
      <c r="DS231" s="47" t="n"/>
      <c r="DT231" s="284" t="n">
        <v>6</v>
      </c>
      <c r="DU231" s="156" t="n">
        <v>6</v>
      </c>
      <c r="DV231" s="347" t="n"/>
      <c r="DW231" s="338">
        <f t="array" ref="DW231">SUMPRODUCT(--(MOD(COLUMN($BO231:$DV231),5)=MOD(COLUMN($BO231),5)),$BO231:$DV231)</f>
        <v/>
      </c>
      <c r="DX231" s="339">
        <f>DW231*$J231</f>
        <v/>
      </c>
      <c r="DY231" s="344">
        <f t="array" ref="DY231">SUMPRODUCT(--(MOD(COLUMN($BO231:$DV231),5)=MOD(COLUMN($BP231),5)),$BO231:$DV231)</f>
        <v/>
      </c>
      <c r="DZ231" s="345">
        <f>DY231*$J231</f>
        <v/>
      </c>
      <c r="EA231" s="340">
        <f t="array" ref="EA231">SUMPRODUCT(--(MOD(COLUMN($BO231:$DV231),5)=MOD(COLUMN($BQ231),5)),$BO231:$DV231)</f>
        <v/>
      </c>
      <c r="EB231" s="341">
        <f>EA231*$J231</f>
        <v/>
      </c>
      <c r="EC231" s="342">
        <f t="array" ref="EC231">SUMPRODUCT(--(MOD(COLUMN($BO231:$DV231),5)=MOD(COLUMN($BR231),5)),$BO231:$DV231)</f>
        <v/>
      </c>
      <c r="ED231" s="343">
        <f>EC231*$J231</f>
        <v/>
      </c>
      <c r="EE231" s="36" t="n">
        <v>4</v>
      </c>
      <c r="EF231" s="284" t="n">
        <v>0</v>
      </c>
      <c r="EG231" s="38" t="n">
        <v>0</v>
      </c>
      <c r="EH231" s="284" t="n"/>
      <c r="EI231" s="36" t="n"/>
      <c r="EJ231" s="284" t="n"/>
      <c r="EK231" s="38" t="n">
        <v>0</v>
      </c>
      <c r="EL231" s="284" t="n"/>
      <c r="EM231" s="36" t="n"/>
      <c r="EN231" s="284" t="n"/>
      <c r="EO231" s="38" t="n"/>
      <c r="EP231" s="284" t="n"/>
      <c r="EQ231" s="36" t="n"/>
      <c r="ER231" s="284" t="n"/>
      <c r="ES231" s="38" t="n"/>
      <c r="ET231" s="284" t="n"/>
      <c r="EU231" s="36" t="n"/>
      <c r="EV231" s="284" t="n"/>
      <c r="EW231" s="38" t="n"/>
      <c r="EX231" s="284" t="n"/>
      <c r="EY231" s="36" t="n"/>
      <c r="EZ231" s="284" t="n"/>
      <c r="FA231" s="38" t="n"/>
      <c r="FB231" s="284" t="n"/>
      <c r="FC231" s="36" t="n"/>
      <c r="FD231" s="284" t="n"/>
      <c r="FE231" s="38" t="n"/>
      <c r="FF231" s="284" t="n"/>
      <c r="FG231" s="36" t="n"/>
      <c r="FH231" s="284" t="n"/>
      <c r="FI231" s="38" t="n"/>
      <c r="FJ231" s="284" t="n"/>
      <c r="FK231" s="36" t="n"/>
      <c r="FL231" s="284" t="n"/>
      <c r="FM231" s="38" t="n"/>
      <c r="FN231" s="284" t="n"/>
      <c r="FO231" s="36" t="n"/>
      <c r="FP231" s="284" t="n"/>
      <c r="FQ231" s="38" t="n"/>
      <c r="FR231" s="284" t="n"/>
      <c r="FS231" s="36" t="n"/>
      <c r="FT231" s="284" t="n"/>
      <c r="FU231" s="38" t="n"/>
      <c r="FV231" s="284" t="n"/>
      <c r="FW231" s="36" t="n"/>
      <c r="FX231" s="284" t="n"/>
      <c r="FY231" s="38" t="n"/>
      <c r="FZ231" s="284" t="n"/>
      <c r="GA231" s="338">
        <f>SUMPRODUCT(--(MOD(COLUMN($EE231:$FZ231),4)=MOD(COLUMN($EE231),4)),$EE231:$FZ231)</f>
        <v/>
      </c>
      <c r="GB231" s="339">
        <f>GA231*$J231</f>
        <v/>
      </c>
      <c r="GC231" s="340">
        <f>SUMPRODUCT(--(MOD(COLUMN($EE231:$FZ231),4)=MOD(COLUMN($EF231),4)),$EE231:$FZ231)</f>
        <v/>
      </c>
      <c r="GD231" s="341">
        <f>GC231*$J231</f>
        <v/>
      </c>
      <c r="GE231" s="342">
        <f>SUMPRODUCT(--(MOD(COLUMN($EE231:$FZ231),4)=MOD(COLUMN($EG231),4)),$EE231:$FZ231)</f>
        <v/>
      </c>
      <c r="GF231" s="343">
        <f>GE231*$J231</f>
        <v/>
      </c>
      <c r="GG231" s="36" t="n"/>
      <c r="GH231" s="284" t="n"/>
      <c r="GI231" s="38" t="n"/>
      <c r="GJ231" s="284" t="n"/>
      <c r="GK231" s="36" t="n"/>
      <c r="GL231" s="284" t="n"/>
      <c r="GM231" s="38" t="n"/>
      <c r="GN231" s="284" t="n"/>
      <c r="GO231" s="36" t="n"/>
      <c r="GP231" s="284" t="n"/>
      <c r="GQ231" s="38" t="n"/>
      <c r="GR231" s="284" t="n"/>
      <c r="GS231" s="36" t="n"/>
      <c r="GT231" s="284" t="n"/>
      <c r="GU231" s="38" t="n"/>
      <c r="GV231" s="284" t="n"/>
      <c r="GW231" s="36" t="n"/>
      <c r="GX231" s="284" t="n"/>
      <c r="GY231" s="38" t="n"/>
      <c r="GZ231" s="284" t="n"/>
      <c r="HA231" s="36" t="n"/>
      <c r="HB231" s="284" t="n"/>
      <c r="HC231" s="38" t="n"/>
      <c r="HD231" s="284" t="n"/>
      <c r="HE231" s="36" t="n"/>
      <c r="HF231" s="284" t="n"/>
      <c r="HG231" s="38" t="n"/>
      <c r="HH231" s="284" t="n"/>
      <c r="HI231" s="36" t="n"/>
      <c r="HJ231" s="284" t="n"/>
      <c r="HK231" s="38" t="n"/>
      <c r="HL231" s="284" t="n"/>
      <c r="HM231" s="36" t="n"/>
      <c r="HN231" s="284" t="n"/>
      <c r="HO231" s="38" t="n"/>
      <c r="HP231" s="284" t="n"/>
      <c r="HQ231" s="36" t="n"/>
      <c r="HR231" s="284" t="n"/>
      <c r="HS231" s="38" t="n"/>
      <c r="HT231" s="284" t="n"/>
      <c r="HU231" s="36" t="n"/>
      <c r="HV231" s="284" t="n"/>
      <c r="HW231" s="38" t="n"/>
      <c r="HX231" s="284" t="n"/>
      <c r="HY231" s="36" t="n"/>
      <c r="HZ231" s="284" t="n"/>
      <c r="IA231" s="38" t="n"/>
      <c r="IB231" s="284" t="n"/>
      <c r="IC231" s="338">
        <f t="array" ref="IC231">SUMPRODUCT(--(MOD(COLUMN($GG231:$IB231),4)=MOD(COLUMN($GG231),4)),$GG231:$IB231)</f>
        <v/>
      </c>
      <c r="ID231" s="339">
        <f>IC231*$J231</f>
        <v/>
      </c>
      <c r="IE231" s="340">
        <f t="array" ref="IE231">SUMPRODUCT(--(MOD(COLUMN($GG231:$IB231),4)=MOD(COLUMN($GH231),4)),$GG231:$IB231)</f>
        <v/>
      </c>
      <c r="IF231" s="341">
        <f>IE231*$J231</f>
        <v/>
      </c>
      <c r="IG231" s="342">
        <f t="array" ref="IG231">SUMPRODUCT(--(MOD(COLUMN($GG231:$IB231),4)=MOD(COLUMN($GI231),4)),$GG231:$IB231)</f>
        <v/>
      </c>
      <c r="IH231" s="343">
        <f>IG231*$J231</f>
        <v/>
      </c>
      <c r="II231" s="36" t="n"/>
      <c r="IJ231" s="284" t="n"/>
      <c r="IK231" s="38" t="n"/>
      <c r="IL231" s="284" t="n"/>
      <c r="IM231" s="36" t="n"/>
      <c r="IN231" s="284" t="n"/>
      <c r="IO231" s="38" t="n"/>
      <c r="IP231" s="284" t="n"/>
      <c r="IQ231" s="36" t="n"/>
      <c r="IR231" s="284" t="n"/>
      <c r="IS231" s="38" t="n"/>
      <c r="IT231" s="284" t="n"/>
      <c r="IU231" s="36" t="n"/>
      <c r="IV231" s="284" t="n"/>
      <c r="IW231" s="38" t="n"/>
      <c r="IX231" s="284" t="n"/>
      <c r="IY231" s="36" t="n"/>
      <c r="IZ231" s="284" t="n"/>
      <c r="JA231" s="38" t="n"/>
      <c r="JB231" s="284" t="n"/>
      <c r="JC231" s="36" t="n"/>
      <c r="JD231" s="284" t="n"/>
      <c r="JE231" s="38" t="n"/>
      <c r="JF231" s="284" t="n"/>
      <c r="JG231" s="36" t="n"/>
      <c r="JH231" s="284" t="n"/>
      <c r="JI231" s="38" t="n"/>
      <c r="JJ231" s="284" t="n"/>
      <c r="JK231" s="36" t="n"/>
      <c r="JL231" s="284" t="n"/>
      <c r="JM231" s="38" t="n"/>
      <c r="JN231" s="284" t="n"/>
      <c r="JO231" s="36" t="n"/>
      <c r="JP231" s="284" t="n"/>
      <c r="JQ231" s="38" t="n"/>
      <c r="JR231" s="284" t="n"/>
      <c r="JS231" s="36" t="n"/>
      <c r="JT231" s="284" t="n"/>
      <c r="JU231" s="38" t="n"/>
      <c r="JV231" s="284" t="n"/>
      <c r="JW231" s="36" t="n"/>
      <c r="JX231" s="284" t="n"/>
      <c r="JY231" s="38" t="n"/>
      <c r="JZ231" s="284" t="n"/>
      <c r="KA231" s="36" t="n"/>
      <c r="KB231" s="284" t="n"/>
      <c r="KC231" s="38" t="n"/>
      <c r="KD231" s="284" t="n"/>
      <c r="KE231" s="338">
        <f t="array" ref="KE231">SUMPRODUCT(--(MOD(COLUMN($II231:$KD231),4)=MOD(COLUMN($II231),4)),$II231:$KD231)</f>
        <v/>
      </c>
      <c r="KF231" s="339">
        <f>KE231*$J231</f>
        <v/>
      </c>
      <c r="KG231" s="340">
        <f t="array" ref="KG231">SUMPRODUCT(--(MOD(COLUMN($II231:$KD231),4)=MOD(COLUMN($IJ231),4)),$II231:$KD231)</f>
        <v/>
      </c>
      <c r="KH231" s="341">
        <f>KG231*$J231</f>
        <v/>
      </c>
      <c r="KI231" s="342">
        <f t="array" ref="KI231">SUMPRODUCT(--(MOD(COLUMN($II231:$KD231),4)=MOD(COLUMN($IK231),4)),$II231:$KD231)</f>
        <v/>
      </c>
      <c r="KJ231" s="346">
        <f>KI231*$J231</f>
        <v/>
      </c>
      <c r="KK231" s="80" t="n"/>
      <c r="KL231" s="80" t="n"/>
      <c r="KM231" s="80" t="n"/>
      <c r="KN231" s="51" t="n">
        <v>1</v>
      </c>
      <c r="KO231" s="347" t="n"/>
    </row>
    <row r="232" outlineLevel="1" ht="43.2" customFormat="1" customHeight="1" s="68">
      <c r="A232" s="347" t="n"/>
      <c r="B232" s="347" t="n"/>
      <c r="C232" s="347" t="n"/>
      <c r="D232" s="347" t="n"/>
      <c r="E232" s="60" t="n">
        <v>3</v>
      </c>
      <c r="F232" s="60" t="n">
        <v>1</v>
      </c>
      <c r="G232" s="33" t="n">
        <v>9710029000</v>
      </c>
      <c r="H232" s="57" t="inlineStr">
        <is>
          <t>Воздухораспределитель с клапаном растормаживания</t>
        </is>
      </c>
      <c r="I232" s="348">
        <f>639/1.2*1.1371</f>
        <v/>
      </c>
      <c r="J232" s="348">
        <f>639/1.2*1.1371</f>
        <v/>
      </c>
      <c r="K232" s="348" t="n"/>
      <c r="L232" s="348" t="n"/>
      <c r="M232" s="36" t="n"/>
      <c r="N232" s="284" t="n"/>
      <c r="O232" s="38" t="n"/>
      <c r="P232" s="284" t="n"/>
      <c r="Q232" s="36" t="n"/>
      <c r="R232" s="284" t="n"/>
      <c r="S232" s="38" t="n"/>
      <c r="T232" s="284" t="n"/>
      <c r="U232" s="36" t="n"/>
      <c r="V232" s="284" t="n"/>
      <c r="W232" s="38" t="n"/>
      <c r="X232" s="284" t="n"/>
      <c r="Y232" s="36" t="n"/>
      <c r="Z232" s="284" t="n"/>
      <c r="AA232" s="38" t="n"/>
      <c r="AB232" s="284" t="n"/>
      <c r="AC232" s="36" t="n"/>
      <c r="AD232" s="284" t="n"/>
      <c r="AE232" s="38" t="n"/>
      <c r="AF232" s="284" t="n"/>
      <c r="AG232" s="36" t="n"/>
      <c r="AH232" s="284" t="n"/>
      <c r="AI232" s="38" t="n"/>
      <c r="AJ232" s="284" t="n"/>
      <c r="AK232" s="36" t="n"/>
      <c r="AL232" s="284" t="n"/>
      <c r="AM232" s="38" t="n"/>
      <c r="AN232" s="284" t="n"/>
      <c r="AO232" s="36" t="n"/>
      <c r="AP232" s="284" t="n"/>
      <c r="AQ232" s="38" t="n"/>
      <c r="AR232" s="284" t="n"/>
      <c r="AS232" s="36" t="n"/>
      <c r="AT232" s="284" t="n"/>
      <c r="AU232" s="38" t="n"/>
      <c r="AV232" s="284" t="n"/>
      <c r="AW232" s="36" t="n"/>
      <c r="AX232" s="284" t="n"/>
      <c r="AY232" s="38" t="n"/>
      <c r="AZ232" s="96" t="n"/>
      <c r="BA232" s="36" t="n"/>
      <c r="BB232" s="284" t="n"/>
      <c r="BC232" s="99" t="n"/>
      <c r="BD232" s="284" t="n"/>
      <c r="BE232" s="36" t="n"/>
      <c r="BF232" s="284" t="n"/>
      <c r="BG232" s="78" t="n"/>
      <c r="BH232" s="347" t="n"/>
      <c r="BI232" s="338" t="n"/>
      <c r="BJ232" s="339" t="n"/>
      <c r="BK232" s="340" t="n"/>
      <c r="BL232" s="341" t="n"/>
      <c r="BM232" s="342" t="n"/>
      <c r="BN232" s="343" t="n"/>
      <c r="BO232" s="36" t="n"/>
      <c r="BP232" s="47" t="n"/>
      <c r="BQ232" s="284" t="n"/>
      <c r="BR232" s="38" t="n"/>
      <c r="BS232" s="96" t="n"/>
      <c r="BT232" s="36" t="n"/>
      <c r="BU232" s="47" t="n"/>
      <c r="BV232" s="284" t="n"/>
      <c r="BW232" s="38" t="n"/>
      <c r="BX232" s="284" t="n"/>
      <c r="BY232" s="36" t="n"/>
      <c r="BZ232" s="47" t="n"/>
      <c r="CA232" s="284" t="n"/>
      <c r="CB232" s="38" t="n"/>
      <c r="CC232" s="284" t="n"/>
      <c r="CD232" s="36" t="n"/>
      <c r="CE232" s="47" t="n"/>
      <c r="CF232" s="284" t="n"/>
      <c r="CG232" s="38" t="n"/>
      <c r="CH232" s="284" t="n"/>
      <c r="CI232" s="36" t="n"/>
      <c r="CJ232" s="47" t="n"/>
      <c r="CK232" s="284" t="n"/>
      <c r="CL232" s="38" t="n"/>
      <c r="CM232" s="96" t="n"/>
      <c r="CN232" s="36" t="n"/>
      <c r="CO232" s="47" t="n"/>
      <c r="CP232" s="284" t="n"/>
      <c r="CQ232" s="38" t="n"/>
      <c r="CR232" s="16" t="n"/>
      <c r="CS232" s="36" t="n"/>
      <c r="CT232" s="47" t="n"/>
      <c r="CU232" s="284" t="n"/>
      <c r="CV232" s="38" t="n">
        <v>3</v>
      </c>
      <c r="CW232" s="284" t="n"/>
      <c r="CX232" s="36" t="n"/>
      <c r="CY232" s="47" t="n"/>
      <c r="CZ232" s="284">
        <f>$KN232*0</f>
        <v/>
      </c>
      <c r="DA232" s="38" t="n">
        <v>0</v>
      </c>
      <c r="DB232" s="347" t="n"/>
      <c r="DC232" s="36" t="n"/>
      <c r="DD232" s="47" t="n"/>
      <c r="DE232" s="284" t="n"/>
      <c r="DF232" s="38" t="n">
        <v>0</v>
      </c>
      <c r="DG232" s="284" t="n"/>
      <c r="DH232" s="36" t="n"/>
      <c r="DI232" s="47" t="n"/>
      <c r="DJ232" s="284" t="n"/>
      <c r="DK232" s="38" t="n">
        <v>0</v>
      </c>
      <c r="DL232" s="284" t="n"/>
      <c r="DM232" s="36" t="n"/>
      <c r="DN232" s="47" t="n"/>
      <c r="DO232" s="284" t="n"/>
      <c r="DP232" s="38" t="n">
        <v>0</v>
      </c>
      <c r="DQ232" s="284" t="n"/>
      <c r="DR232" s="36" t="n"/>
      <c r="DS232" s="47" t="n"/>
      <c r="DT232" s="284" t="n">
        <v>6</v>
      </c>
      <c r="DU232" s="156" t="n">
        <v>6</v>
      </c>
      <c r="DV232" s="347" t="n"/>
      <c r="DW232" s="338">
        <f t="array" ref="DW232">SUMPRODUCT(--(MOD(COLUMN($BO232:$DV232),5)=MOD(COLUMN($BO232),5)),$BO232:$DV232)</f>
        <v/>
      </c>
      <c r="DX232" s="339">
        <f>DW232*$J232</f>
        <v/>
      </c>
      <c r="DY232" s="344">
        <f t="array" ref="DY232">SUMPRODUCT(--(MOD(COLUMN($BO232:$DV232),5)=MOD(COLUMN($BP232),5)),$BO232:$DV232)</f>
        <v/>
      </c>
      <c r="DZ232" s="345">
        <f>DY232*$J232</f>
        <v/>
      </c>
      <c r="EA232" s="340">
        <f t="array" ref="EA232">SUMPRODUCT(--(MOD(COLUMN($BO232:$DV232),5)=MOD(COLUMN($BQ232),5)),$BO232:$DV232)</f>
        <v/>
      </c>
      <c r="EB232" s="341">
        <f>EA232*$J232</f>
        <v/>
      </c>
      <c r="EC232" s="342">
        <f t="array" ref="EC232">SUMPRODUCT(--(MOD(COLUMN($BO232:$DV232),5)=MOD(COLUMN($BR232),5)),$BO232:$DV232)</f>
        <v/>
      </c>
      <c r="ED232" s="343">
        <f>EC232*$J232</f>
        <v/>
      </c>
      <c r="EE232" s="36" t="n">
        <v>4</v>
      </c>
      <c r="EF232" s="284" t="n">
        <v>0</v>
      </c>
      <c r="EG232" s="38" t="n">
        <v>0</v>
      </c>
      <c r="EH232" s="284" t="n"/>
      <c r="EI232" s="36" t="n"/>
      <c r="EJ232" s="284" t="n"/>
      <c r="EK232" s="38" t="n">
        <v>0</v>
      </c>
      <c r="EL232" s="284" t="n"/>
      <c r="EM232" s="36" t="n"/>
      <c r="EN232" s="284" t="n"/>
      <c r="EO232" s="38" t="n"/>
      <c r="EP232" s="284" t="n"/>
      <c r="EQ232" s="36" t="n"/>
      <c r="ER232" s="284" t="n"/>
      <c r="ES232" s="38" t="n"/>
      <c r="ET232" s="284" t="n"/>
      <c r="EU232" s="36" t="n"/>
      <c r="EV232" s="284" t="n"/>
      <c r="EW232" s="38" t="n"/>
      <c r="EX232" s="284" t="n"/>
      <c r="EY232" s="36" t="n"/>
      <c r="EZ232" s="284" t="n"/>
      <c r="FA232" s="38" t="n"/>
      <c r="FB232" s="284" t="n"/>
      <c r="FC232" s="36" t="n"/>
      <c r="FD232" s="284" t="n"/>
      <c r="FE232" s="38" t="n"/>
      <c r="FF232" s="284" t="n"/>
      <c r="FG232" s="36" t="n"/>
      <c r="FH232" s="284" t="n"/>
      <c r="FI232" s="38" t="n"/>
      <c r="FJ232" s="284" t="n"/>
      <c r="FK232" s="36" t="n"/>
      <c r="FL232" s="284" t="n"/>
      <c r="FM232" s="38" t="n"/>
      <c r="FN232" s="284" t="n"/>
      <c r="FO232" s="36" t="n"/>
      <c r="FP232" s="284" t="n"/>
      <c r="FQ232" s="38" t="n"/>
      <c r="FR232" s="284" t="n"/>
      <c r="FS232" s="36" t="n"/>
      <c r="FT232" s="284" t="n"/>
      <c r="FU232" s="38" t="n"/>
      <c r="FV232" s="284" t="n"/>
      <c r="FW232" s="36" t="n"/>
      <c r="FX232" s="284" t="n"/>
      <c r="FY232" s="38" t="n"/>
      <c r="FZ232" s="284" t="n"/>
      <c r="GA232" s="338">
        <f>SUMPRODUCT(--(MOD(COLUMN($EE232:$FZ232),4)=MOD(COLUMN($EE232),4)),$EE232:$FZ232)</f>
        <v/>
      </c>
      <c r="GB232" s="339">
        <f>GA232*$J232</f>
        <v/>
      </c>
      <c r="GC232" s="340">
        <f>SUMPRODUCT(--(MOD(COLUMN($EE232:$FZ232),4)=MOD(COLUMN($EF232),4)),$EE232:$FZ232)</f>
        <v/>
      </c>
      <c r="GD232" s="341">
        <f>GC232*$J232</f>
        <v/>
      </c>
      <c r="GE232" s="342">
        <f>SUMPRODUCT(--(MOD(COLUMN($EE232:$FZ232),4)=MOD(COLUMN($EG232),4)),$EE232:$FZ232)</f>
        <v/>
      </c>
      <c r="GF232" s="343">
        <f>GE232*$J232</f>
        <v/>
      </c>
      <c r="GG232" s="36" t="n"/>
      <c r="GH232" s="284" t="n"/>
      <c r="GI232" s="38" t="n"/>
      <c r="GJ232" s="284" t="n"/>
      <c r="GK232" s="36" t="n"/>
      <c r="GL232" s="284" t="n"/>
      <c r="GM232" s="38" t="n"/>
      <c r="GN232" s="284" t="n"/>
      <c r="GO232" s="36" t="n"/>
      <c r="GP232" s="284" t="n"/>
      <c r="GQ232" s="38" t="n"/>
      <c r="GR232" s="284" t="n"/>
      <c r="GS232" s="36" t="n"/>
      <c r="GT232" s="284" t="n"/>
      <c r="GU232" s="38" t="n"/>
      <c r="GV232" s="284" t="n"/>
      <c r="GW232" s="36" t="n"/>
      <c r="GX232" s="284" t="n"/>
      <c r="GY232" s="38" t="n"/>
      <c r="GZ232" s="284" t="n"/>
      <c r="HA232" s="36" t="n"/>
      <c r="HB232" s="284" t="n"/>
      <c r="HC232" s="38" t="n"/>
      <c r="HD232" s="284" t="n"/>
      <c r="HE232" s="36" t="n"/>
      <c r="HF232" s="284" t="n"/>
      <c r="HG232" s="38" t="n"/>
      <c r="HH232" s="284" t="n"/>
      <c r="HI232" s="36" t="n"/>
      <c r="HJ232" s="284" t="n"/>
      <c r="HK232" s="38" t="n"/>
      <c r="HL232" s="284" t="n"/>
      <c r="HM232" s="36" t="n"/>
      <c r="HN232" s="284" t="n"/>
      <c r="HO232" s="38" t="n"/>
      <c r="HP232" s="284" t="n"/>
      <c r="HQ232" s="36" t="n"/>
      <c r="HR232" s="284" t="n"/>
      <c r="HS232" s="38" t="n"/>
      <c r="HT232" s="284" t="n"/>
      <c r="HU232" s="36" t="n"/>
      <c r="HV232" s="284" t="n"/>
      <c r="HW232" s="38" t="n"/>
      <c r="HX232" s="284" t="n"/>
      <c r="HY232" s="36" t="n"/>
      <c r="HZ232" s="284" t="n"/>
      <c r="IA232" s="38" t="n"/>
      <c r="IB232" s="284" t="n"/>
      <c r="IC232" s="338">
        <f t="array" ref="IC232">SUMPRODUCT(--(MOD(COLUMN($GG232:$IB232),4)=MOD(COLUMN($GG232),4)),$GG232:$IB232)</f>
        <v/>
      </c>
      <c r="ID232" s="339">
        <f>IC232*$J232</f>
        <v/>
      </c>
      <c r="IE232" s="340">
        <f t="array" ref="IE232">SUMPRODUCT(--(MOD(COLUMN($GG232:$IB232),4)=MOD(COLUMN($GH232),4)),$GG232:$IB232)</f>
        <v/>
      </c>
      <c r="IF232" s="341">
        <f>IE232*$J232</f>
        <v/>
      </c>
      <c r="IG232" s="342">
        <f t="array" ref="IG232">SUMPRODUCT(--(MOD(COLUMN($GG232:$IB232),4)=MOD(COLUMN($GI232),4)),$GG232:$IB232)</f>
        <v/>
      </c>
      <c r="IH232" s="343">
        <f>IG232*$J232</f>
        <v/>
      </c>
      <c r="II232" s="36" t="n"/>
      <c r="IJ232" s="284" t="n"/>
      <c r="IK232" s="38" t="n"/>
      <c r="IL232" s="284" t="n"/>
      <c r="IM232" s="36" t="n"/>
      <c r="IN232" s="284" t="n"/>
      <c r="IO232" s="38" t="n"/>
      <c r="IP232" s="284" t="n"/>
      <c r="IQ232" s="36" t="n"/>
      <c r="IR232" s="284" t="n"/>
      <c r="IS232" s="38" t="n"/>
      <c r="IT232" s="284" t="n"/>
      <c r="IU232" s="36" t="n"/>
      <c r="IV232" s="284" t="n"/>
      <c r="IW232" s="38" t="n"/>
      <c r="IX232" s="284" t="n"/>
      <c r="IY232" s="36" t="n"/>
      <c r="IZ232" s="284" t="n"/>
      <c r="JA232" s="38" t="n"/>
      <c r="JB232" s="284" t="n"/>
      <c r="JC232" s="36" t="n"/>
      <c r="JD232" s="284" t="n"/>
      <c r="JE232" s="38" t="n"/>
      <c r="JF232" s="284" t="n"/>
      <c r="JG232" s="36" t="n"/>
      <c r="JH232" s="284" t="n"/>
      <c r="JI232" s="38" t="n"/>
      <c r="JJ232" s="284" t="n"/>
      <c r="JK232" s="36" t="n"/>
      <c r="JL232" s="284" t="n"/>
      <c r="JM232" s="38" t="n"/>
      <c r="JN232" s="284" t="n"/>
      <c r="JO232" s="36" t="n"/>
      <c r="JP232" s="284" t="n"/>
      <c r="JQ232" s="38" t="n"/>
      <c r="JR232" s="284" t="n"/>
      <c r="JS232" s="36" t="n"/>
      <c r="JT232" s="284" t="n"/>
      <c r="JU232" s="38" t="n"/>
      <c r="JV232" s="284" t="n"/>
      <c r="JW232" s="36" t="n"/>
      <c r="JX232" s="284" t="n"/>
      <c r="JY232" s="38" t="n"/>
      <c r="JZ232" s="284" t="n"/>
      <c r="KA232" s="36" t="n"/>
      <c r="KB232" s="284" t="n"/>
      <c r="KC232" s="38" t="n"/>
      <c r="KD232" s="284" t="n"/>
      <c r="KE232" s="338">
        <f t="array" ref="KE232">SUMPRODUCT(--(MOD(COLUMN($II232:$KD232),4)=MOD(COLUMN($II232),4)),$II232:$KD232)</f>
        <v/>
      </c>
      <c r="KF232" s="339">
        <f>KE232*$J232</f>
        <v/>
      </c>
      <c r="KG232" s="340">
        <f t="array" ref="KG232">SUMPRODUCT(--(MOD(COLUMN($II232:$KD232),4)=MOD(COLUMN($IJ232),4)),$II232:$KD232)</f>
        <v/>
      </c>
      <c r="KH232" s="341">
        <f>KG232*$J232</f>
        <v/>
      </c>
      <c r="KI232" s="342">
        <f t="array" ref="KI232">SUMPRODUCT(--(MOD(COLUMN($II232:$KD232),4)=MOD(COLUMN($IK232),4)),$II232:$KD232)</f>
        <v/>
      </c>
      <c r="KJ232" s="346">
        <f>KI232*$J232</f>
        <v/>
      </c>
      <c r="KK232" s="80" t="n"/>
      <c r="KL232" s="80" t="n"/>
      <c r="KM232" s="80" t="n"/>
      <c r="KN232" s="51" t="n">
        <v>1</v>
      </c>
      <c r="KO232" s="347" t="n"/>
    </row>
    <row r="233" outlineLevel="1" ht="28.8" customFormat="1" customHeight="1" s="68">
      <c r="A233" s="347" t="n"/>
      <c r="B233" s="347" t="n"/>
      <c r="C233" s="347" t="n"/>
      <c r="D233" s="347" t="n"/>
      <c r="E233" s="60" t="n">
        <v>4</v>
      </c>
      <c r="F233" s="60" t="n">
        <v>1</v>
      </c>
      <c r="G233" s="33" t="n">
        <v>4801020640</v>
      </c>
      <c r="H233" s="57" t="inlineStr">
        <is>
          <t>Модулятор EBS, с PEM, без фит.</t>
        </is>
      </c>
      <c r="I233" s="348">
        <f>4169.1/1.2*1.1371*1.048</f>
        <v/>
      </c>
      <c r="J233" s="337">
        <f>4169/1.2*1.1371*1.048*1.05</f>
        <v/>
      </c>
      <c r="K233" s="348" t="n"/>
      <c r="L233" s="348" t="n"/>
      <c r="M233" s="36" t="n"/>
      <c r="N233" s="284" t="n"/>
      <c r="O233" s="38" t="n"/>
      <c r="P233" s="284" t="n"/>
      <c r="Q233" s="36" t="n"/>
      <c r="R233" s="284" t="n"/>
      <c r="S233" s="38" t="n"/>
      <c r="T233" s="284" t="n"/>
      <c r="U233" s="36" t="n"/>
      <c r="V233" s="284" t="n"/>
      <c r="W233" s="38" t="n"/>
      <c r="X233" s="284" t="n"/>
      <c r="Y233" s="36" t="n"/>
      <c r="Z233" s="284" t="n"/>
      <c r="AA233" s="38" t="n"/>
      <c r="AB233" s="284" t="n"/>
      <c r="AC233" s="36" t="n"/>
      <c r="AD233" s="284" t="n"/>
      <c r="AE233" s="38" t="n"/>
      <c r="AF233" s="284" t="n"/>
      <c r="AG233" s="36" t="n"/>
      <c r="AH233" s="284" t="n"/>
      <c r="AI233" s="38" t="n"/>
      <c r="AJ233" s="284" t="n"/>
      <c r="AK233" s="36" t="n"/>
      <c r="AL233" s="284" t="n"/>
      <c r="AM233" s="38" t="n"/>
      <c r="AN233" s="284" t="n"/>
      <c r="AO233" s="36" t="n"/>
      <c r="AP233" s="284" t="n"/>
      <c r="AQ233" s="38" t="n"/>
      <c r="AR233" s="284" t="n"/>
      <c r="AS233" s="36" t="n"/>
      <c r="AT233" s="284" t="n"/>
      <c r="AU233" s="38" t="n"/>
      <c r="AV233" s="284" t="n"/>
      <c r="AW233" s="36" t="n"/>
      <c r="AX233" s="284" t="n"/>
      <c r="AY233" s="38" t="n"/>
      <c r="AZ233" s="96" t="n"/>
      <c r="BA233" s="36" t="n"/>
      <c r="BB233" s="284" t="n"/>
      <c r="BC233" s="99" t="n"/>
      <c r="BD233" s="284" t="n"/>
      <c r="BE233" s="36" t="n"/>
      <c r="BF233" s="284" t="n"/>
      <c r="BG233" s="78" t="n"/>
      <c r="BH233" s="347" t="n"/>
      <c r="BI233" s="338" t="n"/>
      <c r="BJ233" s="339" t="n"/>
      <c r="BK233" s="340" t="n"/>
      <c r="BL233" s="341" t="n"/>
      <c r="BM233" s="342" t="n"/>
      <c r="BN233" s="343" t="n"/>
      <c r="BO233" s="36" t="n"/>
      <c r="BP233" s="47" t="n"/>
      <c r="BQ233" s="284" t="n"/>
      <c r="BR233" s="38" t="n"/>
      <c r="BS233" s="96" t="n"/>
      <c r="BT233" s="36" t="n"/>
      <c r="BU233" s="47" t="n"/>
      <c r="BV233" s="284" t="n"/>
      <c r="BW233" s="38" t="n"/>
      <c r="BX233" s="284" t="n"/>
      <c r="BY233" s="36" t="n"/>
      <c r="BZ233" s="47" t="n"/>
      <c r="CA233" s="284" t="n"/>
      <c r="CB233" s="38" t="n"/>
      <c r="CC233" s="284" t="n"/>
      <c r="CD233" s="36" t="n"/>
      <c r="CE233" s="47" t="n"/>
      <c r="CF233" s="284" t="n"/>
      <c r="CG233" s="38" t="n"/>
      <c r="CH233" s="284" t="n"/>
      <c r="CI233" s="36" t="n"/>
      <c r="CJ233" s="47" t="n"/>
      <c r="CK233" s="284" t="n"/>
      <c r="CL233" s="38" t="n"/>
      <c r="CM233" s="96" t="n"/>
      <c r="CN233" s="36" t="n"/>
      <c r="CO233" s="47" t="n"/>
      <c r="CP233" s="284" t="n"/>
      <c r="CQ233" s="38" t="n"/>
      <c r="CR233" s="16" t="n"/>
      <c r="CS233" s="36" t="n"/>
      <c r="CT233" s="47" t="n"/>
      <c r="CU233" s="284" t="n"/>
      <c r="CV233" s="38" t="n">
        <v>3</v>
      </c>
      <c r="CW233" s="284" t="n"/>
      <c r="CX233" s="36" t="n"/>
      <c r="CY233" s="47" t="n"/>
      <c r="CZ233" s="284">
        <f>$KN233*0</f>
        <v/>
      </c>
      <c r="DA233" s="38" t="n">
        <v>0</v>
      </c>
      <c r="DB233" s="347" t="n"/>
      <c r="DC233" s="36" t="n"/>
      <c r="DD233" s="47" t="n"/>
      <c r="DE233" s="284" t="n"/>
      <c r="DF233" s="38" t="n">
        <v>0</v>
      </c>
      <c r="DG233" s="284" t="n"/>
      <c r="DH233" s="36" t="n"/>
      <c r="DI233" s="47" t="n"/>
      <c r="DJ233" s="284" t="n"/>
      <c r="DK233" s="38" t="n">
        <v>0</v>
      </c>
      <c r="DL233" s="284" t="n"/>
      <c r="DM233" s="36" t="n"/>
      <c r="DN233" s="47" t="n"/>
      <c r="DO233" s="284" t="n"/>
      <c r="DP233" s="38" t="n">
        <v>0</v>
      </c>
      <c r="DQ233" s="284" t="n"/>
      <c r="DR233" s="36" t="n"/>
      <c r="DS233" s="47" t="n"/>
      <c r="DT233" s="284" t="n">
        <v>6</v>
      </c>
      <c r="DU233" s="156" t="n">
        <v>6</v>
      </c>
      <c r="DV233" s="347" t="n"/>
      <c r="DW233" s="338">
        <f t="array" ref="DW233">SUMPRODUCT(--(MOD(COLUMN($BO233:$DV233),5)=MOD(COLUMN($BO233),5)),$BO233:$DV233)</f>
        <v/>
      </c>
      <c r="DX233" s="339">
        <f>DW233*$J233</f>
        <v/>
      </c>
      <c r="DY233" s="344">
        <f t="array" ref="DY233">SUMPRODUCT(--(MOD(COLUMN($BO233:$DV233),5)=MOD(COLUMN($BP233),5)),$BO233:$DV233)</f>
        <v/>
      </c>
      <c r="DZ233" s="345">
        <f>DY233*$J233</f>
        <v/>
      </c>
      <c r="EA233" s="340">
        <f t="array" ref="EA233">SUMPRODUCT(--(MOD(COLUMN($BO233:$DV233),5)=MOD(COLUMN($BQ233),5)),$BO233:$DV233)</f>
        <v/>
      </c>
      <c r="EB233" s="341">
        <f>EA233*$J233</f>
        <v/>
      </c>
      <c r="EC233" s="342">
        <f t="array" ref="EC233">SUMPRODUCT(--(MOD(COLUMN($BO233:$DV233),5)=MOD(COLUMN($BR233),5)),$BO233:$DV233)</f>
        <v/>
      </c>
      <c r="ED233" s="343">
        <f>EC233*$J233</f>
        <v/>
      </c>
      <c r="EE233" s="36" t="n">
        <v>4</v>
      </c>
      <c r="EF233" s="284" t="n">
        <v>0</v>
      </c>
      <c r="EG233" s="38" t="n">
        <v>0</v>
      </c>
      <c r="EH233" s="284" t="n"/>
      <c r="EI233" s="36" t="n"/>
      <c r="EJ233" s="284" t="n"/>
      <c r="EK233" s="38" t="n">
        <v>0</v>
      </c>
      <c r="EL233" s="284" t="n"/>
      <c r="EM233" s="36" t="n"/>
      <c r="EN233" s="284" t="n"/>
      <c r="EO233" s="38" t="n"/>
      <c r="EP233" s="284" t="n"/>
      <c r="EQ233" s="36" t="n"/>
      <c r="ER233" s="284" t="n"/>
      <c r="ES233" s="38" t="n"/>
      <c r="ET233" s="284" t="n"/>
      <c r="EU233" s="36" t="n"/>
      <c r="EV233" s="284" t="n"/>
      <c r="EW233" s="38" t="n"/>
      <c r="EX233" s="284" t="n"/>
      <c r="EY233" s="36" t="n"/>
      <c r="EZ233" s="284" t="n"/>
      <c r="FA233" s="38" t="n"/>
      <c r="FB233" s="284" t="n"/>
      <c r="FC233" s="36" t="n"/>
      <c r="FD233" s="284" t="n"/>
      <c r="FE233" s="38" t="n"/>
      <c r="FF233" s="284" t="n"/>
      <c r="FG233" s="36" t="n"/>
      <c r="FH233" s="284" t="n"/>
      <c r="FI233" s="38" t="n"/>
      <c r="FJ233" s="284" t="n"/>
      <c r="FK233" s="36" t="n"/>
      <c r="FL233" s="284" t="n"/>
      <c r="FM233" s="38" t="n"/>
      <c r="FN233" s="284" t="n"/>
      <c r="FO233" s="36" t="n"/>
      <c r="FP233" s="284" t="n"/>
      <c r="FQ233" s="38" t="n"/>
      <c r="FR233" s="284" t="n"/>
      <c r="FS233" s="36" t="n"/>
      <c r="FT233" s="284" t="n"/>
      <c r="FU233" s="38" t="n"/>
      <c r="FV233" s="284" t="n"/>
      <c r="FW233" s="36" t="n"/>
      <c r="FX233" s="284" t="n"/>
      <c r="FY233" s="38" t="n"/>
      <c r="FZ233" s="284" t="n"/>
      <c r="GA233" s="338">
        <f>SUMPRODUCT(--(MOD(COLUMN($EE233:$FZ233),4)=MOD(COLUMN($EE233),4)),$EE233:$FZ233)</f>
        <v/>
      </c>
      <c r="GB233" s="339">
        <f>GA233*$J233</f>
        <v/>
      </c>
      <c r="GC233" s="340">
        <f>SUMPRODUCT(--(MOD(COLUMN($EE233:$FZ233),4)=MOD(COLUMN($EF233),4)),$EE233:$FZ233)</f>
        <v/>
      </c>
      <c r="GD233" s="341">
        <f>GC233*$J233</f>
        <v/>
      </c>
      <c r="GE233" s="342">
        <f>SUMPRODUCT(--(MOD(COLUMN($EE233:$FZ233),4)=MOD(COLUMN($EG233),4)),$EE233:$FZ233)</f>
        <v/>
      </c>
      <c r="GF233" s="343">
        <f>GE233*$J233</f>
        <v/>
      </c>
      <c r="GG233" s="36" t="n"/>
      <c r="GH233" s="284" t="n"/>
      <c r="GI233" s="38" t="n"/>
      <c r="GJ233" s="284" t="n"/>
      <c r="GK233" s="36" t="n"/>
      <c r="GL233" s="284" t="n"/>
      <c r="GM233" s="38" t="n"/>
      <c r="GN233" s="284" t="n"/>
      <c r="GO233" s="36" t="n"/>
      <c r="GP233" s="284" t="n"/>
      <c r="GQ233" s="38" t="n"/>
      <c r="GR233" s="284" t="n"/>
      <c r="GS233" s="36" t="n"/>
      <c r="GT233" s="284" t="n"/>
      <c r="GU233" s="38" t="n"/>
      <c r="GV233" s="284" t="n"/>
      <c r="GW233" s="36" t="n"/>
      <c r="GX233" s="284" t="n"/>
      <c r="GY233" s="38" t="n"/>
      <c r="GZ233" s="284" t="n"/>
      <c r="HA233" s="36" t="n"/>
      <c r="HB233" s="284" t="n"/>
      <c r="HC233" s="38" t="n"/>
      <c r="HD233" s="284" t="n"/>
      <c r="HE233" s="36" t="n"/>
      <c r="HF233" s="284" t="n"/>
      <c r="HG233" s="38" t="n"/>
      <c r="HH233" s="284" t="n"/>
      <c r="HI233" s="36" t="n"/>
      <c r="HJ233" s="284" t="n"/>
      <c r="HK233" s="38" t="n"/>
      <c r="HL233" s="284" t="n"/>
      <c r="HM233" s="36" t="n"/>
      <c r="HN233" s="284" t="n"/>
      <c r="HO233" s="38" t="n"/>
      <c r="HP233" s="284" t="n"/>
      <c r="HQ233" s="36" t="n"/>
      <c r="HR233" s="284" t="n"/>
      <c r="HS233" s="38" t="n"/>
      <c r="HT233" s="284" t="n"/>
      <c r="HU233" s="36" t="n"/>
      <c r="HV233" s="284" t="n"/>
      <c r="HW233" s="38" t="n"/>
      <c r="HX233" s="284" t="n"/>
      <c r="HY233" s="36" t="n"/>
      <c r="HZ233" s="284" t="n"/>
      <c r="IA233" s="38" t="n"/>
      <c r="IB233" s="284" t="n"/>
      <c r="IC233" s="338">
        <f t="array" ref="IC233">SUMPRODUCT(--(MOD(COLUMN($GG233:$IB233),4)=MOD(COLUMN($GG233),4)),$GG233:$IB233)</f>
        <v/>
      </c>
      <c r="ID233" s="339">
        <f>IC233*$J233</f>
        <v/>
      </c>
      <c r="IE233" s="340">
        <f t="array" ref="IE233">SUMPRODUCT(--(MOD(COLUMN($GG233:$IB233),4)=MOD(COLUMN($GH233),4)),$GG233:$IB233)</f>
        <v/>
      </c>
      <c r="IF233" s="341">
        <f>IE233*$J233</f>
        <v/>
      </c>
      <c r="IG233" s="342">
        <f t="array" ref="IG233">SUMPRODUCT(--(MOD(COLUMN($GG233:$IB233),4)=MOD(COLUMN($GI233),4)),$GG233:$IB233)</f>
        <v/>
      </c>
      <c r="IH233" s="343">
        <f>IG233*$J233</f>
        <v/>
      </c>
      <c r="II233" s="36" t="n"/>
      <c r="IJ233" s="284" t="n"/>
      <c r="IK233" s="38" t="n"/>
      <c r="IL233" s="284" t="n"/>
      <c r="IM233" s="36" t="n"/>
      <c r="IN233" s="284" t="n"/>
      <c r="IO233" s="38" t="n"/>
      <c r="IP233" s="284" t="n"/>
      <c r="IQ233" s="36" t="n"/>
      <c r="IR233" s="284" t="n"/>
      <c r="IS233" s="38" t="n"/>
      <c r="IT233" s="284" t="n"/>
      <c r="IU233" s="36" t="n"/>
      <c r="IV233" s="284" t="n"/>
      <c r="IW233" s="38" t="n"/>
      <c r="IX233" s="284" t="n"/>
      <c r="IY233" s="36" t="n"/>
      <c r="IZ233" s="284" t="n"/>
      <c r="JA233" s="38" t="n"/>
      <c r="JB233" s="284" t="n"/>
      <c r="JC233" s="36" t="n"/>
      <c r="JD233" s="284" t="n"/>
      <c r="JE233" s="38" t="n"/>
      <c r="JF233" s="284" t="n"/>
      <c r="JG233" s="36" t="n"/>
      <c r="JH233" s="284" t="n"/>
      <c r="JI233" s="38" t="n"/>
      <c r="JJ233" s="284" t="n"/>
      <c r="JK233" s="36" t="n"/>
      <c r="JL233" s="284" t="n"/>
      <c r="JM233" s="38" t="n"/>
      <c r="JN233" s="284" t="n"/>
      <c r="JO233" s="36" t="n"/>
      <c r="JP233" s="284" t="n"/>
      <c r="JQ233" s="38" t="n"/>
      <c r="JR233" s="284" t="n"/>
      <c r="JS233" s="36" t="n"/>
      <c r="JT233" s="284" t="n"/>
      <c r="JU233" s="38" t="n"/>
      <c r="JV233" s="284" t="n"/>
      <c r="JW233" s="36" t="n"/>
      <c r="JX233" s="284" t="n"/>
      <c r="JY233" s="38" t="n"/>
      <c r="JZ233" s="284" t="n"/>
      <c r="KA233" s="36" t="n"/>
      <c r="KB233" s="284" t="n"/>
      <c r="KC233" s="38" t="n"/>
      <c r="KD233" s="284" t="n"/>
      <c r="KE233" s="338">
        <f t="array" ref="KE233">SUMPRODUCT(--(MOD(COLUMN($II233:$KD233),4)=MOD(COLUMN($II233),4)),$II233:$KD233)</f>
        <v/>
      </c>
      <c r="KF233" s="339">
        <f>KE233*$J233</f>
        <v/>
      </c>
      <c r="KG233" s="340">
        <f t="array" ref="KG233">SUMPRODUCT(--(MOD(COLUMN($II233:$KD233),4)=MOD(COLUMN($IJ233),4)),$II233:$KD233)</f>
        <v/>
      </c>
      <c r="KH233" s="341">
        <f>KG233*$J233</f>
        <v/>
      </c>
      <c r="KI233" s="342">
        <f t="array" ref="KI233">SUMPRODUCT(--(MOD(COLUMN($II233:$KD233),4)=MOD(COLUMN($IK233),4)),$II233:$KD233)</f>
        <v/>
      </c>
      <c r="KJ233" s="346">
        <f>KI233*$J233</f>
        <v/>
      </c>
      <c r="KK233" s="80" t="n"/>
      <c r="KL233" s="80" t="n"/>
      <c r="KM233" s="80" t="n"/>
      <c r="KN233" s="51" t="n">
        <v>1</v>
      </c>
      <c r="KO233" s="347" t="n"/>
    </row>
    <row r="234" outlineLevel="1" customFormat="1" s="68">
      <c r="A234" s="347" t="n"/>
      <c r="B234" s="347" t="n"/>
      <c r="C234" s="347" t="n"/>
      <c r="D234" s="347" t="n"/>
      <c r="E234" s="60" t="n">
        <v>5</v>
      </c>
      <c r="F234" s="60" t="n">
        <v>1</v>
      </c>
      <c r="G234" s="56" t="n">
        <v>4491731500</v>
      </c>
      <c r="H234" s="57" t="inlineStr">
        <is>
          <t>Кабель питания, 15 м</t>
        </is>
      </c>
      <c r="I234" s="377">
        <f>1204.8/1.2*1.1371</f>
        <v/>
      </c>
      <c r="J234" s="377">
        <f>1204.8/1.2*1.1371</f>
        <v/>
      </c>
      <c r="K234" s="348" t="n"/>
      <c r="L234" s="348" t="n"/>
      <c r="M234" s="36" t="n"/>
      <c r="N234" s="284" t="n"/>
      <c r="O234" s="38" t="n"/>
      <c r="P234" s="284" t="n"/>
      <c r="Q234" s="36" t="n"/>
      <c r="R234" s="284" t="n"/>
      <c r="S234" s="38" t="n"/>
      <c r="T234" s="284" t="n"/>
      <c r="U234" s="36" t="n"/>
      <c r="V234" s="284" t="n"/>
      <c r="W234" s="38" t="n"/>
      <c r="X234" s="284" t="n"/>
      <c r="Y234" s="36" t="n"/>
      <c r="Z234" s="284" t="n"/>
      <c r="AA234" s="38" t="n"/>
      <c r="AB234" s="284" t="n"/>
      <c r="AC234" s="36" t="n"/>
      <c r="AD234" s="284" t="n"/>
      <c r="AE234" s="38" t="n"/>
      <c r="AF234" s="284" t="n"/>
      <c r="AG234" s="36" t="n"/>
      <c r="AH234" s="284" t="n"/>
      <c r="AI234" s="38" t="n"/>
      <c r="AJ234" s="284" t="n"/>
      <c r="AK234" s="36" t="n"/>
      <c r="AL234" s="284" t="n"/>
      <c r="AM234" s="38" t="n"/>
      <c r="AN234" s="284" t="n"/>
      <c r="AO234" s="36" t="n"/>
      <c r="AP234" s="284" t="n"/>
      <c r="AQ234" s="38" t="n"/>
      <c r="AR234" s="284" t="n"/>
      <c r="AS234" s="36" t="n"/>
      <c r="AT234" s="284" t="n"/>
      <c r="AU234" s="38" t="n"/>
      <c r="AV234" s="284" t="n"/>
      <c r="AW234" s="36" t="n"/>
      <c r="AX234" s="284" t="n"/>
      <c r="AY234" s="38" t="n"/>
      <c r="AZ234" s="96" t="n"/>
      <c r="BA234" s="36" t="n"/>
      <c r="BB234" s="284" t="n"/>
      <c r="BC234" s="99" t="n"/>
      <c r="BD234" s="284" t="n"/>
      <c r="BE234" s="36" t="n"/>
      <c r="BF234" s="284" t="n"/>
      <c r="BG234" s="78" t="n"/>
      <c r="BH234" s="347" t="n"/>
      <c r="BI234" s="338" t="n"/>
      <c r="BJ234" s="339" t="n"/>
      <c r="BK234" s="340" t="n"/>
      <c r="BL234" s="341" t="n"/>
      <c r="BM234" s="342" t="n"/>
      <c r="BN234" s="343" t="n"/>
      <c r="BO234" s="36" t="n"/>
      <c r="BP234" s="47" t="n"/>
      <c r="BQ234" s="284" t="n"/>
      <c r="BR234" s="38" t="n"/>
      <c r="BS234" s="96" t="n"/>
      <c r="BT234" s="36" t="n"/>
      <c r="BU234" s="47" t="n"/>
      <c r="BV234" s="284" t="n"/>
      <c r="BW234" s="38" t="n"/>
      <c r="BX234" s="284" t="n"/>
      <c r="BY234" s="36" t="n"/>
      <c r="BZ234" s="47" t="n"/>
      <c r="CA234" s="284" t="n"/>
      <c r="CB234" s="38" t="n"/>
      <c r="CC234" s="284" t="n"/>
      <c r="CD234" s="36" t="n"/>
      <c r="CE234" s="47" t="n"/>
      <c r="CF234" s="284" t="n"/>
      <c r="CG234" s="38" t="n"/>
      <c r="CH234" s="284" t="n"/>
      <c r="CI234" s="36" t="n"/>
      <c r="CJ234" s="47" t="n"/>
      <c r="CK234" s="284" t="n"/>
      <c r="CL234" s="38" t="n"/>
      <c r="CM234" s="96" t="n"/>
      <c r="CN234" s="36" t="n"/>
      <c r="CO234" s="47" t="n"/>
      <c r="CP234" s="284" t="n"/>
      <c r="CQ234" s="38" t="n"/>
      <c r="CR234" s="16" t="n"/>
      <c r="CS234" s="36" t="n"/>
      <c r="CT234" s="47" t="n"/>
      <c r="CU234" s="284" t="n"/>
      <c r="CV234" s="38" t="n"/>
      <c r="CW234" s="284" t="n"/>
      <c r="CX234" s="36" t="n"/>
      <c r="CY234" s="47" t="n"/>
      <c r="CZ234" s="284" t="n"/>
      <c r="DA234" s="38" t="n"/>
      <c r="DB234" s="347" t="n"/>
      <c r="DC234" s="36" t="n"/>
      <c r="DD234" s="47" t="n"/>
      <c r="DE234" s="284" t="n"/>
      <c r="DF234" s="38" t="n"/>
      <c r="DG234" s="284" t="n"/>
      <c r="DH234" s="36" t="n"/>
      <c r="DI234" s="47" t="n"/>
      <c r="DJ234" s="284" t="n"/>
      <c r="DK234" s="38" t="n"/>
      <c r="DL234" s="284" t="n"/>
      <c r="DM234" s="36" t="n"/>
      <c r="DN234" s="47" t="n"/>
      <c r="DO234" s="284" t="n"/>
      <c r="DP234" s="38" t="n">
        <v>0</v>
      </c>
      <c r="DQ234" s="284" t="n"/>
      <c r="DR234" s="36" t="n"/>
      <c r="DS234" s="47" t="n"/>
      <c r="DT234" s="284" t="n">
        <v>6</v>
      </c>
      <c r="DU234" s="156" t="n">
        <v>6</v>
      </c>
      <c r="DV234" s="347" t="n"/>
      <c r="DW234" s="338">
        <f t="array" ref="DW234">SUMPRODUCT(--(MOD(COLUMN($BO234:$DV234),5)=MOD(COLUMN($BO234),5)),$BO234:$DV234)</f>
        <v/>
      </c>
      <c r="DX234" s="339">
        <f>DW234*$J234</f>
        <v/>
      </c>
      <c r="DY234" s="344">
        <f t="array" ref="DY234">SUMPRODUCT(--(MOD(COLUMN($BO234:$DV234),5)=MOD(COLUMN($BP234),5)),$BO234:$DV234)</f>
        <v/>
      </c>
      <c r="DZ234" s="345">
        <f>DY234*$J234</f>
        <v/>
      </c>
      <c r="EA234" s="340">
        <f t="array" ref="EA234">SUMPRODUCT(--(MOD(COLUMN($BO234:$DV234),5)=MOD(COLUMN($BQ234),5)),$BO234:$DV234)</f>
        <v/>
      </c>
      <c r="EB234" s="341">
        <f>EA234*$J234</f>
        <v/>
      </c>
      <c r="EC234" s="342">
        <f t="array" ref="EC234">SUMPRODUCT(--(MOD(COLUMN($BO234:$DV234),5)=MOD(COLUMN($BR234),5)),$BO234:$DV234)</f>
        <v/>
      </c>
      <c r="ED234" s="343">
        <f>EC234*$J234</f>
        <v/>
      </c>
      <c r="EE234" s="36" t="n">
        <v>4</v>
      </c>
      <c r="EF234" s="284" t="n">
        <v>0</v>
      </c>
      <c r="EG234" s="38" t="n">
        <v>0</v>
      </c>
      <c r="EH234" s="284" t="n"/>
      <c r="EI234" s="36" t="n"/>
      <c r="EJ234" s="284" t="n"/>
      <c r="EK234" s="38" t="n">
        <v>0</v>
      </c>
      <c r="EL234" s="284" t="n"/>
      <c r="EM234" s="36" t="n"/>
      <c r="EN234" s="284" t="n"/>
      <c r="EO234" s="38" t="n"/>
      <c r="EP234" s="284" t="n"/>
      <c r="EQ234" s="36" t="n"/>
      <c r="ER234" s="284" t="n"/>
      <c r="ES234" s="38" t="n"/>
      <c r="ET234" s="284" t="n"/>
      <c r="EU234" s="36" t="n"/>
      <c r="EV234" s="284" t="n"/>
      <c r="EW234" s="38" t="n"/>
      <c r="EX234" s="284" t="n"/>
      <c r="EY234" s="36" t="n"/>
      <c r="EZ234" s="284" t="n"/>
      <c r="FA234" s="38" t="n"/>
      <c r="FB234" s="284" t="n"/>
      <c r="FC234" s="36" t="n"/>
      <c r="FD234" s="284" t="n"/>
      <c r="FE234" s="38" t="n"/>
      <c r="FF234" s="284" t="n"/>
      <c r="FG234" s="36" t="n"/>
      <c r="FH234" s="284" t="n"/>
      <c r="FI234" s="38" t="n"/>
      <c r="FJ234" s="284" t="n"/>
      <c r="FK234" s="36" t="n"/>
      <c r="FL234" s="284" t="n"/>
      <c r="FM234" s="38" t="n"/>
      <c r="FN234" s="284" t="n"/>
      <c r="FO234" s="36" t="n"/>
      <c r="FP234" s="284" t="n"/>
      <c r="FQ234" s="38" t="n"/>
      <c r="FR234" s="284" t="n"/>
      <c r="FS234" s="36" t="n"/>
      <c r="FT234" s="284" t="n"/>
      <c r="FU234" s="38" t="n"/>
      <c r="FV234" s="284" t="n"/>
      <c r="FW234" s="36" t="n"/>
      <c r="FX234" s="284" t="n"/>
      <c r="FY234" s="38" t="n"/>
      <c r="FZ234" s="284" t="n"/>
      <c r="GA234" s="338">
        <f>SUMPRODUCT(--(MOD(COLUMN($EE234:$FZ234),4)=MOD(COLUMN($EE234),4)),$EE234:$FZ234)</f>
        <v/>
      </c>
      <c r="GB234" s="339">
        <f>GA234*$J234</f>
        <v/>
      </c>
      <c r="GC234" s="340">
        <f>SUMPRODUCT(--(MOD(COLUMN($EE234:$FZ234),4)=MOD(COLUMN($EF234),4)),$EE234:$FZ234)</f>
        <v/>
      </c>
      <c r="GD234" s="341">
        <f>GC234*$J234</f>
        <v/>
      </c>
      <c r="GE234" s="342">
        <f>SUMPRODUCT(--(MOD(COLUMN($EE234:$FZ234),4)=MOD(COLUMN($EG234),4)),$EE234:$FZ234)</f>
        <v/>
      </c>
      <c r="GF234" s="343">
        <f>GE234*$J234</f>
        <v/>
      </c>
      <c r="GG234" s="36" t="n"/>
      <c r="GH234" s="284" t="n"/>
      <c r="GI234" s="38" t="n"/>
      <c r="GJ234" s="284" t="n"/>
      <c r="GK234" s="36" t="n"/>
      <c r="GL234" s="284" t="n"/>
      <c r="GM234" s="38" t="n"/>
      <c r="GN234" s="284" t="n"/>
      <c r="GO234" s="36" t="n"/>
      <c r="GP234" s="284" t="n"/>
      <c r="GQ234" s="38" t="n"/>
      <c r="GR234" s="284" t="n"/>
      <c r="GS234" s="36" t="n"/>
      <c r="GT234" s="284" t="n"/>
      <c r="GU234" s="38" t="n"/>
      <c r="GV234" s="284" t="n"/>
      <c r="GW234" s="36" t="n"/>
      <c r="GX234" s="284" t="n"/>
      <c r="GY234" s="38" t="n"/>
      <c r="GZ234" s="284" t="n"/>
      <c r="HA234" s="36" t="n"/>
      <c r="HB234" s="284" t="n"/>
      <c r="HC234" s="38" t="n"/>
      <c r="HD234" s="284" t="n"/>
      <c r="HE234" s="36" t="n"/>
      <c r="HF234" s="284" t="n"/>
      <c r="HG234" s="38" t="n"/>
      <c r="HH234" s="284" t="n"/>
      <c r="HI234" s="36" t="n"/>
      <c r="HJ234" s="284" t="n"/>
      <c r="HK234" s="38" t="n"/>
      <c r="HL234" s="284" t="n"/>
      <c r="HM234" s="36" t="n"/>
      <c r="HN234" s="284" t="n"/>
      <c r="HO234" s="38" t="n"/>
      <c r="HP234" s="284" t="n"/>
      <c r="HQ234" s="36" t="n"/>
      <c r="HR234" s="284" t="n"/>
      <c r="HS234" s="38" t="n"/>
      <c r="HT234" s="284" t="n"/>
      <c r="HU234" s="36" t="n"/>
      <c r="HV234" s="284" t="n"/>
      <c r="HW234" s="38" t="n"/>
      <c r="HX234" s="284" t="n"/>
      <c r="HY234" s="36" t="n"/>
      <c r="HZ234" s="284" t="n"/>
      <c r="IA234" s="38" t="n"/>
      <c r="IB234" s="284" t="n"/>
      <c r="IC234" s="338">
        <f t="array" ref="IC234">SUMPRODUCT(--(MOD(COLUMN($GG234:$IB234),4)=MOD(COLUMN($GG234),4)),$GG234:$IB234)</f>
        <v/>
      </c>
      <c r="ID234" s="339">
        <f>IC234*$J234</f>
        <v/>
      </c>
      <c r="IE234" s="340">
        <f t="array" ref="IE234">SUMPRODUCT(--(MOD(COLUMN($GG234:$IB234),4)=MOD(COLUMN($GH234),4)),$GG234:$IB234)</f>
        <v/>
      </c>
      <c r="IF234" s="341">
        <f>IE234*$J234</f>
        <v/>
      </c>
      <c r="IG234" s="342">
        <f t="array" ref="IG234">SUMPRODUCT(--(MOD(COLUMN($GG234:$IB234),4)=MOD(COLUMN($GI234),4)),$GG234:$IB234)</f>
        <v/>
      </c>
      <c r="IH234" s="343">
        <f>IG234*$J234</f>
        <v/>
      </c>
      <c r="II234" s="36" t="n"/>
      <c r="IJ234" s="284" t="n"/>
      <c r="IK234" s="38" t="n"/>
      <c r="IL234" s="284" t="n"/>
      <c r="IM234" s="36" t="n"/>
      <c r="IN234" s="284" t="n"/>
      <c r="IO234" s="38" t="n"/>
      <c r="IP234" s="284" t="n"/>
      <c r="IQ234" s="36" t="n"/>
      <c r="IR234" s="284" t="n"/>
      <c r="IS234" s="38" t="n"/>
      <c r="IT234" s="284" t="n"/>
      <c r="IU234" s="36" t="n"/>
      <c r="IV234" s="284" t="n"/>
      <c r="IW234" s="38" t="n"/>
      <c r="IX234" s="284" t="n"/>
      <c r="IY234" s="36" t="n"/>
      <c r="IZ234" s="284" t="n"/>
      <c r="JA234" s="38" t="n"/>
      <c r="JB234" s="284" t="n"/>
      <c r="JC234" s="36" t="n"/>
      <c r="JD234" s="284" t="n"/>
      <c r="JE234" s="38" t="n"/>
      <c r="JF234" s="284" t="n"/>
      <c r="JG234" s="36" t="n"/>
      <c r="JH234" s="284" t="n"/>
      <c r="JI234" s="38" t="n"/>
      <c r="JJ234" s="284" t="n"/>
      <c r="JK234" s="36" t="n"/>
      <c r="JL234" s="284" t="n"/>
      <c r="JM234" s="38" t="n"/>
      <c r="JN234" s="284" t="n"/>
      <c r="JO234" s="36" t="n"/>
      <c r="JP234" s="284" t="n"/>
      <c r="JQ234" s="38" t="n"/>
      <c r="JR234" s="284" t="n"/>
      <c r="JS234" s="36" t="n"/>
      <c r="JT234" s="284" t="n"/>
      <c r="JU234" s="38" t="n"/>
      <c r="JV234" s="284" t="n"/>
      <c r="JW234" s="36" t="n"/>
      <c r="JX234" s="284" t="n"/>
      <c r="JY234" s="38" t="n"/>
      <c r="JZ234" s="284" t="n"/>
      <c r="KA234" s="36" t="n"/>
      <c r="KB234" s="284" t="n"/>
      <c r="KC234" s="38" t="n"/>
      <c r="KD234" s="284" t="n"/>
      <c r="KE234" s="338">
        <f t="array" ref="KE234">SUMPRODUCT(--(MOD(COLUMN($II234:$KD234),4)=MOD(COLUMN($II234),4)),$II234:$KD234)</f>
        <v/>
      </c>
      <c r="KF234" s="339">
        <f>KE234*$J234</f>
        <v/>
      </c>
      <c r="KG234" s="340">
        <f t="array" ref="KG234">SUMPRODUCT(--(MOD(COLUMN($II234:$KD234),4)=MOD(COLUMN($IJ234),4)),$II234:$KD234)</f>
        <v/>
      </c>
      <c r="KH234" s="341">
        <f>KG234*$J234</f>
        <v/>
      </c>
      <c r="KI234" s="342">
        <f t="array" ref="KI234">SUMPRODUCT(--(MOD(COLUMN($II234:$KD234),4)=MOD(COLUMN($IK234),4)),$II234:$KD234)</f>
        <v/>
      </c>
      <c r="KJ234" s="346">
        <f>KI234*$J234</f>
        <v/>
      </c>
      <c r="KK234" s="80" t="n"/>
      <c r="KL234" s="80" t="n"/>
      <c r="KM234" s="80" t="n"/>
      <c r="KN234" s="51" t="n"/>
      <c r="KO234" s="347" t="n"/>
    </row>
    <row r="235" outlineLevel="1" customFormat="1" s="68">
      <c r="A235" s="347" t="n"/>
      <c r="B235" s="347" t="n"/>
      <c r="C235" s="347" t="n"/>
      <c r="D235" s="347" t="n"/>
      <c r="E235" s="60" t="n">
        <v>6</v>
      </c>
      <c r="F235" s="60" t="n">
        <v>1</v>
      </c>
      <c r="G235" s="56" t="n">
        <v>4491731800</v>
      </c>
      <c r="H235" s="57" t="inlineStr">
        <is>
          <t>Кабель питания, 18 м</t>
        </is>
      </c>
      <c r="I235" s="348">
        <f>1548/1.2*1.1371</f>
        <v/>
      </c>
      <c r="J235" s="348">
        <f>1548/1.2*1.1371</f>
        <v/>
      </c>
      <c r="K235" s="348" t="n"/>
      <c r="L235" s="348" t="n"/>
      <c r="M235" s="36" t="n"/>
      <c r="N235" s="284" t="n"/>
      <c r="O235" s="38" t="n"/>
      <c r="P235" s="284" t="n"/>
      <c r="Q235" s="36" t="n"/>
      <c r="R235" s="284" t="n"/>
      <c r="S235" s="38" t="n"/>
      <c r="T235" s="284" t="n"/>
      <c r="U235" s="36" t="n"/>
      <c r="V235" s="284" t="n"/>
      <c r="W235" s="38" t="n"/>
      <c r="X235" s="284" t="n"/>
      <c r="Y235" s="36" t="n"/>
      <c r="Z235" s="284" t="n"/>
      <c r="AA235" s="38" t="n"/>
      <c r="AB235" s="284" t="n"/>
      <c r="AC235" s="36" t="n"/>
      <c r="AD235" s="284" t="n"/>
      <c r="AE235" s="38" t="n"/>
      <c r="AF235" s="284" t="n"/>
      <c r="AG235" s="36" t="n"/>
      <c r="AH235" s="284" t="n"/>
      <c r="AI235" s="38" t="n"/>
      <c r="AJ235" s="284" t="n"/>
      <c r="AK235" s="36" t="n"/>
      <c r="AL235" s="284" t="n"/>
      <c r="AM235" s="38" t="n"/>
      <c r="AN235" s="284" t="n"/>
      <c r="AO235" s="36" t="n"/>
      <c r="AP235" s="284" t="n"/>
      <c r="AQ235" s="38" t="n"/>
      <c r="AR235" s="284" t="n"/>
      <c r="AS235" s="36" t="n"/>
      <c r="AT235" s="284" t="n"/>
      <c r="AU235" s="38" t="n"/>
      <c r="AV235" s="284" t="n"/>
      <c r="AW235" s="36" t="n"/>
      <c r="AX235" s="284" t="n"/>
      <c r="AY235" s="38" t="n"/>
      <c r="AZ235" s="96" t="n"/>
      <c r="BA235" s="36" t="n"/>
      <c r="BB235" s="284" t="n"/>
      <c r="BC235" s="99" t="n"/>
      <c r="BD235" s="284" t="n"/>
      <c r="BE235" s="36" t="n"/>
      <c r="BF235" s="284" t="n"/>
      <c r="BG235" s="78" t="n"/>
      <c r="BH235" s="347" t="n"/>
      <c r="BI235" s="338" t="n"/>
      <c r="BJ235" s="339" t="n"/>
      <c r="BK235" s="340" t="n"/>
      <c r="BL235" s="341" t="n"/>
      <c r="BM235" s="342" t="n"/>
      <c r="BN235" s="343" t="n"/>
      <c r="BO235" s="36" t="n"/>
      <c r="BP235" s="47" t="n"/>
      <c r="BQ235" s="284" t="n"/>
      <c r="BR235" s="38" t="n"/>
      <c r="BS235" s="96" t="n"/>
      <c r="BT235" s="36" t="n"/>
      <c r="BU235" s="47" t="n"/>
      <c r="BV235" s="284" t="n"/>
      <c r="BW235" s="38" t="n"/>
      <c r="BX235" s="284" t="n"/>
      <c r="BY235" s="36" t="n"/>
      <c r="BZ235" s="47" t="n"/>
      <c r="CA235" s="284" t="n"/>
      <c r="CB235" s="38" t="n"/>
      <c r="CC235" s="284" t="n"/>
      <c r="CD235" s="36" t="n"/>
      <c r="CE235" s="47" t="n"/>
      <c r="CF235" s="284" t="n"/>
      <c r="CG235" s="38" t="n"/>
      <c r="CH235" s="284" t="n"/>
      <c r="CI235" s="36" t="n"/>
      <c r="CJ235" s="47" t="n"/>
      <c r="CK235" s="284" t="n"/>
      <c r="CL235" s="38" t="n"/>
      <c r="CM235" s="96" t="n"/>
      <c r="CN235" s="36" t="n"/>
      <c r="CO235" s="47" t="n"/>
      <c r="CP235" s="284" t="n"/>
      <c r="CQ235" s="38" t="n"/>
      <c r="CR235" s="16" t="n"/>
      <c r="CS235" s="36" t="n"/>
      <c r="CT235" s="47" t="n"/>
      <c r="CU235" s="284" t="n"/>
      <c r="CV235" s="38" t="n">
        <v>3</v>
      </c>
      <c r="CW235" s="284" t="n"/>
      <c r="CX235" s="36" t="n"/>
      <c r="CY235" s="47" t="n"/>
      <c r="CZ235" s="284">
        <f>$KN235*0</f>
        <v/>
      </c>
      <c r="DA235" s="38" t="n">
        <v>0</v>
      </c>
      <c r="DB235" s="347" t="n"/>
      <c r="DC235" s="36" t="n"/>
      <c r="DD235" s="47" t="n"/>
      <c r="DE235" s="284" t="n"/>
      <c r="DF235" s="38" t="n">
        <v>0</v>
      </c>
      <c r="DG235" s="284" t="n"/>
      <c r="DH235" s="36" t="n"/>
      <c r="DI235" s="47" t="n"/>
      <c r="DJ235" s="284" t="n"/>
      <c r="DK235" s="38" t="n">
        <v>0</v>
      </c>
      <c r="DL235" s="284" t="n"/>
      <c r="DM235" s="36" t="n"/>
      <c r="DN235" s="47" t="n"/>
      <c r="DO235" s="284" t="n"/>
      <c r="DP235" s="38" t="n">
        <v>0</v>
      </c>
      <c r="DQ235" s="284" t="n"/>
      <c r="DR235" s="36" t="n"/>
      <c r="DS235" s="47" t="n"/>
      <c r="DT235" s="284" t="n"/>
      <c r="DU235" s="156" t="n"/>
      <c r="DV235" s="347" t="n"/>
      <c r="DW235" s="338">
        <f t="array" ref="DW235">SUMPRODUCT(--(MOD(COLUMN($BO235:$DV235),5)=MOD(COLUMN($BO235),5)),$BO235:$DV235)</f>
        <v/>
      </c>
      <c r="DX235" s="339">
        <f>DW235*$J235</f>
        <v/>
      </c>
      <c r="DY235" s="344">
        <f t="array" ref="DY235">SUMPRODUCT(--(MOD(COLUMN($BO235:$DV235),5)=MOD(COLUMN($BP235),5)),$BO235:$DV235)</f>
        <v/>
      </c>
      <c r="DZ235" s="345">
        <f>DY235*$J235</f>
        <v/>
      </c>
      <c r="EA235" s="340">
        <f t="array" ref="EA235">SUMPRODUCT(--(MOD(COLUMN($BO235:$DV235),5)=MOD(COLUMN($BQ235),5)),$BO235:$DV235)</f>
        <v/>
      </c>
      <c r="EB235" s="341">
        <f>EA235*$J235</f>
        <v/>
      </c>
      <c r="EC235" s="342">
        <f t="array" ref="EC235">SUMPRODUCT(--(MOD(COLUMN($BO235:$DV235),5)=MOD(COLUMN($BR235),5)),$BO235:$DV235)</f>
        <v/>
      </c>
      <c r="ED235" s="343">
        <f>EC235*$J235</f>
        <v/>
      </c>
      <c r="EE235" s="36" t="n"/>
      <c r="EF235" s="284" t="n">
        <v>0</v>
      </c>
      <c r="EG235" s="38" t="n">
        <v>0</v>
      </c>
      <c r="EH235" s="284" t="n"/>
      <c r="EI235" s="36" t="n"/>
      <c r="EJ235" s="284" t="n"/>
      <c r="EK235" s="38" t="n">
        <v>0</v>
      </c>
      <c r="EL235" s="284" t="n"/>
      <c r="EM235" s="36" t="n"/>
      <c r="EN235" s="284" t="n"/>
      <c r="EO235" s="38" t="n"/>
      <c r="EP235" s="284" t="n"/>
      <c r="EQ235" s="36" t="n"/>
      <c r="ER235" s="284" t="n"/>
      <c r="ES235" s="38" t="n"/>
      <c r="ET235" s="284" t="n"/>
      <c r="EU235" s="36" t="n"/>
      <c r="EV235" s="284" t="n"/>
      <c r="EW235" s="38" t="n"/>
      <c r="EX235" s="284" t="n"/>
      <c r="EY235" s="36" t="n"/>
      <c r="EZ235" s="284" t="n"/>
      <c r="FA235" s="38" t="n"/>
      <c r="FB235" s="284" t="n"/>
      <c r="FC235" s="36" t="n"/>
      <c r="FD235" s="284" t="n"/>
      <c r="FE235" s="38" t="n"/>
      <c r="FF235" s="284" t="n"/>
      <c r="FG235" s="36" t="n"/>
      <c r="FH235" s="284" t="n"/>
      <c r="FI235" s="38" t="n"/>
      <c r="FJ235" s="284" t="n"/>
      <c r="FK235" s="36" t="n"/>
      <c r="FL235" s="284" t="n"/>
      <c r="FM235" s="38" t="n"/>
      <c r="FN235" s="284" t="n"/>
      <c r="FO235" s="36" t="n"/>
      <c r="FP235" s="284" t="n"/>
      <c r="FQ235" s="38" t="n"/>
      <c r="FR235" s="284" t="n"/>
      <c r="FS235" s="36" t="n"/>
      <c r="FT235" s="284" t="n"/>
      <c r="FU235" s="38" t="n"/>
      <c r="FV235" s="284" t="n"/>
      <c r="FW235" s="36" t="n"/>
      <c r="FX235" s="284" t="n"/>
      <c r="FY235" s="38" t="n"/>
      <c r="FZ235" s="284" t="n"/>
      <c r="GA235" s="338">
        <f>SUMPRODUCT(--(MOD(COLUMN($EE235:$FZ235),4)=MOD(COLUMN($EE235),4)),$EE235:$FZ235)</f>
        <v/>
      </c>
      <c r="GB235" s="339">
        <f>GA235*$J235</f>
        <v/>
      </c>
      <c r="GC235" s="340">
        <f>SUMPRODUCT(--(MOD(COLUMN($EE235:$FZ235),4)=MOD(COLUMN($EF235),4)),$EE235:$FZ235)</f>
        <v/>
      </c>
      <c r="GD235" s="341">
        <f>GC235*$J235</f>
        <v/>
      </c>
      <c r="GE235" s="342">
        <f>SUMPRODUCT(--(MOD(COLUMN($EE235:$FZ235),4)=MOD(COLUMN($EG235),4)),$EE235:$FZ235)</f>
        <v/>
      </c>
      <c r="GF235" s="343">
        <f>GE235*$J235</f>
        <v/>
      </c>
      <c r="GG235" s="36" t="n"/>
      <c r="GH235" s="284" t="n"/>
      <c r="GI235" s="38" t="n"/>
      <c r="GJ235" s="284" t="n"/>
      <c r="GK235" s="36" t="n"/>
      <c r="GL235" s="284" t="n"/>
      <c r="GM235" s="38" t="n"/>
      <c r="GN235" s="284" t="n"/>
      <c r="GO235" s="36" t="n"/>
      <c r="GP235" s="284" t="n"/>
      <c r="GQ235" s="38" t="n"/>
      <c r="GR235" s="284" t="n"/>
      <c r="GS235" s="36" t="n"/>
      <c r="GT235" s="284" t="n"/>
      <c r="GU235" s="38" t="n"/>
      <c r="GV235" s="284" t="n"/>
      <c r="GW235" s="36" t="n"/>
      <c r="GX235" s="284" t="n"/>
      <c r="GY235" s="38" t="n"/>
      <c r="GZ235" s="284" t="n"/>
      <c r="HA235" s="36" t="n"/>
      <c r="HB235" s="284" t="n"/>
      <c r="HC235" s="38" t="n"/>
      <c r="HD235" s="284" t="n"/>
      <c r="HE235" s="36" t="n"/>
      <c r="HF235" s="284" t="n"/>
      <c r="HG235" s="38" t="n"/>
      <c r="HH235" s="284" t="n"/>
      <c r="HI235" s="36" t="n"/>
      <c r="HJ235" s="284" t="n"/>
      <c r="HK235" s="38" t="n"/>
      <c r="HL235" s="284" t="n"/>
      <c r="HM235" s="36" t="n"/>
      <c r="HN235" s="284" t="n"/>
      <c r="HO235" s="38" t="n"/>
      <c r="HP235" s="284" t="n"/>
      <c r="HQ235" s="36" t="n"/>
      <c r="HR235" s="284" t="n"/>
      <c r="HS235" s="38" t="n"/>
      <c r="HT235" s="284" t="n"/>
      <c r="HU235" s="36" t="n"/>
      <c r="HV235" s="284" t="n"/>
      <c r="HW235" s="38" t="n"/>
      <c r="HX235" s="284" t="n"/>
      <c r="HY235" s="36" t="n"/>
      <c r="HZ235" s="284" t="n"/>
      <c r="IA235" s="38" t="n"/>
      <c r="IB235" s="284" t="n"/>
      <c r="IC235" s="338">
        <f t="array" ref="IC235">SUMPRODUCT(--(MOD(COLUMN($GG235:$IB235),4)=MOD(COLUMN($GG235),4)),$GG235:$IB235)</f>
        <v/>
      </c>
      <c r="ID235" s="339">
        <f>IC235*$J235</f>
        <v/>
      </c>
      <c r="IE235" s="340">
        <f t="array" ref="IE235">SUMPRODUCT(--(MOD(COLUMN($GG235:$IB235),4)=MOD(COLUMN($GH235),4)),$GG235:$IB235)</f>
        <v/>
      </c>
      <c r="IF235" s="341">
        <f>IE235*$J235</f>
        <v/>
      </c>
      <c r="IG235" s="342">
        <f t="array" ref="IG235">SUMPRODUCT(--(MOD(COLUMN($GG235:$IB235),4)=MOD(COLUMN($GI235),4)),$GG235:$IB235)</f>
        <v/>
      </c>
      <c r="IH235" s="343">
        <f>IG235*$J235</f>
        <v/>
      </c>
      <c r="II235" s="36" t="n"/>
      <c r="IJ235" s="284" t="n"/>
      <c r="IK235" s="38" t="n"/>
      <c r="IL235" s="284" t="n"/>
      <c r="IM235" s="36" t="n"/>
      <c r="IN235" s="284" t="n"/>
      <c r="IO235" s="38" t="n"/>
      <c r="IP235" s="284" t="n"/>
      <c r="IQ235" s="36" t="n"/>
      <c r="IR235" s="284" t="n"/>
      <c r="IS235" s="38" t="n"/>
      <c r="IT235" s="284" t="n"/>
      <c r="IU235" s="36" t="n"/>
      <c r="IV235" s="284" t="n"/>
      <c r="IW235" s="38" t="n"/>
      <c r="IX235" s="284" t="n"/>
      <c r="IY235" s="36" t="n"/>
      <c r="IZ235" s="284" t="n"/>
      <c r="JA235" s="38" t="n"/>
      <c r="JB235" s="284" t="n"/>
      <c r="JC235" s="36" t="n"/>
      <c r="JD235" s="284" t="n"/>
      <c r="JE235" s="38" t="n"/>
      <c r="JF235" s="284" t="n"/>
      <c r="JG235" s="36" t="n"/>
      <c r="JH235" s="284" t="n"/>
      <c r="JI235" s="38" t="n"/>
      <c r="JJ235" s="284" t="n"/>
      <c r="JK235" s="36" t="n"/>
      <c r="JL235" s="284" t="n"/>
      <c r="JM235" s="38" t="n"/>
      <c r="JN235" s="284" t="n"/>
      <c r="JO235" s="36" t="n"/>
      <c r="JP235" s="284" t="n"/>
      <c r="JQ235" s="38" t="n"/>
      <c r="JR235" s="284" t="n"/>
      <c r="JS235" s="36" t="n"/>
      <c r="JT235" s="284" t="n"/>
      <c r="JU235" s="38" t="n"/>
      <c r="JV235" s="284" t="n"/>
      <c r="JW235" s="36" t="n"/>
      <c r="JX235" s="284" t="n"/>
      <c r="JY235" s="38" t="n"/>
      <c r="JZ235" s="284" t="n"/>
      <c r="KA235" s="36" t="n"/>
      <c r="KB235" s="284" t="n"/>
      <c r="KC235" s="38" t="n"/>
      <c r="KD235" s="284" t="n"/>
      <c r="KE235" s="338">
        <f t="array" ref="KE235">SUMPRODUCT(--(MOD(COLUMN($II235:$KD235),4)=MOD(COLUMN($II235),4)),$II235:$KD235)</f>
        <v/>
      </c>
      <c r="KF235" s="339">
        <f>KE235*$J235</f>
        <v/>
      </c>
      <c r="KG235" s="340">
        <f t="array" ref="KG235">SUMPRODUCT(--(MOD(COLUMN($II235:$KD235),4)=MOD(COLUMN($IJ235),4)),$II235:$KD235)</f>
        <v/>
      </c>
      <c r="KH235" s="341">
        <f>KG235*$J235</f>
        <v/>
      </c>
      <c r="KI235" s="342">
        <f t="array" ref="KI235">SUMPRODUCT(--(MOD(COLUMN($II235:$KD235),4)=MOD(COLUMN($IK235),4)),$II235:$KD235)</f>
        <v/>
      </c>
      <c r="KJ235" s="346">
        <f>KI235*$J235</f>
        <v/>
      </c>
      <c r="KK235" s="80" t="n"/>
      <c r="KL235" s="80" t="n"/>
      <c r="KM235" s="80" t="n"/>
      <c r="KN235" s="51" t="n">
        <v>1</v>
      </c>
      <c r="KO235" s="347" t="n"/>
    </row>
    <row r="236" outlineLevel="1" customFormat="1" s="68">
      <c r="A236" s="347" t="n"/>
      <c r="B236" s="347" t="n"/>
      <c r="C236" s="347" t="n"/>
      <c r="D236" s="347" t="n"/>
      <c r="E236" s="60" t="n">
        <v>7</v>
      </c>
      <c r="F236" s="60" t="n">
        <v>1</v>
      </c>
      <c r="G236" s="112" t="n">
        <v>4497230300</v>
      </c>
      <c r="H236" s="57" t="inlineStr">
        <is>
          <t>Кабель датчика, 3 м</t>
        </is>
      </c>
      <c r="I236" s="348">
        <f>68.4/1.2*1.1371</f>
        <v/>
      </c>
      <c r="J236" s="348">
        <f>68.4/1.2*1.1371</f>
        <v/>
      </c>
      <c r="K236" s="348" t="n"/>
      <c r="L236" s="348" t="n"/>
      <c r="M236" s="36" t="n"/>
      <c r="N236" s="284" t="n"/>
      <c r="O236" s="38" t="n"/>
      <c r="P236" s="284" t="n"/>
      <c r="Q236" s="36" t="n"/>
      <c r="R236" s="284" t="n"/>
      <c r="S236" s="38" t="n"/>
      <c r="T236" s="284" t="n"/>
      <c r="U236" s="36" t="n"/>
      <c r="V236" s="284" t="n"/>
      <c r="W236" s="38" t="n"/>
      <c r="X236" s="284" t="n"/>
      <c r="Y236" s="36" t="n"/>
      <c r="Z236" s="284" t="n"/>
      <c r="AA236" s="38" t="n"/>
      <c r="AB236" s="284" t="n"/>
      <c r="AC236" s="36" t="n"/>
      <c r="AD236" s="284" t="n"/>
      <c r="AE236" s="38" t="n"/>
      <c r="AF236" s="284" t="n"/>
      <c r="AG236" s="36" t="n"/>
      <c r="AH236" s="284" t="n"/>
      <c r="AI236" s="38" t="n"/>
      <c r="AJ236" s="284" t="n"/>
      <c r="AK236" s="36" t="n"/>
      <c r="AL236" s="284" t="n"/>
      <c r="AM236" s="38" t="n"/>
      <c r="AN236" s="284" t="n"/>
      <c r="AO236" s="36" t="n"/>
      <c r="AP236" s="284" t="n"/>
      <c r="AQ236" s="38" t="n"/>
      <c r="AR236" s="284" t="n"/>
      <c r="AS236" s="36" t="n"/>
      <c r="AT236" s="284" t="n"/>
      <c r="AU236" s="38" t="n"/>
      <c r="AV236" s="284" t="n"/>
      <c r="AW236" s="36" t="n"/>
      <c r="AX236" s="284" t="n"/>
      <c r="AY236" s="38" t="n"/>
      <c r="AZ236" s="96" t="n"/>
      <c r="BA236" s="36" t="n"/>
      <c r="BB236" s="284" t="n"/>
      <c r="BC236" s="99" t="n"/>
      <c r="BD236" s="284" t="n"/>
      <c r="BE236" s="36" t="n"/>
      <c r="BF236" s="284" t="n"/>
      <c r="BG236" s="78" t="n"/>
      <c r="BH236" s="347" t="n"/>
      <c r="BI236" s="338" t="n"/>
      <c r="BJ236" s="339" t="n"/>
      <c r="BK236" s="340" t="n"/>
      <c r="BL236" s="341" t="n"/>
      <c r="BM236" s="342" t="n"/>
      <c r="BN236" s="343" t="n"/>
      <c r="BO236" s="36" t="n"/>
      <c r="BP236" s="47" t="n"/>
      <c r="BQ236" s="284" t="n"/>
      <c r="BR236" s="38" t="n"/>
      <c r="BS236" s="96" t="n"/>
      <c r="BT236" s="36" t="n"/>
      <c r="BU236" s="47" t="n"/>
      <c r="BV236" s="284" t="n"/>
      <c r="BW236" s="38" t="n"/>
      <c r="BX236" s="284" t="n"/>
      <c r="BY236" s="36" t="n"/>
      <c r="BZ236" s="47" t="n"/>
      <c r="CA236" s="284" t="n"/>
      <c r="CB236" s="38" t="n"/>
      <c r="CC236" s="284" t="n"/>
      <c r="CD236" s="36" t="n"/>
      <c r="CE236" s="47" t="n"/>
      <c r="CF236" s="284" t="n"/>
      <c r="CG236" s="38" t="n"/>
      <c r="CH236" s="284" t="n"/>
      <c r="CI236" s="36" t="n"/>
      <c r="CJ236" s="47" t="n"/>
      <c r="CK236" s="284" t="n"/>
      <c r="CL236" s="38" t="n"/>
      <c r="CM236" s="96" t="n"/>
      <c r="CN236" s="36" t="n"/>
      <c r="CO236" s="47" t="n"/>
      <c r="CP236" s="284" t="n"/>
      <c r="CQ236" s="38" t="n"/>
      <c r="CR236" s="16" t="n"/>
      <c r="CS236" s="36" t="n"/>
      <c r="CT236" s="47" t="n"/>
      <c r="CU236" s="284" t="n"/>
      <c r="CV236" s="38" t="n">
        <v>6</v>
      </c>
      <c r="CW236" s="284" t="n"/>
      <c r="CX236" s="36" t="n"/>
      <c r="CY236" s="47" t="n"/>
      <c r="CZ236" s="284">
        <f>$KN236*0</f>
        <v/>
      </c>
      <c r="DA236" s="38" t="n">
        <v>0</v>
      </c>
      <c r="DB236" s="347" t="n"/>
      <c r="DC236" s="36" t="n"/>
      <c r="DD236" s="47" t="n"/>
      <c r="DE236" s="284" t="n"/>
      <c r="DF236" s="38" t="n">
        <v>0</v>
      </c>
      <c r="DG236" s="284" t="n"/>
      <c r="DH236" s="36" t="n"/>
      <c r="DI236" s="47" t="n"/>
      <c r="DJ236" s="284" t="n"/>
      <c r="DK236" s="38" t="n">
        <v>0</v>
      </c>
      <c r="DL236" s="284" t="n"/>
      <c r="DM236" s="36" t="n"/>
      <c r="DN236" s="47" t="n"/>
      <c r="DO236" s="284" t="n"/>
      <c r="DP236" s="38" t="n">
        <v>0</v>
      </c>
      <c r="DQ236" s="284" t="n"/>
      <c r="DR236" s="36" t="n"/>
      <c r="DS236" s="47" t="n"/>
      <c r="DT236" s="284" t="n">
        <v>12</v>
      </c>
      <c r="DU236" s="156" t="n">
        <v>12</v>
      </c>
      <c r="DV236" s="347" t="n"/>
      <c r="DW236" s="338">
        <f t="array" ref="DW236">SUMPRODUCT(--(MOD(COLUMN($BO236:$DV236),5)=MOD(COLUMN($BO236),5)),$BO236:$DV236)</f>
        <v/>
      </c>
      <c r="DX236" s="339">
        <f>DW236*$J236</f>
        <v/>
      </c>
      <c r="DY236" s="344">
        <f t="array" ref="DY236">SUMPRODUCT(--(MOD(COLUMN($BO236:$DV236),5)=MOD(COLUMN($BP236),5)),$BO236:$DV236)</f>
        <v/>
      </c>
      <c r="DZ236" s="345">
        <f>DY236*$J236</f>
        <v/>
      </c>
      <c r="EA236" s="340">
        <f t="array" ref="EA236">SUMPRODUCT(--(MOD(COLUMN($BO236:$DV236),5)=MOD(COLUMN($BQ236),5)),$BO236:$DV236)</f>
        <v/>
      </c>
      <c r="EB236" s="341">
        <f>EA236*$J236</f>
        <v/>
      </c>
      <c r="EC236" s="342">
        <f t="array" ref="EC236">SUMPRODUCT(--(MOD(COLUMN($BO236:$DV236),5)=MOD(COLUMN($BR236),5)),$BO236:$DV236)</f>
        <v/>
      </c>
      <c r="ED236" s="343">
        <f>EC236*$J236</f>
        <v/>
      </c>
      <c r="EE236" s="36" t="n">
        <v>8</v>
      </c>
      <c r="EF236" s="284" t="n">
        <v>0</v>
      </c>
      <c r="EG236" s="38" t="n">
        <v>0</v>
      </c>
      <c r="EH236" s="284" t="n"/>
      <c r="EI236" s="36" t="n"/>
      <c r="EJ236" s="284" t="n"/>
      <c r="EK236" s="38" t="n">
        <v>0</v>
      </c>
      <c r="EL236" s="284" t="n"/>
      <c r="EM236" s="36" t="n"/>
      <c r="EN236" s="284" t="n"/>
      <c r="EO236" s="38" t="n"/>
      <c r="EP236" s="284" t="n"/>
      <c r="EQ236" s="36" t="n"/>
      <c r="ER236" s="284" t="n"/>
      <c r="ES236" s="38" t="n"/>
      <c r="ET236" s="284" t="n"/>
      <c r="EU236" s="36" t="n"/>
      <c r="EV236" s="284" t="n"/>
      <c r="EW236" s="38" t="n"/>
      <c r="EX236" s="284" t="n"/>
      <c r="EY236" s="36" t="n"/>
      <c r="EZ236" s="284" t="n"/>
      <c r="FA236" s="38" t="n"/>
      <c r="FB236" s="284" t="n"/>
      <c r="FC236" s="36" t="n"/>
      <c r="FD236" s="284" t="n"/>
      <c r="FE236" s="38" t="n"/>
      <c r="FF236" s="284" t="n"/>
      <c r="FG236" s="36" t="n"/>
      <c r="FH236" s="284" t="n"/>
      <c r="FI236" s="38" t="n"/>
      <c r="FJ236" s="284" t="n"/>
      <c r="FK236" s="36" t="n"/>
      <c r="FL236" s="284" t="n"/>
      <c r="FM236" s="38" t="n"/>
      <c r="FN236" s="284" t="n"/>
      <c r="FO236" s="36" t="n"/>
      <c r="FP236" s="284" t="n"/>
      <c r="FQ236" s="38" t="n"/>
      <c r="FR236" s="284" t="n"/>
      <c r="FS236" s="36" t="n"/>
      <c r="FT236" s="284" t="n"/>
      <c r="FU236" s="38" t="n"/>
      <c r="FV236" s="284" t="n"/>
      <c r="FW236" s="36" t="n"/>
      <c r="FX236" s="284" t="n"/>
      <c r="FY236" s="38" t="n"/>
      <c r="FZ236" s="284" t="n"/>
      <c r="GA236" s="338">
        <f>SUMPRODUCT(--(MOD(COLUMN($EE236:$FZ236),4)=MOD(COLUMN($EE236),4)),$EE236:$FZ236)</f>
        <v/>
      </c>
      <c r="GB236" s="339">
        <f>GA236*$J236</f>
        <v/>
      </c>
      <c r="GC236" s="340">
        <f>SUMPRODUCT(--(MOD(COLUMN($EE236:$FZ236),4)=MOD(COLUMN($EF236),4)),$EE236:$FZ236)</f>
        <v/>
      </c>
      <c r="GD236" s="341">
        <f>GC236*$J236</f>
        <v/>
      </c>
      <c r="GE236" s="342">
        <f>SUMPRODUCT(--(MOD(COLUMN($EE236:$FZ236),4)=MOD(COLUMN($EG236),4)),$EE236:$FZ236)</f>
        <v/>
      </c>
      <c r="GF236" s="343">
        <f>GE236*$J236</f>
        <v/>
      </c>
      <c r="GG236" s="36" t="n"/>
      <c r="GH236" s="284" t="n"/>
      <c r="GI236" s="38" t="n"/>
      <c r="GJ236" s="284" t="n"/>
      <c r="GK236" s="36" t="n"/>
      <c r="GL236" s="284" t="n"/>
      <c r="GM236" s="38" t="n"/>
      <c r="GN236" s="284" t="n"/>
      <c r="GO236" s="36" t="n"/>
      <c r="GP236" s="284" t="n"/>
      <c r="GQ236" s="38" t="n"/>
      <c r="GR236" s="284" t="n"/>
      <c r="GS236" s="36" t="n"/>
      <c r="GT236" s="284" t="n"/>
      <c r="GU236" s="38" t="n"/>
      <c r="GV236" s="284" t="n"/>
      <c r="GW236" s="36" t="n"/>
      <c r="GX236" s="284" t="n"/>
      <c r="GY236" s="38" t="n"/>
      <c r="GZ236" s="284" t="n"/>
      <c r="HA236" s="36" t="n"/>
      <c r="HB236" s="284" t="n"/>
      <c r="HC236" s="38" t="n"/>
      <c r="HD236" s="284" t="n"/>
      <c r="HE236" s="36" t="n"/>
      <c r="HF236" s="284" t="n"/>
      <c r="HG236" s="38" t="n"/>
      <c r="HH236" s="284" t="n"/>
      <c r="HI236" s="36" t="n"/>
      <c r="HJ236" s="284" t="n"/>
      <c r="HK236" s="38" t="n"/>
      <c r="HL236" s="284" t="n"/>
      <c r="HM236" s="36" t="n"/>
      <c r="HN236" s="284" t="n"/>
      <c r="HO236" s="38" t="n"/>
      <c r="HP236" s="284" t="n"/>
      <c r="HQ236" s="36" t="n"/>
      <c r="HR236" s="284" t="n"/>
      <c r="HS236" s="38" t="n"/>
      <c r="HT236" s="284" t="n"/>
      <c r="HU236" s="36" t="n"/>
      <c r="HV236" s="284" t="n"/>
      <c r="HW236" s="38" t="n"/>
      <c r="HX236" s="284" t="n"/>
      <c r="HY236" s="36" t="n"/>
      <c r="HZ236" s="284" t="n"/>
      <c r="IA236" s="38" t="n"/>
      <c r="IB236" s="284" t="n"/>
      <c r="IC236" s="338">
        <f t="array" ref="IC236">SUMPRODUCT(--(MOD(COLUMN($GG236:$IB236),4)=MOD(COLUMN($GG236),4)),$GG236:$IB236)</f>
        <v/>
      </c>
      <c r="ID236" s="339">
        <f>IC236*$J236</f>
        <v/>
      </c>
      <c r="IE236" s="340">
        <f t="array" ref="IE236">SUMPRODUCT(--(MOD(COLUMN($GG236:$IB236),4)=MOD(COLUMN($GH236),4)),$GG236:$IB236)</f>
        <v/>
      </c>
      <c r="IF236" s="341">
        <f>IE236*$J236</f>
        <v/>
      </c>
      <c r="IG236" s="342">
        <f t="array" ref="IG236">SUMPRODUCT(--(MOD(COLUMN($GG236:$IB236),4)=MOD(COLUMN($GI236),4)),$GG236:$IB236)</f>
        <v/>
      </c>
      <c r="IH236" s="343">
        <f>IG236*$J236</f>
        <v/>
      </c>
      <c r="II236" s="36" t="n"/>
      <c r="IJ236" s="284" t="n"/>
      <c r="IK236" s="38" t="n"/>
      <c r="IL236" s="284" t="n"/>
      <c r="IM236" s="36" t="n"/>
      <c r="IN236" s="284" t="n"/>
      <c r="IO236" s="38" t="n"/>
      <c r="IP236" s="284" t="n"/>
      <c r="IQ236" s="36" t="n"/>
      <c r="IR236" s="284" t="n"/>
      <c r="IS236" s="38" t="n"/>
      <c r="IT236" s="284" t="n"/>
      <c r="IU236" s="36" t="n"/>
      <c r="IV236" s="284" t="n"/>
      <c r="IW236" s="38" t="n"/>
      <c r="IX236" s="284" t="n"/>
      <c r="IY236" s="36" t="n"/>
      <c r="IZ236" s="284" t="n"/>
      <c r="JA236" s="38" t="n"/>
      <c r="JB236" s="284" t="n"/>
      <c r="JC236" s="36" t="n"/>
      <c r="JD236" s="284" t="n"/>
      <c r="JE236" s="38" t="n"/>
      <c r="JF236" s="284" t="n"/>
      <c r="JG236" s="36" t="n"/>
      <c r="JH236" s="284" t="n"/>
      <c r="JI236" s="38" t="n"/>
      <c r="JJ236" s="284" t="n"/>
      <c r="JK236" s="36" t="n"/>
      <c r="JL236" s="284" t="n"/>
      <c r="JM236" s="38" t="n"/>
      <c r="JN236" s="284" t="n"/>
      <c r="JO236" s="36" t="n"/>
      <c r="JP236" s="284" t="n"/>
      <c r="JQ236" s="38" t="n"/>
      <c r="JR236" s="284" t="n"/>
      <c r="JS236" s="36" t="n"/>
      <c r="JT236" s="284" t="n"/>
      <c r="JU236" s="38" t="n"/>
      <c r="JV236" s="284" t="n"/>
      <c r="JW236" s="36" t="n"/>
      <c r="JX236" s="284" t="n"/>
      <c r="JY236" s="38" t="n"/>
      <c r="JZ236" s="284" t="n"/>
      <c r="KA236" s="36" t="n"/>
      <c r="KB236" s="284" t="n"/>
      <c r="KC236" s="38" t="n"/>
      <c r="KD236" s="284" t="n"/>
      <c r="KE236" s="338">
        <f t="array" ref="KE236">SUMPRODUCT(--(MOD(COLUMN($II236:$KD236),4)=MOD(COLUMN($II236),4)),$II236:$KD236)</f>
        <v/>
      </c>
      <c r="KF236" s="339">
        <f>KE236*$J236</f>
        <v/>
      </c>
      <c r="KG236" s="340">
        <f t="array" ref="KG236">SUMPRODUCT(--(MOD(COLUMN($II236:$KD236),4)=MOD(COLUMN($IJ236),4)),$II236:$KD236)</f>
        <v/>
      </c>
      <c r="KH236" s="341">
        <f>KG236*$J236</f>
        <v/>
      </c>
      <c r="KI236" s="342">
        <f t="array" ref="KI236">SUMPRODUCT(--(MOD(COLUMN($II236:$KD236),4)=MOD(COLUMN($IK236),4)),$II236:$KD236)</f>
        <v/>
      </c>
      <c r="KJ236" s="346">
        <f>KI236*$J236</f>
        <v/>
      </c>
      <c r="KK236" s="80" t="n"/>
      <c r="KL236" s="80" t="n"/>
      <c r="KM236" s="80" t="n"/>
      <c r="KN236" s="51" t="n">
        <v>2</v>
      </c>
      <c r="KO236" s="347" t="n"/>
    </row>
    <row r="237" outlineLevel="1" customFormat="1" s="68">
      <c r="A237" s="347" t="n"/>
      <c r="B237" s="347" t="n"/>
      <c r="C237" s="347" t="n"/>
      <c r="D237" s="347" t="n"/>
      <c r="E237" s="60" t="n">
        <v>8</v>
      </c>
      <c r="F237" s="60" t="n">
        <v>1</v>
      </c>
      <c r="G237" s="112" t="n">
        <v>4497230500</v>
      </c>
      <c r="H237" s="57" t="inlineStr">
        <is>
          <t>Кабель датчика, 5 м</t>
        </is>
      </c>
      <c r="I237" s="348">
        <f>68.4/1.2*1.1371</f>
        <v/>
      </c>
      <c r="J237" s="348">
        <f>68.4/1.2*1.1371</f>
        <v/>
      </c>
      <c r="K237" s="348" t="n"/>
      <c r="L237" s="348" t="n"/>
      <c r="M237" s="36" t="n"/>
      <c r="N237" s="284" t="n"/>
      <c r="O237" s="38" t="n"/>
      <c r="P237" s="284" t="n"/>
      <c r="Q237" s="36" t="n"/>
      <c r="R237" s="284" t="n"/>
      <c r="S237" s="38" t="n"/>
      <c r="T237" s="284" t="n"/>
      <c r="U237" s="36" t="n"/>
      <c r="V237" s="284" t="n"/>
      <c r="W237" s="38" t="n"/>
      <c r="X237" s="284" t="n"/>
      <c r="Y237" s="36" t="n"/>
      <c r="Z237" s="284" t="n"/>
      <c r="AA237" s="38" t="n"/>
      <c r="AB237" s="284" t="n"/>
      <c r="AC237" s="36" t="n"/>
      <c r="AD237" s="284" t="n"/>
      <c r="AE237" s="38" t="n"/>
      <c r="AF237" s="284" t="n"/>
      <c r="AG237" s="36" t="n"/>
      <c r="AH237" s="284" t="n"/>
      <c r="AI237" s="38" t="n"/>
      <c r="AJ237" s="284" t="n"/>
      <c r="AK237" s="36" t="n"/>
      <c r="AL237" s="284" t="n"/>
      <c r="AM237" s="38" t="n"/>
      <c r="AN237" s="284" t="n"/>
      <c r="AO237" s="36" t="n"/>
      <c r="AP237" s="284" t="n"/>
      <c r="AQ237" s="38" t="n"/>
      <c r="AR237" s="284" t="n"/>
      <c r="AS237" s="36" t="n"/>
      <c r="AT237" s="284" t="n"/>
      <c r="AU237" s="38" t="n"/>
      <c r="AV237" s="284" t="n"/>
      <c r="AW237" s="36" t="n"/>
      <c r="AX237" s="284" t="n"/>
      <c r="AY237" s="38" t="n"/>
      <c r="AZ237" s="96" t="n"/>
      <c r="BA237" s="36" t="n"/>
      <c r="BB237" s="284" t="n"/>
      <c r="BC237" s="99" t="n"/>
      <c r="BD237" s="284" t="n"/>
      <c r="BE237" s="36" t="n"/>
      <c r="BF237" s="284" t="n"/>
      <c r="BG237" s="78" t="n"/>
      <c r="BH237" s="347" t="n"/>
      <c r="BI237" s="338" t="n"/>
      <c r="BJ237" s="339" t="n"/>
      <c r="BK237" s="340" t="n"/>
      <c r="BL237" s="341" t="n"/>
      <c r="BM237" s="342" t="n"/>
      <c r="BN237" s="343" t="n"/>
      <c r="BO237" s="36" t="n"/>
      <c r="BP237" s="47" t="n"/>
      <c r="BQ237" s="284" t="n"/>
      <c r="BR237" s="38" t="n"/>
      <c r="BS237" s="96" t="n"/>
      <c r="BT237" s="36" t="n"/>
      <c r="BU237" s="47" t="n"/>
      <c r="BV237" s="284" t="n"/>
      <c r="BW237" s="38" t="n"/>
      <c r="BX237" s="284" t="n"/>
      <c r="BY237" s="36" t="n"/>
      <c r="BZ237" s="47" t="n"/>
      <c r="CA237" s="284" t="n"/>
      <c r="CB237" s="38" t="n"/>
      <c r="CC237" s="284" t="n"/>
      <c r="CD237" s="36" t="n"/>
      <c r="CE237" s="47" t="n"/>
      <c r="CF237" s="284" t="n"/>
      <c r="CG237" s="38" t="n"/>
      <c r="CH237" s="284" t="n"/>
      <c r="CI237" s="36" t="n"/>
      <c r="CJ237" s="47" t="n"/>
      <c r="CK237" s="284" t="n"/>
      <c r="CL237" s="38" t="n"/>
      <c r="CM237" s="96" t="n"/>
      <c r="CN237" s="36" t="n"/>
      <c r="CO237" s="47" t="n"/>
      <c r="CP237" s="284" t="n"/>
      <c r="CQ237" s="38" t="n"/>
      <c r="CR237" s="16" t="n"/>
      <c r="CS237" s="36" t="n"/>
      <c r="CT237" s="47" t="n"/>
      <c r="CU237" s="284" t="n"/>
      <c r="CV237" s="38" t="n"/>
      <c r="CW237" s="284" t="n"/>
      <c r="CX237" s="36" t="n"/>
      <c r="CY237" s="47" t="n"/>
      <c r="CZ237" s="284" t="n"/>
      <c r="DA237" s="38" t="n"/>
      <c r="DB237" s="347" t="n"/>
      <c r="DC237" s="36" t="n"/>
      <c r="DD237" s="47" t="n"/>
      <c r="DE237" s="284" t="n"/>
      <c r="DF237" s="38" t="n"/>
      <c r="DG237" s="284" t="n"/>
      <c r="DH237" s="36" t="n"/>
      <c r="DI237" s="47" t="n"/>
      <c r="DJ237" s="284" t="n"/>
      <c r="DK237" s="38" t="n"/>
      <c r="DL237" s="284" t="n"/>
      <c r="DM237" s="36" t="n"/>
      <c r="DN237" s="47" t="n"/>
      <c r="DO237" s="284" t="n"/>
      <c r="DP237" s="38" t="n">
        <v>0</v>
      </c>
      <c r="DQ237" s="284" t="n"/>
      <c r="DR237" s="36" t="n"/>
      <c r="DS237" s="47" t="n"/>
      <c r="DT237" s="284" t="n">
        <v>12</v>
      </c>
      <c r="DU237" s="156" t="n">
        <v>12</v>
      </c>
      <c r="DV237" s="347" t="n"/>
      <c r="DW237" s="338">
        <f t="array" ref="DW237">SUMPRODUCT(--(MOD(COLUMN($BO237:$DV237),5)=MOD(COLUMN($BO237),5)),$BO237:$DV237)</f>
        <v/>
      </c>
      <c r="DX237" s="339">
        <f>DW237*$J237</f>
        <v/>
      </c>
      <c r="DY237" s="344">
        <f t="array" ref="DY237">SUMPRODUCT(--(MOD(COLUMN($BO237:$DV237),5)=MOD(COLUMN($BP237),5)),$BO237:$DV237)</f>
        <v/>
      </c>
      <c r="DZ237" s="345">
        <f>DY237*$J237</f>
        <v/>
      </c>
      <c r="EA237" s="340">
        <f t="array" ref="EA237">SUMPRODUCT(--(MOD(COLUMN($BO237:$DV237),5)=MOD(COLUMN($BQ237),5)),$BO237:$DV237)</f>
        <v/>
      </c>
      <c r="EB237" s="341">
        <f>EA237*$J237</f>
        <v/>
      </c>
      <c r="EC237" s="342">
        <f t="array" ref="EC237">SUMPRODUCT(--(MOD(COLUMN($BO237:$DV237),5)=MOD(COLUMN($BR237),5)),$BO237:$DV237)</f>
        <v/>
      </c>
      <c r="ED237" s="343">
        <f>EC237*$J237</f>
        <v/>
      </c>
      <c r="EE237" s="36" t="n">
        <v>8</v>
      </c>
      <c r="EF237" s="284" t="n">
        <v>0</v>
      </c>
      <c r="EG237" s="38" t="n">
        <v>0</v>
      </c>
      <c r="EH237" s="284" t="n"/>
      <c r="EI237" s="36" t="n"/>
      <c r="EJ237" s="284" t="n"/>
      <c r="EK237" s="38" t="n">
        <v>0</v>
      </c>
      <c r="EL237" s="284" t="n"/>
      <c r="EM237" s="36" t="n"/>
      <c r="EN237" s="284" t="n"/>
      <c r="EO237" s="38" t="n"/>
      <c r="EP237" s="284" t="n"/>
      <c r="EQ237" s="36" t="n"/>
      <c r="ER237" s="284" t="n"/>
      <c r="ES237" s="38" t="n"/>
      <c r="ET237" s="284" t="n"/>
      <c r="EU237" s="36" t="n"/>
      <c r="EV237" s="284" t="n"/>
      <c r="EW237" s="38" t="n"/>
      <c r="EX237" s="284" t="n"/>
      <c r="EY237" s="36" t="n"/>
      <c r="EZ237" s="284" t="n"/>
      <c r="FA237" s="38" t="n"/>
      <c r="FB237" s="284" t="n"/>
      <c r="FC237" s="36" t="n"/>
      <c r="FD237" s="284" t="n"/>
      <c r="FE237" s="38" t="n"/>
      <c r="FF237" s="284" t="n"/>
      <c r="FG237" s="36" t="n"/>
      <c r="FH237" s="284" t="n"/>
      <c r="FI237" s="38" t="n"/>
      <c r="FJ237" s="284" t="n"/>
      <c r="FK237" s="36" t="n"/>
      <c r="FL237" s="284" t="n"/>
      <c r="FM237" s="38" t="n"/>
      <c r="FN237" s="284" t="n"/>
      <c r="FO237" s="36" t="n"/>
      <c r="FP237" s="284" t="n"/>
      <c r="FQ237" s="38" t="n"/>
      <c r="FR237" s="284" t="n"/>
      <c r="FS237" s="36" t="n"/>
      <c r="FT237" s="284" t="n"/>
      <c r="FU237" s="38" t="n"/>
      <c r="FV237" s="284" t="n"/>
      <c r="FW237" s="36" t="n"/>
      <c r="FX237" s="284" t="n"/>
      <c r="FY237" s="38" t="n"/>
      <c r="FZ237" s="284" t="n"/>
      <c r="GA237" s="338">
        <f>SUMPRODUCT(--(MOD(COLUMN($EE237:$FZ237),4)=MOD(COLUMN($EE237),4)),$EE237:$FZ237)</f>
        <v/>
      </c>
      <c r="GB237" s="339">
        <f>GA237*$J237</f>
        <v/>
      </c>
      <c r="GC237" s="340">
        <f>SUMPRODUCT(--(MOD(COLUMN($EE237:$FZ237),4)=MOD(COLUMN($EF237),4)),$EE237:$FZ237)</f>
        <v/>
      </c>
      <c r="GD237" s="341">
        <f>GC237*$J237</f>
        <v/>
      </c>
      <c r="GE237" s="342">
        <f>SUMPRODUCT(--(MOD(COLUMN($EE237:$FZ237),4)=MOD(COLUMN($EG237),4)),$EE237:$FZ237)</f>
        <v/>
      </c>
      <c r="GF237" s="343">
        <f>GE237*$J237</f>
        <v/>
      </c>
      <c r="GG237" s="36" t="n"/>
      <c r="GH237" s="284" t="n"/>
      <c r="GI237" s="38" t="n"/>
      <c r="GJ237" s="284" t="n"/>
      <c r="GK237" s="36" t="n"/>
      <c r="GL237" s="284" t="n"/>
      <c r="GM237" s="38" t="n"/>
      <c r="GN237" s="284" t="n"/>
      <c r="GO237" s="36" t="n"/>
      <c r="GP237" s="284" t="n"/>
      <c r="GQ237" s="38" t="n"/>
      <c r="GR237" s="284" t="n"/>
      <c r="GS237" s="36" t="n"/>
      <c r="GT237" s="284" t="n"/>
      <c r="GU237" s="38" t="n"/>
      <c r="GV237" s="284" t="n"/>
      <c r="GW237" s="36" t="n"/>
      <c r="GX237" s="284" t="n"/>
      <c r="GY237" s="38" t="n"/>
      <c r="GZ237" s="284" t="n"/>
      <c r="HA237" s="36" t="n"/>
      <c r="HB237" s="284" t="n"/>
      <c r="HC237" s="38" t="n"/>
      <c r="HD237" s="284" t="n"/>
      <c r="HE237" s="36" t="n"/>
      <c r="HF237" s="284" t="n"/>
      <c r="HG237" s="38" t="n"/>
      <c r="HH237" s="284" t="n"/>
      <c r="HI237" s="36" t="n"/>
      <c r="HJ237" s="284" t="n"/>
      <c r="HK237" s="38" t="n"/>
      <c r="HL237" s="284" t="n"/>
      <c r="HM237" s="36" t="n"/>
      <c r="HN237" s="284" t="n"/>
      <c r="HO237" s="38" t="n"/>
      <c r="HP237" s="284" t="n"/>
      <c r="HQ237" s="36" t="n"/>
      <c r="HR237" s="284" t="n"/>
      <c r="HS237" s="38" t="n"/>
      <c r="HT237" s="284" t="n"/>
      <c r="HU237" s="36" t="n"/>
      <c r="HV237" s="284" t="n"/>
      <c r="HW237" s="38" t="n"/>
      <c r="HX237" s="284" t="n"/>
      <c r="HY237" s="36" t="n"/>
      <c r="HZ237" s="284" t="n"/>
      <c r="IA237" s="38" t="n"/>
      <c r="IB237" s="284" t="n"/>
      <c r="IC237" s="338">
        <f t="array" ref="IC237">SUMPRODUCT(--(MOD(COLUMN($GG237:$IB237),4)=MOD(COLUMN($GG237),4)),$GG237:$IB237)</f>
        <v/>
      </c>
      <c r="ID237" s="339">
        <f>IC237*$J237</f>
        <v/>
      </c>
      <c r="IE237" s="340">
        <f t="array" ref="IE237">SUMPRODUCT(--(MOD(COLUMN($GG237:$IB237),4)=MOD(COLUMN($GH237),4)),$GG237:$IB237)</f>
        <v/>
      </c>
      <c r="IF237" s="341">
        <f>IE237*$J237</f>
        <v/>
      </c>
      <c r="IG237" s="342">
        <f t="array" ref="IG237">SUMPRODUCT(--(MOD(COLUMN($GG237:$IB237),4)=MOD(COLUMN($GI237),4)),$GG237:$IB237)</f>
        <v/>
      </c>
      <c r="IH237" s="343">
        <f>IG237*$J237</f>
        <v/>
      </c>
      <c r="II237" s="36" t="n"/>
      <c r="IJ237" s="284" t="n"/>
      <c r="IK237" s="38" t="n"/>
      <c r="IL237" s="284" t="n"/>
      <c r="IM237" s="36" t="n"/>
      <c r="IN237" s="284" t="n"/>
      <c r="IO237" s="38" t="n"/>
      <c r="IP237" s="284" t="n"/>
      <c r="IQ237" s="36" t="n"/>
      <c r="IR237" s="284" t="n"/>
      <c r="IS237" s="38" t="n"/>
      <c r="IT237" s="284" t="n"/>
      <c r="IU237" s="36" t="n"/>
      <c r="IV237" s="284" t="n"/>
      <c r="IW237" s="38" t="n"/>
      <c r="IX237" s="284" t="n"/>
      <c r="IY237" s="36" t="n"/>
      <c r="IZ237" s="284" t="n"/>
      <c r="JA237" s="38" t="n"/>
      <c r="JB237" s="284" t="n"/>
      <c r="JC237" s="36" t="n"/>
      <c r="JD237" s="284" t="n"/>
      <c r="JE237" s="38" t="n"/>
      <c r="JF237" s="284" t="n"/>
      <c r="JG237" s="36" t="n"/>
      <c r="JH237" s="284" t="n"/>
      <c r="JI237" s="38" t="n"/>
      <c r="JJ237" s="284" t="n"/>
      <c r="JK237" s="36" t="n"/>
      <c r="JL237" s="284" t="n"/>
      <c r="JM237" s="38" t="n"/>
      <c r="JN237" s="284" t="n"/>
      <c r="JO237" s="36" t="n"/>
      <c r="JP237" s="284" t="n"/>
      <c r="JQ237" s="38" t="n"/>
      <c r="JR237" s="284" t="n"/>
      <c r="JS237" s="36" t="n"/>
      <c r="JT237" s="284" t="n"/>
      <c r="JU237" s="38" t="n"/>
      <c r="JV237" s="284" t="n"/>
      <c r="JW237" s="36" t="n"/>
      <c r="JX237" s="284" t="n"/>
      <c r="JY237" s="38" t="n"/>
      <c r="JZ237" s="284" t="n"/>
      <c r="KA237" s="36" t="n"/>
      <c r="KB237" s="284" t="n"/>
      <c r="KC237" s="38" t="n"/>
      <c r="KD237" s="284" t="n"/>
      <c r="KE237" s="338">
        <f t="array" ref="KE237">SUMPRODUCT(--(MOD(COLUMN($II237:$KD237),4)=MOD(COLUMN($II237),4)),$II237:$KD237)</f>
        <v/>
      </c>
      <c r="KF237" s="339">
        <f>KE237*$J237</f>
        <v/>
      </c>
      <c r="KG237" s="340">
        <f t="array" ref="KG237">SUMPRODUCT(--(MOD(COLUMN($II237:$KD237),4)=MOD(COLUMN($IJ237),4)),$II237:$KD237)</f>
        <v/>
      </c>
      <c r="KH237" s="341">
        <f>KG237*$J237</f>
        <v/>
      </c>
      <c r="KI237" s="342">
        <f t="array" ref="KI237">SUMPRODUCT(--(MOD(COLUMN($II237:$KD237),4)=MOD(COLUMN($IK237),4)),$II237:$KD237)</f>
        <v/>
      </c>
      <c r="KJ237" s="346">
        <f>KI237*$J237</f>
        <v/>
      </c>
      <c r="KK237" s="80" t="n"/>
      <c r="KL237" s="80" t="n"/>
      <c r="KM237" s="80" t="n"/>
      <c r="KN237" s="51" t="n"/>
      <c r="KO237" s="347" t="n"/>
    </row>
    <row r="238" outlineLevel="1" ht="28.8" customFormat="1" customHeight="1" s="68">
      <c r="A238" s="347" t="n"/>
      <c r="B238" s="347" t="n"/>
      <c r="C238" s="347" t="n"/>
      <c r="D238" s="347" t="n"/>
      <c r="E238" s="60" t="n">
        <v>9</v>
      </c>
      <c r="F238" s="60" t="n">
        <v>1</v>
      </c>
      <c r="G238" s="112" t="n">
        <v>4640061000</v>
      </c>
      <c r="H238" s="57" t="inlineStr">
        <is>
          <t>Кран уровня пола, 5-ти портовый</t>
        </is>
      </c>
      <c r="I238" s="348">
        <f>584/1.2*1.1371</f>
        <v/>
      </c>
      <c r="J238" s="348">
        <f>584/1.2*1.1371</f>
        <v/>
      </c>
      <c r="K238" s="348" t="n"/>
      <c r="L238" s="348" t="n"/>
      <c r="M238" s="36" t="n"/>
      <c r="N238" s="284" t="n"/>
      <c r="O238" s="38" t="n"/>
      <c r="P238" s="284" t="n"/>
      <c r="Q238" s="36" t="n"/>
      <c r="R238" s="284" t="n"/>
      <c r="S238" s="38" t="n"/>
      <c r="T238" s="284" t="n"/>
      <c r="U238" s="36" t="n"/>
      <c r="V238" s="284" t="n"/>
      <c r="W238" s="38" t="n"/>
      <c r="X238" s="284" t="n"/>
      <c r="Y238" s="36" t="n"/>
      <c r="Z238" s="284" t="n"/>
      <c r="AA238" s="38" t="n"/>
      <c r="AB238" s="284" t="n"/>
      <c r="AC238" s="36" t="n"/>
      <c r="AD238" s="284" t="n"/>
      <c r="AE238" s="38" t="n"/>
      <c r="AF238" s="284" t="n"/>
      <c r="AG238" s="36" t="n"/>
      <c r="AH238" s="284" t="n"/>
      <c r="AI238" s="38" t="n"/>
      <c r="AJ238" s="284" t="n"/>
      <c r="AK238" s="36" t="n"/>
      <c r="AL238" s="284" t="n"/>
      <c r="AM238" s="38" t="n"/>
      <c r="AN238" s="284" t="n"/>
      <c r="AO238" s="36" t="n"/>
      <c r="AP238" s="284" t="n"/>
      <c r="AQ238" s="38" t="n"/>
      <c r="AR238" s="284" t="n"/>
      <c r="AS238" s="36" t="n"/>
      <c r="AT238" s="284" t="n"/>
      <c r="AU238" s="38" t="n"/>
      <c r="AV238" s="284" t="n"/>
      <c r="AW238" s="36" t="n"/>
      <c r="AX238" s="284" t="n"/>
      <c r="AY238" s="38" t="n"/>
      <c r="AZ238" s="96" t="n"/>
      <c r="BA238" s="36" t="n"/>
      <c r="BB238" s="284" t="n"/>
      <c r="BC238" s="99" t="n"/>
      <c r="BD238" s="284" t="n"/>
      <c r="BE238" s="36" t="n"/>
      <c r="BF238" s="284" t="n"/>
      <c r="BG238" s="78" t="n"/>
      <c r="BH238" s="347" t="n"/>
      <c r="BI238" s="338" t="n"/>
      <c r="BJ238" s="339" t="n"/>
      <c r="BK238" s="340" t="n"/>
      <c r="BL238" s="341" t="n"/>
      <c r="BM238" s="342" t="n"/>
      <c r="BN238" s="343" t="n"/>
      <c r="BO238" s="36" t="n"/>
      <c r="BP238" s="47" t="n"/>
      <c r="BQ238" s="284" t="n"/>
      <c r="BR238" s="38" t="n"/>
      <c r="BS238" s="96" t="n"/>
      <c r="BT238" s="36" t="n"/>
      <c r="BU238" s="47" t="n"/>
      <c r="BV238" s="284" t="n"/>
      <c r="BW238" s="38" t="n"/>
      <c r="BX238" s="284" t="n"/>
      <c r="BY238" s="36" t="n"/>
      <c r="BZ238" s="47" t="n"/>
      <c r="CA238" s="284" t="n"/>
      <c r="CB238" s="38" t="n"/>
      <c r="CC238" s="284" t="n"/>
      <c r="CD238" s="36" t="n"/>
      <c r="CE238" s="47" t="n"/>
      <c r="CF238" s="284" t="n"/>
      <c r="CG238" s="38" t="n"/>
      <c r="CH238" s="284" t="n"/>
      <c r="CI238" s="36" t="n"/>
      <c r="CJ238" s="47" t="n"/>
      <c r="CK238" s="284" t="n"/>
      <c r="CL238" s="38" t="n"/>
      <c r="CM238" s="96" t="n"/>
      <c r="CN238" s="36" t="n"/>
      <c r="CO238" s="47" t="n"/>
      <c r="CP238" s="284" t="n"/>
      <c r="CQ238" s="38" t="n"/>
      <c r="CR238" s="16" t="n"/>
      <c r="CS238" s="36" t="n"/>
      <c r="CT238" s="47" t="n"/>
      <c r="CU238" s="284" t="n"/>
      <c r="CV238" s="38" t="n">
        <v>3</v>
      </c>
      <c r="CW238" s="284" t="n"/>
      <c r="CX238" s="36" t="n"/>
      <c r="CY238" s="47" t="n"/>
      <c r="CZ238" s="284">
        <f>$KN238*0</f>
        <v/>
      </c>
      <c r="DA238" s="38" t="n">
        <v>0</v>
      </c>
      <c r="DB238" s="347" t="n"/>
      <c r="DC238" s="36" t="n"/>
      <c r="DD238" s="47" t="n"/>
      <c r="DE238" s="284" t="n"/>
      <c r="DF238" s="38" t="n">
        <v>0</v>
      </c>
      <c r="DG238" s="284" t="n"/>
      <c r="DH238" s="36" t="n"/>
      <c r="DI238" s="47" t="n"/>
      <c r="DJ238" s="284" t="n"/>
      <c r="DK238" s="38" t="n">
        <v>0</v>
      </c>
      <c r="DL238" s="284" t="n"/>
      <c r="DM238" s="36" t="n"/>
      <c r="DN238" s="47" t="n"/>
      <c r="DO238" s="284" t="n"/>
      <c r="DP238" s="38" t="n">
        <v>0</v>
      </c>
      <c r="DQ238" s="284" t="n"/>
      <c r="DR238" s="36" t="n"/>
      <c r="DS238" s="47" t="n"/>
      <c r="DT238" s="284" t="n">
        <v>6</v>
      </c>
      <c r="DU238" s="156" t="n">
        <v>6</v>
      </c>
      <c r="DV238" s="347" t="n"/>
      <c r="DW238" s="338">
        <f t="array" ref="DW238">SUMPRODUCT(--(MOD(COLUMN($BO238:$DV238),5)=MOD(COLUMN($BO238),5)),$BO238:$DV238)</f>
        <v/>
      </c>
      <c r="DX238" s="339">
        <f>DW238*$J238</f>
        <v/>
      </c>
      <c r="DY238" s="344">
        <f t="array" ref="DY238">SUMPRODUCT(--(MOD(COLUMN($BO238:$DV238),5)=MOD(COLUMN($BP238),5)),$BO238:$DV238)</f>
        <v/>
      </c>
      <c r="DZ238" s="345">
        <f>DY238*$J238</f>
        <v/>
      </c>
      <c r="EA238" s="340">
        <f t="array" ref="EA238">SUMPRODUCT(--(MOD(COLUMN($BO238:$DV238),5)=MOD(COLUMN($BQ238),5)),$BO238:$DV238)</f>
        <v/>
      </c>
      <c r="EB238" s="341">
        <f>EA238*$J238</f>
        <v/>
      </c>
      <c r="EC238" s="342">
        <f t="array" ref="EC238">SUMPRODUCT(--(MOD(COLUMN($BO238:$DV238),5)=MOD(COLUMN($BR238),5)),$BO238:$DV238)</f>
        <v/>
      </c>
      <c r="ED238" s="343">
        <f>EC238*$J238</f>
        <v/>
      </c>
      <c r="EE238" s="36" t="n">
        <v>4</v>
      </c>
      <c r="EF238" s="284" t="n">
        <v>0</v>
      </c>
      <c r="EG238" s="38" t="n">
        <v>0</v>
      </c>
      <c r="EH238" s="284" t="n"/>
      <c r="EI238" s="36" t="n"/>
      <c r="EJ238" s="284" t="n"/>
      <c r="EK238" s="38" t="n">
        <v>0</v>
      </c>
      <c r="EL238" s="284" t="n"/>
      <c r="EM238" s="36" t="n"/>
      <c r="EN238" s="284" t="n"/>
      <c r="EO238" s="38" t="n"/>
      <c r="EP238" s="284" t="n"/>
      <c r="EQ238" s="36" t="n"/>
      <c r="ER238" s="284" t="n"/>
      <c r="ES238" s="38" t="n"/>
      <c r="ET238" s="284" t="n"/>
      <c r="EU238" s="36" t="n"/>
      <c r="EV238" s="284" t="n"/>
      <c r="EW238" s="38" t="n"/>
      <c r="EX238" s="284" t="n"/>
      <c r="EY238" s="36" t="n"/>
      <c r="EZ238" s="284" t="n"/>
      <c r="FA238" s="38" t="n"/>
      <c r="FB238" s="284" t="n"/>
      <c r="FC238" s="36" t="n"/>
      <c r="FD238" s="284" t="n"/>
      <c r="FE238" s="38" t="n"/>
      <c r="FF238" s="284" t="n"/>
      <c r="FG238" s="36" t="n"/>
      <c r="FH238" s="284" t="n"/>
      <c r="FI238" s="38" t="n"/>
      <c r="FJ238" s="284" t="n"/>
      <c r="FK238" s="36" t="n"/>
      <c r="FL238" s="284" t="n"/>
      <c r="FM238" s="38" t="n"/>
      <c r="FN238" s="284" t="n"/>
      <c r="FO238" s="36" t="n"/>
      <c r="FP238" s="284" t="n"/>
      <c r="FQ238" s="38" t="n"/>
      <c r="FR238" s="284" t="n"/>
      <c r="FS238" s="36" t="n"/>
      <c r="FT238" s="284" t="n"/>
      <c r="FU238" s="38" t="n"/>
      <c r="FV238" s="284" t="n"/>
      <c r="FW238" s="36" t="n"/>
      <c r="FX238" s="284" t="n"/>
      <c r="FY238" s="38" t="n"/>
      <c r="FZ238" s="284" t="n"/>
      <c r="GA238" s="338">
        <f>SUMPRODUCT(--(MOD(COLUMN($EE238:$FZ238),4)=MOD(COLUMN($EE238),4)),$EE238:$FZ238)</f>
        <v/>
      </c>
      <c r="GB238" s="339">
        <f>GA238*$J238</f>
        <v/>
      </c>
      <c r="GC238" s="340">
        <f>SUMPRODUCT(--(MOD(COLUMN($EE238:$FZ238),4)=MOD(COLUMN($EF238),4)),$EE238:$FZ238)</f>
        <v/>
      </c>
      <c r="GD238" s="341">
        <f>GC238*$J238</f>
        <v/>
      </c>
      <c r="GE238" s="342">
        <f>SUMPRODUCT(--(MOD(COLUMN($EE238:$FZ238),4)=MOD(COLUMN($EG238),4)),$EE238:$FZ238)</f>
        <v/>
      </c>
      <c r="GF238" s="343">
        <f>GE238*$J238</f>
        <v/>
      </c>
      <c r="GG238" s="36" t="n"/>
      <c r="GH238" s="284" t="n"/>
      <c r="GI238" s="38" t="n"/>
      <c r="GJ238" s="284" t="n"/>
      <c r="GK238" s="36" t="n"/>
      <c r="GL238" s="284" t="n"/>
      <c r="GM238" s="38" t="n"/>
      <c r="GN238" s="284" t="n"/>
      <c r="GO238" s="36" t="n"/>
      <c r="GP238" s="284" t="n"/>
      <c r="GQ238" s="38" t="n"/>
      <c r="GR238" s="284" t="n"/>
      <c r="GS238" s="36" t="n"/>
      <c r="GT238" s="284" t="n"/>
      <c r="GU238" s="38" t="n"/>
      <c r="GV238" s="284" t="n"/>
      <c r="GW238" s="36" t="n"/>
      <c r="GX238" s="284" t="n"/>
      <c r="GY238" s="38" t="n"/>
      <c r="GZ238" s="284" t="n"/>
      <c r="HA238" s="36" t="n"/>
      <c r="HB238" s="284" t="n"/>
      <c r="HC238" s="38" t="n"/>
      <c r="HD238" s="284" t="n"/>
      <c r="HE238" s="36" t="n"/>
      <c r="HF238" s="284" t="n"/>
      <c r="HG238" s="38" t="n"/>
      <c r="HH238" s="284" t="n"/>
      <c r="HI238" s="36" t="n"/>
      <c r="HJ238" s="284" t="n"/>
      <c r="HK238" s="38" t="n"/>
      <c r="HL238" s="284" t="n"/>
      <c r="HM238" s="36" t="n"/>
      <c r="HN238" s="284" t="n"/>
      <c r="HO238" s="38" t="n"/>
      <c r="HP238" s="284" t="n"/>
      <c r="HQ238" s="36" t="n"/>
      <c r="HR238" s="284" t="n"/>
      <c r="HS238" s="38" t="n"/>
      <c r="HT238" s="284" t="n"/>
      <c r="HU238" s="36" t="n"/>
      <c r="HV238" s="284" t="n"/>
      <c r="HW238" s="38" t="n"/>
      <c r="HX238" s="284" t="n"/>
      <c r="HY238" s="36" t="n"/>
      <c r="HZ238" s="284" t="n"/>
      <c r="IA238" s="38" t="n"/>
      <c r="IB238" s="284" t="n"/>
      <c r="IC238" s="338">
        <f t="array" ref="IC238">SUMPRODUCT(--(MOD(COLUMN($GG238:$IB238),4)=MOD(COLUMN($GG238),4)),$GG238:$IB238)</f>
        <v/>
      </c>
      <c r="ID238" s="339">
        <f>IC238*$J238</f>
        <v/>
      </c>
      <c r="IE238" s="340">
        <f t="array" ref="IE238">SUMPRODUCT(--(MOD(COLUMN($GG238:$IB238),4)=MOD(COLUMN($GH238),4)),$GG238:$IB238)</f>
        <v/>
      </c>
      <c r="IF238" s="341">
        <f>IE238*$J238</f>
        <v/>
      </c>
      <c r="IG238" s="342">
        <f t="array" ref="IG238">SUMPRODUCT(--(MOD(COLUMN($GG238:$IB238),4)=MOD(COLUMN($GI238),4)),$GG238:$IB238)</f>
        <v/>
      </c>
      <c r="IH238" s="343">
        <f>IG238*$J238</f>
        <v/>
      </c>
      <c r="II238" s="36" t="n"/>
      <c r="IJ238" s="284" t="n"/>
      <c r="IK238" s="38" t="n"/>
      <c r="IL238" s="284" t="n"/>
      <c r="IM238" s="36" t="n"/>
      <c r="IN238" s="284" t="n"/>
      <c r="IO238" s="38" t="n"/>
      <c r="IP238" s="284" t="n"/>
      <c r="IQ238" s="36" t="n"/>
      <c r="IR238" s="284" t="n"/>
      <c r="IS238" s="38" t="n"/>
      <c r="IT238" s="284" t="n"/>
      <c r="IU238" s="36" t="n"/>
      <c r="IV238" s="284" t="n"/>
      <c r="IW238" s="38" t="n"/>
      <c r="IX238" s="284" t="n"/>
      <c r="IY238" s="36" t="n"/>
      <c r="IZ238" s="284" t="n"/>
      <c r="JA238" s="38" t="n"/>
      <c r="JB238" s="284" t="n"/>
      <c r="JC238" s="36" t="n"/>
      <c r="JD238" s="284" t="n"/>
      <c r="JE238" s="38" t="n"/>
      <c r="JF238" s="284" t="n"/>
      <c r="JG238" s="36" t="n"/>
      <c r="JH238" s="284" t="n"/>
      <c r="JI238" s="38" t="n"/>
      <c r="JJ238" s="284" t="n"/>
      <c r="JK238" s="36" t="n"/>
      <c r="JL238" s="284" t="n"/>
      <c r="JM238" s="38" t="n"/>
      <c r="JN238" s="284" t="n"/>
      <c r="JO238" s="36" t="n"/>
      <c r="JP238" s="284" t="n"/>
      <c r="JQ238" s="38" t="n"/>
      <c r="JR238" s="284" t="n"/>
      <c r="JS238" s="36" t="n"/>
      <c r="JT238" s="284" t="n"/>
      <c r="JU238" s="38" t="n"/>
      <c r="JV238" s="284" t="n"/>
      <c r="JW238" s="36" t="n"/>
      <c r="JX238" s="284" t="n"/>
      <c r="JY238" s="38" t="n"/>
      <c r="JZ238" s="284" t="n"/>
      <c r="KA238" s="36" t="n"/>
      <c r="KB238" s="284" t="n"/>
      <c r="KC238" s="38" t="n"/>
      <c r="KD238" s="284" t="n"/>
      <c r="KE238" s="338">
        <f t="array" ref="KE238">SUMPRODUCT(--(MOD(COLUMN($II238:$KD238),4)=MOD(COLUMN($II238),4)),$II238:$KD238)</f>
        <v/>
      </c>
      <c r="KF238" s="339">
        <f>KE238*$J238</f>
        <v/>
      </c>
      <c r="KG238" s="340">
        <f t="array" ref="KG238">SUMPRODUCT(--(MOD(COLUMN($II238:$KD238),4)=MOD(COLUMN($IJ238),4)),$II238:$KD238)</f>
        <v/>
      </c>
      <c r="KH238" s="341">
        <f>KG238*$J238</f>
        <v/>
      </c>
      <c r="KI238" s="342">
        <f t="array" ref="KI238">SUMPRODUCT(--(MOD(COLUMN($II238:$KD238),4)=MOD(COLUMN($IK238),4)),$II238:$KD238)</f>
        <v/>
      </c>
      <c r="KJ238" s="346">
        <f>KI238*$J238</f>
        <v/>
      </c>
      <c r="KK238" s="80" t="n"/>
      <c r="KL238" s="80" t="n"/>
      <c r="KM238" s="80" t="n"/>
      <c r="KN238" s="51" t="n">
        <v>1</v>
      </c>
      <c r="KO238" s="347" t="n"/>
    </row>
    <row r="239" outlineLevel="1" ht="28.8" customFormat="1" customHeight="1" s="68">
      <c r="A239" s="347" t="n"/>
      <c r="B239" s="347" t="n"/>
      <c r="C239" s="347" t="n"/>
      <c r="D239" s="347" t="n"/>
      <c r="E239" s="60" t="n">
        <v>10</v>
      </c>
      <c r="F239" s="60" t="n">
        <v>1</v>
      </c>
      <c r="G239" s="112" t="n">
        <v>4630320200</v>
      </c>
      <c r="H239" s="57" t="inlineStr">
        <is>
          <t>Кран ручного управления</t>
        </is>
      </c>
      <c r="I239" s="348">
        <f>537.4/1.2*1.1371</f>
        <v/>
      </c>
      <c r="J239" s="348">
        <f>537.4/1.2*1.1371</f>
        <v/>
      </c>
      <c r="K239" s="348" t="n"/>
      <c r="L239" s="348" t="n"/>
      <c r="M239" s="36" t="n"/>
      <c r="N239" s="284" t="n"/>
      <c r="O239" s="38" t="n"/>
      <c r="P239" s="284" t="n"/>
      <c r="Q239" s="36" t="n"/>
      <c r="R239" s="284" t="n"/>
      <c r="S239" s="38" t="n"/>
      <c r="T239" s="284" t="n"/>
      <c r="U239" s="36" t="n"/>
      <c r="V239" s="284" t="n"/>
      <c r="W239" s="38" t="n"/>
      <c r="X239" s="284" t="n"/>
      <c r="Y239" s="36" t="n"/>
      <c r="Z239" s="284" t="n"/>
      <c r="AA239" s="38" t="n"/>
      <c r="AB239" s="284" t="n"/>
      <c r="AC239" s="36" t="n"/>
      <c r="AD239" s="284" t="n"/>
      <c r="AE239" s="38" t="n"/>
      <c r="AF239" s="284" t="n"/>
      <c r="AG239" s="36" t="n"/>
      <c r="AH239" s="284" t="n"/>
      <c r="AI239" s="38" t="n"/>
      <c r="AJ239" s="284" t="n"/>
      <c r="AK239" s="36" t="n"/>
      <c r="AL239" s="284" t="n"/>
      <c r="AM239" s="38" t="n"/>
      <c r="AN239" s="284" t="n"/>
      <c r="AO239" s="36" t="n"/>
      <c r="AP239" s="284" t="n"/>
      <c r="AQ239" s="38" t="n"/>
      <c r="AR239" s="284" t="n"/>
      <c r="AS239" s="36" t="n"/>
      <c r="AT239" s="284" t="n"/>
      <c r="AU239" s="38" t="n"/>
      <c r="AV239" s="284" t="n"/>
      <c r="AW239" s="36" t="n"/>
      <c r="AX239" s="284" t="n"/>
      <c r="AY239" s="38" t="n"/>
      <c r="AZ239" s="96" t="n"/>
      <c r="BA239" s="36" t="n"/>
      <c r="BB239" s="284" t="n"/>
      <c r="BC239" s="99" t="n"/>
      <c r="BD239" s="284" t="n"/>
      <c r="BE239" s="36" t="n"/>
      <c r="BF239" s="284" t="n"/>
      <c r="BG239" s="78" t="n"/>
      <c r="BH239" s="347" t="n"/>
      <c r="BI239" s="338" t="n"/>
      <c r="BJ239" s="339" t="n"/>
      <c r="BK239" s="340" t="n"/>
      <c r="BL239" s="341" t="n"/>
      <c r="BM239" s="342" t="n"/>
      <c r="BN239" s="343" t="n"/>
      <c r="BO239" s="36" t="n"/>
      <c r="BP239" s="47" t="n"/>
      <c r="BQ239" s="284" t="n"/>
      <c r="BR239" s="38" t="n"/>
      <c r="BS239" s="96" t="n"/>
      <c r="BT239" s="36" t="n"/>
      <c r="BU239" s="47" t="n"/>
      <c r="BV239" s="284" t="n"/>
      <c r="BW239" s="38" t="n"/>
      <c r="BX239" s="284" t="n"/>
      <c r="BY239" s="36" t="n"/>
      <c r="BZ239" s="47" t="n"/>
      <c r="CA239" s="284" t="n"/>
      <c r="CB239" s="38" t="n"/>
      <c r="CC239" s="284" t="n"/>
      <c r="CD239" s="36" t="n"/>
      <c r="CE239" s="47" t="n"/>
      <c r="CF239" s="284" t="n"/>
      <c r="CG239" s="38" t="n"/>
      <c r="CH239" s="284" t="n"/>
      <c r="CI239" s="36" t="n"/>
      <c r="CJ239" s="47" t="n"/>
      <c r="CK239" s="284" t="n"/>
      <c r="CL239" s="38" t="n"/>
      <c r="CM239" s="96" t="n"/>
      <c r="CN239" s="36" t="n"/>
      <c r="CO239" s="47" t="n"/>
      <c r="CP239" s="284" t="n"/>
      <c r="CQ239" s="38" t="n"/>
      <c r="CR239" s="16" t="n"/>
      <c r="CS239" s="36" t="n"/>
      <c r="CT239" s="47" t="n"/>
      <c r="CU239" s="284" t="n"/>
      <c r="CV239" s="38" t="n">
        <v>3</v>
      </c>
      <c r="CW239" s="284" t="n"/>
      <c r="CX239" s="36" t="n"/>
      <c r="CY239" s="47" t="n"/>
      <c r="CZ239" s="284">
        <f>$KN239*0</f>
        <v/>
      </c>
      <c r="DA239" s="38" t="n">
        <v>0</v>
      </c>
      <c r="DB239" s="347" t="n"/>
      <c r="DC239" s="36" t="n"/>
      <c r="DD239" s="47" t="n"/>
      <c r="DE239" s="284" t="n"/>
      <c r="DF239" s="38" t="n">
        <v>0</v>
      </c>
      <c r="DG239" s="284" t="n"/>
      <c r="DH239" s="36" t="n"/>
      <c r="DI239" s="47" t="n"/>
      <c r="DJ239" s="284" t="n"/>
      <c r="DK239" s="38" t="n">
        <v>0</v>
      </c>
      <c r="DL239" s="284" t="n"/>
      <c r="DM239" s="36" t="n"/>
      <c r="DN239" s="47" t="n"/>
      <c r="DO239" s="284" t="n"/>
      <c r="DP239" s="38" t="n">
        <v>0</v>
      </c>
      <c r="DQ239" s="284" t="n"/>
      <c r="DR239" s="36" t="n"/>
      <c r="DS239" s="47" t="n"/>
      <c r="DT239" s="284" t="n">
        <v>6</v>
      </c>
      <c r="DU239" s="156" t="n">
        <v>6</v>
      </c>
      <c r="DV239" s="347" t="n"/>
      <c r="DW239" s="338">
        <f t="array" ref="DW239">SUMPRODUCT(--(MOD(COLUMN($BO239:$DV239),5)=MOD(COLUMN($BO239),5)),$BO239:$DV239)</f>
        <v/>
      </c>
      <c r="DX239" s="339">
        <f>DW239*$J239</f>
        <v/>
      </c>
      <c r="DY239" s="344">
        <f t="array" ref="DY239">SUMPRODUCT(--(MOD(COLUMN($BO239:$DV239),5)=MOD(COLUMN($BP239),5)),$BO239:$DV239)</f>
        <v/>
      </c>
      <c r="DZ239" s="345">
        <f>DY239*$J239</f>
        <v/>
      </c>
      <c r="EA239" s="340">
        <f t="array" ref="EA239">SUMPRODUCT(--(MOD(COLUMN($BO239:$DV239),5)=MOD(COLUMN($BQ239),5)),$BO239:$DV239)</f>
        <v/>
      </c>
      <c r="EB239" s="341">
        <f>EA239*$J239</f>
        <v/>
      </c>
      <c r="EC239" s="342">
        <f t="array" ref="EC239">SUMPRODUCT(--(MOD(COLUMN($BO239:$DV239),5)=MOD(COLUMN($BR239),5)),$BO239:$DV239)</f>
        <v/>
      </c>
      <c r="ED239" s="343">
        <f>EC239*$J239</f>
        <v/>
      </c>
      <c r="EE239" s="36" t="n">
        <v>4</v>
      </c>
      <c r="EF239" s="284" t="n">
        <v>0</v>
      </c>
      <c r="EG239" s="38" t="n">
        <v>0</v>
      </c>
      <c r="EH239" s="284" t="n"/>
      <c r="EI239" s="36" t="n"/>
      <c r="EJ239" s="284" t="n"/>
      <c r="EK239" s="38" t="n">
        <v>0</v>
      </c>
      <c r="EL239" s="284" t="n"/>
      <c r="EM239" s="36" t="n"/>
      <c r="EN239" s="284" t="n"/>
      <c r="EO239" s="38" t="n"/>
      <c r="EP239" s="284" t="n"/>
      <c r="EQ239" s="36" t="n"/>
      <c r="ER239" s="284" t="n"/>
      <c r="ES239" s="38" t="n"/>
      <c r="ET239" s="284" t="n"/>
      <c r="EU239" s="36" t="n"/>
      <c r="EV239" s="284" t="n"/>
      <c r="EW239" s="38" t="n"/>
      <c r="EX239" s="284" t="n"/>
      <c r="EY239" s="36" t="n"/>
      <c r="EZ239" s="284" t="n"/>
      <c r="FA239" s="38" t="n"/>
      <c r="FB239" s="284" t="n"/>
      <c r="FC239" s="36" t="n"/>
      <c r="FD239" s="284" t="n"/>
      <c r="FE239" s="38" t="n"/>
      <c r="FF239" s="284" t="n"/>
      <c r="FG239" s="36" t="n"/>
      <c r="FH239" s="284" t="n"/>
      <c r="FI239" s="38" t="n"/>
      <c r="FJ239" s="284" t="n"/>
      <c r="FK239" s="36" t="n"/>
      <c r="FL239" s="284" t="n"/>
      <c r="FM239" s="38" t="n"/>
      <c r="FN239" s="284" t="n"/>
      <c r="FO239" s="36" t="n"/>
      <c r="FP239" s="284" t="n"/>
      <c r="FQ239" s="38" t="n"/>
      <c r="FR239" s="284" t="n"/>
      <c r="FS239" s="36" t="n"/>
      <c r="FT239" s="284" t="n"/>
      <c r="FU239" s="38" t="n"/>
      <c r="FV239" s="284" t="n"/>
      <c r="FW239" s="36" t="n"/>
      <c r="FX239" s="284" t="n"/>
      <c r="FY239" s="38" t="n"/>
      <c r="FZ239" s="284" t="n"/>
      <c r="GA239" s="338">
        <f>SUMPRODUCT(--(MOD(COLUMN($EE239:$FZ239),4)=MOD(COLUMN($EE239),4)),$EE239:$FZ239)</f>
        <v/>
      </c>
      <c r="GB239" s="339">
        <f>GA239*$J239</f>
        <v/>
      </c>
      <c r="GC239" s="340">
        <f>SUMPRODUCT(--(MOD(COLUMN($EE239:$FZ239),4)=MOD(COLUMN($EF239),4)),$EE239:$FZ239)</f>
        <v/>
      </c>
      <c r="GD239" s="341">
        <f>GC239*$J239</f>
        <v/>
      </c>
      <c r="GE239" s="342">
        <f>SUMPRODUCT(--(MOD(COLUMN($EE239:$FZ239),4)=MOD(COLUMN($EG239),4)),$EE239:$FZ239)</f>
        <v/>
      </c>
      <c r="GF239" s="343">
        <f>GE239*$J239</f>
        <v/>
      </c>
      <c r="GG239" s="36" t="n"/>
      <c r="GH239" s="284" t="n"/>
      <c r="GI239" s="38" t="n"/>
      <c r="GJ239" s="284" t="n"/>
      <c r="GK239" s="36" t="n"/>
      <c r="GL239" s="284" t="n"/>
      <c r="GM239" s="38" t="n"/>
      <c r="GN239" s="284" t="n"/>
      <c r="GO239" s="36" t="n"/>
      <c r="GP239" s="284" t="n"/>
      <c r="GQ239" s="38" t="n"/>
      <c r="GR239" s="284" t="n"/>
      <c r="GS239" s="36" t="n"/>
      <c r="GT239" s="284" t="n"/>
      <c r="GU239" s="38" t="n"/>
      <c r="GV239" s="284" t="n"/>
      <c r="GW239" s="36" t="n"/>
      <c r="GX239" s="284" t="n"/>
      <c r="GY239" s="38" t="n"/>
      <c r="GZ239" s="284" t="n"/>
      <c r="HA239" s="36" t="n"/>
      <c r="HB239" s="284" t="n"/>
      <c r="HC239" s="38" t="n"/>
      <c r="HD239" s="284" t="n"/>
      <c r="HE239" s="36" t="n"/>
      <c r="HF239" s="284" t="n"/>
      <c r="HG239" s="38" t="n"/>
      <c r="HH239" s="284" t="n"/>
      <c r="HI239" s="36" t="n"/>
      <c r="HJ239" s="284" t="n"/>
      <c r="HK239" s="38" t="n"/>
      <c r="HL239" s="284" t="n"/>
      <c r="HM239" s="36" t="n"/>
      <c r="HN239" s="284" t="n"/>
      <c r="HO239" s="38" t="n"/>
      <c r="HP239" s="284" t="n"/>
      <c r="HQ239" s="36" t="n"/>
      <c r="HR239" s="284" t="n"/>
      <c r="HS239" s="38" t="n"/>
      <c r="HT239" s="284" t="n"/>
      <c r="HU239" s="36" t="n"/>
      <c r="HV239" s="284" t="n"/>
      <c r="HW239" s="38" t="n"/>
      <c r="HX239" s="284" t="n"/>
      <c r="HY239" s="36" t="n"/>
      <c r="HZ239" s="284" t="n"/>
      <c r="IA239" s="38" t="n"/>
      <c r="IB239" s="284" t="n"/>
      <c r="IC239" s="338">
        <f t="array" ref="IC239">SUMPRODUCT(--(MOD(COLUMN($GG239:$IB239),4)=MOD(COLUMN($GG239),4)),$GG239:$IB239)</f>
        <v/>
      </c>
      <c r="ID239" s="339">
        <f>IC239*$J239</f>
        <v/>
      </c>
      <c r="IE239" s="340">
        <f t="array" ref="IE239">SUMPRODUCT(--(MOD(COLUMN($GG239:$IB239),4)=MOD(COLUMN($GH239),4)),$GG239:$IB239)</f>
        <v/>
      </c>
      <c r="IF239" s="341">
        <f>IE239*$J239</f>
        <v/>
      </c>
      <c r="IG239" s="342">
        <f t="array" ref="IG239">SUMPRODUCT(--(MOD(COLUMN($GG239:$IB239),4)=MOD(COLUMN($GI239),4)),$GG239:$IB239)</f>
        <v/>
      </c>
      <c r="IH239" s="343">
        <f>IG239*$J239</f>
        <v/>
      </c>
      <c r="II239" s="36" t="n"/>
      <c r="IJ239" s="284" t="n"/>
      <c r="IK239" s="38" t="n"/>
      <c r="IL239" s="284" t="n"/>
      <c r="IM239" s="36" t="n"/>
      <c r="IN239" s="284" t="n"/>
      <c r="IO239" s="38" t="n"/>
      <c r="IP239" s="284" t="n"/>
      <c r="IQ239" s="36" t="n"/>
      <c r="IR239" s="284" t="n"/>
      <c r="IS239" s="38" t="n"/>
      <c r="IT239" s="284" t="n"/>
      <c r="IU239" s="36" t="n"/>
      <c r="IV239" s="284" t="n"/>
      <c r="IW239" s="38" t="n"/>
      <c r="IX239" s="284" t="n"/>
      <c r="IY239" s="36" t="n"/>
      <c r="IZ239" s="284" t="n"/>
      <c r="JA239" s="38" t="n"/>
      <c r="JB239" s="284" t="n"/>
      <c r="JC239" s="36" t="n"/>
      <c r="JD239" s="284" t="n"/>
      <c r="JE239" s="38" t="n"/>
      <c r="JF239" s="284" t="n"/>
      <c r="JG239" s="36" t="n"/>
      <c r="JH239" s="284" t="n"/>
      <c r="JI239" s="38" t="n"/>
      <c r="JJ239" s="284" t="n"/>
      <c r="JK239" s="36" t="n"/>
      <c r="JL239" s="284" t="n"/>
      <c r="JM239" s="38" t="n"/>
      <c r="JN239" s="284" t="n"/>
      <c r="JO239" s="36" t="n"/>
      <c r="JP239" s="284" t="n"/>
      <c r="JQ239" s="38" t="n"/>
      <c r="JR239" s="284" t="n"/>
      <c r="JS239" s="36" t="n"/>
      <c r="JT239" s="284" t="n"/>
      <c r="JU239" s="38" t="n"/>
      <c r="JV239" s="284" t="n"/>
      <c r="JW239" s="36" t="n"/>
      <c r="JX239" s="284" t="n"/>
      <c r="JY239" s="38" t="n"/>
      <c r="JZ239" s="284" t="n"/>
      <c r="KA239" s="36" t="n"/>
      <c r="KB239" s="284" t="n"/>
      <c r="KC239" s="38" t="n"/>
      <c r="KD239" s="284" t="n"/>
      <c r="KE239" s="338">
        <f t="array" ref="KE239">SUMPRODUCT(--(MOD(COLUMN($II239:$KD239),4)=MOD(COLUMN($II239),4)),$II239:$KD239)</f>
        <v/>
      </c>
      <c r="KF239" s="339">
        <f>KE239*$J239</f>
        <v/>
      </c>
      <c r="KG239" s="340">
        <f t="array" ref="KG239">SUMPRODUCT(--(MOD(COLUMN($II239:$KD239),4)=MOD(COLUMN($IJ239),4)),$II239:$KD239)</f>
        <v/>
      </c>
      <c r="KH239" s="341">
        <f>KG239*$J239</f>
        <v/>
      </c>
      <c r="KI239" s="342">
        <f t="array" ref="KI239">SUMPRODUCT(--(MOD(COLUMN($II239:$KD239),4)=MOD(COLUMN($IK239),4)),$II239:$KD239)</f>
        <v/>
      </c>
      <c r="KJ239" s="346">
        <f>KI239*$J239</f>
        <v/>
      </c>
      <c r="KK239" s="80" t="n"/>
      <c r="KL239" s="80" t="n"/>
      <c r="KM239" s="80" t="n"/>
      <c r="KN239" s="51" t="n">
        <v>1</v>
      </c>
      <c r="KO239" s="347" t="n"/>
    </row>
    <row r="240" outlineLevel="1" customFormat="1" s="68">
      <c r="A240" s="347" t="n"/>
      <c r="B240" s="347" t="n"/>
      <c r="C240" s="347" t="n"/>
      <c r="D240" s="347" t="n"/>
      <c r="E240" s="60" t="n">
        <v>11</v>
      </c>
      <c r="F240" s="60" t="n">
        <v>1</v>
      </c>
      <c r="G240" s="112" t="n">
        <v>4334010030</v>
      </c>
      <c r="H240" s="57" t="inlineStr">
        <is>
          <t>Упругий элемент</t>
        </is>
      </c>
      <c r="I240" s="348">
        <f>41.9/1.2*1.1371</f>
        <v/>
      </c>
      <c r="J240" s="348">
        <f>41.9/1.2*1.1371</f>
        <v/>
      </c>
      <c r="K240" s="348" t="n"/>
      <c r="L240" s="348" t="n"/>
      <c r="M240" s="36" t="n"/>
      <c r="N240" s="284" t="n"/>
      <c r="O240" s="38" t="n"/>
      <c r="P240" s="284" t="n"/>
      <c r="Q240" s="36" t="n"/>
      <c r="R240" s="284" t="n"/>
      <c r="S240" s="38" t="n"/>
      <c r="T240" s="284" t="n"/>
      <c r="U240" s="36" t="n"/>
      <c r="V240" s="284" t="n"/>
      <c r="W240" s="38" t="n"/>
      <c r="X240" s="284" t="n"/>
      <c r="Y240" s="36" t="n"/>
      <c r="Z240" s="284" t="n"/>
      <c r="AA240" s="38" t="n"/>
      <c r="AB240" s="284" t="n"/>
      <c r="AC240" s="36" t="n"/>
      <c r="AD240" s="284" t="n"/>
      <c r="AE240" s="38" t="n"/>
      <c r="AF240" s="284" t="n"/>
      <c r="AG240" s="36" t="n"/>
      <c r="AH240" s="284" t="n"/>
      <c r="AI240" s="38" t="n"/>
      <c r="AJ240" s="284" t="n"/>
      <c r="AK240" s="36" t="n"/>
      <c r="AL240" s="284" t="n"/>
      <c r="AM240" s="38" t="n"/>
      <c r="AN240" s="284" t="n"/>
      <c r="AO240" s="36" t="n"/>
      <c r="AP240" s="284" t="n"/>
      <c r="AQ240" s="38" t="n"/>
      <c r="AR240" s="284" t="n"/>
      <c r="AS240" s="36" t="n"/>
      <c r="AT240" s="284" t="n"/>
      <c r="AU240" s="38" t="n"/>
      <c r="AV240" s="284" t="n"/>
      <c r="AW240" s="36" t="n"/>
      <c r="AX240" s="284" t="n"/>
      <c r="AY240" s="38" t="n"/>
      <c r="AZ240" s="96" t="n"/>
      <c r="BA240" s="36" t="n"/>
      <c r="BB240" s="284" t="n"/>
      <c r="BC240" s="99" t="n"/>
      <c r="BD240" s="284" t="n"/>
      <c r="BE240" s="36" t="n"/>
      <c r="BF240" s="284" t="n"/>
      <c r="BG240" s="78" t="n"/>
      <c r="BH240" s="347" t="n"/>
      <c r="BI240" s="338" t="n"/>
      <c r="BJ240" s="339" t="n"/>
      <c r="BK240" s="340" t="n"/>
      <c r="BL240" s="341" t="n"/>
      <c r="BM240" s="342" t="n"/>
      <c r="BN240" s="343" t="n"/>
      <c r="BO240" s="36" t="n"/>
      <c r="BP240" s="47" t="n"/>
      <c r="BQ240" s="284" t="n"/>
      <c r="BR240" s="38" t="n"/>
      <c r="BS240" s="96" t="n"/>
      <c r="BT240" s="36" t="n"/>
      <c r="BU240" s="47" t="n"/>
      <c r="BV240" s="284" t="n"/>
      <c r="BW240" s="38" t="n"/>
      <c r="BX240" s="284" t="n"/>
      <c r="BY240" s="36" t="n"/>
      <c r="BZ240" s="47" t="n"/>
      <c r="CA240" s="284" t="n"/>
      <c r="CB240" s="38" t="n"/>
      <c r="CC240" s="284" t="n"/>
      <c r="CD240" s="36" t="n"/>
      <c r="CE240" s="47" t="n"/>
      <c r="CF240" s="284" t="n"/>
      <c r="CG240" s="38" t="n"/>
      <c r="CH240" s="284" t="n"/>
      <c r="CI240" s="36" t="n"/>
      <c r="CJ240" s="47" t="n"/>
      <c r="CK240" s="284" t="n"/>
      <c r="CL240" s="38" t="n"/>
      <c r="CM240" s="96" t="n"/>
      <c r="CN240" s="36" t="n"/>
      <c r="CO240" s="47" t="n"/>
      <c r="CP240" s="284" t="n"/>
      <c r="CQ240" s="38" t="n"/>
      <c r="CR240" s="16" t="n"/>
      <c r="CS240" s="36" t="n"/>
      <c r="CT240" s="47" t="n"/>
      <c r="CU240" s="284" t="n"/>
      <c r="CV240" s="38" t="n">
        <v>3</v>
      </c>
      <c r="CW240" s="284" t="n"/>
      <c r="CX240" s="36" t="n"/>
      <c r="CY240" s="47" t="n"/>
      <c r="CZ240" s="284">
        <f>$KN240*0</f>
        <v/>
      </c>
      <c r="DA240" s="38" t="n">
        <v>0</v>
      </c>
      <c r="DB240" s="347" t="n"/>
      <c r="DC240" s="36" t="n"/>
      <c r="DD240" s="47" t="n"/>
      <c r="DE240" s="284" t="n"/>
      <c r="DF240" s="38" t="n">
        <v>0</v>
      </c>
      <c r="DG240" s="284" t="n"/>
      <c r="DH240" s="36" t="n"/>
      <c r="DI240" s="47" t="n"/>
      <c r="DJ240" s="284" t="n"/>
      <c r="DK240" s="38" t="n">
        <v>0</v>
      </c>
      <c r="DL240" s="284" t="n"/>
      <c r="DM240" s="36" t="n"/>
      <c r="DN240" s="47" t="n"/>
      <c r="DO240" s="284" t="n"/>
      <c r="DP240" s="38" t="n">
        <v>0</v>
      </c>
      <c r="DQ240" s="284" t="n"/>
      <c r="DR240" s="36" t="n"/>
      <c r="DS240" s="47" t="n"/>
      <c r="DT240" s="284" t="n">
        <v>6</v>
      </c>
      <c r="DU240" s="156" t="n">
        <v>6</v>
      </c>
      <c r="DV240" s="347" t="n"/>
      <c r="DW240" s="338">
        <f t="array" ref="DW240">SUMPRODUCT(--(MOD(COLUMN($BO240:$DV240),5)=MOD(COLUMN($BO240),5)),$BO240:$DV240)</f>
        <v/>
      </c>
      <c r="DX240" s="339">
        <f>DW240*$J240</f>
        <v/>
      </c>
      <c r="DY240" s="344">
        <f t="array" ref="DY240">SUMPRODUCT(--(MOD(COLUMN($BO240:$DV240),5)=MOD(COLUMN($BP240),5)),$BO240:$DV240)</f>
        <v/>
      </c>
      <c r="DZ240" s="345">
        <f>DY240*$J240</f>
        <v/>
      </c>
      <c r="EA240" s="340">
        <f t="array" ref="EA240">SUMPRODUCT(--(MOD(COLUMN($BO240:$DV240),5)=MOD(COLUMN($BQ240),5)),$BO240:$DV240)</f>
        <v/>
      </c>
      <c r="EB240" s="341">
        <f>EA240*$J240</f>
        <v/>
      </c>
      <c r="EC240" s="342">
        <f t="array" ref="EC240">SUMPRODUCT(--(MOD(COLUMN($BO240:$DV240),5)=MOD(COLUMN($BR240),5)),$BO240:$DV240)</f>
        <v/>
      </c>
      <c r="ED240" s="343">
        <f>EC240*$J240</f>
        <v/>
      </c>
      <c r="EE240" s="36" t="n">
        <v>4</v>
      </c>
      <c r="EF240" s="284" t="n">
        <v>0</v>
      </c>
      <c r="EG240" s="38" t="n">
        <v>0</v>
      </c>
      <c r="EH240" s="284" t="n"/>
      <c r="EI240" s="36" t="n"/>
      <c r="EJ240" s="284" t="n"/>
      <c r="EK240" s="38" t="n"/>
      <c r="EL240" s="284" t="n"/>
      <c r="EM240" s="36" t="n"/>
      <c r="EN240" s="284" t="n"/>
      <c r="EO240" s="38" t="n"/>
      <c r="EP240" s="284" t="n"/>
      <c r="EQ240" s="36" t="n"/>
      <c r="ER240" s="284" t="n"/>
      <c r="ES240" s="38" t="n"/>
      <c r="ET240" s="284" t="n"/>
      <c r="EU240" s="36" t="n"/>
      <c r="EV240" s="284" t="n"/>
      <c r="EW240" s="38" t="n"/>
      <c r="EX240" s="284" t="n"/>
      <c r="EY240" s="36" t="n"/>
      <c r="EZ240" s="284" t="n"/>
      <c r="FA240" s="38" t="n"/>
      <c r="FB240" s="284" t="n"/>
      <c r="FC240" s="36" t="n"/>
      <c r="FD240" s="284" t="n"/>
      <c r="FE240" s="38" t="n"/>
      <c r="FF240" s="284" t="n"/>
      <c r="FG240" s="36" t="n"/>
      <c r="FH240" s="284" t="n"/>
      <c r="FI240" s="38" t="n"/>
      <c r="FJ240" s="284" t="n"/>
      <c r="FK240" s="36" t="n"/>
      <c r="FL240" s="284" t="n"/>
      <c r="FM240" s="38" t="n"/>
      <c r="FN240" s="284" t="n"/>
      <c r="FO240" s="36" t="n"/>
      <c r="FP240" s="284" t="n"/>
      <c r="FQ240" s="38" t="n"/>
      <c r="FR240" s="284" t="n"/>
      <c r="FS240" s="36" t="n"/>
      <c r="FT240" s="284" t="n"/>
      <c r="FU240" s="38" t="n"/>
      <c r="FV240" s="284" t="n"/>
      <c r="FW240" s="36" t="n"/>
      <c r="FX240" s="284" t="n"/>
      <c r="FY240" s="38" t="n"/>
      <c r="FZ240" s="284" t="n"/>
      <c r="GA240" s="338">
        <f>SUMPRODUCT(--(MOD(COLUMN($EE240:$FZ240),4)=MOD(COLUMN($EE240),4)),$EE240:$FZ240)</f>
        <v/>
      </c>
      <c r="GB240" s="339">
        <f>GA240*$J240</f>
        <v/>
      </c>
      <c r="GC240" s="340">
        <f>SUMPRODUCT(--(MOD(COLUMN($EE240:$FZ240),4)=MOD(COLUMN($EF240),4)),$EE240:$FZ240)</f>
        <v/>
      </c>
      <c r="GD240" s="341">
        <f>GC240*$J240</f>
        <v/>
      </c>
      <c r="GE240" s="342">
        <f>SUMPRODUCT(--(MOD(COLUMN($EE240:$FZ240),4)=MOD(COLUMN($EG240),4)),$EE240:$FZ240)</f>
        <v/>
      </c>
      <c r="GF240" s="343">
        <f>GE240*$J240</f>
        <v/>
      </c>
      <c r="GG240" s="36" t="n"/>
      <c r="GH240" s="284" t="n"/>
      <c r="GI240" s="38" t="n"/>
      <c r="GJ240" s="284" t="n"/>
      <c r="GK240" s="36" t="n"/>
      <c r="GL240" s="284" t="n"/>
      <c r="GM240" s="38" t="n"/>
      <c r="GN240" s="284" t="n"/>
      <c r="GO240" s="36" t="n"/>
      <c r="GP240" s="284" t="n"/>
      <c r="GQ240" s="38" t="n"/>
      <c r="GR240" s="284" t="n"/>
      <c r="GS240" s="36" t="n"/>
      <c r="GT240" s="284" t="n"/>
      <c r="GU240" s="38" t="n"/>
      <c r="GV240" s="284" t="n"/>
      <c r="GW240" s="36" t="n"/>
      <c r="GX240" s="284" t="n"/>
      <c r="GY240" s="38" t="n"/>
      <c r="GZ240" s="284" t="n"/>
      <c r="HA240" s="36" t="n"/>
      <c r="HB240" s="284" t="n"/>
      <c r="HC240" s="38" t="n"/>
      <c r="HD240" s="284" t="n"/>
      <c r="HE240" s="36" t="n"/>
      <c r="HF240" s="284" t="n"/>
      <c r="HG240" s="38" t="n"/>
      <c r="HH240" s="284" t="n"/>
      <c r="HI240" s="36" t="n"/>
      <c r="HJ240" s="284" t="n"/>
      <c r="HK240" s="38" t="n"/>
      <c r="HL240" s="284" t="n"/>
      <c r="HM240" s="36" t="n"/>
      <c r="HN240" s="284" t="n"/>
      <c r="HO240" s="38" t="n"/>
      <c r="HP240" s="284" t="n"/>
      <c r="HQ240" s="36" t="n"/>
      <c r="HR240" s="284" t="n"/>
      <c r="HS240" s="38" t="n"/>
      <c r="HT240" s="284" t="n"/>
      <c r="HU240" s="36" t="n"/>
      <c r="HV240" s="284" t="n"/>
      <c r="HW240" s="38" t="n"/>
      <c r="HX240" s="284" t="n"/>
      <c r="HY240" s="36" t="n"/>
      <c r="HZ240" s="284" t="n"/>
      <c r="IA240" s="38" t="n"/>
      <c r="IB240" s="284" t="n"/>
      <c r="IC240" s="338">
        <f t="array" ref="IC240">SUMPRODUCT(--(MOD(COLUMN($GG240:$IB240),4)=MOD(COLUMN($GG240),4)),$GG240:$IB240)</f>
        <v/>
      </c>
      <c r="ID240" s="339">
        <f>IC240*$J240</f>
        <v/>
      </c>
      <c r="IE240" s="340">
        <f t="array" ref="IE240">SUMPRODUCT(--(MOD(COLUMN($GG240:$IB240),4)=MOD(COLUMN($GH240),4)),$GG240:$IB240)</f>
        <v/>
      </c>
      <c r="IF240" s="341">
        <f>IE240*$J240</f>
        <v/>
      </c>
      <c r="IG240" s="342">
        <f t="array" ref="IG240">SUMPRODUCT(--(MOD(COLUMN($GG240:$IB240),4)=MOD(COLUMN($GI240),4)),$GG240:$IB240)</f>
        <v/>
      </c>
      <c r="IH240" s="343">
        <f>IG240*$J240</f>
        <v/>
      </c>
      <c r="II240" s="36" t="n"/>
      <c r="IJ240" s="284" t="n"/>
      <c r="IK240" s="38" t="n"/>
      <c r="IL240" s="284" t="n"/>
      <c r="IM240" s="36" t="n"/>
      <c r="IN240" s="284" t="n"/>
      <c r="IO240" s="38" t="n"/>
      <c r="IP240" s="284" t="n"/>
      <c r="IQ240" s="36" t="n"/>
      <c r="IR240" s="284" t="n"/>
      <c r="IS240" s="38" t="n"/>
      <c r="IT240" s="284" t="n"/>
      <c r="IU240" s="36" t="n"/>
      <c r="IV240" s="284" t="n"/>
      <c r="IW240" s="38" t="n"/>
      <c r="IX240" s="284" t="n"/>
      <c r="IY240" s="36" t="n"/>
      <c r="IZ240" s="284" t="n"/>
      <c r="JA240" s="38" t="n"/>
      <c r="JB240" s="284" t="n"/>
      <c r="JC240" s="36" t="n"/>
      <c r="JD240" s="284" t="n"/>
      <c r="JE240" s="38" t="n"/>
      <c r="JF240" s="284" t="n"/>
      <c r="JG240" s="36" t="n"/>
      <c r="JH240" s="284" t="n"/>
      <c r="JI240" s="38" t="n"/>
      <c r="JJ240" s="284" t="n"/>
      <c r="JK240" s="36" t="n"/>
      <c r="JL240" s="284" t="n"/>
      <c r="JM240" s="38" t="n"/>
      <c r="JN240" s="284" t="n"/>
      <c r="JO240" s="36" t="n"/>
      <c r="JP240" s="284" t="n"/>
      <c r="JQ240" s="38" t="n"/>
      <c r="JR240" s="284" t="n"/>
      <c r="JS240" s="36" t="n"/>
      <c r="JT240" s="284" t="n"/>
      <c r="JU240" s="38" t="n"/>
      <c r="JV240" s="284" t="n"/>
      <c r="JW240" s="36" t="n"/>
      <c r="JX240" s="284" t="n"/>
      <c r="JY240" s="38" t="n"/>
      <c r="JZ240" s="284" t="n"/>
      <c r="KA240" s="36" t="n"/>
      <c r="KB240" s="284" t="n"/>
      <c r="KC240" s="38" t="n"/>
      <c r="KD240" s="284" t="n"/>
      <c r="KE240" s="338">
        <f t="array" ref="KE240">SUMPRODUCT(--(MOD(COLUMN($II240:$KD240),4)=MOD(COLUMN($II240),4)),$II240:$KD240)</f>
        <v/>
      </c>
      <c r="KF240" s="339">
        <f>KE240*$J240</f>
        <v/>
      </c>
      <c r="KG240" s="340">
        <f t="array" ref="KG240">SUMPRODUCT(--(MOD(COLUMN($II240:$KD240),4)=MOD(COLUMN($IJ240),4)),$II240:$KD240)</f>
        <v/>
      </c>
      <c r="KH240" s="341">
        <f>KG240*$J240</f>
        <v/>
      </c>
      <c r="KI240" s="342">
        <f t="array" ref="KI240">SUMPRODUCT(--(MOD(COLUMN($II240:$KD240),4)=MOD(COLUMN($IK240),4)),$II240:$KD240)</f>
        <v/>
      </c>
      <c r="KJ240" s="346">
        <f>KI240*$J240</f>
        <v/>
      </c>
      <c r="KK240" s="80" t="n"/>
      <c r="KL240" s="80" t="n"/>
      <c r="KM240" s="80" t="n"/>
      <c r="KN240" s="51" t="n">
        <v>1</v>
      </c>
      <c r="KO240" s="333" t="n"/>
    </row>
    <row r="241" outlineLevel="1" ht="28.8" customFormat="1" customHeight="1" s="68">
      <c r="A241" s="347" t="n"/>
      <c r="B241" s="347" t="n"/>
      <c r="C241" s="347" t="n"/>
      <c r="D241" s="347" t="n"/>
      <c r="E241" s="60" t="n">
        <v>12</v>
      </c>
      <c r="F241" s="60" t="n">
        <v>1</v>
      </c>
      <c r="G241" s="62" t="n">
        <v>4802070600</v>
      </c>
      <c r="H241" s="63" t="inlineStr">
        <is>
          <t>Ускорительный клапан TEBS</t>
        </is>
      </c>
      <c r="I241" s="360">
        <f>3465/1.2</f>
        <v/>
      </c>
      <c r="J241" s="360">
        <f>3465/1.2</f>
        <v/>
      </c>
      <c r="K241" s="348" t="n"/>
      <c r="L241" s="348" t="n"/>
      <c r="M241" s="36" t="n"/>
      <c r="N241" s="284" t="n"/>
      <c r="O241" s="38" t="n"/>
      <c r="P241" s="284" t="n"/>
      <c r="Q241" s="36" t="n"/>
      <c r="R241" s="284" t="n"/>
      <c r="S241" s="38" t="n"/>
      <c r="T241" s="284" t="n"/>
      <c r="U241" s="36" t="n"/>
      <c r="V241" s="284" t="n"/>
      <c r="W241" s="38" t="n"/>
      <c r="X241" s="284" t="n"/>
      <c r="Y241" s="36" t="n"/>
      <c r="Z241" s="284" t="n"/>
      <c r="AA241" s="38" t="n"/>
      <c r="AB241" s="284" t="n"/>
      <c r="AC241" s="36" t="n"/>
      <c r="AD241" s="284" t="n"/>
      <c r="AE241" s="38" t="n"/>
      <c r="AF241" s="284" t="n"/>
      <c r="AG241" s="36" t="n"/>
      <c r="AH241" s="284" t="n"/>
      <c r="AI241" s="38" t="n"/>
      <c r="AJ241" s="284" t="n"/>
      <c r="AK241" s="36" t="n"/>
      <c r="AL241" s="284" t="n"/>
      <c r="AM241" s="38" t="n"/>
      <c r="AN241" s="284" t="n"/>
      <c r="AO241" s="36" t="n"/>
      <c r="AP241" s="284" t="n"/>
      <c r="AQ241" s="38" t="n"/>
      <c r="AR241" s="284" t="n"/>
      <c r="AS241" s="36" t="n"/>
      <c r="AT241" s="284" t="n"/>
      <c r="AU241" s="38" t="n"/>
      <c r="AV241" s="284" t="n"/>
      <c r="AW241" s="36" t="n"/>
      <c r="AX241" s="284" t="n"/>
      <c r="AY241" s="38" t="n"/>
      <c r="AZ241" s="96" t="n"/>
      <c r="BA241" s="36" t="n"/>
      <c r="BB241" s="284" t="n"/>
      <c r="BC241" s="99" t="n"/>
      <c r="BD241" s="284" t="n"/>
      <c r="BE241" s="36" t="n"/>
      <c r="BF241" s="284" t="n"/>
      <c r="BG241" s="78" t="n"/>
      <c r="BH241" s="347" t="n"/>
      <c r="BI241" s="338" t="n"/>
      <c r="BJ241" s="339" t="n"/>
      <c r="BK241" s="340" t="n"/>
      <c r="BL241" s="341" t="n"/>
      <c r="BM241" s="342" t="n"/>
      <c r="BN241" s="343" t="n"/>
      <c r="BO241" s="36" t="n"/>
      <c r="BP241" s="47" t="n"/>
      <c r="BQ241" s="284" t="n"/>
      <c r="BR241" s="38" t="n"/>
      <c r="BS241" s="96" t="n"/>
      <c r="BT241" s="36" t="n"/>
      <c r="BU241" s="47" t="n"/>
      <c r="BV241" s="284" t="n"/>
      <c r="BW241" s="38" t="n"/>
      <c r="BX241" s="284" t="n"/>
      <c r="BY241" s="36" t="n"/>
      <c r="BZ241" s="47" t="n"/>
      <c r="CA241" s="284" t="n"/>
      <c r="CB241" s="38" t="n"/>
      <c r="CC241" s="284" t="n"/>
      <c r="CD241" s="36" t="n"/>
      <c r="CE241" s="47" t="n"/>
      <c r="CF241" s="284" t="n"/>
      <c r="CG241" s="38" t="n"/>
      <c r="CH241" s="284" t="n"/>
      <c r="CI241" s="36" t="n"/>
      <c r="CJ241" s="47" t="n"/>
      <c r="CK241" s="284" t="n"/>
      <c r="CL241" s="38" t="n"/>
      <c r="CM241" s="96" t="n"/>
      <c r="CN241" s="36" t="n"/>
      <c r="CO241" s="47" t="n"/>
      <c r="CP241" s="284" t="n"/>
      <c r="CQ241" s="38" t="n"/>
      <c r="CR241" s="16" t="n"/>
      <c r="CS241" s="36" t="n"/>
      <c r="CT241" s="47" t="n"/>
      <c r="CU241" s="284" t="n"/>
      <c r="CV241" s="38" t="n"/>
      <c r="CW241" s="284" t="n"/>
      <c r="CX241" s="36" t="n"/>
      <c r="CY241" s="47" t="n"/>
      <c r="CZ241" s="284" t="n"/>
      <c r="DA241" s="38" t="n"/>
      <c r="DB241" s="347" t="n"/>
      <c r="DC241" s="36" t="n"/>
      <c r="DD241" s="47" t="n"/>
      <c r="DE241" s="284" t="n"/>
      <c r="DF241" s="38" t="n"/>
      <c r="DG241" s="284" t="n"/>
      <c r="DH241" s="36" t="n"/>
      <c r="DI241" s="47" t="n"/>
      <c r="DJ241" s="284" t="n"/>
      <c r="DK241" s="38" t="n"/>
      <c r="DL241" s="284" t="n"/>
      <c r="DM241" s="36" t="n"/>
      <c r="DN241" s="47" t="n"/>
      <c r="DO241" s="284" t="n"/>
      <c r="DP241" s="38" t="n">
        <v>0</v>
      </c>
      <c r="DQ241" s="284" t="n"/>
      <c r="DR241" s="36" t="n"/>
      <c r="DS241" s="47" t="n"/>
      <c r="DT241" s="284" t="n">
        <v>6</v>
      </c>
      <c r="DU241" s="156" t="n">
        <v>6</v>
      </c>
      <c r="DV241" s="347" t="n"/>
      <c r="DW241" s="338">
        <f t="array" ref="DW241">SUMPRODUCT(--(MOD(COLUMN($BO241:$DV241),5)=MOD(COLUMN($BO241),5)),$BO241:$DV241)</f>
        <v/>
      </c>
      <c r="DX241" s="339">
        <f>DW241*$J241</f>
        <v/>
      </c>
      <c r="DY241" s="344">
        <f t="array" ref="DY241">SUMPRODUCT(--(MOD(COLUMN($BO241:$DV241),5)=MOD(COLUMN($BP241),5)),$BO241:$DV241)</f>
        <v/>
      </c>
      <c r="DZ241" s="345">
        <f>DY241*$J241</f>
        <v/>
      </c>
      <c r="EA241" s="340">
        <f t="array" ref="EA241">SUMPRODUCT(--(MOD(COLUMN($BO241:$DV241),5)=MOD(COLUMN($BQ241),5)),$BO241:$DV241)</f>
        <v/>
      </c>
      <c r="EB241" s="341">
        <f>EA241*$J241</f>
        <v/>
      </c>
      <c r="EC241" s="342">
        <f t="array" ref="EC241">SUMPRODUCT(--(MOD(COLUMN($BO241:$DV241),5)=MOD(COLUMN($BR241),5)),$BO241:$DV241)</f>
        <v/>
      </c>
      <c r="ED241" s="343">
        <f>EC241*$J241</f>
        <v/>
      </c>
      <c r="EE241" s="36" t="n">
        <v>4</v>
      </c>
      <c r="EF241" s="284" t="n">
        <v>0</v>
      </c>
      <c r="EG241" s="38" t="n">
        <v>0</v>
      </c>
      <c r="EH241" s="284" t="n"/>
      <c r="EI241" s="36" t="n"/>
      <c r="EJ241" s="284" t="n"/>
      <c r="EK241" s="38" t="n"/>
      <c r="EL241" s="284" t="n"/>
      <c r="EM241" s="36" t="n"/>
      <c r="EN241" s="284" t="n"/>
      <c r="EO241" s="38" t="n"/>
      <c r="EP241" s="284" t="n"/>
      <c r="EQ241" s="36" t="n"/>
      <c r="ER241" s="284" t="n"/>
      <c r="ES241" s="38" t="n"/>
      <c r="ET241" s="284" t="n"/>
      <c r="EU241" s="36" t="n"/>
      <c r="EV241" s="284" t="n"/>
      <c r="EW241" s="38" t="n"/>
      <c r="EX241" s="284" t="n"/>
      <c r="EY241" s="36" t="n"/>
      <c r="EZ241" s="284" t="n"/>
      <c r="FA241" s="38" t="n"/>
      <c r="FB241" s="284" t="n"/>
      <c r="FC241" s="36" t="n"/>
      <c r="FD241" s="284" t="n"/>
      <c r="FE241" s="38" t="n"/>
      <c r="FF241" s="284" t="n"/>
      <c r="FG241" s="36" t="n"/>
      <c r="FH241" s="284" t="n"/>
      <c r="FI241" s="38" t="n"/>
      <c r="FJ241" s="284" t="n"/>
      <c r="FK241" s="36" t="n"/>
      <c r="FL241" s="284" t="n"/>
      <c r="FM241" s="38" t="n"/>
      <c r="FN241" s="284" t="n"/>
      <c r="FO241" s="36" t="n"/>
      <c r="FP241" s="284" t="n"/>
      <c r="FQ241" s="38" t="n"/>
      <c r="FR241" s="284" t="n"/>
      <c r="FS241" s="36" t="n"/>
      <c r="FT241" s="284" t="n"/>
      <c r="FU241" s="38" t="n"/>
      <c r="FV241" s="284" t="n"/>
      <c r="FW241" s="36" t="n"/>
      <c r="FX241" s="284" t="n"/>
      <c r="FY241" s="38" t="n"/>
      <c r="FZ241" s="284" t="n"/>
      <c r="GA241" s="338">
        <f>SUMPRODUCT(--(MOD(COLUMN($EE241:$FZ241),4)=MOD(COLUMN($EE241),4)),$EE241:$FZ241)</f>
        <v/>
      </c>
      <c r="GB241" s="339">
        <f>GA241*$J241</f>
        <v/>
      </c>
      <c r="GC241" s="340">
        <f>SUMPRODUCT(--(MOD(COLUMN($EE241:$FZ241),4)=MOD(COLUMN($EF241),4)),$EE241:$FZ241)</f>
        <v/>
      </c>
      <c r="GD241" s="341">
        <f>GC241*$J241</f>
        <v/>
      </c>
      <c r="GE241" s="342">
        <f>SUMPRODUCT(--(MOD(COLUMN($EE241:$FZ241),4)=MOD(COLUMN($EG241),4)),$EE241:$FZ241)</f>
        <v/>
      </c>
      <c r="GF241" s="343">
        <f>GE241*$J241</f>
        <v/>
      </c>
      <c r="GG241" s="36" t="n"/>
      <c r="GH241" s="284" t="n"/>
      <c r="GI241" s="38" t="n"/>
      <c r="GJ241" s="284" t="n"/>
      <c r="GK241" s="36" t="n"/>
      <c r="GL241" s="284" t="n"/>
      <c r="GM241" s="38" t="n"/>
      <c r="GN241" s="284" t="n"/>
      <c r="GO241" s="36" t="n"/>
      <c r="GP241" s="284" t="n"/>
      <c r="GQ241" s="38" t="n"/>
      <c r="GR241" s="284" t="n"/>
      <c r="GS241" s="36" t="n"/>
      <c r="GT241" s="284" t="n"/>
      <c r="GU241" s="38" t="n"/>
      <c r="GV241" s="284" t="n"/>
      <c r="GW241" s="36" t="n"/>
      <c r="GX241" s="284" t="n"/>
      <c r="GY241" s="38" t="n"/>
      <c r="GZ241" s="284" t="n"/>
      <c r="HA241" s="36" t="n"/>
      <c r="HB241" s="284" t="n"/>
      <c r="HC241" s="38" t="n"/>
      <c r="HD241" s="284" t="n"/>
      <c r="HE241" s="36" t="n"/>
      <c r="HF241" s="284" t="n"/>
      <c r="HG241" s="38" t="n"/>
      <c r="HH241" s="284" t="n"/>
      <c r="HI241" s="36" t="n"/>
      <c r="HJ241" s="284" t="n"/>
      <c r="HK241" s="38" t="n"/>
      <c r="HL241" s="284" t="n"/>
      <c r="HM241" s="36" t="n"/>
      <c r="HN241" s="284" t="n"/>
      <c r="HO241" s="38" t="n"/>
      <c r="HP241" s="284" t="n"/>
      <c r="HQ241" s="36" t="n"/>
      <c r="HR241" s="284" t="n"/>
      <c r="HS241" s="38" t="n"/>
      <c r="HT241" s="284" t="n"/>
      <c r="HU241" s="36" t="n"/>
      <c r="HV241" s="284" t="n"/>
      <c r="HW241" s="38" t="n"/>
      <c r="HX241" s="284" t="n"/>
      <c r="HY241" s="36" t="n"/>
      <c r="HZ241" s="284" t="n"/>
      <c r="IA241" s="38" t="n"/>
      <c r="IB241" s="284" t="n"/>
      <c r="IC241" s="338">
        <f t="array" ref="IC241">SUMPRODUCT(--(MOD(COLUMN($GG241:$IB241),4)=MOD(COLUMN($GG241),4)),$GG241:$IB241)</f>
        <v/>
      </c>
      <c r="ID241" s="339">
        <f>IC241*$J241</f>
        <v/>
      </c>
      <c r="IE241" s="340">
        <f t="array" ref="IE241">SUMPRODUCT(--(MOD(COLUMN($GG241:$IB241),4)=MOD(COLUMN($GH241),4)),$GG241:$IB241)</f>
        <v/>
      </c>
      <c r="IF241" s="341">
        <f>IE241*$J241</f>
        <v/>
      </c>
      <c r="IG241" s="342">
        <f t="array" ref="IG241">SUMPRODUCT(--(MOD(COLUMN($GG241:$IB241),4)=MOD(COLUMN($GI241),4)),$GG241:$IB241)</f>
        <v/>
      </c>
      <c r="IH241" s="343">
        <f>IG241*$J241</f>
        <v/>
      </c>
      <c r="II241" s="36" t="n"/>
      <c r="IJ241" s="284" t="n"/>
      <c r="IK241" s="38" t="n"/>
      <c r="IL241" s="284" t="n"/>
      <c r="IM241" s="36" t="n"/>
      <c r="IN241" s="284" t="n"/>
      <c r="IO241" s="38" t="n"/>
      <c r="IP241" s="284" t="n"/>
      <c r="IQ241" s="36" t="n"/>
      <c r="IR241" s="284" t="n"/>
      <c r="IS241" s="38" t="n"/>
      <c r="IT241" s="284" t="n"/>
      <c r="IU241" s="36" t="n"/>
      <c r="IV241" s="284" t="n"/>
      <c r="IW241" s="38" t="n"/>
      <c r="IX241" s="284" t="n"/>
      <c r="IY241" s="36" t="n"/>
      <c r="IZ241" s="284" t="n"/>
      <c r="JA241" s="38" t="n"/>
      <c r="JB241" s="284" t="n"/>
      <c r="JC241" s="36" t="n"/>
      <c r="JD241" s="284" t="n"/>
      <c r="JE241" s="38" t="n"/>
      <c r="JF241" s="284" t="n"/>
      <c r="JG241" s="36" t="n"/>
      <c r="JH241" s="284" t="n"/>
      <c r="JI241" s="38" t="n"/>
      <c r="JJ241" s="284" t="n"/>
      <c r="JK241" s="36" t="n"/>
      <c r="JL241" s="284" t="n"/>
      <c r="JM241" s="38" t="n"/>
      <c r="JN241" s="284" t="n"/>
      <c r="JO241" s="36" t="n"/>
      <c r="JP241" s="284" t="n"/>
      <c r="JQ241" s="38" t="n"/>
      <c r="JR241" s="284" t="n"/>
      <c r="JS241" s="36" t="n"/>
      <c r="JT241" s="284" t="n"/>
      <c r="JU241" s="38" t="n"/>
      <c r="JV241" s="284" t="n"/>
      <c r="JW241" s="36" t="n"/>
      <c r="JX241" s="284" t="n"/>
      <c r="JY241" s="38" t="n"/>
      <c r="JZ241" s="284" t="n"/>
      <c r="KA241" s="36" t="n"/>
      <c r="KB241" s="284" t="n"/>
      <c r="KC241" s="38" t="n"/>
      <c r="KD241" s="284" t="n"/>
      <c r="KE241" s="338">
        <f t="array" ref="KE241">SUMPRODUCT(--(MOD(COLUMN($II241:$KD241),4)=MOD(COLUMN($II241),4)),$II241:$KD241)</f>
        <v/>
      </c>
      <c r="KF241" s="339">
        <f>KE241*$J241</f>
        <v/>
      </c>
      <c r="KG241" s="340">
        <f t="array" ref="KG241">SUMPRODUCT(--(MOD(COLUMN($II241:$KD241),4)=MOD(COLUMN($IJ241),4)),$II241:$KD241)</f>
        <v/>
      </c>
      <c r="KH241" s="341">
        <f>KG241*$J241</f>
        <v/>
      </c>
      <c r="KI241" s="342">
        <f t="array" ref="KI241">SUMPRODUCT(--(MOD(COLUMN($II241:$KD241),4)=MOD(COLUMN($IK241),4)),$II241:$KD241)</f>
        <v/>
      </c>
      <c r="KJ241" s="346">
        <f>KI241*$J241</f>
        <v/>
      </c>
      <c r="KK241" s="80" t="n"/>
      <c r="KL241" s="80" t="n"/>
      <c r="KM241" s="80" t="n"/>
      <c r="KN241" s="51" t="n"/>
      <c r="KO241" s="285" t="inlineStr">
        <is>
          <t>3 модулятор</t>
        </is>
      </c>
    </row>
    <row r="242" outlineLevel="1" ht="43.2" customFormat="1" customHeight="1" s="68">
      <c r="A242" s="347" t="n"/>
      <c r="B242" s="347" t="n"/>
      <c r="C242" s="347" t="n"/>
      <c r="D242" s="347" t="n"/>
      <c r="E242" s="60" t="n">
        <v>13</v>
      </c>
      <c r="F242" s="60" t="n">
        <v>1</v>
      </c>
      <c r="G242" s="62" t="n">
        <v>4494301000</v>
      </c>
      <c r="H242" s="63" t="inlineStr">
        <is>
          <t>Кабель ускорительного клапана TEBS, 10 м</t>
        </is>
      </c>
      <c r="I242" s="360">
        <f>1726.2/1.2</f>
        <v/>
      </c>
      <c r="J242" s="360">
        <f>1726.2/1.2</f>
        <v/>
      </c>
      <c r="K242" s="348" t="n"/>
      <c r="L242" s="348" t="n"/>
      <c r="M242" s="36" t="n"/>
      <c r="N242" s="284" t="n"/>
      <c r="O242" s="38" t="n"/>
      <c r="P242" s="284" t="n"/>
      <c r="Q242" s="36" t="n"/>
      <c r="R242" s="284" t="n"/>
      <c r="S242" s="38" t="n"/>
      <c r="T242" s="284" t="n"/>
      <c r="U242" s="36" t="n"/>
      <c r="V242" s="284" t="n"/>
      <c r="W242" s="38" t="n"/>
      <c r="X242" s="284" t="n"/>
      <c r="Y242" s="36" t="n"/>
      <c r="Z242" s="284" t="n"/>
      <c r="AA242" s="38" t="n"/>
      <c r="AB242" s="284" t="n"/>
      <c r="AC242" s="36" t="n"/>
      <c r="AD242" s="284" t="n"/>
      <c r="AE242" s="38" t="n"/>
      <c r="AF242" s="284" t="n"/>
      <c r="AG242" s="36" t="n"/>
      <c r="AH242" s="284" t="n"/>
      <c r="AI242" s="38" t="n"/>
      <c r="AJ242" s="284" t="n"/>
      <c r="AK242" s="36" t="n"/>
      <c r="AL242" s="284" t="n"/>
      <c r="AM242" s="38" t="n"/>
      <c r="AN242" s="284" t="n"/>
      <c r="AO242" s="36" t="n"/>
      <c r="AP242" s="284" t="n"/>
      <c r="AQ242" s="38" t="n"/>
      <c r="AR242" s="284" t="n"/>
      <c r="AS242" s="36" t="n"/>
      <c r="AT242" s="284" t="n"/>
      <c r="AU242" s="38" t="n"/>
      <c r="AV242" s="284" t="n"/>
      <c r="AW242" s="36" t="n"/>
      <c r="AX242" s="284" t="n"/>
      <c r="AY242" s="38" t="n"/>
      <c r="AZ242" s="96" t="n"/>
      <c r="BA242" s="36" t="n"/>
      <c r="BB242" s="284" t="n"/>
      <c r="BC242" s="99" t="n"/>
      <c r="BD242" s="284" t="n"/>
      <c r="BE242" s="36" t="n"/>
      <c r="BF242" s="284" t="n"/>
      <c r="BG242" s="78" t="n"/>
      <c r="BH242" s="347" t="n"/>
      <c r="BI242" s="338" t="n"/>
      <c r="BJ242" s="339" t="n"/>
      <c r="BK242" s="340" t="n"/>
      <c r="BL242" s="341" t="n"/>
      <c r="BM242" s="342" t="n"/>
      <c r="BN242" s="343" t="n"/>
      <c r="BO242" s="36" t="n"/>
      <c r="BP242" s="47" t="n"/>
      <c r="BQ242" s="284" t="n"/>
      <c r="BR242" s="38" t="n"/>
      <c r="BS242" s="96" t="n"/>
      <c r="BT242" s="36" t="n"/>
      <c r="BU242" s="47" t="n"/>
      <c r="BV242" s="284" t="n"/>
      <c r="BW242" s="38" t="n"/>
      <c r="BX242" s="284" t="n"/>
      <c r="BY242" s="36" t="n"/>
      <c r="BZ242" s="47" t="n"/>
      <c r="CA242" s="284" t="n"/>
      <c r="CB242" s="38" t="n"/>
      <c r="CC242" s="284" t="n"/>
      <c r="CD242" s="36" t="n"/>
      <c r="CE242" s="47" t="n"/>
      <c r="CF242" s="284" t="n"/>
      <c r="CG242" s="38" t="n"/>
      <c r="CH242" s="284" t="n"/>
      <c r="CI242" s="36" t="n"/>
      <c r="CJ242" s="47" t="n"/>
      <c r="CK242" s="284" t="n"/>
      <c r="CL242" s="38" t="n"/>
      <c r="CM242" s="96" t="n"/>
      <c r="CN242" s="36" t="n"/>
      <c r="CO242" s="47" t="n"/>
      <c r="CP242" s="284" t="n"/>
      <c r="CQ242" s="38" t="n"/>
      <c r="CR242" s="16" t="n"/>
      <c r="CS242" s="36" t="n"/>
      <c r="CT242" s="47" t="n"/>
      <c r="CU242" s="284" t="n"/>
      <c r="CV242" s="38" t="n"/>
      <c r="CW242" s="284" t="n"/>
      <c r="CX242" s="36" t="n"/>
      <c r="CY242" s="47" t="n"/>
      <c r="CZ242" s="284" t="n"/>
      <c r="DA242" s="38" t="n"/>
      <c r="DB242" s="347" t="n"/>
      <c r="DC242" s="36" t="n"/>
      <c r="DD242" s="47" t="n"/>
      <c r="DE242" s="284" t="n"/>
      <c r="DF242" s="38" t="n"/>
      <c r="DG242" s="284" t="n"/>
      <c r="DH242" s="36" t="n"/>
      <c r="DI242" s="47" t="n"/>
      <c r="DJ242" s="284" t="n"/>
      <c r="DK242" s="38" t="n"/>
      <c r="DL242" s="284" t="n"/>
      <c r="DM242" s="36" t="n"/>
      <c r="DN242" s="47" t="n"/>
      <c r="DO242" s="284" t="n"/>
      <c r="DP242" s="38" t="n">
        <v>0</v>
      </c>
      <c r="DQ242" s="284" t="n"/>
      <c r="DR242" s="36" t="n"/>
      <c r="DS242" s="47" t="n"/>
      <c r="DT242" s="284" t="n">
        <v>6</v>
      </c>
      <c r="DU242" s="156" t="n">
        <v>6</v>
      </c>
      <c r="DV242" s="347" t="n"/>
      <c r="DW242" s="338">
        <f t="array" ref="DW242">SUMPRODUCT(--(MOD(COLUMN($BO242:$DV242),5)=MOD(COLUMN($BO242),5)),$BO242:$DV242)</f>
        <v/>
      </c>
      <c r="DX242" s="339">
        <f>DW242*$J242</f>
        <v/>
      </c>
      <c r="DY242" s="344">
        <f t="array" ref="DY242">SUMPRODUCT(--(MOD(COLUMN($BO242:$DV242),5)=MOD(COLUMN($BP242),5)),$BO242:$DV242)</f>
        <v/>
      </c>
      <c r="DZ242" s="345">
        <f>DY242*$J242</f>
        <v/>
      </c>
      <c r="EA242" s="340">
        <f t="array" ref="EA242">SUMPRODUCT(--(MOD(COLUMN($BO242:$DV242),5)=MOD(COLUMN($BQ242),5)),$BO242:$DV242)</f>
        <v/>
      </c>
      <c r="EB242" s="341">
        <f>EA242*$J242</f>
        <v/>
      </c>
      <c r="EC242" s="342">
        <f t="array" ref="EC242">SUMPRODUCT(--(MOD(COLUMN($BO242:$DV242),5)=MOD(COLUMN($BR242),5)),$BO242:$DV242)</f>
        <v/>
      </c>
      <c r="ED242" s="343">
        <f>EC242*$J242</f>
        <v/>
      </c>
      <c r="EE242" s="36" t="n">
        <v>4</v>
      </c>
      <c r="EF242" s="284" t="n">
        <v>0</v>
      </c>
      <c r="EG242" s="38" t="n">
        <v>0</v>
      </c>
      <c r="EH242" s="284" t="n"/>
      <c r="EI242" s="36" t="n"/>
      <c r="EJ242" s="284" t="n"/>
      <c r="EK242" s="38" t="n"/>
      <c r="EL242" s="284" t="n"/>
      <c r="EM242" s="36" t="n"/>
      <c r="EN242" s="284" t="n"/>
      <c r="EO242" s="38" t="n"/>
      <c r="EP242" s="284" t="n"/>
      <c r="EQ242" s="36" t="n"/>
      <c r="ER242" s="284" t="n"/>
      <c r="ES242" s="38" t="n"/>
      <c r="ET242" s="284" t="n"/>
      <c r="EU242" s="36" t="n"/>
      <c r="EV242" s="284" t="n"/>
      <c r="EW242" s="38" t="n"/>
      <c r="EX242" s="284" t="n"/>
      <c r="EY242" s="36" t="n"/>
      <c r="EZ242" s="284" t="n"/>
      <c r="FA242" s="38" t="n"/>
      <c r="FB242" s="284" t="n"/>
      <c r="FC242" s="36" t="n"/>
      <c r="FD242" s="284" t="n"/>
      <c r="FE242" s="38" t="n"/>
      <c r="FF242" s="284" t="n"/>
      <c r="FG242" s="36" t="n"/>
      <c r="FH242" s="284" t="n"/>
      <c r="FI242" s="38" t="n"/>
      <c r="FJ242" s="284" t="n"/>
      <c r="FK242" s="36" t="n"/>
      <c r="FL242" s="284" t="n"/>
      <c r="FM242" s="38" t="n"/>
      <c r="FN242" s="284" t="n"/>
      <c r="FO242" s="36" t="n"/>
      <c r="FP242" s="284" t="n"/>
      <c r="FQ242" s="38" t="n"/>
      <c r="FR242" s="284" t="n"/>
      <c r="FS242" s="36" t="n"/>
      <c r="FT242" s="284" t="n"/>
      <c r="FU242" s="38" t="n"/>
      <c r="FV242" s="284" t="n"/>
      <c r="FW242" s="36" t="n"/>
      <c r="FX242" s="284" t="n"/>
      <c r="FY242" s="38" t="n"/>
      <c r="FZ242" s="284" t="n"/>
      <c r="GA242" s="338">
        <f>SUMPRODUCT(--(MOD(COLUMN($EE242:$FZ242),4)=MOD(COLUMN($EE242),4)),$EE242:$FZ242)</f>
        <v/>
      </c>
      <c r="GB242" s="339">
        <f>GA242*$J242</f>
        <v/>
      </c>
      <c r="GC242" s="340">
        <f>SUMPRODUCT(--(MOD(COLUMN($EE242:$FZ242),4)=MOD(COLUMN($EF242),4)),$EE242:$FZ242)</f>
        <v/>
      </c>
      <c r="GD242" s="341">
        <f>GC242*$J242</f>
        <v/>
      </c>
      <c r="GE242" s="342">
        <f>SUMPRODUCT(--(MOD(COLUMN($EE242:$FZ242),4)=MOD(COLUMN($EG242),4)),$EE242:$FZ242)</f>
        <v/>
      </c>
      <c r="GF242" s="343">
        <f>GE242*$J242</f>
        <v/>
      </c>
      <c r="GG242" s="36" t="n"/>
      <c r="GH242" s="284" t="n"/>
      <c r="GI242" s="38" t="n"/>
      <c r="GJ242" s="284" t="n"/>
      <c r="GK242" s="36" t="n"/>
      <c r="GL242" s="284" t="n"/>
      <c r="GM242" s="38" t="n"/>
      <c r="GN242" s="284" t="n"/>
      <c r="GO242" s="36" t="n"/>
      <c r="GP242" s="284" t="n"/>
      <c r="GQ242" s="38" t="n"/>
      <c r="GR242" s="284" t="n"/>
      <c r="GS242" s="36" t="n"/>
      <c r="GT242" s="284" t="n"/>
      <c r="GU242" s="38" t="n"/>
      <c r="GV242" s="284" t="n"/>
      <c r="GW242" s="36" t="n"/>
      <c r="GX242" s="284" t="n"/>
      <c r="GY242" s="38" t="n"/>
      <c r="GZ242" s="284" t="n"/>
      <c r="HA242" s="36" t="n"/>
      <c r="HB242" s="284" t="n"/>
      <c r="HC242" s="38" t="n"/>
      <c r="HD242" s="284" t="n"/>
      <c r="HE242" s="36" t="n"/>
      <c r="HF242" s="284" t="n"/>
      <c r="HG242" s="38" t="n"/>
      <c r="HH242" s="284" t="n"/>
      <c r="HI242" s="36" t="n"/>
      <c r="HJ242" s="284" t="n"/>
      <c r="HK242" s="38" t="n"/>
      <c r="HL242" s="284" t="n"/>
      <c r="HM242" s="36" t="n"/>
      <c r="HN242" s="284" t="n"/>
      <c r="HO242" s="38" t="n"/>
      <c r="HP242" s="284" t="n"/>
      <c r="HQ242" s="36" t="n"/>
      <c r="HR242" s="284" t="n"/>
      <c r="HS242" s="38" t="n"/>
      <c r="HT242" s="284" t="n"/>
      <c r="HU242" s="36" t="n"/>
      <c r="HV242" s="284" t="n"/>
      <c r="HW242" s="38" t="n"/>
      <c r="HX242" s="284" t="n"/>
      <c r="HY242" s="36" t="n"/>
      <c r="HZ242" s="284" t="n"/>
      <c r="IA242" s="38" t="n"/>
      <c r="IB242" s="284" t="n"/>
      <c r="IC242" s="338">
        <f t="array" ref="IC242">SUMPRODUCT(--(MOD(COLUMN($GG242:$IB242),4)=MOD(COLUMN($GG242),4)),$GG242:$IB242)</f>
        <v/>
      </c>
      <c r="ID242" s="339">
        <f>IC242*$J242</f>
        <v/>
      </c>
      <c r="IE242" s="340">
        <f t="array" ref="IE242">SUMPRODUCT(--(MOD(COLUMN($GG242:$IB242),4)=MOD(COLUMN($GH242),4)),$GG242:$IB242)</f>
        <v/>
      </c>
      <c r="IF242" s="341">
        <f>IE242*$J242</f>
        <v/>
      </c>
      <c r="IG242" s="342">
        <f t="array" ref="IG242">SUMPRODUCT(--(MOD(COLUMN($GG242:$IB242),4)=MOD(COLUMN($GI242),4)),$GG242:$IB242)</f>
        <v/>
      </c>
      <c r="IH242" s="343">
        <f>IG242*$J242</f>
        <v/>
      </c>
      <c r="II242" s="36" t="n"/>
      <c r="IJ242" s="284" t="n"/>
      <c r="IK242" s="38" t="n"/>
      <c r="IL242" s="284" t="n"/>
      <c r="IM242" s="36" t="n"/>
      <c r="IN242" s="284" t="n"/>
      <c r="IO242" s="38" t="n"/>
      <c r="IP242" s="284" t="n"/>
      <c r="IQ242" s="36" t="n"/>
      <c r="IR242" s="284" t="n"/>
      <c r="IS242" s="38" t="n"/>
      <c r="IT242" s="284" t="n"/>
      <c r="IU242" s="36" t="n"/>
      <c r="IV242" s="284" t="n"/>
      <c r="IW242" s="38" t="n"/>
      <c r="IX242" s="284" t="n"/>
      <c r="IY242" s="36" t="n"/>
      <c r="IZ242" s="284" t="n"/>
      <c r="JA242" s="38" t="n"/>
      <c r="JB242" s="284" t="n"/>
      <c r="JC242" s="36" t="n"/>
      <c r="JD242" s="284" t="n"/>
      <c r="JE242" s="38" t="n"/>
      <c r="JF242" s="284" t="n"/>
      <c r="JG242" s="36" t="n"/>
      <c r="JH242" s="284" t="n"/>
      <c r="JI242" s="38" t="n"/>
      <c r="JJ242" s="284" t="n"/>
      <c r="JK242" s="36" t="n"/>
      <c r="JL242" s="284" t="n"/>
      <c r="JM242" s="38" t="n"/>
      <c r="JN242" s="284" t="n"/>
      <c r="JO242" s="36" t="n"/>
      <c r="JP242" s="284" t="n"/>
      <c r="JQ242" s="38" t="n"/>
      <c r="JR242" s="284" t="n"/>
      <c r="JS242" s="36" t="n"/>
      <c r="JT242" s="284" t="n"/>
      <c r="JU242" s="38" t="n"/>
      <c r="JV242" s="284" t="n"/>
      <c r="JW242" s="36" t="n"/>
      <c r="JX242" s="284" t="n"/>
      <c r="JY242" s="38" t="n"/>
      <c r="JZ242" s="284" t="n"/>
      <c r="KA242" s="36" t="n"/>
      <c r="KB242" s="284" t="n"/>
      <c r="KC242" s="38" t="n"/>
      <c r="KD242" s="284" t="n"/>
      <c r="KE242" s="338">
        <f t="array" ref="KE242">SUMPRODUCT(--(MOD(COLUMN($II242:$KD242),4)=MOD(COLUMN($II242),4)),$II242:$KD242)</f>
        <v/>
      </c>
      <c r="KF242" s="339">
        <f>KE242*$J242</f>
        <v/>
      </c>
      <c r="KG242" s="340">
        <f t="array" ref="KG242">SUMPRODUCT(--(MOD(COLUMN($II242:$KD242),4)=MOD(COLUMN($IJ242),4)),$II242:$KD242)</f>
        <v/>
      </c>
      <c r="KH242" s="341">
        <f>KG242*$J242</f>
        <v/>
      </c>
      <c r="KI242" s="342">
        <f t="array" ref="KI242">SUMPRODUCT(--(MOD(COLUMN($II242:$KD242),4)=MOD(COLUMN($IK242),4)),$II242:$KD242)</f>
        <v/>
      </c>
      <c r="KJ242" s="346">
        <f>KI242*$J242</f>
        <v/>
      </c>
      <c r="KK242" s="80" t="n"/>
      <c r="KL242" s="80" t="n"/>
      <c r="KM242" s="80" t="n"/>
      <c r="KN242" s="51" t="n"/>
      <c r="KO242" s="333" t="n"/>
    </row>
    <row r="243" outlineLevel="1" ht="28.8" customFormat="1" customHeight="1" s="68">
      <c r="A243" s="347" t="n"/>
      <c r="B243" s="347" t="n"/>
      <c r="C243" s="347" t="n"/>
      <c r="D243" s="347" t="n"/>
      <c r="E243" s="15" t="n">
        <v>14</v>
      </c>
      <c r="F243" s="15" t="n">
        <v>1</v>
      </c>
      <c r="G243" s="33" t="n">
        <v>9730110000</v>
      </c>
      <c r="H243" s="34" t="inlineStr">
        <is>
          <t>Клапан ускорительный</t>
        </is>
      </c>
      <c r="I243" s="387">
        <f>174/1.2</f>
        <v/>
      </c>
      <c r="J243" s="387">
        <f>174/1.2</f>
        <v/>
      </c>
      <c r="K243" s="337" t="n"/>
      <c r="L243" s="337" t="n"/>
      <c r="M243" s="39" t="n"/>
      <c r="N243" s="39" t="n"/>
      <c r="O243" s="39" t="n"/>
      <c r="P243" s="39" t="n"/>
      <c r="Q243" s="39" t="n"/>
      <c r="R243" s="39" t="n"/>
      <c r="S243" s="39" t="n"/>
      <c r="T243" s="39" t="n"/>
      <c r="U243" s="39" t="n"/>
      <c r="V243" s="39" t="n"/>
      <c r="W243" s="39" t="n"/>
      <c r="X243" s="39" t="n"/>
      <c r="Y243" s="39" t="n"/>
      <c r="Z243" s="39" t="n"/>
      <c r="AA243" s="39" t="n"/>
      <c r="AB243" s="39" t="n"/>
      <c r="AC243" s="39" t="n"/>
      <c r="AD243" s="39" t="n"/>
      <c r="AE243" s="39" t="n"/>
      <c r="AF243" s="39" t="n"/>
      <c r="AG243" s="39" t="n"/>
      <c r="AH243" s="39" t="n"/>
      <c r="AI243" s="39" t="n"/>
      <c r="AJ243" s="39" t="n"/>
      <c r="AK243" s="39" t="n"/>
      <c r="AL243" s="39" t="n"/>
      <c r="AM243" s="39" t="n"/>
      <c r="AN243" s="39" t="n"/>
      <c r="AO243" s="39" t="n"/>
      <c r="AP243" s="39" t="n"/>
      <c r="AQ243" s="39" t="n"/>
      <c r="AR243" s="39" t="n"/>
      <c r="AS243" s="39" t="n"/>
      <c r="AT243" s="39" t="n"/>
      <c r="AU243" s="39" t="n"/>
      <c r="AV243" s="39" t="n"/>
      <c r="AW243" s="39" t="n"/>
      <c r="AX243" s="39" t="n"/>
      <c r="AY243" s="39" t="n"/>
      <c r="AZ243" s="16" t="n"/>
      <c r="BA243" s="39" t="n"/>
      <c r="BB243" s="39" t="n"/>
      <c r="BC243" s="158" t="n"/>
      <c r="BD243" s="39" t="n"/>
      <c r="BE243" s="39" t="n"/>
      <c r="BF243" s="39" t="n"/>
      <c r="BG243" s="159" t="n"/>
      <c r="BH243" s="347" t="n"/>
      <c r="BI243" s="340" t="n"/>
      <c r="BJ243" s="341" t="n"/>
      <c r="BK243" s="340" t="n"/>
      <c r="BL243" s="341" t="n"/>
      <c r="BM243" s="340" t="n"/>
      <c r="BN243" s="341" t="n"/>
      <c r="BO243" s="39" t="n"/>
      <c r="BP243" s="39" t="n"/>
      <c r="BQ243" s="39" t="n"/>
      <c r="BR243" s="39" t="n"/>
      <c r="BS243" s="16" t="n"/>
      <c r="BT243" s="39" t="n"/>
      <c r="BU243" s="39" t="n"/>
      <c r="BV243" s="39" t="n"/>
      <c r="BW243" s="39" t="n"/>
      <c r="BX243" s="39" t="n"/>
      <c r="BY243" s="39" t="n"/>
      <c r="BZ243" s="39" t="n"/>
      <c r="CA243" s="39" t="n"/>
      <c r="CB243" s="39" t="n"/>
      <c r="CC243" s="39" t="n"/>
      <c r="CD243" s="39" t="n"/>
      <c r="CE243" s="39" t="n"/>
      <c r="CF243" s="39" t="n"/>
      <c r="CG243" s="39" t="n"/>
      <c r="CH243" s="39" t="n"/>
      <c r="CI243" s="39" t="n"/>
      <c r="CJ243" s="39" t="n"/>
      <c r="CK243" s="39" t="n"/>
      <c r="CL243" s="39" t="n"/>
      <c r="CM243" s="16" t="n"/>
      <c r="CN243" s="39" t="n"/>
      <c r="CO243" s="39" t="n"/>
      <c r="CP243" s="39" t="n"/>
      <c r="CQ243" s="39" t="n"/>
      <c r="CR243" s="16" t="n"/>
      <c r="CS243" s="39" t="n"/>
      <c r="CT243" s="39" t="n"/>
      <c r="CU243" s="39" t="n"/>
      <c r="CV243" s="39" t="n"/>
      <c r="CW243" s="39" t="n"/>
      <c r="CX243" s="39" t="n"/>
      <c r="CY243" s="39" t="n"/>
      <c r="CZ243" s="39" t="n"/>
      <c r="DA243" s="39" t="n"/>
      <c r="DB243" s="347" t="n"/>
      <c r="DC243" s="39" t="n"/>
      <c r="DD243" s="39" t="n"/>
      <c r="DE243" s="39" t="n"/>
      <c r="DF243" s="39" t="n"/>
      <c r="DG243" s="39" t="n"/>
      <c r="DH243" s="39" t="n"/>
      <c r="DI243" s="39" t="n"/>
      <c r="DJ243" s="39" t="n"/>
      <c r="DK243" s="39" t="n"/>
      <c r="DL243" s="39" t="n"/>
      <c r="DM243" s="39" t="n"/>
      <c r="DN243" s="39" t="n"/>
      <c r="DO243" s="39" t="n"/>
      <c r="DP243" s="39" t="n">
        <v>0</v>
      </c>
      <c r="DQ243" s="39" t="n"/>
      <c r="DR243" s="39" t="n"/>
      <c r="DS243" s="39" t="n"/>
      <c r="DT243" s="39" t="n">
        <v>6</v>
      </c>
      <c r="DU243" s="39" t="n">
        <v>6</v>
      </c>
      <c r="DV243" s="347" t="n"/>
      <c r="DW243" s="338">
        <f t="array" ref="DW243">SUMPRODUCT(--(MOD(COLUMN($BO243:$DV243),5)=MOD(COLUMN($BO243),5)),$BO243:$DV243)</f>
        <v/>
      </c>
      <c r="DX243" s="339">
        <f>DW243*$J243</f>
        <v/>
      </c>
      <c r="DY243" s="344">
        <f t="array" ref="DY243">SUMPRODUCT(--(MOD(COLUMN($BO243:$DV243),5)=MOD(COLUMN($BP243),5)),$BO243:$DV243)</f>
        <v/>
      </c>
      <c r="DZ243" s="345">
        <f>DY243*$J243</f>
        <v/>
      </c>
      <c r="EA243" s="340">
        <f t="array" ref="EA243">SUMPRODUCT(--(MOD(COLUMN($BO243:$DV243),5)=MOD(COLUMN($BQ243),5)),$BO243:$DV243)</f>
        <v/>
      </c>
      <c r="EB243" s="341">
        <f>EA243*$J243</f>
        <v/>
      </c>
      <c r="EC243" s="342">
        <f t="array" ref="EC243">SUMPRODUCT(--(MOD(COLUMN($BO243:$DV243),5)=MOD(COLUMN($BR243),5)),$BO243:$DV243)</f>
        <v/>
      </c>
      <c r="ED243" s="343">
        <f>EC243*$J243</f>
        <v/>
      </c>
      <c r="EE243" s="39" t="n">
        <v>4</v>
      </c>
      <c r="EF243" s="39" t="n">
        <v>0</v>
      </c>
      <c r="EG243" s="39" t="n">
        <v>0</v>
      </c>
      <c r="EH243" s="39" t="n"/>
      <c r="EI243" s="39" t="n"/>
      <c r="EJ243" s="39" t="n"/>
      <c r="EK243" s="39" t="n"/>
      <c r="EL243" s="39" t="n"/>
      <c r="EM243" s="39" t="n"/>
      <c r="EN243" s="39" t="n"/>
      <c r="EO243" s="39" t="n"/>
      <c r="EP243" s="39" t="n"/>
      <c r="EQ243" s="39" t="n"/>
      <c r="ER243" s="39" t="n"/>
      <c r="ES243" s="39" t="n"/>
      <c r="ET243" s="39" t="n"/>
      <c r="EU243" s="39" t="n"/>
      <c r="EV243" s="39" t="n"/>
      <c r="EW243" s="39" t="n"/>
      <c r="EX243" s="39" t="n"/>
      <c r="EY243" s="39" t="n"/>
      <c r="EZ243" s="39" t="n"/>
      <c r="FA243" s="39" t="n"/>
      <c r="FB243" s="39" t="n"/>
      <c r="FC243" s="39" t="n"/>
      <c r="FD243" s="39" t="n"/>
      <c r="FE243" s="39" t="n"/>
      <c r="FF243" s="39" t="n"/>
      <c r="FG243" s="39" t="n"/>
      <c r="FH243" s="39" t="n"/>
      <c r="FI243" s="39" t="n"/>
      <c r="FJ243" s="39" t="n"/>
      <c r="FK243" s="39" t="n"/>
      <c r="FL243" s="39" t="n"/>
      <c r="FM243" s="39" t="n"/>
      <c r="FN243" s="39" t="n"/>
      <c r="FO243" s="39" t="n"/>
      <c r="FP243" s="39" t="n"/>
      <c r="FQ243" s="39" t="n"/>
      <c r="FR243" s="39" t="n"/>
      <c r="FS243" s="39" t="n"/>
      <c r="FT243" s="39" t="n"/>
      <c r="FU243" s="39" t="n"/>
      <c r="FV243" s="39" t="n"/>
      <c r="FW243" s="39" t="n"/>
      <c r="FX243" s="39" t="n"/>
      <c r="FY243" s="39" t="n"/>
      <c r="FZ243" s="39" t="n"/>
      <c r="GA243" s="338">
        <f t="array" ref="GA243">SUMPRODUCT(--(MOD(COLUMN($EE243:$FZ243),4)=MOD(COLUMN($EE243),4)),$EE243:$FZ243)</f>
        <v/>
      </c>
      <c r="GB243" s="339">
        <f>GA243*$J243</f>
        <v/>
      </c>
      <c r="GC243" s="340">
        <f t="array" ref="GC243">SUMPRODUCT(--(MOD(COLUMN($EE243:$FZ243),4)=MOD(COLUMN($EF243),4)),$EE243:$FZ243)</f>
        <v/>
      </c>
      <c r="GD243" s="341">
        <f>GC243*$J243</f>
        <v/>
      </c>
      <c r="GE243" s="342">
        <f t="array" ref="GE243">SUMPRODUCT(--(MOD(COLUMN($EE243:$FZ243),4)=MOD(COLUMN($EG243),4)),$EE243:$FZ243)</f>
        <v/>
      </c>
      <c r="GF243" s="343">
        <f>GE243*$J243</f>
        <v/>
      </c>
      <c r="GG243" s="39" t="n"/>
      <c r="GH243" s="39" t="n"/>
      <c r="GI243" s="39" t="n"/>
      <c r="GJ243" s="39" t="n"/>
      <c r="GK243" s="39" t="n"/>
      <c r="GL243" s="39" t="n"/>
      <c r="GM243" s="39" t="n"/>
      <c r="GN243" s="39" t="n"/>
      <c r="GO243" s="39" t="n"/>
      <c r="GP243" s="39" t="n"/>
      <c r="GQ243" s="39" t="n"/>
      <c r="GR243" s="39" t="n"/>
      <c r="GS243" s="39" t="n"/>
      <c r="GT243" s="39" t="n"/>
      <c r="GU243" s="39" t="n"/>
      <c r="GV243" s="39" t="n"/>
      <c r="GW243" s="39" t="n"/>
      <c r="GX243" s="39" t="n"/>
      <c r="GY243" s="39" t="n"/>
      <c r="GZ243" s="39" t="n"/>
      <c r="HA243" s="39" t="n"/>
      <c r="HB243" s="39" t="n"/>
      <c r="HC243" s="39" t="n"/>
      <c r="HD243" s="39" t="n"/>
      <c r="HE243" s="39" t="n"/>
      <c r="HF243" s="39" t="n"/>
      <c r="HG243" s="39" t="n"/>
      <c r="HH243" s="39" t="n"/>
      <c r="HI243" s="39" t="n"/>
      <c r="HJ243" s="39" t="n"/>
      <c r="HK243" s="39" t="n"/>
      <c r="HL243" s="39" t="n"/>
      <c r="HM243" s="39" t="n"/>
      <c r="HN243" s="39" t="n"/>
      <c r="HO243" s="39" t="n"/>
      <c r="HP243" s="39" t="n"/>
      <c r="HQ243" s="39" t="n"/>
      <c r="HR243" s="39" t="n"/>
      <c r="HS243" s="39" t="n"/>
      <c r="HT243" s="39" t="n"/>
      <c r="HU243" s="39" t="n"/>
      <c r="HV243" s="39" t="n"/>
      <c r="HW243" s="39" t="n"/>
      <c r="HX243" s="39" t="n"/>
      <c r="HY243" s="39" t="n"/>
      <c r="HZ243" s="39" t="n"/>
      <c r="IA243" s="39" t="n"/>
      <c r="IB243" s="39" t="n"/>
      <c r="IC243" s="338">
        <f t="array" ref="IC243">SUMPRODUCT(--(MOD(COLUMN($GG243:$IB243),4)=MOD(COLUMN($GG243),4)),$GG243:$IB243)</f>
        <v/>
      </c>
      <c r="ID243" s="339">
        <f>IC243*$J243</f>
        <v/>
      </c>
      <c r="IE243" s="340">
        <f t="array" ref="IE243">SUMPRODUCT(--(MOD(COLUMN($GG243:$IB243),4)=MOD(COLUMN($GH243),4)),$GG243:$IB243)</f>
        <v/>
      </c>
      <c r="IF243" s="341">
        <f>IE243*$J243</f>
        <v/>
      </c>
      <c r="IG243" s="342">
        <f t="array" ref="IG243">SUMPRODUCT(--(MOD(COLUMN($GG243:$IB243),4)=MOD(COLUMN($GI243),4)),$GG243:$IB243)</f>
        <v/>
      </c>
      <c r="IH243" s="343">
        <f>IG243*$J243</f>
        <v/>
      </c>
      <c r="II243" s="39" t="n"/>
      <c r="IJ243" s="39" t="n"/>
      <c r="IK243" s="39" t="n"/>
      <c r="IL243" s="39" t="n"/>
      <c r="IM243" s="39" t="n"/>
      <c r="IN243" s="39" t="n"/>
      <c r="IO243" s="39" t="n"/>
      <c r="IP243" s="39" t="n"/>
      <c r="IQ243" s="39" t="n"/>
      <c r="IR243" s="39" t="n"/>
      <c r="IS243" s="39" t="n"/>
      <c r="IT243" s="39" t="n"/>
      <c r="IU243" s="39" t="n"/>
      <c r="IV243" s="39" t="n"/>
      <c r="IW243" s="39" t="n"/>
      <c r="IX243" s="39" t="n"/>
      <c r="IY243" s="39" t="n"/>
      <c r="IZ243" s="39" t="n"/>
      <c r="JA243" s="39" t="n"/>
      <c r="JB243" s="39" t="n"/>
      <c r="JC243" s="39" t="n"/>
      <c r="JD243" s="39" t="n"/>
      <c r="JE243" s="39" t="n"/>
      <c r="JF243" s="39" t="n"/>
      <c r="JG243" s="39" t="n"/>
      <c r="JH243" s="39" t="n"/>
      <c r="JI243" s="39" t="n"/>
      <c r="JJ243" s="39" t="n"/>
      <c r="JK243" s="39" t="n"/>
      <c r="JL243" s="39" t="n"/>
      <c r="JM243" s="39" t="n"/>
      <c r="JN243" s="39" t="n"/>
      <c r="JO243" s="39" t="n"/>
      <c r="JP243" s="39" t="n"/>
      <c r="JQ243" s="39" t="n"/>
      <c r="JR243" s="39" t="n"/>
      <c r="JS243" s="39" t="n"/>
      <c r="JT243" s="39" t="n"/>
      <c r="JU243" s="39" t="n"/>
      <c r="JV243" s="39" t="n"/>
      <c r="JW243" s="39" t="n"/>
      <c r="JX243" s="39" t="n"/>
      <c r="JY243" s="39" t="n"/>
      <c r="JZ243" s="39" t="n"/>
      <c r="KA243" s="39" t="n"/>
      <c r="KB243" s="39" t="n"/>
      <c r="KC243" s="39" t="n"/>
      <c r="KD243" s="39" t="n"/>
      <c r="KE243" s="338">
        <f t="array" ref="KE243">SUMPRODUCT(--(MOD(COLUMN($II243:$KD243),4)=MOD(COLUMN($II243),4)),$II243:$KD243)</f>
        <v/>
      </c>
      <c r="KF243" s="339">
        <f>KE243*$J243</f>
        <v/>
      </c>
      <c r="KG243" s="340">
        <f t="array" ref="KG243">SUMPRODUCT(--(MOD(COLUMN($II243:$KD243),4)=MOD(COLUMN($IJ243),4)),$II243:$KD243)</f>
        <v/>
      </c>
      <c r="KH243" s="341">
        <f>KG243*$J243</f>
        <v/>
      </c>
      <c r="KI243" s="342">
        <f t="array" ref="KI243">SUMPRODUCT(--(MOD(COLUMN($II243:$KD243),4)=MOD(COLUMN($IK243),4)),$II243:$KD243)</f>
        <v/>
      </c>
      <c r="KJ243" s="346">
        <f>KI243*$J243</f>
        <v/>
      </c>
      <c r="KK243" s="80" t="n"/>
      <c r="KL243" s="80" t="n"/>
      <c r="KM243" s="80" t="n"/>
      <c r="KN243" s="51" t="n"/>
      <c r="KO243" s="287" t="n"/>
    </row>
    <row r="244" outlineLevel="1" ht="43.2" customFormat="1" customHeight="1" s="68">
      <c r="A244" s="347" t="n"/>
      <c r="B244" s="347" t="n"/>
      <c r="C244" s="347" t="n"/>
      <c r="D244" s="347" t="n"/>
      <c r="E244" s="60" t="n">
        <v>15</v>
      </c>
      <c r="F244" s="60" t="n">
        <v>1</v>
      </c>
      <c r="G244" s="56" t="n">
        <v>4630840310</v>
      </c>
      <c r="H244" s="57" t="inlineStr">
        <is>
          <t>Клапан управления подъемом оси (LACV)</t>
        </is>
      </c>
      <c r="I244" s="377">
        <f>657.1/1.2*1.02</f>
        <v/>
      </c>
      <c r="J244" s="377">
        <f>657.1/1.2*1.02</f>
        <v/>
      </c>
      <c r="K244" s="348" t="n"/>
      <c r="L244" s="348" t="n"/>
      <c r="M244" s="36" t="n"/>
      <c r="N244" s="284" t="n"/>
      <c r="O244" s="38" t="n"/>
      <c r="P244" s="284" t="n"/>
      <c r="Q244" s="36" t="n"/>
      <c r="R244" s="284" t="n"/>
      <c r="S244" s="38" t="n"/>
      <c r="T244" s="284" t="n"/>
      <c r="U244" s="36" t="n"/>
      <c r="V244" s="284" t="n"/>
      <c r="W244" s="38" t="n"/>
      <c r="X244" s="284" t="n"/>
      <c r="Y244" s="36" t="n"/>
      <c r="Z244" s="284" t="n"/>
      <c r="AA244" s="38" t="n"/>
      <c r="AB244" s="284" t="n"/>
      <c r="AC244" s="36" t="n"/>
      <c r="AD244" s="284" t="n"/>
      <c r="AE244" s="38" t="n"/>
      <c r="AF244" s="284" t="n"/>
      <c r="AG244" s="36" t="n"/>
      <c r="AH244" s="284" t="n"/>
      <c r="AI244" s="38" t="n"/>
      <c r="AJ244" s="284" t="n"/>
      <c r="AK244" s="36" t="n"/>
      <c r="AL244" s="284" t="n"/>
      <c r="AM244" s="38" t="n"/>
      <c r="AN244" s="284" t="n"/>
      <c r="AO244" s="36" t="n"/>
      <c r="AP244" s="284" t="n"/>
      <c r="AQ244" s="38" t="n"/>
      <c r="AR244" s="284" t="n"/>
      <c r="AS244" s="36" t="n"/>
      <c r="AT244" s="284" t="n"/>
      <c r="AU244" s="38" t="n"/>
      <c r="AV244" s="284" t="n"/>
      <c r="AW244" s="36" t="n"/>
      <c r="AX244" s="284" t="n"/>
      <c r="AY244" s="38" t="n"/>
      <c r="AZ244" s="96" t="n"/>
      <c r="BA244" s="36" t="n"/>
      <c r="BB244" s="284" t="n"/>
      <c r="BC244" s="99" t="n"/>
      <c r="BD244" s="284" t="n"/>
      <c r="BE244" s="36" t="n"/>
      <c r="BF244" s="284" t="n"/>
      <c r="BG244" s="78" t="n"/>
      <c r="BH244" s="347" t="n"/>
      <c r="BI244" s="338" t="n"/>
      <c r="BJ244" s="339" t="n"/>
      <c r="BK244" s="340" t="n"/>
      <c r="BL244" s="341" t="n"/>
      <c r="BM244" s="342" t="n"/>
      <c r="BN244" s="343" t="n"/>
      <c r="BO244" s="36" t="n"/>
      <c r="BP244" s="47" t="n"/>
      <c r="BQ244" s="284" t="n"/>
      <c r="BR244" s="38" t="n"/>
      <c r="BS244" s="96" t="n"/>
      <c r="BT244" s="36" t="n"/>
      <c r="BU244" s="47" t="n"/>
      <c r="BV244" s="284" t="n"/>
      <c r="BW244" s="38" t="n"/>
      <c r="BX244" s="284" t="n"/>
      <c r="BY244" s="36" t="n"/>
      <c r="BZ244" s="47" t="n"/>
      <c r="CA244" s="284" t="n"/>
      <c r="CB244" s="38" t="n"/>
      <c r="CC244" s="284" t="n"/>
      <c r="CD244" s="36" t="n"/>
      <c r="CE244" s="47" t="n"/>
      <c r="CF244" s="284" t="n"/>
      <c r="CG244" s="38" t="n"/>
      <c r="CH244" s="284" t="n"/>
      <c r="CI244" s="36" t="n"/>
      <c r="CJ244" s="47" t="n"/>
      <c r="CK244" s="284" t="n"/>
      <c r="CL244" s="38" t="n"/>
      <c r="CM244" s="96" t="n"/>
      <c r="CN244" s="36" t="n"/>
      <c r="CO244" s="47" t="n"/>
      <c r="CP244" s="284" t="n"/>
      <c r="CQ244" s="38" t="n"/>
      <c r="CR244" s="16" t="n"/>
      <c r="CS244" s="36" t="n"/>
      <c r="CT244" s="47" t="n"/>
      <c r="CU244" s="284" t="n"/>
      <c r="CV244" s="38" t="n"/>
      <c r="CW244" s="284" t="n"/>
      <c r="CX244" s="36" t="n"/>
      <c r="CY244" s="47" t="n"/>
      <c r="CZ244" s="284" t="n"/>
      <c r="DA244" s="38" t="n"/>
      <c r="DB244" s="347" t="n"/>
      <c r="DC244" s="36" t="n"/>
      <c r="DD244" s="47" t="n"/>
      <c r="DE244" s="284" t="n"/>
      <c r="DF244" s="38" t="n"/>
      <c r="DG244" s="284" t="n"/>
      <c r="DH244" s="36" t="n"/>
      <c r="DI244" s="47" t="n"/>
      <c r="DJ244" s="284" t="n"/>
      <c r="DK244" s="38" t="n"/>
      <c r="DL244" s="284" t="n"/>
      <c r="DM244" s="36" t="n"/>
      <c r="DN244" s="47" t="n"/>
      <c r="DO244" s="284" t="n"/>
      <c r="DP244" s="38" t="n">
        <v>0</v>
      </c>
      <c r="DQ244" s="284" t="n"/>
      <c r="DR244" s="36" t="n"/>
      <c r="DS244" s="47" t="n"/>
      <c r="DT244" s="284" t="n">
        <v>6</v>
      </c>
      <c r="DU244" s="156" t="n">
        <v>6</v>
      </c>
      <c r="DV244" s="347" t="n"/>
      <c r="DW244" s="338">
        <f t="array" ref="DW244">SUMPRODUCT(--(MOD(COLUMN($BO244:$DV244),5)=MOD(COLUMN($BO244),5)),$BO244:$DV244)</f>
        <v/>
      </c>
      <c r="DX244" s="339">
        <f>DW244*$J244</f>
        <v/>
      </c>
      <c r="DY244" s="344">
        <f t="array" ref="DY244">SUMPRODUCT(--(MOD(COLUMN($BO244:$DV244),5)=MOD(COLUMN($BP244),5)),$BO244:$DV244)</f>
        <v/>
      </c>
      <c r="DZ244" s="345">
        <f>DY244*$J244</f>
        <v/>
      </c>
      <c r="EA244" s="340">
        <f t="array" ref="EA244">SUMPRODUCT(--(MOD(COLUMN($BO244:$DV244),5)=MOD(COLUMN($BQ244),5)),$BO244:$DV244)</f>
        <v/>
      </c>
      <c r="EB244" s="341">
        <f>EA244*$J244</f>
        <v/>
      </c>
      <c r="EC244" s="342">
        <f t="array" ref="EC244">SUMPRODUCT(--(MOD(COLUMN($BO244:$DV244),5)=MOD(COLUMN($BR244),5)),$BO244:$DV244)</f>
        <v/>
      </c>
      <c r="ED244" s="343">
        <f>EC244*$J244</f>
        <v/>
      </c>
      <c r="EE244" s="36" t="n">
        <v>4</v>
      </c>
      <c r="EF244" s="284" t="n">
        <v>0</v>
      </c>
      <c r="EG244" s="38" t="n">
        <v>0</v>
      </c>
      <c r="EH244" s="284" t="n"/>
      <c r="EI244" s="36" t="n"/>
      <c r="EJ244" s="284" t="n"/>
      <c r="EK244" s="38" t="n"/>
      <c r="EL244" s="284" t="n"/>
      <c r="EM244" s="36" t="n"/>
      <c r="EN244" s="284" t="n"/>
      <c r="EO244" s="38" t="n"/>
      <c r="EP244" s="284" t="n"/>
      <c r="EQ244" s="36" t="n"/>
      <c r="ER244" s="284" t="n"/>
      <c r="ES244" s="38" t="n"/>
      <c r="ET244" s="284" t="n"/>
      <c r="EU244" s="36" t="n"/>
      <c r="EV244" s="284" t="n"/>
      <c r="EW244" s="38" t="n"/>
      <c r="EX244" s="284" t="n"/>
      <c r="EY244" s="36" t="n"/>
      <c r="EZ244" s="284" t="n"/>
      <c r="FA244" s="38" t="n"/>
      <c r="FB244" s="284" t="n"/>
      <c r="FC244" s="36" t="n"/>
      <c r="FD244" s="284" t="n"/>
      <c r="FE244" s="38" t="n"/>
      <c r="FF244" s="284" t="n"/>
      <c r="FG244" s="36" t="n"/>
      <c r="FH244" s="284" t="n"/>
      <c r="FI244" s="38" t="n"/>
      <c r="FJ244" s="284" t="n"/>
      <c r="FK244" s="36" t="n"/>
      <c r="FL244" s="284" t="n"/>
      <c r="FM244" s="38" t="n"/>
      <c r="FN244" s="284" t="n"/>
      <c r="FO244" s="36" t="n"/>
      <c r="FP244" s="284" t="n"/>
      <c r="FQ244" s="38" t="n"/>
      <c r="FR244" s="284" t="n"/>
      <c r="FS244" s="36" t="n"/>
      <c r="FT244" s="284" t="n"/>
      <c r="FU244" s="38" t="n"/>
      <c r="FV244" s="284" t="n"/>
      <c r="FW244" s="36" t="n"/>
      <c r="FX244" s="284" t="n"/>
      <c r="FY244" s="38" t="n"/>
      <c r="FZ244" s="284" t="n"/>
      <c r="GA244" s="338">
        <f t="array" ref="GA244">SUMPRODUCT(--(MOD(COLUMN($EE244:$FZ244),4)=MOD(COLUMN($EE244),4)),$EE244:$FZ244)</f>
        <v/>
      </c>
      <c r="GB244" s="339">
        <f>GA244*$J244</f>
        <v/>
      </c>
      <c r="GC244" s="340">
        <f t="array" ref="GC244">SUMPRODUCT(--(MOD(COLUMN($EE244:$FZ244),4)=MOD(COLUMN($EF244),4)),$EE244:$FZ244)</f>
        <v/>
      </c>
      <c r="GD244" s="341">
        <f>GC244*$J244</f>
        <v/>
      </c>
      <c r="GE244" s="342">
        <f t="array" ref="GE244">SUMPRODUCT(--(MOD(COLUMN($EE244:$FZ244),4)=MOD(COLUMN($EG244),4)),$EE244:$FZ244)</f>
        <v/>
      </c>
      <c r="GF244" s="343">
        <f>GE244*$J244</f>
        <v/>
      </c>
      <c r="GG244" s="36" t="n"/>
      <c r="GH244" s="284" t="n"/>
      <c r="GI244" s="38" t="n"/>
      <c r="GJ244" s="284" t="n"/>
      <c r="GK244" s="36" t="n"/>
      <c r="GL244" s="284" t="n"/>
      <c r="GM244" s="38" t="n"/>
      <c r="GN244" s="284" t="n"/>
      <c r="GO244" s="36" t="n"/>
      <c r="GP244" s="284" t="n"/>
      <c r="GQ244" s="38" t="n"/>
      <c r="GR244" s="284" t="n"/>
      <c r="GS244" s="36" t="n"/>
      <c r="GT244" s="284" t="n"/>
      <c r="GU244" s="38" t="n"/>
      <c r="GV244" s="284" t="n"/>
      <c r="GW244" s="36" t="n"/>
      <c r="GX244" s="284" t="n"/>
      <c r="GY244" s="38" t="n"/>
      <c r="GZ244" s="284" t="n"/>
      <c r="HA244" s="36" t="n"/>
      <c r="HB244" s="284" t="n"/>
      <c r="HC244" s="38" t="n"/>
      <c r="HD244" s="284" t="n"/>
      <c r="HE244" s="36" t="n"/>
      <c r="HF244" s="284" t="n"/>
      <c r="HG244" s="38" t="n"/>
      <c r="HH244" s="284" t="n"/>
      <c r="HI244" s="36" t="n"/>
      <c r="HJ244" s="284" t="n"/>
      <c r="HK244" s="38" t="n"/>
      <c r="HL244" s="284" t="n"/>
      <c r="HM244" s="36" t="n"/>
      <c r="HN244" s="284" t="n"/>
      <c r="HO244" s="38" t="n"/>
      <c r="HP244" s="284" t="n"/>
      <c r="HQ244" s="36" t="n"/>
      <c r="HR244" s="284" t="n"/>
      <c r="HS244" s="38" t="n"/>
      <c r="HT244" s="284" t="n"/>
      <c r="HU244" s="36" t="n"/>
      <c r="HV244" s="284" t="n"/>
      <c r="HW244" s="38" t="n"/>
      <c r="HX244" s="284" t="n"/>
      <c r="HY244" s="36" t="n"/>
      <c r="HZ244" s="284" t="n"/>
      <c r="IA244" s="38" t="n"/>
      <c r="IB244" s="284" t="n"/>
      <c r="IC244" s="338">
        <f t="array" ref="IC244">SUMPRODUCT(--(MOD(COLUMN($GG244:$IB244),4)=MOD(COLUMN($GG244),4)),$GG244:$IB244)</f>
        <v/>
      </c>
      <c r="ID244" s="339">
        <f>IC244*$J244</f>
        <v/>
      </c>
      <c r="IE244" s="340">
        <f t="array" ref="IE244">SUMPRODUCT(--(MOD(COLUMN($GG244:$IB244),4)=MOD(COLUMN($GH244),4)),$GG244:$IB244)</f>
        <v/>
      </c>
      <c r="IF244" s="341">
        <f>IE244*$J244</f>
        <v/>
      </c>
      <c r="IG244" s="342">
        <f t="array" ref="IG244">SUMPRODUCT(--(MOD(COLUMN($GG244:$IB244),4)=MOD(COLUMN($GI244),4)),$GG244:$IB244)</f>
        <v/>
      </c>
      <c r="IH244" s="343">
        <f>IG244*$J244</f>
        <v/>
      </c>
      <c r="II244" s="36" t="n"/>
      <c r="IJ244" s="284" t="n"/>
      <c r="IK244" s="38" t="n"/>
      <c r="IL244" s="284" t="n"/>
      <c r="IM244" s="36" t="n"/>
      <c r="IN244" s="284" t="n"/>
      <c r="IO244" s="38" t="n"/>
      <c r="IP244" s="284" t="n"/>
      <c r="IQ244" s="36" t="n"/>
      <c r="IR244" s="284" t="n"/>
      <c r="IS244" s="38" t="n"/>
      <c r="IT244" s="284" t="n"/>
      <c r="IU244" s="36" t="n"/>
      <c r="IV244" s="284" t="n"/>
      <c r="IW244" s="38" t="n"/>
      <c r="IX244" s="284" t="n"/>
      <c r="IY244" s="36" t="n"/>
      <c r="IZ244" s="284" t="n"/>
      <c r="JA244" s="38" t="n"/>
      <c r="JB244" s="284" t="n"/>
      <c r="JC244" s="36" t="n"/>
      <c r="JD244" s="284" t="n"/>
      <c r="JE244" s="38" t="n"/>
      <c r="JF244" s="284" t="n"/>
      <c r="JG244" s="36" t="n"/>
      <c r="JH244" s="284" t="n"/>
      <c r="JI244" s="38" t="n"/>
      <c r="JJ244" s="284" t="n"/>
      <c r="JK244" s="36" t="n"/>
      <c r="JL244" s="284" t="n"/>
      <c r="JM244" s="38" t="n"/>
      <c r="JN244" s="284" t="n"/>
      <c r="JO244" s="36" t="n"/>
      <c r="JP244" s="284" t="n"/>
      <c r="JQ244" s="38" t="n"/>
      <c r="JR244" s="284" t="n"/>
      <c r="JS244" s="36" t="n"/>
      <c r="JT244" s="284" t="n"/>
      <c r="JU244" s="38" t="n"/>
      <c r="JV244" s="284" t="n"/>
      <c r="JW244" s="36" t="n"/>
      <c r="JX244" s="284" t="n"/>
      <c r="JY244" s="38" t="n"/>
      <c r="JZ244" s="284" t="n"/>
      <c r="KA244" s="36" t="n"/>
      <c r="KB244" s="284" t="n"/>
      <c r="KC244" s="38" t="n"/>
      <c r="KD244" s="284" t="n"/>
      <c r="KE244" s="338">
        <f t="array" ref="KE244">SUMPRODUCT(--(MOD(COLUMN($II244:$KD244),4)=MOD(COLUMN($II244),4)),$II244:$KD244)</f>
        <v/>
      </c>
      <c r="KF244" s="339">
        <f>KE244*$J244</f>
        <v/>
      </c>
      <c r="KG244" s="340">
        <f t="array" ref="KG244">SUMPRODUCT(--(MOD(COLUMN($II244:$KD244),4)=MOD(COLUMN($IJ244),4)),$II244:$KD244)</f>
        <v/>
      </c>
      <c r="KH244" s="341">
        <f>KG244*$J244</f>
        <v/>
      </c>
      <c r="KI244" s="342">
        <f t="array" ref="KI244">SUMPRODUCT(--(MOD(COLUMN($II244:$KD244),4)=MOD(COLUMN($IK244),4)),$II244:$KD244)</f>
        <v/>
      </c>
      <c r="KJ244" s="346">
        <f>KI244*$J244</f>
        <v/>
      </c>
      <c r="KK244" s="80" t="n"/>
      <c r="KL244" s="80" t="n"/>
      <c r="KM244" s="80" t="n"/>
      <c r="KN244" s="51" t="n"/>
      <c r="KO244" s="287" t="n"/>
    </row>
    <row r="245" outlineLevel="1" ht="43.2" customFormat="1" customHeight="1" s="68">
      <c r="A245" s="347" t="n"/>
      <c r="B245" s="347" t="n"/>
      <c r="C245" s="347" t="n"/>
      <c r="D245" s="347" t="n"/>
      <c r="E245" s="60" t="n">
        <v>16</v>
      </c>
      <c r="F245" s="60" t="n">
        <v>1</v>
      </c>
      <c r="G245" s="56" t="n">
        <v>4494430600</v>
      </c>
      <c r="H245" s="57" t="inlineStr">
        <is>
          <t>Кабель клапана управления подъемом оси, 6 м</t>
        </is>
      </c>
      <c r="I245" s="377">
        <f>164.2/1.2*1.02</f>
        <v/>
      </c>
      <c r="J245" s="377">
        <f>164.2/1.2*1.02</f>
        <v/>
      </c>
      <c r="K245" s="348" t="n"/>
      <c r="L245" s="348" t="n"/>
      <c r="M245" s="36" t="n"/>
      <c r="N245" s="284" t="n"/>
      <c r="O245" s="38" t="n"/>
      <c r="P245" s="284" t="n"/>
      <c r="Q245" s="36" t="n"/>
      <c r="R245" s="284" t="n"/>
      <c r="S245" s="38" t="n"/>
      <c r="T245" s="284" t="n"/>
      <c r="U245" s="36" t="n"/>
      <c r="V245" s="284" t="n"/>
      <c r="W245" s="38" t="n"/>
      <c r="X245" s="284" t="n"/>
      <c r="Y245" s="36" t="n"/>
      <c r="Z245" s="284" t="n"/>
      <c r="AA245" s="38" t="n"/>
      <c r="AB245" s="284" t="n"/>
      <c r="AC245" s="36" t="n"/>
      <c r="AD245" s="284" t="n"/>
      <c r="AE245" s="38" t="n"/>
      <c r="AF245" s="284" t="n"/>
      <c r="AG245" s="36" t="n"/>
      <c r="AH245" s="284" t="n"/>
      <c r="AI245" s="38" t="n"/>
      <c r="AJ245" s="284" t="n"/>
      <c r="AK245" s="36" t="n"/>
      <c r="AL245" s="284" t="n"/>
      <c r="AM245" s="38" t="n"/>
      <c r="AN245" s="284" t="n"/>
      <c r="AO245" s="36" t="n"/>
      <c r="AP245" s="284" t="n"/>
      <c r="AQ245" s="38" t="n"/>
      <c r="AR245" s="284" t="n"/>
      <c r="AS245" s="36" t="n"/>
      <c r="AT245" s="284" t="n"/>
      <c r="AU245" s="38" t="n"/>
      <c r="AV245" s="284" t="n"/>
      <c r="AW245" s="36" t="n"/>
      <c r="AX245" s="284" t="n"/>
      <c r="AY245" s="38" t="n"/>
      <c r="AZ245" s="96" t="n"/>
      <c r="BA245" s="36" t="n"/>
      <c r="BB245" s="284" t="n"/>
      <c r="BC245" s="99" t="n"/>
      <c r="BD245" s="284" t="n"/>
      <c r="BE245" s="36" t="n"/>
      <c r="BF245" s="284" t="n"/>
      <c r="BG245" s="78" t="n"/>
      <c r="BH245" s="347" t="n"/>
      <c r="BI245" s="338" t="n"/>
      <c r="BJ245" s="339" t="n"/>
      <c r="BK245" s="340" t="n"/>
      <c r="BL245" s="341" t="n"/>
      <c r="BM245" s="342" t="n"/>
      <c r="BN245" s="343" t="n"/>
      <c r="BO245" s="36" t="n"/>
      <c r="BP245" s="47" t="n"/>
      <c r="BQ245" s="284" t="n"/>
      <c r="BR245" s="38" t="n"/>
      <c r="BS245" s="96" t="n"/>
      <c r="BT245" s="36" t="n"/>
      <c r="BU245" s="47" t="n"/>
      <c r="BV245" s="284" t="n"/>
      <c r="BW245" s="38" t="n"/>
      <c r="BX245" s="284" t="n"/>
      <c r="BY245" s="36" t="n"/>
      <c r="BZ245" s="47" t="n"/>
      <c r="CA245" s="284" t="n"/>
      <c r="CB245" s="38" t="n"/>
      <c r="CC245" s="284" t="n"/>
      <c r="CD245" s="36" t="n"/>
      <c r="CE245" s="47" t="n"/>
      <c r="CF245" s="284" t="n"/>
      <c r="CG245" s="38" t="n"/>
      <c r="CH245" s="284" t="n"/>
      <c r="CI245" s="36" t="n"/>
      <c r="CJ245" s="47" t="n"/>
      <c r="CK245" s="284" t="n"/>
      <c r="CL245" s="38" t="n"/>
      <c r="CM245" s="96" t="n"/>
      <c r="CN245" s="36" t="n"/>
      <c r="CO245" s="47" t="n"/>
      <c r="CP245" s="284" t="n"/>
      <c r="CQ245" s="38" t="n"/>
      <c r="CR245" s="16" t="n"/>
      <c r="CS245" s="36" t="n"/>
      <c r="CT245" s="47" t="n"/>
      <c r="CU245" s="284" t="n"/>
      <c r="CV245" s="38" t="n"/>
      <c r="CW245" s="284" t="n"/>
      <c r="CX245" s="36" t="n"/>
      <c r="CY245" s="47" t="n"/>
      <c r="CZ245" s="284" t="n"/>
      <c r="DA245" s="38" t="n"/>
      <c r="DB245" s="347" t="n"/>
      <c r="DC245" s="36" t="n"/>
      <c r="DD245" s="47" t="n"/>
      <c r="DE245" s="284" t="n"/>
      <c r="DF245" s="38" t="n"/>
      <c r="DG245" s="284" t="n"/>
      <c r="DH245" s="36" t="n"/>
      <c r="DI245" s="47" t="n"/>
      <c r="DJ245" s="284" t="n"/>
      <c r="DK245" s="38" t="n"/>
      <c r="DL245" s="284" t="n"/>
      <c r="DM245" s="36" t="n"/>
      <c r="DN245" s="47" t="n"/>
      <c r="DO245" s="284" t="n"/>
      <c r="DP245" s="38" t="n">
        <v>0</v>
      </c>
      <c r="DQ245" s="284" t="n"/>
      <c r="DR245" s="36" t="n"/>
      <c r="DS245" s="47" t="n"/>
      <c r="DT245" s="284" t="n">
        <v>12</v>
      </c>
      <c r="DU245" s="156" t="n">
        <v>12</v>
      </c>
      <c r="DV245" s="347" t="n"/>
      <c r="DW245" s="338">
        <f t="array" ref="DW245">SUMPRODUCT(--(MOD(COLUMN($BO245:$DV245),5)=MOD(COLUMN($BO245),5)),$BO245:$DV245)</f>
        <v/>
      </c>
      <c r="DX245" s="339">
        <f>DW245*$J245</f>
        <v/>
      </c>
      <c r="DY245" s="344">
        <f t="array" ref="DY245">SUMPRODUCT(--(MOD(COLUMN($BO245:$DV245),5)=MOD(COLUMN($BP245),5)),$BO245:$DV245)</f>
        <v/>
      </c>
      <c r="DZ245" s="345">
        <f>DY245*$J245</f>
        <v/>
      </c>
      <c r="EA245" s="340">
        <f t="array" ref="EA245">SUMPRODUCT(--(MOD(COLUMN($BO245:$DV245),5)=MOD(COLUMN($BQ245),5)),$BO245:$DV245)</f>
        <v/>
      </c>
      <c r="EB245" s="341">
        <f>EA245*$J245</f>
        <v/>
      </c>
      <c r="EC245" s="342">
        <f t="array" ref="EC245">SUMPRODUCT(--(MOD(COLUMN($BO245:$DV245),5)=MOD(COLUMN($BR245),5)),$BO245:$DV245)</f>
        <v/>
      </c>
      <c r="ED245" s="343">
        <f>EC245*$J245</f>
        <v/>
      </c>
      <c r="EE245" s="36" t="n">
        <v>8</v>
      </c>
      <c r="EF245" s="284" t="n">
        <v>0</v>
      </c>
      <c r="EG245" s="38" t="n">
        <v>0</v>
      </c>
      <c r="EH245" s="284" t="n"/>
      <c r="EI245" s="36" t="n"/>
      <c r="EJ245" s="284" t="n"/>
      <c r="EK245" s="38" t="n"/>
      <c r="EL245" s="284" t="n"/>
      <c r="EM245" s="36" t="n"/>
      <c r="EN245" s="284" t="n"/>
      <c r="EO245" s="38" t="n"/>
      <c r="EP245" s="284" t="n"/>
      <c r="EQ245" s="36" t="n"/>
      <c r="ER245" s="284" t="n"/>
      <c r="ES245" s="38" t="n"/>
      <c r="ET245" s="284" t="n"/>
      <c r="EU245" s="36" t="n"/>
      <c r="EV245" s="284" t="n"/>
      <c r="EW245" s="38" t="n"/>
      <c r="EX245" s="284" t="n"/>
      <c r="EY245" s="36" t="n"/>
      <c r="EZ245" s="284" t="n"/>
      <c r="FA245" s="38" t="n"/>
      <c r="FB245" s="284" t="n"/>
      <c r="FC245" s="36" t="n"/>
      <c r="FD245" s="284" t="n"/>
      <c r="FE245" s="38" t="n"/>
      <c r="FF245" s="284" t="n"/>
      <c r="FG245" s="36" t="n"/>
      <c r="FH245" s="284" t="n"/>
      <c r="FI245" s="38" t="n"/>
      <c r="FJ245" s="284" t="n"/>
      <c r="FK245" s="36" t="n"/>
      <c r="FL245" s="284" t="n"/>
      <c r="FM245" s="38" t="n"/>
      <c r="FN245" s="284" t="n"/>
      <c r="FO245" s="36" t="n"/>
      <c r="FP245" s="284" t="n"/>
      <c r="FQ245" s="38" t="n"/>
      <c r="FR245" s="284" t="n"/>
      <c r="FS245" s="36" t="n"/>
      <c r="FT245" s="284" t="n"/>
      <c r="FU245" s="38" t="n"/>
      <c r="FV245" s="284" t="n"/>
      <c r="FW245" s="36" t="n"/>
      <c r="FX245" s="284" t="n"/>
      <c r="FY245" s="38" t="n"/>
      <c r="FZ245" s="284" t="n"/>
      <c r="GA245" s="338">
        <f t="array" ref="GA245">SUMPRODUCT(--(MOD(COLUMN($EE245:$FZ245),4)=MOD(COLUMN($EE245),4)),$EE245:$FZ245)</f>
        <v/>
      </c>
      <c r="GB245" s="339">
        <f>GA245*$J245</f>
        <v/>
      </c>
      <c r="GC245" s="340">
        <f t="array" ref="GC245">SUMPRODUCT(--(MOD(COLUMN($EE245:$FZ245),4)=MOD(COLUMN($EF245),4)),$EE245:$FZ245)</f>
        <v/>
      </c>
      <c r="GD245" s="341">
        <f>GC245*$J245</f>
        <v/>
      </c>
      <c r="GE245" s="342">
        <f t="array" ref="GE245">SUMPRODUCT(--(MOD(COLUMN($EE245:$FZ245),4)=MOD(COLUMN($EG245),4)),$EE245:$FZ245)</f>
        <v/>
      </c>
      <c r="GF245" s="343">
        <f>GE245*$J245</f>
        <v/>
      </c>
      <c r="GG245" s="36" t="n"/>
      <c r="GH245" s="284" t="n"/>
      <c r="GI245" s="38" t="n"/>
      <c r="GJ245" s="284" t="n"/>
      <c r="GK245" s="36" t="n"/>
      <c r="GL245" s="284" t="n"/>
      <c r="GM245" s="38" t="n"/>
      <c r="GN245" s="284" t="n"/>
      <c r="GO245" s="36" t="n"/>
      <c r="GP245" s="284" t="n"/>
      <c r="GQ245" s="38" t="n"/>
      <c r="GR245" s="284" t="n"/>
      <c r="GS245" s="36" t="n"/>
      <c r="GT245" s="284" t="n"/>
      <c r="GU245" s="38" t="n"/>
      <c r="GV245" s="284" t="n"/>
      <c r="GW245" s="36" t="n"/>
      <c r="GX245" s="284" t="n"/>
      <c r="GY245" s="38" t="n"/>
      <c r="GZ245" s="284" t="n"/>
      <c r="HA245" s="36" t="n"/>
      <c r="HB245" s="284" t="n"/>
      <c r="HC245" s="38" t="n"/>
      <c r="HD245" s="284" t="n"/>
      <c r="HE245" s="36" t="n"/>
      <c r="HF245" s="284" t="n"/>
      <c r="HG245" s="38" t="n"/>
      <c r="HH245" s="284" t="n"/>
      <c r="HI245" s="36" t="n"/>
      <c r="HJ245" s="284" t="n"/>
      <c r="HK245" s="38" t="n"/>
      <c r="HL245" s="284" t="n"/>
      <c r="HM245" s="36" t="n"/>
      <c r="HN245" s="284" t="n"/>
      <c r="HO245" s="38" t="n"/>
      <c r="HP245" s="284" t="n"/>
      <c r="HQ245" s="36" t="n"/>
      <c r="HR245" s="284" t="n"/>
      <c r="HS245" s="38" t="n"/>
      <c r="HT245" s="284" t="n"/>
      <c r="HU245" s="36" t="n"/>
      <c r="HV245" s="284" t="n"/>
      <c r="HW245" s="38" t="n"/>
      <c r="HX245" s="284" t="n"/>
      <c r="HY245" s="36" t="n"/>
      <c r="HZ245" s="284" t="n"/>
      <c r="IA245" s="38" t="n"/>
      <c r="IB245" s="284" t="n"/>
      <c r="IC245" s="338">
        <f t="array" ref="IC245">SUMPRODUCT(--(MOD(COLUMN($GG245:$IB245),4)=MOD(COLUMN($GG245),4)),$GG245:$IB245)</f>
        <v/>
      </c>
      <c r="ID245" s="339">
        <f>IC245*$J245</f>
        <v/>
      </c>
      <c r="IE245" s="340">
        <f t="array" ref="IE245">SUMPRODUCT(--(MOD(COLUMN($GG245:$IB245),4)=MOD(COLUMN($GH245),4)),$GG245:$IB245)</f>
        <v/>
      </c>
      <c r="IF245" s="341">
        <f>IE245*$J245</f>
        <v/>
      </c>
      <c r="IG245" s="342">
        <f t="array" ref="IG245">SUMPRODUCT(--(MOD(COLUMN($GG245:$IB245),4)=MOD(COLUMN($GI245),4)),$GG245:$IB245)</f>
        <v/>
      </c>
      <c r="IH245" s="343">
        <f>IG245*$J245</f>
        <v/>
      </c>
      <c r="II245" s="36" t="n"/>
      <c r="IJ245" s="284" t="n"/>
      <c r="IK245" s="38" t="n"/>
      <c r="IL245" s="284" t="n"/>
      <c r="IM245" s="36" t="n"/>
      <c r="IN245" s="284" t="n"/>
      <c r="IO245" s="38" t="n"/>
      <c r="IP245" s="284" t="n"/>
      <c r="IQ245" s="36" t="n"/>
      <c r="IR245" s="284" t="n"/>
      <c r="IS245" s="38" t="n"/>
      <c r="IT245" s="284" t="n"/>
      <c r="IU245" s="36" t="n"/>
      <c r="IV245" s="284" t="n"/>
      <c r="IW245" s="38" t="n"/>
      <c r="IX245" s="284" t="n"/>
      <c r="IY245" s="36" t="n"/>
      <c r="IZ245" s="284" t="n"/>
      <c r="JA245" s="38" t="n"/>
      <c r="JB245" s="284" t="n"/>
      <c r="JC245" s="36" t="n"/>
      <c r="JD245" s="284" t="n"/>
      <c r="JE245" s="38" t="n"/>
      <c r="JF245" s="284" t="n"/>
      <c r="JG245" s="36" t="n"/>
      <c r="JH245" s="284" t="n"/>
      <c r="JI245" s="38" t="n"/>
      <c r="JJ245" s="284" t="n"/>
      <c r="JK245" s="36" t="n"/>
      <c r="JL245" s="284" t="n"/>
      <c r="JM245" s="38" t="n"/>
      <c r="JN245" s="284" t="n"/>
      <c r="JO245" s="36" t="n"/>
      <c r="JP245" s="284" t="n"/>
      <c r="JQ245" s="38" t="n"/>
      <c r="JR245" s="284" t="n"/>
      <c r="JS245" s="36" t="n"/>
      <c r="JT245" s="284" t="n"/>
      <c r="JU245" s="38" t="n"/>
      <c r="JV245" s="284" t="n"/>
      <c r="JW245" s="36" t="n"/>
      <c r="JX245" s="284" t="n"/>
      <c r="JY245" s="38" t="n"/>
      <c r="JZ245" s="284" t="n"/>
      <c r="KA245" s="36" t="n"/>
      <c r="KB245" s="284" t="n"/>
      <c r="KC245" s="38" t="n"/>
      <c r="KD245" s="284" t="n"/>
      <c r="KE245" s="338">
        <f t="array" ref="KE245">SUMPRODUCT(--(MOD(COLUMN($II245:$KD245),4)=MOD(COLUMN($II245),4)),$II245:$KD245)</f>
        <v/>
      </c>
      <c r="KF245" s="339">
        <f>KE245*$J245</f>
        <v/>
      </c>
      <c r="KG245" s="340">
        <f t="array" ref="KG245">SUMPRODUCT(--(MOD(COLUMN($II245:$KD245),4)=MOD(COLUMN($IJ245),4)),$II245:$KD245)</f>
        <v/>
      </c>
      <c r="KH245" s="341">
        <f>KG245*$J245</f>
        <v/>
      </c>
      <c r="KI245" s="342">
        <f t="array" ref="KI245">SUMPRODUCT(--(MOD(COLUMN($II245:$KD245),4)=MOD(COLUMN($IK245),4)),$II245:$KD245)</f>
        <v/>
      </c>
      <c r="KJ245" s="346">
        <f>KI245*$J245</f>
        <v/>
      </c>
      <c r="KK245" s="80" t="n"/>
      <c r="KL245" s="80" t="n"/>
      <c r="KM245" s="80" t="n"/>
      <c r="KN245" s="51" t="n"/>
      <c r="KO245" s="287" t="n"/>
    </row>
    <row r="246" outlineLevel="1" ht="28.8" customFormat="1" customHeight="1" s="68">
      <c r="A246" s="347" t="n"/>
      <c r="B246" s="347" t="n"/>
      <c r="C246" s="347" t="n"/>
      <c r="D246" s="347" t="n"/>
      <c r="E246" s="60" t="n">
        <v>17</v>
      </c>
      <c r="F246" s="60" t="n">
        <v>1</v>
      </c>
      <c r="G246" s="56" t="n">
        <v>4750103050</v>
      </c>
      <c r="H246" s="57" t="inlineStr">
        <is>
          <t>Клапан ограничения давления</t>
        </is>
      </c>
      <c r="I246" s="377" t="n">
        <v>104</v>
      </c>
      <c r="J246" s="377" t="n">
        <v>104</v>
      </c>
      <c r="K246" s="348" t="n"/>
      <c r="L246" s="348" t="n"/>
      <c r="M246" s="36" t="n"/>
      <c r="N246" s="284" t="n"/>
      <c r="O246" s="38" t="n"/>
      <c r="P246" s="284" t="n"/>
      <c r="Q246" s="36" t="n"/>
      <c r="R246" s="284" t="n"/>
      <c r="S246" s="38" t="n"/>
      <c r="T246" s="284" t="n"/>
      <c r="U246" s="36" t="n"/>
      <c r="V246" s="284" t="n"/>
      <c r="W246" s="38" t="n"/>
      <c r="X246" s="284" t="n"/>
      <c r="Y246" s="36" t="n"/>
      <c r="Z246" s="284" t="n"/>
      <c r="AA246" s="38" t="n"/>
      <c r="AB246" s="284" t="n"/>
      <c r="AC246" s="36" t="n"/>
      <c r="AD246" s="284" t="n"/>
      <c r="AE246" s="38" t="n"/>
      <c r="AF246" s="284" t="n"/>
      <c r="AG246" s="36" t="n"/>
      <c r="AH246" s="284" t="n"/>
      <c r="AI246" s="38" t="n"/>
      <c r="AJ246" s="284" t="n"/>
      <c r="AK246" s="36" t="n"/>
      <c r="AL246" s="284" t="n"/>
      <c r="AM246" s="38" t="n"/>
      <c r="AN246" s="284" t="n"/>
      <c r="AO246" s="36" t="n"/>
      <c r="AP246" s="284" t="n"/>
      <c r="AQ246" s="38" t="n"/>
      <c r="AR246" s="284" t="n"/>
      <c r="AS246" s="36" t="n"/>
      <c r="AT246" s="284" t="n"/>
      <c r="AU246" s="38" t="n"/>
      <c r="AV246" s="284" t="n"/>
      <c r="AW246" s="36" t="n"/>
      <c r="AX246" s="284" t="n"/>
      <c r="AY246" s="38" t="n"/>
      <c r="AZ246" s="96" t="n"/>
      <c r="BA246" s="36" t="n"/>
      <c r="BB246" s="284" t="n"/>
      <c r="BC246" s="99" t="n"/>
      <c r="BD246" s="284" t="n"/>
      <c r="BE246" s="36" t="n"/>
      <c r="BF246" s="284" t="n"/>
      <c r="BG246" s="78" t="n"/>
      <c r="BH246" s="347" t="n"/>
      <c r="BI246" s="338" t="n"/>
      <c r="BJ246" s="339" t="n"/>
      <c r="BK246" s="340" t="n"/>
      <c r="BL246" s="341" t="n"/>
      <c r="BM246" s="342" t="n"/>
      <c r="BN246" s="343" t="n"/>
      <c r="BO246" s="36" t="n"/>
      <c r="BP246" s="47" t="n"/>
      <c r="BQ246" s="284" t="n"/>
      <c r="BR246" s="38" t="n"/>
      <c r="BS246" s="96" t="n"/>
      <c r="BT246" s="36" t="n"/>
      <c r="BU246" s="47" t="n"/>
      <c r="BV246" s="284" t="n"/>
      <c r="BW246" s="38" t="n"/>
      <c r="BX246" s="284" t="n"/>
      <c r="BY246" s="36" t="n"/>
      <c r="BZ246" s="47" t="n"/>
      <c r="CA246" s="284" t="n"/>
      <c r="CB246" s="38" t="n"/>
      <c r="CC246" s="284" t="n"/>
      <c r="CD246" s="36" t="n"/>
      <c r="CE246" s="47" t="n"/>
      <c r="CF246" s="284" t="n"/>
      <c r="CG246" s="38" t="n"/>
      <c r="CH246" s="284" t="n"/>
      <c r="CI246" s="36" t="n"/>
      <c r="CJ246" s="47" t="n"/>
      <c r="CK246" s="284" t="n"/>
      <c r="CL246" s="38" t="n"/>
      <c r="CM246" s="96" t="n"/>
      <c r="CN246" s="36" t="n"/>
      <c r="CO246" s="47" t="n"/>
      <c r="CP246" s="284" t="n"/>
      <c r="CQ246" s="38" t="n"/>
      <c r="CR246" s="16" t="n"/>
      <c r="CS246" s="36" t="n"/>
      <c r="CT246" s="47" t="n"/>
      <c r="CU246" s="284" t="n"/>
      <c r="CV246" s="38" t="n"/>
      <c r="CW246" s="284" t="n"/>
      <c r="CX246" s="36" t="n"/>
      <c r="CY246" s="47" t="n"/>
      <c r="CZ246" s="284" t="n"/>
      <c r="DA246" s="38" t="n"/>
      <c r="DB246" s="347" t="n"/>
      <c r="DC246" s="36" t="n"/>
      <c r="DD246" s="47" t="n"/>
      <c r="DE246" s="284" t="n"/>
      <c r="DF246" s="38" t="n"/>
      <c r="DG246" s="284" t="n"/>
      <c r="DH246" s="36" t="n"/>
      <c r="DI246" s="47" t="n"/>
      <c r="DJ246" s="284" t="n"/>
      <c r="DK246" s="38" t="n"/>
      <c r="DL246" s="284" t="n"/>
      <c r="DM246" s="36" t="n"/>
      <c r="DN246" s="47" t="n"/>
      <c r="DO246" s="284" t="n"/>
      <c r="DP246" s="38" t="n">
        <v>0</v>
      </c>
      <c r="DQ246" s="284" t="n"/>
      <c r="DR246" s="36" t="n"/>
      <c r="DS246" s="47" t="n"/>
      <c r="DT246" s="284" t="n">
        <v>12</v>
      </c>
      <c r="DU246" s="156" t="n">
        <v>12</v>
      </c>
      <c r="DV246" s="347" t="n"/>
      <c r="DW246" s="338">
        <f t="array" ref="DW246">SUMPRODUCT(--(MOD(COLUMN($BO246:$DV246),5)=MOD(COLUMN($BO246),5)),$BO246:$DV246)</f>
        <v/>
      </c>
      <c r="DX246" s="339">
        <f>DW246*$J246</f>
        <v/>
      </c>
      <c r="DY246" s="344">
        <f t="array" ref="DY246">SUMPRODUCT(--(MOD(COLUMN($BO246:$DV246),5)=MOD(COLUMN($BP246),5)),$BO246:$DV246)</f>
        <v/>
      </c>
      <c r="DZ246" s="345">
        <f>DY246*$J246</f>
        <v/>
      </c>
      <c r="EA246" s="340">
        <f t="array" ref="EA246">SUMPRODUCT(--(MOD(COLUMN($BO246:$DV246),5)=MOD(COLUMN($BQ246),5)),$BO246:$DV246)</f>
        <v/>
      </c>
      <c r="EB246" s="341">
        <f>EA246*$J246</f>
        <v/>
      </c>
      <c r="EC246" s="342">
        <f t="array" ref="EC246">SUMPRODUCT(--(MOD(COLUMN($BO246:$DV246),5)=MOD(COLUMN($BR246),5)),$BO246:$DV246)</f>
        <v/>
      </c>
      <c r="ED246" s="343">
        <f>EC246*$J246</f>
        <v/>
      </c>
      <c r="EE246" s="36" t="n">
        <v>8</v>
      </c>
      <c r="EF246" s="284" t="n">
        <v>0</v>
      </c>
      <c r="EG246" s="38" t="n">
        <v>0</v>
      </c>
      <c r="EH246" s="284" t="n"/>
      <c r="EI246" s="36" t="n"/>
      <c r="EJ246" s="284" t="n"/>
      <c r="EK246" s="38" t="n"/>
      <c r="EL246" s="284" t="n"/>
      <c r="EM246" s="36" t="n"/>
      <c r="EN246" s="284" t="n"/>
      <c r="EO246" s="38" t="n"/>
      <c r="EP246" s="284" t="n"/>
      <c r="EQ246" s="36" t="n"/>
      <c r="ER246" s="284" t="n"/>
      <c r="ES246" s="38" t="n"/>
      <c r="ET246" s="284" t="n"/>
      <c r="EU246" s="36" t="n"/>
      <c r="EV246" s="284" t="n"/>
      <c r="EW246" s="38" t="n"/>
      <c r="EX246" s="284" t="n"/>
      <c r="EY246" s="36" t="n"/>
      <c r="EZ246" s="284" t="n"/>
      <c r="FA246" s="38" t="n"/>
      <c r="FB246" s="284" t="n"/>
      <c r="FC246" s="36" t="n"/>
      <c r="FD246" s="284" t="n"/>
      <c r="FE246" s="38" t="n"/>
      <c r="FF246" s="284" t="n"/>
      <c r="FG246" s="36" t="n"/>
      <c r="FH246" s="284" t="n"/>
      <c r="FI246" s="38" t="n"/>
      <c r="FJ246" s="284" t="n"/>
      <c r="FK246" s="36" t="n"/>
      <c r="FL246" s="284" t="n"/>
      <c r="FM246" s="38" t="n"/>
      <c r="FN246" s="284" t="n"/>
      <c r="FO246" s="36" t="n"/>
      <c r="FP246" s="284" t="n"/>
      <c r="FQ246" s="38" t="n"/>
      <c r="FR246" s="284" t="n"/>
      <c r="FS246" s="36" t="n"/>
      <c r="FT246" s="284" t="n"/>
      <c r="FU246" s="38" t="n"/>
      <c r="FV246" s="284" t="n"/>
      <c r="FW246" s="36" t="n"/>
      <c r="FX246" s="284" t="n"/>
      <c r="FY246" s="38" t="n"/>
      <c r="FZ246" s="284" t="n"/>
      <c r="GA246" s="338">
        <f t="array" ref="GA246">SUMPRODUCT(--(MOD(COLUMN($EE246:$FZ246),4)=MOD(COLUMN($EE246),4)),$EE246:$FZ246)</f>
        <v/>
      </c>
      <c r="GB246" s="339">
        <f>GA246*$J246</f>
        <v/>
      </c>
      <c r="GC246" s="340">
        <f t="array" ref="GC246">SUMPRODUCT(--(MOD(COLUMN($EE246:$FZ246),4)=MOD(COLUMN($EF246),4)),$EE246:$FZ246)</f>
        <v/>
      </c>
      <c r="GD246" s="341">
        <f>GC246*$J246</f>
        <v/>
      </c>
      <c r="GE246" s="342">
        <f t="array" ref="GE246">SUMPRODUCT(--(MOD(COLUMN($EE246:$FZ246),4)=MOD(COLUMN($EG246),4)),$EE246:$FZ246)</f>
        <v/>
      </c>
      <c r="GF246" s="343">
        <f>GE246*$J246</f>
        <v/>
      </c>
      <c r="GG246" s="36" t="n"/>
      <c r="GH246" s="284" t="n"/>
      <c r="GI246" s="38" t="n"/>
      <c r="GJ246" s="284" t="n"/>
      <c r="GK246" s="36" t="n"/>
      <c r="GL246" s="284" t="n"/>
      <c r="GM246" s="38" t="n"/>
      <c r="GN246" s="284" t="n"/>
      <c r="GO246" s="36" t="n"/>
      <c r="GP246" s="284" t="n"/>
      <c r="GQ246" s="38" t="n"/>
      <c r="GR246" s="284" t="n"/>
      <c r="GS246" s="36" t="n"/>
      <c r="GT246" s="284" t="n"/>
      <c r="GU246" s="38" t="n"/>
      <c r="GV246" s="284" t="n"/>
      <c r="GW246" s="36" t="n"/>
      <c r="GX246" s="284" t="n"/>
      <c r="GY246" s="38" t="n"/>
      <c r="GZ246" s="284" t="n"/>
      <c r="HA246" s="36" t="n"/>
      <c r="HB246" s="284" t="n"/>
      <c r="HC246" s="38" t="n"/>
      <c r="HD246" s="284" t="n"/>
      <c r="HE246" s="36" t="n"/>
      <c r="HF246" s="284" t="n"/>
      <c r="HG246" s="38" t="n"/>
      <c r="HH246" s="284" t="n"/>
      <c r="HI246" s="36" t="n"/>
      <c r="HJ246" s="284" t="n"/>
      <c r="HK246" s="38" t="n"/>
      <c r="HL246" s="284" t="n"/>
      <c r="HM246" s="36" t="n"/>
      <c r="HN246" s="284" t="n"/>
      <c r="HO246" s="38" t="n"/>
      <c r="HP246" s="284" t="n"/>
      <c r="HQ246" s="36" t="n"/>
      <c r="HR246" s="284" t="n"/>
      <c r="HS246" s="38" t="n"/>
      <c r="HT246" s="284" t="n"/>
      <c r="HU246" s="36" t="n"/>
      <c r="HV246" s="284" t="n"/>
      <c r="HW246" s="38" t="n"/>
      <c r="HX246" s="284" t="n"/>
      <c r="HY246" s="36" t="n"/>
      <c r="HZ246" s="284" t="n"/>
      <c r="IA246" s="38" t="n"/>
      <c r="IB246" s="284" t="n"/>
      <c r="IC246" s="338">
        <f t="array" ref="IC246">SUMPRODUCT(--(MOD(COLUMN($GG246:$IB246),4)=MOD(COLUMN($GG246),4)),$GG246:$IB246)</f>
        <v/>
      </c>
      <c r="ID246" s="339">
        <f>IC246*$J246</f>
        <v/>
      </c>
      <c r="IE246" s="340">
        <f t="array" ref="IE246">SUMPRODUCT(--(MOD(COLUMN($GG246:$IB246),4)=MOD(COLUMN($GH246),4)),$GG246:$IB246)</f>
        <v/>
      </c>
      <c r="IF246" s="341">
        <f>IE246*$J246</f>
        <v/>
      </c>
      <c r="IG246" s="342">
        <f t="array" ref="IG246">SUMPRODUCT(--(MOD(COLUMN($GG246:$IB246),4)=MOD(COLUMN($GI246),4)),$GG246:$IB246)</f>
        <v/>
      </c>
      <c r="IH246" s="343">
        <f>IG246*$J246</f>
        <v/>
      </c>
      <c r="II246" s="36" t="n"/>
      <c r="IJ246" s="284" t="n"/>
      <c r="IK246" s="38" t="n"/>
      <c r="IL246" s="284" t="n"/>
      <c r="IM246" s="36" t="n"/>
      <c r="IN246" s="284" t="n"/>
      <c r="IO246" s="38" t="n"/>
      <c r="IP246" s="284" t="n"/>
      <c r="IQ246" s="36" t="n"/>
      <c r="IR246" s="284" t="n"/>
      <c r="IS246" s="38" t="n"/>
      <c r="IT246" s="284" t="n"/>
      <c r="IU246" s="36" t="n"/>
      <c r="IV246" s="284" t="n"/>
      <c r="IW246" s="38" t="n"/>
      <c r="IX246" s="284" t="n"/>
      <c r="IY246" s="36" t="n"/>
      <c r="IZ246" s="284" t="n"/>
      <c r="JA246" s="38" t="n"/>
      <c r="JB246" s="284" t="n"/>
      <c r="JC246" s="36" t="n"/>
      <c r="JD246" s="284" t="n"/>
      <c r="JE246" s="38" t="n"/>
      <c r="JF246" s="284" t="n"/>
      <c r="JG246" s="36" t="n"/>
      <c r="JH246" s="284" t="n"/>
      <c r="JI246" s="38" t="n"/>
      <c r="JJ246" s="284" t="n"/>
      <c r="JK246" s="36" t="n"/>
      <c r="JL246" s="284" t="n"/>
      <c r="JM246" s="38" t="n"/>
      <c r="JN246" s="284" t="n"/>
      <c r="JO246" s="36" t="n"/>
      <c r="JP246" s="284" t="n"/>
      <c r="JQ246" s="38" t="n"/>
      <c r="JR246" s="284" t="n"/>
      <c r="JS246" s="36" t="n"/>
      <c r="JT246" s="284" t="n"/>
      <c r="JU246" s="38" t="n"/>
      <c r="JV246" s="284" t="n"/>
      <c r="JW246" s="36" t="n"/>
      <c r="JX246" s="284" t="n"/>
      <c r="JY246" s="38" t="n"/>
      <c r="JZ246" s="284" t="n"/>
      <c r="KA246" s="36" t="n"/>
      <c r="KB246" s="284" t="n"/>
      <c r="KC246" s="38" t="n"/>
      <c r="KD246" s="284" t="n"/>
      <c r="KE246" s="338">
        <f t="array" ref="KE246">SUMPRODUCT(--(MOD(COLUMN($II246:$KD246),4)=MOD(COLUMN($II246),4)),$II246:$KD246)</f>
        <v/>
      </c>
      <c r="KF246" s="339">
        <f>KE246*$J246</f>
        <v/>
      </c>
      <c r="KG246" s="340">
        <f t="array" ref="KG246">SUMPRODUCT(--(MOD(COLUMN($II246:$KD246),4)=MOD(COLUMN($IJ246),4)),$II246:$KD246)</f>
        <v/>
      </c>
      <c r="KH246" s="341">
        <f>KG246*$J246</f>
        <v/>
      </c>
      <c r="KI246" s="342">
        <f t="array" ref="KI246">SUMPRODUCT(--(MOD(COLUMN($II246:$KD246),4)=MOD(COLUMN($IK246),4)),$II246:$KD246)</f>
        <v/>
      </c>
      <c r="KJ246" s="346">
        <f>KI246*$J246</f>
        <v/>
      </c>
      <c r="KK246" s="80" t="n"/>
      <c r="KL246" s="80" t="n"/>
      <c r="KM246" s="80" t="n"/>
      <c r="KN246" s="51" t="n"/>
      <c r="KO246" s="287" t="n"/>
    </row>
    <row r="247" outlineLevel="1" ht="28.8" customFormat="1" customHeight="1" s="68">
      <c r="A247" s="347" t="n"/>
      <c r="B247" s="347" t="n"/>
      <c r="C247" s="347" t="n"/>
      <c r="D247" s="347" t="n"/>
      <c r="E247" s="60" t="n">
        <v>18</v>
      </c>
      <c r="F247" s="60" t="n">
        <v>1</v>
      </c>
      <c r="G247" s="56" t="n">
        <v>4341001250</v>
      </c>
      <c r="H247" s="57" t="inlineStr">
        <is>
          <t>Клапан перепускной без обратного тока</t>
        </is>
      </c>
      <c r="I247" s="377" t="n">
        <v>98</v>
      </c>
      <c r="J247" s="377" t="n">
        <v>98</v>
      </c>
      <c r="K247" s="348" t="n"/>
      <c r="L247" s="348" t="n"/>
      <c r="M247" s="36" t="n"/>
      <c r="N247" s="284" t="n"/>
      <c r="O247" s="38" t="n"/>
      <c r="P247" s="284" t="n"/>
      <c r="Q247" s="36" t="n"/>
      <c r="R247" s="284" t="n"/>
      <c r="S247" s="38" t="n"/>
      <c r="T247" s="284" t="n"/>
      <c r="U247" s="36" t="n"/>
      <c r="V247" s="284" t="n"/>
      <c r="W247" s="38" t="n"/>
      <c r="X247" s="284" t="n"/>
      <c r="Y247" s="36" t="n"/>
      <c r="Z247" s="284" t="n"/>
      <c r="AA247" s="38" t="n"/>
      <c r="AB247" s="284" t="n"/>
      <c r="AC247" s="36" t="n"/>
      <c r="AD247" s="284" t="n"/>
      <c r="AE247" s="38" t="n"/>
      <c r="AF247" s="284" t="n"/>
      <c r="AG247" s="36" t="n"/>
      <c r="AH247" s="284" t="n"/>
      <c r="AI247" s="38" t="n"/>
      <c r="AJ247" s="284" t="n"/>
      <c r="AK247" s="36" t="n"/>
      <c r="AL247" s="284" t="n"/>
      <c r="AM247" s="38" t="n"/>
      <c r="AN247" s="284" t="n"/>
      <c r="AO247" s="36" t="n"/>
      <c r="AP247" s="284" t="n"/>
      <c r="AQ247" s="38" t="n"/>
      <c r="AR247" s="284" t="n"/>
      <c r="AS247" s="36" t="n"/>
      <c r="AT247" s="284" t="n"/>
      <c r="AU247" s="38" t="n"/>
      <c r="AV247" s="284" t="n"/>
      <c r="AW247" s="36" t="n"/>
      <c r="AX247" s="284" t="n"/>
      <c r="AY247" s="38" t="n"/>
      <c r="AZ247" s="96" t="n"/>
      <c r="BA247" s="36" t="n"/>
      <c r="BB247" s="284" t="n"/>
      <c r="BC247" s="99" t="n"/>
      <c r="BD247" s="284" t="n"/>
      <c r="BE247" s="36" t="n"/>
      <c r="BF247" s="284" t="n"/>
      <c r="BG247" s="78" t="n"/>
      <c r="BH247" s="347" t="n"/>
      <c r="BI247" s="338" t="n"/>
      <c r="BJ247" s="339" t="n"/>
      <c r="BK247" s="340" t="n"/>
      <c r="BL247" s="341" t="n"/>
      <c r="BM247" s="342" t="n"/>
      <c r="BN247" s="343" t="n"/>
      <c r="BO247" s="36" t="n"/>
      <c r="BP247" s="47" t="n"/>
      <c r="BQ247" s="284" t="n"/>
      <c r="BR247" s="38" t="n"/>
      <c r="BS247" s="96" t="n"/>
      <c r="BT247" s="36" t="n"/>
      <c r="BU247" s="47" t="n"/>
      <c r="BV247" s="284" t="n"/>
      <c r="BW247" s="38" t="n"/>
      <c r="BX247" s="284" t="n"/>
      <c r="BY247" s="36" t="n"/>
      <c r="BZ247" s="47" t="n"/>
      <c r="CA247" s="284" t="n"/>
      <c r="CB247" s="38" t="n"/>
      <c r="CC247" s="284" t="n"/>
      <c r="CD247" s="36" t="n"/>
      <c r="CE247" s="47" t="n"/>
      <c r="CF247" s="284" t="n"/>
      <c r="CG247" s="38" t="n"/>
      <c r="CH247" s="284" t="n"/>
      <c r="CI247" s="36" t="n"/>
      <c r="CJ247" s="47" t="n"/>
      <c r="CK247" s="284" t="n"/>
      <c r="CL247" s="38" t="n"/>
      <c r="CM247" s="96" t="n"/>
      <c r="CN247" s="36" t="n"/>
      <c r="CO247" s="47" t="n"/>
      <c r="CP247" s="284" t="n"/>
      <c r="CQ247" s="38" t="n"/>
      <c r="CR247" s="16" t="n"/>
      <c r="CS247" s="36" t="n"/>
      <c r="CT247" s="47" t="n"/>
      <c r="CU247" s="284" t="n"/>
      <c r="CV247" s="38" t="n"/>
      <c r="CW247" s="284" t="n"/>
      <c r="CX247" s="36" t="n"/>
      <c r="CY247" s="47" t="n"/>
      <c r="CZ247" s="284" t="n"/>
      <c r="DA247" s="38" t="n"/>
      <c r="DB247" s="347" t="n"/>
      <c r="DC247" s="36" t="n"/>
      <c r="DD247" s="47" t="n"/>
      <c r="DE247" s="284" t="n"/>
      <c r="DF247" s="38" t="n"/>
      <c r="DG247" s="284" t="n"/>
      <c r="DH247" s="36" t="n"/>
      <c r="DI247" s="47" t="n"/>
      <c r="DJ247" s="284" t="n"/>
      <c r="DK247" s="38" t="n"/>
      <c r="DL247" s="284" t="n"/>
      <c r="DM247" s="36" t="n"/>
      <c r="DN247" s="47" t="n"/>
      <c r="DO247" s="284" t="n"/>
      <c r="DP247" s="38" t="n">
        <v>0</v>
      </c>
      <c r="DQ247" s="284" t="n"/>
      <c r="DR247" s="36" t="n"/>
      <c r="DS247" s="47" t="n"/>
      <c r="DT247" s="284" t="n">
        <v>6</v>
      </c>
      <c r="DU247" s="156" t="n">
        <v>6</v>
      </c>
      <c r="DV247" s="347" t="n"/>
      <c r="DW247" s="338">
        <f t="array" ref="DW247">SUMPRODUCT(--(MOD(COLUMN($BO247:$DV247),5)=MOD(COLUMN($BO247),5)),$BO247:$DV247)</f>
        <v/>
      </c>
      <c r="DX247" s="339">
        <f>DW247*$J247</f>
        <v/>
      </c>
      <c r="DY247" s="344">
        <f t="array" ref="DY247">SUMPRODUCT(--(MOD(COLUMN($BO247:$DV247),5)=MOD(COLUMN($BP247),5)),$BO247:$DV247)</f>
        <v/>
      </c>
      <c r="DZ247" s="345">
        <f>DY247*$J247</f>
        <v/>
      </c>
      <c r="EA247" s="340">
        <f t="array" ref="EA247">SUMPRODUCT(--(MOD(COLUMN($BO247:$DV247),5)=MOD(COLUMN($BQ247),5)),$BO247:$DV247)</f>
        <v/>
      </c>
      <c r="EB247" s="341">
        <f>EA247*$J247</f>
        <v/>
      </c>
      <c r="EC247" s="342">
        <f t="array" ref="EC247">SUMPRODUCT(--(MOD(COLUMN($BO247:$DV247),5)=MOD(COLUMN($BR247),5)),$BO247:$DV247)</f>
        <v/>
      </c>
      <c r="ED247" s="343">
        <f>EC247*$J247</f>
        <v/>
      </c>
      <c r="EE247" s="36" t="n">
        <v>4</v>
      </c>
      <c r="EF247" s="284" t="n">
        <v>0</v>
      </c>
      <c r="EG247" s="38" t="n">
        <v>0</v>
      </c>
      <c r="EH247" s="284" t="n"/>
      <c r="EI247" s="36" t="n"/>
      <c r="EJ247" s="284" t="n"/>
      <c r="EK247" s="38" t="n"/>
      <c r="EL247" s="284" t="n"/>
      <c r="EM247" s="36" t="n"/>
      <c r="EN247" s="284" t="n"/>
      <c r="EO247" s="38" t="n"/>
      <c r="EP247" s="284" t="n"/>
      <c r="EQ247" s="36" t="n"/>
      <c r="ER247" s="284" t="n"/>
      <c r="ES247" s="38" t="n"/>
      <c r="ET247" s="284" t="n"/>
      <c r="EU247" s="36" t="n"/>
      <c r="EV247" s="284" t="n"/>
      <c r="EW247" s="38" t="n"/>
      <c r="EX247" s="284" t="n"/>
      <c r="EY247" s="36" t="n"/>
      <c r="EZ247" s="284" t="n"/>
      <c r="FA247" s="38" t="n"/>
      <c r="FB247" s="284" t="n"/>
      <c r="FC247" s="36" t="n"/>
      <c r="FD247" s="284" t="n"/>
      <c r="FE247" s="38" t="n"/>
      <c r="FF247" s="284" t="n"/>
      <c r="FG247" s="36" t="n"/>
      <c r="FH247" s="284" t="n"/>
      <c r="FI247" s="38" t="n"/>
      <c r="FJ247" s="284" t="n"/>
      <c r="FK247" s="36" t="n"/>
      <c r="FL247" s="284" t="n"/>
      <c r="FM247" s="38" t="n"/>
      <c r="FN247" s="284" t="n"/>
      <c r="FO247" s="36" t="n"/>
      <c r="FP247" s="284" t="n"/>
      <c r="FQ247" s="38" t="n"/>
      <c r="FR247" s="284" t="n"/>
      <c r="FS247" s="36" t="n"/>
      <c r="FT247" s="284" t="n"/>
      <c r="FU247" s="38" t="n"/>
      <c r="FV247" s="284" t="n"/>
      <c r="FW247" s="36" t="n"/>
      <c r="FX247" s="284" t="n"/>
      <c r="FY247" s="38" t="n"/>
      <c r="FZ247" s="284" t="n"/>
      <c r="GA247" s="338">
        <f t="array" ref="GA247">SUMPRODUCT(--(MOD(COLUMN($EE247:$FZ247),4)=MOD(COLUMN($EE247),4)),$EE247:$FZ247)</f>
        <v/>
      </c>
      <c r="GB247" s="339">
        <f>GA247*$J247</f>
        <v/>
      </c>
      <c r="GC247" s="340">
        <f t="array" ref="GC247">SUMPRODUCT(--(MOD(COLUMN($EE247:$FZ247),4)=MOD(COLUMN($EF247),4)),$EE247:$FZ247)</f>
        <v/>
      </c>
      <c r="GD247" s="341">
        <f>GC247*$J247</f>
        <v/>
      </c>
      <c r="GE247" s="342">
        <f t="array" ref="GE247">SUMPRODUCT(--(MOD(COLUMN($EE247:$FZ247),4)=MOD(COLUMN($EG247),4)),$EE247:$FZ247)</f>
        <v/>
      </c>
      <c r="GF247" s="343">
        <f>GE247*$J247</f>
        <v/>
      </c>
      <c r="GG247" s="36" t="n"/>
      <c r="GH247" s="284" t="n"/>
      <c r="GI247" s="38" t="n"/>
      <c r="GJ247" s="284" t="n"/>
      <c r="GK247" s="36" t="n"/>
      <c r="GL247" s="284" t="n"/>
      <c r="GM247" s="38" t="n"/>
      <c r="GN247" s="284" t="n"/>
      <c r="GO247" s="36" t="n"/>
      <c r="GP247" s="284" t="n"/>
      <c r="GQ247" s="38" t="n"/>
      <c r="GR247" s="284" t="n"/>
      <c r="GS247" s="36" t="n"/>
      <c r="GT247" s="284" t="n"/>
      <c r="GU247" s="38" t="n"/>
      <c r="GV247" s="284" t="n"/>
      <c r="GW247" s="36" t="n"/>
      <c r="GX247" s="284" t="n"/>
      <c r="GY247" s="38" t="n"/>
      <c r="GZ247" s="284" t="n"/>
      <c r="HA247" s="36" t="n"/>
      <c r="HB247" s="284" t="n"/>
      <c r="HC247" s="38" t="n"/>
      <c r="HD247" s="284" t="n"/>
      <c r="HE247" s="36" t="n"/>
      <c r="HF247" s="284" t="n"/>
      <c r="HG247" s="38" t="n"/>
      <c r="HH247" s="284" t="n"/>
      <c r="HI247" s="36" t="n"/>
      <c r="HJ247" s="284" t="n"/>
      <c r="HK247" s="38" t="n"/>
      <c r="HL247" s="284" t="n"/>
      <c r="HM247" s="36" t="n"/>
      <c r="HN247" s="284" t="n"/>
      <c r="HO247" s="38" t="n"/>
      <c r="HP247" s="284" t="n"/>
      <c r="HQ247" s="36" t="n"/>
      <c r="HR247" s="284" t="n"/>
      <c r="HS247" s="38" t="n"/>
      <c r="HT247" s="284" t="n"/>
      <c r="HU247" s="36" t="n"/>
      <c r="HV247" s="284" t="n"/>
      <c r="HW247" s="38" t="n"/>
      <c r="HX247" s="284" t="n"/>
      <c r="HY247" s="36" t="n"/>
      <c r="HZ247" s="284" t="n"/>
      <c r="IA247" s="38" t="n"/>
      <c r="IB247" s="284" t="n"/>
      <c r="IC247" s="338">
        <f t="array" ref="IC247">SUMPRODUCT(--(MOD(COLUMN($GG247:$IB247),4)=MOD(COLUMN($GG247),4)),$GG247:$IB247)</f>
        <v/>
      </c>
      <c r="ID247" s="339">
        <f>IC247*$J247</f>
        <v/>
      </c>
      <c r="IE247" s="340">
        <f t="array" ref="IE247">SUMPRODUCT(--(MOD(COLUMN($GG247:$IB247),4)=MOD(COLUMN($GH247),4)),$GG247:$IB247)</f>
        <v/>
      </c>
      <c r="IF247" s="341">
        <f>IE247*$J247</f>
        <v/>
      </c>
      <c r="IG247" s="342">
        <f t="array" ref="IG247">SUMPRODUCT(--(MOD(COLUMN($GG247:$IB247),4)=MOD(COLUMN($GI247),4)),$GG247:$IB247)</f>
        <v/>
      </c>
      <c r="IH247" s="343">
        <f>IG247*$J247</f>
        <v/>
      </c>
      <c r="II247" s="36" t="n"/>
      <c r="IJ247" s="284" t="n"/>
      <c r="IK247" s="38" t="n"/>
      <c r="IL247" s="284" t="n"/>
      <c r="IM247" s="36" t="n"/>
      <c r="IN247" s="284" t="n"/>
      <c r="IO247" s="38" t="n"/>
      <c r="IP247" s="284" t="n"/>
      <c r="IQ247" s="36" t="n"/>
      <c r="IR247" s="284" t="n"/>
      <c r="IS247" s="38" t="n"/>
      <c r="IT247" s="284" t="n"/>
      <c r="IU247" s="36" t="n"/>
      <c r="IV247" s="284" t="n"/>
      <c r="IW247" s="38" t="n"/>
      <c r="IX247" s="284" t="n"/>
      <c r="IY247" s="36" t="n"/>
      <c r="IZ247" s="284" t="n"/>
      <c r="JA247" s="38" t="n"/>
      <c r="JB247" s="284" t="n"/>
      <c r="JC247" s="36" t="n"/>
      <c r="JD247" s="284" t="n"/>
      <c r="JE247" s="38" t="n"/>
      <c r="JF247" s="284" t="n"/>
      <c r="JG247" s="36" t="n"/>
      <c r="JH247" s="284" t="n"/>
      <c r="JI247" s="38" t="n"/>
      <c r="JJ247" s="284" t="n"/>
      <c r="JK247" s="36" t="n"/>
      <c r="JL247" s="284" t="n"/>
      <c r="JM247" s="38" t="n"/>
      <c r="JN247" s="284" t="n"/>
      <c r="JO247" s="36" t="n"/>
      <c r="JP247" s="284" t="n"/>
      <c r="JQ247" s="38" t="n"/>
      <c r="JR247" s="284" t="n"/>
      <c r="JS247" s="36" t="n"/>
      <c r="JT247" s="284" t="n"/>
      <c r="JU247" s="38" t="n"/>
      <c r="JV247" s="284" t="n"/>
      <c r="JW247" s="36" t="n"/>
      <c r="JX247" s="284" t="n"/>
      <c r="JY247" s="38" t="n"/>
      <c r="JZ247" s="284" t="n"/>
      <c r="KA247" s="36" t="n"/>
      <c r="KB247" s="284" t="n"/>
      <c r="KC247" s="38" t="n"/>
      <c r="KD247" s="284" t="n"/>
      <c r="KE247" s="338">
        <f t="array" ref="KE247">SUMPRODUCT(--(MOD(COLUMN($II247:$KD247),4)=MOD(COLUMN($II247),4)),$II247:$KD247)</f>
        <v/>
      </c>
      <c r="KF247" s="339">
        <f>KE247*$J247</f>
        <v/>
      </c>
      <c r="KG247" s="340">
        <f t="array" ref="KG247">SUMPRODUCT(--(MOD(COLUMN($II247:$KD247),4)=MOD(COLUMN($IJ247),4)),$II247:$KD247)</f>
        <v/>
      </c>
      <c r="KH247" s="341">
        <f>KG247*$J247</f>
        <v/>
      </c>
      <c r="KI247" s="342">
        <f t="array" ref="KI247">SUMPRODUCT(--(MOD(COLUMN($II247:$KD247),4)=MOD(COLUMN($IK247),4)),$II247:$KD247)</f>
        <v/>
      </c>
      <c r="KJ247" s="346">
        <f>KI247*$J247</f>
        <v/>
      </c>
      <c r="KK247" s="80" t="n"/>
      <c r="KL247" s="80" t="n"/>
      <c r="KM247" s="80" t="n"/>
      <c r="KN247" s="51" t="n"/>
      <c r="KO247" s="287" t="n"/>
    </row>
    <row r="248" outlineLevel="1" ht="28.8" customFormat="1" customHeight="1" s="68">
      <c r="A248" s="347" t="n"/>
      <c r="B248" s="347" t="n"/>
      <c r="C248" s="347" t="n"/>
      <c r="D248" s="347" t="n"/>
      <c r="E248" s="60" t="n">
        <v>19</v>
      </c>
      <c r="F248" s="15" t="n">
        <v>2</v>
      </c>
      <c r="G248" s="62" t="n">
        <v>4341000270</v>
      </c>
      <c r="H248" s="57" t="inlineStr">
        <is>
          <t>Клапан перепускной с обратным током</t>
        </is>
      </c>
      <c r="I248" s="360" t="n">
        <v>146</v>
      </c>
      <c r="J248" s="360" t="n">
        <v>146</v>
      </c>
      <c r="K248" s="348" t="n"/>
      <c r="L248" s="348" t="n"/>
      <c r="M248" s="36" t="n"/>
      <c r="N248" s="284" t="n"/>
      <c r="O248" s="38" t="n"/>
      <c r="P248" s="284" t="n"/>
      <c r="Q248" s="36" t="n"/>
      <c r="R248" s="284" t="n"/>
      <c r="S248" s="38" t="n"/>
      <c r="T248" s="284" t="n"/>
      <c r="U248" s="36" t="n"/>
      <c r="V248" s="284" t="n"/>
      <c r="W248" s="38" t="n"/>
      <c r="X248" s="284" t="n"/>
      <c r="Y248" s="36" t="n"/>
      <c r="Z248" s="284" t="n"/>
      <c r="AA248" s="38" t="n"/>
      <c r="AB248" s="284" t="n"/>
      <c r="AC248" s="36" t="n"/>
      <c r="AD248" s="284" t="n"/>
      <c r="AE248" s="38" t="n"/>
      <c r="AF248" s="284" t="n"/>
      <c r="AG248" s="36" t="n"/>
      <c r="AH248" s="284" t="n"/>
      <c r="AI248" s="38" t="n"/>
      <c r="AJ248" s="284" t="n"/>
      <c r="AK248" s="36" t="n"/>
      <c r="AL248" s="284" t="n"/>
      <c r="AM248" s="38" t="n"/>
      <c r="AN248" s="284" t="n"/>
      <c r="AO248" s="36" t="n"/>
      <c r="AP248" s="284" t="n"/>
      <c r="AQ248" s="38" t="n"/>
      <c r="AR248" s="284" t="n"/>
      <c r="AS248" s="36" t="n"/>
      <c r="AT248" s="284" t="n"/>
      <c r="AU248" s="38" t="n"/>
      <c r="AV248" s="284" t="n"/>
      <c r="AW248" s="36" t="n"/>
      <c r="AX248" s="284" t="n"/>
      <c r="AY248" s="38" t="n"/>
      <c r="AZ248" s="96" t="n"/>
      <c r="BA248" s="36" t="n"/>
      <c r="BB248" s="284" t="n"/>
      <c r="BC248" s="99" t="n"/>
      <c r="BD248" s="284" t="n"/>
      <c r="BE248" s="36" t="n"/>
      <c r="BF248" s="284" t="n"/>
      <c r="BG248" s="78" t="n"/>
      <c r="BH248" s="347" t="n"/>
      <c r="BI248" s="338" t="n"/>
      <c r="BJ248" s="339" t="n"/>
      <c r="BK248" s="340" t="n"/>
      <c r="BL248" s="341" t="n"/>
      <c r="BM248" s="342" t="n"/>
      <c r="BN248" s="343" t="n"/>
      <c r="BO248" s="36" t="n"/>
      <c r="BP248" s="47" t="n"/>
      <c r="BQ248" s="284" t="n"/>
      <c r="BR248" s="38" t="n"/>
      <c r="BS248" s="96" t="n"/>
      <c r="BT248" s="36" t="n"/>
      <c r="BU248" s="47" t="n"/>
      <c r="BV248" s="284" t="n"/>
      <c r="BW248" s="38" t="n"/>
      <c r="BX248" s="284" t="n"/>
      <c r="BY248" s="36" t="n"/>
      <c r="BZ248" s="47" t="n"/>
      <c r="CA248" s="284" t="n"/>
      <c r="CB248" s="38" t="n"/>
      <c r="CC248" s="284" t="n"/>
      <c r="CD248" s="36" t="n"/>
      <c r="CE248" s="47" t="n"/>
      <c r="CF248" s="284" t="n"/>
      <c r="CG248" s="38" t="n"/>
      <c r="CH248" s="284" t="n"/>
      <c r="CI248" s="36" t="n"/>
      <c r="CJ248" s="47" t="n"/>
      <c r="CK248" s="284" t="n"/>
      <c r="CL248" s="38" t="n"/>
      <c r="CM248" s="96" t="n"/>
      <c r="CN248" s="36" t="n"/>
      <c r="CO248" s="47" t="n"/>
      <c r="CP248" s="284" t="n"/>
      <c r="CQ248" s="38" t="n"/>
      <c r="CR248" s="16" t="n"/>
      <c r="CS248" s="36" t="n"/>
      <c r="CT248" s="47" t="n"/>
      <c r="CU248" s="284" t="n"/>
      <c r="CV248" s="38" t="n"/>
      <c r="CW248" s="284" t="n"/>
      <c r="CX248" s="36" t="n"/>
      <c r="CY248" s="47" t="n"/>
      <c r="CZ248" s="284" t="n"/>
      <c r="DA248" s="38" t="n"/>
      <c r="DB248" s="347" t="n"/>
      <c r="DC248" s="36" t="n"/>
      <c r="DD248" s="47" t="n"/>
      <c r="DE248" s="284" t="n"/>
      <c r="DF248" s="38" t="n"/>
      <c r="DG248" s="284" t="n"/>
      <c r="DH248" s="36" t="n"/>
      <c r="DI248" s="47" t="n"/>
      <c r="DJ248" s="284" t="n"/>
      <c r="DK248" s="38" t="n"/>
      <c r="DL248" s="284" t="n"/>
      <c r="DM248" s="36" t="n"/>
      <c r="DN248" s="47" t="n"/>
      <c r="DO248" s="284" t="n"/>
      <c r="DP248" s="38" t="n">
        <v>0</v>
      </c>
      <c r="DQ248" s="284" t="n"/>
      <c r="DR248" s="36" t="n"/>
      <c r="DS248" s="47" t="n"/>
      <c r="DT248" s="284" t="n">
        <v>6</v>
      </c>
      <c r="DU248" s="156" t="n">
        <v>6</v>
      </c>
      <c r="DV248" s="347" t="n"/>
      <c r="DW248" s="338">
        <f t="array" ref="DW248">SUMPRODUCT(--(MOD(COLUMN($BO248:$DV248),5)=MOD(COLUMN($BO248),5)),$BO248:$DV248)</f>
        <v/>
      </c>
      <c r="DX248" s="339">
        <f>DW248*$J248</f>
        <v/>
      </c>
      <c r="DY248" s="344">
        <f t="array" ref="DY248">SUMPRODUCT(--(MOD(COLUMN($BO248:$DV248),5)=MOD(COLUMN($BP248),5)),$BO248:$DV248)</f>
        <v/>
      </c>
      <c r="DZ248" s="345">
        <f>DY248*$J248</f>
        <v/>
      </c>
      <c r="EA248" s="340">
        <f t="array" ref="EA248">SUMPRODUCT(--(MOD(COLUMN($BO248:$DV248),5)=MOD(COLUMN($BQ248),5)),$BO248:$DV248)</f>
        <v/>
      </c>
      <c r="EB248" s="341">
        <f>EA248*$J248</f>
        <v/>
      </c>
      <c r="EC248" s="342">
        <f t="array" ref="EC248">SUMPRODUCT(--(MOD(COLUMN($BO248:$DV248),5)=MOD(COLUMN($BR248),5)),$BO248:$DV248)</f>
        <v/>
      </c>
      <c r="ED248" s="343">
        <f>EC248*$J248</f>
        <v/>
      </c>
      <c r="EE248" s="36" t="n">
        <v>4</v>
      </c>
      <c r="EF248" s="284" t="n">
        <v>0</v>
      </c>
      <c r="EG248" s="38" t="n">
        <v>0</v>
      </c>
      <c r="EH248" s="284" t="n"/>
      <c r="EI248" s="36" t="n"/>
      <c r="EJ248" s="284" t="n"/>
      <c r="EK248" s="38" t="n"/>
      <c r="EL248" s="284" t="n"/>
      <c r="EM248" s="36" t="n"/>
      <c r="EN248" s="284" t="n"/>
      <c r="EO248" s="38" t="n"/>
      <c r="EP248" s="284" t="n"/>
      <c r="EQ248" s="36" t="n"/>
      <c r="ER248" s="284" t="n"/>
      <c r="ES248" s="38" t="n"/>
      <c r="ET248" s="284" t="n"/>
      <c r="EU248" s="36" t="n"/>
      <c r="EV248" s="284" t="n"/>
      <c r="EW248" s="38" t="n"/>
      <c r="EX248" s="284" t="n"/>
      <c r="EY248" s="36" t="n"/>
      <c r="EZ248" s="284" t="n"/>
      <c r="FA248" s="38" t="n"/>
      <c r="FB248" s="284" t="n"/>
      <c r="FC248" s="36" t="n"/>
      <c r="FD248" s="284" t="n"/>
      <c r="FE248" s="38" t="n"/>
      <c r="FF248" s="284" t="n"/>
      <c r="FG248" s="36" t="n"/>
      <c r="FH248" s="284" t="n"/>
      <c r="FI248" s="38" t="n"/>
      <c r="FJ248" s="284" t="n"/>
      <c r="FK248" s="36" t="n"/>
      <c r="FL248" s="284" t="n"/>
      <c r="FM248" s="38" t="n"/>
      <c r="FN248" s="284" t="n"/>
      <c r="FO248" s="36" t="n"/>
      <c r="FP248" s="284" t="n"/>
      <c r="FQ248" s="38" t="n"/>
      <c r="FR248" s="284" t="n"/>
      <c r="FS248" s="36" t="n"/>
      <c r="FT248" s="284" t="n"/>
      <c r="FU248" s="38" t="n"/>
      <c r="FV248" s="284" t="n"/>
      <c r="FW248" s="36" t="n"/>
      <c r="FX248" s="284" t="n"/>
      <c r="FY248" s="38" t="n"/>
      <c r="FZ248" s="284" t="n"/>
      <c r="GA248" s="338">
        <f t="array" ref="GA248">SUMPRODUCT(--(MOD(COLUMN($EE248:$FZ248),4)=MOD(COLUMN($EE248),4)),$EE248:$FZ248)</f>
        <v/>
      </c>
      <c r="GB248" s="339">
        <f>GA248*$J248</f>
        <v/>
      </c>
      <c r="GC248" s="340">
        <f t="array" ref="GC248">SUMPRODUCT(--(MOD(COLUMN($EE248:$FZ248),4)=MOD(COLUMN($EF248),4)),$EE248:$FZ248)</f>
        <v/>
      </c>
      <c r="GD248" s="341">
        <f>GC248*$J248</f>
        <v/>
      </c>
      <c r="GE248" s="342">
        <f t="array" ref="GE248">SUMPRODUCT(--(MOD(COLUMN($EE248:$FZ248),4)=MOD(COLUMN($EG248),4)),$EE248:$FZ248)</f>
        <v/>
      </c>
      <c r="GF248" s="343">
        <f>GE248*$J248</f>
        <v/>
      </c>
      <c r="GG248" s="36" t="n"/>
      <c r="GH248" s="284" t="n"/>
      <c r="GI248" s="38" t="n"/>
      <c r="GJ248" s="284" t="n"/>
      <c r="GK248" s="36" t="n"/>
      <c r="GL248" s="284" t="n"/>
      <c r="GM248" s="38" t="n"/>
      <c r="GN248" s="284" t="n"/>
      <c r="GO248" s="36" t="n"/>
      <c r="GP248" s="284" t="n"/>
      <c r="GQ248" s="38" t="n"/>
      <c r="GR248" s="284" t="n"/>
      <c r="GS248" s="36" t="n"/>
      <c r="GT248" s="284" t="n"/>
      <c r="GU248" s="38" t="n"/>
      <c r="GV248" s="284" t="n"/>
      <c r="GW248" s="36" t="n"/>
      <c r="GX248" s="284" t="n"/>
      <c r="GY248" s="38" t="n"/>
      <c r="GZ248" s="284" t="n"/>
      <c r="HA248" s="36" t="n"/>
      <c r="HB248" s="284" t="n"/>
      <c r="HC248" s="38" t="n"/>
      <c r="HD248" s="284" t="n"/>
      <c r="HE248" s="36" t="n"/>
      <c r="HF248" s="284" t="n"/>
      <c r="HG248" s="38" t="n"/>
      <c r="HH248" s="284" t="n"/>
      <c r="HI248" s="36" t="n"/>
      <c r="HJ248" s="284" t="n"/>
      <c r="HK248" s="38" t="n"/>
      <c r="HL248" s="284" t="n"/>
      <c r="HM248" s="36" t="n"/>
      <c r="HN248" s="284" t="n"/>
      <c r="HO248" s="38" t="n"/>
      <c r="HP248" s="284" t="n"/>
      <c r="HQ248" s="36" t="n"/>
      <c r="HR248" s="284" t="n"/>
      <c r="HS248" s="38" t="n"/>
      <c r="HT248" s="284" t="n"/>
      <c r="HU248" s="36" t="n"/>
      <c r="HV248" s="284" t="n"/>
      <c r="HW248" s="38" t="n"/>
      <c r="HX248" s="284" t="n"/>
      <c r="HY248" s="36" t="n"/>
      <c r="HZ248" s="284" t="n"/>
      <c r="IA248" s="38" t="n"/>
      <c r="IB248" s="284" t="n"/>
      <c r="IC248" s="338">
        <f t="array" ref="IC248">SUMPRODUCT(--(MOD(COLUMN($GG248:$IB248),4)=MOD(COLUMN($GG248),4)),$GG248:$IB248)</f>
        <v/>
      </c>
      <c r="ID248" s="339">
        <f>IC248*$J248</f>
        <v/>
      </c>
      <c r="IE248" s="340">
        <f t="array" ref="IE248">SUMPRODUCT(--(MOD(COLUMN($GG248:$IB248),4)=MOD(COLUMN($GH248),4)),$GG248:$IB248)</f>
        <v/>
      </c>
      <c r="IF248" s="341">
        <f>IE248*$J248</f>
        <v/>
      </c>
      <c r="IG248" s="342">
        <f t="array" ref="IG248">SUMPRODUCT(--(MOD(COLUMN($GG248:$IB248),4)=MOD(COLUMN($GI248),4)),$GG248:$IB248)</f>
        <v/>
      </c>
      <c r="IH248" s="343">
        <f>IG248*$J248</f>
        <v/>
      </c>
      <c r="II248" s="36" t="n"/>
      <c r="IJ248" s="284" t="n"/>
      <c r="IK248" s="38" t="n"/>
      <c r="IL248" s="284" t="n"/>
      <c r="IM248" s="36" t="n"/>
      <c r="IN248" s="284" t="n"/>
      <c r="IO248" s="38" t="n"/>
      <c r="IP248" s="284" t="n"/>
      <c r="IQ248" s="36" t="n"/>
      <c r="IR248" s="284" t="n"/>
      <c r="IS248" s="38" t="n"/>
      <c r="IT248" s="284" t="n"/>
      <c r="IU248" s="36" t="n"/>
      <c r="IV248" s="284" t="n"/>
      <c r="IW248" s="38" t="n"/>
      <c r="IX248" s="284" t="n"/>
      <c r="IY248" s="36" t="n"/>
      <c r="IZ248" s="284" t="n"/>
      <c r="JA248" s="38" t="n"/>
      <c r="JB248" s="284" t="n"/>
      <c r="JC248" s="36" t="n"/>
      <c r="JD248" s="284" t="n"/>
      <c r="JE248" s="38" t="n"/>
      <c r="JF248" s="284" t="n"/>
      <c r="JG248" s="36" t="n"/>
      <c r="JH248" s="284" t="n"/>
      <c r="JI248" s="38" t="n"/>
      <c r="JJ248" s="284" t="n"/>
      <c r="JK248" s="36" t="n"/>
      <c r="JL248" s="284" t="n"/>
      <c r="JM248" s="38" t="n"/>
      <c r="JN248" s="284" t="n"/>
      <c r="JO248" s="36" t="n"/>
      <c r="JP248" s="284" t="n"/>
      <c r="JQ248" s="38" t="n"/>
      <c r="JR248" s="284" t="n"/>
      <c r="JS248" s="36" t="n"/>
      <c r="JT248" s="284" t="n"/>
      <c r="JU248" s="38" t="n"/>
      <c r="JV248" s="284" t="n"/>
      <c r="JW248" s="36" t="n"/>
      <c r="JX248" s="284" t="n"/>
      <c r="JY248" s="38" t="n"/>
      <c r="JZ248" s="284" t="n"/>
      <c r="KA248" s="36" t="n"/>
      <c r="KB248" s="284" t="n"/>
      <c r="KC248" s="38" t="n"/>
      <c r="KD248" s="284" t="n"/>
      <c r="KE248" s="338">
        <f t="array" ref="KE248">SUMPRODUCT(--(MOD(COLUMN($II248:$KD248),4)=MOD(COLUMN($II248),4)),$II248:$KD248)</f>
        <v/>
      </c>
      <c r="KF248" s="339">
        <f>KE248*$J248</f>
        <v/>
      </c>
      <c r="KG248" s="340">
        <f t="array" ref="KG248">SUMPRODUCT(--(MOD(COLUMN($II248:$KD248),4)=MOD(COLUMN($IJ248),4)),$II248:$KD248)</f>
        <v/>
      </c>
      <c r="KH248" s="341">
        <f>KG248*$J248</f>
        <v/>
      </c>
      <c r="KI248" s="342">
        <f t="array" ref="KI248">SUMPRODUCT(--(MOD(COLUMN($II248:$KD248),4)=MOD(COLUMN($IK248),4)),$II248:$KD248)</f>
        <v/>
      </c>
      <c r="KJ248" s="346">
        <f>KI248*$J248</f>
        <v/>
      </c>
      <c r="KK248" s="80" t="n"/>
      <c r="KL248" s="80" t="n"/>
      <c r="KM248" s="80" t="n"/>
      <c r="KN248" s="51" t="n"/>
      <c r="KO248" s="287" t="n"/>
    </row>
    <row r="249" outlineLevel="1" ht="28.8" customFormat="1" customHeight="1" s="68">
      <c r="A249" s="347" t="n"/>
      <c r="B249" s="347" t="n"/>
      <c r="C249" s="347" t="n"/>
      <c r="D249" s="347" t="n"/>
      <c r="E249" s="60" t="n">
        <v>20</v>
      </c>
      <c r="F249" s="113" t="n">
        <v>2</v>
      </c>
      <c r="G249" s="62" t="n">
        <v>9710020400</v>
      </c>
      <c r="H249" s="63" t="inlineStr">
        <is>
          <t>Воздухораспределитель</t>
        </is>
      </c>
      <c r="I249" s="360">
        <f>587.5/1.2</f>
        <v/>
      </c>
      <c r="J249" s="360">
        <f>587.5/1.2</f>
        <v/>
      </c>
      <c r="K249" s="348" t="n"/>
      <c r="L249" s="348" t="n"/>
      <c r="M249" s="36" t="n"/>
      <c r="N249" s="284" t="n"/>
      <c r="O249" s="38" t="n"/>
      <c r="P249" s="284" t="n"/>
      <c r="Q249" s="36" t="n"/>
      <c r="R249" s="284" t="n"/>
      <c r="S249" s="38" t="n"/>
      <c r="T249" s="284" t="n"/>
      <c r="U249" s="36" t="n"/>
      <c r="V249" s="284" t="n"/>
      <c r="W249" s="38" t="n"/>
      <c r="X249" s="284" t="n"/>
      <c r="Y249" s="36" t="n"/>
      <c r="Z249" s="284" t="n"/>
      <c r="AA249" s="38" t="n"/>
      <c r="AB249" s="284" t="n"/>
      <c r="AC249" s="36" t="n"/>
      <c r="AD249" s="284" t="n"/>
      <c r="AE249" s="38" t="n"/>
      <c r="AF249" s="284" t="n"/>
      <c r="AG249" s="36" t="n"/>
      <c r="AH249" s="284" t="n"/>
      <c r="AI249" s="38" t="n"/>
      <c r="AJ249" s="284" t="n"/>
      <c r="AK249" s="36" t="n"/>
      <c r="AL249" s="284" t="n"/>
      <c r="AM249" s="38" t="n"/>
      <c r="AN249" s="284" t="n"/>
      <c r="AO249" s="36" t="n"/>
      <c r="AP249" s="284" t="n"/>
      <c r="AQ249" s="38" t="n"/>
      <c r="AR249" s="284" t="n"/>
      <c r="AS249" s="36" t="n"/>
      <c r="AT249" s="284" t="n"/>
      <c r="AU249" s="38" t="n"/>
      <c r="AV249" s="284" t="n"/>
      <c r="AW249" s="36" t="n"/>
      <c r="AX249" s="284" t="n"/>
      <c r="AY249" s="38" t="n"/>
      <c r="AZ249" s="96" t="n"/>
      <c r="BA249" s="36" t="n"/>
      <c r="BB249" s="284" t="n"/>
      <c r="BC249" s="99" t="n"/>
      <c r="BD249" s="284" t="n"/>
      <c r="BE249" s="36" t="n"/>
      <c r="BF249" s="284" t="n"/>
      <c r="BG249" s="78" t="n"/>
      <c r="BH249" s="347" t="n"/>
      <c r="BI249" s="338" t="n"/>
      <c r="BJ249" s="339" t="n"/>
      <c r="BK249" s="340" t="n"/>
      <c r="BL249" s="341" t="n"/>
      <c r="BM249" s="342" t="n"/>
      <c r="BN249" s="343" t="n"/>
      <c r="BO249" s="36" t="n"/>
      <c r="BP249" s="47" t="n"/>
      <c r="BQ249" s="284" t="n"/>
      <c r="BR249" s="38" t="n"/>
      <c r="BS249" s="96" t="n"/>
      <c r="BT249" s="36" t="n"/>
      <c r="BU249" s="47" t="n"/>
      <c r="BV249" s="284" t="n"/>
      <c r="BW249" s="38" t="n"/>
      <c r="BX249" s="284" t="n"/>
      <c r="BY249" s="36" t="n"/>
      <c r="BZ249" s="47" t="n"/>
      <c r="CA249" s="284" t="n"/>
      <c r="CB249" s="38" t="n"/>
      <c r="CC249" s="284" t="n"/>
      <c r="CD249" s="36" t="n"/>
      <c r="CE249" s="47" t="n"/>
      <c r="CF249" s="284" t="n"/>
      <c r="CG249" s="38" t="n"/>
      <c r="CH249" s="284" t="n"/>
      <c r="CI249" s="36" t="n"/>
      <c r="CJ249" s="47" t="n"/>
      <c r="CK249" s="284" t="n"/>
      <c r="CL249" s="38" t="n"/>
      <c r="CM249" s="96" t="n"/>
      <c r="CN249" s="36" t="n"/>
      <c r="CO249" s="47" t="n"/>
      <c r="CP249" s="284" t="n"/>
      <c r="CQ249" s="38" t="n"/>
      <c r="CR249" s="16" t="n"/>
      <c r="CS249" s="36" t="n"/>
      <c r="CT249" s="47" t="n"/>
      <c r="CU249" s="284" t="n"/>
      <c r="CV249" s="38" t="n"/>
      <c r="CW249" s="284" t="n"/>
      <c r="CX249" s="36" t="n"/>
      <c r="CY249" s="47" t="n"/>
      <c r="CZ249" s="284" t="n"/>
      <c r="DA249" s="38" t="n"/>
      <c r="DB249" s="347" t="n"/>
      <c r="DC249" s="36" t="n"/>
      <c r="DD249" s="47" t="n"/>
      <c r="DE249" s="284" t="n"/>
      <c r="DF249" s="38" t="n"/>
      <c r="DG249" s="284" t="n"/>
      <c r="DH249" s="36" t="n"/>
      <c r="DI249" s="47" t="n"/>
      <c r="DJ249" s="284" t="n"/>
      <c r="DK249" s="38" t="n"/>
      <c r="DL249" s="284" t="n"/>
      <c r="DM249" s="36" t="n"/>
      <c r="DN249" s="47" t="n"/>
      <c r="DO249" s="284" t="n"/>
      <c r="DP249" s="38" t="n">
        <v>0</v>
      </c>
      <c r="DQ249" s="284" t="n"/>
      <c r="DR249" s="36" t="n"/>
      <c r="DS249" s="47" t="n"/>
      <c r="DT249" s="284" t="n">
        <v>6</v>
      </c>
      <c r="DU249" s="156" t="n">
        <v>6</v>
      </c>
      <c r="DV249" s="333" t="n"/>
      <c r="DW249" s="338">
        <f t="array" ref="DW249">SUMPRODUCT(--(MOD(COLUMN($BO249:$DV249),5)=MOD(COLUMN($BO249),5)),$BO249:$DV249)</f>
        <v/>
      </c>
      <c r="DX249" s="339">
        <f>DW249*$J249</f>
        <v/>
      </c>
      <c r="DY249" s="344">
        <f t="array" ref="DY249">SUMPRODUCT(--(MOD(COLUMN($BO249:$DV249),5)=MOD(COLUMN($BP249),5)),$BO249:$DV249)</f>
        <v/>
      </c>
      <c r="DZ249" s="345">
        <f>DY249*$J249</f>
        <v/>
      </c>
      <c r="EA249" s="340">
        <f t="array" ref="EA249">SUMPRODUCT(--(MOD(COLUMN($BO249:$DV249),5)=MOD(COLUMN($BQ249),5)),$BO249:$DV249)</f>
        <v/>
      </c>
      <c r="EB249" s="341">
        <f>EA249*$J249</f>
        <v/>
      </c>
      <c r="EC249" s="342">
        <f t="array" ref="EC249">SUMPRODUCT(--(MOD(COLUMN($BO249:$DV249),5)=MOD(COLUMN($BR249),5)),$BO249:$DV249)</f>
        <v/>
      </c>
      <c r="ED249" s="343">
        <f>EC249*$J249</f>
        <v/>
      </c>
      <c r="EE249" s="36" t="n">
        <v>4</v>
      </c>
      <c r="EF249" s="284" t="n">
        <v>0</v>
      </c>
      <c r="EG249" s="38" t="n">
        <v>0</v>
      </c>
      <c r="EH249" s="284" t="n"/>
      <c r="EI249" s="36" t="n"/>
      <c r="EJ249" s="284" t="n"/>
      <c r="EK249" s="38" t="n"/>
      <c r="EL249" s="284" t="n"/>
      <c r="EM249" s="36" t="n"/>
      <c r="EN249" s="284" t="n"/>
      <c r="EO249" s="38" t="n"/>
      <c r="EP249" s="284" t="n"/>
      <c r="EQ249" s="36" t="n"/>
      <c r="ER249" s="284" t="n"/>
      <c r="ES249" s="38" t="n"/>
      <c r="ET249" s="284" t="n"/>
      <c r="EU249" s="36" t="n"/>
      <c r="EV249" s="284" t="n"/>
      <c r="EW249" s="38" t="n"/>
      <c r="EX249" s="284" t="n"/>
      <c r="EY249" s="36" t="n"/>
      <c r="EZ249" s="284" t="n"/>
      <c r="FA249" s="38" t="n"/>
      <c r="FB249" s="284" t="n"/>
      <c r="FC249" s="36" t="n"/>
      <c r="FD249" s="284" t="n"/>
      <c r="FE249" s="38" t="n"/>
      <c r="FF249" s="284" t="n"/>
      <c r="FG249" s="36" t="n"/>
      <c r="FH249" s="284" t="n"/>
      <c r="FI249" s="38" t="n"/>
      <c r="FJ249" s="284" t="n"/>
      <c r="FK249" s="36" t="n"/>
      <c r="FL249" s="284" t="n"/>
      <c r="FM249" s="38" t="n"/>
      <c r="FN249" s="284" t="n"/>
      <c r="FO249" s="36" t="n"/>
      <c r="FP249" s="284" t="n"/>
      <c r="FQ249" s="38" t="n"/>
      <c r="FR249" s="284" t="n"/>
      <c r="FS249" s="36" t="n"/>
      <c r="FT249" s="284" t="n"/>
      <c r="FU249" s="38" t="n"/>
      <c r="FV249" s="284" t="n"/>
      <c r="FW249" s="36" t="n"/>
      <c r="FX249" s="284" t="n"/>
      <c r="FY249" s="38" t="n"/>
      <c r="FZ249" s="284" t="n"/>
      <c r="GA249" s="338">
        <f t="array" ref="GA249">SUMPRODUCT(--(MOD(COLUMN($EE249:$FZ249),4)=MOD(COLUMN($EE249),4)),$EE249:$FZ249)</f>
        <v/>
      </c>
      <c r="GB249" s="339">
        <f>GA249*$J249</f>
        <v/>
      </c>
      <c r="GC249" s="340">
        <f t="array" ref="GC249">SUMPRODUCT(--(MOD(COLUMN($EE249:$FZ249),4)=MOD(COLUMN($EF249),4)),$EE249:$FZ249)</f>
        <v/>
      </c>
      <c r="GD249" s="341">
        <f>GC249*$J249</f>
        <v/>
      </c>
      <c r="GE249" s="342">
        <f t="array" ref="GE249">SUMPRODUCT(--(MOD(COLUMN($EE249:$FZ249),4)=MOD(COLUMN($EG249),4)),$EE249:$FZ249)</f>
        <v/>
      </c>
      <c r="GF249" s="343">
        <f>GE249*$J249</f>
        <v/>
      </c>
      <c r="GG249" s="36" t="n"/>
      <c r="GH249" s="284" t="n"/>
      <c r="GI249" s="38" t="n"/>
      <c r="GJ249" s="284" t="n"/>
      <c r="GK249" s="36" t="n"/>
      <c r="GL249" s="284" t="n"/>
      <c r="GM249" s="38" t="n"/>
      <c r="GN249" s="284" t="n"/>
      <c r="GO249" s="36" t="n"/>
      <c r="GP249" s="284" t="n"/>
      <c r="GQ249" s="38" t="n"/>
      <c r="GR249" s="284" t="n"/>
      <c r="GS249" s="36" t="n"/>
      <c r="GT249" s="284" t="n"/>
      <c r="GU249" s="38" t="n"/>
      <c r="GV249" s="284" t="n"/>
      <c r="GW249" s="36" t="n"/>
      <c r="GX249" s="284" t="n"/>
      <c r="GY249" s="38" t="n"/>
      <c r="GZ249" s="284" t="n"/>
      <c r="HA249" s="36" t="n"/>
      <c r="HB249" s="284" t="n"/>
      <c r="HC249" s="38" t="n"/>
      <c r="HD249" s="284" t="n"/>
      <c r="HE249" s="36" t="n"/>
      <c r="HF249" s="284" t="n"/>
      <c r="HG249" s="38" t="n"/>
      <c r="HH249" s="284" t="n"/>
      <c r="HI249" s="36" t="n"/>
      <c r="HJ249" s="284" t="n"/>
      <c r="HK249" s="38" t="n"/>
      <c r="HL249" s="284" t="n"/>
      <c r="HM249" s="36" t="n"/>
      <c r="HN249" s="284" t="n"/>
      <c r="HO249" s="38" t="n"/>
      <c r="HP249" s="284" t="n"/>
      <c r="HQ249" s="36" t="n"/>
      <c r="HR249" s="284" t="n"/>
      <c r="HS249" s="38" t="n"/>
      <c r="HT249" s="284" t="n"/>
      <c r="HU249" s="36" t="n"/>
      <c r="HV249" s="284" t="n"/>
      <c r="HW249" s="38" t="n"/>
      <c r="HX249" s="284" t="n"/>
      <c r="HY249" s="36" t="n"/>
      <c r="HZ249" s="284" t="n"/>
      <c r="IA249" s="38" t="n"/>
      <c r="IB249" s="284" t="n"/>
      <c r="IC249" s="338">
        <f t="array" ref="IC249">SUMPRODUCT(--(MOD(COLUMN($GG249:$IB249),4)=MOD(COLUMN($GG249),4)),$GG249:$IB249)</f>
        <v/>
      </c>
      <c r="ID249" s="339">
        <f>IC249*$J249</f>
        <v/>
      </c>
      <c r="IE249" s="340">
        <f t="array" ref="IE249">SUMPRODUCT(--(MOD(COLUMN($GG249:$IB249),4)=MOD(COLUMN($GH249),4)),$GG249:$IB249)</f>
        <v/>
      </c>
      <c r="IF249" s="341">
        <f>IE249*$J249</f>
        <v/>
      </c>
      <c r="IG249" s="342">
        <f t="array" ref="IG249">SUMPRODUCT(--(MOD(COLUMN($GG249:$IB249),4)=MOD(COLUMN($GI249),4)),$GG249:$IB249)</f>
        <v/>
      </c>
      <c r="IH249" s="343">
        <f>IG249*$J249</f>
        <v/>
      </c>
      <c r="II249" s="36" t="n"/>
      <c r="IJ249" s="284" t="n"/>
      <c r="IK249" s="38" t="n"/>
      <c r="IL249" s="284" t="n"/>
      <c r="IM249" s="36" t="n"/>
      <c r="IN249" s="284" t="n"/>
      <c r="IO249" s="38" t="n"/>
      <c r="IP249" s="284" t="n"/>
      <c r="IQ249" s="36" t="n"/>
      <c r="IR249" s="284" t="n"/>
      <c r="IS249" s="38" t="n"/>
      <c r="IT249" s="284" t="n"/>
      <c r="IU249" s="36" t="n"/>
      <c r="IV249" s="284" t="n"/>
      <c r="IW249" s="38" t="n"/>
      <c r="IX249" s="284" t="n"/>
      <c r="IY249" s="36" t="n"/>
      <c r="IZ249" s="284" t="n"/>
      <c r="JA249" s="38" t="n"/>
      <c r="JB249" s="284" t="n"/>
      <c r="JC249" s="36" t="n"/>
      <c r="JD249" s="284" t="n"/>
      <c r="JE249" s="38" t="n"/>
      <c r="JF249" s="284" t="n"/>
      <c r="JG249" s="36" t="n"/>
      <c r="JH249" s="284" t="n"/>
      <c r="JI249" s="38" t="n"/>
      <c r="JJ249" s="284" t="n"/>
      <c r="JK249" s="36" t="n"/>
      <c r="JL249" s="284" t="n"/>
      <c r="JM249" s="38" t="n"/>
      <c r="JN249" s="284" t="n"/>
      <c r="JO249" s="36" t="n"/>
      <c r="JP249" s="284" t="n"/>
      <c r="JQ249" s="38" t="n"/>
      <c r="JR249" s="284" t="n"/>
      <c r="JS249" s="36" t="n"/>
      <c r="JT249" s="284" t="n"/>
      <c r="JU249" s="38" t="n"/>
      <c r="JV249" s="284" t="n"/>
      <c r="JW249" s="36" t="n"/>
      <c r="JX249" s="284" t="n"/>
      <c r="JY249" s="38" t="n"/>
      <c r="JZ249" s="284" t="n"/>
      <c r="KA249" s="36" t="n"/>
      <c r="KB249" s="284" t="n"/>
      <c r="KC249" s="38" t="n"/>
      <c r="KD249" s="284" t="n"/>
      <c r="KE249" s="338">
        <f t="array" ref="KE249">SUMPRODUCT(--(MOD(COLUMN($II249:$KD249),4)=MOD(COLUMN($II249),4)),$II249:$KD249)</f>
        <v/>
      </c>
      <c r="KF249" s="339">
        <f>KE249*$J249</f>
        <v/>
      </c>
      <c r="KG249" s="340">
        <f t="array" ref="KG249">SUMPRODUCT(--(MOD(COLUMN($II249:$KD249),4)=MOD(COLUMN($IJ249),4)),$II249:$KD249)</f>
        <v/>
      </c>
      <c r="KH249" s="341">
        <f>KG249*$J249</f>
        <v/>
      </c>
      <c r="KI249" s="342">
        <f t="array" ref="KI249">SUMPRODUCT(--(MOD(COLUMN($II249:$KD249),4)=MOD(COLUMN($IK249),4)),$II249:$KD249)</f>
        <v/>
      </c>
      <c r="KJ249" s="346">
        <f>KI249*$J249</f>
        <v/>
      </c>
      <c r="KK249" s="80" t="n"/>
      <c r="KL249" s="80" t="n"/>
      <c r="KM249" s="80" t="n"/>
      <c r="KN249" s="51" t="n"/>
      <c r="KO249" s="287" t="n"/>
    </row>
    <row r="250" outlineLevel="1" customFormat="1" s="68">
      <c r="A250" s="252" t="n"/>
      <c r="B250" s="69" t="n"/>
      <c r="C250" s="256" t="n"/>
      <c r="D250" s="256" t="n"/>
      <c r="E250" s="70" t="n"/>
      <c r="F250" s="70" t="n"/>
      <c r="G250" s="71" t="n"/>
      <c r="H250" s="72" t="inlineStr">
        <is>
          <t>Итого</t>
        </is>
      </c>
      <c r="I250" s="361" t="n"/>
      <c r="J250" s="360" t="n"/>
      <c r="K250" s="360" t="n"/>
      <c r="L250" s="360" t="n"/>
      <c r="M250" s="74" t="n"/>
      <c r="N250" s="75" t="n"/>
      <c r="O250" s="28" t="n"/>
      <c r="P250" s="75" t="n"/>
      <c r="Q250" s="74" t="n"/>
      <c r="R250" s="75" t="n"/>
      <c r="S250" s="28" t="n"/>
      <c r="T250" s="75" t="n"/>
      <c r="U250" s="74" t="n"/>
      <c r="V250" s="75" t="n"/>
      <c r="W250" s="28" t="n"/>
      <c r="X250" s="75" t="n"/>
      <c r="Y250" s="74" t="n"/>
      <c r="Z250" s="75" t="n"/>
      <c r="AA250" s="38" t="n"/>
      <c r="AB250" s="75" t="n"/>
      <c r="AC250" s="74" t="n"/>
      <c r="AD250" s="75" t="n"/>
      <c r="AE250" s="28" t="n"/>
      <c r="AF250" s="75" t="n"/>
      <c r="AG250" s="74" t="n"/>
      <c r="AH250" s="75" t="n"/>
      <c r="AI250" s="38" t="n"/>
      <c r="AJ250" s="75" t="n"/>
      <c r="AK250" s="74" t="n"/>
      <c r="AL250" s="75" t="n"/>
      <c r="AM250" s="38" t="n"/>
      <c r="AN250" s="75" t="n"/>
      <c r="AO250" s="74" t="n"/>
      <c r="AP250" s="75" t="n"/>
      <c r="AQ250" s="38" t="n"/>
      <c r="AR250" s="75" t="n"/>
      <c r="AS250" s="74" t="n"/>
      <c r="AT250" s="75" t="n"/>
      <c r="AU250" s="38" t="n"/>
      <c r="AV250" s="75" t="n"/>
      <c r="AW250" s="74" t="n"/>
      <c r="AX250" s="75" t="n"/>
      <c r="AY250" s="28" t="n"/>
      <c r="AZ250" s="75" t="n"/>
      <c r="BA250" s="74" t="n"/>
      <c r="BB250" s="97" t="n"/>
      <c r="BC250" s="77" t="n"/>
      <c r="BD250" s="75" t="n"/>
      <c r="BE250" s="74" t="n"/>
      <c r="BF250" s="76" t="n"/>
      <c r="BG250" s="78" t="n"/>
      <c r="BH250" s="75" t="n"/>
      <c r="BI250" s="338" t="n"/>
      <c r="BJ250" s="339" t="n"/>
      <c r="BK250" s="340" t="n"/>
      <c r="BL250" s="341" t="n"/>
      <c r="BM250" s="342" t="n"/>
      <c r="BN250" s="343" t="n"/>
      <c r="BO250" s="74" t="n"/>
      <c r="BP250" s="79" t="n"/>
      <c r="BQ250" s="75" t="n"/>
      <c r="BR250" s="28" t="n"/>
      <c r="BS250" s="75" t="n"/>
      <c r="BT250" s="74" t="n"/>
      <c r="BU250" s="79" t="n"/>
      <c r="BV250" s="75" t="n"/>
      <c r="BW250" s="28" t="n"/>
      <c r="BX250" s="75" t="n"/>
      <c r="BY250" s="74" t="n"/>
      <c r="BZ250" s="79" t="n"/>
      <c r="CA250" s="75" t="n"/>
      <c r="CB250" s="28" t="n"/>
      <c r="CC250" s="75" t="n"/>
      <c r="CD250" s="74" t="n"/>
      <c r="CE250" s="79" t="n"/>
      <c r="CF250" s="75" t="n"/>
      <c r="CG250" s="28" t="n"/>
      <c r="CH250" s="75" t="n"/>
      <c r="CI250" s="74" t="n"/>
      <c r="CJ250" s="79" t="n"/>
      <c r="CK250" s="75" t="n"/>
      <c r="CL250" s="28" t="n"/>
      <c r="CM250" s="75" t="n"/>
      <c r="CN250" s="74" t="n"/>
      <c r="CO250" s="79" t="n"/>
      <c r="CP250" s="75" t="n"/>
      <c r="CQ250" s="28" t="n"/>
      <c r="CR250" s="75" t="n"/>
      <c r="CS250" s="74" t="n"/>
      <c r="CT250" s="79" t="n"/>
      <c r="CU250" s="75" t="n"/>
      <c r="CV250" s="28" t="n"/>
      <c r="CW250" s="75" t="n"/>
      <c r="CX250" s="74" t="n"/>
      <c r="CY250" s="79" t="n"/>
      <c r="CZ250" s="75" t="n"/>
      <c r="DA250" s="28" t="n"/>
      <c r="DB250" s="75" t="n"/>
      <c r="DC250" s="74" t="n"/>
      <c r="DD250" s="79" t="n"/>
      <c r="DE250" s="75" t="n"/>
      <c r="DF250" s="28" t="n"/>
      <c r="DG250" s="75" t="n"/>
      <c r="DH250" s="74" t="n"/>
      <c r="DI250" s="79" t="n"/>
      <c r="DJ250" s="75" t="n"/>
      <c r="DK250" s="28" t="n"/>
      <c r="DL250" s="75" t="n"/>
      <c r="DM250" s="74" t="n"/>
      <c r="DN250" s="79" t="n"/>
      <c r="DO250" s="75" t="n"/>
      <c r="DP250" s="28" t="n"/>
      <c r="DQ250" s="75" t="n"/>
      <c r="DR250" s="74" t="n"/>
      <c r="DS250" s="79" t="n"/>
      <c r="DT250" s="75" t="n"/>
      <c r="DU250" s="28" t="n"/>
      <c r="DV250" s="75" t="n"/>
      <c r="DW250" s="338" t="n"/>
      <c r="DX250" s="338" t="n"/>
      <c r="DY250" s="344" t="n"/>
      <c r="DZ250" s="344" t="n"/>
      <c r="EA250" s="340" t="n"/>
      <c r="EB250" s="341" t="n"/>
      <c r="EC250" s="342" t="n"/>
      <c r="ED250" s="343" t="n"/>
      <c r="EE250" s="74" t="n"/>
      <c r="EF250" s="75" t="n"/>
      <c r="EG250" s="28" t="n"/>
      <c r="EH250" s="75" t="n"/>
      <c r="EI250" s="74" t="n"/>
      <c r="EJ250" s="75" t="n"/>
      <c r="EK250" s="28" t="n"/>
      <c r="EL250" s="75" t="n"/>
      <c r="EM250" s="74" t="n"/>
      <c r="EN250" s="75" t="n"/>
      <c r="EO250" s="28" t="n"/>
      <c r="EP250" s="75" t="n"/>
      <c r="EQ250" s="74" t="n"/>
      <c r="ER250" s="75" t="n"/>
      <c r="ES250" s="28" t="n"/>
      <c r="ET250" s="75" t="n"/>
      <c r="EU250" s="74" t="n"/>
      <c r="EV250" s="75" t="n"/>
      <c r="EW250" s="28" t="n"/>
      <c r="EX250" s="75" t="n"/>
      <c r="EY250" s="74" t="n"/>
      <c r="EZ250" s="75" t="n"/>
      <c r="FA250" s="28" t="n"/>
      <c r="FB250" s="75" t="n"/>
      <c r="FC250" s="74" t="n"/>
      <c r="FD250" s="75" t="n"/>
      <c r="FE250" s="28" t="n"/>
      <c r="FF250" s="75" t="n"/>
      <c r="FG250" s="74" t="n"/>
      <c r="FH250" s="75" t="n"/>
      <c r="FI250" s="28" t="n"/>
      <c r="FJ250" s="75" t="n"/>
      <c r="FK250" s="74" t="n"/>
      <c r="FL250" s="75" t="n"/>
      <c r="FM250" s="28" t="n"/>
      <c r="FN250" s="75" t="n"/>
      <c r="FO250" s="74" t="n"/>
      <c r="FP250" s="75" t="n"/>
      <c r="FQ250" s="28" t="n"/>
      <c r="FR250" s="75" t="n"/>
      <c r="FS250" s="74" t="n"/>
      <c r="FT250" s="75" t="n"/>
      <c r="FU250" s="28" t="n"/>
      <c r="FV250" s="75" t="n"/>
      <c r="FW250" s="74" t="n"/>
      <c r="FX250" s="75" t="n"/>
      <c r="FY250" s="28" t="n"/>
      <c r="FZ250" s="75" t="n"/>
      <c r="GA250" s="338" t="n"/>
      <c r="GB250" s="339" t="n"/>
      <c r="GC250" s="340" t="n"/>
      <c r="GD250" s="341" t="n"/>
      <c r="GE250" s="342" t="n"/>
      <c r="GF250" s="343" t="n"/>
      <c r="GG250" s="74" t="n"/>
      <c r="GH250" s="75" t="n"/>
      <c r="GI250" s="28" t="n"/>
      <c r="GJ250" s="75" t="n"/>
      <c r="GK250" s="74" t="n"/>
      <c r="GL250" s="75" t="n"/>
      <c r="GM250" s="28" t="n"/>
      <c r="GN250" s="75" t="n"/>
      <c r="GO250" s="74" t="n"/>
      <c r="GP250" s="75" t="n"/>
      <c r="GQ250" s="28" t="n"/>
      <c r="GR250" s="75" t="n"/>
      <c r="GS250" s="74" t="n"/>
      <c r="GT250" s="75" t="n"/>
      <c r="GU250" s="28" t="n"/>
      <c r="GV250" s="75" t="n"/>
      <c r="GW250" s="74" t="n"/>
      <c r="GX250" s="75" t="n"/>
      <c r="GY250" s="28" t="n"/>
      <c r="GZ250" s="75" t="n"/>
      <c r="HA250" s="74" t="n"/>
      <c r="HB250" s="75" t="n"/>
      <c r="HC250" s="28" t="n"/>
      <c r="HD250" s="75" t="n"/>
      <c r="HE250" s="74" t="n"/>
      <c r="HF250" s="75" t="n"/>
      <c r="HG250" s="28" t="n"/>
      <c r="HH250" s="75" t="n"/>
      <c r="HI250" s="74" t="n"/>
      <c r="HJ250" s="75" t="n"/>
      <c r="HK250" s="28" t="n"/>
      <c r="HL250" s="75" t="n"/>
      <c r="HM250" s="74" t="n"/>
      <c r="HN250" s="75" t="n"/>
      <c r="HO250" s="28" t="n"/>
      <c r="HP250" s="75" t="n"/>
      <c r="HQ250" s="74" t="n"/>
      <c r="HR250" s="75" t="n"/>
      <c r="HS250" s="28" t="n"/>
      <c r="HT250" s="75" t="n"/>
      <c r="HU250" s="74" t="n"/>
      <c r="HV250" s="75" t="n"/>
      <c r="HW250" s="28" t="n"/>
      <c r="HX250" s="75" t="n"/>
      <c r="HY250" s="74" t="n"/>
      <c r="HZ250" s="75" t="n"/>
      <c r="IA250" s="28" t="n"/>
      <c r="IB250" s="75" t="n"/>
      <c r="IC250" s="338" t="n"/>
      <c r="ID250" s="339" t="n"/>
      <c r="IE250" s="340" t="n"/>
      <c r="IF250" s="341" t="n"/>
      <c r="IG250" s="342" t="n"/>
      <c r="IH250" s="343" t="n"/>
      <c r="II250" s="74" t="n"/>
      <c r="IJ250" s="75" t="n"/>
      <c r="IK250" s="28" t="n"/>
      <c r="IL250" s="75" t="n"/>
      <c r="IM250" s="74" t="n"/>
      <c r="IN250" s="75" t="n"/>
      <c r="IO250" s="28" t="n"/>
      <c r="IP250" s="75" t="n"/>
      <c r="IQ250" s="74" t="n"/>
      <c r="IR250" s="75" t="n"/>
      <c r="IS250" s="28" t="n"/>
      <c r="IT250" s="75" t="n"/>
      <c r="IU250" s="74" t="n"/>
      <c r="IV250" s="75" t="n"/>
      <c r="IW250" s="28" t="n"/>
      <c r="IX250" s="75" t="n"/>
      <c r="IY250" s="74" t="n"/>
      <c r="IZ250" s="75" t="n"/>
      <c r="JA250" s="28" t="n"/>
      <c r="JB250" s="75" t="n"/>
      <c r="JC250" s="74" t="n"/>
      <c r="JD250" s="75" t="n"/>
      <c r="JE250" s="28" t="n"/>
      <c r="JF250" s="75" t="n"/>
      <c r="JG250" s="74" t="n"/>
      <c r="JH250" s="75" t="n"/>
      <c r="JI250" s="28" t="n"/>
      <c r="JJ250" s="75" t="n"/>
      <c r="JK250" s="74" t="n"/>
      <c r="JL250" s="75" t="n"/>
      <c r="JM250" s="28" t="n"/>
      <c r="JN250" s="75" t="n"/>
      <c r="JO250" s="74" t="n"/>
      <c r="JP250" s="75" t="n"/>
      <c r="JQ250" s="28" t="n"/>
      <c r="JR250" s="75" t="n"/>
      <c r="JS250" s="74" t="n"/>
      <c r="JT250" s="75" t="n"/>
      <c r="JU250" s="28" t="n"/>
      <c r="JV250" s="75" t="n"/>
      <c r="JW250" s="74" t="n"/>
      <c r="JX250" s="75" t="n"/>
      <c r="JY250" s="28" t="n"/>
      <c r="JZ250" s="75" t="n"/>
      <c r="KA250" s="74" t="n"/>
      <c r="KB250" s="75" t="n"/>
      <c r="KC250" s="28" t="n"/>
      <c r="KD250" s="75" t="n"/>
      <c r="KE250" s="338" t="n"/>
      <c r="KF250" s="339" t="n"/>
      <c r="KG250" s="340" t="n"/>
      <c r="KH250" s="341" t="n"/>
      <c r="KI250" s="342" t="n"/>
      <c r="KJ250" s="346" t="n"/>
      <c r="KK250" s="80" t="n"/>
      <c r="KL250" s="80" t="n"/>
      <c r="KM250" s="80" t="n"/>
      <c r="KN250" s="253" t="n"/>
      <c r="KO250" s="253" t="n"/>
    </row>
    <row r="251" customFormat="1" s="68">
      <c r="A251" s="102" t="inlineStr">
        <is>
          <t>СПЕЦМАШ ООО</t>
        </is>
      </c>
      <c r="B251" s="102" t="n"/>
      <c r="C251" s="102" t="n"/>
      <c r="D251" s="102" t="n"/>
      <c r="E251" s="103" t="n"/>
      <c r="F251" s="103" t="n"/>
      <c r="G251" s="104" t="n"/>
      <c r="H251" s="105" t="n"/>
      <c r="I251" s="392" t="n"/>
      <c r="J251" s="392" t="n"/>
      <c r="K251" s="392" t="n"/>
      <c r="L251" s="392" t="n"/>
      <c r="M251" s="101" t="n"/>
      <c r="N251" s="101" t="n"/>
      <c r="O251" s="101" t="n"/>
      <c r="P251" s="101" t="n"/>
      <c r="Q251" s="101" t="n"/>
      <c r="R251" s="101" t="n"/>
      <c r="S251" s="101" t="n"/>
      <c r="T251" s="101" t="n"/>
      <c r="U251" s="101" t="n"/>
      <c r="V251" s="101" t="n"/>
      <c r="W251" s="101" t="n"/>
      <c r="X251" s="101" t="n"/>
      <c r="Y251" s="101" t="n"/>
      <c r="Z251" s="101" t="n"/>
      <c r="AA251" s="101" t="n"/>
      <c r="AB251" s="101" t="n"/>
      <c r="AC251" s="101" t="n"/>
      <c r="AD251" s="101" t="n"/>
      <c r="AE251" s="101" t="n"/>
      <c r="AF251" s="101" t="n"/>
      <c r="AG251" s="101" t="n"/>
      <c r="AH251" s="101" t="n"/>
      <c r="AI251" s="101" t="n"/>
      <c r="AJ251" s="101" t="n"/>
      <c r="AK251" s="101" t="n"/>
      <c r="AL251" s="101" t="n"/>
      <c r="AM251" s="101" t="n"/>
      <c r="AN251" s="101" t="n"/>
      <c r="AO251" s="101" t="n"/>
      <c r="AP251" s="101" t="n"/>
      <c r="AQ251" s="101" t="n"/>
      <c r="AR251" s="101" t="n"/>
      <c r="AS251" s="101" t="n"/>
      <c r="AT251" s="101" t="n"/>
      <c r="AU251" s="101" t="n"/>
      <c r="AV251" s="101" t="n"/>
      <c r="AW251" s="101" t="n"/>
      <c r="AX251" s="101" t="n"/>
      <c r="AY251" s="107" t="n"/>
      <c r="AZ251" s="101" t="n"/>
      <c r="BA251" s="107" t="n"/>
      <c r="BB251" s="107" t="n"/>
      <c r="BC251" s="108" t="n"/>
      <c r="BD251" s="101" t="n"/>
      <c r="BE251" s="107" t="n"/>
      <c r="BF251" s="107" t="n"/>
      <c r="BG251" s="107" t="n"/>
      <c r="BH251" s="101" t="n"/>
      <c r="BI251" s="393" t="n"/>
      <c r="BJ251" s="394" t="n"/>
      <c r="BK251" s="393" t="n"/>
      <c r="BL251" s="394" t="n"/>
      <c r="BM251" s="393" t="n"/>
      <c r="BN251" s="394" t="n"/>
      <c r="BO251" s="101" t="n"/>
      <c r="BP251" s="101" t="n"/>
      <c r="BQ251" s="101" t="n"/>
      <c r="BR251" s="101" t="n"/>
      <c r="BS251" s="101" t="n"/>
      <c r="BT251" s="101" t="n"/>
      <c r="BU251" s="101" t="n"/>
      <c r="BV251" s="101" t="n"/>
      <c r="BW251" s="101" t="n"/>
      <c r="BX251" s="101" t="n"/>
      <c r="BY251" s="101" t="n"/>
      <c r="BZ251" s="101" t="n"/>
      <c r="CA251" s="101" t="n"/>
      <c r="CB251" s="101" t="n"/>
      <c r="CC251" s="101" t="n"/>
      <c r="CD251" s="101" t="n"/>
      <c r="CE251" s="101" t="n"/>
      <c r="CF251" s="101" t="n"/>
      <c r="CG251" s="101" t="n"/>
      <c r="CH251" s="101" t="n"/>
      <c r="CI251" s="101" t="n"/>
      <c r="CJ251" s="101" t="n"/>
      <c r="CK251" s="101" t="n"/>
      <c r="CL251" s="101" t="n"/>
      <c r="CM251" s="101" t="n"/>
      <c r="CN251" s="101" t="n"/>
      <c r="CO251" s="101" t="n"/>
      <c r="CP251" s="101" t="n"/>
      <c r="CQ251" s="101" t="n"/>
      <c r="CR251" s="101" t="n"/>
      <c r="CS251" s="101" t="n"/>
      <c r="CT251" s="101" t="n"/>
      <c r="CU251" s="101" t="n"/>
      <c r="CV251" s="101" t="n"/>
      <c r="CW251" s="101" t="n"/>
      <c r="CX251" s="101" t="n"/>
      <c r="CY251" s="101" t="n"/>
      <c r="CZ251" s="101" t="n"/>
      <c r="DA251" s="101" t="n"/>
      <c r="DB251" s="101" t="n"/>
      <c r="DC251" s="101" t="n"/>
      <c r="DD251" s="101" t="n"/>
      <c r="DE251" s="101" t="n"/>
      <c r="DF251" s="101" t="n"/>
      <c r="DG251" s="101" t="n"/>
      <c r="DH251" s="101" t="n"/>
      <c r="DI251" s="101" t="n"/>
      <c r="DJ251" s="101" t="n"/>
      <c r="DK251" s="101" t="n"/>
      <c r="DL251" s="101" t="n"/>
      <c r="DM251" s="101" t="n"/>
      <c r="DN251" s="101" t="n"/>
      <c r="DO251" s="101" t="n"/>
      <c r="DP251" s="101" t="n"/>
      <c r="DQ251" s="101" t="n"/>
      <c r="DR251" s="101" t="n"/>
      <c r="DS251" s="101" t="n"/>
      <c r="DT251" s="101" t="n"/>
      <c r="DU251" s="101" t="n"/>
      <c r="DV251" s="101" t="n"/>
      <c r="DW251" s="393" t="n"/>
      <c r="DX251" s="393">
        <f>DW251*$J251</f>
        <v/>
      </c>
      <c r="DY251" s="393">
        <f>SUMPRODUCT(--(MOD(COLUMN($BO251:$DV251),5)=MOD(COLUMN($BO251),5)+1),$BO251:$DV251)</f>
        <v/>
      </c>
      <c r="DZ251" s="393">
        <f>DY251*$J251</f>
        <v/>
      </c>
      <c r="EA251" s="393">
        <f>SUMPRODUCT(--(MOD(COLUMN($BO251:$DV251),5)=MOD(COLUMN($BO251),5)+2),$BO251:$DV251)</f>
        <v/>
      </c>
      <c r="EB251" s="394">
        <f>EA251*$J251</f>
        <v/>
      </c>
      <c r="EC251" s="393">
        <f>SUMPRODUCT(--(MOD(COLUMN($BO251:$DV251),5)=MOD(COLUMN($BO251),5)+3),$BO251:$DV251)</f>
        <v/>
      </c>
      <c r="ED251" s="394">
        <f>EC251*$J251</f>
        <v/>
      </c>
      <c r="EE251" s="101" t="n"/>
      <c r="EF251" s="101" t="n"/>
      <c r="EG251" s="101" t="n"/>
      <c r="EH251" s="101" t="n"/>
      <c r="EI251" s="101" t="n"/>
      <c r="EJ251" s="101" t="n"/>
      <c r="EK251" s="101" t="n"/>
      <c r="EL251" s="101" t="n"/>
      <c r="EM251" s="101" t="n"/>
      <c r="EN251" s="101" t="n"/>
      <c r="EO251" s="101" t="n"/>
      <c r="EP251" s="101" t="n"/>
      <c r="EQ251" s="101" t="n"/>
      <c r="ER251" s="101" t="n"/>
      <c r="ES251" s="101" t="n"/>
      <c r="ET251" s="101" t="n"/>
      <c r="EU251" s="101" t="n"/>
      <c r="EV251" s="101" t="n"/>
      <c r="EW251" s="101" t="n"/>
      <c r="EX251" s="101" t="n"/>
      <c r="EY251" s="101" t="n"/>
      <c r="EZ251" s="101" t="n"/>
      <c r="FA251" s="101" t="n"/>
      <c r="FB251" s="101" t="n"/>
      <c r="FC251" s="101" t="n"/>
      <c r="FD251" s="101" t="n"/>
      <c r="FE251" s="101" t="n"/>
      <c r="FF251" s="101" t="n"/>
      <c r="FG251" s="101" t="n"/>
      <c r="FH251" s="101" t="n"/>
      <c r="FI251" s="101" t="n"/>
      <c r="FJ251" s="101" t="n"/>
      <c r="FK251" s="101" t="n"/>
      <c r="FL251" s="101" t="n"/>
      <c r="FM251" s="101" t="n"/>
      <c r="FN251" s="101" t="n"/>
      <c r="FO251" s="101" t="n"/>
      <c r="FP251" s="101" t="n"/>
      <c r="FQ251" s="101" t="n"/>
      <c r="FR251" s="101" t="n"/>
      <c r="FS251" s="101" t="n"/>
      <c r="FT251" s="101" t="n"/>
      <c r="FU251" s="101" t="n"/>
      <c r="FV251" s="101" t="n"/>
      <c r="FW251" s="101" t="n"/>
      <c r="FX251" s="101" t="n"/>
      <c r="FY251" s="101" t="n"/>
      <c r="FZ251" s="101" t="n"/>
      <c r="GA251" s="363" t="n"/>
      <c r="GB251" s="364" t="n"/>
      <c r="GC251" s="365" t="n"/>
      <c r="GD251" s="366" t="n"/>
      <c r="GE251" s="363" t="n"/>
      <c r="GF251" s="364" t="n"/>
      <c r="GG251" s="101" t="n"/>
      <c r="GH251" s="101" t="n"/>
      <c r="GI251" s="101" t="n"/>
      <c r="GJ251" s="101" t="n"/>
      <c r="GK251" s="101" t="n"/>
      <c r="GL251" s="101" t="n"/>
      <c r="GM251" s="101" t="n"/>
      <c r="GN251" s="101" t="n"/>
      <c r="GO251" s="101" t="n"/>
      <c r="GP251" s="101" t="n"/>
      <c r="GQ251" s="101" t="n"/>
      <c r="GR251" s="101" t="n"/>
      <c r="GS251" s="101" t="n"/>
      <c r="GT251" s="101" t="n"/>
      <c r="GU251" s="101" t="n"/>
      <c r="GV251" s="101" t="n"/>
      <c r="GW251" s="101" t="n"/>
      <c r="GX251" s="101" t="n"/>
      <c r="GY251" s="101" t="n"/>
      <c r="GZ251" s="101" t="n"/>
      <c r="HA251" s="101" t="n"/>
      <c r="HB251" s="101" t="n"/>
      <c r="HC251" s="101" t="n"/>
      <c r="HD251" s="101" t="n"/>
      <c r="HE251" s="101" t="n"/>
      <c r="HF251" s="101" t="n"/>
      <c r="HG251" s="101" t="n"/>
      <c r="HH251" s="101" t="n"/>
      <c r="HI251" s="101" t="n"/>
      <c r="HJ251" s="101" t="n"/>
      <c r="HK251" s="101" t="n"/>
      <c r="HL251" s="101" t="n"/>
      <c r="HM251" s="101" t="n"/>
      <c r="HN251" s="101" t="n"/>
      <c r="HO251" s="101" t="n"/>
      <c r="HP251" s="101" t="n"/>
      <c r="HQ251" s="101" t="n"/>
      <c r="HR251" s="101" t="n"/>
      <c r="HS251" s="101" t="n"/>
      <c r="HT251" s="101" t="n"/>
      <c r="HU251" s="101" t="n"/>
      <c r="HV251" s="101" t="n"/>
      <c r="HW251" s="101" t="n"/>
      <c r="HX251" s="101" t="n"/>
      <c r="HY251" s="101" t="n"/>
      <c r="HZ251" s="101" t="n"/>
      <c r="IA251" s="101" t="n"/>
      <c r="IB251" s="101" t="n"/>
      <c r="IC251" s="363" t="n"/>
      <c r="ID251" s="364" t="n"/>
      <c r="IE251" s="365" t="n"/>
      <c r="IF251" s="366" t="n"/>
      <c r="IG251" s="363" t="n"/>
      <c r="IH251" s="364" t="n"/>
      <c r="II251" s="101" t="n"/>
      <c r="IJ251" s="101" t="n"/>
      <c r="IK251" s="101" t="n"/>
      <c r="IL251" s="101" t="n"/>
      <c r="IM251" s="101" t="n"/>
      <c r="IN251" s="101" t="n"/>
      <c r="IO251" s="101" t="n"/>
      <c r="IP251" s="101" t="n"/>
      <c r="IQ251" s="101" t="n"/>
      <c r="IR251" s="101" t="n"/>
      <c r="IS251" s="101" t="n"/>
      <c r="IT251" s="101" t="n"/>
      <c r="IU251" s="101" t="n"/>
      <c r="IV251" s="101" t="n"/>
      <c r="IW251" s="101" t="n"/>
      <c r="IX251" s="101" t="n"/>
      <c r="IY251" s="101" t="n"/>
      <c r="IZ251" s="101" t="n"/>
      <c r="JA251" s="101" t="n"/>
      <c r="JB251" s="101" t="n"/>
      <c r="JC251" s="101" t="n"/>
      <c r="JD251" s="101" t="n"/>
      <c r="JE251" s="101" t="n"/>
      <c r="JF251" s="101" t="n"/>
      <c r="JG251" s="101" t="n"/>
      <c r="JH251" s="101" t="n"/>
      <c r="JI251" s="101" t="n"/>
      <c r="JJ251" s="101" t="n"/>
      <c r="JK251" s="101" t="n"/>
      <c r="JL251" s="101" t="n"/>
      <c r="JM251" s="101" t="n"/>
      <c r="JN251" s="101" t="n"/>
      <c r="JO251" s="101" t="n"/>
      <c r="JP251" s="101" t="n"/>
      <c r="JQ251" s="101" t="n"/>
      <c r="JR251" s="101" t="n"/>
      <c r="JS251" s="101" t="n"/>
      <c r="JT251" s="101" t="n"/>
      <c r="JU251" s="101" t="n"/>
      <c r="JV251" s="101" t="n"/>
      <c r="JW251" s="101" t="n"/>
      <c r="JX251" s="101" t="n"/>
      <c r="JY251" s="101" t="n"/>
      <c r="JZ251" s="101" t="n"/>
      <c r="KA251" s="101" t="n"/>
      <c r="KB251" s="101" t="n"/>
      <c r="KC251" s="101" t="n"/>
      <c r="KD251" s="101" t="n"/>
      <c r="KE251" s="363" t="n"/>
      <c r="KF251" s="364" t="n"/>
      <c r="KG251" s="365" t="n"/>
      <c r="KH251" s="366" t="n"/>
      <c r="KI251" s="363" t="n"/>
      <c r="KJ251" s="367" t="n"/>
      <c r="KK251" s="80" t="n"/>
      <c r="KL251" s="80" t="n"/>
      <c r="KM251" s="80" t="n"/>
      <c r="KN251" s="253" t="n"/>
      <c r="KO251" s="253" t="n"/>
    </row>
    <row r="252" outlineLevel="1" ht="43.2" customFormat="1" customHeight="1" s="68">
      <c r="A252" s="274" t="inlineStr">
        <is>
          <t>КАМАЗ ПАО / KAMAZ PAO</t>
        </is>
      </c>
      <c r="B252" s="277" t="inlineStr">
        <is>
          <t>Отсрочка 5 дней</t>
        </is>
      </c>
      <c r="C252" s="253" t="inlineStr">
        <is>
          <t>ВБК ВОСТОК</t>
        </is>
      </c>
      <c r="D252" s="281" t="inlineStr">
        <is>
          <t>Мустафин Ринат</t>
        </is>
      </c>
      <c r="E252" s="15" t="n">
        <v>1</v>
      </c>
      <c r="F252" s="15" t="n">
        <v>1</v>
      </c>
      <c r="G252" s="33" t="n">
        <v>9522010010</v>
      </c>
      <c r="H252" s="34" t="inlineStr">
        <is>
          <t>Головка соединительная (управляющая)</t>
        </is>
      </c>
      <c r="I252" s="337">
        <f>89.6/1.2/0.98</f>
        <v/>
      </c>
      <c r="J252" s="337">
        <f>89.6/1.2</f>
        <v/>
      </c>
      <c r="K252" s="348" t="n"/>
      <c r="L252" s="348" t="n"/>
      <c r="M252" s="36" t="n"/>
      <c r="N252" s="284" t="n"/>
      <c r="O252" s="38" t="n"/>
      <c r="P252" s="284" t="n"/>
      <c r="Q252" s="36" t="n"/>
      <c r="R252" s="284" t="n"/>
      <c r="S252" s="38" t="n"/>
      <c r="T252" s="284" t="n"/>
      <c r="U252" s="36" t="n"/>
      <c r="V252" s="284" t="n"/>
      <c r="W252" s="38" t="n"/>
      <c r="X252" s="284" t="n"/>
      <c r="Y252" s="36" t="n"/>
      <c r="Z252" s="39" t="n"/>
      <c r="AA252" s="38" t="n"/>
      <c r="AB252" s="151" t="n"/>
      <c r="AC252" s="36" t="n"/>
      <c r="AD252" s="284" t="n"/>
      <c r="AE252" s="38" t="n"/>
      <c r="AF252" s="151" t="n"/>
      <c r="AG252" s="36" t="n"/>
      <c r="AH252" s="284" t="n"/>
      <c r="AI252" s="38" t="n"/>
      <c r="AJ252" s="151" t="n"/>
      <c r="AK252" s="36" t="n"/>
      <c r="AL252" s="284" t="n"/>
      <c r="AM252" s="38" t="n"/>
      <c r="AN252" s="151" t="n"/>
      <c r="AO252" s="36" t="n"/>
      <c r="AP252" s="284" t="n"/>
      <c r="AQ252" s="38" t="n"/>
      <c r="AR252" s="151" t="n"/>
      <c r="AS252" s="36" t="n"/>
      <c r="AT252" s="284" t="n"/>
      <c r="AU252" s="38" t="n"/>
      <c r="AV252" s="151" t="n"/>
      <c r="AW252" s="36" t="n"/>
      <c r="AX252" s="284" t="n"/>
      <c r="AY252" s="38" t="n"/>
      <c r="AZ252" s="151" t="n"/>
      <c r="BA252" s="36" t="n"/>
      <c r="BB252" s="284" t="n"/>
      <c r="BC252" s="92" t="n"/>
      <c r="BD252" s="284" t="n"/>
      <c r="BE252" s="36" t="n"/>
      <c r="BF252" s="284" t="n"/>
      <c r="BG252" s="54" t="n"/>
      <c r="BH252" s="284" t="n"/>
      <c r="BI252" s="338">
        <f>SUMPRODUCT(--(MOD(COLUMN($M252:$BH252),4)=MOD(COLUMN($M252),4)),$M252:$BH252)</f>
        <v/>
      </c>
      <c r="BJ252" s="339">
        <f>BI252*$I252</f>
        <v/>
      </c>
      <c r="BK252" s="340">
        <f>SUMPRODUCT(--(MOD(COLUMN($M252:$BH252),4)=MOD(COLUMN($M252)+1,4)),$M252:$BH252)</f>
        <v/>
      </c>
      <c r="BL252" s="341">
        <f>BK252*$I252</f>
        <v/>
      </c>
      <c r="BM252" s="342">
        <f>SUMPRODUCT(--(MOD(COLUMN($M252:$BH252),4)=MOD(COLUMN($M252)+2,4)),$M252:$BH252)</f>
        <v/>
      </c>
      <c r="BN252" s="343">
        <f>BM252*$I252</f>
        <v/>
      </c>
      <c r="BO252" s="36" t="n"/>
      <c r="BP252" s="47" t="n"/>
      <c r="BQ252" s="284" t="n"/>
      <c r="BR252" s="38" t="n"/>
      <c r="BS252" s="284" t="n"/>
      <c r="BT252" s="36" t="n"/>
      <c r="BU252" s="47" t="n"/>
      <c r="BV252" s="284" t="n"/>
      <c r="BW252" s="38" t="n"/>
      <c r="BX252" s="284" t="n"/>
      <c r="BY252" s="36" t="n"/>
      <c r="BZ252" s="47" t="n"/>
      <c r="CA252" s="284" t="n"/>
      <c r="CB252" s="38" t="n"/>
      <c r="CC252" s="284" t="n"/>
      <c r="CD252" s="36" t="n"/>
      <c r="CE252" s="47" t="n"/>
      <c r="CF252" s="284" t="n"/>
      <c r="CG252" s="38" t="n"/>
      <c r="CH252" s="284" t="n"/>
      <c r="CI252" s="36" t="n"/>
      <c r="CJ252" s="47" t="n"/>
      <c r="CK252" s="284" t="n"/>
      <c r="CL252" s="38" t="n"/>
      <c r="CM252" s="284" t="n"/>
      <c r="CN252" s="36" t="n"/>
      <c r="CO252" s="47" t="n"/>
      <c r="CP252" s="284" t="n"/>
      <c r="CQ252" s="38" t="n"/>
      <c r="CR252" s="284" t="n"/>
      <c r="CS252" s="36" t="n"/>
      <c r="CT252" s="47" t="n"/>
      <c r="CU252" s="39" t="n"/>
      <c r="CV252" s="38" t="n"/>
      <c r="CW252" s="284" t="n"/>
      <c r="CX252" s="36" t="n"/>
      <c r="CY252" s="47" t="n"/>
      <c r="CZ252" s="39" t="n"/>
      <c r="DA252" s="38" t="n"/>
      <c r="DB252" s="284" t="n"/>
      <c r="DC252" s="36" t="n"/>
      <c r="DD252" s="47" t="n"/>
      <c r="DE252" s="284" t="n"/>
      <c r="DF252" s="38" t="n"/>
      <c r="DG252" s="284" t="n"/>
      <c r="DH252" s="36" t="n"/>
      <c r="DI252" s="47" t="n"/>
      <c r="DJ252" s="284" t="n"/>
      <c r="DK252" s="38" t="n"/>
      <c r="DL252" s="284" t="n"/>
      <c r="DM252" s="36" t="n"/>
      <c r="DN252" s="47" t="n"/>
      <c r="DO252" s="284" t="n"/>
      <c r="DP252" s="38" t="n"/>
      <c r="DQ252" s="151" t="n"/>
      <c r="DR252" s="36" t="n"/>
      <c r="DS252" s="47" t="n"/>
      <c r="DT252" s="284" t="n"/>
      <c r="DU252" s="38" t="n">
        <v>0</v>
      </c>
      <c r="DV252" s="284" t="n"/>
      <c r="DW252" s="338">
        <f t="array" ref="DW252">SUMPRODUCT(--(MOD(COLUMN($BO252:$DV252),5)=MOD(COLUMN($BO252),5)),$BO252:$DV252)</f>
        <v/>
      </c>
      <c r="DX252" s="339">
        <f>DW252*$J252</f>
        <v/>
      </c>
      <c r="DY252" s="344">
        <f t="array" ref="DY252">SUMPRODUCT(--(MOD(COLUMN($BO252:$DV252),5)=MOD(COLUMN($BP252),5)),$BO252:$DV252)</f>
        <v/>
      </c>
      <c r="DZ252" s="345">
        <f>DY252*$J252</f>
        <v/>
      </c>
      <c r="EA252" s="340">
        <f t="array" ref="EA252">SUMPRODUCT(--(MOD(COLUMN($BO252:$DV252),5)=MOD(COLUMN($BQ252),5)),$BO252:$DV252)</f>
        <v/>
      </c>
      <c r="EB252" s="341">
        <f>EA252*$J252</f>
        <v/>
      </c>
      <c r="EC252" s="342">
        <f t="array" ref="EC252">SUMPRODUCT(--(MOD(COLUMN($BO252:$DV252),5)=MOD(COLUMN($BR252),5)),$BO252:$DV252)</f>
        <v/>
      </c>
      <c r="ED252" s="343">
        <f>EC252*$J252</f>
        <v/>
      </c>
      <c r="EE252" s="36" t="n"/>
      <c r="EF252" s="155" t="n">
        <v>1</v>
      </c>
      <c r="EG252" s="38" t="n">
        <v>1</v>
      </c>
      <c r="EH252" s="284" t="n"/>
      <c r="EI252" s="36" t="n"/>
      <c r="EJ252" s="284" t="n"/>
      <c r="EK252" s="38" t="n">
        <v>0</v>
      </c>
      <c r="EL252" s="284" t="n"/>
      <c r="EM252" s="36" t="n"/>
      <c r="EN252" s="284" t="n"/>
      <c r="EO252" s="38" t="n">
        <v>0</v>
      </c>
      <c r="EP252" s="284" t="n"/>
      <c r="EQ252" s="36" t="n"/>
      <c r="ER252" s="284" t="n"/>
      <c r="ES252" s="38" t="n"/>
      <c r="ET252" s="284" t="n"/>
      <c r="EU252" s="36" t="n"/>
      <c r="EV252" s="284" t="n"/>
      <c r="EW252" s="38" t="n"/>
      <c r="EX252" s="284" t="n"/>
      <c r="EY252" s="36" t="n"/>
      <c r="EZ252" s="284" t="n"/>
      <c r="FA252" s="38" t="n"/>
      <c r="FB252" s="284" t="n"/>
      <c r="FC252" s="36" t="n"/>
      <c r="FD252" s="284" t="n"/>
      <c r="FE252" s="38" t="n"/>
      <c r="FF252" s="284" t="n"/>
      <c r="FG252" s="36" t="n"/>
      <c r="FH252" s="284" t="n"/>
      <c r="FI252" s="38" t="n"/>
      <c r="FJ252" s="284" t="n"/>
      <c r="FK252" s="36" t="n"/>
      <c r="FL252" s="284" t="n"/>
      <c r="FM252" s="38" t="n"/>
      <c r="FN252" s="284" t="n"/>
      <c r="FO252" s="36" t="n"/>
      <c r="FP252" s="284" t="n"/>
      <c r="FQ252" s="38" t="n"/>
      <c r="FR252" s="284" t="n"/>
      <c r="FS252" s="36" t="n"/>
      <c r="FT252" s="284" t="n"/>
      <c r="FU252" s="38" t="n"/>
      <c r="FV252" s="284" t="n"/>
      <c r="FW252" s="36" t="n"/>
      <c r="FX252" s="284" t="n"/>
      <c r="FY252" s="38" t="n"/>
      <c r="FZ252" s="284" t="n"/>
      <c r="GA252" s="338">
        <f>SUMPRODUCT(--(MOD(COLUMN($EE252:$FZ252),4)=MOD(COLUMN($EE252),4)),$EE252:$FZ252)</f>
        <v/>
      </c>
      <c r="GB252" s="339">
        <f>GA252*$J252</f>
        <v/>
      </c>
      <c r="GC252" s="340">
        <f>SUMPRODUCT(--(MOD(COLUMN($EE252:$FZ252),4)=MOD(COLUMN($EF252),4)),$EE252:$FZ252)</f>
        <v/>
      </c>
      <c r="GD252" s="341">
        <f>GC252*$J252</f>
        <v/>
      </c>
      <c r="GE252" s="342">
        <f>SUMPRODUCT(--(MOD(COLUMN($EE252:$FZ252),4)=MOD(COLUMN($EG252),4)),$EE252:$FZ252)</f>
        <v/>
      </c>
      <c r="GF252" s="343">
        <f>GE252*$J252</f>
        <v/>
      </c>
      <c r="GG252" s="36" t="n"/>
      <c r="GH252" s="284" t="n"/>
      <c r="GI252" s="38" t="n"/>
      <c r="GJ252" s="284" t="n"/>
      <c r="GK252" s="36" t="n"/>
      <c r="GL252" s="284" t="n"/>
      <c r="GM252" s="38" t="n"/>
      <c r="GN252" s="284" t="n"/>
      <c r="GO252" s="36" t="n"/>
      <c r="GP252" s="284" t="n"/>
      <c r="GQ252" s="38" t="n"/>
      <c r="GR252" s="284" t="n"/>
      <c r="GS252" s="36" t="n"/>
      <c r="GT252" s="284" t="n"/>
      <c r="GU252" s="38" t="n"/>
      <c r="GV252" s="284" t="n"/>
      <c r="GW252" s="36" t="n"/>
      <c r="GX252" s="284" t="n"/>
      <c r="GY252" s="38" t="n"/>
      <c r="GZ252" s="284" t="n"/>
      <c r="HA252" s="36" t="n"/>
      <c r="HB252" s="284" t="n"/>
      <c r="HC252" s="38" t="n"/>
      <c r="HD252" s="284" t="n"/>
      <c r="HE252" s="36" t="n"/>
      <c r="HF252" s="284" t="n"/>
      <c r="HG252" s="38" t="n"/>
      <c r="HH252" s="284" t="n"/>
      <c r="HI252" s="36" t="n"/>
      <c r="HJ252" s="284" t="n"/>
      <c r="HK252" s="38" t="n"/>
      <c r="HL252" s="284" t="n"/>
      <c r="HM252" s="36" t="n"/>
      <c r="HN252" s="284" t="n"/>
      <c r="HO252" s="38" t="n"/>
      <c r="HP252" s="284" t="n"/>
      <c r="HQ252" s="36" t="n"/>
      <c r="HR252" s="284" t="n"/>
      <c r="HS252" s="38" t="n"/>
      <c r="HT252" s="284" t="n"/>
      <c r="HU252" s="36" t="n"/>
      <c r="HV252" s="284" t="n"/>
      <c r="HW252" s="38" t="n"/>
      <c r="HX252" s="284" t="n"/>
      <c r="HY252" s="36" t="n"/>
      <c r="HZ252" s="284" t="n"/>
      <c r="IA252" s="38" t="n"/>
      <c r="IB252" s="284" t="n"/>
      <c r="IC252" s="338">
        <f t="array" ref="IC252">SUMPRODUCT(--(MOD(COLUMN($GG252:$IB252),4)=MOD(COLUMN($GG252),4)),$GG252:$IB252)</f>
        <v/>
      </c>
      <c r="ID252" s="339">
        <f>IC252*$J252</f>
        <v/>
      </c>
      <c r="IE252" s="340">
        <f t="array" ref="IE252">SUMPRODUCT(--(MOD(COLUMN($GG252:$IB252),4)=MOD(COLUMN($GH252),4)),$GG252:$IB252)</f>
        <v/>
      </c>
      <c r="IF252" s="341">
        <f>IE252*$J252</f>
        <v/>
      </c>
      <c r="IG252" s="342">
        <f t="array" ref="IG252">SUMPRODUCT(--(MOD(COLUMN($GG252:$IB252),4)=MOD(COLUMN($GI252),4)),$GG252:$IB252)</f>
        <v/>
      </c>
      <c r="IH252" s="343">
        <f>IG252*$J252</f>
        <v/>
      </c>
      <c r="II252" s="36" t="n"/>
      <c r="IJ252" s="284" t="n"/>
      <c r="IK252" s="38" t="n"/>
      <c r="IL252" s="284" t="n"/>
      <c r="IM252" s="36" t="n"/>
      <c r="IN252" s="284" t="n"/>
      <c r="IO252" s="38" t="n"/>
      <c r="IP252" s="284" t="n"/>
      <c r="IQ252" s="36" t="n"/>
      <c r="IR252" s="284" t="n"/>
      <c r="IS252" s="38" t="n"/>
      <c r="IT252" s="284" t="n"/>
      <c r="IU252" s="36" t="n"/>
      <c r="IV252" s="284" t="n"/>
      <c r="IW252" s="38" t="n"/>
      <c r="IX252" s="284" t="n"/>
      <c r="IY252" s="36" t="n"/>
      <c r="IZ252" s="284" t="n"/>
      <c r="JA252" s="38" t="n"/>
      <c r="JB252" s="284" t="n"/>
      <c r="JC252" s="36" t="n"/>
      <c r="JD252" s="284" t="n"/>
      <c r="JE252" s="38" t="n"/>
      <c r="JF252" s="284" t="n"/>
      <c r="JG252" s="36" t="n"/>
      <c r="JH252" s="284" t="n"/>
      <c r="JI252" s="38" t="n"/>
      <c r="JJ252" s="284" t="n"/>
      <c r="JK252" s="36" t="n"/>
      <c r="JL252" s="284" t="n"/>
      <c r="JM252" s="38" t="n"/>
      <c r="JN252" s="284" t="n"/>
      <c r="JO252" s="36" t="n"/>
      <c r="JP252" s="284" t="n"/>
      <c r="JQ252" s="38" t="n"/>
      <c r="JR252" s="284" t="n"/>
      <c r="JS252" s="36" t="n"/>
      <c r="JT252" s="284" t="n"/>
      <c r="JU252" s="38" t="n"/>
      <c r="JV252" s="284" t="n"/>
      <c r="JW252" s="36" t="n"/>
      <c r="JX252" s="284" t="n"/>
      <c r="JY252" s="38" t="n"/>
      <c r="JZ252" s="284" t="n"/>
      <c r="KA252" s="36" t="n"/>
      <c r="KB252" s="284" t="n"/>
      <c r="KC252" s="38" t="n"/>
      <c r="KD252" s="284" t="n"/>
      <c r="KE252" s="338">
        <f t="array" ref="KE252">SUMPRODUCT(--(MOD(COLUMN($II252:$KD252),4)=MOD(COLUMN($II252),4)),$II252:$KD252)</f>
        <v/>
      </c>
      <c r="KF252" s="339">
        <f>KE252*$J252</f>
        <v/>
      </c>
      <c r="KG252" s="340">
        <f t="array" ref="KG252">SUMPRODUCT(--(MOD(COLUMN($II252:$KD252),4)=MOD(COLUMN($IJ252),4)),$II252:$KD252)</f>
        <v/>
      </c>
      <c r="KH252" s="341">
        <f>KG252*$J252</f>
        <v/>
      </c>
      <c r="KI252" s="342">
        <f t="array" ref="KI252">SUMPRODUCT(--(MOD(COLUMN($II252:$KD252),4)=MOD(COLUMN($IK252),4)),$II252:$KD252)</f>
        <v/>
      </c>
      <c r="KJ252" s="346">
        <f>KI252*$J252</f>
        <v/>
      </c>
      <c r="KK252" s="80" t="n"/>
      <c r="KL252" s="80" t="n"/>
      <c r="KM252" s="80" t="n"/>
      <c r="KN252" s="51" t="n"/>
      <c r="KO252" s="152" t="n"/>
    </row>
    <row r="253" outlineLevel="1" ht="43.2" customFormat="1" customHeight="1" s="68">
      <c r="A253" s="347" t="n"/>
      <c r="B253" s="347" t="n"/>
      <c r="C253" s="347" t="n"/>
      <c r="D253" s="347" t="n"/>
      <c r="E253" s="15" t="n">
        <v>2</v>
      </c>
      <c r="F253" s="15" t="n">
        <v>1</v>
      </c>
      <c r="G253" s="33" t="n">
        <v>9522010020</v>
      </c>
      <c r="H253" s="34" t="inlineStr">
        <is>
          <t>Головка соединительная (питающая)</t>
        </is>
      </c>
      <c r="I253" s="337">
        <f>89.6/1.2/0.98</f>
        <v/>
      </c>
      <c r="J253" s="337">
        <f>89.6/1.2</f>
        <v/>
      </c>
      <c r="K253" s="348" t="n"/>
      <c r="L253" s="348" t="n"/>
      <c r="M253" s="36" t="n"/>
      <c r="N253" s="284" t="n"/>
      <c r="O253" s="38" t="n"/>
      <c r="P253" s="284" t="n"/>
      <c r="Q253" s="36" t="n"/>
      <c r="R253" s="284" t="n"/>
      <c r="S253" s="38" t="n"/>
      <c r="T253" s="284" t="n"/>
      <c r="U253" s="36" t="n"/>
      <c r="V253" s="284" t="n"/>
      <c r="W253" s="38" t="n"/>
      <c r="X253" s="284" t="n"/>
      <c r="Y253" s="36" t="n"/>
      <c r="Z253" s="39" t="n"/>
      <c r="AA253" s="38" t="n"/>
      <c r="AB253" s="151" t="n"/>
      <c r="AC253" s="36" t="n"/>
      <c r="AD253" s="284" t="n"/>
      <c r="AE253" s="38" t="n"/>
      <c r="AF253" s="151" t="n"/>
      <c r="AG253" s="36" t="n"/>
      <c r="AH253" s="284" t="n"/>
      <c r="AI253" s="38" t="n"/>
      <c r="AJ253" s="151" t="n"/>
      <c r="AK253" s="36" t="n"/>
      <c r="AL253" s="284" t="n"/>
      <c r="AM253" s="38" t="n"/>
      <c r="AN253" s="151" t="n"/>
      <c r="AO253" s="36" t="n"/>
      <c r="AP253" s="284" t="n"/>
      <c r="AQ253" s="38" t="n"/>
      <c r="AR253" s="151" t="n"/>
      <c r="AS253" s="36" t="n"/>
      <c r="AT253" s="284" t="n"/>
      <c r="AU253" s="38" t="n"/>
      <c r="AV253" s="151" t="n"/>
      <c r="AW253" s="36" t="n"/>
      <c r="AX253" s="284" t="n"/>
      <c r="AY253" s="38" t="n"/>
      <c r="AZ253" s="151" t="n"/>
      <c r="BA253" s="36" t="n"/>
      <c r="BB253" s="284" t="n"/>
      <c r="BC253" s="92" t="n"/>
      <c r="BD253" s="284" t="n"/>
      <c r="BE253" s="36" t="n"/>
      <c r="BF253" s="284" t="n"/>
      <c r="BG253" s="54" t="n"/>
      <c r="BH253" s="284" t="n"/>
      <c r="BI253" s="338">
        <f>SUMPRODUCT(--(MOD(COLUMN($M253:$BH253),4)=MOD(COLUMN($M253),4)),$M253:$BH253)</f>
        <v/>
      </c>
      <c r="BJ253" s="339">
        <f>BI253*$I253</f>
        <v/>
      </c>
      <c r="BK253" s="340">
        <f>SUMPRODUCT(--(MOD(COLUMN($M253:$BH253),4)=MOD(COLUMN($M253)+1,4)),$M253:$BH253)</f>
        <v/>
      </c>
      <c r="BL253" s="341">
        <f>BK253*$I253</f>
        <v/>
      </c>
      <c r="BM253" s="342">
        <f>SUMPRODUCT(--(MOD(COLUMN($M253:$BH253),4)=MOD(COLUMN($M253)+2,4)),$M253:$BH253)</f>
        <v/>
      </c>
      <c r="BN253" s="343">
        <f>BM253*$I253</f>
        <v/>
      </c>
      <c r="BO253" s="36" t="n"/>
      <c r="BP253" s="47" t="n"/>
      <c r="BQ253" s="284" t="n"/>
      <c r="BR253" s="38" t="n"/>
      <c r="BS253" s="284" t="n"/>
      <c r="BT253" s="36" t="n"/>
      <c r="BU253" s="47" t="n"/>
      <c r="BV253" s="284" t="n"/>
      <c r="BW253" s="38" t="n"/>
      <c r="BX253" s="284" t="n"/>
      <c r="BY253" s="36" t="n"/>
      <c r="BZ253" s="47" t="n"/>
      <c r="CA253" s="284" t="n"/>
      <c r="CB253" s="38" t="n"/>
      <c r="CC253" s="284" t="n"/>
      <c r="CD253" s="36" t="n"/>
      <c r="CE253" s="47" t="n"/>
      <c r="CF253" s="284" t="n"/>
      <c r="CG253" s="38" t="n"/>
      <c r="CH253" s="284" t="n"/>
      <c r="CI253" s="36" t="n"/>
      <c r="CJ253" s="47" t="n"/>
      <c r="CK253" s="284" t="n"/>
      <c r="CL253" s="38" t="n"/>
      <c r="CM253" s="284" t="n"/>
      <c r="CN253" s="36" t="n"/>
      <c r="CO253" s="47" t="n"/>
      <c r="CP253" s="284" t="n"/>
      <c r="CQ253" s="38" t="n"/>
      <c r="CR253" s="284" t="n"/>
      <c r="CS253" s="36" t="n"/>
      <c r="CT253" s="47" t="n"/>
      <c r="CU253" s="39" t="n"/>
      <c r="CV253" s="38" t="n"/>
      <c r="CW253" s="284" t="n"/>
      <c r="CX253" s="36" t="n"/>
      <c r="CY253" s="47" t="n"/>
      <c r="CZ253" s="39" t="n"/>
      <c r="DA253" s="38" t="n"/>
      <c r="DB253" s="284" t="n"/>
      <c r="DC253" s="36" t="n"/>
      <c r="DD253" s="47" t="n"/>
      <c r="DE253" s="284" t="n"/>
      <c r="DF253" s="38" t="n"/>
      <c r="DG253" s="284" t="n"/>
      <c r="DH253" s="36" t="n"/>
      <c r="DI253" s="47" t="n"/>
      <c r="DJ253" s="284" t="n"/>
      <c r="DK253" s="38" t="n"/>
      <c r="DL253" s="284" t="n"/>
      <c r="DM253" s="36" t="n"/>
      <c r="DN253" s="47" t="n"/>
      <c r="DO253" s="284" t="n"/>
      <c r="DP253" s="38" t="n"/>
      <c r="DQ253" s="151" t="n"/>
      <c r="DR253" s="36" t="n"/>
      <c r="DS253" s="47" t="n"/>
      <c r="DT253" s="284" t="n"/>
      <c r="DU253" s="38" t="n">
        <v>0</v>
      </c>
      <c r="DV253" s="284" t="n"/>
      <c r="DW253" s="338">
        <f t="array" ref="DW253">SUMPRODUCT(--(MOD(COLUMN($BO253:$DV253),5)=MOD(COLUMN($BO253),5)),$BO253:$DV253)</f>
        <v/>
      </c>
      <c r="DX253" s="339">
        <f>DW253*$J253</f>
        <v/>
      </c>
      <c r="DY253" s="344">
        <f t="array" ref="DY253">SUMPRODUCT(--(MOD(COLUMN($BO253:$DV253),5)=MOD(COLUMN($BP253),5)),$BO253:$DV253)</f>
        <v/>
      </c>
      <c r="DZ253" s="345">
        <f>DY253*$J253</f>
        <v/>
      </c>
      <c r="EA253" s="340">
        <f t="array" ref="EA253">SUMPRODUCT(--(MOD(COLUMN($BO253:$DV253),5)=MOD(COLUMN($BQ253),5)),$BO253:$DV253)</f>
        <v/>
      </c>
      <c r="EB253" s="341">
        <f>EA253*$J253</f>
        <v/>
      </c>
      <c r="EC253" s="342">
        <f t="array" ref="EC253">SUMPRODUCT(--(MOD(COLUMN($BO253:$DV253),5)=MOD(COLUMN($BR253),5)),$BO253:$DV253)</f>
        <v/>
      </c>
      <c r="ED253" s="343">
        <f>EC253*$J253</f>
        <v/>
      </c>
      <c r="EE253" s="36" t="n"/>
      <c r="EF253" s="155" t="n">
        <v>1</v>
      </c>
      <c r="EG253" s="38" t="n">
        <v>1</v>
      </c>
      <c r="EH253" s="347" t="n"/>
      <c r="EI253" s="36" t="n"/>
      <c r="EJ253" s="284" t="n"/>
      <c r="EK253" s="38" t="n"/>
      <c r="EL253" s="284" t="n"/>
      <c r="EM253" s="36" t="n"/>
      <c r="EN253" s="284" t="n"/>
      <c r="EO253" s="38" t="n">
        <v>0</v>
      </c>
      <c r="EP253" s="284" t="n"/>
      <c r="EQ253" s="36" t="n"/>
      <c r="ER253" s="284" t="n"/>
      <c r="ES253" s="38" t="n"/>
      <c r="ET253" s="284" t="n"/>
      <c r="EU253" s="36" t="n"/>
      <c r="EV253" s="284" t="n"/>
      <c r="EW253" s="38" t="n"/>
      <c r="EX253" s="284" t="n"/>
      <c r="EY253" s="36" t="n"/>
      <c r="EZ253" s="284" t="n"/>
      <c r="FA253" s="38" t="n"/>
      <c r="FB253" s="284" t="n"/>
      <c r="FC253" s="36" t="n"/>
      <c r="FD253" s="284" t="n"/>
      <c r="FE253" s="38" t="n"/>
      <c r="FF253" s="284" t="n"/>
      <c r="FG253" s="36" t="n"/>
      <c r="FH253" s="284" t="n"/>
      <c r="FI253" s="38" t="n"/>
      <c r="FJ253" s="284" t="n"/>
      <c r="FK253" s="36" t="n"/>
      <c r="FL253" s="284" t="n"/>
      <c r="FM253" s="38" t="n"/>
      <c r="FN253" s="284" t="n"/>
      <c r="FO253" s="36" t="n"/>
      <c r="FP253" s="284" t="n"/>
      <c r="FQ253" s="38" t="n"/>
      <c r="FR253" s="284" t="n"/>
      <c r="FS253" s="36" t="n"/>
      <c r="FT253" s="284" t="n"/>
      <c r="FU253" s="38" t="n"/>
      <c r="FV253" s="284" t="n"/>
      <c r="FW253" s="36" t="n"/>
      <c r="FX253" s="284" t="n"/>
      <c r="FY253" s="38" t="n"/>
      <c r="FZ253" s="284" t="n"/>
      <c r="GA253" s="338">
        <f>SUMPRODUCT(--(MOD(COLUMN($EE253:$FZ253),4)=MOD(COLUMN($EE253),4)),$EE253:$FZ253)</f>
        <v/>
      </c>
      <c r="GB253" s="339">
        <f>GA253*$J253</f>
        <v/>
      </c>
      <c r="GC253" s="340">
        <f>SUMPRODUCT(--(MOD(COLUMN($EE253:$FZ253),4)=MOD(COLUMN($EF253),4)),$EE253:$FZ253)</f>
        <v/>
      </c>
      <c r="GD253" s="341">
        <f>GC253*$J253</f>
        <v/>
      </c>
      <c r="GE253" s="342">
        <f>SUMPRODUCT(--(MOD(COLUMN($EE253:$FZ253),4)=MOD(COLUMN($EG253),4)),$EE253:$FZ253)</f>
        <v/>
      </c>
      <c r="GF253" s="343">
        <f>GE253*$J253</f>
        <v/>
      </c>
      <c r="GG253" s="36" t="n"/>
      <c r="GH253" s="284" t="n"/>
      <c r="GI253" s="38" t="n"/>
      <c r="GJ253" s="284" t="n"/>
      <c r="GK253" s="36" t="n"/>
      <c r="GL253" s="284" t="n"/>
      <c r="GM253" s="38" t="n"/>
      <c r="GN253" s="284" t="n"/>
      <c r="GO253" s="36" t="n"/>
      <c r="GP253" s="284" t="n"/>
      <c r="GQ253" s="38" t="n"/>
      <c r="GR253" s="284" t="n"/>
      <c r="GS253" s="36" t="n"/>
      <c r="GT253" s="284" t="n"/>
      <c r="GU253" s="38" t="n"/>
      <c r="GV253" s="284" t="n"/>
      <c r="GW253" s="36" t="n"/>
      <c r="GX253" s="284" t="n"/>
      <c r="GY253" s="38" t="n"/>
      <c r="GZ253" s="284" t="n"/>
      <c r="HA253" s="36" t="n"/>
      <c r="HB253" s="284" t="n"/>
      <c r="HC253" s="38" t="n"/>
      <c r="HD253" s="284" t="n"/>
      <c r="HE253" s="36" t="n"/>
      <c r="HF253" s="284" t="n"/>
      <c r="HG253" s="38" t="n"/>
      <c r="HH253" s="284" t="n"/>
      <c r="HI253" s="36" t="n"/>
      <c r="HJ253" s="284" t="n"/>
      <c r="HK253" s="38" t="n"/>
      <c r="HL253" s="284" t="n"/>
      <c r="HM253" s="36" t="n"/>
      <c r="HN253" s="284" t="n"/>
      <c r="HO253" s="38" t="n"/>
      <c r="HP253" s="284" t="n"/>
      <c r="HQ253" s="36" t="n"/>
      <c r="HR253" s="284" t="n"/>
      <c r="HS253" s="38" t="n"/>
      <c r="HT253" s="284" t="n"/>
      <c r="HU253" s="36" t="n"/>
      <c r="HV253" s="284" t="n"/>
      <c r="HW253" s="38" t="n"/>
      <c r="HX253" s="284" t="n"/>
      <c r="HY253" s="36" t="n"/>
      <c r="HZ253" s="284" t="n"/>
      <c r="IA253" s="38" t="n"/>
      <c r="IB253" s="284" t="n"/>
      <c r="IC253" s="338">
        <f t="array" ref="IC253">SUMPRODUCT(--(MOD(COLUMN($GG253:$IB253),4)=MOD(COLUMN($GG253),4)),$GG253:$IB253)</f>
        <v/>
      </c>
      <c r="ID253" s="339">
        <f>IC253*$J253</f>
        <v/>
      </c>
      <c r="IE253" s="340">
        <f t="array" ref="IE253">SUMPRODUCT(--(MOD(COLUMN($GG253:$IB253),4)=MOD(COLUMN($GH253),4)),$GG253:$IB253)</f>
        <v/>
      </c>
      <c r="IF253" s="341">
        <f>IE253*$J253</f>
        <v/>
      </c>
      <c r="IG253" s="342">
        <f t="array" ref="IG253">SUMPRODUCT(--(MOD(COLUMN($GG253:$IB253),4)=MOD(COLUMN($GI253),4)),$GG253:$IB253)</f>
        <v/>
      </c>
      <c r="IH253" s="343">
        <f>IG253*$J253</f>
        <v/>
      </c>
      <c r="II253" s="36" t="n"/>
      <c r="IJ253" s="284" t="n"/>
      <c r="IK253" s="38" t="n"/>
      <c r="IL253" s="284" t="n"/>
      <c r="IM253" s="36" t="n"/>
      <c r="IN253" s="284" t="n"/>
      <c r="IO253" s="38" t="n"/>
      <c r="IP253" s="284" t="n"/>
      <c r="IQ253" s="36" t="n"/>
      <c r="IR253" s="284" t="n"/>
      <c r="IS253" s="38" t="n"/>
      <c r="IT253" s="284" t="n"/>
      <c r="IU253" s="36" t="n"/>
      <c r="IV253" s="284" t="n"/>
      <c r="IW253" s="38" t="n"/>
      <c r="IX253" s="284" t="n"/>
      <c r="IY253" s="36" t="n"/>
      <c r="IZ253" s="284" t="n"/>
      <c r="JA253" s="38" t="n"/>
      <c r="JB253" s="284" t="n"/>
      <c r="JC253" s="36" t="n"/>
      <c r="JD253" s="284" t="n"/>
      <c r="JE253" s="38" t="n"/>
      <c r="JF253" s="284" t="n"/>
      <c r="JG253" s="36" t="n"/>
      <c r="JH253" s="284" t="n"/>
      <c r="JI253" s="38" t="n"/>
      <c r="JJ253" s="284" t="n"/>
      <c r="JK253" s="36" t="n"/>
      <c r="JL253" s="284" t="n"/>
      <c r="JM253" s="38" t="n"/>
      <c r="JN253" s="284" t="n"/>
      <c r="JO253" s="36" t="n"/>
      <c r="JP253" s="284" t="n"/>
      <c r="JQ253" s="38" t="n"/>
      <c r="JR253" s="284" t="n"/>
      <c r="JS253" s="36" t="n"/>
      <c r="JT253" s="284" t="n"/>
      <c r="JU253" s="38" t="n"/>
      <c r="JV253" s="284" t="n"/>
      <c r="JW253" s="36" t="n"/>
      <c r="JX253" s="284" t="n"/>
      <c r="JY253" s="38" t="n"/>
      <c r="JZ253" s="284" t="n"/>
      <c r="KA253" s="36" t="n"/>
      <c r="KB253" s="284" t="n"/>
      <c r="KC253" s="38" t="n"/>
      <c r="KD253" s="284" t="n"/>
      <c r="KE253" s="338">
        <f t="array" ref="KE253">SUMPRODUCT(--(MOD(COLUMN($II253:$KD253),4)=MOD(COLUMN($II253),4)),$II253:$KD253)</f>
        <v/>
      </c>
      <c r="KF253" s="339">
        <f>KE253*$J253</f>
        <v/>
      </c>
      <c r="KG253" s="340">
        <f t="array" ref="KG253">SUMPRODUCT(--(MOD(COLUMN($II253:$KD253),4)=MOD(COLUMN($IJ253),4)),$II253:$KD253)</f>
        <v/>
      </c>
      <c r="KH253" s="341">
        <f>KG253*$J253</f>
        <v/>
      </c>
      <c r="KI253" s="342">
        <f t="array" ref="KI253">SUMPRODUCT(--(MOD(COLUMN($II253:$KD253),4)=MOD(COLUMN($IK253),4)),$II253:$KD253)</f>
        <v/>
      </c>
      <c r="KJ253" s="346">
        <f>KI253*$J253</f>
        <v/>
      </c>
      <c r="KK253" s="80" t="n"/>
      <c r="KL253" s="80" t="n"/>
      <c r="KM253" s="80" t="n"/>
      <c r="KN253" s="51" t="n"/>
      <c r="KO253" s="152" t="n"/>
    </row>
    <row r="254" outlineLevel="1" ht="60" customFormat="1" customHeight="1" s="68">
      <c r="A254" s="347" t="n"/>
      <c r="B254" s="347" t="n"/>
      <c r="C254" s="347" t="n"/>
      <c r="D254" s="347" t="n"/>
      <c r="E254" s="15" t="n">
        <v>3</v>
      </c>
      <c r="F254" s="15" t="n">
        <v>1</v>
      </c>
      <c r="G254" s="33" t="n">
        <v>9710029000</v>
      </c>
      <c r="H254" s="34" t="inlineStr">
        <is>
          <t>Воздухораспределитель с клапаном растормаживания</t>
        </is>
      </c>
      <c r="I254" s="337">
        <f>639/1.2/0.98</f>
        <v/>
      </c>
      <c r="J254" s="337">
        <f>639/1.2</f>
        <v/>
      </c>
      <c r="K254" s="348" t="n"/>
      <c r="L254" s="348" t="n"/>
      <c r="M254" s="36" t="n"/>
      <c r="N254" s="284" t="n"/>
      <c r="O254" s="38" t="n"/>
      <c r="P254" s="284" t="n"/>
      <c r="Q254" s="36" t="n"/>
      <c r="R254" s="284" t="n"/>
      <c r="S254" s="38" t="n"/>
      <c r="T254" s="284" t="n"/>
      <c r="U254" s="36" t="n"/>
      <c r="V254" s="284" t="n"/>
      <c r="W254" s="38" t="n"/>
      <c r="X254" s="284" t="n"/>
      <c r="Y254" s="36" t="n"/>
      <c r="Z254" s="39" t="n"/>
      <c r="AA254" s="38" t="n"/>
      <c r="AB254" s="151" t="n"/>
      <c r="AC254" s="36" t="n"/>
      <c r="AD254" s="284" t="n"/>
      <c r="AE254" s="38" t="n"/>
      <c r="AF254" s="151" t="n"/>
      <c r="AG254" s="36" t="n"/>
      <c r="AH254" s="284" t="n"/>
      <c r="AI254" s="38" t="n"/>
      <c r="AJ254" s="151" t="n"/>
      <c r="AK254" s="36" t="n"/>
      <c r="AL254" s="284" t="n"/>
      <c r="AM254" s="38" t="n"/>
      <c r="AN254" s="151" t="n"/>
      <c r="AO254" s="36" t="n"/>
      <c r="AP254" s="284" t="n"/>
      <c r="AQ254" s="38" t="n"/>
      <c r="AR254" s="151" t="n"/>
      <c r="AS254" s="36" t="n"/>
      <c r="AT254" s="284" t="n"/>
      <c r="AU254" s="38" t="n"/>
      <c r="AV254" s="151" t="n"/>
      <c r="AW254" s="36" t="n"/>
      <c r="AX254" s="284" t="n"/>
      <c r="AY254" s="54" t="n"/>
      <c r="AZ254" s="151" t="n"/>
      <c r="BA254" s="36" t="n"/>
      <c r="BB254" s="284" t="n"/>
      <c r="BC254" s="92" t="n"/>
      <c r="BD254" s="284" t="n"/>
      <c r="BE254" s="36" t="n"/>
      <c r="BF254" s="284" t="n"/>
      <c r="BG254" s="54" t="n"/>
      <c r="BH254" s="284" t="n"/>
      <c r="BI254" s="338">
        <f>SUMPRODUCT(--(MOD(COLUMN($M254:$BH254),4)=MOD(COLUMN($M254),4)),$M254:$BH254)</f>
        <v/>
      </c>
      <c r="BJ254" s="339">
        <f>BI254*$I254</f>
        <v/>
      </c>
      <c r="BK254" s="340">
        <f>SUMPRODUCT(--(MOD(COLUMN($M254:$BH254),4)=MOD(COLUMN($M254)+1,4)),$M254:$BH254)</f>
        <v/>
      </c>
      <c r="BL254" s="341">
        <f>BK254*$I254</f>
        <v/>
      </c>
      <c r="BM254" s="342">
        <f>SUMPRODUCT(--(MOD(COLUMN($M254:$BH254),4)=MOD(COLUMN($M254)+2,4)),$M254:$BH254)</f>
        <v/>
      </c>
      <c r="BN254" s="343">
        <f>BM254*$I254</f>
        <v/>
      </c>
      <c r="BO254" s="36" t="n"/>
      <c r="BP254" s="47" t="n"/>
      <c r="BQ254" s="284" t="n"/>
      <c r="BR254" s="38" t="n"/>
      <c r="BS254" s="284" t="n"/>
      <c r="BT254" s="36" t="n"/>
      <c r="BU254" s="47" t="n"/>
      <c r="BV254" s="284" t="n"/>
      <c r="BW254" s="38" t="n"/>
      <c r="BX254" s="284" t="n"/>
      <c r="BY254" s="36" t="n"/>
      <c r="BZ254" s="47" t="n"/>
      <c r="CA254" s="284" t="n"/>
      <c r="CB254" s="38" t="n"/>
      <c r="CC254" s="284" t="n"/>
      <c r="CD254" s="36" t="n"/>
      <c r="CE254" s="47" t="n"/>
      <c r="CF254" s="284" t="n"/>
      <c r="CG254" s="38" t="n"/>
      <c r="CH254" s="284" t="n"/>
      <c r="CI254" s="36" t="n"/>
      <c r="CJ254" s="47" t="n"/>
      <c r="CK254" s="284" t="n"/>
      <c r="CL254" s="38" t="n"/>
      <c r="CM254" s="284" t="n"/>
      <c r="CN254" s="36" t="n"/>
      <c r="CO254" s="47" t="n"/>
      <c r="CP254" s="284" t="n"/>
      <c r="CQ254" s="38" t="n"/>
      <c r="CR254" s="284" t="n"/>
      <c r="CS254" s="36" t="n"/>
      <c r="CT254" s="47" t="n"/>
      <c r="CU254" s="39" t="n"/>
      <c r="CV254" s="38" t="n"/>
      <c r="CW254" s="284" t="n"/>
      <c r="CX254" s="36" t="n"/>
      <c r="CY254" s="47" t="n"/>
      <c r="CZ254" s="39" t="n"/>
      <c r="DA254" s="38" t="n"/>
      <c r="DB254" s="284" t="n"/>
      <c r="DC254" s="36" t="n"/>
      <c r="DD254" s="47" t="n"/>
      <c r="DE254" s="284" t="n"/>
      <c r="DF254" s="38" t="n"/>
      <c r="DG254" s="284" t="n"/>
      <c r="DH254" s="36" t="n"/>
      <c r="DI254" s="47" t="n"/>
      <c r="DJ254" s="284" t="n"/>
      <c r="DK254" s="38" t="n"/>
      <c r="DL254" s="284" t="n"/>
      <c r="DM254" s="36" t="n"/>
      <c r="DN254" s="47" t="n"/>
      <c r="DO254" s="284" t="n"/>
      <c r="DP254" s="38" t="n"/>
      <c r="DQ254" s="151" t="n"/>
      <c r="DR254" s="36" t="n"/>
      <c r="DS254" s="47" t="n"/>
      <c r="DT254" s="284" t="n"/>
      <c r="DU254" s="38" t="n">
        <v>0</v>
      </c>
      <c r="DV254" s="284" t="n"/>
      <c r="DW254" s="338">
        <f t="array" ref="DW254">SUMPRODUCT(--(MOD(COLUMN($BO254:$DV254),5)=MOD(COLUMN($BO254),5)),$BO254:$DV254)</f>
        <v/>
      </c>
      <c r="DX254" s="339">
        <f>DW254*$J254</f>
        <v/>
      </c>
      <c r="DY254" s="344">
        <f t="array" ref="DY254">SUMPRODUCT(--(MOD(COLUMN($BO254:$DV254),5)=MOD(COLUMN($BP254),5)),$BO254:$DV254)</f>
        <v/>
      </c>
      <c r="DZ254" s="345">
        <f>DY254*$J254</f>
        <v/>
      </c>
      <c r="EA254" s="340">
        <f t="array" ref="EA254">SUMPRODUCT(--(MOD(COLUMN($BO254:$DV254),5)=MOD(COLUMN($BQ254),5)),$BO254:$DV254)</f>
        <v/>
      </c>
      <c r="EB254" s="341">
        <f>EA254*$J254</f>
        <v/>
      </c>
      <c r="EC254" s="342">
        <f t="array" ref="EC254">SUMPRODUCT(--(MOD(COLUMN($BO254:$DV254),5)=MOD(COLUMN($BR254),5)),$BO254:$DV254)</f>
        <v/>
      </c>
      <c r="ED254" s="343">
        <f>EC254*$J254</f>
        <v/>
      </c>
      <c r="EE254" s="36" t="n"/>
      <c r="EF254" s="155" t="n">
        <v>1</v>
      </c>
      <c r="EG254" s="38" t="n">
        <v>1</v>
      </c>
      <c r="EH254" s="347" t="n"/>
      <c r="EI254" s="36" t="n"/>
      <c r="EJ254" s="284" t="n"/>
      <c r="EK254" s="38" t="n"/>
      <c r="EL254" s="284" t="n"/>
      <c r="EM254" s="36" t="n"/>
      <c r="EN254" s="284" t="n"/>
      <c r="EO254" s="38" t="n">
        <v>0</v>
      </c>
      <c r="EP254" s="284" t="n"/>
      <c r="EQ254" s="36" t="n"/>
      <c r="ER254" s="284" t="n"/>
      <c r="ES254" s="38" t="n"/>
      <c r="ET254" s="284" t="n"/>
      <c r="EU254" s="36" t="n"/>
      <c r="EV254" s="284" t="n"/>
      <c r="EW254" s="38" t="n"/>
      <c r="EX254" s="284" t="n"/>
      <c r="EY254" s="36" t="n"/>
      <c r="EZ254" s="284" t="n"/>
      <c r="FA254" s="38" t="n"/>
      <c r="FB254" s="284" t="n"/>
      <c r="FC254" s="36" t="n"/>
      <c r="FD254" s="284" t="n"/>
      <c r="FE254" s="38" t="n"/>
      <c r="FF254" s="284" t="n"/>
      <c r="FG254" s="36" t="n"/>
      <c r="FH254" s="284" t="n"/>
      <c r="FI254" s="38" t="n"/>
      <c r="FJ254" s="284" t="n"/>
      <c r="FK254" s="36" t="n"/>
      <c r="FL254" s="284" t="n"/>
      <c r="FM254" s="38" t="n"/>
      <c r="FN254" s="284" t="n"/>
      <c r="FO254" s="36" t="n"/>
      <c r="FP254" s="284" t="n"/>
      <c r="FQ254" s="38" t="n"/>
      <c r="FR254" s="284" t="n"/>
      <c r="FS254" s="36" t="n"/>
      <c r="FT254" s="284" t="n"/>
      <c r="FU254" s="38" t="n"/>
      <c r="FV254" s="284" t="n"/>
      <c r="FW254" s="36" t="n"/>
      <c r="FX254" s="284" t="n"/>
      <c r="FY254" s="38" t="n"/>
      <c r="FZ254" s="284" t="n"/>
      <c r="GA254" s="338">
        <f>SUMPRODUCT(--(MOD(COLUMN($EE254:$FZ254),4)=MOD(COLUMN($EE254),4)),$EE254:$FZ254)</f>
        <v/>
      </c>
      <c r="GB254" s="339">
        <f>GA254*$J254</f>
        <v/>
      </c>
      <c r="GC254" s="340">
        <f>SUMPRODUCT(--(MOD(COLUMN($EE254:$FZ254),4)=MOD(COLUMN($EF254),4)),$EE254:$FZ254)</f>
        <v/>
      </c>
      <c r="GD254" s="341">
        <f>GC254*$J254</f>
        <v/>
      </c>
      <c r="GE254" s="342">
        <f>SUMPRODUCT(--(MOD(COLUMN($EE254:$FZ254),4)=MOD(COLUMN($EG254),4)),$EE254:$FZ254)</f>
        <v/>
      </c>
      <c r="GF254" s="343">
        <f>GE254*$J254</f>
        <v/>
      </c>
      <c r="GG254" s="36" t="n"/>
      <c r="GH254" s="284" t="n"/>
      <c r="GI254" s="38" t="n"/>
      <c r="GJ254" s="284" t="n"/>
      <c r="GK254" s="36" t="n"/>
      <c r="GL254" s="284" t="n"/>
      <c r="GM254" s="38" t="n"/>
      <c r="GN254" s="284" t="n"/>
      <c r="GO254" s="36" t="n"/>
      <c r="GP254" s="284" t="n"/>
      <c r="GQ254" s="38" t="n"/>
      <c r="GR254" s="284" t="n"/>
      <c r="GS254" s="36" t="n"/>
      <c r="GT254" s="284" t="n"/>
      <c r="GU254" s="38" t="n"/>
      <c r="GV254" s="284" t="n"/>
      <c r="GW254" s="36" t="n"/>
      <c r="GX254" s="284" t="n"/>
      <c r="GY254" s="38" t="n"/>
      <c r="GZ254" s="284" t="n"/>
      <c r="HA254" s="36" t="n"/>
      <c r="HB254" s="284" t="n"/>
      <c r="HC254" s="38" t="n"/>
      <c r="HD254" s="284" t="n"/>
      <c r="HE254" s="36" t="n"/>
      <c r="HF254" s="284" t="n"/>
      <c r="HG254" s="38" t="n"/>
      <c r="HH254" s="284" t="n"/>
      <c r="HI254" s="36" t="n"/>
      <c r="HJ254" s="284" t="n"/>
      <c r="HK254" s="38" t="n"/>
      <c r="HL254" s="284" t="n"/>
      <c r="HM254" s="36" t="n"/>
      <c r="HN254" s="284" t="n"/>
      <c r="HO254" s="38" t="n"/>
      <c r="HP254" s="284" t="n"/>
      <c r="HQ254" s="36" t="n"/>
      <c r="HR254" s="284" t="n"/>
      <c r="HS254" s="38" t="n"/>
      <c r="HT254" s="284" t="n"/>
      <c r="HU254" s="36" t="n"/>
      <c r="HV254" s="284" t="n"/>
      <c r="HW254" s="38" t="n"/>
      <c r="HX254" s="284" t="n"/>
      <c r="HY254" s="36" t="n"/>
      <c r="HZ254" s="284" t="n"/>
      <c r="IA254" s="38" t="n"/>
      <c r="IB254" s="284" t="n"/>
      <c r="IC254" s="338">
        <f t="array" ref="IC254">SUMPRODUCT(--(MOD(COLUMN($GG254:$IB254),4)=MOD(COLUMN($GG254),4)),$GG254:$IB254)</f>
        <v/>
      </c>
      <c r="ID254" s="339">
        <f>IC254*$J254</f>
        <v/>
      </c>
      <c r="IE254" s="340">
        <f t="array" ref="IE254">SUMPRODUCT(--(MOD(COLUMN($GG254:$IB254),4)=MOD(COLUMN($GH254),4)),$GG254:$IB254)</f>
        <v/>
      </c>
      <c r="IF254" s="341">
        <f>IE254*$J254</f>
        <v/>
      </c>
      <c r="IG254" s="342">
        <f t="array" ref="IG254">SUMPRODUCT(--(MOD(COLUMN($GG254:$IB254),4)=MOD(COLUMN($GI254),4)),$GG254:$IB254)</f>
        <v/>
      </c>
      <c r="IH254" s="343">
        <f>IG254*$J254</f>
        <v/>
      </c>
      <c r="II254" s="36" t="n"/>
      <c r="IJ254" s="284" t="n"/>
      <c r="IK254" s="38" t="n"/>
      <c r="IL254" s="284" t="n"/>
      <c r="IM254" s="36" t="n"/>
      <c r="IN254" s="284" t="n"/>
      <c r="IO254" s="38" t="n"/>
      <c r="IP254" s="284" t="n"/>
      <c r="IQ254" s="36" t="n"/>
      <c r="IR254" s="284" t="n"/>
      <c r="IS254" s="38" t="n"/>
      <c r="IT254" s="284" t="n"/>
      <c r="IU254" s="36" t="n"/>
      <c r="IV254" s="284" t="n"/>
      <c r="IW254" s="38" t="n"/>
      <c r="IX254" s="284" t="n"/>
      <c r="IY254" s="36" t="n"/>
      <c r="IZ254" s="284" t="n"/>
      <c r="JA254" s="38" t="n"/>
      <c r="JB254" s="284" t="n"/>
      <c r="JC254" s="36" t="n"/>
      <c r="JD254" s="284" t="n"/>
      <c r="JE254" s="38" t="n"/>
      <c r="JF254" s="284" t="n"/>
      <c r="JG254" s="36" t="n"/>
      <c r="JH254" s="284" t="n"/>
      <c r="JI254" s="38" t="n"/>
      <c r="JJ254" s="284" t="n"/>
      <c r="JK254" s="36" t="n"/>
      <c r="JL254" s="284" t="n"/>
      <c r="JM254" s="38" t="n"/>
      <c r="JN254" s="284" t="n"/>
      <c r="JO254" s="36" t="n"/>
      <c r="JP254" s="284" t="n"/>
      <c r="JQ254" s="38" t="n"/>
      <c r="JR254" s="284" t="n"/>
      <c r="JS254" s="36" t="n"/>
      <c r="JT254" s="284" t="n"/>
      <c r="JU254" s="38" t="n"/>
      <c r="JV254" s="284" t="n"/>
      <c r="JW254" s="36" t="n"/>
      <c r="JX254" s="284" t="n"/>
      <c r="JY254" s="38" t="n"/>
      <c r="JZ254" s="284" t="n"/>
      <c r="KA254" s="36" t="n"/>
      <c r="KB254" s="284" t="n"/>
      <c r="KC254" s="38" t="n"/>
      <c r="KD254" s="284" t="n"/>
      <c r="KE254" s="338">
        <f t="array" ref="KE254">SUMPRODUCT(--(MOD(COLUMN($II254:$KD254),4)=MOD(COLUMN($II254),4)),$II254:$KD254)</f>
        <v/>
      </c>
      <c r="KF254" s="339">
        <f>KE254*$J254</f>
        <v/>
      </c>
      <c r="KG254" s="340">
        <f t="array" ref="KG254">SUMPRODUCT(--(MOD(COLUMN($II254:$KD254),4)=MOD(COLUMN($IJ254),4)),$II254:$KD254)</f>
        <v/>
      </c>
      <c r="KH254" s="341">
        <f>KG254*$J254</f>
        <v/>
      </c>
      <c r="KI254" s="342">
        <f t="array" ref="KI254">SUMPRODUCT(--(MOD(COLUMN($II254:$KD254),4)=MOD(COLUMN($IK254),4)),$II254:$KD254)</f>
        <v/>
      </c>
      <c r="KJ254" s="346">
        <f>KI254*$J254</f>
        <v/>
      </c>
      <c r="KK254" s="80" t="n"/>
      <c r="KL254" s="80" t="n"/>
      <c r="KM254" s="80" t="n"/>
      <c r="KN254" s="51" t="n"/>
      <c r="KO254" s="152" t="n"/>
    </row>
    <row r="255" outlineLevel="1" ht="28.8" customFormat="1" customHeight="1" s="68">
      <c r="A255" s="347" t="n"/>
      <c r="B255" s="347" t="n"/>
      <c r="C255" s="347" t="n"/>
      <c r="D255" s="347" t="n"/>
      <c r="E255" s="15" t="n">
        <v>4</v>
      </c>
      <c r="F255" s="15" t="n">
        <v>1</v>
      </c>
      <c r="G255" s="33" t="n">
        <v>4801020640</v>
      </c>
      <c r="H255" s="34" t="inlineStr">
        <is>
          <t>Модулятор EBS, с PEM, без фит.</t>
        </is>
      </c>
      <c r="I255" s="348">
        <f>4169.1/1.2*1.048</f>
        <v/>
      </c>
      <c r="J255" s="337">
        <f>4169/1.2*1.048*1.05</f>
        <v/>
      </c>
      <c r="K255" s="348" t="n"/>
      <c r="L255" s="348" t="n"/>
      <c r="M255" s="36" t="n"/>
      <c r="N255" s="284" t="n"/>
      <c r="O255" s="38" t="n"/>
      <c r="P255" s="284" t="n"/>
      <c r="Q255" s="36" t="n"/>
      <c r="R255" s="284" t="n"/>
      <c r="S255" s="38" t="n"/>
      <c r="T255" s="284" t="n"/>
      <c r="U255" s="36" t="n"/>
      <c r="V255" s="284" t="n"/>
      <c r="W255" s="38" t="n"/>
      <c r="X255" s="284" t="n"/>
      <c r="Y255" s="36" t="n"/>
      <c r="Z255" s="39" t="n"/>
      <c r="AA255" s="38" t="n"/>
      <c r="AB255" s="151" t="n"/>
      <c r="AC255" s="36" t="n"/>
      <c r="AD255" s="284" t="n"/>
      <c r="AE255" s="38" t="n"/>
      <c r="AF255" s="151" t="n"/>
      <c r="AG255" s="36" t="n"/>
      <c r="AH255" s="284" t="n"/>
      <c r="AI255" s="38" t="n"/>
      <c r="AJ255" s="151" t="n"/>
      <c r="AK255" s="36" t="n"/>
      <c r="AL255" s="284" t="n"/>
      <c r="AM255" s="38" t="n"/>
      <c r="AN255" s="151" t="n"/>
      <c r="AO255" s="36" t="n"/>
      <c r="AP255" s="284" t="n"/>
      <c r="AQ255" s="38" t="n"/>
      <c r="AR255" s="151" t="n"/>
      <c r="AS255" s="36" t="n"/>
      <c r="AT255" s="284" t="n"/>
      <c r="AU255" s="38" t="n"/>
      <c r="AV255" s="151" t="n"/>
      <c r="AW255" s="36" t="n"/>
      <c r="AX255" s="284" t="n"/>
      <c r="AY255" s="54" t="n"/>
      <c r="AZ255" s="151" t="n"/>
      <c r="BA255" s="36" t="n"/>
      <c r="BB255" s="284" t="n"/>
      <c r="BC255" s="92" t="n"/>
      <c r="BD255" s="284" t="n"/>
      <c r="BE255" s="36" t="n"/>
      <c r="BF255" s="284" t="n"/>
      <c r="BG255" s="54" t="n"/>
      <c r="BH255" s="284" t="n"/>
      <c r="BI255" s="338">
        <f>SUMPRODUCT(--(MOD(COLUMN($M255:$BH255),4)=MOD(COLUMN($M255),4)),$M255:$BH255)</f>
        <v/>
      </c>
      <c r="BJ255" s="339">
        <f>BI255*$I255</f>
        <v/>
      </c>
      <c r="BK255" s="340">
        <f>SUMPRODUCT(--(MOD(COLUMN($M255:$BH255),4)=MOD(COLUMN($M255)+1,4)),$M255:$BH255)</f>
        <v/>
      </c>
      <c r="BL255" s="341">
        <f>BK255*$I255</f>
        <v/>
      </c>
      <c r="BM255" s="342">
        <f>SUMPRODUCT(--(MOD(COLUMN($M255:$BH255),4)=MOD(COLUMN($M255)+2,4)),$M255:$BH255)</f>
        <v/>
      </c>
      <c r="BN255" s="343">
        <f>BM255*$I255</f>
        <v/>
      </c>
      <c r="BO255" s="36" t="n"/>
      <c r="BP255" s="47" t="n"/>
      <c r="BQ255" s="284" t="n"/>
      <c r="BR255" s="38" t="n"/>
      <c r="BS255" s="284" t="n"/>
      <c r="BT255" s="36" t="n"/>
      <c r="BU255" s="47" t="n"/>
      <c r="BV255" s="284" t="n"/>
      <c r="BW255" s="38" t="n"/>
      <c r="BX255" s="284" t="n"/>
      <c r="BY255" s="36" t="n"/>
      <c r="BZ255" s="47" t="n"/>
      <c r="CA255" s="284" t="n"/>
      <c r="CB255" s="38" t="n"/>
      <c r="CC255" s="284" t="n"/>
      <c r="CD255" s="36" t="n"/>
      <c r="CE255" s="47" t="n"/>
      <c r="CF255" s="284" t="n"/>
      <c r="CG255" s="38" t="n"/>
      <c r="CH255" s="284" t="n"/>
      <c r="CI255" s="36" t="n"/>
      <c r="CJ255" s="47" t="n"/>
      <c r="CK255" s="284" t="n"/>
      <c r="CL255" s="38" t="n"/>
      <c r="CM255" s="284" t="n"/>
      <c r="CN255" s="36" t="n"/>
      <c r="CO255" s="47" t="n"/>
      <c r="CP255" s="284" t="n"/>
      <c r="CQ255" s="38" t="n"/>
      <c r="CR255" s="284" t="n"/>
      <c r="CS255" s="36" t="n"/>
      <c r="CT255" s="47" t="n"/>
      <c r="CU255" s="39" t="n"/>
      <c r="CV255" s="38" t="n"/>
      <c r="CW255" s="284" t="n"/>
      <c r="CX255" s="36" t="n"/>
      <c r="CY255" s="47" t="n"/>
      <c r="CZ255" s="39" t="n"/>
      <c r="DA255" s="38" t="n"/>
      <c r="DB255" s="284" t="n"/>
      <c r="DC255" s="36" t="n"/>
      <c r="DD255" s="47" t="n"/>
      <c r="DE255" s="284" t="n"/>
      <c r="DF255" s="38" t="n"/>
      <c r="DG255" s="284" t="n"/>
      <c r="DH255" s="36" t="n"/>
      <c r="DI255" s="47" t="n"/>
      <c r="DJ255" s="284" t="n"/>
      <c r="DK255" s="38" t="n"/>
      <c r="DL255" s="284" t="n"/>
      <c r="DM255" s="36" t="n"/>
      <c r="DN255" s="47" t="n"/>
      <c r="DO255" s="284" t="n"/>
      <c r="DP255" s="38" t="n"/>
      <c r="DQ255" s="151" t="n"/>
      <c r="DR255" s="36" t="n"/>
      <c r="DS255" s="47" t="n"/>
      <c r="DT255" s="284" t="n"/>
      <c r="DU255" s="38" t="n">
        <v>0</v>
      </c>
      <c r="DV255" s="284" t="n"/>
      <c r="DW255" s="338">
        <f t="array" ref="DW255">SUMPRODUCT(--(MOD(COLUMN($BO255:$DV255),5)=MOD(COLUMN($BO255),5)),$BO255:$DV255)</f>
        <v/>
      </c>
      <c r="DX255" s="339">
        <f>DW255*$J255</f>
        <v/>
      </c>
      <c r="DY255" s="344">
        <f t="array" ref="DY255">SUMPRODUCT(--(MOD(COLUMN($BO255:$DV255),5)=MOD(COLUMN($BP255),5)),$BO255:$DV255)</f>
        <v/>
      </c>
      <c r="DZ255" s="345">
        <f>DY255*$J255</f>
        <v/>
      </c>
      <c r="EA255" s="340">
        <f t="array" ref="EA255">SUMPRODUCT(--(MOD(COLUMN($BO255:$DV255),5)=MOD(COLUMN($BQ255),5)),$BO255:$DV255)</f>
        <v/>
      </c>
      <c r="EB255" s="341">
        <f>EA255*$J255</f>
        <v/>
      </c>
      <c r="EC255" s="342">
        <f t="array" ref="EC255">SUMPRODUCT(--(MOD(COLUMN($BO255:$DV255),5)=MOD(COLUMN($BR255),5)),$BO255:$DV255)</f>
        <v/>
      </c>
      <c r="ED255" s="343">
        <f>EC255*$J255</f>
        <v/>
      </c>
      <c r="EE255" s="36" t="n"/>
      <c r="EF255" s="155" t="n">
        <v>1</v>
      </c>
      <c r="EG255" s="38" t="n">
        <v>1</v>
      </c>
      <c r="EH255" s="347" t="n"/>
      <c r="EI255" s="36" t="n"/>
      <c r="EJ255" s="284" t="n"/>
      <c r="EK255" s="38" t="n"/>
      <c r="EL255" s="284" t="n"/>
      <c r="EM255" s="36" t="n"/>
      <c r="EN255" s="284" t="n"/>
      <c r="EO255" s="38" t="n">
        <v>0</v>
      </c>
      <c r="EP255" s="284" t="n"/>
      <c r="EQ255" s="36" t="n"/>
      <c r="ER255" s="284" t="n"/>
      <c r="ES255" s="38" t="n"/>
      <c r="ET255" s="284" t="n"/>
      <c r="EU255" s="36" t="n"/>
      <c r="EV255" s="284" t="n"/>
      <c r="EW255" s="38" t="n"/>
      <c r="EX255" s="284" t="n"/>
      <c r="EY255" s="36" t="n"/>
      <c r="EZ255" s="284" t="n"/>
      <c r="FA255" s="38" t="n"/>
      <c r="FB255" s="284" t="n"/>
      <c r="FC255" s="36" t="n"/>
      <c r="FD255" s="284" t="n"/>
      <c r="FE255" s="38" t="n"/>
      <c r="FF255" s="284" t="n"/>
      <c r="FG255" s="36" t="n"/>
      <c r="FH255" s="284" t="n"/>
      <c r="FI255" s="38" t="n"/>
      <c r="FJ255" s="284" t="n"/>
      <c r="FK255" s="36" t="n"/>
      <c r="FL255" s="284" t="n"/>
      <c r="FM255" s="38" t="n"/>
      <c r="FN255" s="284" t="n"/>
      <c r="FO255" s="36" t="n"/>
      <c r="FP255" s="284" t="n"/>
      <c r="FQ255" s="38" t="n"/>
      <c r="FR255" s="284" t="n"/>
      <c r="FS255" s="36" t="n"/>
      <c r="FT255" s="284" t="n"/>
      <c r="FU255" s="38" t="n"/>
      <c r="FV255" s="284" t="n"/>
      <c r="FW255" s="36" t="n"/>
      <c r="FX255" s="284" t="n"/>
      <c r="FY255" s="38" t="n"/>
      <c r="FZ255" s="284" t="n"/>
      <c r="GA255" s="338">
        <f>SUMPRODUCT(--(MOD(COLUMN($EE255:$FZ255),4)=MOD(COLUMN($EE255),4)),$EE255:$FZ255)</f>
        <v/>
      </c>
      <c r="GB255" s="339">
        <f>GA255*$J255</f>
        <v/>
      </c>
      <c r="GC255" s="340">
        <f>SUMPRODUCT(--(MOD(COLUMN($EE255:$FZ255),4)=MOD(COLUMN($EF255),4)),$EE255:$FZ255)</f>
        <v/>
      </c>
      <c r="GD255" s="341">
        <f>GC255*$J255</f>
        <v/>
      </c>
      <c r="GE255" s="342">
        <f>SUMPRODUCT(--(MOD(COLUMN($EE255:$FZ255),4)=MOD(COLUMN($EG255),4)),$EE255:$FZ255)</f>
        <v/>
      </c>
      <c r="GF255" s="343">
        <f>GE255*$J255</f>
        <v/>
      </c>
      <c r="GG255" s="36" t="n"/>
      <c r="GH255" s="284" t="n"/>
      <c r="GI255" s="38" t="n"/>
      <c r="GJ255" s="284" t="n"/>
      <c r="GK255" s="36" t="n"/>
      <c r="GL255" s="284" t="n"/>
      <c r="GM255" s="38" t="n"/>
      <c r="GN255" s="284" t="n"/>
      <c r="GO255" s="36" t="n"/>
      <c r="GP255" s="284" t="n"/>
      <c r="GQ255" s="38" t="n"/>
      <c r="GR255" s="284" t="n"/>
      <c r="GS255" s="36" t="n"/>
      <c r="GT255" s="284" t="n"/>
      <c r="GU255" s="38" t="n"/>
      <c r="GV255" s="284" t="n"/>
      <c r="GW255" s="36" t="n"/>
      <c r="GX255" s="284" t="n"/>
      <c r="GY255" s="38" t="n"/>
      <c r="GZ255" s="284" t="n"/>
      <c r="HA255" s="36" t="n"/>
      <c r="HB255" s="284" t="n"/>
      <c r="HC255" s="38" t="n"/>
      <c r="HD255" s="284" t="n"/>
      <c r="HE255" s="36" t="n"/>
      <c r="HF255" s="284" t="n"/>
      <c r="HG255" s="38" t="n"/>
      <c r="HH255" s="284" t="n"/>
      <c r="HI255" s="36" t="n"/>
      <c r="HJ255" s="284" t="n"/>
      <c r="HK255" s="38" t="n"/>
      <c r="HL255" s="284" t="n"/>
      <c r="HM255" s="36" t="n"/>
      <c r="HN255" s="284" t="n"/>
      <c r="HO255" s="38" t="n"/>
      <c r="HP255" s="284" t="n"/>
      <c r="HQ255" s="36" t="n"/>
      <c r="HR255" s="284" t="n"/>
      <c r="HS255" s="38" t="n"/>
      <c r="HT255" s="284" t="n"/>
      <c r="HU255" s="36" t="n"/>
      <c r="HV255" s="284" t="n"/>
      <c r="HW255" s="38" t="n"/>
      <c r="HX255" s="284" t="n"/>
      <c r="HY255" s="36" t="n"/>
      <c r="HZ255" s="284" t="n"/>
      <c r="IA255" s="38" t="n"/>
      <c r="IB255" s="284" t="n"/>
      <c r="IC255" s="338">
        <f t="array" ref="IC255">SUMPRODUCT(--(MOD(COLUMN($GG255:$IB255),4)=MOD(COLUMN($GG255),4)),$GG255:$IB255)</f>
        <v/>
      </c>
      <c r="ID255" s="339">
        <f>IC255*$J255</f>
        <v/>
      </c>
      <c r="IE255" s="340">
        <f t="array" ref="IE255">SUMPRODUCT(--(MOD(COLUMN($GG255:$IB255),4)=MOD(COLUMN($GH255),4)),$GG255:$IB255)</f>
        <v/>
      </c>
      <c r="IF255" s="341">
        <f>IE255*$J255</f>
        <v/>
      </c>
      <c r="IG255" s="342">
        <f t="array" ref="IG255">SUMPRODUCT(--(MOD(COLUMN($GG255:$IB255),4)=MOD(COLUMN($GI255),4)),$GG255:$IB255)</f>
        <v/>
      </c>
      <c r="IH255" s="343">
        <f>IG255*$J255</f>
        <v/>
      </c>
      <c r="II255" s="36" t="n"/>
      <c r="IJ255" s="284" t="n"/>
      <c r="IK255" s="38" t="n"/>
      <c r="IL255" s="284" t="n"/>
      <c r="IM255" s="36" t="n"/>
      <c r="IN255" s="284" t="n"/>
      <c r="IO255" s="38" t="n"/>
      <c r="IP255" s="284" t="n"/>
      <c r="IQ255" s="36" t="n"/>
      <c r="IR255" s="284" t="n"/>
      <c r="IS255" s="38" t="n"/>
      <c r="IT255" s="284" t="n"/>
      <c r="IU255" s="36" t="n"/>
      <c r="IV255" s="284" t="n"/>
      <c r="IW255" s="38" t="n"/>
      <c r="IX255" s="284" t="n"/>
      <c r="IY255" s="36" t="n"/>
      <c r="IZ255" s="284" t="n"/>
      <c r="JA255" s="38" t="n"/>
      <c r="JB255" s="284" t="n"/>
      <c r="JC255" s="36" t="n"/>
      <c r="JD255" s="284" t="n"/>
      <c r="JE255" s="38" t="n"/>
      <c r="JF255" s="284" t="n"/>
      <c r="JG255" s="36" t="n"/>
      <c r="JH255" s="284" t="n"/>
      <c r="JI255" s="38" t="n"/>
      <c r="JJ255" s="284" t="n"/>
      <c r="JK255" s="36" t="n"/>
      <c r="JL255" s="284" t="n"/>
      <c r="JM255" s="38" t="n"/>
      <c r="JN255" s="284" t="n"/>
      <c r="JO255" s="36" t="n"/>
      <c r="JP255" s="284" t="n"/>
      <c r="JQ255" s="38" t="n"/>
      <c r="JR255" s="284" t="n"/>
      <c r="JS255" s="36" t="n"/>
      <c r="JT255" s="284" t="n"/>
      <c r="JU255" s="38" t="n"/>
      <c r="JV255" s="284" t="n"/>
      <c r="JW255" s="36" t="n"/>
      <c r="JX255" s="284" t="n"/>
      <c r="JY255" s="38" t="n"/>
      <c r="JZ255" s="284" t="n"/>
      <c r="KA255" s="36" t="n"/>
      <c r="KB255" s="284" t="n"/>
      <c r="KC255" s="38" t="n"/>
      <c r="KD255" s="284" t="n"/>
      <c r="KE255" s="338">
        <f t="array" ref="KE255">SUMPRODUCT(--(MOD(COLUMN($II255:$KD255),4)=MOD(COLUMN($II255),4)),$II255:$KD255)</f>
        <v/>
      </c>
      <c r="KF255" s="339">
        <f>KE255*$J255</f>
        <v/>
      </c>
      <c r="KG255" s="340">
        <f t="array" ref="KG255">SUMPRODUCT(--(MOD(COLUMN($II255:$KD255),4)=MOD(COLUMN($IJ255),4)),$II255:$KD255)</f>
        <v/>
      </c>
      <c r="KH255" s="341">
        <f>KG255*$J255</f>
        <v/>
      </c>
      <c r="KI255" s="342">
        <f t="array" ref="KI255">SUMPRODUCT(--(MOD(COLUMN($II255:$KD255),4)=MOD(COLUMN($IK255),4)),$II255:$KD255)</f>
        <v/>
      </c>
      <c r="KJ255" s="346">
        <f>KI255*$J255</f>
        <v/>
      </c>
      <c r="KK255" s="80" t="n"/>
      <c r="KL255" s="80" t="n"/>
      <c r="KM255" s="80" t="n"/>
      <c r="KN255" s="51" t="n"/>
      <c r="KO255" s="152" t="n"/>
    </row>
    <row r="256" outlineLevel="1" customFormat="1" s="68">
      <c r="A256" s="347" t="n"/>
      <c r="B256" s="347" t="n"/>
      <c r="C256" s="347" t="n"/>
      <c r="D256" s="347" t="n"/>
      <c r="E256" s="15" t="n">
        <v>5</v>
      </c>
      <c r="F256" s="15" t="n">
        <v>1</v>
      </c>
      <c r="G256" s="33" t="n">
        <v>4497230300</v>
      </c>
      <c r="H256" s="34" t="inlineStr">
        <is>
          <t>Кабель датчика, 3 м</t>
        </is>
      </c>
      <c r="I256" s="337" t="n"/>
      <c r="J256" s="337">
        <f>68.4/1.2</f>
        <v/>
      </c>
      <c r="K256" s="348" t="n"/>
      <c r="L256" s="348" t="n"/>
      <c r="M256" s="36" t="n"/>
      <c r="N256" s="284" t="n"/>
      <c r="O256" s="38" t="n"/>
      <c r="P256" s="284" t="n"/>
      <c r="Q256" s="36" t="n"/>
      <c r="R256" s="284" t="n"/>
      <c r="S256" s="38" t="n"/>
      <c r="T256" s="284" t="n"/>
      <c r="U256" s="36" t="n"/>
      <c r="V256" s="284" t="n"/>
      <c r="W256" s="38" t="n"/>
      <c r="X256" s="284" t="n"/>
      <c r="Y256" s="36" t="n"/>
      <c r="Z256" s="39" t="n"/>
      <c r="AA256" s="38" t="n"/>
      <c r="AB256" s="151" t="n"/>
      <c r="AC256" s="36" t="n"/>
      <c r="AD256" s="284" t="n"/>
      <c r="AE256" s="38" t="n"/>
      <c r="AF256" s="151" t="n"/>
      <c r="AG256" s="36" t="n"/>
      <c r="AH256" s="284" t="n"/>
      <c r="AI256" s="38" t="n"/>
      <c r="AJ256" s="151" t="n"/>
      <c r="AK256" s="36" t="n"/>
      <c r="AL256" s="284" t="n"/>
      <c r="AM256" s="38" t="n"/>
      <c r="AN256" s="151" t="n"/>
      <c r="AO256" s="36" t="n"/>
      <c r="AP256" s="284" t="n"/>
      <c r="AQ256" s="38" t="n"/>
      <c r="AR256" s="151" t="n"/>
      <c r="AS256" s="36" t="n"/>
      <c r="AT256" s="284" t="n"/>
      <c r="AU256" s="38" t="n"/>
      <c r="AV256" s="151" t="n"/>
      <c r="AW256" s="36" t="n"/>
      <c r="AX256" s="284" t="n"/>
      <c r="AY256" s="54" t="n"/>
      <c r="AZ256" s="151" t="n"/>
      <c r="BA256" s="36" t="n"/>
      <c r="BB256" s="284" t="n"/>
      <c r="BC256" s="92" t="n"/>
      <c r="BD256" s="284" t="n"/>
      <c r="BE256" s="36" t="n"/>
      <c r="BF256" s="284" t="n"/>
      <c r="BG256" s="54" t="n"/>
      <c r="BH256" s="284" t="n"/>
      <c r="BI256" s="338" t="n"/>
      <c r="BJ256" s="339" t="n"/>
      <c r="BK256" s="340" t="n"/>
      <c r="BL256" s="341" t="n"/>
      <c r="BM256" s="342" t="n"/>
      <c r="BN256" s="343" t="n"/>
      <c r="BO256" s="36" t="n"/>
      <c r="BP256" s="47" t="n"/>
      <c r="BQ256" s="284" t="n"/>
      <c r="BR256" s="38" t="n"/>
      <c r="BS256" s="284" t="n"/>
      <c r="BT256" s="36" t="n"/>
      <c r="BU256" s="47" t="n"/>
      <c r="BV256" s="284" t="n"/>
      <c r="BW256" s="38" t="n"/>
      <c r="BX256" s="284" t="n"/>
      <c r="BY256" s="36" t="n"/>
      <c r="BZ256" s="47" t="n"/>
      <c r="CA256" s="284" t="n"/>
      <c r="CB256" s="38" t="n"/>
      <c r="CC256" s="284" t="n"/>
      <c r="CD256" s="36" t="n"/>
      <c r="CE256" s="47" t="n"/>
      <c r="CF256" s="284" t="n"/>
      <c r="CG256" s="38" t="n"/>
      <c r="CH256" s="284" t="n"/>
      <c r="CI256" s="36" t="n"/>
      <c r="CJ256" s="47" t="n"/>
      <c r="CK256" s="284" t="n"/>
      <c r="CL256" s="38" t="n"/>
      <c r="CM256" s="284" t="n"/>
      <c r="CN256" s="36" t="n"/>
      <c r="CO256" s="47" t="n"/>
      <c r="CP256" s="284" t="n"/>
      <c r="CQ256" s="38" t="n"/>
      <c r="CR256" s="284" t="n"/>
      <c r="CS256" s="36" t="n"/>
      <c r="CT256" s="47" t="n"/>
      <c r="CU256" s="39" t="n"/>
      <c r="CV256" s="38" t="n"/>
      <c r="CW256" s="284" t="n"/>
      <c r="CX256" s="36" t="n"/>
      <c r="CY256" s="47" t="n"/>
      <c r="CZ256" s="39" t="n"/>
      <c r="DA256" s="38" t="n"/>
      <c r="DB256" s="284" t="n"/>
      <c r="DC256" s="36" t="n"/>
      <c r="DD256" s="47" t="n"/>
      <c r="DE256" s="284" t="n"/>
      <c r="DF256" s="38" t="n"/>
      <c r="DG256" s="284" t="n"/>
      <c r="DH256" s="36" t="n"/>
      <c r="DI256" s="47" t="n"/>
      <c r="DJ256" s="284" t="n"/>
      <c r="DK256" s="38" t="n"/>
      <c r="DL256" s="284" t="n"/>
      <c r="DM256" s="36" t="n"/>
      <c r="DN256" s="47" t="n"/>
      <c r="DO256" s="284" t="n"/>
      <c r="DP256" s="38" t="n"/>
      <c r="DQ256" s="151" t="n"/>
      <c r="DR256" s="36" t="n"/>
      <c r="DS256" s="47" t="n"/>
      <c r="DT256" s="284" t="n"/>
      <c r="DU256" s="38" t="n">
        <v>0</v>
      </c>
      <c r="DV256" s="284" t="n"/>
      <c r="DW256" s="338">
        <f t="array" ref="DW256">SUMPRODUCT(--(MOD(COLUMN($BO256:$DV256),5)=MOD(COLUMN($BO256),5)),$BO256:$DV256)</f>
        <v/>
      </c>
      <c r="DX256" s="339">
        <f>DW256*$J256</f>
        <v/>
      </c>
      <c r="DY256" s="344">
        <f t="array" ref="DY256">SUMPRODUCT(--(MOD(COLUMN($BO256:$DV256),5)=MOD(COLUMN($BP256),5)),$BO256:$DV256)</f>
        <v/>
      </c>
      <c r="DZ256" s="345">
        <f>DY256*$J256</f>
        <v/>
      </c>
      <c r="EA256" s="340">
        <f t="array" ref="EA256">SUMPRODUCT(--(MOD(COLUMN($BO256:$DV256),5)=MOD(COLUMN($BQ256),5)),$BO256:$DV256)</f>
        <v/>
      </c>
      <c r="EB256" s="341">
        <f>EA256*$J256</f>
        <v/>
      </c>
      <c r="EC256" s="342">
        <f t="array" ref="EC256">SUMPRODUCT(--(MOD(COLUMN($BO256:$DV256),5)=MOD(COLUMN($BR256),5)),$BO256:$DV256)</f>
        <v/>
      </c>
      <c r="ED256" s="343">
        <f>EC256*$J256</f>
        <v/>
      </c>
      <c r="EE256" s="36" t="n"/>
      <c r="EF256" s="155" t="n">
        <v>4</v>
      </c>
      <c r="EG256" s="38" t="n">
        <v>4</v>
      </c>
      <c r="EH256" s="347" t="n"/>
      <c r="EI256" s="36" t="n"/>
      <c r="EJ256" s="284" t="n"/>
      <c r="EK256" s="38" t="n"/>
      <c r="EL256" s="284" t="n"/>
      <c r="EM256" s="36" t="n"/>
      <c r="EN256" s="284" t="n"/>
      <c r="EO256" s="38" t="n">
        <v>0</v>
      </c>
      <c r="EP256" s="284" t="n"/>
      <c r="EQ256" s="36" t="n"/>
      <c r="ER256" s="284" t="n"/>
      <c r="ES256" s="38" t="n"/>
      <c r="ET256" s="284" t="n"/>
      <c r="EU256" s="36" t="n"/>
      <c r="EV256" s="284" t="n"/>
      <c r="EW256" s="38" t="n"/>
      <c r="EX256" s="284" t="n"/>
      <c r="EY256" s="36" t="n"/>
      <c r="EZ256" s="284" t="n"/>
      <c r="FA256" s="38" t="n"/>
      <c r="FB256" s="284" t="n"/>
      <c r="FC256" s="36" t="n"/>
      <c r="FD256" s="284" t="n"/>
      <c r="FE256" s="38" t="n"/>
      <c r="FF256" s="284" t="n"/>
      <c r="FG256" s="36" t="n"/>
      <c r="FH256" s="284" t="n"/>
      <c r="FI256" s="38" t="n"/>
      <c r="FJ256" s="284" t="n"/>
      <c r="FK256" s="36" t="n"/>
      <c r="FL256" s="284" t="n"/>
      <c r="FM256" s="38" t="n"/>
      <c r="FN256" s="284" t="n"/>
      <c r="FO256" s="36" t="n"/>
      <c r="FP256" s="284" t="n"/>
      <c r="FQ256" s="38" t="n"/>
      <c r="FR256" s="284" t="n"/>
      <c r="FS256" s="36" t="n"/>
      <c r="FT256" s="284" t="n"/>
      <c r="FU256" s="38" t="n"/>
      <c r="FV256" s="284" t="n"/>
      <c r="FW256" s="36" t="n"/>
      <c r="FX256" s="284" t="n"/>
      <c r="FY256" s="38" t="n"/>
      <c r="FZ256" s="284" t="n"/>
      <c r="GA256" s="338">
        <f>SUMPRODUCT(--(MOD(COLUMN($EE256:$FZ256),4)=MOD(COLUMN($EE256),4)),$EE256:$FZ256)</f>
        <v/>
      </c>
      <c r="GB256" s="339">
        <f>GA256*$J256</f>
        <v/>
      </c>
      <c r="GC256" s="340">
        <f>SUMPRODUCT(--(MOD(COLUMN($EE256:$FZ256),4)=MOD(COLUMN($EF256),4)),$EE256:$FZ256)</f>
        <v/>
      </c>
      <c r="GD256" s="341">
        <f>GC256*$J256</f>
        <v/>
      </c>
      <c r="GE256" s="342">
        <f>SUMPRODUCT(--(MOD(COLUMN($EE256:$FZ256),4)=MOD(COLUMN($EG256),4)),$EE256:$FZ256)</f>
        <v/>
      </c>
      <c r="GF256" s="343">
        <f>GE256*$J256</f>
        <v/>
      </c>
      <c r="GG256" s="36" t="n"/>
      <c r="GH256" s="284" t="n"/>
      <c r="GI256" s="38" t="n"/>
      <c r="GJ256" s="284" t="n"/>
      <c r="GK256" s="36" t="n"/>
      <c r="GL256" s="284" t="n"/>
      <c r="GM256" s="38" t="n"/>
      <c r="GN256" s="284" t="n"/>
      <c r="GO256" s="36" t="n"/>
      <c r="GP256" s="284" t="n"/>
      <c r="GQ256" s="38" t="n"/>
      <c r="GR256" s="284" t="n"/>
      <c r="GS256" s="36" t="n"/>
      <c r="GT256" s="284" t="n"/>
      <c r="GU256" s="38" t="n"/>
      <c r="GV256" s="284" t="n"/>
      <c r="GW256" s="36" t="n"/>
      <c r="GX256" s="284" t="n"/>
      <c r="GY256" s="38" t="n"/>
      <c r="GZ256" s="284" t="n"/>
      <c r="HA256" s="36" t="n"/>
      <c r="HB256" s="284" t="n"/>
      <c r="HC256" s="38" t="n"/>
      <c r="HD256" s="284" t="n"/>
      <c r="HE256" s="36" t="n"/>
      <c r="HF256" s="284" t="n"/>
      <c r="HG256" s="38" t="n"/>
      <c r="HH256" s="284" t="n"/>
      <c r="HI256" s="36" t="n"/>
      <c r="HJ256" s="284" t="n"/>
      <c r="HK256" s="38" t="n"/>
      <c r="HL256" s="284" t="n"/>
      <c r="HM256" s="36" t="n"/>
      <c r="HN256" s="284" t="n"/>
      <c r="HO256" s="38" t="n"/>
      <c r="HP256" s="284" t="n"/>
      <c r="HQ256" s="36" t="n"/>
      <c r="HR256" s="284" t="n"/>
      <c r="HS256" s="38" t="n"/>
      <c r="HT256" s="284" t="n"/>
      <c r="HU256" s="36" t="n"/>
      <c r="HV256" s="284" t="n"/>
      <c r="HW256" s="38" t="n"/>
      <c r="HX256" s="284" t="n"/>
      <c r="HY256" s="36" t="n"/>
      <c r="HZ256" s="284" t="n"/>
      <c r="IA256" s="38" t="n"/>
      <c r="IB256" s="284" t="n"/>
      <c r="IC256" s="338">
        <f t="array" ref="IC256">SUMPRODUCT(--(MOD(COLUMN($GG256:$IB256),4)=MOD(COLUMN($GG256),4)),$GG256:$IB256)</f>
        <v/>
      </c>
      <c r="ID256" s="339">
        <f>IC256*$J256</f>
        <v/>
      </c>
      <c r="IE256" s="340">
        <f t="array" ref="IE256">SUMPRODUCT(--(MOD(COLUMN($GG256:$IB256),4)=MOD(COLUMN($GH256),4)),$GG256:$IB256)</f>
        <v/>
      </c>
      <c r="IF256" s="341">
        <f>IE256*$J256</f>
        <v/>
      </c>
      <c r="IG256" s="342">
        <f t="array" ref="IG256">SUMPRODUCT(--(MOD(COLUMN($GG256:$IB256),4)=MOD(COLUMN($GI256),4)),$GG256:$IB256)</f>
        <v/>
      </c>
      <c r="IH256" s="343">
        <f>IG256*$J256</f>
        <v/>
      </c>
      <c r="II256" s="36" t="n"/>
      <c r="IJ256" s="284" t="n"/>
      <c r="IK256" s="38" t="n"/>
      <c r="IL256" s="284" t="n"/>
      <c r="IM256" s="36" t="n"/>
      <c r="IN256" s="284" t="n"/>
      <c r="IO256" s="38" t="n"/>
      <c r="IP256" s="284" t="n"/>
      <c r="IQ256" s="36" t="n"/>
      <c r="IR256" s="284" t="n"/>
      <c r="IS256" s="38" t="n"/>
      <c r="IT256" s="284" t="n"/>
      <c r="IU256" s="36" t="n"/>
      <c r="IV256" s="284" t="n"/>
      <c r="IW256" s="38" t="n"/>
      <c r="IX256" s="284" t="n"/>
      <c r="IY256" s="36" t="n"/>
      <c r="IZ256" s="284" t="n"/>
      <c r="JA256" s="38" t="n"/>
      <c r="JB256" s="284" t="n"/>
      <c r="JC256" s="36" t="n"/>
      <c r="JD256" s="284" t="n"/>
      <c r="JE256" s="38" t="n"/>
      <c r="JF256" s="284" t="n"/>
      <c r="JG256" s="36" t="n"/>
      <c r="JH256" s="284" t="n"/>
      <c r="JI256" s="38" t="n"/>
      <c r="JJ256" s="284" t="n"/>
      <c r="JK256" s="36" t="n"/>
      <c r="JL256" s="284" t="n"/>
      <c r="JM256" s="38" t="n"/>
      <c r="JN256" s="284" t="n"/>
      <c r="JO256" s="36" t="n"/>
      <c r="JP256" s="284" t="n"/>
      <c r="JQ256" s="38" t="n"/>
      <c r="JR256" s="284" t="n"/>
      <c r="JS256" s="36" t="n"/>
      <c r="JT256" s="284" t="n"/>
      <c r="JU256" s="38" t="n"/>
      <c r="JV256" s="284" t="n"/>
      <c r="JW256" s="36" t="n"/>
      <c r="JX256" s="284" t="n"/>
      <c r="JY256" s="38" t="n"/>
      <c r="JZ256" s="284" t="n"/>
      <c r="KA256" s="36" t="n"/>
      <c r="KB256" s="284" t="n"/>
      <c r="KC256" s="38" t="n"/>
      <c r="KD256" s="284" t="n"/>
      <c r="KE256" s="338">
        <f t="array" ref="KE256">SUMPRODUCT(--(MOD(COLUMN($II256:$KD256),4)=MOD(COLUMN($II256),4)),$II256:$KD256)</f>
        <v/>
      </c>
      <c r="KF256" s="339">
        <f>KE256*$J256</f>
        <v/>
      </c>
      <c r="KG256" s="340">
        <f t="array" ref="KG256">SUMPRODUCT(--(MOD(COLUMN($II256:$KD256),4)=MOD(COLUMN($IJ256),4)),$II256:$KD256)</f>
        <v/>
      </c>
      <c r="KH256" s="341">
        <f>KG256*$J256</f>
        <v/>
      </c>
      <c r="KI256" s="342">
        <f t="array" ref="KI256">SUMPRODUCT(--(MOD(COLUMN($II256:$KD256),4)=MOD(COLUMN($IK256),4)),$II256:$KD256)</f>
        <v/>
      </c>
      <c r="KJ256" s="346">
        <f>KI256*$J256</f>
        <v/>
      </c>
      <c r="KK256" s="80" t="n"/>
      <c r="KL256" s="80" t="n"/>
      <c r="KM256" s="80" t="n"/>
      <c r="KN256" s="51" t="n"/>
      <c r="KO256" s="152" t="n"/>
    </row>
    <row r="257" outlineLevel="1" ht="28.8" customFormat="1" customHeight="1" s="68">
      <c r="A257" s="347" t="n"/>
      <c r="B257" s="347" t="n"/>
      <c r="C257" s="347" t="n"/>
      <c r="D257" s="347" t="n"/>
      <c r="E257" s="15" t="n">
        <v>6</v>
      </c>
      <c r="F257" s="15" t="n">
        <v>1</v>
      </c>
      <c r="G257" s="33" t="n">
        <v>4640061000</v>
      </c>
      <c r="H257" s="34" t="inlineStr">
        <is>
          <t>Кран уровня пола, 5-ти портовый</t>
        </is>
      </c>
      <c r="I257" s="337">
        <f>584/1.2/0.98</f>
        <v/>
      </c>
      <c r="J257" s="337">
        <f>584/1.2</f>
        <v/>
      </c>
      <c r="K257" s="348" t="n"/>
      <c r="L257" s="348" t="n"/>
      <c r="M257" s="36" t="n"/>
      <c r="N257" s="284" t="n"/>
      <c r="O257" s="38" t="n"/>
      <c r="P257" s="284" t="n"/>
      <c r="Q257" s="36" t="n"/>
      <c r="R257" s="284" t="n"/>
      <c r="S257" s="38" t="n"/>
      <c r="T257" s="284" t="n"/>
      <c r="U257" s="36" t="n"/>
      <c r="V257" s="284" t="n"/>
      <c r="W257" s="38" t="n"/>
      <c r="X257" s="284" t="n"/>
      <c r="Y257" s="36" t="n"/>
      <c r="Z257" s="39" t="n"/>
      <c r="AA257" s="38" t="n"/>
      <c r="AB257" s="151" t="n"/>
      <c r="AC257" s="36" t="n"/>
      <c r="AD257" s="284" t="n"/>
      <c r="AE257" s="38" t="n"/>
      <c r="AF257" s="151" t="n"/>
      <c r="AG257" s="36" t="n"/>
      <c r="AH257" s="284" t="n"/>
      <c r="AI257" s="38" t="n"/>
      <c r="AJ257" s="151" t="n"/>
      <c r="AK257" s="36" t="n"/>
      <c r="AL257" s="284" t="n"/>
      <c r="AM257" s="38" t="n"/>
      <c r="AN257" s="151" t="n"/>
      <c r="AO257" s="36" t="n"/>
      <c r="AP257" s="284" t="n"/>
      <c r="AQ257" s="38" t="n"/>
      <c r="AR257" s="151" t="n"/>
      <c r="AS257" s="36" t="n"/>
      <c r="AT257" s="284" t="n"/>
      <c r="AU257" s="38" t="n"/>
      <c r="AV257" s="151" t="n"/>
      <c r="AW257" s="36" t="n"/>
      <c r="AX257" s="284" t="n"/>
      <c r="AY257" s="54" t="n"/>
      <c r="AZ257" s="151" t="n"/>
      <c r="BA257" s="36" t="n"/>
      <c r="BB257" s="284" t="n"/>
      <c r="BC257" s="92" t="n"/>
      <c r="BD257" s="284" t="n"/>
      <c r="BE257" s="36" t="n"/>
      <c r="BF257" s="284" t="n"/>
      <c r="BG257" s="54" t="n"/>
      <c r="BH257" s="284" t="n"/>
      <c r="BI257" s="338">
        <f>SUMPRODUCT(--(MOD(COLUMN($M257:$BH257),4)=MOD(COLUMN($M257),4)),$M257:$BH257)</f>
        <v/>
      </c>
      <c r="BJ257" s="339">
        <f>BI257*$I257</f>
        <v/>
      </c>
      <c r="BK257" s="340">
        <f>SUMPRODUCT(--(MOD(COLUMN($M257:$BH257),4)=MOD(COLUMN($M257)+1,4)),$M257:$BH257)</f>
        <v/>
      </c>
      <c r="BL257" s="341">
        <f>BK257*$I257</f>
        <v/>
      </c>
      <c r="BM257" s="342">
        <f>SUMPRODUCT(--(MOD(COLUMN($M257:$BH257),4)=MOD(COLUMN($M257)+2,4)),$M257:$BH257)</f>
        <v/>
      </c>
      <c r="BN257" s="343">
        <f>BM257*$I257</f>
        <v/>
      </c>
      <c r="BO257" s="36" t="n"/>
      <c r="BP257" s="47" t="n"/>
      <c r="BQ257" s="284" t="n"/>
      <c r="BR257" s="38" t="n"/>
      <c r="BS257" s="284" t="n"/>
      <c r="BT257" s="36" t="n"/>
      <c r="BU257" s="47" t="n"/>
      <c r="BV257" s="284" t="n"/>
      <c r="BW257" s="38" t="n"/>
      <c r="BX257" s="284" t="n"/>
      <c r="BY257" s="36" t="n"/>
      <c r="BZ257" s="47" t="n"/>
      <c r="CA257" s="284" t="n"/>
      <c r="CB257" s="38" t="n"/>
      <c r="CC257" s="284" t="n"/>
      <c r="CD257" s="36" t="n"/>
      <c r="CE257" s="47" t="n"/>
      <c r="CF257" s="284" t="n"/>
      <c r="CG257" s="38" t="n"/>
      <c r="CH257" s="284" t="n"/>
      <c r="CI257" s="36" t="n"/>
      <c r="CJ257" s="47" t="n"/>
      <c r="CK257" s="284" t="n"/>
      <c r="CL257" s="38" t="n"/>
      <c r="CM257" s="284" t="n"/>
      <c r="CN257" s="36" t="n"/>
      <c r="CO257" s="47" t="n"/>
      <c r="CP257" s="284" t="n"/>
      <c r="CQ257" s="38" t="n"/>
      <c r="CR257" s="284" t="n"/>
      <c r="CS257" s="36" t="n"/>
      <c r="CT257" s="47" t="n"/>
      <c r="CU257" s="39" t="n"/>
      <c r="CV257" s="38" t="n"/>
      <c r="CW257" s="284" t="n"/>
      <c r="CX257" s="36" t="n"/>
      <c r="CY257" s="47" t="n"/>
      <c r="CZ257" s="39" t="n"/>
      <c r="DA257" s="38" t="n"/>
      <c r="DB257" s="284" t="n"/>
      <c r="DC257" s="36" t="n"/>
      <c r="DD257" s="47" t="n"/>
      <c r="DE257" s="284" t="n"/>
      <c r="DF257" s="38" t="n"/>
      <c r="DG257" s="284" t="n"/>
      <c r="DH257" s="36" t="n"/>
      <c r="DI257" s="47" t="n"/>
      <c r="DJ257" s="284" t="n"/>
      <c r="DK257" s="38" t="n"/>
      <c r="DL257" s="284" t="n"/>
      <c r="DM257" s="36" t="n"/>
      <c r="DN257" s="47" t="n"/>
      <c r="DO257" s="284" t="n"/>
      <c r="DP257" s="38" t="n"/>
      <c r="DQ257" s="151" t="n"/>
      <c r="DR257" s="36" t="n"/>
      <c r="DS257" s="47" t="n"/>
      <c r="DT257" s="284" t="n"/>
      <c r="DU257" s="38" t="n">
        <v>0</v>
      </c>
      <c r="DV257" s="284" t="n"/>
      <c r="DW257" s="338">
        <f t="array" ref="DW257">SUMPRODUCT(--(MOD(COLUMN($BO257:$DV257),5)=MOD(COLUMN($BO257),5)),$BO257:$DV257)</f>
        <v/>
      </c>
      <c r="DX257" s="339">
        <f>DW257*$J257</f>
        <v/>
      </c>
      <c r="DY257" s="344">
        <f t="array" ref="DY257">SUMPRODUCT(--(MOD(COLUMN($BO257:$DV257),5)=MOD(COLUMN($BP257),5)),$BO257:$DV257)</f>
        <v/>
      </c>
      <c r="DZ257" s="345">
        <f>DY257*$J257</f>
        <v/>
      </c>
      <c r="EA257" s="340">
        <f t="array" ref="EA257">SUMPRODUCT(--(MOD(COLUMN($BO257:$DV257),5)=MOD(COLUMN($BQ257),5)),$BO257:$DV257)</f>
        <v/>
      </c>
      <c r="EB257" s="341">
        <f>EA257*$J257</f>
        <v/>
      </c>
      <c r="EC257" s="342">
        <f t="array" ref="EC257">SUMPRODUCT(--(MOD(COLUMN($BO257:$DV257),5)=MOD(COLUMN($BR257),5)),$BO257:$DV257)</f>
        <v/>
      </c>
      <c r="ED257" s="343">
        <f>EC257*$J257</f>
        <v/>
      </c>
      <c r="EE257" s="36" t="n"/>
      <c r="EF257" s="155" t="n">
        <v>1</v>
      </c>
      <c r="EG257" s="38" t="n">
        <v>1</v>
      </c>
      <c r="EH257" s="347" t="n"/>
      <c r="EI257" s="36" t="n"/>
      <c r="EJ257" s="284" t="n"/>
      <c r="EK257" s="38" t="n"/>
      <c r="EL257" s="284" t="n"/>
      <c r="EM257" s="36" t="n"/>
      <c r="EN257" s="284" t="n"/>
      <c r="EO257" s="38" t="n">
        <v>0</v>
      </c>
      <c r="EP257" s="284" t="n"/>
      <c r="EQ257" s="36" t="n"/>
      <c r="ER257" s="284" t="n"/>
      <c r="ES257" s="38" t="n"/>
      <c r="ET257" s="284" t="n"/>
      <c r="EU257" s="36" t="n"/>
      <c r="EV257" s="284" t="n"/>
      <c r="EW257" s="38" t="n"/>
      <c r="EX257" s="284" t="n"/>
      <c r="EY257" s="36" t="n"/>
      <c r="EZ257" s="284" t="n"/>
      <c r="FA257" s="38" t="n"/>
      <c r="FB257" s="284" t="n"/>
      <c r="FC257" s="36" t="n"/>
      <c r="FD257" s="284" t="n"/>
      <c r="FE257" s="38" t="n"/>
      <c r="FF257" s="284" t="n"/>
      <c r="FG257" s="36" t="n"/>
      <c r="FH257" s="284" t="n"/>
      <c r="FI257" s="38" t="n"/>
      <c r="FJ257" s="284" t="n"/>
      <c r="FK257" s="36" t="n"/>
      <c r="FL257" s="284" t="n"/>
      <c r="FM257" s="38" t="n"/>
      <c r="FN257" s="284" t="n"/>
      <c r="FO257" s="36" t="n"/>
      <c r="FP257" s="284" t="n"/>
      <c r="FQ257" s="38" t="n"/>
      <c r="FR257" s="284" t="n"/>
      <c r="FS257" s="36" t="n"/>
      <c r="FT257" s="284" t="n"/>
      <c r="FU257" s="38" t="n"/>
      <c r="FV257" s="284" t="n"/>
      <c r="FW257" s="36" t="n"/>
      <c r="FX257" s="284" t="n"/>
      <c r="FY257" s="38" t="n"/>
      <c r="FZ257" s="284" t="n"/>
      <c r="GA257" s="338">
        <f>SUMPRODUCT(--(MOD(COLUMN($EE257:$FZ257),4)=MOD(COLUMN($EE257),4)),$EE257:$FZ257)</f>
        <v/>
      </c>
      <c r="GB257" s="339">
        <f>GA257*$J257</f>
        <v/>
      </c>
      <c r="GC257" s="340">
        <f>SUMPRODUCT(--(MOD(COLUMN($EE257:$FZ257),4)=MOD(COLUMN($EF257),4)),$EE257:$FZ257)</f>
        <v/>
      </c>
      <c r="GD257" s="341">
        <f>GC257*$J257</f>
        <v/>
      </c>
      <c r="GE257" s="342">
        <f>SUMPRODUCT(--(MOD(COLUMN($EE257:$FZ257),4)=MOD(COLUMN($EG257),4)),$EE257:$FZ257)</f>
        <v/>
      </c>
      <c r="GF257" s="343">
        <f>GE257*$J257</f>
        <v/>
      </c>
      <c r="GG257" s="36" t="n"/>
      <c r="GH257" s="284" t="n"/>
      <c r="GI257" s="38" t="n"/>
      <c r="GJ257" s="284" t="n"/>
      <c r="GK257" s="36" t="n"/>
      <c r="GL257" s="284" t="n"/>
      <c r="GM257" s="38" t="n"/>
      <c r="GN257" s="284" t="n"/>
      <c r="GO257" s="36" t="n"/>
      <c r="GP257" s="284" t="n"/>
      <c r="GQ257" s="38" t="n"/>
      <c r="GR257" s="284" t="n"/>
      <c r="GS257" s="36" t="n"/>
      <c r="GT257" s="284" t="n"/>
      <c r="GU257" s="38" t="n"/>
      <c r="GV257" s="284" t="n"/>
      <c r="GW257" s="36" t="n"/>
      <c r="GX257" s="284" t="n"/>
      <c r="GY257" s="38" t="n"/>
      <c r="GZ257" s="284" t="n"/>
      <c r="HA257" s="36" t="n"/>
      <c r="HB257" s="284" t="n"/>
      <c r="HC257" s="38" t="n"/>
      <c r="HD257" s="284" t="n"/>
      <c r="HE257" s="36" t="n"/>
      <c r="HF257" s="284" t="n"/>
      <c r="HG257" s="38" t="n"/>
      <c r="HH257" s="284" t="n"/>
      <c r="HI257" s="36" t="n"/>
      <c r="HJ257" s="284" t="n"/>
      <c r="HK257" s="38" t="n"/>
      <c r="HL257" s="284" t="n"/>
      <c r="HM257" s="36" t="n"/>
      <c r="HN257" s="284" t="n"/>
      <c r="HO257" s="38" t="n"/>
      <c r="HP257" s="284" t="n"/>
      <c r="HQ257" s="36" t="n"/>
      <c r="HR257" s="284" t="n"/>
      <c r="HS257" s="38" t="n"/>
      <c r="HT257" s="284" t="n"/>
      <c r="HU257" s="36" t="n"/>
      <c r="HV257" s="284" t="n"/>
      <c r="HW257" s="38" t="n"/>
      <c r="HX257" s="284" t="n"/>
      <c r="HY257" s="36" t="n"/>
      <c r="HZ257" s="284" t="n"/>
      <c r="IA257" s="38" t="n"/>
      <c r="IB257" s="284" t="n"/>
      <c r="IC257" s="338">
        <f t="array" ref="IC257">SUMPRODUCT(--(MOD(COLUMN($GG257:$IB257),4)=MOD(COLUMN($GG257),4)),$GG257:$IB257)</f>
        <v/>
      </c>
      <c r="ID257" s="339">
        <f>IC257*$J257</f>
        <v/>
      </c>
      <c r="IE257" s="340">
        <f t="array" ref="IE257">SUMPRODUCT(--(MOD(COLUMN($GG257:$IB257),4)=MOD(COLUMN($GH257),4)),$GG257:$IB257)</f>
        <v/>
      </c>
      <c r="IF257" s="341">
        <f>IE257*$J257</f>
        <v/>
      </c>
      <c r="IG257" s="342">
        <f t="array" ref="IG257">SUMPRODUCT(--(MOD(COLUMN($GG257:$IB257),4)=MOD(COLUMN($GI257),4)),$GG257:$IB257)</f>
        <v/>
      </c>
      <c r="IH257" s="343">
        <f>IG257*$J257</f>
        <v/>
      </c>
      <c r="II257" s="36" t="n"/>
      <c r="IJ257" s="284" t="n"/>
      <c r="IK257" s="38" t="n"/>
      <c r="IL257" s="284" t="n"/>
      <c r="IM257" s="36" t="n"/>
      <c r="IN257" s="284" t="n"/>
      <c r="IO257" s="38" t="n"/>
      <c r="IP257" s="284" t="n"/>
      <c r="IQ257" s="36" t="n"/>
      <c r="IR257" s="284" t="n"/>
      <c r="IS257" s="38" t="n"/>
      <c r="IT257" s="284" t="n"/>
      <c r="IU257" s="36" t="n"/>
      <c r="IV257" s="284" t="n"/>
      <c r="IW257" s="38" t="n"/>
      <c r="IX257" s="284" t="n"/>
      <c r="IY257" s="36" t="n"/>
      <c r="IZ257" s="284" t="n"/>
      <c r="JA257" s="38" t="n"/>
      <c r="JB257" s="284" t="n"/>
      <c r="JC257" s="36" t="n"/>
      <c r="JD257" s="284" t="n"/>
      <c r="JE257" s="38" t="n"/>
      <c r="JF257" s="284" t="n"/>
      <c r="JG257" s="36" t="n"/>
      <c r="JH257" s="284" t="n"/>
      <c r="JI257" s="38" t="n"/>
      <c r="JJ257" s="284" t="n"/>
      <c r="JK257" s="36" t="n"/>
      <c r="JL257" s="284" t="n"/>
      <c r="JM257" s="38" t="n"/>
      <c r="JN257" s="284" t="n"/>
      <c r="JO257" s="36" t="n"/>
      <c r="JP257" s="284" t="n"/>
      <c r="JQ257" s="38" t="n"/>
      <c r="JR257" s="284" t="n"/>
      <c r="JS257" s="36" t="n"/>
      <c r="JT257" s="284" t="n"/>
      <c r="JU257" s="38" t="n"/>
      <c r="JV257" s="284" t="n"/>
      <c r="JW257" s="36" t="n"/>
      <c r="JX257" s="284" t="n"/>
      <c r="JY257" s="38" t="n"/>
      <c r="JZ257" s="284" t="n"/>
      <c r="KA257" s="36" t="n"/>
      <c r="KB257" s="284" t="n"/>
      <c r="KC257" s="38" t="n"/>
      <c r="KD257" s="284" t="n"/>
      <c r="KE257" s="338">
        <f t="array" ref="KE257">SUMPRODUCT(--(MOD(COLUMN($II257:$KD257),4)=MOD(COLUMN($II257),4)),$II257:$KD257)</f>
        <v/>
      </c>
      <c r="KF257" s="339">
        <f>KE257*$J257</f>
        <v/>
      </c>
      <c r="KG257" s="340">
        <f t="array" ref="KG257">SUMPRODUCT(--(MOD(COLUMN($II257:$KD257),4)=MOD(COLUMN($IJ257),4)),$II257:$KD257)</f>
        <v/>
      </c>
      <c r="KH257" s="341">
        <f>KG257*$J257</f>
        <v/>
      </c>
      <c r="KI257" s="342">
        <f t="array" ref="KI257">SUMPRODUCT(--(MOD(COLUMN($II257:$KD257),4)=MOD(COLUMN($IK257),4)),$II257:$KD257)</f>
        <v/>
      </c>
      <c r="KJ257" s="346">
        <f>KI257*$J257</f>
        <v/>
      </c>
      <c r="KK257" s="80" t="n"/>
      <c r="KL257" s="80" t="n"/>
      <c r="KM257" s="80" t="n"/>
      <c r="KN257" s="51" t="n"/>
      <c r="KO257" s="152" t="n"/>
    </row>
    <row r="258" outlineLevel="1" ht="28.8" customFormat="1" customHeight="1" s="68">
      <c r="A258" s="347" t="n"/>
      <c r="B258" s="347" t="n"/>
      <c r="C258" s="347" t="n"/>
      <c r="D258" s="347" t="n"/>
      <c r="E258" s="15" t="n">
        <v>7</v>
      </c>
      <c r="F258" s="15" t="n">
        <v>1</v>
      </c>
      <c r="G258" s="33" t="n">
        <v>4630320200</v>
      </c>
      <c r="H258" s="34" t="inlineStr">
        <is>
          <t>Кран ручного управления</t>
        </is>
      </c>
      <c r="I258" s="337">
        <f>537.4/1.2/0.98</f>
        <v/>
      </c>
      <c r="J258" s="337">
        <f>537.4/1.2</f>
        <v/>
      </c>
      <c r="K258" s="348" t="n"/>
      <c r="L258" s="348" t="n"/>
      <c r="M258" s="36" t="n"/>
      <c r="N258" s="284" t="n"/>
      <c r="O258" s="38" t="n"/>
      <c r="P258" s="284" t="n"/>
      <c r="Q258" s="36" t="n"/>
      <c r="R258" s="284" t="n"/>
      <c r="S258" s="38" t="n"/>
      <c r="T258" s="284" t="n"/>
      <c r="U258" s="36" t="n"/>
      <c r="V258" s="284" t="n"/>
      <c r="W258" s="38" t="n"/>
      <c r="X258" s="284" t="n"/>
      <c r="Y258" s="36" t="n"/>
      <c r="Z258" s="39" t="n"/>
      <c r="AA258" s="38" t="n"/>
      <c r="AB258" s="151" t="n"/>
      <c r="AC258" s="36" t="n"/>
      <c r="AD258" s="284" t="n"/>
      <c r="AE258" s="38" t="n"/>
      <c r="AF258" s="151" t="n"/>
      <c r="AG258" s="36" t="n"/>
      <c r="AH258" s="284" t="n"/>
      <c r="AI258" s="38" t="n"/>
      <c r="AJ258" s="151" t="n"/>
      <c r="AK258" s="36" t="n"/>
      <c r="AL258" s="284" t="n"/>
      <c r="AM258" s="38" t="n"/>
      <c r="AN258" s="151" t="n"/>
      <c r="AO258" s="36" t="n"/>
      <c r="AP258" s="284" t="n"/>
      <c r="AQ258" s="38" t="n"/>
      <c r="AR258" s="151" t="n"/>
      <c r="AS258" s="36" t="n"/>
      <c r="AT258" s="284" t="n"/>
      <c r="AU258" s="38" t="n"/>
      <c r="AV258" s="151" t="n"/>
      <c r="AW258" s="36" t="n"/>
      <c r="AX258" s="284" t="n"/>
      <c r="AY258" s="54" t="n"/>
      <c r="AZ258" s="151" t="n"/>
      <c r="BA258" s="36" t="n"/>
      <c r="BB258" s="284" t="n"/>
      <c r="BC258" s="92" t="n"/>
      <c r="BD258" s="284" t="n"/>
      <c r="BE258" s="36" t="n"/>
      <c r="BF258" s="284" t="n"/>
      <c r="BG258" s="54" t="n"/>
      <c r="BH258" s="284" t="n"/>
      <c r="BI258" s="338">
        <f>SUMPRODUCT(--(MOD(COLUMN($M258:$BH258),4)=MOD(COLUMN($M258),4)),$M258:$BH258)</f>
        <v/>
      </c>
      <c r="BJ258" s="339">
        <f>BI258*$I258</f>
        <v/>
      </c>
      <c r="BK258" s="340">
        <f>SUMPRODUCT(--(MOD(COLUMN($M258:$BH258),4)=MOD(COLUMN($M258)+1,4)),$M258:$BH258)</f>
        <v/>
      </c>
      <c r="BL258" s="341">
        <f>BK258*$I258</f>
        <v/>
      </c>
      <c r="BM258" s="342">
        <f>SUMPRODUCT(--(MOD(COLUMN($M258:$BH258),4)=MOD(COLUMN($M258)+2,4)),$M258:$BH258)</f>
        <v/>
      </c>
      <c r="BN258" s="343">
        <f>BM258*$I258</f>
        <v/>
      </c>
      <c r="BO258" s="36" t="n"/>
      <c r="BP258" s="47" t="n"/>
      <c r="BQ258" s="284" t="n"/>
      <c r="BR258" s="38" t="n"/>
      <c r="BS258" s="284" t="n"/>
      <c r="BT258" s="36" t="n"/>
      <c r="BU258" s="47" t="n"/>
      <c r="BV258" s="284" t="n"/>
      <c r="BW258" s="38" t="n"/>
      <c r="BX258" s="284" t="n"/>
      <c r="BY258" s="36" t="n"/>
      <c r="BZ258" s="47" t="n"/>
      <c r="CA258" s="284" t="n"/>
      <c r="CB258" s="38" t="n"/>
      <c r="CC258" s="284" t="n"/>
      <c r="CD258" s="36" t="n"/>
      <c r="CE258" s="47" t="n"/>
      <c r="CF258" s="284" t="n"/>
      <c r="CG258" s="38" t="n"/>
      <c r="CH258" s="284" t="n"/>
      <c r="CI258" s="36" t="n"/>
      <c r="CJ258" s="47" t="n"/>
      <c r="CK258" s="284" t="n"/>
      <c r="CL258" s="38" t="n"/>
      <c r="CM258" s="284" t="n"/>
      <c r="CN258" s="36" t="n"/>
      <c r="CO258" s="47" t="n"/>
      <c r="CP258" s="284" t="n"/>
      <c r="CQ258" s="38" t="n"/>
      <c r="CR258" s="284" t="n"/>
      <c r="CS258" s="36" t="n"/>
      <c r="CT258" s="47" t="n"/>
      <c r="CU258" s="39" t="n"/>
      <c r="CV258" s="38" t="n"/>
      <c r="CW258" s="284" t="n"/>
      <c r="CX258" s="36" t="n"/>
      <c r="CY258" s="47" t="n"/>
      <c r="CZ258" s="39" t="n"/>
      <c r="DA258" s="38" t="n"/>
      <c r="DB258" s="284" t="n"/>
      <c r="DC258" s="36" t="n"/>
      <c r="DD258" s="47" t="n"/>
      <c r="DE258" s="284" t="n"/>
      <c r="DF258" s="38" t="n"/>
      <c r="DG258" s="284" t="n"/>
      <c r="DH258" s="36" t="n"/>
      <c r="DI258" s="47" t="n"/>
      <c r="DJ258" s="284" t="n"/>
      <c r="DK258" s="38" t="n"/>
      <c r="DL258" s="284" t="n"/>
      <c r="DM258" s="36" t="n"/>
      <c r="DN258" s="47" t="n"/>
      <c r="DO258" s="284" t="n"/>
      <c r="DP258" s="38" t="n"/>
      <c r="DQ258" s="151" t="n"/>
      <c r="DR258" s="36" t="n"/>
      <c r="DS258" s="47" t="n"/>
      <c r="DT258" s="284" t="n"/>
      <c r="DU258" s="38" t="n">
        <v>0</v>
      </c>
      <c r="DV258" s="284" t="n"/>
      <c r="DW258" s="338">
        <f t="array" ref="DW258">SUMPRODUCT(--(MOD(COLUMN($BO258:$DV258),5)=MOD(COLUMN($BO258),5)),$BO258:$DV258)</f>
        <v/>
      </c>
      <c r="DX258" s="339">
        <f>DW258*$J258</f>
        <v/>
      </c>
      <c r="DY258" s="344">
        <f t="array" ref="DY258">SUMPRODUCT(--(MOD(COLUMN($BO258:$DV258),5)=MOD(COLUMN($BP258),5)),$BO258:$DV258)</f>
        <v/>
      </c>
      <c r="DZ258" s="345">
        <f>DY258*$J258</f>
        <v/>
      </c>
      <c r="EA258" s="340">
        <f t="array" ref="EA258">SUMPRODUCT(--(MOD(COLUMN($BO258:$DV258),5)=MOD(COLUMN($BQ258),5)),$BO258:$DV258)</f>
        <v/>
      </c>
      <c r="EB258" s="341">
        <f>EA258*$J258</f>
        <v/>
      </c>
      <c r="EC258" s="342">
        <f t="array" ref="EC258">SUMPRODUCT(--(MOD(COLUMN($BO258:$DV258),5)=MOD(COLUMN($BR258),5)),$BO258:$DV258)</f>
        <v/>
      </c>
      <c r="ED258" s="343">
        <f>EC258*$J258</f>
        <v/>
      </c>
      <c r="EE258" s="36" t="n"/>
      <c r="EF258" s="155" t="n">
        <v>1</v>
      </c>
      <c r="EG258" s="38" t="n">
        <v>1</v>
      </c>
      <c r="EH258" s="347" t="n"/>
      <c r="EI258" s="36" t="n"/>
      <c r="EJ258" s="284" t="n"/>
      <c r="EK258" s="38" t="n"/>
      <c r="EL258" s="284" t="n"/>
      <c r="EM258" s="36" t="n"/>
      <c r="EN258" s="284" t="n"/>
      <c r="EO258" s="38" t="n">
        <v>0</v>
      </c>
      <c r="EP258" s="284" t="n"/>
      <c r="EQ258" s="36" t="n"/>
      <c r="ER258" s="284" t="n"/>
      <c r="ES258" s="38" t="n"/>
      <c r="ET258" s="284" t="n"/>
      <c r="EU258" s="36" t="n"/>
      <c r="EV258" s="284" t="n"/>
      <c r="EW258" s="38" t="n"/>
      <c r="EX258" s="284" t="n"/>
      <c r="EY258" s="36" t="n"/>
      <c r="EZ258" s="284" t="n"/>
      <c r="FA258" s="38" t="n"/>
      <c r="FB258" s="284" t="n"/>
      <c r="FC258" s="36" t="n"/>
      <c r="FD258" s="284" t="n"/>
      <c r="FE258" s="38" t="n"/>
      <c r="FF258" s="284" t="n"/>
      <c r="FG258" s="36" t="n"/>
      <c r="FH258" s="284" t="n"/>
      <c r="FI258" s="38" t="n"/>
      <c r="FJ258" s="284" t="n"/>
      <c r="FK258" s="36" t="n"/>
      <c r="FL258" s="284" t="n"/>
      <c r="FM258" s="38" t="n"/>
      <c r="FN258" s="284" t="n"/>
      <c r="FO258" s="36" t="n"/>
      <c r="FP258" s="284" t="n"/>
      <c r="FQ258" s="38" t="n"/>
      <c r="FR258" s="284" t="n"/>
      <c r="FS258" s="36" t="n"/>
      <c r="FT258" s="284" t="n"/>
      <c r="FU258" s="38" t="n"/>
      <c r="FV258" s="284" t="n"/>
      <c r="FW258" s="36" t="n"/>
      <c r="FX258" s="284" t="n"/>
      <c r="FY258" s="38" t="n"/>
      <c r="FZ258" s="284" t="n"/>
      <c r="GA258" s="338">
        <f>SUMPRODUCT(--(MOD(COLUMN($EE258:$FZ258),4)=MOD(COLUMN($EE258),4)),$EE258:$FZ258)</f>
        <v/>
      </c>
      <c r="GB258" s="339">
        <f>GA258*$J258</f>
        <v/>
      </c>
      <c r="GC258" s="340">
        <f>SUMPRODUCT(--(MOD(COLUMN($EE258:$FZ258),4)=MOD(COLUMN($EF258),4)),$EE258:$FZ258)</f>
        <v/>
      </c>
      <c r="GD258" s="341">
        <f>GC258*$J258</f>
        <v/>
      </c>
      <c r="GE258" s="342">
        <f>SUMPRODUCT(--(MOD(COLUMN($EE258:$FZ258),4)=MOD(COLUMN($EG258),4)),$EE258:$FZ258)</f>
        <v/>
      </c>
      <c r="GF258" s="343">
        <f>GE258*$J258</f>
        <v/>
      </c>
      <c r="GG258" s="36" t="n"/>
      <c r="GH258" s="284" t="n"/>
      <c r="GI258" s="38" t="n"/>
      <c r="GJ258" s="284" t="n"/>
      <c r="GK258" s="36" t="n"/>
      <c r="GL258" s="284" t="n"/>
      <c r="GM258" s="38" t="n"/>
      <c r="GN258" s="284" t="n"/>
      <c r="GO258" s="36" t="n"/>
      <c r="GP258" s="284" t="n"/>
      <c r="GQ258" s="38" t="n"/>
      <c r="GR258" s="284" t="n"/>
      <c r="GS258" s="36" t="n"/>
      <c r="GT258" s="284" t="n"/>
      <c r="GU258" s="38" t="n"/>
      <c r="GV258" s="284" t="n"/>
      <c r="GW258" s="36" t="n"/>
      <c r="GX258" s="284" t="n"/>
      <c r="GY258" s="38" t="n"/>
      <c r="GZ258" s="284" t="n"/>
      <c r="HA258" s="36" t="n"/>
      <c r="HB258" s="284" t="n"/>
      <c r="HC258" s="38" t="n"/>
      <c r="HD258" s="284" t="n"/>
      <c r="HE258" s="36" t="n"/>
      <c r="HF258" s="284" t="n"/>
      <c r="HG258" s="38" t="n"/>
      <c r="HH258" s="284" t="n"/>
      <c r="HI258" s="36" t="n"/>
      <c r="HJ258" s="284" t="n"/>
      <c r="HK258" s="38" t="n"/>
      <c r="HL258" s="284" t="n"/>
      <c r="HM258" s="36" t="n"/>
      <c r="HN258" s="284" t="n"/>
      <c r="HO258" s="38" t="n"/>
      <c r="HP258" s="284" t="n"/>
      <c r="HQ258" s="36" t="n"/>
      <c r="HR258" s="284" t="n"/>
      <c r="HS258" s="38" t="n"/>
      <c r="HT258" s="284" t="n"/>
      <c r="HU258" s="36" t="n"/>
      <c r="HV258" s="284" t="n"/>
      <c r="HW258" s="38" t="n"/>
      <c r="HX258" s="284" t="n"/>
      <c r="HY258" s="36" t="n"/>
      <c r="HZ258" s="284" t="n"/>
      <c r="IA258" s="38" t="n"/>
      <c r="IB258" s="284" t="n"/>
      <c r="IC258" s="338">
        <f t="array" ref="IC258">SUMPRODUCT(--(MOD(COLUMN($GG258:$IB258),4)=MOD(COLUMN($GG258),4)),$GG258:$IB258)</f>
        <v/>
      </c>
      <c r="ID258" s="339">
        <f>IC258*$J258</f>
        <v/>
      </c>
      <c r="IE258" s="340">
        <f t="array" ref="IE258">SUMPRODUCT(--(MOD(COLUMN($GG258:$IB258),4)=MOD(COLUMN($GH258),4)),$GG258:$IB258)</f>
        <v/>
      </c>
      <c r="IF258" s="341">
        <f>IE258*$J258</f>
        <v/>
      </c>
      <c r="IG258" s="342">
        <f t="array" ref="IG258">SUMPRODUCT(--(MOD(COLUMN($GG258:$IB258),4)=MOD(COLUMN($GI258),4)),$GG258:$IB258)</f>
        <v/>
      </c>
      <c r="IH258" s="343">
        <f>IG258*$J258</f>
        <v/>
      </c>
      <c r="II258" s="36" t="n"/>
      <c r="IJ258" s="284" t="n"/>
      <c r="IK258" s="38" t="n"/>
      <c r="IL258" s="284" t="n"/>
      <c r="IM258" s="36" t="n"/>
      <c r="IN258" s="284" t="n"/>
      <c r="IO258" s="38" t="n"/>
      <c r="IP258" s="284" t="n"/>
      <c r="IQ258" s="36" t="n"/>
      <c r="IR258" s="284" t="n"/>
      <c r="IS258" s="38" t="n"/>
      <c r="IT258" s="284" t="n"/>
      <c r="IU258" s="36" t="n"/>
      <c r="IV258" s="284" t="n"/>
      <c r="IW258" s="38" t="n"/>
      <c r="IX258" s="284" t="n"/>
      <c r="IY258" s="36" t="n"/>
      <c r="IZ258" s="284" t="n"/>
      <c r="JA258" s="38" t="n"/>
      <c r="JB258" s="284" t="n"/>
      <c r="JC258" s="36" t="n"/>
      <c r="JD258" s="284" t="n"/>
      <c r="JE258" s="38" t="n"/>
      <c r="JF258" s="284" t="n"/>
      <c r="JG258" s="36" t="n"/>
      <c r="JH258" s="284" t="n"/>
      <c r="JI258" s="38" t="n"/>
      <c r="JJ258" s="284" t="n"/>
      <c r="JK258" s="36" t="n"/>
      <c r="JL258" s="284" t="n"/>
      <c r="JM258" s="38" t="n"/>
      <c r="JN258" s="284" t="n"/>
      <c r="JO258" s="36" t="n"/>
      <c r="JP258" s="284" t="n"/>
      <c r="JQ258" s="38" t="n"/>
      <c r="JR258" s="284" t="n"/>
      <c r="JS258" s="36" t="n"/>
      <c r="JT258" s="284" t="n"/>
      <c r="JU258" s="38" t="n"/>
      <c r="JV258" s="284" t="n"/>
      <c r="JW258" s="36" t="n"/>
      <c r="JX258" s="284" t="n"/>
      <c r="JY258" s="38" t="n"/>
      <c r="JZ258" s="284" t="n"/>
      <c r="KA258" s="36" t="n"/>
      <c r="KB258" s="284" t="n"/>
      <c r="KC258" s="38" t="n"/>
      <c r="KD258" s="284" t="n"/>
      <c r="KE258" s="338">
        <f t="array" ref="KE258">SUMPRODUCT(--(MOD(COLUMN($II258:$KD258),4)=MOD(COLUMN($II258),4)),$II258:$KD258)</f>
        <v/>
      </c>
      <c r="KF258" s="339">
        <f>KE258*$J258</f>
        <v/>
      </c>
      <c r="KG258" s="340">
        <f t="array" ref="KG258">SUMPRODUCT(--(MOD(COLUMN($II258:$KD258),4)=MOD(COLUMN($IJ258),4)),$II258:$KD258)</f>
        <v/>
      </c>
      <c r="KH258" s="341">
        <f>KG258*$J258</f>
        <v/>
      </c>
      <c r="KI258" s="342">
        <f t="array" ref="KI258">SUMPRODUCT(--(MOD(COLUMN($II258:$KD258),4)=MOD(COLUMN($IK258),4)),$II258:$KD258)</f>
        <v/>
      </c>
      <c r="KJ258" s="346">
        <f>KI258*$J258</f>
        <v/>
      </c>
      <c r="KK258" s="80" t="n"/>
      <c r="KL258" s="80" t="n"/>
      <c r="KM258" s="80" t="n"/>
      <c r="KN258" s="51" t="n"/>
      <c r="KO258" s="152" t="n"/>
    </row>
    <row r="259" outlineLevel="1" customFormat="1" s="68">
      <c r="A259" s="347" t="n"/>
      <c r="B259" s="347" t="n"/>
      <c r="C259" s="347" t="n"/>
      <c r="D259" s="347" t="n"/>
      <c r="E259" s="15" t="n">
        <v>8</v>
      </c>
      <c r="F259" s="15" t="n">
        <v>1</v>
      </c>
      <c r="G259" s="33" t="n">
        <v>4334010030</v>
      </c>
      <c r="H259" s="34" t="inlineStr">
        <is>
          <t>Упругий элемент</t>
        </is>
      </c>
      <c r="I259" s="337">
        <f>41.9/1.2/0.98</f>
        <v/>
      </c>
      <c r="J259" s="337">
        <f>41.9/1.2</f>
        <v/>
      </c>
      <c r="K259" s="348" t="n"/>
      <c r="L259" s="348" t="n"/>
      <c r="M259" s="36" t="n"/>
      <c r="N259" s="284" t="n"/>
      <c r="O259" s="38" t="n"/>
      <c r="P259" s="284" t="n"/>
      <c r="Q259" s="36" t="n"/>
      <c r="R259" s="284" t="n"/>
      <c r="S259" s="38" t="n"/>
      <c r="T259" s="284" t="n"/>
      <c r="U259" s="36" t="n"/>
      <c r="V259" s="284" t="n"/>
      <c r="W259" s="38" t="n"/>
      <c r="X259" s="284" t="n"/>
      <c r="Y259" s="36" t="n"/>
      <c r="Z259" s="39" t="n"/>
      <c r="AA259" s="38" t="n"/>
      <c r="AB259" s="151" t="n"/>
      <c r="AC259" s="36" t="n"/>
      <c r="AD259" s="284" t="n"/>
      <c r="AE259" s="38" t="n"/>
      <c r="AF259" s="151" t="n"/>
      <c r="AG259" s="36" t="n"/>
      <c r="AH259" s="284" t="n"/>
      <c r="AI259" s="38" t="n"/>
      <c r="AJ259" s="151" t="n"/>
      <c r="AK259" s="36" t="n"/>
      <c r="AL259" s="284" t="n"/>
      <c r="AM259" s="38" t="n"/>
      <c r="AN259" s="151" t="n"/>
      <c r="AO259" s="36" t="n"/>
      <c r="AP259" s="284" t="n"/>
      <c r="AQ259" s="38" t="n"/>
      <c r="AR259" s="151" t="n"/>
      <c r="AS259" s="36" t="n"/>
      <c r="AT259" s="284" t="n"/>
      <c r="AU259" s="38" t="n"/>
      <c r="AV259" s="151" t="n"/>
      <c r="AW259" s="36" t="n"/>
      <c r="AX259" s="284" t="n"/>
      <c r="AY259" s="54" t="n"/>
      <c r="AZ259" s="151" t="n"/>
      <c r="BA259" s="36" t="n"/>
      <c r="BB259" s="284" t="n"/>
      <c r="BC259" s="92" t="n"/>
      <c r="BD259" s="284" t="n"/>
      <c r="BE259" s="36" t="n"/>
      <c r="BF259" s="284" t="n"/>
      <c r="BG259" s="54" t="n"/>
      <c r="BH259" s="284" t="n"/>
      <c r="BI259" s="338">
        <f>SUMPRODUCT(--(MOD(COLUMN($M259:$BH259),4)=MOD(COLUMN($M259),4)),$M259:$BH259)</f>
        <v/>
      </c>
      <c r="BJ259" s="339">
        <f>BI259*$I259</f>
        <v/>
      </c>
      <c r="BK259" s="340">
        <f>SUMPRODUCT(--(MOD(COLUMN($M259:$BH259),4)=MOD(COLUMN($M259)+1,4)),$M259:$BH259)</f>
        <v/>
      </c>
      <c r="BL259" s="341">
        <f>BK259*$I259</f>
        <v/>
      </c>
      <c r="BM259" s="342">
        <f>SUMPRODUCT(--(MOD(COLUMN($M259:$BH259),4)=MOD(COLUMN($M259)+2,4)),$M259:$BH259)</f>
        <v/>
      </c>
      <c r="BN259" s="343">
        <f>BM259*$I259</f>
        <v/>
      </c>
      <c r="BO259" s="36" t="n"/>
      <c r="BP259" s="47" t="n"/>
      <c r="BQ259" s="284" t="n"/>
      <c r="BR259" s="38" t="n"/>
      <c r="BS259" s="284" t="n"/>
      <c r="BT259" s="36" t="n"/>
      <c r="BU259" s="47" t="n"/>
      <c r="BV259" s="284" t="n"/>
      <c r="BW259" s="38" t="n"/>
      <c r="BX259" s="284" t="n"/>
      <c r="BY259" s="36" t="n"/>
      <c r="BZ259" s="47" t="n"/>
      <c r="CA259" s="284" t="n"/>
      <c r="CB259" s="38" t="n"/>
      <c r="CC259" s="284" t="n"/>
      <c r="CD259" s="36" t="n"/>
      <c r="CE259" s="47" t="n"/>
      <c r="CF259" s="284" t="n"/>
      <c r="CG259" s="38" t="n"/>
      <c r="CH259" s="284" t="n"/>
      <c r="CI259" s="36" t="n"/>
      <c r="CJ259" s="47" t="n"/>
      <c r="CK259" s="284" t="n"/>
      <c r="CL259" s="38" t="n"/>
      <c r="CM259" s="284" t="n"/>
      <c r="CN259" s="36" t="n"/>
      <c r="CO259" s="47" t="n"/>
      <c r="CP259" s="284" t="n"/>
      <c r="CQ259" s="38" t="n"/>
      <c r="CR259" s="284" t="n"/>
      <c r="CS259" s="36" t="n"/>
      <c r="CT259" s="47" t="n"/>
      <c r="CU259" s="39" t="n"/>
      <c r="CV259" s="38" t="n"/>
      <c r="CW259" s="284" t="n"/>
      <c r="CX259" s="36" t="n"/>
      <c r="CY259" s="47" t="n"/>
      <c r="CZ259" s="39" t="n"/>
      <c r="DA259" s="38" t="n"/>
      <c r="DB259" s="284" t="n"/>
      <c r="DC259" s="36" t="n"/>
      <c r="DD259" s="47" t="n"/>
      <c r="DE259" s="284" t="n"/>
      <c r="DF259" s="38" t="n"/>
      <c r="DG259" s="284" t="n"/>
      <c r="DH259" s="36" t="n"/>
      <c r="DI259" s="47" t="n"/>
      <c r="DJ259" s="284" t="n"/>
      <c r="DK259" s="38" t="n"/>
      <c r="DL259" s="284" t="n"/>
      <c r="DM259" s="36" t="n"/>
      <c r="DN259" s="47" t="n"/>
      <c r="DO259" s="284" t="n"/>
      <c r="DP259" s="38" t="n"/>
      <c r="DQ259" s="151" t="n"/>
      <c r="DR259" s="36" t="n"/>
      <c r="DS259" s="47" t="n"/>
      <c r="DT259" s="284" t="n"/>
      <c r="DU259" s="38" t="n">
        <v>0</v>
      </c>
      <c r="DV259" s="284" t="n"/>
      <c r="DW259" s="338">
        <f t="array" ref="DW259">SUMPRODUCT(--(MOD(COLUMN($BO259:$DV259),5)=MOD(COLUMN($BO259),5)),$BO259:$DV259)</f>
        <v/>
      </c>
      <c r="DX259" s="339">
        <f>DW259*$J259</f>
        <v/>
      </c>
      <c r="DY259" s="344">
        <f t="array" ref="DY259">SUMPRODUCT(--(MOD(COLUMN($BO259:$DV259),5)=MOD(COLUMN($BP259),5)),$BO259:$DV259)</f>
        <v/>
      </c>
      <c r="DZ259" s="345">
        <f>DY259*$J259</f>
        <v/>
      </c>
      <c r="EA259" s="340">
        <f t="array" ref="EA259">SUMPRODUCT(--(MOD(COLUMN($BO259:$DV259),5)=MOD(COLUMN($BQ259),5)),$BO259:$DV259)</f>
        <v/>
      </c>
      <c r="EB259" s="341">
        <f>EA259*$J259</f>
        <v/>
      </c>
      <c r="EC259" s="342">
        <f t="array" ref="EC259">SUMPRODUCT(--(MOD(COLUMN($BO259:$DV259),5)=MOD(COLUMN($BR259),5)),$BO259:$DV259)</f>
        <v/>
      </c>
      <c r="ED259" s="343">
        <f>EC259*$J259</f>
        <v/>
      </c>
      <c r="EE259" s="36" t="n"/>
      <c r="EF259" s="155" t="n">
        <v>1</v>
      </c>
      <c r="EG259" s="38" t="n">
        <v>1</v>
      </c>
      <c r="EH259" s="347" t="n"/>
      <c r="EI259" s="36" t="n"/>
      <c r="EJ259" s="284" t="n"/>
      <c r="EK259" s="38" t="n"/>
      <c r="EL259" s="284" t="n"/>
      <c r="EM259" s="36" t="n"/>
      <c r="EN259" s="284" t="n"/>
      <c r="EO259" s="38" t="n">
        <v>0</v>
      </c>
      <c r="EP259" s="284" t="n"/>
      <c r="EQ259" s="36" t="n"/>
      <c r="ER259" s="284" t="n"/>
      <c r="ES259" s="38" t="n"/>
      <c r="ET259" s="284" t="n"/>
      <c r="EU259" s="36" t="n"/>
      <c r="EV259" s="284" t="n"/>
      <c r="EW259" s="38" t="n"/>
      <c r="EX259" s="284" t="n"/>
      <c r="EY259" s="36" t="n"/>
      <c r="EZ259" s="284" t="n"/>
      <c r="FA259" s="38" t="n"/>
      <c r="FB259" s="284" t="n"/>
      <c r="FC259" s="36" t="n"/>
      <c r="FD259" s="284" t="n"/>
      <c r="FE259" s="38" t="n"/>
      <c r="FF259" s="284" t="n"/>
      <c r="FG259" s="36" t="n"/>
      <c r="FH259" s="284" t="n"/>
      <c r="FI259" s="38" t="n"/>
      <c r="FJ259" s="284" t="n"/>
      <c r="FK259" s="36" t="n"/>
      <c r="FL259" s="284" t="n"/>
      <c r="FM259" s="38" t="n"/>
      <c r="FN259" s="284" t="n"/>
      <c r="FO259" s="36" t="n"/>
      <c r="FP259" s="284" t="n"/>
      <c r="FQ259" s="38" t="n"/>
      <c r="FR259" s="284" t="n"/>
      <c r="FS259" s="36" t="n"/>
      <c r="FT259" s="284" t="n"/>
      <c r="FU259" s="38" t="n"/>
      <c r="FV259" s="284" t="n"/>
      <c r="FW259" s="36" t="n"/>
      <c r="FX259" s="284" t="n"/>
      <c r="FY259" s="38" t="n"/>
      <c r="FZ259" s="284" t="n"/>
      <c r="GA259" s="338">
        <f>SUMPRODUCT(--(MOD(COLUMN($EE259:$FZ259),4)=MOD(COLUMN($EE259),4)),$EE259:$FZ259)</f>
        <v/>
      </c>
      <c r="GB259" s="339">
        <f>GA259*$J259</f>
        <v/>
      </c>
      <c r="GC259" s="340">
        <f>SUMPRODUCT(--(MOD(COLUMN($EE259:$FZ259),4)=MOD(COLUMN($EF259),4)),$EE259:$FZ259)</f>
        <v/>
      </c>
      <c r="GD259" s="341">
        <f>GC259*$J259</f>
        <v/>
      </c>
      <c r="GE259" s="342">
        <f>SUMPRODUCT(--(MOD(COLUMN($EE259:$FZ259),4)=MOD(COLUMN($EG259),4)),$EE259:$FZ259)</f>
        <v/>
      </c>
      <c r="GF259" s="343">
        <f>GE259*$J259</f>
        <v/>
      </c>
      <c r="GG259" s="36" t="n"/>
      <c r="GH259" s="284" t="n"/>
      <c r="GI259" s="38" t="n"/>
      <c r="GJ259" s="284" t="n"/>
      <c r="GK259" s="36" t="n"/>
      <c r="GL259" s="284" t="n"/>
      <c r="GM259" s="38" t="n"/>
      <c r="GN259" s="284" t="n"/>
      <c r="GO259" s="36" t="n"/>
      <c r="GP259" s="284" t="n"/>
      <c r="GQ259" s="38" t="n"/>
      <c r="GR259" s="284" t="n"/>
      <c r="GS259" s="36" t="n"/>
      <c r="GT259" s="284" t="n"/>
      <c r="GU259" s="38" t="n"/>
      <c r="GV259" s="284" t="n"/>
      <c r="GW259" s="36" t="n"/>
      <c r="GX259" s="284" t="n"/>
      <c r="GY259" s="38" t="n"/>
      <c r="GZ259" s="284" t="n"/>
      <c r="HA259" s="36" t="n"/>
      <c r="HB259" s="284" t="n"/>
      <c r="HC259" s="38" t="n"/>
      <c r="HD259" s="284" t="n"/>
      <c r="HE259" s="36" t="n"/>
      <c r="HF259" s="284" t="n"/>
      <c r="HG259" s="38" t="n"/>
      <c r="HH259" s="284" t="n"/>
      <c r="HI259" s="36" t="n"/>
      <c r="HJ259" s="284" t="n"/>
      <c r="HK259" s="38" t="n"/>
      <c r="HL259" s="284" t="n"/>
      <c r="HM259" s="36" t="n"/>
      <c r="HN259" s="284" t="n"/>
      <c r="HO259" s="38" t="n"/>
      <c r="HP259" s="284" t="n"/>
      <c r="HQ259" s="36" t="n"/>
      <c r="HR259" s="284" t="n"/>
      <c r="HS259" s="38" t="n"/>
      <c r="HT259" s="284" t="n"/>
      <c r="HU259" s="36" t="n"/>
      <c r="HV259" s="284" t="n"/>
      <c r="HW259" s="38" t="n"/>
      <c r="HX259" s="284" t="n"/>
      <c r="HY259" s="36" t="n"/>
      <c r="HZ259" s="284" t="n"/>
      <c r="IA259" s="38" t="n"/>
      <c r="IB259" s="284" t="n"/>
      <c r="IC259" s="338">
        <f t="array" ref="IC259">SUMPRODUCT(--(MOD(COLUMN($GG259:$IB259),4)=MOD(COLUMN($GG259),4)),$GG259:$IB259)</f>
        <v/>
      </c>
      <c r="ID259" s="339">
        <f>IC259*$J259</f>
        <v/>
      </c>
      <c r="IE259" s="340">
        <f t="array" ref="IE259">SUMPRODUCT(--(MOD(COLUMN($GG259:$IB259),4)=MOD(COLUMN($GH259),4)),$GG259:$IB259)</f>
        <v/>
      </c>
      <c r="IF259" s="341">
        <f>IE259*$J259</f>
        <v/>
      </c>
      <c r="IG259" s="342">
        <f t="array" ref="IG259">SUMPRODUCT(--(MOD(COLUMN($GG259:$IB259),4)=MOD(COLUMN($GI259),4)),$GG259:$IB259)</f>
        <v/>
      </c>
      <c r="IH259" s="343">
        <f>IG259*$J259</f>
        <v/>
      </c>
      <c r="II259" s="36" t="n"/>
      <c r="IJ259" s="284" t="n"/>
      <c r="IK259" s="38" t="n"/>
      <c r="IL259" s="284" t="n"/>
      <c r="IM259" s="36" t="n"/>
      <c r="IN259" s="284" t="n"/>
      <c r="IO259" s="38" t="n"/>
      <c r="IP259" s="284" t="n"/>
      <c r="IQ259" s="36" t="n"/>
      <c r="IR259" s="284" t="n"/>
      <c r="IS259" s="38" t="n"/>
      <c r="IT259" s="284" t="n"/>
      <c r="IU259" s="36" t="n"/>
      <c r="IV259" s="284" t="n"/>
      <c r="IW259" s="38" t="n"/>
      <c r="IX259" s="284" t="n"/>
      <c r="IY259" s="36" t="n"/>
      <c r="IZ259" s="284" t="n"/>
      <c r="JA259" s="38" t="n"/>
      <c r="JB259" s="284" t="n"/>
      <c r="JC259" s="36" t="n"/>
      <c r="JD259" s="284" t="n"/>
      <c r="JE259" s="38" t="n"/>
      <c r="JF259" s="284" t="n"/>
      <c r="JG259" s="36" t="n"/>
      <c r="JH259" s="284" t="n"/>
      <c r="JI259" s="38" t="n"/>
      <c r="JJ259" s="284" t="n"/>
      <c r="JK259" s="36" t="n"/>
      <c r="JL259" s="284" t="n"/>
      <c r="JM259" s="38" t="n"/>
      <c r="JN259" s="284" t="n"/>
      <c r="JO259" s="36" t="n"/>
      <c r="JP259" s="284" t="n"/>
      <c r="JQ259" s="38" t="n"/>
      <c r="JR259" s="284" t="n"/>
      <c r="JS259" s="36" t="n"/>
      <c r="JT259" s="284" t="n"/>
      <c r="JU259" s="38" t="n"/>
      <c r="JV259" s="284" t="n"/>
      <c r="JW259" s="36" t="n"/>
      <c r="JX259" s="284" t="n"/>
      <c r="JY259" s="38" t="n"/>
      <c r="JZ259" s="284" t="n"/>
      <c r="KA259" s="36" t="n"/>
      <c r="KB259" s="284" t="n"/>
      <c r="KC259" s="38" t="n"/>
      <c r="KD259" s="284" t="n"/>
      <c r="KE259" s="338">
        <f t="array" ref="KE259">SUMPRODUCT(--(MOD(COLUMN($II259:$KD259),4)=MOD(COLUMN($II259),4)),$II259:$KD259)</f>
        <v/>
      </c>
      <c r="KF259" s="339">
        <f>KE259*$J259</f>
        <v/>
      </c>
      <c r="KG259" s="340">
        <f t="array" ref="KG259">SUMPRODUCT(--(MOD(COLUMN($II259:$KD259),4)=MOD(COLUMN($IJ259),4)),$II259:$KD259)</f>
        <v/>
      </c>
      <c r="KH259" s="341">
        <f>KG259*$J259</f>
        <v/>
      </c>
      <c r="KI259" s="342">
        <f t="array" ref="KI259">SUMPRODUCT(--(MOD(COLUMN($II259:$KD259),4)=MOD(COLUMN($IK259),4)),$II259:$KD259)</f>
        <v/>
      </c>
      <c r="KJ259" s="346">
        <f>KI259*$J259</f>
        <v/>
      </c>
      <c r="KK259" s="80" t="n"/>
      <c r="KL259" s="80" t="n"/>
      <c r="KM259" s="80" t="n"/>
      <c r="KN259" s="51" t="n"/>
      <c r="KO259" s="152" t="n"/>
    </row>
    <row r="260" outlineLevel="1" ht="43.2" customFormat="1" customHeight="1" s="68">
      <c r="A260" s="347" t="n"/>
      <c r="B260" s="347" t="n"/>
      <c r="C260" s="347" t="n"/>
      <c r="D260" s="347" t="n"/>
      <c r="E260" s="15" t="n">
        <v>9</v>
      </c>
      <c r="F260" s="15" t="n">
        <v>1</v>
      </c>
      <c r="G260" s="33" t="n">
        <v>4630840310</v>
      </c>
      <c r="H260" s="34" t="inlineStr">
        <is>
          <t>Клапан управления подъемом оси (LACV)</t>
        </is>
      </c>
      <c r="I260" s="337">
        <f>657.1/1.2/0.98</f>
        <v/>
      </c>
      <c r="J260" s="337">
        <f>657.1/1.2</f>
        <v/>
      </c>
      <c r="K260" s="348" t="n"/>
      <c r="L260" s="348" t="n"/>
      <c r="M260" s="36" t="n"/>
      <c r="N260" s="284" t="n"/>
      <c r="O260" s="38" t="n"/>
      <c r="P260" s="284" t="n"/>
      <c r="Q260" s="36" t="n"/>
      <c r="R260" s="284" t="n"/>
      <c r="S260" s="38" t="n"/>
      <c r="T260" s="284" t="n"/>
      <c r="U260" s="36" t="n"/>
      <c r="V260" s="284" t="n"/>
      <c r="W260" s="38" t="n"/>
      <c r="X260" s="284" t="n"/>
      <c r="Y260" s="36" t="n"/>
      <c r="Z260" s="39" t="n"/>
      <c r="AA260" s="38" t="n"/>
      <c r="AB260" s="151" t="n"/>
      <c r="AC260" s="36" t="n"/>
      <c r="AD260" s="284" t="n"/>
      <c r="AE260" s="38" t="n"/>
      <c r="AF260" s="151" t="n"/>
      <c r="AG260" s="36" t="n"/>
      <c r="AH260" s="284" t="n"/>
      <c r="AI260" s="38" t="n"/>
      <c r="AJ260" s="151" t="n"/>
      <c r="AK260" s="36" t="n"/>
      <c r="AL260" s="284" t="n"/>
      <c r="AM260" s="38" t="n"/>
      <c r="AN260" s="151" t="n"/>
      <c r="AO260" s="36" t="n"/>
      <c r="AP260" s="284" t="n"/>
      <c r="AQ260" s="38" t="n"/>
      <c r="AR260" s="151" t="n"/>
      <c r="AS260" s="36" t="n"/>
      <c r="AT260" s="284" t="n"/>
      <c r="AU260" s="38" t="n"/>
      <c r="AV260" s="151" t="n"/>
      <c r="AW260" s="36" t="n"/>
      <c r="AX260" s="284" t="n"/>
      <c r="AY260" s="38" t="n"/>
      <c r="AZ260" s="151" t="n"/>
      <c r="BA260" s="36" t="n"/>
      <c r="BB260" s="284" t="n"/>
      <c r="BC260" s="92" t="n"/>
      <c r="BD260" s="284" t="n"/>
      <c r="BE260" s="36" t="n"/>
      <c r="BF260" s="284" t="n"/>
      <c r="BG260" s="54" t="n"/>
      <c r="BH260" s="284" t="n"/>
      <c r="BI260" s="338">
        <f>SUMPRODUCT(--(MOD(COLUMN($M260:$BH260),4)=MOD(COLUMN($M260),4)),$M260:$BH260)</f>
        <v/>
      </c>
      <c r="BJ260" s="339">
        <f>BI260*$I260</f>
        <v/>
      </c>
      <c r="BK260" s="340">
        <f>SUMPRODUCT(--(MOD(COLUMN($M260:$BH260),4)=MOD(COLUMN($M260)+1,4)),$M260:$BH260)</f>
        <v/>
      </c>
      <c r="BL260" s="341">
        <f>BK260*$I260</f>
        <v/>
      </c>
      <c r="BM260" s="342">
        <f>SUMPRODUCT(--(MOD(COLUMN($M260:$BH260),4)=MOD(COLUMN($M260)+2,4)),$M260:$BH260)</f>
        <v/>
      </c>
      <c r="BN260" s="343">
        <f>BM260*$I260</f>
        <v/>
      </c>
      <c r="BO260" s="36" t="n"/>
      <c r="BP260" s="47" t="n"/>
      <c r="BQ260" s="284" t="n"/>
      <c r="BR260" s="38" t="n"/>
      <c r="BS260" s="284" t="n"/>
      <c r="BT260" s="36" t="n"/>
      <c r="BU260" s="47" t="n"/>
      <c r="BV260" s="284" t="n"/>
      <c r="BW260" s="38" t="n"/>
      <c r="BX260" s="284" t="n"/>
      <c r="BY260" s="36" t="n"/>
      <c r="BZ260" s="47" t="n"/>
      <c r="CA260" s="284" t="n"/>
      <c r="CB260" s="38" t="n"/>
      <c r="CC260" s="284" t="n"/>
      <c r="CD260" s="36" t="n"/>
      <c r="CE260" s="47" t="n"/>
      <c r="CF260" s="284" t="n"/>
      <c r="CG260" s="38" t="n"/>
      <c r="CH260" s="284" t="n"/>
      <c r="CI260" s="36" t="n"/>
      <c r="CJ260" s="47" t="n"/>
      <c r="CK260" s="284" t="n"/>
      <c r="CL260" s="38" t="n"/>
      <c r="CM260" s="284" t="n"/>
      <c r="CN260" s="36" t="n"/>
      <c r="CO260" s="47" t="n"/>
      <c r="CP260" s="284" t="n"/>
      <c r="CQ260" s="38" t="n"/>
      <c r="CR260" s="284" t="n"/>
      <c r="CS260" s="36" t="n"/>
      <c r="CT260" s="47" t="n"/>
      <c r="CU260" s="39" t="n"/>
      <c r="CV260" s="38" t="n"/>
      <c r="CW260" s="284" t="n"/>
      <c r="CX260" s="36" t="n"/>
      <c r="CY260" s="47" t="n"/>
      <c r="CZ260" s="39" t="n"/>
      <c r="DA260" s="38" t="n"/>
      <c r="DB260" s="284" t="n"/>
      <c r="DC260" s="36" t="n"/>
      <c r="DD260" s="47" t="n"/>
      <c r="DE260" s="284" t="n"/>
      <c r="DF260" s="38" t="n"/>
      <c r="DG260" s="284" t="n"/>
      <c r="DH260" s="36" t="n"/>
      <c r="DI260" s="47" t="n"/>
      <c r="DJ260" s="284" t="n"/>
      <c r="DK260" s="38" t="n"/>
      <c r="DL260" s="284" t="n"/>
      <c r="DM260" s="36" t="n"/>
      <c r="DN260" s="47" t="n"/>
      <c r="DO260" s="284" t="n"/>
      <c r="DP260" s="38" t="n"/>
      <c r="DQ260" s="151" t="n"/>
      <c r="DR260" s="36" t="n"/>
      <c r="DS260" s="47" t="n"/>
      <c r="DT260" s="284" t="n"/>
      <c r="DU260" s="38" t="n">
        <v>0</v>
      </c>
      <c r="DV260" s="284" t="n"/>
      <c r="DW260" s="338">
        <f t="array" ref="DW260">SUMPRODUCT(--(MOD(COLUMN($BO260:$DV260),5)=MOD(COLUMN($BO260),5)),$BO260:$DV260)</f>
        <v/>
      </c>
      <c r="DX260" s="339">
        <f>DW260*$J260</f>
        <v/>
      </c>
      <c r="DY260" s="344">
        <f t="array" ref="DY260">SUMPRODUCT(--(MOD(COLUMN($BO260:$DV260),5)=MOD(COLUMN($BP260),5)),$BO260:$DV260)</f>
        <v/>
      </c>
      <c r="DZ260" s="345">
        <f>DY260*$J260</f>
        <v/>
      </c>
      <c r="EA260" s="340">
        <f t="array" ref="EA260">SUMPRODUCT(--(MOD(COLUMN($BO260:$DV260),5)=MOD(COLUMN($BQ260),5)),$BO260:$DV260)</f>
        <v/>
      </c>
      <c r="EB260" s="341">
        <f>EA260*$J260</f>
        <v/>
      </c>
      <c r="EC260" s="342">
        <f t="array" ref="EC260">SUMPRODUCT(--(MOD(COLUMN($BO260:$DV260),5)=MOD(COLUMN($BR260),5)),$BO260:$DV260)</f>
        <v/>
      </c>
      <c r="ED260" s="343">
        <f>EC260*$J260</f>
        <v/>
      </c>
      <c r="EE260" s="36" t="n"/>
      <c r="EF260" s="155" t="n">
        <v>1</v>
      </c>
      <c r="EG260" s="38" t="n">
        <v>1</v>
      </c>
      <c r="EH260" s="347" t="n"/>
      <c r="EI260" s="36" t="n"/>
      <c r="EJ260" s="284" t="n"/>
      <c r="EK260" s="38" t="n"/>
      <c r="EL260" s="284" t="n"/>
      <c r="EM260" s="36" t="n"/>
      <c r="EN260" s="284" t="n"/>
      <c r="EO260" s="38" t="n">
        <v>0</v>
      </c>
      <c r="EP260" s="284" t="n"/>
      <c r="EQ260" s="36" t="n"/>
      <c r="ER260" s="284" t="n"/>
      <c r="ES260" s="38" t="n"/>
      <c r="ET260" s="284" t="n"/>
      <c r="EU260" s="36" t="n"/>
      <c r="EV260" s="284" t="n"/>
      <c r="EW260" s="38" t="n"/>
      <c r="EX260" s="284" t="n"/>
      <c r="EY260" s="36" t="n"/>
      <c r="EZ260" s="284" t="n"/>
      <c r="FA260" s="38" t="n"/>
      <c r="FB260" s="284" t="n"/>
      <c r="FC260" s="36" t="n"/>
      <c r="FD260" s="284" t="n"/>
      <c r="FE260" s="38" t="n"/>
      <c r="FF260" s="284" t="n"/>
      <c r="FG260" s="36" t="n"/>
      <c r="FH260" s="284" t="n"/>
      <c r="FI260" s="38" t="n"/>
      <c r="FJ260" s="284" t="n"/>
      <c r="FK260" s="36" t="n"/>
      <c r="FL260" s="284" t="n"/>
      <c r="FM260" s="38" t="n"/>
      <c r="FN260" s="284" t="n"/>
      <c r="FO260" s="36" t="n"/>
      <c r="FP260" s="284" t="n"/>
      <c r="FQ260" s="38" t="n"/>
      <c r="FR260" s="284" t="n"/>
      <c r="FS260" s="36" t="n"/>
      <c r="FT260" s="284" t="n"/>
      <c r="FU260" s="38" t="n"/>
      <c r="FV260" s="284" t="n"/>
      <c r="FW260" s="36" t="n"/>
      <c r="FX260" s="284" t="n"/>
      <c r="FY260" s="38" t="n"/>
      <c r="FZ260" s="284" t="n"/>
      <c r="GA260" s="338">
        <f>SUMPRODUCT(--(MOD(COLUMN($EE260:$FZ260),4)=MOD(COLUMN($EE260),4)),$EE260:$FZ260)</f>
        <v/>
      </c>
      <c r="GB260" s="339">
        <f>GA260*$J260</f>
        <v/>
      </c>
      <c r="GC260" s="340">
        <f>SUMPRODUCT(--(MOD(COLUMN($EE260:$FZ260),4)=MOD(COLUMN($EF260),4)),$EE260:$FZ260)</f>
        <v/>
      </c>
      <c r="GD260" s="341">
        <f>GC260*$J260</f>
        <v/>
      </c>
      <c r="GE260" s="342">
        <f>SUMPRODUCT(--(MOD(COLUMN($EE260:$FZ260),4)=MOD(COLUMN($EG260),4)),$EE260:$FZ260)</f>
        <v/>
      </c>
      <c r="GF260" s="343">
        <f>GE260*$J260</f>
        <v/>
      </c>
      <c r="GG260" s="36" t="n"/>
      <c r="GH260" s="284" t="n"/>
      <c r="GI260" s="38" t="n"/>
      <c r="GJ260" s="284" t="n"/>
      <c r="GK260" s="36" t="n"/>
      <c r="GL260" s="284" t="n"/>
      <c r="GM260" s="38" t="n"/>
      <c r="GN260" s="284" t="n"/>
      <c r="GO260" s="36" t="n"/>
      <c r="GP260" s="284" t="n"/>
      <c r="GQ260" s="38" t="n"/>
      <c r="GR260" s="284" t="n"/>
      <c r="GS260" s="36" t="n"/>
      <c r="GT260" s="284" t="n"/>
      <c r="GU260" s="38" t="n"/>
      <c r="GV260" s="284" t="n"/>
      <c r="GW260" s="36" t="n"/>
      <c r="GX260" s="284" t="n"/>
      <c r="GY260" s="38" t="n"/>
      <c r="GZ260" s="284" t="n"/>
      <c r="HA260" s="36" t="n"/>
      <c r="HB260" s="284" t="n"/>
      <c r="HC260" s="38" t="n"/>
      <c r="HD260" s="284" t="n"/>
      <c r="HE260" s="36" t="n"/>
      <c r="HF260" s="284" t="n"/>
      <c r="HG260" s="38" t="n"/>
      <c r="HH260" s="284" t="n"/>
      <c r="HI260" s="36" t="n"/>
      <c r="HJ260" s="284" t="n"/>
      <c r="HK260" s="38" t="n"/>
      <c r="HL260" s="284" t="n"/>
      <c r="HM260" s="36" t="n"/>
      <c r="HN260" s="284" t="n"/>
      <c r="HO260" s="38" t="n"/>
      <c r="HP260" s="284" t="n"/>
      <c r="HQ260" s="36" t="n"/>
      <c r="HR260" s="284" t="n"/>
      <c r="HS260" s="38" t="n"/>
      <c r="HT260" s="284" t="n"/>
      <c r="HU260" s="36" t="n"/>
      <c r="HV260" s="284" t="n"/>
      <c r="HW260" s="38" t="n"/>
      <c r="HX260" s="284" t="n"/>
      <c r="HY260" s="36" t="n"/>
      <c r="HZ260" s="284" t="n"/>
      <c r="IA260" s="38" t="n"/>
      <c r="IB260" s="284" t="n"/>
      <c r="IC260" s="338">
        <f t="array" ref="IC260">SUMPRODUCT(--(MOD(COLUMN($GG260:$IB260),4)=MOD(COLUMN($GG260),4)),$GG260:$IB260)</f>
        <v/>
      </c>
      <c r="ID260" s="339">
        <f>IC260*$J260</f>
        <v/>
      </c>
      <c r="IE260" s="340">
        <f t="array" ref="IE260">SUMPRODUCT(--(MOD(COLUMN($GG260:$IB260),4)=MOD(COLUMN($GH260),4)),$GG260:$IB260)</f>
        <v/>
      </c>
      <c r="IF260" s="341">
        <f>IE260*$J260</f>
        <v/>
      </c>
      <c r="IG260" s="342">
        <f t="array" ref="IG260">SUMPRODUCT(--(MOD(COLUMN($GG260:$IB260),4)=MOD(COLUMN($GI260),4)),$GG260:$IB260)</f>
        <v/>
      </c>
      <c r="IH260" s="343">
        <f>IG260*$J260</f>
        <v/>
      </c>
      <c r="II260" s="36" t="n"/>
      <c r="IJ260" s="284" t="n"/>
      <c r="IK260" s="38" t="n"/>
      <c r="IL260" s="284" t="n"/>
      <c r="IM260" s="36" t="n"/>
      <c r="IN260" s="284" t="n"/>
      <c r="IO260" s="38" t="n"/>
      <c r="IP260" s="284" t="n"/>
      <c r="IQ260" s="36" t="n"/>
      <c r="IR260" s="284" t="n"/>
      <c r="IS260" s="38" t="n"/>
      <c r="IT260" s="284" t="n"/>
      <c r="IU260" s="36" t="n"/>
      <c r="IV260" s="284" t="n"/>
      <c r="IW260" s="38" t="n"/>
      <c r="IX260" s="284" t="n"/>
      <c r="IY260" s="36" t="n"/>
      <c r="IZ260" s="284" t="n"/>
      <c r="JA260" s="38" t="n"/>
      <c r="JB260" s="284" t="n"/>
      <c r="JC260" s="36" t="n"/>
      <c r="JD260" s="284" t="n"/>
      <c r="JE260" s="38" t="n"/>
      <c r="JF260" s="284" t="n"/>
      <c r="JG260" s="36" t="n"/>
      <c r="JH260" s="284" t="n"/>
      <c r="JI260" s="38" t="n"/>
      <c r="JJ260" s="284" t="n"/>
      <c r="JK260" s="36" t="n"/>
      <c r="JL260" s="284" t="n"/>
      <c r="JM260" s="38" t="n"/>
      <c r="JN260" s="284" t="n"/>
      <c r="JO260" s="36" t="n"/>
      <c r="JP260" s="284" t="n"/>
      <c r="JQ260" s="38" t="n"/>
      <c r="JR260" s="284" t="n"/>
      <c r="JS260" s="36" t="n"/>
      <c r="JT260" s="284" t="n"/>
      <c r="JU260" s="38" t="n"/>
      <c r="JV260" s="284" t="n"/>
      <c r="JW260" s="36" t="n"/>
      <c r="JX260" s="284" t="n"/>
      <c r="JY260" s="38" t="n"/>
      <c r="JZ260" s="284" t="n"/>
      <c r="KA260" s="36" t="n"/>
      <c r="KB260" s="284" t="n"/>
      <c r="KC260" s="38" t="n"/>
      <c r="KD260" s="284" t="n"/>
      <c r="KE260" s="338">
        <f t="array" ref="KE260">SUMPRODUCT(--(MOD(COLUMN($II260:$KD260),4)=MOD(COLUMN($II260),4)),$II260:$KD260)</f>
        <v/>
      </c>
      <c r="KF260" s="339">
        <f>KE260*$J260</f>
        <v/>
      </c>
      <c r="KG260" s="340">
        <f t="array" ref="KG260">SUMPRODUCT(--(MOD(COLUMN($II260:$KD260),4)=MOD(COLUMN($IJ260),4)),$II260:$KD260)</f>
        <v/>
      </c>
      <c r="KH260" s="341">
        <f>KG260*$J260</f>
        <v/>
      </c>
      <c r="KI260" s="342">
        <f t="array" ref="KI260">SUMPRODUCT(--(MOD(COLUMN($II260:$KD260),4)=MOD(COLUMN($IK260),4)),$II260:$KD260)</f>
        <v/>
      </c>
      <c r="KJ260" s="346">
        <f>KI260*$J260</f>
        <v/>
      </c>
      <c r="KK260" s="80" t="n"/>
      <c r="KL260" s="80" t="n"/>
      <c r="KM260" s="80" t="n"/>
      <c r="KN260" s="51" t="n"/>
      <c r="KO260" s="152" t="n"/>
    </row>
    <row r="261" outlineLevel="1" ht="43.2" customFormat="1" customHeight="1" s="68">
      <c r="A261" s="347" t="n"/>
      <c r="B261" s="347" t="n"/>
      <c r="C261" s="347" t="n"/>
      <c r="D261" s="347" t="n"/>
      <c r="E261" s="15" t="n">
        <v>10</v>
      </c>
      <c r="F261" s="15" t="n">
        <v>1</v>
      </c>
      <c r="G261" s="33" t="n">
        <v>4494430600</v>
      </c>
      <c r="H261" s="34" t="inlineStr">
        <is>
          <t>Кабель клапана управления подъемом оси, 6 м</t>
        </is>
      </c>
      <c r="I261" s="337">
        <f>164.2/1.2/0.98</f>
        <v/>
      </c>
      <c r="J261" s="337">
        <f>164.2/1.2</f>
        <v/>
      </c>
      <c r="K261" s="348" t="n"/>
      <c r="L261" s="348" t="n"/>
      <c r="M261" s="36" t="n"/>
      <c r="N261" s="284" t="n"/>
      <c r="O261" s="38" t="n"/>
      <c r="P261" s="284" t="n"/>
      <c r="Q261" s="36" t="n"/>
      <c r="R261" s="284" t="n"/>
      <c r="S261" s="38" t="n"/>
      <c r="T261" s="284" t="n"/>
      <c r="U261" s="36" t="n"/>
      <c r="V261" s="284" t="n"/>
      <c r="W261" s="38" t="n"/>
      <c r="X261" s="284" t="n"/>
      <c r="Y261" s="36" t="n"/>
      <c r="Z261" s="39" t="n"/>
      <c r="AA261" s="38" t="n"/>
      <c r="AB261" s="151" t="n"/>
      <c r="AC261" s="36" t="n"/>
      <c r="AD261" s="284" t="n"/>
      <c r="AE261" s="38" t="n"/>
      <c r="AF261" s="151" t="n"/>
      <c r="AG261" s="36" t="n"/>
      <c r="AH261" s="284" t="n"/>
      <c r="AI261" s="38" t="n"/>
      <c r="AJ261" s="151" t="n"/>
      <c r="AK261" s="36" t="n"/>
      <c r="AL261" s="284" t="n"/>
      <c r="AM261" s="38" t="n"/>
      <c r="AN261" s="151" t="n"/>
      <c r="AO261" s="36" t="n"/>
      <c r="AP261" s="284" t="n"/>
      <c r="AQ261" s="38" t="n"/>
      <c r="AR261" s="151" t="n"/>
      <c r="AS261" s="36" t="n"/>
      <c r="AT261" s="284" t="n"/>
      <c r="AU261" s="38" t="n"/>
      <c r="AV261" s="151" t="n"/>
      <c r="AW261" s="36" t="n"/>
      <c r="AX261" s="284" t="n"/>
      <c r="AY261" s="38" t="n"/>
      <c r="AZ261" s="151" t="n"/>
      <c r="BA261" s="36" t="n"/>
      <c r="BB261" s="284" t="n"/>
      <c r="BC261" s="92" t="n"/>
      <c r="BD261" s="284" t="n"/>
      <c r="BE261" s="36" t="n"/>
      <c r="BF261" s="284" t="n"/>
      <c r="BG261" s="54" t="n"/>
      <c r="BH261" s="284" t="n"/>
      <c r="BI261" s="338">
        <f>SUMPRODUCT(--(MOD(COLUMN($M261:$BH261),4)=MOD(COLUMN($M261),4)),$M261:$BH261)</f>
        <v/>
      </c>
      <c r="BJ261" s="339">
        <f>BI261*$I261</f>
        <v/>
      </c>
      <c r="BK261" s="340">
        <f>SUMPRODUCT(--(MOD(COLUMN($M261:$BH261),4)=MOD(COLUMN($M261)+1,4)),$M261:$BH261)</f>
        <v/>
      </c>
      <c r="BL261" s="341">
        <f>BK261*$I261</f>
        <v/>
      </c>
      <c r="BM261" s="342">
        <f>SUMPRODUCT(--(MOD(COLUMN($M261:$BH261),4)=MOD(COLUMN($M261)+2,4)),$M261:$BH261)</f>
        <v/>
      </c>
      <c r="BN261" s="343">
        <f>BM261*$I261</f>
        <v/>
      </c>
      <c r="BO261" s="36" t="n"/>
      <c r="BP261" s="47" t="n"/>
      <c r="BQ261" s="284" t="n"/>
      <c r="BR261" s="38" t="n"/>
      <c r="BS261" s="284" t="n"/>
      <c r="BT261" s="36" t="n"/>
      <c r="BU261" s="47" t="n"/>
      <c r="BV261" s="284" t="n"/>
      <c r="BW261" s="38" t="n"/>
      <c r="BX261" s="284" t="n"/>
      <c r="BY261" s="36" t="n"/>
      <c r="BZ261" s="47" t="n"/>
      <c r="CA261" s="284" t="n"/>
      <c r="CB261" s="38" t="n"/>
      <c r="CC261" s="284" t="n"/>
      <c r="CD261" s="36" t="n"/>
      <c r="CE261" s="47" t="n"/>
      <c r="CF261" s="284" t="n"/>
      <c r="CG261" s="38" t="n"/>
      <c r="CH261" s="284" t="n"/>
      <c r="CI261" s="36" t="n"/>
      <c r="CJ261" s="47" t="n"/>
      <c r="CK261" s="284" t="n"/>
      <c r="CL261" s="38" t="n"/>
      <c r="CM261" s="284" t="n"/>
      <c r="CN261" s="36" t="n"/>
      <c r="CO261" s="47" t="n"/>
      <c r="CP261" s="284" t="n"/>
      <c r="CQ261" s="38" t="n"/>
      <c r="CR261" s="284" t="n"/>
      <c r="CS261" s="36" t="n"/>
      <c r="CT261" s="47" t="n"/>
      <c r="CU261" s="39" t="n"/>
      <c r="CV261" s="38" t="n"/>
      <c r="CW261" s="284" t="n"/>
      <c r="CX261" s="36" t="n"/>
      <c r="CY261" s="47" t="n"/>
      <c r="CZ261" s="39" t="n"/>
      <c r="DA261" s="38" t="n"/>
      <c r="DB261" s="284" t="n"/>
      <c r="DC261" s="36" t="n"/>
      <c r="DD261" s="47" t="n"/>
      <c r="DE261" s="284" t="n"/>
      <c r="DF261" s="38" t="n"/>
      <c r="DG261" s="284" t="n"/>
      <c r="DH261" s="36" t="n"/>
      <c r="DI261" s="47" t="n"/>
      <c r="DJ261" s="284" t="n"/>
      <c r="DK261" s="38" t="n"/>
      <c r="DL261" s="284" t="n"/>
      <c r="DM261" s="36" t="n"/>
      <c r="DN261" s="47" t="n"/>
      <c r="DO261" s="284" t="n"/>
      <c r="DP261" s="38" t="n"/>
      <c r="DQ261" s="151" t="n"/>
      <c r="DR261" s="36" t="n"/>
      <c r="DS261" s="47" t="n"/>
      <c r="DT261" s="284" t="n"/>
      <c r="DU261" s="38" t="n">
        <v>0</v>
      </c>
      <c r="DV261" s="284" t="n"/>
      <c r="DW261" s="338">
        <f t="array" ref="DW261">SUMPRODUCT(--(MOD(COLUMN($BO261:$DV261),5)=MOD(COLUMN($BO261),5)),$BO261:$DV261)</f>
        <v/>
      </c>
      <c r="DX261" s="339">
        <f>DW261*$J261</f>
        <v/>
      </c>
      <c r="DY261" s="344">
        <f t="array" ref="DY261">SUMPRODUCT(--(MOD(COLUMN($BO261:$DV261),5)=MOD(COLUMN($BP261),5)),$BO261:$DV261)</f>
        <v/>
      </c>
      <c r="DZ261" s="345">
        <f>DY261*$J261</f>
        <v/>
      </c>
      <c r="EA261" s="340">
        <f t="array" ref="EA261">SUMPRODUCT(--(MOD(COLUMN($BO261:$DV261),5)=MOD(COLUMN($BQ261),5)),$BO261:$DV261)</f>
        <v/>
      </c>
      <c r="EB261" s="341">
        <f>EA261*$J261</f>
        <v/>
      </c>
      <c r="EC261" s="342">
        <f t="array" ref="EC261">SUMPRODUCT(--(MOD(COLUMN($BO261:$DV261),5)=MOD(COLUMN($BR261),5)),$BO261:$DV261)</f>
        <v/>
      </c>
      <c r="ED261" s="343">
        <f>EC261*$J261</f>
        <v/>
      </c>
      <c r="EE261" s="36" t="n"/>
      <c r="EF261" s="155" t="n">
        <v>1</v>
      </c>
      <c r="EG261" s="38" t="n">
        <v>1</v>
      </c>
      <c r="EH261" s="347" t="n"/>
      <c r="EI261" s="36" t="n"/>
      <c r="EJ261" s="284" t="n"/>
      <c r="EK261" s="38" t="n"/>
      <c r="EL261" s="284" t="n"/>
      <c r="EM261" s="36" t="n"/>
      <c r="EN261" s="284" t="n"/>
      <c r="EO261" s="38" t="n"/>
      <c r="EP261" s="284" t="n"/>
      <c r="EQ261" s="36" t="n"/>
      <c r="ER261" s="284" t="n"/>
      <c r="ES261" s="38" t="n"/>
      <c r="ET261" s="284" t="n"/>
      <c r="EU261" s="36" t="n"/>
      <c r="EV261" s="284" t="n"/>
      <c r="EW261" s="38" t="n"/>
      <c r="EX261" s="284" t="n"/>
      <c r="EY261" s="36" t="n"/>
      <c r="EZ261" s="284" t="n"/>
      <c r="FA261" s="38" t="n"/>
      <c r="FB261" s="284" t="n"/>
      <c r="FC261" s="36" t="n"/>
      <c r="FD261" s="284" t="n"/>
      <c r="FE261" s="38" t="n"/>
      <c r="FF261" s="284" t="n"/>
      <c r="FG261" s="36" t="n"/>
      <c r="FH261" s="284" t="n"/>
      <c r="FI261" s="38" t="n"/>
      <c r="FJ261" s="284" t="n"/>
      <c r="FK261" s="36" t="n"/>
      <c r="FL261" s="284" t="n"/>
      <c r="FM261" s="38" t="n"/>
      <c r="FN261" s="284" t="n"/>
      <c r="FO261" s="36" t="n"/>
      <c r="FP261" s="284" t="n"/>
      <c r="FQ261" s="38" t="n"/>
      <c r="FR261" s="284" t="n"/>
      <c r="FS261" s="36" t="n"/>
      <c r="FT261" s="284" t="n"/>
      <c r="FU261" s="38" t="n"/>
      <c r="FV261" s="284" t="n"/>
      <c r="FW261" s="36" t="n"/>
      <c r="FX261" s="284" t="n"/>
      <c r="FY261" s="38" t="n"/>
      <c r="FZ261" s="284" t="n"/>
      <c r="GA261" s="338">
        <f>SUMPRODUCT(--(MOD(COLUMN($EE261:$FZ261),4)=MOD(COLUMN($EE261),4)),$EE261:$FZ261)</f>
        <v/>
      </c>
      <c r="GB261" s="339">
        <f>GA261*$J261</f>
        <v/>
      </c>
      <c r="GC261" s="340">
        <f>SUMPRODUCT(--(MOD(COLUMN($EE261:$FZ261),4)=MOD(COLUMN($EF261),4)),$EE261:$FZ261)</f>
        <v/>
      </c>
      <c r="GD261" s="341">
        <f>GC261*$J261</f>
        <v/>
      </c>
      <c r="GE261" s="342">
        <f>SUMPRODUCT(--(MOD(COLUMN($EE261:$FZ261),4)=MOD(COLUMN($EG261),4)),$EE261:$FZ261)</f>
        <v/>
      </c>
      <c r="GF261" s="343">
        <f>GE261*$J261</f>
        <v/>
      </c>
      <c r="GG261" s="36" t="n"/>
      <c r="GH261" s="284" t="n"/>
      <c r="GI261" s="38" t="n"/>
      <c r="GJ261" s="284" t="n"/>
      <c r="GK261" s="36" t="n"/>
      <c r="GL261" s="284" t="n"/>
      <c r="GM261" s="38" t="n"/>
      <c r="GN261" s="284" t="n"/>
      <c r="GO261" s="36" t="n"/>
      <c r="GP261" s="284" t="n"/>
      <c r="GQ261" s="38" t="n"/>
      <c r="GR261" s="284" t="n"/>
      <c r="GS261" s="36" t="n"/>
      <c r="GT261" s="284" t="n"/>
      <c r="GU261" s="38" t="n"/>
      <c r="GV261" s="284" t="n"/>
      <c r="GW261" s="36" t="n"/>
      <c r="GX261" s="284" t="n"/>
      <c r="GY261" s="38" t="n"/>
      <c r="GZ261" s="284" t="n"/>
      <c r="HA261" s="36" t="n"/>
      <c r="HB261" s="284" t="n"/>
      <c r="HC261" s="38" t="n"/>
      <c r="HD261" s="284" t="n"/>
      <c r="HE261" s="36" t="n"/>
      <c r="HF261" s="284" t="n"/>
      <c r="HG261" s="38" t="n"/>
      <c r="HH261" s="284" t="n"/>
      <c r="HI261" s="36" t="n"/>
      <c r="HJ261" s="284" t="n"/>
      <c r="HK261" s="38" t="n"/>
      <c r="HL261" s="284" t="n"/>
      <c r="HM261" s="36" t="n"/>
      <c r="HN261" s="284" t="n"/>
      <c r="HO261" s="38" t="n"/>
      <c r="HP261" s="284" t="n"/>
      <c r="HQ261" s="36" t="n"/>
      <c r="HR261" s="284" t="n"/>
      <c r="HS261" s="38" t="n"/>
      <c r="HT261" s="284" t="n"/>
      <c r="HU261" s="36" t="n"/>
      <c r="HV261" s="284" t="n"/>
      <c r="HW261" s="38" t="n"/>
      <c r="HX261" s="284" t="n"/>
      <c r="HY261" s="36" t="n"/>
      <c r="HZ261" s="284" t="n"/>
      <c r="IA261" s="38" t="n"/>
      <c r="IB261" s="284" t="n"/>
      <c r="IC261" s="338">
        <f t="array" ref="IC261">SUMPRODUCT(--(MOD(COLUMN($GG261:$IB261),4)=MOD(COLUMN($GG261),4)),$GG261:$IB261)</f>
        <v/>
      </c>
      <c r="ID261" s="339">
        <f>IC261*$J261</f>
        <v/>
      </c>
      <c r="IE261" s="340">
        <f t="array" ref="IE261">SUMPRODUCT(--(MOD(COLUMN($GG261:$IB261),4)=MOD(COLUMN($GH261),4)),$GG261:$IB261)</f>
        <v/>
      </c>
      <c r="IF261" s="341">
        <f>IE261*$J261</f>
        <v/>
      </c>
      <c r="IG261" s="342">
        <f t="array" ref="IG261">SUMPRODUCT(--(MOD(COLUMN($GG261:$IB261),4)=MOD(COLUMN($GI261),4)),$GG261:$IB261)</f>
        <v/>
      </c>
      <c r="IH261" s="343">
        <f>IG261*$J261</f>
        <v/>
      </c>
      <c r="II261" s="36" t="n"/>
      <c r="IJ261" s="284" t="n"/>
      <c r="IK261" s="38" t="n"/>
      <c r="IL261" s="284" t="n"/>
      <c r="IM261" s="36" t="n"/>
      <c r="IN261" s="284" t="n"/>
      <c r="IO261" s="38" t="n"/>
      <c r="IP261" s="284" t="n"/>
      <c r="IQ261" s="36" t="n"/>
      <c r="IR261" s="284" t="n"/>
      <c r="IS261" s="38" t="n"/>
      <c r="IT261" s="284" t="n"/>
      <c r="IU261" s="36" t="n"/>
      <c r="IV261" s="284" t="n"/>
      <c r="IW261" s="38" t="n"/>
      <c r="IX261" s="284" t="n"/>
      <c r="IY261" s="36" t="n"/>
      <c r="IZ261" s="284" t="n"/>
      <c r="JA261" s="38" t="n"/>
      <c r="JB261" s="284" t="n"/>
      <c r="JC261" s="36" t="n"/>
      <c r="JD261" s="284" t="n"/>
      <c r="JE261" s="38" t="n"/>
      <c r="JF261" s="284" t="n"/>
      <c r="JG261" s="36" t="n"/>
      <c r="JH261" s="284" t="n"/>
      <c r="JI261" s="38" t="n"/>
      <c r="JJ261" s="284" t="n"/>
      <c r="JK261" s="36" t="n"/>
      <c r="JL261" s="284" t="n"/>
      <c r="JM261" s="38" t="n"/>
      <c r="JN261" s="284" t="n"/>
      <c r="JO261" s="36" t="n"/>
      <c r="JP261" s="284" t="n"/>
      <c r="JQ261" s="38" t="n"/>
      <c r="JR261" s="284" t="n"/>
      <c r="JS261" s="36" t="n"/>
      <c r="JT261" s="284" t="n"/>
      <c r="JU261" s="38" t="n"/>
      <c r="JV261" s="284" t="n"/>
      <c r="JW261" s="36" t="n"/>
      <c r="JX261" s="284" t="n"/>
      <c r="JY261" s="38" t="n"/>
      <c r="JZ261" s="284" t="n"/>
      <c r="KA261" s="36" t="n"/>
      <c r="KB261" s="284" t="n"/>
      <c r="KC261" s="38" t="n"/>
      <c r="KD261" s="284" t="n"/>
      <c r="KE261" s="338">
        <f t="array" ref="KE261">SUMPRODUCT(--(MOD(COLUMN($II261:$KD261),4)=MOD(COLUMN($II261),4)),$II261:$KD261)</f>
        <v/>
      </c>
      <c r="KF261" s="339">
        <f>KE261*$J261</f>
        <v/>
      </c>
      <c r="KG261" s="340">
        <f t="array" ref="KG261">SUMPRODUCT(--(MOD(COLUMN($II261:$KD261),4)=MOD(COLUMN($IJ261),4)),$II261:$KD261)</f>
        <v/>
      </c>
      <c r="KH261" s="341">
        <f>KG261*$J261</f>
        <v/>
      </c>
      <c r="KI261" s="342">
        <f t="array" ref="KI261">SUMPRODUCT(--(MOD(COLUMN($II261:$KD261),4)=MOD(COLUMN($IK261),4)),$II261:$KD261)</f>
        <v/>
      </c>
      <c r="KJ261" s="346">
        <f>KI261*$J261</f>
        <v/>
      </c>
      <c r="KK261" s="80" t="n"/>
      <c r="KL261" s="80" t="n"/>
      <c r="KM261" s="80" t="n"/>
      <c r="KN261" s="51" t="n"/>
      <c r="KO261" s="152" t="n"/>
    </row>
    <row r="262" outlineLevel="1" ht="57.6" customFormat="1" customHeight="1" s="68">
      <c r="A262" s="347" t="n"/>
      <c r="B262" s="347" t="n"/>
      <c r="C262" s="347" t="n"/>
      <c r="D262" s="347" t="n"/>
      <c r="E262" s="15" t="n">
        <v>11</v>
      </c>
      <c r="F262" s="15" t="n">
        <v>1</v>
      </c>
      <c r="G262" s="150" t="n">
        <v>9522002220</v>
      </c>
      <c r="H262" s="34" t="inlineStr">
        <is>
          <t>Головка соединительная тягача (желтая, М16х1,5)</t>
        </is>
      </c>
      <c r="I262" s="337" t="n"/>
      <c r="J262" s="337">
        <f>66.45/1.2</f>
        <v/>
      </c>
      <c r="K262" s="348" t="n"/>
      <c r="L262" s="348" t="n"/>
      <c r="M262" s="36" t="n"/>
      <c r="N262" s="284" t="n"/>
      <c r="O262" s="38" t="n"/>
      <c r="P262" s="284" t="n"/>
      <c r="Q262" s="36" t="n"/>
      <c r="R262" s="284" t="n"/>
      <c r="S262" s="38" t="n"/>
      <c r="T262" s="284" t="n"/>
      <c r="U262" s="36" t="n"/>
      <c r="V262" s="284" t="n"/>
      <c r="W262" s="38" t="n"/>
      <c r="X262" s="284" t="n"/>
      <c r="Y262" s="36" t="n"/>
      <c r="Z262" s="39" t="n"/>
      <c r="AA262" s="38" t="n"/>
      <c r="AB262" s="247" t="n"/>
      <c r="AC262" s="36" t="n"/>
      <c r="AD262" s="284" t="n"/>
      <c r="AE262" s="38" t="n"/>
      <c r="AF262" s="247" t="n"/>
      <c r="AG262" s="36" t="n"/>
      <c r="AH262" s="284" t="n"/>
      <c r="AI262" s="38" t="n"/>
      <c r="AJ262" s="247" t="n"/>
      <c r="AK262" s="36" t="n"/>
      <c r="AL262" s="284" t="n"/>
      <c r="AM262" s="38" t="n"/>
      <c r="AN262" s="247" t="n"/>
      <c r="AO262" s="36" t="n"/>
      <c r="AP262" s="284" t="n"/>
      <c r="AQ262" s="38" t="n"/>
      <c r="AR262" s="247" t="n"/>
      <c r="AS262" s="36" t="n"/>
      <c r="AT262" s="284" t="n"/>
      <c r="AU262" s="38" t="n"/>
      <c r="AV262" s="247" t="n"/>
      <c r="AW262" s="36" t="n"/>
      <c r="AX262" s="284" t="n"/>
      <c r="AY262" s="38" t="n"/>
      <c r="AZ262" s="247" t="n"/>
      <c r="BA262" s="36" t="n"/>
      <c r="BB262" s="284" t="n"/>
      <c r="BC262" s="92" t="n"/>
      <c r="BD262" s="284" t="n"/>
      <c r="BE262" s="36" t="n"/>
      <c r="BF262" s="284" t="n"/>
      <c r="BG262" s="54" t="n"/>
      <c r="BH262" s="284" t="n"/>
      <c r="BI262" s="338" t="n"/>
      <c r="BJ262" s="339" t="n"/>
      <c r="BK262" s="340" t="n"/>
      <c r="BL262" s="341" t="n"/>
      <c r="BM262" s="342" t="n"/>
      <c r="BN262" s="343" t="n"/>
      <c r="BO262" s="36" t="n"/>
      <c r="BP262" s="47" t="n"/>
      <c r="BQ262" s="284" t="n"/>
      <c r="BR262" s="38" t="n"/>
      <c r="BS262" s="284" t="n"/>
      <c r="BT262" s="36" t="n"/>
      <c r="BU262" s="47" t="n"/>
      <c r="BV262" s="284" t="n"/>
      <c r="BW262" s="38" t="n"/>
      <c r="BX262" s="245" t="n"/>
      <c r="BY262" s="36" t="n"/>
      <c r="BZ262" s="47" t="n"/>
      <c r="CA262" s="284" t="n"/>
      <c r="CB262" s="38" t="n"/>
      <c r="CC262" s="284" t="n"/>
      <c r="CD262" s="36" t="n"/>
      <c r="CE262" s="47" t="n"/>
      <c r="CF262" s="284" t="n"/>
      <c r="CG262" s="38" t="n"/>
      <c r="CH262" s="284" t="n"/>
      <c r="CI262" s="36" t="n"/>
      <c r="CJ262" s="47" t="n"/>
      <c r="CK262" s="284" t="n"/>
      <c r="CL262" s="38" t="n"/>
      <c r="CM262" s="284" t="n"/>
      <c r="CN262" s="36" t="n"/>
      <c r="CO262" s="47" t="n"/>
      <c r="CP262" s="284" t="n"/>
      <c r="CQ262" s="38" t="n"/>
      <c r="CR262" s="284" t="n"/>
      <c r="CS262" s="36" t="n"/>
      <c r="CT262" s="47" t="n"/>
      <c r="CU262" s="39" t="n"/>
      <c r="CV262" s="38" t="n"/>
      <c r="CW262" s="284" t="n"/>
      <c r="CX262" s="36" t="n"/>
      <c r="CY262" s="47" t="n"/>
      <c r="CZ262" s="39" t="n"/>
      <c r="DA262" s="38" t="n"/>
      <c r="DB262" s="284" t="n"/>
      <c r="DC262" s="36" t="n"/>
      <c r="DD262" s="47" t="n"/>
      <c r="DE262" s="284" t="n"/>
      <c r="DF262" s="38" t="n"/>
      <c r="DG262" s="284" t="n"/>
      <c r="DH262" s="36" t="n"/>
      <c r="DI262" s="47" t="n"/>
      <c r="DJ262" s="284" t="n"/>
      <c r="DK262" s="38" t="n"/>
      <c r="DL262" s="284" t="n"/>
      <c r="DM262" s="36" t="n"/>
      <c r="DN262" s="47" t="n"/>
      <c r="DO262" s="284" t="n"/>
      <c r="DP262" s="38" t="n"/>
      <c r="DQ262" s="151" t="n"/>
      <c r="DR262" s="36" t="n"/>
      <c r="DS262" s="47" t="n"/>
      <c r="DT262" s="284" t="n"/>
      <c r="DU262" s="38" t="n">
        <v>0</v>
      </c>
      <c r="DV262" s="284" t="n"/>
      <c r="DW262" s="338">
        <f t="array" ref="DW262">SUMPRODUCT(--(MOD(COLUMN($BO262:$DV262),5)=MOD(COLUMN($BO262),5)),$BO262:$DV262)</f>
        <v/>
      </c>
      <c r="DX262" s="339">
        <f>DW262*$J262</f>
        <v/>
      </c>
      <c r="DY262" s="344">
        <f t="array" ref="DY262">SUMPRODUCT(--(MOD(COLUMN($BO262:$DV262),5)=MOD(COLUMN($BP262),5)),$BO262:$DV262)</f>
        <v/>
      </c>
      <c r="DZ262" s="345">
        <f>DY262*$J262</f>
        <v/>
      </c>
      <c r="EA262" s="340">
        <f t="array" ref="EA262">SUMPRODUCT(--(MOD(COLUMN($BO262:$DV262),5)=MOD(COLUMN($BQ262),5)),$BO262:$DV262)</f>
        <v/>
      </c>
      <c r="EB262" s="341">
        <f>EA262*$J262</f>
        <v/>
      </c>
      <c r="EC262" s="342">
        <f t="array" ref="EC262">SUMPRODUCT(--(MOD(COLUMN($BO262:$DV262),5)=MOD(COLUMN($BR262),5)),$BO262:$DV262)</f>
        <v/>
      </c>
      <c r="ED262" s="343">
        <f>EC262*$J262</f>
        <v/>
      </c>
      <c r="EE262" s="36" t="n"/>
      <c r="EF262" s="155" t="n">
        <v>1</v>
      </c>
      <c r="EG262" s="38" t="n">
        <v>1</v>
      </c>
      <c r="EH262" s="347" t="n"/>
      <c r="EI262" s="36" t="n"/>
      <c r="EJ262" s="284" t="n"/>
      <c r="EK262" s="38" t="n"/>
      <c r="EL262" s="284" t="n"/>
      <c r="EM262" s="36" t="n"/>
      <c r="EN262" s="284" t="n"/>
      <c r="EO262" s="38" t="n"/>
      <c r="EP262" s="284" t="n"/>
      <c r="EQ262" s="36" t="n"/>
      <c r="ER262" s="284" t="n"/>
      <c r="ES262" s="38" t="n"/>
      <c r="ET262" s="284" t="n"/>
      <c r="EU262" s="36" t="n"/>
      <c r="EV262" s="284" t="n"/>
      <c r="EW262" s="38" t="n"/>
      <c r="EX262" s="284" t="n"/>
      <c r="EY262" s="36" t="n"/>
      <c r="EZ262" s="284" t="n"/>
      <c r="FA262" s="38" t="n"/>
      <c r="FB262" s="284" t="n"/>
      <c r="FC262" s="36" t="n"/>
      <c r="FD262" s="284" t="n"/>
      <c r="FE262" s="38" t="n"/>
      <c r="FF262" s="284" t="n"/>
      <c r="FG262" s="36" t="n"/>
      <c r="FH262" s="284" t="n"/>
      <c r="FI262" s="38" t="n"/>
      <c r="FJ262" s="284" t="n"/>
      <c r="FK262" s="36" t="n"/>
      <c r="FL262" s="284" t="n"/>
      <c r="FM262" s="38" t="n"/>
      <c r="FN262" s="284" t="n"/>
      <c r="FO262" s="36" t="n"/>
      <c r="FP262" s="284" t="n"/>
      <c r="FQ262" s="38" t="n"/>
      <c r="FR262" s="284" t="n"/>
      <c r="FS262" s="36" t="n"/>
      <c r="FT262" s="284" t="n"/>
      <c r="FU262" s="38" t="n"/>
      <c r="FV262" s="284" t="n"/>
      <c r="FW262" s="36" t="n"/>
      <c r="FX262" s="284" t="n"/>
      <c r="FY262" s="38" t="n"/>
      <c r="FZ262" s="284" t="n"/>
      <c r="GA262" s="338">
        <f>SUMPRODUCT(--(MOD(COLUMN($EE262:$FZ262),4)=MOD(COLUMN($EE262),4)),$EE262:$FZ262)</f>
        <v/>
      </c>
      <c r="GB262" s="339">
        <f>GA262*$J262</f>
        <v/>
      </c>
      <c r="GC262" s="340">
        <f>SUMPRODUCT(--(MOD(COLUMN($EE262:$FZ262),4)=MOD(COLUMN($EF262),4)),$EE262:$FZ262)</f>
        <v/>
      </c>
      <c r="GD262" s="341">
        <f>GC262*$J262</f>
        <v/>
      </c>
      <c r="GE262" s="342">
        <f>SUMPRODUCT(--(MOD(COLUMN($EE262:$FZ262),4)=MOD(COLUMN($EG262),4)),$EE262:$FZ262)</f>
        <v/>
      </c>
      <c r="GF262" s="343">
        <f>GE262*$J262</f>
        <v/>
      </c>
      <c r="GG262" s="36" t="n"/>
      <c r="GH262" s="284" t="n"/>
      <c r="GI262" s="38" t="n"/>
      <c r="GJ262" s="284" t="n"/>
      <c r="GK262" s="36" t="n"/>
      <c r="GL262" s="284" t="n"/>
      <c r="GM262" s="38" t="n"/>
      <c r="GN262" s="284" t="n"/>
      <c r="GO262" s="36" t="n"/>
      <c r="GP262" s="284" t="n"/>
      <c r="GQ262" s="38" t="n"/>
      <c r="GR262" s="284" t="n"/>
      <c r="GS262" s="36" t="n"/>
      <c r="GT262" s="284" t="n"/>
      <c r="GU262" s="38" t="n"/>
      <c r="GV262" s="284" t="n"/>
      <c r="GW262" s="36" t="n"/>
      <c r="GX262" s="284" t="n"/>
      <c r="GY262" s="38" t="n"/>
      <c r="GZ262" s="284" t="n"/>
      <c r="HA262" s="36" t="n"/>
      <c r="HB262" s="284" t="n"/>
      <c r="HC262" s="38" t="n"/>
      <c r="HD262" s="284" t="n"/>
      <c r="HE262" s="36" t="n"/>
      <c r="HF262" s="284" t="n"/>
      <c r="HG262" s="38" t="n"/>
      <c r="HH262" s="284" t="n"/>
      <c r="HI262" s="36" t="n"/>
      <c r="HJ262" s="284" t="n"/>
      <c r="HK262" s="38" t="n"/>
      <c r="HL262" s="284" t="n"/>
      <c r="HM262" s="36" t="n"/>
      <c r="HN262" s="284" t="n"/>
      <c r="HO262" s="38" t="n"/>
      <c r="HP262" s="284" t="n"/>
      <c r="HQ262" s="36" t="n"/>
      <c r="HR262" s="284" t="n"/>
      <c r="HS262" s="38" t="n"/>
      <c r="HT262" s="284" t="n"/>
      <c r="HU262" s="36" t="n"/>
      <c r="HV262" s="284" t="n"/>
      <c r="HW262" s="38" t="n"/>
      <c r="HX262" s="284" t="n"/>
      <c r="HY262" s="36" t="n"/>
      <c r="HZ262" s="284" t="n"/>
      <c r="IA262" s="38" t="n"/>
      <c r="IB262" s="284" t="n"/>
      <c r="IC262" s="338">
        <f t="array" ref="IC262">SUMPRODUCT(--(MOD(COLUMN($GG262:$IB262),4)=MOD(COLUMN($GG262),4)),$GG262:$IB262)</f>
        <v/>
      </c>
      <c r="ID262" s="339">
        <f>IC262*$J262</f>
        <v/>
      </c>
      <c r="IE262" s="340">
        <f t="array" ref="IE262">SUMPRODUCT(--(MOD(COLUMN($GG262:$IB262),4)=MOD(COLUMN($GH262),4)),$GG262:$IB262)</f>
        <v/>
      </c>
      <c r="IF262" s="341">
        <f>IE262*$J262</f>
        <v/>
      </c>
      <c r="IG262" s="342">
        <f t="array" ref="IG262">SUMPRODUCT(--(MOD(COLUMN($GG262:$IB262),4)=MOD(COLUMN($GI262),4)),$GG262:$IB262)</f>
        <v/>
      </c>
      <c r="IH262" s="343">
        <f>IG262*$J262</f>
        <v/>
      </c>
      <c r="II262" s="36" t="n"/>
      <c r="IJ262" s="284" t="n"/>
      <c r="IK262" s="38" t="n"/>
      <c r="IL262" s="284" t="n"/>
      <c r="IM262" s="36" t="n"/>
      <c r="IN262" s="284" t="n"/>
      <c r="IO262" s="38" t="n"/>
      <c r="IP262" s="284" t="n"/>
      <c r="IQ262" s="36" t="n"/>
      <c r="IR262" s="284" t="n"/>
      <c r="IS262" s="38" t="n"/>
      <c r="IT262" s="284" t="n"/>
      <c r="IU262" s="36" t="n"/>
      <c r="IV262" s="284" t="n"/>
      <c r="IW262" s="38" t="n"/>
      <c r="IX262" s="284" t="n"/>
      <c r="IY262" s="36" t="n"/>
      <c r="IZ262" s="284" t="n"/>
      <c r="JA262" s="38" t="n"/>
      <c r="JB262" s="284" t="n"/>
      <c r="JC262" s="36" t="n"/>
      <c r="JD262" s="284" t="n"/>
      <c r="JE262" s="38" t="n"/>
      <c r="JF262" s="284" t="n"/>
      <c r="JG262" s="36" t="n"/>
      <c r="JH262" s="284" t="n"/>
      <c r="JI262" s="38" t="n"/>
      <c r="JJ262" s="284" t="n"/>
      <c r="JK262" s="36" t="n"/>
      <c r="JL262" s="284" t="n"/>
      <c r="JM262" s="38" t="n"/>
      <c r="JN262" s="284" t="n"/>
      <c r="JO262" s="36" t="n"/>
      <c r="JP262" s="284" t="n"/>
      <c r="JQ262" s="38" t="n"/>
      <c r="JR262" s="284" t="n"/>
      <c r="JS262" s="36" t="n"/>
      <c r="JT262" s="284" t="n"/>
      <c r="JU262" s="38" t="n"/>
      <c r="JV262" s="284" t="n"/>
      <c r="JW262" s="36" t="n"/>
      <c r="JX262" s="284" t="n"/>
      <c r="JY262" s="38" t="n"/>
      <c r="JZ262" s="284" t="n"/>
      <c r="KA262" s="36" t="n"/>
      <c r="KB262" s="284" t="n"/>
      <c r="KC262" s="38" t="n"/>
      <c r="KD262" s="284" t="n"/>
      <c r="KE262" s="338">
        <f t="array" ref="KE262">SUMPRODUCT(--(MOD(COLUMN($II262:$KD262),4)=MOD(COLUMN($II262),4)),$II262:$KD262)</f>
        <v/>
      </c>
      <c r="KF262" s="339">
        <f>KE262*$J262</f>
        <v/>
      </c>
      <c r="KG262" s="340">
        <f t="array" ref="KG262">SUMPRODUCT(--(MOD(COLUMN($II262:$KD262),4)=MOD(COLUMN($IJ262),4)),$II262:$KD262)</f>
        <v/>
      </c>
      <c r="KH262" s="341">
        <f>KG262*$J262</f>
        <v/>
      </c>
      <c r="KI262" s="342">
        <f t="array" ref="KI262">SUMPRODUCT(--(MOD(COLUMN($II262:$KD262),4)=MOD(COLUMN($IK262),4)),$II262:$KD262)</f>
        <v/>
      </c>
      <c r="KJ262" s="346">
        <f>KI262*$J262</f>
        <v/>
      </c>
      <c r="KK262" s="80" t="n"/>
      <c r="KL262" s="80" t="n"/>
      <c r="KM262" s="80" t="n"/>
      <c r="KN262" s="51" t="n"/>
      <c r="KO262" s="285" t="n"/>
    </row>
    <row r="263" outlineLevel="1" ht="57.6" customFormat="1" customHeight="1" s="68">
      <c r="A263" s="347" t="n"/>
      <c r="B263" s="347" t="n"/>
      <c r="C263" s="347" t="n"/>
      <c r="D263" s="347" t="n"/>
      <c r="E263" s="15" t="n">
        <v>12</v>
      </c>
      <c r="F263" s="15" t="n">
        <v>1</v>
      </c>
      <c r="G263" s="150" t="n">
        <v>9522002210</v>
      </c>
      <c r="H263" s="34" t="inlineStr">
        <is>
          <t>Головка соединительная тягача (красная, М16х1,5)</t>
        </is>
      </c>
      <c r="I263" s="337" t="n"/>
      <c r="J263" s="337">
        <f>66.45/1.2</f>
        <v/>
      </c>
      <c r="K263" s="348" t="n"/>
      <c r="L263" s="348" t="n"/>
      <c r="M263" s="36" t="n"/>
      <c r="N263" s="284" t="n"/>
      <c r="O263" s="38" t="n"/>
      <c r="P263" s="284" t="n"/>
      <c r="Q263" s="36" t="n"/>
      <c r="R263" s="284" t="n"/>
      <c r="S263" s="38" t="n"/>
      <c r="T263" s="284" t="n"/>
      <c r="U263" s="36" t="n"/>
      <c r="V263" s="284" t="n"/>
      <c r="W263" s="38" t="n"/>
      <c r="X263" s="284" t="n"/>
      <c r="Y263" s="36" t="n"/>
      <c r="Z263" s="39" t="n"/>
      <c r="AA263" s="38" t="n"/>
      <c r="AB263" s="247" t="n"/>
      <c r="AC263" s="36" t="n"/>
      <c r="AD263" s="284" t="n"/>
      <c r="AE263" s="38" t="n"/>
      <c r="AF263" s="247" t="n"/>
      <c r="AG263" s="36" t="n"/>
      <c r="AH263" s="284" t="n"/>
      <c r="AI263" s="38" t="n"/>
      <c r="AJ263" s="247" t="n"/>
      <c r="AK263" s="36" t="n"/>
      <c r="AL263" s="284" t="n"/>
      <c r="AM263" s="38" t="n"/>
      <c r="AN263" s="247" t="n"/>
      <c r="AO263" s="36" t="n"/>
      <c r="AP263" s="284" t="n"/>
      <c r="AQ263" s="38" t="n"/>
      <c r="AR263" s="247" t="n"/>
      <c r="AS263" s="36" t="n"/>
      <c r="AT263" s="284" t="n"/>
      <c r="AU263" s="38" t="n"/>
      <c r="AV263" s="247" t="n"/>
      <c r="AW263" s="36" t="n"/>
      <c r="AX263" s="284" t="n"/>
      <c r="AY263" s="38" t="n"/>
      <c r="AZ263" s="247" t="n"/>
      <c r="BA263" s="36" t="n"/>
      <c r="BB263" s="284" t="n"/>
      <c r="BC263" s="92" t="n"/>
      <c r="BD263" s="284" t="n"/>
      <c r="BE263" s="36" t="n"/>
      <c r="BF263" s="284" t="n"/>
      <c r="BG263" s="54" t="n"/>
      <c r="BH263" s="284" t="n"/>
      <c r="BI263" s="338" t="n"/>
      <c r="BJ263" s="339" t="n"/>
      <c r="BK263" s="340" t="n"/>
      <c r="BL263" s="341" t="n"/>
      <c r="BM263" s="342" t="n"/>
      <c r="BN263" s="343" t="n"/>
      <c r="BO263" s="36" t="n"/>
      <c r="BP263" s="47" t="n"/>
      <c r="BQ263" s="284" t="n"/>
      <c r="BR263" s="38" t="n"/>
      <c r="BS263" s="284" t="n"/>
      <c r="BT263" s="36" t="n"/>
      <c r="BU263" s="47" t="n"/>
      <c r="BV263" s="284" t="n"/>
      <c r="BW263" s="38" t="n"/>
      <c r="BX263" s="245" t="n"/>
      <c r="BY263" s="36" t="n"/>
      <c r="BZ263" s="47" t="n"/>
      <c r="CA263" s="284" t="n"/>
      <c r="CB263" s="38" t="n"/>
      <c r="CC263" s="284" t="n"/>
      <c r="CD263" s="36" t="n"/>
      <c r="CE263" s="47" t="n"/>
      <c r="CF263" s="284" t="n"/>
      <c r="CG263" s="38" t="n"/>
      <c r="CH263" s="284" t="n"/>
      <c r="CI263" s="36" t="n"/>
      <c r="CJ263" s="47" t="n"/>
      <c r="CK263" s="284" t="n"/>
      <c r="CL263" s="38" t="n"/>
      <c r="CM263" s="284" t="n"/>
      <c r="CN263" s="36" t="n"/>
      <c r="CO263" s="47" t="n"/>
      <c r="CP263" s="284" t="n"/>
      <c r="CQ263" s="38" t="n"/>
      <c r="CR263" s="284" t="n"/>
      <c r="CS263" s="36" t="n"/>
      <c r="CT263" s="47" t="n"/>
      <c r="CU263" s="39" t="n"/>
      <c r="CV263" s="38" t="n"/>
      <c r="CW263" s="284" t="n"/>
      <c r="CX263" s="36" t="n"/>
      <c r="CY263" s="47" t="n"/>
      <c r="CZ263" s="39" t="n"/>
      <c r="DA263" s="38" t="n"/>
      <c r="DB263" s="284" t="n"/>
      <c r="DC263" s="36" t="n"/>
      <c r="DD263" s="47" t="n"/>
      <c r="DE263" s="284" t="n"/>
      <c r="DF263" s="38" t="n"/>
      <c r="DG263" s="284" t="n"/>
      <c r="DH263" s="36" t="n"/>
      <c r="DI263" s="47" t="n"/>
      <c r="DJ263" s="284" t="n"/>
      <c r="DK263" s="38" t="n"/>
      <c r="DL263" s="284" t="n"/>
      <c r="DM263" s="36" t="n"/>
      <c r="DN263" s="47" t="n"/>
      <c r="DO263" s="284" t="n"/>
      <c r="DP263" s="38" t="n"/>
      <c r="DQ263" s="151" t="n"/>
      <c r="DR263" s="36" t="n"/>
      <c r="DS263" s="47" t="n"/>
      <c r="DT263" s="284" t="n"/>
      <c r="DU263" s="38" t="n">
        <v>0</v>
      </c>
      <c r="DV263" s="284" t="n"/>
      <c r="DW263" s="338">
        <f t="array" ref="DW263">SUMPRODUCT(--(MOD(COLUMN($BO263:$DV263),5)=MOD(COLUMN($BO263),5)),$BO263:$DV263)</f>
        <v/>
      </c>
      <c r="DX263" s="339">
        <f>DW263*$J263</f>
        <v/>
      </c>
      <c r="DY263" s="344">
        <f t="array" ref="DY263">SUMPRODUCT(--(MOD(COLUMN($BO263:$DV263),5)=MOD(COLUMN($BP263),5)),$BO263:$DV263)</f>
        <v/>
      </c>
      <c r="DZ263" s="345">
        <f>DY263*$J263</f>
        <v/>
      </c>
      <c r="EA263" s="340">
        <f t="array" ref="EA263">SUMPRODUCT(--(MOD(COLUMN($BO263:$DV263),5)=MOD(COLUMN($BQ263),5)),$BO263:$DV263)</f>
        <v/>
      </c>
      <c r="EB263" s="341">
        <f>EA263*$J263</f>
        <v/>
      </c>
      <c r="EC263" s="342">
        <f t="array" ref="EC263">SUMPRODUCT(--(MOD(COLUMN($BO263:$DV263),5)=MOD(COLUMN($BR263),5)),$BO263:$DV263)</f>
        <v/>
      </c>
      <c r="ED263" s="343">
        <f>EC263*$J263</f>
        <v/>
      </c>
      <c r="EE263" s="36" t="n"/>
      <c r="EF263" s="155" t="n">
        <v>1</v>
      </c>
      <c r="EG263" s="38" t="n">
        <v>1</v>
      </c>
      <c r="EH263" s="347" t="n"/>
      <c r="EI263" s="36" t="n"/>
      <c r="EJ263" s="284" t="n"/>
      <c r="EK263" s="38" t="n"/>
      <c r="EL263" s="284" t="n"/>
      <c r="EM263" s="36" t="n"/>
      <c r="EN263" s="284" t="n"/>
      <c r="EO263" s="38" t="n"/>
      <c r="EP263" s="284" t="n"/>
      <c r="EQ263" s="36" t="n"/>
      <c r="ER263" s="284" t="n"/>
      <c r="ES263" s="38" t="n"/>
      <c r="ET263" s="284" t="n"/>
      <c r="EU263" s="36" t="n"/>
      <c r="EV263" s="284" t="n"/>
      <c r="EW263" s="38" t="n"/>
      <c r="EX263" s="284" t="n"/>
      <c r="EY263" s="36" t="n"/>
      <c r="EZ263" s="284" t="n"/>
      <c r="FA263" s="38" t="n"/>
      <c r="FB263" s="284" t="n"/>
      <c r="FC263" s="36" t="n"/>
      <c r="FD263" s="284" t="n"/>
      <c r="FE263" s="38" t="n"/>
      <c r="FF263" s="284" t="n"/>
      <c r="FG263" s="36" t="n"/>
      <c r="FH263" s="284" t="n"/>
      <c r="FI263" s="38" t="n"/>
      <c r="FJ263" s="284" t="n"/>
      <c r="FK263" s="36" t="n"/>
      <c r="FL263" s="284" t="n"/>
      <c r="FM263" s="38" t="n"/>
      <c r="FN263" s="284" t="n"/>
      <c r="FO263" s="36" t="n"/>
      <c r="FP263" s="284" t="n"/>
      <c r="FQ263" s="38" t="n"/>
      <c r="FR263" s="284" t="n"/>
      <c r="FS263" s="36" t="n"/>
      <c r="FT263" s="284" t="n"/>
      <c r="FU263" s="38" t="n"/>
      <c r="FV263" s="284" t="n"/>
      <c r="FW263" s="36" t="n"/>
      <c r="FX263" s="284" t="n"/>
      <c r="FY263" s="38" t="n"/>
      <c r="FZ263" s="284" t="n"/>
      <c r="GA263" s="338">
        <f>SUMPRODUCT(--(MOD(COLUMN($EE263:$FZ263),4)=MOD(COLUMN($EE263),4)),$EE263:$FZ263)</f>
        <v/>
      </c>
      <c r="GB263" s="339">
        <f>GA263*$J263</f>
        <v/>
      </c>
      <c r="GC263" s="340">
        <f>SUMPRODUCT(--(MOD(COLUMN($EE263:$FZ263),4)=MOD(COLUMN($EF263),4)),$EE263:$FZ263)</f>
        <v/>
      </c>
      <c r="GD263" s="341">
        <f>GC263*$J263</f>
        <v/>
      </c>
      <c r="GE263" s="342">
        <f>SUMPRODUCT(--(MOD(COLUMN($EE263:$FZ263),4)=MOD(COLUMN($EG263),4)),$EE263:$FZ263)</f>
        <v/>
      </c>
      <c r="GF263" s="343">
        <f>GE263*$J263</f>
        <v/>
      </c>
      <c r="GG263" s="36" t="n"/>
      <c r="GH263" s="284" t="n"/>
      <c r="GI263" s="38" t="n"/>
      <c r="GJ263" s="284" t="n"/>
      <c r="GK263" s="36" t="n"/>
      <c r="GL263" s="284" t="n"/>
      <c r="GM263" s="38" t="n"/>
      <c r="GN263" s="284" t="n"/>
      <c r="GO263" s="36" t="n"/>
      <c r="GP263" s="284" t="n"/>
      <c r="GQ263" s="38" t="n"/>
      <c r="GR263" s="284" t="n"/>
      <c r="GS263" s="36" t="n"/>
      <c r="GT263" s="284" t="n"/>
      <c r="GU263" s="38" t="n"/>
      <c r="GV263" s="284" t="n"/>
      <c r="GW263" s="36" t="n"/>
      <c r="GX263" s="284" t="n"/>
      <c r="GY263" s="38" t="n"/>
      <c r="GZ263" s="284" t="n"/>
      <c r="HA263" s="36" t="n"/>
      <c r="HB263" s="284" t="n"/>
      <c r="HC263" s="38" t="n"/>
      <c r="HD263" s="284" t="n"/>
      <c r="HE263" s="36" t="n"/>
      <c r="HF263" s="284" t="n"/>
      <c r="HG263" s="38" t="n"/>
      <c r="HH263" s="284" t="n"/>
      <c r="HI263" s="36" t="n"/>
      <c r="HJ263" s="284" t="n"/>
      <c r="HK263" s="38" t="n"/>
      <c r="HL263" s="284" t="n"/>
      <c r="HM263" s="36" t="n"/>
      <c r="HN263" s="284" t="n"/>
      <c r="HO263" s="38" t="n"/>
      <c r="HP263" s="284" t="n"/>
      <c r="HQ263" s="36" t="n"/>
      <c r="HR263" s="284" t="n"/>
      <c r="HS263" s="38" t="n"/>
      <c r="HT263" s="284" t="n"/>
      <c r="HU263" s="36" t="n"/>
      <c r="HV263" s="284" t="n"/>
      <c r="HW263" s="38" t="n"/>
      <c r="HX263" s="284" t="n"/>
      <c r="HY263" s="36" t="n"/>
      <c r="HZ263" s="284" t="n"/>
      <c r="IA263" s="38" t="n"/>
      <c r="IB263" s="284" t="n"/>
      <c r="IC263" s="338">
        <f t="array" ref="IC263">SUMPRODUCT(--(MOD(COLUMN($GG263:$IB263),4)=MOD(COLUMN($GG263),4)),$GG263:$IB263)</f>
        <v/>
      </c>
      <c r="ID263" s="339">
        <f>IC263*$J263</f>
        <v/>
      </c>
      <c r="IE263" s="340">
        <f t="array" ref="IE263">SUMPRODUCT(--(MOD(COLUMN($GG263:$IB263),4)=MOD(COLUMN($GH263),4)),$GG263:$IB263)</f>
        <v/>
      </c>
      <c r="IF263" s="341">
        <f>IE263*$J263</f>
        <v/>
      </c>
      <c r="IG263" s="342">
        <f t="array" ref="IG263">SUMPRODUCT(--(MOD(COLUMN($GG263:$IB263),4)=MOD(COLUMN($GI263),4)),$GG263:$IB263)</f>
        <v/>
      </c>
      <c r="IH263" s="343">
        <f>IG263*$J263</f>
        <v/>
      </c>
      <c r="II263" s="36" t="n"/>
      <c r="IJ263" s="284" t="n"/>
      <c r="IK263" s="38" t="n"/>
      <c r="IL263" s="284" t="n"/>
      <c r="IM263" s="36" t="n"/>
      <c r="IN263" s="284" t="n"/>
      <c r="IO263" s="38" t="n"/>
      <c r="IP263" s="284" t="n"/>
      <c r="IQ263" s="36" t="n"/>
      <c r="IR263" s="284" t="n"/>
      <c r="IS263" s="38" t="n"/>
      <c r="IT263" s="284" t="n"/>
      <c r="IU263" s="36" t="n"/>
      <c r="IV263" s="284" t="n"/>
      <c r="IW263" s="38" t="n"/>
      <c r="IX263" s="284" t="n"/>
      <c r="IY263" s="36" t="n"/>
      <c r="IZ263" s="284" t="n"/>
      <c r="JA263" s="38" t="n"/>
      <c r="JB263" s="284" t="n"/>
      <c r="JC263" s="36" t="n"/>
      <c r="JD263" s="284" t="n"/>
      <c r="JE263" s="38" t="n"/>
      <c r="JF263" s="284" t="n"/>
      <c r="JG263" s="36" t="n"/>
      <c r="JH263" s="284" t="n"/>
      <c r="JI263" s="38" t="n"/>
      <c r="JJ263" s="284" t="n"/>
      <c r="JK263" s="36" t="n"/>
      <c r="JL263" s="284" t="n"/>
      <c r="JM263" s="38" t="n"/>
      <c r="JN263" s="284" t="n"/>
      <c r="JO263" s="36" t="n"/>
      <c r="JP263" s="284" t="n"/>
      <c r="JQ263" s="38" t="n"/>
      <c r="JR263" s="284" t="n"/>
      <c r="JS263" s="36" t="n"/>
      <c r="JT263" s="284" t="n"/>
      <c r="JU263" s="38" t="n"/>
      <c r="JV263" s="284" t="n"/>
      <c r="JW263" s="36" t="n"/>
      <c r="JX263" s="284" t="n"/>
      <c r="JY263" s="38" t="n"/>
      <c r="JZ263" s="284" t="n"/>
      <c r="KA263" s="36" t="n"/>
      <c r="KB263" s="284" t="n"/>
      <c r="KC263" s="38" t="n"/>
      <c r="KD263" s="284" t="n"/>
      <c r="KE263" s="338">
        <f t="array" ref="KE263">SUMPRODUCT(--(MOD(COLUMN($II263:$KD263),4)=MOD(COLUMN($II263),4)),$II263:$KD263)</f>
        <v/>
      </c>
      <c r="KF263" s="339">
        <f>KE263*$J263</f>
        <v/>
      </c>
      <c r="KG263" s="340">
        <f t="array" ref="KG263">SUMPRODUCT(--(MOD(COLUMN($II263:$KD263),4)=MOD(COLUMN($IJ263),4)),$II263:$KD263)</f>
        <v/>
      </c>
      <c r="KH263" s="341">
        <f>KG263*$J263</f>
        <v/>
      </c>
      <c r="KI263" s="342">
        <f t="array" ref="KI263">SUMPRODUCT(--(MOD(COLUMN($II263:$KD263),4)=MOD(COLUMN($IK263),4)),$II263:$KD263)</f>
        <v/>
      </c>
      <c r="KJ263" s="346">
        <f>KI263*$J263</f>
        <v/>
      </c>
      <c r="KK263" s="80" t="n"/>
      <c r="KL263" s="80" t="n"/>
      <c r="KM263" s="80" t="n"/>
      <c r="KN263" s="51" t="n"/>
      <c r="KO263" s="285" t="n"/>
    </row>
    <row r="264" outlineLevel="1" ht="14.4" customFormat="1" customHeight="1" s="68">
      <c r="A264" s="347" t="n"/>
      <c r="B264" s="347" t="n"/>
      <c r="C264" s="347" t="n"/>
      <c r="D264" s="347" t="n"/>
      <c r="E264" s="15" t="n">
        <v>13</v>
      </c>
      <c r="F264" s="149" t="n">
        <v>2</v>
      </c>
      <c r="G264" s="33" t="n">
        <v>4461220500</v>
      </c>
      <c r="H264" s="34" t="inlineStr">
        <is>
          <t>CAN Router</t>
        </is>
      </c>
      <c r="I264" s="359" t="n"/>
      <c r="J264" s="360" t="n">
        <v>9205.9</v>
      </c>
      <c r="K264" s="360" t="n"/>
      <c r="L264" s="360" t="n"/>
      <c r="M264" s="36" t="n"/>
      <c r="N264" s="284" t="n"/>
      <c r="O264" s="38" t="n"/>
      <c r="P264" s="284" t="n"/>
      <c r="Q264" s="36" t="n"/>
      <c r="R264" s="284" t="n"/>
      <c r="S264" s="38" t="n"/>
      <c r="T264" s="284" t="n"/>
      <c r="U264" s="36" t="n"/>
      <c r="V264" s="284" t="n"/>
      <c r="W264" s="38" t="n"/>
      <c r="X264" s="284" t="n"/>
      <c r="Y264" s="36" t="n"/>
      <c r="Z264" s="39" t="n"/>
      <c r="AA264" s="38" t="n"/>
      <c r="AB264" s="247" t="n"/>
      <c r="AC264" s="36" t="n"/>
      <c r="AD264" s="284" t="n"/>
      <c r="AE264" s="38" t="n"/>
      <c r="AF264" s="247" t="n"/>
      <c r="AG264" s="36" t="n"/>
      <c r="AH264" s="284" t="n"/>
      <c r="AI264" s="38" t="n"/>
      <c r="AJ264" s="247" t="n"/>
      <c r="AK264" s="36" t="n"/>
      <c r="AL264" s="284" t="n"/>
      <c r="AM264" s="38" t="n"/>
      <c r="AN264" s="247" t="n"/>
      <c r="AO264" s="36" t="n"/>
      <c r="AP264" s="284" t="n"/>
      <c r="AQ264" s="38" t="n"/>
      <c r="AR264" s="247" t="n"/>
      <c r="AS264" s="36" t="n"/>
      <c r="AT264" s="284" t="n"/>
      <c r="AU264" s="38" t="n"/>
      <c r="AV264" s="247" t="n"/>
      <c r="AW264" s="36" t="n"/>
      <c r="AX264" s="284" t="n"/>
      <c r="AY264" s="38" t="n"/>
      <c r="AZ264" s="247" t="n"/>
      <c r="BA264" s="36" t="n"/>
      <c r="BB264" s="284" t="n"/>
      <c r="BC264" s="92" t="n"/>
      <c r="BD264" s="284" t="n"/>
      <c r="BE264" s="36" t="n"/>
      <c r="BF264" s="284" t="n"/>
      <c r="BG264" s="54" t="n"/>
      <c r="BH264" s="284" t="n"/>
      <c r="BI264" s="338" t="n"/>
      <c r="BJ264" s="339" t="n"/>
      <c r="BK264" s="340" t="n"/>
      <c r="BL264" s="341" t="n"/>
      <c r="BM264" s="342" t="n"/>
      <c r="BN264" s="343" t="n"/>
      <c r="BO264" s="36" t="n"/>
      <c r="BP264" s="47" t="n"/>
      <c r="BQ264" s="284" t="n"/>
      <c r="BR264" s="38" t="n"/>
      <c r="BS264" s="284" t="n"/>
      <c r="BT264" s="36" t="n"/>
      <c r="BU264" s="47" t="n"/>
      <c r="BV264" s="284" t="n"/>
      <c r="BW264" s="38" t="n"/>
      <c r="BX264" s="247" t="n"/>
      <c r="BY264" s="36" t="n"/>
      <c r="BZ264" s="47" t="n"/>
      <c r="CA264" s="284" t="n"/>
      <c r="CB264" s="38" t="n"/>
      <c r="CC264" s="284" t="n"/>
      <c r="CD264" s="36" t="n"/>
      <c r="CE264" s="47" t="n"/>
      <c r="CF264" s="284" t="n"/>
      <c r="CG264" s="38" t="n"/>
      <c r="CH264" s="245" t="n"/>
      <c r="CI264" s="36" t="n"/>
      <c r="CJ264" s="47" t="n"/>
      <c r="CK264" s="284" t="n"/>
      <c r="CL264" s="38" t="n"/>
      <c r="CM264" s="284" t="n"/>
      <c r="CN264" s="36" t="n"/>
      <c r="CO264" s="47" t="n"/>
      <c r="CP264" s="284" t="n"/>
      <c r="CQ264" s="38" t="n"/>
      <c r="CR264" s="284" t="n"/>
      <c r="CS264" s="36" t="n"/>
      <c r="CT264" s="47" t="n"/>
      <c r="CU264" s="284" t="n"/>
      <c r="CV264" s="38" t="n"/>
      <c r="CW264" s="284" t="n"/>
      <c r="CX264" s="36" t="n"/>
      <c r="CY264" s="47" t="n"/>
      <c r="CZ264" s="284" t="n"/>
      <c r="DA264" s="38" t="n"/>
      <c r="DB264" s="284" t="n"/>
      <c r="DC264" s="36" t="n"/>
      <c r="DD264" s="47" t="n"/>
      <c r="DE264" s="284" t="n"/>
      <c r="DF264" s="38" t="n"/>
      <c r="DG264" s="284" t="n"/>
      <c r="DH264" s="36" t="n"/>
      <c r="DI264" s="47" t="n"/>
      <c r="DJ264" s="284" t="n"/>
      <c r="DK264" s="38" t="n"/>
      <c r="DL264" s="284" t="n"/>
      <c r="DM264" s="36" t="n"/>
      <c r="DN264" s="47" t="n"/>
      <c r="DO264" s="284" t="n"/>
      <c r="DP264" s="38" t="n"/>
      <c r="DQ264" s="151" t="n"/>
      <c r="DR264" s="36" t="n"/>
      <c r="DS264" s="47" t="n"/>
      <c r="DT264" s="284" t="n"/>
      <c r="DU264" s="38" t="n">
        <v>0</v>
      </c>
      <c r="DV264" s="284" t="n"/>
      <c r="DW264" s="338">
        <f t="array" ref="DW264">SUMPRODUCT(--(MOD(COLUMN($BO264:$DV264),5)=MOD(COLUMN($BO264),5)),$BO264:$DV264)</f>
        <v/>
      </c>
      <c r="DX264" s="339">
        <f>DW264*$J264</f>
        <v/>
      </c>
      <c r="DY264" s="344">
        <f t="array" ref="DY264">SUMPRODUCT(--(MOD(COLUMN($BO264:$DV264),5)=MOD(COLUMN($BP264),5)),$BO264:$DV264)</f>
        <v/>
      </c>
      <c r="DZ264" s="345">
        <f>DY264*$J264</f>
        <v/>
      </c>
      <c r="EA264" s="340">
        <f t="array" ref="EA264">SUMPRODUCT(--(MOD(COLUMN($BO264:$DV264),5)=MOD(COLUMN($BQ264),5)),$BO264:$DV264)</f>
        <v/>
      </c>
      <c r="EB264" s="341">
        <f>EA264*$J264</f>
        <v/>
      </c>
      <c r="EC264" s="342">
        <f t="array" ref="EC264">SUMPRODUCT(--(MOD(COLUMN($BO264:$DV264),5)=MOD(COLUMN($BR264),5)),$BO264:$DV264)</f>
        <v/>
      </c>
      <c r="ED264" s="343">
        <f>EC264*$J264</f>
        <v/>
      </c>
      <c r="EE264" s="36" t="n"/>
      <c r="EF264" s="155" t="n">
        <v>0</v>
      </c>
      <c r="EG264" s="38" t="n">
        <v>0</v>
      </c>
      <c r="EH264" s="347" t="n"/>
      <c r="EI264" s="36" t="n"/>
      <c r="EJ264" s="284" t="n"/>
      <c r="EK264" s="38" t="n"/>
      <c r="EL264" s="284" t="n"/>
      <c r="EM264" s="36" t="n"/>
      <c r="EN264" s="284" t="n"/>
      <c r="EO264" s="38" t="n"/>
      <c r="EP264" s="284" t="n"/>
      <c r="EQ264" s="36" t="n"/>
      <c r="ER264" s="155" t="n">
        <v>1</v>
      </c>
      <c r="ES264" s="38" t="n">
        <v>1</v>
      </c>
      <c r="ET264" s="284" t="inlineStr">
        <is>
          <t>Заказ мая отгрузили раньше</t>
        </is>
      </c>
      <c r="EU264" s="36" t="n"/>
      <c r="EV264" s="155" t="n">
        <v>0</v>
      </c>
      <c r="EW264" s="38" t="n"/>
      <c r="EX264" s="284" t="inlineStr">
        <is>
          <t>Отгрузили в апреле</t>
        </is>
      </c>
      <c r="EY264" s="36" t="n"/>
      <c r="EZ264" s="284" t="n"/>
      <c r="FA264" s="38" t="n"/>
      <c r="FB264" s="284" t="n"/>
      <c r="FC264" s="36" t="n"/>
      <c r="FD264" s="284" t="n"/>
      <c r="FE264" s="38" t="n"/>
      <c r="FF264" s="284" t="n"/>
      <c r="FG264" s="36" t="n"/>
      <c r="FH264" s="284" t="n"/>
      <c r="FI264" s="38" t="n"/>
      <c r="FJ264" s="284" t="n"/>
      <c r="FK264" s="36" t="n"/>
      <c r="FL264" s="284" t="n"/>
      <c r="FM264" s="38" t="n"/>
      <c r="FN264" s="284" t="n"/>
      <c r="FO264" s="36" t="n"/>
      <c r="FP264" s="284" t="n"/>
      <c r="FQ264" s="38" t="n"/>
      <c r="FR264" s="284" t="n"/>
      <c r="FS264" s="36" t="n"/>
      <c r="FT264" s="284" t="n"/>
      <c r="FU264" s="38" t="n"/>
      <c r="FV264" s="284" t="n"/>
      <c r="FW264" s="36" t="n"/>
      <c r="FX264" s="284" t="n"/>
      <c r="FY264" s="38" t="n"/>
      <c r="FZ264" s="284" t="n"/>
      <c r="GA264" s="338">
        <f>SUMPRODUCT(--(MOD(COLUMN($EE264:$FZ264),4)=MOD(COLUMN($EE264),4)),$EE264:$FZ264)</f>
        <v/>
      </c>
      <c r="GB264" s="339">
        <f>GA264*$J264</f>
        <v/>
      </c>
      <c r="GC264" s="340">
        <f>SUMPRODUCT(--(MOD(COLUMN($EE264:$FZ264),4)=MOD(COLUMN($EF264),4)),$EE264:$FZ264)</f>
        <v/>
      </c>
      <c r="GD264" s="341">
        <f>GC264*$J264</f>
        <v/>
      </c>
      <c r="GE264" s="342">
        <f>SUMPRODUCT(--(MOD(COLUMN($EE264:$FZ264),4)=MOD(COLUMN($EG264),4)),$EE264:$FZ264)</f>
        <v/>
      </c>
      <c r="GF264" s="343">
        <f>GE264*$J264</f>
        <v/>
      </c>
      <c r="GG264" s="36" t="n"/>
      <c r="GH264" s="284" t="n"/>
      <c r="GI264" s="38" t="n"/>
      <c r="GJ264" s="284" t="n"/>
      <c r="GK264" s="36" t="n"/>
      <c r="GL264" s="284" t="n"/>
      <c r="GM264" s="38" t="n"/>
      <c r="GN264" s="284" t="n"/>
      <c r="GO264" s="36" t="n"/>
      <c r="GP264" s="284" t="n"/>
      <c r="GQ264" s="38" t="n"/>
      <c r="GR264" s="284" t="n"/>
      <c r="GS264" s="36" t="n"/>
      <c r="GT264" s="284" t="n"/>
      <c r="GU264" s="38" t="n"/>
      <c r="GV264" s="284" t="n"/>
      <c r="GW264" s="36" t="n"/>
      <c r="GX264" s="284" t="n"/>
      <c r="GY264" s="38" t="n"/>
      <c r="GZ264" s="284" t="n"/>
      <c r="HA264" s="36" t="n"/>
      <c r="HB264" s="284" t="n"/>
      <c r="HC264" s="38" t="n"/>
      <c r="HD264" s="284" t="n"/>
      <c r="HE264" s="36" t="n"/>
      <c r="HF264" s="284" t="n"/>
      <c r="HG264" s="38" t="n"/>
      <c r="HH264" s="284" t="n"/>
      <c r="HI264" s="36" t="n"/>
      <c r="HJ264" s="284" t="n"/>
      <c r="HK264" s="38" t="n"/>
      <c r="HL264" s="284" t="n"/>
      <c r="HM264" s="36" t="n"/>
      <c r="HN264" s="284" t="n"/>
      <c r="HO264" s="38" t="n"/>
      <c r="HP264" s="284" t="n"/>
      <c r="HQ264" s="36" t="n"/>
      <c r="HR264" s="284" t="n"/>
      <c r="HS264" s="38" t="n"/>
      <c r="HT264" s="284" t="n"/>
      <c r="HU264" s="36" t="n"/>
      <c r="HV264" s="284" t="n"/>
      <c r="HW264" s="38" t="n"/>
      <c r="HX264" s="284" t="n"/>
      <c r="HY264" s="36" t="n"/>
      <c r="HZ264" s="284" t="n"/>
      <c r="IA264" s="38" t="n"/>
      <c r="IB264" s="284" t="n"/>
      <c r="IC264" s="338">
        <f t="array" ref="IC264">SUMPRODUCT(--(MOD(COLUMN($GG264:$IB264),4)=MOD(COLUMN($GG264),4)),$GG264:$IB264)</f>
        <v/>
      </c>
      <c r="ID264" s="339">
        <f>IC264*$J264</f>
        <v/>
      </c>
      <c r="IE264" s="340">
        <f t="array" ref="IE264">SUMPRODUCT(--(MOD(COLUMN($GG264:$IB264),4)=MOD(COLUMN($GH264),4)),$GG264:$IB264)</f>
        <v/>
      </c>
      <c r="IF264" s="341">
        <f>IE264*$J264</f>
        <v/>
      </c>
      <c r="IG264" s="342">
        <f t="array" ref="IG264">SUMPRODUCT(--(MOD(COLUMN($GG264:$IB264),4)=MOD(COLUMN($GI264),4)),$GG264:$IB264)</f>
        <v/>
      </c>
      <c r="IH264" s="343">
        <f>IG264*$J264</f>
        <v/>
      </c>
      <c r="II264" s="36" t="n"/>
      <c r="IJ264" s="284" t="n"/>
      <c r="IK264" s="38" t="n"/>
      <c r="IL264" s="284" t="n"/>
      <c r="IM264" s="36" t="n"/>
      <c r="IN264" s="284" t="n"/>
      <c r="IO264" s="38" t="n"/>
      <c r="IP264" s="284" t="n"/>
      <c r="IQ264" s="36" t="n"/>
      <c r="IR264" s="284" t="n"/>
      <c r="IS264" s="38" t="n"/>
      <c r="IT264" s="284" t="n"/>
      <c r="IU264" s="36" t="n"/>
      <c r="IV264" s="284" t="n"/>
      <c r="IW264" s="38" t="n"/>
      <c r="IX264" s="284" t="n"/>
      <c r="IY264" s="36" t="n"/>
      <c r="IZ264" s="284" t="n"/>
      <c r="JA264" s="38" t="n"/>
      <c r="JB264" s="284" t="n"/>
      <c r="JC264" s="36" t="n"/>
      <c r="JD264" s="284" t="n"/>
      <c r="JE264" s="38" t="n"/>
      <c r="JF264" s="284" t="n"/>
      <c r="JG264" s="36" t="n"/>
      <c r="JH264" s="284" t="n"/>
      <c r="JI264" s="38" t="n"/>
      <c r="JJ264" s="284" t="n"/>
      <c r="JK264" s="36" t="n"/>
      <c r="JL264" s="284" t="n"/>
      <c r="JM264" s="38" t="n"/>
      <c r="JN264" s="284" t="n"/>
      <c r="JO264" s="36" t="n"/>
      <c r="JP264" s="284" t="n"/>
      <c r="JQ264" s="38" t="n"/>
      <c r="JR264" s="284" t="n"/>
      <c r="JS264" s="36" t="n"/>
      <c r="JT264" s="284" t="n"/>
      <c r="JU264" s="38" t="n"/>
      <c r="JV264" s="284" t="n"/>
      <c r="JW264" s="36" t="n"/>
      <c r="JX264" s="284" t="n"/>
      <c r="JY264" s="38" t="n"/>
      <c r="JZ264" s="284" t="n"/>
      <c r="KA264" s="36" t="n"/>
      <c r="KB264" s="284" t="n"/>
      <c r="KC264" s="38" t="n"/>
      <c r="KD264" s="284" t="n"/>
      <c r="KE264" s="338">
        <f t="array" ref="KE264">SUMPRODUCT(--(MOD(COLUMN($II264:$KD264),4)=MOD(COLUMN($II264),4)),$II264:$KD264)</f>
        <v/>
      </c>
      <c r="KF264" s="339">
        <f>KE264*$J264</f>
        <v/>
      </c>
      <c r="KG264" s="340">
        <f t="array" ref="KG264">SUMPRODUCT(--(MOD(COLUMN($II264:$KD264),4)=MOD(COLUMN($IJ264),4)),$II264:$KD264)</f>
        <v/>
      </c>
      <c r="KH264" s="341">
        <f>KG264*$J264</f>
        <v/>
      </c>
      <c r="KI264" s="342">
        <f t="array" ref="KI264">SUMPRODUCT(--(MOD(COLUMN($II264:$KD264),4)=MOD(COLUMN($IK264),4)),$II264:$KD264)</f>
        <v/>
      </c>
      <c r="KJ264" s="346">
        <f>KI264*$J264</f>
        <v/>
      </c>
      <c r="KK264" s="80" t="n"/>
      <c r="KL264" s="80" t="n"/>
      <c r="KM264" s="80" t="n"/>
      <c r="KN264" s="51" t="n"/>
      <c r="KO264" s="285" t="n"/>
    </row>
    <row r="265" outlineLevel="1" customFormat="1" s="68">
      <c r="A265" s="347" t="n"/>
      <c r="B265" s="347" t="n"/>
      <c r="C265" s="347" t="n"/>
      <c r="D265" s="347" t="n"/>
      <c r="E265" s="15" t="n">
        <v>14</v>
      </c>
      <c r="F265" s="149" t="n">
        <v>2</v>
      </c>
      <c r="G265" s="33" t="n">
        <v>4491331200</v>
      </c>
      <c r="H265" s="34" t="inlineStr">
        <is>
          <t>Power Cable</t>
        </is>
      </c>
      <c r="I265" s="359" t="n"/>
      <c r="J265" s="360" t="n">
        <v>3400</v>
      </c>
      <c r="K265" s="360" t="n"/>
      <c r="L265" s="360" t="n"/>
      <c r="M265" s="36" t="n"/>
      <c r="N265" s="284" t="n"/>
      <c r="O265" s="38" t="n"/>
      <c r="P265" s="284" t="n"/>
      <c r="Q265" s="36" t="n"/>
      <c r="R265" s="284" t="n"/>
      <c r="S265" s="38" t="n"/>
      <c r="T265" s="284" t="n"/>
      <c r="U265" s="36" t="n"/>
      <c r="V265" s="284" t="n"/>
      <c r="W265" s="38" t="n"/>
      <c r="X265" s="284" t="n"/>
      <c r="Y265" s="36" t="n"/>
      <c r="Z265" s="39" t="n"/>
      <c r="AA265" s="38" t="n"/>
      <c r="AB265" s="247" t="n"/>
      <c r="AC265" s="36" t="n"/>
      <c r="AD265" s="284" t="n"/>
      <c r="AE265" s="38" t="n"/>
      <c r="AF265" s="247" t="n"/>
      <c r="AG265" s="36" t="n"/>
      <c r="AH265" s="284" t="n"/>
      <c r="AI265" s="38" t="n"/>
      <c r="AJ265" s="247" t="n"/>
      <c r="AK265" s="36" t="n"/>
      <c r="AL265" s="284" t="n"/>
      <c r="AM265" s="38" t="n"/>
      <c r="AN265" s="247" t="n"/>
      <c r="AO265" s="36" t="n"/>
      <c r="AP265" s="284" t="n"/>
      <c r="AQ265" s="38" t="n"/>
      <c r="AR265" s="247" t="n"/>
      <c r="AS265" s="36" t="n"/>
      <c r="AT265" s="284" t="n"/>
      <c r="AU265" s="38" t="n"/>
      <c r="AV265" s="247" t="n"/>
      <c r="AW265" s="36" t="n"/>
      <c r="AX265" s="284" t="n"/>
      <c r="AY265" s="38" t="n"/>
      <c r="AZ265" s="247" t="n"/>
      <c r="BA265" s="36" t="n"/>
      <c r="BB265" s="284" t="n"/>
      <c r="BC265" s="92" t="n"/>
      <c r="BD265" s="284" t="n"/>
      <c r="BE265" s="36" t="n"/>
      <c r="BF265" s="284" t="n"/>
      <c r="BG265" s="54" t="n"/>
      <c r="BH265" s="284" t="n"/>
      <c r="BI265" s="338" t="n"/>
      <c r="BJ265" s="339" t="n"/>
      <c r="BK265" s="340" t="n"/>
      <c r="BL265" s="341" t="n"/>
      <c r="BM265" s="342" t="n"/>
      <c r="BN265" s="343" t="n"/>
      <c r="BO265" s="36" t="n"/>
      <c r="BP265" s="47" t="n"/>
      <c r="BQ265" s="284" t="n"/>
      <c r="BR265" s="38" t="n"/>
      <c r="BS265" s="284" t="n"/>
      <c r="BT265" s="36" t="n"/>
      <c r="BU265" s="47" t="n"/>
      <c r="BV265" s="284" t="n"/>
      <c r="BW265" s="38" t="n"/>
      <c r="BX265" s="247" t="n"/>
      <c r="BY265" s="36" t="n"/>
      <c r="BZ265" s="47" t="n"/>
      <c r="CA265" s="284" t="n"/>
      <c r="CB265" s="38" t="n"/>
      <c r="CC265" s="284" t="n"/>
      <c r="CD265" s="36" t="n"/>
      <c r="CE265" s="47" t="n"/>
      <c r="CF265" s="284" t="n"/>
      <c r="CG265" s="38" t="n"/>
      <c r="CH265" s="245" t="n"/>
      <c r="CI265" s="36" t="n"/>
      <c r="CJ265" s="47" t="n"/>
      <c r="CK265" s="284" t="n"/>
      <c r="CL265" s="38" t="n"/>
      <c r="CM265" s="284" t="n"/>
      <c r="CN265" s="36" t="n"/>
      <c r="CO265" s="47" t="n"/>
      <c r="CP265" s="284" t="n"/>
      <c r="CQ265" s="38" t="n"/>
      <c r="CR265" s="284" t="n"/>
      <c r="CS265" s="36" t="n"/>
      <c r="CT265" s="47" t="n"/>
      <c r="CU265" s="284" t="n"/>
      <c r="CV265" s="38" t="n"/>
      <c r="CW265" s="284" t="n"/>
      <c r="CX265" s="36" t="n"/>
      <c r="CY265" s="47" t="n"/>
      <c r="CZ265" s="284" t="n"/>
      <c r="DA265" s="38" t="n"/>
      <c r="DB265" s="284" t="n"/>
      <c r="DC265" s="36" t="n"/>
      <c r="DD265" s="47" t="n"/>
      <c r="DE265" s="284" t="n"/>
      <c r="DF265" s="38" t="n"/>
      <c r="DG265" s="284" t="n"/>
      <c r="DH265" s="36" t="n"/>
      <c r="DI265" s="47" t="n"/>
      <c r="DJ265" s="284" t="n"/>
      <c r="DK265" s="38" t="n"/>
      <c r="DL265" s="284" t="n"/>
      <c r="DM265" s="36" t="n"/>
      <c r="DN265" s="47" t="n"/>
      <c r="DO265" s="284" t="n"/>
      <c r="DP265" s="38" t="n"/>
      <c r="DQ265" s="151" t="n"/>
      <c r="DR265" s="36" t="n"/>
      <c r="DS265" s="47" t="n"/>
      <c r="DT265" s="284" t="n"/>
      <c r="DU265" s="38" t="n">
        <v>0</v>
      </c>
      <c r="DV265" s="284" t="n"/>
      <c r="DW265" s="338">
        <f t="array" ref="DW265">SUMPRODUCT(--(MOD(COLUMN($BO265:$DV265),5)=MOD(COLUMN($BO265),5)),$BO265:$DV265)</f>
        <v/>
      </c>
      <c r="DX265" s="339">
        <f>DW265*$J265</f>
        <v/>
      </c>
      <c r="DY265" s="344">
        <f t="array" ref="DY265">SUMPRODUCT(--(MOD(COLUMN($BO265:$DV265),5)=MOD(COLUMN($BP265),5)),$BO265:$DV265)</f>
        <v/>
      </c>
      <c r="DZ265" s="345">
        <f>DY265*$J265</f>
        <v/>
      </c>
      <c r="EA265" s="340">
        <f t="array" ref="EA265">SUMPRODUCT(--(MOD(COLUMN($BO265:$DV265),5)=MOD(COLUMN($BQ265),5)),$BO265:$DV265)</f>
        <v/>
      </c>
      <c r="EB265" s="341">
        <f>EA265*$J265</f>
        <v/>
      </c>
      <c r="EC265" s="342">
        <f t="array" ref="EC265">SUMPRODUCT(--(MOD(COLUMN($BO265:$DV265),5)=MOD(COLUMN($BR265),5)),$BO265:$DV265)</f>
        <v/>
      </c>
      <c r="ED265" s="343">
        <f>EC265*$J265</f>
        <v/>
      </c>
      <c r="EE265" s="36" t="n"/>
      <c r="EF265" s="155" t="n">
        <v>0</v>
      </c>
      <c r="EG265" s="38" t="n">
        <v>0</v>
      </c>
      <c r="EH265" s="347" t="n"/>
      <c r="EI265" s="36" t="n"/>
      <c r="EJ265" s="284" t="n"/>
      <c r="EK265" s="38" t="n"/>
      <c r="EL265" s="284" t="n"/>
      <c r="EM265" s="36" t="n"/>
      <c r="EN265" s="284" t="n"/>
      <c r="EO265" s="38" t="n"/>
      <c r="EP265" s="284" t="n"/>
      <c r="EQ265" s="36" t="n"/>
      <c r="ER265" s="155" t="n">
        <v>1</v>
      </c>
      <c r="ES265" s="38" t="n">
        <v>1</v>
      </c>
      <c r="ET265" s="347" t="n"/>
      <c r="EU265" s="36" t="n"/>
      <c r="EV265" s="155" t="n">
        <v>0</v>
      </c>
      <c r="EW265" s="38" t="n"/>
      <c r="EX265" s="347" t="n"/>
      <c r="EY265" s="36" t="n"/>
      <c r="EZ265" s="284" t="n"/>
      <c r="FA265" s="38" t="n"/>
      <c r="FB265" s="284" t="n"/>
      <c r="FC265" s="36" t="n"/>
      <c r="FD265" s="284" t="n"/>
      <c r="FE265" s="38" t="n"/>
      <c r="FF265" s="284" t="n"/>
      <c r="FG265" s="36" t="n"/>
      <c r="FH265" s="284" t="n"/>
      <c r="FI265" s="38" t="n"/>
      <c r="FJ265" s="284" t="n"/>
      <c r="FK265" s="36" t="n"/>
      <c r="FL265" s="284" t="n"/>
      <c r="FM265" s="38" t="n"/>
      <c r="FN265" s="284" t="n"/>
      <c r="FO265" s="36" t="n"/>
      <c r="FP265" s="284" t="n"/>
      <c r="FQ265" s="38" t="n"/>
      <c r="FR265" s="284" t="n"/>
      <c r="FS265" s="36" t="n"/>
      <c r="FT265" s="284" t="n"/>
      <c r="FU265" s="38" t="n"/>
      <c r="FV265" s="284" t="n"/>
      <c r="FW265" s="36" t="n"/>
      <c r="FX265" s="284" t="n"/>
      <c r="FY265" s="38" t="n"/>
      <c r="FZ265" s="284" t="n"/>
      <c r="GA265" s="338">
        <f>SUMPRODUCT(--(MOD(COLUMN($EE265:$FZ265),4)=MOD(COLUMN($EE265),4)),$EE265:$FZ265)</f>
        <v/>
      </c>
      <c r="GB265" s="339">
        <f>GA265*$J265</f>
        <v/>
      </c>
      <c r="GC265" s="340">
        <f>SUMPRODUCT(--(MOD(COLUMN($EE265:$FZ265),4)=MOD(COLUMN($EF265),4)),$EE265:$FZ265)</f>
        <v/>
      </c>
      <c r="GD265" s="341">
        <f>GC265*$J265</f>
        <v/>
      </c>
      <c r="GE265" s="342">
        <f>SUMPRODUCT(--(MOD(COLUMN($EE265:$FZ265),4)=MOD(COLUMN($EG265),4)),$EE265:$FZ265)</f>
        <v/>
      </c>
      <c r="GF265" s="343">
        <f>GE265*$J265</f>
        <v/>
      </c>
      <c r="GG265" s="36" t="n"/>
      <c r="GH265" s="284" t="n"/>
      <c r="GI265" s="38" t="n"/>
      <c r="GJ265" s="284" t="n"/>
      <c r="GK265" s="36" t="n"/>
      <c r="GL265" s="284" t="n"/>
      <c r="GM265" s="38" t="n"/>
      <c r="GN265" s="284" t="n"/>
      <c r="GO265" s="36" t="n"/>
      <c r="GP265" s="284" t="n"/>
      <c r="GQ265" s="38" t="n"/>
      <c r="GR265" s="284" t="n"/>
      <c r="GS265" s="36" t="n"/>
      <c r="GT265" s="284" t="n"/>
      <c r="GU265" s="38" t="n"/>
      <c r="GV265" s="284" t="n"/>
      <c r="GW265" s="36" t="n"/>
      <c r="GX265" s="284" t="n"/>
      <c r="GY265" s="38" t="n"/>
      <c r="GZ265" s="284" t="n"/>
      <c r="HA265" s="36" t="n"/>
      <c r="HB265" s="284" t="n"/>
      <c r="HC265" s="38" t="n"/>
      <c r="HD265" s="284" t="n"/>
      <c r="HE265" s="36" t="n"/>
      <c r="HF265" s="284" t="n"/>
      <c r="HG265" s="38" t="n"/>
      <c r="HH265" s="284" t="n"/>
      <c r="HI265" s="36" t="n"/>
      <c r="HJ265" s="284" t="n"/>
      <c r="HK265" s="38" t="n"/>
      <c r="HL265" s="284" t="n"/>
      <c r="HM265" s="36" t="n"/>
      <c r="HN265" s="284" t="n"/>
      <c r="HO265" s="38" t="n"/>
      <c r="HP265" s="284" t="n"/>
      <c r="HQ265" s="36" t="n"/>
      <c r="HR265" s="284" t="n"/>
      <c r="HS265" s="38" t="n"/>
      <c r="HT265" s="284" t="n"/>
      <c r="HU265" s="36" t="n"/>
      <c r="HV265" s="284" t="n"/>
      <c r="HW265" s="38" t="n"/>
      <c r="HX265" s="284" t="n"/>
      <c r="HY265" s="36" t="n"/>
      <c r="HZ265" s="284" t="n"/>
      <c r="IA265" s="38" t="n"/>
      <c r="IB265" s="284" t="n"/>
      <c r="IC265" s="338">
        <f t="array" ref="IC265">SUMPRODUCT(--(MOD(COLUMN($GG265:$IB265),4)=MOD(COLUMN($GG265),4)),$GG265:$IB265)</f>
        <v/>
      </c>
      <c r="ID265" s="339">
        <f>IC265*$J265</f>
        <v/>
      </c>
      <c r="IE265" s="340">
        <f t="array" ref="IE265">SUMPRODUCT(--(MOD(COLUMN($GG265:$IB265),4)=MOD(COLUMN($GH265),4)),$GG265:$IB265)</f>
        <v/>
      </c>
      <c r="IF265" s="341">
        <f>IE265*$J265</f>
        <v/>
      </c>
      <c r="IG265" s="342">
        <f t="array" ref="IG265">SUMPRODUCT(--(MOD(COLUMN($GG265:$IB265),4)=MOD(COLUMN($GI265),4)),$GG265:$IB265)</f>
        <v/>
      </c>
      <c r="IH265" s="343">
        <f>IG265*$J265</f>
        <v/>
      </c>
      <c r="II265" s="36" t="n"/>
      <c r="IJ265" s="284" t="n"/>
      <c r="IK265" s="38" t="n"/>
      <c r="IL265" s="284" t="n"/>
      <c r="IM265" s="36" t="n"/>
      <c r="IN265" s="284" t="n"/>
      <c r="IO265" s="38" t="n"/>
      <c r="IP265" s="284" t="n"/>
      <c r="IQ265" s="36" t="n"/>
      <c r="IR265" s="284" t="n"/>
      <c r="IS265" s="38" t="n"/>
      <c r="IT265" s="284" t="n"/>
      <c r="IU265" s="36" t="n"/>
      <c r="IV265" s="284" t="n"/>
      <c r="IW265" s="38" t="n"/>
      <c r="IX265" s="284" t="n"/>
      <c r="IY265" s="36" t="n"/>
      <c r="IZ265" s="284" t="n"/>
      <c r="JA265" s="38" t="n"/>
      <c r="JB265" s="284" t="n"/>
      <c r="JC265" s="36" t="n"/>
      <c r="JD265" s="284" t="n"/>
      <c r="JE265" s="38" t="n"/>
      <c r="JF265" s="284" t="n"/>
      <c r="JG265" s="36" t="n"/>
      <c r="JH265" s="284" t="n"/>
      <c r="JI265" s="38" t="n"/>
      <c r="JJ265" s="284" t="n"/>
      <c r="JK265" s="36" t="n"/>
      <c r="JL265" s="284" t="n"/>
      <c r="JM265" s="38" t="n"/>
      <c r="JN265" s="284" t="n"/>
      <c r="JO265" s="36" t="n"/>
      <c r="JP265" s="284" t="n"/>
      <c r="JQ265" s="38" t="n"/>
      <c r="JR265" s="284" t="n"/>
      <c r="JS265" s="36" t="n"/>
      <c r="JT265" s="284" t="n"/>
      <c r="JU265" s="38" t="n"/>
      <c r="JV265" s="284" t="n"/>
      <c r="JW265" s="36" t="n"/>
      <c r="JX265" s="284" t="n"/>
      <c r="JY265" s="38" t="n"/>
      <c r="JZ265" s="284" t="n"/>
      <c r="KA265" s="36" t="n"/>
      <c r="KB265" s="284" t="n"/>
      <c r="KC265" s="38" t="n"/>
      <c r="KD265" s="284" t="n"/>
      <c r="KE265" s="338">
        <f t="array" ref="KE265">SUMPRODUCT(--(MOD(COLUMN($II265:$KD265),4)=MOD(COLUMN($II265),4)),$II265:$KD265)</f>
        <v/>
      </c>
      <c r="KF265" s="339">
        <f>KE265*$J265</f>
        <v/>
      </c>
      <c r="KG265" s="340">
        <f t="array" ref="KG265">SUMPRODUCT(--(MOD(COLUMN($II265:$KD265),4)=MOD(COLUMN($IJ265),4)),$II265:$KD265)</f>
        <v/>
      </c>
      <c r="KH265" s="341">
        <f>KG265*$J265</f>
        <v/>
      </c>
      <c r="KI265" s="342">
        <f t="array" ref="KI265">SUMPRODUCT(--(MOD(COLUMN($II265:$KD265),4)=MOD(COLUMN($IK265),4)),$II265:$KD265)</f>
        <v/>
      </c>
      <c r="KJ265" s="346">
        <f>KI265*$J265</f>
        <v/>
      </c>
      <c r="KK265" s="80" t="n"/>
      <c r="KL265" s="80" t="n"/>
      <c r="KM265" s="80" t="n"/>
      <c r="KN265" s="51" t="n"/>
      <c r="KO265" s="285" t="n"/>
    </row>
    <row r="266" outlineLevel="1" customFormat="1" s="68">
      <c r="A266" s="347" t="n"/>
      <c r="B266" s="347" t="n"/>
      <c r="C266" s="347" t="n"/>
      <c r="D266" s="347" t="n"/>
      <c r="E266" s="15" t="n">
        <v>15</v>
      </c>
      <c r="F266" s="149" t="n">
        <v>2</v>
      </c>
      <c r="G266" s="33" t="n">
        <v>4493470800</v>
      </c>
      <c r="H266" s="34" t="inlineStr">
        <is>
          <t>Power Cable</t>
        </is>
      </c>
      <c r="I266" s="359" t="n"/>
      <c r="J266" s="360" t="n">
        <v>2150</v>
      </c>
      <c r="K266" s="360" t="n"/>
      <c r="L266" s="360" t="n"/>
      <c r="M266" s="36" t="n"/>
      <c r="N266" s="284" t="n"/>
      <c r="O266" s="38" t="n"/>
      <c r="P266" s="284" t="n"/>
      <c r="Q266" s="36" t="n"/>
      <c r="R266" s="284" t="n"/>
      <c r="S266" s="38" t="n"/>
      <c r="T266" s="284" t="n"/>
      <c r="U266" s="36" t="n"/>
      <c r="V266" s="284" t="n"/>
      <c r="W266" s="38" t="n"/>
      <c r="X266" s="284" t="n"/>
      <c r="Y266" s="36" t="n"/>
      <c r="Z266" s="39" t="n"/>
      <c r="AA266" s="38" t="n"/>
      <c r="AB266" s="247" t="n"/>
      <c r="AC266" s="36" t="n"/>
      <c r="AD266" s="284" t="n"/>
      <c r="AE266" s="38" t="n"/>
      <c r="AF266" s="247" t="n"/>
      <c r="AG266" s="36" t="n"/>
      <c r="AH266" s="284" t="n"/>
      <c r="AI266" s="38" t="n"/>
      <c r="AJ266" s="247" t="n"/>
      <c r="AK266" s="36" t="n"/>
      <c r="AL266" s="284" t="n"/>
      <c r="AM266" s="38" t="n"/>
      <c r="AN266" s="247" t="n"/>
      <c r="AO266" s="36" t="n"/>
      <c r="AP266" s="284" t="n"/>
      <c r="AQ266" s="38" t="n"/>
      <c r="AR266" s="247" t="n"/>
      <c r="AS266" s="36" t="n"/>
      <c r="AT266" s="284" t="n"/>
      <c r="AU266" s="38" t="n"/>
      <c r="AV266" s="247" t="n"/>
      <c r="AW266" s="36" t="n"/>
      <c r="AX266" s="284" t="n"/>
      <c r="AY266" s="38" t="n"/>
      <c r="AZ266" s="247" t="n"/>
      <c r="BA266" s="36" t="n"/>
      <c r="BB266" s="284" t="n"/>
      <c r="BC266" s="92" t="n"/>
      <c r="BD266" s="284" t="n"/>
      <c r="BE266" s="36" t="n"/>
      <c r="BF266" s="284" t="n"/>
      <c r="BG266" s="54" t="n"/>
      <c r="BH266" s="284" t="n"/>
      <c r="BI266" s="338" t="n"/>
      <c r="BJ266" s="339" t="n"/>
      <c r="BK266" s="340" t="n"/>
      <c r="BL266" s="341" t="n"/>
      <c r="BM266" s="342" t="n"/>
      <c r="BN266" s="343" t="n"/>
      <c r="BO266" s="36" t="n"/>
      <c r="BP266" s="47" t="n"/>
      <c r="BQ266" s="284" t="n"/>
      <c r="BR266" s="38" t="n"/>
      <c r="BS266" s="284" t="n"/>
      <c r="BT266" s="36" t="n"/>
      <c r="BU266" s="47" t="n"/>
      <c r="BV266" s="284" t="n"/>
      <c r="BW266" s="38" t="n"/>
      <c r="BX266" s="247" t="n"/>
      <c r="BY266" s="36" t="n"/>
      <c r="BZ266" s="47" t="n"/>
      <c r="CA266" s="284" t="n"/>
      <c r="CB266" s="38" t="n"/>
      <c r="CC266" s="284" t="n"/>
      <c r="CD266" s="36" t="n"/>
      <c r="CE266" s="47" t="n"/>
      <c r="CF266" s="284" t="n"/>
      <c r="CG266" s="38" t="n"/>
      <c r="CH266" s="245" t="n"/>
      <c r="CI266" s="36" t="n"/>
      <c r="CJ266" s="47" t="n"/>
      <c r="CK266" s="284" t="n"/>
      <c r="CL266" s="38" t="n"/>
      <c r="CM266" s="284" t="n"/>
      <c r="CN266" s="36" t="n"/>
      <c r="CO266" s="47" t="n"/>
      <c r="CP266" s="284" t="n"/>
      <c r="CQ266" s="38" t="n"/>
      <c r="CR266" s="284" t="n"/>
      <c r="CS266" s="36" t="n"/>
      <c r="CT266" s="47" t="n"/>
      <c r="CU266" s="284" t="n"/>
      <c r="CV266" s="38" t="n"/>
      <c r="CW266" s="284" t="n"/>
      <c r="CX266" s="36" t="n"/>
      <c r="CY266" s="47" t="n"/>
      <c r="CZ266" s="284" t="n"/>
      <c r="DA266" s="38" t="n"/>
      <c r="DB266" s="284" t="n"/>
      <c r="DC266" s="36" t="n"/>
      <c r="DD266" s="47" t="n"/>
      <c r="DE266" s="284" t="n"/>
      <c r="DF266" s="38" t="n"/>
      <c r="DG266" s="284" t="n"/>
      <c r="DH266" s="36" t="n"/>
      <c r="DI266" s="47" t="n"/>
      <c r="DJ266" s="284" t="n"/>
      <c r="DK266" s="38" t="n"/>
      <c r="DL266" s="284" t="n"/>
      <c r="DM266" s="36" t="n"/>
      <c r="DN266" s="47" t="n"/>
      <c r="DO266" s="284" t="n"/>
      <c r="DP266" s="38" t="n"/>
      <c r="DQ266" s="151" t="n"/>
      <c r="DR266" s="36" t="n"/>
      <c r="DS266" s="47" t="n"/>
      <c r="DT266" s="284" t="n"/>
      <c r="DU266" s="38" t="n">
        <v>0</v>
      </c>
      <c r="DV266" s="284" t="n"/>
      <c r="DW266" s="338">
        <f t="array" ref="DW266">SUMPRODUCT(--(MOD(COLUMN($BO266:$DV266),5)=MOD(COLUMN($BO266),5)),$BO266:$DV266)</f>
        <v/>
      </c>
      <c r="DX266" s="339">
        <f>DW266*$J266</f>
        <v/>
      </c>
      <c r="DY266" s="344">
        <f t="array" ref="DY266">SUMPRODUCT(--(MOD(COLUMN($BO266:$DV266),5)=MOD(COLUMN($BP266),5)),$BO266:$DV266)</f>
        <v/>
      </c>
      <c r="DZ266" s="345">
        <f>DY266*$J266</f>
        <v/>
      </c>
      <c r="EA266" s="340">
        <f t="array" ref="EA266">SUMPRODUCT(--(MOD(COLUMN($BO266:$DV266),5)=MOD(COLUMN($BQ266),5)),$BO266:$DV266)</f>
        <v/>
      </c>
      <c r="EB266" s="341">
        <f>EA266*$J266</f>
        <v/>
      </c>
      <c r="EC266" s="342">
        <f t="array" ref="EC266">SUMPRODUCT(--(MOD(COLUMN($BO266:$DV266),5)=MOD(COLUMN($BR266),5)),$BO266:$DV266)</f>
        <v/>
      </c>
      <c r="ED266" s="343">
        <f>EC266*$J266</f>
        <v/>
      </c>
      <c r="EE266" s="36" t="n"/>
      <c r="EF266" s="155" t="n">
        <v>0</v>
      </c>
      <c r="EG266" s="38" t="n">
        <v>0</v>
      </c>
      <c r="EH266" s="347" t="n"/>
      <c r="EI266" s="36" t="n"/>
      <c r="EJ266" s="284" t="n"/>
      <c r="EK266" s="38" t="n"/>
      <c r="EL266" s="284" t="n"/>
      <c r="EM266" s="36" t="n"/>
      <c r="EN266" s="284" t="n"/>
      <c r="EO266" s="38" t="n"/>
      <c r="EP266" s="284" t="n"/>
      <c r="EQ266" s="36" t="n"/>
      <c r="ER266" s="155" t="n">
        <v>1</v>
      </c>
      <c r="ES266" s="38" t="n">
        <v>1</v>
      </c>
      <c r="ET266" s="347" t="n"/>
      <c r="EU266" s="36" t="n"/>
      <c r="EV266" s="155" t="n">
        <v>0</v>
      </c>
      <c r="EW266" s="38" t="n"/>
      <c r="EX266" s="347" t="n"/>
      <c r="EY266" s="36" t="n"/>
      <c r="EZ266" s="284" t="n"/>
      <c r="FA266" s="38" t="n"/>
      <c r="FB266" s="284" t="n"/>
      <c r="FC266" s="36" t="n"/>
      <c r="FD266" s="284" t="n"/>
      <c r="FE266" s="38" t="n"/>
      <c r="FF266" s="284" t="n"/>
      <c r="FG266" s="36" t="n"/>
      <c r="FH266" s="284" t="n"/>
      <c r="FI266" s="38" t="n"/>
      <c r="FJ266" s="284" t="n"/>
      <c r="FK266" s="36" t="n"/>
      <c r="FL266" s="284" t="n"/>
      <c r="FM266" s="38" t="n"/>
      <c r="FN266" s="284" t="n"/>
      <c r="FO266" s="36" t="n"/>
      <c r="FP266" s="284" t="n"/>
      <c r="FQ266" s="38" t="n"/>
      <c r="FR266" s="284" t="n"/>
      <c r="FS266" s="36" t="n"/>
      <c r="FT266" s="284" t="n"/>
      <c r="FU266" s="38" t="n"/>
      <c r="FV266" s="284" t="n"/>
      <c r="FW266" s="36" t="n"/>
      <c r="FX266" s="284" t="n"/>
      <c r="FY266" s="38" t="n"/>
      <c r="FZ266" s="284" t="n"/>
      <c r="GA266" s="338">
        <f>SUMPRODUCT(--(MOD(COLUMN($EE266:$FZ266),4)=MOD(COLUMN($EE266),4)),$EE266:$FZ266)</f>
        <v/>
      </c>
      <c r="GB266" s="339">
        <f>GA266*$J266</f>
        <v/>
      </c>
      <c r="GC266" s="340">
        <f>SUMPRODUCT(--(MOD(COLUMN($EE266:$FZ266),4)=MOD(COLUMN($EF266),4)),$EE266:$FZ266)</f>
        <v/>
      </c>
      <c r="GD266" s="341">
        <f>GC266*$J266</f>
        <v/>
      </c>
      <c r="GE266" s="342">
        <f>SUMPRODUCT(--(MOD(COLUMN($EE266:$FZ266),4)=MOD(COLUMN($EG266),4)),$EE266:$FZ266)</f>
        <v/>
      </c>
      <c r="GF266" s="343">
        <f>GE266*$J266</f>
        <v/>
      </c>
      <c r="GG266" s="36" t="n"/>
      <c r="GH266" s="284" t="n"/>
      <c r="GI266" s="38" t="n"/>
      <c r="GJ266" s="284" t="n"/>
      <c r="GK266" s="36" t="n"/>
      <c r="GL266" s="284" t="n"/>
      <c r="GM266" s="38" t="n"/>
      <c r="GN266" s="284" t="n"/>
      <c r="GO266" s="36" t="n"/>
      <c r="GP266" s="284" t="n"/>
      <c r="GQ266" s="38" t="n"/>
      <c r="GR266" s="284" t="n"/>
      <c r="GS266" s="36" t="n"/>
      <c r="GT266" s="284" t="n"/>
      <c r="GU266" s="38" t="n"/>
      <c r="GV266" s="284" t="n"/>
      <c r="GW266" s="36" t="n"/>
      <c r="GX266" s="284" t="n"/>
      <c r="GY266" s="38" t="n"/>
      <c r="GZ266" s="284" t="n"/>
      <c r="HA266" s="36" t="n"/>
      <c r="HB266" s="284" t="n"/>
      <c r="HC266" s="38" t="n"/>
      <c r="HD266" s="284" t="n"/>
      <c r="HE266" s="36" t="n"/>
      <c r="HF266" s="284" t="n"/>
      <c r="HG266" s="38" t="n"/>
      <c r="HH266" s="284" t="n"/>
      <c r="HI266" s="36" t="n"/>
      <c r="HJ266" s="284" t="n"/>
      <c r="HK266" s="38" t="n"/>
      <c r="HL266" s="284" t="n"/>
      <c r="HM266" s="36" t="n"/>
      <c r="HN266" s="284" t="n"/>
      <c r="HO266" s="38" t="n"/>
      <c r="HP266" s="284" t="n"/>
      <c r="HQ266" s="36" t="n"/>
      <c r="HR266" s="284" t="n"/>
      <c r="HS266" s="38" t="n"/>
      <c r="HT266" s="284" t="n"/>
      <c r="HU266" s="36" t="n"/>
      <c r="HV266" s="284" t="n"/>
      <c r="HW266" s="38" t="n"/>
      <c r="HX266" s="284" t="n"/>
      <c r="HY266" s="36" t="n"/>
      <c r="HZ266" s="284" t="n"/>
      <c r="IA266" s="38" t="n"/>
      <c r="IB266" s="284" t="n"/>
      <c r="IC266" s="338">
        <f t="array" ref="IC266">SUMPRODUCT(--(MOD(COLUMN($GG266:$IB266),4)=MOD(COLUMN($GG266),4)),$GG266:$IB266)</f>
        <v/>
      </c>
      <c r="ID266" s="339">
        <f>IC266*$J266</f>
        <v/>
      </c>
      <c r="IE266" s="340">
        <f t="array" ref="IE266">SUMPRODUCT(--(MOD(COLUMN($GG266:$IB266),4)=MOD(COLUMN($GH266),4)),$GG266:$IB266)</f>
        <v/>
      </c>
      <c r="IF266" s="341">
        <f>IE266*$J266</f>
        <v/>
      </c>
      <c r="IG266" s="342">
        <f t="array" ref="IG266">SUMPRODUCT(--(MOD(COLUMN($GG266:$IB266),4)=MOD(COLUMN($GI266),4)),$GG266:$IB266)</f>
        <v/>
      </c>
      <c r="IH266" s="343">
        <f>IG266*$J266</f>
        <v/>
      </c>
      <c r="II266" s="36" t="n"/>
      <c r="IJ266" s="284" t="n"/>
      <c r="IK266" s="38" t="n"/>
      <c r="IL266" s="284" t="n"/>
      <c r="IM266" s="36" t="n"/>
      <c r="IN266" s="284" t="n"/>
      <c r="IO266" s="38" t="n"/>
      <c r="IP266" s="284" t="n"/>
      <c r="IQ266" s="36" t="n"/>
      <c r="IR266" s="284" t="n"/>
      <c r="IS266" s="38" t="n"/>
      <c r="IT266" s="284" t="n"/>
      <c r="IU266" s="36" t="n"/>
      <c r="IV266" s="284" t="n"/>
      <c r="IW266" s="38" t="n"/>
      <c r="IX266" s="284" t="n"/>
      <c r="IY266" s="36" t="n"/>
      <c r="IZ266" s="284" t="n"/>
      <c r="JA266" s="38" t="n"/>
      <c r="JB266" s="284" t="n"/>
      <c r="JC266" s="36" t="n"/>
      <c r="JD266" s="284" t="n"/>
      <c r="JE266" s="38" t="n"/>
      <c r="JF266" s="284" t="n"/>
      <c r="JG266" s="36" t="n"/>
      <c r="JH266" s="284" t="n"/>
      <c r="JI266" s="38" t="n"/>
      <c r="JJ266" s="284" t="n"/>
      <c r="JK266" s="36" t="n"/>
      <c r="JL266" s="284" t="n"/>
      <c r="JM266" s="38" t="n"/>
      <c r="JN266" s="284" t="n"/>
      <c r="JO266" s="36" t="n"/>
      <c r="JP266" s="284" t="n"/>
      <c r="JQ266" s="38" t="n"/>
      <c r="JR266" s="284" t="n"/>
      <c r="JS266" s="36" t="n"/>
      <c r="JT266" s="284" t="n"/>
      <c r="JU266" s="38" t="n"/>
      <c r="JV266" s="284" t="n"/>
      <c r="JW266" s="36" t="n"/>
      <c r="JX266" s="284" t="n"/>
      <c r="JY266" s="38" t="n"/>
      <c r="JZ266" s="284" t="n"/>
      <c r="KA266" s="36" t="n"/>
      <c r="KB266" s="284" t="n"/>
      <c r="KC266" s="38" t="n"/>
      <c r="KD266" s="284" t="n"/>
      <c r="KE266" s="338">
        <f t="array" ref="KE266">SUMPRODUCT(--(MOD(COLUMN($II266:$KD266),4)=MOD(COLUMN($II266),4)),$II266:$KD266)</f>
        <v/>
      </c>
      <c r="KF266" s="339">
        <f>KE266*$J266</f>
        <v/>
      </c>
      <c r="KG266" s="340">
        <f t="array" ref="KG266">SUMPRODUCT(--(MOD(COLUMN($II266:$KD266),4)=MOD(COLUMN($IJ266),4)),$II266:$KD266)</f>
        <v/>
      </c>
      <c r="KH266" s="341">
        <f>KG266*$J266</f>
        <v/>
      </c>
      <c r="KI266" s="342">
        <f t="array" ref="KI266">SUMPRODUCT(--(MOD(COLUMN($II266:$KD266),4)=MOD(COLUMN($IK266),4)),$II266:$KD266)</f>
        <v/>
      </c>
      <c r="KJ266" s="346">
        <f>KI266*$J266</f>
        <v/>
      </c>
      <c r="KK266" s="80" t="n"/>
      <c r="KL266" s="80" t="n"/>
      <c r="KM266" s="80" t="n"/>
      <c r="KN266" s="51" t="n"/>
      <c r="KO266" s="285" t="n"/>
    </row>
    <row r="267" outlineLevel="1" customFormat="1" s="68">
      <c r="A267" s="347" t="n"/>
      <c r="B267" s="347" t="n"/>
      <c r="C267" s="347" t="n"/>
      <c r="D267" s="347" t="n"/>
      <c r="E267" s="15" t="n">
        <v>16</v>
      </c>
      <c r="F267" s="149" t="n">
        <v>2</v>
      </c>
      <c r="G267" s="33" t="n">
        <v>4491350600</v>
      </c>
      <c r="H267" s="34" t="inlineStr">
        <is>
          <t>Power Cable</t>
        </is>
      </c>
      <c r="I267" s="359" t="n"/>
      <c r="J267" s="360" t="n">
        <v>1960</v>
      </c>
      <c r="K267" s="360" t="n"/>
      <c r="L267" s="360" t="n"/>
      <c r="M267" s="36" t="n"/>
      <c r="N267" s="284" t="n"/>
      <c r="O267" s="38" t="n"/>
      <c r="P267" s="284" t="n"/>
      <c r="Q267" s="36" t="n"/>
      <c r="R267" s="284" t="n"/>
      <c r="S267" s="38" t="n"/>
      <c r="T267" s="284" t="n"/>
      <c r="U267" s="36" t="n"/>
      <c r="V267" s="284" t="n"/>
      <c r="W267" s="38" t="n"/>
      <c r="X267" s="284" t="n"/>
      <c r="Y267" s="36" t="n"/>
      <c r="Z267" s="39" t="n"/>
      <c r="AA267" s="38" t="n"/>
      <c r="AB267" s="247" t="n"/>
      <c r="AC267" s="36" t="n"/>
      <c r="AD267" s="284" t="n"/>
      <c r="AE267" s="38" t="n"/>
      <c r="AF267" s="247" t="n"/>
      <c r="AG267" s="36" t="n"/>
      <c r="AH267" s="284" t="n"/>
      <c r="AI267" s="38" t="n"/>
      <c r="AJ267" s="247" t="n"/>
      <c r="AK267" s="36" t="n"/>
      <c r="AL267" s="284" t="n"/>
      <c r="AM267" s="38" t="n"/>
      <c r="AN267" s="247" t="n"/>
      <c r="AO267" s="36" t="n"/>
      <c r="AP267" s="284" t="n"/>
      <c r="AQ267" s="38" t="n"/>
      <c r="AR267" s="247" t="n"/>
      <c r="AS267" s="36" t="n"/>
      <c r="AT267" s="284" t="n"/>
      <c r="AU267" s="38" t="n"/>
      <c r="AV267" s="247" t="n"/>
      <c r="AW267" s="36" t="n"/>
      <c r="AX267" s="284" t="n"/>
      <c r="AY267" s="38" t="n"/>
      <c r="AZ267" s="247" t="n"/>
      <c r="BA267" s="36" t="n"/>
      <c r="BB267" s="284" t="n"/>
      <c r="BC267" s="92" t="n"/>
      <c r="BD267" s="284" t="n"/>
      <c r="BE267" s="36" t="n"/>
      <c r="BF267" s="284" t="n"/>
      <c r="BG267" s="54" t="n"/>
      <c r="BH267" s="284" t="n"/>
      <c r="BI267" s="338" t="n"/>
      <c r="BJ267" s="339" t="n"/>
      <c r="BK267" s="340" t="n"/>
      <c r="BL267" s="341" t="n"/>
      <c r="BM267" s="342" t="n"/>
      <c r="BN267" s="343" t="n"/>
      <c r="BO267" s="36" t="n"/>
      <c r="BP267" s="47" t="n"/>
      <c r="BQ267" s="284" t="n"/>
      <c r="BR267" s="38" t="n"/>
      <c r="BS267" s="284" t="n"/>
      <c r="BT267" s="36" t="n"/>
      <c r="BU267" s="47" t="n"/>
      <c r="BV267" s="284" t="n"/>
      <c r="BW267" s="38" t="n"/>
      <c r="BX267" s="247" t="n"/>
      <c r="BY267" s="36" t="n"/>
      <c r="BZ267" s="47" t="n"/>
      <c r="CA267" s="284" t="n"/>
      <c r="CB267" s="38" t="n"/>
      <c r="CC267" s="284" t="n"/>
      <c r="CD267" s="36" t="n"/>
      <c r="CE267" s="47" t="n"/>
      <c r="CF267" s="284" t="n"/>
      <c r="CG267" s="38" t="n"/>
      <c r="CH267" s="245" t="n"/>
      <c r="CI267" s="36" t="n"/>
      <c r="CJ267" s="47" t="n"/>
      <c r="CK267" s="284" t="n"/>
      <c r="CL267" s="38" t="n"/>
      <c r="CM267" s="284" t="n"/>
      <c r="CN267" s="36" t="n"/>
      <c r="CO267" s="47" t="n"/>
      <c r="CP267" s="284" t="n"/>
      <c r="CQ267" s="38" t="n"/>
      <c r="CR267" s="284" t="n"/>
      <c r="CS267" s="36" t="n"/>
      <c r="CT267" s="47" t="n"/>
      <c r="CU267" s="284" t="n"/>
      <c r="CV267" s="38" t="n"/>
      <c r="CW267" s="284" t="n"/>
      <c r="CX267" s="36" t="n"/>
      <c r="CY267" s="47" t="n"/>
      <c r="CZ267" s="284" t="n"/>
      <c r="DA267" s="38" t="n"/>
      <c r="DB267" s="284" t="n"/>
      <c r="DC267" s="36" t="n"/>
      <c r="DD267" s="47" t="n"/>
      <c r="DE267" s="284" t="n"/>
      <c r="DF267" s="38" t="n"/>
      <c r="DG267" s="284" t="n"/>
      <c r="DH267" s="36" t="n"/>
      <c r="DI267" s="47" t="n"/>
      <c r="DJ267" s="284" t="n"/>
      <c r="DK267" s="38" t="n"/>
      <c r="DL267" s="284" t="n"/>
      <c r="DM267" s="36" t="n"/>
      <c r="DN267" s="47" t="n"/>
      <c r="DO267" s="284" t="n"/>
      <c r="DP267" s="38" t="n"/>
      <c r="DQ267" s="151" t="n"/>
      <c r="DR267" s="36" t="n"/>
      <c r="DS267" s="47" t="n"/>
      <c r="DT267" s="284" t="n"/>
      <c r="DU267" s="38" t="n">
        <v>0</v>
      </c>
      <c r="DV267" s="284" t="n"/>
      <c r="DW267" s="338">
        <f t="array" ref="DW267">SUMPRODUCT(--(MOD(COLUMN($BO267:$DV267),5)=MOD(COLUMN($BO267),5)),$BO267:$DV267)</f>
        <v/>
      </c>
      <c r="DX267" s="339">
        <f>DW267*$J267</f>
        <v/>
      </c>
      <c r="DY267" s="344">
        <f t="array" ref="DY267">SUMPRODUCT(--(MOD(COLUMN($BO267:$DV267),5)=MOD(COLUMN($BP267),5)),$BO267:$DV267)</f>
        <v/>
      </c>
      <c r="DZ267" s="345">
        <f>DY267*$J267</f>
        <v/>
      </c>
      <c r="EA267" s="340">
        <f t="array" ref="EA267">SUMPRODUCT(--(MOD(COLUMN($BO267:$DV267),5)=MOD(COLUMN($BQ267),5)),$BO267:$DV267)</f>
        <v/>
      </c>
      <c r="EB267" s="341">
        <f>EA267*$J267</f>
        <v/>
      </c>
      <c r="EC267" s="342">
        <f t="array" ref="EC267">SUMPRODUCT(--(MOD(COLUMN($BO267:$DV267),5)=MOD(COLUMN($BR267),5)),$BO267:$DV267)</f>
        <v/>
      </c>
      <c r="ED267" s="343">
        <f>EC267*$J267</f>
        <v/>
      </c>
      <c r="EE267" s="36" t="n"/>
      <c r="EF267" s="155" t="n">
        <v>0</v>
      </c>
      <c r="EG267" s="38" t="n">
        <v>0</v>
      </c>
      <c r="EH267" s="347" t="n"/>
      <c r="EI267" s="36" t="n"/>
      <c r="EJ267" s="284" t="n"/>
      <c r="EK267" s="38" t="n"/>
      <c r="EL267" s="284" t="n"/>
      <c r="EM267" s="36" t="n"/>
      <c r="EN267" s="284" t="n"/>
      <c r="EO267" s="38" t="n"/>
      <c r="EP267" s="284" t="n"/>
      <c r="EQ267" s="36" t="n"/>
      <c r="ER267" s="155" t="n">
        <v>1</v>
      </c>
      <c r="ES267" s="38" t="n">
        <v>1</v>
      </c>
      <c r="ET267" s="347" t="n"/>
      <c r="EU267" s="36" t="n"/>
      <c r="EV267" s="155" t="n">
        <v>0</v>
      </c>
      <c r="EW267" s="38" t="n"/>
      <c r="EX267" s="347" t="n"/>
      <c r="EY267" s="36" t="n"/>
      <c r="EZ267" s="284" t="n"/>
      <c r="FA267" s="38" t="n"/>
      <c r="FB267" s="284" t="n"/>
      <c r="FC267" s="36" t="n"/>
      <c r="FD267" s="284" t="n"/>
      <c r="FE267" s="38" t="n"/>
      <c r="FF267" s="284" t="n"/>
      <c r="FG267" s="36" t="n"/>
      <c r="FH267" s="284" t="n"/>
      <c r="FI267" s="38" t="n"/>
      <c r="FJ267" s="284" t="n"/>
      <c r="FK267" s="36" t="n"/>
      <c r="FL267" s="284" t="n"/>
      <c r="FM267" s="38" t="n"/>
      <c r="FN267" s="284" t="n"/>
      <c r="FO267" s="36" t="n"/>
      <c r="FP267" s="284" t="n"/>
      <c r="FQ267" s="38" t="n"/>
      <c r="FR267" s="284" t="n"/>
      <c r="FS267" s="36" t="n"/>
      <c r="FT267" s="284" t="n"/>
      <c r="FU267" s="38" t="n"/>
      <c r="FV267" s="284" t="n"/>
      <c r="FW267" s="36" t="n"/>
      <c r="FX267" s="284" t="n"/>
      <c r="FY267" s="38" t="n"/>
      <c r="FZ267" s="284" t="n"/>
      <c r="GA267" s="338">
        <f>SUMPRODUCT(--(MOD(COLUMN($EE267:$FZ267),4)=MOD(COLUMN($EE267),4)),$EE267:$FZ267)</f>
        <v/>
      </c>
      <c r="GB267" s="339">
        <f>GA267*$J267</f>
        <v/>
      </c>
      <c r="GC267" s="340">
        <f>SUMPRODUCT(--(MOD(COLUMN($EE267:$FZ267),4)=MOD(COLUMN($EF267),4)),$EE267:$FZ267)</f>
        <v/>
      </c>
      <c r="GD267" s="341">
        <f>GC267*$J267</f>
        <v/>
      </c>
      <c r="GE267" s="342">
        <f>SUMPRODUCT(--(MOD(COLUMN($EE267:$FZ267),4)=MOD(COLUMN($EG267),4)),$EE267:$FZ267)</f>
        <v/>
      </c>
      <c r="GF267" s="343">
        <f>GE267*$J267</f>
        <v/>
      </c>
      <c r="GG267" s="36" t="n"/>
      <c r="GH267" s="284" t="n"/>
      <c r="GI267" s="38" t="n"/>
      <c r="GJ267" s="284" t="n"/>
      <c r="GK267" s="36" t="n"/>
      <c r="GL267" s="284" t="n"/>
      <c r="GM267" s="38" t="n"/>
      <c r="GN267" s="284" t="n"/>
      <c r="GO267" s="36" t="n"/>
      <c r="GP267" s="284" t="n"/>
      <c r="GQ267" s="38" t="n"/>
      <c r="GR267" s="284" t="n"/>
      <c r="GS267" s="36" t="n"/>
      <c r="GT267" s="284" t="n"/>
      <c r="GU267" s="38" t="n"/>
      <c r="GV267" s="284" t="n"/>
      <c r="GW267" s="36" t="n"/>
      <c r="GX267" s="284" t="n"/>
      <c r="GY267" s="38" t="n"/>
      <c r="GZ267" s="284" t="n"/>
      <c r="HA267" s="36" t="n"/>
      <c r="HB267" s="284" t="n"/>
      <c r="HC267" s="38" t="n"/>
      <c r="HD267" s="284" t="n"/>
      <c r="HE267" s="36" t="n"/>
      <c r="HF267" s="284" t="n"/>
      <c r="HG267" s="38" t="n"/>
      <c r="HH267" s="284" t="n"/>
      <c r="HI267" s="36" t="n"/>
      <c r="HJ267" s="284" t="n"/>
      <c r="HK267" s="38" t="n"/>
      <c r="HL267" s="284" t="n"/>
      <c r="HM267" s="36" t="n"/>
      <c r="HN267" s="284" t="n"/>
      <c r="HO267" s="38" t="n"/>
      <c r="HP267" s="284" t="n"/>
      <c r="HQ267" s="36" t="n"/>
      <c r="HR267" s="284" t="n"/>
      <c r="HS267" s="38" t="n"/>
      <c r="HT267" s="284" t="n"/>
      <c r="HU267" s="36" t="n"/>
      <c r="HV267" s="284" t="n"/>
      <c r="HW267" s="38" t="n"/>
      <c r="HX267" s="284" t="n"/>
      <c r="HY267" s="36" t="n"/>
      <c r="HZ267" s="284" t="n"/>
      <c r="IA267" s="38" t="n"/>
      <c r="IB267" s="284" t="n"/>
      <c r="IC267" s="338">
        <f t="array" ref="IC267">SUMPRODUCT(--(MOD(COLUMN($GG267:$IB267),4)=MOD(COLUMN($GG267),4)),$GG267:$IB267)</f>
        <v/>
      </c>
      <c r="ID267" s="339">
        <f>IC267*$J267</f>
        <v/>
      </c>
      <c r="IE267" s="340">
        <f t="array" ref="IE267">SUMPRODUCT(--(MOD(COLUMN($GG267:$IB267),4)=MOD(COLUMN($GH267),4)),$GG267:$IB267)</f>
        <v/>
      </c>
      <c r="IF267" s="341">
        <f>IE267*$J267</f>
        <v/>
      </c>
      <c r="IG267" s="342">
        <f t="array" ref="IG267">SUMPRODUCT(--(MOD(COLUMN($GG267:$IB267),4)=MOD(COLUMN($GI267),4)),$GG267:$IB267)</f>
        <v/>
      </c>
      <c r="IH267" s="343">
        <f>IG267*$J267</f>
        <v/>
      </c>
      <c r="II267" s="36" t="n"/>
      <c r="IJ267" s="284" t="n"/>
      <c r="IK267" s="38" t="n"/>
      <c r="IL267" s="284" t="n"/>
      <c r="IM267" s="36" t="n"/>
      <c r="IN267" s="284" t="n"/>
      <c r="IO267" s="38" t="n"/>
      <c r="IP267" s="284" t="n"/>
      <c r="IQ267" s="36" t="n"/>
      <c r="IR267" s="284" t="n"/>
      <c r="IS267" s="38" t="n"/>
      <c r="IT267" s="284" t="n"/>
      <c r="IU267" s="36" t="n"/>
      <c r="IV267" s="284" t="n"/>
      <c r="IW267" s="38" t="n"/>
      <c r="IX267" s="284" t="n"/>
      <c r="IY267" s="36" t="n"/>
      <c r="IZ267" s="284" t="n"/>
      <c r="JA267" s="38" t="n"/>
      <c r="JB267" s="284" t="n"/>
      <c r="JC267" s="36" t="n"/>
      <c r="JD267" s="284" t="n"/>
      <c r="JE267" s="38" t="n"/>
      <c r="JF267" s="284" t="n"/>
      <c r="JG267" s="36" t="n"/>
      <c r="JH267" s="284" t="n"/>
      <c r="JI267" s="38" t="n"/>
      <c r="JJ267" s="284" t="n"/>
      <c r="JK267" s="36" t="n"/>
      <c r="JL267" s="284" t="n"/>
      <c r="JM267" s="38" t="n"/>
      <c r="JN267" s="284" t="n"/>
      <c r="JO267" s="36" t="n"/>
      <c r="JP267" s="284" t="n"/>
      <c r="JQ267" s="38" t="n"/>
      <c r="JR267" s="284" t="n"/>
      <c r="JS267" s="36" t="n"/>
      <c r="JT267" s="284" t="n"/>
      <c r="JU267" s="38" t="n"/>
      <c r="JV267" s="284" t="n"/>
      <c r="JW267" s="36" t="n"/>
      <c r="JX267" s="284" t="n"/>
      <c r="JY267" s="38" t="n"/>
      <c r="JZ267" s="284" t="n"/>
      <c r="KA267" s="36" t="n"/>
      <c r="KB267" s="284" t="n"/>
      <c r="KC267" s="38" t="n"/>
      <c r="KD267" s="284" t="n"/>
      <c r="KE267" s="338">
        <f t="array" ref="KE267">SUMPRODUCT(--(MOD(COLUMN($II267:$KD267),4)=MOD(COLUMN($II267),4)),$II267:$KD267)</f>
        <v/>
      </c>
      <c r="KF267" s="339">
        <f>KE267*$J267</f>
        <v/>
      </c>
      <c r="KG267" s="340">
        <f t="array" ref="KG267">SUMPRODUCT(--(MOD(COLUMN($II267:$KD267),4)=MOD(COLUMN($IJ267),4)),$II267:$KD267)</f>
        <v/>
      </c>
      <c r="KH267" s="341">
        <f>KG267*$J267</f>
        <v/>
      </c>
      <c r="KI267" s="342">
        <f t="array" ref="KI267">SUMPRODUCT(--(MOD(COLUMN($II267:$KD267),4)=MOD(COLUMN($IK267),4)),$II267:$KD267)</f>
        <v/>
      </c>
      <c r="KJ267" s="346">
        <f>KI267*$J267</f>
        <v/>
      </c>
      <c r="KK267" s="80" t="n"/>
      <c r="KL267" s="80" t="n"/>
      <c r="KM267" s="80" t="n"/>
      <c r="KN267" s="51" t="n"/>
      <c r="KO267" s="285" t="n"/>
    </row>
    <row r="268" outlineLevel="1" customFormat="1" s="68">
      <c r="A268" s="347" t="n"/>
      <c r="B268" s="347" t="n"/>
      <c r="C268" s="347" t="n"/>
      <c r="D268" s="347" t="n"/>
      <c r="E268" s="15" t="n">
        <v>17</v>
      </c>
      <c r="F268" s="149" t="n">
        <v>2</v>
      </c>
      <c r="G268" s="33" t="n">
        <v>4340140000</v>
      </c>
      <c r="H268" s="34" t="inlineStr">
        <is>
          <t>Клапан обратный</t>
        </is>
      </c>
      <c r="I268" s="359" t="n"/>
      <c r="J268" s="360" t="n">
        <v>480</v>
      </c>
      <c r="K268" s="360" t="n"/>
      <c r="L268" s="360" t="n"/>
      <c r="M268" s="36" t="n"/>
      <c r="N268" s="284" t="n"/>
      <c r="O268" s="38" t="n"/>
      <c r="P268" s="284" t="n"/>
      <c r="Q268" s="36" t="n"/>
      <c r="R268" s="284" t="n"/>
      <c r="S268" s="38" t="n"/>
      <c r="T268" s="284" t="n"/>
      <c r="U268" s="36" t="n"/>
      <c r="V268" s="284" t="n"/>
      <c r="W268" s="38" t="n"/>
      <c r="X268" s="284" t="n"/>
      <c r="Y268" s="36" t="n"/>
      <c r="Z268" s="39" t="n"/>
      <c r="AA268" s="38" t="n"/>
      <c r="AB268" s="247" t="n"/>
      <c r="AC268" s="36" t="n"/>
      <c r="AD268" s="284" t="n"/>
      <c r="AE268" s="38" t="n"/>
      <c r="AF268" s="247" t="n"/>
      <c r="AG268" s="36" t="n"/>
      <c r="AH268" s="284" t="n"/>
      <c r="AI268" s="38" t="n"/>
      <c r="AJ268" s="247" t="n"/>
      <c r="AK268" s="36" t="n"/>
      <c r="AL268" s="284" t="n"/>
      <c r="AM268" s="38" t="n"/>
      <c r="AN268" s="247" t="n"/>
      <c r="AO268" s="36" t="n"/>
      <c r="AP268" s="284" t="n"/>
      <c r="AQ268" s="38" t="n"/>
      <c r="AR268" s="247" t="n"/>
      <c r="AS268" s="36" t="n"/>
      <c r="AT268" s="284" t="n"/>
      <c r="AU268" s="38" t="n"/>
      <c r="AV268" s="247" t="n"/>
      <c r="AW268" s="36" t="n"/>
      <c r="AX268" s="284" t="n"/>
      <c r="AY268" s="38" t="n"/>
      <c r="AZ268" s="247" t="n"/>
      <c r="BA268" s="36" t="n"/>
      <c r="BB268" s="284" t="n"/>
      <c r="BC268" s="92" t="n"/>
      <c r="BD268" s="284" t="n"/>
      <c r="BE268" s="36" t="n"/>
      <c r="BF268" s="284" t="n"/>
      <c r="BG268" s="54" t="n"/>
      <c r="BH268" s="284" t="n"/>
      <c r="BI268" s="338" t="n"/>
      <c r="BJ268" s="339" t="n"/>
      <c r="BK268" s="340" t="n"/>
      <c r="BL268" s="341" t="n"/>
      <c r="BM268" s="342" t="n"/>
      <c r="BN268" s="343" t="n"/>
      <c r="BO268" s="36" t="n"/>
      <c r="BP268" s="47" t="n"/>
      <c r="BQ268" s="284" t="n"/>
      <c r="BR268" s="38" t="n"/>
      <c r="BS268" s="284" t="n"/>
      <c r="BT268" s="36" t="n"/>
      <c r="BU268" s="47" t="n"/>
      <c r="BV268" s="284" t="n"/>
      <c r="BW268" s="38" t="n"/>
      <c r="BX268" s="247" t="n"/>
      <c r="BY268" s="36" t="n"/>
      <c r="BZ268" s="47" t="n"/>
      <c r="CA268" s="284" t="n"/>
      <c r="CB268" s="38" t="n"/>
      <c r="CC268" s="284" t="n"/>
      <c r="CD268" s="36" t="n"/>
      <c r="CE268" s="47" t="n"/>
      <c r="CF268" s="284" t="n"/>
      <c r="CG268" s="38" t="n"/>
      <c r="CH268" s="245" t="n"/>
      <c r="CI268" s="36" t="n"/>
      <c r="CJ268" s="47" t="n"/>
      <c r="CK268" s="284" t="n"/>
      <c r="CL268" s="38" t="n"/>
      <c r="CM268" s="284" t="n"/>
      <c r="CN268" s="36" t="n"/>
      <c r="CO268" s="47" t="n"/>
      <c r="CP268" s="284" t="n"/>
      <c r="CQ268" s="38" t="n"/>
      <c r="CR268" s="284" t="n"/>
      <c r="CS268" s="36" t="n"/>
      <c r="CT268" s="47" t="n"/>
      <c r="CU268" s="284" t="n"/>
      <c r="CV268" s="38" t="n"/>
      <c r="CW268" s="284" t="n"/>
      <c r="CX268" s="36" t="n"/>
      <c r="CY268" s="47" t="n"/>
      <c r="CZ268" s="284" t="n"/>
      <c r="DA268" s="38" t="n"/>
      <c r="DB268" s="284" t="n"/>
      <c r="DC268" s="36" t="n"/>
      <c r="DD268" s="47" t="n"/>
      <c r="DE268" s="284" t="n"/>
      <c r="DF268" s="38" t="n"/>
      <c r="DG268" s="284" t="n"/>
      <c r="DH268" s="36" t="n"/>
      <c r="DI268" s="47" t="n"/>
      <c r="DJ268" s="284" t="n"/>
      <c r="DK268" s="38" t="n"/>
      <c r="DL268" s="284" t="n"/>
      <c r="DM268" s="36" t="n"/>
      <c r="DN268" s="47" t="n"/>
      <c r="DO268" s="284" t="n"/>
      <c r="DP268" s="38" t="n"/>
      <c r="DQ268" s="151" t="n"/>
      <c r="DR268" s="36" t="n"/>
      <c r="DS268" s="47" t="n"/>
      <c r="DT268" s="284" t="n"/>
      <c r="DU268" s="38" t="n">
        <v>0</v>
      </c>
      <c r="DV268" s="284" t="n"/>
      <c r="DW268" s="338">
        <f t="array" ref="DW268">SUMPRODUCT(--(MOD(COLUMN($BO268:$DV268),5)=MOD(COLUMN($BO268),5)),$BO268:$DV268)</f>
        <v/>
      </c>
      <c r="DX268" s="339">
        <f>DW268*$J268</f>
        <v/>
      </c>
      <c r="DY268" s="344">
        <f t="array" ref="DY268">SUMPRODUCT(--(MOD(COLUMN($BO268:$DV268),5)=MOD(COLUMN($BP268),5)),$BO268:$DV268)</f>
        <v/>
      </c>
      <c r="DZ268" s="345">
        <f>DY268*$J268</f>
        <v/>
      </c>
      <c r="EA268" s="340">
        <f t="array" ref="EA268">SUMPRODUCT(--(MOD(COLUMN($BO268:$DV268),5)=MOD(COLUMN($BQ268),5)),$BO268:$DV268)</f>
        <v/>
      </c>
      <c r="EB268" s="341">
        <f>EA268*$J268</f>
        <v/>
      </c>
      <c r="EC268" s="342">
        <f t="array" ref="EC268">SUMPRODUCT(--(MOD(COLUMN($BO268:$DV268),5)=MOD(COLUMN($BR268),5)),$BO268:$DV268)</f>
        <v/>
      </c>
      <c r="ED268" s="343">
        <f>EC268*$J268</f>
        <v/>
      </c>
      <c r="EE268" s="36" t="n"/>
      <c r="EF268" s="155" t="n">
        <v>0</v>
      </c>
      <c r="EG268" s="38" t="n">
        <v>0</v>
      </c>
      <c r="EH268" s="347" t="n"/>
      <c r="EI268" s="36" t="n"/>
      <c r="EJ268" s="284" t="n"/>
      <c r="EK268" s="38" t="n"/>
      <c r="EL268" s="284" t="n"/>
      <c r="EM268" s="36" t="n"/>
      <c r="EN268" s="284" t="n"/>
      <c r="EO268" s="38" t="n"/>
      <c r="EP268" s="284" t="n"/>
      <c r="EQ268" s="36" t="n"/>
      <c r="ER268" s="155" t="n">
        <v>1</v>
      </c>
      <c r="ES268" s="38" t="n">
        <v>1</v>
      </c>
      <c r="ET268" s="347" t="n"/>
      <c r="EU268" s="36" t="n"/>
      <c r="EV268" s="155" t="n">
        <v>0</v>
      </c>
      <c r="EW268" s="38" t="n"/>
      <c r="EX268" s="347" t="n"/>
      <c r="EY268" s="36" t="n"/>
      <c r="EZ268" s="284" t="n"/>
      <c r="FA268" s="38" t="n"/>
      <c r="FB268" s="284" t="n"/>
      <c r="FC268" s="36" t="n"/>
      <c r="FD268" s="284" t="n"/>
      <c r="FE268" s="38" t="n"/>
      <c r="FF268" s="284" t="n"/>
      <c r="FG268" s="36" t="n"/>
      <c r="FH268" s="284" t="n"/>
      <c r="FI268" s="38" t="n"/>
      <c r="FJ268" s="284" t="n"/>
      <c r="FK268" s="36" t="n"/>
      <c r="FL268" s="284" t="n"/>
      <c r="FM268" s="38" t="n"/>
      <c r="FN268" s="284" t="n"/>
      <c r="FO268" s="36" t="n"/>
      <c r="FP268" s="284" t="n"/>
      <c r="FQ268" s="38" t="n"/>
      <c r="FR268" s="284" t="n"/>
      <c r="FS268" s="36" t="n"/>
      <c r="FT268" s="284" t="n"/>
      <c r="FU268" s="38" t="n"/>
      <c r="FV268" s="284" t="n"/>
      <c r="FW268" s="36" t="n"/>
      <c r="FX268" s="284" t="n"/>
      <c r="FY268" s="38" t="n"/>
      <c r="FZ268" s="284" t="n"/>
      <c r="GA268" s="338">
        <f>SUMPRODUCT(--(MOD(COLUMN($EE268:$FZ268),4)=MOD(COLUMN($EE268),4)),$EE268:$FZ268)</f>
        <v/>
      </c>
      <c r="GB268" s="339">
        <f>GA268*$J268</f>
        <v/>
      </c>
      <c r="GC268" s="340">
        <f>SUMPRODUCT(--(MOD(COLUMN($EE268:$FZ268),4)=MOD(COLUMN($EF268),4)),$EE268:$FZ268)</f>
        <v/>
      </c>
      <c r="GD268" s="341">
        <f>GC268*$J268</f>
        <v/>
      </c>
      <c r="GE268" s="342">
        <f>SUMPRODUCT(--(MOD(COLUMN($EE268:$FZ268),4)=MOD(COLUMN($EG268),4)),$EE268:$FZ268)</f>
        <v/>
      </c>
      <c r="GF268" s="343">
        <f>GE268*$J268</f>
        <v/>
      </c>
      <c r="GG268" s="36" t="n"/>
      <c r="GH268" s="284" t="n"/>
      <c r="GI268" s="38" t="n"/>
      <c r="GJ268" s="284" t="n"/>
      <c r="GK268" s="36" t="n"/>
      <c r="GL268" s="284" t="n"/>
      <c r="GM268" s="38" t="n"/>
      <c r="GN268" s="284" t="n"/>
      <c r="GO268" s="36" t="n"/>
      <c r="GP268" s="284" t="n"/>
      <c r="GQ268" s="38" t="n"/>
      <c r="GR268" s="284" t="n"/>
      <c r="GS268" s="36" t="n"/>
      <c r="GT268" s="284" t="n"/>
      <c r="GU268" s="38" t="n"/>
      <c r="GV268" s="284" t="n"/>
      <c r="GW268" s="36" t="n"/>
      <c r="GX268" s="284" t="n"/>
      <c r="GY268" s="38" t="n"/>
      <c r="GZ268" s="284" t="n"/>
      <c r="HA268" s="36" t="n"/>
      <c r="HB268" s="284" t="n"/>
      <c r="HC268" s="38" t="n"/>
      <c r="HD268" s="284" t="n"/>
      <c r="HE268" s="36" t="n"/>
      <c r="HF268" s="284" t="n"/>
      <c r="HG268" s="38" t="n"/>
      <c r="HH268" s="284" t="n"/>
      <c r="HI268" s="36" t="n"/>
      <c r="HJ268" s="284" t="n"/>
      <c r="HK268" s="38" t="n"/>
      <c r="HL268" s="284" t="n"/>
      <c r="HM268" s="36" t="n"/>
      <c r="HN268" s="284" t="n"/>
      <c r="HO268" s="38" t="n"/>
      <c r="HP268" s="284" t="n"/>
      <c r="HQ268" s="36" t="n"/>
      <c r="HR268" s="284" t="n"/>
      <c r="HS268" s="38" t="n"/>
      <c r="HT268" s="284" t="n"/>
      <c r="HU268" s="36" t="n"/>
      <c r="HV268" s="284" t="n"/>
      <c r="HW268" s="38" t="n"/>
      <c r="HX268" s="284" t="n"/>
      <c r="HY268" s="36" t="n"/>
      <c r="HZ268" s="284" t="n"/>
      <c r="IA268" s="38" t="n"/>
      <c r="IB268" s="284" t="n"/>
      <c r="IC268" s="338">
        <f t="array" ref="IC268">SUMPRODUCT(--(MOD(COLUMN($GG268:$IB268),4)=MOD(COLUMN($GG268),4)),$GG268:$IB268)</f>
        <v/>
      </c>
      <c r="ID268" s="339">
        <f>IC268*$J268</f>
        <v/>
      </c>
      <c r="IE268" s="340">
        <f t="array" ref="IE268">SUMPRODUCT(--(MOD(COLUMN($GG268:$IB268),4)=MOD(COLUMN($GH268),4)),$GG268:$IB268)</f>
        <v/>
      </c>
      <c r="IF268" s="341">
        <f>IE268*$J268</f>
        <v/>
      </c>
      <c r="IG268" s="342">
        <f t="array" ref="IG268">SUMPRODUCT(--(MOD(COLUMN($GG268:$IB268),4)=MOD(COLUMN($GI268),4)),$GG268:$IB268)</f>
        <v/>
      </c>
      <c r="IH268" s="343">
        <f>IG268*$J268</f>
        <v/>
      </c>
      <c r="II268" s="36" t="n"/>
      <c r="IJ268" s="284" t="n"/>
      <c r="IK268" s="38" t="n"/>
      <c r="IL268" s="284" t="n"/>
      <c r="IM268" s="36" t="n"/>
      <c r="IN268" s="284" t="n"/>
      <c r="IO268" s="38" t="n"/>
      <c r="IP268" s="284" t="n"/>
      <c r="IQ268" s="36" t="n"/>
      <c r="IR268" s="284" t="n"/>
      <c r="IS268" s="38" t="n"/>
      <c r="IT268" s="284" t="n"/>
      <c r="IU268" s="36" t="n"/>
      <c r="IV268" s="284" t="n"/>
      <c r="IW268" s="38" t="n"/>
      <c r="IX268" s="284" t="n"/>
      <c r="IY268" s="36" t="n"/>
      <c r="IZ268" s="284" t="n"/>
      <c r="JA268" s="38" t="n"/>
      <c r="JB268" s="284" t="n"/>
      <c r="JC268" s="36" t="n"/>
      <c r="JD268" s="284" t="n"/>
      <c r="JE268" s="38" t="n"/>
      <c r="JF268" s="284" t="n"/>
      <c r="JG268" s="36" t="n"/>
      <c r="JH268" s="284" t="n"/>
      <c r="JI268" s="38" t="n"/>
      <c r="JJ268" s="284" t="n"/>
      <c r="JK268" s="36" t="n"/>
      <c r="JL268" s="284" t="n"/>
      <c r="JM268" s="38" t="n"/>
      <c r="JN268" s="284" t="n"/>
      <c r="JO268" s="36" t="n"/>
      <c r="JP268" s="284" t="n"/>
      <c r="JQ268" s="38" t="n"/>
      <c r="JR268" s="284" t="n"/>
      <c r="JS268" s="36" t="n"/>
      <c r="JT268" s="284" t="n"/>
      <c r="JU268" s="38" t="n"/>
      <c r="JV268" s="284" t="n"/>
      <c r="JW268" s="36" t="n"/>
      <c r="JX268" s="284" t="n"/>
      <c r="JY268" s="38" t="n"/>
      <c r="JZ268" s="284" t="n"/>
      <c r="KA268" s="36" t="n"/>
      <c r="KB268" s="284" t="n"/>
      <c r="KC268" s="38" t="n"/>
      <c r="KD268" s="284" t="n"/>
      <c r="KE268" s="338">
        <f t="array" ref="KE268">SUMPRODUCT(--(MOD(COLUMN($II268:$KD268),4)=MOD(COLUMN($II268),4)),$II268:$KD268)</f>
        <v/>
      </c>
      <c r="KF268" s="339">
        <f>KE268*$J268</f>
        <v/>
      </c>
      <c r="KG268" s="340">
        <f t="array" ref="KG268">SUMPRODUCT(--(MOD(COLUMN($II268:$KD268),4)=MOD(COLUMN($IJ268),4)),$II268:$KD268)</f>
        <v/>
      </c>
      <c r="KH268" s="341">
        <f>KG268*$J268</f>
        <v/>
      </c>
      <c r="KI268" s="342">
        <f t="array" ref="KI268">SUMPRODUCT(--(MOD(COLUMN($II268:$KD268),4)=MOD(COLUMN($IK268),4)),$II268:$KD268)</f>
        <v/>
      </c>
      <c r="KJ268" s="346">
        <f>KI268*$J268</f>
        <v/>
      </c>
      <c r="KK268" s="80" t="n"/>
      <c r="KL268" s="80" t="n"/>
      <c r="KM268" s="80" t="n"/>
      <c r="KN268" s="51" t="n"/>
      <c r="KO268" s="285" t="n"/>
    </row>
    <row r="269" outlineLevel="1" ht="28.8" customFormat="1" customHeight="1" s="68">
      <c r="A269" s="347" t="n"/>
      <c r="B269" s="347" t="n"/>
      <c r="C269" s="347" t="n"/>
      <c r="D269" s="347" t="n"/>
      <c r="E269" s="15" t="n">
        <v>18</v>
      </c>
      <c r="F269" s="149" t="n">
        <v>2</v>
      </c>
      <c r="G269" s="33" t="n">
        <v>4345000030</v>
      </c>
      <c r="H269" s="34" t="inlineStr">
        <is>
          <t>Клапан двойной, запорный</t>
        </is>
      </c>
      <c r="I269" s="359" t="n"/>
      <c r="J269" s="360" t="n">
        <v>730</v>
      </c>
      <c r="K269" s="360" t="n"/>
      <c r="L269" s="360" t="n"/>
      <c r="M269" s="36" t="n"/>
      <c r="N269" s="284" t="n"/>
      <c r="O269" s="38" t="n"/>
      <c r="P269" s="284" t="n"/>
      <c r="Q269" s="36" t="n"/>
      <c r="R269" s="284" t="n"/>
      <c r="S269" s="38" t="n"/>
      <c r="T269" s="284" t="n"/>
      <c r="U269" s="36" t="n"/>
      <c r="V269" s="284" t="n"/>
      <c r="W269" s="38" t="n"/>
      <c r="X269" s="284" t="n"/>
      <c r="Y269" s="36" t="n"/>
      <c r="Z269" s="39" t="n"/>
      <c r="AA269" s="38" t="n"/>
      <c r="AB269" s="247" t="n"/>
      <c r="AC269" s="36" t="n"/>
      <c r="AD269" s="284" t="n"/>
      <c r="AE269" s="38" t="n"/>
      <c r="AF269" s="247" t="n"/>
      <c r="AG269" s="36" t="n"/>
      <c r="AH269" s="284" t="n"/>
      <c r="AI269" s="38" t="n"/>
      <c r="AJ269" s="247" t="n"/>
      <c r="AK269" s="36" t="n"/>
      <c r="AL269" s="284" t="n"/>
      <c r="AM269" s="38" t="n"/>
      <c r="AN269" s="247" t="n"/>
      <c r="AO269" s="36" t="n"/>
      <c r="AP269" s="284" t="n"/>
      <c r="AQ269" s="38" t="n"/>
      <c r="AR269" s="247" t="n"/>
      <c r="AS269" s="36" t="n"/>
      <c r="AT269" s="284" t="n"/>
      <c r="AU269" s="38" t="n"/>
      <c r="AV269" s="247" t="n"/>
      <c r="AW269" s="36" t="n"/>
      <c r="AX269" s="284" t="n"/>
      <c r="AY269" s="38" t="n"/>
      <c r="AZ269" s="247" t="n"/>
      <c r="BA269" s="36" t="n"/>
      <c r="BB269" s="284" t="n"/>
      <c r="BC269" s="92" t="n"/>
      <c r="BD269" s="284" t="n"/>
      <c r="BE269" s="36" t="n"/>
      <c r="BF269" s="284" t="n"/>
      <c r="BG269" s="54" t="n"/>
      <c r="BH269" s="284" t="n"/>
      <c r="BI269" s="338" t="n"/>
      <c r="BJ269" s="339" t="n"/>
      <c r="BK269" s="340" t="n"/>
      <c r="BL269" s="341" t="n"/>
      <c r="BM269" s="342" t="n"/>
      <c r="BN269" s="343" t="n"/>
      <c r="BO269" s="36" t="n"/>
      <c r="BP269" s="47" t="n"/>
      <c r="BQ269" s="284" t="n"/>
      <c r="BR269" s="38" t="n"/>
      <c r="BS269" s="284" t="n"/>
      <c r="BT269" s="36" t="n"/>
      <c r="BU269" s="47" t="n"/>
      <c r="BV269" s="284" t="n"/>
      <c r="BW269" s="38" t="n"/>
      <c r="BX269" s="247" t="n"/>
      <c r="BY269" s="36" t="n"/>
      <c r="BZ269" s="47" t="n"/>
      <c r="CA269" s="284" t="n"/>
      <c r="CB269" s="38" t="n"/>
      <c r="CC269" s="284" t="n"/>
      <c r="CD269" s="36" t="n"/>
      <c r="CE269" s="47" t="n"/>
      <c r="CF269" s="284" t="n"/>
      <c r="CG269" s="38" t="n"/>
      <c r="CH269" s="245" t="n"/>
      <c r="CI269" s="36" t="n"/>
      <c r="CJ269" s="47" t="n"/>
      <c r="CK269" s="284" t="n"/>
      <c r="CL269" s="38" t="n"/>
      <c r="CM269" s="284" t="n"/>
      <c r="CN269" s="36" t="n"/>
      <c r="CO269" s="47" t="n"/>
      <c r="CP269" s="284" t="n"/>
      <c r="CQ269" s="38" t="n"/>
      <c r="CR269" s="284" t="n"/>
      <c r="CS269" s="36" t="n"/>
      <c r="CT269" s="47" t="n"/>
      <c r="CU269" s="284" t="n"/>
      <c r="CV269" s="38" t="n"/>
      <c r="CW269" s="284" t="n"/>
      <c r="CX269" s="36" t="n"/>
      <c r="CY269" s="47" t="n"/>
      <c r="CZ269" s="284" t="n"/>
      <c r="DA269" s="38" t="n"/>
      <c r="DB269" s="284" t="n"/>
      <c r="DC269" s="36" t="n"/>
      <c r="DD269" s="47" t="n"/>
      <c r="DE269" s="284" t="n"/>
      <c r="DF269" s="38" t="n"/>
      <c r="DG269" s="284" t="n"/>
      <c r="DH269" s="36" t="n"/>
      <c r="DI269" s="47" t="n"/>
      <c r="DJ269" s="284" t="n"/>
      <c r="DK269" s="38" t="n"/>
      <c r="DL269" s="284" t="n"/>
      <c r="DM269" s="36" t="n"/>
      <c r="DN269" s="47" t="n"/>
      <c r="DO269" s="284" t="n"/>
      <c r="DP269" s="38" t="n"/>
      <c r="DQ269" s="151" t="n"/>
      <c r="DR269" s="36" t="n"/>
      <c r="DS269" s="47" t="n"/>
      <c r="DT269" s="284" t="n"/>
      <c r="DU269" s="38" t="n">
        <v>0</v>
      </c>
      <c r="DV269" s="284" t="n"/>
      <c r="DW269" s="338">
        <f t="array" ref="DW269">SUMPRODUCT(--(MOD(COLUMN($BO269:$DV269),5)=MOD(COLUMN($BO269),5)),$BO269:$DV269)</f>
        <v/>
      </c>
      <c r="DX269" s="339">
        <f>DW269*$J269</f>
        <v/>
      </c>
      <c r="DY269" s="344">
        <f t="array" ref="DY269">SUMPRODUCT(--(MOD(COLUMN($BO269:$DV269),5)=MOD(COLUMN($BP269),5)),$BO269:$DV269)</f>
        <v/>
      </c>
      <c r="DZ269" s="345">
        <f>DY269*$J269</f>
        <v/>
      </c>
      <c r="EA269" s="340">
        <f t="array" ref="EA269">SUMPRODUCT(--(MOD(COLUMN($BO269:$DV269),5)=MOD(COLUMN($BQ269),5)),$BO269:$DV269)</f>
        <v/>
      </c>
      <c r="EB269" s="341">
        <f>EA269*$J269</f>
        <v/>
      </c>
      <c r="EC269" s="342">
        <f t="array" ref="EC269">SUMPRODUCT(--(MOD(COLUMN($BO269:$DV269),5)=MOD(COLUMN($BR269),5)),$BO269:$DV269)</f>
        <v/>
      </c>
      <c r="ED269" s="343">
        <f>EC269*$J269</f>
        <v/>
      </c>
      <c r="EE269" s="36" t="n"/>
      <c r="EF269" s="155" t="n">
        <v>0</v>
      </c>
      <c r="EG269" s="38" t="n">
        <v>0</v>
      </c>
      <c r="EH269" s="347" t="n"/>
      <c r="EI269" s="36" t="n"/>
      <c r="EJ269" s="284" t="n"/>
      <c r="EK269" s="38" t="n"/>
      <c r="EL269" s="284" t="n"/>
      <c r="EM269" s="36" t="n"/>
      <c r="EN269" s="284" t="n"/>
      <c r="EO269" s="38" t="n"/>
      <c r="EP269" s="284" t="n"/>
      <c r="EQ269" s="36" t="n"/>
      <c r="ER269" s="155" t="n">
        <v>1</v>
      </c>
      <c r="ES269" s="38" t="n">
        <v>1</v>
      </c>
      <c r="ET269" s="347" t="n"/>
      <c r="EU269" s="36" t="n"/>
      <c r="EV269" s="155" t="n">
        <v>0</v>
      </c>
      <c r="EW269" s="38" t="n"/>
      <c r="EX269" s="347" t="n"/>
      <c r="EY269" s="36" t="n"/>
      <c r="EZ269" s="284" t="n"/>
      <c r="FA269" s="38" t="n"/>
      <c r="FB269" s="284" t="n"/>
      <c r="FC269" s="36" t="n"/>
      <c r="FD269" s="284" t="n"/>
      <c r="FE269" s="38" t="n"/>
      <c r="FF269" s="284" t="n"/>
      <c r="FG269" s="36" t="n"/>
      <c r="FH269" s="284" t="n"/>
      <c r="FI269" s="38" t="n"/>
      <c r="FJ269" s="284" t="n"/>
      <c r="FK269" s="36" t="n"/>
      <c r="FL269" s="284" t="n"/>
      <c r="FM269" s="38" t="n"/>
      <c r="FN269" s="284" t="n"/>
      <c r="FO269" s="36" t="n"/>
      <c r="FP269" s="284" t="n"/>
      <c r="FQ269" s="38" t="n"/>
      <c r="FR269" s="284" t="n"/>
      <c r="FS269" s="36" t="n"/>
      <c r="FT269" s="284" t="n"/>
      <c r="FU269" s="38" t="n"/>
      <c r="FV269" s="284" t="n"/>
      <c r="FW269" s="36" t="n"/>
      <c r="FX269" s="284" t="n"/>
      <c r="FY269" s="38" t="n"/>
      <c r="FZ269" s="284" t="n"/>
      <c r="GA269" s="338">
        <f>SUMPRODUCT(--(MOD(COLUMN($EE269:$FZ269),4)=MOD(COLUMN($EE269),4)),$EE269:$FZ269)</f>
        <v/>
      </c>
      <c r="GB269" s="339">
        <f>GA269*$J269</f>
        <v/>
      </c>
      <c r="GC269" s="340">
        <f>SUMPRODUCT(--(MOD(COLUMN($EE269:$FZ269),4)=MOD(COLUMN($EF269),4)),$EE269:$FZ269)</f>
        <v/>
      </c>
      <c r="GD269" s="341">
        <f>GC269*$J269</f>
        <v/>
      </c>
      <c r="GE269" s="342">
        <f>SUMPRODUCT(--(MOD(COLUMN($EE269:$FZ269),4)=MOD(COLUMN($EG269),4)),$EE269:$FZ269)</f>
        <v/>
      </c>
      <c r="GF269" s="343">
        <f>GE269*$J269</f>
        <v/>
      </c>
      <c r="GG269" s="36" t="n"/>
      <c r="GH269" s="284" t="n"/>
      <c r="GI269" s="38" t="n"/>
      <c r="GJ269" s="284" t="n"/>
      <c r="GK269" s="36" t="n"/>
      <c r="GL269" s="284" t="n"/>
      <c r="GM269" s="38" t="n"/>
      <c r="GN269" s="284" t="n"/>
      <c r="GO269" s="36" t="n"/>
      <c r="GP269" s="284" t="n"/>
      <c r="GQ269" s="38" t="n"/>
      <c r="GR269" s="284" t="n"/>
      <c r="GS269" s="36" t="n"/>
      <c r="GT269" s="284" t="n"/>
      <c r="GU269" s="38" t="n"/>
      <c r="GV269" s="284" t="n"/>
      <c r="GW269" s="36" t="n"/>
      <c r="GX269" s="284" t="n"/>
      <c r="GY269" s="38" t="n"/>
      <c r="GZ269" s="284" t="n"/>
      <c r="HA269" s="36" t="n"/>
      <c r="HB269" s="284" t="n"/>
      <c r="HC269" s="38" t="n"/>
      <c r="HD269" s="284" t="n"/>
      <c r="HE269" s="36" t="n"/>
      <c r="HF269" s="284" t="n"/>
      <c r="HG269" s="38" t="n"/>
      <c r="HH269" s="284" t="n"/>
      <c r="HI269" s="36" t="n"/>
      <c r="HJ269" s="284" t="n"/>
      <c r="HK269" s="38" t="n"/>
      <c r="HL269" s="284" t="n"/>
      <c r="HM269" s="36" t="n"/>
      <c r="HN269" s="284" t="n"/>
      <c r="HO269" s="38" t="n"/>
      <c r="HP269" s="284" t="n"/>
      <c r="HQ269" s="36" t="n"/>
      <c r="HR269" s="284" t="n"/>
      <c r="HS269" s="38" t="n"/>
      <c r="HT269" s="284" t="n"/>
      <c r="HU269" s="36" t="n"/>
      <c r="HV269" s="284" t="n"/>
      <c r="HW269" s="38" t="n"/>
      <c r="HX269" s="284" t="n"/>
      <c r="HY269" s="36" t="n"/>
      <c r="HZ269" s="284" t="n"/>
      <c r="IA269" s="38" t="n"/>
      <c r="IB269" s="284" t="n"/>
      <c r="IC269" s="338">
        <f t="array" ref="IC269">SUMPRODUCT(--(MOD(COLUMN($GG269:$IB269),4)=MOD(COLUMN($GG269),4)),$GG269:$IB269)</f>
        <v/>
      </c>
      <c r="ID269" s="339">
        <f>IC269*$J269</f>
        <v/>
      </c>
      <c r="IE269" s="340">
        <f t="array" ref="IE269">SUMPRODUCT(--(MOD(COLUMN($GG269:$IB269),4)=MOD(COLUMN($GH269),4)),$GG269:$IB269)</f>
        <v/>
      </c>
      <c r="IF269" s="341">
        <f>IE269*$J269</f>
        <v/>
      </c>
      <c r="IG269" s="342">
        <f t="array" ref="IG269">SUMPRODUCT(--(MOD(COLUMN($GG269:$IB269),4)=MOD(COLUMN($GI269),4)),$GG269:$IB269)</f>
        <v/>
      </c>
      <c r="IH269" s="343">
        <f>IG269*$J269</f>
        <v/>
      </c>
      <c r="II269" s="36" t="n"/>
      <c r="IJ269" s="284" t="n"/>
      <c r="IK269" s="38" t="n"/>
      <c r="IL269" s="284" t="n"/>
      <c r="IM269" s="36" t="n"/>
      <c r="IN269" s="284" t="n"/>
      <c r="IO269" s="38" t="n"/>
      <c r="IP269" s="284" t="n"/>
      <c r="IQ269" s="36" t="n"/>
      <c r="IR269" s="284" t="n"/>
      <c r="IS269" s="38" t="n"/>
      <c r="IT269" s="284" t="n"/>
      <c r="IU269" s="36" t="n"/>
      <c r="IV269" s="284" t="n"/>
      <c r="IW269" s="38" t="n"/>
      <c r="IX269" s="284" t="n"/>
      <c r="IY269" s="36" t="n"/>
      <c r="IZ269" s="284" t="n"/>
      <c r="JA269" s="38" t="n"/>
      <c r="JB269" s="284" t="n"/>
      <c r="JC269" s="36" t="n"/>
      <c r="JD269" s="284" t="n"/>
      <c r="JE269" s="38" t="n"/>
      <c r="JF269" s="284" t="n"/>
      <c r="JG269" s="36" t="n"/>
      <c r="JH269" s="284" t="n"/>
      <c r="JI269" s="38" t="n"/>
      <c r="JJ269" s="284" t="n"/>
      <c r="JK269" s="36" t="n"/>
      <c r="JL269" s="284" t="n"/>
      <c r="JM269" s="38" t="n"/>
      <c r="JN269" s="284" t="n"/>
      <c r="JO269" s="36" t="n"/>
      <c r="JP269" s="284" t="n"/>
      <c r="JQ269" s="38" t="n"/>
      <c r="JR269" s="284" t="n"/>
      <c r="JS269" s="36" t="n"/>
      <c r="JT269" s="284" t="n"/>
      <c r="JU269" s="38" t="n"/>
      <c r="JV269" s="284" t="n"/>
      <c r="JW269" s="36" t="n"/>
      <c r="JX269" s="284" t="n"/>
      <c r="JY269" s="38" t="n"/>
      <c r="JZ269" s="284" t="n"/>
      <c r="KA269" s="36" t="n"/>
      <c r="KB269" s="284" t="n"/>
      <c r="KC269" s="38" t="n"/>
      <c r="KD269" s="284" t="n"/>
      <c r="KE269" s="338">
        <f t="array" ref="KE269">SUMPRODUCT(--(MOD(COLUMN($II269:$KD269),4)=MOD(COLUMN($II269),4)),$II269:$KD269)</f>
        <v/>
      </c>
      <c r="KF269" s="339">
        <f>KE269*$J269</f>
        <v/>
      </c>
      <c r="KG269" s="340">
        <f t="array" ref="KG269">SUMPRODUCT(--(MOD(COLUMN($II269:$KD269),4)=MOD(COLUMN($IJ269),4)),$II269:$KD269)</f>
        <v/>
      </c>
      <c r="KH269" s="341">
        <f>KG269*$J269</f>
        <v/>
      </c>
      <c r="KI269" s="342">
        <f t="array" ref="KI269">SUMPRODUCT(--(MOD(COLUMN($II269:$KD269),4)=MOD(COLUMN($IK269),4)),$II269:$KD269)</f>
        <v/>
      </c>
      <c r="KJ269" s="346">
        <f>KI269*$J269</f>
        <v/>
      </c>
      <c r="KK269" s="80" t="n"/>
      <c r="KL269" s="80" t="n"/>
      <c r="KM269" s="80" t="n"/>
      <c r="KN269" s="51" t="n"/>
      <c r="KO269" s="285" t="n"/>
    </row>
    <row r="270" outlineLevel="1" ht="28.8" customFormat="1" customHeight="1" s="68">
      <c r="A270" s="347" t="n"/>
      <c r="B270" s="347" t="n"/>
      <c r="C270" s="347" t="n"/>
      <c r="D270" s="347" t="n"/>
      <c r="E270" s="15" t="n">
        <v>19</v>
      </c>
      <c r="F270" s="149" t="n">
        <v>2</v>
      </c>
      <c r="G270" s="33" t="n">
        <v>4342080290</v>
      </c>
      <c r="H270" s="34" t="inlineStr">
        <is>
          <t>Клапан 2х магистральный</t>
        </is>
      </c>
      <c r="I270" s="359" t="n"/>
      <c r="J270" s="360" t="n">
        <v>485</v>
      </c>
      <c r="K270" s="360" t="n"/>
      <c r="L270" s="360" t="n"/>
      <c r="M270" s="36" t="n"/>
      <c r="N270" s="284" t="n"/>
      <c r="O270" s="38" t="n"/>
      <c r="P270" s="284" t="n"/>
      <c r="Q270" s="36" t="n"/>
      <c r="R270" s="284" t="n"/>
      <c r="S270" s="38" t="n"/>
      <c r="T270" s="284" t="n"/>
      <c r="U270" s="36" t="n"/>
      <c r="V270" s="284" t="n"/>
      <c r="W270" s="38" t="n"/>
      <c r="X270" s="284" t="n"/>
      <c r="Y270" s="36" t="n"/>
      <c r="Z270" s="39" t="n"/>
      <c r="AA270" s="38" t="n"/>
      <c r="AB270" s="247" t="n"/>
      <c r="AC270" s="36" t="n"/>
      <c r="AD270" s="284" t="n"/>
      <c r="AE270" s="38" t="n"/>
      <c r="AF270" s="247" t="n"/>
      <c r="AG270" s="36" t="n"/>
      <c r="AH270" s="284" t="n"/>
      <c r="AI270" s="38" t="n"/>
      <c r="AJ270" s="247" t="n"/>
      <c r="AK270" s="36" t="n"/>
      <c r="AL270" s="284" t="n"/>
      <c r="AM270" s="38" t="n"/>
      <c r="AN270" s="247" t="n"/>
      <c r="AO270" s="36" t="n"/>
      <c r="AP270" s="284" t="n"/>
      <c r="AQ270" s="38" t="n"/>
      <c r="AR270" s="247" t="n"/>
      <c r="AS270" s="36" t="n"/>
      <c r="AT270" s="284" t="n"/>
      <c r="AU270" s="38" t="n"/>
      <c r="AV270" s="247" t="n"/>
      <c r="AW270" s="36" t="n"/>
      <c r="AX270" s="284" t="n"/>
      <c r="AY270" s="38" t="n"/>
      <c r="AZ270" s="247" t="n"/>
      <c r="BA270" s="36" t="n"/>
      <c r="BB270" s="284" t="n"/>
      <c r="BC270" s="92" t="n"/>
      <c r="BD270" s="284" t="n"/>
      <c r="BE270" s="36" t="n"/>
      <c r="BF270" s="284" t="n"/>
      <c r="BG270" s="54" t="n"/>
      <c r="BH270" s="284" t="n"/>
      <c r="BI270" s="338" t="n"/>
      <c r="BJ270" s="339" t="n"/>
      <c r="BK270" s="340" t="n"/>
      <c r="BL270" s="341" t="n"/>
      <c r="BM270" s="342" t="n"/>
      <c r="BN270" s="343" t="n"/>
      <c r="BO270" s="36" t="n"/>
      <c r="BP270" s="47" t="n"/>
      <c r="BQ270" s="284" t="n"/>
      <c r="BR270" s="38" t="n"/>
      <c r="BS270" s="284" t="n"/>
      <c r="BT270" s="36" t="n"/>
      <c r="BU270" s="47" t="n"/>
      <c r="BV270" s="284" t="n"/>
      <c r="BW270" s="38" t="n"/>
      <c r="BX270" s="247" t="n"/>
      <c r="BY270" s="36" t="n"/>
      <c r="BZ270" s="47" t="n"/>
      <c r="CA270" s="284" t="n"/>
      <c r="CB270" s="38" t="n"/>
      <c r="CC270" s="284" t="n"/>
      <c r="CD270" s="36" t="n"/>
      <c r="CE270" s="47" t="n"/>
      <c r="CF270" s="284" t="n"/>
      <c r="CG270" s="38" t="n"/>
      <c r="CH270" s="245" t="n"/>
      <c r="CI270" s="36" t="n"/>
      <c r="CJ270" s="47" t="n"/>
      <c r="CK270" s="284" t="n"/>
      <c r="CL270" s="38" t="n"/>
      <c r="CM270" s="284" t="n"/>
      <c r="CN270" s="36" t="n"/>
      <c r="CO270" s="47" t="n"/>
      <c r="CP270" s="284" t="n"/>
      <c r="CQ270" s="38" t="n"/>
      <c r="CR270" s="284" t="n"/>
      <c r="CS270" s="36" t="n"/>
      <c r="CT270" s="47" t="n"/>
      <c r="CU270" s="284" t="n"/>
      <c r="CV270" s="38" t="n"/>
      <c r="CW270" s="284" t="n"/>
      <c r="CX270" s="36" t="n"/>
      <c r="CY270" s="47" t="n"/>
      <c r="CZ270" s="284" t="n"/>
      <c r="DA270" s="38" t="n"/>
      <c r="DB270" s="284" t="n"/>
      <c r="DC270" s="36" t="n"/>
      <c r="DD270" s="47" t="n"/>
      <c r="DE270" s="284" t="n"/>
      <c r="DF270" s="38" t="n"/>
      <c r="DG270" s="284" t="n"/>
      <c r="DH270" s="36" t="n"/>
      <c r="DI270" s="47" t="n"/>
      <c r="DJ270" s="284" t="n"/>
      <c r="DK270" s="38" t="n"/>
      <c r="DL270" s="284" t="n"/>
      <c r="DM270" s="36" t="n"/>
      <c r="DN270" s="47" t="n"/>
      <c r="DO270" s="284" t="n"/>
      <c r="DP270" s="38" t="n"/>
      <c r="DQ270" s="151" t="n"/>
      <c r="DR270" s="36" t="n"/>
      <c r="DS270" s="47" t="n"/>
      <c r="DT270" s="284" t="n"/>
      <c r="DU270" s="38" t="n">
        <v>0</v>
      </c>
      <c r="DV270" s="284" t="n"/>
      <c r="DW270" s="338">
        <f t="array" ref="DW270">SUMPRODUCT(--(MOD(COLUMN($BO270:$DV270),5)=MOD(COLUMN($BO270),5)),$BO270:$DV270)</f>
        <v/>
      </c>
      <c r="DX270" s="339">
        <f>DW270*$J270</f>
        <v/>
      </c>
      <c r="DY270" s="344">
        <f t="array" ref="DY270">SUMPRODUCT(--(MOD(COLUMN($BO270:$DV270),5)=MOD(COLUMN($BP270),5)),$BO270:$DV270)</f>
        <v/>
      </c>
      <c r="DZ270" s="345">
        <f>DY270*$J270</f>
        <v/>
      </c>
      <c r="EA270" s="340">
        <f t="array" ref="EA270">SUMPRODUCT(--(MOD(COLUMN($BO270:$DV270),5)=MOD(COLUMN($BQ270),5)),$BO270:$DV270)</f>
        <v/>
      </c>
      <c r="EB270" s="341">
        <f>EA270*$J270</f>
        <v/>
      </c>
      <c r="EC270" s="342">
        <f t="array" ref="EC270">SUMPRODUCT(--(MOD(COLUMN($BO270:$DV270),5)=MOD(COLUMN($BR270),5)),$BO270:$DV270)</f>
        <v/>
      </c>
      <c r="ED270" s="343">
        <f>EC270*$J270</f>
        <v/>
      </c>
      <c r="EE270" s="36" t="n"/>
      <c r="EF270" s="155" t="n">
        <v>0</v>
      </c>
      <c r="EG270" s="38" t="n">
        <v>0</v>
      </c>
      <c r="EH270" s="347" t="n"/>
      <c r="EI270" s="36" t="n"/>
      <c r="EJ270" s="284" t="n"/>
      <c r="EK270" s="38" t="n"/>
      <c r="EL270" s="284" t="n"/>
      <c r="EM270" s="36" t="n"/>
      <c r="EN270" s="284" t="n"/>
      <c r="EO270" s="38" t="n"/>
      <c r="EP270" s="284" t="n"/>
      <c r="EQ270" s="36" t="n"/>
      <c r="ER270" s="155" t="n">
        <v>1</v>
      </c>
      <c r="ES270" s="38" t="n">
        <v>1</v>
      </c>
      <c r="ET270" s="347" t="n"/>
      <c r="EU270" s="36" t="n"/>
      <c r="EV270" s="155" t="n">
        <v>0</v>
      </c>
      <c r="EW270" s="38" t="n"/>
      <c r="EX270" s="347" t="n"/>
      <c r="EY270" s="36" t="n"/>
      <c r="EZ270" s="284" t="n"/>
      <c r="FA270" s="38" t="n"/>
      <c r="FB270" s="284" t="n"/>
      <c r="FC270" s="36" t="n"/>
      <c r="FD270" s="284" t="n"/>
      <c r="FE270" s="38" t="n"/>
      <c r="FF270" s="284" t="n"/>
      <c r="FG270" s="36" t="n"/>
      <c r="FH270" s="284" t="n"/>
      <c r="FI270" s="38" t="n"/>
      <c r="FJ270" s="284" t="n"/>
      <c r="FK270" s="36" t="n"/>
      <c r="FL270" s="284" t="n"/>
      <c r="FM270" s="38" t="n"/>
      <c r="FN270" s="284" t="n"/>
      <c r="FO270" s="36" t="n"/>
      <c r="FP270" s="284" t="n"/>
      <c r="FQ270" s="38" t="n"/>
      <c r="FR270" s="284" t="n"/>
      <c r="FS270" s="36" t="n"/>
      <c r="FT270" s="284" t="n"/>
      <c r="FU270" s="38" t="n"/>
      <c r="FV270" s="284" t="n"/>
      <c r="FW270" s="36" t="n"/>
      <c r="FX270" s="284" t="n"/>
      <c r="FY270" s="38" t="n"/>
      <c r="FZ270" s="284" t="n"/>
      <c r="GA270" s="338">
        <f>SUMPRODUCT(--(MOD(COLUMN($EE270:$FZ270),4)=MOD(COLUMN($EE270),4)),$EE270:$FZ270)</f>
        <v/>
      </c>
      <c r="GB270" s="339">
        <f>GA270*$J270</f>
        <v/>
      </c>
      <c r="GC270" s="340">
        <f>SUMPRODUCT(--(MOD(COLUMN($EE270:$FZ270),4)=MOD(COLUMN($EF270),4)),$EE270:$FZ270)</f>
        <v/>
      </c>
      <c r="GD270" s="341">
        <f>GC270*$J270</f>
        <v/>
      </c>
      <c r="GE270" s="342">
        <f>SUMPRODUCT(--(MOD(COLUMN($EE270:$FZ270),4)=MOD(COLUMN($EG270),4)),$EE270:$FZ270)</f>
        <v/>
      </c>
      <c r="GF270" s="343">
        <f>GE270*$J270</f>
        <v/>
      </c>
      <c r="GG270" s="36" t="n"/>
      <c r="GH270" s="284" t="n"/>
      <c r="GI270" s="38" t="n"/>
      <c r="GJ270" s="284" t="n"/>
      <c r="GK270" s="36" t="n"/>
      <c r="GL270" s="284" t="n"/>
      <c r="GM270" s="38" t="n"/>
      <c r="GN270" s="284" t="n"/>
      <c r="GO270" s="36" t="n"/>
      <c r="GP270" s="284" t="n"/>
      <c r="GQ270" s="38" t="n"/>
      <c r="GR270" s="284" t="n"/>
      <c r="GS270" s="36" t="n"/>
      <c r="GT270" s="284" t="n"/>
      <c r="GU270" s="38" t="n"/>
      <c r="GV270" s="284" t="n"/>
      <c r="GW270" s="36" t="n"/>
      <c r="GX270" s="284" t="n"/>
      <c r="GY270" s="38" t="n"/>
      <c r="GZ270" s="284" t="n"/>
      <c r="HA270" s="36" t="n"/>
      <c r="HB270" s="284" t="n"/>
      <c r="HC270" s="38" t="n"/>
      <c r="HD270" s="284" t="n"/>
      <c r="HE270" s="36" t="n"/>
      <c r="HF270" s="284" t="n"/>
      <c r="HG270" s="38" t="n"/>
      <c r="HH270" s="284" t="n"/>
      <c r="HI270" s="36" t="n"/>
      <c r="HJ270" s="284" t="n"/>
      <c r="HK270" s="38" t="n"/>
      <c r="HL270" s="284" t="n"/>
      <c r="HM270" s="36" t="n"/>
      <c r="HN270" s="284" t="n"/>
      <c r="HO270" s="38" t="n"/>
      <c r="HP270" s="284" t="n"/>
      <c r="HQ270" s="36" t="n"/>
      <c r="HR270" s="284" t="n"/>
      <c r="HS270" s="38" t="n"/>
      <c r="HT270" s="284" t="n"/>
      <c r="HU270" s="36" t="n"/>
      <c r="HV270" s="284" t="n"/>
      <c r="HW270" s="38" t="n"/>
      <c r="HX270" s="284" t="n"/>
      <c r="HY270" s="36" t="n"/>
      <c r="HZ270" s="284" t="n"/>
      <c r="IA270" s="38" t="n"/>
      <c r="IB270" s="284" t="n"/>
      <c r="IC270" s="338">
        <f t="array" ref="IC270">SUMPRODUCT(--(MOD(COLUMN($GG270:$IB270),4)=MOD(COLUMN($GG270),4)),$GG270:$IB270)</f>
        <v/>
      </c>
      <c r="ID270" s="339">
        <f>IC270*$J270</f>
        <v/>
      </c>
      <c r="IE270" s="340">
        <f t="array" ref="IE270">SUMPRODUCT(--(MOD(COLUMN($GG270:$IB270),4)=MOD(COLUMN($GH270),4)),$GG270:$IB270)</f>
        <v/>
      </c>
      <c r="IF270" s="341">
        <f>IE270*$J270</f>
        <v/>
      </c>
      <c r="IG270" s="342">
        <f t="array" ref="IG270">SUMPRODUCT(--(MOD(COLUMN($GG270:$IB270),4)=MOD(COLUMN($GI270),4)),$GG270:$IB270)</f>
        <v/>
      </c>
      <c r="IH270" s="343">
        <f>IG270*$J270</f>
        <v/>
      </c>
      <c r="II270" s="36" t="n"/>
      <c r="IJ270" s="284" t="n"/>
      <c r="IK270" s="38" t="n"/>
      <c r="IL270" s="284" t="n"/>
      <c r="IM270" s="36" t="n"/>
      <c r="IN270" s="284" t="n"/>
      <c r="IO270" s="38" t="n"/>
      <c r="IP270" s="284" t="n"/>
      <c r="IQ270" s="36" t="n"/>
      <c r="IR270" s="284" t="n"/>
      <c r="IS270" s="38" t="n"/>
      <c r="IT270" s="284" t="n"/>
      <c r="IU270" s="36" t="n"/>
      <c r="IV270" s="284" t="n"/>
      <c r="IW270" s="38" t="n"/>
      <c r="IX270" s="284" t="n"/>
      <c r="IY270" s="36" t="n"/>
      <c r="IZ270" s="284" t="n"/>
      <c r="JA270" s="38" t="n"/>
      <c r="JB270" s="284" t="n"/>
      <c r="JC270" s="36" t="n"/>
      <c r="JD270" s="284" t="n"/>
      <c r="JE270" s="38" t="n"/>
      <c r="JF270" s="284" t="n"/>
      <c r="JG270" s="36" t="n"/>
      <c r="JH270" s="284" t="n"/>
      <c r="JI270" s="38" t="n"/>
      <c r="JJ270" s="284" t="n"/>
      <c r="JK270" s="36" t="n"/>
      <c r="JL270" s="284" t="n"/>
      <c r="JM270" s="38" t="n"/>
      <c r="JN270" s="284" t="n"/>
      <c r="JO270" s="36" t="n"/>
      <c r="JP270" s="284" t="n"/>
      <c r="JQ270" s="38" t="n"/>
      <c r="JR270" s="284" t="n"/>
      <c r="JS270" s="36" t="n"/>
      <c r="JT270" s="284" t="n"/>
      <c r="JU270" s="38" t="n"/>
      <c r="JV270" s="284" t="n"/>
      <c r="JW270" s="36" t="n"/>
      <c r="JX270" s="284" t="n"/>
      <c r="JY270" s="38" t="n"/>
      <c r="JZ270" s="284" t="n"/>
      <c r="KA270" s="36" t="n"/>
      <c r="KB270" s="284" t="n"/>
      <c r="KC270" s="38" t="n"/>
      <c r="KD270" s="284" t="n"/>
      <c r="KE270" s="338">
        <f t="array" ref="KE270">SUMPRODUCT(--(MOD(COLUMN($II270:$KD270),4)=MOD(COLUMN($II270),4)),$II270:$KD270)</f>
        <v/>
      </c>
      <c r="KF270" s="339">
        <f>KE270*$J270</f>
        <v/>
      </c>
      <c r="KG270" s="340">
        <f t="array" ref="KG270">SUMPRODUCT(--(MOD(COLUMN($II270:$KD270),4)=MOD(COLUMN($IJ270),4)),$II270:$KD270)</f>
        <v/>
      </c>
      <c r="KH270" s="341">
        <f>KG270*$J270</f>
        <v/>
      </c>
      <c r="KI270" s="342">
        <f t="array" ref="KI270">SUMPRODUCT(--(MOD(COLUMN($II270:$KD270),4)=MOD(COLUMN($IK270),4)),$II270:$KD270)</f>
        <v/>
      </c>
      <c r="KJ270" s="346">
        <f>KI270*$J270</f>
        <v/>
      </c>
      <c r="KK270" s="80" t="n"/>
      <c r="KL270" s="80" t="n"/>
      <c r="KM270" s="80" t="n"/>
      <c r="KN270" s="51" t="n"/>
      <c r="KO270" s="285" t="n"/>
    </row>
    <row r="271" outlineLevel="1" ht="28.8" customFormat="1" customHeight="1" s="68">
      <c r="A271" s="347" t="n"/>
      <c r="B271" s="347" t="n"/>
      <c r="C271" s="333" t="n"/>
      <c r="D271" s="347" t="n"/>
      <c r="E271" s="15" t="n">
        <v>20</v>
      </c>
      <c r="F271" s="149" t="n">
        <v>2</v>
      </c>
      <c r="G271" s="33" t="n">
        <v>9730090010</v>
      </c>
      <c r="H271" s="34" t="inlineStr">
        <is>
          <t>Клапан управления тормозами прицепа</t>
        </is>
      </c>
      <c r="I271" s="359" t="n"/>
      <c r="J271" s="360" t="n">
        <v>1590</v>
      </c>
      <c r="K271" s="360" t="n"/>
      <c r="L271" s="360" t="n"/>
      <c r="M271" s="36" t="n"/>
      <c r="N271" s="284" t="n"/>
      <c r="O271" s="38" t="n"/>
      <c r="P271" s="284" t="n"/>
      <c r="Q271" s="36" t="n"/>
      <c r="R271" s="284" t="n"/>
      <c r="S271" s="38" t="n"/>
      <c r="T271" s="284" t="n"/>
      <c r="U271" s="36" t="n"/>
      <c r="V271" s="284" t="n"/>
      <c r="W271" s="38" t="n"/>
      <c r="X271" s="284" t="n"/>
      <c r="Y271" s="36" t="n"/>
      <c r="Z271" s="39" t="n"/>
      <c r="AA271" s="38" t="n"/>
      <c r="AB271" s="247" t="n"/>
      <c r="AC271" s="36" t="n"/>
      <c r="AD271" s="284" t="n"/>
      <c r="AE271" s="38" t="n"/>
      <c r="AF271" s="247" t="n"/>
      <c r="AG271" s="36" t="n"/>
      <c r="AH271" s="284" t="n"/>
      <c r="AI271" s="38" t="n"/>
      <c r="AJ271" s="247" t="n"/>
      <c r="AK271" s="36" t="n"/>
      <c r="AL271" s="284" t="n"/>
      <c r="AM271" s="38" t="n"/>
      <c r="AN271" s="247" t="n"/>
      <c r="AO271" s="36" t="n"/>
      <c r="AP271" s="284" t="n"/>
      <c r="AQ271" s="38" t="n"/>
      <c r="AR271" s="247" t="n"/>
      <c r="AS271" s="36" t="n"/>
      <c r="AT271" s="284" t="n"/>
      <c r="AU271" s="38" t="n"/>
      <c r="AV271" s="247" t="n"/>
      <c r="AW271" s="36" t="n"/>
      <c r="AX271" s="284" t="n"/>
      <c r="AY271" s="38" t="n"/>
      <c r="AZ271" s="247" t="n"/>
      <c r="BA271" s="36" t="n"/>
      <c r="BB271" s="284" t="n"/>
      <c r="BC271" s="92" t="n"/>
      <c r="BD271" s="284" t="n"/>
      <c r="BE271" s="36" t="n"/>
      <c r="BF271" s="284" t="n"/>
      <c r="BG271" s="54" t="n"/>
      <c r="BH271" s="284" t="n"/>
      <c r="BI271" s="338" t="n"/>
      <c r="BJ271" s="339" t="n"/>
      <c r="BK271" s="340" t="n"/>
      <c r="BL271" s="341" t="n"/>
      <c r="BM271" s="342" t="n"/>
      <c r="BN271" s="343" t="n"/>
      <c r="BO271" s="36" t="n"/>
      <c r="BP271" s="47" t="n"/>
      <c r="BQ271" s="284" t="n"/>
      <c r="BR271" s="38" t="n"/>
      <c r="BS271" s="284" t="n"/>
      <c r="BT271" s="36" t="n"/>
      <c r="BU271" s="47" t="n"/>
      <c r="BV271" s="284" t="n"/>
      <c r="BW271" s="38" t="n"/>
      <c r="BX271" s="247" t="n"/>
      <c r="BY271" s="36" t="n"/>
      <c r="BZ271" s="47" t="n"/>
      <c r="CA271" s="284" t="n"/>
      <c r="CB271" s="38" t="n"/>
      <c r="CC271" s="284" t="n"/>
      <c r="CD271" s="36" t="n"/>
      <c r="CE271" s="47" t="n"/>
      <c r="CF271" s="284" t="n"/>
      <c r="CG271" s="38" t="n"/>
      <c r="CH271" s="245" t="n"/>
      <c r="CI271" s="36" t="n"/>
      <c r="CJ271" s="47" t="n"/>
      <c r="CK271" s="284" t="n"/>
      <c r="CL271" s="38" t="n"/>
      <c r="CM271" s="284" t="n"/>
      <c r="CN271" s="36" t="n"/>
      <c r="CO271" s="47" t="n"/>
      <c r="CP271" s="284" t="n"/>
      <c r="CQ271" s="38" t="n"/>
      <c r="CR271" s="284" t="n"/>
      <c r="CS271" s="36" t="n"/>
      <c r="CT271" s="47" t="n"/>
      <c r="CU271" s="284" t="n"/>
      <c r="CV271" s="38" t="n"/>
      <c r="CW271" s="284" t="n"/>
      <c r="CX271" s="36" t="n"/>
      <c r="CY271" s="47" t="n"/>
      <c r="CZ271" s="284" t="n"/>
      <c r="DA271" s="38" t="n"/>
      <c r="DB271" s="284" t="n"/>
      <c r="DC271" s="36" t="n"/>
      <c r="DD271" s="47" t="n"/>
      <c r="DE271" s="284" t="n"/>
      <c r="DF271" s="38" t="n"/>
      <c r="DG271" s="284" t="n"/>
      <c r="DH271" s="36" t="n"/>
      <c r="DI271" s="47" t="n"/>
      <c r="DJ271" s="284" t="n"/>
      <c r="DK271" s="38" t="n"/>
      <c r="DL271" s="284" t="n"/>
      <c r="DM271" s="36" t="n"/>
      <c r="DN271" s="47" t="n"/>
      <c r="DO271" s="284" t="n"/>
      <c r="DP271" s="38" t="n"/>
      <c r="DQ271" s="151" t="n"/>
      <c r="DR271" s="36" t="n"/>
      <c r="DS271" s="47" t="n"/>
      <c r="DT271" s="284" t="n"/>
      <c r="DU271" s="38" t="n">
        <v>0</v>
      </c>
      <c r="DV271" s="284" t="n"/>
      <c r="DW271" s="338">
        <f t="array" ref="DW271">SUMPRODUCT(--(MOD(COLUMN($BO271:$DV271),5)=MOD(COLUMN($BO271),5)),$BO271:$DV271)</f>
        <v/>
      </c>
      <c r="DX271" s="339">
        <f>DW271*$J271</f>
        <v/>
      </c>
      <c r="DY271" s="344">
        <f t="array" ref="DY271">SUMPRODUCT(--(MOD(COLUMN($BO271:$DV271),5)=MOD(COLUMN($BP271),5)),$BO271:$DV271)</f>
        <v/>
      </c>
      <c r="DZ271" s="345">
        <f>DY271*$J271</f>
        <v/>
      </c>
      <c r="EA271" s="340">
        <f t="array" ref="EA271">SUMPRODUCT(--(MOD(COLUMN($BO271:$DV271),5)=MOD(COLUMN($BQ271),5)),$BO271:$DV271)</f>
        <v/>
      </c>
      <c r="EB271" s="341">
        <f>EA271*$J271</f>
        <v/>
      </c>
      <c r="EC271" s="342">
        <f t="array" ref="EC271">SUMPRODUCT(--(MOD(COLUMN($BO271:$DV271),5)=MOD(COLUMN($BR271),5)),$BO271:$DV271)</f>
        <v/>
      </c>
      <c r="ED271" s="343">
        <f>EC271*$J271</f>
        <v/>
      </c>
      <c r="EE271" s="36" t="n"/>
      <c r="EF271" s="155" t="n">
        <v>0</v>
      </c>
      <c r="EG271" s="38" t="n">
        <v>0</v>
      </c>
      <c r="EH271" s="333" t="n"/>
      <c r="EI271" s="36" t="n"/>
      <c r="EJ271" s="284" t="n"/>
      <c r="EK271" s="38" t="n"/>
      <c r="EL271" s="284" t="n"/>
      <c r="EM271" s="36" t="n"/>
      <c r="EN271" s="284" t="n"/>
      <c r="EO271" s="38" t="n"/>
      <c r="EP271" s="284" t="n"/>
      <c r="EQ271" s="36" t="n"/>
      <c r="ER271" s="155" t="n">
        <v>1</v>
      </c>
      <c r="ES271" s="38" t="n">
        <v>1</v>
      </c>
      <c r="ET271" s="333" t="n"/>
      <c r="EU271" s="36" t="n"/>
      <c r="EV271" s="155" t="n">
        <v>0</v>
      </c>
      <c r="EW271" s="38" t="n"/>
      <c r="EX271" s="333" t="n"/>
      <c r="EY271" s="36" t="n"/>
      <c r="EZ271" s="284" t="n"/>
      <c r="FA271" s="38" t="n"/>
      <c r="FB271" s="284" t="n"/>
      <c r="FC271" s="36" t="n"/>
      <c r="FD271" s="284" t="n"/>
      <c r="FE271" s="38" t="n"/>
      <c r="FF271" s="284" t="n"/>
      <c r="FG271" s="36" t="n"/>
      <c r="FH271" s="284" t="n"/>
      <c r="FI271" s="38" t="n"/>
      <c r="FJ271" s="284" t="n"/>
      <c r="FK271" s="36" t="n"/>
      <c r="FL271" s="284" t="n"/>
      <c r="FM271" s="38" t="n"/>
      <c r="FN271" s="284" t="n"/>
      <c r="FO271" s="36" t="n"/>
      <c r="FP271" s="284" t="n"/>
      <c r="FQ271" s="38" t="n"/>
      <c r="FR271" s="284" t="n"/>
      <c r="FS271" s="36" t="n"/>
      <c r="FT271" s="284" t="n"/>
      <c r="FU271" s="38" t="n"/>
      <c r="FV271" s="284" t="n"/>
      <c r="FW271" s="36" t="n"/>
      <c r="FX271" s="284" t="n"/>
      <c r="FY271" s="38" t="n"/>
      <c r="FZ271" s="284" t="n"/>
      <c r="GA271" s="338">
        <f>SUMPRODUCT(--(MOD(COLUMN($EE271:$FZ271),4)=MOD(COLUMN($EE271),4)),$EE271:$FZ271)</f>
        <v/>
      </c>
      <c r="GB271" s="339">
        <f>GA271*$J271</f>
        <v/>
      </c>
      <c r="GC271" s="340">
        <f>SUMPRODUCT(--(MOD(COLUMN($EE271:$FZ271),4)=MOD(COLUMN($EF271),4)),$EE271:$FZ271)</f>
        <v/>
      </c>
      <c r="GD271" s="341">
        <f>GC271*$J271</f>
        <v/>
      </c>
      <c r="GE271" s="342">
        <f>SUMPRODUCT(--(MOD(COLUMN($EE271:$FZ271),4)=MOD(COLUMN($EG271),4)),$EE271:$FZ271)</f>
        <v/>
      </c>
      <c r="GF271" s="343">
        <f>GE271*$J271</f>
        <v/>
      </c>
      <c r="GG271" s="36" t="n"/>
      <c r="GH271" s="284" t="n"/>
      <c r="GI271" s="38" t="n"/>
      <c r="GJ271" s="284" t="n"/>
      <c r="GK271" s="36" t="n"/>
      <c r="GL271" s="284" t="n"/>
      <c r="GM271" s="38" t="n"/>
      <c r="GN271" s="284" t="n"/>
      <c r="GO271" s="36" t="n"/>
      <c r="GP271" s="284" t="n"/>
      <c r="GQ271" s="38" t="n"/>
      <c r="GR271" s="284" t="n"/>
      <c r="GS271" s="36" t="n"/>
      <c r="GT271" s="284" t="n"/>
      <c r="GU271" s="38" t="n"/>
      <c r="GV271" s="284" t="n"/>
      <c r="GW271" s="36" t="n"/>
      <c r="GX271" s="284" t="n"/>
      <c r="GY271" s="38" t="n"/>
      <c r="GZ271" s="284" t="n"/>
      <c r="HA271" s="36" t="n"/>
      <c r="HB271" s="284" t="n"/>
      <c r="HC271" s="38" t="n"/>
      <c r="HD271" s="284" t="n"/>
      <c r="HE271" s="36" t="n"/>
      <c r="HF271" s="284" t="n"/>
      <c r="HG271" s="38" t="n"/>
      <c r="HH271" s="284" t="n"/>
      <c r="HI271" s="36" t="n"/>
      <c r="HJ271" s="284" t="n"/>
      <c r="HK271" s="38" t="n"/>
      <c r="HL271" s="284" t="n"/>
      <c r="HM271" s="36" t="n"/>
      <c r="HN271" s="284" t="n"/>
      <c r="HO271" s="38" t="n"/>
      <c r="HP271" s="284" t="n"/>
      <c r="HQ271" s="36" t="n"/>
      <c r="HR271" s="284" t="n"/>
      <c r="HS271" s="38" t="n"/>
      <c r="HT271" s="284" t="n"/>
      <c r="HU271" s="36" t="n"/>
      <c r="HV271" s="284" t="n"/>
      <c r="HW271" s="38" t="n"/>
      <c r="HX271" s="284" t="n"/>
      <c r="HY271" s="36" t="n"/>
      <c r="HZ271" s="284" t="n"/>
      <c r="IA271" s="38" t="n"/>
      <c r="IB271" s="284" t="n"/>
      <c r="IC271" s="338">
        <f t="array" ref="IC271">SUMPRODUCT(--(MOD(COLUMN($GG271:$IB271),4)=MOD(COLUMN($GG271),4)),$GG271:$IB271)</f>
        <v/>
      </c>
      <c r="ID271" s="339">
        <f>IC271*$J271</f>
        <v/>
      </c>
      <c r="IE271" s="340">
        <f t="array" ref="IE271">SUMPRODUCT(--(MOD(COLUMN($GG271:$IB271),4)=MOD(COLUMN($GH271),4)),$GG271:$IB271)</f>
        <v/>
      </c>
      <c r="IF271" s="341">
        <f>IE271*$J271</f>
        <v/>
      </c>
      <c r="IG271" s="342">
        <f t="array" ref="IG271">SUMPRODUCT(--(MOD(COLUMN($GG271:$IB271),4)=MOD(COLUMN($GI271),4)),$GG271:$IB271)</f>
        <v/>
      </c>
      <c r="IH271" s="343">
        <f>IG271*$J271</f>
        <v/>
      </c>
      <c r="II271" s="36" t="n"/>
      <c r="IJ271" s="284" t="n"/>
      <c r="IK271" s="38" t="n"/>
      <c r="IL271" s="284" t="n"/>
      <c r="IM271" s="36" t="n"/>
      <c r="IN271" s="284" t="n"/>
      <c r="IO271" s="38" t="n"/>
      <c r="IP271" s="284" t="n"/>
      <c r="IQ271" s="36" t="n"/>
      <c r="IR271" s="284" t="n"/>
      <c r="IS271" s="38" t="n"/>
      <c r="IT271" s="284" t="n"/>
      <c r="IU271" s="36" t="n"/>
      <c r="IV271" s="284" t="n"/>
      <c r="IW271" s="38" t="n"/>
      <c r="IX271" s="284" t="n"/>
      <c r="IY271" s="36" t="n"/>
      <c r="IZ271" s="284" t="n"/>
      <c r="JA271" s="38" t="n"/>
      <c r="JB271" s="284" t="n"/>
      <c r="JC271" s="36" t="n"/>
      <c r="JD271" s="284" t="n"/>
      <c r="JE271" s="38" t="n"/>
      <c r="JF271" s="284" t="n"/>
      <c r="JG271" s="36" t="n"/>
      <c r="JH271" s="284" t="n"/>
      <c r="JI271" s="38" t="n"/>
      <c r="JJ271" s="284" t="n"/>
      <c r="JK271" s="36" t="n"/>
      <c r="JL271" s="284" t="n"/>
      <c r="JM271" s="38" t="n"/>
      <c r="JN271" s="284" t="n"/>
      <c r="JO271" s="36" t="n"/>
      <c r="JP271" s="284" t="n"/>
      <c r="JQ271" s="38" t="n"/>
      <c r="JR271" s="284" t="n"/>
      <c r="JS271" s="36" t="n"/>
      <c r="JT271" s="284" t="n"/>
      <c r="JU271" s="38" t="n"/>
      <c r="JV271" s="284" t="n"/>
      <c r="JW271" s="36" t="n"/>
      <c r="JX271" s="284" t="n"/>
      <c r="JY271" s="38" t="n"/>
      <c r="JZ271" s="284" t="n"/>
      <c r="KA271" s="36" t="n"/>
      <c r="KB271" s="284" t="n"/>
      <c r="KC271" s="38" t="n"/>
      <c r="KD271" s="284" t="n"/>
      <c r="KE271" s="338">
        <f t="array" ref="KE271">SUMPRODUCT(--(MOD(COLUMN($II271:$KD271),4)=MOD(COLUMN($II271),4)),$II271:$KD271)</f>
        <v/>
      </c>
      <c r="KF271" s="339">
        <f>KE271*$J271</f>
        <v/>
      </c>
      <c r="KG271" s="340">
        <f t="array" ref="KG271">SUMPRODUCT(--(MOD(COLUMN($II271:$KD271),4)=MOD(COLUMN($IJ271),4)),$II271:$KD271)</f>
        <v/>
      </c>
      <c r="KH271" s="341">
        <f>KG271*$J271</f>
        <v/>
      </c>
      <c r="KI271" s="342">
        <f t="array" ref="KI271">SUMPRODUCT(--(MOD(COLUMN($II271:$KD271),4)=MOD(COLUMN($IK271),4)),$II271:$KD271)</f>
        <v/>
      </c>
      <c r="KJ271" s="346">
        <f>KI271*$J271</f>
        <v/>
      </c>
      <c r="KK271" s="80" t="n"/>
      <c r="KL271" s="80" t="n"/>
      <c r="KM271" s="80" t="n"/>
      <c r="KN271" s="51" t="n"/>
      <c r="KO271" s="285" t="n"/>
    </row>
    <row r="272" outlineLevel="1" customFormat="1" s="68">
      <c r="A272" s="252" t="n"/>
      <c r="B272" s="69" t="n"/>
      <c r="C272" s="256" t="n"/>
      <c r="D272" s="256" t="n"/>
      <c r="E272" s="70" t="n"/>
      <c r="F272" s="70" t="n"/>
      <c r="G272" s="71" t="n"/>
      <c r="H272" s="72" t="inlineStr">
        <is>
          <t>Итого</t>
        </is>
      </c>
      <c r="I272" s="361" t="n"/>
      <c r="J272" s="360" t="n"/>
      <c r="K272" s="360" t="n"/>
      <c r="L272" s="360" t="n"/>
      <c r="M272" s="74" t="n"/>
      <c r="N272" s="75" t="n"/>
      <c r="O272" s="28" t="n"/>
      <c r="P272" s="75" t="n"/>
      <c r="Q272" s="74" t="n"/>
      <c r="R272" s="75" t="n"/>
      <c r="S272" s="28" t="n"/>
      <c r="T272" s="75" t="n"/>
      <c r="U272" s="74" t="n"/>
      <c r="V272" s="75" t="n"/>
      <c r="W272" s="28" t="n"/>
      <c r="X272" s="75" t="n"/>
      <c r="Y272" s="74" t="n"/>
      <c r="Z272" s="75" t="n"/>
      <c r="AA272" s="38" t="n"/>
      <c r="AB272" s="75" t="n"/>
      <c r="AC272" s="74" t="n"/>
      <c r="AD272" s="75" t="n"/>
      <c r="AE272" s="28" t="n"/>
      <c r="AF272" s="75" t="n"/>
      <c r="AG272" s="74" t="n"/>
      <c r="AH272" s="75" t="n"/>
      <c r="AI272" s="38" t="n"/>
      <c r="AJ272" s="75" t="n"/>
      <c r="AK272" s="74" t="n"/>
      <c r="AL272" s="75" t="n"/>
      <c r="AM272" s="38" t="n"/>
      <c r="AN272" s="75" t="n"/>
      <c r="AO272" s="74" t="n"/>
      <c r="AP272" s="75" t="n"/>
      <c r="AQ272" s="38" t="n"/>
      <c r="AR272" s="75" t="n"/>
      <c r="AS272" s="74" t="n"/>
      <c r="AT272" s="75" t="n"/>
      <c r="AU272" s="38" t="n"/>
      <c r="AV272" s="75" t="n"/>
      <c r="AW272" s="74" t="n"/>
      <c r="AX272" s="75" t="n"/>
      <c r="AY272" s="28" t="n"/>
      <c r="AZ272" s="75" t="n"/>
      <c r="BA272" s="74" t="n"/>
      <c r="BB272" s="97" t="n"/>
      <c r="BC272" s="77" t="n"/>
      <c r="BD272" s="75" t="n"/>
      <c r="BE272" s="74" t="n"/>
      <c r="BF272" s="76" t="n"/>
      <c r="BG272" s="78" t="n"/>
      <c r="BH272" s="75" t="n"/>
      <c r="BI272" s="338">
        <f>SUMPRODUCT(--(MOD(COLUMN($M272:$BH272),4)=MOD(COLUMN($M272),4)),$M272:$BH272)</f>
        <v/>
      </c>
      <c r="BJ272" s="339">
        <f>BI272*$I272</f>
        <v/>
      </c>
      <c r="BK272" s="340">
        <f>SUMPRODUCT(--(MOD(COLUMN($M272:$BH272),4)=MOD(COLUMN($M272)+1,4)),$M272:$BH272)</f>
        <v/>
      </c>
      <c r="BL272" s="341">
        <f>BK272*$I272</f>
        <v/>
      </c>
      <c r="BM272" s="342">
        <f>SUMPRODUCT(--(MOD(COLUMN($M272:$BH272),4)=MOD(COLUMN($M272)+2,4)),$M272:$BH272)</f>
        <v/>
      </c>
      <c r="BN272" s="343">
        <f>BM272*$I272</f>
        <v/>
      </c>
      <c r="BO272" s="74" t="n"/>
      <c r="BP272" s="79" t="n"/>
      <c r="BQ272" s="75" t="n"/>
      <c r="BR272" s="28" t="n"/>
      <c r="BS272" s="75" t="n"/>
      <c r="BT272" s="74" t="n"/>
      <c r="BU272" s="79" t="n"/>
      <c r="BV272" s="75" t="n"/>
      <c r="BW272" s="28" t="n"/>
      <c r="BX272" s="75" t="n"/>
      <c r="BY272" s="74" t="n"/>
      <c r="BZ272" s="79" t="n"/>
      <c r="CA272" s="75" t="n"/>
      <c r="CB272" s="28" t="n"/>
      <c r="CC272" s="75" t="n"/>
      <c r="CD272" s="74" t="n"/>
      <c r="CE272" s="79" t="n"/>
      <c r="CF272" s="75" t="n"/>
      <c r="CG272" s="28" t="n"/>
      <c r="CH272" s="75" t="n"/>
      <c r="CI272" s="74" t="n"/>
      <c r="CJ272" s="79" t="n"/>
      <c r="CK272" s="75" t="n"/>
      <c r="CL272" s="28" t="n"/>
      <c r="CM272" s="75" t="n"/>
      <c r="CN272" s="74" t="n"/>
      <c r="CO272" s="79" t="n"/>
      <c r="CP272" s="75" t="n"/>
      <c r="CQ272" s="28" t="n"/>
      <c r="CR272" s="75" t="n"/>
      <c r="CS272" s="74" t="n"/>
      <c r="CT272" s="79" t="n"/>
      <c r="CU272" s="75" t="n"/>
      <c r="CV272" s="28" t="n"/>
      <c r="CW272" s="75" t="n"/>
      <c r="CX272" s="74" t="n"/>
      <c r="CY272" s="79" t="n"/>
      <c r="CZ272" s="75" t="n"/>
      <c r="DA272" s="28" t="n"/>
      <c r="DB272" s="75" t="n"/>
      <c r="DC272" s="74" t="n"/>
      <c r="DD272" s="79" t="n"/>
      <c r="DE272" s="75" t="n"/>
      <c r="DF272" s="28" t="n"/>
      <c r="DG272" s="75" t="n"/>
      <c r="DH272" s="74" t="n"/>
      <c r="DI272" s="79" t="n"/>
      <c r="DJ272" s="75" t="n"/>
      <c r="DK272" s="28" t="n"/>
      <c r="DL272" s="75" t="n"/>
      <c r="DM272" s="74" t="n"/>
      <c r="DN272" s="79" t="n"/>
      <c r="DO272" s="75" t="n"/>
      <c r="DP272" s="28" t="n"/>
      <c r="DQ272" s="75" t="n"/>
      <c r="DR272" s="74" t="n"/>
      <c r="DS272" s="79" t="n"/>
      <c r="DT272" s="75" t="n"/>
      <c r="DU272" s="28" t="n"/>
      <c r="DV272" s="75" t="n"/>
      <c r="DW272" s="338" t="n"/>
      <c r="DX272" s="339" t="n"/>
      <c r="DY272" s="344" t="n"/>
      <c r="DZ272" s="345" t="n"/>
      <c r="EA272" s="340" t="n"/>
      <c r="EB272" s="341" t="n"/>
      <c r="EC272" s="342" t="n"/>
      <c r="ED272" s="343" t="n"/>
      <c r="EE272" s="74" t="n"/>
      <c r="EF272" s="75" t="n"/>
      <c r="EG272" s="28" t="n"/>
      <c r="EH272" s="75" t="n"/>
      <c r="EI272" s="74" t="n"/>
      <c r="EJ272" s="75" t="n"/>
      <c r="EK272" s="28" t="n"/>
      <c r="EL272" s="75" t="n"/>
      <c r="EM272" s="74" t="n"/>
      <c r="EN272" s="75" t="n"/>
      <c r="EO272" s="28" t="n"/>
      <c r="EP272" s="75" t="n"/>
      <c r="EQ272" s="74" t="n"/>
      <c r="ER272" s="75" t="n"/>
      <c r="ES272" s="28" t="n"/>
      <c r="ET272" s="75" t="n"/>
      <c r="EU272" s="74" t="n"/>
      <c r="EV272" s="75" t="n"/>
      <c r="EW272" s="28" t="n"/>
      <c r="EX272" s="75" t="n"/>
      <c r="EY272" s="74" t="n"/>
      <c r="EZ272" s="75" t="n"/>
      <c r="FA272" s="28" t="n"/>
      <c r="FB272" s="75" t="n"/>
      <c r="FC272" s="74" t="n"/>
      <c r="FD272" s="75" t="n"/>
      <c r="FE272" s="28" t="n"/>
      <c r="FF272" s="75" t="n"/>
      <c r="FG272" s="74" t="n"/>
      <c r="FH272" s="75" t="n"/>
      <c r="FI272" s="28" t="n"/>
      <c r="FJ272" s="75" t="n"/>
      <c r="FK272" s="74" t="n"/>
      <c r="FL272" s="75" t="n"/>
      <c r="FM272" s="28" t="n"/>
      <c r="FN272" s="75" t="n"/>
      <c r="FO272" s="74" t="n"/>
      <c r="FP272" s="75" t="n"/>
      <c r="FQ272" s="28" t="n"/>
      <c r="FR272" s="75" t="n"/>
      <c r="FS272" s="74" t="n"/>
      <c r="FT272" s="75" t="n"/>
      <c r="FU272" s="28" t="n"/>
      <c r="FV272" s="75" t="n"/>
      <c r="FW272" s="74" t="n"/>
      <c r="FX272" s="75" t="n"/>
      <c r="FY272" s="28" t="n"/>
      <c r="FZ272" s="75" t="n"/>
      <c r="GA272" s="338" t="n"/>
      <c r="GB272" s="339" t="n"/>
      <c r="GC272" s="340" t="n"/>
      <c r="GD272" s="341" t="n"/>
      <c r="GE272" s="342" t="n"/>
      <c r="GF272" s="343" t="n"/>
      <c r="GG272" s="74" t="n"/>
      <c r="GH272" s="75" t="n"/>
      <c r="GI272" s="28" t="n"/>
      <c r="GJ272" s="75" t="n"/>
      <c r="GK272" s="74" t="n"/>
      <c r="GL272" s="75" t="n"/>
      <c r="GM272" s="28" t="n"/>
      <c r="GN272" s="75" t="n"/>
      <c r="GO272" s="74" t="n"/>
      <c r="GP272" s="75" t="n"/>
      <c r="GQ272" s="28" t="n"/>
      <c r="GR272" s="75" t="n"/>
      <c r="GS272" s="74" t="n"/>
      <c r="GT272" s="75" t="n"/>
      <c r="GU272" s="28" t="n"/>
      <c r="GV272" s="75" t="n"/>
      <c r="GW272" s="74" t="n"/>
      <c r="GX272" s="75" t="n"/>
      <c r="GY272" s="28" t="n"/>
      <c r="GZ272" s="75" t="n"/>
      <c r="HA272" s="74" t="n"/>
      <c r="HB272" s="75" t="n"/>
      <c r="HC272" s="28" t="n"/>
      <c r="HD272" s="75" t="n"/>
      <c r="HE272" s="74" t="n"/>
      <c r="HF272" s="75" t="n"/>
      <c r="HG272" s="28" t="n"/>
      <c r="HH272" s="75" t="n"/>
      <c r="HI272" s="74" t="n"/>
      <c r="HJ272" s="75" t="n"/>
      <c r="HK272" s="28" t="n"/>
      <c r="HL272" s="75" t="n"/>
      <c r="HM272" s="74" t="n"/>
      <c r="HN272" s="75" t="n"/>
      <c r="HO272" s="28" t="n"/>
      <c r="HP272" s="75" t="n"/>
      <c r="HQ272" s="74" t="n"/>
      <c r="HR272" s="75" t="n"/>
      <c r="HS272" s="28" t="n"/>
      <c r="HT272" s="75" t="n"/>
      <c r="HU272" s="74" t="n"/>
      <c r="HV272" s="75" t="n"/>
      <c r="HW272" s="28" t="n"/>
      <c r="HX272" s="75" t="n"/>
      <c r="HY272" s="74" t="n"/>
      <c r="HZ272" s="75" t="n"/>
      <c r="IA272" s="28" t="n"/>
      <c r="IB272" s="75" t="n"/>
      <c r="IC272" s="338" t="n"/>
      <c r="ID272" s="339" t="n"/>
      <c r="IE272" s="340" t="n"/>
      <c r="IF272" s="341" t="n"/>
      <c r="IG272" s="342" t="n"/>
      <c r="IH272" s="343" t="n"/>
      <c r="II272" s="74" t="n"/>
      <c r="IJ272" s="75" t="n"/>
      <c r="IK272" s="28" t="n"/>
      <c r="IL272" s="75" t="n"/>
      <c r="IM272" s="74" t="n"/>
      <c r="IN272" s="75" t="n"/>
      <c r="IO272" s="28" t="n"/>
      <c r="IP272" s="75" t="n"/>
      <c r="IQ272" s="74" t="n"/>
      <c r="IR272" s="75" t="n"/>
      <c r="IS272" s="28" t="n"/>
      <c r="IT272" s="75" t="n"/>
      <c r="IU272" s="74" t="n"/>
      <c r="IV272" s="75" t="n"/>
      <c r="IW272" s="28" t="n"/>
      <c r="IX272" s="75" t="n"/>
      <c r="IY272" s="74" t="n"/>
      <c r="IZ272" s="75" t="n"/>
      <c r="JA272" s="28" t="n"/>
      <c r="JB272" s="75" t="n"/>
      <c r="JC272" s="74" t="n"/>
      <c r="JD272" s="75" t="n"/>
      <c r="JE272" s="28" t="n"/>
      <c r="JF272" s="75" t="n"/>
      <c r="JG272" s="74" t="n"/>
      <c r="JH272" s="75" t="n"/>
      <c r="JI272" s="28" t="n"/>
      <c r="JJ272" s="75" t="n"/>
      <c r="JK272" s="74" t="n"/>
      <c r="JL272" s="75" t="n"/>
      <c r="JM272" s="28" t="n"/>
      <c r="JN272" s="75" t="n"/>
      <c r="JO272" s="74" t="n"/>
      <c r="JP272" s="75" t="n"/>
      <c r="JQ272" s="28" t="n"/>
      <c r="JR272" s="75" t="n"/>
      <c r="JS272" s="74" t="n"/>
      <c r="JT272" s="75" t="n"/>
      <c r="JU272" s="28" t="n"/>
      <c r="JV272" s="75" t="n"/>
      <c r="JW272" s="74" t="n"/>
      <c r="JX272" s="75" t="n"/>
      <c r="JY272" s="28" t="n"/>
      <c r="JZ272" s="75" t="n"/>
      <c r="KA272" s="74" t="n"/>
      <c r="KB272" s="75" t="n"/>
      <c r="KC272" s="28" t="n"/>
      <c r="KD272" s="75" t="n"/>
      <c r="KE272" s="338" t="n"/>
      <c r="KF272" s="339" t="n"/>
      <c r="KG272" s="340" t="n"/>
      <c r="KH272" s="341" t="n"/>
      <c r="KI272" s="342" t="n"/>
      <c r="KJ272" s="346" t="n"/>
      <c r="KK272" s="80" t="n"/>
      <c r="KL272" s="80" t="n"/>
      <c r="KM272" s="80" t="n"/>
      <c r="KN272" s="253" t="n"/>
      <c r="KO272" s="253" t="n"/>
    </row>
    <row r="273" ht="28.8" customFormat="1" customHeight="1" s="68">
      <c r="A273" s="82" t="inlineStr">
        <is>
          <t>КАМАЗ ПАО / KAMAZ PAO</t>
        </is>
      </c>
      <c r="B273" s="81" t="n"/>
      <c r="C273" s="82" t="n"/>
      <c r="D273" s="82" t="n"/>
      <c r="E273" s="83" t="n"/>
      <c r="F273" s="83" t="n"/>
      <c r="G273" s="84" t="n"/>
      <c r="H273" s="85" t="n"/>
      <c r="I273" s="362" t="n"/>
      <c r="J273" s="362" t="n"/>
      <c r="K273" s="362" t="n"/>
      <c r="L273" s="362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1" t="n"/>
      <c r="Y273" s="81" t="n"/>
      <c r="Z273" s="81" t="n"/>
      <c r="AA273" s="81" t="n"/>
      <c r="AB273" s="81" t="n"/>
      <c r="AC273" s="81" t="n"/>
      <c r="AD273" s="81" t="n"/>
      <c r="AE273" s="81" t="n"/>
      <c r="AF273" s="81" t="n"/>
      <c r="AG273" s="81" t="n"/>
      <c r="AH273" s="81" t="n"/>
      <c r="AI273" s="81" t="n"/>
      <c r="AJ273" s="81" t="n"/>
      <c r="AK273" s="81" t="n"/>
      <c r="AL273" s="81" t="n"/>
      <c r="AM273" s="81" t="n"/>
      <c r="AN273" s="81" t="n"/>
      <c r="AO273" s="81" t="n"/>
      <c r="AP273" s="81" t="n"/>
      <c r="AQ273" s="81" t="n"/>
      <c r="AR273" s="81" t="n"/>
      <c r="AS273" s="81" t="n"/>
      <c r="AT273" s="81" t="n"/>
      <c r="AU273" s="81" t="n"/>
      <c r="AV273" s="81" t="n"/>
      <c r="AW273" s="81" t="n"/>
      <c r="AX273" s="81" t="n"/>
      <c r="AY273" s="87" t="n"/>
      <c r="AZ273" s="81" t="n"/>
      <c r="BA273" s="87" t="n"/>
      <c r="BB273" s="87" t="n"/>
      <c r="BC273" s="88" t="n"/>
      <c r="BD273" s="81" t="n"/>
      <c r="BE273" s="87" t="n"/>
      <c r="BF273" s="87" t="n"/>
      <c r="BG273" s="87" t="n"/>
      <c r="BH273" s="81" t="n"/>
      <c r="BI273" s="363">
        <f>SUMPRODUCT(--(MOD(COLUMN($M273:$BH273),4)=MOD(COLUMN($M273),4)),$M273:$BH273)</f>
        <v/>
      </c>
      <c r="BJ273" s="364">
        <f>BI273*$I273</f>
        <v/>
      </c>
      <c r="BK273" s="363">
        <f>SUMPRODUCT(--(MOD(COLUMN($M273:$BH273),4)=MOD(COLUMN($M273)+1,4)),$M273:$BH273)</f>
        <v/>
      </c>
      <c r="BL273" s="364">
        <f>BK273*$I273</f>
        <v/>
      </c>
      <c r="BM273" s="363">
        <f>SUMPRODUCT(--(MOD(COLUMN($M273:$BH273),4)=MOD(COLUMN($M273)+2,4)),$M273:$BH273)</f>
        <v/>
      </c>
      <c r="BN273" s="364">
        <f>BM273*$I273</f>
        <v/>
      </c>
      <c r="BO273" s="81" t="n"/>
      <c r="BP273" s="81" t="n"/>
      <c r="BQ273" s="81" t="n"/>
      <c r="BR273" s="81" t="n"/>
      <c r="BS273" s="81" t="n"/>
      <c r="BT273" s="81" t="n"/>
      <c r="BU273" s="81" t="n"/>
      <c r="BV273" s="81" t="n"/>
      <c r="BW273" s="81" t="n"/>
      <c r="BX273" s="81" t="n"/>
      <c r="BY273" s="81" t="n"/>
      <c r="BZ273" s="81" t="n"/>
      <c r="CA273" s="81" t="n"/>
      <c r="CB273" s="81" t="n"/>
      <c r="CC273" s="81" t="n"/>
      <c r="CD273" s="81" t="n"/>
      <c r="CE273" s="81" t="n"/>
      <c r="CF273" s="81" t="n"/>
      <c r="CG273" s="81" t="n"/>
      <c r="CH273" s="81" t="n"/>
      <c r="CI273" s="81" t="n"/>
      <c r="CJ273" s="81" t="n"/>
      <c r="CK273" s="81" t="n"/>
      <c r="CL273" s="81" t="n"/>
      <c r="CM273" s="81" t="n"/>
      <c r="CN273" s="81" t="n"/>
      <c r="CO273" s="81" t="n"/>
      <c r="CP273" s="81" t="n"/>
      <c r="CQ273" s="81" t="n"/>
      <c r="CR273" s="81" t="n"/>
      <c r="CS273" s="81" t="n"/>
      <c r="CT273" s="81" t="n"/>
      <c r="CU273" s="81" t="n"/>
      <c r="CV273" s="81" t="n"/>
      <c r="CW273" s="81" t="n"/>
      <c r="CX273" s="81" t="n"/>
      <c r="CY273" s="81" t="n"/>
      <c r="CZ273" s="81" t="n"/>
      <c r="DA273" s="81" t="n"/>
      <c r="DB273" s="81" t="n"/>
      <c r="DC273" s="81" t="n"/>
      <c r="DD273" s="81" t="n"/>
      <c r="DE273" s="81" t="n"/>
      <c r="DF273" s="81" t="n"/>
      <c r="DG273" s="81" t="n"/>
      <c r="DH273" s="81" t="n"/>
      <c r="DI273" s="81" t="n"/>
      <c r="DJ273" s="81" t="n"/>
      <c r="DK273" s="81" t="n"/>
      <c r="DL273" s="81" t="n"/>
      <c r="DM273" s="81" t="n"/>
      <c r="DN273" s="81" t="n"/>
      <c r="DO273" s="81" t="n"/>
      <c r="DP273" s="81" t="n"/>
      <c r="DQ273" s="81" t="n"/>
      <c r="DR273" s="81" t="n"/>
      <c r="DS273" s="81" t="n"/>
      <c r="DT273" s="81" t="n"/>
      <c r="DU273" s="81" t="n"/>
      <c r="DV273" s="81" t="n"/>
      <c r="DW273" s="363">
        <f>SUMPRODUCT(--(MOD(COLUMN($BO273:$DV273),5)=MOD(COLUMN($BO273),5)),$BO273:$DV273)</f>
        <v/>
      </c>
      <c r="DX273" s="364">
        <f>DW273*$J273</f>
        <v/>
      </c>
      <c r="DY273" s="363">
        <f>SUMPRODUCT(--(MOD(COLUMN($BO273:$DV273),5)=MOD(COLUMN($BO273),5)+1),$BO273:$DV273)</f>
        <v/>
      </c>
      <c r="DZ273" s="364">
        <f>DY273*$J273</f>
        <v/>
      </c>
      <c r="EA273" s="363">
        <f>SUMPRODUCT(--(MOD(COLUMN($BO273:$DV273),5)=MOD(COLUMN($BO273),5)+2),$BO273:$DV273)</f>
        <v/>
      </c>
      <c r="EB273" s="364">
        <f>EA273*$J273</f>
        <v/>
      </c>
      <c r="EC273" s="363">
        <f>SUMPRODUCT(--(MOD(COLUMN($BO273:$DV273),5)=MOD(COLUMN($BO273),5)+3),$BO273:$DV273)</f>
        <v/>
      </c>
      <c r="ED273" s="364">
        <f>EC273*$J273</f>
        <v/>
      </c>
      <c r="EE273" s="81" t="n"/>
      <c r="EF273" s="81" t="n"/>
      <c r="EG273" s="81" t="n"/>
      <c r="EH273" s="81" t="n"/>
      <c r="EI273" s="81" t="n"/>
      <c r="EJ273" s="81" t="n"/>
      <c r="EK273" s="81" t="n"/>
      <c r="EL273" s="81" t="n"/>
      <c r="EM273" s="81" t="n"/>
      <c r="EN273" s="81" t="n"/>
      <c r="EO273" s="81" t="n"/>
      <c r="EP273" s="81" t="n"/>
      <c r="EQ273" s="81" t="n"/>
      <c r="ER273" s="81" t="n"/>
      <c r="ES273" s="81" t="n"/>
      <c r="ET273" s="81" t="n"/>
      <c r="EU273" s="81" t="n"/>
      <c r="EV273" s="81" t="n"/>
      <c r="EW273" s="81" t="n"/>
      <c r="EX273" s="81" t="n"/>
      <c r="EY273" s="81" t="n"/>
      <c r="EZ273" s="81" t="n"/>
      <c r="FA273" s="81" t="n"/>
      <c r="FB273" s="81" t="n"/>
      <c r="FC273" s="81" t="n"/>
      <c r="FD273" s="81" t="n"/>
      <c r="FE273" s="81" t="n"/>
      <c r="FF273" s="81" t="n"/>
      <c r="FG273" s="81" t="n"/>
      <c r="FH273" s="81" t="n"/>
      <c r="FI273" s="81" t="n"/>
      <c r="FJ273" s="81" t="n"/>
      <c r="FK273" s="81" t="n"/>
      <c r="FL273" s="81" t="n"/>
      <c r="FM273" s="81" t="n"/>
      <c r="FN273" s="81" t="n"/>
      <c r="FO273" s="81" t="n"/>
      <c r="FP273" s="81" t="n"/>
      <c r="FQ273" s="81" t="n"/>
      <c r="FR273" s="81" t="n"/>
      <c r="FS273" s="81" t="n"/>
      <c r="FT273" s="81" t="n"/>
      <c r="FU273" s="81" t="n"/>
      <c r="FV273" s="81" t="n"/>
      <c r="FW273" s="81" t="n"/>
      <c r="FX273" s="81" t="n"/>
      <c r="FY273" s="81" t="n"/>
      <c r="FZ273" s="81" t="n"/>
      <c r="GA273" s="363" t="n"/>
      <c r="GB273" s="364" t="n"/>
      <c r="GC273" s="365" t="n"/>
      <c r="GD273" s="366" t="n"/>
      <c r="GE273" s="363" t="n"/>
      <c r="GF273" s="364" t="n"/>
      <c r="GG273" s="81" t="n"/>
      <c r="GH273" s="81" t="n"/>
      <c r="GI273" s="81" t="n"/>
      <c r="GJ273" s="81" t="n"/>
      <c r="GK273" s="81" t="n"/>
      <c r="GL273" s="81" t="n"/>
      <c r="GM273" s="81" t="n"/>
      <c r="GN273" s="81" t="n"/>
      <c r="GO273" s="81" t="n"/>
      <c r="GP273" s="81" t="n"/>
      <c r="GQ273" s="81" t="n"/>
      <c r="GR273" s="81" t="n"/>
      <c r="GS273" s="81" t="n"/>
      <c r="GT273" s="81" t="n"/>
      <c r="GU273" s="81" t="n"/>
      <c r="GV273" s="81" t="n"/>
      <c r="GW273" s="81" t="n"/>
      <c r="GX273" s="81" t="n"/>
      <c r="GY273" s="81" t="n"/>
      <c r="GZ273" s="81" t="n"/>
      <c r="HA273" s="81" t="n"/>
      <c r="HB273" s="81" t="n"/>
      <c r="HC273" s="81" t="n"/>
      <c r="HD273" s="81" t="n"/>
      <c r="HE273" s="81" t="n"/>
      <c r="HF273" s="81" t="n"/>
      <c r="HG273" s="81" t="n"/>
      <c r="HH273" s="81" t="n"/>
      <c r="HI273" s="81" t="n"/>
      <c r="HJ273" s="81" t="n"/>
      <c r="HK273" s="81" t="n"/>
      <c r="HL273" s="81" t="n"/>
      <c r="HM273" s="81" t="n"/>
      <c r="HN273" s="81" t="n"/>
      <c r="HO273" s="81" t="n"/>
      <c r="HP273" s="81" t="n"/>
      <c r="HQ273" s="81" t="n"/>
      <c r="HR273" s="81" t="n"/>
      <c r="HS273" s="81" t="n"/>
      <c r="HT273" s="81" t="n"/>
      <c r="HU273" s="81" t="n"/>
      <c r="HV273" s="81" t="n"/>
      <c r="HW273" s="81" t="n"/>
      <c r="HX273" s="81" t="n"/>
      <c r="HY273" s="81" t="n"/>
      <c r="HZ273" s="81" t="n"/>
      <c r="IA273" s="81" t="n"/>
      <c r="IB273" s="81" t="n"/>
      <c r="IC273" s="363" t="n"/>
      <c r="ID273" s="364" t="n"/>
      <c r="IE273" s="363" t="n"/>
      <c r="IF273" s="364" t="n"/>
      <c r="IG273" s="363" t="n"/>
      <c r="IH273" s="364" t="n"/>
      <c r="II273" s="81" t="n"/>
      <c r="IJ273" s="81" t="n"/>
      <c r="IK273" s="81" t="n"/>
      <c r="IL273" s="81" t="n"/>
      <c r="IM273" s="81" t="n"/>
      <c r="IN273" s="81" t="n"/>
      <c r="IO273" s="81" t="n"/>
      <c r="IP273" s="81" t="n"/>
      <c r="IQ273" s="81" t="n"/>
      <c r="IR273" s="81" t="n"/>
      <c r="IS273" s="81" t="n"/>
      <c r="IT273" s="81" t="n"/>
      <c r="IU273" s="81" t="n"/>
      <c r="IV273" s="81" t="n"/>
      <c r="IW273" s="81" t="n"/>
      <c r="IX273" s="81" t="n"/>
      <c r="IY273" s="81" t="n"/>
      <c r="IZ273" s="81" t="n"/>
      <c r="JA273" s="81" t="n"/>
      <c r="JB273" s="81" t="n"/>
      <c r="JC273" s="81" t="n"/>
      <c r="JD273" s="81" t="n"/>
      <c r="JE273" s="81" t="n"/>
      <c r="JF273" s="81" t="n"/>
      <c r="JG273" s="81" t="n"/>
      <c r="JH273" s="81" t="n"/>
      <c r="JI273" s="81" t="n"/>
      <c r="JJ273" s="81" t="n"/>
      <c r="JK273" s="81" t="n"/>
      <c r="JL273" s="81" t="n"/>
      <c r="JM273" s="81" t="n"/>
      <c r="JN273" s="81" t="n"/>
      <c r="JO273" s="81" t="n"/>
      <c r="JP273" s="81" t="n"/>
      <c r="JQ273" s="81" t="n"/>
      <c r="JR273" s="81" t="n"/>
      <c r="JS273" s="81" t="n"/>
      <c r="JT273" s="81" t="n"/>
      <c r="JU273" s="81" t="n"/>
      <c r="JV273" s="81" t="n"/>
      <c r="JW273" s="81" t="n"/>
      <c r="JX273" s="81" t="n"/>
      <c r="JY273" s="81" t="n"/>
      <c r="JZ273" s="81" t="n"/>
      <c r="KA273" s="81" t="n"/>
      <c r="KB273" s="81" t="n"/>
      <c r="KC273" s="81" t="n"/>
      <c r="KD273" s="81" t="n"/>
      <c r="KE273" s="363" t="n"/>
      <c r="KF273" s="364" t="n"/>
      <c r="KG273" s="363" t="n"/>
      <c r="KH273" s="364" t="n"/>
      <c r="KI273" s="363" t="n"/>
      <c r="KJ273" s="367" t="n"/>
      <c r="KK273" s="80" t="n"/>
      <c r="KL273" s="80" t="n"/>
      <c r="KM273" s="80" t="n"/>
      <c r="KN273" s="253" t="n"/>
      <c r="KO273" s="253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6" t="n"/>
      <c r="I274" s="39" t="n"/>
      <c r="J274" s="39" t="n"/>
      <c r="K274" s="39" t="n"/>
      <c r="L274" s="39" t="n"/>
      <c r="M274" s="39" t="n"/>
      <c r="N274" s="39" t="n"/>
      <c r="O274" s="39" t="n"/>
      <c r="P274" s="39" t="n"/>
      <c r="Q274" s="39" t="n"/>
      <c r="R274" s="39" t="n"/>
      <c r="S274" s="39" t="n"/>
      <c r="T274" s="39" t="n"/>
      <c r="U274" s="39" t="n"/>
      <c r="V274" s="39" t="n"/>
      <c r="W274" s="39" t="n"/>
      <c r="X274" s="39" t="n"/>
      <c r="Y274" s="39" t="n"/>
      <c r="Z274" s="39" t="n"/>
      <c r="AA274" s="39" t="n"/>
      <c r="AB274" s="39" t="n"/>
      <c r="AC274" s="39" t="n"/>
      <c r="AD274" s="39" t="n"/>
      <c r="AE274" s="39" t="n"/>
      <c r="AF274" s="39" t="n"/>
      <c r="AG274" s="39" t="n"/>
      <c r="AH274" s="39" t="n"/>
      <c r="AI274" s="16" t="n"/>
      <c r="AJ274" s="16" t="n"/>
      <c r="AK274" s="16" t="n"/>
      <c r="AL274" s="16" t="n"/>
      <c r="AM274" s="16" t="n"/>
      <c r="AN274" s="16" t="n"/>
      <c r="AO274" s="16" t="n"/>
      <c r="AP274" s="16" t="n"/>
      <c r="AQ274" s="16" t="n"/>
      <c r="AR274" s="16" t="n"/>
      <c r="AS274" s="16" t="n"/>
      <c r="AT274" s="16" t="n"/>
      <c r="AU274" s="16" t="n"/>
      <c r="AV274" s="16" t="n"/>
      <c r="AW274" s="16" t="n"/>
      <c r="AX274" s="16" t="n"/>
      <c r="AY274" s="16" t="n"/>
      <c r="AZ274" s="16" t="n"/>
      <c r="BA274" s="16" t="n"/>
      <c r="BB274" s="16" t="n"/>
      <c r="BC274" s="39" t="n"/>
      <c r="BD274" s="16" t="n"/>
      <c r="BE274" s="16" t="n"/>
      <c r="BF274" s="16" t="n"/>
      <c r="BG274" s="16" t="n"/>
      <c r="BH274" s="16" t="n"/>
      <c r="BI274" s="16" t="n"/>
      <c r="BJ274" s="16" t="n"/>
      <c r="BK274" s="16" t="n"/>
      <c r="BL274" s="16" t="n"/>
      <c r="BM274" s="16" t="n"/>
      <c r="BN274" s="16" t="n"/>
      <c r="BO274" s="16" t="n"/>
      <c r="BP274" s="16" t="n"/>
      <c r="BQ274" s="16" t="n"/>
      <c r="BR274" s="16" t="n"/>
      <c r="BS274" s="16" t="n"/>
      <c r="BT274" s="16" t="n"/>
      <c r="BU274" s="16" t="n"/>
      <c r="BV274" s="16" t="n"/>
      <c r="BW274" s="16" t="n"/>
      <c r="BX274" s="16" t="n"/>
      <c r="BY274" s="16" t="n"/>
      <c r="BZ274" s="16" t="n"/>
      <c r="CA274" s="16" t="n"/>
      <c r="CB274" s="16" t="n"/>
      <c r="CC274" s="16" t="n"/>
      <c r="CD274" s="16" t="n"/>
      <c r="CE274" s="16" t="n"/>
      <c r="CF274" s="16" t="n"/>
      <c r="CG274" s="16" t="n"/>
      <c r="CH274" s="16" t="n"/>
      <c r="CI274" s="16" t="n"/>
      <c r="CJ274" s="16" t="n"/>
      <c r="CK274" s="16" t="n"/>
      <c r="CL274" s="16" t="n"/>
      <c r="CM274" s="16" t="n"/>
      <c r="CN274" s="16" t="n"/>
      <c r="CO274" s="16" t="n"/>
      <c r="CP274" s="16" t="n"/>
      <c r="CQ274" s="16" t="n"/>
      <c r="CR274" s="16" t="n"/>
      <c r="CS274" s="16" t="n"/>
      <c r="CT274" s="16" t="n"/>
      <c r="CU274" s="16" t="n"/>
      <c r="CV274" s="16" t="n"/>
      <c r="CW274" s="16" t="n"/>
      <c r="CX274" s="16" t="n"/>
      <c r="CY274" s="16" t="n"/>
      <c r="CZ274" s="16" t="n"/>
      <c r="DA274" s="16" t="n"/>
      <c r="DB274" s="16" t="n"/>
      <c r="DC274" s="16" t="n"/>
      <c r="DD274" s="16" t="n"/>
      <c r="DE274" s="16" t="n"/>
      <c r="DF274" s="16" t="n"/>
      <c r="DG274" s="16" t="n"/>
      <c r="DH274" s="16" t="n"/>
      <c r="DI274" s="16" t="n"/>
      <c r="DJ274" s="16" t="n"/>
      <c r="DK274" s="16" t="n"/>
      <c r="DL274" s="16" t="n"/>
      <c r="DM274" s="16" t="n"/>
      <c r="DN274" s="16" t="n"/>
      <c r="DO274" s="16" t="n"/>
      <c r="DP274" s="16" t="n"/>
      <c r="DQ274" s="16" t="n"/>
      <c r="DR274" s="16" t="n"/>
      <c r="DS274" s="16" t="n"/>
      <c r="DT274" s="16" t="n"/>
      <c r="DU274" s="16" t="n"/>
      <c r="DV274" s="16" t="n"/>
      <c r="DW274" s="16" t="n"/>
      <c r="DX274" s="16" t="n"/>
      <c r="DY274" s="16" t="n"/>
      <c r="DZ274" s="16" t="n"/>
      <c r="EA274" s="16" t="n"/>
      <c r="EB274" s="16" t="n"/>
      <c r="EC274" s="16" t="n"/>
      <c r="ED274" s="16" t="n"/>
      <c r="EE274" s="16" t="n"/>
      <c r="EF274" s="16" t="n"/>
      <c r="EG274" s="16" t="n"/>
      <c r="EH274" s="16" t="n"/>
      <c r="EI274" s="16" t="n"/>
      <c r="EJ274" s="16" t="n"/>
      <c r="EK274" s="16" t="n"/>
      <c r="EL274" s="16" t="n"/>
      <c r="EM274" s="16" t="n"/>
      <c r="EN274" s="16" t="n"/>
      <c r="EO274" s="16" t="n"/>
      <c r="EP274" s="16" t="n"/>
      <c r="EQ274" s="16" t="n"/>
      <c r="ER274" s="16" t="n"/>
      <c r="ES274" s="16" t="n"/>
      <c r="ET274" s="16" t="n"/>
      <c r="EU274" s="16" t="n"/>
      <c r="EV274" s="16" t="n"/>
      <c r="EW274" s="16" t="n"/>
      <c r="EX274" s="16" t="n"/>
      <c r="EY274" s="16" t="n"/>
      <c r="EZ274" s="16" t="n"/>
      <c r="FA274" s="16" t="n"/>
      <c r="FB274" s="16" t="n"/>
      <c r="FC274" s="16" t="n"/>
      <c r="FD274" s="16" t="n"/>
      <c r="FE274" s="16" t="n"/>
      <c r="FF274" s="16" t="n"/>
      <c r="FG274" s="16" t="n"/>
      <c r="FH274" s="16" t="n"/>
      <c r="FI274" s="16" t="n"/>
      <c r="FJ274" s="16" t="n"/>
      <c r="FK274" s="16" t="n"/>
      <c r="FL274" s="16" t="n"/>
      <c r="FM274" s="16" t="n"/>
      <c r="FN274" s="16" t="n"/>
      <c r="FO274" s="16" t="n"/>
      <c r="FP274" s="16" t="n"/>
      <c r="FQ274" s="16" t="n"/>
      <c r="FR274" s="16" t="n"/>
      <c r="FS274" s="16" t="n"/>
      <c r="FT274" s="16" t="n"/>
      <c r="FU274" s="16" t="n"/>
      <c r="FV274" s="16" t="n"/>
      <c r="FW274" s="16" t="n"/>
      <c r="FX274" s="16" t="n"/>
      <c r="FY274" s="16" t="n"/>
      <c r="FZ274" s="16" t="n"/>
      <c r="GA274" s="16" t="n"/>
      <c r="GB274" s="16" t="n"/>
      <c r="GC274" s="16" t="n"/>
      <c r="GD274" s="16" t="n"/>
      <c r="GE274" s="16" t="n"/>
      <c r="GF274" s="16" t="n"/>
      <c r="GG274" s="16" t="n"/>
      <c r="GH274" s="16" t="n"/>
      <c r="GI274" s="16" t="n"/>
      <c r="GJ274" s="16" t="n"/>
      <c r="GK274" s="16" t="n"/>
      <c r="GL274" s="16" t="n"/>
      <c r="GM274" s="16" t="n"/>
      <c r="GN274" s="16" t="n"/>
      <c r="GO274" s="16" t="n"/>
      <c r="GP274" s="16" t="n"/>
      <c r="GQ274" s="16" t="n"/>
      <c r="GR274" s="16" t="n"/>
      <c r="GS274" s="16" t="n"/>
      <c r="GT274" s="16" t="n"/>
      <c r="GU274" s="16" t="n"/>
      <c r="GV274" s="16" t="n"/>
      <c r="GW274" s="16" t="n"/>
      <c r="GX274" s="16" t="n"/>
      <c r="GY274" s="16" t="n"/>
      <c r="GZ274" s="16" t="n"/>
      <c r="HA274" s="16" t="n"/>
      <c r="HB274" s="16" t="n"/>
      <c r="HC274" s="16" t="n"/>
      <c r="HD274" s="16" t="n"/>
      <c r="HE274" s="16" t="n"/>
      <c r="HF274" s="16" t="n"/>
      <c r="HG274" s="16" t="n"/>
      <c r="HH274" s="16" t="n"/>
      <c r="HI274" s="16" t="n"/>
      <c r="HJ274" s="16" t="n"/>
      <c r="HK274" s="16" t="n"/>
      <c r="HL274" s="16" t="n"/>
      <c r="HM274" s="16" t="n"/>
      <c r="HN274" s="16" t="n"/>
      <c r="HO274" s="16" t="n"/>
      <c r="HP274" s="16" t="n"/>
      <c r="HQ274" s="16" t="n"/>
      <c r="HR274" s="16" t="n"/>
      <c r="HS274" s="16" t="n"/>
      <c r="HT274" s="16" t="n"/>
      <c r="HU274" s="16" t="n"/>
      <c r="HV274" s="16" t="n"/>
      <c r="HW274" s="16" t="n"/>
      <c r="HX274" s="16" t="n"/>
      <c r="HY274" s="16" t="n"/>
      <c r="HZ274" s="16" t="n"/>
      <c r="IA274" s="16" t="n"/>
      <c r="IB274" s="16" t="n"/>
      <c r="IC274" s="16" t="n"/>
      <c r="ID274" s="16" t="n"/>
      <c r="IE274" s="16" t="n"/>
      <c r="IF274" s="16" t="n"/>
      <c r="IG274" s="16" t="n"/>
      <c r="IH274" s="16" t="n"/>
      <c r="II274" s="16" t="n"/>
      <c r="IJ274" s="16" t="n"/>
      <c r="IK274" s="16" t="n"/>
      <c r="IL274" s="16" t="n"/>
      <c r="IM274" s="16" t="n"/>
      <c r="IN274" s="16" t="n"/>
      <c r="IO274" s="16" t="n"/>
      <c r="IP274" s="16" t="n"/>
      <c r="IQ274" s="16" t="n"/>
      <c r="IR274" s="16" t="n"/>
      <c r="IS274" s="16" t="n"/>
      <c r="IT274" s="16" t="n"/>
      <c r="IU274" s="16" t="n"/>
      <c r="IV274" s="16" t="n"/>
      <c r="IW274" s="16" t="n"/>
      <c r="IX274" s="16" t="n"/>
      <c r="IY274" s="16" t="n"/>
      <c r="IZ274" s="16" t="n"/>
      <c r="JA274" s="16" t="n"/>
      <c r="JB274" s="16" t="n"/>
      <c r="JC274" s="16" t="n"/>
      <c r="JD274" s="16" t="n"/>
      <c r="JE274" s="16" t="n"/>
      <c r="JF274" s="16" t="n"/>
      <c r="JG274" s="16" t="n"/>
      <c r="JH274" s="16" t="n"/>
      <c r="JI274" s="16" t="n"/>
      <c r="JJ274" s="16" t="n"/>
      <c r="JK274" s="16" t="n"/>
      <c r="JL274" s="16" t="n"/>
      <c r="JM274" s="16" t="n"/>
      <c r="JN274" s="16" t="n"/>
      <c r="JO274" s="16" t="n"/>
      <c r="JP274" s="16" t="n"/>
      <c r="JQ274" s="16" t="n"/>
      <c r="JR274" s="16" t="n"/>
      <c r="JS274" s="16" t="n"/>
      <c r="JT274" s="16" t="n"/>
      <c r="JU274" s="16" t="n"/>
      <c r="JV274" s="16" t="n"/>
      <c r="JW274" s="16" t="n"/>
      <c r="JX274" s="16" t="n"/>
      <c r="JY274" s="16" t="n"/>
      <c r="JZ274" s="16" t="n"/>
      <c r="KA274" s="16" t="n"/>
      <c r="KB274" s="16" t="n"/>
      <c r="KC274" s="16" t="n"/>
      <c r="KD274" s="16" t="n"/>
      <c r="KE274" s="16" t="n"/>
      <c r="KF274" s="16" t="n"/>
      <c r="KG274" s="16" t="n"/>
      <c r="KH274" s="16" t="n"/>
      <c r="KI274" s="16" t="n"/>
      <c r="KJ274" s="114" t="n"/>
      <c r="KK274" s="12" t="n"/>
      <c r="KL274" s="12" t="n"/>
      <c r="KM274" s="12" t="n"/>
      <c r="KN274" s="12" t="n"/>
      <c r="KO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15" t="inlineStr">
        <is>
          <t>CNY:</t>
        </is>
      </c>
      <c r="I275" s="115" t="n"/>
      <c r="J275" s="39" t="n"/>
      <c r="K275" s="39" t="n"/>
      <c r="L275" s="39" t="n"/>
      <c r="M275" s="116" t="n">
        <v>2866029.333333333</v>
      </c>
      <c r="N275" s="116" t="n">
        <v>2896229.333333334</v>
      </c>
      <c r="O275" s="116" t="n">
        <v>1947706.666666667</v>
      </c>
      <c r="P275" s="116">
        <f>SUMPRODUCT($I$6:$I$207,P6:P207)</f>
        <v/>
      </c>
      <c r="Q275" s="116" t="n">
        <v>2635229.166666667</v>
      </c>
      <c r="R275" s="116" t="n">
        <v>2168711.966666666</v>
      </c>
      <c r="S275" s="116" t="n">
        <v>2824941.509876542</v>
      </c>
      <c r="T275" s="116">
        <f>SUMPRODUCT($I$6:$I$207,T6:T207)</f>
        <v/>
      </c>
      <c r="U275" s="116" t="n">
        <v>2373091.666666667</v>
      </c>
      <c r="V275" s="116" t="n">
        <v>3072793.833333333</v>
      </c>
      <c r="W275" s="116" t="n">
        <v>2183889.798765433</v>
      </c>
      <c r="X275" s="116">
        <f>SUMPRODUCT($I$6:$I$207,X6:X207)</f>
        <v/>
      </c>
      <c r="Y275" s="116" t="n">
        <v>2852982.500000001</v>
      </c>
      <c r="Z275" s="116" t="n">
        <v>2155193.333333333</v>
      </c>
      <c r="AA275" s="116" t="n">
        <v>2321030.858024692</v>
      </c>
      <c r="AB275" s="116">
        <f>SUMPRODUCT($I$6:$I$207,AB6:AB207)</f>
        <v/>
      </c>
      <c r="AC275" s="116" t="n">
        <v>3055982.5</v>
      </c>
      <c r="AD275" s="116" t="n">
        <v>2225793.62</v>
      </c>
      <c r="AE275" s="116" t="n">
        <v>2377124.944218107</v>
      </c>
      <c r="AF275" s="116">
        <f>SUMPRODUCT($I$6:$I$207,AF6:AF207)</f>
        <v/>
      </c>
      <c r="AG275" s="116" t="n">
        <v>3055982.5</v>
      </c>
      <c r="AH275" s="116" t="n">
        <v>2325212.953333334</v>
      </c>
      <c r="AI275" s="116" t="n">
        <v>2046967.157407408</v>
      </c>
      <c r="AJ275" s="116">
        <f>SUMPRODUCT($I$6:$I$207,AJ6:AJ207)</f>
        <v/>
      </c>
      <c r="AK275" s="116" t="n">
        <v>3055982.5</v>
      </c>
      <c r="AL275" s="116" t="n">
        <v>1563942.524</v>
      </c>
      <c r="AM275" s="116" t="n">
        <v>891897.6573333333</v>
      </c>
      <c r="AN275" s="116">
        <f>SUMPRODUCT($I$6:$I$207,AN6:AN207)</f>
        <v/>
      </c>
      <c r="AO275" s="116" t="n">
        <v>3055982.5</v>
      </c>
      <c r="AP275" s="116" t="n">
        <v>1331604.166666667</v>
      </c>
      <c r="AQ275" s="116" t="n">
        <v>1739882.416</v>
      </c>
      <c r="AR275" s="116">
        <f>SUMPRODUCT($I$6:$I$207,AR6:AR207)</f>
        <v/>
      </c>
      <c r="AS275" s="116" t="n">
        <v>3055982.5</v>
      </c>
      <c r="AT275" s="116" t="n">
        <v>1643354.166666667</v>
      </c>
      <c r="AU275" s="116" t="n">
        <v>2155851.333728396</v>
      </c>
      <c r="AV275" s="116">
        <f>SUMPRODUCT($I$6:$I$207,AV6:AV207)</f>
        <v/>
      </c>
      <c r="AW275" s="116" t="n">
        <v>3055982.5</v>
      </c>
      <c r="AX275" s="116" t="n">
        <v>1815908.223462963</v>
      </c>
      <c r="AY275" s="116" t="n">
        <v>1872179.323882884</v>
      </c>
      <c r="AZ275" s="116">
        <f>SUMPRODUCT($I$6:$I$207,AZ6:AZ207)</f>
        <v/>
      </c>
      <c r="BA275" s="116" t="n">
        <v>3055982.5</v>
      </c>
      <c r="BB275" s="116" t="n">
        <v>2584817.710615605</v>
      </c>
      <c r="BC275" s="116" t="n">
        <v>0</v>
      </c>
      <c r="BD275" s="116">
        <f>SUMPRODUCT($I$6:$I$274,BD6:BD274)</f>
        <v/>
      </c>
      <c r="BE275" s="116">
        <f>SUMPRODUCT($I$6:$I$274,BE6:BE274)</f>
        <v/>
      </c>
      <c r="BF275" s="116">
        <f>SUMPRODUCT($I$6:$I$274,BF6:BF274)</f>
        <v/>
      </c>
      <c r="BG275" s="116">
        <f>SUMPRODUCT($I$6:$I$274,BG6:BG274)</f>
        <v/>
      </c>
      <c r="BH275" s="116">
        <f>SUMPRODUCT($I$6:$I$274,BH6:BH274)</f>
        <v/>
      </c>
      <c r="BI275" s="116">
        <f>SUM(BI6:BI274)</f>
        <v/>
      </c>
      <c r="BJ275" s="116">
        <f>SUM(BJ6:BJ274)</f>
        <v/>
      </c>
      <c r="BK275" s="116">
        <f>SUM(BK6:BK274)</f>
        <v/>
      </c>
      <c r="BL275" s="116">
        <f>SUM(BL6:BL274)</f>
        <v/>
      </c>
      <c r="BM275" s="116">
        <f>SUM(BM6:BM274)</f>
        <v/>
      </c>
      <c r="BN275" s="116">
        <f>SUM(BN6:BN274)</f>
        <v/>
      </c>
      <c r="BO275" s="116">
        <f>SUMPRODUCT($J$6:$J$274,BO6:BO274)</f>
        <v/>
      </c>
      <c r="BP275" s="116">
        <f>SUMPRODUCT($J$6:$J$274,BP6:BP274)</f>
        <v/>
      </c>
      <c r="BQ275" s="116">
        <f>SUMPRODUCT($J$6:$J$274,BQ6:BQ274)</f>
        <v/>
      </c>
      <c r="BR275" s="116">
        <f>SUMPRODUCT($J$6:$J$274,BR6:BR274)</f>
        <v/>
      </c>
      <c r="BS275" s="116">
        <f>SUMPRODUCT($J$6:$J$274,BS6:BS274)</f>
        <v/>
      </c>
      <c r="BT275" s="116">
        <f>SUMPRODUCT($J$6:$J$274,BT6:BT274)</f>
        <v/>
      </c>
      <c r="BU275" s="116">
        <f>SUMPRODUCT($J$6:$J$274,BU6:BU274)</f>
        <v/>
      </c>
      <c r="BV275" s="116">
        <f>SUMPRODUCT($J$6:$J$274,BV6:BV274)</f>
        <v/>
      </c>
      <c r="BW275" s="116">
        <f>SUMPRODUCT($J$6:$J$274,BW6:BW274)</f>
        <v/>
      </c>
      <c r="BX275" s="116">
        <f>SUMPRODUCT($J$6:$J$274,BX6:BX274)</f>
        <v/>
      </c>
      <c r="BY275" s="116">
        <f>SUMPRODUCT($J$6:$J$274,BY6:BY274)</f>
        <v/>
      </c>
      <c r="BZ275" s="116">
        <f>SUMPRODUCT($J$6:$J$274,BZ6:BZ274)</f>
        <v/>
      </c>
      <c r="CA275" s="116">
        <f>SUMPRODUCT($J$6:$J$274,CA6:CA274)</f>
        <v/>
      </c>
      <c r="CB275" s="116">
        <f>SUMPRODUCT($J$6:$J$274,CB6:CB274)</f>
        <v/>
      </c>
      <c r="CC275" s="116">
        <f>SUMPRODUCT($J$6:$J$274,CC6:CC274)</f>
        <v/>
      </c>
      <c r="CD275" s="116">
        <f>SUMPRODUCT($J$6:$J$274,CD6:CD274)</f>
        <v/>
      </c>
      <c r="CE275" s="116">
        <f>SUMPRODUCT($J$6:$J$274,CE6:CE274)</f>
        <v/>
      </c>
      <c r="CF275" s="116">
        <f>SUMPRODUCT($J$6:$J$274,CF6:CF274)</f>
        <v/>
      </c>
      <c r="CG275" s="116">
        <f>SUMPRODUCT($J$6:$J$274,CG6:CG274)</f>
        <v/>
      </c>
      <c r="CH275" s="116">
        <f>SUMPRODUCT($J$6:$J$274,CH6:CH274)</f>
        <v/>
      </c>
      <c r="CI275" s="116">
        <f>SUMPRODUCT($J$6:$J$274,CI6:CI274)</f>
        <v/>
      </c>
      <c r="CJ275" s="116">
        <f>SUMPRODUCT($J$6:$J$274,CJ6:CJ274)</f>
        <v/>
      </c>
      <c r="CK275" s="116">
        <f>SUMPRODUCT($J$6:$J$274,CK6:CK274)</f>
        <v/>
      </c>
      <c r="CL275" s="116">
        <f>SUMPRODUCT($J$6:$J$274,CL6:CL274)</f>
        <v/>
      </c>
      <c r="CM275" s="116">
        <f>SUMPRODUCT($J$6:$J$274,CM6:CM274)</f>
        <v/>
      </c>
      <c r="CN275" s="116">
        <f>SUMPRODUCT($J$6:$J$274,CN6:CN274)</f>
        <v/>
      </c>
      <c r="CO275" s="116">
        <f>SUMPRODUCT($J$6:$J$274,CO6:CO274)</f>
        <v/>
      </c>
      <c r="CP275" s="116">
        <f>SUMPRODUCT($J$6:$J$274,CP6:CP274)</f>
        <v/>
      </c>
      <c r="CQ275" s="116">
        <f>SUMPRODUCT($J$6:$J$274,CQ6:CQ274)</f>
        <v/>
      </c>
      <c r="CR275" s="116">
        <f>SUMPRODUCT($J$6:$J$274,CR6:CR274)</f>
        <v/>
      </c>
      <c r="CS275" s="116">
        <f>SUMPRODUCT($J$6:$J$274,CS6:CS274)</f>
        <v/>
      </c>
      <c r="CT275" s="116">
        <f>SUMPRODUCT($J$6:$J$274,CT6:CT274)</f>
        <v/>
      </c>
      <c r="CU275" s="116">
        <f>SUMPRODUCT($J$6:$J$274,CU6:CU274)</f>
        <v/>
      </c>
      <c r="CV275" s="116">
        <f>SUMPRODUCT($J$6:$J$274,CV6:CV274)</f>
        <v/>
      </c>
      <c r="CW275" s="116">
        <f>SUMPRODUCT($J$6:$J$274,CW6:CW274)</f>
        <v/>
      </c>
      <c r="CX275" s="116">
        <f>SUMPRODUCT($J$6:$J$274,CX6:CX274)</f>
        <v/>
      </c>
      <c r="CY275" s="116">
        <f>SUMPRODUCT($J$6:$J$274,CY6:CY274)</f>
        <v/>
      </c>
      <c r="CZ275" s="116">
        <f>SUMPRODUCT($J$6:$J$274,CZ6:CZ274)</f>
        <v/>
      </c>
      <c r="DA275" s="116">
        <f>SUMPRODUCT($J$6:$J$274,DA6:DA274)</f>
        <v/>
      </c>
      <c r="DB275" s="116">
        <f>SUMPRODUCT($J$6:$J$274,DB6:DB274)</f>
        <v/>
      </c>
      <c r="DC275" s="116">
        <f>SUMPRODUCT($J$6:$J$274,DC6:DC274)</f>
        <v/>
      </c>
      <c r="DD275" s="116">
        <f>SUMPRODUCT($J$6:$J$274,DD6:DD274)</f>
        <v/>
      </c>
      <c r="DE275" s="116">
        <f>SUMPRODUCT($J$6:$J$274,DE6:DE274)</f>
        <v/>
      </c>
      <c r="DF275" s="116">
        <f>SUMPRODUCT($J$6:$J$274,DF6:DF274)</f>
        <v/>
      </c>
      <c r="DG275" s="116">
        <f>SUMPRODUCT($J$6:$J$274,DG6:DG274)</f>
        <v/>
      </c>
      <c r="DH275" s="116">
        <f>SUMPRODUCT($J$6:$J$274,DH6:DH274)</f>
        <v/>
      </c>
      <c r="DI275" s="116">
        <f>SUMPRODUCT($J$6:$J$274,DI6:DI274)</f>
        <v/>
      </c>
      <c r="DJ275" s="116">
        <f>SUMPRODUCT($J$6:$J$274,DJ6:DJ274)</f>
        <v/>
      </c>
      <c r="DK275" s="116">
        <f>SUMPRODUCT($J$6:$J$274,DK6:DK274)</f>
        <v/>
      </c>
      <c r="DL275" s="116">
        <f>SUMPRODUCT($J$6:$J$274,DL6:DL274)</f>
        <v/>
      </c>
      <c r="DM275" s="116">
        <f>SUMPRODUCT($J$6:$J$274,DM6:DM274)</f>
        <v/>
      </c>
      <c r="DN275" s="116">
        <f>SUMPRODUCT($J$6:$J$274,DN6:DN274)</f>
        <v/>
      </c>
      <c r="DO275" s="116">
        <f>SUMPRODUCT($J$6:$J$274,DO6:DO274)</f>
        <v/>
      </c>
      <c r="DP275" s="116">
        <f>SUMPRODUCT($J$6:$J$274,DP6:DP274)</f>
        <v/>
      </c>
      <c r="DQ275" s="116">
        <f>SUMPRODUCT($J$6:$J$274,DQ6:DQ274)</f>
        <v/>
      </c>
      <c r="DR275" s="116">
        <f>SUMPRODUCT($J$6:$J$274,DR6:DR274)</f>
        <v/>
      </c>
      <c r="DS275" s="116">
        <f>SUMPRODUCT($J$6:$J$274,DS6:DS274)</f>
        <v/>
      </c>
      <c r="DT275" s="116">
        <f>SUMPRODUCT($J$6:$J$274,DT6:DT274)</f>
        <v/>
      </c>
      <c r="DU275" s="116">
        <f>SUMPRODUCT($J$6:$J$274,DU6:DU274)</f>
        <v/>
      </c>
      <c r="DV275" s="116">
        <f>SUMPRODUCT($J$6:$J$274,DV6:DV274)</f>
        <v/>
      </c>
      <c r="DW275" s="116">
        <f>SUM(DW6:DW274)</f>
        <v/>
      </c>
      <c r="DX275" s="116">
        <f>SUM(DX6:DX274)</f>
        <v/>
      </c>
      <c r="DY275" s="116">
        <f>SUM(DY6:DY274)</f>
        <v/>
      </c>
      <c r="DZ275" s="116">
        <f>SUM(DZ6:DZ274)</f>
        <v/>
      </c>
      <c r="EA275" s="116">
        <f>SUM(EA6:EA274)</f>
        <v/>
      </c>
      <c r="EB275" s="116">
        <f>SUM(EB6:EB274)</f>
        <v/>
      </c>
      <c r="EC275" s="116">
        <f>SUM(EC6:EC274)</f>
        <v/>
      </c>
      <c r="ED275" s="116">
        <f>SUM(ED6:ED274)</f>
        <v/>
      </c>
      <c r="EE275" s="116">
        <f>SUMPRODUCT($J$6:$J$274,EE6:EE274)</f>
        <v/>
      </c>
      <c r="EF275" s="116">
        <f>SUMPRODUCT($J$6:$J$274,EF6:EF274)</f>
        <v/>
      </c>
      <c r="EG275" s="116">
        <f>SUMPRODUCT($J$6:$J$274,EG6:EG274)</f>
        <v/>
      </c>
      <c r="EH275" s="116">
        <f>SUMPRODUCT($J$6:$J$274,EH6:EH274)</f>
        <v/>
      </c>
      <c r="EI275" s="116">
        <f>SUMPRODUCT($J$6:$J$274,EI6:EI274)</f>
        <v/>
      </c>
      <c r="EJ275" s="116">
        <f>SUMPRODUCT($J$6:$J$274,EJ6:EJ274)</f>
        <v/>
      </c>
      <c r="EK275" s="116">
        <f>SUMPRODUCT($J$6:$J$274,EK6:EK274)</f>
        <v/>
      </c>
      <c r="EL275" s="116">
        <f>SUMPRODUCT($J$6:$J$274,EL6:EL274)</f>
        <v/>
      </c>
      <c r="EM275" s="116">
        <f>SUMPRODUCT($J$6:$J$274,EM6:EM274)</f>
        <v/>
      </c>
      <c r="EN275" s="116">
        <f>SUMPRODUCT($J$6:$J$274,EN6:EN274)</f>
        <v/>
      </c>
      <c r="EO275" s="116">
        <f>SUMPRODUCT($J$6:$J$274,EO6:EO274)</f>
        <v/>
      </c>
      <c r="EP275" s="116">
        <f>SUMPRODUCT($J$6:$J$274,EP6:EP274)</f>
        <v/>
      </c>
      <c r="EQ275" s="116">
        <f>SUMPRODUCT($J$6:$J$274,EQ6:EQ274)</f>
        <v/>
      </c>
      <c r="ER275" s="116">
        <f>SUMPRODUCT($J$6:$J$274,ER6:ER274)</f>
        <v/>
      </c>
      <c r="ES275" s="116">
        <f>SUMPRODUCT($J$6:$J$274,ES6:ES274)</f>
        <v/>
      </c>
      <c r="ET275" s="116">
        <f>SUMPRODUCT($J$6:$J$274,ET6:ET274)</f>
        <v/>
      </c>
      <c r="EU275" s="116">
        <f>SUMPRODUCT($J$6:$J$274,EU6:EU274)</f>
        <v/>
      </c>
      <c r="EV275" s="116">
        <f>SUMPRODUCT($J$6:$J$274,EV6:EV274)</f>
        <v/>
      </c>
      <c r="EW275" s="116">
        <f>SUMPRODUCT($J$6:$J$274,EW6:EW274)</f>
        <v/>
      </c>
      <c r="EX275" s="116">
        <f>SUMPRODUCT($J$6:$J$274,EX6:EX274)</f>
        <v/>
      </c>
      <c r="EY275" s="116">
        <f>SUMPRODUCT($J$6:$J$274,EY6:EY274)</f>
        <v/>
      </c>
      <c r="EZ275" s="116">
        <f>SUMPRODUCT($J$6:$J$274,EZ6:EZ274)</f>
        <v/>
      </c>
      <c r="FA275" s="116">
        <f>SUMPRODUCT($J$6:$J$274,FA6:FA274)</f>
        <v/>
      </c>
      <c r="FB275" s="116">
        <f>SUMPRODUCT($J$6:$J$274,FB6:FB274)</f>
        <v/>
      </c>
      <c r="FC275" s="116">
        <f>SUMPRODUCT($J$6:$J$274,FC6:FC274)</f>
        <v/>
      </c>
      <c r="FD275" s="116">
        <f>SUMPRODUCT($J$6:$J$274,FD6:FD274)</f>
        <v/>
      </c>
      <c r="FE275" s="116">
        <f>SUMPRODUCT($J$6:$J$274,FE6:FE274)</f>
        <v/>
      </c>
      <c r="FF275" s="116">
        <f>SUMPRODUCT($J$6:$J$274,FF6:FF274)</f>
        <v/>
      </c>
      <c r="FG275" s="116">
        <f>SUMPRODUCT($J$6:$J$274,FG6:FG274)</f>
        <v/>
      </c>
      <c r="FH275" s="116">
        <f>SUMPRODUCT($J$6:$J$274,FH6:FH274)</f>
        <v/>
      </c>
      <c r="FI275" s="116">
        <f>SUMPRODUCT($J$6:$J$274,FI6:FI274)</f>
        <v/>
      </c>
      <c r="FJ275" s="116">
        <f>SUMPRODUCT($J$6:$J$274,FJ6:FJ274)</f>
        <v/>
      </c>
      <c r="FK275" s="116">
        <f>SUMPRODUCT($J$6:$J$274,FK6:FK274)</f>
        <v/>
      </c>
      <c r="FL275" s="116">
        <f>SUMPRODUCT($J$6:$J$274,FL6:FL274)</f>
        <v/>
      </c>
      <c r="FM275" s="116">
        <f>SUMPRODUCT($J$6:$J$274,FM6:FM274)</f>
        <v/>
      </c>
      <c r="FN275" s="116">
        <f>SUMPRODUCT($J$6:$J$274,FN6:FN274)</f>
        <v/>
      </c>
      <c r="FO275" s="116">
        <f>SUMPRODUCT($J$6:$J$274,FO6:FO274)</f>
        <v/>
      </c>
      <c r="FP275" s="116">
        <f>SUMPRODUCT($J$6:$J$274,FP6:FP274)</f>
        <v/>
      </c>
      <c r="FQ275" s="116">
        <f>SUMPRODUCT($J$6:$J$274,FQ6:FQ274)</f>
        <v/>
      </c>
      <c r="FR275" s="116">
        <f>SUMPRODUCT($J$6:$J$274,FR6:FR274)</f>
        <v/>
      </c>
      <c r="FS275" s="116">
        <f>SUMPRODUCT($J$6:$J$274,FS6:FS274)</f>
        <v/>
      </c>
      <c r="FT275" s="116">
        <f>SUMPRODUCT($J$6:$J$274,FT6:FT274)</f>
        <v/>
      </c>
      <c r="FU275" s="116">
        <f>SUMPRODUCT($J$6:$J$274,FU6:FU274)</f>
        <v/>
      </c>
      <c r="FV275" s="116">
        <f>SUMPRODUCT($J$6:$J$274,FV6:FV274)</f>
        <v/>
      </c>
      <c r="FW275" s="116">
        <f>SUMPRODUCT($J$6:$J$274,FW6:FW274)</f>
        <v/>
      </c>
      <c r="FX275" s="116">
        <f>SUMPRODUCT($J$6:$J$274,FX6:FX274)</f>
        <v/>
      </c>
      <c r="FY275" s="116">
        <f>SUMPRODUCT($J$6:$J$274,FY6:FY274)</f>
        <v/>
      </c>
      <c r="FZ275" s="116">
        <f>SUMPRODUCT($J$6:$J$274,FZ6:FZ274)</f>
        <v/>
      </c>
      <c r="GA275" s="116">
        <f>SUM(GA6:GA274)</f>
        <v/>
      </c>
      <c r="GB275" s="116">
        <f>SUM(GB6:GB274)</f>
        <v/>
      </c>
      <c r="GC275" s="116">
        <f>SUM(GC6:GC274)</f>
        <v/>
      </c>
      <c r="GD275" s="116">
        <f>SUM(GD6:GD274)</f>
        <v/>
      </c>
      <c r="GE275" s="116">
        <f>SUM(GE6:GE274)</f>
        <v/>
      </c>
      <c r="GF275" s="116">
        <f>SUM(GF6:GF274)</f>
        <v/>
      </c>
      <c r="GG275" s="116">
        <f>SUMPRODUCT($J$6:$J$274,GG6:GG274)</f>
        <v/>
      </c>
      <c r="GH275" s="116">
        <f>SUMPRODUCT($J$6:$J$274,GH6:GH274)</f>
        <v/>
      </c>
      <c r="GI275" s="116">
        <f>SUMPRODUCT($J$6:$J$274,GI6:GI274)</f>
        <v/>
      </c>
      <c r="GJ275" s="116">
        <f>SUMPRODUCT($J$6:$J$274,GJ6:GJ274)</f>
        <v/>
      </c>
      <c r="GK275" s="116">
        <f>SUMPRODUCT($J$6:$J$274,GK6:GK274)</f>
        <v/>
      </c>
      <c r="GL275" s="116">
        <f>SUMPRODUCT($J$6:$J$274,GL6:GL274)</f>
        <v/>
      </c>
      <c r="GM275" s="116">
        <f>SUMPRODUCT($J$6:$J$274,GM6:GM274)</f>
        <v/>
      </c>
      <c r="GN275" s="116">
        <f>SUMPRODUCT($J$6:$J$274,GN6:GN274)</f>
        <v/>
      </c>
      <c r="GO275" s="116">
        <f>SUMPRODUCT($J$6:$J$274,GO6:GO274)</f>
        <v/>
      </c>
      <c r="GP275" s="116">
        <f>SUMPRODUCT($J$6:$J$274,GP6:GP274)</f>
        <v/>
      </c>
      <c r="GQ275" s="116">
        <f>SUMPRODUCT($J$6:$J$274,GQ6:GQ274)</f>
        <v/>
      </c>
      <c r="GR275" s="116">
        <f>SUMPRODUCT($J$6:$J$274,GR6:GR274)</f>
        <v/>
      </c>
      <c r="GS275" s="116">
        <f>SUMPRODUCT($J$6:$J$274,GS6:GS274)</f>
        <v/>
      </c>
      <c r="GT275" s="116">
        <f>SUMPRODUCT($J$6:$J$274,GT6:GT274)</f>
        <v/>
      </c>
      <c r="GU275" s="116">
        <f>SUMPRODUCT($J$6:$J$274,GU6:GU274)</f>
        <v/>
      </c>
      <c r="GV275" s="116">
        <f>SUMPRODUCT($J$6:$J$274,GV6:GV274)</f>
        <v/>
      </c>
      <c r="GW275" s="116">
        <f>SUMPRODUCT($J$6:$J$274,GW6:GW274)</f>
        <v/>
      </c>
      <c r="GX275" s="116">
        <f>SUMPRODUCT($J$6:$J$274,GX6:GX274)</f>
        <v/>
      </c>
      <c r="GY275" s="116">
        <f>SUMPRODUCT($J$6:$J$274,GY6:GY274)</f>
        <v/>
      </c>
      <c r="GZ275" s="116">
        <f>SUMPRODUCT($J$6:$J$274,GZ6:GZ274)</f>
        <v/>
      </c>
      <c r="HA275" s="116">
        <f>SUMPRODUCT($J$6:$J$274,HA6:HA274)</f>
        <v/>
      </c>
      <c r="HB275" s="116">
        <f>SUMPRODUCT($J$6:$J$274,HB6:HB274)</f>
        <v/>
      </c>
      <c r="HC275" s="116">
        <f>SUMPRODUCT($J$6:$J$274,HC6:HC274)</f>
        <v/>
      </c>
      <c r="HD275" s="116">
        <f>SUMPRODUCT($J$6:$J$274,HD6:HD274)</f>
        <v/>
      </c>
      <c r="HE275" s="116">
        <f>SUMPRODUCT($J$6:$J$274,HE6:HE274)</f>
        <v/>
      </c>
      <c r="HF275" s="116">
        <f>SUMPRODUCT($J$6:$J$274,HF6:HF274)</f>
        <v/>
      </c>
      <c r="HG275" s="116">
        <f>SUMPRODUCT($J$6:$J$274,HG6:HG274)</f>
        <v/>
      </c>
      <c r="HH275" s="116">
        <f>SUMPRODUCT($J$6:$J$274,HH6:HH274)</f>
        <v/>
      </c>
      <c r="HI275" s="116">
        <f>SUMPRODUCT($J$6:$J$274,HI6:HI274)</f>
        <v/>
      </c>
      <c r="HJ275" s="116">
        <f>SUMPRODUCT($J$6:$J$274,HJ6:HJ274)</f>
        <v/>
      </c>
      <c r="HK275" s="116">
        <f>SUMPRODUCT($J$6:$J$274,HK6:HK274)</f>
        <v/>
      </c>
      <c r="HL275" s="116">
        <f>SUMPRODUCT($J$6:$J$274,HL6:HL274)</f>
        <v/>
      </c>
      <c r="HM275" s="116">
        <f>SUMPRODUCT($J$6:$J$274,HM6:HM274)</f>
        <v/>
      </c>
      <c r="HN275" s="116">
        <f>SUMPRODUCT($J$6:$J$274,HN6:HN274)</f>
        <v/>
      </c>
      <c r="HO275" s="116">
        <f>SUMPRODUCT($J$6:$J$274,HO6:HO274)</f>
        <v/>
      </c>
      <c r="HP275" s="116">
        <f>SUMPRODUCT($J$6:$J$274,HP6:HP274)</f>
        <v/>
      </c>
      <c r="HQ275" s="116">
        <f>SUMPRODUCT($J$6:$J$274,HQ6:HQ274)</f>
        <v/>
      </c>
      <c r="HR275" s="116">
        <f>SUMPRODUCT($J$6:$J$274,HR6:HR274)</f>
        <v/>
      </c>
      <c r="HS275" s="116">
        <f>SUMPRODUCT($J$6:$J$274,HS6:HS274)</f>
        <v/>
      </c>
      <c r="HT275" s="116">
        <f>SUMPRODUCT($J$6:$J$274,HT6:HT274)</f>
        <v/>
      </c>
      <c r="HU275" s="116">
        <f>SUMPRODUCT($J$6:$J$274,HU6:HU274)</f>
        <v/>
      </c>
      <c r="HV275" s="116">
        <f>SUMPRODUCT($J$6:$J$274,HV6:HV274)</f>
        <v/>
      </c>
      <c r="HW275" s="116">
        <f>SUMPRODUCT($J$6:$J$274,HW6:HW274)</f>
        <v/>
      </c>
      <c r="HX275" s="116">
        <f>SUMPRODUCT($J$6:$J$274,HX6:HX274)</f>
        <v/>
      </c>
      <c r="HY275" s="116">
        <f>SUMPRODUCT($J$6:$J$274,HY6:HY274)</f>
        <v/>
      </c>
      <c r="HZ275" s="116">
        <f>SUMPRODUCT($J$6:$J$274,HZ6:HZ274)</f>
        <v/>
      </c>
      <c r="IA275" s="116">
        <f>SUMPRODUCT($J$6:$J$274,IA6:IA274)</f>
        <v/>
      </c>
      <c r="IB275" s="116">
        <f>SUMPRODUCT($J$6:$J$274,IB6:IB274)</f>
        <v/>
      </c>
      <c r="IC275" s="116">
        <f>SUMPRODUCT(--(MOD(COLUMN($GG275:$IB275),4)=MOD(COLUMN($GG275),4)),$GG275:$IB275)</f>
        <v/>
      </c>
      <c r="ID275" s="116">
        <f>IC275*$J275</f>
        <v/>
      </c>
      <c r="IE275" s="116">
        <f>SUMPRODUCT(--(MOD(COLUMN($GG275:$IB275),4)=MOD(COLUMN($GG275)+1,4)),$GG275:$IB275)</f>
        <v/>
      </c>
      <c r="IF275" s="116">
        <f>IE275*$J275</f>
        <v/>
      </c>
      <c r="IG275" s="116">
        <f>SUMPRODUCT(--(MOD(COLUMN($GG275:$IB275),4)=MOD(COLUMN($GG275)+2,4)),$GG275:$IB275)</f>
        <v/>
      </c>
      <c r="IH275" s="116">
        <f>IG275*$J275</f>
        <v/>
      </c>
      <c r="II275" s="116">
        <f>SUMPRODUCT($J$6:$J$274,II6:II274)</f>
        <v/>
      </c>
      <c r="IJ275" s="116">
        <f>SUMPRODUCT($J$6:$J$274,IJ6:IJ274)</f>
        <v/>
      </c>
      <c r="IK275" s="116">
        <f>SUMPRODUCT($J$6:$J$274,IK6:IK274)</f>
        <v/>
      </c>
      <c r="IL275" s="116">
        <f>SUMPRODUCT($J$6:$J$274,IL6:IL274)</f>
        <v/>
      </c>
      <c r="IM275" s="116">
        <f>SUMPRODUCT($J$6:$J$274,IM6:IM274)</f>
        <v/>
      </c>
      <c r="IN275" s="116">
        <f>SUMPRODUCT($J$6:$J$274,IN6:IN274)</f>
        <v/>
      </c>
      <c r="IO275" s="116">
        <f>SUMPRODUCT($J$6:$J$274,IO6:IO274)</f>
        <v/>
      </c>
      <c r="IP275" s="116">
        <f>SUMPRODUCT($J$6:$J$274,IP6:IP274)</f>
        <v/>
      </c>
      <c r="IQ275" s="116">
        <f>SUMPRODUCT($J$6:$J$274,IQ6:IQ274)</f>
        <v/>
      </c>
      <c r="IR275" s="116">
        <f>SUMPRODUCT($J$6:$J$274,IR6:IR274)</f>
        <v/>
      </c>
      <c r="IS275" s="116">
        <f>SUMPRODUCT($J$6:$J$274,IS6:IS274)</f>
        <v/>
      </c>
      <c r="IT275" s="116">
        <f>SUMPRODUCT($J$6:$J$274,IT6:IT274)</f>
        <v/>
      </c>
      <c r="IU275" s="116">
        <f>SUMPRODUCT($J$6:$J$274,IU6:IU274)</f>
        <v/>
      </c>
      <c r="IV275" s="116">
        <f>SUMPRODUCT($J$6:$J$274,IV6:IV274)</f>
        <v/>
      </c>
      <c r="IW275" s="116">
        <f>SUMPRODUCT($J$6:$J$274,IW6:IW274)</f>
        <v/>
      </c>
      <c r="IX275" s="116">
        <f>SUMPRODUCT($J$6:$J$274,IX6:IX274)</f>
        <v/>
      </c>
      <c r="IY275" s="116">
        <f>SUMPRODUCT($J$6:$J$274,IY6:IY274)</f>
        <v/>
      </c>
      <c r="IZ275" s="116">
        <f>SUMPRODUCT($J$6:$J$274,IZ6:IZ274)</f>
        <v/>
      </c>
      <c r="JA275" s="116">
        <f>SUMPRODUCT($J$6:$J$274,JA6:JA274)</f>
        <v/>
      </c>
      <c r="JB275" s="116">
        <f>SUMPRODUCT($J$6:$J$274,JB6:JB274)</f>
        <v/>
      </c>
      <c r="JC275" s="116">
        <f>SUMPRODUCT($J$6:$J$274,JC6:JC274)</f>
        <v/>
      </c>
      <c r="JD275" s="116">
        <f>SUMPRODUCT($J$6:$J$274,JD6:JD274)</f>
        <v/>
      </c>
      <c r="JE275" s="116">
        <f>SUMPRODUCT($J$6:$J$274,JE6:JE274)</f>
        <v/>
      </c>
      <c r="JF275" s="116">
        <f>SUMPRODUCT($J$6:$J$274,JF6:JF274)</f>
        <v/>
      </c>
      <c r="JG275" s="116">
        <f>SUMPRODUCT($J$6:$J$274,JG6:JG274)</f>
        <v/>
      </c>
      <c r="JH275" s="116">
        <f>SUMPRODUCT($J$6:$J$274,JH6:JH274)</f>
        <v/>
      </c>
      <c r="JI275" s="116">
        <f>SUMPRODUCT($J$6:$J$274,JI6:JI274)</f>
        <v/>
      </c>
      <c r="JJ275" s="116">
        <f>SUMPRODUCT($J$6:$J$274,JJ6:JJ274)</f>
        <v/>
      </c>
      <c r="JK275" s="116">
        <f>SUMPRODUCT($J$6:$J$274,JK6:JK274)</f>
        <v/>
      </c>
      <c r="JL275" s="116">
        <f>SUMPRODUCT($J$6:$J$274,JL6:JL274)</f>
        <v/>
      </c>
      <c r="JM275" s="116">
        <f>SUMPRODUCT($J$6:$J$274,JM6:JM274)</f>
        <v/>
      </c>
      <c r="JN275" s="116">
        <f>SUMPRODUCT($J$6:$J$274,JN6:JN274)</f>
        <v/>
      </c>
      <c r="JO275" s="116">
        <f>SUMPRODUCT($J$6:$J$274,JO6:JO274)</f>
        <v/>
      </c>
      <c r="JP275" s="116">
        <f>SUMPRODUCT($J$6:$J$274,JP6:JP274)</f>
        <v/>
      </c>
      <c r="JQ275" s="116">
        <f>SUMPRODUCT($J$6:$J$274,JQ6:JQ274)</f>
        <v/>
      </c>
      <c r="JR275" s="116">
        <f>SUMPRODUCT($J$6:$J$274,JR6:JR274)</f>
        <v/>
      </c>
      <c r="JS275" s="116">
        <f>SUMPRODUCT($J$6:$J$274,JS6:JS274)</f>
        <v/>
      </c>
      <c r="JT275" s="116">
        <f>SUMPRODUCT($J$6:$J$274,JT6:JT274)</f>
        <v/>
      </c>
      <c r="JU275" s="116">
        <f>SUMPRODUCT($J$6:$J$274,JU6:JU274)</f>
        <v/>
      </c>
      <c r="JV275" s="116">
        <f>SUMPRODUCT($J$6:$J$274,JV6:JV274)</f>
        <v/>
      </c>
      <c r="JW275" s="116">
        <f>SUMPRODUCT($J$6:$J$274,JW6:JW274)</f>
        <v/>
      </c>
      <c r="JX275" s="116">
        <f>SUMPRODUCT($J$6:$J$274,JX6:JX274)</f>
        <v/>
      </c>
      <c r="JY275" s="116">
        <f>SUMPRODUCT($J$6:$J$274,JY6:JY274)</f>
        <v/>
      </c>
      <c r="JZ275" s="116">
        <f>SUMPRODUCT($J$6:$J$274,JZ6:JZ274)</f>
        <v/>
      </c>
      <c r="KA275" s="116">
        <f>SUMPRODUCT($J$6:$J$274,KA6:KA274)</f>
        <v/>
      </c>
      <c r="KB275" s="116">
        <f>SUMPRODUCT($J$6:$J$274,KB6:KB274)</f>
        <v/>
      </c>
      <c r="KC275" s="116">
        <f>SUMPRODUCT($J$6:$J$274,KC6:KC274)</f>
        <v/>
      </c>
      <c r="KD275" s="116">
        <f>SUMPRODUCT($J$6:$J$274,KD6:KD274)</f>
        <v/>
      </c>
      <c r="KE275" s="116">
        <f>SUMPRODUCT(--(MOD(COLUMN($GG275:$IB275),4)=MOD(COLUMN($GG275),4)),$GG275:$IB275)</f>
        <v/>
      </c>
      <c r="KF275" s="116">
        <f>KE275*$J275</f>
        <v/>
      </c>
      <c r="KG275" s="116">
        <f>SUMPRODUCT(--(MOD(COLUMN($GG275:$IB275),4)=MOD(COLUMN($GG275)+1,4)),$GG275:$IB275)</f>
        <v/>
      </c>
      <c r="KH275" s="116">
        <f>KG275*$J275</f>
        <v/>
      </c>
      <c r="KI275" s="116">
        <f>SUMPRODUCT(--(MOD(COLUMN($GG275:$IB275),4)=MOD(COLUMN($GG275)+2,4)),$GG275:$IB275)</f>
        <v/>
      </c>
      <c r="KJ275" s="117">
        <f>KI275*$J275</f>
        <v/>
      </c>
      <c r="KK275" s="12" t="n"/>
      <c r="KL275" s="12" t="n"/>
      <c r="KM275" s="12" t="n"/>
      <c r="KN275" s="12" t="n"/>
      <c r="KO275" s="12" t="n"/>
    </row>
    <row r="276">
      <c r="FX276" s="239" t="n"/>
    </row>
    <row r="277">
      <c r="FX277" s="239" t="n"/>
    </row>
    <row r="278">
      <c r="FX278" s="239" t="n"/>
    </row>
  </sheetData>
  <autoFilter ref="A1:KO275"/>
  <mergeCells count="227">
    <mergeCell ref="D148:D164"/>
    <mergeCell ref="AZ6:AZ16"/>
    <mergeCell ref="EX77:EX84"/>
    <mergeCell ref="JK4:JN4"/>
    <mergeCell ref="KO66:KO73"/>
    <mergeCell ref="JW4:JZ4"/>
    <mergeCell ref="BX122:BX132"/>
    <mergeCell ref="Q4:S4"/>
    <mergeCell ref="KO85:KO91"/>
    <mergeCell ref="KO131:KO132"/>
    <mergeCell ref="DQ23:DQ34"/>
    <mergeCell ref="B182:B192"/>
    <mergeCell ref="KO167:KO175"/>
    <mergeCell ref="B109:B119"/>
    <mergeCell ref="A208:A227"/>
    <mergeCell ref="AC4:AE4"/>
    <mergeCell ref="X6:X16"/>
    <mergeCell ref="B6:B34"/>
    <mergeCell ref="KO230:KO240"/>
    <mergeCell ref="B167:B179"/>
    <mergeCell ref="BS167:BS179"/>
    <mergeCell ref="KO208:KO215"/>
    <mergeCell ref="CM85:CM91"/>
    <mergeCell ref="KO6:KO14"/>
    <mergeCell ref="II4:IL4"/>
    <mergeCell ref="AN109:AN119"/>
    <mergeCell ref="ET37:ET54"/>
    <mergeCell ref="D122:D132"/>
    <mergeCell ref="IU4:IX4"/>
    <mergeCell ref="BO4:BR4"/>
    <mergeCell ref="J4:J5"/>
    <mergeCell ref="IC4:IH4"/>
    <mergeCell ref="C182:C192"/>
    <mergeCell ref="A135:A145"/>
    <mergeCell ref="AZ109:AZ119"/>
    <mergeCell ref="C135:C145"/>
    <mergeCell ref="L4:L5"/>
    <mergeCell ref="KE4:KJ4"/>
    <mergeCell ref="BY4:CB4"/>
    <mergeCell ref="AJ37:AJ51"/>
    <mergeCell ref="C208:C227"/>
    <mergeCell ref="BI4:BN4"/>
    <mergeCell ref="GG4:GJ4"/>
    <mergeCell ref="CH167:CH179"/>
    <mergeCell ref="EQ4:ET4"/>
    <mergeCell ref="A109:A119"/>
    <mergeCell ref="C148:C164"/>
    <mergeCell ref="GS4:GV4"/>
    <mergeCell ref="KO157:KO158"/>
    <mergeCell ref="AZ167:AZ179"/>
    <mergeCell ref="A96:A106"/>
    <mergeCell ref="M3:BN3"/>
    <mergeCell ref="C96:C106"/>
    <mergeCell ref="BS135:BS145"/>
    <mergeCell ref="CR122:CR132"/>
    <mergeCell ref="D252:D271"/>
    <mergeCell ref="DM4:DP4"/>
    <mergeCell ref="GW4:GZ4"/>
    <mergeCell ref="FO4:FR4"/>
    <mergeCell ref="A167:A179"/>
    <mergeCell ref="KO37:KO49"/>
    <mergeCell ref="HQ4:HT4"/>
    <mergeCell ref="KO96:KO106"/>
    <mergeCell ref="D109:D119"/>
    <mergeCell ref="C195:C205"/>
    <mergeCell ref="B208:B227"/>
    <mergeCell ref="D208:D227"/>
    <mergeCell ref="JS4:JV4"/>
    <mergeCell ref="C4:C5"/>
    <mergeCell ref="E4:E5"/>
    <mergeCell ref="HA4:HD4"/>
    <mergeCell ref="BT4:BW4"/>
    <mergeCell ref="D135:D145"/>
    <mergeCell ref="AR37:AR51"/>
    <mergeCell ref="CN4:CQ4"/>
    <mergeCell ref="CD4:CG4"/>
    <mergeCell ref="ET148:ET158"/>
    <mergeCell ref="KO144:KO145"/>
    <mergeCell ref="CX4:DA4"/>
    <mergeCell ref="JC4:JF4"/>
    <mergeCell ref="B230:B249"/>
    <mergeCell ref="BX167:BX179"/>
    <mergeCell ref="AO4:AQ4"/>
    <mergeCell ref="A37:A93"/>
    <mergeCell ref="KO182:KO190"/>
    <mergeCell ref="AJ6:AJ16"/>
    <mergeCell ref="BD6:BD16"/>
    <mergeCell ref="BA4:BC4"/>
    <mergeCell ref="A230:A249"/>
    <mergeCell ref="AV6:AV16"/>
    <mergeCell ref="B148:B164"/>
    <mergeCell ref="DB230:DB249"/>
    <mergeCell ref="JG4:JJ4"/>
    <mergeCell ref="HY4:IB4"/>
    <mergeCell ref="DV230:DV249"/>
    <mergeCell ref="KA4:KD4"/>
    <mergeCell ref="D167:D179"/>
    <mergeCell ref="KO176:KO179"/>
    <mergeCell ref="M4:O4"/>
    <mergeCell ref="AF109:AF119"/>
    <mergeCell ref="EX167:EX177"/>
    <mergeCell ref="BX109:BX119"/>
    <mergeCell ref="Y4:AA4"/>
    <mergeCell ref="DB226:DB227"/>
    <mergeCell ref="AB37:AB51"/>
    <mergeCell ref="FC4:FF4"/>
    <mergeCell ref="EH252:EH271"/>
    <mergeCell ref="AJ109:AJ119"/>
    <mergeCell ref="B122:B132"/>
    <mergeCell ref="F4:F5"/>
    <mergeCell ref="AV109:AV119"/>
    <mergeCell ref="BS148:BS164"/>
    <mergeCell ref="H4:H5"/>
    <mergeCell ref="A182:A192"/>
    <mergeCell ref="A6:A34"/>
    <mergeCell ref="AF37:AF51"/>
    <mergeCell ref="CI4:CL4"/>
    <mergeCell ref="CS4:CV4"/>
    <mergeCell ref="EU4:EX4"/>
    <mergeCell ref="BH208:BH220"/>
    <mergeCell ref="EM4:EP4"/>
    <mergeCell ref="KO74:KO76"/>
    <mergeCell ref="KO118:KO119"/>
    <mergeCell ref="GO4:GR4"/>
    <mergeCell ref="A252:A271"/>
    <mergeCell ref="A148:A164"/>
    <mergeCell ref="C252:C271"/>
    <mergeCell ref="IQ4:IT4"/>
    <mergeCell ref="EH57:EH65"/>
    <mergeCell ref="BS182:BS192"/>
    <mergeCell ref="ET167:ET179"/>
    <mergeCell ref="EP57:EP67"/>
    <mergeCell ref="D230:D249"/>
    <mergeCell ref="C109:C119"/>
    <mergeCell ref="FK4:FN4"/>
    <mergeCell ref="EH17:EH22"/>
    <mergeCell ref="BH230:BH249"/>
    <mergeCell ref="GA4:GF4"/>
    <mergeCell ref="EX264:EX271"/>
    <mergeCell ref="A195:A205"/>
    <mergeCell ref="BS109:BS119"/>
    <mergeCell ref="KO15:KO16"/>
    <mergeCell ref="AR6:AR16"/>
    <mergeCell ref="C6:C34"/>
    <mergeCell ref="HM4:HP4"/>
    <mergeCell ref="JO4:JR4"/>
    <mergeCell ref="KO216:KO219"/>
    <mergeCell ref="BE4:BG4"/>
    <mergeCell ref="A4:A5"/>
    <mergeCell ref="KO241:KO242"/>
    <mergeCell ref="DW4:ED4"/>
    <mergeCell ref="CM208:CM220"/>
    <mergeCell ref="CW122:CW132"/>
    <mergeCell ref="K4:K5"/>
    <mergeCell ref="U4:W4"/>
    <mergeCell ref="D182:D192"/>
    <mergeCell ref="BX148:BX164"/>
    <mergeCell ref="EX148:EX158"/>
    <mergeCell ref="DR4:DU4"/>
    <mergeCell ref="D6:D34"/>
    <mergeCell ref="BH6:BH16"/>
    <mergeCell ref="AG4:AI4"/>
    <mergeCell ref="AB6:AB16"/>
    <mergeCell ref="IM4:IP4"/>
    <mergeCell ref="B4:B5"/>
    <mergeCell ref="AR109:AR119"/>
    <mergeCell ref="IY4:JB4"/>
    <mergeCell ref="AK4:AM4"/>
    <mergeCell ref="B96:B106"/>
    <mergeCell ref="BD109:BD119"/>
    <mergeCell ref="KO159:KO160"/>
    <mergeCell ref="D96:D106"/>
    <mergeCell ref="FB148:FB160"/>
    <mergeCell ref="BO3:ED3"/>
    <mergeCell ref="EE4:EH4"/>
    <mergeCell ref="AW4:AY4"/>
    <mergeCell ref="AN37:AN51"/>
    <mergeCell ref="HU4:HX4"/>
    <mergeCell ref="AZ37:AZ51"/>
    <mergeCell ref="BH109:BH119"/>
    <mergeCell ref="KO122:KO130"/>
    <mergeCell ref="AB109:AB119"/>
    <mergeCell ref="B195:B205"/>
    <mergeCell ref="DC4:DF4"/>
    <mergeCell ref="D195:D205"/>
    <mergeCell ref="FG4:FJ4"/>
    <mergeCell ref="BS208:BS215"/>
    <mergeCell ref="EY4:FB4"/>
    <mergeCell ref="KO109:KO117"/>
    <mergeCell ref="C167:C179"/>
    <mergeCell ref="FS4:FV4"/>
    <mergeCell ref="EP17:EP22"/>
    <mergeCell ref="D4:D5"/>
    <mergeCell ref="KO148:KO156"/>
    <mergeCell ref="KO50:KO51"/>
    <mergeCell ref="B37:B93"/>
    <mergeCell ref="D37:D93"/>
    <mergeCell ref="FW4:FZ4"/>
    <mergeCell ref="KO191:KO192"/>
    <mergeCell ref="EI4:EL4"/>
    <mergeCell ref="CR221:CR225"/>
    <mergeCell ref="A122:A132"/>
    <mergeCell ref="GK4:GN4"/>
    <mergeCell ref="C122:C132"/>
    <mergeCell ref="G4:G5"/>
    <mergeCell ref="BX66:BX76"/>
    <mergeCell ref="HE4:HH4"/>
    <mergeCell ref="I4:I5"/>
    <mergeCell ref="T6:T16"/>
    <mergeCell ref="AV37:AV51"/>
    <mergeCell ref="KO23:KO34"/>
    <mergeCell ref="EL57:EL67"/>
    <mergeCell ref="EX57:EX67"/>
    <mergeCell ref="EP196:EP203"/>
    <mergeCell ref="B135:B145"/>
    <mergeCell ref="ET77:ET84"/>
    <mergeCell ref="B252:B271"/>
    <mergeCell ref="ET264:ET271"/>
    <mergeCell ref="EP9:EP16"/>
    <mergeCell ref="C37:C93"/>
    <mergeCell ref="KO135:KO143"/>
    <mergeCell ref="CM122:CM132"/>
    <mergeCell ref="AS4:AU4"/>
    <mergeCell ref="AN6:AN16"/>
    <mergeCell ref="DH4:DK4"/>
    <mergeCell ref="C230:C249"/>
    <mergeCell ref="HI4:HL4"/>
  </mergeCells>
  <conditionalFormatting sqref="F1:F1048576">
    <cfRule type="cellIs" priority="1" operator="equal" dxfId="1">
      <formula>2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1"/>
  <sheetViews>
    <sheetView workbookViewId="0">
      <pane xSplit="5" ySplit="2" topLeftCell="F58" activePane="bottomRight" state="frozen"/>
      <selection activeCell="F3" sqref="F3"/>
      <selection pane="topRight" activeCell="A1" sqref="A1"/>
      <selection pane="bottomLeft" activeCell="A1" sqref="A1"/>
      <selection pane="bottomRight" activeCell="E2" sqref="E2"/>
    </sheetView>
  </sheetViews>
  <sheetFormatPr baseColWidth="8" defaultColWidth="12.6640625" defaultRowHeight="14.4"/>
  <cols>
    <col width="3.6640625" customWidth="1" style="1" min="1" max="1"/>
    <col outlineLevel="1" width="16.6640625" customWidth="1" style="1" min="2" max="2"/>
    <col width="9.6640625" customWidth="1" style="1" min="3" max="3"/>
    <col width="15.6640625" customWidth="1" style="1" min="4" max="4"/>
    <col width="56" customWidth="1" style="2" min="5" max="5"/>
    <col outlineLevel="1" width="9.6640625" customWidth="1" style="1" min="6" max="29"/>
    <col width="9.6640625" customWidth="1" style="1" min="30" max="30"/>
    <col outlineLevel="1" width="14.44140625" customWidth="1" style="1" min="31" max="31"/>
    <col width="12.6640625" customWidth="1" style="1" min="32" max="16384"/>
  </cols>
  <sheetData>
    <row r="1">
      <c r="A1" s="319" t="inlineStr">
        <is>
          <t>Вручную заполнять желтые ячейки</t>
        </is>
      </c>
      <c r="E1" s="395" t="n"/>
      <c r="F1" s="320" t="inlineStr">
        <is>
          <t>Фактические продажи по месяцам</t>
        </is>
      </c>
      <c r="G1" s="396" t="n"/>
      <c r="H1" s="396" t="n"/>
      <c r="I1" s="396" t="n"/>
      <c r="J1" s="396" t="n"/>
      <c r="K1" s="396" t="n"/>
      <c r="L1" s="396" t="n"/>
      <c r="M1" s="396" t="n"/>
      <c r="N1" s="396" t="n"/>
      <c r="O1" s="396" t="n"/>
      <c r="P1" s="396" t="n"/>
      <c r="Q1" s="396" t="n"/>
      <c r="R1" s="396" t="n"/>
      <c r="S1" s="396" t="n"/>
      <c r="T1" s="396" t="n"/>
      <c r="U1" s="396" t="n"/>
      <c r="V1" s="396" t="n"/>
      <c r="W1" s="396" t="n"/>
      <c r="X1" s="396" t="n"/>
      <c r="Y1" s="396" t="n"/>
      <c r="Z1" s="396" t="n"/>
      <c r="AA1" s="396" t="n"/>
      <c r="AB1" s="396" t="n"/>
      <c r="AC1" s="396" t="n"/>
      <c r="AD1" s="127" t="n"/>
    </row>
    <row r="2" ht="28.8" customHeight="1">
      <c r="A2" s="118" t="inlineStr">
        <is>
          <t>№</t>
        </is>
      </c>
      <c r="B2" s="303" t="inlineStr">
        <is>
          <t>Тип</t>
        </is>
      </c>
      <c r="C2" s="303" t="inlineStr">
        <is>
          <t>WABCO</t>
        </is>
      </c>
      <c r="D2" s="303" t="inlineStr">
        <is>
          <t>Обозначение</t>
        </is>
      </c>
      <c r="E2" s="303" t="inlineStr">
        <is>
          <t>Наименование</t>
        </is>
      </c>
      <c r="F2" s="303" t="inlineStr">
        <is>
          <t>Январь
прогноз</t>
        </is>
      </c>
      <c r="G2" s="303" t="inlineStr">
        <is>
          <t>Январь
факт</t>
        </is>
      </c>
      <c r="H2" s="303" t="inlineStr">
        <is>
          <t>Февраль
прогноз</t>
        </is>
      </c>
      <c r="I2" s="303" t="inlineStr">
        <is>
          <t>Февраль
факт</t>
        </is>
      </c>
      <c r="J2" s="303" t="inlineStr">
        <is>
          <t>Март
прогноз</t>
        </is>
      </c>
      <c r="K2" s="303" t="inlineStr">
        <is>
          <t>Март
факт</t>
        </is>
      </c>
      <c r="L2" s="303" t="inlineStr">
        <is>
          <t>Апрель
прогноз</t>
        </is>
      </c>
      <c r="M2" s="303" t="inlineStr">
        <is>
          <t>Апрель
факт</t>
        </is>
      </c>
      <c r="N2" s="303" t="inlineStr">
        <is>
          <t>Май
прогноз</t>
        </is>
      </c>
      <c r="O2" s="303" t="inlineStr">
        <is>
          <t>Май
факт</t>
        </is>
      </c>
      <c r="P2" s="303" t="inlineStr">
        <is>
          <t>Июнь
прогноз</t>
        </is>
      </c>
      <c r="Q2" s="303" t="inlineStr">
        <is>
          <t>Июнь
факт</t>
        </is>
      </c>
      <c r="R2" s="303" t="inlineStr">
        <is>
          <t>Июль
прогноз</t>
        </is>
      </c>
      <c r="S2" s="303" t="inlineStr">
        <is>
          <t>Июль
факт</t>
        </is>
      </c>
      <c r="T2" s="303" t="inlineStr">
        <is>
          <t>Август
прогноз</t>
        </is>
      </c>
      <c r="U2" s="303" t="inlineStr">
        <is>
          <t>Август
факт</t>
        </is>
      </c>
      <c r="V2" s="303" t="inlineStr">
        <is>
          <t>Сентябрь
прогноз</t>
        </is>
      </c>
      <c r="W2" s="303" t="inlineStr">
        <is>
          <t>Сентябрь
факт</t>
        </is>
      </c>
      <c r="X2" s="303" t="inlineStr">
        <is>
          <t>Октябрь
прогноз</t>
        </is>
      </c>
      <c r="Y2" s="303" t="inlineStr">
        <is>
          <t>Октябрь
факт</t>
        </is>
      </c>
      <c r="Z2" s="303" t="inlineStr">
        <is>
          <t>Ноябрь
прогноз</t>
        </is>
      </c>
      <c r="AA2" s="303" t="inlineStr">
        <is>
          <t>Ноябрь
факт</t>
        </is>
      </c>
      <c r="AB2" s="303" t="inlineStr">
        <is>
          <t>Декабрь
прогноз</t>
        </is>
      </c>
      <c r="AC2" s="303" t="inlineStr">
        <is>
          <t>Декабрь
факт</t>
        </is>
      </c>
      <c r="AD2" s="303" t="inlineStr">
        <is>
          <t>2026</t>
        </is>
      </c>
      <c r="AE2" s="119" t="inlineStr">
        <is>
          <t>Проверка</t>
        </is>
      </c>
    </row>
    <row r="3">
      <c r="A3" s="120">
        <f>ROW()-ROW(Сводная_Продажи_Факт[[#Headers],[№]])</f>
        <v/>
      </c>
      <c r="B3" s="12">
        <f>INDEX(База[],MATCH(Сводная_Продажи_Факт[[#This Row],[Обозначение]],База[Обозначение],0),MATCH(B$2,База[#Headers],0))</f>
        <v/>
      </c>
      <c r="C3" s="98" t="n">
        <v>2</v>
      </c>
      <c r="D3" s="98" t="n">
        <v>4497120300</v>
      </c>
      <c r="E3" s="121">
        <f>INDEX(База[],MATCH(Сводная_Продажи_Факт[[#This Row],[Обозначение]],База[Обозначение],0),MATCH(E$2,База[#Headers],0))</f>
        <v/>
      </c>
      <c r="F3" s="122">
        <f t="array" ref="F3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3" s="244">
        <f t="array" ref="G3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3" s="122">
        <f t="array" ref="H3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3" s="244">
        <f t="array" ref="I3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3" s="122">
        <f t="array" ref="J3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3" s="244">
        <f t="array" ref="K3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3" s="122">
        <f t="array" ref="L3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3" s="244">
        <f t="array" ref="M3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3" s="122">
        <f t="array" ref="N3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3" s="244">
        <f t="array" ref="O3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3" s="122">
        <f t="array" ref="P3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3" s="244">
        <f t="array" ref="Q3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3" s="122">
        <f t="array" ref="R3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3" s="244">
        <f t="array" ref="S3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3" s="122">
        <f t="array" ref="T3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3" s="244">
        <f t="array" ref="U3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3" s="122">
        <f t="array" ref="V3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3" s="244">
        <f t="array" ref="W3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3" s="122">
        <f t="array" ref="X3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3" s="244">
        <f t="array" ref="Y3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3" s="122">
        <f t="array" ref="Z3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3" s="244">
        <f t="array" ref="AA3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3" s="122">
        <f t="array" ref="AB3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3" s="244">
        <f t="array" ref="AC3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3" s="123">
        <f>SUM(Сводная_Продажи_Факт[[#This Row],[Январь
прогноз]:[Декабрь
прогноз]])</f>
        <v/>
      </c>
      <c r="AE3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4">
      <c r="A4" s="120">
        <f>ROW()-ROW(Сводная_Продажи_Факт[[#Headers],[№]])</f>
        <v/>
      </c>
      <c r="B4" s="12">
        <f>INDEX(База[],MATCH(Сводная_Продажи_Факт[[#This Row],[Обозначение]],База[Обозначение],0),MATCH(B$2,База[#Headers],0))</f>
        <v/>
      </c>
      <c r="C4" s="98" t="n">
        <v>2</v>
      </c>
      <c r="D4" s="98" t="n">
        <v>4497490300</v>
      </c>
      <c r="E4" s="121">
        <f>INDEX(База[],MATCH(Сводная_Продажи_Факт[[#This Row],[Обозначение]],База[Обозначение],0),MATCH(E$2,База[#Headers],0))</f>
        <v/>
      </c>
      <c r="F4" s="122">
        <f t="array" ref="F4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4" s="244">
        <f t="array" ref="G4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4" s="122">
        <f t="array" ref="H4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4" s="244">
        <f t="array" ref="I4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4" s="122">
        <f t="array" ref="J4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4" s="244">
        <f t="array" ref="K4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4" s="122">
        <f t="array" ref="L4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4" s="244">
        <f t="array" ref="M4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4" s="122">
        <f t="array" ref="N4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4" s="244">
        <f t="array" ref="O4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4" s="122">
        <f t="array" ref="P4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4" s="244">
        <f t="array" ref="Q4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4" s="122">
        <f t="array" ref="R4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4" s="244">
        <f t="array" ref="S4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4" s="122">
        <f t="array" ref="T4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4" s="244">
        <f t="array" ref="U4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4" s="122">
        <f t="array" ref="V4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4" s="244">
        <f t="array" ref="W4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4" s="122">
        <f t="array" ref="X4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4" s="244">
        <f t="array" ref="Y4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4" s="122">
        <f t="array" ref="Z4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4" s="244">
        <f t="array" ref="AA4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4" s="122">
        <f t="array" ref="AB4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4" s="244">
        <f t="array" ref="AC4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4" s="123">
        <f>SUM(Сводная_Продажи_Факт[[#This Row],[Январь
прогноз]:[Декабрь
прогноз]])</f>
        <v/>
      </c>
      <c r="AE4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5">
      <c r="A5" s="120">
        <f>ROW()-ROW(Сводная_Продажи_Факт[[#Headers],[№]])</f>
        <v/>
      </c>
      <c r="B5" s="12">
        <f>INDEX(База[],MATCH(Сводная_Продажи_Факт[[#This Row],[Обозначение]],База[Обозначение],0),MATCH(B$2,База[#Headers],0))</f>
        <v/>
      </c>
      <c r="C5" s="98" t="n">
        <v>2</v>
      </c>
      <c r="D5" s="98" t="n">
        <v>4005000810</v>
      </c>
      <c r="E5" s="121">
        <f>INDEX(База[],MATCH(Сводная_Продажи_Факт[[#This Row],[Обозначение]],База[Обозначение],0),MATCH(E$2,База[#Headers],0))</f>
        <v/>
      </c>
      <c r="F5" s="122">
        <f t="array" ref="F5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5" s="244">
        <f t="array" ref="G5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5" s="122">
        <f t="array" ref="H5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5" s="244">
        <f t="array" ref="I5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5" s="122">
        <f t="array" ref="J5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5" s="244">
        <f t="array" ref="K5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5" s="122">
        <f t="array" ref="L5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5" s="244">
        <f t="array" ref="M5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5" s="122">
        <f t="array" ref="N5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5" s="244">
        <f t="array" ref="O5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5" s="122">
        <f t="array" ref="P5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5" s="244">
        <f t="array" ref="Q5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5" s="122">
        <f t="array" ref="R5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5" s="244">
        <f t="array" ref="S5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5" s="122">
        <f t="array" ref="T5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5" s="244">
        <f t="array" ref="U5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5" s="122">
        <f t="array" ref="V5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5" s="244">
        <f t="array" ref="W5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5" s="122">
        <f t="array" ref="X5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5" s="244">
        <f t="array" ref="Y5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5" s="122">
        <f t="array" ref="Z5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5" s="244">
        <f t="array" ref="AA5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5" s="122">
        <f t="array" ref="AB5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5" s="244">
        <f t="array" ref="AC5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5" s="123">
        <f>SUM(Сводная_Продажи_Факт[[#This Row],[Январь
прогноз]:[Декабрь
прогноз]])</f>
        <v/>
      </c>
      <c r="AE5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6">
      <c r="A6" s="120">
        <f>ROW()-ROW(Сводная_Продажи_Факт[[#Headers],[№]])</f>
        <v/>
      </c>
      <c r="B6" s="12">
        <f>INDEX(База[],MATCH(Сводная_Продажи_Факт[[#This Row],[Обозначение]],База[Обозначение],0),MATCH(B$2,База[#Headers],0))</f>
        <v/>
      </c>
      <c r="C6" s="98" t="n">
        <v>2</v>
      </c>
      <c r="D6" s="98" t="n">
        <v>4005000880</v>
      </c>
      <c r="E6" s="121">
        <f>INDEX(База[],MATCH(Сводная_Продажи_Факт[[#This Row],[Обозначение]],База[Обозначение],0),MATCH(E$2,База[#Headers],0))</f>
        <v/>
      </c>
      <c r="F6" s="122">
        <f t="array" ref="F6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6" s="244">
        <f t="array" ref="G6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6" s="122">
        <f t="array" ref="H6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6" s="244">
        <f t="array" ref="I6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6" s="122">
        <f t="array" ref="J6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6" s="244">
        <f t="array" ref="K6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6" s="122">
        <f t="array" ref="L6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6" s="244">
        <f t="array" ref="M6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6" s="122">
        <f t="array" ref="N6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6" s="244">
        <f t="array" ref="O6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6" s="122">
        <f t="array" ref="P6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6" s="244">
        <f t="array" ref="Q6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6" s="122">
        <f t="array" ref="R6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6" s="244">
        <f t="array" ref="S6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6" s="122">
        <f t="array" ref="T6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6" s="244">
        <f t="array" ref="U6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6" s="122">
        <f t="array" ref="V6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6" s="244">
        <f t="array" ref="W6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6" s="122">
        <f t="array" ref="X6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6" s="244">
        <f t="array" ref="Y6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6" s="122">
        <f t="array" ref="Z6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6" s="244">
        <f t="array" ref="AA6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6" s="122">
        <f t="array" ref="AB6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6" s="244">
        <f t="array" ref="AC6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6" s="123">
        <f>SUM(Сводная_Продажи_Факт[[#This Row],[Январь
прогноз]:[Декабрь
прогноз]])</f>
        <v/>
      </c>
      <c r="AE6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7">
      <c r="A7" s="120">
        <f>ROW()-ROW(Сводная_Продажи_Факт[[#Headers],[№]])</f>
        <v/>
      </c>
      <c r="B7" s="12">
        <f>INDEX(База[],MATCH(Сводная_Продажи_Факт[[#This Row],[Обозначение]],База[Обозначение],0),MATCH(B$2,База[#Headers],0))</f>
        <v/>
      </c>
      <c r="C7" s="98" t="n">
        <v>2</v>
      </c>
      <c r="D7" s="125" t="n">
        <v>4491301200</v>
      </c>
      <c r="E7" s="34">
        <f>INDEX(База[],MATCH(Сводная_Продажи_Факт[[#This Row],[Обозначение]],База[Обозначение],0),MATCH(E$2,База[#Headers],0))</f>
        <v/>
      </c>
      <c r="F7" s="122">
        <f t="array" ref="F7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7" s="244">
        <f t="array" ref="G7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7" s="122">
        <f t="array" ref="H7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7" s="244">
        <f t="array" ref="I7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7" s="122">
        <f t="array" ref="J7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7" s="244">
        <f t="array" ref="K7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7" s="122">
        <f t="array" ref="L7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7" s="244">
        <f t="array" ref="M7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7" s="122">
        <f t="array" ref="N7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7" s="244">
        <f t="array" ref="O7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7" s="122">
        <f t="array" ref="P7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7" s="244">
        <f t="array" ref="Q7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7" s="122">
        <f t="array" ref="R7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7" s="244">
        <f t="array" ref="S7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7" s="122">
        <f t="array" ref="T7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7" s="244">
        <f t="array" ref="U7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7" s="122">
        <f t="array" ref="V7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7" s="244">
        <f t="array" ref="W7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7" s="122">
        <f t="array" ref="X7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7" s="244">
        <f t="array" ref="Y7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7" s="122">
        <f t="array" ref="Z7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7" s="244">
        <f t="array" ref="AA7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7" s="122">
        <f t="array" ref="AB7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7" s="244">
        <f t="array" ref="AC7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7" s="123">
        <f>SUM(Сводная_Продажи_Факт[[#This Row],[Январь
прогноз]:[Декабрь
прогноз]])</f>
        <v/>
      </c>
      <c r="AE7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8">
      <c r="A8" s="120">
        <f>ROW()-ROW(Сводная_Продажи_Факт[[#Headers],[№]])</f>
        <v/>
      </c>
      <c r="B8" s="12">
        <f>INDEX(База[],MATCH(Сводная_Продажи_Факт[[#This Row],[Обозначение]],База[Обозначение],0),MATCH(B$2,База[#Headers],0))</f>
        <v/>
      </c>
      <c r="C8" s="98" t="n">
        <v>2</v>
      </c>
      <c r="D8" s="125" t="n">
        <v>4491301500</v>
      </c>
      <c r="E8" s="34">
        <f>INDEX(База[],MATCH(Сводная_Продажи_Факт[[#This Row],[Обозначение]],База[Обозначение],0),MATCH(E$2,База[#Headers],0))</f>
        <v/>
      </c>
      <c r="F8" s="122">
        <f t="array" ref="F8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8" s="244">
        <f t="array" ref="G8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8" s="122">
        <f t="array" ref="H8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8" s="244">
        <f t="array" ref="I8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8" s="122">
        <f t="array" ref="J8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8" s="244">
        <f t="array" ref="K8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8" s="122">
        <f t="array" ref="L8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8" s="244">
        <f t="array" ref="M8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8" s="122">
        <f t="array" ref="N8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8" s="244">
        <f t="array" ref="O8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8" s="122">
        <f t="array" ref="P8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8" s="244">
        <f t="array" ref="Q8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8" s="122">
        <f t="array" ref="R8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8" s="244">
        <f t="array" ref="S8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8" s="122">
        <f t="array" ref="T8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8" s="244">
        <f t="array" ref="U8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8" s="122">
        <f t="array" ref="V8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8" s="244">
        <f t="array" ref="W8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8" s="122">
        <f t="array" ref="X8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8" s="244">
        <f t="array" ref="Y8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8" s="122">
        <f t="array" ref="Z8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8" s="244">
        <f t="array" ref="AA8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8" s="122">
        <f t="array" ref="AB8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8" s="244">
        <f t="array" ref="AC8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8" s="123">
        <f>SUM(Сводная_Продажи_Факт[[#This Row],[Январь
прогноз]:[Декабрь
прогноз]])</f>
        <v/>
      </c>
      <c r="AE8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9">
      <c r="A9" s="120">
        <f>ROW()-ROW(Сводная_Продажи_Факт[[#Headers],[№]])</f>
        <v/>
      </c>
      <c r="B9" s="12">
        <f>INDEX(База[],MATCH(Сводная_Продажи_Факт[[#This Row],[Обозначение]],База[Обозначение],0),MATCH(B$2,База[#Headers],0))</f>
        <v/>
      </c>
      <c r="C9" s="98" t="n">
        <v>2</v>
      </c>
      <c r="D9" s="125" t="n">
        <v>4492251200</v>
      </c>
      <c r="E9" s="34">
        <f>INDEX(База[],MATCH(Сводная_Продажи_Факт[[#This Row],[Обозначение]],База[Обозначение],0),MATCH(E$2,База[#Headers],0))</f>
        <v/>
      </c>
      <c r="F9" s="122">
        <f t="array" ref="F9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9" s="244">
        <f t="array" ref="G9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9" s="122">
        <f t="array" ref="H9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9" s="244">
        <f t="array" ref="I9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9" s="122">
        <f t="array" ref="J9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9" s="244">
        <f t="array" ref="K9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9" s="122">
        <f t="array" ref="L9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9" s="244">
        <f t="array" ref="M9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9" s="122">
        <f t="array" ref="N9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9" s="244">
        <f t="array" ref="O9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9" s="122">
        <f t="array" ref="P9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9" s="244">
        <f t="array" ref="Q9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9" s="122">
        <f t="array" ref="R9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9" s="244">
        <f t="array" ref="S9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9" s="122">
        <f t="array" ref="T9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9" s="244">
        <f t="array" ref="U9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9" s="122">
        <f t="array" ref="V9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9" s="244">
        <f t="array" ref="W9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9" s="122">
        <f t="array" ref="X9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9" s="244">
        <f t="array" ref="Y9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9" s="122">
        <f t="array" ref="Z9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9" s="244">
        <f t="array" ref="AA9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9" s="122">
        <f t="array" ref="AB9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9" s="244">
        <f t="array" ref="AC9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9" s="123">
        <f>SUM(Сводная_Продажи_Факт[[#This Row],[Январь
прогноз]:[Декабрь
прогноз]])</f>
        <v/>
      </c>
      <c r="AE9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10">
      <c r="A10" s="120">
        <f>ROW()-ROW(Сводная_Продажи_Факт[[#Headers],[№]])</f>
        <v/>
      </c>
      <c r="B10" s="12">
        <f>INDEX(База[],MATCH(Сводная_Продажи_Факт[[#This Row],[Обозначение]],База[Обозначение],0),MATCH(B$2,База[#Headers],0))</f>
        <v/>
      </c>
      <c r="C10" s="98" t="n">
        <v>2</v>
      </c>
      <c r="D10" s="125" t="n">
        <v>4493702820</v>
      </c>
      <c r="E10" s="34">
        <f>INDEX(База[],MATCH(Сводная_Продажи_Факт[[#This Row],[Обозначение]],База[Обозначение],0),MATCH(E$2,База[#Headers],0))</f>
        <v/>
      </c>
      <c r="F10" s="122">
        <f t="array" ref="F10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10" s="244">
        <f t="array" ref="G10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10" s="122">
        <f t="array" ref="H10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10" s="244">
        <f t="array" ref="I10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10" s="122">
        <f t="array" ref="J10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10" s="244">
        <f t="array" ref="K10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10" s="122">
        <f t="array" ref="L10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10" s="244">
        <f t="array" ref="M10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10" s="122">
        <f t="array" ref="N10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10" s="244">
        <f t="array" ref="O10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10" s="122">
        <f t="array" ref="P10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10" s="244">
        <f t="array" ref="Q10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10" s="122">
        <f t="array" ref="R10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10" s="244">
        <f t="array" ref="S10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10" s="122">
        <f t="array" ref="T10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10" s="244">
        <f t="array" ref="U10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10" s="122">
        <f t="array" ref="V10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10" s="244">
        <f t="array" ref="W10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10" s="122">
        <f t="array" ref="X10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10" s="244">
        <f t="array" ref="Y10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10" s="122">
        <f t="array" ref="Z10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10" s="244">
        <f t="array" ref="AA10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10" s="122">
        <f t="array" ref="AB10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10" s="244">
        <f t="array" ref="AC10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10" s="123">
        <f>SUM(Сводная_Продажи_Факт[[#This Row],[Январь
прогноз]:[Декабрь
прогноз]])</f>
        <v/>
      </c>
      <c r="AE10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11">
      <c r="A11" s="120">
        <f>ROW()-ROW(Сводная_Продажи_Факт[[#Headers],[№]])</f>
        <v/>
      </c>
      <c r="B11" s="12">
        <f>INDEX(База[],MATCH(Сводная_Продажи_Факт[[#This Row],[Обозначение]],База[Обозначение],0),MATCH(B$2,База[#Headers],0))</f>
        <v/>
      </c>
      <c r="C11" s="98" t="n">
        <v>2</v>
      </c>
      <c r="D11" s="98" t="n">
        <v>4493792810</v>
      </c>
      <c r="E11" s="121">
        <f>INDEX(База[],MATCH(Сводная_Продажи_Факт[[#This Row],[Обозначение]],База[Обозначение],0),MATCH(E$2,База[#Headers],0))</f>
        <v/>
      </c>
      <c r="F11" s="122">
        <f t="array" ref="F11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11" s="244">
        <f t="array" ref="G11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11" s="122">
        <f t="array" ref="H11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11" s="244">
        <f t="array" ref="I11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11" s="122">
        <f t="array" ref="J11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11" s="244">
        <f t="array" ref="K11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11" s="122">
        <f t="array" ref="L11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11" s="244">
        <f t="array" ref="M11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11" s="122">
        <f t="array" ref="N11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11" s="244">
        <f t="array" ref="O11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11" s="122">
        <f t="array" ref="P11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11" s="244">
        <f t="array" ref="Q11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11" s="122">
        <f t="array" ref="R11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11" s="244">
        <f t="array" ref="S11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11" s="122">
        <f t="array" ref="T11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11" s="244">
        <f t="array" ref="U11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11" s="122">
        <f t="array" ref="V11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11" s="244">
        <f t="array" ref="W11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11" s="122">
        <f t="array" ref="X11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11" s="244">
        <f t="array" ref="Y11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11" s="122">
        <f t="array" ref="Z11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11" s="244">
        <f t="array" ref="AA11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11" s="122">
        <f t="array" ref="AB11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11" s="244">
        <f t="array" ref="AC11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11" s="123">
        <f>SUM(Сводная_Продажи_Факт[[#This Row],[Январь
прогноз]:[Декабрь
прогноз]])</f>
        <v/>
      </c>
      <c r="AE11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12">
      <c r="A12" s="120">
        <f>ROW()-ROW(Сводная_Продажи_Факт[[#Headers],[№]])</f>
        <v/>
      </c>
      <c r="B12" s="12">
        <f>INDEX(База[],MATCH(Сводная_Продажи_Факт[[#This Row],[Обозначение]],База[Обозначение],0),MATCH(B$2,База[#Headers],0))</f>
        <v/>
      </c>
      <c r="C12" s="98" t="n">
        <v>2</v>
      </c>
      <c r="D12" s="125" t="n">
        <v>4757145000</v>
      </c>
      <c r="E12" s="34">
        <f>INDEX(База[],MATCH(Сводная_Продажи_Факт[[#This Row],[Обозначение]],База[Обозначение],0),MATCH(E$2,База[#Headers],0))</f>
        <v/>
      </c>
      <c r="F12" s="122">
        <f t="array" ref="F12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12" s="244">
        <f t="array" ref="G12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12" s="122">
        <f t="array" ref="H12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12" s="244">
        <f t="array" ref="I12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12" s="122">
        <f t="array" ref="J12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12" s="244">
        <f t="array" ref="K12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12" s="122">
        <f t="array" ref="L12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12" s="244">
        <f t="array" ref="M12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12" s="122">
        <f t="array" ref="N12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12" s="244">
        <f t="array" ref="O12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12" s="122">
        <f t="array" ref="P12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12" s="244">
        <f t="array" ref="Q12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12" s="122">
        <f t="array" ref="R12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12" s="244">
        <f t="array" ref="S12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12" s="122">
        <f t="array" ref="T12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12" s="244">
        <f t="array" ref="U12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12" s="122">
        <f t="array" ref="V12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12" s="244">
        <f t="array" ref="W12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12" s="122">
        <f t="array" ref="X12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12" s="244">
        <f t="array" ref="Y12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12" s="122">
        <f t="array" ref="Z12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12" s="244">
        <f t="array" ref="AA12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12" s="122">
        <f t="array" ref="AB12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12" s="244">
        <f t="array" ref="AC12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12" s="123">
        <f>SUM(Сводная_Продажи_Факт[[#This Row],[Январь
прогноз]:[Декабрь
прогноз]])</f>
        <v/>
      </c>
      <c r="AE12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13" customFormat="1" s="68">
      <c r="A13" s="120">
        <f>ROW()-ROW(Сводная_Продажи_Факт[[#Headers],[№]])</f>
        <v/>
      </c>
      <c r="B13" s="12">
        <f>INDEX(База[],MATCH(Сводная_Продажи_Факт[[#This Row],[Обозначение]],База[Обозначение],0),MATCH(B$2,База[#Headers],0))</f>
        <v/>
      </c>
      <c r="C13" s="98" t="n">
        <v>2</v>
      </c>
      <c r="D13" s="125" t="n">
        <v>4410441010</v>
      </c>
      <c r="E13" s="34">
        <f>INDEX(База[],MATCH(Сводная_Продажи_Факт[[#This Row],[Обозначение]],База[Обозначение],0),MATCH(E$2,База[#Headers],0))</f>
        <v/>
      </c>
      <c r="F13" s="122">
        <f t="array" ref="F13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13" s="244">
        <f t="array" ref="G13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13" s="122">
        <f t="array" ref="H13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13" s="244">
        <f t="array" ref="I13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13" s="122">
        <f t="array" ref="J13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13" s="244">
        <f t="array" ref="K13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13" s="122">
        <f t="array" ref="L13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13" s="244">
        <f t="array" ref="M13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13" s="122">
        <f t="array" ref="N13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13" s="244">
        <f t="array" ref="O13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13" s="122">
        <f t="array" ref="P13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13" s="244">
        <f t="array" ref="Q13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13" s="122">
        <f t="array" ref="R13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13" s="244">
        <f t="array" ref="S13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13" s="122">
        <f t="array" ref="T13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13" s="244">
        <f t="array" ref="U13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13" s="122">
        <f t="array" ref="V13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13" s="244">
        <f t="array" ref="W13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13" s="122">
        <f t="array" ref="X13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13" s="244">
        <f t="array" ref="Y13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13" s="122">
        <f t="array" ref="Z13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13" s="244">
        <f t="array" ref="AA13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13" s="122">
        <f t="array" ref="AB13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13" s="244">
        <f t="array" ref="AC13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13" s="123">
        <f>SUM(Сводная_Продажи_Факт[[#This Row],[Январь
прогноз]:[Декабрь
прогноз]])</f>
        <v/>
      </c>
      <c r="AE13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14" customFormat="1" s="68">
      <c r="A14" s="120">
        <f>ROW()-ROW(Сводная_Продажи_Факт[[#Headers],[№]])</f>
        <v/>
      </c>
      <c r="B14" s="12">
        <f>INDEX(База[],MATCH(Сводная_Продажи_Факт[[#This Row],[Обозначение]],База[Обозначение],0),MATCH(B$2,База[#Headers],0))</f>
        <v/>
      </c>
      <c r="C14" s="98" t="n">
        <v>2</v>
      </c>
      <c r="D14" s="125" t="n">
        <v>4410441020</v>
      </c>
      <c r="E14" s="34">
        <f>INDEX(База[],MATCH(Сводная_Продажи_Факт[[#This Row],[Обозначение]],База[Обозначение],0),MATCH(E$2,База[#Headers],0))</f>
        <v/>
      </c>
      <c r="F14" s="122">
        <f t="array" ref="F14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14" s="244">
        <f t="array" ref="G14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14" s="122">
        <f t="array" ref="H14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14" s="244">
        <f t="array" ref="I14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14" s="122">
        <f t="array" ref="J14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14" s="244">
        <f t="array" ref="K14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14" s="122">
        <f t="array" ref="L14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14" s="244">
        <f t="array" ref="M14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14" s="122">
        <f t="array" ref="N14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14" s="244">
        <f t="array" ref="O14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14" s="122">
        <f t="array" ref="P14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14" s="244">
        <f t="array" ref="Q14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14" s="122">
        <f t="array" ref="R14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14" s="244">
        <f t="array" ref="S14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14" s="122">
        <f t="array" ref="T14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14" s="244">
        <f t="array" ref="U14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14" s="122">
        <f t="array" ref="V14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14" s="244">
        <f t="array" ref="W14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14" s="122">
        <f t="array" ref="X14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14" s="244">
        <f t="array" ref="Y14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14" s="122">
        <f t="array" ref="Z14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14" s="244">
        <f t="array" ref="AA14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14" s="122">
        <f t="array" ref="AB14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14" s="244">
        <f t="array" ref="AC14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14" s="123">
        <f>SUM(Сводная_Продажи_Факт[[#This Row],[Январь
прогноз]:[Декабрь
прогноз]])</f>
        <v/>
      </c>
      <c r="AE14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15" customFormat="1" s="68">
      <c r="A15" s="120">
        <f>ROW()-ROW(Сводная_Продажи_Факт[[#Headers],[№]])</f>
        <v/>
      </c>
      <c r="B15" s="12">
        <f>INDEX(База[],MATCH(Сводная_Продажи_Факт[[#This Row],[Обозначение]],База[Обозначение],0),MATCH(B$2,База[#Headers],0))</f>
        <v/>
      </c>
      <c r="C15" s="98" t="n">
        <v>2</v>
      </c>
      <c r="D15" s="125" t="n">
        <v>4460084042</v>
      </c>
      <c r="E15" s="34">
        <f>INDEX(База[],MATCH(Сводная_Продажи_Факт[[#This Row],[Обозначение]],База[Обозначение],0),MATCH(E$2,База[#Headers],0))</f>
        <v/>
      </c>
      <c r="F15" s="122">
        <f t="array" ref="F15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15" s="244">
        <f t="array" ref="G15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15" s="122">
        <f t="array" ref="H15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15" s="244">
        <f t="array" ref="I15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15" s="122">
        <f t="array" ref="J15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15" s="244">
        <f t="array" ref="K15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15" s="122">
        <f t="array" ref="L15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15" s="244">
        <f t="array" ref="M15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15" s="122">
        <f t="array" ref="N15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15" s="244">
        <f t="array" ref="O15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15" s="122">
        <f t="array" ref="P15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15" s="244">
        <f t="array" ref="Q15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15" s="122">
        <f t="array" ref="R15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15" s="244">
        <f t="array" ref="S15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15" s="122">
        <f t="array" ref="T15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15" s="244">
        <f t="array" ref="U15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15" s="122">
        <f t="array" ref="V15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15" s="244">
        <f t="array" ref="W15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15" s="122">
        <f t="array" ref="X15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15" s="244">
        <f t="array" ref="Y15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15" s="122">
        <f t="array" ref="Z15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15" s="244">
        <f t="array" ref="AA15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15" s="122">
        <f t="array" ref="AB15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15" s="244">
        <f t="array" ref="AC15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15" s="123">
        <f>SUM(Сводная_Продажи_Факт[[#This Row],[Январь
прогноз]:[Декабрь
прогноз]])</f>
        <v/>
      </c>
      <c r="AE15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16" customFormat="1" s="68">
      <c r="A16" s="120">
        <f>ROW()-ROW(Сводная_Продажи_Факт[[#Headers],[№]])</f>
        <v/>
      </c>
      <c r="B16" s="12">
        <f>INDEX(База[],MATCH(Сводная_Продажи_Факт[[#This Row],[Обозначение]],База[Обозначение],0),MATCH(B$2,База[#Headers],0))</f>
        <v/>
      </c>
      <c r="C16" s="98" t="n">
        <v>2</v>
      </c>
      <c r="D16" s="125" t="n">
        <v>4461220530</v>
      </c>
      <c r="E16" s="34">
        <f>INDEX(База[],MATCH(Сводная_Продажи_Факт[[#This Row],[Обозначение]],База[Обозначение],0),MATCH(E$2,База[#Headers],0))</f>
        <v/>
      </c>
      <c r="F16" s="122">
        <f t="array" ref="F16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16" s="244">
        <f t="array" ref="G16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16" s="122">
        <f t="array" ref="H16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16" s="244">
        <f t="array" ref="I16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16" s="122">
        <f t="array" ref="J16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16" s="244">
        <f t="array" ref="K16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16" s="122">
        <f t="array" ref="L16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16" s="244">
        <f t="array" ref="M16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16" s="122">
        <f t="array" ref="N16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16" s="244">
        <f t="array" ref="O16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16" s="122">
        <f t="array" ref="P16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16" s="244">
        <f t="array" ref="Q16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16" s="122">
        <f t="array" ref="R16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16" s="244">
        <f t="array" ref="S16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16" s="122">
        <f t="array" ref="T16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16" s="244">
        <f t="array" ref="U16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16" s="122">
        <f t="array" ref="V16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16" s="244">
        <f t="array" ref="W16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16" s="122">
        <f t="array" ref="X16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16" s="244">
        <f t="array" ref="Y16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16" s="122">
        <f t="array" ref="Z16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16" s="244">
        <f t="array" ref="AA16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16" s="122">
        <f t="array" ref="AB16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16" s="244">
        <f t="array" ref="AC16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16" s="123">
        <f>SUM(Сводная_Продажи_Факт[[#This Row],[Январь
прогноз]:[Декабрь
прогноз]])</f>
        <v/>
      </c>
      <c r="AE16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17" customFormat="1" s="68">
      <c r="A17" s="120">
        <f>ROW()-ROW(Сводная_Продажи_Факт[[#Headers],[№]])</f>
        <v/>
      </c>
      <c r="B17" s="12">
        <f>INDEX(База[],MATCH(Сводная_Продажи_Факт[[#This Row],[Обозначение]],База[Обозначение],0),MATCH(B$2,База[#Headers],0))</f>
        <v/>
      </c>
      <c r="C17" s="98" t="n">
        <v>2</v>
      </c>
      <c r="D17" s="125" t="n">
        <v>4491350250</v>
      </c>
      <c r="E17" s="34">
        <f>INDEX(База[],MATCH(Сводная_Продажи_Факт[[#This Row],[Обозначение]],База[Обозначение],0),MATCH(E$2,База[#Headers],0))</f>
        <v/>
      </c>
      <c r="F17" s="122">
        <f t="array" ref="F17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17" s="244">
        <f t="array" ref="G17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17" s="122">
        <f t="array" ref="H17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17" s="244">
        <f t="array" ref="I17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17" s="122">
        <f t="array" ref="J17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17" s="244">
        <f t="array" ref="K17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17" s="122">
        <f t="array" ref="L17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17" s="244">
        <f t="array" ref="M17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17" s="122">
        <f t="array" ref="N17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17" s="244">
        <f t="array" ref="O17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17" s="122">
        <f t="array" ref="P17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17" s="244">
        <f t="array" ref="Q17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17" s="122">
        <f t="array" ref="R17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17" s="244">
        <f t="array" ref="S17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17" s="122">
        <f t="array" ref="T17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17" s="244">
        <f t="array" ref="U17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17" s="122">
        <f t="array" ref="V17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17" s="244">
        <f t="array" ref="W17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17" s="122">
        <f t="array" ref="X17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17" s="244">
        <f t="array" ref="Y17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17" s="122">
        <f t="array" ref="Z17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17" s="244">
        <f t="array" ref="AA17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17" s="122">
        <f t="array" ref="AB17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17" s="244">
        <f t="array" ref="AC17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17" s="123">
        <f>SUM(Сводная_Продажи_Факт[[#This Row],[Январь
прогноз]:[Декабрь
прогноз]])</f>
        <v/>
      </c>
      <c r="AE17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18" customFormat="1" s="68">
      <c r="A18" s="120">
        <f>ROW()-ROW(Сводная_Продажи_Факт[[#Headers],[№]])</f>
        <v/>
      </c>
      <c r="B18" s="12">
        <f>INDEX(База[],MATCH(Сводная_Продажи_Факт[[#This Row],[Обозначение]],База[Обозначение],0),MATCH(B$2,База[#Headers],0))</f>
        <v/>
      </c>
      <c r="C18" s="98" t="n">
        <v>2</v>
      </c>
      <c r="D18" s="125" t="n">
        <v>4491350600</v>
      </c>
      <c r="E18" s="34">
        <f>INDEX(База[],MATCH(Сводная_Продажи_Факт[[#This Row],[Обозначение]],База[Обозначение],0),MATCH(E$2,База[#Headers],0))</f>
        <v/>
      </c>
      <c r="F18" s="122">
        <f t="array" ref="F18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18" s="244">
        <f t="array" ref="G18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18" s="122">
        <f t="array" ref="H18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18" s="244">
        <f t="array" ref="I18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18" s="122">
        <f t="array" ref="J18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18" s="244">
        <f t="array" ref="K18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18" s="122">
        <f t="array" ref="L18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18" s="244">
        <f t="array" ref="M18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18" s="122">
        <f t="array" ref="N18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18" s="244">
        <f t="array" ref="O18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18" s="122">
        <f t="array" ref="P18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18" s="244">
        <f t="array" ref="Q18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18" s="122">
        <f t="array" ref="R18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18" s="244">
        <f t="array" ref="S18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18" s="122">
        <f t="array" ref="T18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18" s="244">
        <f t="array" ref="U18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18" s="122">
        <f t="array" ref="V18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18" s="244">
        <f t="array" ref="W18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18" s="122">
        <f t="array" ref="X18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18" s="244">
        <f t="array" ref="Y18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18" s="122">
        <f t="array" ref="Z18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18" s="244">
        <f t="array" ref="AA18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18" s="122">
        <f t="array" ref="AB18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18" s="244">
        <f t="array" ref="AC18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18" s="123">
        <f>SUM(Сводная_Продажи_Факт[[#This Row],[Январь
прогноз]:[Декабрь
прогноз]])</f>
        <v/>
      </c>
      <c r="AE18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19">
      <c r="A19" s="120">
        <f>ROW()-ROW(Сводная_Продажи_Факт[[#Headers],[№]])</f>
        <v/>
      </c>
      <c r="B19" s="12">
        <f>INDEX(База[],MATCH(Сводная_Продажи_Факт[[#This Row],[Обозначение]],База[Обозначение],0),MATCH(B$2,База[#Headers],0))</f>
        <v/>
      </c>
      <c r="C19" s="98" t="n">
        <v>2</v>
      </c>
      <c r="D19" s="125" t="n">
        <v>4491351400</v>
      </c>
      <c r="E19" s="34">
        <f>INDEX(База[],MATCH(Сводная_Продажи_Факт[[#This Row],[Обозначение]],База[Обозначение],0),MATCH(E$2,База[#Headers],0))</f>
        <v/>
      </c>
      <c r="F19" s="122">
        <f t="array" ref="F19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19" s="244">
        <f t="array" ref="G19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19" s="122">
        <f t="array" ref="H19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19" s="244">
        <f t="array" ref="I19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19" s="122">
        <f t="array" ref="J19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19" s="244">
        <f t="array" ref="K19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19" s="122">
        <f t="array" ref="L19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19" s="244">
        <f t="array" ref="M19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19" s="122">
        <f t="array" ref="N19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19" s="244">
        <f t="array" ref="O19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19" s="122">
        <f t="array" ref="P19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19" s="244">
        <f t="array" ref="Q19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19" s="122">
        <f t="array" ref="R19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19" s="244">
        <f t="array" ref="S19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19" s="122">
        <f t="array" ref="T19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19" s="244">
        <f t="array" ref="U19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19" s="122">
        <f t="array" ref="V19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19" s="244">
        <f t="array" ref="W19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19" s="122">
        <f t="array" ref="X19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19" s="244">
        <f t="array" ref="Y19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19" s="122">
        <f t="array" ref="Z19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19" s="244">
        <f t="array" ref="AA19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19" s="122">
        <f t="array" ref="AB19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19" s="244">
        <f t="array" ref="AC19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19" s="123">
        <f>SUM(Сводная_Продажи_Факт[[#This Row],[Январь
прогноз]:[Декабрь
прогноз]])</f>
        <v/>
      </c>
      <c r="AE19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20">
      <c r="A20" s="120">
        <f>ROW()-ROW(Сводная_Продажи_Факт[[#Headers],[№]])</f>
        <v/>
      </c>
      <c r="B20" s="12">
        <f>INDEX(База[],MATCH(Сводная_Продажи_Факт[[#This Row],[Обозначение]],База[Обозначение],0),MATCH(B$2,База[#Headers],0))</f>
        <v/>
      </c>
      <c r="C20" s="98" t="n">
        <v>2</v>
      </c>
      <c r="D20" s="125" t="n">
        <v>4491731200</v>
      </c>
      <c r="E20" s="34">
        <f>INDEX(База[],MATCH(Сводная_Продажи_Факт[[#This Row],[Обозначение]],База[Обозначение],0),MATCH(E$2,База[#Headers],0))</f>
        <v/>
      </c>
      <c r="F20" s="122">
        <f t="array" ref="F20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20" s="244">
        <f t="array" ref="G20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20" s="122">
        <f t="array" ref="H20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20" s="244">
        <f t="array" ref="I20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20" s="122">
        <f t="array" ref="J20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20" s="244">
        <f t="array" ref="K20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20" s="122">
        <f t="array" ref="L20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20" s="244">
        <f t="array" ref="M20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20" s="122">
        <f t="array" ref="N20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20" s="244">
        <f t="array" ref="O20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20" s="122">
        <f t="array" ref="P20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20" s="244">
        <f t="array" ref="Q20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20" s="122">
        <f t="array" ref="R20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20" s="244">
        <f t="array" ref="S20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20" s="122">
        <f t="array" ref="T20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20" s="244">
        <f t="array" ref="U20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20" s="122">
        <f t="array" ref="V20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20" s="244">
        <f t="array" ref="W20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20" s="122">
        <f t="array" ref="X20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20" s="244">
        <f t="array" ref="Y20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20" s="122">
        <f t="array" ref="Z20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20" s="244">
        <f t="array" ref="AA20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20" s="122">
        <f t="array" ref="AB20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20" s="244">
        <f t="array" ref="AC20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20" s="123">
        <f>SUM(Сводная_Продажи_Факт[[#This Row],[Январь
прогноз]:[Декабрь
прогноз]])</f>
        <v/>
      </c>
      <c r="AE20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21">
      <c r="A21" s="120">
        <f>ROW()-ROW(Сводная_Продажи_Факт[[#Headers],[№]])</f>
        <v/>
      </c>
      <c r="B21" s="12">
        <f>INDEX(База[],MATCH(Сводная_Продажи_Факт[[#This Row],[Обозначение]],База[Обозначение],0),MATCH(B$2,База[#Headers],0))</f>
        <v/>
      </c>
      <c r="C21" s="98" t="n">
        <v>2</v>
      </c>
      <c r="D21" s="98" t="n">
        <v>4492331400</v>
      </c>
      <c r="E21" s="121">
        <f>INDEX(База[],MATCH(Сводная_Продажи_Факт[[#This Row],[Обозначение]],База[Обозначение],0),MATCH(E$2,База[#Headers],0))</f>
        <v/>
      </c>
      <c r="F21" s="122">
        <f t="array" ref="F21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21" s="244">
        <f t="array" ref="G21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21" s="122">
        <f t="array" ref="H21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21" s="244">
        <f t="array" ref="I21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21" s="122">
        <f t="array" ref="J21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21" s="244">
        <f t="array" ref="K21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21" s="122">
        <f t="array" ref="L21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21" s="244">
        <f t="array" ref="M21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21" s="122">
        <f t="array" ref="N21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21" s="244">
        <f t="array" ref="O21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21" s="122">
        <f t="array" ref="P21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21" s="244">
        <f t="array" ref="Q21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21" s="122">
        <f t="array" ref="R21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21" s="244">
        <f t="array" ref="S21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21" s="122">
        <f t="array" ref="T21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21" s="244">
        <f t="array" ref="U21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21" s="122">
        <f t="array" ref="V21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21" s="244">
        <f t="array" ref="W21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21" s="122">
        <f t="array" ref="X21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21" s="244">
        <f t="array" ref="Y21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21" s="122">
        <f t="array" ref="Z21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21" s="244">
        <f t="array" ref="AA21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21" s="122">
        <f t="array" ref="AB21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21" s="244">
        <f t="array" ref="AC21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21" s="123">
        <f>SUM(Сводная_Продажи_Факт[[#This Row],[Январь
прогноз]:[Декабрь
прогноз]])</f>
        <v/>
      </c>
      <c r="AE21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22">
      <c r="A22" s="120">
        <f>ROW()-ROW(Сводная_Продажи_Факт[[#Headers],[№]])</f>
        <v/>
      </c>
      <c r="B22" s="12">
        <f>INDEX(База[],MATCH(Сводная_Продажи_Факт[[#This Row],[Обозначение]],База[Обозначение],0),MATCH(B$2,База[#Headers],0))</f>
        <v/>
      </c>
      <c r="C22" s="98" t="n">
        <v>2</v>
      </c>
      <c r="D22" s="125" t="n">
        <v>4492331800</v>
      </c>
      <c r="E22" s="34">
        <f>INDEX(База[],MATCH(Сводная_Продажи_Факт[[#This Row],[Обозначение]],База[Обозначение],0),MATCH(E$2,База[#Headers],0))</f>
        <v/>
      </c>
      <c r="F22" s="122">
        <f t="array" ref="F22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22" s="244">
        <f t="array" ref="G22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22" s="122">
        <f t="array" ref="H22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22" s="244">
        <f t="array" ref="I22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22" s="122">
        <f t="array" ref="J22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22" s="244">
        <f t="array" ref="K22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22" s="122">
        <f t="array" ref="L22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22" s="244">
        <f t="array" ref="M22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22" s="122">
        <f t="array" ref="N22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22" s="244">
        <f t="array" ref="O22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22" s="122">
        <f t="array" ref="P22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22" s="244">
        <f t="array" ref="Q22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22" s="122">
        <f t="array" ref="R22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22" s="244">
        <f t="array" ref="S22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22" s="122">
        <f t="array" ref="T22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22" s="244">
        <f t="array" ref="U22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22" s="122">
        <f t="array" ref="V22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22" s="244">
        <f t="array" ref="W22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22" s="122">
        <f t="array" ref="X22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22" s="244">
        <f t="array" ref="Y22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22" s="122">
        <f t="array" ref="Z22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22" s="244">
        <f t="array" ref="AA22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22" s="122">
        <f t="array" ref="AB22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22" s="244">
        <f t="array" ref="AC22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22" s="123">
        <f>SUM(Сводная_Продажи_Факт[[#This Row],[Январь
прогноз]:[Декабрь
прогноз]])</f>
        <v/>
      </c>
      <c r="AE22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23">
      <c r="A23" s="120">
        <f>ROW()-ROW(Сводная_Продажи_Факт[[#Headers],[№]])</f>
        <v/>
      </c>
      <c r="B23" s="12">
        <f>INDEX(База[],MATCH(Сводная_Продажи_Факт[[#This Row],[Обозначение]],База[Обозначение],0),MATCH(B$2,База[#Headers],0))</f>
        <v/>
      </c>
      <c r="C23" s="98" t="n">
        <v>2</v>
      </c>
      <c r="D23" s="125" t="n">
        <v>4492731200</v>
      </c>
      <c r="E23" s="34">
        <f>INDEX(База[],MATCH(Сводная_Продажи_Факт[[#This Row],[Обозначение]],База[Обозначение],0),MATCH(E$2,База[#Headers],0))</f>
        <v/>
      </c>
      <c r="F23" s="122">
        <f t="array" ref="F23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23" s="244">
        <f t="array" ref="G23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23" s="122">
        <f t="array" ref="H23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23" s="244">
        <f t="array" ref="I23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23" s="122">
        <f t="array" ref="J23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23" s="244">
        <f t="array" ref="K23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23" s="122">
        <f t="array" ref="L23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23" s="244">
        <f t="array" ref="M23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23" s="122">
        <f t="array" ref="N23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23" s="244">
        <f t="array" ref="O23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23" s="122">
        <f t="array" ref="P23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23" s="244">
        <f t="array" ref="Q23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23" s="122">
        <f t="array" ref="R23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23" s="244">
        <f t="array" ref="S23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23" s="122">
        <f t="array" ref="T23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23" s="244">
        <f t="array" ref="U23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23" s="122">
        <f t="array" ref="V23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23" s="244">
        <f t="array" ref="W23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23" s="122">
        <f t="array" ref="X23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23" s="244">
        <f t="array" ref="Y23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23" s="122">
        <f t="array" ref="Z23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23" s="244">
        <f t="array" ref="AA23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23" s="122">
        <f t="array" ref="AB23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23" s="244">
        <f t="array" ref="AC23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23" s="123">
        <f>SUM(Сводная_Продажи_Факт[[#This Row],[Январь
прогноз]:[Декабрь
прогноз]])</f>
        <v/>
      </c>
      <c r="AE23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24">
      <c r="A24" s="120">
        <f>ROW()-ROW(Сводная_Продажи_Факт[[#Headers],[№]])</f>
        <v/>
      </c>
      <c r="B24" s="12">
        <f>INDEX(База[],MATCH(Сводная_Продажи_Факт[[#This Row],[Обозначение]],База[Обозначение],0),MATCH(B$2,База[#Headers],0))</f>
        <v/>
      </c>
      <c r="C24" s="98" t="n">
        <v>2</v>
      </c>
      <c r="D24" s="98" t="n">
        <v>4493470800</v>
      </c>
      <c r="E24" s="121">
        <f>INDEX(База[],MATCH(Сводная_Продажи_Факт[[#This Row],[Обозначение]],База[Обозначение],0),MATCH(E$2,База[#Headers],0))</f>
        <v/>
      </c>
      <c r="F24" s="122">
        <f t="array" ref="F24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24" s="244">
        <f t="array" ref="G24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24" s="122">
        <f t="array" ref="H24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24" s="244">
        <f t="array" ref="I24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24" s="122">
        <f t="array" ref="J24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24" s="244">
        <f t="array" ref="K24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24" s="122">
        <f t="array" ref="L24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24" s="244">
        <f t="array" ref="M24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24" s="122">
        <f t="array" ref="N24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24" s="244">
        <f t="array" ref="O24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24" s="122">
        <f t="array" ref="P24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24" s="244">
        <f t="array" ref="Q24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24" s="122">
        <f t="array" ref="R24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24" s="244">
        <f t="array" ref="S24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24" s="122">
        <f t="array" ref="T24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24" s="244">
        <f t="array" ref="U24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24" s="122">
        <f t="array" ref="V24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24" s="244">
        <f t="array" ref="W24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24" s="122">
        <f t="array" ref="X24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24" s="244">
        <f t="array" ref="Y24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24" s="122">
        <f t="array" ref="Z24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24" s="244">
        <f t="array" ref="AA24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24" s="122">
        <f t="array" ref="AB24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24" s="244">
        <f t="array" ref="AC24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24" s="123">
        <f>SUM(Сводная_Продажи_Факт[[#This Row],[Январь
прогноз]:[Декабрь
прогноз]])</f>
        <v/>
      </c>
      <c r="AE24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25">
      <c r="A25" s="120">
        <f>ROW()-ROW(Сводная_Продажи_Факт[[#Headers],[№]])</f>
        <v/>
      </c>
      <c r="B25" s="12">
        <f>INDEX(База[],MATCH(Сводная_Продажи_Факт[[#This Row],[Обозначение]],База[Обозначение],0),MATCH(B$2,База[#Headers],0))</f>
        <v/>
      </c>
      <c r="C25" s="98" t="n">
        <v>2</v>
      </c>
      <c r="D25" s="125" t="n">
        <v>4493711800</v>
      </c>
      <c r="E25" s="34">
        <f>INDEX(База[],MATCH(Сводная_Продажи_Факт[[#This Row],[Обозначение]],База[Обозначение],0),MATCH(E$2,База[#Headers],0))</f>
        <v/>
      </c>
      <c r="F25" s="122">
        <f t="array" ref="F25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25" s="244">
        <f t="array" ref="G25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25" s="122">
        <f t="array" ref="H25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25" s="244">
        <f t="array" ref="I25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25" s="122">
        <f t="array" ref="J25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25" s="244">
        <f t="array" ref="K25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25" s="122">
        <f t="array" ref="L25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25" s="244">
        <f t="array" ref="M25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25" s="122">
        <f t="array" ref="N25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25" s="244">
        <f t="array" ref="O25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25" s="122">
        <f t="array" ref="P25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25" s="244">
        <f t="array" ref="Q25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25" s="122">
        <f t="array" ref="R25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25" s="244">
        <f t="array" ref="S25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25" s="122">
        <f t="array" ref="T25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25" s="244">
        <f t="array" ref="U25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25" s="122">
        <f t="array" ref="V25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25" s="244">
        <f t="array" ref="W25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25" s="122">
        <f t="array" ref="X25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25" s="244">
        <f t="array" ref="Y25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25" s="122">
        <f t="array" ref="Z25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25" s="244">
        <f t="array" ref="AA25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25" s="122">
        <f t="array" ref="AB25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25" s="244">
        <f t="array" ref="AC25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25" s="123">
        <f>SUM(Сводная_Продажи_Факт[[#This Row],[Январь
прогноз]:[Декабрь
прогноз]])</f>
        <v/>
      </c>
      <c r="AE25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26">
      <c r="A26" s="120">
        <f>ROW()-ROW(Сводная_Продажи_Факт[[#Headers],[№]])</f>
        <v/>
      </c>
      <c r="B26" s="12">
        <f>INDEX(База[],MATCH(Сводная_Продажи_Факт[[#This Row],[Обозначение]],База[Обозначение],0),MATCH(B$2,База[#Headers],0))</f>
        <v/>
      </c>
      <c r="C26" s="98" t="n">
        <v>2</v>
      </c>
      <c r="D26" s="125" t="n">
        <v>4494250300</v>
      </c>
      <c r="E26" s="34">
        <f>INDEX(База[],MATCH(Сводная_Продажи_Факт[[#This Row],[Обозначение]],База[Обозначение],0),MATCH(E$2,База[#Headers],0))</f>
        <v/>
      </c>
      <c r="F26" s="122">
        <f t="array" ref="F26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26" s="244">
        <f t="array" ref="G26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26" s="122">
        <f t="array" ref="H26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26" s="244">
        <f t="array" ref="I26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26" s="122">
        <f t="array" ref="J26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26" s="244">
        <f t="array" ref="K26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26" s="122">
        <f t="array" ref="L26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26" s="244">
        <f t="array" ref="M26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26" s="122">
        <f t="array" ref="N26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26" s="244">
        <f t="array" ref="O26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26" s="122">
        <f t="array" ref="P26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26" s="244">
        <f t="array" ref="Q26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26" s="122">
        <f t="array" ref="R26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26" s="244">
        <f t="array" ref="S26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26" s="122">
        <f t="array" ref="T26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26" s="244">
        <f t="array" ref="U26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26" s="122">
        <f t="array" ref="V26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26" s="244">
        <f t="array" ref="W26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26" s="122">
        <f t="array" ref="X26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26" s="244">
        <f t="array" ref="Y26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26" s="122">
        <f t="array" ref="Z26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26" s="244">
        <f t="array" ref="AA26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26" s="122">
        <f t="array" ref="AB26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26" s="244">
        <f t="array" ref="AC26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26" s="123">
        <f>SUM(Сводная_Продажи_Факт[[#This Row],[Январь
прогноз]:[Декабрь
прогноз]])</f>
        <v/>
      </c>
      <c r="AE26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27">
      <c r="A27" s="120">
        <f>ROW()-ROW(Сводная_Продажи_Факт[[#Headers],[№]])</f>
        <v/>
      </c>
      <c r="B27" s="12">
        <f>INDEX(База[],MATCH(Сводная_Продажи_Факт[[#This Row],[Обозначение]],База[Обозначение],0),MATCH(B$2,База[#Headers],0))</f>
        <v/>
      </c>
      <c r="C27" s="98" t="n">
        <v>2</v>
      </c>
      <c r="D27" s="125" t="n">
        <v>4494250600</v>
      </c>
      <c r="E27" s="34">
        <f>INDEX(База[],MATCH(Сводная_Продажи_Факт[[#This Row],[Обозначение]],База[Обозначение],0),MATCH(E$2,База[#Headers],0))</f>
        <v/>
      </c>
      <c r="F27" s="122">
        <f t="array" ref="F27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27" s="244">
        <f t="array" ref="G27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27" s="122">
        <f t="array" ref="H27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27" s="244">
        <f t="array" ref="I27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27" s="122">
        <f t="array" ref="J27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27" s="244">
        <f t="array" ref="K27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27" s="122">
        <f t="array" ref="L27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27" s="244">
        <f t="array" ref="M27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27" s="122">
        <f t="array" ref="N27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27" s="244">
        <f t="array" ref="O27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27" s="122">
        <f t="array" ref="P27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27" s="244">
        <f t="array" ref="Q27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27" s="122">
        <f t="array" ref="R27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27" s="244">
        <f t="array" ref="S27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27" s="122">
        <f t="array" ref="T27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27" s="244">
        <f t="array" ref="U27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27" s="122">
        <f t="array" ref="V27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27" s="244">
        <f t="array" ref="W27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27" s="122">
        <f t="array" ref="X27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27" s="244">
        <f t="array" ref="Y27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27" s="122">
        <f t="array" ref="Z27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27" s="244">
        <f t="array" ref="AA27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27" s="122">
        <f t="array" ref="AB27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27" s="244">
        <f t="array" ref="AC27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27" s="123">
        <f>SUM(Сводная_Продажи_Факт[[#This Row],[Январь
прогноз]:[Декабрь
прогноз]])</f>
        <v/>
      </c>
      <c r="AE27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28">
      <c r="A28" s="120">
        <f>ROW()-ROW(Сводная_Продажи_Факт[[#Headers],[№]])</f>
        <v/>
      </c>
      <c r="B28" s="12">
        <f>INDEX(База[],MATCH(Сводная_Продажи_Факт[[#This Row],[Обозначение]],База[Обозначение],0),MATCH(B$2,База[#Headers],0))</f>
        <v/>
      </c>
      <c r="C28" s="98" t="n">
        <v>2</v>
      </c>
      <c r="D28" s="125" t="n">
        <v>4494290800</v>
      </c>
      <c r="E28" s="34">
        <f>INDEX(База[],MATCH(Сводная_Продажи_Факт[[#This Row],[Обозначение]],База[Обозначение],0),MATCH(E$2,База[#Headers],0))</f>
        <v/>
      </c>
      <c r="F28" s="122">
        <f t="array" ref="F28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28" s="244">
        <f t="array" ref="G28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28" s="122">
        <f t="array" ref="H28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28" s="244">
        <f t="array" ref="I28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28" s="122">
        <f t="array" ref="J28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28" s="244">
        <f t="array" ref="K28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28" s="122">
        <f t="array" ref="L28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28" s="244">
        <f t="array" ref="M28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28" s="122">
        <f t="array" ref="N28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28" s="244">
        <f t="array" ref="O28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28" s="122">
        <f t="array" ref="P28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28" s="244">
        <f t="array" ref="Q28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28" s="122">
        <f t="array" ref="R28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28" s="244">
        <f t="array" ref="S28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28" s="122">
        <f t="array" ref="T28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28" s="244">
        <f t="array" ref="U28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28" s="122">
        <f t="array" ref="V28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28" s="244">
        <f t="array" ref="W28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28" s="122">
        <f t="array" ref="X28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28" s="244">
        <f t="array" ref="Y28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28" s="122">
        <f t="array" ref="Z28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28" s="244">
        <f t="array" ref="AA28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28" s="122">
        <f t="array" ref="AB28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28" s="244">
        <f t="array" ref="AC28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28" s="123">
        <f>SUM(Сводная_Продажи_Факт[[#This Row],[Январь
прогноз]:[Декабрь
прогноз]])</f>
        <v/>
      </c>
      <c r="AE28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29">
      <c r="A29" s="120">
        <f>ROW()-ROW(Сводная_Продажи_Факт[[#Headers],[№]])</f>
        <v/>
      </c>
      <c r="B29" s="12">
        <f>INDEX(База[],MATCH(Сводная_Продажи_Факт[[#This Row],[Обозначение]],База[Обозначение],0),MATCH(B$2,База[#Headers],0))</f>
        <v/>
      </c>
      <c r="C29" s="98" t="n">
        <v>2</v>
      </c>
      <c r="D29" s="125" t="n">
        <v>4494291300</v>
      </c>
      <c r="E29" s="34">
        <f>INDEX(База[],MATCH(Сводная_Продажи_Факт[[#This Row],[Обозначение]],База[Обозначение],0),MATCH(E$2,База[#Headers],0))</f>
        <v/>
      </c>
      <c r="F29" s="122">
        <f t="array" ref="F29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29" s="244">
        <f t="array" ref="G29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29" s="122">
        <f t="array" ref="H29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29" s="244">
        <f t="array" ref="I29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29" s="122">
        <f t="array" ref="J29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29" s="244">
        <f t="array" ref="K29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29" s="122">
        <f t="array" ref="L29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29" s="244">
        <f t="array" ref="M29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29" s="122">
        <f t="array" ref="N29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29" s="244">
        <f t="array" ref="O29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29" s="122">
        <f t="array" ref="P29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29" s="244">
        <f t="array" ref="Q29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29" s="122">
        <f t="array" ref="R29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29" s="244">
        <f t="array" ref="S29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29" s="122">
        <f t="array" ref="T29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29" s="244">
        <f t="array" ref="U29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29" s="122">
        <f t="array" ref="V29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29" s="244">
        <f t="array" ref="W29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29" s="122">
        <f t="array" ref="X29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29" s="244">
        <f t="array" ref="Y29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29" s="122">
        <f t="array" ref="Z29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29" s="244">
        <f t="array" ref="AA29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29" s="122">
        <f t="array" ref="AB29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29" s="244">
        <f t="array" ref="AC29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29" s="123">
        <f>SUM(Сводная_Продажи_Факт[[#This Row],[Январь
прогноз]:[Декабрь
прогноз]])</f>
        <v/>
      </c>
      <c r="AE29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30">
      <c r="A30" s="120">
        <f>ROW()-ROW(Сводная_Продажи_Факт[[#Headers],[№]])</f>
        <v/>
      </c>
      <c r="B30" s="12">
        <f>INDEX(База[],MATCH(Сводная_Продажи_Факт[[#This Row],[Обозначение]],База[Обозначение],0),MATCH(B$2,База[#Headers],0))</f>
        <v/>
      </c>
      <c r="C30" s="98" t="n">
        <v>2</v>
      </c>
      <c r="D30" s="98" t="n">
        <v>4495351500</v>
      </c>
      <c r="E30" s="121">
        <f>INDEX(База[],MATCH(Сводная_Продажи_Факт[[#This Row],[Обозначение]],База[Обозначение],0),MATCH(E$2,База[#Headers],0))</f>
        <v/>
      </c>
      <c r="F30" s="122">
        <f t="array" ref="F30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30" s="244">
        <f t="array" ref="G30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30" s="122">
        <f t="array" ref="H30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30" s="244">
        <f t="array" ref="I30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30" s="122">
        <f t="array" ref="J30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30" s="244">
        <f t="array" ref="K30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30" s="122">
        <f t="array" ref="L30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30" s="244">
        <f t="array" ref="M30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30" s="122">
        <f t="array" ref="N30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30" s="244">
        <f t="array" ref="O30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30" s="122">
        <f t="array" ref="P30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30" s="244">
        <f t="array" ref="Q30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30" s="122">
        <f t="array" ref="R30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30" s="244">
        <f t="array" ref="S30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30" s="122">
        <f t="array" ref="T30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30" s="244">
        <f t="array" ref="U30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30" s="122">
        <f t="array" ref="V30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30" s="244">
        <f t="array" ref="W30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30" s="122">
        <f t="array" ref="X30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30" s="244">
        <f t="array" ref="Y30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30" s="122">
        <f t="array" ref="Z30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30" s="244">
        <f t="array" ref="AA30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30" s="122">
        <f t="array" ref="AB30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30" s="244">
        <f t="array" ref="AC30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30" s="123">
        <f>SUM(Сводная_Продажи_Факт[[#This Row],[Январь
прогноз]:[Декабрь
прогноз]])</f>
        <v/>
      </c>
      <c r="AE30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31">
      <c r="A31" s="120">
        <f>ROW()-ROW(Сводная_Продажи_Факт[[#Headers],[№]])</f>
        <v/>
      </c>
      <c r="B31" s="12">
        <f>INDEX(База[],MATCH(Сводная_Продажи_Факт[[#This Row],[Обозначение]],База[Обозначение],0),MATCH(B$2,База[#Headers],0))</f>
        <v/>
      </c>
      <c r="C31" s="98" t="n">
        <v>2</v>
      </c>
      <c r="D31" s="98" t="n">
        <v>4497230300</v>
      </c>
      <c r="E31" s="121">
        <f>INDEX(База[],MATCH(Сводная_Продажи_Факт[[#This Row],[Обозначение]],База[Обозначение],0),MATCH(E$2,База[#Headers],0))</f>
        <v/>
      </c>
      <c r="F31" s="122">
        <f t="array" ref="F31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31" s="244">
        <f t="array" ref="G31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31" s="122">
        <f t="array" ref="H31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31" s="244">
        <f t="array" ref="I31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31" s="122">
        <f t="array" ref="J31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31" s="244">
        <f t="array" ref="K31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31" s="122">
        <f t="array" ref="L31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31" s="244">
        <f t="array" ref="M31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31" s="122">
        <f t="array" ref="N31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31" s="244">
        <f t="array" ref="O31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31" s="122">
        <f t="array" ref="P31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31" s="244">
        <f t="array" ref="Q31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31" s="122">
        <f t="array" ref="R31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31" s="244">
        <f t="array" ref="S31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31" s="122">
        <f t="array" ref="T31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31" s="244">
        <f t="array" ref="U31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31" s="122">
        <f t="array" ref="V31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31" s="244">
        <f t="array" ref="W31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31" s="122">
        <f t="array" ref="X31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31" s="244">
        <f t="array" ref="Y31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31" s="122">
        <f t="array" ref="Z31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31" s="244">
        <f t="array" ref="AA31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31" s="122">
        <f t="array" ref="AB31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31" s="244">
        <f t="array" ref="AC31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31" s="123">
        <f>SUM(Сводная_Продажи_Факт[[#This Row],[Январь
прогноз]:[Декабрь
прогноз]])</f>
        <v/>
      </c>
      <c r="AE31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32">
      <c r="A32" s="120">
        <f>ROW()-ROW(Сводная_Продажи_Факт[[#Headers],[№]])</f>
        <v/>
      </c>
      <c r="B32" s="12">
        <f>INDEX(База[],MATCH(Сводная_Продажи_Факт[[#This Row],[Обозначение]],База[Обозначение],0),MATCH(B$2,База[#Headers],0))</f>
        <v/>
      </c>
      <c r="C32" s="98" t="n">
        <v>2</v>
      </c>
      <c r="D32" s="98" t="n">
        <v>4498120300</v>
      </c>
      <c r="E32" s="121">
        <f>INDEX(База[],MATCH(Сводная_Продажи_Факт[[#This Row],[Обозначение]],База[Обозначение],0),MATCH(E$2,База[#Headers],0))</f>
        <v/>
      </c>
      <c r="F32" s="122">
        <f t="array" ref="F32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32" s="244">
        <f t="array" ref="G32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32" s="122">
        <f t="array" ref="H32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32" s="244">
        <f t="array" ref="I32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32" s="122">
        <f t="array" ref="J32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32" s="244">
        <f t="array" ref="K32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32" s="122">
        <f t="array" ref="L32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32" s="244">
        <f t="array" ref="M32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32" s="122">
        <f t="array" ref="N32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32" s="244">
        <f t="array" ref="O32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32" s="122">
        <f t="array" ref="P32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32" s="244">
        <f t="array" ref="Q32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32" s="122">
        <f t="array" ref="R32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32" s="244">
        <f t="array" ref="S32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32" s="122">
        <f t="array" ref="T32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32" s="244">
        <f t="array" ref="U32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32" s="122">
        <f t="array" ref="V32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32" s="244">
        <f t="array" ref="W32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32" s="122">
        <f t="array" ref="X32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32" s="244">
        <f t="array" ref="Y32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32" s="122">
        <f t="array" ref="Z32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32" s="244">
        <f t="array" ref="AA32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32" s="122">
        <f t="array" ref="AB32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32" s="244">
        <f t="array" ref="AC32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32" s="123">
        <f>SUM(Сводная_Продажи_Факт[[#This Row],[Январь
прогноз]:[Декабрь
прогноз]])</f>
        <v/>
      </c>
      <c r="AE32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33">
      <c r="A33" s="120">
        <f>ROW()-ROW(Сводная_Продажи_Факт[[#Headers],[№]])</f>
        <v/>
      </c>
      <c r="B33" s="12">
        <f>INDEX(База[],MATCH(Сводная_Продажи_Факт[[#This Row],[Обозначение]],База[Обозначение],0),MATCH(B$2,База[#Headers],0))</f>
        <v/>
      </c>
      <c r="C33" s="98" t="n">
        <v>2</v>
      </c>
      <c r="D33" s="98" t="n">
        <v>4615130020</v>
      </c>
      <c r="E33" s="121">
        <f>INDEX(База[],MATCH(Сводная_Продажи_Факт[[#This Row],[Обозначение]],База[Обозначение],0),MATCH(E$2,База[#Headers],0))</f>
        <v/>
      </c>
      <c r="F33" s="122">
        <f t="array" ref="F33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33" s="244">
        <f t="array" ref="G33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33" s="122">
        <f t="array" ref="H33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33" s="244">
        <f t="array" ref="I33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33" s="122">
        <f t="array" ref="J33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33" s="244">
        <f t="array" ref="K33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33" s="122">
        <f t="array" ref="L33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33" s="244">
        <f t="array" ref="M33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33" s="122">
        <f t="array" ref="N33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33" s="244">
        <f t="array" ref="O33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33" s="122">
        <f t="array" ref="P33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33" s="244">
        <f t="array" ref="Q33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33" s="122">
        <f t="array" ref="R33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33" s="244">
        <f t="array" ref="S33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33" s="122">
        <f t="array" ref="T33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33" s="244">
        <f t="array" ref="U33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33" s="122">
        <f t="array" ref="V33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33" s="244">
        <f t="array" ref="W33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33" s="122">
        <f t="array" ref="X33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33" s="244">
        <f t="array" ref="Y33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33" s="122">
        <f t="array" ref="Z33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33" s="244">
        <f t="array" ref="AA33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33" s="122">
        <f t="array" ref="AB33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33" s="244">
        <f t="array" ref="AC33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33" s="123">
        <f>SUM(Сводная_Продажи_Факт[[#This Row],[Январь
прогноз]:[Декабрь
прогноз]])</f>
        <v/>
      </c>
      <c r="AE33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34">
      <c r="A34" s="120">
        <f>ROW()-ROW(Сводная_Продажи_Факт[[#Headers],[№]])</f>
        <v/>
      </c>
      <c r="B34" s="12">
        <f>INDEX(База[],MATCH(Сводная_Продажи_Факт[[#This Row],[Обозначение]],База[Обозначение],0),MATCH(B$2,База[#Headers],0))</f>
        <v/>
      </c>
      <c r="C34" s="98" t="n">
        <v>2</v>
      </c>
      <c r="D34" s="125" t="n">
        <v>4801020640</v>
      </c>
      <c r="E34" s="34">
        <f>INDEX(База[],MATCH(Сводная_Продажи_Факт[[#This Row],[Обозначение]],База[Обозначение],0),MATCH(E$2,База[#Headers],0))</f>
        <v/>
      </c>
      <c r="F34" s="122">
        <f t="array" ref="F34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34" s="244">
        <f t="array" ref="G34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34" s="122">
        <f t="array" ref="H34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34" s="244">
        <f t="array" ref="I34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34" s="122">
        <f t="array" ref="J34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34" s="244">
        <f t="array" ref="K34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34" s="122">
        <f t="array" ref="L34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34" s="244">
        <f t="array" ref="M34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34" s="122">
        <f t="array" ref="N34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34" s="244">
        <f t="array" ref="O34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34" s="122">
        <f t="array" ref="P34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34" s="244">
        <f t="array" ref="Q34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34" s="122">
        <f t="array" ref="R34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34" s="244">
        <f t="array" ref="S34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34" s="122">
        <f t="array" ref="T34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34" s="244">
        <f t="array" ref="U34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34" s="122">
        <f t="array" ref="V34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34" s="244">
        <f t="array" ref="W34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34" s="122">
        <f t="array" ref="X34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34" s="244">
        <f t="array" ref="Y34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34" s="122">
        <f t="array" ref="Z34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34" s="244">
        <f t="array" ref="AA34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34" s="122">
        <f t="array" ref="AB34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34" s="244">
        <f t="array" ref="AC34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34" s="123">
        <f>SUM(Сводная_Продажи_Факт[[#This Row],[Январь
прогноз]:[Декабрь
прогноз]])</f>
        <v/>
      </c>
      <c r="AE34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35">
      <c r="A35" s="120">
        <f>ROW()-ROW(Сводная_Продажи_Факт[[#Headers],[№]])</f>
        <v/>
      </c>
      <c r="B35" s="12">
        <f>INDEX(База[],MATCH(Сводная_Продажи_Факт[[#This Row],[Обозначение]],База[Обозначение],0),MATCH(B$2,База[#Headers],0))</f>
        <v/>
      </c>
      <c r="C35" s="98" t="n">
        <v>2</v>
      </c>
      <c r="D35" s="125" t="n">
        <v>4802070010</v>
      </c>
      <c r="E35" s="34">
        <f>INDEX(База[],MATCH(Сводная_Продажи_Факт[[#This Row],[Обозначение]],База[Обозначение],0),MATCH(E$2,База[#Headers],0))</f>
        <v/>
      </c>
      <c r="F35" s="122">
        <f t="array" ref="F35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35" s="244">
        <f t="array" ref="G35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35" s="122">
        <f t="array" ref="H35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35" s="244">
        <f t="array" ref="I35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35" s="122">
        <f t="array" ref="J35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35" s="244">
        <f t="array" ref="K35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35" s="122">
        <f t="array" ref="L35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35" s="244">
        <f t="array" ref="M35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35" s="122">
        <f t="array" ref="N35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35" s="244">
        <f t="array" ref="O35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35" s="122">
        <f t="array" ref="P35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35" s="244">
        <f t="array" ref="Q35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35" s="122">
        <f t="array" ref="R35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35" s="244">
        <f t="array" ref="S35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35" s="122">
        <f t="array" ref="T35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35" s="244">
        <f t="array" ref="U35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35" s="122">
        <f t="array" ref="V35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35" s="244">
        <f t="array" ref="W35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35" s="122">
        <f t="array" ref="X35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35" s="244">
        <f t="array" ref="Y35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35" s="122">
        <f t="array" ref="Z35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35" s="244">
        <f t="array" ref="AA35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35" s="122">
        <f t="array" ref="AB35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35" s="244">
        <f t="array" ref="AC35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35" s="123">
        <f>SUM(Сводная_Продажи_Факт[[#This Row],[Январь
прогноз]:[Декабрь
прогноз]])</f>
        <v/>
      </c>
      <c r="AE35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36">
      <c r="A36" s="120">
        <f>ROW()-ROW(Сводная_Продажи_Факт[[#Headers],[№]])</f>
        <v/>
      </c>
      <c r="B36" s="12">
        <f>INDEX(База[],MATCH(Сводная_Продажи_Факт[[#This Row],[Обозначение]],База[Обозначение],0),MATCH(B$2,База[#Headers],0))</f>
        <v/>
      </c>
      <c r="C36" s="98" t="n">
        <v>2</v>
      </c>
      <c r="D36" s="125" t="n">
        <v>8946000320</v>
      </c>
      <c r="E36" s="34">
        <f>INDEX(База[],MATCH(Сводная_Продажи_Факт[[#This Row],[Обозначение]],База[Обозначение],0),MATCH(E$2,База[#Headers],0))</f>
        <v/>
      </c>
      <c r="F36" s="122">
        <f t="array" ref="F36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36" s="244">
        <f t="array" ref="G36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36" s="122">
        <f t="array" ref="H36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36" s="244">
        <f t="array" ref="I36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36" s="122">
        <f t="array" ref="J36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36" s="244">
        <f t="array" ref="K36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36" s="122">
        <f t="array" ref="L36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36" s="244">
        <f t="array" ref="M36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36" s="122">
        <f t="array" ref="N36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36" s="244">
        <f t="array" ref="O36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36" s="122">
        <f t="array" ref="P36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36" s="244">
        <f t="array" ref="Q36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36" s="122">
        <f t="array" ref="R36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36" s="244">
        <f t="array" ref="S36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36" s="122">
        <f t="array" ref="T36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36" s="244">
        <f t="array" ref="U36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36" s="122">
        <f t="array" ref="V36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36" s="244">
        <f t="array" ref="W36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36" s="122">
        <f t="array" ref="X36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36" s="244">
        <f t="array" ref="Y36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36" s="122">
        <f t="array" ref="Z36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36" s="244">
        <f t="array" ref="AA36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36" s="122">
        <f t="array" ref="AB36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36" s="244">
        <f t="array" ref="AC36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36" s="123">
        <f>SUM(Сводная_Продажи_Факт[[#This Row],[Январь
прогноз]:[Декабрь
прогноз]])</f>
        <v/>
      </c>
      <c r="AE36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37">
      <c r="A37" s="120">
        <f>ROW()-ROW(Сводная_Продажи_Факт[[#Headers],[№]])</f>
        <v/>
      </c>
      <c r="B37" s="12">
        <f>INDEX(База[],MATCH(Сводная_Продажи_Факт[[#This Row],[Обозначение]],База[Обозначение],0),MATCH(B$2,База[#Headers],0))</f>
        <v/>
      </c>
      <c r="C37" s="98" t="n">
        <v>2</v>
      </c>
      <c r="D37" s="98" t="inlineStr">
        <is>
          <t>480102030R</t>
        </is>
      </c>
      <c r="E37" s="121">
        <f>INDEX(База[],MATCH(Сводная_Продажи_Факт[[#This Row],[Обозначение]],База[Обозначение],0),MATCH(E$2,База[#Headers],0))</f>
        <v/>
      </c>
      <c r="F37" s="122">
        <f t="array" ref="F37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37" s="244">
        <f t="array" ref="G37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37" s="122">
        <f t="array" ref="H37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37" s="244">
        <f t="array" ref="I37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37" s="122">
        <f t="array" ref="J37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37" s="244">
        <f t="array" ref="K37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37" s="122">
        <f t="array" ref="L37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37" s="244">
        <f t="array" ref="M37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37" s="122">
        <f t="array" ref="N37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37" s="244">
        <f t="array" ref="O37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37" s="122">
        <f t="array" ref="P37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37" s="244">
        <f t="array" ref="Q37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37" s="122">
        <f t="array" ref="R37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37" s="244">
        <f t="array" ref="S37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37" s="122">
        <f t="array" ref="T37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37" s="244">
        <f t="array" ref="U37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37" s="122">
        <f t="array" ref="V37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37" s="244">
        <f t="array" ref="W37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37" s="122">
        <f t="array" ref="X37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37" s="244">
        <f t="array" ref="Y37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37" s="122">
        <f t="array" ref="Z37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37" s="244">
        <f t="array" ref="AA37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37" s="122">
        <f t="array" ref="AB37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37" s="244">
        <f t="array" ref="AC37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37" s="123">
        <f>SUM(Сводная_Продажи_Факт[[#This Row],[Январь
прогноз]:[Декабрь
прогноз]])</f>
        <v/>
      </c>
      <c r="AE37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38">
      <c r="A38" s="120">
        <f>ROW()-ROW(Сводная_Продажи_Факт[[#Headers],[№]])</f>
        <v/>
      </c>
      <c r="B38" s="12">
        <f>INDEX(База[],MATCH(Сводная_Продажи_Факт[[#This Row],[Обозначение]],База[Обозначение],0),MATCH(B$2,База[#Headers],0))</f>
        <v/>
      </c>
      <c r="C38" s="98" t="n">
        <v>2</v>
      </c>
      <c r="D38" s="98" t="inlineStr">
        <is>
          <t>480102060R</t>
        </is>
      </c>
      <c r="E38" s="121">
        <f>INDEX(База[],MATCH(Сводная_Продажи_Факт[[#This Row],[Обозначение]],База[Обозначение],0),MATCH(E$2,База[#Headers],0))</f>
        <v/>
      </c>
      <c r="F38" s="122">
        <f t="array" ref="F38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38" s="244">
        <f t="array" ref="G38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38" s="122">
        <f t="array" ref="H38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38" s="244">
        <f t="array" ref="I38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38" s="122">
        <f t="array" ref="J38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38" s="244">
        <f t="array" ref="K38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38" s="122">
        <f t="array" ref="L38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38" s="244">
        <f t="array" ref="M38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38" s="122">
        <f t="array" ref="N38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38" s="244">
        <f t="array" ref="O38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38" s="122">
        <f t="array" ref="P38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38" s="244">
        <f t="array" ref="Q38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38" s="122">
        <f t="array" ref="R38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38" s="244">
        <f t="array" ref="S38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38" s="122">
        <f t="array" ref="T38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38" s="244">
        <f t="array" ref="U38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38" s="122">
        <f t="array" ref="V38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38" s="244">
        <f t="array" ref="W38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38" s="122">
        <f t="array" ref="X38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38" s="244">
        <f t="array" ref="Y38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38" s="122">
        <f t="array" ref="Z38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38" s="244">
        <f t="array" ref="AA38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38" s="122">
        <f t="array" ref="AB38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38" s="244">
        <f t="array" ref="AC38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38" s="123">
        <f>SUM(Сводная_Продажи_Факт[[#This Row],[Январь
прогноз]:[Декабрь
прогноз]])</f>
        <v/>
      </c>
      <c r="AE38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39">
      <c r="A39" s="120">
        <f>ROW()-ROW(Сводная_Продажи_Факт[[#Headers],[№]])</f>
        <v/>
      </c>
      <c r="B39" s="12">
        <f>INDEX(База[],MATCH(Сводная_Продажи_Факт[[#This Row],[Обозначение]],База[Обозначение],0),MATCH(B$2,База[#Headers],0))</f>
        <v/>
      </c>
      <c r="C39" s="98" t="n">
        <v>2</v>
      </c>
      <c r="D39" s="98" t="n">
        <v>4334010030</v>
      </c>
      <c r="E39" s="121">
        <f>INDEX(База[],MATCH(Сводная_Продажи_Факт[[#This Row],[Обозначение]],База[Обозначение],0),MATCH(E$2,База[#Headers],0))</f>
        <v/>
      </c>
      <c r="F39" s="122">
        <f t="array" ref="F39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39" s="244">
        <f t="array" ref="G39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39" s="122">
        <f t="array" ref="H39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39" s="244">
        <f t="array" ref="I39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39" s="122">
        <f t="array" ref="J39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39" s="244">
        <f t="array" ref="K39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39" s="122">
        <f t="array" ref="L39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39" s="244">
        <f t="array" ref="M39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39" s="122">
        <f t="array" ref="N39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39" s="244">
        <f t="array" ref="O39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39" s="122">
        <f t="array" ref="P39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39" s="244">
        <f t="array" ref="Q39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39" s="122">
        <f t="array" ref="R39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39" s="244">
        <f t="array" ref="S39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39" s="122">
        <f t="array" ref="T39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39" s="244">
        <f t="array" ref="U39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39" s="122">
        <f t="array" ref="V39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39" s="244">
        <f t="array" ref="W39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39" s="122">
        <f t="array" ref="X39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39" s="244">
        <f t="array" ref="Y39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39" s="122">
        <f t="array" ref="Z39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39" s="244">
        <f t="array" ref="AA39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39" s="122">
        <f t="array" ref="AB39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39" s="244">
        <f t="array" ref="AC39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39" s="123">
        <f>SUM(Сводная_Продажи_Факт[[#This Row],[Январь
прогноз]:[Декабрь
прогноз]])</f>
        <v/>
      </c>
      <c r="AE39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40">
      <c r="A40" s="120">
        <f>ROW()-ROW(Сводная_Продажи_Факт[[#Headers],[№]])</f>
        <v/>
      </c>
      <c r="B40" s="12">
        <f>INDEX(База[],MATCH(Сводная_Продажи_Факт[[#This Row],[Обозначение]],База[Обозначение],0),MATCH(B$2,База[#Headers],0))</f>
        <v/>
      </c>
      <c r="C40" s="98" t="n">
        <v>2</v>
      </c>
      <c r="D40" s="125" t="n">
        <v>4630320200</v>
      </c>
      <c r="E40" s="34">
        <f>INDEX(База[],MATCH(Сводная_Продажи_Факт[[#This Row],[Обозначение]],База[Обозначение],0),MATCH(E$2,База[#Headers],0))</f>
        <v/>
      </c>
      <c r="F40" s="122">
        <f t="array" ref="F40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40" s="244">
        <f t="array" ref="G40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40" s="122">
        <f t="array" ref="H40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40" s="244">
        <f t="array" ref="I40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40" s="122">
        <f t="array" ref="J40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40" s="244">
        <f t="array" ref="K40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40" s="122">
        <f t="array" ref="L40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40" s="244">
        <f t="array" ref="M40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40" s="122">
        <f t="array" ref="N40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40" s="244">
        <f t="array" ref="O40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40" s="122">
        <f t="array" ref="P40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40" s="244">
        <f t="array" ref="Q40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40" s="122">
        <f t="array" ref="R40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40" s="244">
        <f t="array" ref="S40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40" s="122">
        <f t="array" ref="T40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40" s="244">
        <f t="array" ref="U40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40" s="122">
        <f t="array" ref="V40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40" s="244">
        <f t="array" ref="W40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40" s="122">
        <f t="array" ref="X40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40" s="244">
        <f t="array" ref="Y40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40" s="122">
        <f t="array" ref="Z40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40" s="244">
        <f t="array" ref="AA40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40" s="122">
        <f t="array" ref="AB40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40" s="244">
        <f t="array" ref="AC40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40" s="123">
        <f>SUM(Сводная_Продажи_Факт[[#This Row],[Январь
прогноз]:[Декабрь
прогноз]])</f>
        <v/>
      </c>
      <c r="AE40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41">
      <c r="A41" s="120">
        <f>ROW()-ROW(Сводная_Продажи_Факт[[#Headers],[№]])</f>
        <v/>
      </c>
      <c r="B41" s="12">
        <f>INDEX(База[],MATCH(Сводная_Продажи_Факт[[#This Row],[Обозначение]],База[Обозначение],0),MATCH(B$2,База[#Headers],0))</f>
        <v/>
      </c>
      <c r="C41" s="98" t="n">
        <v>2</v>
      </c>
      <c r="D41" s="125" t="n">
        <v>4640061000</v>
      </c>
      <c r="E41" s="34">
        <f>INDEX(База[],MATCH(Сводная_Продажи_Факт[[#This Row],[Обозначение]],База[Обозначение],0),MATCH(E$2,База[#Headers],0))</f>
        <v/>
      </c>
      <c r="F41" s="122">
        <f t="array" ref="F41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41" s="244">
        <f t="array" ref="G41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41" s="122">
        <f t="array" ref="H41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41" s="244">
        <f t="array" ref="I41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41" s="122">
        <f t="array" ref="J41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41" s="244">
        <f t="array" ref="K41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41" s="122">
        <f t="array" ref="L41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41" s="244">
        <f t="array" ref="M41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41" s="122">
        <f t="array" ref="N41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41" s="244">
        <f t="array" ref="O41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41" s="122">
        <f t="array" ref="P41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41" s="244">
        <f t="array" ref="Q41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41" s="122">
        <f t="array" ref="R41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41" s="244">
        <f t="array" ref="S41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41" s="122">
        <f t="array" ref="T41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41" s="244">
        <f t="array" ref="U41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41" s="122">
        <f t="array" ref="V41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41" s="244">
        <f t="array" ref="W41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41" s="122">
        <f t="array" ref="X41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41" s="244">
        <f t="array" ref="Y41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41" s="122">
        <f t="array" ref="Z41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41" s="244">
        <f t="array" ref="AA41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41" s="122">
        <f t="array" ref="AB41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41" s="244">
        <f t="array" ref="AC41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41" s="123">
        <f>SUM(Сводная_Продажи_Факт[[#This Row],[Январь
прогноз]:[Декабрь
прогноз]])</f>
        <v/>
      </c>
      <c r="AE41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42">
      <c r="A42" s="120">
        <f>ROW()-ROW(Сводная_Продажи_Факт[[#Headers],[№]])</f>
        <v/>
      </c>
      <c r="B42" s="12">
        <f>INDEX(База[],MATCH(Сводная_Продажи_Факт[[#This Row],[Обозначение]],База[Обозначение],0),MATCH(B$2,База[#Headers],0))</f>
        <v/>
      </c>
      <c r="C42" s="98" t="n">
        <v>2</v>
      </c>
      <c r="D42" s="125" t="n">
        <v>9522010010</v>
      </c>
      <c r="E42" s="34">
        <f>INDEX(База[],MATCH(Сводная_Продажи_Факт[[#This Row],[Обозначение]],База[Обозначение],0),MATCH(E$2,База[#Headers],0))</f>
        <v/>
      </c>
      <c r="F42" s="122">
        <f t="array" ref="F42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42" s="244">
        <f t="array" ref="G42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42" s="122">
        <f t="array" ref="H42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42" s="244">
        <f t="array" ref="I42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42" s="122">
        <f t="array" ref="J42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42" s="244">
        <f t="array" ref="K42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42" s="122">
        <f t="array" ref="L42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42" s="244">
        <f t="array" ref="M42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42" s="122">
        <f t="array" ref="N42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42" s="244">
        <f t="array" ref="O42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42" s="122">
        <f t="array" ref="P42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42" s="244">
        <f t="array" ref="Q42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42" s="122">
        <f t="array" ref="R42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42" s="244">
        <f t="array" ref="S42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42" s="122">
        <f t="array" ref="T42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42" s="244">
        <f t="array" ref="U42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42" s="122">
        <f t="array" ref="V42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42" s="244">
        <f t="array" ref="W42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42" s="122">
        <f t="array" ref="X42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42" s="244">
        <f t="array" ref="Y42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42" s="122">
        <f t="array" ref="Z42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42" s="244">
        <f t="array" ref="AA42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42" s="122">
        <f t="array" ref="AB42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42" s="244">
        <f t="array" ref="AC42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42" s="123">
        <f>SUM(Сводная_Продажи_Факт[[#This Row],[Январь
прогноз]:[Декабрь
прогноз]])</f>
        <v/>
      </c>
      <c r="AE42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43">
      <c r="A43" s="120">
        <f>ROW()-ROW(Сводная_Продажи_Факт[[#Headers],[№]])</f>
        <v/>
      </c>
      <c r="B43" s="12">
        <f>INDEX(База[],MATCH(Сводная_Продажи_Факт[[#This Row],[Обозначение]],База[Обозначение],0),MATCH(B$2,База[#Headers],0))</f>
        <v/>
      </c>
      <c r="C43" s="98" t="n">
        <v>2</v>
      </c>
      <c r="D43" s="125" t="n">
        <v>9522010020</v>
      </c>
      <c r="E43" s="34">
        <f>INDEX(База[],MATCH(Сводная_Продажи_Факт[[#This Row],[Обозначение]],База[Обозначение],0),MATCH(E$2,База[#Headers],0))</f>
        <v/>
      </c>
      <c r="F43" s="122">
        <f t="array" ref="F43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43" s="244">
        <f t="array" ref="G43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43" s="122">
        <f t="array" ref="H43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43" s="244">
        <f t="array" ref="I43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43" s="122">
        <f t="array" ref="J43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43" s="244">
        <f t="array" ref="K43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43" s="122">
        <f t="array" ref="L43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43" s="244">
        <f t="array" ref="M43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43" s="122">
        <f t="array" ref="N43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43" s="244">
        <f t="array" ref="O43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43" s="122">
        <f t="array" ref="P43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43" s="244">
        <f t="array" ref="Q43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43" s="122">
        <f t="array" ref="R43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43" s="244">
        <f t="array" ref="S43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43" s="122">
        <f t="array" ref="T43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43" s="244">
        <f t="array" ref="U43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43" s="122">
        <f t="array" ref="V43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43" s="244">
        <f t="array" ref="W43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43" s="122">
        <f t="array" ref="X43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43" s="244">
        <f t="array" ref="Y43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43" s="122">
        <f t="array" ref="Z43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43" s="244">
        <f t="array" ref="AA43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43" s="122">
        <f t="array" ref="AB43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43" s="244">
        <f t="array" ref="AC43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43" s="123">
        <f>SUM(Сводная_Продажи_Факт[[#This Row],[Январь
прогноз]:[Декабрь
прогноз]])</f>
        <v/>
      </c>
      <c r="AE43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44">
      <c r="A44" s="120">
        <f>ROW()-ROW(Сводная_Продажи_Факт[[#Headers],[№]])</f>
        <v/>
      </c>
      <c r="B44" s="12">
        <f>INDEX(База[],MATCH(Сводная_Продажи_Факт[[#This Row],[Обозначение]],База[Обозначение],0),MATCH(B$2,База[#Headers],0))</f>
        <v/>
      </c>
      <c r="C44" s="98" t="n">
        <v>2</v>
      </c>
      <c r="D44" s="125" t="n">
        <v>9630010510</v>
      </c>
      <c r="E44" s="34">
        <f>INDEX(База[],MATCH(Сводная_Продажи_Факт[[#This Row],[Обозначение]],База[Обозначение],0),MATCH(E$2,База[#Headers],0))</f>
        <v/>
      </c>
      <c r="F44" s="122">
        <f t="array" ref="F44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44" s="244">
        <f t="array" ref="G44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44" s="122">
        <f t="array" ref="H44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44" s="244">
        <f t="array" ref="I44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44" s="122">
        <f t="array" ref="J44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44" s="244">
        <f t="array" ref="K44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44" s="122">
        <f t="array" ref="L44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44" s="244">
        <f t="array" ref="M44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44" s="122">
        <f t="array" ref="N44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44" s="244">
        <f t="array" ref="O44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44" s="122">
        <f t="array" ref="P44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44" s="244">
        <f t="array" ref="Q44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44" s="122">
        <f t="array" ref="R44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44" s="244">
        <f t="array" ref="S44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44" s="122">
        <f t="array" ref="T44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44" s="244">
        <f t="array" ref="U44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44" s="122">
        <f t="array" ref="V44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44" s="244">
        <f t="array" ref="W44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44" s="122">
        <f t="array" ref="X44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44" s="244">
        <f t="array" ref="Y44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44" s="122">
        <f t="array" ref="Z44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44" s="244">
        <f t="array" ref="AA44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44" s="122">
        <f t="array" ref="AB44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44" s="244">
        <f t="array" ref="AC44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44" s="123">
        <f>SUM(Сводная_Продажи_Факт[[#This Row],[Январь
прогноз]:[Декабрь
прогноз]])</f>
        <v/>
      </c>
      <c r="AE44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45">
      <c r="A45" s="120">
        <f>ROW()-ROW(Сводная_Продажи_Факт[[#Headers],[№]])</f>
        <v/>
      </c>
      <c r="B45" s="12">
        <f>INDEX(База[],MATCH(Сводная_Продажи_Факт[[#This Row],[Обозначение]],База[Обозначение],0),MATCH(B$2,База[#Headers],0))</f>
        <v/>
      </c>
      <c r="C45" s="98" t="n">
        <v>2</v>
      </c>
      <c r="D45" s="125" t="n">
        <v>9710020400</v>
      </c>
      <c r="E45" s="34">
        <f>INDEX(База[],MATCH(Сводная_Продажи_Факт[[#This Row],[Обозначение]],База[Обозначение],0),MATCH(E$2,База[#Headers],0))</f>
        <v/>
      </c>
      <c r="F45" s="122">
        <f t="array" ref="F45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45" s="244">
        <f t="array" ref="G45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45" s="122">
        <f t="array" ref="H45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45" s="244">
        <f t="array" ref="I45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45" s="122">
        <f t="array" ref="J45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45" s="244">
        <f t="array" ref="K45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45" s="122">
        <f t="array" ref="L45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45" s="244">
        <f t="array" ref="M45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45" s="122">
        <f t="array" ref="N45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45" s="244">
        <f t="array" ref="O45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45" s="122">
        <f t="array" ref="P45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45" s="244">
        <f t="array" ref="Q45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45" s="122">
        <f t="array" ref="R45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45" s="244">
        <f t="array" ref="S45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45" s="122">
        <f t="array" ref="T45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45" s="244">
        <f t="array" ref="U45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45" s="122">
        <f t="array" ref="V45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45" s="244">
        <f t="array" ref="W45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45" s="122">
        <f t="array" ref="X45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45" s="244">
        <f t="array" ref="Y45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45" s="122">
        <f t="array" ref="Z45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45" s="244">
        <f t="array" ref="AA45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45" s="122">
        <f t="array" ref="AB45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45" s="244">
        <f t="array" ref="AC45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45" s="123">
        <f>SUM(Сводная_Продажи_Факт[[#This Row],[Январь
прогноз]:[Декабрь
прогноз]])</f>
        <v/>
      </c>
      <c r="AE45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46">
      <c r="A46" s="120">
        <f>ROW()-ROW(Сводная_Продажи_Факт[[#Headers],[№]])</f>
        <v/>
      </c>
      <c r="B46" s="12">
        <f>INDEX(База[],MATCH(Сводная_Продажи_Факт[[#This Row],[Обозначение]],База[Обозначение],0),MATCH(B$2,База[#Headers],0))</f>
        <v/>
      </c>
      <c r="C46" s="98" t="n">
        <v>2</v>
      </c>
      <c r="D46" s="125" t="n">
        <v>9735000510</v>
      </c>
      <c r="E46" s="34">
        <f>INDEX(База[],MATCH(Сводная_Продажи_Факт[[#This Row],[Обозначение]],База[Обозначение],0),MATCH(E$2,База[#Headers],0))</f>
        <v/>
      </c>
      <c r="F46" s="122">
        <f t="array" ref="F46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46" s="244">
        <f t="array" ref="G46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46" s="122">
        <f t="array" ref="H46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46" s="244">
        <f t="array" ref="I46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46" s="122">
        <f t="array" ref="J46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46" s="244">
        <f t="array" ref="K46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46" s="122">
        <f t="array" ref="L46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46" s="244">
        <f t="array" ref="M46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46" s="122">
        <f t="array" ref="N46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46" s="244">
        <f t="array" ref="O46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46" s="122">
        <f t="array" ref="P46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46" s="244">
        <f t="array" ref="Q46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46" s="122">
        <f t="array" ref="R46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46" s="244">
        <f t="array" ref="S46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46" s="122">
        <f t="array" ref="T46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46" s="244">
        <f t="array" ref="U46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46" s="122">
        <f t="array" ref="V46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46" s="244">
        <f t="array" ref="W46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46" s="122">
        <f t="array" ref="X46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46" s="244">
        <f t="array" ref="Y46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46" s="122">
        <f t="array" ref="Z46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46" s="244">
        <f t="array" ref="AA46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46" s="122">
        <f t="array" ref="AB46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46" s="244">
        <f t="array" ref="AC46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46" s="123">
        <f>SUM(Сводная_Продажи_Факт[[#This Row],[Январь
прогноз]:[Декабрь
прогноз]])</f>
        <v/>
      </c>
      <c r="AE46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47">
      <c r="A47" s="120">
        <f>ROW()-ROW(Сводная_Продажи_Факт[[#Headers],[№]])</f>
        <v/>
      </c>
      <c r="B47" s="12">
        <f>INDEX(База[],MATCH(Сводная_Продажи_Факт[[#This Row],[Обозначение]],База[Обозначение],0),MATCH(B$2,База[#Headers],0))</f>
        <v/>
      </c>
      <c r="C47" s="98" t="n">
        <v>2</v>
      </c>
      <c r="D47" s="125" t="n">
        <v>8282520016</v>
      </c>
      <c r="E47" s="34">
        <f>INDEX(База[],MATCH(Сводная_Продажи_Факт[[#This Row],[Обозначение]],База[Обозначение],0),MATCH(E$2,База[#Headers],0))</f>
        <v/>
      </c>
      <c r="F47" s="122">
        <f t="array" ref="F47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47" s="244">
        <f t="array" ref="G47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47" s="122">
        <f t="array" ref="H47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47" s="244">
        <f t="array" ref="I47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47" s="122">
        <f t="array" ref="J47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47" s="244">
        <f t="array" ref="K47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47" s="122">
        <f t="array" ref="L47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47" s="244">
        <f t="array" ref="M47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47" s="122">
        <f t="array" ref="N47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47" s="244">
        <f t="array" ref="O47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47" s="122">
        <f t="array" ref="P47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47" s="244">
        <f t="array" ref="Q47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47" s="122">
        <f t="array" ref="R47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47" s="244">
        <f t="array" ref="S47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47" s="122">
        <f t="array" ref="T47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47" s="244">
        <f t="array" ref="U47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47" s="122">
        <f t="array" ref="V47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47" s="244">
        <f t="array" ref="W47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47" s="122">
        <f t="array" ref="X47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47" s="244">
        <f t="array" ref="Y47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47" s="122">
        <f t="array" ref="Z47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47" s="244">
        <f t="array" ref="AA47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47" s="122">
        <f t="array" ref="AB47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47" s="244">
        <f t="array" ref="AC47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47" s="123">
        <f>SUM(Сводная_Продажи_Факт[[#This Row],[Январь
прогноз]:[Декабрь
прогноз]])</f>
        <v/>
      </c>
      <c r="AE47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48">
      <c r="A48" s="120">
        <f>ROW()-ROW(Сводная_Продажи_Факт[[#Headers],[№]])</f>
        <v/>
      </c>
      <c r="B48" s="12">
        <f>INDEX(База[],MATCH(Сводная_Продажи_Факт[[#This Row],[Обозначение]],База[Обозначение],0),MATCH(B$2,База[#Headers],0))</f>
        <v/>
      </c>
      <c r="C48" s="98" t="n">
        <v>1</v>
      </c>
      <c r="D48" s="98" t="n">
        <v>4497120000</v>
      </c>
      <c r="E48" s="121">
        <f>INDEX(База[],MATCH(Сводная_Продажи_Факт[[#This Row],[Обозначение]],База[Обозначение],0),MATCH(E$2,База[#Headers],0))</f>
        <v/>
      </c>
      <c r="F48" s="122">
        <f t="array" ref="F48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48" s="244">
        <f t="array" ref="G48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48" s="122">
        <f t="array" ref="H48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48" s="244">
        <f t="array" ref="I48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48" s="122">
        <f t="array" ref="J48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48" s="244">
        <f t="array" ref="K48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48" s="122">
        <f t="array" ref="L48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48" s="244">
        <f t="array" ref="M48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48" s="122">
        <f t="array" ref="N48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48" s="244">
        <f t="array" ref="O48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48" s="122">
        <f t="array" ref="P48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48" s="244">
        <f t="array" ref="Q48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48" s="122">
        <f t="array" ref="R48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48" s="244">
        <f t="array" ref="S48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48" s="122">
        <f t="array" ref="T48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48" s="244">
        <f t="array" ref="U48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48" s="122">
        <f t="array" ref="V48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48" s="244">
        <f t="array" ref="W48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48" s="122">
        <f t="array" ref="X48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48" s="244">
        <f t="array" ref="Y48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48" s="122">
        <f t="array" ref="Z48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48" s="244">
        <f t="array" ref="AA48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48" s="122">
        <f t="array" ref="AB48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48" s="244">
        <f t="array" ref="AC48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48" s="123">
        <f>SUM(Сводная_Продажи_Факт[[#This Row],[Январь
прогноз]:[Декабрь
прогноз]])</f>
        <v/>
      </c>
      <c r="AE48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49">
      <c r="A49" s="120">
        <f>ROW()-ROW(Сводная_Продажи_Факт[[#Headers],[№]])</f>
        <v/>
      </c>
      <c r="B49" s="12">
        <f>INDEX(База[],MATCH(Сводная_Продажи_Факт[[#This Row],[Обозначение]],База[Обозначение],0),MATCH(B$2,База[#Headers],0))</f>
        <v/>
      </c>
      <c r="C49" s="98" t="n">
        <v>1</v>
      </c>
      <c r="D49" s="98" t="n">
        <v>4496161560</v>
      </c>
      <c r="E49" s="121">
        <f>INDEX(База[],MATCH(Сводная_Продажи_Факт[[#This Row],[Обозначение]],База[Обозначение],0),MATCH(E$2,База[#Headers],0))</f>
        <v/>
      </c>
      <c r="F49" s="122">
        <f t="array" ref="F49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49" s="244">
        <f t="array" ref="G49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49" s="122">
        <f t="array" ref="H49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49" s="244">
        <f t="array" ref="I49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49" s="122">
        <f t="array" ref="J49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49" s="244">
        <f t="array" ref="K49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49" s="122">
        <f t="array" ref="L49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49" s="244">
        <f t="array" ref="M49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49" s="122">
        <f t="array" ref="N49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49" s="244">
        <f t="array" ref="O49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49" s="122">
        <f t="array" ref="P49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49" s="244">
        <f t="array" ref="Q49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49" s="122">
        <f t="array" ref="R49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49" s="244">
        <f t="array" ref="S49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49" s="122">
        <f t="array" ref="T49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49" s="244">
        <f t="array" ref="U49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49" s="122">
        <f t="array" ref="V49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49" s="244">
        <f t="array" ref="W49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49" s="122">
        <f t="array" ref="X49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49" s="244">
        <f t="array" ref="Y49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49" s="122">
        <f t="array" ref="Z49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49" s="244">
        <f t="array" ref="AA49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49" s="122">
        <f t="array" ref="AB49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49" s="244">
        <f t="array" ref="AC49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49" s="123">
        <f>SUM(Сводная_Продажи_Факт[[#This Row],[Январь
прогноз]:[Декабрь
прогноз]])</f>
        <v/>
      </c>
      <c r="AE49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50">
      <c r="A50" s="120">
        <f>ROW()-ROW(Сводная_Продажи_Факт[[#Headers],[№]])</f>
        <v/>
      </c>
      <c r="B50" s="12">
        <f>INDEX(База[],MATCH(Сводная_Продажи_Факт[[#This Row],[Обозначение]],База[Обозначение],0),MATCH(B$2,База[#Headers],0))</f>
        <v/>
      </c>
      <c r="C50" s="98" t="n">
        <v>1</v>
      </c>
      <c r="D50" s="125" t="n">
        <v>4721950310</v>
      </c>
      <c r="E50" s="34">
        <f>INDEX(База[],MATCH(Сводная_Продажи_Факт[[#This Row],[Обозначение]],База[Обозначение],0),MATCH(E$2,База[#Headers],0))</f>
        <v/>
      </c>
      <c r="F50" s="122">
        <f t="array" ref="F50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50" s="244">
        <f t="array" ref="G50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50" s="122">
        <f t="array" ref="H50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50" s="244">
        <f t="array" ref="I50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50" s="122">
        <f t="array" ref="J50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50" s="244">
        <f t="array" ref="K50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50" s="122">
        <f t="array" ref="L50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50" s="244">
        <f t="array" ref="M50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50" s="122">
        <f t="array" ref="N50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50" s="244">
        <f t="array" ref="O50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50" s="122">
        <f t="array" ref="P50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50" s="244">
        <f t="array" ref="Q50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50" s="122">
        <f t="array" ref="R50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50" s="244">
        <f t="array" ref="S50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50" s="122">
        <f t="array" ref="T50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50" s="244">
        <f t="array" ref="U50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50" s="122">
        <f t="array" ref="V50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50" s="244">
        <f t="array" ref="W50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50" s="122">
        <f t="array" ref="X50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50" s="244">
        <f t="array" ref="Y50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50" s="122">
        <f t="array" ref="Z50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50" s="244">
        <f t="array" ref="AA50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50" s="122">
        <f t="array" ref="AB50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50" s="244">
        <f t="array" ref="AC50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50" s="123">
        <f>SUM(Сводная_Продажи_Факт[[#This Row],[Январь
прогноз]:[Декабрь
прогноз]])</f>
        <v/>
      </c>
      <c r="AE50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51">
      <c r="A51" s="120">
        <f>ROW()-ROW(Сводная_Продажи_Факт[[#Headers],[№]])</f>
        <v/>
      </c>
      <c r="B51" s="12">
        <f>INDEX(База[],MATCH(Сводная_Продажи_Факт[[#This Row],[Обозначение]],База[Обозначение],0),MATCH(B$2,База[#Headers],0))</f>
        <v/>
      </c>
      <c r="C51" s="98" t="n">
        <v>1</v>
      </c>
      <c r="D51" s="125" t="n">
        <v>4757145000</v>
      </c>
      <c r="E51" s="34">
        <f>INDEX(База[],MATCH(Сводная_Продажи_Факт[[#This Row],[Обозначение]],База[Обозначение],0),MATCH(E$2,База[#Headers],0))</f>
        <v/>
      </c>
      <c r="F51" s="122">
        <f t="array" ref="F51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51" s="244">
        <f t="array" ref="G51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51" s="122">
        <f t="array" ref="H51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51" s="244">
        <f t="array" ref="I51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51" s="122">
        <f t="array" ref="J51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51" s="244">
        <f t="array" ref="K51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51" s="122">
        <f t="array" ref="L51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51" s="244">
        <f t="array" ref="M51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51" s="122">
        <f t="array" ref="N51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51" s="244">
        <f t="array" ref="O51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51" s="122">
        <f t="array" ref="P51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51" s="244">
        <f t="array" ref="Q51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51" s="122">
        <f t="array" ref="R51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51" s="244">
        <f t="array" ref="S51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51" s="122">
        <f t="array" ref="T51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51" s="244">
        <f t="array" ref="U51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51" s="122">
        <f t="array" ref="V51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51" s="244">
        <f t="array" ref="W51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51" s="122">
        <f t="array" ref="X51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51" s="244">
        <f t="array" ref="Y51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51" s="122">
        <f t="array" ref="Z51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51" s="244">
        <f t="array" ref="AA51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51" s="122">
        <f t="array" ref="AB51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51" s="244">
        <f t="array" ref="AC51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51" s="123">
        <f>SUM(Сводная_Продажи_Факт[[#This Row],[Январь
прогноз]:[Декабрь
прогноз]])</f>
        <v/>
      </c>
      <c r="AE51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52">
      <c r="A52" s="120">
        <f>ROW()-ROW(Сводная_Продажи_Факт[[#Headers],[№]])</f>
        <v/>
      </c>
      <c r="B52" s="12">
        <f>INDEX(База[],MATCH(Сводная_Продажи_Факт[[#This Row],[Обозначение]],База[Обозначение],0),MATCH(B$2,База[#Headers],0))</f>
        <v/>
      </c>
      <c r="C52" s="98" t="n">
        <v>1</v>
      </c>
      <c r="D52" s="125" t="n">
        <v>4491731200</v>
      </c>
      <c r="E52" s="34">
        <f>INDEX(База[],MATCH(Сводная_Продажи_Факт[[#This Row],[Обозначение]],База[Обозначение],0),MATCH(E$2,База[#Headers],0))</f>
        <v/>
      </c>
      <c r="F52" s="122">
        <f t="array" ref="F52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52" s="244">
        <f t="array" ref="G52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52" s="122">
        <f t="array" ref="H52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52" s="244">
        <f t="array" ref="I52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52" s="122">
        <f t="array" ref="J52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52" s="244">
        <f t="array" ref="K52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52" s="122">
        <f t="array" ref="L52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52" s="244">
        <f t="array" ref="M52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52" s="122">
        <f t="array" ref="N52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52" s="244">
        <f t="array" ref="O52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52" s="122">
        <f t="array" ref="P52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52" s="244">
        <f t="array" ref="Q52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52" s="122">
        <f t="array" ref="R52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52" s="244">
        <f t="array" ref="S52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52" s="122">
        <f t="array" ref="T52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52" s="244">
        <f t="array" ref="U52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52" s="122">
        <f t="array" ref="V52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52" s="244">
        <f t="array" ref="W52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52" s="122">
        <f t="array" ref="X52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52" s="244">
        <f t="array" ref="Y52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52" s="122">
        <f t="array" ref="Z52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52" s="244">
        <f t="array" ref="AA52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52" s="122">
        <f t="array" ref="AB52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52" s="244">
        <f t="array" ref="AC52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52" s="123">
        <f>SUM(Сводная_Продажи_Факт[[#This Row],[Январь
прогноз]:[Декабрь
прогноз]])</f>
        <v/>
      </c>
      <c r="AE52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53">
      <c r="A53" s="120">
        <f>ROW()-ROW(Сводная_Продажи_Факт[[#Headers],[№]])</f>
        <v/>
      </c>
      <c r="B53" s="12">
        <f>INDEX(База[],MATCH(Сводная_Продажи_Факт[[#This Row],[Обозначение]],База[Обозначение],0),MATCH(B$2,База[#Headers],0))</f>
        <v/>
      </c>
      <c r="C53" s="98" t="n">
        <v>1</v>
      </c>
      <c r="D53" s="125" t="n">
        <v>4491731500</v>
      </c>
      <c r="E53" s="34">
        <f>INDEX(База[],MATCH(Сводная_Продажи_Факт[[#This Row],[Обозначение]],База[Обозначение],0),MATCH(E$2,База[#Headers],0))</f>
        <v/>
      </c>
      <c r="F53" s="122">
        <f t="array" ref="F53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53" s="244">
        <f t="array" ref="G53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53" s="122">
        <f t="array" ref="H53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53" s="244">
        <f t="array" ref="I53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53" s="122">
        <f t="array" ref="J53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53" s="244">
        <f t="array" ref="K53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53" s="122">
        <f t="array" ref="L53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53" s="244">
        <f t="array" ref="M53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53" s="122">
        <f t="array" ref="N53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53" s="244">
        <f t="array" ref="O53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53" s="122">
        <f t="array" ref="P53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53" s="244">
        <f t="array" ref="Q53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53" s="122">
        <f t="array" ref="R53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53" s="244">
        <f t="array" ref="S53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53" s="122">
        <f t="array" ref="T53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53" s="244">
        <f t="array" ref="U53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53" s="122">
        <f t="array" ref="V53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53" s="244">
        <f t="array" ref="W53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53" s="122">
        <f t="array" ref="X53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53" s="244">
        <f t="array" ref="Y53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53" s="122">
        <f t="array" ref="Z53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53" s="244">
        <f t="array" ref="AA53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53" s="122">
        <f t="array" ref="AB53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53" s="244">
        <f t="array" ref="AC53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53" s="123">
        <f>SUM(Сводная_Продажи_Факт[[#This Row],[Январь
прогноз]:[Декабрь
прогноз]])</f>
        <v/>
      </c>
      <c r="AE53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54">
      <c r="A54" s="120">
        <f>ROW()-ROW(Сводная_Продажи_Факт[[#Headers],[№]])</f>
        <v/>
      </c>
      <c r="B54" s="12">
        <f>INDEX(База[],MATCH(Сводная_Продажи_Факт[[#This Row],[Обозначение]],База[Обозначение],0),MATCH(B$2,База[#Headers],0))</f>
        <v/>
      </c>
      <c r="C54" s="98" t="n">
        <v>1</v>
      </c>
      <c r="D54" s="125" t="n">
        <v>4494430400</v>
      </c>
      <c r="E54" s="34">
        <f>INDEX(База[],MATCH(Сводная_Продажи_Факт[[#This Row],[Обозначение]],База[Обозначение],0),MATCH(E$2,База[#Headers],0))</f>
        <v/>
      </c>
      <c r="F54" s="122">
        <f t="array" ref="F54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54" s="244">
        <f t="array" ref="G54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54" s="122">
        <f t="array" ref="H54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54" s="244">
        <f t="array" ref="I54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54" s="122">
        <f t="array" ref="J54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54" s="244">
        <f t="array" ref="K54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54" s="122">
        <f t="array" ref="L54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54" s="244">
        <f t="array" ref="M54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54" s="122">
        <f t="array" ref="N54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54" s="244">
        <f t="array" ref="O54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54" s="122">
        <f t="array" ref="P54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54" s="244">
        <f t="array" ref="Q54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54" s="122">
        <f t="array" ref="R54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54" s="244">
        <f t="array" ref="S54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54" s="122">
        <f t="array" ref="T54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54" s="244">
        <f t="array" ref="U54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54" s="122">
        <f t="array" ref="V54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54" s="244">
        <f t="array" ref="W54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54" s="122">
        <f t="array" ref="X54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54" s="244">
        <f t="array" ref="Y54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54" s="122">
        <f t="array" ref="Z54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54" s="244">
        <f t="array" ref="AA54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54" s="122">
        <f t="array" ref="AB54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54" s="244">
        <f t="array" ref="AC54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54" s="123">
        <f>SUM(Сводная_Продажи_Факт[[#This Row],[Январь
прогноз]:[Декабрь
прогноз]])</f>
        <v/>
      </c>
      <c r="AE54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55">
      <c r="A55" s="120">
        <f>ROW()-ROW(Сводная_Продажи_Факт[[#Headers],[№]])</f>
        <v/>
      </c>
      <c r="B55" s="12">
        <f>INDEX(База[],MATCH(Сводная_Продажи_Факт[[#This Row],[Обозначение]],База[Обозначение],0),MATCH(B$2,База[#Headers],0))</f>
        <v/>
      </c>
      <c r="C55" s="98" t="n">
        <v>1</v>
      </c>
      <c r="D55" s="98" t="n">
        <v>4494430600</v>
      </c>
      <c r="E55" s="121">
        <f>INDEX(База[],MATCH(Сводная_Продажи_Факт[[#This Row],[Обозначение]],База[Обозначение],0),MATCH(E$2,База[#Headers],0))</f>
        <v/>
      </c>
      <c r="F55" s="122">
        <f t="array" ref="F55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55" s="244">
        <f t="array" ref="G55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55" s="122">
        <f t="array" ref="H55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55" s="244">
        <f t="array" ref="I55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55" s="122">
        <f t="array" ref="J55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55" s="244">
        <f t="array" ref="K55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55" s="122">
        <f t="array" ref="L55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55" s="244">
        <f t="array" ref="M55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55" s="122">
        <f t="array" ref="N55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55" s="244">
        <f t="array" ref="O55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55" s="122">
        <f t="array" ref="P55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55" s="244">
        <f t="array" ref="Q55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55" s="122">
        <f t="array" ref="R55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55" s="244">
        <f t="array" ref="S55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55" s="122">
        <f t="array" ref="T55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55" s="244">
        <f t="array" ref="U55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55" s="122">
        <f t="array" ref="V55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55" s="244">
        <f t="array" ref="W55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55" s="122">
        <f t="array" ref="X55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55" s="244">
        <f t="array" ref="Y55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55" s="122">
        <f t="array" ref="Z55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55" s="244">
        <f t="array" ref="AA55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55" s="122">
        <f t="array" ref="AB55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55" s="244">
        <f t="array" ref="AC55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55" s="123">
        <f>SUM(Сводная_Продажи_Факт[[#This Row],[Январь
прогноз]:[Декабрь
прогноз]])</f>
        <v/>
      </c>
      <c r="AE55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56">
      <c r="A56" s="120">
        <f>ROW()-ROW(Сводная_Продажи_Факт[[#Headers],[№]])</f>
        <v/>
      </c>
      <c r="B56" s="12">
        <f>INDEX(База[],MATCH(Сводная_Продажи_Факт[[#This Row],[Обозначение]],База[Обозначение],0),MATCH(B$2,База[#Headers],0))</f>
        <v/>
      </c>
      <c r="C56" s="98" t="n">
        <v>1</v>
      </c>
      <c r="D56" s="98" t="n">
        <v>4497230400</v>
      </c>
      <c r="E56" s="121">
        <f>INDEX(База[],MATCH(Сводная_Продажи_Факт[[#This Row],[Обозначение]],База[Обозначение],0),MATCH(E$2,База[#Headers],0))</f>
        <v/>
      </c>
      <c r="F56" s="122">
        <f t="array" ref="F56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56" s="244">
        <f t="array" ref="G56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56" s="122">
        <f t="array" ref="H56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56" s="244">
        <f t="array" ref="I56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56" s="122">
        <f t="array" ref="J56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56" s="244">
        <f t="array" ref="K56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56" s="122">
        <f t="array" ref="L56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56" s="244">
        <f t="array" ref="M56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56" s="122">
        <f t="array" ref="N56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56" s="244">
        <f t="array" ref="O56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56" s="122">
        <f t="array" ref="P56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56" s="244">
        <f t="array" ref="Q56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56" s="122">
        <f t="array" ref="R56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56" s="244">
        <f t="array" ref="S56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56" s="122">
        <f t="array" ref="T56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56" s="244">
        <f t="array" ref="U56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56" s="122">
        <f t="array" ref="V56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56" s="244">
        <f t="array" ref="W56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56" s="122">
        <f t="array" ref="X56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56" s="244">
        <f t="array" ref="Y56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56" s="122">
        <f t="array" ref="Z56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56" s="244">
        <f t="array" ref="AA56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56" s="122">
        <f t="array" ref="AB56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56" s="244">
        <f t="array" ref="AC56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56" s="123">
        <f>SUM(Сводная_Продажи_Факт[[#This Row],[Январь
прогноз]:[Декабрь
прогноз]])</f>
        <v/>
      </c>
      <c r="AE56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57">
      <c r="A57" s="120">
        <f>ROW()-ROW(Сводная_Продажи_Факт[[#Headers],[№]])</f>
        <v/>
      </c>
      <c r="B57" s="12">
        <f>INDEX(База[],MATCH(Сводная_Продажи_Факт[[#This Row],[Обозначение]],База[Обозначение],0),MATCH(B$2,База[#Headers],0))</f>
        <v/>
      </c>
      <c r="C57" s="98" t="n">
        <v>1</v>
      </c>
      <c r="D57" s="98" t="n">
        <v>4497230500</v>
      </c>
      <c r="E57" s="121">
        <f>INDEX(База[],MATCH(Сводная_Продажи_Факт[[#This Row],[Обозначение]],База[Обозначение],0),MATCH(E$2,База[#Headers],0))</f>
        <v/>
      </c>
      <c r="F57" s="122">
        <f t="array" ref="F57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57" s="244">
        <f t="array" ref="G57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57" s="122">
        <f t="array" ref="H57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57" s="244">
        <f t="array" ref="I57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57" s="122">
        <f t="array" ref="J57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57" s="244">
        <f t="array" ref="K57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57" s="122">
        <f t="array" ref="L57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57" s="244">
        <f t="array" ref="M57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57" s="122">
        <f t="array" ref="N57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57" s="244">
        <f t="array" ref="O57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57" s="122">
        <f t="array" ref="P57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57" s="244">
        <f t="array" ref="Q57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57" s="122">
        <f t="array" ref="R57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57" s="244">
        <f t="array" ref="S57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57" s="122">
        <f t="array" ref="T57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57" s="244">
        <f t="array" ref="U57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57" s="122">
        <f t="array" ref="V57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57" s="244">
        <f t="array" ref="W57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57" s="122">
        <f t="array" ref="X57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57" s="244">
        <f t="array" ref="Y57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57" s="122">
        <f t="array" ref="Z57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57" s="244">
        <f t="array" ref="AA57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57" s="122">
        <f t="array" ref="AB57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57" s="244">
        <f t="array" ref="AC57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57" s="123">
        <f>SUM(Сводная_Продажи_Факт[[#This Row],[Январь
прогноз]:[Декабрь
прогноз]])</f>
        <v/>
      </c>
      <c r="AE57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58">
      <c r="A58" s="120">
        <f>ROW()-ROW(Сводная_Продажи_Факт[[#Headers],[№]])</f>
        <v/>
      </c>
      <c r="B58" s="12">
        <f>INDEX(База[],MATCH(Сводная_Продажи_Факт[[#This Row],[Обозначение]],База[Обозначение],0),MATCH(B$2,База[#Headers],0))</f>
        <v/>
      </c>
      <c r="C58" s="98" t="n">
        <v>1</v>
      </c>
      <c r="D58" s="125" t="n">
        <v>4630840310</v>
      </c>
      <c r="E58" s="34">
        <f>INDEX(База[],MATCH(Сводная_Продажи_Факт[[#This Row],[Обозначение]],База[Обозначение],0),MATCH(E$2,База[#Headers],0))</f>
        <v/>
      </c>
      <c r="F58" s="122">
        <f t="array" ref="F58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58" s="244">
        <f t="array" ref="G58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58" s="122">
        <f t="array" ref="H58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58" s="244">
        <f t="array" ref="I58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58" s="122">
        <f t="array" ref="J58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58" s="244">
        <f t="array" ref="K58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58" s="122">
        <f t="array" ref="L58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58" s="244">
        <f t="array" ref="M58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58" s="122">
        <f t="array" ref="N58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58" s="244">
        <f t="array" ref="O58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58" s="122">
        <f t="array" ref="P58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58" s="244">
        <f t="array" ref="Q58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58" s="122">
        <f t="array" ref="R58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58" s="244">
        <f t="array" ref="S58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58" s="122">
        <f t="array" ref="T58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58" s="244">
        <f t="array" ref="U58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58" s="122">
        <f t="array" ref="V58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58" s="244">
        <f t="array" ref="W58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58" s="122">
        <f t="array" ref="X58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58" s="244">
        <f t="array" ref="Y58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58" s="122">
        <f t="array" ref="Z58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58" s="244">
        <f t="array" ref="AA58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58" s="122">
        <f t="array" ref="AB58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58" s="244">
        <f t="array" ref="AC58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58" s="123">
        <f>SUM(Сводная_Продажи_Факт[[#This Row],[Январь
прогноз]:[Декабрь
прогноз]])</f>
        <v/>
      </c>
      <c r="AE58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59">
      <c r="A59" s="120">
        <f>ROW()-ROW(Сводная_Продажи_Факт[[#Headers],[№]])</f>
        <v/>
      </c>
      <c r="B59" s="12">
        <f>INDEX(База[],MATCH(Сводная_Продажи_Факт[[#This Row],[Обозначение]],База[Обозначение],0),MATCH(B$2,База[#Headers],0))</f>
        <v/>
      </c>
      <c r="C59" s="98" t="n">
        <v>1</v>
      </c>
      <c r="D59" s="125" t="n">
        <v>4801020640</v>
      </c>
      <c r="E59" s="34">
        <f>INDEX(База[],MATCH(Сводная_Продажи_Факт[[#This Row],[Обозначение]],База[Обозначение],0),MATCH(E$2,База[#Headers],0))</f>
        <v/>
      </c>
      <c r="F59" s="122">
        <f t="array" ref="F59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59" s="244">
        <f t="array" ref="G59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59" s="122">
        <f t="array" ref="H59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59" s="244">
        <f t="array" ref="I59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59" s="122">
        <f t="array" ref="J59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59" s="244">
        <f t="array" ref="K59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59" s="122">
        <f t="array" ref="L59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59" s="244">
        <f t="array" ref="M59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59" s="122">
        <f t="array" ref="N59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59" s="244">
        <f t="array" ref="O59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59" s="122">
        <f t="array" ref="P59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59" s="244">
        <f t="array" ref="Q59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59" s="122">
        <f t="array" ref="R59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59" s="244">
        <f t="array" ref="S59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59" s="122">
        <f t="array" ref="T59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59" s="244">
        <f t="array" ref="U59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59" s="122">
        <f t="array" ref="V59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59" s="244">
        <f t="array" ref="W59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59" s="122">
        <f t="array" ref="X59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59" s="244">
        <f t="array" ref="Y59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59" s="122">
        <f t="array" ref="Z59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59" s="244">
        <f t="array" ref="AA59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59" s="122">
        <f t="array" ref="AB59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59" s="244">
        <f t="array" ref="AC59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59" s="123">
        <f>SUM(Сводная_Продажи_Факт[[#This Row],[Январь
прогноз]:[Декабрь
прогноз]])</f>
        <v/>
      </c>
      <c r="AE59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60">
      <c r="A60" s="120">
        <f>ROW()-ROW(Сводная_Продажи_Факт[[#Headers],[№]])</f>
        <v/>
      </c>
      <c r="B60" s="12">
        <f>INDEX(База[],MATCH(Сводная_Продажи_Факт[[#This Row],[Обозначение]],База[Обозначение],0),MATCH(B$2,База[#Headers],0))</f>
        <v/>
      </c>
      <c r="C60" s="98" t="n">
        <v>1</v>
      </c>
      <c r="D60" s="98" t="n">
        <v>4334010030</v>
      </c>
      <c r="E60" s="121">
        <f>INDEX(База[],MATCH(Сводная_Продажи_Факт[[#This Row],[Обозначение]],База[Обозначение],0),MATCH(E$2,База[#Headers],0))</f>
        <v/>
      </c>
      <c r="F60" s="122">
        <f t="array" ref="F60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60" s="244">
        <f t="array" ref="G60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60" s="122">
        <f t="array" ref="H60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60" s="244">
        <f t="array" ref="I60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60" s="122">
        <f t="array" ref="J60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60" s="244">
        <f t="array" ref="K60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60" s="122">
        <f t="array" ref="L60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60" s="244">
        <f t="array" ref="M60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60" s="122">
        <f t="array" ref="N60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60" s="244">
        <f t="array" ref="O60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60" s="122">
        <f t="array" ref="P60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60" s="244">
        <f t="array" ref="Q60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60" s="122">
        <f t="array" ref="R60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60" s="244">
        <f t="array" ref="S60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60" s="122">
        <f t="array" ref="T60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60" s="244">
        <f t="array" ref="U60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60" s="122">
        <f t="array" ref="V60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60" s="244">
        <f t="array" ref="W60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60" s="122">
        <f t="array" ref="X60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60" s="244">
        <f t="array" ref="Y60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60" s="122">
        <f t="array" ref="Z60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60" s="244">
        <f t="array" ref="AA60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60" s="122">
        <f t="array" ref="AB60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60" s="244">
        <f t="array" ref="AC60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60" s="123">
        <f>SUM(Сводная_Продажи_Факт[[#This Row],[Январь
прогноз]:[Декабрь
прогноз]])</f>
        <v/>
      </c>
      <c r="AE60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61">
      <c r="A61" s="120">
        <f>ROW()-ROW(Сводная_Продажи_Факт[[#Headers],[№]])</f>
        <v/>
      </c>
      <c r="B61" s="12">
        <f>INDEX(База[],MATCH(Сводная_Продажи_Факт[[#This Row],[Обозначение]],База[Обозначение],0),MATCH(B$2,База[#Headers],0))</f>
        <v/>
      </c>
      <c r="C61" s="98" t="n">
        <v>1</v>
      </c>
      <c r="D61" s="125" t="n">
        <v>4630320200</v>
      </c>
      <c r="E61" s="34">
        <f>INDEX(База[],MATCH(Сводная_Продажи_Факт[[#This Row],[Обозначение]],База[Обозначение],0),MATCH(E$2,База[#Headers],0))</f>
        <v/>
      </c>
      <c r="F61" s="122">
        <f t="array" ref="F61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61" s="244">
        <f t="array" ref="G61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61" s="122">
        <f t="array" ref="H61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61" s="244">
        <f t="array" ref="I61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61" s="122">
        <f t="array" ref="J61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61" s="244">
        <f t="array" ref="K61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61" s="122">
        <f t="array" ref="L61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61" s="244">
        <f t="array" ref="M61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61" s="122">
        <f t="array" ref="N61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61" s="244">
        <f t="array" ref="O61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61" s="122">
        <f t="array" ref="P61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61" s="244">
        <f t="array" ref="Q61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61" s="122">
        <f t="array" ref="R61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61" s="244">
        <f t="array" ref="S61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61" s="122">
        <f t="array" ref="T61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61" s="244">
        <f t="array" ref="U61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61" s="122">
        <f t="array" ref="V61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61" s="244">
        <f t="array" ref="W61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61" s="122">
        <f t="array" ref="X61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61" s="244">
        <f t="array" ref="Y61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61" s="122">
        <f t="array" ref="Z61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61" s="244">
        <f t="array" ref="AA61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61" s="122">
        <f t="array" ref="AB61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61" s="244">
        <f t="array" ref="AC61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61" s="123">
        <f>SUM(Сводная_Продажи_Факт[[#This Row],[Январь
прогноз]:[Декабрь
прогноз]])</f>
        <v/>
      </c>
      <c r="AE61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62">
      <c r="A62" s="120">
        <f>ROW()-ROW(Сводная_Продажи_Факт[[#Headers],[№]])</f>
        <v/>
      </c>
      <c r="B62" s="12">
        <f>INDEX(База[],MATCH(Сводная_Продажи_Факт[[#This Row],[Обозначение]],База[Обозначение],0),MATCH(B$2,База[#Headers],0))</f>
        <v/>
      </c>
      <c r="C62" s="98" t="n">
        <v>1</v>
      </c>
      <c r="D62" s="125" t="n">
        <v>4640061000</v>
      </c>
      <c r="E62" s="34">
        <f>INDEX(База[],MATCH(Сводная_Продажи_Факт[[#This Row],[Обозначение]],База[Обозначение],0),MATCH(E$2,База[#Headers],0))</f>
        <v/>
      </c>
      <c r="F62" s="122">
        <f t="array" ref="F62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62" s="244">
        <f t="array" ref="G62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62" s="122">
        <f t="array" ref="H62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62" s="244">
        <f t="array" ref="I62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62" s="122">
        <f t="array" ref="J62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62" s="244">
        <f t="array" ref="K62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62" s="122">
        <f t="array" ref="L62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62" s="244">
        <f t="array" ref="M62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62" s="122">
        <f t="array" ref="N62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62" s="244">
        <f t="array" ref="O62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62" s="122">
        <f t="array" ref="P62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62" s="244">
        <f t="array" ref="Q62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62" s="122">
        <f t="array" ref="R62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62" s="244">
        <f t="array" ref="S62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62" s="122">
        <f t="array" ref="T62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62" s="244">
        <f t="array" ref="U62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62" s="122">
        <f t="array" ref="V62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62" s="244">
        <f t="array" ref="W62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62" s="122">
        <f t="array" ref="X62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62" s="244">
        <f t="array" ref="Y62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62" s="122">
        <f t="array" ref="Z62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62" s="244">
        <f t="array" ref="AA62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62" s="122">
        <f t="array" ref="AB62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62" s="244">
        <f t="array" ref="AC62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62" s="123">
        <f>SUM(Сводная_Продажи_Факт[[#This Row],[Январь
прогноз]:[Декабрь
прогноз]])</f>
        <v/>
      </c>
      <c r="AE62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63">
      <c r="A63" s="120">
        <f>ROW()-ROW(Сводная_Продажи_Факт[[#Headers],[№]])</f>
        <v/>
      </c>
      <c r="B63" s="12">
        <f>INDEX(База[],MATCH(Сводная_Продажи_Факт[[#This Row],[Обозначение]],База[Обозначение],0),MATCH(B$2,База[#Headers],0))</f>
        <v/>
      </c>
      <c r="C63" s="98" t="n">
        <v>1</v>
      </c>
      <c r="D63" s="98" t="inlineStr">
        <is>
          <t>PRO0320200</t>
        </is>
      </c>
      <c r="E63" s="121">
        <f>INDEX(База[],MATCH(Сводная_Продажи_Факт[[#This Row],[Обозначение]],База[Обозначение],0),MATCH(E$2,База[#Headers],0))</f>
        <v/>
      </c>
      <c r="F63" s="122">
        <f t="array" ref="F63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63" s="244">
        <f t="array" ref="G63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63" s="122">
        <f t="array" ref="H63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63" s="244">
        <f t="array" ref="I63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63" s="122">
        <f t="array" ref="J63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63" s="244">
        <f t="array" ref="K63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63" s="122">
        <f t="array" ref="L63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63" s="244">
        <f t="array" ref="M63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63" s="122">
        <f t="array" ref="N63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63" s="244">
        <f t="array" ref="O63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63" s="122">
        <f t="array" ref="P63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63" s="244">
        <f t="array" ref="Q63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63" s="122">
        <f t="array" ref="R63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63" s="244">
        <f t="array" ref="S63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63" s="122">
        <f t="array" ref="T63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63" s="244">
        <f t="array" ref="U63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63" s="122">
        <f t="array" ref="V63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63" s="244">
        <f t="array" ref="W63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63" s="122">
        <f t="array" ref="X63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63" s="244">
        <f t="array" ref="Y63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63" s="122">
        <f t="array" ref="Z63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63" s="244">
        <f t="array" ref="AA63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63" s="122">
        <f t="array" ref="AB63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63" s="244">
        <f t="array" ref="AC63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63" s="123">
        <f>SUM(Сводная_Продажи_Факт[[#This Row],[Январь
прогноз]:[Декабрь
прогноз]])</f>
        <v/>
      </c>
      <c r="AE63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64">
      <c r="A64" s="120">
        <f>ROW()-ROW(Сводная_Продажи_Факт[[#Headers],[№]])</f>
        <v/>
      </c>
      <c r="B64" s="12">
        <f>INDEX(База[],MATCH(Сводная_Продажи_Факт[[#This Row],[Обозначение]],База[Обозначение],0),MATCH(B$2,База[#Headers],0))</f>
        <v/>
      </c>
      <c r="C64" s="98" t="n">
        <v>1</v>
      </c>
      <c r="D64" s="98" t="n">
        <v>4341001250</v>
      </c>
      <c r="E64" s="121">
        <f>INDEX(База[],MATCH(Сводная_Продажи_Факт[[#This Row],[Обозначение]],База[Обозначение],0),MATCH(E$2,База[#Headers],0))</f>
        <v/>
      </c>
      <c r="F64" s="122">
        <f t="array" ref="F64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64" s="244">
        <f t="array" ref="G64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64" s="122">
        <f t="array" ref="H64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64" s="244">
        <f t="array" ref="I64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64" s="122">
        <f t="array" ref="J64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64" s="244">
        <f t="array" ref="K64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64" s="122">
        <f t="array" ref="L64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64" s="244">
        <f t="array" ref="M64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64" s="122">
        <f t="array" ref="N64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64" s="244">
        <f t="array" ref="O64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64" s="122">
        <f t="array" ref="P64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64" s="244">
        <f t="array" ref="Q64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64" s="122">
        <f t="array" ref="R64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64" s="244">
        <f t="array" ref="S64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64" s="122">
        <f t="array" ref="T64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64" s="244">
        <f t="array" ref="U64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64" s="122">
        <f t="array" ref="V64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64" s="244">
        <f t="array" ref="W64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64" s="122">
        <f t="array" ref="X64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64" s="244">
        <f t="array" ref="Y64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64" s="122">
        <f t="array" ref="Z64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64" s="244">
        <f t="array" ref="AA64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64" s="122">
        <f t="array" ref="AB64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64" s="244">
        <f t="array" ref="AC64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64" s="123">
        <f>SUM(Сводная_Продажи_Факт[[#This Row],[Январь
прогноз]:[Декабрь
прогноз]])</f>
        <v/>
      </c>
      <c r="AE64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65">
      <c r="A65" s="120">
        <f>ROW()-ROW(Сводная_Продажи_Факт[[#Headers],[№]])</f>
        <v/>
      </c>
      <c r="B65" s="12">
        <f>INDEX(База[],MATCH(Сводная_Продажи_Факт[[#This Row],[Обозначение]],База[Обозначение],0),MATCH(B$2,База[#Headers],0))</f>
        <v/>
      </c>
      <c r="C65" s="98" t="n">
        <v>1</v>
      </c>
      <c r="D65" s="98" t="n">
        <v>9522010010</v>
      </c>
      <c r="E65" s="121">
        <f>INDEX(База[],MATCH(Сводная_Продажи_Факт[[#This Row],[Обозначение]],База[Обозначение],0),MATCH(E$2,База[#Headers],0))</f>
        <v/>
      </c>
      <c r="F65" s="122">
        <f t="array" ref="F65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65" s="244">
        <f t="array" ref="G65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65" s="122">
        <f t="array" ref="H65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65" s="244">
        <f t="array" ref="I65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65" s="122">
        <f t="array" ref="J65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65" s="244">
        <f t="array" ref="K65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65" s="122">
        <f t="array" ref="L65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65" s="244">
        <f t="array" ref="M65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65" s="122">
        <f t="array" ref="N65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65" s="244">
        <f t="array" ref="O65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65" s="122">
        <f t="array" ref="P65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65" s="244">
        <f t="array" ref="Q65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65" s="122">
        <f t="array" ref="R65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65" s="244">
        <f t="array" ref="S65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65" s="122">
        <f t="array" ref="T65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65" s="244">
        <f t="array" ref="U65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65" s="122">
        <f t="array" ref="V65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65" s="244">
        <f t="array" ref="W65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65" s="122">
        <f t="array" ref="X65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65" s="244">
        <f t="array" ref="Y65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65" s="122">
        <f t="array" ref="Z65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65" s="244">
        <f t="array" ref="AA65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65" s="122">
        <f t="array" ref="AB65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65" s="244">
        <f t="array" ref="AC65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65" s="123">
        <f>SUM(Сводная_Продажи_Факт[[#This Row],[Январь
прогноз]:[Декабрь
прогноз]])</f>
        <v/>
      </c>
      <c r="AE65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66">
      <c r="A66" s="120">
        <f>ROW()-ROW(Сводная_Продажи_Факт[[#Headers],[№]])</f>
        <v/>
      </c>
      <c r="B66" s="12">
        <f>INDEX(База[],MATCH(Сводная_Продажи_Факт[[#This Row],[Обозначение]],База[Обозначение],0),MATCH(B$2,База[#Headers],0))</f>
        <v/>
      </c>
      <c r="C66" s="98" t="n">
        <v>1</v>
      </c>
      <c r="D66" s="125" t="n">
        <v>9522010020</v>
      </c>
      <c r="E66" s="34">
        <f>INDEX(База[],MATCH(Сводная_Продажи_Факт[[#This Row],[Обозначение]],База[Обозначение],0),MATCH(E$2,База[#Headers],0))</f>
        <v/>
      </c>
      <c r="F66" s="122">
        <f t="array" ref="F66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66" s="244">
        <f t="array" ref="G66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66" s="122">
        <f t="array" ref="H66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66" s="244">
        <f t="array" ref="I66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66" s="122">
        <f t="array" ref="J66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66" s="244">
        <f t="array" ref="K66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66" s="122">
        <f t="array" ref="L66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66" s="244">
        <f t="array" ref="M66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66" s="122">
        <f t="array" ref="N66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66" s="244">
        <f t="array" ref="O66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66" s="122">
        <f t="array" ref="P66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66" s="244">
        <f t="array" ref="Q66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66" s="122">
        <f t="array" ref="R66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66" s="244">
        <f t="array" ref="S66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66" s="122">
        <f t="array" ref="T66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66" s="244">
        <f t="array" ref="U66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66" s="122">
        <f t="array" ref="V66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66" s="244">
        <f t="array" ref="W66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66" s="122">
        <f t="array" ref="X66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66" s="244">
        <f t="array" ref="Y66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66" s="122">
        <f t="array" ref="Z66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66" s="244">
        <f t="array" ref="AA66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66" s="122">
        <f t="array" ref="AB66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66" s="244">
        <f t="array" ref="AC66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66" s="123">
        <f>SUM(Сводная_Продажи_Факт[[#This Row],[Январь
прогноз]:[Декабрь
прогноз]])</f>
        <v/>
      </c>
      <c r="AE66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67">
      <c r="A67" s="120">
        <f>ROW()-ROW(Сводная_Продажи_Факт[[#Headers],[№]])</f>
        <v/>
      </c>
      <c r="B67" s="12">
        <f>INDEX(База[],MATCH(Сводная_Продажи_Факт[[#This Row],[Обозначение]],База[Обозначение],0),MATCH(B$2,База[#Headers],0))</f>
        <v/>
      </c>
      <c r="C67" s="98" t="n">
        <v>1</v>
      </c>
      <c r="D67" s="98" t="n">
        <v>4231069000</v>
      </c>
      <c r="E67" s="121">
        <f>INDEX(База[],MATCH(Сводная_Продажи_Факт[[#This Row],[Обозначение]],База[Обозначение],0),MATCH(E$2,База[#Headers],0))</f>
        <v/>
      </c>
      <c r="F67" s="122">
        <f t="array" ref="F67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67" s="244">
        <f t="array" ref="G67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67" s="122">
        <f t="array" ref="H67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67" s="244">
        <f t="array" ref="I67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67" s="122">
        <f t="array" ref="J67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67" s="244">
        <f t="array" ref="K67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67" s="122">
        <f t="array" ref="L67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67" s="244">
        <f t="array" ref="M67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67" s="122">
        <f t="array" ref="N67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67" s="244">
        <f t="array" ref="O67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67" s="122">
        <f t="array" ref="P67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67" s="244">
        <f t="array" ref="Q67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67" s="122">
        <f t="array" ref="R67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67" s="244">
        <f t="array" ref="S67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67" s="122">
        <f t="array" ref="T67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67" s="244">
        <f t="array" ref="U67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67" s="122">
        <f t="array" ref="V67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67" s="244">
        <f t="array" ref="W67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67" s="122">
        <f t="array" ref="X67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67" s="244">
        <f t="array" ref="Y67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67" s="122">
        <f t="array" ref="Z67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67" s="244">
        <f t="array" ref="AA67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67" s="122">
        <f t="array" ref="AB67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67" s="244">
        <f t="array" ref="AC67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67" s="123">
        <f>SUM(Сводная_Продажи_Факт[[#This Row],[Январь
прогноз]:[Декабрь
прогноз]])</f>
        <v/>
      </c>
      <c r="AE67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68">
      <c r="A68" s="120">
        <f>ROW()-ROW(Сводная_Продажи_Факт[[#Headers],[№]])</f>
        <v/>
      </c>
      <c r="B68" s="12">
        <f>INDEX(База[],MATCH(Сводная_Продажи_Факт[[#This Row],[Обозначение]],База[Обозначение],0),MATCH(B$2,База[#Headers],0))</f>
        <v/>
      </c>
      <c r="C68" s="98" t="n">
        <v>1</v>
      </c>
      <c r="D68" s="98" t="n">
        <v>4231079000</v>
      </c>
      <c r="E68" s="121">
        <f>INDEX(База[],MATCH(Сводная_Продажи_Факт[[#This Row],[Обозначение]],База[Обозначение],0),MATCH(E$2,База[#Headers],0))</f>
        <v/>
      </c>
      <c r="F68" s="122">
        <f t="array" ref="F68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68" s="244">
        <f t="array" ref="G68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68" s="122">
        <f t="array" ref="H68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68" s="244">
        <f t="array" ref="I68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68" s="122">
        <f t="array" ref="J68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68" s="244">
        <f t="array" ref="K68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68" s="122">
        <f t="array" ref="L68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68" s="244">
        <f t="array" ref="M68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68" s="122">
        <f t="array" ref="N68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68" s="244">
        <f t="array" ref="O68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68" s="122">
        <f t="array" ref="P68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68" s="244">
        <f t="array" ref="Q68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68" s="122">
        <f t="array" ref="R68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68" s="244">
        <f t="array" ref="S68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68" s="122">
        <f t="array" ref="T68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68" s="244">
        <f t="array" ref="U68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68" s="122">
        <f t="array" ref="V68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68" s="244">
        <f t="array" ref="W68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68" s="122">
        <f t="array" ref="X68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68" s="244">
        <f t="array" ref="Y68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68" s="122">
        <f t="array" ref="Z68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68" s="244">
        <f t="array" ref="AA68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68" s="122">
        <f t="array" ref="AB68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68" s="244">
        <f t="array" ref="AC68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68" s="123">
        <f>SUM(Сводная_Продажи_Факт[[#This Row],[Январь
прогноз]:[Декабрь
прогноз]])</f>
        <v/>
      </c>
      <c r="AE68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69">
      <c r="A69" s="120">
        <f>ROW()-ROW(Сводная_Продажи_Факт[[#Headers],[№]])</f>
        <v/>
      </c>
      <c r="B69" s="12">
        <f>INDEX(База[],MATCH(Сводная_Продажи_Факт[[#This Row],[Обозначение]],База[Обозначение],0),MATCH(B$2,База[#Headers],0))</f>
        <v/>
      </c>
      <c r="C69" s="98" t="n">
        <v>1</v>
      </c>
      <c r="D69" s="125" t="n">
        <v>9253761210</v>
      </c>
      <c r="E69" s="34">
        <f>INDEX(База[],MATCH(Сводная_Продажи_Факт[[#This Row],[Обозначение]],База[Обозначение],0),MATCH(E$2,База[#Headers],0))</f>
        <v/>
      </c>
      <c r="F69" s="122">
        <f t="array" ref="F69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69" s="244">
        <f t="array" ref="G69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69" s="122">
        <f t="array" ref="H69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69" s="244">
        <f t="array" ref="I69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69" s="122">
        <f t="array" ref="J69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69" s="244">
        <f t="array" ref="K69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69" s="122">
        <f t="array" ref="L69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69" s="244">
        <f t="array" ref="M69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69" s="122">
        <f t="array" ref="N69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69" s="244">
        <f t="array" ref="O69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69" s="122">
        <f t="array" ref="P69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69" s="244">
        <f t="array" ref="Q69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69" s="122">
        <f t="array" ref="R69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69" s="244">
        <f t="array" ref="S69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69" s="122">
        <f t="array" ref="T69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69" s="244">
        <f t="array" ref="U69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69" s="122">
        <f t="array" ref="V69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69" s="244">
        <f t="array" ref="W69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69" s="122">
        <f t="array" ref="X69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69" s="244">
        <f t="array" ref="Y69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69" s="122">
        <f t="array" ref="Z69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69" s="244">
        <f t="array" ref="AA69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69" s="122">
        <f t="array" ref="AB69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69" s="244">
        <f t="array" ref="AC69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69" s="123">
        <f>SUM(Сводная_Продажи_Факт[[#This Row],[Январь
прогноз]:[Декабрь
прогноз]])</f>
        <v/>
      </c>
      <c r="AE69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70">
      <c r="A70" s="120">
        <f>ROW()-ROW(Сводная_Продажи_Факт[[#Headers],[№]])</f>
        <v/>
      </c>
      <c r="B70" s="12">
        <f>INDEX(База[],MATCH(Сводная_Продажи_Факт[[#This Row],[Обозначение]],База[Обозначение],0),MATCH(B$2,База[#Headers],0))</f>
        <v/>
      </c>
      <c r="C70" s="98" t="n">
        <v>1</v>
      </c>
      <c r="D70" s="125" t="n">
        <v>9253771100</v>
      </c>
      <c r="E70" s="34">
        <f>INDEX(База[],MATCH(Сводная_Продажи_Факт[[#This Row],[Обозначение]],База[Обозначение],0),MATCH(E$2,База[#Headers],0))</f>
        <v/>
      </c>
      <c r="F70" s="122">
        <f t="array" ref="F70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70" s="244">
        <f t="array" ref="G70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70" s="122">
        <f t="array" ref="H70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70" s="244">
        <f t="array" ref="I70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70" s="122">
        <f t="array" ref="J70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70" s="244">
        <f t="array" ref="K70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70" s="122">
        <f t="array" ref="L70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70" s="244">
        <f t="array" ref="M70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70" s="122">
        <f t="array" ref="N70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70" s="244">
        <f t="array" ref="O70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70" s="122">
        <f t="array" ref="P70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70" s="244">
        <f t="array" ref="Q70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70" s="122">
        <f t="array" ref="R70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70" s="244">
        <f t="array" ref="S70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70" s="122">
        <f t="array" ref="T70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70" s="244">
        <f t="array" ref="U70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70" s="122">
        <f t="array" ref="V70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70" s="244">
        <f t="array" ref="W70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70" s="122">
        <f t="array" ref="X70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70" s="244">
        <f t="array" ref="Y70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70" s="122">
        <f t="array" ref="Z70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70" s="244">
        <f t="array" ref="AA70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70" s="122">
        <f t="array" ref="AB70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70" s="244">
        <f t="array" ref="AC70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70" s="123">
        <f>SUM(Сводная_Продажи_Факт[[#This Row],[Январь
прогноз]:[Декабрь
прогноз]])</f>
        <v/>
      </c>
      <c r="AE70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71">
      <c r="A71" s="120">
        <f>ROW()-ROW(Сводная_Продажи_Факт[[#Headers],[№]])</f>
        <v/>
      </c>
      <c r="B71" s="12">
        <f>INDEX(База[],MATCH(Сводная_Продажи_Факт[[#This Row],[Обозначение]],База[Обозначение],0),MATCH(B$2,База[#Headers],0))</f>
        <v/>
      </c>
      <c r="C71" s="98" t="n">
        <v>1</v>
      </c>
      <c r="D71" s="125" t="n">
        <v>9630010510</v>
      </c>
      <c r="E71" s="34">
        <f>INDEX(База[],MATCH(Сводная_Продажи_Факт[[#This Row],[Обозначение]],База[Обозначение],0),MATCH(E$2,База[#Headers],0))</f>
        <v/>
      </c>
      <c r="F71" s="122">
        <f t="array" ref="F71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71" s="244">
        <f t="array" ref="G71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71" s="122">
        <f t="array" ref="H71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71" s="244">
        <f t="array" ref="I71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71" s="122">
        <f t="array" ref="J71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71" s="244">
        <f t="array" ref="K71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71" s="122">
        <f t="array" ref="L71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71" s="244">
        <f t="array" ref="M71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71" s="122">
        <f t="array" ref="N71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71" s="244">
        <f t="array" ref="O71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71" s="122">
        <f t="array" ref="P71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71" s="244">
        <f t="array" ref="Q71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71" s="122">
        <f t="array" ref="R71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71" s="244">
        <f t="array" ref="S71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71" s="122">
        <f t="array" ref="T71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71" s="244">
        <f t="array" ref="U71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71" s="122">
        <f t="array" ref="V71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71" s="244">
        <f t="array" ref="W71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71" s="122">
        <f t="array" ref="X71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71" s="244">
        <f t="array" ref="Y71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71" s="122">
        <f t="array" ref="Z71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71" s="244">
        <f t="array" ref="AA71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71" s="122">
        <f t="array" ref="AB71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71" s="244">
        <f t="array" ref="AC71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71" s="123">
        <f>SUM(Сводная_Продажи_Факт[[#This Row],[Январь
прогноз]:[Декабрь
прогноз]])</f>
        <v/>
      </c>
      <c r="AE71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72">
      <c r="A72" s="120">
        <f>ROW()-ROW(Сводная_Продажи_Факт[[#Headers],[№]])</f>
        <v/>
      </c>
      <c r="B72" s="12">
        <f>INDEX(База[],MATCH(Сводная_Продажи_Факт[[#This Row],[Обозначение]],База[Обозначение],0),MATCH(B$2,База[#Headers],0))</f>
        <v/>
      </c>
      <c r="C72" s="98" t="n">
        <v>1</v>
      </c>
      <c r="D72" s="125" t="n">
        <v>9710029000</v>
      </c>
      <c r="E72" s="34">
        <f>INDEX(База[],MATCH(Сводная_Продажи_Факт[[#This Row],[Обозначение]],База[Обозначение],0),MATCH(E$2,База[#Headers],0))</f>
        <v/>
      </c>
      <c r="F72" s="122">
        <f t="array" ref="F72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72" s="244">
        <f t="array" ref="G72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72" s="122">
        <f t="array" ref="H72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72" s="244">
        <f t="array" ref="I72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72" s="122">
        <f t="array" ref="J72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72" s="244">
        <f t="array" ref="K72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72" s="122">
        <f t="array" ref="L72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72" s="244">
        <f t="array" ref="M72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72" s="122">
        <f t="array" ref="N72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72" s="244">
        <f t="array" ref="O72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72" s="122">
        <f t="array" ref="P72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72" s="244">
        <f t="array" ref="Q72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72" s="122">
        <f t="array" ref="R72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72" s="244">
        <f t="array" ref="S72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72" s="122">
        <f t="array" ref="T72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72" s="244">
        <f t="array" ref="U72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72" s="122">
        <f t="array" ref="V72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72" s="244">
        <f t="array" ref="W72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72" s="122">
        <f t="array" ref="X72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72" s="244">
        <f t="array" ref="Y72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72" s="122">
        <f t="array" ref="Z72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72" s="244">
        <f t="array" ref="AA72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72" s="122">
        <f t="array" ref="AB72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72" s="244">
        <f t="array" ref="AC72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72" s="123">
        <f>SUM(Сводная_Продажи_Факт[[#This Row],[Январь
прогноз]:[Декабрь
прогноз]])</f>
        <v/>
      </c>
      <c r="AE72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73">
      <c r="A73" s="120">
        <f>ROW()-ROW(Сводная_Продажи_Факт[[#Headers],[№]])</f>
        <v/>
      </c>
      <c r="B73" s="12">
        <f>INDEX(База[],MATCH(Сводная_Продажи_Факт[[#This Row],[Обозначение]],База[Обозначение],0),MATCH(B$2,База[#Headers],0))</f>
        <v/>
      </c>
      <c r="C73" s="98" t="n">
        <v>1</v>
      </c>
      <c r="D73" s="125" t="n">
        <v>9735000510</v>
      </c>
      <c r="E73" s="34">
        <f>INDEX(База[],MATCH(Сводная_Продажи_Факт[[#This Row],[Обозначение]],База[Обозначение],0),MATCH(E$2,База[#Headers],0))</f>
        <v/>
      </c>
      <c r="F73" s="122">
        <f t="array" ref="F73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73" s="244">
        <f t="array" ref="G73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73" s="122">
        <f t="array" ref="H73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73" s="244">
        <f t="array" ref="I73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73" s="122">
        <f t="array" ref="J73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73" s="244">
        <f t="array" ref="K73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73" s="122">
        <f t="array" ref="L73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73" s="244">
        <f t="array" ref="M73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73" s="122">
        <f t="array" ref="N73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73" s="244">
        <f t="array" ref="O73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73" s="122">
        <f t="array" ref="P73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73" s="244">
        <f t="array" ref="Q73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73" s="122">
        <f t="array" ref="R73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73" s="244">
        <f t="array" ref="S73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73" s="122">
        <f t="array" ref="T73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73" s="244">
        <f t="array" ref="U73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73" s="122">
        <f t="array" ref="V73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73" s="244">
        <f t="array" ref="W73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73" s="122">
        <f t="array" ref="X73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73" s="244">
        <f t="array" ref="Y73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73" s="122">
        <f t="array" ref="Z73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73" s="244">
        <f t="array" ref="AA73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73" s="122">
        <f t="array" ref="AB73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73" s="244">
        <f t="array" ref="AC73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73" s="123">
        <f>SUM(Сводная_Продажи_Факт[[#This Row],[Январь
прогноз]:[Декабрь
прогноз]])</f>
        <v/>
      </c>
      <c r="AE73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74">
      <c r="A74" s="120">
        <f>ROW()-ROW(Сводная_Продажи_Факт[[#Headers],[№]])</f>
        <v/>
      </c>
      <c r="B74" s="12">
        <f>INDEX(База[],MATCH(Сводная_Продажи_Факт[[#This Row],[Обозначение]],База[Обозначение],0),MATCH(B$2,База[#Headers],0))</f>
        <v/>
      </c>
      <c r="C74" s="98" t="n">
        <v>1</v>
      </c>
      <c r="D74" s="98" t="n">
        <v>8282510086</v>
      </c>
      <c r="E74" s="121">
        <f>INDEX(База[],MATCH(Сводная_Продажи_Факт[[#This Row],[Обозначение]],База[Обозначение],0),MATCH(E$2,База[#Headers],0))</f>
        <v/>
      </c>
      <c r="F74" s="122">
        <f t="array" ref="F74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74" s="244">
        <f t="array" ref="G74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74" s="122">
        <f t="array" ref="H74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74" s="244">
        <f t="array" ref="I74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74" s="122">
        <f t="array" ref="J74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74" s="244">
        <f t="array" ref="K74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74" s="122">
        <f t="array" ref="L74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74" s="244">
        <f t="array" ref="M74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74" s="122">
        <f t="array" ref="N74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74" s="244">
        <f t="array" ref="O74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74" s="122">
        <f t="array" ref="P74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74" s="244">
        <f t="array" ref="Q74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74" s="122">
        <f t="array" ref="R74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74" s="244">
        <f t="array" ref="S74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74" s="122">
        <f t="array" ref="T74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74" s="244">
        <f t="array" ref="U74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74" s="122">
        <f t="array" ref="V74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74" s="244">
        <f t="array" ref="W74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74" s="122">
        <f t="array" ref="X74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74" s="244">
        <f t="array" ref="Y74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74" s="122">
        <f t="array" ref="Z74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74" s="244">
        <f t="array" ref="AA74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74" s="122">
        <f t="array" ref="AB74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74" s="244">
        <f t="array" ref="AC74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74" s="123">
        <f>SUM(Сводная_Продажи_Факт[[#This Row],[Январь
прогноз]:[Декабрь
прогноз]])</f>
        <v/>
      </c>
      <c r="AE74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75">
      <c r="A75" s="120">
        <f>ROW()-ROW(Сводная_Продажи_Факт[[#Headers],[№]])</f>
        <v/>
      </c>
      <c r="B75" s="12">
        <f>INDEX(База[],MATCH(Сводная_Продажи_Факт[[#This Row],[Обозначение]],База[Обозначение],0),MATCH(B$2,База[#Headers],0))</f>
        <v/>
      </c>
      <c r="C75" s="98" t="n">
        <v>1</v>
      </c>
      <c r="D75" s="125" t="n">
        <v>8282510106</v>
      </c>
      <c r="E75" s="34">
        <f>INDEX(База[],MATCH(Сводная_Продажи_Факт[[#This Row],[Обозначение]],База[Обозначение],0),MATCH(E$2,База[#Headers],0))</f>
        <v/>
      </c>
      <c r="F75" s="122">
        <f t="array" ref="F75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75" s="244">
        <f t="array" ref="G75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75" s="122">
        <f t="array" ref="H75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75" s="244">
        <f t="array" ref="I75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75" s="122">
        <f t="array" ref="J75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75" s="244">
        <f t="array" ref="K75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75" s="122">
        <f t="array" ref="L75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75" s="244">
        <f t="array" ref="M75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75" s="122">
        <f t="array" ref="N75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75" s="244">
        <f t="array" ref="O75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75" s="122">
        <f t="array" ref="P75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75" s="244">
        <f t="array" ref="Q75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75" s="122">
        <f t="array" ref="R75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75" s="244">
        <f t="array" ref="S75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75" s="122">
        <f t="array" ref="T75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75" s="244">
        <f t="array" ref="U75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75" s="122">
        <f t="array" ref="V75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75" s="244">
        <f t="array" ref="W75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75" s="122">
        <f t="array" ref="X75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75" s="244">
        <f t="array" ref="Y75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75" s="122">
        <f t="array" ref="Z75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75" s="244">
        <f t="array" ref="AA75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75" s="122">
        <f t="array" ref="AB75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75" s="244">
        <f t="array" ref="AC75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75" s="123">
        <f>SUM(Сводная_Продажи_Факт[[#This Row],[Январь
прогноз]:[Декабрь
прогноз]])</f>
        <v/>
      </c>
      <c r="AE75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76">
      <c r="A76" s="120">
        <f>ROW()-ROW(Сводная_Продажи_Факт[[#Headers],[№]])</f>
        <v/>
      </c>
      <c r="B76" s="12">
        <f>INDEX(База[],MATCH(Сводная_Продажи_Факт[[#This Row],[Обозначение]],База[Обозначение],0),MATCH(B$2,База[#Headers],0))</f>
        <v/>
      </c>
      <c r="C76" s="98" t="n">
        <v>1</v>
      </c>
      <c r="D76" s="125" t="n">
        <v>8282510126</v>
      </c>
      <c r="E76" s="34">
        <f>INDEX(База[],MATCH(Сводная_Продажи_Факт[[#This Row],[Обозначение]],База[Обозначение],0),MATCH(E$2,База[#Headers],0))</f>
        <v/>
      </c>
      <c r="F76" s="122">
        <f t="array" ref="F76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76" s="244">
        <f t="array" ref="G76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76" s="122">
        <f t="array" ref="H76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76" s="244">
        <f t="array" ref="I76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76" s="122">
        <f t="array" ref="J76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76" s="244">
        <f t="array" ref="K76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76" s="122">
        <f t="array" ref="L76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76" s="244">
        <f t="array" ref="M76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76" s="122">
        <f t="array" ref="N76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76" s="244">
        <f t="array" ref="O76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76" s="122">
        <f t="array" ref="P76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76" s="244">
        <f t="array" ref="Q76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76" s="122">
        <f t="array" ref="R76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76" s="244">
        <f t="array" ref="S76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76" s="122">
        <f t="array" ref="T76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76" s="244">
        <f t="array" ref="U76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76" s="122">
        <f t="array" ref="V76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76" s="244">
        <f t="array" ref="W76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76" s="122">
        <f t="array" ref="X76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76" s="244">
        <f t="array" ref="Y76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76" s="122">
        <f t="array" ref="Z76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76" s="244">
        <f t="array" ref="AA76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76" s="122">
        <f t="array" ref="AB76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76" s="244">
        <f t="array" ref="AC76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76" s="123">
        <f>SUM(Сводная_Продажи_Факт[[#This Row],[Январь
прогноз]:[Декабрь
прогноз]])</f>
        <v/>
      </c>
      <c r="AE76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77">
      <c r="A77" s="120">
        <f>ROW()-ROW(Сводная_Продажи_Факт[[#Headers],[№]])</f>
        <v/>
      </c>
      <c r="B77" s="12">
        <f>INDEX(База[],MATCH(Сводная_Продажи_Факт[[#This Row],[Обозначение]],База[Обозначение],0),MATCH(B$2,База[#Headers],0))</f>
        <v/>
      </c>
      <c r="C77" s="98" t="n">
        <v>1</v>
      </c>
      <c r="D77" s="125" t="n">
        <v>8282519676</v>
      </c>
      <c r="E77" s="34">
        <f>INDEX(База[],MATCH(Сводная_Продажи_Факт[[#This Row],[Обозначение]],База[Обозначение],0),MATCH(E$2,База[#Headers],0))</f>
        <v/>
      </c>
      <c r="F77" s="122">
        <f t="array" ref="F77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77" s="244">
        <f t="array" ref="G77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77" s="122">
        <f t="array" ref="H77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77" s="244">
        <f t="array" ref="I77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77" s="122">
        <f t="array" ref="J77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77" s="244">
        <f t="array" ref="K77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77" s="122">
        <f t="array" ref="L77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77" s="244">
        <f t="array" ref="M77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77" s="122">
        <f t="array" ref="N77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77" s="244">
        <f t="array" ref="O77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77" s="122">
        <f t="array" ref="P77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77" s="244">
        <f t="array" ref="Q77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77" s="122">
        <f t="array" ref="R77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77" s="244">
        <f t="array" ref="S77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77" s="122">
        <f t="array" ref="T77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77" s="244">
        <f t="array" ref="U77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77" s="122">
        <f t="array" ref="V77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77" s="244">
        <f t="array" ref="W77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77" s="122">
        <f t="array" ref="X77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77" s="244">
        <f t="array" ref="Y77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77" s="122">
        <f t="array" ref="Z77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77" s="244">
        <f t="array" ref="AA77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77" s="122">
        <f t="array" ref="AB77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77" s="244">
        <f t="array" ref="AC77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77" s="123">
        <f>SUM(Сводная_Продажи_Факт[[#This Row],[Январь
прогноз]:[Декабрь
прогноз]])</f>
        <v/>
      </c>
      <c r="AE77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78">
      <c r="A78" s="120">
        <f>ROW()-ROW(Сводная_Продажи_Факт[[#Headers],[№]])</f>
        <v/>
      </c>
      <c r="B78" s="12">
        <f>INDEX(База[],MATCH(Сводная_Продажи_Факт[[#This Row],[Обозначение]],База[Обозначение],0),MATCH(B$2,База[#Headers],0))</f>
        <v/>
      </c>
      <c r="C78" s="98" t="n">
        <v>1</v>
      </c>
      <c r="D78" s="125" t="n">
        <v>8282519726</v>
      </c>
      <c r="E78" s="34">
        <f>INDEX(База[],MATCH(Сводная_Продажи_Факт[[#This Row],[Обозначение]],База[Обозначение],0),MATCH(E$2,База[#Headers],0))</f>
        <v/>
      </c>
      <c r="F78" s="122">
        <f t="array" ref="F78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78" s="244">
        <f t="array" ref="G78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78" s="122">
        <f t="array" ref="H78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78" s="244">
        <f t="array" ref="I78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78" s="122">
        <f t="array" ref="J78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78" s="244">
        <f t="array" ref="K78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78" s="122">
        <f t="array" ref="L78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78" s="244">
        <f t="array" ref="M78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78" s="122">
        <f t="array" ref="N78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78" s="244">
        <f t="array" ref="O78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78" s="122">
        <f t="array" ref="P78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78" s="244">
        <f t="array" ref="Q78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78" s="122">
        <f t="array" ref="R78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78" s="244">
        <f t="array" ref="S78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78" s="122">
        <f t="array" ref="T78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78" s="244">
        <f t="array" ref="U78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78" s="122">
        <f t="array" ref="V78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78" s="244">
        <f t="array" ref="W78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78" s="122">
        <f t="array" ref="X78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78" s="244">
        <f t="array" ref="Y78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78" s="122">
        <f t="array" ref="Z78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78" s="244">
        <f t="array" ref="AA78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78" s="122">
        <f t="array" ref="AB78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78" s="244">
        <f t="array" ref="AC78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78" s="123">
        <f>SUM(Сводная_Продажи_Факт[[#This Row],[Январь
прогноз]:[Декабрь
прогноз]])</f>
        <v/>
      </c>
      <c r="AE78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79">
      <c r="A79" s="120">
        <f>ROW()-ROW(Сводная_Продажи_Факт[[#Headers],[№]])</f>
        <v/>
      </c>
      <c r="B79" s="12">
        <f>INDEX(База[],MATCH(Сводная_Продажи_Факт[[#This Row],[Обозначение]],База[Обозначение],0),MATCH(B$2,База[#Headers],0))</f>
        <v/>
      </c>
      <c r="C79" s="98" t="n">
        <v>1</v>
      </c>
      <c r="D79" s="98" t="n">
        <v>828877016</v>
      </c>
      <c r="E79" s="121">
        <f>INDEX(База[],MATCH(Сводная_Продажи_Факт[[#This Row],[Обозначение]],База[Обозначение],0),MATCH(E$2,База[#Headers],0))</f>
        <v/>
      </c>
      <c r="F79" s="122">
        <f t="array" ref="F79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79" s="244">
        <f t="array" ref="G79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79" s="122">
        <f t="array" ref="H79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79" s="244">
        <f t="array" ref="I79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79" s="122">
        <f t="array" ref="J79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79" s="244">
        <f t="array" ref="K79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79" s="122">
        <f t="array" ref="L79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79" s="244">
        <f t="array" ref="M79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79" s="122">
        <f t="array" ref="N79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79" s="244">
        <f t="array" ref="O79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79" s="122">
        <f t="array" ref="P79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79" s="244">
        <f t="array" ref="Q79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79" s="122">
        <f t="array" ref="R79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79" s="244">
        <f t="array" ref="S79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79" s="122">
        <f t="array" ref="T79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79" s="244">
        <f t="array" ref="U79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79" s="122">
        <f t="array" ref="V79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79" s="244">
        <f t="array" ref="W79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79" s="122">
        <f t="array" ref="X79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79" s="244">
        <f t="array" ref="Y79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79" s="122">
        <f t="array" ref="Z79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79" s="244">
        <f t="array" ref="AA79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79" s="122">
        <f t="array" ref="AB79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79" s="244">
        <f t="array" ref="AC79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79" s="123">
        <f>SUM(Сводная_Продажи_Факт[[#This Row],[Январь
прогноз]:[Декабрь
прогноз]])</f>
        <v/>
      </c>
      <c r="AE79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/>
      </c>
    </row>
    <row r="80">
      <c r="A80" s="240" t="n"/>
      <c r="B80" s="210" t="n"/>
      <c r="C80" s="241" t="n">
        <v>1</v>
      </c>
      <c r="D80" s="241" t="n">
        <v>4802070600</v>
      </c>
      <c r="E80" s="242" t="n"/>
      <c r="F80" s="122">
        <f t="array" ref="F80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/>
      </c>
      <c r="G80" s="244">
        <f t="array" ref="G80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/>
      </c>
      <c r="H80" s="122">
        <f t="array" ref="H80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/>
      </c>
      <c r="I80" s="244">
        <f t="array" ref="I80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/>
      </c>
      <c r="J80" s="122">
        <f t="array" ref="J80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/>
      </c>
      <c r="K80" s="244">
        <f t="array" ref="K80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/>
      </c>
      <c r="L80" s="122">
        <f t="array" ref="L80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/>
      </c>
      <c r="M80" s="244">
        <f t="array" ref="M80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/>
      </c>
      <c r="N80" s="122">
        <f t="array" ref="N80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/>
      </c>
      <c r="O80" s="244">
        <f t="array" ref="O80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/>
      </c>
      <c r="P80" s="122">
        <f t="array" ref="P80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/>
      </c>
      <c r="Q80" s="244">
        <f t="array" ref="Q80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/>
      </c>
      <c r="R80" s="122">
        <f t="array" ref="R80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/>
      </c>
      <c r="S80" s="244">
        <f t="array" ref="S80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/>
      </c>
      <c r="T80" s="122">
        <f t="array" ref="T80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/>
      </c>
      <c r="U80" s="244">
        <f t="array" ref="U80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/>
      </c>
      <c r="V80" s="122">
        <f t="array" ref="V80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/>
      </c>
      <c r="W80" s="244">
        <f t="array" ref="W80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/>
      </c>
      <c r="X80" s="122">
        <f t="array" ref="X80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/>
      </c>
      <c r="Y80" s="244">
        <f t="array" ref="Y80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/>
      </c>
      <c r="Z80" s="122">
        <f t="array" ref="Z80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/>
      </c>
      <c r="AA80" s="244">
        <f t="array" ref="AA80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/>
      </c>
      <c r="AB80" s="122">
        <f t="array" ref="AB80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/>
      </c>
      <c r="AC80" s="244">
        <f t="array" ref="AC80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/>
      </c>
      <c r="AD80" s="123">
        <f>SUM(Сводная_Продажи_Факт[[#This Row],[Январь
прогноз]:[Декабрь
прогноз]])</f>
        <v/>
      </c>
      <c r="AE80" s="243" t="n"/>
    </row>
    <row r="81">
      <c r="A81" s="127" t="n"/>
      <c r="B81" s="128" t="n"/>
      <c r="C81" s="128" t="n"/>
      <c r="D81" s="128" t="n"/>
      <c r="E81" s="128" t="n"/>
      <c r="F81" s="129">
        <f>SUBTOTAL(109,Сводная_Продажи_Факт[Январь
прогноз])</f>
        <v/>
      </c>
      <c r="G81" s="129" t="n"/>
      <c r="H81" s="129">
        <f>SUBTOTAL(109,Сводная_Продажи_Факт[Февраль
прогноз])</f>
        <v/>
      </c>
      <c r="I81" s="129" t="n"/>
      <c r="J81" s="129">
        <f>SUBTOTAL(109,Сводная_Продажи_Факт[Март
прогноз])</f>
        <v/>
      </c>
      <c r="K81" s="129" t="n"/>
      <c r="L81" s="129">
        <f>SUBTOTAL(109,Сводная_Продажи_Факт[Апрель
прогноз])</f>
        <v/>
      </c>
      <c r="M81" s="129" t="n"/>
      <c r="N81" s="129">
        <f>SUBTOTAL(109,Сводная_Продажи_Факт[Май
прогноз])</f>
        <v/>
      </c>
      <c r="O81" s="129" t="n"/>
      <c r="P81" s="129">
        <f>SUBTOTAL(109,Сводная_Продажи_Факт[Июнь
прогноз])</f>
        <v/>
      </c>
      <c r="Q81" s="129" t="n"/>
      <c r="R81" s="129">
        <f>SUBTOTAL(109,Сводная_Продажи_Факт[Июль
прогноз])</f>
        <v/>
      </c>
      <c r="S81" s="129" t="n"/>
      <c r="T81" s="129">
        <f>SUBTOTAL(109,Сводная_Продажи_Факт[Август
прогноз])</f>
        <v/>
      </c>
      <c r="U81" s="129" t="n"/>
      <c r="V81" s="129">
        <f>SUBTOTAL(109,Сводная_Продажи_Факт[Сентябрь
прогноз])</f>
        <v/>
      </c>
      <c r="W81" s="129" t="n"/>
      <c r="X81" s="129">
        <f>SUBTOTAL(109,Сводная_Продажи_Факт[Октябрь
прогноз])</f>
        <v/>
      </c>
      <c r="Y81" s="129" t="n"/>
      <c r="Z81" s="129">
        <f>SUBTOTAL(109,Сводная_Продажи_Факт[Ноябрь
прогноз])</f>
        <v/>
      </c>
      <c r="AA81" s="129" t="n"/>
      <c r="AB81" s="129">
        <f>SUBTOTAL(109,Сводная_Продажи_Факт[Декабрь
прогноз])</f>
        <v/>
      </c>
      <c r="AC81" s="129" t="n"/>
      <c r="AD81" s="129">
        <f>SUBTOTAL(109,Сводная_Продажи_Факт[2026])</f>
        <v/>
      </c>
      <c r="AE81" s="130" t="n"/>
    </row>
  </sheetData>
  <mergeCells count="2">
    <mergeCell ref="A1:E1"/>
    <mergeCell ref="F1:AD1"/>
  </mergeCells>
  <conditionalFormatting sqref="D3:D47">
    <cfRule type="duplicateValues" priority="133" dxfId="1"/>
  </conditionalFormatting>
  <conditionalFormatting sqref="AE3:AE80">
    <cfRule type="dataBar" priority="216">
      <dataBar>
        <cfvo type="min"/>
        <cfvo type="max"/>
        <color rgb="FFFF555A"/>
      </dataBar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pane xSplit="1" ySplit="1" topLeftCell="B40" activePane="bottomRight" state="frozen"/>
      <selection activeCell="B2" sqref="B2"/>
      <selection pane="topRight" activeCell="A1" sqref="A1"/>
      <selection pane="bottomLeft" activeCell="A1" sqref="A1"/>
      <selection pane="bottomRight" activeCell="C73" sqref="C73"/>
    </sheetView>
  </sheetViews>
  <sheetFormatPr baseColWidth="8" defaultColWidth="12.6640625" defaultRowHeight="14.4"/>
  <cols>
    <col width="3.6640625" customWidth="1" style="131" min="1" max="1"/>
    <col width="15" customWidth="1" style="131" min="2" max="2"/>
    <col width="59.44140625" bestFit="1" customWidth="1" style="131" min="3" max="3"/>
    <col width="16.6640625" bestFit="1" customWidth="1" style="131" min="4" max="4"/>
    <col width="3.6640625" customWidth="1" style="131" min="5" max="6"/>
    <col width="18" customWidth="1" style="131" min="7" max="7"/>
    <col width="8.6640625" customWidth="1" style="131" min="8" max="8"/>
    <col width="15" customWidth="1" style="131" min="9" max="9"/>
    <col width="55.44140625" bestFit="1" customWidth="1" style="131" min="10" max="10"/>
    <col width="9.33203125" customWidth="1" style="131" min="11" max="11"/>
    <col width="16.6640625" bestFit="1" customWidth="1" style="131" min="12" max="12"/>
    <col width="15.6640625" customWidth="1" style="131" min="13" max="13"/>
    <col hidden="1" outlineLevel="1" width="14.44140625" customWidth="1" style="131" min="14" max="14"/>
    <col collapsed="1" width="12.6640625" customWidth="1" style="131" min="15" max="15"/>
    <col width="12.6640625" customWidth="1" style="131" min="16" max="16384"/>
  </cols>
  <sheetData>
    <row r="1">
      <c r="A1" s="132" t="inlineStr">
        <is>
          <t>№</t>
        </is>
      </c>
      <c r="B1" s="288" t="inlineStr">
        <is>
          <t>Обозначение</t>
        </is>
      </c>
      <c r="C1" s="288" t="inlineStr">
        <is>
          <t>Наименование</t>
        </is>
      </c>
      <c r="D1" s="288" t="inlineStr">
        <is>
          <t>Тип</t>
        </is>
      </c>
      <c r="F1" s="132" t="inlineStr">
        <is>
          <t>№</t>
        </is>
      </c>
      <c r="G1" s="288" t="inlineStr">
        <is>
          <t>Сет</t>
        </is>
      </c>
      <c r="H1" s="288" t="inlineStr">
        <is>
          <t>WABCO</t>
        </is>
      </c>
      <c r="I1" s="288" t="inlineStr">
        <is>
          <t>Обозначение</t>
        </is>
      </c>
      <c r="J1" s="288" t="inlineStr">
        <is>
          <t>Наименование</t>
        </is>
      </c>
      <c r="K1" s="288" t="inlineStr">
        <is>
          <t>Кол-во</t>
        </is>
      </c>
      <c r="L1" s="288" t="inlineStr">
        <is>
          <t>Тип</t>
        </is>
      </c>
      <c r="M1" s="288" t="inlineStr">
        <is>
          <t>Примечание</t>
        </is>
      </c>
      <c r="N1" s="133" t="inlineStr">
        <is>
          <t>Проверка</t>
        </is>
      </c>
    </row>
    <row r="2">
      <c r="A2" s="134">
        <f>ROW()-ROW(База[[#Headers],[№]])</f>
        <v/>
      </c>
      <c r="B2" s="135" t="n">
        <v>4801020640</v>
      </c>
      <c r="C2" s="136" t="inlineStr">
        <is>
          <t>Модулятор EBS, с PEM, без фит.</t>
        </is>
      </c>
      <c r="D2" s="137" t="inlineStr">
        <is>
          <t>ЕБС</t>
        </is>
      </c>
      <c r="F2" s="134">
        <f>ROW()-ROW(Сеты[[#Headers],[№]])</f>
        <v/>
      </c>
      <c r="G2" s="134" t="inlineStr">
        <is>
          <t>ABS 2S/2M W</t>
        </is>
      </c>
      <c r="H2" s="134" t="n">
        <v>2</v>
      </c>
      <c r="I2" s="135" t="n">
        <v>4005000880</v>
      </c>
      <c r="J2" s="138">
        <f>INDEX(База[],MATCH(Сеты[[#This Row],[Обозначение]],База[Обозначение],0),MATCH(J$1,База[#Headers],0))</f>
        <v/>
      </c>
      <c r="K2" s="135" t="n">
        <v>1</v>
      </c>
      <c r="L2" s="139">
        <f>INDEX(База[],MATCH(Сеты[[#This Row],[Обозначение]],База[Обозначение],0),MATCH(L$1,База[#Headers],0))</f>
        <v/>
      </c>
      <c r="M2" s="137" t="n"/>
      <c r="N2" s="137">
        <f>SUMPRODUCT((Сеты[Сет]=Сеты[[#This Row],[Сет]])*(Сеты[WABCO]=Сеты[[#This Row],[WABCO]])*(Сеты[Обозначение]=Сеты[[#This Row],[Обозначение]])*1)</f>
        <v/>
      </c>
    </row>
    <row r="3">
      <c r="A3" s="134">
        <f>ROW()-ROW(База[[#Headers],[№]])</f>
        <v/>
      </c>
      <c r="B3" s="134" t="n">
        <v>4802070010</v>
      </c>
      <c r="C3" s="140" t="inlineStr">
        <is>
          <t>Модулятор EBS</t>
        </is>
      </c>
      <c r="D3" s="137" t="inlineStr">
        <is>
          <t>ЕБС</t>
        </is>
      </c>
      <c r="F3" s="134">
        <f>ROW()-ROW(Сеты[[#Headers],[№]])</f>
        <v/>
      </c>
      <c r="G3" s="134" t="inlineStr">
        <is>
          <t>ABS 2S/2M W</t>
        </is>
      </c>
      <c r="H3" s="134" t="n">
        <v>2</v>
      </c>
      <c r="I3" s="135" t="n">
        <v>4491301200</v>
      </c>
      <c r="J3" s="138">
        <f>INDEX(База[],MATCH(Сеты[[#This Row],[Обозначение]],База[Обозначение],0),MATCH(J$1,База[#Headers],0))</f>
        <v/>
      </c>
      <c r="K3" s="135" t="n">
        <v>1</v>
      </c>
      <c r="L3" s="139">
        <f>INDEX(База[],MATCH(Сеты[[#This Row],[Обозначение]],База[Обозначение],0),MATCH(L$1,База[#Headers],0))</f>
        <v/>
      </c>
      <c r="M3" s="137" t="n"/>
      <c r="N3" s="137">
        <f>SUMPRODUCT((Сеты[Сет]=Сеты[[#This Row],[Сет]])*(Сеты[WABCO]=Сеты[[#This Row],[WABCO]])*(Сеты[Обозначение]=Сеты[[#This Row],[Обозначение]])*1)</f>
        <v/>
      </c>
    </row>
    <row r="4">
      <c r="A4" s="134">
        <f>ROW()-ROW(База[[#Headers],[№]])</f>
        <v/>
      </c>
      <c r="B4" s="134" t="n">
        <v>4410441010</v>
      </c>
      <c r="C4" s="140" t="inlineStr">
        <is>
          <t>Датчик давления</t>
        </is>
      </c>
      <c r="D4" s="137" t="inlineStr">
        <is>
          <t>ЕБС</t>
        </is>
      </c>
      <c r="F4" s="134">
        <f>ROW()-ROW(Сеты[[#Headers],[№]])</f>
        <v/>
      </c>
      <c r="G4" s="134" t="inlineStr">
        <is>
          <t>ABS 2S/2M W</t>
        </is>
      </c>
      <c r="H4" s="134" t="n">
        <v>2</v>
      </c>
      <c r="I4" s="135" t="n">
        <v>4491301500</v>
      </c>
      <c r="J4" s="138">
        <f>INDEX(База[],MATCH(Сеты[[#This Row],[Обозначение]],База[Обозначение],0),MATCH(J$1,База[#Headers],0))</f>
        <v/>
      </c>
      <c r="K4" s="135" t="n">
        <v>1</v>
      </c>
      <c r="L4" s="139">
        <f>INDEX(База[],MATCH(Сеты[[#This Row],[Обозначение]],База[Обозначение],0),MATCH(L$1,База[#Headers],0))</f>
        <v/>
      </c>
      <c r="M4" s="137" t="inlineStr">
        <is>
          <t>опционально</t>
        </is>
      </c>
      <c r="N4" s="137">
        <f>SUMPRODUCT((Сеты[Сет]=Сеты[[#This Row],[Сет]])*(Сеты[WABCO]=Сеты[[#This Row],[WABCO]])*(Сеты[Обозначение]=Сеты[[#This Row],[Обозначение]])*1)</f>
        <v/>
      </c>
    </row>
    <row r="5">
      <c r="A5" s="134">
        <f>ROW()-ROW(База[[#Headers],[№]])</f>
        <v/>
      </c>
      <c r="B5" s="135" t="n">
        <v>4630840310</v>
      </c>
      <c r="C5" s="136" t="inlineStr">
        <is>
          <t>Клапан управления подъемом оси (LACV)</t>
        </is>
      </c>
      <c r="D5" s="137" t="inlineStr">
        <is>
          <t>ЕБС</t>
        </is>
      </c>
      <c r="F5" s="134">
        <f>ROW()-ROW(Сеты[[#Headers],[№]])</f>
        <v/>
      </c>
      <c r="G5" s="134" t="inlineStr">
        <is>
          <t>ABS 2S/2M W</t>
        </is>
      </c>
      <c r="H5" s="134" t="n">
        <v>2</v>
      </c>
      <c r="I5" s="135" t="n">
        <v>4493702820</v>
      </c>
      <c r="J5" s="138">
        <f>INDEX(База[],MATCH(Сеты[[#This Row],[Обозначение]],База[Обозначение],0),MATCH(J$1,База[#Headers],0))</f>
        <v/>
      </c>
      <c r="K5" s="135" t="n">
        <v>1</v>
      </c>
      <c r="L5" s="139">
        <f>INDEX(База[],MATCH(Сеты[[#This Row],[Обозначение]],База[Обозначение],0),MATCH(L$1,База[#Headers],0))</f>
        <v/>
      </c>
      <c r="M5" s="137" t="n"/>
      <c r="N5" s="137">
        <f>SUMPRODUCT((Сеты[Сет]=Сеты[[#This Row],[Сет]])*(Сеты[WABCO]=Сеты[[#This Row],[WABCO]])*(Сеты[Обозначение]=Сеты[[#This Row],[Обозначение]])*1)</f>
        <v/>
      </c>
    </row>
    <row r="6">
      <c r="A6" s="134">
        <f>ROW()-ROW(База[[#Headers],[№]])</f>
        <v/>
      </c>
      <c r="B6" s="135" t="n">
        <v>4491731200</v>
      </c>
      <c r="C6" s="136" t="inlineStr">
        <is>
          <t>Кабель питания, 12 м</t>
        </is>
      </c>
      <c r="D6" s="137" t="inlineStr">
        <is>
          <t>ЕБС</t>
        </is>
      </c>
      <c r="F6" s="134">
        <f>ROW()-ROW(Сеты[[#Headers],[№]])</f>
        <v/>
      </c>
      <c r="G6" s="134" t="inlineStr">
        <is>
          <t>ABS 2S/2M W</t>
        </is>
      </c>
      <c r="H6" s="134" t="n">
        <v>2</v>
      </c>
      <c r="I6" s="15" t="n">
        <v>4493792810</v>
      </c>
      <c r="J6" s="141">
        <f>INDEX(База[],MATCH(Сеты[[#This Row],[Обозначение]],База[Обозначение],0),MATCH(J$1,База[#Headers],0))</f>
        <v/>
      </c>
      <c r="K6" s="134" t="n">
        <v>1</v>
      </c>
      <c r="L6" s="142">
        <f>INDEX(База[],MATCH(Сеты[[#This Row],[Обозначение]],База[Обозначение],0),MATCH(L$1,База[#Headers],0))</f>
        <v/>
      </c>
      <c r="M6" s="137" t="inlineStr">
        <is>
          <t>опционально</t>
        </is>
      </c>
      <c r="N6" s="137" t="n"/>
    </row>
    <row r="7">
      <c r="A7" s="134">
        <f>ROW()-ROW(База[[#Headers],[№]])</f>
        <v/>
      </c>
      <c r="B7" s="135" t="n">
        <v>4491731500</v>
      </c>
      <c r="C7" s="136" t="inlineStr">
        <is>
          <t>Кабель питания, 15 м</t>
        </is>
      </c>
      <c r="D7" s="137" t="inlineStr">
        <is>
          <t>ЕБС</t>
        </is>
      </c>
      <c r="F7" s="134">
        <f>ROW()-ROW(Сеты[[#Headers],[№]])</f>
        <v/>
      </c>
      <c r="G7" s="134" t="inlineStr">
        <is>
          <t>ABS 2S/2M W</t>
        </is>
      </c>
      <c r="H7" s="134" t="n">
        <v>2</v>
      </c>
      <c r="I7" s="135" t="n">
        <v>4497120300</v>
      </c>
      <c r="J7" s="138">
        <f>INDEX(База[],MATCH(Сеты[[#This Row],[Обозначение]],База[Обозначение],0),MATCH(J$1,База[#Headers],0))</f>
        <v/>
      </c>
      <c r="K7" s="135" t="n">
        <v>2</v>
      </c>
      <c r="L7" s="139">
        <f>INDEX(База[],MATCH(Сеты[[#This Row],[Обозначение]],База[Обозначение],0),MATCH(L$1,База[#Headers],0))</f>
        <v/>
      </c>
      <c r="M7" s="137" t="inlineStr">
        <is>
          <t>опционально</t>
        </is>
      </c>
      <c r="N7" s="137">
        <f>SUMPRODUCT((Сеты[Сет]=Сеты[[#This Row],[Сет]])*(Сеты[WABCO]=Сеты[[#This Row],[WABCO]])*(Сеты[Обозначение]=Сеты[[#This Row],[Обозначение]])*1)</f>
        <v/>
      </c>
    </row>
    <row r="8">
      <c r="A8" s="134">
        <f>ROW()-ROW(База[[#Headers],[№]])</f>
        <v/>
      </c>
      <c r="B8" s="134" t="n">
        <v>4492731200</v>
      </c>
      <c r="C8" s="140" t="inlineStr">
        <is>
          <t>Кабель питания для прицепа, 12 м</t>
        </is>
      </c>
      <c r="D8" s="137" t="inlineStr">
        <is>
          <t>ЕБС</t>
        </is>
      </c>
      <c r="F8" s="134">
        <f>ROW()-ROW(Сеты[[#Headers],[№]])</f>
        <v/>
      </c>
      <c r="G8" s="134" t="inlineStr">
        <is>
          <t>ABS 2S/2M W</t>
        </is>
      </c>
      <c r="H8" s="134" t="n">
        <v>2</v>
      </c>
      <c r="I8" s="135" t="n">
        <v>4497490300</v>
      </c>
      <c r="J8" s="138">
        <f>INDEX(База[],MATCH(Сеты[[#This Row],[Обозначение]],База[Обозначение],0),MATCH(J$1,База[#Headers],0))</f>
        <v/>
      </c>
      <c r="K8" s="135" t="n">
        <v>2</v>
      </c>
      <c r="L8" s="139">
        <f>INDEX(База[],MATCH(Сеты[[#This Row],[Обозначение]],База[Обозначение],0),MATCH(L$1,База[#Headers],0))</f>
        <v/>
      </c>
      <c r="M8" s="137" t="n"/>
      <c r="N8" s="137">
        <f>SUMPRODUCT((Сеты[Сет]=Сеты[[#This Row],[Сет]])*(Сеты[WABCO]=Сеты[[#This Row],[WABCO]])*(Сеты[Обозначение]=Сеты[[#This Row],[Обозначение]])*1)</f>
        <v/>
      </c>
    </row>
    <row r="9">
      <c r="A9" s="134">
        <f>ROW()-ROW(База[[#Headers],[№]])</f>
        <v/>
      </c>
      <c r="B9" s="134" t="n">
        <v>4497230300</v>
      </c>
      <c r="C9" s="140" t="inlineStr">
        <is>
          <t>Кабель датчика АБС, 3 м</t>
        </is>
      </c>
      <c r="D9" s="137" t="inlineStr">
        <is>
          <t>ЕБС</t>
        </is>
      </c>
      <c r="F9" s="134">
        <f>ROW()-ROW(Сеты[[#Headers],[№]])</f>
        <v/>
      </c>
      <c r="G9" s="134" t="inlineStr">
        <is>
          <t>ABS 2S/2M W</t>
        </is>
      </c>
      <c r="H9" s="134" t="n"/>
      <c r="I9" s="135" t="n">
        <v>4497120000</v>
      </c>
      <c r="J9" s="138">
        <f>INDEX(База[],MATCH(Сеты[[#This Row],[Обозначение]],База[Обозначение],0),MATCH(J$1,База[#Headers],0))</f>
        <v/>
      </c>
      <c r="K9" s="135" t="n">
        <v>2</v>
      </c>
      <c r="L9" s="139">
        <f>INDEX(База[],MATCH(Сеты[[#This Row],[Обозначение]],База[Обозначение],0),MATCH(L$1,База[#Headers],0))</f>
        <v/>
      </c>
      <c r="M9" s="137" t="inlineStr">
        <is>
          <t>опционально</t>
        </is>
      </c>
      <c r="N9" s="137" t="n"/>
    </row>
    <row r="10">
      <c r="A10" s="134">
        <f>ROW()-ROW(База[[#Headers],[№]])</f>
        <v/>
      </c>
      <c r="B10" s="135" t="n">
        <v>4497230400</v>
      </c>
      <c r="C10" s="136" t="inlineStr">
        <is>
          <t>Кабель датчика АБС, 4 м</t>
        </is>
      </c>
      <c r="D10" s="137" t="inlineStr">
        <is>
          <t>ЕБС</t>
        </is>
      </c>
      <c r="F10" s="134">
        <f>ROW()-ROW(Сеты[[#Headers],[№]])</f>
        <v/>
      </c>
      <c r="G10" s="134" t="inlineStr">
        <is>
          <t>ABS 2S/2M W</t>
        </is>
      </c>
      <c r="H10" s="134" t="n">
        <v>2</v>
      </c>
      <c r="I10" s="135" t="n">
        <v>9710020400</v>
      </c>
      <c r="J10" s="138">
        <f>INDEX(База[],MATCH(Сеты[[#This Row],[Обозначение]],База[Обозначение],0),MATCH(J$1,База[#Headers],0))</f>
        <v/>
      </c>
      <c r="K10" s="135" t="n">
        <v>1</v>
      </c>
      <c r="L10" s="139">
        <f>INDEX(База[],MATCH(Сеты[[#This Row],[Обозначение]],База[Обозначение],0),MATCH(L$1,База[#Headers],0))</f>
        <v/>
      </c>
      <c r="M10" s="137" t="n"/>
      <c r="N10" s="137">
        <f>SUMPRODUCT((Сеты[Сет]=Сеты[[#This Row],[Сет]])*(Сеты[WABCO]=Сеты[[#This Row],[WABCO]])*(Сеты[Обозначение]=Сеты[[#This Row],[Обозначение]])*1)</f>
        <v/>
      </c>
    </row>
    <row r="11">
      <c r="A11" s="134">
        <f>ROW()-ROW(База[[#Headers],[№]])</f>
        <v/>
      </c>
      <c r="B11" s="135" t="n">
        <v>4497230500</v>
      </c>
      <c r="C11" s="136" t="inlineStr">
        <is>
          <t>Кабель датчика АБС, 5 м</t>
        </is>
      </c>
      <c r="D11" s="137" t="inlineStr">
        <is>
          <t>ЕБС</t>
        </is>
      </c>
      <c r="F11" s="134">
        <f>ROW()-ROW(Сеты[[#Headers],[№]])</f>
        <v/>
      </c>
      <c r="G11" s="134" t="inlineStr">
        <is>
          <t>ABS 2S/2M W</t>
        </is>
      </c>
      <c r="H11" s="134" t="n">
        <v>2</v>
      </c>
      <c r="I11" s="135" t="n">
        <v>9522010010</v>
      </c>
      <c r="J11" s="138">
        <f>INDEX(База[],MATCH(Сеты[[#This Row],[Обозначение]],База[Обозначение],0),MATCH(J$1,База[#Headers],0))</f>
        <v/>
      </c>
      <c r="K11" s="135" t="n">
        <v>1</v>
      </c>
      <c r="L11" s="139">
        <f>INDEX(База[],MATCH(Сеты[[#This Row],[Обозначение]],База[Обозначение],0),MATCH(L$1,База[#Headers],0))</f>
        <v/>
      </c>
      <c r="M11" s="137" t="n"/>
      <c r="N11" s="137">
        <f>SUMPRODUCT((Сеты[Сет]=Сеты[[#This Row],[Сет]])*(Сеты[WABCO]=Сеты[[#This Row],[WABCO]])*(Сеты[Обозначение]=Сеты[[#This Row],[Обозначение]])*1)</f>
        <v/>
      </c>
    </row>
    <row r="12">
      <c r="A12" s="134">
        <f>ROW()-ROW(База[[#Headers],[№]])</f>
        <v/>
      </c>
      <c r="B12" s="134" t="n">
        <v>4494290800</v>
      </c>
      <c r="C12" s="140" t="inlineStr">
        <is>
          <t>Кабель модулятора EBS, 8 м</t>
        </is>
      </c>
      <c r="D12" s="137" t="inlineStr">
        <is>
          <t>ЕБС</t>
        </is>
      </c>
      <c r="F12" s="134">
        <f>ROW()-ROW(Сеты[[#Headers],[№]])</f>
        <v/>
      </c>
      <c r="G12" s="134" t="inlineStr">
        <is>
          <t>ABS 2S/2M W</t>
        </is>
      </c>
      <c r="H12" s="134" t="n">
        <v>2</v>
      </c>
      <c r="I12" s="135" t="n">
        <v>9522010020</v>
      </c>
      <c r="J12" s="138">
        <f>INDEX(База[],MATCH(Сеты[[#This Row],[Обозначение]],База[Обозначение],0),MATCH(J$1,База[#Headers],0))</f>
        <v/>
      </c>
      <c r="K12" s="135" t="n">
        <v>1</v>
      </c>
      <c r="L12" s="139">
        <f>INDEX(База[],MATCH(Сеты[[#This Row],[Обозначение]],База[Обозначение],0),MATCH(L$1,База[#Headers],0))</f>
        <v/>
      </c>
      <c r="M12" s="137" t="n"/>
      <c r="N12" s="137">
        <f>SUMPRODUCT((Сеты[Сет]=Сеты[[#This Row],[Сет]])*(Сеты[WABCO]=Сеты[[#This Row],[WABCO]])*(Сеты[Обозначение]=Сеты[[#This Row],[Обозначение]])*1)</f>
        <v/>
      </c>
    </row>
    <row r="13">
      <c r="A13" s="134">
        <f>ROW()-ROW(База[[#Headers],[№]])</f>
        <v/>
      </c>
      <c r="B13" s="134" t="n">
        <v>4498120300</v>
      </c>
      <c r="C13" s="140" t="inlineStr">
        <is>
          <t>Кабель датчика давления, 3 м</t>
        </is>
      </c>
      <c r="D13" s="137" t="inlineStr">
        <is>
          <t>ЕБС</t>
        </is>
      </c>
      <c r="F13" s="134">
        <f>ROW()-ROW(Сеты[[#Headers],[№]])</f>
        <v/>
      </c>
      <c r="G13" s="134" t="inlineStr">
        <is>
          <t>ABS 3M</t>
        </is>
      </c>
      <c r="H13" s="134" t="n">
        <v>2</v>
      </c>
      <c r="I13" s="135" t="n">
        <v>4497120300</v>
      </c>
      <c r="J13" s="138">
        <f>INDEX(База[],MATCH(Сеты[[#This Row],[Обозначение]],База[Обозначение],0),MATCH(J$1,База[#Headers],0))</f>
        <v/>
      </c>
      <c r="K13" s="135" t="n">
        <v>2</v>
      </c>
      <c r="L13" s="139">
        <f>INDEX(База[],MATCH(Сеты[[#This Row],[Обозначение]],База[Обозначение],0),MATCH(L$1,База[#Headers],0))</f>
        <v/>
      </c>
      <c r="M13" s="137" t="inlineStr">
        <is>
          <t>опционально</t>
        </is>
      </c>
      <c r="N13" s="137">
        <f>SUMPRODUCT((Сеты[Сет]=Сеты[[#This Row],[Сет]])*(Сеты[WABCO]=Сеты[[#This Row],[WABCO]])*(Сеты[Обозначение]=Сеты[[#This Row],[Обозначение]])*1)</f>
        <v/>
      </c>
    </row>
    <row r="14">
      <c r="A14" s="134">
        <f>ROW()-ROW(База[[#Headers],[№]])</f>
        <v/>
      </c>
      <c r="B14" s="135" t="n">
        <v>4494430400</v>
      </c>
      <c r="C14" s="136" t="inlineStr">
        <is>
          <t>Кабель клапана управления подъемом оси, 4 м</t>
        </is>
      </c>
      <c r="D14" s="137" t="inlineStr">
        <is>
          <t>ЕБС</t>
        </is>
      </c>
      <c r="F14" s="134">
        <f>ROW()-ROW(Сеты[[#Headers],[№]])</f>
        <v/>
      </c>
      <c r="G14" s="134" t="inlineStr">
        <is>
          <t>ABS 3M</t>
        </is>
      </c>
      <c r="H14" s="134" t="n">
        <v>2</v>
      </c>
      <c r="I14" s="135" t="n">
        <v>4497490300</v>
      </c>
      <c r="J14" s="138">
        <f>INDEX(База[],MATCH(Сеты[[#This Row],[Обозначение]],База[Обозначение],0),MATCH(J$1,База[#Headers],0))</f>
        <v/>
      </c>
      <c r="K14" s="135" t="n">
        <v>2</v>
      </c>
      <c r="L14" s="139">
        <f>INDEX(База[],MATCH(Сеты[[#This Row],[Обозначение]],База[Обозначение],0),MATCH(L$1,База[#Headers],0))</f>
        <v/>
      </c>
      <c r="M14" s="137" t="n"/>
      <c r="N14" s="137">
        <f>SUMPRODUCT((Сеты[Сет]=Сеты[[#This Row],[Сет]])*(Сеты[WABCO]=Сеты[[#This Row],[WABCO]])*(Сеты[Обозначение]=Сеты[[#This Row],[Обозначение]])*1)</f>
        <v/>
      </c>
    </row>
    <row r="15">
      <c r="A15" s="134">
        <f>ROW()-ROW(База[[#Headers],[№]])</f>
        <v/>
      </c>
      <c r="B15" s="135" t="n">
        <v>4494430600</v>
      </c>
      <c r="C15" s="136" t="inlineStr">
        <is>
          <t>Кабель клапана управления подъемом оси, 6 м</t>
        </is>
      </c>
      <c r="D15" s="137" t="inlineStr">
        <is>
          <t>ЕБС</t>
        </is>
      </c>
      <c r="F15" s="134">
        <f>ROW()-ROW(Сеты[[#Headers],[№]])</f>
        <v/>
      </c>
      <c r="G15" s="134" t="inlineStr">
        <is>
          <t>ABS 3M</t>
        </is>
      </c>
      <c r="H15" s="134" t="n"/>
      <c r="I15" s="135" t="n">
        <v>4721950310</v>
      </c>
      <c r="J15" s="138">
        <f>INDEX(База[],MATCH(Сеты[[#This Row],[Обозначение]],База[Обозначение],0),MATCH(J$1,База[#Headers],0))</f>
        <v/>
      </c>
      <c r="K15" s="135" t="n">
        <v>1</v>
      </c>
      <c r="L15" s="139">
        <f>INDEX(База[],MATCH(Сеты[[#This Row],[Обозначение]],База[Обозначение],0),MATCH(L$1,База[#Headers],0))</f>
        <v/>
      </c>
      <c r="M15" s="137" t="n"/>
      <c r="N15" s="137">
        <f>SUMPRODUCT((Сеты[Сет]=Сеты[[#This Row],[Сет]])*(Сеты[WABCO]=Сеты[[#This Row],[WABCO]])*(Сеты[Обозначение]=Сеты[[#This Row],[Обозначение]])*1)</f>
        <v/>
      </c>
    </row>
    <row r="16">
      <c r="A16" s="134">
        <f>ROW()-ROW(База[[#Headers],[№]])</f>
        <v/>
      </c>
      <c r="B16" s="134" t="n">
        <v>4005000810</v>
      </c>
      <c r="C16" s="140" t="inlineStr">
        <is>
          <t>Модулятор ABS</t>
        </is>
      </c>
      <c r="D16" s="137" t="inlineStr">
        <is>
          <t>АБС</t>
        </is>
      </c>
      <c r="F16" s="134">
        <f>ROW()-ROW(Сеты[[#Headers],[№]])</f>
        <v/>
      </c>
      <c r="G16" s="134" t="inlineStr">
        <is>
          <t>ABS 3M</t>
        </is>
      </c>
      <c r="H16" s="134" t="n"/>
      <c r="I16" s="135" t="n">
        <v>4496161560</v>
      </c>
      <c r="J16" s="138">
        <f>INDEX(База[],MATCH(Сеты[[#This Row],[Обозначение]],База[Обозначение],0),MATCH(J$1,База[#Headers],0))</f>
        <v/>
      </c>
      <c r="K16" s="135" t="n">
        <v>1</v>
      </c>
      <c r="L16" s="139">
        <f>INDEX(База[],MATCH(Сеты[[#This Row],[Обозначение]],База[Обозначение],0),MATCH(L$1,База[#Headers],0))</f>
        <v/>
      </c>
      <c r="M16" s="137" t="n"/>
      <c r="N16" s="137">
        <f>SUMPRODUCT((Сеты[Сет]=Сеты[[#This Row],[Сет]])*(Сеты[WABCO]=Сеты[[#This Row],[WABCO]])*(Сеты[Обозначение]=Сеты[[#This Row],[Обозначение]])*1)</f>
        <v/>
      </c>
    </row>
    <row r="17">
      <c r="A17" s="134">
        <f>ROW()-ROW(База[[#Headers],[№]])</f>
        <v/>
      </c>
      <c r="B17" s="135" t="n">
        <v>4005000880</v>
      </c>
      <c r="C17" s="136" t="inlineStr">
        <is>
          <t>Модулятор ABS</t>
        </is>
      </c>
      <c r="D17" s="137" t="inlineStr">
        <is>
          <t>АБС</t>
        </is>
      </c>
      <c r="F17" s="134">
        <f>ROW()-ROW(Сеты[[#Headers],[№]])</f>
        <v/>
      </c>
      <c r="G17" s="134" t="inlineStr">
        <is>
          <t>EBS 2S/2M</t>
        </is>
      </c>
      <c r="H17" s="134" t="n"/>
      <c r="I17" s="135" t="n">
        <v>4801020640</v>
      </c>
      <c r="J17" s="138">
        <f>INDEX(База[],MATCH(Сеты[[#This Row],[Обозначение]],База[Обозначение],0),MATCH(J$1,База[#Headers],0))</f>
        <v/>
      </c>
      <c r="K17" s="135" t="n">
        <v>1</v>
      </c>
      <c r="L17" s="139">
        <f>INDEX(База[],MATCH(Сеты[[#This Row],[Обозначение]],База[Обозначение],0),MATCH(L$1,База[#Headers],0))</f>
        <v/>
      </c>
      <c r="M17" s="137" t="n"/>
      <c r="N17" s="137">
        <f>SUMPRODUCT((Сеты[Сет]=Сеты[[#This Row],[Сет]])*(Сеты[WABCO]=Сеты[[#This Row],[WABCO]])*(Сеты[Обозначение]=Сеты[[#This Row],[Обозначение]])*1)</f>
        <v/>
      </c>
    </row>
    <row r="18">
      <c r="A18" s="134">
        <f>ROW()-ROW(База[[#Headers],[№]])</f>
        <v/>
      </c>
      <c r="B18" s="135" t="n">
        <v>4721950310</v>
      </c>
      <c r="C18" s="136" t="inlineStr">
        <is>
          <t>Ускорительный клапан ABS</t>
        </is>
      </c>
      <c r="D18" s="137" t="inlineStr">
        <is>
          <t>АБС</t>
        </is>
      </c>
      <c r="F18" s="134">
        <f>ROW()-ROW(Сеты[[#Headers],[№]])</f>
        <v/>
      </c>
      <c r="G18" s="134" t="inlineStr">
        <is>
          <t>EBS 2S/2M</t>
        </is>
      </c>
      <c r="H18" s="134" t="n"/>
      <c r="I18" s="135" t="n">
        <v>4491731200</v>
      </c>
      <c r="J18" s="138">
        <f>INDEX(База[],MATCH(Сеты[[#This Row],[Обозначение]],База[Обозначение],0),MATCH(J$1,База[#Headers],0))</f>
        <v/>
      </c>
      <c r="K18" s="135" t="n">
        <v>1</v>
      </c>
      <c r="L18" s="139">
        <f>INDEX(База[],MATCH(Сеты[[#This Row],[Обозначение]],База[Обозначение],0),MATCH(L$1,База[#Headers],0))</f>
        <v/>
      </c>
      <c r="M18" s="137" t="inlineStr">
        <is>
          <t>опционально</t>
        </is>
      </c>
      <c r="N18" s="137">
        <f>SUMPRODUCT((Сеты[Сет]=Сеты[[#This Row],[Сет]])*(Сеты[WABCO]=Сеты[[#This Row],[WABCO]])*(Сеты[Обозначение]=Сеты[[#This Row],[Обозначение]])*1)</f>
        <v/>
      </c>
    </row>
    <row r="19">
      <c r="A19" s="134">
        <f>ROW()-ROW(База[[#Headers],[№]])</f>
        <v/>
      </c>
      <c r="B19" s="135" t="n">
        <v>4757145000</v>
      </c>
      <c r="C19" s="136" t="inlineStr">
        <is>
          <t>Регулятор тормозных сил</t>
        </is>
      </c>
      <c r="D19" s="137" t="inlineStr">
        <is>
          <t>АБС</t>
        </is>
      </c>
      <c r="F19" s="134">
        <f>ROW()-ROW(Сеты[[#Headers],[№]])</f>
        <v/>
      </c>
      <c r="G19" s="134" t="inlineStr">
        <is>
          <t>EBS 2S/2M</t>
        </is>
      </c>
      <c r="H19" s="134" t="n"/>
      <c r="I19" s="135" t="n">
        <v>4491731500</v>
      </c>
      <c r="J19" s="138">
        <f>INDEX(База[],MATCH(Сеты[[#This Row],[Обозначение]],База[Обозначение],0),MATCH(J$1,База[#Headers],0))</f>
        <v/>
      </c>
      <c r="K19" s="135" t="n">
        <v>1</v>
      </c>
      <c r="L19" s="139">
        <f>INDEX(База[],MATCH(Сеты[[#This Row],[Обозначение]],База[Обозначение],0),MATCH(L$1,База[#Headers],0))</f>
        <v/>
      </c>
      <c r="M19" s="137" t="n"/>
      <c r="N19" s="137">
        <f>SUMPRODUCT((Сеты[Сет]=Сеты[[#This Row],[Сет]])*(Сеты[WABCO]=Сеты[[#This Row],[WABCO]])*(Сеты[Обозначение]=Сеты[[#This Row],[Обозначение]])*1)</f>
        <v/>
      </c>
    </row>
    <row r="20">
      <c r="A20" s="134">
        <f>ROW()-ROW(База[[#Headers],[№]])</f>
        <v/>
      </c>
      <c r="B20" s="135" t="n">
        <v>4497120000</v>
      </c>
      <c r="C20" s="136" t="inlineStr">
        <is>
          <t>Кабель-удлинитель датчика ABS, 3 м</t>
        </is>
      </c>
      <c r="D20" s="137" t="inlineStr">
        <is>
          <t>_АБС_ЕБС</t>
        </is>
      </c>
      <c r="F20" s="134">
        <f>ROW()-ROW(Сеты[[#Headers],[№]])</f>
        <v/>
      </c>
      <c r="G20" s="134" t="inlineStr">
        <is>
          <t>EBS 2S/2M</t>
        </is>
      </c>
      <c r="H20" s="134" t="n"/>
      <c r="I20" s="135" t="n">
        <v>4497230400</v>
      </c>
      <c r="J20" s="138">
        <f>INDEX(База[],MATCH(Сеты[[#This Row],[Обозначение]],База[Обозначение],0),MATCH(J$1,База[#Headers],0))</f>
        <v/>
      </c>
      <c r="K20" s="135" t="n">
        <v>2</v>
      </c>
      <c r="L20" s="139">
        <f>INDEX(База[],MATCH(Сеты[[#This Row],[Обозначение]],База[Обозначение],0),MATCH(L$1,База[#Headers],0))</f>
        <v/>
      </c>
      <c r="M20" s="137" t="inlineStr">
        <is>
          <t>опционально</t>
        </is>
      </c>
      <c r="N20" s="137">
        <f>SUMPRODUCT((Сеты[Сет]=Сеты[[#This Row],[Сет]])*(Сеты[WABCO]=Сеты[[#This Row],[WABCO]])*(Сеты[Обозначение]=Сеты[[#This Row],[Обозначение]])*1)</f>
        <v/>
      </c>
    </row>
    <row r="21">
      <c r="A21" s="134">
        <f>ROW()-ROW(База[[#Headers],[№]])</f>
        <v/>
      </c>
      <c r="B21" s="135" t="n">
        <v>4497120300</v>
      </c>
      <c r="C21" s="136" t="inlineStr">
        <is>
          <t>Кабель-удлинитель датчика ABS, 3 м</t>
        </is>
      </c>
      <c r="D21" s="137" t="inlineStr">
        <is>
          <t>_АБС_ЕБС</t>
        </is>
      </c>
      <c r="F21" s="134">
        <f>ROW()-ROW(Сеты[[#Headers],[№]])</f>
        <v/>
      </c>
      <c r="G21" s="134" t="inlineStr">
        <is>
          <t>EBS 2S/2M</t>
        </is>
      </c>
      <c r="H21" s="134" t="n"/>
      <c r="I21" s="135" t="n">
        <v>4497230500</v>
      </c>
      <c r="J21" s="138">
        <f>INDEX(База[],MATCH(Сеты[[#This Row],[Обозначение]],База[Обозначение],0),MATCH(J$1,База[#Headers],0))</f>
        <v/>
      </c>
      <c r="K21" s="135" t="n">
        <v>2</v>
      </c>
      <c r="L21" s="139">
        <f>INDEX(База[],MATCH(Сеты[[#This Row],[Обозначение]],База[Обозначение],0),MATCH(L$1,База[#Headers],0))</f>
        <v/>
      </c>
      <c r="M21" s="137" t="n"/>
      <c r="N21" s="137">
        <f>SUMPRODUCT((Сеты[Сет]=Сеты[[#This Row],[Сет]])*(Сеты[WABCO]=Сеты[[#This Row],[WABCO]])*(Сеты[Обозначение]=Сеты[[#This Row],[Обозначение]])*1)</f>
        <v/>
      </c>
    </row>
    <row r="22">
      <c r="A22" s="134">
        <f>ROW()-ROW(База[[#Headers],[№]])</f>
        <v/>
      </c>
      <c r="B22" s="135" t="n">
        <v>4497490300</v>
      </c>
      <c r="C22" s="136" t="inlineStr">
        <is>
          <t>Кабель-удлинитель датчика ABS, 3 м</t>
        </is>
      </c>
      <c r="D22" s="137" t="inlineStr">
        <is>
          <t>_АБС_ЕБС</t>
        </is>
      </c>
      <c r="F22" s="134">
        <f>ROW()-ROW(Сеты[[#Headers],[№]])</f>
        <v/>
      </c>
      <c r="G22" s="134" t="inlineStr">
        <is>
          <t>EBS 2S/2M</t>
        </is>
      </c>
      <c r="H22" s="134" t="n"/>
      <c r="I22" s="135" t="n">
        <v>9710029000</v>
      </c>
      <c r="J22" s="138">
        <f>INDEX(База[],MATCH(Сеты[[#This Row],[Обозначение]],База[Обозначение],0),MATCH(J$1,База[#Headers],0))</f>
        <v/>
      </c>
      <c r="K22" s="135" t="n">
        <v>1</v>
      </c>
      <c r="L22" s="139">
        <f>INDEX(База[],MATCH(Сеты[[#This Row],[Обозначение]],База[Обозначение],0),MATCH(L$1,База[#Headers],0))</f>
        <v/>
      </c>
      <c r="M22" s="137" t="n"/>
      <c r="N22" s="137">
        <f>SUMPRODUCT((Сеты[Сет]=Сеты[[#This Row],[Сет]])*(Сеты[WABCO]=Сеты[[#This Row],[WABCO]])*(Сеты[Обозначение]=Сеты[[#This Row],[Обозначение]])*1)</f>
        <v/>
      </c>
    </row>
    <row r="23">
      <c r="A23" s="134">
        <f>ROW()-ROW(База[[#Headers],[№]])</f>
        <v/>
      </c>
      <c r="B23" s="135" t="n">
        <v>4491301200</v>
      </c>
      <c r="C23" s="136" t="inlineStr">
        <is>
          <t>Кабель питания ABS, часть 2, 12 м</t>
        </is>
      </c>
      <c r="D23" s="137" t="inlineStr">
        <is>
          <t>АБС</t>
        </is>
      </c>
      <c r="F23" s="134">
        <f>ROW()-ROW(Сеты[[#Headers],[№]])</f>
        <v/>
      </c>
      <c r="G23" s="134" t="inlineStr">
        <is>
          <t>EBS 2S/2M</t>
        </is>
      </c>
      <c r="H23" s="134" t="n"/>
      <c r="I23" s="135" t="n">
        <v>4334010030</v>
      </c>
      <c r="J23" s="138">
        <f>INDEX(База[],MATCH(Сеты[[#This Row],[Обозначение]],База[Обозначение],0),MATCH(J$1,База[#Headers],0))</f>
        <v/>
      </c>
      <c r="K23" s="135" t="n">
        <v>1</v>
      </c>
      <c r="L23" s="139">
        <f>INDEX(База[],MATCH(Сеты[[#This Row],[Обозначение]],База[Обозначение],0),MATCH(L$1,База[#Headers],0))</f>
        <v/>
      </c>
      <c r="M23" s="137" t="n"/>
      <c r="N23" s="137">
        <f>SUMPRODUCT((Сеты[Сет]=Сеты[[#This Row],[Сет]])*(Сеты[WABCO]=Сеты[[#This Row],[WABCO]])*(Сеты[Обозначение]=Сеты[[#This Row],[Обозначение]])*1)</f>
        <v/>
      </c>
    </row>
    <row r="24">
      <c r="A24" s="134">
        <f>ROW()-ROW(База[[#Headers],[№]])</f>
        <v/>
      </c>
      <c r="B24" s="135" t="n">
        <v>4491301500</v>
      </c>
      <c r="C24" s="136" t="inlineStr">
        <is>
          <t>Кабель питания ABS, часть 2, 15 м</t>
        </is>
      </c>
      <c r="D24" s="137" t="inlineStr">
        <is>
          <t>АБС</t>
        </is>
      </c>
      <c r="F24" s="134">
        <f>ROW()-ROW(Сеты[[#Headers],[№]])</f>
        <v/>
      </c>
      <c r="G24" s="134" t="inlineStr">
        <is>
          <t>EBS 2S/2M</t>
        </is>
      </c>
      <c r="H24" s="134" t="n"/>
      <c r="I24" s="135" t="n">
        <v>4630320200</v>
      </c>
      <c r="J24" s="138">
        <f>INDEX(База[],MATCH(Сеты[[#This Row],[Обозначение]],База[Обозначение],0),MATCH(J$1,База[#Headers],0))</f>
        <v/>
      </c>
      <c r="K24" s="135" t="n">
        <v>1</v>
      </c>
      <c r="L24" s="139">
        <f>INDEX(База[],MATCH(Сеты[[#This Row],[Обозначение]],База[Обозначение],0),MATCH(L$1,База[#Headers],0))</f>
        <v/>
      </c>
      <c r="M24" s="137" t="n"/>
      <c r="N24" s="137">
        <f>SUMPRODUCT((Сеты[Сет]=Сеты[[#This Row],[Сет]])*(Сеты[WABCO]=Сеты[[#This Row],[WABCO]])*(Сеты[Обозначение]=Сеты[[#This Row],[Обозначение]])*1)</f>
        <v/>
      </c>
    </row>
    <row r="25">
      <c r="A25" s="134">
        <f>ROW()-ROW(База[[#Headers],[№]])</f>
        <v/>
      </c>
      <c r="B25" s="134" t="n">
        <v>4492251200</v>
      </c>
      <c r="C25" s="140" t="inlineStr">
        <is>
          <t>Кабель питания для прицепа, 12 м</t>
        </is>
      </c>
      <c r="D25" s="137" t="inlineStr">
        <is>
          <t>АБС</t>
        </is>
      </c>
      <c r="F25" s="134">
        <f>ROW()-ROW(Сеты[[#Headers],[№]])</f>
        <v/>
      </c>
      <c r="G25" s="134" t="inlineStr">
        <is>
          <t>EBS 2S/2M</t>
        </is>
      </c>
      <c r="H25" s="134" t="n"/>
      <c r="I25" s="135" t="n">
        <v>4640061000</v>
      </c>
      <c r="J25" s="138">
        <f>INDEX(База[],MATCH(Сеты[[#This Row],[Обозначение]],База[Обозначение],0),MATCH(J$1,База[#Headers],0))</f>
        <v/>
      </c>
      <c r="K25" s="135" t="n">
        <v>1</v>
      </c>
      <c r="L25" s="139">
        <f>INDEX(База[],MATCH(Сеты[[#This Row],[Обозначение]],База[Обозначение],0),MATCH(L$1,База[#Headers],0))</f>
        <v/>
      </c>
      <c r="M25" s="137" t="n"/>
      <c r="N25" s="137">
        <f>SUMPRODUCT((Сеты[Сет]=Сеты[[#This Row],[Сет]])*(Сеты[WABCO]=Сеты[[#This Row],[WABCO]])*(Сеты[Обозначение]=Сеты[[#This Row],[Обозначение]])*1)</f>
        <v/>
      </c>
    </row>
    <row r="26">
      <c r="A26" s="134">
        <f>ROW()-ROW(База[[#Headers],[№]])</f>
        <v/>
      </c>
      <c r="B26" s="135" t="n">
        <v>4493702820</v>
      </c>
      <c r="C26" s="136" t="inlineStr">
        <is>
          <t>Кабель питания ABS, часть 1</t>
        </is>
      </c>
      <c r="D26" s="137" t="inlineStr">
        <is>
          <t>АБС</t>
        </is>
      </c>
      <c r="F26" s="134">
        <f>ROW()-ROW(Сеты[[#Headers],[№]])</f>
        <v/>
      </c>
      <c r="G26" s="134" t="inlineStr">
        <is>
          <t>EBS 2S/2M</t>
        </is>
      </c>
      <c r="H26" s="134" t="n"/>
      <c r="I26" s="135" t="n">
        <v>9522010010</v>
      </c>
      <c r="J26" s="138">
        <f>INDEX(База[],MATCH(Сеты[[#This Row],[Обозначение]],База[Обозначение],0),MATCH(J$1,База[#Headers],0))</f>
        <v/>
      </c>
      <c r="K26" s="135" t="n">
        <v>1</v>
      </c>
      <c r="L26" s="139">
        <f>INDEX(База[],MATCH(Сеты[[#This Row],[Обозначение]],База[Обозначение],0),MATCH(L$1,База[#Headers],0))</f>
        <v/>
      </c>
      <c r="M26" s="137" t="n"/>
      <c r="N26" s="137">
        <f>SUMPRODUCT((Сеты[Сет]=Сеты[[#This Row],[Сет]])*(Сеты[WABCO]=Сеты[[#This Row],[WABCO]])*(Сеты[Обозначение]=Сеты[[#This Row],[Обозначение]])*1)</f>
        <v/>
      </c>
    </row>
    <row r="27">
      <c r="A27" s="134">
        <f>ROW()-ROW(База[[#Headers],[№]])</f>
        <v/>
      </c>
      <c r="B27" s="134" t="n">
        <v>4493792810</v>
      </c>
      <c r="C27" s="140" t="inlineStr">
        <is>
          <t>Кабель питания ABS, часть 1</t>
        </is>
      </c>
      <c r="D27" s="137" t="inlineStr">
        <is>
          <t>АБС</t>
        </is>
      </c>
      <c r="F27" s="134">
        <f>ROW()-ROW(Сеты[[#Headers],[№]])</f>
        <v/>
      </c>
      <c r="G27" s="134" t="inlineStr">
        <is>
          <t>EBS 2S/2M</t>
        </is>
      </c>
      <c r="H27" s="134" t="n"/>
      <c r="I27" s="135" t="n">
        <v>9522010020</v>
      </c>
      <c r="J27" s="138">
        <f>INDEX(База[],MATCH(Сеты[[#This Row],[Обозначение]],База[Обозначение],0),MATCH(J$1,База[#Headers],0))</f>
        <v/>
      </c>
      <c r="K27" s="135" t="n">
        <v>1</v>
      </c>
      <c r="L27" s="139">
        <f>INDEX(База[],MATCH(Сеты[[#This Row],[Обозначение]],База[Обозначение],0),MATCH(L$1,База[#Headers],0))</f>
        <v/>
      </c>
      <c r="M27" s="137" t="n"/>
      <c r="N27" s="137">
        <f>SUMPRODUCT((Сеты[Сет]=Сеты[[#This Row],[Сет]])*(Сеты[WABCO]=Сеты[[#This Row],[WABCO]])*(Сеты[Обозначение]=Сеты[[#This Row],[Обозначение]])*1)</f>
        <v/>
      </c>
    </row>
    <row r="28">
      <c r="A28" s="134">
        <f>ROW()-ROW(База[[#Headers],[№]])</f>
        <v/>
      </c>
      <c r="B28" s="135" t="n">
        <v>4496161560</v>
      </c>
      <c r="C28" s="136" t="inlineStr">
        <is>
          <t>Кабель ускорительного клапана ABS / диа., 10 м / 3 м</t>
        </is>
      </c>
      <c r="D28" s="137" t="inlineStr">
        <is>
          <t>АБС</t>
        </is>
      </c>
      <c r="F28" s="134">
        <f>ROW()-ROW(Сеты[[#Headers],[№]])</f>
        <v/>
      </c>
      <c r="G28" s="134" t="inlineStr">
        <is>
          <t>LACV</t>
        </is>
      </c>
      <c r="H28" s="134" t="n"/>
      <c r="I28" s="135" t="n">
        <v>4630840310</v>
      </c>
      <c r="J28" s="138">
        <f>INDEX(База[],MATCH(Сеты[[#This Row],[Обозначение]],База[Обозначение],0),MATCH(J$1,База[#Headers],0))</f>
        <v/>
      </c>
      <c r="K28" s="135" t="n">
        <v>1</v>
      </c>
      <c r="L28" s="139">
        <f>INDEX(База[],MATCH(Сеты[[#This Row],[Обозначение]],База[Обозначение],0),MATCH(L$1,База[#Headers],0))</f>
        <v/>
      </c>
      <c r="M28" s="137" t="n"/>
      <c r="N28" s="137">
        <f>SUMPRODUCT((Сеты[Сет]=Сеты[[#This Row],[Сет]])*(Сеты[WABCO]=Сеты[[#This Row],[WABCO]])*(Сеты[Обозначение]=Сеты[[#This Row],[Обозначение]])*1)</f>
        <v/>
      </c>
    </row>
    <row r="29">
      <c r="A29" s="134">
        <f>ROW()-ROW(База[[#Headers],[№]])</f>
        <v/>
      </c>
      <c r="B29" s="134" t="n">
        <v>4495351500</v>
      </c>
      <c r="C29" s="140" t="inlineStr">
        <is>
          <t>Кабель универсальный, 15 м</t>
        </is>
      </c>
      <c r="D29" s="137" t="inlineStr">
        <is>
          <t>ЕБС</t>
        </is>
      </c>
      <c r="F29" s="134">
        <f>ROW()-ROW(Сеты[[#Headers],[№]])</f>
        <v/>
      </c>
      <c r="G29" s="134" t="inlineStr">
        <is>
          <t>LACV</t>
        </is>
      </c>
      <c r="H29" s="134" t="n"/>
      <c r="I29" s="135" t="n">
        <v>4494430400</v>
      </c>
      <c r="J29" s="138">
        <f>INDEX(База[],MATCH(Сеты[[#This Row],[Обозначение]],База[Обозначение],0),MATCH(J$1,База[#Headers],0))</f>
        <v/>
      </c>
      <c r="K29" s="135" t="n">
        <v>1</v>
      </c>
      <c r="L29" s="139">
        <f>INDEX(База[],MATCH(Сеты[[#This Row],[Обозначение]],База[Обозначение],0),MATCH(L$1,База[#Headers],0))</f>
        <v/>
      </c>
      <c r="M29" s="137" t="n"/>
      <c r="N29" s="137">
        <f>SUMPRODUCT((Сеты[Сет]=Сеты[[#This Row],[Сет]])*(Сеты[WABCO]=Сеты[[#This Row],[WABCO]])*(Сеты[Обозначение]=Сеты[[#This Row],[Обозначение]])*1)</f>
        <v/>
      </c>
    </row>
    <row r="30">
      <c r="A30" s="134">
        <f>ROW()-ROW(База[[#Headers],[№]])</f>
        <v/>
      </c>
      <c r="B30" s="135" t="n">
        <v>9710029000</v>
      </c>
      <c r="C30" s="136" t="inlineStr">
        <is>
          <t>Воздухораспределитель с клапаном растормаживания</t>
        </is>
      </c>
      <c r="D30" s="137" t="inlineStr">
        <is>
          <t>Тормоза</t>
        </is>
      </c>
      <c r="F30" s="134">
        <f>ROW()-ROW(Сеты[[#Headers],[№]])</f>
        <v/>
      </c>
      <c r="G30" s="134" t="inlineStr">
        <is>
          <t>LACV</t>
        </is>
      </c>
      <c r="H30" s="134" t="n"/>
      <c r="I30" s="135" t="n">
        <v>4494430600</v>
      </c>
      <c r="J30" s="138">
        <f>INDEX(База[],MATCH(Сеты[[#This Row],[Обозначение]],База[Обозначение],0),MATCH(J$1,База[#Headers],0))</f>
        <v/>
      </c>
      <c r="K30" s="135" t="n">
        <v>1</v>
      </c>
      <c r="L30" s="139">
        <f>INDEX(База[],MATCH(Сеты[[#This Row],[Обозначение]],База[Обозначение],0),MATCH(L$1,База[#Headers],0))</f>
        <v/>
      </c>
      <c r="M30" s="137" t="inlineStr">
        <is>
          <t>опционально</t>
        </is>
      </c>
      <c r="N30" s="137">
        <f>SUMPRODUCT((Сеты[Сет]=Сеты[[#This Row],[Сет]])*(Сеты[WABCO]=Сеты[[#This Row],[WABCO]])*(Сеты[Обозначение]=Сеты[[#This Row],[Обозначение]])*1)</f>
        <v/>
      </c>
    </row>
    <row r="31">
      <c r="A31" s="134">
        <f>ROW()-ROW(База[[#Headers],[№]])</f>
        <v/>
      </c>
      <c r="B31" s="135" t="n">
        <v>9630010510</v>
      </c>
      <c r="C31" s="136" t="inlineStr">
        <is>
          <t>Клапан растормаживания сдвоенный</t>
        </is>
      </c>
      <c r="D31" s="137" t="inlineStr">
        <is>
          <t>Тормоза</t>
        </is>
      </c>
      <c r="F31" s="134">
        <f>ROW()-ROW(Сеты[[#Headers],[№]])</f>
        <v/>
      </c>
      <c r="G31" s="134" t="inlineStr">
        <is>
          <t>Пневмоподвеска</t>
        </is>
      </c>
      <c r="H31" s="134" t="n"/>
      <c r="I31" s="135" t="n">
        <v>4757145000</v>
      </c>
      <c r="J31" s="138">
        <f>INDEX(База[],MATCH(Сеты[[#This Row],[Обозначение]],База[Обозначение],0),MATCH(J$1,База[#Headers],0))</f>
        <v/>
      </c>
      <c r="K31" s="135" t="n">
        <v>1</v>
      </c>
      <c r="L31" s="139">
        <f>INDEX(База[],MATCH(Сеты[[#This Row],[Обозначение]],База[Обозначение],0),MATCH(L$1,База[#Headers],0))</f>
        <v/>
      </c>
      <c r="M31" s="137" t="n"/>
      <c r="N31" s="137">
        <f>SUMPRODUCT((Сеты[Сет]=Сеты[[#This Row],[Сет]])*(Сеты[WABCO]=Сеты[[#This Row],[WABCO]])*(Сеты[Обозначение]=Сеты[[#This Row],[Обозначение]])*1)</f>
        <v/>
      </c>
    </row>
    <row r="32">
      <c r="A32" s="134">
        <f>ROW()-ROW(База[[#Headers],[№]])</f>
        <v/>
      </c>
      <c r="B32" s="135" t="n">
        <v>9710020400</v>
      </c>
      <c r="C32" s="136" t="inlineStr">
        <is>
          <t>Воздухораспределитель (без кл. растормаживания)</t>
        </is>
      </c>
      <c r="D32" s="137" t="inlineStr">
        <is>
          <t>Тормоза</t>
        </is>
      </c>
      <c r="F32" s="134">
        <f>ROW()-ROW(Сеты[[#Headers],[№]])</f>
        <v/>
      </c>
      <c r="G32" s="134" t="inlineStr">
        <is>
          <t>Пневмоподвеска</t>
        </is>
      </c>
      <c r="H32" s="134" t="n"/>
      <c r="I32" s="135" t="n">
        <v>9630010510</v>
      </c>
      <c r="J32" s="138">
        <f>INDEX(База[],MATCH(Сеты[[#This Row],[Обозначение]],База[Обозначение],0),MATCH(J$1,База[#Headers],0))</f>
        <v/>
      </c>
      <c r="K32" s="135" t="n">
        <v>1</v>
      </c>
      <c r="L32" s="139">
        <f>INDEX(База[],MATCH(Сеты[[#This Row],[Обозначение]],База[Обозначение],0),MATCH(L$1,База[#Headers],0))</f>
        <v/>
      </c>
      <c r="M32" s="137" t="n"/>
      <c r="N32" s="137">
        <f>SUMPRODUCT((Сеты[Сет]=Сеты[[#This Row],[Сет]])*(Сеты[WABCO]=Сеты[[#This Row],[WABCO]])*(Сеты[Обозначение]=Сеты[[#This Row],[Обозначение]])*1)</f>
        <v/>
      </c>
    </row>
    <row r="33">
      <c r="A33" s="134">
        <f>ROW()-ROW(База[[#Headers],[№]])</f>
        <v/>
      </c>
      <c r="B33" s="135" t="n">
        <v>9735000510</v>
      </c>
      <c r="C33" s="136" t="inlineStr">
        <is>
          <t>Клапан быстрого растормаживания энергоаккумуляторов</t>
        </is>
      </c>
      <c r="D33" s="137" t="inlineStr">
        <is>
          <t>Тормоза</t>
        </is>
      </c>
      <c r="F33" s="134">
        <f>ROW()-ROW(Сеты[[#Headers],[№]])</f>
        <v/>
      </c>
      <c r="G33" s="134" t="inlineStr">
        <is>
          <t>Пневмоподвеска</t>
        </is>
      </c>
      <c r="H33" s="134" t="n"/>
      <c r="I33" s="135" t="n">
        <v>9735000510</v>
      </c>
      <c r="J33" s="138">
        <f>INDEX(База[],MATCH(Сеты[[#This Row],[Обозначение]],База[Обозначение],0),MATCH(J$1,База[#Headers],0))</f>
        <v/>
      </c>
      <c r="K33" s="135" t="n">
        <v>1</v>
      </c>
      <c r="L33" s="139">
        <f>INDEX(База[],MATCH(Сеты[[#This Row],[Обозначение]],База[Обозначение],0),MATCH(L$1,База[#Headers],0))</f>
        <v/>
      </c>
      <c r="M33" s="137" t="n"/>
      <c r="N33" s="137">
        <f>SUMPRODUCT((Сеты[Сет]=Сеты[[#This Row],[Сет]])*(Сеты[WABCO]=Сеты[[#This Row],[WABCO]])*(Сеты[Обозначение]=Сеты[[#This Row],[Обозначение]])*1)</f>
        <v/>
      </c>
    </row>
    <row r="34">
      <c r="A34" s="134">
        <f>ROW()-ROW(База[[#Headers],[№]])</f>
        <v/>
      </c>
      <c r="B34" s="135" t="n">
        <v>4334010030</v>
      </c>
      <c r="C34" s="136" t="inlineStr">
        <is>
          <t>Упругий элемент</t>
        </is>
      </c>
      <c r="D34" s="137" t="inlineStr">
        <is>
          <t>Пневмоподвеска</t>
        </is>
      </c>
      <c r="F34" s="134">
        <f>ROW()-ROW(Сеты[[#Headers],[№]])</f>
        <v/>
      </c>
      <c r="G34" s="134" t="inlineStr">
        <is>
          <t>Пневмоподвеска</t>
        </is>
      </c>
      <c r="H34" s="134" t="n"/>
      <c r="I34" s="135" t="n">
        <v>4334010030</v>
      </c>
      <c r="J34" s="138">
        <f>INDEX(База[],MATCH(Сеты[[#This Row],[Обозначение]],База[Обозначение],0),MATCH(J$1,База[#Headers],0))</f>
        <v/>
      </c>
      <c r="K34" s="135" t="n">
        <v>1</v>
      </c>
      <c r="L34" s="139">
        <f>INDEX(База[],MATCH(Сеты[[#This Row],[Обозначение]],База[Обозначение],0),MATCH(L$1,База[#Headers],0))</f>
        <v/>
      </c>
      <c r="M34" s="137" t="n"/>
      <c r="N34" s="137">
        <f>SUMPRODUCT((Сеты[Сет]=Сеты[[#This Row],[Сет]])*(Сеты[WABCO]=Сеты[[#This Row],[WABCO]])*(Сеты[Обозначение]=Сеты[[#This Row],[Обозначение]])*1)</f>
        <v/>
      </c>
    </row>
    <row r="35">
      <c r="A35" s="134">
        <f>ROW()-ROW(База[[#Headers],[№]])</f>
        <v/>
      </c>
      <c r="B35" s="135" t="n">
        <v>4630320200</v>
      </c>
      <c r="C35" s="136" t="inlineStr">
        <is>
          <t>Кран ручного управления</t>
        </is>
      </c>
      <c r="D35" s="137" t="inlineStr">
        <is>
          <t>Пневмоподвеска</t>
        </is>
      </c>
      <c r="F35" s="134">
        <f>ROW()-ROW(Сеты[[#Headers],[№]])</f>
        <v/>
      </c>
      <c r="G35" s="134" t="inlineStr">
        <is>
          <t>Пневмоподвеска</t>
        </is>
      </c>
      <c r="H35" s="134" t="n"/>
      <c r="I35" s="135" t="n">
        <v>4630320200</v>
      </c>
      <c r="J35" s="138">
        <f>INDEX(База[],MATCH(Сеты[[#This Row],[Обозначение]],База[Обозначение],0),MATCH(J$1,База[#Headers],0))</f>
        <v/>
      </c>
      <c r="K35" s="135" t="n">
        <v>1</v>
      </c>
      <c r="L35" s="139">
        <f>INDEX(База[],MATCH(Сеты[[#This Row],[Обозначение]],База[Обозначение],0),MATCH(L$1,База[#Headers],0))</f>
        <v/>
      </c>
      <c r="M35" s="137" t="n"/>
      <c r="N35" s="137">
        <f>SUMPRODUCT((Сеты[Сет]=Сеты[[#This Row],[Сет]])*(Сеты[WABCO]=Сеты[[#This Row],[WABCO]])*(Сеты[Обозначение]=Сеты[[#This Row],[Обозначение]])*1)</f>
        <v/>
      </c>
    </row>
    <row r="36">
      <c r="A36" s="134">
        <f>ROW()-ROW(База[[#Headers],[№]])</f>
        <v/>
      </c>
      <c r="B36" s="135" t="n">
        <v>4640061000</v>
      </c>
      <c r="C36" s="136" t="inlineStr">
        <is>
          <t>Кран уровня пола, 5-ти портовый</t>
        </is>
      </c>
      <c r="D36" s="137" t="inlineStr">
        <is>
          <t>Пневмоподвеска</t>
        </is>
      </c>
      <c r="F36" s="134">
        <f>ROW()-ROW(Сеты[[#Headers],[№]])</f>
        <v/>
      </c>
      <c r="G36" s="134" t="inlineStr">
        <is>
          <t>Пневмоподвеска</t>
        </is>
      </c>
      <c r="H36" s="134" t="n"/>
      <c r="I36" s="135" t="n">
        <v>4640061000</v>
      </c>
      <c r="J36" s="138">
        <f>INDEX(База[],MATCH(Сеты[[#This Row],[Обозначение]],База[Обозначение],0),MATCH(J$1,База[#Headers],0))</f>
        <v/>
      </c>
      <c r="K36" s="135" t="n">
        <v>1</v>
      </c>
      <c r="L36" s="139">
        <f>INDEX(База[],MATCH(Сеты[[#This Row],[Обозначение]],База[Обозначение],0),MATCH(L$1,База[#Headers],0))</f>
        <v/>
      </c>
      <c r="M36" s="137" t="n"/>
      <c r="N36" s="137">
        <f>SUMPRODUCT((Сеты[Сет]=Сеты[[#This Row],[Сет]])*(Сеты[WABCO]=Сеты[[#This Row],[WABCO]])*(Сеты[Обозначение]=Сеты[[#This Row],[Обозначение]])*1)</f>
        <v/>
      </c>
    </row>
    <row r="37">
      <c r="A37" s="134">
        <f>ROW()-ROW(База[[#Headers],[№]])</f>
        <v/>
      </c>
      <c r="B37" s="135" t="n">
        <v>4341001250</v>
      </c>
      <c r="C37" s="136" t="inlineStr">
        <is>
          <t>Клапан перепускной</t>
        </is>
      </c>
      <c r="D37" s="137" t="inlineStr">
        <is>
          <t>Прочее</t>
        </is>
      </c>
      <c r="F37" s="134">
        <f>ROW()-ROW(Сеты[[#Headers],[№]])</f>
        <v/>
      </c>
      <c r="G37" s="134" t="inlineStr">
        <is>
          <t>Пневмоподвеска</t>
        </is>
      </c>
      <c r="H37" s="134" t="n"/>
      <c r="I37" s="135" t="n">
        <v>4341001250</v>
      </c>
      <c r="J37" s="138">
        <f>INDEX(База[],MATCH(Сеты[[#This Row],[Обозначение]],База[Обозначение],0),MATCH(J$1,База[#Headers],0))</f>
        <v/>
      </c>
      <c r="K37" s="135" t="n">
        <v>1</v>
      </c>
      <c r="L37" s="139">
        <f>INDEX(База[],MATCH(Сеты[[#This Row],[Обозначение]],База[Обозначение],0),MATCH(L$1,База[#Headers],0))</f>
        <v/>
      </c>
      <c r="M37" s="137" t="n"/>
      <c r="N37" s="137">
        <f>SUMPRODUCT((Сеты[Сет]=Сеты[[#This Row],[Сет]])*(Сеты[WABCO]=Сеты[[#This Row],[WABCO]])*(Сеты[Обозначение]=Сеты[[#This Row],[Обозначение]])*1)</f>
        <v/>
      </c>
    </row>
    <row r="38">
      <c r="A38" s="134">
        <f>ROW()-ROW(База[[#Headers],[№]])</f>
        <v/>
      </c>
      <c r="B38" s="135" t="n">
        <v>9522010010</v>
      </c>
      <c r="C38" s="136" t="inlineStr">
        <is>
          <t>Головка соединительная (управляющая)</t>
        </is>
      </c>
      <c r="D38" s="137" t="inlineStr">
        <is>
          <t>Прочее</t>
        </is>
      </c>
    </row>
    <row r="39">
      <c r="A39" s="134">
        <f>ROW()-ROW(База[[#Headers],[№]])</f>
        <v/>
      </c>
      <c r="B39" s="135" t="n">
        <v>9522010020</v>
      </c>
      <c r="C39" s="136" t="inlineStr">
        <is>
          <t>Головка соединительная (питающая)</t>
        </is>
      </c>
      <c r="D39" s="137" t="inlineStr">
        <is>
          <t>Прочее</t>
        </is>
      </c>
    </row>
    <row r="40">
      <c r="A40" s="134">
        <f>ROW()-ROW(База[[#Headers],[№]])</f>
        <v/>
      </c>
      <c r="B40" s="135" t="n">
        <v>8282510086</v>
      </c>
      <c r="C40" s="136" t="inlineStr">
        <is>
          <t>Трубка пластиковая 8x1, бухта 100м (м)</t>
        </is>
      </c>
      <c r="D40" s="137" t="inlineStr">
        <is>
          <t>Трубка</t>
        </is>
      </c>
    </row>
    <row r="41">
      <c r="A41" s="134">
        <f>ROW()-ROW(База[[#Headers],[№]])</f>
        <v/>
      </c>
      <c r="B41" s="135" t="n">
        <v>8282510106</v>
      </c>
      <c r="C41" s="136" t="inlineStr">
        <is>
          <t>Трубка пластиковая 10x1, бухта 100м (м)</t>
        </is>
      </c>
      <c r="D41" s="137" t="inlineStr">
        <is>
          <t>Трубка</t>
        </is>
      </c>
    </row>
    <row r="42">
      <c r="A42" s="134">
        <f>ROW()-ROW(База[[#Headers],[№]])</f>
        <v/>
      </c>
      <c r="B42" s="135" t="n">
        <v>8282510126</v>
      </c>
      <c r="C42" s="136" t="inlineStr">
        <is>
          <t>Трубка пластиковая 12x1,5, бухта 100м (м)</t>
        </is>
      </c>
      <c r="D42" s="137" t="inlineStr">
        <is>
          <t>Трубка</t>
        </is>
      </c>
    </row>
    <row r="43">
      <c r="A43" s="134">
        <f>ROW()-ROW(База[[#Headers],[№]])</f>
        <v/>
      </c>
      <c r="B43" s="135" t="n">
        <v>8282519726</v>
      </c>
      <c r="C43" s="136" t="inlineStr">
        <is>
          <t>Трубка пластиковая 15x1,5, бухта 50м (м)</t>
        </is>
      </c>
      <c r="D43" s="137" t="inlineStr">
        <is>
          <t>Трубка</t>
        </is>
      </c>
    </row>
    <row r="44">
      <c r="A44" s="134">
        <f>ROW()-ROW(База[[#Headers],[№]])</f>
        <v/>
      </c>
      <c r="B44" s="134" t="n">
        <v>8282520016</v>
      </c>
      <c r="C44" s="140" t="inlineStr">
        <is>
          <t>Трубка пластиковая 12x1,5, бухта 500м</t>
        </is>
      </c>
      <c r="D44" s="137" t="inlineStr">
        <is>
          <t>Трубка</t>
        </is>
      </c>
    </row>
    <row r="45">
      <c r="A45" s="134">
        <f>ROW()-ROW(База[[#Headers],[№]])</f>
        <v/>
      </c>
      <c r="B45" s="135" t="n">
        <v>4231069000</v>
      </c>
      <c r="C45" s="136" t="inlineStr">
        <is>
          <t>Камера тормозная тип 24</t>
        </is>
      </c>
      <c r="D45" s="137" t="inlineStr">
        <is>
          <t>ТКЭА</t>
        </is>
      </c>
    </row>
    <row r="46">
      <c r="A46" s="134">
        <f>ROW()-ROW(База[[#Headers],[№]])</f>
        <v/>
      </c>
      <c r="B46" s="135" t="n">
        <v>4231079000</v>
      </c>
      <c r="C46" s="136" t="inlineStr">
        <is>
          <t>Камера тормозная тип 30</t>
        </is>
      </c>
      <c r="D46" s="137" t="inlineStr">
        <is>
          <t>ТКЭА</t>
        </is>
      </c>
    </row>
    <row r="47">
      <c r="A47" s="134">
        <f>ROW()-ROW(База[[#Headers],[№]])</f>
        <v/>
      </c>
      <c r="B47" s="135" t="n">
        <v>9253761210</v>
      </c>
      <c r="C47" s="136" t="inlineStr">
        <is>
          <t>Энергоаккумулятор тип 24/30</t>
        </is>
      </c>
      <c r="D47" s="137" t="inlineStr">
        <is>
          <t>ТКЭА</t>
        </is>
      </c>
    </row>
    <row r="48">
      <c r="A48" s="134">
        <f>ROW()-ROW(База[[#Headers],[№]])</f>
        <v/>
      </c>
      <c r="B48" s="135" t="n">
        <v>9253771100</v>
      </c>
      <c r="C48" s="136" t="inlineStr">
        <is>
          <t>Энергоаккумулятор тип 30/30</t>
        </is>
      </c>
      <c r="D48" s="137" t="inlineStr">
        <is>
          <t>ТКЭА</t>
        </is>
      </c>
    </row>
    <row r="49">
      <c r="A49" s="134">
        <f>ROW()-ROW(База[[#Headers],[№]])</f>
        <v/>
      </c>
      <c r="B49" s="134" t="n">
        <v>4410441020</v>
      </c>
      <c r="C49" s="140" t="inlineStr">
        <is>
          <t>Датчик давления</t>
        </is>
      </c>
      <c r="D49" s="137" t="inlineStr">
        <is>
          <t>ЕБС</t>
        </is>
      </c>
    </row>
    <row r="50">
      <c r="A50" s="134">
        <f>ROW()-ROW(База[[#Headers],[№]])</f>
        <v/>
      </c>
      <c r="B50" s="134" t="n">
        <v>4460084042</v>
      </c>
      <c r="C50" s="140" t="inlineStr">
        <is>
          <t>Розетка АБС (7 контактов)</t>
        </is>
      </c>
      <c r="D50" s="137" t="inlineStr">
        <is>
          <t>ЕБС</t>
        </is>
      </c>
    </row>
    <row r="51">
      <c r="A51" s="134">
        <f>ROW()-ROW(База[[#Headers],[№]])</f>
        <v/>
      </c>
      <c r="B51" s="134" t="n">
        <v>4461220530</v>
      </c>
      <c r="C51" s="140" t="inlineStr">
        <is>
          <t>CAN-Repeater</t>
        </is>
      </c>
      <c r="D51" s="137" t="inlineStr">
        <is>
          <t>ЕБС</t>
        </is>
      </c>
    </row>
    <row r="52">
      <c r="A52" s="134">
        <f>ROW()-ROW(База[[#Headers],[№]])</f>
        <v/>
      </c>
      <c r="B52" s="134" t="n">
        <v>4491350250</v>
      </c>
      <c r="C52" s="140" t="inlineStr">
        <is>
          <t>Кабель соединительный, 2,5 м</t>
        </is>
      </c>
      <c r="D52" s="137" t="inlineStr">
        <is>
          <t>ЕБС</t>
        </is>
      </c>
    </row>
    <row r="53">
      <c r="A53" s="134">
        <f>ROW()-ROW(База[[#Headers],[№]])</f>
        <v/>
      </c>
      <c r="B53" s="134" t="n">
        <v>4491350600</v>
      </c>
      <c r="C53" s="140" t="inlineStr">
        <is>
          <t>Кабель соединительный, 6 м</t>
        </is>
      </c>
      <c r="D53" s="137" t="inlineStr">
        <is>
          <t>ЕБС</t>
        </is>
      </c>
    </row>
    <row r="54">
      <c r="A54" s="134">
        <f>ROW()-ROW(База[[#Headers],[№]])</f>
        <v/>
      </c>
      <c r="B54" s="134" t="n">
        <v>4491351400</v>
      </c>
      <c r="C54" s="140" t="inlineStr">
        <is>
          <t>Кабель соединительный, 14 м</t>
        </is>
      </c>
      <c r="D54" s="137" t="inlineStr">
        <is>
          <t>ЕБС</t>
        </is>
      </c>
    </row>
    <row r="55">
      <c r="A55" s="143">
        <f>ROW()-ROW(База[[#Headers],[№]])</f>
        <v/>
      </c>
      <c r="B55" s="143" t="n">
        <v>4492331400</v>
      </c>
      <c r="C55" s="144" t="inlineStr">
        <is>
          <t>Кабель соединительный, 14 м</t>
        </is>
      </c>
      <c r="D55" s="145" t="inlineStr">
        <is>
          <t>ЕБС</t>
        </is>
      </c>
    </row>
    <row r="56">
      <c r="A56" s="134">
        <f>ROW()-ROW(База[[#Headers],[№]])</f>
        <v/>
      </c>
      <c r="B56" s="134" t="n">
        <v>4492331800</v>
      </c>
      <c r="C56" s="140" t="inlineStr">
        <is>
          <t>Кабель соединительный, 18 м</t>
        </is>
      </c>
      <c r="D56" s="137" t="inlineStr">
        <is>
          <t>ЕБС</t>
        </is>
      </c>
    </row>
    <row r="57">
      <c r="A57" s="134">
        <f>ROW()-ROW(База[[#Headers],[№]])</f>
        <v/>
      </c>
      <c r="B57" s="134" t="n">
        <v>4493470800</v>
      </c>
      <c r="C57" s="140" t="inlineStr">
        <is>
          <t>Кабель соединительный, 8 м</t>
        </is>
      </c>
      <c r="D57" s="137" t="inlineStr">
        <is>
          <t>ЕБС</t>
        </is>
      </c>
    </row>
    <row r="58">
      <c r="A58" s="134">
        <f>ROW()-ROW(База[[#Headers],[№]])</f>
        <v/>
      </c>
      <c r="B58" s="134" t="n">
        <v>4493711800</v>
      </c>
      <c r="C58" s="140" t="inlineStr">
        <is>
          <t>Кабель питания, 18 м</t>
        </is>
      </c>
      <c r="D58" s="137" t="inlineStr">
        <is>
          <t>ЕБС</t>
        </is>
      </c>
    </row>
    <row r="59">
      <c r="A59" s="134">
        <f>ROW()-ROW(База[[#Headers],[№]])</f>
        <v/>
      </c>
      <c r="B59" s="134" t="n">
        <v>4494250300</v>
      </c>
      <c r="C59" s="140" t="inlineStr">
        <is>
          <t>Кабель датчика давления, 3 м</t>
        </is>
      </c>
      <c r="D59" s="137" t="inlineStr">
        <is>
          <t>ЕБС</t>
        </is>
      </c>
    </row>
    <row r="60">
      <c r="A60" s="134">
        <f>ROW()-ROW(База[[#Headers],[№]])</f>
        <v/>
      </c>
      <c r="B60" s="134" t="n">
        <v>4494250600</v>
      </c>
      <c r="C60" s="140" t="inlineStr">
        <is>
          <t>Кабель датчика давления, 6 м</t>
        </is>
      </c>
      <c r="D60" s="137" t="inlineStr">
        <is>
          <t>ЕБС</t>
        </is>
      </c>
    </row>
    <row r="61">
      <c r="A61" s="134">
        <f>ROW()-ROW(База[[#Headers],[№]])</f>
        <v/>
      </c>
      <c r="B61" s="134" t="n">
        <v>4494291300</v>
      </c>
      <c r="C61" s="140" t="inlineStr">
        <is>
          <t>Кабель модулятора EBS, 13 м</t>
        </is>
      </c>
      <c r="D61" s="137" t="inlineStr">
        <is>
          <t>ЕБС</t>
        </is>
      </c>
    </row>
    <row r="62">
      <c r="A62" s="134">
        <f>ROW()-ROW(База[[#Headers],[№]])</f>
        <v/>
      </c>
      <c r="B62" s="134" t="n">
        <v>4615130020</v>
      </c>
      <c r="C62" s="140" t="inlineStr">
        <is>
          <t>Пневматический расширительный модуль</t>
        </is>
      </c>
      <c r="D62" s="137" t="inlineStr">
        <is>
          <t>ЕБС</t>
        </is>
      </c>
    </row>
    <row r="63">
      <c r="A63" s="134">
        <f>ROW()-ROW(База[[#Headers],[№]])</f>
        <v/>
      </c>
      <c r="B63" s="134" t="n">
        <v>8946000320</v>
      </c>
      <c r="C63" s="140" t="inlineStr">
        <is>
          <t>Кабель соединительный, 40 м</t>
        </is>
      </c>
      <c r="D63" s="137" t="inlineStr">
        <is>
          <t>ЕБС</t>
        </is>
      </c>
    </row>
    <row r="64">
      <c r="A64" s="134">
        <f>ROW()-ROW(База[[#Headers],[№]])</f>
        <v/>
      </c>
      <c r="B64" s="134" t="inlineStr">
        <is>
          <t>480102030R</t>
        </is>
      </c>
      <c r="C64" s="140" t="inlineStr">
        <is>
          <t>Модулятор EBS прицепа</t>
        </is>
      </c>
      <c r="D64" s="137" t="inlineStr">
        <is>
          <t>ЕБС</t>
        </is>
      </c>
    </row>
    <row r="65">
      <c r="A65" s="143">
        <f>ROW()-ROW(База[[#Headers],[№]])</f>
        <v/>
      </c>
      <c r="B65" s="143" t="inlineStr">
        <is>
          <t>480102060R</t>
        </is>
      </c>
      <c r="C65" s="144" t="inlineStr">
        <is>
          <t>Модулятор EBS прицепа</t>
        </is>
      </c>
      <c r="D65" s="145" t="inlineStr">
        <is>
          <t>ЕБС</t>
        </is>
      </c>
    </row>
    <row r="66">
      <c r="A66" s="134">
        <f>ROW()-ROW(База[[#Headers],[№]])</f>
        <v/>
      </c>
      <c r="B66" s="134" t="inlineStr">
        <is>
          <t>PRO0320200</t>
        </is>
      </c>
      <c r="C66" s="140" t="inlineStr">
        <is>
          <t>Кран ручного управления</t>
        </is>
      </c>
      <c r="D66" s="137" t="inlineStr">
        <is>
          <t>Пневмоподвеска</t>
        </is>
      </c>
    </row>
    <row r="67">
      <c r="A67" s="134">
        <f>ROW()-ROW(База[[#Headers],[№]])</f>
        <v/>
      </c>
      <c r="B67" s="134" t="n">
        <v>8282519676</v>
      </c>
      <c r="C67" s="140" t="inlineStr">
        <is>
          <t>Трубка пластиковая 6x1, бухта 100м (м)</t>
        </is>
      </c>
      <c r="D67" s="137" t="inlineStr">
        <is>
          <t>Трубка</t>
        </is>
      </c>
    </row>
    <row r="68">
      <c r="A68" s="143">
        <f>ROW()-ROW(База[[#Headers],[№]])</f>
        <v/>
      </c>
      <c r="B68" s="143" t="n">
        <v>828877016</v>
      </c>
      <c r="C68" s="144" t="inlineStr">
        <is>
          <t>Шланг тормозной (м)</t>
        </is>
      </c>
      <c r="D68" s="145" t="inlineStr">
        <is>
          <t>Шланг</t>
        </is>
      </c>
    </row>
  </sheetData>
  <conditionalFormatting sqref="B2:B68">
    <cfRule type="duplicateValues" priority="5" dxfId="1"/>
  </conditionalFormatting>
  <conditionalFormatting sqref="I2:I37">
    <cfRule type="expression" priority="2" dxfId="0">
      <formula>IF($N2&gt;1,1,0)</formula>
    </cfRule>
  </conditionalFormatting>
  <conditionalFormatting sqref="N2:N37">
    <cfRule type="dataBar" priority="12">
      <dataBar>
        <cfvo type="min"/>
        <cfvo type="max"/>
        <color rgb="FFFF555A"/>
      </dataBar>
    </cfRule>
  </conditionalFormatting>
  <pageMargins left="0.7" right="0.7" top="0.75" bottom="0.75" header="0.3" footer="0.3"/>
  <pageSetup orientation="portrait" paperSize="9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K17"/>
  <sheetViews>
    <sheetView workbookViewId="0">
      <pane xSplit="1" ySplit="2" topLeftCell="B3" activePane="bottomRight" state="frozen"/>
      <selection activeCell="AZ4" sqref="AZ4"/>
      <selection pane="topRight" activeCell="A1" sqref="A1"/>
      <selection pane="bottomLeft" activeCell="A1" sqref="A1"/>
      <selection pane="bottomRight" activeCell="CA22" sqref="CA22"/>
    </sheetView>
  </sheetViews>
  <sheetFormatPr baseColWidth="8" defaultColWidth="10" defaultRowHeight="14.4"/>
  <cols>
    <col width="14.109375" bestFit="1" customWidth="1" min="1" max="1"/>
    <col hidden="1" width="9.109375" customWidth="1" min="2" max="14"/>
    <col hidden="1" width="10" customWidth="1" min="15" max="18"/>
    <col hidden="1" width="8.88671875" customWidth="1" min="19" max="19"/>
    <col hidden="1" width="10" customWidth="1" min="20" max="23"/>
    <col hidden="1" width="8.88671875" customWidth="1" min="24" max="24"/>
    <col hidden="1" width="10" customWidth="1" min="25" max="28"/>
    <col hidden="1" width="8.88671875" customWidth="1" min="29" max="29"/>
    <col hidden="1" width="10" customWidth="1" min="30" max="33"/>
    <col hidden="1" width="8.88671875" customWidth="1" min="34" max="34"/>
    <col hidden="1" width="10" customWidth="1" min="35" max="38"/>
    <col hidden="1" width="8.88671875" customWidth="1" min="39" max="39"/>
    <col hidden="1" width="10" customWidth="1" min="40" max="67"/>
    <col hidden="1" min="68" max="75"/>
  </cols>
  <sheetData>
    <row r="1">
      <c r="A1" s="192" t="n"/>
      <c r="B1" s="322" t="inlineStr">
        <is>
          <t>Январь</t>
        </is>
      </c>
      <c r="C1" s="397" t="n"/>
      <c r="D1" s="398" t="n"/>
      <c r="E1" s="322" t="inlineStr">
        <is>
          <t>Февраль</t>
        </is>
      </c>
      <c r="F1" s="397" t="n"/>
      <c r="G1" s="397" t="n"/>
      <c r="H1" s="397" t="n"/>
      <c r="I1" s="398" t="n"/>
      <c r="J1" s="322" t="inlineStr">
        <is>
          <t>Март</t>
        </is>
      </c>
      <c r="K1" s="397" t="n"/>
      <c r="L1" s="397" t="n"/>
      <c r="M1" s="397" t="n"/>
      <c r="N1" s="398" t="n"/>
      <c r="O1" s="322" t="inlineStr">
        <is>
          <t>Апрель</t>
        </is>
      </c>
      <c r="P1" s="397" t="n"/>
      <c r="Q1" s="397" t="n"/>
      <c r="R1" s="397" t="n"/>
      <c r="S1" s="398" t="n"/>
      <c r="T1" s="322" t="inlineStr">
        <is>
          <t>Май</t>
        </is>
      </c>
      <c r="U1" s="397" t="n"/>
      <c r="V1" s="397" t="n"/>
      <c r="W1" s="397" t="n"/>
      <c r="X1" s="398" t="n"/>
      <c r="Y1" s="322" t="inlineStr">
        <is>
          <t>Июнь</t>
        </is>
      </c>
      <c r="Z1" s="397" t="n"/>
      <c r="AA1" s="397" t="n"/>
      <c r="AB1" s="397" t="n"/>
      <c r="AC1" s="398" t="n"/>
      <c r="AD1" s="322" t="inlineStr">
        <is>
          <t>Июль</t>
        </is>
      </c>
      <c r="AE1" s="397" t="n"/>
      <c r="AF1" s="397" t="n"/>
      <c r="AG1" s="397" t="n"/>
      <c r="AH1" s="398" t="n"/>
      <c r="AI1" s="322" t="inlineStr">
        <is>
          <t>Август</t>
        </is>
      </c>
      <c r="AJ1" s="397" t="n"/>
      <c r="AK1" s="397" t="n"/>
      <c r="AL1" s="397" t="n"/>
      <c r="AM1" s="398" t="n"/>
      <c r="AN1" s="322" t="inlineStr">
        <is>
          <t>Сентябрь</t>
        </is>
      </c>
      <c r="AO1" s="397" t="n"/>
      <c r="AP1" s="397" t="n"/>
      <c r="AQ1" s="397" t="n"/>
      <c r="AR1" s="398" t="n"/>
      <c r="AS1" s="322" t="inlineStr">
        <is>
          <t>Октябрь</t>
        </is>
      </c>
      <c r="AT1" s="397" t="n"/>
      <c r="AU1" s="397" t="n"/>
      <c r="AV1" s="397" t="n"/>
      <c r="AW1" s="398" t="n"/>
      <c r="AX1" s="322" t="inlineStr">
        <is>
          <t>Ноябрь</t>
        </is>
      </c>
      <c r="AY1" s="397" t="n"/>
      <c r="AZ1" s="397" t="n"/>
      <c r="BA1" s="397" t="n"/>
      <c r="BB1" s="398" t="n"/>
      <c r="BC1" s="322" t="inlineStr">
        <is>
          <t>Декабрь</t>
        </is>
      </c>
      <c r="BD1" s="397" t="n"/>
      <c r="BE1" s="397" t="n"/>
      <c r="BF1" s="398" t="n"/>
      <c r="BG1" s="322" t="n"/>
      <c r="BH1" s="397" t="n"/>
      <c r="BI1" s="397" t="n"/>
      <c r="BJ1" s="397" t="n"/>
      <c r="BK1" s="397" t="n"/>
      <c r="BL1" s="397" t="n"/>
      <c r="BM1" s="397" t="n"/>
      <c r="BN1" s="397" t="n"/>
      <c r="BO1" s="398" t="n"/>
      <c r="BP1" s="321" t="n">
        <v>46023</v>
      </c>
      <c r="BQ1" s="397" t="n"/>
      <c r="BR1" s="397" t="n"/>
      <c r="BS1" s="398" t="n"/>
      <c r="BT1" s="321" t="n">
        <v>46054</v>
      </c>
      <c r="BU1" s="397" t="n"/>
      <c r="BV1" s="397" t="n"/>
      <c r="BW1" s="398" t="n"/>
      <c r="BX1" s="321" t="n">
        <v>46082</v>
      </c>
      <c r="BY1" s="397" t="n"/>
      <c r="BZ1" s="397" t="n"/>
      <c r="CA1" s="398" t="n"/>
      <c r="CB1" s="321" t="n">
        <v>46113</v>
      </c>
      <c r="CC1" s="397" t="n"/>
      <c r="CD1" s="397" t="n"/>
      <c r="CE1" s="398" t="n"/>
      <c r="CF1" s="321" t="n">
        <v>46143</v>
      </c>
      <c r="CG1" s="397" t="n"/>
      <c r="CH1" s="397" t="n"/>
      <c r="CI1" s="398" t="n"/>
      <c r="CJ1" s="321" t="n">
        <v>46174</v>
      </c>
      <c r="CK1" s="397" t="n"/>
      <c r="CL1" s="397" t="n"/>
      <c r="CM1" s="398" t="n"/>
      <c r="CN1" s="321" t="n">
        <v>46204</v>
      </c>
      <c r="CO1" s="397" t="n"/>
      <c r="CP1" s="397" t="n"/>
      <c r="CQ1" s="398" t="n"/>
      <c r="CR1" s="321" t="n">
        <v>46235</v>
      </c>
      <c r="CS1" s="397" t="n"/>
      <c r="CT1" s="397" t="n"/>
      <c r="CU1" s="398" t="n"/>
      <c r="CV1" s="321" t="n">
        <v>46266</v>
      </c>
      <c r="CW1" s="397" t="n"/>
      <c r="CX1" s="397" t="n"/>
      <c r="CY1" s="398" t="n"/>
      <c r="CZ1" s="321" t="n">
        <v>46296</v>
      </c>
      <c r="DA1" s="397" t="n"/>
      <c r="DB1" s="397" t="n"/>
      <c r="DC1" s="398" t="n"/>
      <c r="DD1" s="321" t="n">
        <v>46327</v>
      </c>
      <c r="DE1" s="397" t="n"/>
      <c r="DF1" s="397" t="n"/>
      <c r="DG1" s="398" t="n"/>
      <c r="DH1" s="321" t="n">
        <v>46357</v>
      </c>
      <c r="DI1" s="397" t="n"/>
      <c r="DJ1" s="397" t="n"/>
      <c r="DK1" s="398" t="n"/>
    </row>
    <row r="2">
      <c r="A2" s="192" t="n"/>
      <c r="B2" s="192" t="inlineStr">
        <is>
          <t>Прогноз</t>
        </is>
      </c>
      <c r="C2" s="192" t="inlineStr">
        <is>
          <t>Факт</t>
        </is>
      </c>
      <c r="D2" s="192" t="n"/>
      <c r="E2" s="192" t="n"/>
      <c r="F2" s="192" t="n"/>
      <c r="G2" s="192" t="inlineStr">
        <is>
          <t>Прогноз</t>
        </is>
      </c>
      <c r="H2" s="192" t="inlineStr">
        <is>
          <t>Факт</t>
        </is>
      </c>
      <c r="I2" s="192" t="n"/>
      <c r="J2" s="192" t="n"/>
      <c r="K2" s="192" t="n"/>
      <c r="L2" s="192" t="inlineStr">
        <is>
          <t>Прогноз</t>
        </is>
      </c>
      <c r="M2" s="192" t="inlineStr">
        <is>
          <t>Факт</t>
        </is>
      </c>
      <c r="N2" s="192" t="n"/>
      <c r="O2" s="192" t="n"/>
      <c r="P2" s="192" t="n"/>
      <c r="Q2" s="192" t="inlineStr">
        <is>
          <t>Прогноз</t>
        </is>
      </c>
      <c r="R2" s="192" t="inlineStr">
        <is>
          <t>Факт</t>
        </is>
      </c>
      <c r="S2" s="192" t="n"/>
      <c r="T2" s="192" t="n"/>
      <c r="U2" s="192" t="n"/>
      <c r="V2" s="192" t="inlineStr">
        <is>
          <t>Прогноз</t>
        </is>
      </c>
      <c r="W2" s="192" t="inlineStr">
        <is>
          <t>Факт</t>
        </is>
      </c>
      <c r="X2" s="192" t="n"/>
      <c r="Y2" s="192" t="n"/>
      <c r="Z2" s="192" t="n"/>
      <c r="AA2" s="192" t="inlineStr">
        <is>
          <t>Прогноз</t>
        </is>
      </c>
      <c r="AB2" s="192" t="inlineStr">
        <is>
          <t>Факт</t>
        </is>
      </c>
      <c r="AC2" s="192" t="n"/>
      <c r="AD2" s="192" t="n"/>
      <c r="AE2" s="192" t="n"/>
      <c r="AF2" s="192" t="inlineStr">
        <is>
          <t>Прогноз</t>
        </is>
      </c>
      <c r="AG2" s="192" t="inlineStr">
        <is>
          <t>Факт</t>
        </is>
      </c>
      <c r="AH2" s="192" t="n"/>
      <c r="AI2" s="192" t="n"/>
      <c r="AJ2" s="192" t="n"/>
      <c r="AK2" s="192" t="inlineStr">
        <is>
          <t>Прогноз</t>
        </is>
      </c>
      <c r="AL2" s="192" t="inlineStr">
        <is>
          <t>Факт</t>
        </is>
      </c>
      <c r="AM2" s="192" t="n"/>
      <c r="AN2" s="192" t="n"/>
      <c r="AO2" s="192" t="n"/>
      <c r="AP2" s="192" t="inlineStr">
        <is>
          <t>Прогноз</t>
        </is>
      </c>
      <c r="AQ2" s="192" t="inlineStr">
        <is>
          <t>Факт</t>
        </is>
      </c>
      <c r="AR2" s="192" t="n"/>
      <c r="AS2" s="192" t="n"/>
      <c r="AT2" s="192" t="n"/>
      <c r="AU2" s="192" t="inlineStr">
        <is>
          <t>Прогноз</t>
        </is>
      </c>
      <c r="AV2" s="192" t="inlineStr">
        <is>
          <t>Факт</t>
        </is>
      </c>
      <c r="AW2" s="192" t="n"/>
      <c r="AX2" s="192" t="n"/>
      <c r="AY2" s="192" t="n"/>
      <c r="AZ2" s="192" t="inlineStr">
        <is>
          <t>Прогноз</t>
        </is>
      </c>
      <c r="BA2" s="192" t="inlineStr">
        <is>
          <t>Факт</t>
        </is>
      </c>
      <c r="BB2" s="192" t="n"/>
      <c r="BC2" s="192" t="n"/>
      <c r="BD2" s="192" t="n"/>
      <c r="BE2" s="192" t="inlineStr">
        <is>
          <t>Прогноз</t>
        </is>
      </c>
      <c r="BF2" s="192" t="inlineStr">
        <is>
          <t>Факт</t>
        </is>
      </c>
      <c r="BG2" s="192" t="n"/>
      <c r="BH2" s="192" t="n"/>
      <c r="BI2" s="192" t="n"/>
      <c r="BJ2" s="192" t="n"/>
      <c r="BK2" s="192" t="n"/>
      <c r="BL2" s="192" t="n"/>
      <c r="BM2" s="192" t="n"/>
      <c r="BN2" s="192" t="n"/>
      <c r="BO2" s="192" t="n"/>
      <c r="BP2" s="192" t="inlineStr">
        <is>
          <t>AOP</t>
        </is>
      </c>
      <c r="BQ2" s="193" t="inlineStr">
        <is>
          <t>Прогноз</t>
        </is>
      </c>
      <c r="BR2" s="192" t="inlineStr">
        <is>
          <t>Факт</t>
        </is>
      </c>
      <c r="BS2" s="192" t="inlineStr">
        <is>
          <t>Коммент</t>
        </is>
      </c>
      <c r="BT2" s="192" t="inlineStr">
        <is>
          <t>AOP</t>
        </is>
      </c>
      <c r="BU2" s="193" t="inlineStr">
        <is>
          <t>Прогноз</t>
        </is>
      </c>
      <c r="BV2" s="192" t="inlineStr">
        <is>
          <t>Факт</t>
        </is>
      </c>
      <c r="BW2" s="192" t="inlineStr">
        <is>
          <t>Коммент</t>
        </is>
      </c>
      <c r="BX2" s="192" t="inlineStr">
        <is>
          <t>AOP</t>
        </is>
      </c>
      <c r="BY2" s="193" t="inlineStr">
        <is>
          <t>Прогноз</t>
        </is>
      </c>
      <c r="BZ2" s="192" t="inlineStr">
        <is>
          <t>Факт</t>
        </is>
      </c>
      <c r="CA2" s="192" t="inlineStr">
        <is>
          <t>Коммент</t>
        </is>
      </c>
      <c r="CB2" s="192" t="inlineStr">
        <is>
          <t>AOP</t>
        </is>
      </c>
      <c r="CC2" s="193" t="inlineStr">
        <is>
          <t>Прогноз</t>
        </is>
      </c>
      <c r="CD2" s="192" t="inlineStr">
        <is>
          <t>Факт</t>
        </is>
      </c>
      <c r="CE2" s="192" t="inlineStr">
        <is>
          <t>Коммент</t>
        </is>
      </c>
      <c r="CF2" s="192" t="inlineStr">
        <is>
          <t>AOP</t>
        </is>
      </c>
      <c r="CG2" s="193" t="inlineStr">
        <is>
          <t>Прогноз</t>
        </is>
      </c>
      <c r="CH2" s="192" t="inlineStr">
        <is>
          <t>Факт</t>
        </is>
      </c>
      <c r="CI2" s="192" t="inlineStr">
        <is>
          <t>Коммент</t>
        </is>
      </c>
      <c r="CJ2" s="192" t="inlineStr">
        <is>
          <t>AOP</t>
        </is>
      </c>
      <c r="CK2" s="193" t="inlineStr">
        <is>
          <t>Прогноз</t>
        </is>
      </c>
      <c r="CL2" s="192" t="inlineStr">
        <is>
          <t>Факт</t>
        </is>
      </c>
      <c r="CM2" s="192" t="inlineStr">
        <is>
          <t>Коммент</t>
        </is>
      </c>
      <c r="CN2" s="192" t="inlineStr">
        <is>
          <t>AOP</t>
        </is>
      </c>
      <c r="CO2" s="193" t="inlineStr">
        <is>
          <t>Прогноз</t>
        </is>
      </c>
      <c r="CP2" s="192" t="inlineStr">
        <is>
          <t>Факт</t>
        </is>
      </c>
      <c r="CQ2" s="192" t="inlineStr">
        <is>
          <t>Коммент</t>
        </is>
      </c>
      <c r="CR2" s="192" t="inlineStr">
        <is>
          <t>AOP</t>
        </is>
      </c>
      <c r="CS2" s="193" t="inlineStr">
        <is>
          <t>Прогноз</t>
        </is>
      </c>
      <c r="CT2" s="192" t="inlineStr">
        <is>
          <t>Факт</t>
        </is>
      </c>
      <c r="CU2" s="192" t="inlineStr">
        <is>
          <t>Коммент</t>
        </is>
      </c>
      <c r="CV2" s="192" t="inlineStr">
        <is>
          <t>AOP</t>
        </is>
      </c>
      <c r="CW2" s="193" t="inlineStr">
        <is>
          <t>Прогноз</t>
        </is>
      </c>
      <c r="CX2" s="192" t="inlineStr">
        <is>
          <t>Факт</t>
        </is>
      </c>
      <c r="CY2" s="192" t="inlineStr">
        <is>
          <t>Коммент</t>
        </is>
      </c>
      <c r="CZ2" s="192" t="inlineStr">
        <is>
          <t>AOP</t>
        </is>
      </c>
      <c r="DA2" s="193" t="inlineStr">
        <is>
          <t>Прогноз</t>
        </is>
      </c>
      <c r="DB2" s="192" t="inlineStr">
        <is>
          <t>Факт</t>
        </is>
      </c>
      <c r="DC2" s="192" t="inlineStr">
        <is>
          <t>Коммент</t>
        </is>
      </c>
      <c r="DD2" s="192" t="inlineStr">
        <is>
          <t>AOP</t>
        </is>
      </c>
      <c r="DE2" s="193" t="inlineStr">
        <is>
          <t>Прогноз</t>
        </is>
      </c>
      <c r="DF2" s="192" t="inlineStr">
        <is>
          <t>Факт</t>
        </is>
      </c>
      <c r="DG2" s="192" t="inlineStr">
        <is>
          <t>Коммент</t>
        </is>
      </c>
      <c r="DH2" s="192" t="inlineStr">
        <is>
          <t>AOP</t>
        </is>
      </c>
      <c r="DI2" s="193" t="inlineStr">
        <is>
          <t>Прогноз</t>
        </is>
      </c>
      <c r="DJ2" s="192" t="inlineStr">
        <is>
          <t>Факт</t>
        </is>
      </c>
      <c r="DK2" s="192" t="inlineStr">
        <is>
          <t>Коммент</t>
        </is>
      </c>
    </row>
    <row r="3">
      <c r="A3" s="192" t="inlineStr">
        <is>
          <t>Нефаз</t>
        </is>
      </c>
      <c r="B3" s="194">
        <f>SUMPRODUCT('2026_Мустафин'!$J$6:$J$35,'2026_Мустафин'!BQ6:BQ35)</f>
        <v/>
      </c>
      <c r="C3" s="194">
        <f>SUMPRODUCT('2026_Мустафин'!$J$6:$J$35,'2026_Мустафин'!BR6:BR35)</f>
        <v/>
      </c>
      <c r="D3" s="194">
        <f>SUMPRODUCT('2026_Мустафин'!$J$6:$J$35,'2026_Мустафин'!BS6:BS35)</f>
        <v/>
      </c>
      <c r="E3" s="194">
        <f>SUMPRODUCT('2026_Мустафин'!$J$6:$J$35,'2026_Мустафин'!BT6:BT35)</f>
        <v/>
      </c>
      <c r="F3" s="194">
        <f>SUMPRODUCT('2026_Мустафин'!$J$6:$J$35,'2026_Мустафин'!BU6:BU35)</f>
        <v/>
      </c>
      <c r="G3" s="194">
        <f>SUMPRODUCT('2026_Мустафин'!$J$6:$J$35,'2026_Мустафин'!BV6:BV35)</f>
        <v/>
      </c>
      <c r="H3" s="194">
        <f>SUMPRODUCT('2026_Мустафин'!$J$6:$J$35,'2026_Мустафин'!BW6:BW35)</f>
        <v/>
      </c>
      <c r="I3" s="194">
        <f>SUMPRODUCT('2026_Мустафин'!$J$6:$J$35,'2026_Мустафин'!BX6:BX35)</f>
        <v/>
      </c>
      <c r="J3" s="194">
        <f>SUMPRODUCT('2026_Мустафин'!$J$6:$J$35,'2026_Мустафин'!BY6:BY35)</f>
        <v/>
      </c>
      <c r="K3" s="194">
        <f>SUMPRODUCT('2026_Мустафин'!$J$6:$J$35,'2026_Мустафин'!BZ6:BZ35)</f>
        <v/>
      </c>
      <c r="L3" s="194">
        <f>SUMPRODUCT('2026_Мустафин'!$J$6:$J$35,'2026_Мустафин'!CA6:CA35)</f>
        <v/>
      </c>
      <c r="M3" s="194">
        <f>SUMPRODUCT('2026_Мустафин'!$J$6:$J$35,'2026_Мустафин'!CB6:CB35)</f>
        <v/>
      </c>
      <c r="N3" s="194">
        <f>SUMPRODUCT('2026_Мустафин'!$J$6:$J$35,'2026_Мустафин'!CC6:CC35)</f>
        <v/>
      </c>
      <c r="O3" s="194">
        <f>SUMPRODUCT('2026_Мустафин'!$J$6:$J$35,'2026_Мустафин'!CD6:CD35)</f>
        <v/>
      </c>
      <c r="P3" s="194">
        <f>SUMPRODUCT('2026_Мустафин'!$J$6:$J$35,'2026_Мустафин'!CE6:CE35)</f>
        <v/>
      </c>
      <c r="Q3" s="194">
        <f>SUMPRODUCT('2026_Мустафин'!$J$6:$J$35,'2026_Мустафин'!CF6:CF35)</f>
        <v/>
      </c>
      <c r="R3" s="194">
        <f>SUMPRODUCT('2026_Мустафин'!$J$6:$J$35,'2026_Мустафин'!CG6:CG35)</f>
        <v/>
      </c>
      <c r="S3" s="194">
        <f>SUMPRODUCT('2026_Мустафин'!$J$6:$J$35,'2026_Мустафин'!CH6:CH35)</f>
        <v/>
      </c>
      <c r="T3" s="194">
        <f>SUMPRODUCT('2026_Мустафин'!$J$6:$J$35,'2026_Мустафин'!CI6:CI35)</f>
        <v/>
      </c>
      <c r="U3" s="194">
        <f>SUMPRODUCT('2026_Мустафин'!$J$6:$J$35,'2026_Мустафин'!CJ6:CJ35)</f>
        <v/>
      </c>
      <c r="V3" s="194">
        <f>SUMPRODUCT('2026_Мустафин'!$J$6:$J$35,'2026_Мустафин'!CK6:CK35)</f>
        <v/>
      </c>
      <c r="W3" s="194">
        <f>SUMPRODUCT('2026_Мустафин'!$J$6:$J$35,'2026_Мустафин'!CL6:CL35)</f>
        <v/>
      </c>
      <c r="X3" s="194">
        <f>SUMPRODUCT('2026_Мустафин'!$J$6:$J$35,'2026_Мустафин'!CM6:CM35)</f>
        <v/>
      </c>
      <c r="Y3" s="194">
        <f>SUMPRODUCT('2026_Мустафин'!$J$6:$J$35,'2026_Мустафин'!CN6:CN35)</f>
        <v/>
      </c>
      <c r="Z3" s="194">
        <f>SUMPRODUCT('2026_Мустафин'!$J$6:$J$35,'2026_Мустафин'!CO6:CO35)</f>
        <v/>
      </c>
      <c r="AA3" s="194">
        <f>SUMPRODUCT('2026_Мустафин'!$J$6:$J$35,'2026_Мустафин'!CP6:CP35)</f>
        <v/>
      </c>
      <c r="AB3" s="194">
        <f>SUMPRODUCT('2026_Мустафин'!$J$6:$J$35,'2026_Мустафин'!CQ6:CQ35)</f>
        <v/>
      </c>
      <c r="AC3" s="194">
        <f>SUMPRODUCT('2026_Мустафин'!$J$6:$J$35,'2026_Мустафин'!CR6:CR35)</f>
        <v/>
      </c>
      <c r="AD3" s="194">
        <f>SUMPRODUCT('2026_Мустафин'!$J$6:$J$35,'2026_Мустафин'!CS6:CS35)</f>
        <v/>
      </c>
      <c r="AE3" s="194">
        <f>SUMPRODUCT('2026_Мустафин'!$J$6:$J$35,'2026_Мустафин'!CT6:CT35)</f>
        <v/>
      </c>
      <c r="AF3" s="194">
        <f>SUMPRODUCT('2026_Мустафин'!$J$6:$J$35,'2026_Мустафин'!CU6:CU35)</f>
        <v/>
      </c>
      <c r="AG3" s="194">
        <f>SUMPRODUCT('2026_Мустафин'!$J$6:$J$35,'2026_Мустафин'!CV6:CV35)</f>
        <v/>
      </c>
      <c r="AH3" s="194">
        <f>SUMPRODUCT('2026_Мустафин'!$J$6:$J$35,'2026_Мустафин'!CW6:CW35)</f>
        <v/>
      </c>
      <c r="AI3" s="194">
        <f>SUMPRODUCT('2026_Мустафин'!$J$6:$J$35,'2026_Мустафин'!CX6:CX35)</f>
        <v/>
      </c>
      <c r="AJ3" s="194">
        <f>SUMPRODUCT('2026_Мустафин'!$J$6:$J$35,'2026_Мустафин'!CY6:CY35)</f>
        <v/>
      </c>
      <c r="AK3" s="194">
        <f>SUMPRODUCT('2026_Мустафин'!$J$6:$J$35,'2026_Мустафин'!CZ6:CZ35)</f>
        <v/>
      </c>
      <c r="AL3" s="194">
        <f>SUMPRODUCT('2026_Мустафин'!$J$6:$J$35,'2026_Мустафин'!DA6:DA35)</f>
        <v/>
      </c>
      <c r="AM3" s="194">
        <f>SUMPRODUCT('2026_Мустафин'!$J$6:$J$35,'2026_Мустафин'!DB6:DB35)</f>
        <v/>
      </c>
      <c r="AN3" s="194">
        <f>SUMPRODUCT('2026_Мустафин'!$J$6:$J$35,'2026_Мустафин'!DC6:DC35)</f>
        <v/>
      </c>
      <c r="AO3" s="194">
        <f>SUMPRODUCT('2026_Мустафин'!$J$6:$J$35,'2026_Мустафин'!DD6:DD35)</f>
        <v/>
      </c>
      <c r="AP3" s="194">
        <f>SUMPRODUCT('2026_Мустафин'!$J$6:$J$35,'2026_Мустафин'!DE6:DE35)</f>
        <v/>
      </c>
      <c r="AQ3" s="194">
        <f>SUMPRODUCT('2026_Мустафин'!$J$6:$J$35,'2026_Мустафин'!DF6:DF35)</f>
        <v/>
      </c>
      <c r="AR3" s="194">
        <f>SUMPRODUCT('2026_Мустафин'!$J$6:$J$35,'2026_Мустафин'!DG6:DG35)</f>
        <v/>
      </c>
      <c r="AS3" s="194">
        <f>SUMPRODUCT('2026_Мустафин'!$J$6:$J$35,'2026_Мустафин'!DH6:DH35)</f>
        <v/>
      </c>
      <c r="AT3" s="194">
        <f>SUMPRODUCT('2026_Мустафин'!$J$6:$J$35,'2026_Мустафин'!DI6:DI35)</f>
        <v/>
      </c>
      <c r="AU3" s="194">
        <f>SUMPRODUCT('2026_Мустафин'!$J$6:$J$35,'2026_Мустафин'!DJ6:DJ35)</f>
        <v/>
      </c>
      <c r="AV3" s="194">
        <f>SUMPRODUCT('2026_Мустафин'!$J$6:$J$35,'2026_Мустафин'!DK6:DK35)</f>
        <v/>
      </c>
      <c r="AW3" s="194">
        <f>SUMPRODUCT('2026_Мустафин'!$J$6:$J$35,'2026_Мустафин'!DL6:DL35)</f>
        <v/>
      </c>
      <c r="AX3" s="194">
        <f>SUMPRODUCT('2026_Мустафин'!$J$6:$J$35,'2026_Мустафин'!DM6:DM35)</f>
        <v/>
      </c>
      <c r="AY3" s="194">
        <f>SUMPRODUCT('2026_Мустафин'!$J$6:$J$35,'2026_Мустафин'!DN6:DN35)</f>
        <v/>
      </c>
      <c r="AZ3" s="194">
        <f>SUMPRODUCT('2026_Мустафин'!$J$6:$J$35,'2026_Мустафин'!DO6:DO35)</f>
        <v/>
      </c>
      <c r="BA3" s="194">
        <f>SUMPRODUCT('2026_Мустафин'!$J$6:$J$35,'2026_Мустафин'!DP6:DP35)</f>
        <v/>
      </c>
      <c r="BB3" s="194">
        <f>SUMPRODUCT('2026_Мустафин'!$J$6:$J$35,'2026_Мустафин'!DQ6:DQ35)</f>
        <v/>
      </c>
      <c r="BC3" s="194">
        <f>SUMPRODUCT('2026_Мустафин'!$J$6:$J$35,'2026_Мустафин'!DR6:DR35)</f>
        <v/>
      </c>
      <c r="BD3" s="194">
        <f>SUMPRODUCT('2026_Мустафин'!$J$6:$J$35,'2026_Мустафин'!DS6:DS35)</f>
        <v/>
      </c>
      <c r="BE3" s="194">
        <f>SUMPRODUCT('2026_Мустафин'!$J$6:$J$35,'2026_Мустафин'!DT6:DT35)</f>
        <v/>
      </c>
      <c r="BF3" s="194">
        <f>SUMPRODUCT('2026_Мустафин'!$J$6:$J$35,'2026_Мустафин'!DU6:DU35)</f>
        <v/>
      </c>
      <c r="BG3" s="194">
        <f>SUMPRODUCT('2026_Мустафин'!$J$6:$J$35,'2026_Мустафин'!DV6:DV35)</f>
        <v/>
      </c>
      <c r="BH3" s="194">
        <f>SUMPRODUCT('2026_Мустафин'!$J$6:$J$35,'2026_Мустафин'!DW6:DW35)</f>
        <v/>
      </c>
      <c r="BI3" s="194">
        <f>SUMPRODUCT('2026_Мустафин'!$J$6:$J$35,'2026_Мустафин'!DX6:DX35)</f>
        <v/>
      </c>
      <c r="BJ3" s="194">
        <f>SUMPRODUCT('2026_Мустафин'!$J$6:$J$35,'2026_Мустафин'!DY6:DY35)</f>
        <v/>
      </c>
      <c r="BK3" s="194">
        <f>SUMPRODUCT('2026_Мустафин'!$J$6:$J$35,'2026_Мустафин'!DZ6:DZ35)</f>
        <v/>
      </c>
      <c r="BL3" s="194">
        <f>SUMPRODUCT('2026_Мустафин'!$J$6:$J$35,'2026_Мустафин'!EA6:EA35)</f>
        <v/>
      </c>
      <c r="BM3" s="194">
        <f>SUMPRODUCT('2026_Мустафин'!$J$6:$J$35,'2026_Мустафин'!EB6:EB35)</f>
        <v/>
      </c>
      <c r="BN3" s="194">
        <f>SUMPRODUCT('2026_Мустафин'!$J$6:$J$35,'2026_Мустафин'!EC6:EC35)</f>
        <v/>
      </c>
      <c r="BO3" s="194">
        <f>SUMPRODUCT('2026_Мустафин'!$J$6:$J$35,'2026_Мустафин'!ED6:ED35)</f>
        <v/>
      </c>
      <c r="BP3" s="194">
        <f>SUMPRODUCT('2026_Мустафин'!$J$6:$J$35,'2026_Мустафин'!EE6:EE35)</f>
        <v/>
      </c>
      <c r="BQ3" s="195">
        <f>SUMPRODUCT('2026_Мустафин'!$J$6:$J$35,'2026_Мустафин'!EF6:EF35)</f>
        <v/>
      </c>
      <c r="BR3" s="194">
        <f>SUMPRODUCT('2026_Мустафин'!$J$6:$J$35,'2026_Мустафин'!EG6:EG35)</f>
        <v/>
      </c>
      <c r="BS3" s="194">
        <f>SUMPRODUCT('2026_Мустафин'!$J$6:$J$35,'2026_Мустафин'!EH6:EH35)</f>
        <v/>
      </c>
      <c r="BT3" s="194">
        <f>SUMPRODUCT('2026_Мустафин'!$J$6:$J$35,'2026_Мустафин'!EI6:EI35)</f>
        <v/>
      </c>
      <c r="BU3" s="195">
        <f>SUMPRODUCT('2026_Мустафин'!$J$6:$J$35,'2026_Мустафин'!EJ6:EJ35)</f>
        <v/>
      </c>
      <c r="BV3" s="194">
        <f>SUMPRODUCT('2026_Мустафин'!$J$6:$J$35,'2026_Мустафин'!EK6:EK35)</f>
        <v/>
      </c>
      <c r="BW3" s="194">
        <f>SUMPRODUCT('2026_Мустафин'!$J$6:$J$35,'2026_Мустафин'!EL6:EL35)</f>
        <v/>
      </c>
      <c r="BX3" s="194">
        <f>SUMPRODUCT('2026_Мустафин'!$J$6:$J$35,'2026_Мустафин'!EM6:EM35)</f>
        <v/>
      </c>
      <c r="BY3" s="195">
        <f>SUMPRODUCT('2026_Мустафин'!$J$6:$J$35,'2026_Мустафин'!EN6:EN35)</f>
        <v/>
      </c>
      <c r="BZ3" s="194">
        <f>SUMPRODUCT('2026_Мустафин'!$J$6:$J$35,'2026_Мустафин'!EO6:EO35)</f>
        <v/>
      </c>
      <c r="CA3" s="194">
        <f>SUMPRODUCT('2026_Мустафин'!$J$6:$J$35,'2026_Мустафин'!EP6:EP35)</f>
        <v/>
      </c>
      <c r="CB3" s="194">
        <f>SUMPRODUCT('2026_Мустафин'!$J$6:$J$35,'2026_Мустафин'!EQ6:EQ35)</f>
        <v/>
      </c>
      <c r="CC3" s="195">
        <f>SUMPRODUCT('2026_Мустафин'!$J$6:$J$35,'2026_Мустафин'!ER6:ER35)</f>
        <v/>
      </c>
      <c r="CD3" s="194">
        <f>SUMPRODUCT('2026_Мустафин'!$J$6:$J$35,'2026_Мустафин'!ES6:ES35)</f>
        <v/>
      </c>
      <c r="CE3" s="194">
        <f>SUMPRODUCT('2026_Мустафин'!$J$6:$J$35,'2026_Мустафин'!ET6:ET35)</f>
        <v/>
      </c>
      <c r="CF3" s="194">
        <f>SUMPRODUCT('2026_Мустафин'!$J$6:$J$35,'2026_Мустафин'!EU6:EU35)</f>
        <v/>
      </c>
      <c r="CG3" s="195">
        <f>SUMPRODUCT('2026_Мустафин'!$J$6:$J$35,'2026_Мустафин'!EV6:EV35)</f>
        <v/>
      </c>
      <c r="CH3" s="194">
        <f>SUMPRODUCT('2026_Мустафин'!$J$6:$J$35,'2026_Мустафин'!EW6:EW35)</f>
        <v/>
      </c>
      <c r="CI3" s="194">
        <f>SUMPRODUCT('2026_Мустафин'!$J$6:$J$35,'2026_Мустафин'!EX6:EX35)</f>
        <v/>
      </c>
      <c r="CJ3" s="194">
        <f>SUMPRODUCT('2026_Мустафин'!$J$6:$J$35,'2026_Мустафин'!EY6:EY35)</f>
        <v/>
      </c>
      <c r="CK3" s="195">
        <f>SUMPRODUCT('2026_Мустафин'!$J$6:$J$35,'2026_Мустафин'!EZ6:EZ35)</f>
        <v/>
      </c>
      <c r="CL3" s="194">
        <f>SUMPRODUCT('2026_Мустафин'!$J$6:$J$35,'2026_Мустафин'!FA6:FA35)</f>
        <v/>
      </c>
      <c r="CM3" s="194">
        <f>SUMPRODUCT('2026_Мустафин'!$J$6:$J$35,'2026_Мустафин'!FB6:FB35)</f>
        <v/>
      </c>
      <c r="CN3" s="194">
        <f>SUMPRODUCT('2026_Мустафин'!$J$6:$J$35,'2026_Мустафин'!FC6:FC35)</f>
        <v/>
      </c>
      <c r="CO3" s="195">
        <f>SUMPRODUCT('2026_Мустафин'!$J$6:$J$35,'2026_Мустафин'!FD6:FD35)</f>
        <v/>
      </c>
      <c r="CP3" s="194">
        <f>SUMPRODUCT('2026_Мустафин'!$J$6:$J$35,'2026_Мустафин'!FE6:FE35)</f>
        <v/>
      </c>
      <c r="CQ3" s="194">
        <f>SUMPRODUCT('2026_Мустафин'!$J$6:$J$35,'2026_Мустафин'!FF6:FF35)</f>
        <v/>
      </c>
      <c r="CR3" s="194">
        <f>SUMPRODUCT('2026_Мустафин'!$J$6:$J$35,'2026_Мустафин'!FG6:FG35)</f>
        <v/>
      </c>
      <c r="CS3" s="195">
        <f>SUMPRODUCT('2026_Мустафин'!$J$6:$J$35,'2026_Мустафин'!FH6:FH35)</f>
        <v/>
      </c>
      <c r="CT3" s="194">
        <f>SUMPRODUCT('2026_Мустафин'!$J$6:$J$35,'2026_Мустафин'!FI6:FI35)</f>
        <v/>
      </c>
      <c r="CU3" s="194">
        <f>SUMPRODUCT('2026_Мустафин'!$J$6:$J$35,'2026_Мустафин'!FJ6:FJ35)</f>
        <v/>
      </c>
      <c r="CV3" s="194">
        <f>SUMPRODUCT('2026_Мустафин'!$J$6:$J$35,'2026_Мустафин'!FK6:FK35)</f>
        <v/>
      </c>
      <c r="CW3" s="195">
        <f>SUMPRODUCT('2026_Мустафин'!$J$6:$J$35,'2026_Мустафин'!FL6:FL35)</f>
        <v/>
      </c>
      <c r="CX3" s="194">
        <f>SUMPRODUCT('2026_Мустафин'!$J$6:$J$35,'2026_Мустафин'!FM6:FM35)</f>
        <v/>
      </c>
      <c r="CY3" s="194">
        <f>SUMPRODUCT('2026_Мустафин'!$J$6:$J$35,'2026_Мустафин'!FN6:FN35)</f>
        <v/>
      </c>
      <c r="CZ3" s="194">
        <f>SUMPRODUCT('2026_Мустафин'!$J$6:$J$35,'2026_Мустафин'!FO6:FO35)</f>
        <v/>
      </c>
      <c r="DA3" s="195">
        <f>SUMPRODUCT('2026_Мустафин'!$J$6:$J$35,'2026_Мустафин'!FP6:FP35)</f>
        <v/>
      </c>
      <c r="DB3" s="194">
        <f>SUMPRODUCT('2026_Мустафин'!$J$6:$J$35,'2026_Мустафин'!FQ6:FQ35)</f>
        <v/>
      </c>
      <c r="DC3" s="194">
        <f>SUMPRODUCT('2026_Мустафин'!$J$6:$J$35,'2026_Мустафин'!FR6:FR35)</f>
        <v/>
      </c>
      <c r="DD3" s="194">
        <f>SUMPRODUCT('2026_Мустафин'!$J$6:$J$35,'2026_Мустафин'!FS6:FS35)</f>
        <v/>
      </c>
      <c r="DE3" s="195">
        <f>SUMPRODUCT('2026_Мустафин'!$J$6:$J$35,'2026_Мустафин'!FT6:FT35)</f>
        <v/>
      </c>
      <c r="DF3" s="194">
        <f>SUMPRODUCT('2026_Мустафин'!$J$6:$J$35,'2026_Мустафин'!FU6:FU35)</f>
        <v/>
      </c>
      <c r="DG3" s="194">
        <f>SUMPRODUCT('2026_Мустафин'!$J$6:$J$35,'2026_Мустафин'!FV6:FV35)</f>
        <v/>
      </c>
      <c r="DH3" s="194">
        <f>SUMPRODUCT('2026_Мустафин'!$J$6:$J$35,'2026_Мустафин'!FW6:FW35)</f>
        <v/>
      </c>
      <c r="DI3" s="195">
        <f>SUMPRODUCT('2026_Мустафин'!$J$6:$J$35,'2026_Мустафин'!FX6:FX35)</f>
        <v/>
      </c>
      <c r="DJ3" s="194">
        <f>SUMPRODUCT('2026_Мустафин'!$J$6:$J$35,'2026_Мустафин'!FY6:FY35)</f>
        <v/>
      </c>
      <c r="DK3" s="194">
        <f>SUMPRODUCT('2026_Мустафин'!$J$6:$J$35,'2026_Мустафин'!FZ6:FZ35)</f>
        <v/>
      </c>
    </row>
    <row r="4">
      <c r="A4" s="192" t="inlineStr">
        <is>
          <t>ТЗА</t>
        </is>
      </c>
      <c r="B4" s="194">
        <f>SUMPRODUCT('2026_Мустафин'!$J$37:$J$94,'2026_Мустафин'!BQ37:BQ94)</f>
        <v/>
      </c>
      <c r="C4" s="194">
        <f>SUMPRODUCT('2026_Мустафин'!$J$37:$J$94,'2026_Мустафин'!BR37:BR94)</f>
        <v/>
      </c>
      <c r="D4" s="194">
        <f>SUMPRODUCT('2026_Мустафин'!$J$37:$J$94,'2026_Мустафин'!BS37:BS94)</f>
        <v/>
      </c>
      <c r="E4" s="194">
        <f>SUMPRODUCT('2026_Мустафин'!$J$37:$J$94,'2026_Мустафин'!BT37:BT94)</f>
        <v/>
      </c>
      <c r="F4" s="194">
        <f>SUMPRODUCT('2026_Мустафин'!$J$37:$J$94,'2026_Мустафин'!BU37:BU94)</f>
        <v/>
      </c>
      <c r="G4" s="194">
        <f>SUMPRODUCT('2026_Мустафин'!$J$37:$J$94,'2026_Мустафин'!BV37:BV94)</f>
        <v/>
      </c>
      <c r="H4" s="194">
        <f>SUMPRODUCT('2026_Мустафин'!$J$37:$J$94,'2026_Мустафин'!BW37:BW94)</f>
        <v/>
      </c>
      <c r="I4" s="194">
        <f>SUMPRODUCT('2026_Мустафин'!$J$37:$J$94,'2026_Мустафин'!BX37:BX94)</f>
        <v/>
      </c>
      <c r="J4" s="194">
        <f>SUMPRODUCT('2026_Мустафин'!$J$37:$J$94,'2026_Мустафин'!BY37:BY94)</f>
        <v/>
      </c>
      <c r="K4" s="194">
        <f>SUMPRODUCT('2026_Мустафин'!$J$37:$J$94,'2026_Мустафин'!BZ37:BZ94)</f>
        <v/>
      </c>
      <c r="L4" s="194">
        <f>SUMPRODUCT('2026_Мустафин'!$J$37:$J$94,'2026_Мустафин'!CA37:CA94)</f>
        <v/>
      </c>
      <c r="M4" s="194">
        <f>SUMPRODUCT('2026_Мустафин'!$J$37:$J$94,'2026_Мустафин'!CB37:CB94)</f>
        <v/>
      </c>
      <c r="N4" s="194">
        <f>SUMPRODUCT('2026_Мустафин'!$J$37:$J$94,'2026_Мустафин'!CC37:CC94)</f>
        <v/>
      </c>
      <c r="O4" s="194">
        <f>SUMPRODUCT('2026_Мустафин'!$J$37:$J$94,'2026_Мустафин'!CD37:CD94)</f>
        <v/>
      </c>
      <c r="P4" s="194">
        <f>SUMPRODUCT('2026_Мустафин'!$J$37:$J$94,'2026_Мустафин'!CE37:CE94)</f>
        <v/>
      </c>
      <c r="Q4" s="194">
        <f>SUMPRODUCT('2026_Мустафин'!$J$37:$J$94,'2026_Мустафин'!CF37:CF94)</f>
        <v/>
      </c>
      <c r="R4" s="194">
        <f>SUMPRODUCT('2026_Мустафин'!$J$37:$J$94,'2026_Мустафин'!CG37:CG94)</f>
        <v/>
      </c>
      <c r="S4" s="194">
        <f>SUMPRODUCT('2026_Мустафин'!$J$37:$J$94,'2026_Мустафин'!CH37:CH94)</f>
        <v/>
      </c>
      <c r="T4" s="194">
        <f>SUMPRODUCT('2026_Мустафин'!$J$37:$J$94,'2026_Мустафин'!CI37:CI94)</f>
        <v/>
      </c>
      <c r="U4" s="194">
        <f>SUMPRODUCT('2026_Мустафин'!$J$37:$J$94,'2026_Мустафин'!CJ37:CJ94)</f>
        <v/>
      </c>
      <c r="V4" s="194">
        <f>SUMPRODUCT('2026_Мустафин'!$J$37:$J$94,'2026_Мустафин'!CK37:CK94)</f>
        <v/>
      </c>
      <c r="W4" s="194">
        <f>SUMPRODUCT('2026_Мустафин'!$J$37:$J$94,'2026_Мустафин'!CL37:CL94)</f>
        <v/>
      </c>
      <c r="X4" s="194">
        <f>SUMPRODUCT('2026_Мустафин'!$J$37:$J$94,'2026_Мустафин'!CM37:CM94)</f>
        <v/>
      </c>
      <c r="Y4" s="194">
        <f>SUMPRODUCT('2026_Мустафин'!$J$37:$J$94,'2026_Мустафин'!CN37:CN94)</f>
        <v/>
      </c>
      <c r="Z4" s="194">
        <f>SUMPRODUCT('2026_Мустафин'!$J$37:$J$94,'2026_Мустафин'!CO37:CO94)</f>
        <v/>
      </c>
      <c r="AA4" s="194">
        <f>SUMPRODUCT('2026_Мустафин'!$J$37:$J$94,'2026_Мустафин'!CP37:CP94)</f>
        <v/>
      </c>
      <c r="AB4" s="194">
        <f>SUMPRODUCT('2026_Мустафин'!$J$37:$J$94,'2026_Мустафин'!CQ37:CQ94)</f>
        <v/>
      </c>
      <c r="AC4" s="194">
        <f>SUMPRODUCT('2026_Мустафин'!$J$37:$J$94,'2026_Мустафин'!CR37:CR94)</f>
        <v/>
      </c>
      <c r="AD4" s="194">
        <f>SUMPRODUCT('2026_Мустафин'!$J$37:$J$94,'2026_Мустафин'!CS37:CS94)</f>
        <v/>
      </c>
      <c r="AE4" s="194">
        <f>SUMPRODUCT('2026_Мустафин'!$J$37:$J$94,'2026_Мустафин'!CT37:CT94)</f>
        <v/>
      </c>
      <c r="AF4" s="194">
        <f>SUMPRODUCT('2026_Мустафин'!$J$37:$J$94,'2026_Мустафин'!CU37:CU94)</f>
        <v/>
      </c>
      <c r="AG4" s="194">
        <f>SUMPRODUCT('2026_Мустафин'!$J$37:$J$94,'2026_Мустафин'!CV37:CV94)</f>
        <v/>
      </c>
      <c r="AH4" s="194">
        <f>SUMPRODUCT('2026_Мустафин'!$J$37:$J$94,'2026_Мустафин'!CW37:CW94)</f>
        <v/>
      </c>
      <c r="AI4" s="194">
        <f>SUMPRODUCT('2026_Мустафин'!$J$37:$J$94,'2026_Мустафин'!CX37:CX94)</f>
        <v/>
      </c>
      <c r="AJ4" s="194">
        <f>SUMPRODUCT('2026_Мустафин'!$J$37:$J$94,'2026_Мустафин'!CY37:CY94)</f>
        <v/>
      </c>
      <c r="AK4" s="194">
        <f>SUMPRODUCT('2026_Мустафин'!$J$37:$J$94,'2026_Мустафин'!CZ37:CZ94)</f>
        <v/>
      </c>
      <c r="AL4" s="194">
        <f>SUMPRODUCT('2026_Мустафин'!$J$37:$J$94,'2026_Мустафин'!DA37:DA94)</f>
        <v/>
      </c>
      <c r="AM4" s="194">
        <f>SUMPRODUCT('2026_Мустафин'!$J$37:$J$94,'2026_Мустафин'!DB37:DB94)</f>
        <v/>
      </c>
      <c r="AN4" s="194">
        <f>SUMPRODUCT('2026_Мустафин'!$J$37:$J$94,'2026_Мустафин'!DC37:DC94)</f>
        <v/>
      </c>
      <c r="AO4" s="194">
        <f>SUMPRODUCT('2026_Мустафин'!$J$37:$J$94,'2026_Мустафин'!DD37:DD94)</f>
        <v/>
      </c>
      <c r="AP4" s="194">
        <f>SUMPRODUCT('2026_Мустафин'!$J$37:$J$94,'2026_Мустафин'!DE37:DE94)</f>
        <v/>
      </c>
      <c r="AQ4" s="194">
        <f>SUMPRODUCT('2026_Мустафин'!$J$37:$J$94,'2026_Мустафин'!DF37:DF94)</f>
        <v/>
      </c>
      <c r="AR4" s="194">
        <f>SUMPRODUCT('2026_Мустафин'!$J$37:$J$94,'2026_Мустафин'!DG37:DG94)</f>
        <v/>
      </c>
      <c r="AS4" s="194">
        <f>SUMPRODUCT('2026_Мустафин'!$J$37:$J$94,'2026_Мустафин'!DH37:DH94)</f>
        <v/>
      </c>
      <c r="AT4" s="194">
        <f>SUMPRODUCT('2026_Мустафин'!$J$37:$J$94,'2026_Мустафин'!DI37:DI94)</f>
        <v/>
      </c>
      <c r="AU4" s="194">
        <f>SUMPRODUCT('2026_Мустафин'!$J$37:$J$94,'2026_Мустафин'!DJ37:DJ94)</f>
        <v/>
      </c>
      <c r="AV4" s="194">
        <f>SUMPRODUCT('2026_Мустафин'!$J$37:$J$94,'2026_Мустафин'!DK37:DK94)</f>
        <v/>
      </c>
      <c r="AW4" s="194">
        <f>SUMPRODUCT('2026_Мустафин'!$J$37:$J$94,'2026_Мустафин'!DL37:DL94)</f>
        <v/>
      </c>
      <c r="AX4" s="194">
        <f>SUMPRODUCT('2026_Мустафин'!$J$37:$J$94,'2026_Мустафин'!DM37:DM94)</f>
        <v/>
      </c>
      <c r="AY4" s="194">
        <f>SUMPRODUCT('2026_Мустафин'!$J$37:$J$94,'2026_Мустафин'!DN37:DN94)</f>
        <v/>
      </c>
      <c r="AZ4" s="194">
        <f>SUMPRODUCT('2026_Мустафин'!$J$37:$J$94,'2026_Мустафин'!DO37:DO94)</f>
        <v/>
      </c>
      <c r="BA4" s="194">
        <f>SUMPRODUCT('2026_Мустафин'!$J$37:$J$94,'2026_Мустафин'!DP37:DP94)</f>
        <v/>
      </c>
      <c r="BB4" s="194">
        <f>SUMPRODUCT('2026_Мустафин'!$J$37:$J$94,'2026_Мустафин'!DQ37:DQ94)</f>
        <v/>
      </c>
      <c r="BC4" s="194">
        <f>SUMPRODUCT('2026_Мустафин'!$J$37:$J$94,'2026_Мустафин'!DR37:DR94)</f>
        <v/>
      </c>
      <c r="BD4" s="194">
        <f>SUMPRODUCT('2026_Мустафин'!$J$37:$J$94,'2026_Мустафин'!DS37:DS94)</f>
        <v/>
      </c>
      <c r="BE4" s="194">
        <f>SUMPRODUCT('2026_Мустафин'!$J$37:$J$94,'2026_Мустафин'!DT37:DT94)</f>
        <v/>
      </c>
      <c r="BF4" s="194">
        <f>SUMPRODUCT('2026_Мустафин'!$J$37:$J$94,'2026_Мустафин'!DU37:DU94)</f>
        <v/>
      </c>
      <c r="BG4" s="194">
        <f>SUMPRODUCT('2026_Мустафин'!$J$37:$J$94,'2026_Мустафин'!DV37:DV94)</f>
        <v/>
      </c>
      <c r="BH4" s="194">
        <f>SUMPRODUCT('2026_Мустафин'!$J$37:$J$94,'2026_Мустафин'!DW37:DW94)</f>
        <v/>
      </c>
      <c r="BI4" s="194">
        <f>SUMPRODUCT('2026_Мустафин'!$J$37:$J$94,'2026_Мустафин'!DX37:DX94)</f>
        <v/>
      </c>
      <c r="BJ4" s="194">
        <f>SUMPRODUCT('2026_Мустафин'!$J$37:$J$94,'2026_Мустафин'!DY37:DY94)</f>
        <v/>
      </c>
      <c r="BK4" s="194">
        <f>SUMPRODUCT('2026_Мустафин'!$J$37:$J$94,'2026_Мустафин'!DZ37:DZ94)</f>
        <v/>
      </c>
      <c r="BL4" s="194">
        <f>SUMPRODUCT('2026_Мустафин'!$J$37:$J$94,'2026_Мустафин'!EA37:EA94)</f>
        <v/>
      </c>
      <c r="BM4" s="194">
        <f>SUMPRODUCT('2026_Мустафин'!$J$37:$J$94,'2026_Мустафин'!EB37:EB94)</f>
        <v/>
      </c>
      <c r="BN4" s="194">
        <f>SUMPRODUCT('2026_Мустафин'!$J$37:$J$94,'2026_Мустафин'!EC37:EC94)</f>
        <v/>
      </c>
      <c r="BO4" s="194">
        <f>SUMPRODUCT('2026_Мустафин'!$J$37:$J$94,'2026_Мустафин'!ED37:ED94)</f>
        <v/>
      </c>
      <c r="BP4" s="194">
        <f>SUMPRODUCT('2026_Мустафин'!$J$37:$J$94,'2026_Мустафин'!EE37:EE94)</f>
        <v/>
      </c>
      <c r="BQ4" s="195">
        <f>SUMPRODUCT('2026_Мустафин'!$J$37:$J$94,'2026_Мустафин'!EF37:EF94)</f>
        <v/>
      </c>
      <c r="BR4" s="194">
        <f>SUMPRODUCT('2026_Мустафин'!$J$37:$J$94,'2026_Мустафин'!EG37:EG94)</f>
        <v/>
      </c>
      <c r="BS4" s="194">
        <f>SUMPRODUCT('2026_Мустафин'!$J$37:$J$94,'2026_Мустафин'!EH37:EH94)</f>
        <v/>
      </c>
      <c r="BT4" s="194">
        <f>SUMPRODUCT('2026_Мустафин'!$J$37:$J$94,'2026_Мустафин'!EI37:EI94)</f>
        <v/>
      </c>
      <c r="BU4" s="195">
        <f>SUMPRODUCT('2026_Мустафин'!$J$37:$J$94,'2026_Мустафин'!EJ37:EJ94)</f>
        <v/>
      </c>
      <c r="BV4" s="194">
        <f>SUMPRODUCT('2026_Мустафин'!$J$37:$J$94,'2026_Мустафин'!EK37:EK94)</f>
        <v/>
      </c>
      <c r="BW4" s="194">
        <f>SUMPRODUCT('2026_Мустафин'!$J$37:$J$94,'2026_Мустафин'!EL37:EL94)</f>
        <v/>
      </c>
      <c r="BX4" s="194">
        <f>SUMPRODUCT('2026_Мустафин'!$J$37:$J$94,'2026_Мустафин'!EM37:EM94)</f>
        <v/>
      </c>
      <c r="BY4" s="195">
        <f>SUMPRODUCT('2026_Мустафин'!$J$37:$J$94,'2026_Мустафин'!EN37:EN94)</f>
        <v/>
      </c>
      <c r="BZ4" s="194">
        <f>SUMPRODUCT('2026_Мустафин'!$J$37:$J$94,'2026_Мустафин'!EO37:EO94)</f>
        <v/>
      </c>
      <c r="CA4" s="194">
        <f>SUMPRODUCT('2026_Мустафин'!$J$37:$J$94,'2026_Мустафин'!EP37:EP94)</f>
        <v/>
      </c>
      <c r="CB4" s="194">
        <f>SUMPRODUCT('2026_Мустафин'!$J$37:$J$94,'2026_Мустафин'!EQ37:EQ94)</f>
        <v/>
      </c>
      <c r="CC4" s="195">
        <f>SUMPRODUCT('2026_Мустафин'!$J$37:$J$94,'2026_Мустафин'!ER37:ER94)</f>
        <v/>
      </c>
      <c r="CD4" s="194">
        <f>SUMPRODUCT('2026_Мустафин'!$J$37:$J$94,'2026_Мустафин'!ES37:ES94)</f>
        <v/>
      </c>
      <c r="CE4" s="194">
        <f>SUMPRODUCT('2026_Мустафин'!$J$37:$J$94,'2026_Мустафин'!ET37:ET94)</f>
        <v/>
      </c>
      <c r="CF4" s="194">
        <f>SUMPRODUCT('2026_Мустафин'!$J$37:$J$94,'2026_Мустафин'!EU37:EU94)</f>
        <v/>
      </c>
      <c r="CG4" s="195">
        <f>SUMPRODUCT('2026_Мустафин'!$J$37:$J$94,'2026_Мустафин'!EV37:EV94)</f>
        <v/>
      </c>
      <c r="CH4" s="194">
        <f>SUMPRODUCT('2026_Мустафин'!$J$37:$J$94,'2026_Мустафин'!EW37:EW94)</f>
        <v/>
      </c>
      <c r="CI4" s="194">
        <f>SUMPRODUCT('2026_Мустафин'!$J$37:$J$94,'2026_Мустафин'!EX37:EX94)</f>
        <v/>
      </c>
      <c r="CJ4" s="194">
        <f>SUMPRODUCT('2026_Мустафин'!$J$37:$J$94,'2026_Мустафин'!EY37:EY94)</f>
        <v/>
      </c>
      <c r="CK4" s="195">
        <f>SUMPRODUCT('2026_Мустафин'!$J$37:$J$94,'2026_Мустафин'!EZ37:EZ94)</f>
        <v/>
      </c>
      <c r="CL4" s="194">
        <f>SUMPRODUCT('2026_Мустафин'!$J$37:$J$94,'2026_Мустафин'!FA37:FA94)</f>
        <v/>
      </c>
      <c r="CM4" s="194">
        <f>SUMPRODUCT('2026_Мустафин'!$J$37:$J$94,'2026_Мустафин'!FB37:FB94)</f>
        <v/>
      </c>
      <c r="CN4" s="194">
        <f>SUMPRODUCT('2026_Мустафин'!$J$37:$J$94,'2026_Мустафин'!FC37:FC94)</f>
        <v/>
      </c>
      <c r="CO4" s="195">
        <f>SUMPRODUCT('2026_Мустафин'!$J$37:$J$94,'2026_Мустафин'!FD37:FD94)</f>
        <v/>
      </c>
      <c r="CP4" s="194">
        <f>SUMPRODUCT('2026_Мустафин'!$J$37:$J$94,'2026_Мустафин'!FE37:FE94)</f>
        <v/>
      </c>
      <c r="CQ4" s="194">
        <f>SUMPRODUCT('2026_Мустафин'!$J$37:$J$94,'2026_Мустафин'!FF37:FF94)</f>
        <v/>
      </c>
      <c r="CR4" s="194">
        <f>SUMPRODUCT('2026_Мустафин'!$J$37:$J$94,'2026_Мустафин'!FG37:FG94)</f>
        <v/>
      </c>
      <c r="CS4" s="195">
        <f>SUMPRODUCT('2026_Мустафин'!$J$37:$J$94,'2026_Мустафин'!FH37:FH94)</f>
        <v/>
      </c>
      <c r="CT4" s="194">
        <f>SUMPRODUCT('2026_Мустафин'!$J$37:$J$94,'2026_Мустафин'!FI37:FI94)</f>
        <v/>
      </c>
      <c r="CU4" s="194">
        <f>SUMPRODUCT('2026_Мустафин'!$J$37:$J$94,'2026_Мустафин'!FJ37:FJ94)</f>
        <v/>
      </c>
      <c r="CV4" s="194">
        <f>SUMPRODUCT('2026_Мустафин'!$J$37:$J$94,'2026_Мустафин'!FK37:FK94)</f>
        <v/>
      </c>
      <c r="CW4" s="195">
        <f>SUMPRODUCT('2026_Мустафин'!$J$37:$J$94,'2026_Мустафин'!FL37:FL94)</f>
        <v/>
      </c>
      <c r="CX4" s="194">
        <f>SUMPRODUCT('2026_Мустафин'!$J$37:$J$94,'2026_Мустафин'!FM37:FM94)</f>
        <v/>
      </c>
      <c r="CY4" s="194">
        <f>SUMPRODUCT('2026_Мустафин'!$J$37:$J$94,'2026_Мустафин'!FN37:FN94)</f>
        <v/>
      </c>
      <c r="CZ4" s="194">
        <f>SUMPRODUCT('2026_Мустафин'!$J$37:$J$94,'2026_Мустафин'!FO37:FO94)</f>
        <v/>
      </c>
      <c r="DA4" s="195">
        <f>SUMPRODUCT('2026_Мустафин'!$J$37:$J$94,'2026_Мустафин'!FP37:FP94)</f>
        <v/>
      </c>
      <c r="DB4" s="194">
        <f>SUMPRODUCT('2026_Мустафин'!$J$37:$J$94,'2026_Мустафин'!FQ37:FQ94)</f>
        <v/>
      </c>
      <c r="DC4" s="194">
        <f>SUMPRODUCT('2026_Мустафин'!$J$37:$J$94,'2026_Мустафин'!FR37:FR94)</f>
        <v/>
      </c>
      <c r="DD4" s="194">
        <f>SUMPRODUCT('2026_Мустафин'!$J$37:$J$94,'2026_Мустафин'!FS37:FS94)</f>
        <v/>
      </c>
      <c r="DE4" s="195">
        <f>SUMPRODUCT('2026_Мустафин'!$J$37:$J$94,'2026_Мустафин'!FT37:FT94)</f>
        <v/>
      </c>
      <c r="DF4" s="194">
        <f>SUMPRODUCT('2026_Мустафин'!$J$37:$J$94,'2026_Мустафин'!FU37:FU94)</f>
        <v/>
      </c>
      <c r="DG4" s="194">
        <f>SUMPRODUCT('2026_Мустафин'!$J$37:$J$94,'2026_Мустафин'!FV37:FV94)</f>
        <v/>
      </c>
      <c r="DH4" s="194">
        <f>SUMPRODUCT('2026_Мустафин'!$J$37:$J$94,'2026_Мустафин'!FW37:FW94)</f>
        <v/>
      </c>
      <c r="DI4" s="195">
        <f>SUMPRODUCT('2026_Мустафин'!$J$37:$J$94,'2026_Мустафин'!FX37:FX94)</f>
        <v/>
      </c>
      <c r="DJ4" s="194">
        <f>SUMPRODUCT('2026_Мустафин'!$J$37:$J$94,'2026_Мустафин'!FY37:FY94)</f>
        <v/>
      </c>
      <c r="DK4" s="194">
        <f>SUMPRODUCT('2026_Мустафин'!$J$37:$J$94,'2026_Мустафин'!FZ37:FZ94)</f>
        <v/>
      </c>
    </row>
    <row r="5">
      <c r="A5" s="192" t="inlineStr">
        <is>
          <t>Спецавтокам</t>
        </is>
      </c>
      <c r="B5" s="194">
        <f>SUMPRODUCT('2026_Мустафин'!$J$96:$J$107,'2026_Мустафин'!BQ96:BQ107)</f>
        <v/>
      </c>
      <c r="C5" s="194">
        <f>SUMPRODUCT('2026_Мустафин'!$J$96:$J$107,'2026_Мустафин'!BR96:BR107)</f>
        <v/>
      </c>
      <c r="D5" s="194">
        <f>SUMPRODUCT('2026_Мустафин'!$J$96:$J$107,'2026_Мустафин'!BS96:BS107)</f>
        <v/>
      </c>
      <c r="E5" s="194">
        <f>SUMPRODUCT('2026_Мустафин'!$J$96:$J$107,'2026_Мустафин'!BT96:BT107)</f>
        <v/>
      </c>
      <c r="F5" s="194">
        <f>SUMPRODUCT('2026_Мустафин'!$J$96:$J$107,'2026_Мустафин'!BU96:BU107)</f>
        <v/>
      </c>
      <c r="G5" s="194">
        <f>SUMPRODUCT('2026_Мустафин'!$J$96:$J$107,'2026_Мустафин'!BV96:BV107)</f>
        <v/>
      </c>
      <c r="H5" s="194">
        <f>SUMPRODUCT('2026_Мустафин'!$J$96:$J$107,'2026_Мустафин'!BW96:BW107)</f>
        <v/>
      </c>
      <c r="I5" s="194">
        <f>SUMPRODUCT('2026_Мустафин'!$J$96:$J$107,'2026_Мустафин'!BX96:BX107)</f>
        <v/>
      </c>
      <c r="J5" s="194">
        <f>SUMPRODUCT('2026_Мустафин'!$J$96:$J$107,'2026_Мустафин'!BY96:BY107)</f>
        <v/>
      </c>
      <c r="K5" s="194">
        <f>SUMPRODUCT('2026_Мустафин'!$J$96:$J$107,'2026_Мустафин'!BZ96:BZ107)</f>
        <v/>
      </c>
      <c r="L5" s="194">
        <f>SUMPRODUCT('2026_Мустафин'!$J$96:$J$107,'2026_Мустафин'!CA96:CA107)</f>
        <v/>
      </c>
      <c r="M5" s="194">
        <f>SUMPRODUCT('2026_Мустафин'!$J$96:$J$107,'2026_Мустафин'!CB96:CB107)</f>
        <v/>
      </c>
      <c r="N5" s="194">
        <f>SUMPRODUCT('2026_Мустафин'!$J$96:$J$107,'2026_Мустафин'!CC96:CC107)</f>
        <v/>
      </c>
      <c r="O5" s="194">
        <f>SUMPRODUCT('2026_Мустафин'!$J$96:$J$107,'2026_Мустафин'!CD96:CD107)</f>
        <v/>
      </c>
      <c r="P5" s="194">
        <f>SUMPRODUCT('2026_Мустафин'!$J$96:$J$107,'2026_Мустафин'!CE96:CE107)</f>
        <v/>
      </c>
      <c r="Q5" s="194">
        <f>SUMPRODUCT('2026_Мустафин'!$J$96:$J$107,'2026_Мустафин'!CF96:CF107)</f>
        <v/>
      </c>
      <c r="R5" s="194">
        <f>SUMPRODUCT('2026_Мустафин'!$J$96:$J$107,'2026_Мустафин'!CG96:CG107)</f>
        <v/>
      </c>
      <c r="S5" s="194">
        <f>SUMPRODUCT('2026_Мустафин'!$J$96:$J$107,'2026_Мустафин'!CH96:CH107)</f>
        <v/>
      </c>
      <c r="T5" s="194">
        <f>SUMPRODUCT('2026_Мустафин'!$J$96:$J$107,'2026_Мустафин'!CI96:CI107)</f>
        <v/>
      </c>
      <c r="U5" s="194">
        <f>SUMPRODUCT('2026_Мустафин'!$J$96:$J$107,'2026_Мустафин'!CJ96:CJ107)</f>
        <v/>
      </c>
      <c r="V5" s="194">
        <f>SUMPRODUCT('2026_Мустафин'!$J$96:$J$107,'2026_Мустафин'!CK96:CK107)</f>
        <v/>
      </c>
      <c r="W5" s="194">
        <f>SUMPRODUCT('2026_Мустафин'!$J$96:$J$107,'2026_Мустафин'!CL96:CL107)</f>
        <v/>
      </c>
      <c r="X5" s="194">
        <f>SUMPRODUCT('2026_Мустафин'!$J$96:$J$107,'2026_Мустафин'!CM96:CM107)</f>
        <v/>
      </c>
      <c r="Y5" s="194">
        <f>SUMPRODUCT('2026_Мустафин'!$J$96:$J$107,'2026_Мустафин'!CN96:CN107)</f>
        <v/>
      </c>
      <c r="Z5" s="194">
        <f>SUMPRODUCT('2026_Мустафин'!$J$96:$J$107,'2026_Мустафин'!CO96:CO107)</f>
        <v/>
      </c>
      <c r="AA5" s="194">
        <f>SUMPRODUCT('2026_Мустафин'!$J$96:$J$107,'2026_Мустафин'!CP96:CP107)</f>
        <v/>
      </c>
      <c r="AB5" s="194">
        <f>SUMPRODUCT('2026_Мустафин'!$J$96:$J$107,'2026_Мустафин'!CQ96:CQ107)</f>
        <v/>
      </c>
      <c r="AC5" s="194">
        <f>SUMPRODUCT('2026_Мустафин'!$J$96:$J$107,'2026_Мустафин'!CR96:CR107)</f>
        <v/>
      </c>
      <c r="AD5" s="194">
        <f>SUMPRODUCT('2026_Мустафин'!$J$96:$J$107,'2026_Мустафин'!CS96:CS107)</f>
        <v/>
      </c>
      <c r="AE5" s="194">
        <f>SUMPRODUCT('2026_Мустафин'!$J$96:$J$107,'2026_Мустафин'!CT96:CT107)</f>
        <v/>
      </c>
      <c r="AF5" s="194">
        <f>SUMPRODUCT('2026_Мустафин'!$J$96:$J$107,'2026_Мустафин'!CU96:CU107)</f>
        <v/>
      </c>
      <c r="AG5" s="194">
        <f>SUMPRODUCT('2026_Мустафин'!$J$96:$J$107,'2026_Мустафин'!CV96:CV107)</f>
        <v/>
      </c>
      <c r="AH5" s="194">
        <f>SUMPRODUCT('2026_Мустафин'!$J$96:$J$107,'2026_Мустафин'!CW96:CW107)</f>
        <v/>
      </c>
      <c r="AI5" s="194">
        <f>SUMPRODUCT('2026_Мустафин'!$J$96:$J$107,'2026_Мустафин'!CX96:CX107)</f>
        <v/>
      </c>
      <c r="AJ5" s="194">
        <f>SUMPRODUCT('2026_Мустафин'!$J$96:$J$107,'2026_Мустафин'!CY96:CY107)</f>
        <v/>
      </c>
      <c r="AK5" s="194">
        <f>SUMPRODUCT('2026_Мустафин'!$J$96:$J$107,'2026_Мустафин'!CZ96:CZ107)</f>
        <v/>
      </c>
      <c r="AL5" s="194">
        <f>SUMPRODUCT('2026_Мустафин'!$J$96:$J$107,'2026_Мустафин'!DA96:DA107)</f>
        <v/>
      </c>
      <c r="AM5" s="194">
        <f>SUMPRODUCT('2026_Мустафин'!$J$96:$J$107,'2026_Мустафин'!DB96:DB107)</f>
        <v/>
      </c>
      <c r="AN5" s="194">
        <f>SUMPRODUCT('2026_Мустафин'!$J$96:$J$107,'2026_Мустафин'!DC96:DC107)</f>
        <v/>
      </c>
      <c r="AO5" s="194">
        <f>SUMPRODUCT('2026_Мустафин'!$J$96:$J$107,'2026_Мустафин'!DD96:DD107)</f>
        <v/>
      </c>
      <c r="AP5" s="194">
        <f>SUMPRODUCT('2026_Мустафин'!$J$96:$J$107,'2026_Мустафин'!DE96:DE107)</f>
        <v/>
      </c>
      <c r="AQ5" s="194">
        <f>SUMPRODUCT('2026_Мустафин'!$J$96:$J$107,'2026_Мустафин'!DF96:DF107)</f>
        <v/>
      </c>
      <c r="AR5" s="194">
        <f>SUMPRODUCT('2026_Мустафин'!$J$96:$J$107,'2026_Мустафин'!DG96:DG107)</f>
        <v/>
      </c>
      <c r="AS5" s="194">
        <f>SUMPRODUCT('2026_Мустафин'!$J$96:$J$107,'2026_Мустафин'!DH96:DH107)</f>
        <v/>
      </c>
      <c r="AT5" s="194">
        <f>SUMPRODUCT('2026_Мустафин'!$J$96:$J$107,'2026_Мустафин'!DI96:DI107)</f>
        <v/>
      </c>
      <c r="AU5" s="194">
        <f>SUMPRODUCT('2026_Мустафин'!$J$96:$J$107,'2026_Мустафин'!DJ96:DJ107)</f>
        <v/>
      </c>
      <c r="AV5" s="194">
        <f>SUMPRODUCT('2026_Мустафин'!$J$96:$J$107,'2026_Мустафин'!DK96:DK107)</f>
        <v/>
      </c>
      <c r="AW5" s="194">
        <f>SUMPRODUCT('2026_Мустафин'!$J$96:$J$107,'2026_Мустафин'!DL96:DL107)</f>
        <v/>
      </c>
      <c r="AX5" s="194">
        <f>SUMPRODUCT('2026_Мустафин'!$J$96:$J$107,'2026_Мустафин'!DM96:DM107)</f>
        <v/>
      </c>
      <c r="AY5" s="194">
        <f>SUMPRODUCT('2026_Мустафин'!$J$96:$J$107,'2026_Мустафин'!DN96:DN107)</f>
        <v/>
      </c>
      <c r="AZ5" s="194">
        <f>SUMPRODUCT('2026_Мустафин'!$J$96:$J$107,'2026_Мустафин'!DO96:DO107)</f>
        <v/>
      </c>
      <c r="BA5" s="194">
        <f>SUMPRODUCT('2026_Мустафин'!$J$96:$J$107,'2026_Мустафин'!DP96:DP107)</f>
        <v/>
      </c>
      <c r="BB5" s="194">
        <f>SUMPRODUCT('2026_Мустафин'!$J$96:$J$107,'2026_Мустафин'!DQ96:DQ107)</f>
        <v/>
      </c>
      <c r="BC5" s="194">
        <f>SUMPRODUCT('2026_Мустафин'!$J$96:$J$107,'2026_Мустафин'!DR96:DR107)</f>
        <v/>
      </c>
      <c r="BD5" s="194">
        <f>SUMPRODUCT('2026_Мустафин'!$J$96:$J$107,'2026_Мустафин'!DS96:DS107)</f>
        <v/>
      </c>
      <c r="BE5" s="194">
        <f>SUMPRODUCT('2026_Мустафин'!$J$96:$J$107,'2026_Мустафин'!DT96:DT107)</f>
        <v/>
      </c>
      <c r="BF5" s="194">
        <f>SUMPRODUCT('2026_Мустафин'!$J$96:$J$107,'2026_Мустафин'!DU96:DU107)</f>
        <v/>
      </c>
      <c r="BG5" s="194">
        <f>SUMPRODUCT('2026_Мустафин'!$J$96:$J$107,'2026_Мустафин'!DV96:DV107)</f>
        <v/>
      </c>
      <c r="BH5" s="194">
        <f>SUMPRODUCT('2026_Мустафин'!$J$96:$J$107,'2026_Мустафин'!DW96:DW107)</f>
        <v/>
      </c>
      <c r="BI5" s="194">
        <f>SUMPRODUCT('2026_Мустафин'!$J$96:$J$107,'2026_Мустафин'!DX96:DX107)</f>
        <v/>
      </c>
      <c r="BJ5" s="194">
        <f>SUMPRODUCT('2026_Мустафин'!$J$96:$J$107,'2026_Мустафин'!DY96:DY107)</f>
        <v/>
      </c>
      <c r="BK5" s="194">
        <f>SUMPRODUCT('2026_Мустафин'!$J$96:$J$107,'2026_Мустафин'!DZ96:DZ107)</f>
        <v/>
      </c>
      <c r="BL5" s="194">
        <f>SUMPRODUCT('2026_Мустафин'!$J$96:$J$107,'2026_Мустафин'!EA96:EA107)</f>
        <v/>
      </c>
      <c r="BM5" s="194">
        <f>SUMPRODUCT('2026_Мустафин'!$J$96:$J$107,'2026_Мустафин'!EB96:EB107)</f>
        <v/>
      </c>
      <c r="BN5" s="194">
        <f>SUMPRODUCT('2026_Мустафин'!$J$96:$J$107,'2026_Мустафин'!EC96:EC107)</f>
        <v/>
      </c>
      <c r="BO5" s="194">
        <f>SUMPRODUCT('2026_Мустафин'!$J$96:$J$107,'2026_Мустафин'!ED96:ED107)</f>
        <v/>
      </c>
      <c r="BP5" s="194">
        <f>SUMPRODUCT('2026_Мустафин'!$J$96:$J$107,'2026_Мустафин'!EE96:EE107)</f>
        <v/>
      </c>
      <c r="BQ5" s="195">
        <f>SUMPRODUCT('2026_Мустафин'!$J$96:$J$107,'2026_Мустафин'!EF96:EF107)</f>
        <v/>
      </c>
      <c r="BR5" s="194">
        <f>SUMPRODUCT('2026_Мустафин'!$J$96:$J$107,'2026_Мустафин'!EG96:EG107)</f>
        <v/>
      </c>
      <c r="BS5" s="194">
        <f>SUMPRODUCT('2026_Мустафин'!$J$96:$J$107,'2026_Мустафин'!EH96:EH107)</f>
        <v/>
      </c>
      <c r="BT5" s="194">
        <f>SUMPRODUCT('2026_Мустафин'!$J$96:$J$107,'2026_Мустафин'!EI96:EI107)</f>
        <v/>
      </c>
      <c r="BU5" s="195">
        <f>SUMPRODUCT('2026_Мустафин'!$J$96:$J$107,'2026_Мустафин'!EJ96:EJ107)</f>
        <v/>
      </c>
      <c r="BV5" s="194">
        <f>SUMPRODUCT('2026_Мустафин'!$J$96:$J$107,'2026_Мустафин'!EK96:EK107)</f>
        <v/>
      </c>
      <c r="BW5" s="194">
        <f>SUMPRODUCT('2026_Мустафин'!$J$96:$J$107,'2026_Мустафин'!EL96:EL107)</f>
        <v/>
      </c>
      <c r="BX5" s="194">
        <f>SUMPRODUCT('2026_Мустафин'!$J$96:$J$107,'2026_Мустафин'!EM96:EM107)</f>
        <v/>
      </c>
      <c r="BY5" s="195">
        <f>SUMPRODUCT('2026_Мустафин'!$J$96:$J$107,'2026_Мустафин'!EN96:EN107)</f>
        <v/>
      </c>
      <c r="BZ5" s="194">
        <f>SUMPRODUCT('2026_Мустафин'!$J$96:$J$107,'2026_Мустафин'!EO96:EO107)</f>
        <v/>
      </c>
      <c r="CA5" s="194">
        <f>SUMPRODUCT('2026_Мустафин'!$J$96:$J$107,'2026_Мустафин'!EP96:EP107)</f>
        <v/>
      </c>
      <c r="CB5" s="194">
        <f>SUMPRODUCT('2026_Мустафин'!$J$96:$J$107,'2026_Мустафин'!EQ96:EQ107)</f>
        <v/>
      </c>
      <c r="CC5" s="195">
        <f>SUMPRODUCT('2026_Мустафин'!$J$96:$J$107,'2026_Мустафин'!ER96:ER107)</f>
        <v/>
      </c>
      <c r="CD5" s="194">
        <f>SUMPRODUCT('2026_Мустафин'!$J$96:$J$107,'2026_Мустафин'!ES96:ES107)</f>
        <v/>
      </c>
      <c r="CE5" s="194">
        <f>SUMPRODUCT('2026_Мустафин'!$J$96:$J$107,'2026_Мустафин'!ET96:ET107)</f>
        <v/>
      </c>
      <c r="CF5" s="194">
        <f>SUMPRODUCT('2026_Мустафин'!$J$96:$J$107,'2026_Мустафин'!EU96:EU107)</f>
        <v/>
      </c>
      <c r="CG5" s="195">
        <f>SUMPRODUCT('2026_Мустафин'!$J$96:$J$107,'2026_Мустафин'!EV96:EV107)</f>
        <v/>
      </c>
      <c r="CH5" s="194">
        <f>SUMPRODUCT('2026_Мустафин'!$J$96:$J$107,'2026_Мустафин'!EW96:EW107)</f>
        <v/>
      </c>
      <c r="CI5" s="194">
        <f>SUMPRODUCT('2026_Мустафин'!$J$96:$J$107,'2026_Мустафин'!EX96:EX107)</f>
        <v/>
      </c>
      <c r="CJ5" s="194">
        <f>SUMPRODUCT('2026_Мустафин'!$J$96:$J$107,'2026_Мустафин'!EY96:EY107)</f>
        <v/>
      </c>
      <c r="CK5" s="195">
        <f>SUMPRODUCT('2026_Мустафин'!$J$96:$J$107,'2026_Мустафин'!EZ96:EZ107)</f>
        <v/>
      </c>
      <c r="CL5" s="194">
        <f>SUMPRODUCT('2026_Мустафин'!$J$96:$J$107,'2026_Мустафин'!FA96:FA107)</f>
        <v/>
      </c>
      <c r="CM5" s="194">
        <f>SUMPRODUCT('2026_Мустафин'!$J$96:$J$107,'2026_Мустафин'!FB96:FB107)</f>
        <v/>
      </c>
      <c r="CN5" s="194">
        <f>SUMPRODUCT('2026_Мустафин'!$J$96:$J$107,'2026_Мустафин'!FC96:FC107)</f>
        <v/>
      </c>
      <c r="CO5" s="195">
        <f>SUMPRODUCT('2026_Мустафин'!$J$96:$J$107,'2026_Мустафин'!FD96:FD107)</f>
        <v/>
      </c>
      <c r="CP5" s="194">
        <f>SUMPRODUCT('2026_Мустафин'!$J$96:$J$107,'2026_Мустафин'!FE96:FE107)</f>
        <v/>
      </c>
      <c r="CQ5" s="194">
        <f>SUMPRODUCT('2026_Мустафин'!$J$96:$J$107,'2026_Мустафин'!FF96:FF107)</f>
        <v/>
      </c>
      <c r="CR5" s="194">
        <f>SUMPRODUCT('2026_Мустафин'!$J$96:$J$107,'2026_Мустафин'!FG96:FG107)</f>
        <v/>
      </c>
      <c r="CS5" s="195">
        <f>SUMPRODUCT('2026_Мустафин'!$J$96:$J$107,'2026_Мустафин'!FH96:FH107)</f>
        <v/>
      </c>
      <c r="CT5" s="194">
        <f>SUMPRODUCT('2026_Мустафин'!$J$96:$J$107,'2026_Мустафин'!FI96:FI107)</f>
        <v/>
      </c>
      <c r="CU5" s="194">
        <f>SUMPRODUCT('2026_Мустафин'!$J$96:$J$107,'2026_Мустафин'!FJ96:FJ107)</f>
        <v/>
      </c>
      <c r="CV5" s="194">
        <f>SUMPRODUCT('2026_Мустафин'!$J$96:$J$107,'2026_Мустафин'!FK96:FK107)</f>
        <v/>
      </c>
      <c r="CW5" s="195">
        <f>SUMPRODUCT('2026_Мустафин'!$J$96:$J$107,'2026_Мустафин'!FL96:FL107)</f>
        <v/>
      </c>
      <c r="CX5" s="194">
        <f>SUMPRODUCT('2026_Мустафин'!$J$96:$J$107,'2026_Мустафин'!FM96:FM107)</f>
        <v/>
      </c>
      <c r="CY5" s="194">
        <f>SUMPRODUCT('2026_Мустафин'!$J$96:$J$107,'2026_Мустафин'!FN96:FN107)</f>
        <v/>
      </c>
      <c r="CZ5" s="194">
        <f>SUMPRODUCT('2026_Мустафин'!$J$96:$J$107,'2026_Мустафин'!FO96:FO107)</f>
        <v/>
      </c>
      <c r="DA5" s="195">
        <f>SUMPRODUCT('2026_Мустафин'!$J$96:$J$107,'2026_Мустафин'!FP96:FP107)</f>
        <v/>
      </c>
      <c r="DB5" s="194">
        <f>SUMPRODUCT('2026_Мустафин'!$J$96:$J$107,'2026_Мустафин'!FQ96:FQ107)</f>
        <v/>
      </c>
      <c r="DC5" s="194">
        <f>SUMPRODUCT('2026_Мустафин'!$J$96:$J$107,'2026_Мустафин'!FR96:FR107)</f>
        <v/>
      </c>
      <c r="DD5" s="194">
        <f>SUMPRODUCT('2026_Мустафин'!$J$96:$J$107,'2026_Мустафин'!FS96:FS107)</f>
        <v/>
      </c>
      <c r="DE5" s="195">
        <f>SUMPRODUCT('2026_Мустафин'!$J$96:$J$107,'2026_Мустафин'!FT96:FT107)</f>
        <v/>
      </c>
      <c r="DF5" s="194">
        <f>SUMPRODUCT('2026_Мустафин'!$J$96:$J$107,'2026_Мустафин'!FU96:FU107)</f>
        <v/>
      </c>
      <c r="DG5" s="194">
        <f>SUMPRODUCT('2026_Мустафин'!$J$96:$J$107,'2026_Мустафин'!FV96:FV107)</f>
        <v/>
      </c>
      <c r="DH5" s="194">
        <f>SUMPRODUCT('2026_Мустафин'!$J$96:$J$107,'2026_Мустафин'!FW96:FW107)</f>
        <v/>
      </c>
      <c r="DI5" s="195">
        <f>SUMPRODUCT('2026_Мустафин'!$J$96:$J$107,'2026_Мустафин'!FX96:FX107)</f>
        <v/>
      </c>
      <c r="DJ5" s="194">
        <f>SUMPRODUCT('2026_Мустафин'!$J$96:$J$107,'2026_Мустафин'!FY96:FY107)</f>
        <v/>
      </c>
      <c r="DK5" s="194">
        <f>SUMPRODUCT('2026_Мустафин'!$J$96:$J$107,'2026_Мустафин'!FZ96:FZ107)</f>
        <v/>
      </c>
    </row>
    <row r="6">
      <c r="A6" s="192" t="inlineStr">
        <is>
          <t>РИАТ</t>
        </is>
      </c>
      <c r="B6" s="194">
        <f>SUMPRODUCT('2026_Мустафин'!$J$109:$J$120,'2026_Мустафин'!BQ109:BQ120)</f>
        <v/>
      </c>
      <c r="C6" s="194">
        <f>SUMPRODUCT('2026_Мустафин'!$J$109:$J$120,'2026_Мустафин'!BR109:BR120)</f>
        <v/>
      </c>
      <c r="D6" s="194">
        <f>SUMPRODUCT('2026_Мустафин'!$J$109:$J$120,'2026_Мустафин'!BS109:BS120)</f>
        <v/>
      </c>
      <c r="E6" s="194">
        <f>SUMPRODUCT('2026_Мустафин'!$J$109:$J$120,'2026_Мустафин'!BT109:BT120)</f>
        <v/>
      </c>
      <c r="F6" s="194">
        <f>SUMPRODUCT('2026_Мустафин'!$J$109:$J$120,'2026_Мустафин'!BU109:BU120)</f>
        <v/>
      </c>
      <c r="G6" s="194">
        <f>SUMPRODUCT('2026_Мустафин'!$J$109:$J$120,'2026_Мустафин'!BV109:BV120)</f>
        <v/>
      </c>
      <c r="H6" s="194">
        <f>SUMPRODUCT('2026_Мустафин'!$J$109:$J$120,'2026_Мустафин'!BW109:BW120)</f>
        <v/>
      </c>
      <c r="I6" s="194">
        <f>SUMPRODUCT('2026_Мустафин'!$J$109:$J$120,'2026_Мустафин'!BX109:BX120)</f>
        <v/>
      </c>
      <c r="J6" s="194">
        <f>SUMPRODUCT('2026_Мустафин'!$J$109:$J$120,'2026_Мустафин'!BY109:BY120)</f>
        <v/>
      </c>
      <c r="K6" s="194">
        <f>SUMPRODUCT('2026_Мустафин'!$J$109:$J$120,'2026_Мустафин'!BZ109:BZ120)</f>
        <v/>
      </c>
      <c r="L6" s="194">
        <f>SUMPRODUCT('2026_Мустафин'!$J$109:$J$120,'2026_Мустафин'!CA109:CA120)</f>
        <v/>
      </c>
      <c r="M6" s="194">
        <f>SUMPRODUCT('2026_Мустафин'!$J$109:$J$120,'2026_Мустафин'!CB109:CB120)</f>
        <v/>
      </c>
      <c r="N6" s="194">
        <f>SUMPRODUCT('2026_Мустафин'!$J$109:$J$120,'2026_Мустафин'!CC109:CC120)</f>
        <v/>
      </c>
      <c r="O6" s="194">
        <f>SUMPRODUCT('2026_Мустафин'!$J$109:$J$120,'2026_Мустафин'!CD109:CD120)</f>
        <v/>
      </c>
      <c r="P6" s="194">
        <f>SUMPRODUCT('2026_Мустафин'!$J$109:$J$120,'2026_Мустафин'!CE109:CE120)</f>
        <v/>
      </c>
      <c r="Q6" s="194">
        <f>SUMPRODUCT('2026_Мустафин'!$J$109:$J$120,'2026_Мустафин'!CF109:CF120)</f>
        <v/>
      </c>
      <c r="R6" s="194">
        <f>SUMPRODUCT('2026_Мустафин'!$J$109:$J$120,'2026_Мустафин'!CG109:CG120)</f>
        <v/>
      </c>
      <c r="S6" s="194">
        <f>SUMPRODUCT('2026_Мустафин'!$J$109:$J$120,'2026_Мустафин'!CH109:CH120)</f>
        <v/>
      </c>
      <c r="T6" s="194">
        <f>SUMPRODUCT('2026_Мустафин'!$J$109:$J$120,'2026_Мустафин'!CI109:CI120)</f>
        <v/>
      </c>
      <c r="U6" s="194">
        <f>SUMPRODUCT('2026_Мустафин'!$J$109:$J$120,'2026_Мустафин'!CJ109:CJ120)</f>
        <v/>
      </c>
      <c r="V6" s="194">
        <f>SUMPRODUCT('2026_Мустафин'!$J$109:$J$120,'2026_Мустафин'!CK109:CK120)</f>
        <v/>
      </c>
      <c r="W6" s="194">
        <f>SUMPRODUCT('2026_Мустафин'!$J$109:$J$120,'2026_Мустафин'!CL109:CL120)</f>
        <v/>
      </c>
      <c r="X6" s="194">
        <f>SUMPRODUCT('2026_Мустафин'!$J$109:$J$120,'2026_Мустафин'!CM109:CM120)</f>
        <v/>
      </c>
      <c r="Y6" s="194">
        <f>SUMPRODUCT('2026_Мустафин'!$J$109:$J$120,'2026_Мустафин'!CN109:CN120)</f>
        <v/>
      </c>
      <c r="Z6" s="194">
        <f>SUMPRODUCT('2026_Мустафин'!$J$109:$J$120,'2026_Мустафин'!CO109:CO120)</f>
        <v/>
      </c>
      <c r="AA6" s="194">
        <f>SUMPRODUCT('2026_Мустафин'!$J$109:$J$120,'2026_Мустафин'!CP109:CP120)</f>
        <v/>
      </c>
      <c r="AB6" s="194">
        <f>SUMPRODUCT('2026_Мустафин'!$J$109:$J$120,'2026_Мустафин'!CQ109:CQ120)</f>
        <v/>
      </c>
      <c r="AC6" s="194">
        <f>SUMPRODUCT('2026_Мустафин'!$J$109:$J$120,'2026_Мустафин'!CR109:CR120)</f>
        <v/>
      </c>
      <c r="AD6" s="194">
        <f>SUMPRODUCT('2026_Мустафин'!$J$109:$J$120,'2026_Мустафин'!CS109:CS120)</f>
        <v/>
      </c>
      <c r="AE6" s="194">
        <f>SUMPRODUCT('2026_Мустафин'!$J$109:$J$120,'2026_Мустафин'!CT109:CT120)</f>
        <v/>
      </c>
      <c r="AF6" s="194">
        <f>SUMPRODUCT('2026_Мустафин'!$J$109:$J$120,'2026_Мустафин'!CU109:CU120)</f>
        <v/>
      </c>
      <c r="AG6" s="194">
        <f>SUMPRODUCT('2026_Мустафин'!$J$109:$J$120,'2026_Мустафин'!CV109:CV120)</f>
        <v/>
      </c>
      <c r="AH6" s="194">
        <f>SUMPRODUCT('2026_Мустафин'!$J$109:$J$120,'2026_Мустафин'!CW109:CW120)</f>
        <v/>
      </c>
      <c r="AI6" s="194">
        <f>SUMPRODUCT('2026_Мустафин'!$J$109:$J$120,'2026_Мустафин'!CX109:CX120)</f>
        <v/>
      </c>
      <c r="AJ6" s="194">
        <f>SUMPRODUCT('2026_Мустафин'!$J$109:$J$120,'2026_Мустафин'!CY109:CY120)</f>
        <v/>
      </c>
      <c r="AK6" s="194">
        <f>SUMPRODUCT('2026_Мустафин'!$J$109:$J$120,'2026_Мустафин'!CZ109:CZ120)</f>
        <v/>
      </c>
      <c r="AL6" s="194">
        <f>SUMPRODUCT('2026_Мустафин'!$J$109:$J$120,'2026_Мустафин'!DA109:DA120)</f>
        <v/>
      </c>
      <c r="AM6" s="194">
        <f>SUMPRODUCT('2026_Мустафин'!$J$109:$J$120,'2026_Мустафин'!DB109:DB120)</f>
        <v/>
      </c>
      <c r="AN6" s="194">
        <f>SUMPRODUCT('2026_Мустафин'!$J$109:$J$120,'2026_Мустафин'!DC109:DC120)</f>
        <v/>
      </c>
      <c r="AO6" s="194">
        <f>SUMPRODUCT('2026_Мустафин'!$J$109:$J$120,'2026_Мустафин'!DD109:DD120)</f>
        <v/>
      </c>
      <c r="AP6" s="194">
        <f>SUMPRODUCT('2026_Мустафин'!$J$109:$J$120,'2026_Мустафин'!DE109:DE120)</f>
        <v/>
      </c>
      <c r="AQ6" s="194">
        <f>SUMPRODUCT('2026_Мустафин'!$J$109:$J$120,'2026_Мустафин'!DF109:DF120)</f>
        <v/>
      </c>
      <c r="AR6" s="194">
        <f>SUMPRODUCT('2026_Мустафин'!$J$109:$J$120,'2026_Мустафин'!DG109:DG120)</f>
        <v/>
      </c>
      <c r="AS6" s="194">
        <f>SUMPRODUCT('2026_Мустафин'!$J$109:$J$120,'2026_Мустафин'!DH109:DH120)</f>
        <v/>
      </c>
      <c r="AT6" s="194">
        <f>SUMPRODUCT('2026_Мустафин'!$J$109:$J$120,'2026_Мустафин'!DI109:DI120)</f>
        <v/>
      </c>
      <c r="AU6" s="194">
        <f>SUMPRODUCT('2026_Мустафин'!$J$109:$J$120,'2026_Мустафин'!DJ109:DJ120)</f>
        <v/>
      </c>
      <c r="AV6" s="194">
        <f>SUMPRODUCT('2026_Мустафин'!$J$109:$J$120,'2026_Мустафин'!DK109:DK120)</f>
        <v/>
      </c>
      <c r="AW6" s="194">
        <f>SUMPRODUCT('2026_Мустафин'!$J$109:$J$120,'2026_Мустафин'!DL109:DL120)</f>
        <v/>
      </c>
      <c r="AX6" s="194">
        <f>SUMPRODUCT('2026_Мустафин'!$J$109:$J$120,'2026_Мустафин'!DM109:DM120)</f>
        <v/>
      </c>
      <c r="AY6" s="194">
        <f>SUMPRODUCT('2026_Мустафин'!$J$109:$J$120,'2026_Мустафин'!DN109:DN120)</f>
        <v/>
      </c>
      <c r="AZ6" s="194">
        <f>SUMPRODUCT('2026_Мустафин'!$J$109:$J$120,'2026_Мустафин'!DO109:DO120)</f>
        <v/>
      </c>
      <c r="BA6" s="194">
        <f>SUMPRODUCT('2026_Мустафин'!$J$109:$J$120,'2026_Мустафин'!DP109:DP120)</f>
        <v/>
      </c>
      <c r="BB6" s="194">
        <f>SUMPRODUCT('2026_Мустафин'!$J$109:$J$120,'2026_Мустафин'!DQ109:DQ120)</f>
        <v/>
      </c>
      <c r="BC6" s="194">
        <f>SUMPRODUCT('2026_Мустафин'!$J$109:$J$120,'2026_Мустафин'!DR109:DR120)</f>
        <v/>
      </c>
      <c r="BD6" s="194">
        <f>SUMPRODUCT('2026_Мустафин'!$J$109:$J$120,'2026_Мустафин'!DS109:DS120)</f>
        <v/>
      </c>
      <c r="BE6" s="194">
        <f>SUMPRODUCT('2026_Мустафин'!$J$109:$J$120,'2026_Мустафин'!DT109:DT120)</f>
        <v/>
      </c>
      <c r="BF6" s="194">
        <f>SUMPRODUCT('2026_Мустафин'!$J$109:$J$120,'2026_Мустафин'!DU109:DU120)</f>
        <v/>
      </c>
      <c r="BG6" s="194">
        <f>SUMPRODUCT('2026_Мустафин'!$J$109:$J$120,'2026_Мустафин'!DV109:DV120)</f>
        <v/>
      </c>
      <c r="BH6" s="194">
        <f>SUMPRODUCT('2026_Мустафин'!$J$109:$J$120,'2026_Мустафин'!DW109:DW120)</f>
        <v/>
      </c>
      <c r="BI6" s="194">
        <f>SUMPRODUCT('2026_Мустафин'!$J$109:$J$120,'2026_Мустафин'!DX109:DX120)</f>
        <v/>
      </c>
      <c r="BJ6" s="194">
        <f>SUMPRODUCT('2026_Мустафин'!$J$109:$J$120,'2026_Мустафин'!DY109:DY120)</f>
        <v/>
      </c>
      <c r="BK6" s="194">
        <f>SUMPRODUCT('2026_Мустафин'!$J$109:$J$120,'2026_Мустафин'!DZ109:DZ120)</f>
        <v/>
      </c>
      <c r="BL6" s="194">
        <f>SUMPRODUCT('2026_Мустафин'!$J$109:$J$120,'2026_Мустафин'!EA109:EA120)</f>
        <v/>
      </c>
      <c r="BM6" s="194">
        <f>SUMPRODUCT('2026_Мустафин'!$J$109:$J$120,'2026_Мустафин'!EB109:EB120)</f>
        <v/>
      </c>
      <c r="BN6" s="194">
        <f>SUMPRODUCT('2026_Мустафин'!$J$109:$J$120,'2026_Мустафин'!EC109:EC120)</f>
        <v/>
      </c>
      <c r="BO6" s="194">
        <f>SUMPRODUCT('2026_Мустафин'!$J$109:$J$120,'2026_Мустафин'!ED109:ED120)</f>
        <v/>
      </c>
      <c r="BP6" s="194">
        <f>SUMPRODUCT('2026_Мустафин'!$J$109:$J$120,'2026_Мустафин'!EE109:EE120)</f>
        <v/>
      </c>
      <c r="BQ6" s="195">
        <f>SUMPRODUCT('2026_Мустафин'!$J$109:$J$120,'2026_Мустафин'!EF109:EF120)</f>
        <v/>
      </c>
      <c r="BR6" s="194">
        <f>SUMPRODUCT('2026_Мустафин'!$J$109:$J$120,'2026_Мустафин'!EG109:EG120)</f>
        <v/>
      </c>
      <c r="BS6" s="194">
        <f>SUMPRODUCT('2026_Мустафин'!$J$109:$J$120,'2026_Мустафин'!EH109:EH120)</f>
        <v/>
      </c>
      <c r="BT6" s="194">
        <f>SUMPRODUCT('2026_Мустафин'!$J$109:$J$120,'2026_Мустафин'!EI109:EI120)</f>
        <v/>
      </c>
      <c r="BU6" s="195">
        <f>SUMPRODUCT('2026_Мустафин'!$J$109:$J$120,'2026_Мустафин'!EJ109:EJ120)</f>
        <v/>
      </c>
      <c r="BV6" s="194">
        <f>SUMPRODUCT('2026_Мустафин'!$J$109:$J$120,'2026_Мустафин'!EK109:EK120)</f>
        <v/>
      </c>
      <c r="BW6" s="194">
        <f>SUMPRODUCT('2026_Мустафин'!$J$109:$J$120,'2026_Мустафин'!EL109:EL120)</f>
        <v/>
      </c>
      <c r="BX6" s="194">
        <f>SUMPRODUCT('2026_Мустафин'!$J$109:$J$120,'2026_Мустафин'!EM109:EM120)</f>
        <v/>
      </c>
      <c r="BY6" s="195">
        <f>SUMPRODUCT('2026_Мустафин'!$J$109:$J$120,'2026_Мустафин'!EN109:EN120)</f>
        <v/>
      </c>
      <c r="BZ6" s="194">
        <f>SUMPRODUCT('2026_Мустафин'!$J$109:$J$120,'2026_Мустафин'!EO109:EO120)</f>
        <v/>
      </c>
      <c r="CA6" s="194">
        <f>SUMPRODUCT('2026_Мустафин'!$J$109:$J$120,'2026_Мустафин'!EP109:EP120)</f>
        <v/>
      </c>
      <c r="CB6" s="194">
        <f>SUMPRODUCT('2026_Мустафин'!$J$109:$J$120,'2026_Мустафин'!EQ109:EQ120)</f>
        <v/>
      </c>
      <c r="CC6" s="195">
        <f>SUMPRODUCT('2026_Мустафин'!$J$109:$J$120,'2026_Мустафин'!ER109:ER120)</f>
        <v/>
      </c>
      <c r="CD6" s="194">
        <f>SUMPRODUCT('2026_Мустафин'!$J$109:$J$120,'2026_Мустафин'!ES109:ES120)</f>
        <v/>
      </c>
      <c r="CE6" s="194">
        <f>SUMPRODUCT('2026_Мустафин'!$J$109:$J$120,'2026_Мустафин'!ET109:ET120)</f>
        <v/>
      </c>
      <c r="CF6" s="194">
        <f>SUMPRODUCT('2026_Мустафин'!$J$109:$J$120,'2026_Мустафин'!EU109:EU120)</f>
        <v/>
      </c>
      <c r="CG6" s="195">
        <f>SUMPRODUCT('2026_Мустафин'!$J$109:$J$120,'2026_Мустафин'!EV109:EV120)</f>
        <v/>
      </c>
      <c r="CH6" s="194">
        <f>SUMPRODUCT('2026_Мустафин'!$J$109:$J$120,'2026_Мустафин'!EW109:EW120)</f>
        <v/>
      </c>
      <c r="CI6" s="194">
        <f>SUMPRODUCT('2026_Мустафин'!$J$109:$J$120,'2026_Мустафин'!EX109:EX120)</f>
        <v/>
      </c>
      <c r="CJ6" s="194">
        <f>SUMPRODUCT('2026_Мустафин'!$J$109:$J$120,'2026_Мустафин'!EY109:EY120)</f>
        <v/>
      </c>
      <c r="CK6" s="195">
        <f>SUMPRODUCT('2026_Мустафин'!$J$109:$J$120,'2026_Мустафин'!EZ109:EZ120)</f>
        <v/>
      </c>
      <c r="CL6" s="194">
        <f>SUMPRODUCT('2026_Мустафин'!$J$109:$J$120,'2026_Мустафин'!FA109:FA120)</f>
        <v/>
      </c>
      <c r="CM6" s="194">
        <f>SUMPRODUCT('2026_Мустафин'!$J$109:$J$120,'2026_Мустафин'!FB109:FB120)</f>
        <v/>
      </c>
      <c r="CN6" s="194">
        <f>SUMPRODUCT('2026_Мустафин'!$J$109:$J$120,'2026_Мустафин'!FC109:FC120)</f>
        <v/>
      </c>
      <c r="CO6" s="195">
        <f>SUMPRODUCT('2026_Мустафин'!$J$109:$J$120,'2026_Мустафин'!FD109:FD120)</f>
        <v/>
      </c>
      <c r="CP6" s="194">
        <f>SUMPRODUCT('2026_Мустафин'!$J$109:$J$120,'2026_Мустафин'!FE109:FE120)</f>
        <v/>
      </c>
      <c r="CQ6" s="194">
        <f>SUMPRODUCT('2026_Мустафин'!$J$109:$J$120,'2026_Мустафин'!FF109:FF120)</f>
        <v/>
      </c>
      <c r="CR6" s="194">
        <f>SUMPRODUCT('2026_Мустафин'!$J$109:$J$120,'2026_Мустафин'!FG109:FG120)</f>
        <v/>
      </c>
      <c r="CS6" s="195">
        <f>SUMPRODUCT('2026_Мустафин'!$J$109:$J$120,'2026_Мустафин'!FH109:FH120)</f>
        <v/>
      </c>
      <c r="CT6" s="194">
        <f>SUMPRODUCT('2026_Мустафин'!$J$109:$J$120,'2026_Мустафин'!FI109:FI120)</f>
        <v/>
      </c>
      <c r="CU6" s="194">
        <f>SUMPRODUCT('2026_Мустафин'!$J$109:$J$120,'2026_Мустафин'!FJ109:FJ120)</f>
        <v/>
      </c>
      <c r="CV6" s="194">
        <f>SUMPRODUCT('2026_Мустафин'!$J$109:$J$120,'2026_Мустафин'!FK109:FK120)</f>
        <v/>
      </c>
      <c r="CW6" s="195">
        <f>SUMPRODUCT('2026_Мустафин'!$J$109:$J$120,'2026_Мустафин'!FL109:FL120)</f>
        <v/>
      </c>
      <c r="CX6" s="194">
        <f>SUMPRODUCT('2026_Мустафин'!$J$109:$J$120,'2026_Мустафин'!FM109:FM120)</f>
        <v/>
      </c>
      <c r="CY6" s="194">
        <f>SUMPRODUCT('2026_Мустафин'!$J$109:$J$120,'2026_Мустафин'!FN109:FN120)</f>
        <v/>
      </c>
      <c r="CZ6" s="194">
        <f>SUMPRODUCT('2026_Мустафин'!$J$109:$J$120,'2026_Мустафин'!FO109:FO120)</f>
        <v/>
      </c>
      <c r="DA6" s="195">
        <f>SUMPRODUCT('2026_Мустафин'!$J$109:$J$120,'2026_Мустафин'!FP109:FP120)</f>
        <v/>
      </c>
      <c r="DB6" s="194">
        <f>SUMPRODUCT('2026_Мустафин'!$J$109:$J$120,'2026_Мустафин'!FQ109:FQ120)</f>
        <v/>
      </c>
      <c r="DC6" s="194">
        <f>SUMPRODUCT('2026_Мустафин'!$J$109:$J$120,'2026_Мустафин'!FR109:FR120)</f>
        <v/>
      </c>
      <c r="DD6" s="194">
        <f>SUMPRODUCT('2026_Мустафин'!$J$109:$J$120,'2026_Мустафин'!FS109:FS120)</f>
        <v/>
      </c>
      <c r="DE6" s="195">
        <f>SUMPRODUCT('2026_Мустафин'!$J$109:$J$120,'2026_Мустафин'!FT109:FT120)</f>
        <v/>
      </c>
      <c r="DF6" s="194">
        <f>SUMPRODUCT('2026_Мустафин'!$J$109:$J$120,'2026_Мустафин'!FU109:FU120)</f>
        <v/>
      </c>
      <c r="DG6" s="194">
        <f>SUMPRODUCT('2026_Мустафин'!$J$109:$J$120,'2026_Мустафин'!FV109:FV120)</f>
        <v/>
      </c>
      <c r="DH6" s="194">
        <f>SUMPRODUCT('2026_Мустафин'!$J$109:$J$120,'2026_Мустафин'!FW109:FW120)</f>
        <v/>
      </c>
      <c r="DI6" s="195">
        <f>SUMPRODUCT('2026_Мустафин'!$J$109:$J$120,'2026_Мустафин'!FX109:FX120)</f>
        <v/>
      </c>
      <c r="DJ6" s="194">
        <f>SUMPRODUCT('2026_Мустафин'!$J$109:$J$120,'2026_Мустафин'!FY109:FY120)</f>
        <v/>
      </c>
      <c r="DK6" s="194">
        <f>SUMPRODUCT('2026_Мустафин'!$J$109:$J$120,'2026_Мустафин'!FZ109:FZ120)</f>
        <v/>
      </c>
    </row>
    <row r="7">
      <c r="A7" s="192" t="inlineStr">
        <is>
          <t>Автомастер</t>
        </is>
      </c>
      <c r="B7" s="194">
        <f>SUMPRODUCT('2026_Мустафин'!$J$122:$J$133,'2026_Мустафин'!BQ122:BQ133)</f>
        <v/>
      </c>
      <c r="C7" s="194">
        <f>SUMPRODUCT('2026_Мустафин'!$J$122:$J$133,'2026_Мустафин'!BR122:BR133)</f>
        <v/>
      </c>
      <c r="D7" s="194">
        <f>SUMPRODUCT('2026_Мустафин'!$J$122:$J$133,'2026_Мустафин'!BS122:BS133)</f>
        <v/>
      </c>
      <c r="E7" s="194">
        <f>SUMPRODUCT('2026_Мустафин'!$J$122:$J$133,'2026_Мустафин'!BT122:BT133)</f>
        <v/>
      </c>
      <c r="F7" s="194">
        <f>SUMPRODUCT('2026_Мустафин'!$J$122:$J$133,'2026_Мустафин'!BU122:BU133)</f>
        <v/>
      </c>
      <c r="G7" s="194">
        <f>SUMPRODUCT('2026_Мустафин'!$J$122:$J$133,'2026_Мустафин'!BV122:BV133)</f>
        <v/>
      </c>
      <c r="H7" s="194">
        <f>SUMPRODUCT('2026_Мустафин'!$J$122:$J$133,'2026_Мустафин'!BW122:BW133)</f>
        <v/>
      </c>
      <c r="I7" s="194">
        <f>SUMPRODUCT('2026_Мустафин'!$J$122:$J$133,'2026_Мустафин'!BX122:BX133)</f>
        <v/>
      </c>
      <c r="J7" s="194">
        <f>SUMPRODUCT('2026_Мустафин'!$J$122:$J$133,'2026_Мустафин'!BY122:BY133)</f>
        <v/>
      </c>
      <c r="K7" s="194">
        <f>SUMPRODUCT('2026_Мустафин'!$J$122:$J$133,'2026_Мустафин'!BZ122:BZ133)</f>
        <v/>
      </c>
      <c r="L7" s="194">
        <f>SUMPRODUCT('2026_Мустафин'!$J$122:$J$133,'2026_Мустафин'!CA122:CA133)</f>
        <v/>
      </c>
      <c r="M7" s="194">
        <f>SUMPRODUCT('2026_Мустафин'!$J$122:$J$133,'2026_Мустафин'!CB122:CB133)</f>
        <v/>
      </c>
      <c r="N7" s="194">
        <f>SUMPRODUCT('2026_Мустафин'!$J$122:$J$133,'2026_Мустафин'!CC122:CC133)</f>
        <v/>
      </c>
      <c r="O7" s="194">
        <f>SUMPRODUCT('2026_Мустафин'!$J$122:$J$133,'2026_Мустафин'!CD122:CD133)</f>
        <v/>
      </c>
      <c r="P7" s="194">
        <f>SUMPRODUCT('2026_Мустафин'!$J$122:$J$133,'2026_Мустафин'!CE122:CE133)</f>
        <v/>
      </c>
      <c r="Q7" s="194">
        <f>SUMPRODUCT('2026_Мустафин'!$J$122:$J$133,'2026_Мустафин'!CF122:CF133)</f>
        <v/>
      </c>
      <c r="R7" s="194">
        <f>SUMPRODUCT('2026_Мустафин'!$J$122:$J$133,'2026_Мустафин'!CG122:CG133)</f>
        <v/>
      </c>
      <c r="S7" s="194">
        <f>SUMPRODUCT('2026_Мустафин'!$J$122:$J$133,'2026_Мустафин'!CH122:CH133)</f>
        <v/>
      </c>
      <c r="T7" s="194">
        <f>SUMPRODUCT('2026_Мустафин'!$J$122:$J$133,'2026_Мустафин'!CI122:CI133)</f>
        <v/>
      </c>
      <c r="U7" s="194">
        <f>SUMPRODUCT('2026_Мустафин'!$J$122:$J$133,'2026_Мустафин'!CJ122:CJ133)</f>
        <v/>
      </c>
      <c r="V7" s="194">
        <f>SUMPRODUCT('2026_Мустафин'!$J$122:$J$133,'2026_Мустафин'!CK122:CK133)</f>
        <v/>
      </c>
      <c r="W7" s="194">
        <f>SUMPRODUCT('2026_Мустафин'!$J$122:$J$133,'2026_Мустафин'!CL122:CL133)</f>
        <v/>
      </c>
      <c r="X7" s="194">
        <f>SUMPRODUCT('2026_Мустафин'!$J$122:$J$133,'2026_Мустафин'!CM122:CM133)</f>
        <v/>
      </c>
      <c r="Y7" s="194">
        <f>SUMPRODUCT('2026_Мустафин'!$J$122:$J$133,'2026_Мустафин'!CN122:CN133)</f>
        <v/>
      </c>
      <c r="Z7" s="194">
        <f>SUMPRODUCT('2026_Мустафин'!$J$122:$J$133,'2026_Мустафин'!CO122:CO133)</f>
        <v/>
      </c>
      <c r="AA7" s="194">
        <f>SUMPRODUCT('2026_Мустафин'!$J$122:$J$133,'2026_Мустафин'!CP122:CP133)</f>
        <v/>
      </c>
      <c r="AB7" s="194">
        <f>SUMPRODUCT('2026_Мустафин'!$J$122:$J$133,'2026_Мустафин'!CQ122:CQ133)</f>
        <v/>
      </c>
      <c r="AC7" s="194">
        <f>SUMPRODUCT('2026_Мустафин'!$J$122:$J$133,'2026_Мустафин'!CR122:CR133)</f>
        <v/>
      </c>
      <c r="AD7" s="194">
        <f>SUMPRODUCT('2026_Мустафин'!$J$122:$J$133,'2026_Мустафин'!CS122:CS133)</f>
        <v/>
      </c>
      <c r="AE7" s="194">
        <f>SUMPRODUCT('2026_Мустафин'!$J$122:$J$133,'2026_Мустафин'!CT122:CT133)</f>
        <v/>
      </c>
      <c r="AF7" s="194">
        <f>SUMPRODUCT('2026_Мустафин'!$J$122:$J$133,'2026_Мустафин'!CU122:CU133)</f>
        <v/>
      </c>
      <c r="AG7" s="194">
        <f>SUMPRODUCT('2026_Мустафин'!$J$122:$J$133,'2026_Мустафин'!CV122:CV133)</f>
        <v/>
      </c>
      <c r="AH7" s="194">
        <f>SUMPRODUCT('2026_Мустафин'!$J$122:$J$133,'2026_Мустафин'!CW122:CW133)</f>
        <v/>
      </c>
      <c r="AI7" s="194">
        <f>SUMPRODUCT('2026_Мустафин'!$J$122:$J$133,'2026_Мустафин'!CX122:CX133)</f>
        <v/>
      </c>
      <c r="AJ7" s="194">
        <f>SUMPRODUCT('2026_Мустафин'!$J$122:$J$133,'2026_Мустафин'!CY122:CY133)</f>
        <v/>
      </c>
      <c r="AK7" s="194">
        <f>SUMPRODUCT('2026_Мустафин'!$J$122:$J$133,'2026_Мустафин'!CZ122:CZ133)</f>
        <v/>
      </c>
      <c r="AL7" s="194">
        <f>SUMPRODUCT('2026_Мустафин'!$J$122:$J$133,'2026_Мустафин'!DA122:DA133)</f>
        <v/>
      </c>
      <c r="AM7" s="194">
        <f>SUMPRODUCT('2026_Мустафин'!$J$122:$J$133,'2026_Мустафин'!DB122:DB133)</f>
        <v/>
      </c>
      <c r="AN7" s="194">
        <f>SUMPRODUCT('2026_Мустафин'!$J$122:$J$133,'2026_Мустафин'!DC122:DC133)</f>
        <v/>
      </c>
      <c r="AO7" s="194">
        <f>SUMPRODUCT('2026_Мустафин'!$J$122:$J$133,'2026_Мустафин'!DD122:DD133)</f>
        <v/>
      </c>
      <c r="AP7" s="194">
        <f>SUMPRODUCT('2026_Мустафин'!$J$122:$J$133,'2026_Мустафин'!DE122:DE133)</f>
        <v/>
      </c>
      <c r="AQ7" s="194">
        <f>SUMPRODUCT('2026_Мустафин'!$J$122:$J$133,'2026_Мустафин'!DF122:DF133)</f>
        <v/>
      </c>
      <c r="AR7" s="194">
        <f>SUMPRODUCT('2026_Мустафин'!$J$122:$J$133,'2026_Мустафин'!DG122:DG133)</f>
        <v/>
      </c>
      <c r="AS7" s="194">
        <f>SUMPRODUCT('2026_Мустафин'!$J$122:$J$133,'2026_Мустафин'!DH122:DH133)</f>
        <v/>
      </c>
      <c r="AT7" s="194">
        <f>SUMPRODUCT('2026_Мустафин'!$J$122:$J$133,'2026_Мустафин'!DI122:DI133)</f>
        <v/>
      </c>
      <c r="AU7" s="194">
        <f>SUMPRODUCT('2026_Мустафин'!$J$122:$J$133,'2026_Мустафин'!DJ122:DJ133)</f>
        <v/>
      </c>
      <c r="AV7" s="194">
        <f>SUMPRODUCT('2026_Мустафин'!$J$122:$J$133,'2026_Мустафин'!DK122:DK133)</f>
        <v/>
      </c>
      <c r="AW7" s="194">
        <f>SUMPRODUCT('2026_Мустафин'!$J$122:$J$133,'2026_Мустафин'!DL122:DL133)</f>
        <v/>
      </c>
      <c r="AX7" s="194">
        <f>SUMPRODUCT('2026_Мустафин'!$J$122:$J$133,'2026_Мустафин'!DM122:DM133)</f>
        <v/>
      </c>
      <c r="AY7" s="194">
        <f>SUMPRODUCT('2026_Мустафин'!$J$122:$J$133,'2026_Мустафин'!DN122:DN133)</f>
        <v/>
      </c>
      <c r="AZ7" s="194">
        <f>SUMPRODUCT('2026_Мустафин'!$J$122:$J$133,'2026_Мустафин'!DO122:DO133)</f>
        <v/>
      </c>
      <c r="BA7" s="194">
        <f>SUMPRODUCT('2026_Мустафин'!$J$122:$J$133,'2026_Мустафин'!DP122:DP133)</f>
        <v/>
      </c>
      <c r="BB7" s="194">
        <f>SUMPRODUCT('2026_Мустафин'!$J$122:$J$133,'2026_Мустафин'!DQ122:DQ133)</f>
        <v/>
      </c>
      <c r="BC7" s="194">
        <f>SUMPRODUCT('2026_Мустафин'!$J$122:$J$133,'2026_Мустафин'!DR122:DR133)</f>
        <v/>
      </c>
      <c r="BD7" s="194">
        <f>SUMPRODUCT('2026_Мустафин'!$J$122:$J$133,'2026_Мустафин'!DS122:DS133)</f>
        <v/>
      </c>
      <c r="BE7" s="194">
        <f>SUMPRODUCT('2026_Мустафин'!$J$122:$J$133,'2026_Мустафин'!DT122:DT133)</f>
        <v/>
      </c>
      <c r="BF7" s="194">
        <f>SUMPRODUCT('2026_Мустафин'!$J$122:$J$133,'2026_Мустафин'!DU122:DU133)</f>
        <v/>
      </c>
      <c r="BG7" s="194">
        <f>SUMPRODUCT('2026_Мустафин'!$J$122:$J$133,'2026_Мустафин'!DV122:DV133)</f>
        <v/>
      </c>
      <c r="BH7" s="194">
        <f>SUMPRODUCT('2026_Мустафин'!$J$122:$J$133,'2026_Мустафин'!DW122:DW133)</f>
        <v/>
      </c>
      <c r="BI7" s="194">
        <f>SUMPRODUCT('2026_Мустафин'!$J$122:$J$133,'2026_Мустафин'!DX122:DX133)</f>
        <v/>
      </c>
      <c r="BJ7" s="194">
        <f>SUMPRODUCT('2026_Мустафин'!$J$122:$J$133,'2026_Мустафин'!DY122:DY133)</f>
        <v/>
      </c>
      <c r="BK7" s="194">
        <f>SUMPRODUCT('2026_Мустафин'!$J$122:$J$133,'2026_Мустафин'!DZ122:DZ133)</f>
        <v/>
      </c>
      <c r="BL7" s="194">
        <f>SUMPRODUCT('2026_Мустафин'!$J$122:$J$133,'2026_Мустафин'!EA122:EA133)</f>
        <v/>
      </c>
      <c r="BM7" s="194">
        <f>SUMPRODUCT('2026_Мустафин'!$J$122:$J$133,'2026_Мустафин'!EB122:EB133)</f>
        <v/>
      </c>
      <c r="BN7" s="194">
        <f>SUMPRODUCT('2026_Мустафин'!$J$122:$J$133,'2026_Мустафин'!EC122:EC133)</f>
        <v/>
      </c>
      <c r="BO7" s="194">
        <f>SUMPRODUCT('2026_Мустафин'!$J$122:$J$133,'2026_Мустафин'!ED122:ED133)</f>
        <v/>
      </c>
      <c r="BP7" s="194">
        <f>SUMPRODUCT('2026_Мустафин'!$J$122:$J$133,'2026_Мустафин'!EE122:EE133)</f>
        <v/>
      </c>
      <c r="BQ7" s="195">
        <f>SUMPRODUCT('2026_Мустафин'!$J$122:$J$133,'2026_Мустафин'!EF122:EF133)</f>
        <v/>
      </c>
      <c r="BR7" s="194">
        <f>SUMPRODUCT('2026_Мустафин'!$J$122:$J$133,'2026_Мустафин'!EG122:EG133)</f>
        <v/>
      </c>
      <c r="BS7" s="194">
        <f>SUMPRODUCT('2026_Мустафин'!$J$122:$J$133,'2026_Мустафин'!EH122:EH133)</f>
        <v/>
      </c>
      <c r="BT7" s="194">
        <f>SUMPRODUCT('2026_Мустафин'!$J$122:$J$133,'2026_Мустафин'!EI122:EI133)</f>
        <v/>
      </c>
      <c r="BU7" s="195">
        <f>SUMPRODUCT('2026_Мустафин'!$J$122:$J$133,'2026_Мустафин'!EJ122:EJ133)</f>
        <v/>
      </c>
      <c r="BV7" s="194">
        <f>SUMPRODUCT('2026_Мустафин'!$J$122:$J$133,'2026_Мустафин'!EK122:EK133)</f>
        <v/>
      </c>
      <c r="BW7" s="194">
        <f>SUMPRODUCT('2026_Мустафин'!$J$122:$J$133,'2026_Мустафин'!EL122:EL133)</f>
        <v/>
      </c>
      <c r="BX7" s="194">
        <f>SUMPRODUCT('2026_Мустафин'!$J$122:$J$133,'2026_Мустафин'!EM122:EM133)</f>
        <v/>
      </c>
      <c r="BY7" s="195">
        <f>SUMPRODUCT('2026_Мустафин'!$J$122:$J$133,'2026_Мустафин'!EN122:EN133)</f>
        <v/>
      </c>
      <c r="BZ7" s="194">
        <f>SUMPRODUCT('2026_Мустафин'!$J$122:$J$133,'2026_Мустафин'!EO122:EO133)</f>
        <v/>
      </c>
      <c r="CA7" s="194">
        <f>SUMPRODUCT('2026_Мустафин'!$J$122:$J$133,'2026_Мустафин'!EP122:EP133)</f>
        <v/>
      </c>
      <c r="CB7" s="194">
        <f>SUMPRODUCT('2026_Мустафин'!$J$122:$J$133,'2026_Мустафин'!EQ122:EQ133)</f>
        <v/>
      </c>
      <c r="CC7" s="195">
        <f>SUMPRODUCT('2026_Мустафин'!$J$122:$J$133,'2026_Мустафин'!ER122:ER133)</f>
        <v/>
      </c>
      <c r="CD7" s="194">
        <f>SUMPRODUCT('2026_Мустафин'!$J$122:$J$133,'2026_Мустафин'!ES122:ES133)</f>
        <v/>
      </c>
      <c r="CE7" s="194">
        <f>SUMPRODUCT('2026_Мустафин'!$J$122:$J$133,'2026_Мустафин'!ET122:ET133)</f>
        <v/>
      </c>
      <c r="CF7" s="194">
        <f>SUMPRODUCT('2026_Мустафин'!$J$122:$J$133,'2026_Мустафин'!EU122:EU133)</f>
        <v/>
      </c>
      <c r="CG7" s="195">
        <f>SUMPRODUCT('2026_Мустафин'!$J$122:$J$133,'2026_Мустафин'!EV122:EV133)</f>
        <v/>
      </c>
      <c r="CH7" s="194">
        <f>SUMPRODUCT('2026_Мустафин'!$J$122:$J$133,'2026_Мустафин'!EW122:EW133)</f>
        <v/>
      </c>
      <c r="CI7" s="194">
        <f>SUMPRODUCT('2026_Мустафин'!$J$122:$J$133,'2026_Мустафин'!EX122:EX133)</f>
        <v/>
      </c>
      <c r="CJ7" s="194">
        <f>SUMPRODUCT('2026_Мустафин'!$J$122:$J$133,'2026_Мустафин'!EY122:EY133)</f>
        <v/>
      </c>
      <c r="CK7" s="195">
        <f>SUMPRODUCT('2026_Мустафин'!$J$122:$J$133,'2026_Мустафин'!EZ122:EZ133)</f>
        <v/>
      </c>
      <c r="CL7" s="194">
        <f>SUMPRODUCT('2026_Мустафин'!$J$122:$J$133,'2026_Мустафин'!FA122:FA133)</f>
        <v/>
      </c>
      <c r="CM7" s="194">
        <f>SUMPRODUCT('2026_Мустафин'!$J$122:$J$133,'2026_Мустафин'!FB122:FB133)</f>
        <v/>
      </c>
      <c r="CN7" s="194">
        <f>SUMPRODUCT('2026_Мустафин'!$J$122:$J$133,'2026_Мустафин'!FC122:FC133)</f>
        <v/>
      </c>
      <c r="CO7" s="195">
        <f>SUMPRODUCT('2026_Мустафин'!$J$122:$J$133,'2026_Мустафин'!FD122:FD133)</f>
        <v/>
      </c>
      <c r="CP7" s="194">
        <f>SUMPRODUCT('2026_Мустафин'!$J$122:$J$133,'2026_Мустафин'!FE122:FE133)</f>
        <v/>
      </c>
      <c r="CQ7" s="194">
        <f>SUMPRODUCT('2026_Мустафин'!$J$122:$J$133,'2026_Мустафин'!FF122:FF133)</f>
        <v/>
      </c>
      <c r="CR7" s="194">
        <f>SUMPRODUCT('2026_Мустафин'!$J$122:$J$133,'2026_Мустафин'!FG122:FG133)</f>
        <v/>
      </c>
      <c r="CS7" s="195">
        <f>SUMPRODUCT('2026_Мустафин'!$J$122:$J$133,'2026_Мустафин'!FH122:FH133)</f>
        <v/>
      </c>
      <c r="CT7" s="194">
        <f>SUMPRODUCT('2026_Мустафин'!$J$122:$J$133,'2026_Мустафин'!FI122:FI133)</f>
        <v/>
      </c>
      <c r="CU7" s="194">
        <f>SUMPRODUCT('2026_Мустафин'!$J$122:$J$133,'2026_Мустафин'!FJ122:FJ133)</f>
        <v/>
      </c>
      <c r="CV7" s="194">
        <f>SUMPRODUCT('2026_Мустафин'!$J$122:$J$133,'2026_Мустафин'!FK122:FK133)</f>
        <v/>
      </c>
      <c r="CW7" s="195">
        <f>SUMPRODUCT('2026_Мустафин'!$J$122:$J$133,'2026_Мустафин'!FL122:FL133)</f>
        <v/>
      </c>
      <c r="CX7" s="194">
        <f>SUMPRODUCT('2026_Мустафин'!$J$122:$J$133,'2026_Мустафин'!FM122:FM133)</f>
        <v/>
      </c>
      <c r="CY7" s="194">
        <f>SUMPRODUCT('2026_Мустафин'!$J$122:$J$133,'2026_Мустафин'!FN122:FN133)</f>
        <v/>
      </c>
      <c r="CZ7" s="194">
        <f>SUMPRODUCT('2026_Мустафин'!$J$122:$J$133,'2026_Мустафин'!FO122:FO133)</f>
        <v/>
      </c>
      <c r="DA7" s="195">
        <f>SUMPRODUCT('2026_Мустафин'!$J$122:$J$133,'2026_Мустафин'!FP122:FP133)</f>
        <v/>
      </c>
      <c r="DB7" s="194">
        <f>SUMPRODUCT('2026_Мустафин'!$J$122:$J$133,'2026_Мустафин'!FQ122:FQ133)</f>
        <v/>
      </c>
      <c r="DC7" s="194">
        <f>SUMPRODUCT('2026_Мустафин'!$J$122:$J$133,'2026_Мустафин'!FR122:FR133)</f>
        <v/>
      </c>
      <c r="DD7" s="194">
        <f>SUMPRODUCT('2026_Мустафин'!$J$122:$J$133,'2026_Мустафин'!FS122:FS133)</f>
        <v/>
      </c>
      <c r="DE7" s="195">
        <f>SUMPRODUCT('2026_Мустафин'!$J$122:$J$133,'2026_Мустафин'!FT122:FT133)</f>
        <v/>
      </c>
      <c r="DF7" s="194">
        <f>SUMPRODUCT('2026_Мустафин'!$J$122:$J$133,'2026_Мустафин'!FU122:FU133)</f>
        <v/>
      </c>
      <c r="DG7" s="194">
        <f>SUMPRODUCT('2026_Мустафин'!$J$122:$J$133,'2026_Мустафин'!FV122:FV133)</f>
        <v/>
      </c>
      <c r="DH7" s="194">
        <f>SUMPRODUCT('2026_Мустафин'!$J$122:$J$133,'2026_Мустафин'!FW122:FW133)</f>
        <v/>
      </c>
      <c r="DI7" s="195">
        <f>SUMPRODUCT('2026_Мустафин'!$J$122:$J$133,'2026_Мустафин'!FX122:FX133)</f>
        <v/>
      </c>
      <c r="DJ7" s="194">
        <f>SUMPRODUCT('2026_Мустафин'!$J$122:$J$133,'2026_Мустафин'!FY122:FY133)</f>
        <v/>
      </c>
      <c r="DK7" s="194">
        <f>SUMPRODUCT('2026_Мустафин'!$J$122:$J$133,'2026_Мустафин'!FZ122:FZ133)</f>
        <v/>
      </c>
    </row>
    <row r="8">
      <c r="A8" s="192" t="inlineStr">
        <is>
          <t>Автодвор</t>
        </is>
      </c>
      <c r="B8" s="194">
        <f>SUMPRODUCT('2026_Мустафин'!$J$135:$J$146,'2026_Мустафин'!BQ135:BQ146)</f>
        <v/>
      </c>
      <c r="C8" s="194">
        <f>SUMPRODUCT('2026_Мустафин'!$J$135:$J$146,'2026_Мустафин'!BR135:BR146)</f>
        <v/>
      </c>
      <c r="D8" s="194">
        <f>SUMPRODUCT('2026_Мустафин'!$J$135:$J$146,'2026_Мустафин'!BS135:BS146)</f>
        <v/>
      </c>
      <c r="E8" s="194">
        <f>SUMPRODUCT('2026_Мустафин'!$J$135:$J$146,'2026_Мустафин'!BT135:BT146)</f>
        <v/>
      </c>
      <c r="F8" s="194">
        <f>SUMPRODUCT('2026_Мустафин'!$J$135:$J$146,'2026_Мустафин'!BU135:BU146)</f>
        <v/>
      </c>
      <c r="G8" s="194">
        <f>SUMPRODUCT('2026_Мустафин'!$J$135:$J$146,'2026_Мустафин'!BV135:BV146)</f>
        <v/>
      </c>
      <c r="H8" s="194">
        <f>SUMPRODUCT('2026_Мустафин'!$J$135:$J$146,'2026_Мустафин'!BW135:BW146)</f>
        <v/>
      </c>
      <c r="I8" s="194">
        <f>SUMPRODUCT('2026_Мустафин'!$J$135:$J$146,'2026_Мустафин'!BX135:BX146)</f>
        <v/>
      </c>
      <c r="J8" s="194">
        <f>SUMPRODUCT('2026_Мустафин'!$J$135:$J$146,'2026_Мустафин'!BY135:BY146)</f>
        <v/>
      </c>
      <c r="K8" s="194">
        <f>SUMPRODUCT('2026_Мустафин'!$J$135:$J$146,'2026_Мустафин'!BZ135:BZ146)</f>
        <v/>
      </c>
      <c r="L8" s="194">
        <f>SUMPRODUCT('2026_Мустафин'!$J$135:$J$146,'2026_Мустафин'!CA135:CA146)</f>
        <v/>
      </c>
      <c r="M8" s="194">
        <f>SUMPRODUCT('2026_Мустафин'!$J$135:$J$146,'2026_Мустафин'!CB135:CB146)</f>
        <v/>
      </c>
      <c r="N8" s="194">
        <f>SUMPRODUCT('2026_Мустафин'!$J$135:$J$146,'2026_Мустафин'!CC135:CC146)</f>
        <v/>
      </c>
      <c r="O8" s="194">
        <f>SUMPRODUCT('2026_Мустафин'!$J$135:$J$146,'2026_Мустафин'!CD135:CD146)</f>
        <v/>
      </c>
      <c r="P8" s="194">
        <f>SUMPRODUCT('2026_Мустафин'!$J$135:$J$146,'2026_Мустафин'!CE135:CE146)</f>
        <v/>
      </c>
      <c r="Q8" s="194">
        <f>SUMPRODUCT('2026_Мустафин'!$J$135:$J$146,'2026_Мустафин'!CF135:CF146)</f>
        <v/>
      </c>
      <c r="R8" s="194">
        <f>SUMPRODUCT('2026_Мустафин'!$J$135:$J$146,'2026_Мустафин'!CG135:CG146)</f>
        <v/>
      </c>
      <c r="S8" s="194">
        <f>SUMPRODUCT('2026_Мустафин'!$J$135:$J$146,'2026_Мустафин'!CH135:CH146)</f>
        <v/>
      </c>
      <c r="T8" s="194">
        <f>SUMPRODUCT('2026_Мустафин'!$J$135:$J$146,'2026_Мустафин'!CI135:CI146)</f>
        <v/>
      </c>
      <c r="U8" s="194">
        <f>SUMPRODUCT('2026_Мустафин'!$J$135:$J$146,'2026_Мустафин'!CJ135:CJ146)</f>
        <v/>
      </c>
      <c r="V8" s="194">
        <f>SUMPRODUCT('2026_Мустафин'!$J$135:$J$146,'2026_Мустафин'!CK135:CK146)</f>
        <v/>
      </c>
      <c r="W8" s="194">
        <f>SUMPRODUCT('2026_Мустафин'!$J$135:$J$146,'2026_Мустафин'!CL135:CL146)</f>
        <v/>
      </c>
      <c r="X8" s="194">
        <f>SUMPRODUCT('2026_Мустафин'!$J$135:$J$146,'2026_Мустафин'!CM135:CM146)</f>
        <v/>
      </c>
      <c r="Y8" s="194">
        <f>SUMPRODUCT('2026_Мустафин'!$J$135:$J$146,'2026_Мустафин'!CN135:CN146)</f>
        <v/>
      </c>
      <c r="Z8" s="194">
        <f>SUMPRODUCT('2026_Мустафин'!$J$135:$J$146,'2026_Мустафин'!CO135:CO146)</f>
        <v/>
      </c>
      <c r="AA8" s="194">
        <f>SUMPRODUCT('2026_Мустафин'!$J$135:$J$146,'2026_Мустафин'!CP135:CP146)</f>
        <v/>
      </c>
      <c r="AB8" s="194">
        <f>SUMPRODUCT('2026_Мустафин'!$J$135:$J$146,'2026_Мустафин'!CQ135:CQ146)</f>
        <v/>
      </c>
      <c r="AC8" s="194">
        <f>SUMPRODUCT('2026_Мустафин'!$J$135:$J$146,'2026_Мустафин'!CR135:CR146)</f>
        <v/>
      </c>
      <c r="AD8" s="194">
        <f>SUMPRODUCT('2026_Мустафин'!$J$135:$J$146,'2026_Мустафин'!CS135:CS146)</f>
        <v/>
      </c>
      <c r="AE8" s="194">
        <f>SUMPRODUCT('2026_Мустафин'!$J$135:$J$146,'2026_Мустафин'!CT135:CT146)</f>
        <v/>
      </c>
      <c r="AF8" s="194">
        <f>SUMPRODUCT('2026_Мустафин'!$J$135:$J$146,'2026_Мустафин'!CU135:CU146)</f>
        <v/>
      </c>
      <c r="AG8" s="194">
        <f>SUMPRODUCT('2026_Мустафин'!$J$135:$J$146,'2026_Мустафин'!CV135:CV146)</f>
        <v/>
      </c>
      <c r="AH8" s="194">
        <f>SUMPRODUCT('2026_Мустафин'!$J$135:$J$146,'2026_Мустафин'!CW135:CW146)</f>
        <v/>
      </c>
      <c r="AI8" s="194">
        <f>SUMPRODUCT('2026_Мустафин'!$J$135:$J$146,'2026_Мустафин'!CX135:CX146)</f>
        <v/>
      </c>
      <c r="AJ8" s="194">
        <f>SUMPRODUCT('2026_Мустафин'!$J$135:$J$146,'2026_Мустафин'!CY135:CY146)</f>
        <v/>
      </c>
      <c r="AK8" s="194">
        <f>SUMPRODUCT('2026_Мустафин'!$J$135:$J$146,'2026_Мустафин'!CZ135:CZ146)</f>
        <v/>
      </c>
      <c r="AL8" s="194">
        <f>SUMPRODUCT('2026_Мустафин'!$J$135:$J$146,'2026_Мустафин'!DA135:DA146)</f>
        <v/>
      </c>
      <c r="AM8" s="194">
        <f>SUMPRODUCT('2026_Мустафин'!$J$135:$J$146,'2026_Мустафин'!DB135:DB146)</f>
        <v/>
      </c>
      <c r="AN8" s="194">
        <f>SUMPRODUCT('2026_Мустафин'!$J$135:$J$146,'2026_Мустафин'!DC135:DC146)</f>
        <v/>
      </c>
      <c r="AO8" s="194">
        <f>SUMPRODUCT('2026_Мустафин'!$J$135:$J$146,'2026_Мустафин'!DD135:DD146)</f>
        <v/>
      </c>
      <c r="AP8" s="194">
        <f>SUMPRODUCT('2026_Мустафин'!$J$135:$J$146,'2026_Мустафин'!DE135:DE146)</f>
        <v/>
      </c>
      <c r="AQ8" s="194">
        <f>SUMPRODUCT('2026_Мустафин'!$J$135:$J$146,'2026_Мустафин'!DF135:DF146)</f>
        <v/>
      </c>
      <c r="AR8" s="194">
        <f>SUMPRODUCT('2026_Мустафин'!$J$135:$J$146,'2026_Мустафин'!DG135:DG146)</f>
        <v/>
      </c>
      <c r="AS8" s="194">
        <f>SUMPRODUCT('2026_Мустафин'!$J$135:$J$146,'2026_Мустафин'!DH135:DH146)</f>
        <v/>
      </c>
      <c r="AT8" s="194">
        <f>SUMPRODUCT('2026_Мустафин'!$J$135:$J$146,'2026_Мустафин'!DI135:DI146)</f>
        <v/>
      </c>
      <c r="AU8" s="194">
        <f>SUMPRODUCT('2026_Мустафин'!$J$135:$J$146,'2026_Мустафин'!DJ135:DJ146)</f>
        <v/>
      </c>
      <c r="AV8" s="194">
        <f>SUMPRODUCT('2026_Мустафин'!$J$135:$J$146,'2026_Мустафин'!DK135:DK146)</f>
        <v/>
      </c>
      <c r="AW8" s="194">
        <f>SUMPRODUCT('2026_Мустафин'!$J$135:$J$146,'2026_Мустафин'!DL135:DL146)</f>
        <v/>
      </c>
      <c r="AX8" s="194">
        <f>SUMPRODUCT('2026_Мустафин'!$J$135:$J$146,'2026_Мустафин'!DM135:DM146)</f>
        <v/>
      </c>
      <c r="AY8" s="194">
        <f>SUMPRODUCT('2026_Мустафин'!$J$135:$J$146,'2026_Мустафин'!DN135:DN146)</f>
        <v/>
      </c>
      <c r="AZ8" s="194">
        <f>SUMPRODUCT('2026_Мустафин'!$J$135:$J$146,'2026_Мустафин'!DO135:DO146)</f>
        <v/>
      </c>
      <c r="BA8" s="194">
        <f>SUMPRODUCT('2026_Мустафин'!$J$135:$J$146,'2026_Мустафин'!DP135:DP146)</f>
        <v/>
      </c>
      <c r="BB8" s="194">
        <f>SUMPRODUCT('2026_Мустафин'!$J$135:$J$146,'2026_Мустафин'!DQ135:DQ146)</f>
        <v/>
      </c>
      <c r="BC8" s="194">
        <f>SUMPRODUCT('2026_Мустафин'!$J$135:$J$146,'2026_Мустафин'!DR135:DR146)</f>
        <v/>
      </c>
      <c r="BD8" s="194">
        <f>SUMPRODUCT('2026_Мустафин'!$J$135:$J$146,'2026_Мустафин'!DS135:DS146)</f>
        <v/>
      </c>
      <c r="BE8" s="194">
        <f>SUMPRODUCT('2026_Мустафин'!$J$135:$J$146,'2026_Мустафин'!DT135:DT146)</f>
        <v/>
      </c>
      <c r="BF8" s="194">
        <f>SUMPRODUCT('2026_Мустафин'!$J$135:$J$146,'2026_Мустафин'!DU135:DU146)</f>
        <v/>
      </c>
      <c r="BG8" s="194">
        <f>SUMPRODUCT('2026_Мустафин'!$J$135:$J$146,'2026_Мустафин'!DV135:DV146)</f>
        <v/>
      </c>
      <c r="BH8" s="194">
        <f>SUMPRODUCT('2026_Мустафин'!$J$135:$J$146,'2026_Мустафин'!DW135:DW146)</f>
        <v/>
      </c>
      <c r="BI8" s="194">
        <f>SUMPRODUCT('2026_Мустафин'!$J$135:$J$146,'2026_Мустафин'!DX135:DX146)</f>
        <v/>
      </c>
      <c r="BJ8" s="194">
        <f>SUMPRODUCT('2026_Мустафин'!$J$135:$J$146,'2026_Мустафин'!DY135:DY146)</f>
        <v/>
      </c>
      <c r="BK8" s="194">
        <f>SUMPRODUCT('2026_Мустафин'!$J$135:$J$146,'2026_Мустафин'!DZ135:DZ146)</f>
        <v/>
      </c>
      <c r="BL8" s="194">
        <f>SUMPRODUCT('2026_Мустафин'!$J$135:$J$146,'2026_Мустафин'!EA135:EA146)</f>
        <v/>
      </c>
      <c r="BM8" s="194">
        <f>SUMPRODUCT('2026_Мустафин'!$J$135:$J$146,'2026_Мустафин'!EB135:EB146)</f>
        <v/>
      </c>
      <c r="BN8" s="194">
        <f>SUMPRODUCT('2026_Мустафин'!$J$135:$J$146,'2026_Мустафин'!EC135:EC146)</f>
        <v/>
      </c>
      <c r="BO8" s="194">
        <f>SUMPRODUCT('2026_Мустафин'!$J$135:$J$146,'2026_Мустафин'!ED135:ED146)</f>
        <v/>
      </c>
      <c r="BP8" s="194">
        <f>SUMPRODUCT('2026_Мустафин'!$J$135:$J$146,'2026_Мустафин'!EE135:EE146)</f>
        <v/>
      </c>
      <c r="BQ8" s="195">
        <f>SUMPRODUCT('2026_Мустафин'!$J$135:$J$146,'2026_Мустафин'!EF135:EF146)</f>
        <v/>
      </c>
      <c r="BR8" s="194">
        <f>SUMPRODUCT('2026_Мустафин'!$J$135:$J$146,'2026_Мустафин'!EG135:EG146)</f>
        <v/>
      </c>
      <c r="BS8" s="194">
        <f>SUMPRODUCT('2026_Мустафин'!$J$135:$J$146,'2026_Мустафин'!EH135:EH146)</f>
        <v/>
      </c>
      <c r="BT8" s="194">
        <f>SUMPRODUCT('2026_Мустафин'!$J$135:$J$146,'2026_Мустафин'!EI135:EI146)</f>
        <v/>
      </c>
      <c r="BU8" s="195">
        <f>SUMPRODUCT('2026_Мустафин'!$J$135:$J$146,'2026_Мустафин'!EJ135:EJ146)</f>
        <v/>
      </c>
      <c r="BV8" s="194">
        <f>SUMPRODUCT('2026_Мустафин'!$J$135:$J$146,'2026_Мустафин'!EK135:EK146)</f>
        <v/>
      </c>
      <c r="BW8" s="194">
        <f>SUMPRODUCT('2026_Мустафин'!$J$135:$J$146,'2026_Мустафин'!EL135:EL146)</f>
        <v/>
      </c>
      <c r="BX8" s="194">
        <f>SUMPRODUCT('2026_Мустафин'!$J$135:$J$146,'2026_Мустафин'!EM135:EM146)</f>
        <v/>
      </c>
      <c r="BY8" s="195">
        <f>SUMPRODUCT('2026_Мустафин'!$J$135:$J$146,'2026_Мустафин'!EN135:EN146)</f>
        <v/>
      </c>
      <c r="BZ8" s="194">
        <f>SUMPRODUCT('2026_Мустафин'!$J$135:$J$146,'2026_Мустафин'!EO135:EO146)</f>
        <v/>
      </c>
      <c r="CA8" s="194">
        <f>SUMPRODUCT('2026_Мустафин'!$J$135:$J$146,'2026_Мустафин'!EP135:EP146)</f>
        <v/>
      </c>
      <c r="CB8" s="194">
        <f>SUMPRODUCT('2026_Мустафин'!$J$135:$J$146,'2026_Мустафин'!EQ135:EQ146)</f>
        <v/>
      </c>
      <c r="CC8" s="195">
        <f>SUMPRODUCT('2026_Мустафин'!$J$135:$J$146,'2026_Мустафин'!ER135:ER146)</f>
        <v/>
      </c>
      <c r="CD8" s="194">
        <f>SUMPRODUCT('2026_Мустафин'!$J$135:$J$146,'2026_Мустафин'!ES135:ES146)</f>
        <v/>
      </c>
      <c r="CE8" s="194">
        <f>SUMPRODUCT('2026_Мустафин'!$J$135:$J$146,'2026_Мустафин'!ET135:ET146)</f>
        <v/>
      </c>
      <c r="CF8" s="194">
        <f>SUMPRODUCT('2026_Мустафин'!$J$135:$J$146,'2026_Мустафин'!EU135:EU146)</f>
        <v/>
      </c>
      <c r="CG8" s="195">
        <f>SUMPRODUCT('2026_Мустафин'!$J$135:$J$146,'2026_Мустафин'!EV135:EV146)</f>
        <v/>
      </c>
      <c r="CH8" s="194">
        <f>SUMPRODUCT('2026_Мустафин'!$J$135:$J$146,'2026_Мустафин'!EW135:EW146)</f>
        <v/>
      </c>
      <c r="CI8" s="194">
        <f>SUMPRODUCT('2026_Мустафин'!$J$135:$J$146,'2026_Мустафин'!EX135:EX146)</f>
        <v/>
      </c>
      <c r="CJ8" s="194">
        <f>SUMPRODUCT('2026_Мустафин'!$J$135:$J$146,'2026_Мустафин'!EY135:EY146)</f>
        <v/>
      </c>
      <c r="CK8" s="195">
        <f>SUMPRODUCT('2026_Мустафин'!$J$135:$J$146,'2026_Мустафин'!EZ135:EZ146)</f>
        <v/>
      </c>
      <c r="CL8" s="194">
        <f>SUMPRODUCT('2026_Мустафин'!$J$135:$J$146,'2026_Мустафин'!FA135:FA146)</f>
        <v/>
      </c>
      <c r="CM8" s="194">
        <f>SUMPRODUCT('2026_Мустафин'!$J$135:$J$146,'2026_Мустафин'!FB135:FB146)</f>
        <v/>
      </c>
      <c r="CN8" s="194">
        <f>SUMPRODUCT('2026_Мустафин'!$J$135:$J$146,'2026_Мустафин'!FC135:FC146)</f>
        <v/>
      </c>
      <c r="CO8" s="195">
        <f>SUMPRODUCT('2026_Мустафин'!$J$135:$J$146,'2026_Мустафин'!FD135:FD146)</f>
        <v/>
      </c>
      <c r="CP8" s="194">
        <f>SUMPRODUCT('2026_Мустафин'!$J$135:$J$146,'2026_Мустафин'!FE135:FE146)</f>
        <v/>
      </c>
      <c r="CQ8" s="194">
        <f>SUMPRODUCT('2026_Мустафин'!$J$135:$J$146,'2026_Мустафин'!FF135:FF146)</f>
        <v/>
      </c>
      <c r="CR8" s="194">
        <f>SUMPRODUCT('2026_Мустафин'!$J$135:$J$146,'2026_Мустафин'!FG135:FG146)</f>
        <v/>
      </c>
      <c r="CS8" s="195">
        <f>SUMPRODUCT('2026_Мустафин'!$J$135:$J$146,'2026_Мустафин'!FH135:FH146)</f>
        <v/>
      </c>
      <c r="CT8" s="194">
        <f>SUMPRODUCT('2026_Мустафин'!$J$135:$J$146,'2026_Мустафин'!FI135:FI146)</f>
        <v/>
      </c>
      <c r="CU8" s="194">
        <f>SUMPRODUCT('2026_Мустафин'!$J$135:$J$146,'2026_Мустафин'!FJ135:FJ146)</f>
        <v/>
      </c>
      <c r="CV8" s="194">
        <f>SUMPRODUCT('2026_Мустафин'!$J$135:$J$146,'2026_Мустафин'!FK135:FK146)</f>
        <v/>
      </c>
      <c r="CW8" s="195">
        <f>SUMPRODUCT('2026_Мустафин'!$J$135:$J$146,'2026_Мустафин'!FL135:FL146)</f>
        <v/>
      </c>
      <c r="CX8" s="194">
        <f>SUMPRODUCT('2026_Мустафин'!$J$135:$J$146,'2026_Мустафин'!FM135:FM146)</f>
        <v/>
      </c>
      <c r="CY8" s="194">
        <f>SUMPRODUCT('2026_Мустафин'!$J$135:$J$146,'2026_Мустафин'!FN135:FN146)</f>
        <v/>
      </c>
      <c r="CZ8" s="194">
        <f>SUMPRODUCT('2026_Мустафин'!$J$135:$J$146,'2026_Мустафин'!FO135:FO146)</f>
        <v/>
      </c>
      <c r="DA8" s="195">
        <f>SUMPRODUCT('2026_Мустафин'!$J$135:$J$146,'2026_Мустафин'!FP135:FP146)</f>
        <v/>
      </c>
      <c r="DB8" s="194">
        <f>SUMPRODUCT('2026_Мустафин'!$J$135:$J$146,'2026_Мустафин'!FQ135:FQ146)</f>
        <v/>
      </c>
      <c r="DC8" s="194">
        <f>SUMPRODUCT('2026_Мустафин'!$J$135:$J$146,'2026_Мустафин'!FR135:FR146)</f>
        <v/>
      </c>
      <c r="DD8" s="194">
        <f>SUMPRODUCT('2026_Мустафин'!$J$135:$J$146,'2026_Мустафин'!FS135:FS146)</f>
        <v/>
      </c>
      <c r="DE8" s="195">
        <f>SUMPRODUCT('2026_Мустафин'!$J$135:$J$146,'2026_Мустафин'!FT135:FT146)</f>
        <v/>
      </c>
      <c r="DF8" s="194">
        <f>SUMPRODUCT('2026_Мустафин'!$J$135:$J$146,'2026_Мустафин'!FU135:FU146)</f>
        <v/>
      </c>
      <c r="DG8" s="194">
        <f>SUMPRODUCT('2026_Мустафин'!$J$135:$J$146,'2026_Мустафин'!FV135:FV146)</f>
        <v/>
      </c>
      <c r="DH8" s="194">
        <f>SUMPRODUCT('2026_Мустафин'!$J$135:$J$146,'2026_Мустафин'!FW135:FW146)</f>
        <v/>
      </c>
      <c r="DI8" s="195">
        <f>SUMPRODUCT('2026_Мустафин'!$J$135:$J$146,'2026_Мустафин'!FX135:FX146)</f>
        <v/>
      </c>
      <c r="DJ8" s="194">
        <f>SUMPRODUCT('2026_Мустафин'!$J$135:$J$146,'2026_Мустафин'!FY135:FY146)</f>
        <v/>
      </c>
      <c r="DK8" s="194">
        <f>SUMPRODUCT('2026_Мустафин'!$J$135:$J$146,'2026_Мустафин'!FZ135:FZ146)</f>
        <v/>
      </c>
    </row>
    <row r="9">
      <c r="A9" s="192" t="inlineStr">
        <is>
          <t>АтласТрейлер</t>
        </is>
      </c>
      <c r="B9" s="194">
        <f>SUMPRODUCT('2026_Мустафин'!$J$148:$J$165,'2026_Мустафин'!BQ148:BQ165)</f>
        <v/>
      </c>
      <c r="C9" s="194">
        <f>SUMPRODUCT('2026_Мустафин'!$J$148:$J$165,'2026_Мустафин'!BR148:BR165)</f>
        <v/>
      </c>
      <c r="D9" s="194">
        <f>SUMPRODUCT('2026_Мустафин'!$J$148:$J$165,'2026_Мустафин'!BS148:BS165)</f>
        <v/>
      </c>
      <c r="E9" s="194">
        <f>SUMPRODUCT('2026_Мустафин'!$J$148:$J$165,'2026_Мустафин'!BT148:BT165)</f>
        <v/>
      </c>
      <c r="F9" s="194">
        <f>SUMPRODUCT('2026_Мустафин'!$J$148:$J$165,'2026_Мустафин'!BU148:BU165)</f>
        <v/>
      </c>
      <c r="G9" s="194">
        <f>SUMPRODUCT('2026_Мустафин'!$J$148:$J$165,'2026_Мустафин'!BV148:BV165)</f>
        <v/>
      </c>
      <c r="H9" s="194">
        <f>SUMPRODUCT('2026_Мустафин'!$J$148:$J$165,'2026_Мустафин'!BW148:BW165)</f>
        <v/>
      </c>
      <c r="I9" s="194">
        <f>SUMPRODUCT('2026_Мустафин'!$J$148:$J$165,'2026_Мустафин'!BX148:BX165)</f>
        <v/>
      </c>
      <c r="J9" s="194">
        <f>SUMPRODUCT('2026_Мустафин'!$J$148:$J$165,'2026_Мустафин'!BY148:BY165)</f>
        <v/>
      </c>
      <c r="K9" s="194">
        <f>SUMPRODUCT('2026_Мустафин'!$J$148:$J$165,'2026_Мустафин'!BZ148:BZ165)</f>
        <v/>
      </c>
      <c r="L9" s="194">
        <f>SUMPRODUCT('2026_Мустафин'!$J$148:$J$165,'2026_Мустафин'!CA148:CA165)</f>
        <v/>
      </c>
      <c r="M9" s="194">
        <f>SUMPRODUCT('2026_Мустафин'!$J$148:$J$165,'2026_Мустафин'!CB148:CB165)</f>
        <v/>
      </c>
      <c r="N9" s="194">
        <f>SUMPRODUCT('2026_Мустафин'!$J$148:$J$165,'2026_Мустафин'!CC148:CC165)</f>
        <v/>
      </c>
      <c r="O9" s="194">
        <f>SUMPRODUCT('2026_Мустафин'!$J$148:$J$165,'2026_Мустафин'!CD148:CD165)</f>
        <v/>
      </c>
      <c r="P9" s="194">
        <f>SUMPRODUCT('2026_Мустафин'!$J$148:$J$165,'2026_Мустафин'!CE148:CE165)</f>
        <v/>
      </c>
      <c r="Q9" s="194">
        <f>SUMPRODUCT('2026_Мустафин'!$J$148:$J$165,'2026_Мустафин'!CF148:CF165)</f>
        <v/>
      </c>
      <c r="R9" s="194">
        <f>SUMPRODUCT('2026_Мустафин'!$J$148:$J$165,'2026_Мустафин'!CG148:CG165)</f>
        <v/>
      </c>
      <c r="S9" s="194">
        <f>SUMPRODUCT('2026_Мустафин'!$J$148:$J$165,'2026_Мустафин'!CH148:CH165)</f>
        <v/>
      </c>
      <c r="T9" s="194">
        <f>SUMPRODUCT('2026_Мустафин'!$J$148:$J$165,'2026_Мустафин'!CI148:CI165)</f>
        <v/>
      </c>
      <c r="U9" s="194">
        <f>SUMPRODUCT('2026_Мустафин'!$J$148:$J$165,'2026_Мустафин'!CJ148:CJ165)</f>
        <v/>
      </c>
      <c r="V9" s="194">
        <f>SUMPRODUCT('2026_Мустафин'!$J$148:$J$165,'2026_Мустафин'!CK148:CK165)</f>
        <v/>
      </c>
      <c r="W9" s="194">
        <f>SUMPRODUCT('2026_Мустафин'!$J$148:$J$165,'2026_Мустафин'!CL148:CL165)</f>
        <v/>
      </c>
      <c r="X9" s="194">
        <f>SUMPRODUCT('2026_Мустафин'!$J$148:$J$165,'2026_Мустафин'!CM148:CM165)</f>
        <v/>
      </c>
      <c r="Y9" s="194">
        <f>SUMPRODUCT('2026_Мустафин'!$J$148:$J$165,'2026_Мустафин'!CN148:CN165)</f>
        <v/>
      </c>
      <c r="Z9" s="194">
        <f>SUMPRODUCT('2026_Мустафин'!$J$148:$J$165,'2026_Мустафин'!CO148:CO165)</f>
        <v/>
      </c>
      <c r="AA9" s="194">
        <f>SUMPRODUCT('2026_Мустафин'!$J$148:$J$165,'2026_Мустафин'!CP148:CP165)</f>
        <v/>
      </c>
      <c r="AB9" s="194">
        <f>SUMPRODUCT('2026_Мустафин'!$J$148:$J$165,'2026_Мустафин'!CQ148:CQ165)</f>
        <v/>
      </c>
      <c r="AC9" s="194">
        <f>SUMPRODUCT('2026_Мустафин'!$J$148:$J$165,'2026_Мустафин'!CR148:CR165)</f>
        <v/>
      </c>
      <c r="AD9" s="194">
        <f>SUMPRODUCT('2026_Мустафин'!$J$148:$J$165,'2026_Мустафин'!CS148:CS165)</f>
        <v/>
      </c>
      <c r="AE9" s="194">
        <f>SUMPRODUCT('2026_Мустафин'!$J$148:$J$165,'2026_Мустафин'!CT148:CT165)</f>
        <v/>
      </c>
      <c r="AF9" s="194">
        <f>SUMPRODUCT('2026_Мустафин'!$J$148:$J$165,'2026_Мустафин'!CU148:CU165)</f>
        <v/>
      </c>
      <c r="AG9" s="194">
        <f>SUMPRODUCT('2026_Мустафин'!$J$148:$J$165,'2026_Мустафин'!CV148:CV165)</f>
        <v/>
      </c>
      <c r="AH9" s="194">
        <f>SUMPRODUCT('2026_Мустафин'!$J$148:$J$165,'2026_Мустафин'!CW148:CW165)</f>
        <v/>
      </c>
      <c r="AI9" s="194">
        <f>SUMPRODUCT('2026_Мустафин'!$J$148:$J$165,'2026_Мустафин'!CX148:CX165)</f>
        <v/>
      </c>
      <c r="AJ9" s="194">
        <f>SUMPRODUCT('2026_Мустафин'!$J$148:$J$165,'2026_Мустафин'!CY148:CY165)</f>
        <v/>
      </c>
      <c r="AK9" s="194">
        <f>SUMPRODUCT('2026_Мустафин'!$J$148:$J$165,'2026_Мустафин'!CZ148:CZ165)</f>
        <v/>
      </c>
      <c r="AL9" s="194">
        <f>SUMPRODUCT('2026_Мустафин'!$J$148:$J$165,'2026_Мустафин'!DA148:DA165)</f>
        <v/>
      </c>
      <c r="AM9" s="194">
        <f>SUMPRODUCT('2026_Мустафин'!$J$148:$J$165,'2026_Мустафин'!DB148:DB165)</f>
        <v/>
      </c>
      <c r="AN9" s="194">
        <f>SUMPRODUCT('2026_Мустафин'!$J$148:$J$165,'2026_Мустафин'!DC148:DC165)</f>
        <v/>
      </c>
      <c r="AO9" s="194">
        <f>SUMPRODUCT('2026_Мустафин'!$J$148:$J$165,'2026_Мустафин'!DD148:DD165)</f>
        <v/>
      </c>
      <c r="AP9" s="194">
        <f>SUMPRODUCT('2026_Мустафин'!$J$148:$J$165,'2026_Мустафин'!DE148:DE165)</f>
        <v/>
      </c>
      <c r="AQ9" s="194">
        <f>SUMPRODUCT('2026_Мустафин'!$J$148:$J$165,'2026_Мустафин'!DF148:DF165)</f>
        <v/>
      </c>
      <c r="AR9" s="194">
        <f>SUMPRODUCT('2026_Мустафин'!$J$148:$J$165,'2026_Мустафин'!DG148:DG165)</f>
        <v/>
      </c>
      <c r="AS9" s="194">
        <f>SUMPRODUCT('2026_Мустафин'!$J$148:$J$165,'2026_Мустафин'!DH148:DH165)</f>
        <v/>
      </c>
      <c r="AT9" s="194">
        <f>SUMPRODUCT('2026_Мустафин'!$J$148:$J$165,'2026_Мустафин'!DI148:DI165)</f>
        <v/>
      </c>
      <c r="AU9" s="194">
        <f>SUMPRODUCT('2026_Мустафин'!$J$148:$J$165,'2026_Мустафин'!DJ148:DJ165)</f>
        <v/>
      </c>
      <c r="AV9" s="194">
        <f>SUMPRODUCT('2026_Мустафин'!$J$148:$J$165,'2026_Мустафин'!DK148:DK165)</f>
        <v/>
      </c>
      <c r="AW9" s="194">
        <f>SUMPRODUCT('2026_Мустафин'!$J$148:$J$165,'2026_Мустафин'!DL148:DL165)</f>
        <v/>
      </c>
      <c r="AX9" s="194">
        <f>SUMPRODUCT('2026_Мустафин'!$J$148:$J$165,'2026_Мустафин'!DM148:DM165)</f>
        <v/>
      </c>
      <c r="AY9" s="194">
        <f>SUMPRODUCT('2026_Мустафин'!$J$148:$J$165,'2026_Мустафин'!DN148:DN165)</f>
        <v/>
      </c>
      <c r="AZ9" s="194">
        <f>SUMPRODUCT('2026_Мустафин'!$J$148:$J$165,'2026_Мустафин'!DO148:DO165)</f>
        <v/>
      </c>
      <c r="BA9" s="194">
        <f>SUMPRODUCT('2026_Мустафин'!$J$148:$J$165,'2026_Мустафин'!DP148:DP165)</f>
        <v/>
      </c>
      <c r="BB9" s="194">
        <f>SUMPRODUCT('2026_Мустафин'!$J$148:$J$165,'2026_Мустафин'!DQ148:DQ165)</f>
        <v/>
      </c>
      <c r="BC9" s="194">
        <f>SUMPRODUCT('2026_Мустафин'!$J$148:$J$165,'2026_Мустафин'!DR148:DR165)</f>
        <v/>
      </c>
      <c r="BD9" s="194">
        <f>SUMPRODUCT('2026_Мустафин'!$J$148:$J$165,'2026_Мустафин'!DS148:DS165)</f>
        <v/>
      </c>
      <c r="BE9" s="194">
        <f>SUMPRODUCT('2026_Мустафин'!$J$148:$J$165,'2026_Мустафин'!DT148:DT165)</f>
        <v/>
      </c>
      <c r="BF9" s="194">
        <f>SUMPRODUCT('2026_Мустафин'!$J$148:$J$165,'2026_Мустафин'!DU148:DU165)</f>
        <v/>
      </c>
      <c r="BG9" s="194">
        <f>SUMPRODUCT('2026_Мустафин'!$J$148:$J$165,'2026_Мустафин'!DV148:DV165)</f>
        <v/>
      </c>
      <c r="BH9" s="194">
        <f>SUMPRODUCT('2026_Мустафин'!$J$148:$J$165,'2026_Мустафин'!DW148:DW165)</f>
        <v/>
      </c>
      <c r="BI9" s="194">
        <f>SUMPRODUCT('2026_Мустафин'!$J$148:$J$165,'2026_Мустафин'!DX148:DX165)</f>
        <v/>
      </c>
      <c r="BJ9" s="194">
        <f>SUMPRODUCT('2026_Мустафин'!$J$148:$J$165,'2026_Мустафин'!DY148:DY165)</f>
        <v/>
      </c>
      <c r="BK9" s="194">
        <f>SUMPRODUCT('2026_Мустафин'!$J$148:$J$165,'2026_Мустафин'!DZ148:DZ165)</f>
        <v/>
      </c>
      <c r="BL9" s="194">
        <f>SUMPRODUCT('2026_Мустафин'!$J$148:$J$165,'2026_Мустафин'!EA148:EA165)</f>
        <v/>
      </c>
      <c r="BM9" s="194">
        <f>SUMPRODUCT('2026_Мустафин'!$J$148:$J$165,'2026_Мустафин'!EB148:EB165)</f>
        <v/>
      </c>
      <c r="BN9" s="194">
        <f>SUMPRODUCT('2026_Мустафин'!$J$148:$J$165,'2026_Мустафин'!EC148:EC165)</f>
        <v/>
      </c>
      <c r="BO9" s="194">
        <f>SUMPRODUCT('2026_Мустафин'!$J$148:$J$165,'2026_Мустафин'!ED148:ED165)</f>
        <v/>
      </c>
      <c r="BP9" s="194">
        <f>SUMPRODUCT('2026_Мустафин'!$J$148:$J$165,'2026_Мустафин'!EE148:EE165)</f>
        <v/>
      </c>
      <c r="BQ9" s="195">
        <f>SUMPRODUCT('2026_Мустафин'!$J$148:$J$165,'2026_Мустафин'!EF148:EF165)</f>
        <v/>
      </c>
      <c r="BR9" s="194">
        <f>SUMPRODUCT('2026_Мустафин'!$J$148:$J$165,'2026_Мустафин'!EG148:EG165)</f>
        <v/>
      </c>
      <c r="BS9" s="194">
        <f>SUMPRODUCT('2026_Мустафин'!$J$148:$J$165,'2026_Мустафин'!EH148:EH165)</f>
        <v/>
      </c>
      <c r="BT9" s="194">
        <f>SUMPRODUCT('2026_Мустафин'!$J$148:$J$165,'2026_Мустафин'!EI148:EI165)</f>
        <v/>
      </c>
      <c r="BU9" s="195">
        <f>SUMPRODUCT('2026_Мустафин'!$J$148:$J$165,'2026_Мустафин'!EJ148:EJ165)</f>
        <v/>
      </c>
      <c r="BV9" s="194">
        <f>SUMPRODUCT('2026_Мустафин'!$J$148:$J$165,'2026_Мустафин'!EK148:EK165)</f>
        <v/>
      </c>
      <c r="BW9" s="194">
        <f>SUMPRODUCT('2026_Мустафин'!$J$148:$J$165,'2026_Мустафин'!EL148:EL165)</f>
        <v/>
      </c>
      <c r="BX9" s="194">
        <f>SUMPRODUCT('2026_Мустафин'!$J$148:$J$165,'2026_Мустафин'!EM148:EM165)</f>
        <v/>
      </c>
      <c r="BY9" s="195">
        <f>SUMPRODUCT('2026_Мустафин'!$J$148:$J$165,'2026_Мустафин'!EN148:EN165)</f>
        <v/>
      </c>
      <c r="BZ9" s="194">
        <f>SUMPRODUCT('2026_Мустафин'!$J$148:$J$165,'2026_Мустафин'!EO148:EO165)</f>
        <v/>
      </c>
      <c r="CA9" s="194">
        <f>SUMPRODUCT('2026_Мустафин'!$J$148:$J$165,'2026_Мустафин'!EP148:EP165)</f>
        <v/>
      </c>
      <c r="CB9" s="194">
        <f>SUMPRODUCT('2026_Мустафин'!$J$148:$J$165,'2026_Мустафин'!EQ148:EQ165)</f>
        <v/>
      </c>
      <c r="CC9" s="195">
        <f>SUMPRODUCT('2026_Мустафин'!$J$148:$J$165,'2026_Мустафин'!ER148:ER165)</f>
        <v/>
      </c>
      <c r="CD9" s="194">
        <f>SUMPRODUCT('2026_Мустафин'!$J$148:$J$165,'2026_Мустафин'!ES148:ES165)</f>
        <v/>
      </c>
      <c r="CE9" s="194">
        <f>SUMPRODUCT('2026_Мустафин'!$J$148:$J$165,'2026_Мустафин'!ET148:ET165)</f>
        <v/>
      </c>
      <c r="CF9" s="194">
        <f>SUMPRODUCT('2026_Мустафин'!$J$148:$J$165,'2026_Мустафин'!EU148:EU165)</f>
        <v/>
      </c>
      <c r="CG9" s="195">
        <f>SUMPRODUCT('2026_Мустафин'!$J$148:$J$165,'2026_Мустафин'!EV148:EV165)</f>
        <v/>
      </c>
      <c r="CH9" s="194">
        <f>SUMPRODUCT('2026_Мустафин'!$J$148:$J$165,'2026_Мустафин'!EW148:EW165)</f>
        <v/>
      </c>
      <c r="CI9" s="194">
        <f>SUMPRODUCT('2026_Мустафин'!$J$148:$J$165,'2026_Мустафин'!EX148:EX165)</f>
        <v/>
      </c>
      <c r="CJ9" s="194">
        <f>SUMPRODUCT('2026_Мустафин'!$J$148:$J$165,'2026_Мустафин'!EY148:EY165)</f>
        <v/>
      </c>
      <c r="CK9" s="195">
        <f>SUMPRODUCT('2026_Мустафин'!$J$148:$J$165,'2026_Мустафин'!EZ148:EZ165)</f>
        <v/>
      </c>
      <c r="CL9" s="194">
        <f>SUMPRODUCT('2026_Мустафин'!$J$148:$J$165,'2026_Мустафин'!FA148:FA165)</f>
        <v/>
      </c>
      <c r="CM9" s="194">
        <f>SUMPRODUCT('2026_Мустафин'!$J$148:$J$165,'2026_Мустафин'!FB148:FB165)</f>
        <v/>
      </c>
      <c r="CN9" s="194">
        <f>SUMPRODUCT('2026_Мустафин'!$J$148:$J$165,'2026_Мустафин'!FC148:FC165)</f>
        <v/>
      </c>
      <c r="CO9" s="195">
        <f>SUMPRODUCT('2026_Мустафин'!$J$148:$J$165,'2026_Мустафин'!FD148:FD165)</f>
        <v/>
      </c>
      <c r="CP9" s="194">
        <f>SUMPRODUCT('2026_Мустафин'!$J$148:$J$165,'2026_Мустафин'!FE148:FE165)</f>
        <v/>
      </c>
      <c r="CQ9" s="194">
        <f>SUMPRODUCT('2026_Мустафин'!$J$148:$J$165,'2026_Мустафин'!FF148:FF165)</f>
        <v/>
      </c>
      <c r="CR9" s="194">
        <f>SUMPRODUCT('2026_Мустафин'!$J$148:$J$165,'2026_Мустафин'!FG148:FG165)</f>
        <v/>
      </c>
      <c r="CS9" s="195">
        <f>SUMPRODUCT('2026_Мустафин'!$J$148:$J$165,'2026_Мустафин'!FH148:FH165)</f>
        <v/>
      </c>
      <c r="CT9" s="194">
        <f>SUMPRODUCT('2026_Мустафин'!$J$148:$J$165,'2026_Мустафин'!FI148:FI165)</f>
        <v/>
      </c>
      <c r="CU9" s="194">
        <f>SUMPRODUCT('2026_Мустафин'!$J$148:$J$165,'2026_Мустафин'!FJ148:FJ165)</f>
        <v/>
      </c>
      <c r="CV9" s="194">
        <f>SUMPRODUCT('2026_Мустафин'!$J$148:$J$165,'2026_Мустафин'!FK148:FK165)</f>
        <v/>
      </c>
      <c r="CW9" s="195">
        <f>SUMPRODUCT('2026_Мустафин'!$J$148:$J$165,'2026_Мустафин'!FL148:FL165)</f>
        <v/>
      </c>
      <c r="CX9" s="194">
        <f>SUMPRODUCT('2026_Мустафин'!$J$148:$J$165,'2026_Мустафин'!FM148:FM165)</f>
        <v/>
      </c>
      <c r="CY9" s="194">
        <f>SUMPRODUCT('2026_Мустафин'!$J$148:$J$165,'2026_Мустафин'!FN148:FN165)</f>
        <v/>
      </c>
      <c r="CZ9" s="194">
        <f>SUMPRODUCT('2026_Мустафин'!$J$148:$J$165,'2026_Мустафин'!FO148:FO165)</f>
        <v/>
      </c>
      <c r="DA9" s="195">
        <f>SUMPRODUCT('2026_Мустафин'!$J$148:$J$165,'2026_Мустафин'!FP148:FP165)</f>
        <v/>
      </c>
      <c r="DB9" s="194">
        <f>SUMPRODUCT('2026_Мустафин'!$J$148:$J$165,'2026_Мустафин'!FQ148:FQ165)</f>
        <v/>
      </c>
      <c r="DC9" s="194">
        <f>SUMPRODUCT('2026_Мустафин'!$J$148:$J$165,'2026_Мустафин'!FR148:FR165)</f>
        <v/>
      </c>
      <c r="DD9" s="194">
        <f>SUMPRODUCT('2026_Мустафин'!$J$148:$J$165,'2026_Мустафин'!FS148:FS165)</f>
        <v/>
      </c>
      <c r="DE9" s="195">
        <f>SUMPRODUCT('2026_Мустафин'!$J$148:$J$165,'2026_Мустафин'!FT148:FT165)</f>
        <v/>
      </c>
      <c r="DF9" s="194">
        <f>SUMPRODUCT('2026_Мустафин'!$J$148:$J$165,'2026_Мустафин'!FU148:FU165)</f>
        <v/>
      </c>
      <c r="DG9" s="194">
        <f>SUMPRODUCT('2026_Мустафин'!$J$148:$J$165,'2026_Мустафин'!FV148:FV165)</f>
        <v/>
      </c>
      <c r="DH9" s="194">
        <f>SUMPRODUCT('2026_Мустафин'!$J$148:$J$165,'2026_Мустафин'!FW148:FW165)</f>
        <v/>
      </c>
      <c r="DI9" s="195">
        <f>SUMPRODUCT('2026_Мустафин'!$J$148:$J$165,'2026_Мустафин'!FX148:FX165)</f>
        <v/>
      </c>
      <c r="DJ9" s="194">
        <f>SUMPRODUCT('2026_Мустафин'!$J$148:$J$165,'2026_Мустафин'!FY148:FY165)</f>
        <v/>
      </c>
      <c r="DK9" s="194">
        <f>SUMPRODUCT('2026_Мустафин'!$J$148:$J$165,'2026_Мустафин'!FZ148:FZ165)</f>
        <v/>
      </c>
    </row>
    <row r="10">
      <c r="A10" s="192" t="inlineStr">
        <is>
          <t>Феникс</t>
        </is>
      </c>
      <c r="B10" s="194">
        <f>SUMPRODUCT('2026_Мустафин'!$J$167:$J$180,'2026_Мустафин'!BQ167:BQ180)</f>
        <v/>
      </c>
      <c r="C10" s="194">
        <f>SUMPRODUCT('2026_Мустафин'!$J$167:$J$180,'2026_Мустафин'!BR167:BR180)</f>
        <v/>
      </c>
      <c r="D10" s="194">
        <f>SUMPRODUCT('2026_Мустафин'!$J$167:$J$180,'2026_Мустафин'!BS167:BS180)</f>
        <v/>
      </c>
      <c r="E10" s="194">
        <f>SUMPRODUCT('2026_Мустафин'!$J$167:$J$180,'2026_Мустафин'!BT167:BT180)</f>
        <v/>
      </c>
      <c r="F10" s="194">
        <f>SUMPRODUCT('2026_Мустафин'!$J$167:$J$180,'2026_Мустафин'!BU167:BU180)</f>
        <v/>
      </c>
      <c r="G10" s="194">
        <f>SUMPRODUCT('2026_Мустафин'!$J$167:$J$180,'2026_Мустафин'!BV167:BV180)</f>
        <v/>
      </c>
      <c r="H10" s="194">
        <f>SUMPRODUCT('2026_Мустафин'!$J$167:$J$180,'2026_Мустафин'!BW167:BW180)</f>
        <v/>
      </c>
      <c r="I10" s="194">
        <f>SUMPRODUCT('2026_Мустафин'!$J$167:$J$180,'2026_Мустафин'!BX167:BX180)</f>
        <v/>
      </c>
      <c r="J10" s="194">
        <f>SUMPRODUCT('2026_Мустафин'!$J$167:$J$180,'2026_Мустафин'!BY167:BY180)</f>
        <v/>
      </c>
      <c r="K10" s="194">
        <f>SUMPRODUCT('2026_Мустафин'!$J$167:$J$180,'2026_Мустафин'!BZ167:BZ180)</f>
        <v/>
      </c>
      <c r="L10" s="194">
        <f>SUMPRODUCT('2026_Мустафин'!$J$167:$J$180,'2026_Мустафин'!CA167:CA180)</f>
        <v/>
      </c>
      <c r="M10" s="194">
        <f>SUMPRODUCT('2026_Мустафин'!$J$167:$J$180,'2026_Мустафин'!CB167:CB180)</f>
        <v/>
      </c>
      <c r="N10" s="194">
        <f>SUMPRODUCT('2026_Мустафин'!$J$167:$J$180,'2026_Мустафин'!CC167:CC180)</f>
        <v/>
      </c>
      <c r="O10" s="194">
        <f>SUMPRODUCT('2026_Мустафин'!$J$167:$J$180,'2026_Мустафин'!CD167:CD180)</f>
        <v/>
      </c>
      <c r="P10" s="194">
        <f>SUMPRODUCT('2026_Мустафин'!$J$167:$J$180,'2026_Мустафин'!CE167:CE180)</f>
        <v/>
      </c>
      <c r="Q10" s="194">
        <f>SUMPRODUCT('2026_Мустафин'!$J$167:$J$180,'2026_Мустафин'!CF167:CF180)</f>
        <v/>
      </c>
      <c r="R10" s="194">
        <f>SUMPRODUCT('2026_Мустафин'!$J$167:$J$180,'2026_Мустафин'!CG167:CG180)</f>
        <v/>
      </c>
      <c r="S10" s="194">
        <f>SUMPRODUCT('2026_Мустафин'!$J$167:$J$180,'2026_Мустафин'!CH167:CH180)</f>
        <v/>
      </c>
      <c r="T10" s="194">
        <f>SUMPRODUCT('2026_Мустафин'!$J$167:$J$180,'2026_Мустафин'!CI167:CI180)</f>
        <v/>
      </c>
      <c r="U10" s="194">
        <f>SUMPRODUCT('2026_Мустафин'!$J$167:$J$180,'2026_Мустафин'!CJ167:CJ180)</f>
        <v/>
      </c>
      <c r="V10" s="194">
        <f>SUMPRODUCT('2026_Мустафин'!$J$167:$J$180,'2026_Мустафин'!CK167:CK180)</f>
        <v/>
      </c>
      <c r="W10" s="194">
        <f>SUMPRODUCT('2026_Мустафин'!$J$167:$J$180,'2026_Мустафин'!CL167:CL180)</f>
        <v/>
      </c>
      <c r="X10" s="194">
        <f>SUMPRODUCT('2026_Мустафин'!$J$167:$J$180,'2026_Мустафин'!CM167:CM180)</f>
        <v/>
      </c>
      <c r="Y10" s="194">
        <f>SUMPRODUCT('2026_Мустафин'!$J$167:$J$180,'2026_Мустафин'!CN167:CN180)</f>
        <v/>
      </c>
      <c r="Z10" s="194">
        <f>SUMPRODUCT('2026_Мустафин'!$J$167:$J$180,'2026_Мустафин'!CO167:CO180)</f>
        <v/>
      </c>
      <c r="AA10" s="194">
        <f>SUMPRODUCT('2026_Мустафин'!$J$167:$J$180,'2026_Мустафин'!CP167:CP180)</f>
        <v/>
      </c>
      <c r="AB10" s="194">
        <f>SUMPRODUCT('2026_Мустафин'!$J$167:$J$180,'2026_Мустафин'!CQ167:CQ180)</f>
        <v/>
      </c>
      <c r="AC10" s="194">
        <f>SUMPRODUCT('2026_Мустафин'!$J$167:$J$180,'2026_Мустафин'!CR167:CR180)</f>
        <v/>
      </c>
      <c r="AD10" s="194">
        <f>SUMPRODUCT('2026_Мустафин'!$J$167:$J$180,'2026_Мустафин'!CS167:CS180)</f>
        <v/>
      </c>
      <c r="AE10" s="194">
        <f>SUMPRODUCT('2026_Мустафин'!$J$167:$J$180,'2026_Мустафин'!CT167:CT180)</f>
        <v/>
      </c>
      <c r="AF10" s="194">
        <f>SUMPRODUCT('2026_Мустафин'!$J$167:$J$180,'2026_Мустафин'!CU167:CU180)</f>
        <v/>
      </c>
      <c r="AG10" s="194">
        <f>SUMPRODUCT('2026_Мустафин'!$J$167:$J$180,'2026_Мустафин'!CV167:CV180)</f>
        <v/>
      </c>
      <c r="AH10" s="194">
        <f>SUMPRODUCT('2026_Мустафин'!$J$167:$J$180,'2026_Мустафин'!CW167:CW180)</f>
        <v/>
      </c>
      <c r="AI10" s="194">
        <f>SUMPRODUCT('2026_Мустафин'!$J$167:$J$180,'2026_Мустафин'!CX167:CX180)</f>
        <v/>
      </c>
      <c r="AJ10" s="194">
        <f>SUMPRODUCT('2026_Мустафин'!$J$167:$J$180,'2026_Мустафин'!CY167:CY180)</f>
        <v/>
      </c>
      <c r="AK10" s="194">
        <f>SUMPRODUCT('2026_Мустафин'!$J$167:$J$180,'2026_Мустафин'!CZ167:CZ180)</f>
        <v/>
      </c>
      <c r="AL10" s="194">
        <f>SUMPRODUCT('2026_Мустафин'!$J$167:$J$180,'2026_Мустафин'!DA167:DA180)</f>
        <v/>
      </c>
      <c r="AM10" s="194">
        <f>SUMPRODUCT('2026_Мустафин'!$J$167:$J$180,'2026_Мустафин'!DB167:DB180)</f>
        <v/>
      </c>
      <c r="AN10" s="194">
        <f>SUMPRODUCT('2026_Мустафин'!$J$167:$J$180,'2026_Мустафин'!DC167:DC180)</f>
        <v/>
      </c>
      <c r="AO10" s="194">
        <f>SUMPRODUCT('2026_Мустафин'!$J$167:$J$180,'2026_Мустафин'!DD167:DD180)</f>
        <v/>
      </c>
      <c r="AP10" s="194">
        <f>SUMPRODUCT('2026_Мустафин'!$J$167:$J$180,'2026_Мустафин'!DE167:DE180)</f>
        <v/>
      </c>
      <c r="AQ10" s="194">
        <f>SUMPRODUCT('2026_Мустафин'!$J$167:$J$180,'2026_Мустафин'!DF167:DF180)</f>
        <v/>
      </c>
      <c r="AR10" s="194">
        <f>SUMPRODUCT('2026_Мустафин'!$J$167:$J$180,'2026_Мустафин'!DG167:DG180)</f>
        <v/>
      </c>
      <c r="AS10" s="194">
        <f>SUMPRODUCT('2026_Мустафин'!$J$167:$J$180,'2026_Мустафин'!DH167:DH180)</f>
        <v/>
      </c>
      <c r="AT10" s="194">
        <f>SUMPRODUCT('2026_Мустафин'!$J$167:$J$180,'2026_Мустафин'!DI167:DI180)</f>
        <v/>
      </c>
      <c r="AU10" s="194">
        <f>SUMPRODUCT('2026_Мустафин'!$J$167:$J$180,'2026_Мустафин'!DJ167:DJ180)</f>
        <v/>
      </c>
      <c r="AV10" s="194">
        <f>SUMPRODUCT('2026_Мустафин'!$J$167:$J$180,'2026_Мустафин'!DK167:DK180)</f>
        <v/>
      </c>
      <c r="AW10" s="194">
        <f>SUMPRODUCT('2026_Мустафин'!$J$167:$J$180,'2026_Мустафин'!DL167:DL180)</f>
        <v/>
      </c>
      <c r="AX10" s="194">
        <f>SUMPRODUCT('2026_Мустафин'!$J$167:$J$180,'2026_Мустафин'!DM167:DM180)</f>
        <v/>
      </c>
      <c r="AY10" s="194">
        <f>SUMPRODUCT('2026_Мустафин'!$J$167:$J$180,'2026_Мустафин'!DN167:DN180)</f>
        <v/>
      </c>
      <c r="AZ10" s="194">
        <f>SUMPRODUCT('2026_Мустафин'!$J$167:$J$180,'2026_Мустафин'!DO167:DO180)</f>
        <v/>
      </c>
      <c r="BA10" s="194">
        <f>SUMPRODUCT('2026_Мустафин'!$J$167:$J$180,'2026_Мустафин'!DP167:DP180)</f>
        <v/>
      </c>
      <c r="BB10" s="194">
        <f>SUMPRODUCT('2026_Мустафин'!$J$167:$J$180,'2026_Мустафин'!DQ167:DQ180)</f>
        <v/>
      </c>
      <c r="BC10" s="194">
        <f>SUMPRODUCT('2026_Мустафин'!$J$167:$J$180,'2026_Мустафин'!DR167:DR180)</f>
        <v/>
      </c>
      <c r="BD10" s="194">
        <f>SUMPRODUCT('2026_Мустафин'!$J$167:$J$180,'2026_Мустафин'!DS167:DS180)</f>
        <v/>
      </c>
      <c r="BE10" s="194">
        <f>SUMPRODUCT('2026_Мустафин'!$J$167:$J$180,'2026_Мустафин'!DT167:DT180)</f>
        <v/>
      </c>
      <c r="BF10" s="194">
        <f>SUMPRODUCT('2026_Мустафин'!$J$167:$J$180,'2026_Мустафин'!DU167:DU180)</f>
        <v/>
      </c>
      <c r="BG10" s="194">
        <f>SUMPRODUCT('2026_Мустафин'!$J$167:$J$180,'2026_Мустафин'!DV167:DV180)</f>
        <v/>
      </c>
      <c r="BH10" s="194">
        <f>SUMPRODUCT('2026_Мустафин'!$J$167:$J$180,'2026_Мустафин'!DW167:DW180)</f>
        <v/>
      </c>
      <c r="BI10" s="194">
        <f>SUMPRODUCT('2026_Мустафин'!$J$167:$J$180,'2026_Мустафин'!DX167:DX180)</f>
        <v/>
      </c>
      <c r="BJ10" s="194">
        <f>SUMPRODUCT('2026_Мустафин'!$J$167:$J$180,'2026_Мустафин'!DY167:DY180)</f>
        <v/>
      </c>
      <c r="BK10" s="194">
        <f>SUMPRODUCT('2026_Мустафин'!$J$167:$J$180,'2026_Мустафин'!DZ167:DZ180)</f>
        <v/>
      </c>
      <c r="BL10" s="194">
        <f>SUMPRODUCT('2026_Мустафин'!$J$167:$J$180,'2026_Мустафин'!EA167:EA180)</f>
        <v/>
      </c>
      <c r="BM10" s="194">
        <f>SUMPRODUCT('2026_Мустафин'!$J$167:$J$180,'2026_Мустафин'!EB167:EB180)</f>
        <v/>
      </c>
      <c r="BN10" s="194">
        <f>SUMPRODUCT('2026_Мустафин'!$J$167:$J$180,'2026_Мустафин'!EC167:EC180)</f>
        <v/>
      </c>
      <c r="BO10" s="194">
        <f>SUMPRODUCT('2026_Мустафин'!$J$167:$J$180,'2026_Мустафин'!ED167:ED180)</f>
        <v/>
      </c>
      <c r="BP10" s="194">
        <f>SUMPRODUCT('2026_Мустафин'!$J$167:$J$180,'2026_Мустафин'!EE167:EE180)</f>
        <v/>
      </c>
      <c r="BQ10" s="195">
        <f>SUMPRODUCT('2026_Мустафин'!$J$167:$J$180,'2026_Мустафин'!EF167:EF180)</f>
        <v/>
      </c>
      <c r="BR10" s="194">
        <f>SUMPRODUCT('2026_Мустафин'!$J$167:$J$180,'2026_Мустафин'!EG167:EG180)</f>
        <v/>
      </c>
      <c r="BS10" s="194">
        <f>SUMPRODUCT('2026_Мустафин'!$J$167:$J$180,'2026_Мустафин'!EH167:EH180)</f>
        <v/>
      </c>
      <c r="BT10" s="194">
        <f>SUMPRODUCT('2026_Мустафин'!$J$167:$J$180,'2026_Мустафин'!EI167:EI180)</f>
        <v/>
      </c>
      <c r="BU10" s="195">
        <f>SUMPRODUCT('2026_Мустафин'!$J$167:$J$180,'2026_Мустафин'!EJ167:EJ180)</f>
        <v/>
      </c>
      <c r="BV10" s="194">
        <f>SUMPRODUCT('2026_Мустафин'!$J$167:$J$180,'2026_Мустафин'!EK167:EK180)</f>
        <v/>
      </c>
      <c r="BW10" s="194">
        <f>SUMPRODUCT('2026_Мустафин'!$J$167:$J$180,'2026_Мустафин'!EL167:EL180)</f>
        <v/>
      </c>
      <c r="BX10" s="194">
        <f>SUMPRODUCT('2026_Мустафин'!$J$167:$J$180,'2026_Мустафин'!EM167:EM180)</f>
        <v/>
      </c>
      <c r="BY10" s="195">
        <f>SUMPRODUCT('2026_Мустафин'!$J$167:$J$180,'2026_Мустафин'!EN167:EN180)</f>
        <v/>
      </c>
      <c r="BZ10" s="194">
        <f>SUMPRODUCT('2026_Мустафин'!$J$167:$J$180,'2026_Мустафин'!EO167:EO180)</f>
        <v/>
      </c>
      <c r="CA10" s="194">
        <f>SUMPRODUCT('2026_Мустафин'!$J$167:$J$180,'2026_Мустафин'!EP167:EP180)</f>
        <v/>
      </c>
      <c r="CB10" s="194">
        <f>SUMPRODUCT('2026_Мустафин'!$J$167:$J$180,'2026_Мустафин'!EQ167:EQ180)</f>
        <v/>
      </c>
      <c r="CC10" s="195">
        <f>SUMPRODUCT('2026_Мустафин'!$J$167:$J$180,'2026_Мустафин'!ER167:ER180)</f>
        <v/>
      </c>
      <c r="CD10" s="194">
        <f>SUMPRODUCT('2026_Мустафин'!$J$167:$J$180,'2026_Мустафин'!ES167:ES180)</f>
        <v/>
      </c>
      <c r="CE10" s="194">
        <f>SUMPRODUCT('2026_Мустафин'!$J$167:$J$180,'2026_Мустафин'!ET167:ET180)</f>
        <v/>
      </c>
      <c r="CF10" s="194">
        <f>SUMPRODUCT('2026_Мустафин'!$J$167:$J$180,'2026_Мустафин'!EU167:EU180)</f>
        <v/>
      </c>
      <c r="CG10" s="195">
        <f>SUMPRODUCT('2026_Мустафин'!$J$167:$J$180,'2026_Мустафин'!EV167:EV180)</f>
        <v/>
      </c>
      <c r="CH10" s="194">
        <f>SUMPRODUCT('2026_Мустафин'!$J$167:$J$180,'2026_Мустафин'!EW167:EW180)</f>
        <v/>
      </c>
      <c r="CI10" s="194">
        <f>SUMPRODUCT('2026_Мустафин'!$J$167:$J$180,'2026_Мустафин'!EX167:EX180)</f>
        <v/>
      </c>
      <c r="CJ10" s="194">
        <f>SUMPRODUCT('2026_Мустафин'!$J$167:$J$180,'2026_Мустафин'!EY167:EY180)</f>
        <v/>
      </c>
      <c r="CK10" s="195">
        <f>SUMPRODUCT('2026_Мустафин'!$J$167:$J$180,'2026_Мустафин'!EZ167:EZ180)</f>
        <v/>
      </c>
      <c r="CL10" s="194">
        <f>SUMPRODUCT('2026_Мустафин'!$J$167:$J$180,'2026_Мустафин'!FA167:FA180)</f>
        <v/>
      </c>
      <c r="CM10" s="194">
        <f>SUMPRODUCT('2026_Мустафин'!$J$167:$J$180,'2026_Мустафин'!FB167:FB180)</f>
        <v/>
      </c>
      <c r="CN10" s="194">
        <f>SUMPRODUCT('2026_Мустафин'!$J$167:$J$180,'2026_Мустафин'!FC167:FC180)</f>
        <v/>
      </c>
      <c r="CO10" s="195">
        <f>SUMPRODUCT('2026_Мустафин'!$J$167:$J$180,'2026_Мустафин'!FD167:FD180)</f>
        <v/>
      </c>
      <c r="CP10" s="194">
        <f>SUMPRODUCT('2026_Мустафин'!$J$167:$J$180,'2026_Мустафин'!FE167:FE180)</f>
        <v/>
      </c>
      <c r="CQ10" s="194">
        <f>SUMPRODUCT('2026_Мустафин'!$J$167:$J$180,'2026_Мустафин'!FF167:FF180)</f>
        <v/>
      </c>
      <c r="CR10" s="194">
        <f>SUMPRODUCT('2026_Мустафин'!$J$167:$J$180,'2026_Мустафин'!FG167:FG180)</f>
        <v/>
      </c>
      <c r="CS10" s="195">
        <f>SUMPRODUCT('2026_Мустафин'!$J$167:$J$180,'2026_Мустафин'!FH167:FH180)</f>
        <v/>
      </c>
      <c r="CT10" s="194">
        <f>SUMPRODUCT('2026_Мустафин'!$J$167:$J$180,'2026_Мустафин'!FI167:FI180)</f>
        <v/>
      </c>
      <c r="CU10" s="194">
        <f>SUMPRODUCT('2026_Мустафин'!$J$167:$J$180,'2026_Мустафин'!FJ167:FJ180)</f>
        <v/>
      </c>
      <c r="CV10" s="194">
        <f>SUMPRODUCT('2026_Мустафин'!$J$167:$J$180,'2026_Мустафин'!FK167:FK180)</f>
        <v/>
      </c>
      <c r="CW10" s="195">
        <f>SUMPRODUCT('2026_Мустафин'!$J$167:$J$180,'2026_Мустафин'!FL167:FL180)</f>
        <v/>
      </c>
      <c r="CX10" s="194">
        <f>SUMPRODUCT('2026_Мустафин'!$J$167:$J$180,'2026_Мустафин'!FM167:FM180)</f>
        <v/>
      </c>
      <c r="CY10" s="194">
        <f>SUMPRODUCT('2026_Мустафин'!$J$167:$J$180,'2026_Мустафин'!FN167:FN180)</f>
        <v/>
      </c>
      <c r="CZ10" s="194">
        <f>SUMPRODUCT('2026_Мустафин'!$J$167:$J$180,'2026_Мустафин'!FO167:FO180)</f>
        <v/>
      </c>
      <c r="DA10" s="195">
        <f>SUMPRODUCT('2026_Мустафин'!$J$167:$J$180,'2026_Мустафин'!FP167:FP180)</f>
        <v/>
      </c>
      <c r="DB10" s="194">
        <f>SUMPRODUCT('2026_Мустафин'!$J$167:$J$180,'2026_Мустафин'!FQ167:FQ180)</f>
        <v/>
      </c>
      <c r="DC10" s="194">
        <f>SUMPRODUCT('2026_Мустафин'!$J$167:$J$180,'2026_Мустафин'!FR167:FR180)</f>
        <v/>
      </c>
      <c r="DD10" s="194">
        <f>SUMPRODUCT('2026_Мустафин'!$J$167:$J$180,'2026_Мустафин'!FS167:FS180)</f>
        <v/>
      </c>
      <c r="DE10" s="195">
        <f>SUMPRODUCT('2026_Мустафин'!$J$167:$J$180,'2026_Мустафин'!FT167:FT180)</f>
        <v/>
      </c>
      <c r="DF10" s="194">
        <f>SUMPRODUCT('2026_Мустафин'!$J$167:$J$180,'2026_Мустафин'!FU167:FU180)</f>
        <v/>
      </c>
      <c r="DG10" s="194">
        <f>SUMPRODUCT('2026_Мустафин'!$J$167:$J$180,'2026_Мустафин'!FV167:FV180)</f>
        <v/>
      </c>
      <c r="DH10" s="194">
        <f>SUMPRODUCT('2026_Мустафин'!$J$167:$J$180,'2026_Мустафин'!FW167:FW180)</f>
        <v/>
      </c>
      <c r="DI10" s="195">
        <f>SUMPRODUCT('2026_Мустафин'!$J$167:$J$180,'2026_Мустафин'!FX167:FX180)</f>
        <v/>
      </c>
      <c r="DJ10" s="194">
        <f>SUMPRODUCT('2026_Мустафин'!$J$167:$J$180,'2026_Мустафин'!FY167:FY180)</f>
        <v/>
      </c>
      <c r="DK10" s="194">
        <f>SUMPRODUCT('2026_Мустафин'!$J$167:$J$180,'2026_Мустафин'!FZ167:FZ180)</f>
        <v/>
      </c>
    </row>
    <row r="11">
      <c r="A11" s="192" t="inlineStr">
        <is>
          <t>Мегатрон</t>
        </is>
      </c>
      <c r="B11" s="194">
        <f>SUMPRODUCT('2026_Мустафин'!$J$182:$J$193,'2026_Мустафин'!BQ182:BQ193)</f>
        <v/>
      </c>
      <c r="C11" s="194">
        <f>SUMPRODUCT('2026_Мустафин'!$J$182:$J$193,'2026_Мустафин'!BR182:BR193)</f>
        <v/>
      </c>
      <c r="D11" s="194">
        <f>SUMPRODUCT('2026_Мустафин'!$J$182:$J$193,'2026_Мустафин'!BS182:BS193)</f>
        <v/>
      </c>
      <c r="E11" s="194">
        <f>SUMPRODUCT('2026_Мустафин'!$J$182:$J$193,'2026_Мустафин'!BT182:BT193)</f>
        <v/>
      </c>
      <c r="F11" s="194">
        <f>SUMPRODUCT('2026_Мустафин'!$J$182:$J$193,'2026_Мустафин'!BU182:BU193)</f>
        <v/>
      </c>
      <c r="G11" s="194">
        <f>SUMPRODUCT('2026_Мустафин'!$J$182:$J$193,'2026_Мустафин'!BV182:BV193)</f>
        <v/>
      </c>
      <c r="H11" s="194">
        <f>SUMPRODUCT('2026_Мустафин'!$J$182:$J$193,'2026_Мустафин'!BW182:BW193)</f>
        <v/>
      </c>
      <c r="I11" s="194">
        <f>SUMPRODUCT('2026_Мустафин'!$J$182:$J$193,'2026_Мустафин'!BX182:BX193)</f>
        <v/>
      </c>
      <c r="J11" s="194">
        <f>SUMPRODUCT('2026_Мустафин'!$J$182:$J$193,'2026_Мустафин'!BY182:BY193)</f>
        <v/>
      </c>
      <c r="K11" s="194">
        <f>SUMPRODUCT('2026_Мустафин'!$J$182:$J$193,'2026_Мустафин'!BZ182:BZ193)</f>
        <v/>
      </c>
      <c r="L11" s="194">
        <f>SUMPRODUCT('2026_Мустафин'!$J$182:$J$193,'2026_Мустафин'!CA182:CA193)</f>
        <v/>
      </c>
      <c r="M11" s="194">
        <f>SUMPRODUCT('2026_Мустафин'!$J$182:$J$193,'2026_Мустафин'!CB182:CB193)</f>
        <v/>
      </c>
      <c r="N11" s="194">
        <f>SUMPRODUCT('2026_Мустафин'!$J$182:$J$193,'2026_Мустафин'!CC182:CC193)</f>
        <v/>
      </c>
      <c r="O11" s="194">
        <f>SUMPRODUCT('2026_Мустафин'!$J$182:$J$193,'2026_Мустафин'!CD182:CD193)</f>
        <v/>
      </c>
      <c r="P11" s="194">
        <f>SUMPRODUCT('2026_Мустафин'!$J$182:$J$193,'2026_Мустафин'!CE182:CE193)</f>
        <v/>
      </c>
      <c r="Q11" s="194">
        <f>SUMPRODUCT('2026_Мустафин'!$J$182:$J$193,'2026_Мустафин'!CF182:CF193)</f>
        <v/>
      </c>
      <c r="R11" s="194">
        <f>SUMPRODUCT('2026_Мустафин'!$J$182:$J$193,'2026_Мустафин'!CG182:CG193)</f>
        <v/>
      </c>
      <c r="S11" s="194">
        <f>SUMPRODUCT('2026_Мустафин'!$J$182:$J$193,'2026_Мустафин'!CH182:CH193)</f>
        <v/>
      </c>
      <c r="T11" s="194">
        <f>SUMPRODUCT('2026_Мустафин'!$J$182:$J$193,'2026_Мустафин'!CI182:CI193)</f>
        <v/>
      </c>
      <c r="U11" s="194">
        <f>SUMPRODUCT('2026_Мустафин'!$J$182:$J$193,'2026_Мустафин'!CJ182:CJ193)</f>
        <v/>
      </c>
      <c r="V11" s="194">
        <f>SUMPRODUCT('2026_Мустафин'!$J$182:$J$193,'2026_Мустафин'!CK182:CK193)</f>
        <v/>
      </c>
      <c r="W11" s="194">
        <f>SUMPRODUCT('2026_Мустафин'!$J$182:$J$193,'2026_Мустафин'!CL182:CL193)</f>
        <v/>
      </c>
      <c r="X11" s="194">
        <f>SUMPRODUCT('2026_Мустафин'!$J$182:$J$193,'2026_Мустафин'!CM182:CM193)</f>
        <v/>
      </c>
      <c r="Y11" s="194">
        <f>SUMPRODUCT('2026_Мустафин'!$J$182:$J$193,'2026_Мустафин'!CN182:CN193)</f>
        <v/>
      </c>
      <c r="Z11" s="194">
        <f>SUMPRODUCT('2026_Мустафин'!$J$182:$J$193,'2026_Мустафин'!CO182:CO193)</f>
        <v/>
      </c>
      <c r="AA11" s="194">
        <f>SUMPRODUCT('2026_Мустафин'!$J$182:$J$193,'2026_Мустафин'!CP182:CP193)</f>
        <v/>
      </c>
      <c r="AB11" s="194">
        <f>SUMPRODUCT('2026_Мустафин'!$J$182:$J$193,'2026_Мустафин'!CQ182:CQ193)</f>
        <v/>
      </c>
      <c r="AC11" s="194">
        <f>SUMPRODUCT('2026_Мустафин'!$J$182:$J$193,'2026_Мустафин'!CR182:CR193)</f>
        <v/>
      </c>
      <c r="AD11" s="194">
        <f>SUMPRODUCT('2026_Мустафин'!$J$182:$J$193,'2026_Мустафин'!CS182:CS193)</f>
        <v/>
      </c>
      <c r="AE11" s="194">
        <f>SUMPRODUCT('2026_Мустафин'!$J$182:$J$193,'2026_Мустафин'!CT182:CT193)</f>
        <v/>
      </c>
      <c r="AF11" s="194">
        <f>SUMPRODUCT('2026_Мустафин'!$J$182:$J$193,'2026_Мустафин'!CU182:CU193)</f>
        <v/>
      </c>
      <c r="AG11" s="194">
        <f>SUMPRODUCT('2026_Мустафин'!$J$182:$J$193,'2026_Мустафин'!CV182:CV193)</f>
        <v/>
      </c>
      <c r="AH11" s="194">
        <f>SUMPRODUCT('2026_Мустафин'!$J$182:$J$193,'2026_Мустафин'!CW182:CW193)</f>
        <v/>
      </c>
      <c r="AI11" s="194">
        <f>SUMPRODUCT('2026_Мустафин'!$J$182:$J$193,'2026_Мустафин'!CX182:CX193)</f>
        <v/>
      </c>
      <c r="AJ11" s="194">
        <f>SUMPRODUCT('2026_Мустафин'!$J$182:$J$193,'2026_Мустафин'!CY182:CY193)</f>
        <v/>
      </c>
      <c r="AK11" s="194">
        <f>SUMPRODUCT('2026_Мустафин'!$J$182:$J$193,'2026_Мустафин'!CZ182:CZ193)</f>
        <v/>
      </c>
      <c r="AL11" s="194">
        <f>SUMPRODUCT('2026_Мустафин'!$J$182:$J$193,'2026_Мустафин'!DA182:DA193)</f>
        <v/>
      </c>
      <c r="AM11" s="194">
        <f>SUMPRODUCT('2026_Мустафин'!$J$182:$J$193,'2026_Мустафин'!DB182:DB193)</f>
        <v/>
      </c>
      <c r="AN11" s="194">
        <f>SUMPRODUCT('2026_Мустафин'!$J$182:$J$193,'2026_Мустафин'!DC182:DC193)</f>
        <v/>
      </c>
      <c r="AO11" s="194">
        <f>SUMPRODUCT('2026_Мустафин'!$J$182:$J$193,'2026_Мустафин'!DD182:DD193)</f>
        <v/>
      </c>
      <c r="AP11" s="194">
        <f>SUMPRODUCT('2026_Мустафин'!$J$182:$J$193,'2026_Мустафин'!DE182:DE193)</f>
        <v/>
      </c>
      <c r="AQ11" s="194">
        <f>SUMPRODUCT('2026_Мустафин'!$J$182:$J$193,'2026_Мустафин'!DF182:DF193)</f>
        <v/>
      </c>
      <c r="AR11" s="194">
        <f>SUMPRODUCT('2026_Мустафин'!$J$182:$J$193,'2026_Мустафин'!DG182:DG193)</f>
        <v/>
      </c>
      <c r="AS11" s="194">
        <f>SUMPRODUCT('2026_Мустафин'!$J$182:$J$193,'2026_Мустафин'!DH182:DH193)</f>
        <v/>
      </c>
      <c r="AT11" s="194">
        <f>SUMPRODUCT('2026_Мустафин'!$J$182:$J$193,'2026_Мустафин'!DI182:DI193)</f>
        <v/>
      </c>
      <c r="AU11" s="194">
        <f>SUMPRODUCT('2026_Мустафин'!$J$182:$J$193,'2026_Мустафин'!DJ182:DJ193)</f>
        <v/>
      </c>
      <c r="AV11" s="194">
        <f>SUMPRODUCT('2026_Мустафин'!$J$182:$J$193,'2026_Мустафин'!DK182:DK193)</f>
        <v/>
      </c>
      <c r="AW11" s="194">
        <f>SUMPRODUCT('2026_Мустафин'!$J$182:$J$193,'2026_Мустафин'!DL182:DL193)</f>
        <v/>
      </c>
      <c r="AX11" s="194">
        <f>SUMPRODUCT('2026_Мустафин'!$J$182:$J$193,'2026_Мустафин'!DM182:DM193)</f>
        <v/>
      </c>
      <c r="AY11" s="194">
        <f>SUMPRODUCT('2026_Мустафин'!$J$182:$J$193,'2026_Мустафин'!DN182:DN193)</f>
        <v/>
      </c>
      <c r="AZ11" s="194">
        <f>SUMPRODUCT('2026_Мустафин'!$J$182:$J$193,'2026_Мустафин'!DO182:DO193)</f>
        <v/>
      </c>
      <c r="BA11" s="194">
        <f>SUMPRODUCT('2026_Мустафин'!$J$182:$J$193,'2026_Мустафин'!DP182:DP193)</f>
        <v/>
      </c>
      <c r="BB11" s="194">
        <f>SUMPRODUCT('2026_Мустафин'!$J$182:$J$193,'2026_Мустафин'!DQ182:DQ193)</f>
        <v/>
      </c>
      <c r="BC11" s="194">
        <f>SUMPRODUCT('2026_Мустафин'!$J$182:$J$193,'2026_Мустафин'!DR182:DR193)</f>
        <v/>
      </c>
      <c r="BD11" s="194">
        <f>SUMPRODUCT('2026_Мустафин'!$J$182:$J$193,'2026_Мустафин'!DS182:DS193)</f>
        <v/>
      </c>
      <c r="BE11" s="194">
        <f>SUMPRODUCT('2026_Мустафин'!$J$182:$J$193,'2026_Мустафин'!DT182:DT193)</f>
        <v/>
      </c>
      <c r="BF11" s="194">
        <f>SUMPRODUCT('2026_Мустафин'!$J$182:$J$193,'2026_Мустафин'!DU182:DU193)</f>
        <v/>
      </c>
      <c r="BG11" s="194">
        <f>SUMPRODUCT('2026_Мустафин'!$J$182:$J$193,'2026_Мустафин'!DV182:DV193)</f>
        <v/>
      </c>
      <c r="BH11" s="194">
        <f>SUMPRODUCT('2026_Мустафин'!$J$182:$J$193,'2026_Мустафин'!DW182:DW193)</f>
        <v/>
      </c>
      <c r="BI11" s="194">
        <f>SUMPRODUCT('2026_Мустафин'!$J$182:$J$193,'2026_Мустафин'!DX182:DX193)</f>
        <v/>
      </c>
      <c r="BJ11" s="194">
        <f>SUMPRODUCT('2026_Мустафин'!$J$182:$J$193,'2026_Мустафин'!DY182:DY193)</f>
        <v/>
      </c>
      <c r="BK11" s="194">
        <f>SUMPRODUCT('2026_Мустафин'!$J$182:$J$193,'2026_Мустафин'!DZ182:DZ193)</f>
        <v/>
      </c>
      <c r="BL11" s="194">
        <f>SUMPRODUCT('2026_Мустафин'!$J$182:$J$193,'2026_Мустафин'!EA182:EA193)</f>
        <v/>
      </c>
      <c r="BM11" s="194">
        <f>SUMPRODUCT('2026_Мустафин'!$J$182:$J$193,'2026_Мустафин'!EB182:EB193)</f>
        <v/>
      </c>
      <c r="BN11" s="194">
        <f>SUMPRODUCT('2026_Мустафин'!$J$182:$J$193,'2026_Мустафин'!EC182:EC193)</f>
        <v/>
      </c>
      <c r="BO11" s="194">
        <f>SUMPRODUCT('2026_Мустафин'!$J$182:$J$193,'2026_Мустафин'!ED182:ED193)</f>
        <v/>
      </c>
      <c r="BP11" s="194">
        <f>SUMPRODUCT('2026_Мустафин'!$J$182:$J$193,'2026_Мустафин'!EE182:EE193)</f>
        <v/>
      </c>
      <c r="BQ11" s="195">
        <f>SUMPRODUCT('2026_Мустафин'!$J$182:$J$193,'2026_Мустафин'!EF182:EF193)</f>
        <v/>
      </c>
      <c r="BR11" s="194">
        <f>SUMPRODUCT('2026_Мустафин'!$J$182:$J$193,'2026_Мустафин'!EG182:EG193)</f>
        <v/>
      </c>
      <c r="BS11" s="194">
        <f>SUMPRODUCT('2026_Мустафин'!$J$182:$J$193,'2026_Мустафин'!EH182:EH193)</f>
        <v/>
      </c>
      <c r="BT11" s="194">
        <f>SUMPRODUCT('2026_Мустафин'!$J$182:$J$193,'2026_Мустафин'!EI182:EI193)</f>
        <v/>
      </c>
      <c r="BU11" s="195">
        <f>SUMPRODUCT('2026_Мустафин'!$J$182:$J$193,'2026_Мустафин'!EJ182:EJ193)</f>
        <v/>
      </c>
      <c r="BV11" s="194">
        <f>SUMPRODUCT('2026_Мустафин'!$J$182:$J$193,'2026_Мустафин'!EK182:EK193)</f>
        <v/>
      </c>
      <c r="BW11" s="194">
        <f>SUMPRODUCT('2026_Мустафин'!$J$182:$J$193,'2026_Мустафин'!EL182:EL193)</f>
        <v/>
      </c>
      <c r="BX11" s="194">
        <f>SUMPRODUCT('2026_Мустафин'!$J$182:$J$193,'2026_Мустафин'!EM182:EM193)</f>
        <v/>
      </c>
      <c r="BY11" s="195">
        <f>SUMPRODUCT('2026_Мустафин'!$J$182:$J$193,'2026_Мустафин'!EN182:EN193)</f>
        <v/>
      </c>
      <c r="BZ11" s="194">
        <f>SUMPRODUCT('2026_Мустафин'!$J$182:$J$193,'2026_Мустафин'!EO182:EO193)</f>
        <v/>
      </c>
      <c r="CA11" s="194">
        <f>SUMPRODUCT('2026_Мустафин'!$J$182:$J$193,'2026_Мустафин'!EP182:EP193)</f>
        <v/>
      </c>
      <c r="CB11" s="194">
        <f>SUMPRODUCT('2026_Мустафин'!$J$182:$J$193,'2026_Мустафин'!EQ182:EQ193)</f>
        <v/>
      </c>
      <c r="CC11" s="195">
        <f>SUMPRODUCT('2026_Мустафин'!$J$182:$J$193,'2026_Мустафин'!ER182:ER193)</f>
        <v/>
      </c>
      <c r="CD11" s="194">
        <f>SUMPRODUCT('2026_Мустафин'!$J$182:$J$193,'2026_Мустафин'!ES182:ES193)</f>
        <v/>
      </c>
      <c r="CE11" s="194">
        <f>SUMPRODUCT('2026_Мустафин'!$J$182:$J$193,'2026_Мустафин'!ET182:ET193)</f>
        <v/>
      </c>
      <c r="CF11" s="194">
        <f>SUMPRODUCT('2026_Мустафин'!$J$182:$J$193,'2026_Мустафин'!EU182:EU193)</f>
        <v/>
      </c>
      <c r="CG11" s="195">
        <f>SUMPRODUCT('2026_Мустафин'!$J$182:$J$193,'2026_Мустафин'!EV182:EV193)</f>
        <v/>
      </c>
      <c r="CH11" s="194">
        <f>SUMPRODUCT('2026_Мустафин'!$J$182:$J$193,'2026_Мустафин'!EW182:EW193)</f>
        <v/>
      </c>
      <c r="CI11" s="194">
        <f>SUMPRODUCT('2026_Мустафин'!$J$182:$J$193,'2026_Мустафин'!EX182:EX193)</f>
        <v/>
      </c>
      <c r="CJ11" s="194">
        <f>SUMPRODUCT('2026_Мустафин'!$J$182:$J$193,'2026_Мустафин'!EY182:EY193)</f>
        <v/>
      </c>
      <c r="CK11" s="195">
        <f>SUMPRODUCT('2026_Мустафин'!$J$182:$J$193,'2026_Мустафин'!EZ182:EZ193)</f>
        <v/>
      </c>
      <c r="CL11" s="194">
        <f>SUMPRODUCT('2026_Мустафин'!$J$182:$J$193,'2026_Мустафин'!FA182:FA193)</f>
        <v/>
      </c>
      <c r="CM11" s="194">
        <f>SUMPRODUCT('2026_Мустафин'!$J$182:$J$193,'2026_Мустафин'!FB182:FB193)</f>
        <v/>
      </c>
      <c r="CN11" s="194">
        <f>SUMPRODUCT('2026_Мустафин'!$J$182:$J$193,'2026_Мустафин'!FC182:FC193)</f>
        <v/>
      </c>
      <c r="CO11" s="195">
        <f>SUMPRODUCT('2026_Мустафин'!$J$182:$J$193,'2026_Мустафин'!FD182:FD193)</f>
        <v/>
      </c>
      <c r="CP11" s="194">
        <f>SUMPRODUCT('2026_Мустафин'!$J$182:$J$193,'2026_Мустафин'!FE182:FE193)</f>
        <v/>
      </c>
      <c r="CQ11" s="194">
        <f>SUMPRODUCT('2026_Мустафин'!$J$182:$J$193,'2026_Мустафин'!FF182:FF193)</f>
        <v/>
      </c>
      <c r="CR11" s="194">
        <f>SUMPRODUCT('2026_Мустафин'!$J$182:$J$193,'2026_Мустафин'!FG182:FG193)</f>
        <v/>
      </c>
      <c r="CS11" s="195">
        <f>SUMPRODUCT('2026_Мустафин'!$J$182:$J$193,'2026_Мустафин'!FH182:FH193)</f>
        <v/>
      </c>
      <c r="CT11" s="194">
        <f>SUMPRODUCT('2026_Мустафин'!$J$182:$J$193,'2026_Мустафин'!FI182:FI193)</f>
        <v/>
      </c>
      <c r="CU11" s="194">
        <f>SUMPRODUCT('2026_Мустафин'!$J$182:$J$193,'2026_Мустафин'!FJ182:FJ193)</f>
        <v/>
      </c>
      <c r="CV11" s="194">
        <f>SUMPRODUCT('2026_Мустафин'!$J$182:$J$193,'2026_Мустафин'!FK182:FK193)</f>
        <v/>
      </c>
      <c r="CW11" s="195">
        <f>SUMPRODUCT('2026_Мустафин'!$J$182:$J$193,'2026_Мустафин'!FL182:FL193)</f>
        <v/>
      </c>
      <c r="CX11" s="194">
        <f>SUMPRODUCT('2026_Мустафин'!$J$182:$J$193,'2026_Мустафин'!FM182:FM193)</f>
        <v/>
      </c>
      <c r="CY11" s="194">
        <f>SUMPRODUCT('2026_Мустафин'!$J$182:$J$193,'2026_Мустафин'!FN182:FN193)</f>
        <v/>
      </c>
      <c r="CZ11" s="194">
        <f>SUMPRODUCT('2026_Мустафин'!$J$182:$J$193,'2026_Мустафин'!FO182:FO193)</f>
        <v/>
      </c>
      <c r="DA11" s="195">
        <f>SUMPRODUCT('2026_Мустафин'!$J$182:$J$193,'2026_Мустафин'!FP182:FP193)</f>
        <v/>
      </c>
      <c r="DB11" s="194">
        <f>SUMPRODUCT('2026_Мустафин'!$J$182:$J$193,'2026_Мустафин'!FQ182:FQ193)</f>
        <v/>
      </c>
      <c r="DC11" s="194">
        <f>SUMPRODUCT('2026_Мустафин'!$J$182:$J$193,'2026_Мустафин'!FR182:FR193)</f>
        <v/>
      </c>
      <c r="DD11" s="194">
        <f>SUMPRODUCT('2026_Мустафин'!$J$182:$J$193,'2026_Мустафин'!FS182:FS193)</f>
        <v/>
      </c>
      <c r="DE11" s="195">
        <f>SUMPRODUCT('2026_Мустафин'!$J$182:$J$193,'2026_Мустафин'!FT182:FT193)</f>
        <v/>
      </c>
      <c r="DF11" s="194">
        <f>SUMPRODUCT('2026_Мустафин'!$J$182:$J$193,'2026_Мустафин'!FU182:FU193)</f>
        <v/>
      </c>
      <c r="DG11" s="194">
        <f>SUMPRODUCT('2026_Мустафин'!$J$182:$J$193,'2026_Мустафин'!FV182:FV193)</f>
        <v/>
      </c>
      <c r="DH11" s="194">
        <f>SUMPRODUCT('2026_Мустафин'!$J$182:$J$193,'2026_Мустафин'!FW182:FW193)</f>
        <v/>
      </c>
      <c r="DI11" s="195">
        <f>SUMPRODUCT('2026_Мустафин'!$J$182:$J$193,'2026_Мустафин'!FX182:FX193)</f>
        <v/>
      </c>
      <c r="DJ11" s="194">
        <f>SUMPRODUCT('2026_Мустафин'!$J$182:$J$193,'2026_Мустафин'!FY182:FY193)</f>
        <v/>
      </c>
      <c r="DK11" s="194">
        <f>SUMPRODUCT('2026_Мустафин'!$J$182:$J$193,'2026_Мустафин'!FZ182:FZ193)</f>
        <v/>
      </c>
    </row>
    <row r="12">
      <c r="A12" s="192" t="inlineStr">
        <is>
          <t>WAGNERMAIER</t>
        </is>
      </c>
      <c r="B12" s="192">
        <f>SUMPRODUCT('2026_Мустафин'!$J$195:$J$206,'2026_Мустафин'!BQ195:BQ206)</f>
        <v/>
      </c>
      <c r="C12" s="192">
        <f>SUMPRODUCT('2026_Мустафин'!$J$195:$J$206,'2026_Мустафин'!BR195:BR206)</f>
        <v/>
      </c>
      <c r="D12" s="192">
        <f>SUMPRODUCT('2026_Мустафин'!$J$195:$J$206,'2026_Мустафин'!BS195:BS206)</f>
        <v/>
      </c>
      <c r="E12" s="192">
        <f>SUMPRODUCT('2026_Мустафин'!$J$195:$J$206,'2026_Мустафин'!BT195:BT206)</f>
        <v/>
      </c>
      <c r="F12" s="192">
        <f>SUMPRODUCT('2026_Мустафин'!$J$195:$J$206,'2026_Мустафин'!BU195:BU206)</f>
        <v/>
      </c>
      <c r="G12" s="192">
        <f>SUMPRODUCT('2026_Мустафин'!$J$195:$J$206,'2026_Мустафин'!BV195:BV206)</f>
        <v/>
      </c>
      <c r="H12" s="192">
        <f>SUMPRODUCT('2026_Мустафин'!$J$195:$J$206,'2026_Мустафин'!BW195:BW206)</f>
        <v/>
      </c>
      <c r="I12" s="192">
        <f>SUMPRODUCT('2026_Мустафин'!$J$195:$J$206,'2026_Мустафин'!BX195:BX206)</f>
        <v/>
      </c>
      <c r="J12" s="192">
        <f>SUMPRODUCT('2026_Мустафин'!$J$195:$J$206,'2026_Мустафин'!BY195:BY206)</f>
        <v/>
      </c>
      <c r="K12" s="192">
        <f>SUMPRODUCT('2026_Мустафин'!$J$195:$J$206,'2026_Мустафин'!BZ195:BZ206)</f>
        <v/>
      </c>
      <c r="L12" s="192">
        <f>SUMPRODUCT('2026_Мустафин'!$J$195:$J$206,'2026_Мустафин'!CA195:CA206)</f>
        <v/>
      </c>
      <c r="M12" s="192">
        <f>SUMPRODUCT('2026_Мустафин'!$J$195:$J$206,'2026_Мустафин'!CB195:CB206)</f>
        <v/>
      </c>
      <c r="N12" s="192">
        <f>SUMPRODUCT('2026_Мустафин'!$J$195:$J$206,'2026_Мустафин'!CC195:CC206)</f>
        <v/>
      </c>
      <c r="O12" s="192">
        <f>SUMPRODUCT('2026_Мустафин'!$J$195:$J$206,'2026_Мустафин'!CD195:CD206)</f>
        <v/>
      </c>
      <c r="P12" s="192">
        <f>SUMPRODUCT('2026_Мустафин'!$J$195:$J$206,'2026_Мустафин'!CE195:CE206)</f>
        <v/>
      </c>
      <c r="Q12" s="192">
        <f>SUMPRODUCT('2026_Мустафин'!$J$195:$J$206,'2026_Мустафин'!CF195:CF206)</f>
        <v/>
      </c>
      <c r="R12" s="192">
        <f>SUMPRODUCT('2026_Мустафин'!$J$195:$J$206,'2026_Мустафин'!CG195:CG206)</f>
        <v/>
      </c>
      <c r="S12" s="192">
        <f>SUMPRODUCT('2026_Мустафин'!$J$195:$J$206,'2026_Мустафин'!CH195:CH206)</f>
        <v/>
      </c>
      <c r="T12" s="192">
        <f>SUMPRODUCT('2026_Мустафин'!$J$195:$J$206,'2026_Мустафин'!CI195:CI206)</f>
        <v/>
      </c>
      <c r="U12" s="192">
        <f>SUMPRODUCT('2026_Мустафин'!$J$195:$J$206,'2026_Мустафин'!CJ195:CJ206)</f>
        <v/>
      </c>
      <c r="V12" s="192">
        <f>SUMPRODUCT('2026_Мустафин'!$J$195:$J$206,'2026_Мустафин'!CK195:CK206)</f>
        <v/>
      </c>
      <c r="W12" s="192">
        <f>SUMPRODUCT('2026_Мустафин'!$J$195:$J$206,'2026_Мустафин'!CL195:CL206)</f>
        <v/>
      </c>
      <c r="X12" s="192">
        <f>SUMPRODUCT('2026_Мустафин'!$J$195:$J$206,'2026_Мустафин'!CM195:CM206)</f>
        <v/>
      </c>
      <c r="Y12" s="192">
        <f>SUMPRODUCT('2026_Мустафин'!$J$195:$J$206,'2026_Мустафин'!CN195:CN206)</f>
        <v/>
      </c>
      <c r="Z12" s="192">
        <f>SUMPRODUCT('2026_Мустафин'!$J$195:$J$206,'2026_Мустафин'!CO195:CO206)</f>
        <v/>
      </c>
      <c r="AA12" s="192">
        <f>SUMPRODUCT('2026_Мустафин'!$J$195:$J$206,'2026_Мустафин'!CP195:CP206)</f>
        <v/>
      </c>
      <c r="AB12" s="192">
        <f>SUMPRODUCT('2026_Мустафин'!$J$195:$J$206,'2026_Мустафин'!CQ195:CQ206)</f>
        <v/>
      </c>
      <c r="AC12" s="192">
        <f>SUMPRODUCT('2026_Мустафин'!$J$195:$J$206,'2026_Мустафин'!CR195:CR206)</f>
        <v/>
      </c>
      <c r="AD12" s="192">
        <f>SUMPRODUCT('2026_Мустафин'!$J$195:$J$206,'2026_Мустафин'!CS195:CS206)</f>
        <v/>
      </c>
      <c r="AE12" s="192">
        <f>SUMPRODUCT('2026_Мустафин'!$J$195:$J$206,'2026_Мустафин'!CT195:CT206)</f>
        <v/>
      </c>
      <c r="AF12" s="192">
        <f>SUMPRODUCT('2026_Мустафин'!$J$195:$J$206,'2026_Мустафин'!CU195:CU206)</f>
        <v/>
      </c>
      <c r="AG12" s="192">
        <f>SUMPRODUCT('2026_Мустафин'!$J$195:$J$206,'2026_Мустафин'!CV195:CV206)</f>
        <v/>
      </c>
      <c r="AH12" s="192">
        <f>SUMPRODUCT('2026_Мустафин'!$J$195:$J$206,'2026_Мустафин'!CW195:CW206)</f>
        <v/>
      </c>
      <c r="AI12" s="192">
        <f>SUMPRODUCT('2026_Мустафин'!$J$195:$J$206,'2026_Мустафин'!CX195:CX206)</f>
        <v/>
      </c>
      <c r="AJ12" s="192">
        <f>SUMPRODUCT('2026_Мустафин'!$J$195:$J$206,'2026_Мустафин'!CY195:CY206)</f>
        <v/>
      </c>
      <c r="AK12" s="192">
        <f>SUMPRODUCT('2026_Мустафин'!$J$195:$J$206,'2026_Мустафин'!CZ195:CZ206)</f>
        <v/>
      </c>
      <c r="AL12" s="192">
        <f>SUMPRODUCT('2026_Мустафин'!$J$195:$J$206,'2026_Мустафин'!DA195:DA206)</f>
        <v/>
      </c>
      <c r="AM12" s="192">
        <f>SUMPRODUCT('2026_Мустафин'!$J$195:$J$206,'2026_Мустафин'!DB195:DB206)</f>
        <v/>
      </c>
      <c r="AN12" s="192">
        <f>SUMPRODUCT('2026_Мустафин'!$J$195:$J$206,'2026_Мустафин'!DC195:DC206)</f>
        <v/>
      </c>
      <c r="AO12" s="192">
        <f>SUMPRODUCT('2026_Мустафин'!$J$195:$J$206,'2026_Мустафин'!DD195:DD206)</f>
        <v/>
      </c>
      <c r="AP12" s="192">
        <f>SUMPRODUCT('2026_Мустафин'!$J$195:$J$206,'2026_Мустафин'!DE195:DE206)</f>
        <v/>
      </c>
      <c r="AQ12" s="192">
        <f>SUMPRODUCT('2026_Мустафин'!$J$195:$J$206,'2026_Мустафин'!DF195:DF206)</f>
        <v/>
      </c>
      <c r="AR12" s="192">
        <f>SUMPRODUCT('2026_Мустафин'!$J$195:$J$206,'2026_Мустафин'!DG195:DG206)</f>
        <v/>
      </c>
      <c r="AS12" s="192">
        <f>SUMPRODUCT('2026_Мустафин'!$J$195:$J$206,'2026_Мустафин'!DH195:DH206)</f>
        <v/>
      </c>
      <c r="AT12" s="192">
        <f>SUMPRODUCT('2026_Мустафин'!$J$195:$J$206,'2026_Мустафин'!DI195:DI206)</f>
        <v/>
      </c>
      <c r="AU12" s="192">
        <f>SUMPRODUCT('2026_Мустафин'!$J$195:$J$206,'2026_Мустафин'!DJ195:DJ206)</f>
        <v/>
      </c>
      <c r="AV12" s="192">
        <f>SUMPRODUCT('2026_Мустафин'!$J$195:$J$206,'2026_Мустафин'!DK195:DK206)</f>
        <v/>
      </c>
      <c r="AW12" s="192">
        <f>SUMPRODUCT('2026_Мустафин'!$J$195:$J$206,'2026_Мустафин'!DL195:DL206)</f>
        <v/>
      </c>
      <c r="AX12" s="192">
        <f>SUMPRODUCT('2026_Мустафин'!$J$195:$J$206,'2026_Мустафин'!DM195:DM206)</f>
        <v/>
      </c>
      <c r="AY12" s="192">
        <f>SUMPRODUCT('2026_Мустафин'!$J$195:$J$206,'2026_Мустафин'!DN195:DN206)</f>
        <v/>
      </c>
      <c r="AZ12" s="192">
        <f>SUMPRODUCT('2026_Мустафин'!$J$195:$J$206,'2026_Мустафин'!DO195:DO206)</f>
        <v/>
      </c>
      <c r="BA12" s="192">
        <f>SUMPRODUCT('2026_Мустафин'!$J$195:$J$206,'2026_Мустафин'!DP195:DP206)</f>
        <v/>
      </c>
      <c r="BB12" s="192">
        <f>SUMPRODUCT('2026_Мустафин'!$J$195:$J$206,'2026_Мустафин'!DQ195:DQ206)</f>
        <v/>
      </c>
      <c r="BC12" s="192">
        <f>SUMPRODUCT('2026_Мустафин'!$J$195:$J$206,'2026_Мустафин'!DR195:DR206)</f>
        <v/>
      </c>
      <c r="BD12" s="192">
        <f>SUMPRODUCT('2026_Мустафин'!$J$195:$J$206,'2026_Мустафин'!DS195:DS206)</f>
        <v/>
      </c>
      <c r="BE12" s="192">
        <f>SUMPRODUCT('2026_Мустафин'!$J$195:$J$206,'2026_Мустафин'!DT195:DT206)</f>
        <v/>
      </c>
      <c r="BF12" s="192">
        <f>SUMPRODUCT('2026_Мустафин'!$J$195:$J$206,'2026_Мустафин'!DU195:DU206)</f>
        <v/>
      </c>
      <c r="BG12" s="192">
        <f>SUMPRODUCT('2026_Мустафин'!$J$195:$J$206,'2026_Мустафин'!DV195:DV206)</f>
        <v/>
      </c>
      <c r="BH12" s="192">
        <f>SUMPRODUCT('2026_Мустафин'!$J$195:$J$206,'2026_Мустафин'!DW195:DW206)</f>
        <v/>
      </c>
      <c r="BI12" s="192">
        <f>SUMPRODUCT('2026_Мустафин'!$J$195:$J$206,'2026_Мустафин'!DX195:DX206)</f>
        <v/>
      </c>
      <c r="BJ12" s="192">
        <f>SUMPRODUCT('2026_Мустафин'!$J$195:$J$206,'2026_Мустафин'!DY195:DY206)</f>
        <v/>
      </c>
      <c r="BK12" s="192">
        <f>SUMPRODUCT('2026_Мустафин'!$J$195:$J$206,'2026_Мустафин'!DZ195:DZ206)</f>
        <v/>
      </c>
      <c r="BL12" s="192">
        <f>SUMPRODUCT('2026_Мустафин'!$J$195:$J$206,'2026_Мустафин'!EA195:EA206)</f>
        <v/>
      </c>
      <c r="BM12" s="192">
        <f>SUMPRODUCT('2026_Мустафин'!$J$195:$J$206,'2026_Мустафин'!EB195:EB206)</f>
        <v/>
      </c>
      <c r="BN12" s="192">
        <f>SUMPRODUCT('2026_Мустафин'!$J$195:$J$206,'2026_Мустафин'!EC195:EC206)</f>
        <v/>
      </c>
      <c r="BO12" s="192">
        <f>SUMPRODUCT('2026_Мустафин'!$J$195:$J$206,'2026_Мустафин'!ED195:ED206)</f>
        <v/>
      </c>
      <c r="BP12" s="192">
        <f>SUMPRODUCT('2026_Мустафин'!$J$195:$J$206,'2026_Мустафин'!EE195:EE206)</f>
        <v/>
      </c>
      <c r="BQ12" s="193">
        <f>SUMPRODUCT('2026_Мустафин'!$J$195:$J$206,'2026_Мустафин'!EF195:EF206)</f>
        <v/>
      </c>
      <c r="BR12" s="192">
        <f>SUMPRODUCT('2026_Мустафин'!$J$195:$J$206,'2026_Мустафин'!EG195:EG206)</f>
        <v/>
      </c>
      <c r="BS12" s="192">
        <f>SUMPRODUCT('2026_Мустафин'!$J$195:$J$206,'2026_Мустафин'!EH195:EH206)</f>
        <v/>
      </c>
      <c r="BT12" s="192">
        <f>SUMPRODUCT('2026_Мустафин'!$J$195:$J$206,'2026_Мустафин'!EI195:EI206)</f>
        <v/>
      </c>
      <c r="BU12" s="193">
        <f>SUMPRODUCT('2026_Мустафин'!$J$195:$J$206,'2026_Мустафин'!EJ195:EJ206)</f>
        <v/>
      </c>
      <c r="BV12" s="192">
        <f>SUMPRODUCT('2026_Мустафин'!$J$195:$J$206,'2026_Мустафин'!EK195:EK206)</f>
        <v/>
      </c>
      <c r="BW12" s="192">
        <f>SUMPRODUCT('2026_Мустафин'!$J$195:$J$206,'2026_Мустафин'!EL195:EL206)</f>
        <v/>
      </c>
      <c r="BX12" s="192">
        <f>SUMPRODUCT('2026_Мустафин'!$J$195:$J$206,'2026_Мустафин'!EM195:EM206)</f>
        <v/>
      </c>
      <c r="BY12" s="193">
        <f>SUMPRODUCT('2026_Мустафин'!$J$195:$J$206,'2026_Мустафин'!EN195:EN206)</f>
        <v/>
      </c>
      <c r="BZ12" s="192">
        <f>SUMPRODUCT('2026_Мустафин'!$J$195:$J$206,'2026_Мустафин'!EO195:EO206)</f>
        <v/>
      </c>
      <c r="CA12" s="192">
        <f>SUMPRODUCT('2026_Мустафин'!$J$195:$J$206,'2026_Мустафин'!EP195:EP206)</f>
        <v/>
      </c>
      <c r="CB12" s="192">
        <f>SUMPRODUCT('2026_Мустафин'!$J$195:$J$206,'2026_Мустафин'!EQ195:EQ206)</f>
        <v/>
      </c>
      <c r="CC12" s="193">
        <f>SUMPRODUCT('2026_Мустафин'!$J$195:$J$206,'2026_Мустафин'!ER195:ER206)</f>
        <v/>
      </c>
      <c r="CD12" s="192">
        <f>SUMPRODUCT('2026_Мустафин'!$J$195:$J$206,'2026_Мустафин'!ES195:ES206)</f>
        <v/>
      </c>
      <c r="CE12" s="192">
        <f>SUMPRODUCT('2026_Мустафин'!$J$195:$J$206,'2026_Мустафин'!ET195:ET206)</f>
        <v/>
      </c>
      <c r="CF12" s="192">
        <f>SUMPRODUCT('2026_Мустафин'!$J$195:$J$206,'2026_Мустафин'!EU195:EU206)</f>
        <v/>
      </c>
      <c r="CG12" s="193">
        <f>SUMPRODUCT('2026_Мустафин'!$J$195:$J$206,'2026_Мустафин'!EV195:EV206)</f>
        <v/>
      </c>
      <c r="CH12" s="192">
        <f>SUMPRODUCT('2026_Мустафин'!$J$195:$J$206,'2026_Мустафин'!EW195:EW206)</f>
        <v/>
      </c>
      <c r="CI12" s="192">
        <f>SUMPRODUCT('2026_Мустафин'!$J$195:$J$206,'2026_Мустафин'!EX195:EX206)</f>
        <v/>
      </c>
      <c r="CJ12" s="192">
        <f>SUMPRODUCT('2026_Мустафин'!$J$195:$J$206,'2026_Мустафин'!EY195:EY206)</f>
        <v/>
      </c>
      <c r="CK12" s="193">
        <f>SUMPRODUCT('2026_Мустафин'!$J$195:$J$206,'2026_Мустафин'!EZ195:EZ206)</f>
        <v/>
      </c>
      <c r="CL12" s="192">
        <f>SUMPRODUCT('2026_Мустафин'!$J$195:$J$206,'2026_Мустафин'!FA195:FA206)</f>
        <v/>
      </c>
      <c r="CM12" s="192">
        <f>SUMPRODUCT('2026_Мустафин'!$J$195:$J$206,'2026_Мустафин'!FB195:FB206)</f>
        <v/>
      </c>
      <c r="CN12" s="192">
        <f>SUMPRODUCT('2026_Мустафин'!$J$195:$J$206,'2026_Мустафин'!FC195:FC206)</f>
        <v/>
      </c>
      <c r="CO12" s="193">
        <f>SUMPRODUCT('2026_Мустафин'!$J$195:$J$206,'2026_Мустафин'!FD195:FD206)</f>
        <v/>
      </c>
      <c r="CP12" s="192">
        <f>SUMPRODUCT('2026_Мустафин'!$J$195:$J$206,'2026_Мустафин'!FE195:FE206)</f>
        <v/>
      </c>
      <c r="CQ12" s="192">
        <f>SUMPRODUCT('2026_Мустафин'!$J$195:$J$206,'2026_Мустафин'!FF195:FF206)</f>
        <v/>
      </c>
      <c r="CR12" s="192">
        <f>SUMPRODUCT('2026_Мустафин'!$J$195:$J$206,'2026_Мустафин'!FG195:FG206)</f>
        <v/>
      </c>
      <c r="CS12" s="193">
        <f>SUMPRODUCT('2026_Мустафин'!$J$195:$J$206,'2026_Мустафин'!FH195:FH206)</f>
        <v/>
      </c>
      <c r="CT12" s="192">
        <f>SUMPRODUCT('2026_Мустафин'!$J$195:$J$206,'2026_Мустафин'!FI195:FI206)</f>
        <v/>
      </c>
      <c r="CU12" s="192">
        <f>SUMPRODUCT('2026_Мустафин'!$J$195:$J$206,'2026_Мустафин'!FJ195:FJ206)</f>
        <v/>
      </c>
      <c r="CV12" s="192">
        <f>SUMPRODUCT('2026_Мустафин'!$J$195:$J$206,'2026_Мустафин'!FK195:FK206)</f>
        <v/>
      </c>
      <c r="CW12" s="193">
        <f>SUMPRODUCT('2026_Мустафин'!$J$195:$J$206,'2026_Мустафин'!FL195:FL206)</f>
        <v/>
      </c>
      <c r="CX12" s="192">
        <f>SUMPRODUCT('2026_Мустафин'!$J$195:$J$206,'2026_Мустафин'!FM195:FM206)</f>
        <v/>
      </c>
      <c r="CY12" s="192">
        <f>SUMPRODUCT('2026_Мустафин'!$J$195:$J$206,'2026_Мустафин'!FN195:FN206)</f>
        <v/>
      </c>
      <c r="CZ12" s="192">
        <f>SUMPRODUCT('2026_Мустафин'!$J$195:$J$206,'2026_Мустафин'!FO195:FO206)</f>
        <v/>
      </c>
      <c r="DA12" s="193">
        <f>SUMPRODUCT('2026_Мустафин'!$J$195:$J$206,'2026_Мустафин'!FP195:FP206)</f>
        <v/>
      </c>
      <c r="DB12" s="192">
        <f>SUMPRODUCT('2026_Мустафин'!$J$195:$J$206,'2026_Мустафин'!FQ195:FQ206)</f>
        <v/>
      </c>
      <c r="DC12" s="192">
        <f>SUMPRODUCT('2026_Мустафин'!$J$195:$J$206,'2026_Мустафин'!FR195:FR206)</f>
        <v/>
      </c>
      <c r="DD12" s="192">
        <f>SUMPRODUCT('2026_Мустафин'!$J$195:$J$206,'2026_Мустафин'!FS195:FS206)</f>
        <v/>
      </c>
      <c r="DE12" s="193">
        <f>SUMPRODUCT('2026_Мустафин'!$J$195:$J$206,'2026_Мустафин'!FT195:FT206)</f>
        <v/>
      </c>
      <c r="DF12" s="192">
        <f>SUMPRODUCT('2026_Мустафин'!$J$195:$J$206,'2026_Мустафин'!FU195:FU206)</f>
        <v/>
      </c>
      <c r="DG12" s="192">
        <f>SUMPRODUCT('2026_Мустафин'!$J$195:$J$206,'2026_Мустафин'!FV195:FV206)</f>
        <v/>
      </c>
      <c r="DH12" s="192">
        <f>SUMPRODUCT('2026_Мустафин'!$J$195:$J$206,'2026_Мустафин'!FW195:FW206)</f>
        <v/>
      </c>
      <c r="DI12" s="193">
        <f>SUMPRODUCT('2026_Мустафин'!$J$195:$J$206,'2026_Мустафин'!FX195:FX206)</f>
        <v/>
      </c>
      <c r="DJ12" s="192">
        <f>SUMPRODUCT('2026_Мустафин'!$J$195:$J$206,'2026_Мустафин'!FY195:FY206)</f>
        <v/>
      </c>
      <c r="DK12" s="192">
        <f>SUMPRODUCT('2026_Мустафин'!$J$195:$J$206,'2026_Мустафин'!FZ195:FZ206)</f>
        <v/>
      </c>
    </row>
    <row r="13">
      <c r="A13" s="192" t="inlineStr">
        <is>
          <t>АрСиЭр</t>
        </is>
      </c>
      <c r="B13" s="192">
        <f>SUMPRODUCT('2026_Мустафин'!$J$208:$J$228,'2026_Мустафин'!BQ208:BQ228)</f>
        <v/>
      </c>
      <c r="C13" s="192">
        <f>SUMPRODUCT('2026_Мустафин'!$J$208:$J$228,'2026_Мустафин'!BR208:BR228)</f>
        <v/>
      </c>
      <c r="D13" s="192">
        <f>SUMPRODUCT('2026_Мустафин'!$J$208:$J$228,'2026_Мустафин'!BS208:BS228)</f>
        <v/>
      </c>
      <c r="E13" s="192">
        <f>SUMPRODUCT('2026_Мустафин'!$J$208:$J$228,'2026_Мустафин'!BT208:BT228)</f>
        <v/>
      </c>
      <c r="F13" s="192">
        <f>SUMPRODUCT('2026_Мустафин'!$J$208:$J$228,'2026_Мустафин'!BU208:BU228)</f>
        <v/>
      </c>
      <c r="G13" s="192">
        <f>SUMPRODUCT('2026_Мустафин'!$J$208:$J$228,'2026_Мустафин'!BV208:BV228)</f>
        <v/>
      </c>
      <c r="H13" s="192">
        <f>SUMPRODUCT('2026_Мустафин'!$J$208:$J$228,'2026_Мустафин'!BW208:BW228)</f>
        <v/>
      </c>
      <c r="I13" s="192">
        <f>SUMPRODUCT('2026_Мустафин'!$J$208:$J$228,'2026_Мустафин'!BX208:BX228)</f>
        <v/>
      </c>
      <c r="J13" s="192">
        <f>SUMPRODUCT('2026_Мустафин'!$J$208:$J$228,'2026_Мустафин'!BY208:BY228)</f>
        <v/>
      </c>
      <c r="K13" s="192">
        <f>SUMPRODUCT('2026_Мустафин'!$J$208:$J$228,'2026_Мустафин'!BZ208:BZ228)</f>
        <v/>
      </c>
      <c r="L13" s="192">
        <f>SUMPRODUCT('2026_Мустафин'!$J$208:$J$228,'2026_Мустафин'!CA208:CA228)</f>
        <v/>
      </c>
      <c r="M13" s="192">
        <f>SUMPRODUCT('2026_Мустафин'!$J$208:$J$228,'2026_Мустафин'!CB208:CB228)</f>
        <v/>
      </c>
      <c r="N13" s="192">
        <f>SUMPRODUCT('2026_Мустафин'!$J$208:$J$228,'2026_Мустафин'!CC208:CC228)</f>
        <v/>
      </c>
      <c r="O13" s="192">
        <f>SUMPRODUCT('2026_Мустафин'!$J$208:$J$228,'2026_Мустафин'!CD208:CD228)</f>
        <v/>
      </c>
      <c r="P13" s="192">
        <f>SUMPRODUCT('2026_Мустафин'!$J$208:$J$228,'2026_Мустафин'!CE208:CE228)</f>
        <v/>
      </c>
      <c r="Q13" s="192">
        <f>SUMPRODUCT('2026_Мустафин'!$J$208:$J$228,'2026_Мустафин'!CF208:CF228)</f>
        <v/>
      </c>
      <c r="R13" s="192">
        <f>SUMPRODUCT('2026_Мустафин'!$J$208:$J$228,'2026_Мустафин'!CG208:CG228)</f>
        <v/>
      </c>
      <c r="S13" s="192">
        <f>SUMPRODUCT('2026_Мустафин'!$J$208:$J$228,'2026_Мустафин'!CH208:CH228)</f>
        <v/>
      </c>
      <c r="T13" s="192">
        <f>SUMPRODUCT('2026_Мустафин'!$J$208:$J$228,'2026_Мустафин'!CI208:CI228)</f>
        <v/>
      </c>
      <c r="U13" s="192">
        <f>SUMPRODUCT('2026_Мустафин'!$J$208:$J$228,'2026_Мустафин'!CJ208:CJ228)</f>
        <v/>
      </c>
      <c r="V13" s="192">
        <f>SUMPRODUCT('2026_Мустафин'!$J$208:$J$228,'2026_Мустафин'!CK208:CK228)</f>
        <v/>
      </c>
      <c r="W13" s="192">
        <f>SUMPRODUCT('2026_Мустафин'!$J$208:$J$228,'2026_Мустафин'!CL208:CL228)</f>
        <v/>
      </c>
      <c r="X13" s="192">
        <f>SUMPRODUCT('2026_Мустафин'!$J$208:$J$228,'2026_Мустафин'!CM208:CM228)</f>
        <v/>
      </c>
      <c r="Y13" s="192">
        <f>SUMPRODUCT('2026_Мустафин'!$J$208:$J$228,'2026_Мустафин'!CN208:CN228)</f>
        <v/>
      </c>
      <c r="Z13" s="192">
        <f>SUMPRODUCT('2026_Мустафин'!$J$208:$J$228,'2026_Мустафин'!CO208:CO228)</f>
        <v/>
      </c>
      <c r="AA13" s="192">
        <f>SUMPRODUCT('2026_Мустафин'!$J$208:$J$228,'2026_Мустафин'!CP208:CP228)</f>
        <v/>
      </c>
      <c r="AB13" s="192">
        <f>SUMPRODUCT('2026_Мустафин'!$J$208:$J$228,'2026_Мустафин'!CQ208:CQ228)</f>
        <v/>
      </c>
      <c r="AC13" s="192">
        <f>SUMPRODUCT('2026_Мустафин'!$J$208:$J$228,'2026_Мустафин'!CR208:CR228)</f>
        <v/>
      </c>
      <c r="AD13" s="192">
        <f>SUMPRODUCT('2026_Мустафин'!$J$208:$J$228,'2026_Мустафин'!CS208:CS228)</f>
        <v/>
      </c>
      <c r="AE13" s="192">
        <f>SUMPRODUCT('2026_Мустафин'!$J$208:$J$228,'2026_Мустафин'!CT208:CT228)</f>
        <v/>
      </c>
      <c r="AF13" s="192">
        <f>SUMPRODUCT('2026_Мустафин'!$J$208:$J$228,'2026_Мустафин'!CU208:CU228)</f>
        <v/>
      </c>
      <c r="AG13" s="192">
        <f>SUMPRODUCT('2026_Мустафин'!$J$208:$J$228,'2026_Мустафин'!CV208:CV228)</f>
        <v/>
      </c>
      <c r="AH13" s="192">
        <f>SUMPRODUCT('2026_Мустафин'!$J$208:$J$228,'2026_Мустафин'!CW208:CW228)</f>
        <v/>
      </c>
      <c r="AI13" s="192">
        <f>SUMPRODUCT('2026_Мустафин'!$J$208:$J$228,'2026_Мустафин'!CX208:CX228)</f>
        <v/>
      </c>
      <c r="AJ13" s="192">
        <f>SUMPRODUCT('2026_Мустафин'!$J$208:$J$228,'2026_Мустафин'!CY208:CY228)</f>
        <v/>
      </c>
      <c r="AK13" s="192">
        <f>SUMPRODUCT('2026_Мустафин'!$J$208:$J$228,'2026_Мустафин'!CZ208:CZ228)</f>
        <v/>
      </c>
      <c r="AL13" s="192">
        <f>SUMPRODUCT('2026_Мустафин'!$J$208:$J$228,'2026_Мустафин'!DA208:DA228)</f>
        <v/>
      </c>
      <c r="AM13" s="192">
        <f>SUMPRODUCT('2026_Мустафин'!$J$208:$J$228,'2026_Мустафин'!DB208:DB228)</f>
        <v/>
      </c>
      <c r="AN13" s="192">
        <f>SUMPRODUCT('2026_Мустафин'!$J$208:$J$228,'2026_Мустафин'!DC208:DC228)</f>
        <v/>
      </c>
      <c r="AO13" s="192">
        <f>SUMPRODUCT('2026_Мустафин'!$J$208:$J$228,'2026_Мустафин'!DD208:DD228)</f>
        <v/>
      </c>
      <c r="AP13" s="192">
        <f>SUMPRODUCT('2026_Мустафин'!$J$208:$J$228,'2026_Мустафин'!DE208:DE228)</f>
        <v/>
      </c>
      <c r="AQ13" s="192">
        <f>SUMPRODUCT('2026_Мустафин'!$J$208:$J$228,'2026_Мустафин'!DF208:DF228)</f>
        <v/>
      </c>
      <c r="AR13" s="192">
        <f>SUMPRODUCT('2026_Мустафин'!$J$208:$J$228,'2026_Мустафин'!DG208:DG228)</f>
        <v/>
      </c>
      <c r="AS13" s="192">
        <f>SUMPRODUCT('2026_Мустафин'!$J$208:$J$228,'2026_Мустафин'!DH208:DH228)</f>
        <v/>
      </c>
      <c r="AT13" s="192">
        <f>SUMPRODUCT('2026_Мустафин'!$J$208:$J$228,'2026_Мустафин'!DI208:DI228)</f>
        <v/>
      </c>
      <c r="AU13" s="192">
        <f>SUMPRODUCT('2026_Мустафин'!$J$208:$J$228,'2026_Мустафин'!DJ208:DJ228)</f>
        <v/>
      </c>
      <c r="AV13" s="192">
        <f>SUMPRODUCT('2026_Мустафин'!$J$208:$J$228,'2026_Мустафин'!DK208:DK228)</f>
        <v/>
      </c>
      <c r="AW13" s="192">
        <f>SUMPRODUCT('2026_Мустафин'!$J$208:$J$228,'2026_Мустафин'!DL208:DL228)</f>
        <v/>
      </c>
      <c r="AX13" s="192">
        <f>SUMPRODUCT('2026_Мустафин'!$J$208:$J$228,'2026_Мустафин'!DM208:DM228)</f>
        <v/>
      </c>
      <c r="AY13" s="192">
        <f>SUMPRODUCT('2026_Мустафин'!$J$208:$J$228,'2026_Мустафин'!DN208:DN228)</f>
        <v/>
      </c>
      <c r="AZ13" s="192">
        <f>SUMPRODUCT('2026_Мустафин'!$J$208:$J$228,'2026_Мустафин'!DO208:DO228)</f>
        <v/>
      </c>
      <c r="BA13" s="192">
        <f>SUMPRODUCT('2026_Мустафин'!$J$208:$J$228,'2026_Мустафин'!DP208:DP228)</f>
        <v/>
      </c>
      <c r="BB13" s="192">
        <f>SUMPRODUCT('2026_Мустафин'!$J$208:$J$228,'2026_Мустафин'!DQ208:DQ228)</f>
        <v/>
      </c>
      <c r="BC13" s="192">
        <f>SUMPRODUCT('2026_Мустафин'!$J$208:$J$228,'2026_Мустафин'!DR208:DR228)</f>
        <v/>
      </c>
      <c r="BD13" s="192">
        <f>SUMPRODUCT('2026_Мустафин'!$J$208:$J$228,'2026_Мустафин'!DS208:DS228)</f>
        <v/>
      </c>
      <c r="BE13" s="192">
        <f>SUMPRODUCT('2026_Мустафин'!$J$208:$J$228,'2026_Мустафин'!DT208:DT228)</f>
        <v/>
      </c>
      <c r="BF13" s="192">
        <f>SUMPRODUCT('2026_Мустафин'!$J$208:$J$228,'2026_Мустафин'!DU208:DU228)</f>
        <v/>
      </c>
      <c r="BG13" s="192">
        <f>SUMPRODUCT('2026_Мустафин'!$J$208:$J$228,'2026_Мустафин'!DV208:DV228)</f>
        <v/>
      </c>
      <c r="BH13" s="192">
        <f>SUMPRODUCT('2026_Мустафин'!$J$208:$J$228,'2026_Мустафин'!DW208:DW228)</f>
        <v/>
      </c>
      <c r="BI13" s="192">
        <f>SUMPRODUCT('2026_Мустафин'!$J$208:$J$228,'2026_Мустафин'!DX208:DX228)</f>
        <v/>
      </c>
      <c r="BJ13" s="192">
        <f>SUMPRODUCT('2026_Мустафин'!$J$208:$J$228,'2026_Мустафин'!DY208:DY228)</f>
        <v/>
      </c>
      <c r="BK13" s="192">
        <f>SUMPRODUCT('2026_Мустафин'!$J$208:$J$228,'2026_Мустафин'!DZ208:DZ228)</f>
        <v/>
      </c>
      <c r="BL13" s="192">
        <f>SUMPRODUCT('2026_Мустафин'!$J$208:$J$228,'2026_Мустафин'!EA208:EA228)</f>
        <v/>
      </c>
      <c r="BM13" s="192">
        <f>SUMPRODUCT('2026_Мустафин'!$J$208:$J$228,'2026_Мустафин'!EB208:EB228)</f>
        <v/>
      </c>
      <c r="BN13" s="192">
        <f>SUMPRODUCT('2026_Мустафин'!$J$208:$J$228,'2026_Мустафин'!EC208:EC228)</f>
        <v/>
      </c>
      <c r="BO13" s="192">
        <f>SUMPRODUCT('2026_Мустафин'!$J$208:$J$228,'2026_Мустафин'!ED208:ED228)</f>
        <v/>
      </c>
      <c r="BP13" s="192">
        <f>SUMPRODUCT('2026_Мустафин'!$J$208:$J$228,'2026_Мустафин'!EE208:EE228)</f>
        <v/>
      </c>
      <c r="BQ13" s="193">
        <f>SUMPRODUCT('2026_Мустафин'!$J$208:$J$228,'2026_Мустафин'!EF208:EF228)</f>
        <v/>
      </c>
      <c r="BR13" s="192">
        <f>SUMPRODUCT('2026_Мустафин'!$J$208:$J$228,'2026_Мустафин'!EG208:EG228)</f>
        <v/>
      </c>
      <c r="BS13" s="192">
        <f>SUMPRODUCT('2026_Мустафин'!$J$208:$J$228,'2026_Мустафин'!EH208:EH228)</f>
        <v/>
      </c>
      <c r="BT13" s="192">
        <f>SUMPRODUCT('2026_Мустафин'!$J$208:$J$228,'2026_Мустафин'!EI208:EI228)</f>
        <v/>
      </c>
      <c r="BU13" s="193">
        <f>SUMPRODUCT('2026_Мустафин'!$J$208:$J$228,'2026_Мустафин'!EJ208:EJ228)</f>
        <v/>
      </c>
      <c r="BV13" s="192">
        <f>SUMPRODUCT('2026_Мустафин'!$J$208:$J$228,'2026_Мустафин'!EK208:EK228)</f>
        <v/>
      </c>
      <c r="BW13" s="192">
        <f>SUMPRODUCT('2026_Мустафин'!$J$208:$J$228,'2026_Мустафин'!EL208:EL228)</f>
        <v/>
      </c>
      <c r="BX13" s="192">
        <f>SUMPRODUCT('2026_Мустафин'!$J$208:$J$228,'2026_Мустафин'!EM208:EM228)</f>
        <v/>
      </c>
      <c r="BY13" s="193">
        <f>SUMPRODUCT('2026_Мустафин'!$J$208:$J$228,'2026_Мустафин'!EN208:EN228)</f>
        <v/>
      </c>
      <c r="BZ13" s="192">
        <f>SUMPRODUCT('2026_Мустафин'!$J$208:$J$228,'2026_Мустафин'!EO208:EO228)</f>
        <v/>
      </c>
      <c r="CA13" s="192">
        <f>SUMPRODUCT('2026_Мустафин'!$J$208:$J$228,'2026_Мустафин'!EP208:EP228)</f>
        <v/>
      </c>
      <c r="CB13" s="192">
        <f>SUMPRODUCT('2026_Мустафин'!$J$208:$J$228,'2026_Мустафин'!EQ208:EQ228)</f>
        <v/>
      </c>
      <c r="CC13" s="193">
        <f>SUMPRODUCT('2026_Мустафин'!$J$208:$J$228,'2026_Мустафин'!ER208:ER228)</f>
        <v/>
      </c>
      <c r="CD13" s="192">
        <f>SUMPRODUCT('2026_Мустафин'!$J$208:$J$228,'2026_Мустафин'!ES208:ES228)</f>
        <v/>
      </c>
      <c r="CE13" s="192">
        <f>SUMPRODUCT('2026_Мустафин'!$J$208:$J$228,'2026_Мустафин'!ET208:ET228)</f>
        <v/>
      </c>
      <c r="CF13" s="192">
        <f>SUMPRODUCT('2026_Мустафин'!$J$208:$J$228,'2026_Мустафин'!EU208:EU228)</f>
        <v/>
      </c>
      <c r="CG13" s="193">
        <f>SUMPRODUCT('2026_Мустафин'!$J$208:$J$228,'2026_Мустафин'!EV208:EV228)</f>
        <v/>
      </c>
      <c r="CH13" s="192">
        <f>SUMPRODUCT('2026_Мустафин'!$J$208:$J$228,'2026_Мустафин'!EW208:EW228)</f>
        <v/>
      </c>
      <c r="CI13" s="192">
        <f>SUMPRODUCT('2026_Мустафин'!$J$208:$J$228,'2026_Мустафин'!EX208:EX228)</f>
        <v/>
      </c>
      <c r="CJ13" s="192">
        <f>SUMPRODUCT('2026_Мустафин'!$J$208:$J$228,'2026_Мустафин'!EY208:EY228)</f>
        <v/>
      </c>
      <c r="CK13" s="193">
        <f>SUMPRODUCT('2026_Мустафин'!$J$208:$J$228,'2026_Мустафин'!EZ208:EZ228)</f>
        <v/>
      </c>
      <c r="CL13" s="192">
        <f>SUMPRODUCT('2026_Мустафин'!$J$208:$J$228,'2026_Мустафин'!FA208:FA228)</f>
        <v/>
      </c>
      <c r="CM13" s="192">
        <f>SUMPRODUCT('2026_Мустафин'!$J$208:$J$228,'2026_Мустафин'!FB208:FB228)</f>
        <v/>
      </c>
      <c r="CN13" s="192">
        <f>SUMPRODUCT('2026_Мустафин'!$J$208:$J$228,'2026_Мустафин'!FC208:FC228)</f>
        <v/>
      </c>
      <c r="CO13" s="193">
        <f>SUMPRODUCT('2026_Мустафин'!$J$208:$J$228,'2026_Мустафин'!FD208:FD228)</f>
        <v/>
      </c>
      <c r="CP13" s="192">
        <f>SUMPRODUCT('2026_Мустафин'!$J$208:$J$228,'2026_Мустафин'!FE208:FE228)</f>
        <v/>
      </c>
      <c r="CQ13" s="192">
        <f>SUMPRODUCT('2026_Мустафин'!$J$208:$J$228,'2026_Мустафин'!FF208:FF228)</f>
        <v/>
      </c>
      <c r="CR13" s="192">
        <f>SUMPRODUCT('2026_Мустафин'!$J$208:$J$228,'2026_Мустафин'!FG208:FG228)</f>
        <v/>
      </c>
      <c r="CS13" s="193">
        <f>SUMPRODUCT('2026_Мустафин'!$J$208:$J$228,'2026_Мустафин'!FH208:FH228)</f>
        <v/>
      </c>
      <c r="CT13" s="192">
        <f>SUMPRODUCT('2026_Мустафин'!$J$208:$J$228,'2026_Мустафин'!FI208:FI228)</f>
        <v/>
      </c>
      <c r="CU13" s="192">
        <f>SUMPRODUCT('2026_Мустафин'!$J$208:$J$228,'2026_Мустафин'!FJ208:FJ228)</f>
        <v/>
      </c>
      <c r="CV13" s="192">
        <f>SUMPRODUCT('2026_Мустафин'!$J$208:$J$228,'2026_Мустафин'!FK208:FK228)</f>
        <v/>
      </c>
      <c r="CW13" s="193">
        <f>SUMPRODUCT('2026_Мустафин'!$J$208:$J$228,'2026_Мустафин'!FL208:FL228)</f>
        <v/>
      </c>
      <c r="CX13" s="192">
        <f>SUMPRODUCT('2026_Мустафин'!$J$208:$J$228,'2026_Мустафин'!FM208:FM228)</f>
        <v/>
      </c>
      <c r="CY13" s="192">
        <f>SUMPRODUCT('2026_Мустафин'!$J$208:$J$228,'2026_Мустафин'!FN208:FN228)</f>
        <v/>
      </c>
      <c r="CZ13" s="192">
        <f>SUMPRODUCT('2026_Мустафин'!$J$208:$J$228,'2026_Мустафин'!FO208:FO228)</f>
        <v/>
      </c>
      <c r="DA13" s="193">
        <f>SUMPRODUCT('2026_Мустафин'!$J$208:$J$228,'2026_Мустафин'!FP208:FP228)</f>
        <v/>
      </c>
      <c r="DB13" s="192">
        <f>SUMPRODUCT('2026_Мустафин'!$J$208:$J$228,'2026_Мустафин'!FQ208:FQ228)</f>
        <v/>
      </c>
      <c r="DC13" s="192">
        <f>SUMPRODUCT('2026_Мустафин'!$J$208:$J$228,'2026_Мустафин'!FR208:FR228)</f>
        <v/>
      </c>
      <c r="DD13" s="192">
        <f>SUMPRODUCT('2026_Мустафин'!$J$208:$J$228,'2026_Мустафин'!FS208:FS228)</f>
        <v/>
      </c>
      <c r="DE13" s="193">
        <f>SUMPRODUCT('2026_Мустафин'!$J$208:$J$228,'2026_Мустафин'!FT208:FT228)</f>
        <v/>
      </c>
      <c r="DF13" s="192">
        <f>SUMPRODUCT('2026_Мустафин'!$J$208:$J$228,'2026_Мустафин'!FU208:FU228)</f>
        <v/>
      </c>
      <c r="DG13" s="192">
        <f>SUMPRODUCT('2026_Мустафин'!$J$208:$J$228,'2026_Мустафин'!FV208:FV228)</f>
        <v/>
      </c>
      <c r="DH13" s="192">
        <f>SUMPRODUCT('2026_Мустафин'!$J$208:$J$228,'2026_Мустафин'!FW208:FW228)</f>
        <v/>
      </c>
      <c r="DI13" s="193">
        <f>SUMPRODUCT('2026_Мустафин'!$J$208:$J$228,'2026_Мустафин'!FX208:FX228)</f>
        <v/>
      </c>
      <c r="DJ13" s="192">
        <f>SUMPRODUCT('2026_Мустафин'!$J$208:$J$228,'2026_Мустафин'!FY208:FY228)</f>
        <v/>
      </c>
      <c r="DK13" s="192">
        <f>SUMPRODUCT('2026_Мустафин'!$J$208:$J$228,'2026_Мустафин'!FZ208:FZ228)</f>
        <v/>
      </c>
    </row>
    <row r="14">
      <c r="A14" s="192" t="inlineStr">
        <is>
          <t>СпецМаш</t>
        </is>
      </c>
      <c r="B14" s="192">
        <f>SUMPRODUCT('2026_Мустафин'!$J$230:$J$250,'2026_Мустафин'!BQ230:BQ250)</f>
        <v/>
      </c>
      <c r="C14" s="192">
        <f>SUMPRODUCT('2026_Мустафин'!$J$230:$J$250,'2026_Мустафин'!BR230:BR250)</f>
        <v/>
      </c>
      <c r="D14" s="192">
        <f>SUMPRODUCT('2026_Мустафин'!$J$230:$J$250,'2026_Мустафин'!BS230:BS250)</f>
        <v/>
      </c>
      <c r="E14" s="192">
        <f>SUMPRODUCT('2026_Мустафин'!$J$230:$J$250,'2026_Мустафин'!BT230:BT250)</f>
        <v/>
      </c>
      <c r="F14" s="192">
        <f>SUMPRODUCT('2026_Мустафин'!$J$230:$J$250,'2026_Мустафин'!BU230:BU250)</f>
        <v/>
      </c>
      <c r="G14" s="192">
        <f>SUMPRODUCT('2026_Мустафин'!$J$230:$J$250,'2026_Мустафин'!BV230:BV250)</f>
        <v/>
      </c>
      <c r="H14" s="192">
        <f>SUMPRODUCT('2026_Мустафин'!$J$230:$J$250,'2026_Мустафин'!BW230:BW250)</f>
        <v/>
      </c>
      <c r="I14" s="192">
        <f>SUMPRODUCT('2026_Мустафин'!$J$230:$J$250,'2026_Мустафин'!BX230:BX250)</f>
        <v/>
      </c>
      <c r="J14" s="192">
        <f>SUMPRODUCT('2026_Мустафин'!$J$230:$J$250,'2026_Мустафин'!BY230:BY250)</f>
        <v/>
      </c>
      <c r="K14" s="192">
        <f>SUMPRODUCT('2026_Мустафин'!$J$230:$J$250,'2026_Мустафин'!BZ230:BZ250)</f>
        <v/>
      </c>
      <c r="L14" s="192">
        <f>SUMPRODUCT('2026_Мустафин'!$J$230:$J$250,'2026_Мустафин'!CA230:CA250)</f>
        <v/>
      </c>
      <c r="M14" s="192">
        <f>SUMPRODUCT('2026_Мустафин'!$J$230:$J$250,'2026_Мустафин'!CB230:CB250)</f>
        <v/>
      </c>
      <c r="N14" s="192">
        <f>SUMPRODUCT('2026_Мустафин'!$J$230:$J$250,'2026_Мустафин'!CC230:CC250)</f>
        <v/>
      </c>
      <c r="O14" s="192">
        <f>SUMPRODUCT('2026_Мустафин'!$J$230:$J$250,'2026_Мустафин'!CD230:CD250)</f>
        <v/>
      </c>
      <c r="P14" s="192">
        <f>SUMPRODUCT('2026_Мустафин'!$J$230:$J$250,'2026_Мустафин'!CE230:CE250)</f>
        <v/>
      </c>
      <c r="Q14" s="192">
        <f>SUMPRODUCT('2026_Мустафин'!$J$230:$J$250,'2026_Мустафин'!CF230:CF250)</f>
        <v/>
      </c>
      <c r="R14" s="192">
        <f>SUMPRODUCT('2026_Мустафин'!$J$230:$J$250,'2026_Мустафин'!CG230:CG250)</f>
        <v/>
      </c>
      <c r="S14" s="192">
        <f>SUMPRODUCT('2026_Мустафин'!$J$230:$J$250,'2026_Мустафин'!CH230:CH250)</f>
        <v/>
      </c>
      <c r="T14" s="192">
        <f>SUMPRODUCT('2026_Мустафин'!$J$230:$J$250,'2026_Мустафин'!CI230:CI250)</f>
        <v/>
      </c>
      <c r="U14" s="192">
        <f>SUMPRODUCT('2026_Мустафин'!$J$230:$J$250,'2026_Мустафин'!CJ230:CJ250)</f>
        <v/>
      </c>
      <c r="V14" s="192">
        <f>SUMPRODUCT('2026_Мустафин'!$J$230:$J$250,'2026_Мустафин'!CK230:CK250)</f>
        <v/>
      </c>
      <c r="W14" s="192">
        <f>SUMPRODUCT('2026_Мустафин'!$J$230:$J$250,'2026_Мустафин'!CL230:CL250)</f>
        <v/>
      </c>
      <c r="X14" s="192">
        <f>SUMPRODUCT('2026_Мустафин'!$J$230:$J$250,'2026_Мустафин'!CM230:CM250)</f>
        <v/>
      </c>
      <c r="Y14" s="192">
        <f>SUMPRODUCT('2026_Мустафин'!$J$230:$J$250,'2026_Мустафин'!CN230:CN250)</f>
        <v/>
      </c>
      <c r="Z14" s="192">
        <f>SUMPRODUCT('2026_Мустафин'!$J$230:$J$250,'2026_Мустафин'!CO230:CO250)</f>
        <v/>
      </c>
      <c r="AA14" s="192">
        <f>SUMPRODUCT('2026_Мустафин'!$J$230:$J$250,'2026_Мустафин'!CP230:CP250)</f>
        <v/>
      </c>
      <c r="AB14" s="192">
        <f>SUMPRODUCT('2026_Мустафин'!$J$230:$J$250,'2026_Мустафин'!CQ230:CQ250)</f>
        <v/>
      </c>
      <c r="AC14" s="192">
        <f>SUMPRODUCT('2026_Мустафин'!$J$230:$J$250,'2026_Мустафин'!CR230:CR250)</f>
        <v/>
      </c>
      <c r="AD14" s="192">
        <f>SUMPRODUCT('2026_Мустафин'!$J$230:$J$250,'2026_Мустафин'!CS230:CS250)</f>
        <v/>
      </c>
      <c r="AE14" s="192">
        <f>SUMPRODUCT('2026_Мустафин'!$J$230:$J$250,'2026_Мустафин'!CT230:CT250)</f>
        <v/>
      </c>
      <c r="AF14" s="192">
        <f>SUMPRODUCT('2026_Мустафин'!$J$230:$J$250,'2026_Мустафин'!CU230:CU250)</f>
        <v/>
      </c>
      <c r="AG14" s="192">
        <f>SUMPRODUCT('2026_Мустафин'!$J$230:$J$250,'2026_Мустафин'!CV230:CV250)</f>
        <v/>
      </c>
      <c r="AH14" s="192">
        <f>SUMPRODUCT('2026_Мустафин'!$J$230:$J$250,'2026_Мустафин'!CW230:CW250)</f>
        <v/>
      </c>
      <c r="AI14" s="192">
        <f>SUMPRODUCT('2026_Мустафин'!$J$230:$J$250,'2026_Мустафин'!CX230:CX250)</f>
        <v/>
      </c>
      <c r="AJ14" s="192">
        <f>SUMPRODUCT('2026_Мустафин'!$J$230:$J$250,'2026_Мустафин'!CY230:CY250)</f>
        <v/>
      </c>
      <c r="AK14" s="192">
        <f>SUMPRODUCT('2026_Мустафин'!$J$230:$J$250,'2026_Мустафин'!CZ230:CZ250)</f>
        <v/>
      </c>
      <c r="AL14" s="192">
        <f>SUMPRODUCT('2026_Мустафин'!$J$230:$J$250,'2026_Мустафин'!DA230:DA250)</f>
        <v/>
      </c>
      <c r="AM14" s="192">
        <f>SUMPRODUCT('2026_Мустафин'!$J$230:$J$250,'2026_Мустафин'!DB230:DB250)</f>
        <v/>
      </c>
      <c r="AN14" s="192">
        <f>SUMPRODUCT('2026_Мустафин'!$J$230:$J$250,'2026_Мустафин'!DC230:DC250)</f>
        <v/>
      </c>
      <c r="AO14" s="192">
        <f>SUMPRODUCT('2026_Мустафин'!$J$230:$J$250,'2026_Мустафин'!DD230:DD250)</f>
        <v/>
      </c>
      <c r="AP14" s="192">
        <f>SUMPRODUCT('2026_Мустафин'!$J$230:$J$250,'2026_Мустафин'!DE230:DE250)</f>
        <v/>
      </c>
      <c r="AQ14" s="192">
        <f>SUMPRODUCT('2026_Мустафин'!$J$230:$J$250,'2026_Мустафин'!DF230:DF250)</f>
        <v/>
      </c>
      <c r="AR14" s="192">
        <f>SUMPRODUCT('2026_Мустафин'!$J$230:$J$250,'2026_Мустафин'!DG230:DG250)</f>
        <v/>
      </c>
      <c r="AS14" s="192">
        <f>SUMPRODUCT('2026_Мустафин'!$J$230:$J$250,'2026_Мустафин'!DH230:DH250)</f>
        <v/>
      </c>
      <c r="AT14" s="192">
        <f>SUMPRODUCT('2026_Мустафин'!$J$230:$J$250,'2026_Мустафин'!DI230:DI250)</f>
        <v/>
      </c>
      <c r="AU14" s="192">
        <f>SUMPRODUCT('2026_Мустафин'!$J$230:$J$250,'2026_Мустафин'!DJ230:DJ250)</f>
        <v/>
      </c>
      <c r="AV14" s="192">
        <f>SUMPRODUCT('2026_Мустафин'!$J$230:$J$250,'2026_Мустафин'!DK230:DK250)</f>
        <v/>
      </c>
      <c r="AW14" s="192">
        <f>SUMPRODUCT('2026_Мустафин'!$J$230:$J$250,'2026_Мустафин'!DL230:DL250)</f>
        <v/>
      </c>
      <c r="AX14" s="192">
        <f>SUMPRODUCT('2026_Мустафин'!$J$230:$J$250,'2026_Мустафин'!DM230:DM250)</f>
        <v/>
      </c>
      <c r="AY14" s="192">
        <f>SUMPRODUCT('2026_Мустафин'!$J$230:$J$250,'2026_Мустафин'!DN230:DN250)</f>
        <v/>
      </c>
      <c r="AZ14" s="192">
        <f>SUMPRODUCT('2026_Мустафин'!$J$230:$J$250,'2026_Мустафин'!DO230:DO250)</f>
        <v/>
      </c>
      <c r="BA14" s="192">
        <f>SUMPRODUCT('2026_Мустафин'!$J$230:$J$250,'2026_Мустафин'!DP230:DP250)</f>
        <v/>
      </c>
      <c r="BB14" s="192">
        <f>SUMPRODUCT('2026_Мустафин'!$J$230:$J$250,'2026_Мустафин'!DQ230:DQ250)</f>
        <v/>
      </c>
      <c r="BC14" s="192">
        <f>SUMPRODUCT('2026_Мустафин'!$J$230:$J$250,'2026_Мустафин'!DR230:DR250)</f>
        <v/>
      </c>
      <c r="BD14" s="192">
        <f>SUMPRODUCT('2026_Мустафин'!$J$230:$J$250,'2026_Мустафин'!DS230:DS250)</f>
        <v/>
      </c>
      <c r="BE14" s="192">
        <f>SUMPRODUCT('2026_Мустафин'!$J$230:$J$250,'2026_Мустафин'!DT230:DT250)</f>
        <v/>
      </c>
      <c r="BF14" s="192">
        <f>SUMPRODUCT('2026_Мустафин'!$J$230:$J$250,'2026_Мустафин'!DU230:DU250)</f>
        <v/>
      </c>
      <c r="BG14" s="192">
        <f>SUMPRODUCT('2026_Мустафин'!$J$230:$J$250,'2026_Мустафин'!DV230:DV250)</f>
        <v/>
      </c>
      <c r="BH14" s="192">
        <f>SUMPRODUCT('2026_Мустафин'!$J$230:$J$250,'2026_Мустафин'!DW230:DW250)</f>
        <v/>
      </c>
      <c r="BI14" s="192">
        <f>SUMPRODUCT('2026_Мустафин'!$J$230:$J$250,'2026_Мустафин'!DX230:DX250)</f>
        <v/>
      </c>
      <c r="BJ14" s="192">
        <f>SUMPRODUCT('2026_Мустафин'!$J$230:$J$250,'2026_Мустафин'!DY230:DY250)</f>
        <v/>
      </c>
      <c r="BK14" s="192">
        <f>SUMPRODUCT('2026_Мустафин'!$J$230:$J$250,'2026_Мустафин'!DZ230:DZ250)</f>
        <v/>
      </c>
      <c r="BL14" s="192">
        <f>SUMPRODUCT('2026_Мустафин'!$J$230:$J$250,'2026_Мустафин'!EA230:EA250)</f>
        <v/>
      </c>
      <c r="BM14" s="192">
        <f>SUMPRODUCT('2026_Мустафин'!$J$230:$J$250,'2026_Мустафин'!EB230:EB250)</f>
        <v/>
      </c>
      <c r="BN14" s="192">
        <f>SUMPRODUCT('2026_Мустафин'!$J$230:$J$250,'2026_Мустафин'!EC230:EC250)</f>
        <v/>
      </c>
      <c r="BO14" s="192">
        <f>SUMPRODUCT('2026_Мустафин'!$J$230:$J$250,'2026_Мустафин'!ED230:ED250)</f>
        <v/>
      </c>
      <c r="BP14" s="192">
        <f>SUMPRODUCT('2026_Мустафин'!$J$230:$J$250,'2026_Мустафин'!EE230:EE250)</f>
        <v/>
      </c>
      <c r="BQ14" s="193">
        <f>SUMPRODUCT('2026_Мустафин'!$J$230:$J$250,'2026_Мустафин'!EF230:EF250)</f>
        <v/>
      </c>
      <c r="BR14" s="192">
        <f>SUMPRODUCT('2026_Мустафин'!$J$230:$J$250,'2026_Мустафин'!EG230:EG250)</f>
        <v/>
      </c>
      <c r="BS14" s="192">
        <f>SUMPRODUCT('2026_Мустафин'!$J$230:$J$250,'2026_Мустафин'!EH230:EH250)</f>
        <v/>
      </c>
      <c r="BT14" s="192">
        <f>SUMPRODUCT('2026_Мустафин'!$J$230:$J$250,'2026_Мустафин'!EI230:EI250)</f>
        <v/>
      </c>
      <c r="BU14" s="193">
        <f>SUMPRODUCT('2026_Мустафин'!$J$230:$J$250,'2026_Мустафин'!EJ230:EJ250)</f>
        <v/>
      </c>
      <c r="BV14" s="192">
        <f>SUMPRODUCT('2026_Мустафин'!$J$230:$J$250,'2026_Мустафин'!EK230:EK250)</f>
        <v/>
      </c>
      <c r="BW14" s="192">
        <f>SUMPRODUCT('2026_Мустафин'!$J$230:$J$250,'2026_Мустафин'!EL230:EL250)</f>
        <v/>
      </c>
      <c r="BX14" s="192">
        <f>SUMPRODUCT('2026_Мустафин'!$J$230:$J$250,'2026_Мустафин'!EM230:EM250)</f>
        <v/>
      </c>
      <c r="BY14" s="193">
        <f>SUMPRODUCT('2026_Мустафин'!$J$230:$J$250,'2026_Мустафин'!EN230:EN250)</f>
        <v/>
      </c>
      <c r="BZ14" s="192">
        <f>SUMPRODUCT('2026_Мустафин'!$J$230:$J$250,'2026_Мустафин'!EO230:EO250)</f>
        <v/>
      </c>
      <c r="CA14" s="192">
        <f>SUMPRODUCT('2026_Мустафин'!$J$230:$J$250,'2026_Мустафин'!EP230:EP250)</f>
        <v/>
      </c>
      <c r="CB14" s="192">
        <f>SUMPRODUCT('2026_Мустафин'!$J$230:$J$250,'2026_Мустафин'!EQ230:EQ250)</f>
        <v/>
      </c>
      <c r="CC14" s="193">
        <f>SUMPRODUCT('2026_Мустафин'!$J$230:$J$250,'2026_Мустафин'!ER230:ER250)</f>
        <v/>
      </c>
      <c r="CD14" s="192">
        <f>SUMPRODUCT('2026_Мустафин'!$J$230:$J$250,'2026_Мустафин'!ES230:ES250)</f>
        <v/>
      </c>
      <c r="CE14" s="192">
        <f>SUMPRODUCT('2026_Мустафин'!$J$230:$J$250,'2026_Мустафин'!ET230:ET250)</f>
        <v/>
      </c>
      <c r="CF14" s="192">
        <f>SUMPRODUCT('2026_Мустафин'!$J$230:$J$250,'2026_Мустафин'!EU230:EU250)</f>
        <v/>
      </c>
      <c r="CG14" s="193">
        <f>SUMPRODUCT('2026_Мустафин'!$J$230:$J$250,'2026_Мустафин'!EV230:EV250)</f>
        <v/>
      </c>
      <c r="CH14" s="192">
        <f>SUMPRODUCT('2026_Мустафин'!$J$230:$J$250,'2026_Мустафин'!EW230:EW250)</f>
        <v/>
      </c>
      <c r="CI14" s="192">
        <f>SUMPRODUCT('2026_Мустафин'!$J$230:$J$250,'2026_Мустафин'!EX230:EX250)</f>
        <v/>
      </c>
      <c r="CJ14" s="192">
        <f>SUMPRODUCT('2026_Мустафин'!$J$230:$J$250,'2026_Мустафин'!EY230:EY250)</f>
        <v/>
      </c>
      <c r="CK14" s="193">
        <f>SUMPRODUCT('2026_Мустафин'!$J$230:$J$250,'2026_Мустафин'!EZ230:EZ250)</f>
        <v/>
      </c>
      <c r="CL14" s="192">
        <f>SUMPRODUCT('2026_Мустафин'!$J$230:$J$250,'2026_Мустафин'!FA230:FA250)</f>
        <v/>
      </c>
      <c r="CM14" s="192">
        <f>SUMPRODUCT('2026_Мустафин'!$J$230:$J$250,'2026_Мустафин'!FB230:FB250)</f>
        <v/>
      </c>
      <c r="CN14" s="192">
        <f>SUMPRODUCT('2026_Мустафин'!$J$230:$J$250,'2026_Мустафин'!FC230:FC250)</f>
        <v/>
      </c>
      <c r="CO14" s="193">
        <f>SUMPRODUCT('2026_Мустафин'!$J$230:$J$250,'2026_Мустафин'!FD230:FD250)</f>
        <v/>
      </c>
      <c r="CP14" s="192">
        <f>SUMPRODUCT('2026_Мустафин'!$J$230:$J$250,'2026_Мустафин'!FE230:FE250)</f>
        <v/>
      </c>
      <c r="CQ14" s="192">
        <f>SUMPRODUCT('2026_Мустафин'!$J$230:$J$250,'2026_Мустафин'!FF230:FF250)</f>
        <v/>
      </c>
      <c r="CR14" s="192">
        <f>SUMPRODUCT('2026_Мустафин'!$J$230:$J$250,'2026_Мустафин'!FG230:FG250)</f>
        <v/>
      </c>
      <c r="CS14" s="193">
        <f>SUMPRODUCT('2026_Мустафин'!$J$230:$J$250,'2026_Мустафин'!FH230:FH250)</f>
        <v/>
      </c>
      <c r="CT14" s="192">
        <f>SUMPRODUCT('2026_Мустафин'!$J$230:$J$250,'2026_Мустафин'!FI230:FI250)</f>
        <v/>
      </c>
      <c r="CU14" s="192">
        <f>SUMPRODUCT('2026_Мустафин'!$J$230:$J$250,'2026_Мустафин'!FJ230:FJ250)</f>
        <v/>
      </c>
      <c r="CV14" s="192">
        <f>SUMPRODUCT('2026_Мустафин'!$J$230:$J$250,'2026_Мустафин'!FK230:FK250)</f>
        <v/>
      </c>
      <c r="CW14" s="193">
        <f>SUMPRODUCT('2026_Мустафин'!$J$230:$J$250,'2026_Мустафин'!FL230:FL250)</f>
        <v/>
      </c>
      <c r="CX14" s="192">
        <f>SUMPRODUCT('2026_Мустафин'!$J$230:$J$250,'2026_Мустафин'!FM230:FM250)</f>
        <v/>
      </c>
      <c r="CY14" s="192">
        <f>SUMPRODUCT('2026_Мустафин'!$J$230:$J$250,'2026_Мустафин'!FN230:FN250)</f>
        <v/>
      </c>
      <c r="CZ14" s="192">
        <f>SUMPRODUCT('2026_Мустафин'!$J$230:$J$250,'2026_Мустафин'!FO230:FO250)</f>
        <v/>
      </c>
      <c r="DA14" s="193">
        <f>SUMPRODUCT('2026_Мустафин'!$J$230:$J$250,'2026_Мустафин'!FP230:FP250)</f>
        <v/>
      </c>
      <c r="DB14" s="192">
        <f>SUMPRODUCT('2026_Мустафин'!$J$230:$J$250,'2026_Мустафин'!FQ230:FQ250)</f>
        <v/>
      </c>
      <c r="DC14" s="192">
        <f>SUMPRODUCT('2026_Мустафин'!$J$230:$J$250,'2026_Мустафин'!FR230:FR250)</f>
        <v/>
      </c>
      <c r="DD14" s="192">
        <f>SUMPRODUCT('2026_Мустафин'!$J$230:$J$250,'2026_Мустафин'!FS230:FS250)</f>
        <v/>
      </c>
      <c r="DE14" s="193">
        <f>SUMPRODUCT('2026_Мустафин'!$J$230:$J$250,'2026_Мустафин'!FT230:FT250)</f>
        <v/>
      </c>
      <c r="DF14" s="192">
        <f>SUMPRODUCT('2026_Мустафин'!$J$230:$J$250,'2026_Мустафин'!FU230:FU250)</f>
        <v/>
      </c>
      <c r="DG14" s="192">
        <f>SUMPRODUCT('2026_Мустафин'!$J$230:$J$250,'2026_Мустафин'!FV230:FV250)</f>
        <v/>
      </c>
      <c r="DH14" s="192">
        <f>SUMPRODUCT('2026_Мустафин'!$J$230:$J$250,'2026_Мустафин'!FW230:FW250)</f>
        <v/>
      </c>
      <c r="DI14" s="193">
        <f>SUMPRODUCT('2026_Мустафин'!$J$230:$J$250,'2026_Мустафин'!FX230:FX250)</f>
        <v/>
      </c>
      <c r="DJ14" s="192">
        <f>SUMPRODUCT('2026_Мустафин'!$J$230:$J$250,'2026_Мустафин'!FY230:FY250)</f>
        <v/>
      </c>
      <c r="DK14" s="192">
        <f>SUMPRODUCT('2026_Мустафин'!$J$230:$J$250,'2026_Мустафин'!FZ230:FZ250)</f>
        <v/>
      </c>
    </row>
    <row r="15">
      <c r="A15" s="192" t="inlineStr">
        <is>
          <t>КАМАЗ</t>
        </is>
      </c>
      <c r="B15" s="192">
        <f>SUMPRODUCT('2026_Мустафин'!$J$252:$J$272,'2026_Мустафин'!BQ252:BQ272)</f>
        <v/>
      </c>
      <c r="C15" s="192">
        <f>SUMPRODUCT('2026_Мустафин'!$J$252:$J$272,'2026_Мустафин'!BR252:BR272)</f>
        <v/>
      </c>
      <c r="D15" s="192">
        <f>SUMPRODUCT('2026_Мустафин'!$J$252:$J$272,'2026_Мустафин'!BS252:BS272)</f>
        <v/>
      </c>
      <c r="E15" s="192">
        <f>SUMPRODUCT('2026_Мустафин'!$J$252:$J$272,'2026_Мустафин'!BT252:BT272)</f>
        <v/>
      </c>
      <c r="F15" s="192">
        <f>SUMPRODUCT('2026_Мустафин'!$J$252:$J$272,'2026_Мустафин'!BU252:BU272)</f>
        <v/>
      </c>
      <c r="G15" s="192">
        <f>SUMPRODUCT('2026_Мустафин'!$J$252:$J$272,'2026_Мустафин'!BV252:BV272)</f>
        <v/>
      </c>
      <c r="H15" s="192">
        <f>SUMPRODUCT('2026_Мустафин'!$J$252:$J$272,'2026_Мустафин'!BW252:BW272)</f>
        <v/>
      </c>
      <c r="I15" s="192">
        <f>SUMPRODUCT('2026_Мустафин'!$J$252:$J$272,'2026_Мустафин'!BX252:BX272)</f>
        <v/>
      </c>
      <c r="J15" s="192">
        <f>SUMPRODUCT('2026_Мустафин'!$J$252:$J$272,'2026_Мустафин'!BY252:BY272)</f>
        <v/>
      </c>
      <c r="K15" s="192">
        <f>SUMPRODUCT('2026_Мустафин'!$J$252:$J$272,'2026_Мустафин'!BZ252:BZ272)</f>
        <v/>
      </c>
      <c r="L15" s="192">
        <f>SUMPRODUCT('2026_Мустафин'!$J$252:$J$272,'2026_Мустафин'!CA252:CA272)</f>
        <v/>
      </c>
      <c r="M15" s="192">
        <f>SUMPRODUCT('2026_Мустафин'!$J$252:$J$272,'2026_Мустафин'!CB252:CB272)</f>
        <v/>
      </c>
      <c r="N15" s="192">
        <f>SUMPRODUCT('2026_Мустафин'!$J$252:$J$272,'2026_Мустафин'!CC252:CC272)</f>
        <v/>
      </c>
      <c r="O15" s="192">
        <f>SUMPRODUCT('2026_Мустафин'!$J$252:$J$272,'2026_Мустафин'!CD252:CD272)</f>
        <v/>
      </c>
      <c r="P15" s="192">
        <f>SUMPRODUCT('2026_Мустафин'!$J$252:$J$272,'2026_Мустафин'!CE252:CE272)</f>
        <v/>
      </c>
      <c r="Q15" s="192">
        <f>SUMPRODUCT('2026_Мустафин'!$J$252:$J$272,'2026_Мустафин'!CF252:CF272)</f>
        <v/>
      </c>
      <c r="R15" s="192">
        <f>SUMPRODUCT('2026_Мустафин'!$J$252:$J$272,'2026_Мустафин'!CG252:CG272)</f>
        <v/>
      </c>
      <c r="S15" s="192">
        <f>SUMPRODUCT('2026_Мустафин'!$J$252:$J$272,'2026_Мустафин'!CH252:CH272)</f>
        <v/>
      </c>
      <c r="T15" s="192">
        <f>SUMPRODUCT('2026_Мустафин'!$J$252:$J$272,'2026_Мустафин'!CI252:CI272)</f>
        <v/>
      </c>
      <c r="U15" s="192">
        <f>SUMPRODUCT('2026_Мустафин'!$J$252:$J$272,'2026_Мустафин'!CJ252:CJ272)</f>
        <v/>
      </c>
      <c r="V15" s="192">
        <f>SUMPRODUCT('2026_Мустафин'!$J$252:$J$272,'2026_Мустафин'!CK252:CK272)</f>
        <v/>
      </c>
      <c r="W15" s="192">
        <f>SUMPRODUCT('2026_Мустафин'!$J$252:$J$272,'2026_Мустафин'!CL252:CL272)</f>
        <v/>
      </c>
      <c r="X15" s="192">
        <f>SUMPRODUCT('2026_Мустафин'!$J$252:$J$272,'2026_Мустафин'!CM252:CM272)</f>
        <v/>
      </c>
      <c r="Y15" s="192">
        <f>SUMPRODUCT('2026_Мустафин'!$J$252:$J$272,'2026_Мустафин'!CN252:CN272)</f>
        <v/>
      </c>
      <c r="Z15" s="192">
        <f>SUMPRODUCT('2026_Мустафин'!$J$252:$J$272,'2026_Мустафин'!CO252:CO272)</f>
        <v/>
      </c>
      <c r="AA15" s="192">
        <f>SUMPRODUCT('2026_Мустафин'!$J$252:$J$272,'2026_Мустафин'!CP252:CP272)</f>
        <v/>
      </c>
      <c r="AB15" s="192">
        <f>SUMPRODUCT('2026_Мустафин'!$J$252:$J$272,'2026_Мустафин'!CQ252:CQ272)</f>
        <v/>
      </c>
      <c r="AC15" s="192">
        <f>SUMPRODUCT('2026_Мустафин'!$J$252:$J$272,'2026_Мустафин'!CR252:CR272)</f>
        <v/>
      </c>
      <c r="AD15" s="192">
        <f>SUMPRODUCT('2026_Мустафин'!$J$252:$J$272,'2026_Мустафин'!CS252:CS272)</f>
        <v/>
      </c>
      <c r="AE15" s="192">
        <f>SUMPRODUCT('2026_Мустафин'!$J$252:$J$272,'2026_Мустафин'!CT252:CT272)</f>
        <v/>
      </c>
      <c r="AF15" s="192">
        <f>SUMPRODUCT('2026_Мустафин'!$J$252:$J$272,'2026_Мустафин'!CU252:CU272)</f>
        <v/>
      </c>
      <c r="AG15" s="192">
        <f>SUMPRODUCT('2026_Мустафин'!$J$252:$J$272,'2026_Мустафин'!CV252:CV272)</f>
        <v/>
      </c>
      <c r="AH15" s="192">
        <f>SUMPRODUCT('2026_Мустафин'!$J$252:$J$272,'2026_Мустафин'!CW252:CW272)</f>
        <v/>
      </c>
      <c r="AI15" s="192">
        <f>SUMPRODUCT('2026_Мустафин'!$J$252:$J$272,'2026_Мустафин'!CX252:CX272)</f>
        <v/>
      </c>
      <c r="AJ15" s="192">
        <f>SUMPRODUCT('2026_Мустафин'!$J$252:$J$272,'2026_Мустафин'!CY252:CY272)</f>
        <v/>
      </c>
      <c r="AK15" s="192">
        <f>SUMPRODUCT('2026_Мустафин'!$J$252:$J$272,'2026_Мустафин'!CZ252:CZ272)</f>
        <v/>
      </c>
      <c r="AL15" s="192">
        <f>SUMPRODUCT('2026_Мустафин'!$J$252:$J$272,'2026_Мустафин'!DA252:DA272)</f>
        <v/>
      </c>
      <c r="AM15" s="192">
        <f>SUMPRODUCT('2026_Мустафин'!$J$252:$J$272,'2026_Мустафин'!DB252:DB272)</f>
        <v/>
      </c>
      <c r="AN15" s="192">
        <f>SUMPRODUCT('2026_Мустафин'!$J$252:$J$272,'2026_Мустафин'!DC252:DC272)</f>
        <v/>
      </c>
      <c r="AO15" s="192">
        <f>SUMPRODUCT('2026_Мустафин'!$J$252:$J$272,'2026_Мустафин'!DD252:DD272)</f>
        <v/>
      </c>
      <c r="AP15" s="192">
        <f>SUMPRODUCT('2026_Мустафин'!$J$252:$J$272,'2026_Мустафин'!DE252:DE272)</f>
        <v/>
      </c>
      <c r="AQ15" s="192">
        <f>SUMPRODUCT('2026_Мустафин'!$J$252:$J$272,'2026_Мустафин'!DF252:DF272)</f>
        <v/>
      </c>
      <c r="AR15" s="192">
        <f>SUMPRODUCT('2026_Мустафин'!$J$252:$J$272,'2026_Мустафин'!DG252:DG272)</f>
        <v/>
      </c>
      <c r="AS15" s="192">
        <f>SUMPRODUCT('2026_Мустафин'!$J$252:$J$272,'2026_Мустафин'!DH252:DH272)</f>
        <v/>
      </c>
      <c r="AT15" s="192">
        <f>SUMPRODUCT('2026_Мустафин'!$J$252:$J$272,'2026_Мустафин'!DI252:DI272)</f>
        <v/>
      </c>
      <c r="AU15" s="192">
        <f>SUMPRODUCT('2026_Мустафин'!$J$252:$J$272,'2026_Мустафин'!DJ252:DJ272)</f>
        <v/>
      </c>
      <c r="AV15" s="192">
        <f>SUMPRODUCT('2026_Мустафин'!$J$252:$J$272,'2026_Мустафин'!DK252:DK272)</f>
        <v/>
      </c>
      <c r="AW15" s="192">
        <f>SUMPRODUCT('2026_Мустафин'!$J$252:$J$272,'2026_Мустафин'!DL252:DL272)</f>
        <v/>
      </c>
      <c r="AX15" s="192">
        <f>SUMPRODUCT('2026_Мустафин'!$J$252:$J$272,'2026_Мустафин'!DM252:DM272)</f>
        <v/>
      </c>
      <c r="AY15" s="192">
        <f>SUMPRODUCT('2026_Мустафин'!$J$252:$J$272,'2026_Мустафин'!DN252:DN272)</f>
        <v/>
      </c>
      <c r="AZ15" s="192">
        <f>SUMPRODUCT('2026_Мустафин'!$J$252:$J$272,'2026_Мустафин'!DO252:DO272)</f>
        <v/>
      </c>
      <c r="BA15" s="192">
        <f>SUMPRODUCT('2026_Мустафин'!$J$252:$J$272,'2026_Мустафин'!DP252:DP272)</f>
        <v/>
      </c>
      <c r="BB15" s="192">
        <f>SUMPRODUCT('2026_Мустафин'!$J$252:$J$272,'2026_Мустафин'!DQ252:DQ272)</f>
        <v/>
      </c>
      <c r="BC15" s="192">
        <f>SUMPRODUCT('2026_Мустафин'!$J$252:$J$272,'2026_Мустафин'!DR252:DR272)</f>
        <v/>
      </c>
      <c r="BD15" s="192">
        <f>SUMPRODUCT('2026_Мустафин'!$J$252:$J$272,'2026_Мустафин'!DS252:DS272)</f>
        <v/>
      </c>
      <c r="BE15" s="192">
        <f>SUMPRODUCT('2026_Мустафин'!$J$252:$J$272,'2026_Мустафин'!DT252:DT272)</f>
        <v/>
      </c>
      <c r="BF15" s="192">
        <f>SUMPRODUCT('2026_Мустафин'!$J$252:$J$272,'2026_Мустафин'!DU252:DU272)</f>
        <v/>
      </c>
      <c r="BG15" s="192">
        <f>SUMPRODUCT('2026_Мустафин'!$J$252:$J$272,'2026_Мустафин'!DV252:DV272)</f>
        <v/>
      </c>
      <c r="BH15" s="192">
        <f>SUMPRODUCT('2026_Мустафин'!$J$252:$J$272,'2026_Мустафин'!DW252:DW272)</f>
        <v/>
      </c>
      <c r="BI15" s="192">
        <f>SUMPRODUCT('2026_Мустафин'!$J$252:$J$272,'2026_Мустафин'!DX252:DX272)</f>
        <v/>
      </c>
      <c r="BJ15" s="192">
        <f>SUMPRODUCT('2026_Мустафин'!$J$252:$J$272,'2026_Мустафин'!DY252:DY272)</f>
        <v/>
      </c>
      <c r="BK15" s="192">
        <f>SUMPRODUCT('2026_Мустафин'!$J$252:$J$272,'2026_Мустафин'!DZ252:DZ272)</f>
        <v/>
      </c>
      <c r="BL15" s="192">
        <f>SUMPRODUCT('2026_Мустафин'!$J$252:$J$272,'2026_Мустафин'!EA252:EA272)</f>
        <v/>
      </c>
      <c r="BM15" s="192">
        <f>SUMPRODUCT('2026_Мустафин'!$J$252:$J$272,'2026_Мустафин'!EB252:EB272)</f>
        <v/>
      </c>
      <c r="BN15" s="192">
        <f>SUMPRODUCT('2026_Мустафин'!$J$252:$J$272,'2026_Мустафин'!EC252:EC272)</f>
        <v/>
      </c>
      <c r="BO15" s="192">
        <f>SUMPRODUCT('2026_Мустафин'!$J$252:$J$272,'2026_Мустафин'!ED252:ED272)</f>
        <v/>
      </c>
      <c r="BP15" s="192">
        <f>SUMPRODUCT('2026_Мустафин'!$J$252:$J$272,'2026_Мустафин'!EE252:EE272)</f>
        <v/>
      </c>
      <c r="BQ15" s="193">
        <f>SUMPRODUCT('2026_Мустафин'!$J$252:$J$272,'2026_Мустафин'!EF252:EF272)</f>
        <v/>
      </c>
      <c r="BR15" s="192">
        <f>SUMPRODUCT('2026_Мустафин'!$J$252:$J$272,'2026_Мустафин'!EG252:EG272)</f>
        <v/>
      </c>
      <c r="BS15" s="192">
        <f>SUMPRODUCT('2026_Мустафин'!$J$252:$J$272,'2026_Мустафин'!EH252:EH272)</f>
        <v/>
      </c>
      <c r="BT15" s="192">
        <f>SUMPRODUCT('2026_Мустафин'!$J$252:$J$272,'2026_Мустафин'!EI252:EI272)</f>
        <v/>
      </c>
      <c r="BU15" s="193">
        <f>SUMPRODUCT('2026_Мустафин'!$J$252:$J$272,'2026_Мустафин'!EJ252:EJ272)</f>
        <v/>
      </c>
      <c r="BV15" s="192">
        <f>SUMPRODUCT('2026_Мустафин'!$J$252:$J$272,'2026_Мустафин'!EK252:EK272)</f>
        <v/>
      </c>
      <c r="BW15" s="192">
        <f>SUMPRODUCT('2026_Мустафин'!$J$252:$J$272,'2026_Мустафин'!EL252:EL272)</f>
        <v/>
      </c>
      <c r="BX15" s="192">
        <f>SUMPRODUCT('2026_Мустафин'!$J$252:$J$272,'2026_Мустафин'!EM252:EM272)</f>
        <v/>
      </c>
      <c r="BY15" s="193">
        <f>SUMPRODUCT('2026_Мустафин'!$J$252:$J$272,'2026_Мустафин'!EN252:EN272)</f>
        <v/>
      </c>
      <c r="BZ15" s="192">
        <f>SUMPRODUCT('2026_Мустафин'!$J$252:$J$272,'2026_Мустафин'!EO252:EO272)</f>
        <v/>
      </c>
      <c r="CA15" s="192">
        <f>SUMPRODUCT('2026_Мустафин'!$J$252:$J$272,'2026_Мустафин'!EP252:EP272)</f>
        <v/>
      </c>
      <c r="CB15" s="192">
        <f>SUMPRODUCT('2026_Мустафин'!$J$252:$J$272,'2026_Мустафин'!EQ252:EQ272)</f>
        <v/>
      </c>
      <c r="CC15" s="193">
        <f>SUMPRODUCT('2026_Мустафин'!$J$252:$J$272,'2026_Мустафин'!ER252:ER272)</f>
        <v/>
      </c>
      <c r="CD15" s="192">
        <f>SUMPRODUCT('2026_Мустафин'!$J$252:$J$272,'2026_Мустафин'!ES252:ES272)</f>
        <v/>
      </c>
      <c r="CE15" s="192">
        <f>SUMPRODUCT('2026_Мустафин'!$J$252:$J$272,'2026_Мустафин'!ET252:ET272)</f>
        <v/>
      </c>
      <c r="CF15" s="192">
        <f>SUMPRODUCT('2026_Мустафин'!$J$252:$J$272,'2026_Мустафин'!EU252:EU272)</f>
        <v/>
      </c>
      <c r="CG15" s="193">
        <f>SUMPRODUCT('2026_Мустафин'!$J$252:$J$272,'2026_Мустафин'!EV252:EV272)</f>
        <v/>
      </c>
      <c r="CH15" s="192">
        <f>SUMPRODUCT('2026_Мустафин'!$J$252:$J$272,'2026_Мустафин'!EW252:EW272)</f>
        <v/>
      </c>
      <c r="CI15" s="192">
        <f>SUMPRODUCT('2026_Мустафин'!$J$252:$J$272,'2026_Мустафин'!EX252:EX272)</f>
        <v/>
      </c>
      <c r="CJ15" s="192">
        <f>SUMPRODUCT('2026_Мустафин'!$J$252:$J$272,'2026_Мустафин'!EY252:EY272)</f>
        <v/>
      </c>
      <c r="CK15" s="193">
        <f>SUMPRODUCT('2026_Мустафин'!$J$252:$J$272,'2026_Мустафин'!EZ252:EZ272)</f>
        <v/>
      </c>
      <c r="CL15" s="192">
        <f>SUMPRODUCT('2026_Мустафин'!$J$252:$J$272,'2026_Мустафин'!FA252:FA272)</f>
        <v/>
      </c>
      <c r="CM15" s="192">
        <f>SUMPRODUCT('2026_Мустафин'!$J$252:$J$272,'2026_Мустафин'!FB252:FB272)</f>
        <v/>
      </c>
      <c r="CN15" s="192">
        <f>SUMPRODUCT('2026_Мустафин'!$J$252:$J$272,'2026_Мустафин'!FC252:FC272)</f>
        <v/>
      </c>
      <c r="CO15" s="193">
        <f>SUMPRODUCT('2026_Мустафин'!$J$252:$J$272,'2026_Мустафин'!FD252:FD272)</f>
        <v/>
      </c>
      <c r="CP15" s="192">
        <f>SUMPRODUCT('2026_Мустафин'!$J$252:$J$272,'2026_Мустафин'!FE252:FE272)</f>
        <v/>
      </c>
      <c r="CQ15" s="192">
        <f>SUMPRODUCT('2026_Мустафин'!$J$252:$J$272,'2026_Мустафин'!FF252:FF272)</f>
        <v/>
      </c>
      <c r="CR15" s="192">
        <f>SUMPRODUCT('2026_Мустафин'!$J$252:$J$272,'2026_Мустафин'!FG252:FG272)</f>
        <v/>
      </c>
      <c r="CS15" s="193">
        <f>SUMPRODUCT('2026_Мустафин'!$J$252:$J$272,'2026_Мустафин'!FH252:FH272)</f>
        <v/>
      </c>
      <c r="CT15" s="192">
        <f>SUMPRODUCT('2026_Мустафин'!$J$252:$J$272,'2026_Мустафин'!FI252:FI272)</f>
        <v/>
      </c>
      <c r="CU15" s="192">
        <f>SUMPRODUCT('2026_Мустафин'!$J$252:$J$272,'2026_Мустафин'!FJ252:FJ272)</f>
        <v/>
      </c>
      <c r="CV15" s="192">
        <f>SUMPRODUCT('2026_Мустафин'!$J$252:$J$272,'2026_Мустафин'!FK252:FK272)</f>
        <v/>
      </c>
      <c r="CW15" s="193">
        <f>SUMPRODUCT('2026_Мустафин'!$J$252:$J$272,'2026_Мустафин'!FL252:FL272)</f>
        <v/>
      </c>
      <c r="CX15" s="192">
        <f>SUMPRODUCT('2026_Мустафин'!$J$252:$J$272,'2026_Мустафин'!FM252:FM272)</f>
        <v/>
      </c>
      <c r="CY15" s="192">
        <f>SUMPRODUCT('2026_Мустафин'!$J$252:$J$272,'2026_Мустафин'!FN252:FN272)</f>
        <v/>
      </c>
      <c r="CZ15" s="192">
        <f>SUMPRODUCT('2026_Мустафин'!$J$252:$J$272,'2026_Мустафин'!FO252:FO272)</f>
        <v/>
      </c>
      <c r="DA15" s="193">
        <f>SUMPRODUCT('2026_Мустафин'!$J$252:$J$272,'2026_Мустафин'!FP252:FP272)</f>
        <v/>
      </c>
      <c r="DB15" s="192">
        <f>SUMPRODUCT('2026_Мустафин'!$J$252:$J$272,'2026_Мустафин'!FQ252:FQ272)</f>
        <v/>
      </c>
      <c r="DC15" s="192">
        <f>SUMPRODUCT('2026_Мустафин'!$J$252:$J$272,'2026_Мустафин'!FR252:FR272)</f>
        <v/>
      </c>
      <c r="DD15" s="192">
        <f>SUMPRODUCT('2026_Мустафин'!$J$252:$J$272,'2026_Мустафин'!FS252:FS272)</f>
        <v/>
      </c>
      <c r="DE15" s="193">
        <f>SUMPRODUCT('2026_Мустафин'!$J$252:$J$272,'2026_Мустафин'!FT252:FT272)</f>
        <v/>
      </c>
      <c r="DF15" s="192">
        <f>SUMPRODUCT('2026_Мустафин'!$J$252:$J$272,'2026_Мустафин'!FU252:FU272)</f>
        <v/>
      </c>
      <c r="DG15" s="192">
        <f>SUMPRODUCT('2026_Мустафин'!$J$252:$J$272,'2026_Мустафин'!FV252:FV272)</f>
        <v/>
      </c>
      <c r="DH15" s="192">
        <f>SUMPRODUCT('2026_Мустафин'!$J$252:$J$272,'2026_Мустафин'!FW252:FW272)</f>
        <v/>
      </c>
      <c r="DI15" s="193">
        <f>SUMPRODUCT('2026_Мустафин'!$J$252:$J$272,'2026_Мустафин'!FX252:FX272)</f>
        <v/>
      </c>
      <c r="DJ15" s="192">
        <f>SUMPRODUCT('2026_Мустафин'!$J$252:$J$272,'2026_Мустафин'!FY252:FY272)</f>
        <v/>
      </c>
      <c r="DK15" s="192">
        <f>SUMPRODUCT('2026_Мустафин'!$J$252:$J$272,'2026_Мустафин'!FZ252:FZ272)</f>
        <v/>
      </c>
    </row>
    <row r="16">
      <c r="A16" s="192" t="n"/>
      <c r="B16" s="192" t="n"/>
      <c r="C16" s="192" t="n"/>
      <c r="D16" s="192" t="n"/>
      <c r="E16" s="192" t="n"/>
      <c r="F16" s="192" t="n"/>
      <c r="G16" s="192" t="n"/>
      <c r="H16" s="192" t="n"/>
      <c r="I16" s="192" t="n"/>
      <c r="J16" s="192" t="n"/>
      <c r="K16" s="192" t="n"/>
      <c r="L16" s="194" t="n"/>
      <c r="M16" s="194" t="n"/>
      <c r="N16" s="194" t="n"/>
      <c r="O16" s="194" t="n"/>
      <c r="P16" s="194" t="n"/>
      <c r="Q16" s="194" t="n"/>
      <c r="R16" s="194" t="n"/>
      <c r="S16" s="194" t="n"/>
      <c r="T16" s="194" t="n"/>
      <c r="U16" s="194" t="n"/>
      <c r="V16" s="194" t="n"/>
      <c r="W16" s="194" t="n"/>
      <c r="X16" s="194" t="n"/>
      <c r="Y16" s="194" t="n"/>
      <c r="Z16" s="194" t="n"/>
      <c r="AA16" s="194" t="n"/>
      <c r="AB16" s="194" t="n"/>
      <c r="AC16" s="194" t="n"/>
      <c r="AD16" s="194" t="n"/>
      <c r="AE16" s="194" t="n"/>
      <c r="AF16" s="194" t="n"/>
      <c r="AG16" s="194" t="n"/>
      <c r="AH16" s="194" t="n"/>
      <c r="AI16" s="194" t="n"/>
      <c r="AJ16" s="194" t="n"/>
      <c r="AK16" s="194" t="n"/>
      <c r="AL16" s="194" t="n"/>
      <c r="AM16" s="194" t="n"/>
      <c r="AN16" s="194" t="n"/>
      <c r="AO16" s="194" t="n"/>
      <c r="AP16" s="194" t="n"/>
      <c r="AQ16" s="194" t="n"/>
      <c r="AR16" s="194" t="n"/>
      <c r="AS16" s="194" t="n"/>
      <c r="AT16" s="194" t="n"/>
      <c r="AU16" s="194" t="n"/>
      <c r="AV16" s="194" t="n"/>
      <c r="AW16" s="194" t="n"/>
      <c r="AX16" s="194" t="n"/>
      <c r="AY16" s="194" t="n"/>
      <c r="AZ16" s="194" t="n"/>
      <c r="BA16" s="194" t="n"/>
      <c r="BB16" s="194" t="n"/>
      <c r="BC16" s="194" t="n"/>
      <c r="BD16" s="194" t="n"/>
      <c r="BE16" s="194" t="n"/>
      <c r="BF16" s="194" t="n"/>
      <c r="BG16" s="194" t="n"/>
      <c r="BH16" s="194" t="n"/>
      <c r="BI16" s="194" t="n"/>
      <c r="BJ16" s="194" t="n"/>
      <c r="BK16" s="194" t="n"/>
      <c r="BL16" s="194" t="n"/>
      <c r="BM16" s="194" t="n"/>
      <c r="BN16" s="194" t="n"/>
      <c r="BO16" s="194" t="n"/>
      <c r="BP16" s="192" t="n"/>
      <c r="BQ16" s="192" t="n"/>
      <c r="BR16" s="192" t="n"/>
      <c r="BS16" s="192" t="n"/>
      <c r="BT16" s="192" t="n"/>
      <c r="BU16" s="192" t="n"/>
      <c r="BV16" s="192" t="n"/>
      <c r="BW16" s="192" t="n"/>
      <c r="BX16" s="192" t="n"/>
      <c r="BY16" s="192" t="n"/>
      <c r="BZ16" s="192" t="n"/>
      <c r="CA16" s="192" t="n"/>
      <c r="CB16" s="192" t="n"/>
      <c r="CC16" s="192" t="n"/>
      <c r="CD16" s="192" t="n"/>
      <c r="CE16" s="192" t="n"/>
      <c r="CF16" s="192" t="n"/>
      <c r="CG16" s="192" t="n"/>
      <c r="CH16" s="192" t="n"/>
      <c r="CI16" s="192" t="n"/>
      <c r="CJ16" s="192" t="n"/>
      <c r="CK16" s="192" t="n"/>
      <c r="CL16" s="192" t="n"/>
      <c r="CM16" s="192" t="n"/>
      <c r="CN16" s="192" t="n"/>
      <c r="CO16" s="192" t="n"/>
      <c r="CP16" s="192" t="n"/>
      <c r="CQ16" s="192" t="n"/>
      <c r="CR16" s="192" t="n"/>
      <c r="CS16" s="192" t="n"/>
      <c r="CT16" s="192" t="n"/>
      <c r="CU16" s="192" t="n"/>
      <c r="CV16" s="192" t="n"/>
      <c r="CW16" s="192" t="n"/>
      <c r="CX16" s="192" t="n"/>
      <c r="CY16" s="192" t="n"/>
      <c r="CZ16" s="192" t="n"/>
      <c r="DA16" s="192" t="n"/>
      <c r="DB16" s="192" t="n"/>
      <c r="DC16" s="192" t="n"/>
      <c r="DD16" s="192" t="n"/>
      <c r="DE16" s="192" t="n"/>
      <c r="DF16" s="192" t="n"/>
      <c r="DG16" s="192" t="n"/>
      <c r="DH16" s="192" t="n"/>
      <c r="DI16" s="192" t="n"/>
      <c r="DJ16" s="192" t="n"/>
      <c r="DK16" s="192" t="n"/>
    </row>
    <row r="17" customFormat="1" s="146">
      <c r="A17" s="196" t="inlineStr">
        <is>
          <t>Итого</t>
        </is>
      </c>
      <c r="B17" s="197">
        <f>SUM(B3:B11)</f>
        <v/>
      </c>
      <c r="C17" s="197">
        <f>SUM(C3:C11)</f>
        <v/>
      </c>
      <c r="D17" s="197" t="n"/>
      <c r="E17" s="197" t="n"/>
      <c r="F17" s="197" t="n"/>
      <c r="G17" s="197">
        <f>SUM(G3:G11)</f>
        <v/>
      </c>
      <c r="H17" s="197">
        <f>SUM(H3:H11)</f>
        <v/>
      </c>
      <c r="I17" s="197" t="n"/>
      <c r="J17" s="197" t="n"/>
      <c r="K17" s="197" t="n"/>
      <c r="L17" s="197">
        <f>SUM(L3:L11)</f>
        <v/>
      </c>
      <c r="M17" s="197">
        <f>SUM(M3:M11)</f>
        <v/>
      </c>
      <c r="N17" s="197" t="n"/>
      <c r="O17" s="197" t="n"/>
      <c r="P17" s="197" t="n"/>
      <c r="Q17" s="197">
        <f>SUM(Q3:Q16)</f>
        <v/>
      </c>
      <c r="R17" s="197">
        <f>SUM(R3:R16)</f>
        <v/>
      </c>
      <c r="S17" s="197">
        <f>SUM(S3:S16)</f>
        <v/>
      </c>
      <c r="T17" s="197">
        <f>SUM(T3:T16)</f>
        <v/>
      </c>
      <c r="U17" s="197">
        <f>SUM(U3:U16)</f>
        <v/>
      </c>
      <c r="V17" s="198">
        <f>SUM(V3:V16)</f>
        <v/>
      </c>
      <c r="W17" s="197">
        <f>SUM(W3:W16)</f>
        <v/>
      </c>
      <c r="X17" s="197">
        <f>SUM(X3:X16)</f>
        <v/>
      </c>
      <c r="Y17" s="197">
        <f>SUM(Y3:Y16)</f>
        <v/>
      </c>
      <c r="Z17" s="197">
        <f>SUM(Z3:Z16)</f>
        <v/>
      </c>
      <c r="AA17" s="198">
        <f>SUM(AA3:AA16)</f>
        <v/>
      </c>
      <c r="AB17" s="197">
        <f>SUM(AB3:AB16)</f>
        <v/>
      </c>
      <c r="AC17" s="197">
        <f>SUM(AC3:AC16)</f>
        <v/>
      </c>
      <c r="AD17" s="197">
        <f>SUM(AD3:AD16)</f>
        <v/>
      </c>
      <c r="AE17" s="197">
        <f>SUM(AE3:AE16)</f>
        <v/>
      </c>
      <c r="AF17" s="198">
        <f>SUM(AF3:AF16)</f>
        <v/>
      </c>
      <c r="AG17" s="197">
        <f>SUM(AG3:AG16)</f>
        <v/>
      </c>
      <c r="AH17" s="197">
        <f>SUM(AH3:AH16)</f>
        <v/>
      </c>
      <c r="AI17" s="197">
        <f>SUM(AI3:AI16)</f>
        <v/>
      </c>
      <c r="AJ17" s="197">
        <f>SUM(AJ3:AJ16)</f>
        <v/>
      </c>
      <c r="AK17" s="198">
        <f>SUM(AK3:AK16)</f>
        <v/>
      </c>
      <c r="AL17" s="197">
        <f>SUM(AL3:AL16)</f>
        <v/>
      </c>
      <c r="AM17" s="197">
        <f>SUM(AM3:AM16)</f>
        <v/>
      </c>
      <c r="AN17" s="197">
        <f>SUM(AN3:AN16)</f>
        <v/>
      </c>
      <c r="AO17" s="197">
        <f>SUM(AO3:AO16)</f>
        <v/>
      </c>
      <c r="AP17" s="198">
        <f>SUM(AP3:AP16)</f>
        <v/>
      </c>
      <c r="AQ17" s="197">
        <f>SUM(AQ3:AQ16)</f>
        <v/>
      </c>
      <c r="AR17" s="197">
        <f>SUM(AR3:AR16)</f>
        <v/>
      </c>
      <c r="AS17" s="197">
        <f>SUM(AS3:AS16)</f>
        <v/>
      </c>
      <c r="AT17" s="197">
        <f>SUM(AT3:AT16)</f>
        <v/>
      </c>
      <c r="AU17" s="198">
        <f>SUM(AU3:AU16)</f>
        <v/>
      </c>
      <c r="AV17" s="197">
        <f>SUM(AV3:AV16)</f>
        <v/>
      </c>
      <c r="AW17" s="197">
        <f>SUM(AW3:AW16)</f>
        <v/>
      </c>
      <c r="AX17" s="197">
        <f>SUM(AX3:AX16)</f>
        <v/>
      </c>
      <c r="AY17" s="197">
        <f>SUM(AY3:AY16)</f>
        <v/>
      </c>
      <c r="AZ17" s="198">
        <f>SUM(AZ3:AZ16)</f>
        <v/>
      </c>
      <c r="BA17" s="197">
        <f>SUM(BA3:BA16)</f>
        <v/>
      </c>
      <c r="BB17" s="197">
        <f>SUM(BB3:BB16)</f>
        <v/>
      </c>
      <c r="BC17" s="197">
        <f>SUM(BC3:BC16)</f>
        <v/>
      </c>
      <c r="BD17" s="197">
        <f>SUM(BD3:BD16)</f>
        <v/>
      </c>
      <c r="BE17" s="198">
        <f>SUM(BE3:BE16)</f>
        <v/>
      </c>
      <c r="BF17" s="197">
        <f>SUM(BF3:BF16)</f>
        <v/>
      </c>
      <c r="BG17" s="197" t="n"/>
      <c r="BH17" s="197" t="n"/>
      <c r="BI17" s="197" t="n"/>
      <c r="BJ17" s="197" t="n"/>
      <c r="BK17" s="197" t="n"/>
      <c r="BL17" s="197" t="n"/>
      <c r="BM17" s="197" t="n"/>
      <c r="BN17" s="197" t="n"/>
      <c r="BO17" s="197" t="n"/>
      <c r="BP17" s="197">
        <f>SUM(BP3:BP16)</f>
        <v/>
      </c>
      <c r="BQ17" s="197">
        <f>SUM(BQ3:BQ16)</f>
        <v/>
      </c>
      <c r="BR17" s="197">
        <f>SUM(BR3:BR16)</f>
        <v/>
      </c>
      <c r="BS17" s="197">
        <f>SUM(BS3:BS16)</f>
        <v/>
      </c>
      <c r="BT17" s="197">
        <f>SUM(BT3:BT16)</f>
        <v/>
      </c>
      <c r="BU17" s="197">
        <f>SUM(BU3:BU16)</f>
        <v/>
      </c>
      <c r="BV17" s="197">
        <f>SUM(BV3:BV16)</f>
        <v/>
      </c>
      <c r="BW17" s="197">
        <f>SUM(BW3:BW16)</f>
        <v/>
      </c>
      <c r="BX17" s="197">
        <f>SUM(BX3:BX16)</f>
        <v/>
      </c>
      <c r="BY17" s="197">
        <f>SUM(BY3:BY16)</f>
        <v/>
      </c>
      <c r="BZ17" s="197">
        <f>SUM(BZ3:BZ16)</f>
        <v/>
      </c>
      <c r="CA17" s="197">
        <f>SUM(CA3:CA16)</f>
        <v/>
      </c>
      <c r="CB17" s="197">
        <f>SUM(CB3:CB16)</f>
        <v/>
      </c>
      <c r="CC17" s="197">
        <f>SUM(CC3:CC16)</f>
        <v/>
      </c>
      <c r="CD17" s="197">
        <f>SUM(CD3:CD16)</f>
        <v/>
      </c>
      <c r="CE17" s="197">
        <f>SUM(CE3:CE16)</f>
        <v/>
      </c>
      <c r="CF17" s="197">
        <f>SUM(CF3:CF16)</f>
        <v/>
      </c>
      <c r="CG17" s="197">
        <f>SUM(CG3:CG16)</f>
        <v/>
      </c>
      <c r="CH17" s="197">
        <f>SUM(CH3:CH16)</f>
        <v/>
      </c>
      <c r="CI17" s="197">
        <f>SUM(CI3:CI16)</f>
        <v/>
      </c>
      <c r="CJ17" s="197">
        <f>SUM(CJ3:CJ16)</f>
        <v/>
      </c>
      <c r="CK17" s="197">
        <f>SUM(CK3:CK16)</f>
        <v/>
      </c>
      <c r="CL17" s="197">
        <f>SUM(CL3:CL16)</f>
        <v/>
      </c>
      <c r="CM17" s="197">
        <f>SUM(CM3:CM16)</f>
        <v/>
      </c>
      <c r="CN17" s="197">
        <f>SUM(CN3:CN16)</f>
        <v/>
      </c>
      <c r="CO17" s="197">
        <f>SUM(CO3:CO16)</f>
        <v/>
      </c>
      <c r="CP17" s="197">
        <f>SUM(CP3:CP16)</f>
        <v/>
      </c>
      <c r="CQ17" s="197">
        <f>SUM(CQ3:CQ16)</f>
        <v/>
      </c>
      <c r="CR17" s="197">
        <f>SUM(CR3:CR16)</f>
        <v/>
      </c>
      <c r="CS17" s="197">
        <f>SUM(CS3:CS16)</f>
        <v/>
      </c>
      <c r="CT17" s="197">
        <f>SUM(CT3:CT16)</f>
        <v/>
      </c>
      <c r="CU17" s="197">
        <f>SUM(CU3:CU16)</f>
        <v/>
      </c>
      <c r="CV17" s="197">
        <f>SUM(CV3:CV16)</f>
        <v/>
      </c>
      <c r="CW17" s="197">
        <f>SUM(CW3:CW16)</f>
        <v/>
      </c>
      <c r="CX17" s="197">
        <f>SUM(CX3:CX16)</f>
        <v/>
      </c>
      <c r="CY17" s="197">
        <f>SUM(CY3:CY16)</f>
        <v/>
      </c>
      <c r="CZ17" s="197">
        <f>SUM(CZ3:CZ16)</f>
        <v/>
      </c>
      <c r="DA17" s="197">
        <f>SUM(DA3:DA16)</f>
        <v/>
      </c>
      <c r="DB17" s="197">
        <f>SUM(DB3:DB16)</f>
        <v/>
      </c>
      <c r="DC17" s="197">
        <f>SUM(DC3:DC16)</f>
        <v/>
      </c>
      <c r="DD17" s="197">
        <f>SUM(DD3:DD16)</f>
        <v/>
      </c>
      <c r="DE17" s="197">
        <f>SUM(DE3:DE16)</f>
        <v/>
      </c>
      <c r="DF17" s="197">
        <f>SUM(DF3:DF16)</f>
        <v/>
      </c>
      <c r="DG17" s="197">
        <f>SUM(DG3:DG16)</f>
        <v/>
      </c>
      <c r="DH17" s="197">
        <f>SUM(DH3:DH16)</f>
        <v/>
      </c>
      <c r="DI17" s="197">
        <f>SUM(DI3:DI16)</f>
        <v/>
      </c>
      <c r="DJ17" s="197">
        <f>SUM(DJ3:DJ16)</f>
        <v/>
      </c>
      <c r="DK17" s="197">
        <f>SUM(DK3:DK16)</f>
        <v/>
      </c>
    </row>
  </sheetData>
  <mergeCells count="25">
    <mergeCell ref="DH1:DK1"/>
    <mergeCell ref="BP1:BS1"/>
    <mergeCell ref="B1:D1"/>
    <mergeCell ref="BG1:BO1"/>
    <mergeCell ref="AX1:BB1"/>
    <mergeCell ref="AI1:AM1"/>
    <mergeCell ref="J1:N1"/>
    <mergeCell ref="AS1:AW1"/>
    <mergeCell ref="BC1:BF1"/>
    <mergeCell ref="BT1:BW1"/>
    <mergeCell ref="CB1:CE1"/>
    <mergeCell ref="CN1:CQ1"/>
    <mergeCell ref="CZ1:DC1"/>
    <mergeCell ref="AD1:AH1"/>
    <mergeCell ref="O1:S1"/>
    <mergeCell ref="E1:I1"/>
    <mergeCell ref="AN1:AR1"/>
    <mergeCell ref="Y1:AC1"/>
    <mergeCell ref="CF1:CI1"/>
    <mergeCell ref="T1:X1"/>
    <mergeCell ref="BX1:CA1"/>
    <mergeCell ref="CR1:CU1"/>
    <mergeCell ref="CJ1:CM1"/>
    <mergeCell ref="CV1:CY1"/>
    <mergeCell ref="DD1:DG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Александр Кривенков</dc:creator>
  <dcterms:created xsi:type="dcterms:W3CDTF">2015-06-05T18:19:34Z</dcterms:created>
  <dcterms:modified xsi:type="dcterms:W3CDTF">2026-09-03T08:34:26Z</dcterms:modified>
  <cp:lastModifiedBy>License Wabco</cp:lastModifiedBy>
  <cp:revision>47</cp:revision>
  <cp:lastPrinted>2026-05-26T05:39:20Z</cp:lastPrinted>
</cp:coreProperties>
</file>